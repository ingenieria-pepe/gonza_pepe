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Usuario\Desktop\poronga\fuentes\plan_cargas\"/>
    </mc:Choice>
  </mc:AlternateContent>
  <xr:revisionPtr revIDLastSave="0" documentId="13_ncr:1_{CA576166-DFAE-41C8-B130-00BBA1DF75D5}" xr6:coauthVersionLast="47" xr6:coauthVersionMax="47" xr10:uidLastSave="{00000000-0000-0000-0000-000000000000}"/>
  <bookViews>
    <workbookView xWindow="-120" yWindow="-120" windowWidth="20730" windowHeight="11040" tabRatio="396" xr2:uid="{00000000-000D-0000-FFFF-FFFF00000000}"/>
  </bookViews>
  <sheets>
    <sheet name="Cargas" sheetId="1" r:id="rId1"/>
    <sheet name="Carpetas" sheetId="2" r:id="rId2"/>
    <sheet name="Choferes" sheetId="4" r:id="rId3"/>
    <sheet name="Rangos" sheetId="3" r:id="rId4"/>
  </sheets>
  <definedNames>
    <definedName name="_xlnm._FilterDatabase" localSheetId="0" hidden="1">Cargas!$A$4:$AI$4</definedName>
    <definedName name="_xlnm._FilterDatabase" localSheetId="1" hidden="1">Carpetas!$A$4:$M$1829</definedName>
    <definedName name="_xlnm._FilterDatabase" localSheetId="2" hidden="1">Choferes!$B$1:$C$212</definedName>
    <definedName name="Fronteras">Rangos!$H$5:$H$11</definedName>
    <definedName name="Productores">Rangos!$J$5:$J$69</definedName>
    <definedName name="Status">Rangos!$B$5:$B$14</definedName>
    <definedName name="_xlnm.Print_Titles" localSheetId="0">Cargas!$4:$4</definedName>
    <definedName name="Transporte">Rangos!$D$5:$D$75</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581" i="1" l="1"/>
  <c r="K2581" i="1"/>
  <c r="J2581" i="1"/>
  <c r="M2581" i="1" s="1"/>
  <c r="N2581" i="1" s="1"/>
  <c r="I2581" i="1"/>
  <c r="H2581" i="1"/>
  <c r="G2581" i="1"/>
  <c r="F2581" i="1"/>
  <c r="J1808" i="2"/>
  <c r="K1808" i="2" s="1"/>
  <c r="J1807" i="2"/>
  <c r="K1807" i="2" s="1"/>
  <c r="J1806" i="2"/>
  <c r="K1806" i="2" s="1"/>
  <c r="Y2579" i="1"/>
  <c r="M2579" i="1"/>
  <c r="N2579" i="1" s="1"/>
  <c r="K2579" i="1"/>
  <c r="I2579" i="1"/>
  <c r="H2579" i="1"/>
  <c r="G2579" i="1"/>
  <c r="F2579" i="1"/>
  <c r="Y2578" i="1"/>
  <c r="M2578" i="1"/>
  <c r="N2578" i="1" s="1"/>
  <c r="K2578" i="1"/>
  <c r="I2578" i="1"/>
  <c r="H2578" i="1"/>
  <c r="G2578" i="1"/>
  <c r="F2578" i="1"/>
  <c r="J2567" i="1"/>
  <c r="Y2580" i="1"/>
  <c r="M2580" i="1"/>
  <c r="N2580" i="1" s="1"/>
  <c r="K2580" i="1"/>
  <c r="I2580" i="1"/>
  <c r="H2580" i="1"/>
  <c r="G2580" i="1"/>
  <c r="F2580" i="1"/>
  <c r="Y2577" i="1"/>
  <c r="M2577" i="1"/>
  <c r="N2577" i="1" s="1"/>
  <c r="K2577" i="1"/>
  <c r="I2577" i="1"/>
  <c r="H2577" i="1"/>
  <c r="G2577" i="1"/>
  <c r="F2577" i="1"/>
  <c r="Y2576" i="1"/>
  <c r="M2576" i="1"/>
  <c r="N2576" i="1" s="1"/>
  <c r="K2576" i="1"/>
  <c r="I2576" i="1"/>
  <c r="H2576" i="1"/>
  <c r="G2576" i="1"/>
  <c r="F2576" i="1"/>
  <c r="Y2575" i="1"/>
  <c r="M2575" i="1"/>
  <c r="N2575" i="1" s="1"/>
  <c r="K2575" i="1"/>
  <c r="I2575" i="1"/>
  <c r="H2575" i="1"/>
  <c r="G2575" i="1"/>
  <c r="F2575" i="1"/>
  <c r="Y2574" i="1"/>
  <c r="M2574" i="1"/>
  <c r="N2574" i="1" s="1"/>
  <c r="K2574" i="1"/>
  <c r="I2574" i="1"/>
  <c r="H2574" i="1"/>
  <c r="G2574" i="1"/>
  <c r="F2574" i="1"/>
  <c r="Y2573" i="1"/>
  <c r="M2573" i="1"/>
  <c r="N2573" i="1" s="1"/>
  <c r="K2573" i="1"/>
  <c r="I2573" i="1"/>
  <c r="H2573" i="1"/>
  <c r="G2573" i="1"/>
  <c r="F2573" i="1"/>
  <c r="Y2572" i="1"/>
  <c r="M2572" i="1"/>
  <c r="N2572" i="1" s="1"/>
  <c r="K2572" i="1"/>
  <c r="I2572" i="1"/>
  <c r="H2572" i="1"/>
  <c r="G2572" i="1"/>
  <c r="F2572" i="1"/>
  <c r="Y2571" i="1"/>
  <c r="M2571" i="1"/>
  <c r="N2571" i="1" s="1"/>
  <c r="K2571" i="1"/>
  <c r="I2571" i="1"/>
  <c r="H2571" i="1"/>
  <c r="G2571" i="1"/>
  <c r="F2571" i="1"/>
  <c r="Y2570" i="1"/>
  <c r="M2570" i="1"/>
  <c r="N2570" i="1" s="1"/>
  <c r="K2570" i="1"/>
  <c r="I2570" i="1"/>
  <c r="H2570" i="1"/>
  <c r="G2570" i="1"/>
  <c r="F2570" i="1"/>
  <c r="Y2569" i="1"/>
  <c r="M2569" i="1"/>
  <c r="N2569" i="1" s="1"/>
  <c r="K2569" i="1"/>
  <c r="I2569" i="1"/>
  <c r="H2569" i="1"/>
  <c r="G2569" i="1"/>
  <c r="F2569" i="1"/>
  <c r="Y2568" i="1"/>
  <c r="M2568" i="1"/>
  <c r="N2568" i="1" s="1"/>
  <c r="K2568" i="1"/>
  <c r="I2568" i="1"/>
  <c r="H2568" i="1"/>
  <c r="G2568" i="1"/>
  <c r="F2568" i="1"/>
  <c r="Y2567" i="1"/>
  <c r="M2567" i="1"/>
  <c r="N2567" i="1" s="1"/>
  <c r="K2567" i="1"/>
  <c r="I2567" i="1"/>
  <c r="H2567" i="1"/>
  <c r="G2567" i="1"/>
  <c r="F2567" i="1"/>
  <c r="Y2566" i="1"/>
  <c r="K2566" i="1"/>
  <c r="J2566" i="1"/>
  <c r="M2566" i="1" s="1"/>
  <c r="N2566" i="1" s="1"/>
  <c r="I2566" i="1"/>
  <c r="H2566" i="1"/>
  <c r="G2566" i="1"/>
  <c r="F2566" i="1"/>
  <c r="Y2565" i="1"/>
  <c r="K2565" i="1"/>
  <c r="J2565" i="1"/>
  <c r="M2565" i="1" s="1"/>
  <c r="N2565" i="1" s="1"/>
  <c r="I2565" i="1"/>
  <c r="H2565" i="1"/>
  <c r="G2565" i="1"/>
  <c r="F2565" i="1"/>
  <c r="Y2564" i="1"/>
  <c r="K2564" i="1"/>
  <c r="J2564" i="1"/>
  <c r="M2564" i="1" s="1"/>
  <c r="N2564" i="1" s="1"/>
  <c r="I2564" i="1"/>
  <c r="H2564" i="1"/>
  <c r="G2564" i="1"/>
  <c r="F2564" i="1"/>
  <c r="Y2563" i="1"/>
  <c r="K2563" i="1"/>
  <c r="J2563" i="1"/>
  <c r="M2563" i="1" s="1"/>
  <c r="N2563" i="1" s="1"/>
  <c r="I2563" i="1"/>
  <c r="H2563" i="1"/>
  <c r="G2563" i="1"/>
  <c r="F2563" i="1"/>
  <c r="Y2562" i="1"/>
  <c r="K2562" i="1"/>
  <c r="J2562" i="1"/>
  <c r="M2562" i="1" s="1"/>
  <c r="N2562" i="1" s="1"/>
  <c r="I2562" i="1"/>
  <c r="H2562" i="1"/>
  <c r="G2562" i="1"/>
  <c r="F2562" i="1"/>
  <c r="Y2561" i="1"/>
  <c r="K2561" i="1"/>
  <c r="J2561" i="1"/>
  <c r="M2561" i="1" s="1"/>
  <c r="N2561" i="1" s="1"/>
  <c r="I2561" i="1"/>
  <c r="H2561" i="1"/>
  <c r="G2561" i="1"/>
  <c r="F2561" i="1"/>
  <c r="Y2560" i="1"/>
  <c r="K2560" i="1"/>
  <c r="J2560" i="1"/>
  <c r="M2560" i="1" s="1"/>
  <c r="N2560" i="1" s="1"/>
  <c r="I2560" i="1"/>
  <c r="H2560" i="1"/>
  <c r="G2560" i="1"/>
  <c r="F2560" i="1"/>
  <c r="J2559" i="1"/>
  <c r="M2559" i="1" s="1"/>
  <c r="N2559" i="1" s="1"/>
  <c r="Y2559" i="1"/>
  <c r="K2559" i="1"/>
  <c r="I2559" i="1"/>
  <c r="H2559" i="1"/>
  <c r="G2559" i="1"/>
  <c r="F2559" i="1"/>
  <c r="Y2558" i="1"/>
  <c r="M2558" i="1"/>
  <c r="N2558" i="1" s="1"/>
  <c r="K2558" i="1"/>
  <c r="I2558" i="1"/>
  <c r="H2558" i="1"/>
  <c r="G2558" i="1"/>
  <c r="F2558" i="1"/>
  <c r="J1805" i="2"/>
  <c r="K1805" i="2" s="1"/>
  <c r="J1804" i="2"/>
  <c r="K1804" i="2" s="1"/>
  <c r="M2556" i="1"/>
  <c r="N2556" i="1" s="1"/>
  <c r="M2555" i="1"/>
  <c r="M2554" i="1"/>
  <c r="M2553" i="1"/>
  <c r="M2552" i="1"/>
  <c r="N2552" i="1" s="1"/>
  <c r="J1784" i="2"/>
  <c r="K1784" i="2" s="1"/>
  <c r="J1704" i="2"/>
  <c r="K1704" i="2" s="1"/>
  <c r="Y2582" i="1"/>
  <c r="K2582" i="1"/>
  <c r="J2582" i="1"/>
  <c r="M2582" i="1" s="1"/>
  <c r="N2582" i="1" s="1"/>
  <c r="I2582" i="1"/>
  <c r="H2582" i="1"/>
  <c r="G2582" i="1"/>
  <c r="F2582" i="1"/>
  <c r="Y2557" i="1"/>
  <c r="K2557" i="1"/>
  <c r="M2557" i="1"/>
  <c r="N2557" i="1" s="1"/>
  <c r="I2557" i="1"/>
  <c r="H2557" i="1"/>
  <c r="G2557" i="1"/>
  <c r="F2557" i="1"/>
  <c r="J1803" i="2"/>
  <c r="K1803" i="2" s="1"/>
  <c r="J1802" i="2"/>
  <c r="K1802" i="2" s="1"/>
  <c r="J1703" i="2"/>
  <c r="K1703" i="2" s="1"/>
  <c r="J1809" i="2"/>
  <c r="K1809" i="2" s="1"/>
  <c r="J1801" i="2"/>
  <c r="K1801" i="2" s="1"/>
  <c r="J1800" i="2"/>
  <c r="K1800" i="2" s="1"/>
  <c r="J1783" i="2"/>
  <c r="K1783" i="2" s="1"/>
  <c r="M2539" i="1"/>
  <c r="Y2555" i="1"/>
  <c r="K2555" i="1"/>
  <c r="N2555" i="1"/>
  <c r="I2555" i="1"/>
  <c r="H2555" i="1"/>
  <c r="G2555" i="1"/>
  <c r="F2555" i="1"/>
  <c r="Y2554" i="1"/>
  <c r="K2554" i="1"/>
  <c r="N2554" i="1"/>
  <c r="I2554" i="1"/>
  <c r="H2554" i="1"/>
  <c r="G2554" i="1"/>
  <c r="F2554" i="1"/>
  <c r="Y2553" i="1"/>
  <c r="K2553" i="1"/>
  <c r="N2553" i="1"/>
  <c r="I2553" i="1"/>
  <c r="H2553" i="1"/>
  <c r="G2553" i="1"/>
  <c r="F2553" i="1"/>
  <c r="Y2552" i="1"/>
  <c r="K2552" i="1"/>
  <c r="I2552" i="1"/>
  <c r="H2552" i="1"/>
  <c r="G2552" i="1"/>
  <c r="F2552" i="1"/>
  <c r="Y2549" i="1"/>
  <c r="K2549" i="1"/>
  <c r="J2549" i="1"/>
  <c r="M2549" i="1" s="1"/>
  <c r="N2549" i="1" s="1"/>
  <c r="I2549" i="1"/>
  <c r="H2549" i="1"/>
  <c r="G2549" i="1"/>
  <c r="F2549" i="1"/>
  <c r="Y2548" i="1"/>
  <c r="K2548" i="1"/>
  <c r="J2548" i="1"/>
  <c r="M2548" i="1" s="1"/>
  <c r="N2548" i="1" s="1"/>
  <c r="I2548" i="1"/>
  <c r="H2548" i="1"/>
  <c r="G2548" i="1"/>
  <c r="F2548" i="1"/>
  <c r="Y2547" i="1"/>
  <c r="K2547" i="1"/>
  <c r="J2547" i="1"/>
  <c r="M2547" i="1" s="1"/>
  <c r="N2547" i="1" s="1"/>
  <c r="I2547" i="1"/>
  <c r="H2547" i="1"/>
  <c r="G2547" i="1"/>
  <c r="F2547" i="1"/>
  <c r="Y2546" i="1"/>
  <c r="K2546" i="1"/>
  <c r="M2546" i="1"/>
  <c r="N2546" i="1" s="1"/>
  <c r="I2546" i="1"/>
  <c r="H2546" i="1"/>
  <c r="G2546" i="1"/>
  <c r="F2546" i="1"/>
  <c r="Y2545" i="1"/>
  <c r="K2545" i="1"/>
  <c r="M2545" i="1"/>
  <c r="N2545" i="1" s="1"/>
  <c r="I2545" i="1"/>
  <c r="H2545" i="1"/>
  <c r="G2545" i="1"/>
  <c r="F2545" i="1"/>
  <c r="J2550" i="1"/>
  <c r="M2550" i="1" s="1"/>
  <c r="N2550" i="1" s="1"/>
  <c r="Y2550" i="1"/>
  <c r="K2550" i="1"/>
  <c r="I2550" i="1"/>
  <c r="H2550" i="1"/>
  <c r="G2550" i="1"/>
  <c r="F2550" i="1"/>
  <c r="Y2551" i="1"/>
  <c r="M2551" i="1"/>
  <c r="N2551" i="1" s="1"/>
  <c r="K2551" i="1"/>
  <c r="I2551" i="1"/>
  <c r="H2551" i="1"/>
  <c r="G2551" i="1"/>
  <c r="F2551" i="1"/>
  <c r="Y2544" i="1"/>
  <c r="M2544" i="1"/>
  <c r="N2544" i="1" s="1"/>
  <c r="K2544" i="1"/>
  <c r="I2544" i="1"/>
  <c r="H2544" i="1"/>
  <c r="G2544" i="1"/>
  <c r="F2544" i="1"/>
  <c r="Y2542" i="1"/>
  <c r="M2542" i="1"/>
  <c r="N2542" i="1" s="1"/>
  <c r="K2542" i="1"/>
  <c r="I2542" i="1"/>
  <c r="H2542" i="1"/>
  <c r="G2542" i="1"/>
  <c r="F2542" i="1"/>
  <c r="Y2543" i="1"/>
  <c r="M2543" i="1"/>
  <c r="N2543" i="1" s="1"/>
  <c r="K2543" i="1"/>
  <c r="I2543" i="1"/>
  <c r="H2543" i="1"/>
  <c r="G2543" i="1"/>
  <c r="F2543" i="1"/>
  <c r="Y2541" i="1"/>
  <c r="M2541" i="1"/>
  <c r="N2541" i="1" s="1"/>
  <c r="K2541" i="1"/>
  <c r="I2541" i="1"/>
  <c r="H2541" i="1"/>
  <c r="G2541" i="1"/>
  <c r="F2541" i="1"/>
  <c r="Y2540" i="1"/>
  <c r="M2540" i="1"/>
  <c r="N2540" i="1" s="1"/>
  <c r="K2540" i="1"/>
  <c r="I2540" i="1"/>
  <c r="H2540" i="1"/>
  <c r="G2540" i="1"/>
  <c r="F2540" i="1"/>
  <c r="Y2538" i="1"/>
  <c r="K2538" i="1"/>
  <c r="M2538" i="1"/>
  <c r="N2538" i="1" s="1"/>
  <c r="I2538" i="1"/>
  <c r="H2538" i="1"/>
  <c r="G2538" i="1"/>
  <c r="F2538" i="1"/>
  <c r="Y2537" i="1"/>
  <c r="K2537" i="1"/>
  <c r="M2537" i="1"/>
  <c r="N2537" i="1" s="1"/>
  <c r="I2537" i="1"/>
  <c r="H2537" i="1"/>
  <c r="G2537" i="1"/>
  <c r="F2537" i="1"/>
  <c r="J1693" i="2"/>
  <c r="K1693" i="2" s="1"/>
  <c r="J1687" i="2"/>
  <c r="K1687" i="2" s="1"/>
  <c r="J1765" i="2"/>
  <c r="K1765" i="2" s="1"/>
  <c r="Y2531" i="1"/>
  <c r="K2531" i="1"/>
  <c r="M2531" i="1"/>
  <c r="N2531" i="1" s="1"/>
  <c r="I2531" i="1"/>
  <c r="H2531" i="1"/>
  <c r="G2531" i="1"/>
  <c r="F2531" i="1"/>
  <c r="J1763" i="2"/>
  <c r="K1763" i="2" s="1"/>
  <c r="J1799" i="2"/>
  <c r="K1799" i="2" s="1"/>
  <c r="J1798" i="2"/>
  <c r="K1798" i="2" s="1"/>
  <c r="Y2530" i="1"/>
  <c r="K2530" i="1"/>
  <c r="J2530" i="1"/>
  <c r="M2530" i="1" s="1"/>
  <c r="N2530" i="1" s="1"/>
  <c r="I2530" i="1"/>
  <c r="H2530" i="1"/>
  <c r="G2530" i="1"/>
  <c r="F2530" i="1"/>
  <c r="Y2536" i="1"/>
  <c r="K2536" i="1"/>
  <c r="M2536" i="1"/>
  <c r="N2536" i="1" s="1"/>
  <c r="I2536" i="1"/>
  <c r="H2536" i="1"/>
  <c r="G2536" i="1"/>
  <c r="F2536" i="1"/>
  <c r="Y2556" i="1"/>
  <c r="K2556" i="1"/>
  <c r="I2556" i="1"/>
  <c r="H2556" i="1"/>
  <c r="G2556" i="1"/>
  <c r="F2556" i="1"/>
  <c r="Y2534" i="1"/>
  <c r="K2534" i="1"/>
  <c r="M2534" i="1"/>
  <c r="N2534" i="1" s="1"/>
  <c r="I2534" i="1"/>
  <c r="H2534" i="1"/>
  <c r="G2534" i="1"/>
  <c r="F2534" i="1"/>
  <c r="Y2535" i="1"/>
  <c r="K2535" i="1"/>
  <c r="M2535" i="1"/>
  <c r="N2535" i="1" s="1"/>
  <c r="I2535" i="1"/>
  <c r="H2535" i="1"/>
  <c r="G2535" i="1"/>
  <c r="F2535" i="1"/>
  <c r="Y2539" i="1"/>
  <c r="K2539" i="1"/>
  <c r="N2539" i="1"/>
  <c r="I2539" i="1"/>
  <c r="H2539" i="1"/>
  <c r="G2539" i="1"/>
  <c r="F2539" i="1"/>
  <c r="Y2533" i="1"/>
  <c r="K2533" i="1"/>
  <c r="M2533" i="1"/>
  <c r="N2533" i="1" s="1"/>
  <c r="I2533" i="1"/>
  <c r="H2533" i="1"/>
  <c r="G2533" i="1"/>
  <c r="F2533" i="1"/>
  <c r="Y2532" i="1"/>
  <c r="K2532" i="1"/>
  <c r="I2532" i="1"/>
  <c r="H2532" i="1"/>
  <c r="G2532" i="1"/>
  <c r="F2532" i="1"/>
  <c r="Y2529" i="1"/>
  <c r="K2529" i="1"/>
  <c r="J2529" i="1"/>
  <c r="M2529" i="1" s="1"/>
  <c r="N2529" i="1" s="1"/>
  <c r="I2529" i="1"/>
  <c r="H2529" i="1"/>
  <c r="G2529" i="1"/>
  <c r="F2529" i="1"/>
  <c r="Y2528" i="1"/>
  <c r="K2528" i="1"/>
  <c r="J2528" i="1"/>
  <c r="M2528" i="1" s="1"/>
  <c r="N2528" i="1" s="1"/>
  <c r="I2528" i="1"/>
  <c r="H2528" i="1"/>
  <c r="G2528" i="1"/>
  <c r="F2528" i="1"/>
  <c r="Y2526" i="1"/>
  <c r="K2526" i="1"/>
  <c r="M2526" i="1"/>
  <c r="N2526" i="1" s="1"/>
  <c r="I2526" i="1"/>
  <c r="H2526" i="1"/>
  <c r="G2526" i="1"/>
  <c r="F2526" i="1"/>
  <c r="Y2524" i="1"/>
  <c r="K2524" i="1"/>
  <c r="M2524" i="1"/>
  <c r="N2524" i="1" s="1"/>
  <c r="I2524" i="1"/>
  <c r="H2524" i="1"/>
  <c r="G2524" i="1"/>
  <c r="F2524" i="1"/>
  <c r="Y2525" i="1"/>
  <c r="K2525" i="1"/>
  <c r="M2525" i="1"/>
  <c r="N2525" i="1" s="1"/>
  <c r="I2525" i="1"/>
  <c r="H2525" i="1"/>
  <c r="G2525" i="1"/>
  <c r="F2525" i="1"/>
  <c r="Y2527" i="1"/>
  <c r="K2527" i="1"/>
  <c r="M2527" i="1"/>
  <c r="N2527" i="1" s="1"/>
  <c r="I2527" i="1"/>
  <c r="H2527" i="1"/>
  <c r="G2527" i="1"/>
  <c r="F2527" i="1"/>
  <c r="I1761" i="2"/>
  <c r="J1761" i="2"/>
  <c r="K1761" i="2" s="1"/>
  <c r="J1759" i="2"/>
  <c r="K1759" i="2" s="1"/>
  <c r="J1682" i="2"/>
  <c r="K1682" i="2" s="1"/>
  <c r="J1797" i="2"/>
  <c r="K1797" i="2" s="1"/>
  <c r="Y2523" i="1"/>
  <c r="K2523" i="1"/>
  <c r="N2523" i="1"/>
  <c r="I2523" i="1"/>
  <c r="H2523" i="1"/>
  <c r="G2523" i="1"/>
  <c r="F2523" i="1"/>
  <c r="J1796" i="2"/>
  <c r="K1796" i="2" s="1"/>
  <c r="Y2583" i="1"/>
  <c r="K2583" i="1"/>
  <c r="J2583" i="1"/>
  <c r="M2583" i="1" s="1"/>
  <c r="N2583" i="1" s="1"/>
  <c r="I2583" i="1"/>
  <c r="H2583" i="1"/>
  <c r="G2583" i="1"/>
  <c r="F2583" i="1"/>
  <c r="Y2521" i="1"/>
  <c r="K2521" i="1"/>
  <c r="J2521" i="1"/>
  <c r="M2521" i="1" s="1"/>
  <c r="N2521" i="1" s="1"/>
  <c r="I2521" i="1"/>
  <c r="H2521" i="1"/>
  <c r="G2521" i="1"/>
  <c r="F2521" i="1"/>
  <c r="Y2520" i="1"/>
  <c r="K2520" i="1"/>
  <c r="J2520" i="1"/>
  <c r="M2520" i="1" s="1"/>
  <c r="N2520" i="1" s="1"/>
  <c r="I2520" i="1"/>
  <c r="H2520" i="1"/>
  <c r="G2520" i="1"/>
  <c r="F2520" i="1"/>
  <c r="Y2519" i="1"/>
  <c r="K2519" i="1"/>
  <c r="J2519" i="1"/>
  <c r="M2519" i="1" s="1"/>
  <c r="N2519" i="1" s="1"/>
  <c r="I2519" i="1"/>
  <c r="H2519" i="1"/>
  <c r="G2519" i="1"/>
  <c r="F2519" i="1"/>
  <c r="Y2522" i="1"/>
  <c r="K2522" i="1"/>
  <c r="J2522" i="1"/>
  <c r="N2522" i="1" s="1"/>
  <c r="I2522" i="1"/>
  <c r="H2522" i="1"/>
  <c r="G2522" i="1"/>
  <c r="F2522" i="1"/>
  <c r="Y2517" i="1"/>
  <c r="K2517" i="1"/>
  <c r="J2517" i="1"/>
  <c r="M2517" i="1" s="1"/>
  <c r="N2517" i="1" s="1"/>
  <c r="I2517" i="1"/>
  <c r="H2517" i="1"/>
  <c r="G2517" i="1"/>
  <c r="F2517" i="1"/>
  <c r="Y2518" i="1"/>
  <c r="K2518" i="1"/>
  <c r="J2518" i="1"/>
  <c r="N2518" i="1" s="1"/>
  <c r="I2518" i="1"/>
  <c r="H2518" i="1"/>
  <c r="G2518" i="1"/>
  <c r="F2518" i="1"/>
  <c r="Y2516" i="1"/>
  <c r="K2516" i="1"/>
  <c r="J2516" i="1"/>
  <c r="N2516" i="1" s="1"/>
  <c r="I2516" i="1"/>
  <c r="H2516" i="1"/>
  <c r="G2516" i="1"/>
  <c r="F2516" i="1"/>
  <c r="Y2513" i="1"/>
  <c r="K2513" i="1"/>
  <c r="M2513" i="1"/>
  <c r="N2513" i="1" s="1"/>
  <c r="I2513" i="1"/>
  <c r="H2513" i="1"/>
  <c r="G2513" i="1"/>
  <c r="F2513" i="1"/>
  <c r="Y2512" i="1"/>
  <c r="K2512" i="1"/>
  <c r="J2512" i="1"/>
  <c r="M2512" i="1" s="1"/>
  <c r="N2512" i="1" s="1"/>
  <c r="I2512" i="1"/>
  <c r="H2512" i="1"/>
  <c r="G2512" i="1"/>
  <c r="F2512" i="1"/>
  <c r="Y2511" i="1"/>
  <c r="K2511" i="1"/>
  <c r="J2511" i="1"/>
  <c r="M2511" i="1" s="1"/>
  <c r="N2511" i="1" s="1"/>
  <c r="I2511" i="1"/>
  <c r="H2511" i="1"/>
  <c r="G2511" i="1"/>
  <c r="F2511" i="1"/>
  <c r="Y2514" i="1"/>
  <c r="K2514" i="1"/>
  <c r="M2514" i="1"/>
  <c r="N2514" i="1" s="1"/>
  <c r="I2514" i="1"/>
  <c r="H2514" i="1"/>
  <c r="G2514" i="1"/>
  <c r="F2514" i="1"/>
  <c r="Y2510" i="1"/>
  <c r="K2510" i="1"/>
  <c r="J2510" i="1"/>
  <c r="M2510" i="1" s="1"/>
  <c r="N2510" i="1" s="1"/>
  <c r="I2510" i="1"/>
  <c r="H2510" i="1"/>
  <c r="G2510" i="1"/>
  <c r="F2510" i="1"/>
  <c r="Y2509" i="1"/>
  <c r="K2509" i="1"/>
  <c r="J2509" i="1"/>
  <c r="M2509" i="1" s="1"/>
  <c r="N2509" i="1" s="1"/>
  <c r="I2509" i="1"/>
  <c r="H2509" i="1"/>
  <c r="G2509" i="1"/>
  <c r="F2509" i="1"/>
  <c r="Y2508" i="1"/>
  <c r="K2508" i="1"/>
  <c r="J2508" i="1"/>
  <c r="M2508" i="1" s="1"/>
  <c r="N2508" i="1" s="1"/>
  <c r="I2508" i="1"/>
  <c r="H2508" i="1"/>
  <c r="G2508" i="1"/>
  <c r="F2508" i="1"/>
  <c r="Y2507" i="1"/>
  <c r="K2507" i="1"/>
  <c r="M2507" i="1"/>
  <c r="N2507" i="1" s="1"/>
  <c r="I2507" i="1"/>
  <c r="H2507" i="1"/>
  <c r="G2507" i="1"/>
  <c r="F2507" i="1"/>
  <c r="Y2506" i="1"/>
  <c r="K2506" i="1"/>
  <c r="J2506" i="1"/>
  <c r="M2506" i="1" s="1"/>
  <c r="N2506" i="1" s="1"/>
  <c r="I2506" i="1"/>
  <c r="H2506" i="1"/>
  <c r="G2506" i="1"/>
  <c r="F2506" i="1"/>
  <c r="J2515" i="1"/>
  <c r="Y2505" i="1"/>
  <c r="K2505" i="1"/>
  <c r="J2505" i="1"/>
  <c r="M2505" i="1" s="1"/>
  <c r="N2505" i="1" s="1"/>
  <c r="I2505" i="1"/>
  <c r="H2505" i="1"/>
  <c r="G2505" i="1"/>
  <c r="F2505" i="1"/>
  <c r="J1681" i="2"/>
  <c r="K1681" i="2" s="1"/>
  <c r="J1756" i="2"/>
  <c r="K1756" i="2" s="1"/>
  <c r="J1795" i="2"/>
  <c r="K1795" i="2" s="1"/>
  <c r="Y2498" i="1"/>
  <c r="F2498" i="1"/>
  <c r="G2498" i="1"/>
  <c r="H2498" i="1"/>
  <c r="I2498" i="1"/>
  <c r="K2498" i="1"/>
  <c r="M2498" i="1"/>
  <c r="N2498" i="1" s="1"/>
  <c r="J1680" i="2"/>
  <c r="K1680" i="2" s="1"/>
  <c r="J1679" i="2"/>
  <c r="K1679" i="2" s="1"/>
  <c r="J1794" i="2"/>
  <c r="K1794" i="2" s="1"/>
  <c r="J1740" i="2"/>
  <c r="K1740" i="2" s="1"/>
  <c r="M2496" i="1"/>
  <c r="N2496" i="1" s="1"/>
  <c r="M2494" i="1"/>
  <c r="N2494" i="1" s="1"/>
  <c r="M2493" i="1"/>
  <c r="N2493" i="1" s="1"/>
  <c r="J2490" i="1"/>
  <c r="M2490" i="1" s="1"/>
  <c r="N2490" i="1" s="1"/>
  <c r="M2503" i="1"/>
  <c r="N2503" i="1" s="1"/>
  <c r="M2501" i="1"/>
  <c r="N2501" i="1" s="1"/>
  <c r="J1793" i="2"/>
  <c r="K1793" i="2" s="1"/>
  <c r="J1792" i="2"/>
  <c r="K1792" i="2" s="1"/>
  <c r="Y2501" i="1"/>
  <c r="K2501" i="1"/>
  <c r="I2501" i="1"/>
  <c r="H2501" i="1"/>
  <c r="G2501" i="1"/>
  <c r="F2501" i="1"/>
  <c r="Y2500" i="1"/>
  <c r="K2500" i="1"/>
  <c r="M2500" i="1"/>
  <c r="N2500" i="1" s="1"/>
  <c r="I2500" i="1"/>
  <c r="H2500" i="1"/>
  <c r="G2500" i="1"/>
  <c r="F2500" i="1"/>
  <c r="Y2499" i="1"/>
  <c r="K2499" i="1"/>
  <c r="M2499" i="1"/>
  <c r="N2499" i="1" s="1"/>
  <c r="I2499" i="1"/>
  <c r="H2499" i="1"/>
  <c r="G2499" i="1"/>
  <c r="F2499" i="1"/>
  <c r="Y2493" i="1"/>
  <c r="K2493" i="1"/>
  <c r="I2493" i="1"/>
  <c r="H2493" i="1"/>
  <c r="G2493" i="1"/>
  <c r="F2493" i="1"/>
  <c r="Y2504" i="1"/>
  <c r="K2504" i="1"/>
  <c r="M2504" i="1"/>
  <c r="N2504" i="1" s="1"/>
  <c r="I2504" i="1"/>
  <c r="H2504" i="1"/>
  <c r="G2504" i="1"/>
  <c r="F2504" i="1"/>
  <c r="Y2503" i="1"/>
  <c r="K2503" i="1"/>
  <c r="I2503" i="1"/>
  <c r="H2503" i="1"/>
  <c r="G2503" i="1"/>
  <c r="F2503" i="1"/>
  <c r="Y2502" i="1"/>
  <c r="K2502" i="1"/>
  <c r="M2502" i="1"/>
  <c r="N2502" i="1" s="1"/>
  <c r="I2502" i="1"/>
  <c r="H2502" i="1"/>
  <c r="G2502" i="1"/>
  <c r="F2502" i="1"/>
  <c r="Y2495" i="1"/>
  <c r="K2495" i="1"/>
  <c r="M2495" i="1"/>
  <c r="N2495" i="1" s="1"/>
  <c r="I2495" i="1"/>
  <c r="H2495" i="1"/>
  <c r="G2495" i="1"/>
  <c r="F2495" i="1"/>
  <c r="Y2515" i="1"/>
  <c r="K2515" i="1"/>
  <c r="N2515" i="1"/>
  <c r="I2515" i="1"/>
  <c r="H2515" i="1"/>
  <c r="G2515" i="1"/>
  <c r="F2515" i="1"/>
  <c r="Y2496" i="1"/>
  <c r="K2496" i="1"/>
  <c r="I2496" i="1"/>
  <c r="H2496" i="1"/>
  <c r="G2496" i="1"/>
  <c r="F2496" i="1"/>
  <c r="Y2494" i="1"/>
  <c r="K2494" i="1"/>
  <c r="I2494" i="1"/>
  <c r="H2494" i="1"/>
  <c r="G2494" i="1"/>
  <c r="F2494" i="1"/>
  <c r="Y2491" i="1"/>
  <c r="K2491" i="1"/>
  <c r="M2491" i="1"/>
  <c r="N2491" i="1" s="1"/>
  <c r="I2491" i="1"/>
  <c r="H2491" i="1"/>
  <c r="G2491" i="1"/>
  <c r="F2491" i="1"/>
  <c r="Y2489" i="1"/>
  <c r="K2489" i="1"/>
  <c r="M2489" i="1"/>
  <c r="N2489" i="1" s="1"/>
  <c r="I2489" i="1"/>
  <c r="H2489" i="1"/>
  <c r="G2489" i="1"/>
  <c r="F2489" i="1"/>
  <c r="Y2487" i="1"/>
  <c r="K2487" i="1"/>
  <c r="M2487" i="1"/>
  <c r="N2487" i="1" s="1"/>
  <c r="I2487" i="1"/>
  <c r="H2487" i="1"/>
  <c r="G2487" i="1"/>
  <c r="F2487" i="1"/>
  <c r="Y2486" i="1"/>
  <c r="K2486" i="1"/>
  <c r="M2486" i="1"/>
  <c r="N2486" i="1" s="1"/>
  <c r="I2486" i="1"/>
  <c r="H2486" i="1"/>
  <c r="G2486" i="1"/>
  <c r="F2486" i="1"/>
  <c r="Y2488" i="1"/>
  <c r="K2488" i="1"/>
  <c r="M2488" i="1"/>
  <c r="N2488" i="1" s="1"/>
  <c r="I2488" i="1"/>
  <c r="H2488" i="1"/>
  <c r="G2488" i="1"/>
  <c r="F2488" i="1"/>
  <c r="Y2490" i="1"/>
  <c r="K2490" i="1"/>
  <c r="I2490" i="1"/>
  <c r="H2490" i="1"/>
  <c r="G2490" i="1"/>
  <c r="F2490" i="1"/>
  <c r="J1678" i="2"/>
  <c r="K1678" i="2" s="1"/>
  <c r="J1739" i="2"/>
  <c r="K1739" i="2" s="1"/>
  <c r="Y2473" i="1"/>
  <c r="J1738" i="2"/>
  <c r="I1738" i="2"/>
  <c r="J1791" i="2"/>
  <c r="K1791" i="2" s="1"/>
  <c r="J1737" i="2"/>
  <c r="K1737" i="2" s="1"/>
  <c r="M2470" i="1"/>
  <c r="N2470" i="1" s="1"/>
  <c r="J1736" i="2"/>
  <c r="K1736" i="2" s="1"/>
  <c r="G2466" i="1"/>
  <c r="J2479" i="1"/>
  <c r="M2479" i="1" s="1"/>
  <c r="N2479" i="1" s="1"/>
  <c r="J2480" i="1"/>
  <c r="M2480" i="1" s="1"/>
  <c r="N2480" i="1" s="1"/>
  <c r="J2481" i="1"/>
  <c r="M2481" i="1" s="1"/>
  <c r="N2481" i="1" s="1"/>
  <c r="J2482" i="1"/>
  <c r="M2482" i="1" s="1"/>
  <c r="N2482" i="1" s="1"/>
  <c r="J2483" i="1"/>
  <c r="M2483" i="1" s="1"/>
  <c r="N2483" i="1" s="1"/>
  <c r="J2484" i="1"/>
  <c r="M2484" i="1" s="1"/>
  <c r="N2484" i="1" s="1"/>
  <c r="J2485" i="1"/>
  <c r="M2485" i="1" s="1"/>
  <c r="N2485" i="1" s="1"/>
  <c r="F2479" i="1"/>
  <c r="G2479" i="1"/>
  <c r="H2479" i="1"/>
  <c r="I2479" i="1"/>
  <c r="K2479" i="1"/>
  <c r="Y2479" i="1"/>
  <c r="F2480" i="1"/>
  <c r="G2480" i="1"/>
  <c r="H2480" i="1"/>
  <c r="I2480" i="1"/>
  <c r="K2480" i="1"/>
  <c r="Y2480" i="1"/>
  <c r="F2481" i="1"/>
  <c r="G2481" i="1"/>
  <c r="H2481" i="1"/>
  <c r="I2481" i="1"/>
  <c r="K2481" i="1"/>
  <c r="Y2481" i="1"/>
  <c r="F2482" i="1"/>
  <c r="G2482" i="1"/>
  <c r="H2482" i="1"/>
  <c r="I2482" i="1"/>
  <c r="K2482" i="1"/>
  <c r="Y2482" i="1"/>
  <c r="F2483" i="1"/>
  <c r="G2483" i="1"/>
  <c r="H2483" i="1"/>
  <c r="I2483" i="1"/>
  <c r="K2483" i="1"/>
  <c r="Y2483" i="1"/>
  <c r="F2484" i="1"/>
  <c r="G2484" i="1"/>
  <c r="H2484" i="1"/>
  <c r="I2484" i="1"/>
  <c r="K2484" i="1"/>
  <c r="Y2484" i="1"/>
  <c r="F2485" i="1"/>
  <c r="G2485" i="1"/>
  <c r="H2485" i="1"/>
  <c r="I2485" i="1"/>
  <c r="K2485" i="1"/>
  <c r="Y2485" i="1"/>
  <c r="F2473" i="1"/>
  <c r="G2473" i="1"/>
  <c r="H2473" i="1"/>
  <c r="I2473" i="1"/>
  <c r="K2473" i="1"/>
  <c r="M2473" i="1"/>
  <c r="N2473" i="1" s="1"/>
  <c r="Y2477" i="1"/>
  <c r="F2477" i="1"/>
  <c r="G2477" i="1"/>
  <c r="H2477" i="1"/>
  <c r="I2477" i="1"/>
  <c r="K2477" i="1"/>
  <c r="M2477" i="1"/>
  <c r="N2477" i="1" s="1"/>
  <c r="F2472" i="1"/>
  <c r="G2472" i="1"/>
  <c r="H2472" i="1"/>
  <c r="I2472" i="1"/>
  <c r="K2472" i="1"/>
  <c r="M2472" i="1"/>
  <c r="N2472" i="1" s="1"/>
  <c r="Y2472" i="1"/>
  <c r="F2478" i="1"/>
  <c r="G2478" i="1"/>
  <c r="H2478" i="1"/>
  <c r="I2478" i="1"/>
  <c r="K2478" i="1"/>
  <c r="M2478" i="1"/>
  <c r="N2478" i="1" s="1"/>
  <c r="Y2478" i="1"/>
  <c r="F2492" i="1"/>
  <c r="G2492" i="1"/>
  <c r="H2492" i="1"/>
  <c r="I2492" i="1"/>
  <c r="K2492" i="1"/>
  <c r="M2492" i="1"/>
  <c r="N2492" i="1" s="1"/>
  <c r="Y2492" i="1"/>
  <c r="Y2471" i="1"/>
  <c r="F2471" i="1"/>
  <c r="G2471" i="1"/>
  <c r="H2471" i="1"/>
  <c r="I2471" i="1"/>
  <c r="K2471" i="1"/>
  <c r="M2471" i="1"/>
  <c r="N2471" i="1" s="1"/>
  <c r="J1735" i="2"/>
  <c r="K1735" i="2" s="1"/>
  <c r="F2476" i="1"/>
  <c r="G2476" i="1"/>
  <c r="H2476" i="1"/>
  <c r="I2476" i="1"/>
  <c r="K2476" i="1"/>
  <c r="M2476" i="1"/>
  <c r="N2476" i="1" s="1"/>
  <c r="F2475" i="1"/>
  <c r="G2475" i="1"/>
  <c r="H2475" i="1"/>
  <c r="I2475" i="1"/>
  <c r="J2475" i="1"/>
  <c r="K2475" i="1"/>
  <c r="N2475" i="1"/>
  <c r="Y2475" i="1"/>
  <c r="F2474" i="1"/>
  <c r="G2474" i="1"/>
  <c r="H2474" i="1"/>
  <c r="I2474" i="1"/>
  <c r="K2474" i="1"/>
  <c r="M2474" i="1"/>
  <c r="N2474" i="1" s="1"/>
  <c r="Y2474" i="1"/>
  <c r="F2497" i="1"/>
  <c r="G2497" i="1"/>
  <c r="H2497" i="1"/>
  <c r="I2497" i="1"/>
  <c r="K2497" i="1"/>
  <c r="M2497" i="1"/>
  <c r="N2497" i="1" s="1"/>
  <c r="Y2497" i="1"/>
  <c r="Y2470" i="1"/>
  <c r="F2470" i="1"/>
  <c r="G2470" i="1"/>
  <c r="H2470" i="1"/>
  <c r="I2470" i="1"/>
  <c r="K2470" i="1"/>
  <c r="J1790" i="2"/>
  <c r="K1790" i="2" s="1"/>
  <c r="M2458" i="1"/>
  <c r="N2458" i="1" s="1"/>
  <c r="M2457" i="1"/>
  <c r="N2457" i="1" s="1"/>
  <c r="J1788" i="2"/>
  <c r="K1788" i="2" s="1"/>
  <c r="J1787" i="2"/>
  <c r="K1787" i="2" s="1"/>
  <c r="Y2452" i="1"/>
  <c r="Y2468" i="1"/>
  <c r="K2468" i="1"/>
  <c r="M2468" i="1"/>
  <c r="N2468" i="1" s="1"/>
  <c r="I2468" i="1"/>
  <c r="H2468" i="1"/>
  <c r="G2468" i="1"/>
  <c r="F2468" i="1"/>
  <c r="Y2467" i="1"/>
  <c r="K2467" i="1"/>
  <c r="M2467" i="1"/>
  <c r="N2467" i="1" s="1"/>
  <c r="I2467" i="1"/>
  <c r="H2467" i="1"/>
  <c r="G2467" i="1"/>
  <c r="F2467" i="1"/>
  <c r="Y2466" i="1"/>
  <c r="K2466" i="1"/>
  <c r="M2466" i="1"/>
  <c r="N2466" i="1" s="1"/>
  <c r="I2466" i="1"/>
  <c r="H2466" i="1"/>
  <c r="F2466" i="1"/>
  <c r="Y2461" i="1"/>
  <c r="K2461" i="1"/>
  <c r="J2461" i="1"/>
  <c r="M2461" i="1" s="1"/>
  <c r="N2461" i="1" s="1"/>
  <c r="I2461" i="1"/>
  <c r="H2461" i="1"/>
  <c r="G2461" i="1"/>
  <c r="F2461" i="1"/>
  <c r="Y2463" i="1"/>
  <c r="K2463" i="1"/>
  <c r="M2463" i="1"/>
  <c r="N2463" i="1" s="1"/>
  <c r="I2463" i="1"/>
  <c r="H2463" i="1"/>
  <c r="G2463" i="1"/>
  <c r="F2463" i="1"/>
  <c r="Y2462" i="1"/>
  <c r="K2462" i="1"/>
  <c r="M2462" i="1"/>
  <c r="N2462" i="1" s="1"/>
  <c r="I2462" i="1"/>
  <c r="H2462" i="1"/>
  <c r="G2462" i="1"/>
  <c r="F2462" i="1"/>
  <c r="Y2464" i="1"/>
  <c r="K2464" i="1"/>
  <c r="M2464" i="1"/>
  <c r="N2464" i="1" s="1"/>
  <c r="I2464" i="1"/>
  <c r="H2464" i="1"/>
  <c r="G2464" i="1"/>
  <c r="F2464" i="1"/>
  <c r="Y2465" i="1"/>
  <c r="K2465" i="1"/>
  <c r="M2465" i="1"/>
  <c r="N2465" i="1" s="1"/>
  <c r="I2465" i="1"/>
  <c r="H2465" i="1"/>
  <c r="G2465" i="1"/>
  <c r="F2465" i="1"/>
  <c r="Y2460" i="1"/>
  <c r="K2460" i="1"/>
  <c r="J2460" i="1"/>
  <c r="M2460" i="1" s="1"/>
  <c r="N2460" i="1" s="1"/>
  <c r="I2460" i="1"/>
  <c r="H2460" i="1"/>
  <c r="G2460" i="1"/>
  <c r="F2460" i="1"/>
  <c r="Y2459" i="1"/>
  <c r="K2459" i="1"/>
  <c r="M2459" i="1"/>
  <c r="N2459" i="1" s="1"/>
  <c r="I2459" i="1"/>
  <c r="H2459" i="1"/>
  <c r="G2459" i="1"/>
  <c r="F2459" i="1"/>
  <c r="Y2458" i="1"/>
  <c r="K2458" i="1"/>
  <c r="I2458" i="1"/>
  <c r="H2458" i="1"/>
  <c r="G2458" i="1"/>
  <c r="F2458" i="1"/>
  <c r="Y2457" i="1"/>
  <c r="K2457" i="1"/>
  <c r="I2457" i="1"/>
  <c r="H2457" i="1"/>
  <c r="G2457" i="1"/>
  <c r="F2457" i="1"/>
  <c r="Y2456" i="1"/>
  <c r="K2456" i="1"/>
  <c r="J2456" i="1"/>
  <c r="M2456" i="1" s="1"/>
  <c r="N2456" i="1" s="1"/>
  <c r="I2456" i="1"/>
  <c r="H2456" i="1"/>
  <c r="G2456" i="1"/>
  <c r="F2456" i="1"/>
  <c r="J1677" i="2"/>
  <c r="K1677" i="2" s="1"/>
  <c r="I1734" i="2"/>
  <c r="J1734" i="2"/>
  <c r="K1734" i="2" s="1"/>
  <c r="Y2455" i="1"/>
  <c r="F2455" i="1"/>
  <c r="G2455" i="1"/>
  <c r="H2455" i="1"/>
  <c r="I2455" i="1"/>
  <c r="J2455" i="1"/>
  <c r="M2455" i="1" s="1"/>
  <c r="N2455" i="1" s="1"/>
  <c r="K2455" i="1"/>
  <c r="J1732" i="2"/>
  <c r="K1732" i="2" s="1"/>
  <c r="O2449" i="1"/>
  <c r="J1733" i="2" s="1"/>
  <c r="K1733" i="2" s="1"/>
  <c r="M2443" i="1"/>
  <c r="N2443" i="1" s="1"/>
  <c r="J1786" i="2"/>
  <c r="K1786" i="2" s="1"/>
  <c r="Y2449" i="1"/>
  <c r="F2449" i="1"/>
  <c r="G2449" i="1"/>
  <c r="H2449" i="1"/>
  <c r="I2449" i="1"/>
  <c r="J2449" i="1"/>
  <c r="M2449" i="1" s="1"/>
  <c r="N2449" i="1" s="1"/>
  <c r="K2449" i="1"/>
  <c r="F2443" i="1"/>
  <c r="G2443" i="1"/>
  <c r="H2443" i="1"/>
  <c r="I2443" i="1"/>
  <c r="K2443" i="1"/>
  <c r="Y2443" i="1"/>
  <c r="F2445" i="1"/>
  <c r="G2445" i="1"/>
  <c r="H2445" i="1"/>
  <c r="I2445" i="1"/>
  <c r="K2445" i="1"/>
  <c r="M2445" i="1"/>
  <c r="N2445" i="1" s="1"/>
  <c r="Y2445" i="1"/>
  <c r="F2448" i="1"/>
  <c r="G2448" i="1"/>
  <c r="H2448" i="1"/>
  <c r="I2448" i="1"/>
  <c r="J2448" i="1"/>
  <c r="M2448" i="1" s="1"/>
  <c r="N2448" i="1" s="1"/>
  <c r="K2448" i="1"/>
  <c r="Y2448" i="1"/>
  <c r="F2446" i="1"/>
  <c r="G2446" i="1"/>
  <c r="H2446" i="1"/>
  <c r="I2446" i="1"/>
  <c r="K2446" i="1"/>
  <c r="M2446" i="1"/>
  <c r="N2446" i="1" s="1"/>
  <c r="Y2446" i="1"/>
  <c r="F2450" i="1"/>
  <c r="G2450" i="1"/>
  <c r="H2450" i="1"/>
  <c r="I2450" i="1"/>
  <c r="J2450" i="1"/>
  <c r="M2450" i="1" s="1"/>
  <c r="N2450" i="1" s="1"/>
  <c r="K2450" i="1"/>
  <c r="Y2450" i="1"/>
  <c r="F2451" i="1"/>
  <c r="G2451" i="1"/>
  <c r="H2451" i="1"/>
  <c r="I2451" i="1"/>
  <c r="J2451" i="1"/>
  <c r="M2451" i="1" s="1"/>
  <c r="N2451" i="1" s="1"/>
  <c r="K2451" i="1"/>
  <c r="Y2451" i="1"/>
  <c r="F2452" i="1"/>
  <c r="G2452" i="1"/>
  <c r="H2452" i="1"/>
  <c r="I2452" i="1"/>
  <c r="J2452" i="1"/>
  <c r="M2452" i="1" s="1"/>
  <c r="N2452" i="1" s="1"/>
  <c r="K2452" i="1"/>
  <c r="F2453" i="1"/>
  <c r="G2453" i="1"/>
  <c r="H2453" i="1"/>
  <c r="I2453" i="1"/>
  <c r="J2453" i="1"/>
  <c r="M2453" i="1" s="1"/>
  <c r="N2453" i="1" s="1"/>
  <c r="K2453" i="1"/>
  <c r="Y2453" i="1"/>
  <c r="F2454" i="1"/>
  <c r="G2454" i="1"/>
  <c r="H2454" i="1"/>
  <c r="I2454" i="1"/>
  <c r="J2454" i="1"/>
  <c r="M2454" i="1" s="1"/>
  <c r="N2454" i="1" s="1"/>
  <c r="K2454" i="1"/>
  <c r="Y2454" i="1"/>
  <c r="F2469" i="1"/>
  <c r="G2469" i="1"/>
  <c r="H2469" i="1"/>
  <c r="I2469" i="1"/>
  <c r="K2469" i="1"/>
  <c r="M2469" i="1"/>
  <c r="N2469" i="1" s="1"/>
  <c r="Y2469" i="1"/>
  <c r="F2447" i="1"/>
  <c r="G2447" i="1"/>
  <c r="H2447" i="1"/>
  <c r="I2447" i="1"/>
  <c r="K2447" i="1"/>
  <c r="M2447" i="1"/>
  <c r="N2447" i="1" s="1"/>
  <c r="Y2447" i="1"/>
  <c r="Y2442" i="1"/>
  <c r="F2442" i="1"/>
  <c r="G2442" i="1"/>
  <c r="H2442" i="1"/>
  <c r="I2442" i="1"/>
  <c r="K2442" i="1"/>
  <c r="M2442" i="1"/>
  <c r="N2442" i="1" s="1"/>
  <c r="J1676" i="2"/>
  <c r="K1676" i="2" s="1"/>
  <c r="J1785" i="2"/>
  <c r="K1785" i="2" s="1"/>
  <c r="M2429" i="1"/>
  <c r="N2429" i="1" s="1"/>
  <c r="J1675" i="2"/>
  <c r="K1675" i="2" s="1"/>
  <c r="J1674" i="2"/>
  <c r="K1674" i="2" s="1"/>
  <c r="J1673" i="2"/>
  <c r="K1673" i="2" s="1"/>
  <c r="J1768" i="2"/>
  <c r="K1768" i="2" s="1"/>
  <c r="J1731" i="2"/>
  <c r="K1731" i="2" s="1"/>
  <c r="J1782" i="2"/>
  <c r="K1782" i="2" s="1"/>
  <c r="J2444" i="1"/>
  <c r="M2444" i="1" s="1"/>
  <c r="N2444" i="1" s="1"/>
  <c r="F2426" i="1"/>
  <c r="G2426" i="1"/>
  <c r="H2426" i="1"/>
  <c r="I2426" i="1"/>
  <c r="K2426" i="1"/>
  <c r="M2426" i="1"/>
  <c r="N2426" i="1" s="1"/>
  <c r="Y2426" i="1"/>
  <c r="F2427" i="1"/>
  <c r="G2427" i="1"/>
  <c r="H2427" i="1"/>
  <c r="I2427" i="1"/>
  <c r="K2427" i="1"/>
  <c r="M2427" i="1"/>
  <c r="N2427" i="1" s="1"/>
  <c r="Y2427" i="1"/>
  <c r="F2429" i="1"/>
  <c r="G2429" i="1"/>
  <c r="H2429" i="1"/>
  <c r="I2429" i="1"/>
  <c r="K2429" i="1"/>
  <c r="Y2429" i="1"/>
  <c r="F2441" i="1"/>
  <c r="G2441" i="1"/>
  <c r="H2441" i="1"/>
  <c r="I2441" i="1"/>
  <c r="K2441" i="1"/>
  <c r="M2441" i="1"/>
  <c r="N2441" i="1" s="1"/>
  <c r="Y2441" i="1"/>
  <c r="F2430" i="1"/>
  <c r="G2430" i="1"/>
  <c r="H2430" i="1"/>
  <c r="I2430" i="1"/>
  <c r="J2430" i="1"/>
  <c r="M2430" i="1" s="1"/>
  <c r="N2430" i="1" s="1"/>
  <c r="K2430" i="1"/>
  <c r="Y2430" i="1"/>
  <c r="F2431" i="1"/>
  <c r="G2431" i="1"/>
  <c r="H2431" i="1"/>
  <c r="I2431" i="1"/>
  <c r="J2431" i="1"/>
  <c r="M2431" i="1" s="1"/>
  <c r="N2431" i="1" s="1"/>
  <c r="K2431" i="1"/>
  <c r="Y2431" i="1"/>
  <c r="F2432" i="1"/>
  <c r="G2432" i="1"/>
  <c r="H2432" i="1"/>
  <c r="I2432" i="1"/>
  <c r="J2432" i="1"/>
  <c r="K2432" i="1"/>
  <c r="N2432" i="1"/>
  <c r="Y2432" i="1"/>
  <c r="F2433" i="1"/>
  <c r="G2433" i="1"/>
  <c r="H2433" i="1"/>
  <c r="I2433" i="1"/>
  <c r="K2433" i="1"/>
  <c r="M2433" i="1"/>
  <c r="N2433" i="1" s="1"/>
  <c r="Y2433" i="1"/>
  <c r="F2434" i="1"/>
  <c r="G2434" i="1"/>
  <c r="H2434" i="1"/>
  <c r="I2434" i="1"/>
  <c r="K2434" i="1"/>
  <c r="M2434" i="1"/>
  <c r="N2434" i="1" s="1"/>
  <c r="Y2434" i="1"/>
  <c r="F2435" i="1"/>
  <c r="G2435" i="1"/>
  <c r="H2435" i="1"/>
  <c r="I2435" i="1"/>
  <c r="K2435" i="1"/>
  <c r="M2435" i="1"/>
  <c r="N2435" i="1" s="1"/>
  <c r="Y2435" i="1"/>
  <c r="F2436" i="1"/>
  <c r="G2436" i="1"/>
  <c r="H2436" i="1"/>
  <c r="I2436" i="1"/>
  <c r="K2436" i="1"/>
  <c r="M2436" i="1"/>
  <c r="N2436" i="1" s="1"/>
  <c r="Y2436" i="1"/>
  <c r="F2437" i="1"/>
  <c r="G2437" i="1"/>
  <c r="H2437" i="1"/>
  <c r="I2437" i="1"/>
  <c r="K2437" i="1"/>
  <c r="M2437" i="1"/>
  <c r="N2437" i="1" s="1"/>
  <c r="Y2437" i="1"/>
  <c r="F2438" i="1"/>
  <c r="G2438" i="1"/>
  <c r="H2438" i="1"/>
  <c r="I2438" i="1"/>
  <c r="K2438" i="1"/>
  <c r="M2438" i="1"/>
  <c r="N2438" i="1" s="1"/>
  <c r="Y2438" i="1"/>
  <c r="F2439" i="1"/>
  <c r="G2439" i="1"/>
  <c r="H2439" i="1"/>
  <c r="I2439" i="1"/>
  <c r="K2439" i="1"/>
  <c r="M2439" i="1"/>
  <c r="N2439" i="1" s="1"/>
  <c r="Y2439" i="1"/>
  <c r="F2440" i="1"/>
  <c r="G2440" i="1"/>
  <c r="H2440" i="1"/>
  <c r="I2440" i="1"/>
  <c r="K2440" i="1"/>
  <c r="M2440" i="1"/>
  <c r="N2440" i="1" s="1"/>
  <c r="Y2440" i="1"/>
  <c r="F2444" i="1"/>
  <c r="G2444" i="1"/>
  <c r="H2444" i="1"/>
  <c r="I2444" i="1"/>
  <c r="K2444" i="1"/>
  <c r="Y2444" i="1"/>
  <c r="Y2425" i="1"/>
  <c r="F2425" i="1"/>
  <c r="G2425" i="1"/>
  <c r="H2425" i="1"/>
  <c r="I2425" i="1"/>
  <c r="K2425" i="1"/>
  <c r="M2425" i="1"/>
  <c r="N2425" i="1" s="1"/>
  <c r="K2422" i="1"/>
  <c r="O2413" i="1"/>
  <c r="J1709" i="2" s="1"/>
  <c r="K1709" i="2" s="1"/>
  <c r="I1709" i="2"/>
  <c r="K2407" i="1"/>
  <c r="K2392" i="1"/>
  <c r="K2378" i="1"/>
  <c r="I1708" i="2"/>
  <c r="J1708" i="2"/>
  <c r="K1708" i="2" s="1"/>
  <c r="J1781" i="2"/>
  <c r="K1781" i="2" s="1"/>
  <c r="Y2416" i="1"/>
  <c r="F2416" i="1"/>
  <c r="G2416" i="1"/>
  <c r="H2416" i="1"/>
  <c r="I2416" i="1"/>
  <c r="K2416" i="1"/>
  <c r="M2416" i="1"/>
  <c r="N2416" i="1" s="1"/>
  <c r="Y2413" i="1"/>
  <c r="F2413" i="1"/>
  <c r="G2413" i="1"/>
  <c r="H2413" i="1"/>
  <c r="I2413" i="1"/>
  <c r="K2413" i="1"/>
  <c r="M2413" i="1"/>
  <c r="N2413" i="1" s="1"/>
  <c r="J2422" i="1"/>
  <c r="M2422" i="1" s="1"/>
  <c r="N2422" i="1" s="1"/>
  <c r="J2424" i="1"/>
  <c r="M2424" i="1" s="1"/>
  <c r="N2424" i="1" s="1"/>
  <c r="J2423" i="1"/>
  <c r="M2423" i="1" s="1"/>
  <c r="J2421" i="1"/>
  <c r="M2421" i="1" s="1"/>
  <c r="N2421" i="1" s="1"/>
  <c r="J2420" i="1"/>
  <c r="M2420" i="1" s="1"/>
  <c r="N2420" i="1" s="1"/>
  <c r="J2419" i="1"/>
  <c r="M2419" i="1" s="1"/>
  <c r="N2419" i="1" s="1"/>
  <c r="J2417" i="1"/>
  <c r="M2417" i="1" s="1"/>
  <c r="N2417" i="1" s="1"/>
  <c r="J2418" i="1"/>
  <c r="M2418" i="1" s="1"/>
  <c r="N2418" i="1" s="1"/>
  <c r="Y2415" i="1"/>
  <c r="M2415" i="1"/>
  <c r="N2415" i="1" s="1"/>
  <c r="K2415" i="1"/>
  <c r="I2415" i="1"/>
  <c r="H2415" i="1"/>
  <c r="G2415" i="1"/>
  <c r="F2415" i="1"/>
  <c r="Y2414" i="1"/>
  <c r="M2414" i="1"/>
  <c r="N2414" i="1" s="1"/>
  <c r="K2414" i="1"/>
  <c r="I2414" i="1"/>
  <c r="H2414" i="1"/>
  <c r="G2414" i="1"/>
  <c r="F2414" i="1"/>
  <c r="Y2422" i="1"/>
  <c r="I2422" i="1"/>
  <c r="H2422" i="1"/>
  <c r="G2422" i="1"/>
  <c r="F2422" i="1"/>
  <c r="Y2424" i="1"/>
  <c r="K2424" i="1"/>
  <c r="I2424" i="1"/>
  <c r="H2424" i="1"/>
  <c r="G2424" i="1"/>
  <c r="F2424" i="1"/>
  <c r="Y2423" i="1"/>
  <c r="N2423" i="1"/>
  <c r="K2423" i="1"/>
  <c r="I2423" i="1"/>
  <c r="H2423" i="1"/>
  <c r="G2423" i="1"/>
  <c r="F2423" i="1"/>
  <c r="Y2421" i="1"/>
  <c r="K2421" i="1"/>
  <c r="I2421" i="1"/>
  <c r="H2421" i="1"/>
  <c r="G2421" i="1"/>
  <c r="F2421" i="1"/>
  <c r="Y2420" i="1"/>
  <c r="K2420" i="1"/>
  <c r="I2420" i="1"/>
  <c r="H2420" i="1"/>
  <c r="G2420" i="1"/>
  <c r="F2420" i="1"/>
  <c r="Y2419" i="1"/>
  <c r="K2419" i="1"/>
  <c r="I2419" i="1"/>
  <c r="H2419" i="1"/>
  <c r="G2419" i="1"/>
  <c r="F2419" i="1"/>
  <c r="Y2417" i="1"/>
  <c r="K2417" i="1"/>
  <c r="I2417" i="1"/>
  <c r="H2417" i="1"/>
  <c r="G2417" i="1"/>
  <c r="F2417" i="1"/>
  <c r="Y2418" i="1"/>
  <c r="K2418" i="1"/>
  <c r="I2418" i="1"/>
  <c r="H2418" i="1"/>
  <c r="G2418" i="1"/>
  <c r="F2418" i="1"/>
  <c r="J1707" i="2"/>
  <c r="K1707" i="2" s="1"/>
  <c r="Y2428" i="1"/>
  <c r="M2428" i="1"/>
  <c r="N2428" i="1" s="1"/>
  <c r="K2428" i="1"/>
  <c r="I2428" i="1"/>
  <c r="H2428" i="1"/>
  <c r="G2428" i="1"/>
  <c r="F2428" i="1"/>
  <c r="J1646" i="2"/>
  <c r="K1646" i="2" s="1"/>
  <c r="Y2405" i="1"/>
  <c r="M2405" i="1"/>
  <c r="N2405" i="1" s="1"/>
  <c r="K2405" i="1"/>
  <c r="I2405" i="1"/>
  <c r="H2405" i="1"/>
  <c r="G2405" i="1"/>
  <c r="F2405" i="1"/>
  <c r="J1706" i="2"/>
  <c r="K1706" i="2" s="1"/>
  <c r="Y2411" i="1"/>
  <c r="K2411" i="1"/>
  <c r="M2411" i="1"/>
  <c r="N2411" i="1" s="1"/>
  <c r="I2411" i="1"/>
  <c r="H2411" i="1"/>
  <c r="G2411" i="1"/>
  <c r="F2411" i="1"/>
  <c r="Y2404" i="1"/>
  <c r="K2404" i="1"/>
  <c r="M2404" i="1"/>
  <c r="N2404" i="1" s="1"/>
  <c r="I2404" i="1"/>
  <c r="H2404" i="1"/>
  <c r="G2404" i="1"/>
  <c r="F2404" i="1"/>
  <c r="J1705" i="2"/>
  <c r="K1705" i="2" s="1"/>
  <c r="J1645" i="2"/>
  <c r="K1645" i="2" s="1"/>
  <c r="J2396" i="1"/>
  <c r="M2396" i="1" s="1"/>
  <c r="N2396" i="1" s="1"/>
  <c r="J2399" i="1"/>
  <c r="M2399" i="1" s="1"/>
  <c r="N2399" i="1" s="1"/>
  <c r="Y2409" i="1"/>
  <c r="K2409" i="1"/>
  <c r="M2409" i="1"/>
  <c r="N2409" i="1" s="1"/>
  <c r="I2409" i="1"/>
  <c r="H2409" i="1"/>
  <c r="G2409" i="1"/>
  <c r="F2409" i="1"/>
  <c r="J1789" i="2"/>
  <c r="K1789" i="2" s="1"/>
  <c r="K2400" i="1"/>
  <c r="M2400" i="1"/>
  <c r="N2400" i="1" s="1"/>
  <c r="I2400" i="1"/>
  <c r="H2400" i="1"/>
  <c r="G2400" i="1"/>
  <c r="F2400" i="1"/>
  <c r="J2401" i="1"/>
  <c r="M2401" i="1" s="1"/>
  <c r="N2401" i="1" s="1"/>
  <c r="I1702" i="2"/>
  <c r="O2401" i="1"/>
  <c r="J1702" i="2" s="1"/>
  <c r="K1702" i="2" s="1"/>
  <c r="G2401" i="1"/>
  <c r="Y2401" i="1"/>
  <c r="L2401" i="1"/>
  <c r="K2401" i="1"/>
  <c r="I2401" i="1"/>
  <c r="H2401" i="1"/>
  <c r="F2401" i="1"/>
  <c r="J1780" i="2"/>
  <c r="K1780" i="2" s="1"/>
  <c r="K2398" i="1"/>
  <c r="M2398" i="1"/>
  <c r="N2398" i="1" s="1"/>
  <c r="I2398" i="1"/>
  <c r="H2398" i="1"/>
  <c r="G2398" i="1"/>
  <c r="F2398" i="1"/>
  <c r="K2395" i="1"/>
  <c r="M2395" i="1"/>
  <c r="N2395" i="1" s="1"/>
  <c r="I2395" i="1"/>
  <c r="H2395" i="1"/>
  <c r="G2395" i="1"/>
  <c r="F2395" i="1"/>
  <c r="J1644" i="2"/>
  <c r="K1644" i="2" s="1"/>
  <c r="Y2410" i="1"/>
  <c r="K2410" i="1"/>
  <c r="M2410" i="1"/>
  <c r="N2410" i="1" s="1"/>
  <c r="I2410" i="1"/>
  <c r="H2410" i="1"/>
  <c r="G2410" i="1"/>
  <c r="F2410" i="1"/>
  <c r="Y2412" i="1"/>
  <c r="K2412" i="1"/>
  <c r="M2412" i="1"/>
  <c r="N2412" i="1" s="1"/>
  <c r="I2412" i="1"/>
  <c r="H2412" i="1"/>
  <c r="G2412" i="1"/>
  <c r="F2412" i="1"/>
  <c r="Y2407" i="1"/>
  <c r="M2407" i="1"/>
  <c r="N2407" i="1" s="1"/>
  <c r="I2407" i="1"/>
  <c r="H2407" i="1"/>
  <c r="G2407" i="1"/>
  <c r="F2407" i="1"/>
  <c r="Y2399" i="1"/>
  <c r="K2399" i="1"/>
  <c r="I2399" i="1"/>
  <c r="H2399" i="1"/>
  <c r="G2399" i="1"/>
  <c r="F2399" i="1"/>
  <c r="Y2397" i="1"/>
  <c r="K2397" i="1"/>
  <c r="J2397" i="1"/>
  <c r="M2397" i="1" s="1"/>
  <c r="N2397" i="1" s="1"/>
  <c r="I2397" i="1"/>
  <c r="H2397" i="1"/>
  <c r="G2397" i="1"/>
  <c r="F2397" i="1"/>
  <c r="Y2396" i="1"/>
  <c r="K2396" i="1"/>
  <c r="I2396" i="1"/>
  <c r="H2396" i="1"/>
  <c r="G2396" i="1"/>
  <c r="F2396" i="1"/>
  <c r="J1779" i="2"/>
  <c r="K1779" i="2" s="1"/>
  <c r="J1778" i="2"/>
  <c r="K1778" i="2" s="1"/>
  <c r="J1777" i="2"/>
  <c r="K1777" i="2" s="1"/>
  <c r="K2402" i="1"/>
  <c r="M2402" i="1"/>
  <c r="N2402" i="1" s="1"/>
  <c r="I2402" i="1"/>
  <c r="H2402" i="1"/>
  <c r="G2402" i="1"/>
  <c r="F2402" i="1"/>
  <c r="Y2408" i="1"/>
  <c r="K2408" i="1"/>
  <c r="M2408" i="1"/>
  <c r="N2408" i="1" s="1"/>
  <c r="I2408" i="1"/>
  <c r="H2408" i="1"/>
  <c r="G2408" i="1"/>
  <c r="F2408" i="1"/>
  <c r="Y2406" i="1"/>
  <c r="K2406" i="1"/>
  <c r="M2406" i="1"/>
  <c r="N2406" i="1" s="1"/>
  <c r="I2406" i="1"/>
  <c r="H2406" i="1"/>
  <c r="G2406" i="1"/>
  <c r="F2406" i="1"/>
  <c r="L2382" i="1"/>
  <c r="L2381" i="1"/>
  <c r="L2380" i="1"/>
  <c r="L2385" i="1"/>
  <c r="L2387" i="1"/>
  <c r="L2391" i="1"/>
  <c r="L2383" i="1"/>
  <c r="L2386" i="1"/>
  <c r="L2388" i="1"/>
  <c r="L2389" i="1"/>
  <c r="L2390" i="1"/>
  <c r="L2392" i="1"/>
  <c r="L2393" i="1"/>
  <c r="L2384" i="1"/>
  <c r="L2394" i="1"/>
  <c r="H2394" i="1"/>
  <c r="H2384" i="1"/>
  <c r="H2393" i="1"/>
  <c r="H2392" i="1"/>
  <c r="H2390" i="1"/>
  <c r="H2389" i="1"/>
  <c r="H2388" i="1"/>
  <c r="H2386" i="1"/>
  <c r="H2403" i="1"/>
  <c r="H2383" i="1"/>
  <c r="H2391" i="1"/>
  <c r="H2387" i="1"/>
  <c r="H2385" i="1"/>
  <c r="H2380" i="1"/>
  <c r="H2381" i="1"/>
  <c r="H2382"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16" i="1"/>
  <c r="H2320" i="1"/>
  <c r="H2319" i="1"/>
  <c r="H2318" i="1"/>
  <c r="H2315" i="1"/>
  <c r="H2317"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5" i="1"/>
  <c r="H2254" i="1"/>
  <c r="H2253" i="1"/>
  <c r="H2252" i="1"/>
  <c r="H2251" i="1"/>
  <c r="H2250" i="1"/>
  <c r="H2249" i="1"/>
  <c r="H2248" i="1"/>
  <c r="H2246" i="1"/>
  <c r="H2245" i="1"/>
  <c r="H2244" i="1"/>
  <c r="H2243" i="1"/>
  <c r="H2242" i="1"/>
  <c r="H2241" i="1"/>
  <c r="H2240" i="1"/>
  <c r="H2239" i="1"/>
  <c r="H2238" i="1"/>
  <c r="H2237" i="1"/>
  <c r="H2236" i="1"/>
  <c r="H2235" i="1"/>
  <c r="H2234" i="1"/>
  <c r="H2233" i="1"/>
  <c r="H2232" i="1"/>
  <c r="H2231" i="1"/>
  <c r="H2230" i="1"/>
  <c r="H2227" i="1"/>
  <c r="H2226" i="1"/>
  <c r="H2229" i="1"/>
  <c r="H2228" i="1"/>
  <c r="H2225" i="1"/>
  <c r="H2224" i="1"/>
  <c r="H2223" i="1"/>
  <c r="H2222" i="1"/>
  <c r="H2221" i="1"/>
  <c r="H2220" i="1"/>
  <c r="H2219" i="1"/>
  <c r="H2218" i="1"/>
  <c r="H2215" i="1"/>
  <c r="H2214" i="1"/>
  <c r="H2213" i="1"/>
  <c r="H2212" i="1"/>
  <c r="H2211" i="1"/>
  <c r="H2210" i="1"/>
  <c r="H2209" i="1"/>
  <c r="H2208" i="1"/>
  <c r="H2207"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4" i="1"/>
  <c r="H2173" i="1"/>
  <c r="H2172" i="1"/>
  <c r="H2170" i="1"/>
  <c r="H2169" i="1"/>
  <c r="H2168" i="1"/>
  <c r="H2167" i="1"/>
  <c r="H2166" i="1"/>
  <c r="H2165" i="1"/>
  <c r="H2164" i="1"/>
  <c r="H2163" i="1"/>
  <c r="H2162" i="1"/>
  <c r="H2161" i="1"/>
  <c r="H2160"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8"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4" i="1"/>
  <c r="H2053" i="1"/>
  <c r="H2052" i="1"/>
  <c r="H2051"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2" i="1"/>
  <c r="H1681" i="1"/>
  <c r="H1680" i="1"/>
  <c r="H1679" i="1"/>
  <c r="H1678" i="1"/>
  <c r="H1677" i="1"/>
  <c r="H1676" i="1"/>
  <c r="H1675" i="1"/>
  <c r="H1674" i="1"/>
  <c r="H1673" i="1"/>
  <c r="H1672" i="1"/>
  <c r="H1671" i="1"/>
  <c r="H1670" i="1"/>
  <c r="H1669" i="1"/>
  <c r="H1668" i="1"/>
  <c r="H1667" i="1"/>
  <c r="H1666" i="1"/>
  <c r="H1665" i="1"/>
  <c r="H1664" i="1"/>
  <c r="H1663" i="1"/>
  <c r="H1660" i="1"/>
  <c r="H1659" i="1"/>
  <c r="H1658" i="1"/>
  <c r="H1657" i="1"/>
  <c r="H1656" i="1"/>
  <c r="H1655" i="1"/>
  <c r="H1654" i="1"/>
  <c r="H1653"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3" i="1"/>
  <c r="H1602" i="1"/>
  <c r="H1600" i="1"/>
  <c r="H1599" i="1"/>
  <c r="H1597" i="1"/>
  <c r="H1596" i="1"/>
  <c r="H1595" i="1"/>
  <c r="H1594" i="1"/>
  <c r="H1593" i="1"/>
  <c r="H1592" i="1"/>
  <c r="H1591" i="1"/>
  <c r="H1590" i="1"/>
  <c r="H1589" i="1"/>
  <c r="H1588" i="1"/>
  <c r="H1587" i="1"/>
  <c r="H1586" i="1"/>
  <c r="H1585" i="1"/>
  <c r="H1584" i="1"/>
  <c r="H1583"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4" i="1"/>
  <c r="H1513" i="1"/>
  <c r="H1512" i="1"/>
  <c r="H1511" i="1"/>
  <c r="H1510" i="1"/>
  <c r="H1508" i="1"/>
  <c r="H1507" i="1"/>
  <c r="H1506" i="1"/>
  <c r="H1505" i="1"/>
  <c r="H1504" i="1"/>
  <c r="H1503" i="1"/>
  <c r="H1502" i="1"/>
  <c r="H1501" i="1"/>
  <c r="H1500"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5" i="1"/>
  <c r="H1464" i="1"/>
  <c r="H1463" i="1"/>
  <c r="H1462" i="1"/>
  <c r="H1461" i="1"/>
  <c r="H1460" i="1"/>
  <c r="H1459" i="1"/>
  <c r="H1458" i="1"/>
  <c r="H1457" i="1"/>
  <c r="H1456" i="1"/>
  <c r="H1455"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5" i="1"/>
  <c r="H1234" i="1"/>
  <c r="H1233" i="1"/>
  <c r="H1232" i="1"/>
  <c r="H1231" i="1"/>
  <c r="H1230" i="1"/>
  <c r="H1229" i="1"/>
  <c r="H1228" i="1"/>
  <c r="H1227" i="1"/>
  <c r="H1226" i="1"/>
  <c r="H1225" i="1"/>
  <c r="H1224" i="1"/>
  <c r="H1223" i="1"/>
  <c r="H1222" i="1"/>
  <c r="H1221" i="1"/>
  <c r="H1220" i="1"/>
  <c r="H1219" i="1"/>
  <c r="H1218" i="1"/>
  <c r="H1216" i="1"/>
  <c r="H1215" i="1"/>
  <c r="H1214" i="1"/>
  <c r="H1213" i="1"/>
  <c r="H1212" i="1"/>
  <c r="H1211" i="1"/>
  <c r="H1210" i="1"/>
  <c r="H1209" i="1"/>
  <c r="H1208" i="1"/>
  <c r="H1207" i="1"/>
  <c r="H1206" i="1"/>
  <c r="H1205" i="1"/>
  <c r="H1204" i="1"/>
  <c r="H1203"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4" i="1"/>
  <c r="H1113" i="1"/>
  <c r="H1112" i="1"/>
  <c r="H1111" i="1"/>
  <c r="H1110" i="1"/>
  <c r="H1109" i="1"/>
  <c r="H1108" i="1"/>
  <c r="H1107" i="1"/>
  <c r="H1106" i="1"/>
  <c r="H1105" i="1"/>
  <c r="H1104" i="1"/>
  <c r="H1103" i="1"/>
  <c r="H1101" i="1"/>
  <c r="H1100" i="1"/>
  <c r="H1099" i="1"/>
  <c r="H1098" i="1"/>
  <c r="H1097"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3" i="1"/>
  <c r="H1002" i="1"/>
  <c r="H1001" i="1"/>
  <c r="H1000" i="1"/>
  <c r="H999" i="1"/>
  <c r="H998" i="1"/>
  <c r="H997" i="1"/>
  <c r="H996" i="1"/>
  <c r="H995" i="1"/>
  <c r="H994" i="1"/>
  <c r="H993" i="1"/>
  <c r="H992" i="1"/>
  <c r="H991" i="1"/>
  <c r="H990" i="1"/>
  <c r="H989" i="1"/>
  <c r="H988" i="1"/>
  <c r="H987" i="1"/>
  <c r="H986" i="1"/>
  <c r="H985" i="1"/>
  <c r="H984" i="1"/>
  <c r="H983" i="1"/>
  <c r="H982" i="1"/>
  <c r="H980" i="1"/>
  <c r="H979" i="1"/>
  <c r="H978" i="1"/>
  <c r="H977" i="1"/>
  <c r="H976" i="1"/>
  <c r="H974" i="1"/>
  <c r="H973" i="1"/>
  <c r="H972" i="1"/>
  <c r="H971" i="1"/>
  <c r="H970" i="1"/>
  <c r="H969" i="1"/>
  <c r="H968" i="1"/>
  <c r="H967" i="1"/>
  <c r="H966" i="1"/>
  <c r="H965" i="1"/>
  <c r="H963" i="1"/>
  <c r="H962" i="1"/>
  <c r="H961" i="1"/>
  <c r="H960" i="1"/>
  <c r="H959" i="1"/>
  <c r="H958" i="1"/>
  <c r="H955" i="1"/>
  <c r="H954" i="1"/>
  <c r="H953" i="1"/>
  <c r="H952" i="1"/>
  <c r="H951" i="1"/>
  <c r="H950" i="1"/>
  <c r="H949" i="1"/>
  <c r="H948" i="1"/>
  <c r="H947" i="1"/>
  <c r="H946" i="1"/>
  <c r="H945" i="1"/>
  <c r="H944" i="1"/>
  <c r="H943"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7" i="1"/>
  <c r="H906" i="1"/>
  <c r="H905" i="1"/>
  <c r="H904" i="1"/>
  <c r="H901" i="1"/>
  <c r="H900" i="1"/>
  <c r="H899" i="1"/>
  <c r="H898" i="1"/>
  <c r="H897" i="1"/>
  <c r="H896" i="1"/>
  <c r="H895" i="1"/>
  <c r="H894" i="1"/>
  <c r="H893" i="1"/>
  <c r="H892" i="1"/>
  <c r="H891" i="1"/>
  <c r="H890" i="1"/>
  <c r="H889" i="1"/>
  <c r="H888" i="1"/>
  <c r="H887" i="1"/>
  <c r="H886" i="1"/>
  <c r="H885" i="1"/>
  <c r="H884" i="1"/>
  <c r="H883" i="1"/>
  <c r="H882" i="1"/>
  <c r="H881" i="1"/>
  <c r="H880" i="1"/>
  <c r="H879" i="1"/>
  <c r="H878" i="1"/>
  <c r="H876" i="1"/>
  <c r="H875" i="1"/>
  <c r="H874" i="1"/>
  <c r="H873" i="1"/>
  <c r="H872" i="1"/>
  <c r="H871"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1" i="1"/>
  <c r="H840" i="1"/>
  <c r="H839" i="1"/>
  <c r="H838" i="1"/>
  <c r="H837" i="1"/>
  <c r="H836" i="1"/>
  <c r="H835" i="1"/>
  <c r="H834" i="1"/>
  <c r="H833" i="1"/>
  <c r="H832" i="1"/>
  <c r="H831" i="1"/>
  <c r="H830" i="1"/>
  <c r="H828" i="1"/>
  <c r="H827" i="1"/>
  <c r="H826" i="1"/>
  <c r="H825" i="1"/>
  <c r="H823" i="1"/>
  <c r="H822" i="1"/>
  <c r="H821" i="1"/>
  <c r="H820" i="1"/>
  <c r="H819"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89" i="1"/>
  <c r="H788" i="1"/>
  <c r="H787" i="1"/>
  <c r="H786" i="1"/>
  <c r="H785" i="1"/>
  <c r="H784" i="1"/>
  <c r="H783" i="1"/>
  <c r="H782" i="1"/>
  <c r="H781" i="1"/>
  <c r="H780" i="1"/>
  <c r="H779" i="1"/>
  <c r="H778" i="1"/>
  <c r="H777" i="1"/>
  <c r="H776" i="1"/>
  <c r="H775" i="1"/>
  <c r="H774" i="1"/>
  <c r="H773" i="1"/>
  <c r="H771" i="1"/>
  <c r="H770" i="1"/>
  <c r="H769" i="1"/>
  <c r="H768" i="1"/>
  <c r="H766" i="1"/>
  <c r="H763" i="1"/>
  <c r="H762" i="1"/>
  <c r="H761" i="1"/>
  <c r="H757" i="1"/>
  <c r="H756" i="1"/>
  <c r="H755" i="1"/>
  <c r="H754" i="1"/>
  <c r="H753" i="1"/>
  <c r="H752" i="1"/>
  <c r="H751" i="1"/>
  <c r="H750" i="1"/>
  <c r="H749" i="1"/>
  <c r="H748" i="1"/>
  <c r="H747"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5" i="1"/>
  <c r="H654" i="1"/>
  <c r="H653" i="1"/>
  <c r="H652"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1" i="1"/>
  <c r="H580" i="1"/>
  <c r="H579" i="1"/>
  <c r="H578" i="1"/>
  <c r="H577" i="1"/>
  <c r="H576" i="1"/>
  <c r="H575" i="1"/>
  <c r="H574" i="1"/>
  <c r="H573" i="1"/>
  <c r="H572" i="1"/>
  <c r="H571" i="1"/>
  <c r="H570" i="1"/>
  <c r="H569" i="1"/>
  <c r="H568" i="1"/>
  <c r="H567" i="1"/>
  <c r="H566" i="1"/>
  <c r="H565" i="1"/>
  <c r="H563" i="1"/>
  <c r="H562" i="1"/>
  <c r="H561" i="1"/>
  <c r="H560" i="1"/>
  <c r="H559" i="1"/>
  <c r="H558" i="1"/>
  <c r="H557" i="1"/>
  <c r="H556" i="1"/>
  <c r="H555" i="1"/>
  <c r="H554" i="1"/>
  <c r="H552" i="1"/>
  <c r="H551" i="1"/>
  <c r="H550" i="1"/>
  <c r="H549" i="1"/>
  <c r="H548" i="1"/>
  <c r="H547" i="1"/>
  <c r="H546" i="1"/>
  <c r="H545" i="1"/>
  <c r="H544" i="1"/>
  <c r="H543" i="1"/>
  <c r="H542" i="1"/>
  <c r="H541" i="1"/>
  <c r="H540" i="1"/>
  <c r="H539" i="1"/>
  <c r="H538" i="1"/>
  <c r="H537" i="1"/>
  <c r="H536" i="1"/>
  <c r="H535" i="1"/>
  <c r="H534" i="1"/>
  <c r="H533" i="1"/>
  <c r="H532" i="1"/>
  <c r="H531" i="1"/>
  <c r="H530" i="1"/>
  <c r="H527" i="1"/>
  <c r="H526" i="1"/>
  <c r="H525" i="1"/>
  <c r="H524" i="1"/>
  <c r="H523" i="1"/>
  <c r="H522" i="1"/>
  <c r="H521" i="1"/>
  <c r="H520" i="1"/>
  <c r="H519" i="1"/>
  <c r="H518" i="1"/>
  <c r="H517" i="1"/>
  <c r="H516" i="1"/>
  <c r="H515" i="1"/>
  <c r="H514"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5" i="1"/>
  <c r="H414" i="1"/>
  <c r="H413" i="1"/>
  <c r="H412" i="1"/>
  <c r="H411" i="1"/>
  <c r="H410" i="1"/>
  <c r="H409" i="1"/>
  <c r="H408" i="1"/>
  <c r="H407" i="1"/>
  <c r="H406" i="1"/>
  <c r="H405" i="1"/>
  <c r="H403" i="1"/>
  <c r="H402" i="1"/>
  <c r="H401" i="1"/>
  <c r="H400" i="1"/>
  <c r="H399" i="1"/>
  <c r="H398" i="1"/>
  <c r="H397" i="1"/>
  <c r="H396" i="1"/>
  <c r="H395" i="1"/>
  <c r="H394" i="1"/>
  <c r="H393" i="1"/>
  <c r="H391" i="1"/>
  <c r="H390" i="1"/>
  <c r="H389" i="1"/>
  <c r="H388" i="1"/>
  <c r="H387" i="1"/>
  <c r="H386" i="1"/>
  <c r="H385" i="1"/>
  <c r="H384" i="1"/>
  <c r="H383" i="1"/>
  <c r="H382" i="1"/>
  <c r="H381" i="1"/>
  <c r="H380" i="1"/>
  <c r="H379" i="1"/>
  <c r="H377" i="1"/>
  <c r="H376" i="1"/>
  <c r="H375" i="1"/>
  <c r="H374" i="1"/>
  <c r="H373" i="1"/>
  <c r="H372" i="1"/>
  <c r="H371" i="1"/>
  <c r="H370" i="1"/>
  <c r="H369" i="1"/>
  <c r="H368" i="1"/>
  <c r="H367" i="1"/>
  <c r="H366" i="1"/>
  <c r="H365" i="1"/>
  <c r="H364" i="1"/>
  <c r="H363"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89" i="1"/>
  <c r="H288" i="1"/>
  <c r="H287" i="1"/>
  <c r="H286" i="1"/>
  <c r="H285" i="1"/>
  <c r="H284" i="1"/>
  <c r="H283" i="1"/>
  <c r="H282" i="1"/>
  <c r="H281" i="1"/>
  <c r="H280" i="1"/>
  <c r="H279" i="1"/>
  <c r="H278" i="1"/>
  <c r="H277" i="1"/>
  <c r="H276" i="1"/>
  <c r="H275" i="1"/>
  <c r="H274"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7" i="1"/>
  <c r="H116" i="1"/>
  <c r="H115" i="1"/>
  <c r="H114" i="1"/>
  <c r="H113" i="1"/>
  <c r="H112" i="1"/>
  <c r="H111" i="1"/>
  <c r="H110" i="1"/>
  <c r="H109" i="1"/>
  <c r="H108" i="1"/>
  <c r="H107" i="1"/>
  <c r="H106" i="1"/>
  <c r="H105" i="1"/>
  <c r="H103" i="1"/>
  <c r="H102" i="1"/>
  <c r="H101" i="1"/>
  <c r="H100" i="1"/>
  <c r="H99" i="1"/>
  <c r="H98" i="1"/>
  <c r="H97" i="1"/>
  <c r="H96" i="1"/>
  <c r="H95" i="1"/>
  <c r="H94" i="1"/>
  <c r="H93" i="1"/>
  <c r="H92" i="1"/>
  <c r="H91" i="1"/>
  <c r="H86" i="1"/>
  <c r="H85" i="1"/>
  <c r="H84" i="1"/>
  <c r="H83" i="1"/>
  <c r="H82" i="1"/>
  <c r="H81" i="1"/>
  <c r="H80" i="1"/>
  <c r="H79" i="1"/>
  <c r="H78" i="1"/>
  <c r="H77" i="1"/>
  <c r="H76" i="1"/>
  <c r="H75" i="1"/>
  <c r="H74" i="1"/>
  <c r="H73" i="1"/>
  <c r="H72" i="1"/>
  <c r="H71" i="1"/>
  <c r="H70" i="1"/>
  <c r="H69" i="1"/>
  <c r="H68" i="1"/>
  <c r="H67"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G2378" i="1"/>
  <c r="G2379" i="1"/>
  <c r="G2382" i="1"/>
  <c r="G2381" i="1"/>
  <c r="G2380" i="1"/>
  <c r="G2385" i="1"/>
  <c r="G2387" i="1"/>
  <c r="G2391" i="1"/>
  <c r="G2383" i="1"/>
  <c r="G2403" i="1"/>
  <c r="G2386" i="1"/>
  <c r="G2388" i="1"/>
  <c r="G2389" i="1"/>
  <c r="G2390" i="1"/>
  <c r="G2392" i="1"/>
  <c r="G2393" i="1"/>
  <c r="G2384" i="1"/>
  <c r="G2394" i="1"/>
  <c r="K2382" i="1"/>
  <c r="K2381" i="1"/>
  <c r="K2380" i="1"/>
  <c r="K2385" i="1"/>
  <c r="K2387" i="1"/>
  <c r="K2391" i="1"/>
  <c r="K2383" i="1"/>
  <c r="K2403" i="1"/>
  <c r="K2386" i="1"/>
  <c r="K2388" i="1"/>
  <c r="K2389" i="1"/>
  <c r="K2390" i="1"/>
  <c r="K2393" i="1"/>
  <c r="K2384" i="1"/>
  <c r="K2394" i="1"/>
  <c r="L2378" i="1"/>
  <c r="L2379" i="1"/>
  <c r="L2363" i="1"/>
  <c r="L2364" i="1"/>
  <c r="L2365" i="1"/>
  <c r="L2215" i="1"/>
  <c r="L2214" i="1"/>
  <c r="L2213" i="1"/>
  <c r="L2212" i="1"/>
  <c r="L2246" i="1"/>
  <c r="L2245" i="1"/>
  <c r="L2244" i="1"/>
  <c r="L2243" i="1"/>
  <c r="L2242" i="1"/>
  <c r="L2241" i="1"/>
  <c r="L2240" i="1"/>
  <c r="L2239" i="1"/>
  <c r="L2238" i="1"/>
  <c r="L2237" i="1"/>
  <c r="L2236" i="1"/>
  <c r="L2235" i="1"/>
  <c r="L2234" i="1"/>
  <c r="L2233" i="1"/>
  <c r="L2232" i="1"/>
  <c r="L2231" i="1"/>
  <c r="L2230" i="1"/>
  <c r="L2227" i="1"/>
  <c r="L2226" i="1"/>
  <c r="L2229" i="1"/>
  <c r="L2228" i="1"/>
  <c r="L2225" i="1"/>
  <c r="L2224" i="1"/>
  <c r="L2223" i="1"/>
  <c r="L2222" i="1"/>
  <c r="L2221" i="1"/>
  <c r="L2220" i="1"/>
  <c r="L2219" i="1"/>
  <c r="L2218" i="1"/>
  <c r="L2255" i="1"/>
  <c r="L2254" i="1"/>
  <c r="L2253" i="1"/>
  <c r="L2252" i="1"/>
  <c r="L2251" i="1"/>
  <c r="L2250" i="1"/>
  <c r="L2249" i="1"/>
  <c r="L2248"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307" i="1"/>
  <c r="L2306" i="1"/>
  <c r="L2305" i="1"/>
  <c r="L2304" i="1"/>
  <c r="L2303" i="1"/>
  <c r="L2302" i="1"/>
  <c r="L2301" i="1"/>
  <c r="L2300" i="1"/>
  <c r="L2299" i="1"/>
  <c r="L2298" i="1"/>
  <c r="L2297" i="1"/>
  <c r="L2296" i="1"/>
  <c r="L2295" i="1"/>
  <c r="L2294" i="1"/>
  <c r="L2293" i="1"/>
  <c r="L2292" i="1"/>
  <c r="L2291" i="1"/>
  <c r="L2290" i="1"/>
  <c r="L2289" i="1"/>
  <c r="L2288" i="1"/>
  <c r="L2287" i="1"/>
  <c r="L2286" i="1"/>
  <c r="L2360" i="1"/>
  <c r="L2359" i="1"/>
  <c r="L2358" i="1"/>
  <c r="L2357" i="1"/>
  <c r="L2356" i="1"/>
  <c r="L2355"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16" i="1"/>
  <c r="L2320" i="1"/>
  <c r="L2319" i="1"/>
  <c r="L2318" i="1"/>
  <c r="L2315" i="1"/>
  <c r="L2317" i="1"/>
  <c r="L2314" i="1"/>
  <c r="L2313" i="1"/>
  <c r="L2312" i="1"/>
  <c r="L2311" i="1"/>
  <c r="L2310" i="1"/>
  <c r="L2309" i="1"/>
  <c r="L2308" i="1"/>
  <c r="L2376" i="1"/>
  <c r="L2375" i="1"/>
  <c r="L2374" i="1"/>
  <c r="L2373" i="1"/>
  <c r="L2372" i="1"/>
  <c r="L2371" i="1"/>
  <c r="L2370" i="1"/>
  <c r="L2369" i="1"/>
  <c r="L2368" i="1"/>
  <c r="L2367" i="1"/>
  <c r="L2366" i="1"/>
  <c r="L2362" i="1"/>
  <c r="L2361" i="1"/>
  <c r="L2377" i="1"/>
  <c r="K2379"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16" i="1"/>
  <c r="K2320" i="1"/>
  <c r="K2319" i="1"/>
  <c r="K2318" i="1"/>
  <c r="K2315" i="1"/>
  <c r="K2317"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5" i="1"/>
  <c r="K2254" i="1"/>
  <c r="K2253" i="1"/>
  <c r="K2252" i="1"/>
  <c r="K2251" i="1"/>
  <c r="K2250" i="1"/>
  <c r="K2249" i="1"/>
  <c r="K2248" i="1"/>
  <c r="K2246" i="1"/>
  <c r="K2245" i="1"/>
  <c r="K2244" i="1"/>
  <c r="K2243" i="1"/>
  <c r="K2242" i="1"/>
  <c r="K2241" i="1"/>
  <c r="K2240" i="1"/>
  <c r="K2239" i="1"/>
  <c r="K2238" i="1"/>
  <c r="K2237" i="1"/>
  <c r="K2236" i="1"/>
  <c r="K2235" i="1"/>
  <c r="K2234" i="1"/>
  <c r="K2233" i="1"/>
  <c r="K2232" i="1"/>
  <c r="K2231" i="1"/>
  <c r="K2230" i="1"/>
  <c r="K2227" i="1"/>
  <c r="K2226" i="1"/>
  <c r="K2229" i="1"/>
  <c r="K2228" i="1"/>
  <c r="K2225" i="1"/>
  <c r="K2224" i="1"/>
  <c r="K2223" i="1"/>
  <c r="K2222" i="1"/>
  <c r="K2221" i="1"/>
  <c r="K2220" i="1"/>
  <c r="K2219" i="1"/>
  <c r="K2218" i="1"/>
  <c r="K2215" i="1"/>
  <c r="K2214" i="1"/>
  <c r="K2213" i="1"/>
  <c r="K2212" i="1"/>
  <c r="K2211" i="1"/>
  <c r="K2210" i="1"/>
  <c r="K2209" i="1"/>
  <c r="K2208" i="1"/>
  <c r="K2207"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4" i="1"/>
  <c r="K2173" i="1"/>
  <c r="K2172" i="1"/>
  <c r="K2170" i="1"/>
  <c r="K2169" i="1"/>
  <c r="K2168" i="1"/>
  <c r="K2167" i="1"/>
  <c r="K2166" i="1"/>
  <c r="K2165" i="1"/>
  <c r="K2164" i="1"/>
  <c r="K2163" i="1"/>
  <c r="K2162" i="1"/>
  <c r="K2161" i="1"/>
  <c r="K2160"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8"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4" i="1"/>
  <c r="K2053" i="1"/>
  <c r="K2052" i="1"/>
  <c r="K2051"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2" i="1"/>
  <c r="K1681" i="1"/>
  <c r="K1680" i="1"/>
  <c r="K1679" i="1"/>
  <c r="K1678" i="1"/>
  <c r="K1677" i="1"/>
  <c r="K1676" i="1"/>
  <c r="K1675" i="1"/>
  <c r="K1674" i="1"/>
  <c r="K1673" i="1"/>
  <c r="K1672" i="1"/>
  <c r="K1671" i="1"/>
  <c r="K1670" i="1"/>
  <c r="K1669" i="1"/>
  <c r="K1668" i="1"/>
  <c r="K1667" i="1"/>
  <c r="K1666" i="1"/>
  <c r="K1665" i="1"/>
  <c r="K1664" i="1"/>
  <c r="K1663" i="1"/>
  <c r="K1660" i="1"/>
  <c r="K1659" i="1"/>
  <c r="K1658" i="1"/>
  <c r="K1657" i="1"/>
  <c r="K1656" i="1"/>
  <c r="K1655" i="1"/>
  <c r="K1654" i="1"/>
  <c r="K1653"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3" i="1"/>
  <c r="K1602" i="1"/>
  <c r="K1600" i="1"/>
  <c r="K1599" i="1"/>
  <c r="K1597" i="1"/>
  <c r="K1596" i="1"/>
  <c r="K1595" i="1"/>
  <c r="K1594" i="1"/>
  <c r="K1593" i="1"/>
  <c r="K1592" i="1"/>
  <c r="K1591" i="1"/>
  <c r="K1590" i="1"/>
  <c r="K1589" i="1"/>
  <c r="K1588" i="1"/>
  <c r="K1587" i="1"/>
  <c r="K1586" i="1"/>
  <c r="K1585" i="1"/>
  <c r="K1584" i="1"/>
  <c r="K1583"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4" i="1"/>
  <c r="K1513" i="1"/>
  <c r="K1512" i="1"/>
  <c r="K1511" i="1"/>
  <c r="K1510" i="1"/>
  <c r="K1508" i="1"/>
  <c r="K1507" i="1"/>
  <c r="K1506" i="1"/>
  <c r="K1505" i="1"/>
  <c r="K1504" i="1"/>
  <c r="K1503" i="1"/>
  <c r="K1502" i="1"/>
  <c r="K1501" i="1"/>
  <c r="K1500"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5" i="1"/>
  <c r="K1464" i="1"/>
  <c r="K1463" i="1"/>
  <c r="K1462" i="1"/>
  <c r="K1461" i="1"/>
  <c r="K1460" i="1"/>
  <c r="K1459" i="1"/>
  <c r="K1458" i="1"/>
  <c r="K1457" i="1"/>
  <c r="K1456" i="1"/>
  <c r="K1455"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5" i="1"/>
  <c r="K1234" i="1"/>
  <c r="K1233" i="1"/>
  <c r="K1232" i="1"/>
  <c r="K1231" i="1"/>
  <c r="K1230" i="1"/>
  <c r="K1229" i="1"/>
  <c r="K1228" i="1"/>
  <c r="K1227" i="1"/>
  <c r="K1226" i="1"/>
  <c r="K1225" i="1"/>
  <c r="K1224" i="1"/>
  <c r="K1223" i="1"/>
  <c r="K1222" i="1"/>
  <c r="K1221" i="1"/>
  <c r="K1220" i="1"/>
  <c r="K1219" i="1"/>
  <c r="K1218" i="1"/>
  <c r="K1216" i="1"/>
  <c r="K1215" i="1"/>
  <c r="K1214" i="1"/>
  <c r="K1213" i="1"/>
  <c r="K1212" i="1"/>
  <c r="K1211" i="1"/>
  <c r="K1210" i="1"/>
  <c r="K1209" i="1"/>
  <c r="K1208" i="1"/>
  <c r="K1207" i="1"/>
  <c r="K1206" i="1"/>
  <c r="K1205" i="1"/>
  <c r="K1204" i="1"/>
  <c r="K1203"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4" i="1"/>
  <c r="K1113" i="1"/>
  <c r="K1112" i="1"/>
  <c r="K1111" i="1"/>
  <c r="K1110" i="1"/>
  <c r="K1109" i="1"/>
  <c r="K1108" i="1"/>
  <c r="K1107" i="1"/>
  <c r="K1106" i="1"/>
  <c r="K1105" i="1"/>
  <c r="K1104" i="1"/>
  <c r="K1103" i="1"/>
  <c r="K1101" i="1"/>
  <c r="K1100" i="1"/>
  <c r="K1099" i="1"/>
  <c r="K1098" i="1"/>
  <c r="K1097"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3" i="1"/>
  <c r="K1002" i="1"/>
  <c r="K1001" i="1"/>
  <c r="K1000" i="1"/>
  <c r="K999" i="1"/>
  <c r="K998" i="1"/>
  <c r="K997" i="1"/>
  <c r="K996" i="1"/>
  <c r="K995" i="1"/>
  <c r="K994" i="1"/>
  <c r="K993" i="1"/>
  <c r="K992" i="1"/>
  <c r="K991" i="1"/>
  <c r="K990" i="1"/>
  <c r="K989" i="1"/>
  <c r="K988" i="1"/>
  <c r="K987" i="1"/>
  <c r="K986" i="1"/>
  <c r="K985" i="1"/>
  <c r="K984" i="1"/>
  <c r="K983" i="1"/>
  <c r="K982" i="1"/>
  <c r="K980" i="1"/>
  <c r="K979" i="1"/>
  <c r="K978" i="1"/>
  <c r="K977" i="1"/>
  <c r="K976" i="1"/>
  <c r="K974" i="1"/>
  <c r="K973" i="1"/>
  <c r="K972" i="1"/>
  <c r="K971" i="1"/>
  <c r="K970" i="1"/>
  <c r="K969" i="1"/>
  <c r="K968" i="1"/>
  <c r="K967" i="1"/>
  <c r="K966" i="1"/>
  <c r="K965" i="1"/>
  <c r="K963" i="1"/>
  <c r="K962" i="1"/>
  <c r="K961" i="1"/>
  <c r="K960" i="1"/>
  <c r="K959" i="1"/>
  <c r="K958" i="1"/>
  <c r="K955" i="1"/>
  <c r="K954" i="1"/>
  <c r="K953" i="1"/>
  <c r="K952" i="1"/>
  <c r="K951" i="1"/>
  <c r="K950" i="1"/>
  <c r="K949" i="1"/>
  <c r="K948" i="1"/>
  <c r="K947" i="1"/>
  <c r="K946" i="1"/>
  <c r="K945" i="1"/>
  <c r="K944" i="1"/>
  <c r="K943"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7" i="1"/>
  <c r="K906" i="1"/>
  <c r="K905" i="1"/>
  <c r="K904" i="1"/>
  <c r="K901" i="1"/>
  <c r="K900" i="1"/>
  <c r="K899" i="1"/>
  <c r="K898" i="1"/>
  <c r="K897" i="1"/>
  <c r="K896" i="1"/>
  <c r="K895" i="1"/>
  <c r="K894" i="1"/>
  <c r="K893" i="1"/>
  <c r="K892" i="1"/>
  <c r="K891" i="1"/>
  <c r="K890" i="1"/>
  <c r="K889" i="1"/>
  <c r="K888" i="1"/>
  <c r="K887" i="1"/>
  <c r="K886" i="1"/>
  <c r="K885" i="1"/>
  <c r="K884" i="1"/>
  <c r="K883" i="1"/>
  <c r="K882" i="1"/>
  <c r="K881" i="1"/>
  <c r="K880" i="1"/>
  <c r="K879" i="1"/>
  <c r="K878" i="1"/>
  <c r="K876" i="1"/>
  <c r="K875" i="1"/>
  <c r="K874" i="1"/>
  <c r="K873" i="1"/>
  <c r="K872" i="1"/>
  <c r="K871"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1" i="1"/>
  <c r="K840" i="1"/>
  <c r="K839" i="1"/>
  <c r="K838" i="1"/>
  <c r="K837" i="1"/>
  <c r="K836" i="1"/>
  <c r="K835" i="1"/>
  <c r="K834" i="1"/>
  <c r="K833" i="1"/>
  <c r="K832" i="1"/>
  <c r="K831" i="1"/>
  <c r="K830" i="1"/>
  <c r="K828" i="1"/>
  <c r="K827" i="1"/>
  <c r="K826" i="1"/>
  <c r="K825" i="1"/>
  <c r="K823" i="1"/>
  <c r="K822" i="1"/>
  <c r="K821" i="1"/>
  <c r="K820" i="1"/>
  <c r="K819"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89" i="1"/>
  <c r="K788" i="1"/>
  <c r="K787" i="1"/>
  <c r="K786" i="1"/>
  <c r="K785" i="1"/>
  <c r="K784" i="1"/>
  <c r="K783" i="1"/>
  <c r="K782" i="1"/>
  <c r="K781" i="1"/>
  <c r="K780" i="1"/>
  <c r="K779" i="1"/>
  <c r="K778" i="1"/>
  <c r="K777" i="1"/>
  <c r="K776" i="1"/>
  <c r="K775" i="1"/>
  <c r="K774" i="1"/>
  <c r="K773" i="1"/>
  <c r="K771" i="1"/>
  <c r="K770" i="1"/>
  <c r="K769" i="1"/>
  <c r="K768" i="1"/>
  <c r="K766" i="1"/>
  <c r="K763" i="1"/>
  <c r="K762" i="1"/>
  <c r="K761" i="1"/>
  <c r="K757" i="1"/>
  <c r="K756" i="1"/>
  <c r="K755" i="1"/>
  <c r="K754" i="1"/>
  <c r="K753" i="1"/>
  <c r="K752" i="1"/>
  <c r="K751" i="1"/>
  <c r="K750" i="1"/>
  <c r="K749" i="1"/>
  <c r="K748" i="1"/>
  <c r="K747"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5" i="1"/>
  <c r="K654" i="1"/>
  <c r="K653" i="1"/>
  <c r="K652"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1" i="1"/>
  <c r="K580" i="1"/>
  <c r="K579" i="1"/>
  <c r="K578" i="1"/>
  <c r="K577" i="1"/>
  <c r="K576" i="1"/>
  <c r="K575" i="1"/>
  <c r="K574" i="1"/>
  <c r="K573" i="1"/>
  <c r="K572" i="1"/>
  <c r="K571" i="1"/>
  <c r="K570" i="1"/>
  <c r="K569" i="1"/>
  <c r="K568" i="1"/>
  <c r="K567" i="1"/>
  <c r="K566" i="1"/>
  <c r="K565" i="1"/>
  <c r="K563" i="1"/>
  <c r="K562" i="1"/>
  <c r="K561" i="1"/>
  <c r="K560" i="1"/>
  <c r="K559" i="1"/>
  <c r="K558" i="1"/>
  <c r="K557" i="1"/>
  <c r="K556" i="1"/>
  <c r="K555" i="1"/>
  <c r="K554" i="1"/>
  <c r="K552" i="1"/>
  <c r="K551" i="1"/>
  <c r="K550" i="1"/>
  <c r="K549" i="1"/>
  <c r="K548" i="1"/>
  <c r="K547" i="1"/>
  <c r="K546" i="1"/>
  <c r="K545" i="1"/>
  <c r="K544" i="1"/>
  <c r="K543" i="1"/>
  <c r="K542" i="1"/>
  <c r="K541" i="1"/>
  <c r="K540" i="1"/>
  <c r="K539" i="1"/>
  <c r="K538" i="1"/>
  <c r="K537" i="1"/>
  <c r="K536" i="1"/>
  <c r="K535" i="1"/>
  <c r="K534" i="1"/>
  <c r="K533" i="1"/>
  <c r="K532" i="1"/>
  <c r="K531" i="1"/>
  <c r="K530" i="1"/>
  <c r="K527" i="1"/>
  <c r="K526" i="1"/>
  <c r="K525" i="1"/>
  <c r="K524" i="1"/>
  <c r="K523" i="1"/>
  <c r="K522" i="1"/>
  <c r="K521" i="1"/>
  <c r="K520" i="1"/>
  <c r="K519" i="1"/>
  <c r="K518" i="1"/>
  <c r="K517" i="1"/>
  <c r="K516" i="1"/>
  <c r="K515" i="1"/>
  <c r="K514"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5" i="1"/>
  <c r="K414" i="1"/>
  <c r="K413" i="1"/>
  <c r="K412" i="1"/>
  <c r="K411" i="1"/>
  <c r="K410" i="1"/>
  <c r="K409" i="1"/>
  <c r="K408" i="1"/>
  <c r="K407" i="1"/>
  <c r="K406" i="1"/>
  <c r="K405" i="1"/>
  <c r="K403" i="1"/>
  <c r="K402" i="1"/>
  <c r="K401" i="1"/>
  <c r="K400" i="1"/>
  <c r="K399" i="1"/>
  <c r="K398" i="1"/>
  <c r="K397" i="1"/>
  <c r="K396" i="1"/>
  <c r="K395" i="1"/>
  <c r="K394" i="1"/>
  <c r="K393" i="1"/>
  <c r="K391" i="1"/>
  <c r="K390" i="1"/>
  <c r="K389" i="1"/>
  <c r="K388" i="1"/>
  <c r="K387" i="1"/>
  <c r="K386" i="1"/>
  <c r="K385" i="1"/>
  <c r="K384" i="1"/>
  <c r="K383" i="1"/>
  <c r="K382" i="1"/>
  <c r="K381" i="1"/>
  <c r="K380" i="1"/>
  <c r="K379" i="1"/>
  <c r="K377" i="1"/>
  <c r="K376" i="1"/>
  <c r="K375" i="1"/>
  <c r="K374" i="1"/>
  <c r="K373" i="1"/>
  <c r="K372" i="1"/>
  <c r="K371" i="1"/>
  <c r="K370" i="1"/>
  <c r="K369" i="1"/>
  <c r="K368" i="1"/>
  <c r="K367" i="1"/>
  <c r="K366" i="1"/>
  <c r="K365" i="1"/>
  <c r="K364" i="1"/>
  <c r="K363"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89" i="1"/>
  <c r="K288" i="1"/>
  <c r="K287" i="1"/>
  <c r="K286" i="1"/>
  <c r="K285" i="1"/>
  <c r="K284" i="1"/>
  <c r="K283" i="1"/>
  <c r="K282" i="1"/>
  <c r="K281" i="1"/>
  <c r="K280" i="1"/>
  <c r="K279" i="1"/>
  <c r="K278" i="1"/>
  <c r="K277" i="1"/>
  <c r="K276" i="1"/>
  <c r="K275" i="1"/>
  <c r="K274"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7" i="1"/>
  <c r="K116" i="1"/>
  <c r="K115" i="1"/>
  <c r="K114" i="1"/>
  <c r="K113" i="1"/>
  <c r="K112" i="1"/>
  <c r="K111" i="1"/>
  <c r="K110" i="1"/>
  <c r="K109" i="1"/>
  <c r="K108" i="1"/>
  <c r="K107" i="1"/>
  <c r="K106" i="1"/>
  <c r="K105" i="1"/>
  <c r="K103" i="1"/>
  <c r="K102" i="1"/>
  <c r="K101" i="1"/>
  <c r="K100" i="1"/>
  <c r="K99" i="1"/>
  <c r="K98" i="1"/>
  <c r="K97" i="1"/>
  <c r="K96" i="1"/>
  <c r="K95" i="1"/>
  <c r="K94" i="1"/>
  <c r="K93" i="1"/>
  <c r="K92" i="1"/>
  <c r="K91" i="1"/>
  <c r="K86" i="1"/>
  <c r="K85" i="1"/>
  <c r="K84" i="1"/>
  <c r="K83" i="1"/>
  <c r="K82" i="1"/>
  <c r="K81" i="1"/>
  <c r="K80" i="1"/>
  <c r="K79" i="1"/>
  <c r="K78" i="1"/>
  <c r="K77" i="1"/>
  <c r="K76" i="1"/>
  <c r="K75" i="1"/>
  <c r="K74" i="1"/>
  <c r="K73" i="1"/>
  <c r="K72" i="1"/>
  <c r="K71" i="1"/>
  <c r="K70" i="1"/>
  <c r="K69" i="1"/>
  <c r="K68" i="1"/>
  <c r="K67"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5" i="1"/>
  <c r="I5" i="1"/>
  <c r="G2361" i="1"/>
  <c r="G2362" i="1"/>
  <c r="G2363" i="1"/>
  <c r="G2364" i="1"/>
  <c r="G2365" i="1"/>
  <c r="G2366" i="1"/>
  <c r="G2367" i="1"/>
  <c r="G2368" i="1"/>
  <c r="G2369" i="1"/>
  <c r="G2370" i="1"/>
  <c r="G2371" i="1"/>
  <c r="G2372" i="1"/>
  <c r="G2373" i="1"/>
  <c r="G2374" i="1"/>
  <c r="G2375" i="1"/>
  <c r="G2376" i="1"/>
  <c r="G2377"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7" i="1"/>
  <c r="G2315" i="1"/>
  <c r="G2318" i="1"/>
  <c r="G2319" i="1"/>
  <c r="G2320" i="1"/>
  <c r="G2316"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5" i="1"/>
  <c r="G2356" i="1"/>
  <c r="G2357" i="1"/>
  <c r="G2358" i="1"/>
  <c r="G2359" i="1"/>
  <c r="G2360"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48" i="1"/>
  <c r="G2249" i="1"/>
  <c r="G2250" i="1"/>
  <c r="G2251" i="1"/>
  <c r="G2252" i="1"/>
  <c r="G2253" i="1"/>
  <c r="G2254" i="1"/>
  <c r="G2255" i="1"/>
  <c r="G2218" i="1"/>
  <c r="G2219" i="1"/>
  <c r="G2220" i="1"/>
  <c r="G2221" i="1"/>
  <c r="G2222" i="1"/>
  <c r="G2223" i="1"/>
  <c r="G2224" i="1"/>
  <c r="G2225" i="1"/>
  <c r="G2228" i="1"/>
  <c r="G2229" i="1"/>
  <c r="G2226" i="1"/>
  <c r="G2227" i="1"/>
  <c r="G2230" i="1"/>
  <c r="G2231" i="1"/>
  <c r="G2232" i="1"/>
  <c r="G2233" i="1"/>
  <c r="G2234" i="1"/>
  <c r="G2235" i="1"/>
  <c r="G2236" i="1"/>
  <c r="G2237" i="1"/>
  <c r="G2238" i="1"/>
  <c r="G2239" i="1"/>
  <c r="G2240" i="1"/>
  <c r="G2241" i="1"/>
  <c r="G2242" i="1"/>
  <c r="G2243" i="1"/>
  <c r="G2244" i="1"/>
  <c r="G2245" i="1"/>
  <c r="G2246" i="1"/>
  <c r="G2207" i="1"/>
  <c r="G2208" i="1"/>
  <c r="G2209" i="1"/>
  <c r="G2210" i="1"/>
  <c r="G2211" i="1"/>
  <c r="G2212" i="1"/>
  <c r="G2213" i="1"/>
  <c r="G2214" i="1"/>
  <c r="G2215"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172" i="1"/>
  <c r="G2173" i="1"/>
  <c r="G2174" i="1"/>
  <c r="G2160" i="1"/>
  <c r="G2161" i="1"/>
  <c r="G2162" i="1"/>
  <c r="G2163" i="1"/>
  <c r="G2164" i="1"/>
  <c r="G2165" i="1"/>
  <c r="G2166" i="1"/>
  <c r="G2167" i="1"/>
  <c r="G2168" i="1"/>
  <c r="G2169" i="1"/>
  <c r="G2170"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088"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51" i="1"/>
  <c r="G2052" i="1"/>
  <c r="G2053" i="1"/>
  <c r="G2054"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663" i="1"/>
  <c r="G1664" i="1"/>
  <c r="G1665" i="1"/>
  <c r="G1666" i="1"/>
  <c r="G1667" i="1"/>
  <c r="G1668" i="1"/>
  <c r="G1669" i="1"/>
  <c r="G1670" i="1"/>
  <c r="G1671" i="1"/>
  <c r="G1672" i="1"/>
  <c r="G1673" i="1"/>
  <c r="G1674" i="1"/>
  <c r="G1675" i="1"/>
  <c r="G1676" i="1"/>
  <c r="G1677" i="1"/>
  <c r="G1678" i="1"/>
  <c r="G1679" i="1"/>
  <c r="G1680" i="1"/>
  <c r="G1681" i="1"/>
  <c r="G1682" i="1"/>
  <c r="G1653" i="1"/>
  <c r="G1654" i="1"/>
  <c r="G1655" i="1"/>
  <c r="G1656" i="1"/>
  <c r="G1657" i="1"/>
  <c r="G1658" i="1"/>
  <c r="G1659" i="1"/>
  <c r="G1660"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02" i="1"/>
  <c r="G1603" i="1"/>
  <c r="G1599" i="1"/>
  <c r="G1600" i="1"/>
  <c r="G1583" i="1"/>
  <c r="G1584" i="1"/>
  <c r="G1585" i="1"/>
  <c r="G1586" i="1"/>
  <c r="G1587" i="1"/>
  <c r="G1588" i="1"/>
  <c r="G1589" i="1"/>
  <c r="G1590" i="1"/>
  <c r="G1591" i="1"/>
  <c r="G1592" i="1"/>
  <c r="G1593" i="1"/>
  <c r="G1594" i="1"/>
  <c r="G1595" i="1"/>
  <c r="G1596" i="1"/>
  <c r="G1597"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10" i="1"/>
  <c r="G1511" i="1"/>
  <c r="G1512" i="1"/>
  <c r="G1513" i="1"/>
  <c r="G1514" i="1"/>
  <c r="G1500" i="1"/>
  <c r="G1501" i="1"/>
  <c r="G1502" i="1"/>
  <c r="G1503" i="1"/>
  <c r="G1504" i="1"/>
  <c r="G1505" i="1"/>
  <c r="G1506" i="1"/>
  <c r="G1507" i="1"/>
  <c r="G1508"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55" i="1"/>
  <c r="G1456" i="1"/>
  <c r="G1457" i="1"/>
  <c r="G1458" i="1"/>
  <c r="G1459" i="1"/>
  <c r="G1460" i="1"/>
  <c r="G1461" i="1"/>
  <c r="G1462" i="1"/>
  <c r="G1463" i="1"/>
  <c r="G1464" i="1"/>
  <c r="G1465"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218" i="1"/>
  <c r="G1219" i="1"/>
  <c r="G1220" i="1"/>
  <c r="G1221" i="1"/>
  <c r="G1222" i="1"/>
  <c r="G1223" i="1"/>
  <c r="G1224" i="1"/>
  <c r="G1225" i="1"/>
  <c r="G1226" i="1"/>
  <c r="G1227" i="1"/>
  <c r="G1228" i="1"/>
  <c r="G1229" i="1"/>
  <c r="G1230" i="1"/>
  <c r="G1231" i="1"/>
  <c r="G1232" i="1"/>
  <c r="G1233" i="1"/>
  <c r="G1234" i="1"/>
  <c r="G1235" i="1"/>
  <c r="G1203" i="1"/>
  <c r="G1204" i="1"/>
  <c r="G1205" i="1"/>
  <c r="G1206" i="1"/>
  <c r="G1207" i="1"/>
  <c r="G1208" i="1"/>
  <c r="G1209" i="1"/>
  <c r="G1210" i="1"/>
  <c r="G1211" i="1"/>
  <c r="G1212" i="1"/>
  <c r="G1213" i="1"/>
  <c r="G1214" i="1"/>
  <c r="G1215" i="1"/>
  <c r="G1216"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103" i="1"/>
  <c r="G1104" i="1"/>
  <c r="G1105" i="1"/>
  <c r="G1106" i="1"/>
  <c r="G1107" i="1"/>
  <c r="G1108" i="1"/>
  <c r="G1109" i="1"/>
  <c r="G1110" i="1"/>
  <c r="G1111" i="1"/>
  <c r="G1112" i="1"/>
  <c r="G1113" i="1"/>
  <c r="G1114" i="1"/>
  <c r="G1097" i="1"/>
  <c r="G1098" i="1"/>
  <c r="G1099" i="1"/>
  <c r="G1100" i="1"/>
  <c r="G110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982" i="1"/>
  <c r="G983" i="1"/>
  <c r="G984" i="1"/>
  <c r="G985" i="1"/>
  <c r="G986" i="1"/>
  <c r="G987" i="1"/>
  <c r="G988" i="1"/>
  <c r="G989" i="1"/>
  <c r="G990" i="1"/>
  <c r="G991" i="1"/>
  <c r="G992" i="1"/>
  <c r="G993" i="1"/>
  <c r="G994" i="1"/>
  <c r="G995" i="1"/>
  <c r="G996" i="1"/>
  <c r="G997" i="1"/>
  <c r="G998" i="1"/>
  <c r="G999" i="1"/>
  <c r="G1000" i="1"/>
  <c r="G1001" i="1"/>
  <c r="G1002" i="1"/>
  <c r="G1003" i="1"/>
  <c r="G976" i="1"/>
  <c r="G977" i="1"/>
  <c r="G978" i="1"/>
  <c r="G979" i="1"/>
  <c r="G980" i="1"/>
  <c r="G965" i="1"/>
  <c r="G966" i="1"/>
  <c r="G967" i="1"/>
  <c r="G968" i="1"/>
  <c r="G969" i="1"/>
  <c r="G970" i="1"/>
  <c r="G971" i="1"/>
  <c r="G972" i="1"/>
  <c r="G973" i="1"/>
  <c r="G974" i="1"/>
  <c r="G958" i="1"/>
  <c r="G959" i="1"/>
  <c r="G960" i="1"/>
  <c r="G961" i="1"/>
  <c r="G962" i="1"/>
  <c r="G963" i="1"/>
  <c r="G943" i="1"/>
  <c r="G944" i="1"/>
  <c r="G945" i="1"/>
  <c r="G946" i="1"/>
  <c r="G947" i="1"/>
  <c r="G948" i="1"/>
  <c r="G949" i="1"/>
  <c r="G950" i="1"/>
  <c r="G951" i="1"/>
  <c r="G952" i="1"/>
  <c r="G953" i="1"/>
  <c r="G954" i="1"/>
  <c r="G955"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04" i="1"/>
  <c r="G905" i="1"/>
  <c r="G906" i="1"/>
  <c r="G907" i="1"/>
  <c r="G878" i="1"/>
  <c r="G879" i="1"/>
  <c r="G880" i="1"/>
  <c r="G881" i="1"/>
  <c r="G882" i="1"/>
  <c r="G883" i="1"/>
  <c r="G884" i="1"/>
  <c r="G885" i="1"/>
  <c r="G886" i="1"/>
  <c r="G887" i="1"/>
  <c r="G888" i="1"/>
  <c r="G889" i="1"/>
  <c r="G890" i="1"/>
  <c r="G891" i="1"/>
  <c r="G892" i="1"/>
  <c r="G893" i="1"/>
  <c r="G894" i="1"/>
  <c r="G895" i="1"/>
  <c r="G896" i="1"/>
  <c r="G897" i="1"/>
  <c r="G898" i="1"/>
  <c r="G899" i="1"/>
  <c r="G900" i="1"/>
  <c r="G901" i="1"/>
  <c r="G871" i="1"/>
  <c r="G872" i="1"/>
  <c r="G873" i="1"/>
  <c r="G874" i="1"/>
  <c r="G875" i="1"/>
  <c r="G876"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30" i="1"/>
  <c r="G831" i="1"/>
  <c r="G832" i="1"/>
  <c r="G833" i="1"/>
  <c r="G834" i="1"/>
  <c r="G835" i="1"/>
  <c r="G836" i="1"/>
  <c r="G837" i="1"/>
  <c r="G838" i="1"/>
  <c r="G839" i="1"/>
  <c r="G840" i="1"/>
  <c r="G841" i="1"/>
  <c r="G825" i="1"/>
  <c r="G826" i="1"/>
  <c r="G827" i="1"/>
  <c r="G828" i="1"/>
  <c r="G819" i="1"/>
  <c r="G820" i="1"/>
  <c r="G821" i="1"/>
  <c r="G822" i="1"/>
  <c r="G823"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773" i="1"/>
  <c r="G774" i="1"/>
  <c r="G775" i="1"/>
  <c r="G776" i="1"/>
  <c r="G777" i="1"/>
  <c r="G778" i="1"/>
  <c r="G779" i="1"/>
  <c r="G780" i="1"/>
  <c r="G781" i="1"/>
  <c r="G782" i="1"/>
  <c r="G783" i="1"/>
  <c r="G784" i="1"/>
  <c r="G785" i="1"/>
  <c r="G786" i="1"/>
  <c r="G787" i="1"/>
  <c r="G788" i="1"/>
  <c r="G789" i="1"/>
  <c r="G768" i="1"/>
  <c r="G769" i="1"/>
  <c r="G770" i="1"/>
  <c r="G771" i="1"/>
  <c r="G761" i="1"/>
  <c r="G762" i="1"/>
  <c r="G763" i="1"/>
  <c r="G747" i="1"/>
  <c r="G748" i="1"/>
  <c r="G749" i="1"/>
  <c r="G750" i="1"/>
  <c r="G751" i="1"/>
  <c r="G752" i="1"/>
  <c r="G753" i="1"/>
  <c r="G754" i="1"/>
  <c r="G755" i="1"/>
  <c r="G756" i="1"/>
  <c r="G757"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652" i="1"/>
  <c r="G653" i="1"/>
  <c r="G654" i="1"/>
  <c r="G655"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565" i="1"/>
  <c r="G566" i="1"/>
  <c r="G567" i="1"/>
  <c r="G568" i="1"/>
  <c r="G569" i="1"/>
  <c r="G570" i="1"/>
  <c r="G571" i="1"/>
  <c r="G572" i="1"/>
  <c r="G573" i="1"/>
  <c r="G574" i="1"/>
  <c r="G575" i="1"/>
  <c r="G576" i="1"/>
  <c r="G577" i="1"/>
  <c r="G578" i="1"/>
  <c r="G579" i="1"/>
  <c r="G580" i="1"/>
  <c r="G581" i="1"/>
  <c r="G554" i="1"/>
  <c r="G555" i="1"/>
  <c r="G556" i="1"/>
  <c r="G557" i="1"/>
  <c r="G558" i="1"/>
  <c r="G559" i="1"/>
  <c r="G560" i="1"/>
  <c r="G561" i="1"/>
  <c r="G562" i="1"/>
  <c r="G563" i="1"/>
  <c r="G530" i="1"/>
  <c r="G531" i="1"/>
  <c r="G532" i="1"/>
  <c r="G533" i="1"/>
  <c r="G534" i="1"/>
  <c r="G535" i="1"/>
  <c r="G536" i="1"/>
  <c r="G537" i="1"/>
  <c r="G538" i="1"/>
  <c r="G539" i="1"/>
  <c r="G540" i="1"/>
  <c r="G541" i="1"/>
  <c r="G542" i="1"/>
  <c r="G543" i="1"/>
  <c r="G544" i="1"/>
  <c r="G545" i="1"/>
  <c r="G546" i="1"/>
  <c r="G547" i="1"/>
  <c r="G548" i="1"/>
  <c r="G549" i="1"/>
  <c r="G550" i="1"/>
  <c r="G551" i="1"/>
  <c r="G552" i="1"/>
  <c r="G514" i="1"/>
  <c r="G515" i="1"/>
  <c r="G516" i="1"/>
  <c r="G517" i="1"/>
  <c r="G518" i="1"/>
  <c r="G519" i="1"/>
  <c r="G520" i="1"/>
  <c r="G521" i="1"/>
  <c r="G522" i="1"/>
  <c r="G523" i="1"/>
  <c r="G524" i="1"/>
  <c r="G525" i="1"/>
  <c r="G526" i="1"/>
  <c r="G527"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405" i="1"/>
  <c r="G406" i="1"/>
  <c r="G407" i="1"/>
  <c r="G408" i="1"/>
  <c r="G409" i="1"/>
  <c r="G410" i="1"/>
  <c r="G411" i="1"/>
  <c r="G412" i="1"/>
  <c r="G413" i="1"/>
  <c r="G414" i="1"/>
  <c r="G415" i="1"/>
  <c r="G393" i="1"/>
  <c r="G394" i="1"/>
  <c r="G395" i="1"/>
  <c r="G396" i="1"/>
  <c r="G397" i="1"/>
  <c r="G398" i="1"/>
  <c r="G399" i="1"/>
  <c r="G400" i="1"/>
  <c r="G401" i="1"/>
  <c r="G402" i="1"/>
  <c r="G403" i="1"/>
  <c r="G379" i="1"/>
  <c r="G380" i="1"/>
  <c r="G381" i="1"/>
  <c r="G382" i="1"/>
  <c r="G383" i="1"/>
  <c r="G384" i="1"/>
  <c r="G385" i="1"/>
  <c r="G386" i="1"/>
  <c r="G387" i="1"/>
  <c r="G388" i="1"/>
  <c r="G389" i="1"/>
  <c r="G390" i="1"/>
  <c r="G391" i="1"/>
  <c r="G363" i="1"/>
  <c r="G364" i="1"/>
  <c r="G365" i="1"/>
  <c r="G366" i="1"/>
  <c r="G367" i="1"/>
  <c r="G368" i="1"/>
  <c r="G369" i="1"/>
  <c r="G370" i="1"/>
  <c r="G371" i="1"/>
  <c r="G372" i="1"/>
  <c r="G373" i="1"/>
  <c r="G374" i="1"/>
  <c r="G375" i="1"/>
  <c r="G376" i="1"/>
  <c r="G377"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274" i="1"/>
  <c r="G275" i="1"/>
  <c r="G276" i="1"/>
  <c r="G277" i="1"/>
  <c r="G278" i="1"/>
  <c r="G279" i="1"/>
  <c r="G280" i="1"/>
  <c r="G281" i="1"/>
  <c r="G282" i="1"/>
  <c r="G283" i="1"/>
  <c r="G284" i="1"/>
  <c r="G285" i="1"/>
  <c r="G286" i="1"/>
  <c r="G287" i="1"/>
  <c r="G288" i="1"/>
  <c r="G289"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05" i="1"/>
  <c r="G106" i="1"/>
  <c r="G107" i="1"/>
  <c r="G108" i="1"/>
  <c r="G109" i="1"/>
  <c r="G110" i="1"/>
  <c r="G111" i="1"/>
  <c r="G112" i="1"/>
  <c r="G113" i="1"/>
  <c r="G114" i="1"/>
  <c r="G115" i="1"/>
  <c r="G116" i="1"/>
  <c r="G117" i="1"/>
  <c r="G91" i="1"/>
  <c r="G92" i="1"/>
  <c r="G93" i="1"/>
  <c r="G94" i="1"/>
  <c r="G95" i="1"/>
  <c r="G96" i="1"/>
  <c r="G97" i="1"/>
  <c r="G98" i="1"/>
  <c r="G99" i="1"/>
  <c r="G100" i="1"/>
  <c r="G101" i="1"/>
  <c r="G102" i="1"/>
  <c r="G103" i="1"/>
  <c r="G67" i="1"/>
  <c r="G68" i="1"/>
  <c r="G69" i="1"/>
  <c r="G70" i="1"/>
  <c r="G71" i="1"/>
  <c r="G72" i="1"/>
  <c r="G73" i="1"/>
  <c r="G74" i="1"/>
  <c r="G75" i="1"/>
  <c r="G76" i="1"/>
  <c r="G77" i="1"/>
  <c r="G78" i="1"/>
  <c r="G79" i="1"/>
  <c r="G80" i="1"/>
  <c r="G81" i="1"/>
  <c r="G82" i="1"/>
  <c r="G83" i="1"/>
  <c r="G84" i="1"/>
  <c r="G85" i="1"/>
  <c r="G8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766" i="1"/>
  <c r="G5" i="1"/>
  <c r="I1930" i="1"/>
  <c r="I1928" i="1"/>
  <c r="I1922" i="1"/>
  <c r="I1899" i="1"/>
  <c r="I1882" i="1"/>
  <c r="I1869" i="1"/>
  <c r="I1830" i="1"/>
  <c r="I1827" i="1"/>
  <c r="I1803" i="1"/>
  <c r="I1802" i="1"/>
  <c r="I1796" i="1"/>
  <c r="I1795" i="1"/>
  <c r="I1793" i="1"/>
  <c r="I1781" i="1"/>
  <c r="I1780" i="1"/>
  <c r="I1771" i="1"/>
  <c r="I1766" i="1"/>
  <c r="I1760" i="1"/>
  <c r="I1759" i="1"/>
  <c r="I1756" i="1"/>
  <c r="I1755" i="1"/>
  <c r="I1752" i="1"/>
  <c r="I1735" i="1"/>
  <c r="I1734" i="1"/>
  <c r="I1730" i="1"/>
  <c r="I1712" i="1"/>
  <c r="I1711" i="1"/>
  <c r="I1709" i="1"/>
  <c r="I1699" i="1"/>
  <c r="I1696" i="1"/>
  <c r="I1692" i="1"/>
  <c r="I1687" i="1"/>
  <c r="I1668" i="1"/>
  <c r="I1664" i="1"/>
  <c r="I1663" i="1"/>
  <c r="I1627" i="1"/>
  <c r="I1626" i="1"/>
  <c r="I1621" i="1"/>
  <c r="I1619" i="1"/>
  <c r="I1604" i="1"/>
  <c r="I1587" i="1"/>
  <c r="I1578" i="1"/>
  <c r="I1575" i="1"/>
  <c r="I1565" i="1"/>
  <c r="I1550" i="1"/>
  <c r="I1535" i="1"/>
  <c r="I1526" i="1"/>
  <c r="I1512" i="1"/>
  <c r="I1511" i="1"/>
  <c r="I1498" i="1"/>
  <c r="I1490" i="1"/>
  <c r="I1488" i="1"/>
  <c r="I1487" i="1"/>
  <c r="I1482" i="1"/>
  <c r="I1475" i="1"/>
  <c r="I1458" i="1"/>
  <c r="I1443" i="1"/>
  <c r="I1441" i="1"/>
  <c r="I1419" i="1"/>
  <c r="I1408" i="1"/>
  <c r="I1407" i="1"/>
  <c r="I1389" i="1"/>
  <c r="I1369" i="1"/>
  <c r="I1365" i="1"/>
  <c r="I1361" i="1"/>
  <c r="I1325" i="1"/>
  <c r="I1319" i="1"/>
  <c r="I1286" i="1"/>
  <c r="I1263" i="1"/>
  <c r="I1227" i="1"/>
  <c r="I1208" i="1"/>
  <c r="I1172" i="1"/>
  <c r="I1135" i="1"/>
  <c r="I1107" i="1"/>
  <c r="I1103" i="1"/>
  <c r="I1092" i="1"/>
  <c r="I1060" i="1"/>
  <c r="I1026" i="1"/>
  <c r="I1001" i="1"/>
  <c r="I984" i="1"/>
  <c r="I949" i="1"/>
  <c r="I930" i="1"/>
  <c r="I929" i="1"/>
  <c r="I909" i="1"/>
  <c r="I892" i="1"/>
  <c r="I882" i="1"/>
  <c r="I873" i="1"/>
  <c r="I864" i="1"/>
  <c r="I844" i="1"/>
  <c r="I832" i="1"/>
  <c r="I830" i="1"/>
  <c r="I816" i="1"/>
  <c r="I798" i="1"/>
  <c r="I794" i="1"/>
  <c r="I782" i="1"/>
  <c r="I773" i="1"/>
  <c r="I772" i="1"/>
  <c r="I769" i="1"/>
  <c r="I767" i="1"/>
  <c r="I765" i="1"/>
  <c r="I764" i="1"/>
  <c r="I745" i="1"/>
  <c r="I742" i="1"/>
  <c r="I741" i="1"/>
  <c r="I740" i="1"/>
  <c r="I732" i="1"/>
  <c r="I728" i="1"/>
  <c r="I709" i="1"/>
  <c r="I680" i="1"/>
  <c r="I676" i="1"/>
  <c r="I662" i="1"/>
  <c r="I648" i="1"/>
  <c r="I641" i="1"/>
  <c r="I640" i="1"/>
  <c r="I627" i="1"/>
  <c r="I614" i="1"/>
  <c r="I583" i="1"/>
  <c r="I576" i="1"/>
  <c r="I537" i="1"/>
  <c r="I524" i="1"/>
  <c r="I523" i="1"/>
  <c r="I483" i="1"/>
  <c r="I467" i="1"/>
  <c r="I449" i="1"/>
  <c r="I447" i="1"/>
  <c r="I430" i="1"/>
  <c r="I418" i="1"/>
  <c r="I411" i="1"/>
  <c r="I374" i="1"/>
  <c r="I371" i="1"/>
  <c r="I335" i="1"/>
  <c r="I324" i="1"/>
  <c r="I277" i="1"/>
  <c r="I273" i="1"/>
  <c r="I163" i="1"/>
  <c r="I162" i="1"/>
  <c r="I161" i="1"/>
  <c r="I122" i="1"/>
  <c r="I92" i="1"/>
  <c r="I76" i="1"/>
  <c r="I52" i="1"/>
  <c r="I6" i="1"/>
  <c r="K1604" i="1"/>
  <c r="K1419" i="1"/>
  <c r="K816" i="1"/>
  <c r="K772" i="1"/>
  <c r="K767" i="1"/>
  <c r="K765" i="1"/>
  <c r="K764" i="1"/>
  <c r="K418" i="1"/>
  <c r="K273" i="1"/>
  <c r="K6" i="1"/>
  <c r="G1604" i="1"/>
  <c r="G1419" i="1"/>
  <c r="G816" i="1"/>
  <c r="G772" i="1"/>
  <c r="G767" i="1"/>
  <c r="G765" i="1"/>
  <c r="G764" i="1"/>
  <c r="G418" i="1"/>
  <c r="G273" i="1"/>
  <c r="G6" i="1"/>
  <c r="Y2403" i="1"/>
  <c r="M2403" i="1"/>
  <c r="N2403" i="1" s="1"/>
  <c r="I2403" i="1"/>
  <c r="F2403" i="1"/>
  <c r="J2391" i="1"/>
  <c r="J2389" i="1"/>
  <c r="M2389" i="1" s="1"/>
  <c r="N2389" i="1" s="1"/>
  <c r="J2390" i="1"/>
  <c r="J2392" i="1"/>
  <c r="J2393" i="1"/>
  <c r="J2394" i="1"/>
  <c r="J2387" i="1"/>
  <c r="M2387" i="1" s="1"/>
  <c r="N2387" i="1" s="1"/>
  <c r="J2382" i="1"/>
  <c r="M2382" i="1" s="1"/>
  <c r="N2382" i="1" s="1"/>
  <c r="Y2393" i="1"/>
  <c r="F2393" i="1"/>
  <c r="I2393" i="1"/>
  <c r="N2393" i="1"/>
  <c r="F2380" i="1"/>
  <c r="I2380" i="1"/>
  <c r="M2380" i="1"/>
  <c r="N2380" i="1" s="1"/>
  <c r="Y2380" i="1"/>
  <c r="F2385" i="1"/>
  <c r="I2385" i="1"/>
  <c r="M2385" i="1"/>
  <c r="N2385" i="1" s="1"/>
  <c r="Y2385" i="1"/>
  <c r="F2391" i="1"/>
  <c r="I2391" i="1"/>
  <c r="N2391" i="1"/>
  <c r="Y2391" i="1"/>
  <c r="F2389" i="1"/>
  <c r="I2389" i="1"/>
  <c r="Y2389" i="1"/>
  <c r="F2390" i="1"/>
  <c r="I2390" i="1"/>
  <c r="N2390" i="1"/>
  <c r="Y2390" i="1"/>
  <c r="F2392" i="1"/>
  <c r="I2392" i="1"/>
  <c r="N2392" i="1"/>
  <c r="Y2392" i="1"/>
  <c r="F2386" i="1"/>
  <c r="I2386" i="1"/>
  <c r="M2386" i="1"/>
  <c r="N2386" i="1" s="1"/>
  <c r="Y2386" i="1"/>
  <c r="F2388" i="1"/>
  <c r="I2388" i="1"/>
  <c r="M2388" i="1"/>
  <c r="N2388" i="1" s="1"/>
  <c r="Y2388" i="1"/>
  <c r="F2381" i="1"/>
  <c r="I2381" i="1"/>
  <c r="M2381" i="1"/>
  <c r="N2381" i="1" s="1"/>
  <c r="Y2381" i="1"/>
  <c r="F2387" i="1"/>
  <c r="I2387" i="1"/>
  <c r="Y2387" i="1"/>
  <c r="F2382" i="1"/>
  <c r="I2382" i="1"/>
  <c r="Y2382" i="1"/>
  <c r="F2383" i="1"/>
  <c r="I2383" i="1"/>
  <c r="M2383" i="1"/>
  <c r="N2383" i="1" s="1"/>
  <c r="Y2383" i="1"/>
  <c r="F2378" i="1"/>
  <c r="I2378" i="1"/>
  <c r="M2378" i="1"/>
  <c r="N2378" i="1" s="1"/>
  <c r="Y2378" i="1"/>
  <c r="F2379" i="1"/>
  <c r="I2379" i="1"/>
  <c r="M2379" i="1"/>
  <c r="N2379" i="1" s="1"/>
  <c r="Y2379" i="1"/>
  <c r="J1701" i="2"/>
  <c r="K1701" i="2" s="1"/>
  <c r="J1643" i="2"/>
  <c r="K1643" i="2" s="1"/>
  <c r="J1642" i="2"/>
  <c r="K1642" i="2" s="1"/>
  <c r="Y2394" i="1"/>
  <c r="N2394" i="1"/>
  <c r="I2394" i="1"/>
  <c r="F2394" i="1"/>
  <c r="J1700" i="2"/>
  <c r="K1700" i="2" s="1"/>
  <c r="J1641" i="2"/>
  <c r="K1641" i="2" s="1"/>
  <c r="J1640" i="2"/>
  <c r="K1640" i="2" s="1"/>
  <c r="J1773" i="2"/>
  <c r="K1773" i="2" s="1"/>
  <c r="J1774" i="2"/>
  <c r="K1774" i="2" s="1"/>
  <c r="J2367" i="1"/>
  <c r="M2367" i="1" s="1"/>
  <c r="N2367" i="1" s="1"/>
  <c r="Y2367" i="1"/>
  <c r="I2367" i="1"/>
  <c r="F2367" i="1"/>
  <c r="Y2384" i="1"/>
  <c r="M2384" i="1"/>
  <c r="N2384" i="1" s="1"/>
  <c r="I2384" i="1"/>
  <c r="F2384" i="1"/>
  <c r="Y2372" i="1"/>
  <c r="J2372" i="1"/>
  <c r="M2372" i="1" s="1"/>
  <c r="N2372" i="1" s="1"/>
  <c r="I2372" i="1"/>
  <c r="F2372" i="1"/>
  <c r="Y2377" i="1"/>
  <c r="M2377" i="1"/>
  <c r="N2377" i="1" s="1"/>
  <c r="I2377" i="1"/>
  <c r="F2377" i="1"/>
  <c r="Y2376" i="1"/>
  <c r="M2376" i="1"/>
  <c r="N2376" i="1" s="1"/>
  <c r="I2376" i="1"/>
  <c r="F2376" i="1"/>
  <c r="Y2375" i="1"/>
  <c r="M2375" i="1"/>
  <c r="N2375" i="1" s="1"/>
  <c r="I2375" i="1"/>
  <c r="F2375" i="1"/>
  <c r="Y2374" i="1"/>
  <c r="M2374" i="1"/>
  <c r="N2374" i="1" s="1"/>
  <c r="I2374" i="1"/>
  <c r="F2374" i="1"/>
  <c r="Y2373" i="1"/>
  <c r="M2373" i="1"/>
  <c r="N2373" i="1" s="1"/>
  <c r="I2373" i="1"/>
  <c r="F2373" i="1"/>
  <c r="Y2371" i="1"/>
  <c r="J2371" i="1"/>
  <c r="M2371" i="1" s="1"/>
  <c r="N2371" i="1" s="1"/>
  <c r="I2371" i="1"/>
  <c r="F2371" i="1"/>
  <c r="Y2370" i="1"/>
  <c r="J2370" i="1"/>
  <c r="M2370" i="1" s="1"/>
  <c r="N2370" i="1" s="1"/>
  <c r="I2370" i="1"/>
  <c r="F2370" i="1"/>
  <c r="Y2369" i="1"/>
  <c r="J2369" i="1"/>
  <c r="M2369" i="1" s="1"/>
  <c r="N2369" i="1" s="1"/>
  <c r="I2369" i="1"/>
  <c r="F2369" i="1"/>
  <c r="Y2368" i="1"/>
  <c r="J2368" i="1"/>
  <c r="M2368" i="1" s="1"/>
  <c r="N2368" i="1" s="1"/>
  <c r="I2368" i="1"/>
  <c r="F2368" i="1"/>
  <c r="Y2364" i="1"/>
  <c r="M2364" i="1"/>
  <c r="N2364" i="1" s="1"/>
  <c r="I2364" i="1"/>
  <c r="F2364" i="1"/>
  <c r="Y2363" i="1"/>
  <c r="M2363" i="1"/>
  <c r="N2363" i="1" s="1"/>
  <c r="I2363" i="1"/>
  <c r="F2363" i="1"/>
  <c r="Y2366" i="1"/>
  <c r="M2366" i="1"/>
  <c r="N2366" i="1" s="1"/>
  <c r="I2366" i="1"/>
  <c r="F2366" i="1"/>
  <c r="Y2365" i="1"/>
  <c r="M2365" i="1"/>
  <c r="N2365" i="1" s="1"/>
  <c r="I2365" i="1"/>
  <c r="F2365" i="1"/>
  <c r="J1699" i="2"/>
  <c r="K1699" i="2" s="1"/>
  <c r="J1698" i="2"/>
  <c r="K1698" i="2" s="1"/>
  <c r="M2350" i="1"/>
  <c r="N2350" i="1" s="1"/>
  <c r="J1639" i="2"/>
  <c r="K1639" i="2" s="1"/>
  <c r="J1697" i="2"/>
  <c r="K1697" i="2" s="1"/>
  <c r="Y2362" i="1"/>
  <c r="M2362" i="1"/>
  <c r="N2362" i="1" s="1"/>
  <c r="I2362" i="1"/>
  <c r="F2362" i="1"/>
  <c r="Y2361" i="1"/>
  <c r="N2361" i="1"/>
  <c r="I2361" i="1"/>
  <c r="F2361" i="1"/>
  <c r="Y2356" i="1"/>
  <c r="N2356" i="1"/>
  <c r="I2356" i="1"/>
  <c r="F2356" i="1"/>
  <c r="J1776" i="2"/>
  <c r="K1776" i="2" s="1"/>
  <c r="J1772" i="2"/>
  <c r="K1772" i="2" s="1"/>
  <c r="J1638" i="2"/>
  <c r="K1638" i="2" s="1"/>
  <c r="J1696" i="2"/>
  <c r="K1696" i="2" s="1"/>
  <c r="J1771" i="2"/>
  <c r="K1771" i="2" s="1"/>
  <c r="J2343" i="1"/>
  <c r="M2343" i="1" s="1"/>
  <c r="N2343" i="1" s="1"/>
  <c r="J2352" i="1"/>
  <c r="M2352" i="1" s="1"/>
  <c r="N2352" i="1" s="1"/>
  <c r="J2351" i="1"/>
  <c r="M2351" i="1" s="1"/>
  <c r="N2351" i="1" s="1"/>
  <c r="J2355" i="1"/>
  <c r="J2354" i="1"/>
  <c r="M2354" i="1" s="1"/>
  <c r="N2354" i="1" s="1"/>
  <c r="J2348" i="1"/>
  <c r="M2348" i="1" s="1"/>
  <c r="N2348" i="1" s="1"/>
  <c r="J2347" i="1"/>
  <c r="M2347" i="1" s="1"/>
  <c r="N2347" i="1" s="1"/>
  <c r="J2346" i="1"/>
  <c r="M2346" i="1" s="1"/>
  <c r="N2346" i="1" s="1"/>
  <c r="Y2343" i="1"/>
  <c r="I2343" i="1"/>
  <c r="F2343" i="1"/>
  <c r="Y2352" i="1"/>
  <c r="I2352" i="1"/>
  <c r="F2352" i="1"/>
  <c r="Y2351" i="1"/>
  <c r="I2351" i="1"/>
  <c r="F2351" i="1"/>
  <c r="Y2350" i="1"/>
  <c r="I2350" i="1"/>
  <c r="F2350" i="1"/>
  <c r="Y2355" i="1"/>
  <c r="N2355" i="1"/>
  <c r="I2355" i="1"/>
  <c r="F2355" i="1"/>
  <c r="Y2354" i="1"/>
  <c r="K2354" i="1"/>
  <c r="I2354" i="1"/>
  <c r="H2354" i="1"/>
  <c r="F2354" i="1"/>
  <c r="Y2360" i="1"/>
  <c r="N2360" i="1"/>
  <c r="I2360" i="1"/>
  <c r="F2360" i="1"/>
  <c r="Y2359" i="1"/>
  <c r="N2359" i="1"/>
  <c r="I2359" i="1"/>
  <c r="F2359" i="1"/>
  <c r="Y2358" i="1"/>
  <c r="N2358" i="1"/>
  <c r="I2358" i="1"/>
  <c r="F2358" i="1"/>
  <c r="Y2357" i="1"/>
  <c r="N2357" i="1"/>
  <c r="I2357" i="1"/>
  <c r="F2357" i="1"/>
  <c r="Y2353" i="1"/>
  <c r="M2353" i="1"/>
  <c r="N2353" i="1" s="1"/>
  <c r="I2353" i="1"/>
  <c r="F2353" i="1"/>
  <c r="Y2348" i="1"/>
  <c r="I2348" i="1"/>
  <c r="F2348" i="1"/>
  <c r="Y2347" i="1"/>
  <c r="I2347" i="1"/>
  <c r="F2347" i="1"/>
  <c r="Y2345" i="1"/>
  <c r="M2345" i="1"/>
  <c r="N2345" i="1" s="1"/>
  <c r="I2345" i="1"/>
  <c r="F2345" i="1"/>
  <c r="Y2346" i="1"/>
  <c r="I2346" i="1"/>
  <c r="F2346" i="1"/>
  <c r="Y2349" i="1"/>
  <c r="M2349" i="1"/>
  <c r="N2349" i="1" s="1"/>
  <c r="I2349" i="1"/>
  <c r="F2349" i="1"/>
  <c r="J1695" i="2"/>
  <c r="K1695" i="2" s="1"/>
  <c r="J2340" i="1"/>
  <c r="M2340" i="1" s="1"/>
  <c r="N2340" i="1" s="1"/>
  <c r="Y2344" i="1"/>
  <c r="M2344" i="1"/>
  <c r="N2344" i="1" s="1"/>
  <c r="I2344" i="1"/>
  <c r="F2344" i="1"/>
  <c r="Y2341" i="1"/>
  <c r="M2341" i="1"/>
  <c r="N2341" i="1" s="1"/>
  <c r="I2341" i="1"/>
  <c r="F2341" i="1"/>
  <c r="Y2336" i="1"/>
  <c r="M2336" i="1"/>
  <c r="N2336" i="1" s="1"/>
  <c r="I2336" i="1"/>
  <c r="F2336" i="1"/>
  <c r="Y2339" i="1"/>
  <c r="J2339" i="1"/>
  <c r="M2339" i="1" s="1"/>
  <c r="N2339" i="1" s="1"/>
  <c r="I2339" i="1"/>
  <c r="F2339" i="1"/>
  <c r="Y2337" i="1"/>
  <c r="M2337" i="1"/>
  <c r="N2337" i="1" s="1"/>
  <c r="I2337" i="1"/>
  <c r="F2337" i="1"/>
  <c r="J1769" i="2"/>
  <c r="K1769" i="2" s="1"/>
  <c r="J1754" i="2"/>
  <c r="K1754" i="2" s="1"/>
  <c r="J1691" i="2"/>
  <c r="K1691" i="2" s="1"/>
  <c r="J1605" i="2"/>
  <c r="K1605" i="2" s="1"/>
  <c r="J1690" i="2"/>
  <c r="K1690" i="2" s="1"/>
  <c r="J2328" i="1"/>
  <c r="M2328" i="1" s="1"/>
  <c r="N2328" i="1" s="1"/>
  <c r="J2327" i="1"/>
  <c r="M2327" i="1" s="1"/>
  <c r="N2327" i="1" s="1"/>
  <c r="J2326" i="1"/>
  <c r="M2326" i="1" s="1"/>
  <c r="N2326" i="1" s="1"/>
  <c r="J2332" i="1"/>
  <c r="M2332" i="1" s="1"/>
  <c r="N2332" i="1" s="1"/>
  <c r="J2331" i="1"/>
  <c r="M2331" i="1" s="1"/>
  <c r="N2331" i="1" s="1"/>
  <c r="J2330" i="1"/>
  <c r="M2330" i="1" s="1"/>
  <c r="N2330" i="1" s="1"/>
  <c r="Y2338" i="1"/>
  <c r="M2338" i="1"/>
  <c r="N2338" i="1" s="1"/>
  <c r="I2338" i="1"/>
  <c r="F2338" i="1"/>
  <c r="Y2335" i="1"/>
  <c r="M2335" i="1"/>
  <c r="N2335" i="1" s="1"/>
  <c r="I2335" i="1"/>
  <c r="F2335" i="1"/>
  <c r="Y2334" i="1"/>
  <c r="M2334" i="1"/>
  <c r="N2334" i="1" s="1"/>
  <c r="I2334" i="1"/>
  <c r="F2334" i="1"/>
  <c r="Y2333" i="1"/>
  <c r="M2333" i="1"/>
  <c r="N2333" i="1" s="1"/>
  <c r="I2333" i="1"/>
  <c r="F2333" i="1"/>
  <c r="Y2328" i="1"/>
  <c r="I2328" i="1"/>
  <c r="F2328" i="1"/>
  <c r="Y2327" i="1"/>
  <c r="I2327" i="1"/>
  <c r="F2327" i="1"/>
  <c r="Y2324" i="1"/>
  <c r="M2324" i="1"/>
  <c r="N2324" i="1" s="1"/>
  <c r="I2324" i="1"/>
  <c r="F2324" i="1"/>
  <c r="Y2326" i="1"/>
  <c r="I2326" i="1"/>
  <c r="F2326" i="1"/>
  <c r="Y2332" i="1"/>
  <c r="I2332" i="1"/>
  <c r="F2332" i="1"/>
  <c r="Y2331" i="1"/>
  <c r="I2331" i="1"/>
  <c r="F2331" i="1"/>
  <c r="Y2342" i="1"/>
  <c r="M2342" i="1"/>
  <c r="N2342" i="1" s="1"/>
  <c r="I2342" i="1"/>
  <c r="F2342" i="1"/>
  <c r="Y2330" i="1"/>
  <c r="I2330" i="1"/>
  <c r="F2330" i="1"/>
  <c r="J1692" i="2"/>
  <c r="K1692" i="2" s="1"/>
  <c r="J1560" i="2"/>
  <c r="K1560" i="2" s="1"/>
  <c r="J1558" i="2"/>
  <c r="K1558" i="2" s="1"/>
  <c r="Y2316" i="1"/>
  <c r="J1689" i="2"/>
  <c r="K1689" i="2" s="1"/>
  <c r="J1752" i="2"/>
  <c r="K1752" i="2" s="1"/>
  <c r="M2303" i="1"/>
  <c r="N2303" i="1" s="1"/>
  <c r="J1688" i="2"/>
  <c r="K1688" i="2" s="1"/>
  <c r="J1751" i="2"/>
  <c r="K1751" i="2" s="1"/>
  <c r="J1694" i="2"/>
  <c r="K1694" i="2" s="1"/>
  <c r="J1750" i="2"/>
  <c r="K1750" i="2" s="1"/>
  <c r="Y2329" i="1"/>
  <c r="J2329" i="1"/>
  <c r="M2329" i="1" s="1"/>
  <c r="N2329" i="1" s="1"/>
  <c r="I2329" i="1"/>
  <c r="F2329" i="1"/>
  <c r="Y2312" i="1"/>
  <c r="M2312" i="1"/>
  <c r="N2312" i="1" s="1"/>
  <c r="I2312" i="1"/>
  <c r="F2312" i="1"/>
  <c r="Y2323" i="1"/>
  <c r="N2323" i="1"/>
  <c r="I2323" i="1"/>
  <c r="F2323" i="1"/>
  <c r="J2315" i="1"/>
  <c r="M2315" i="1" s="1"/>
  <c r="N2315" i="1" s="1"/>
  <c r="Y2325" i="1"/>
  <c r="M2325" i="1"/>
  <c r="N2325" i="1" s="1"/>
  <c r="I2325" i="1"/>
  <c r="F2325" i="1"/>
  <c r="Y2315" i="1"/>
  <c r="I2315" i="1"/>
  <c r="F2315" i="1"/>
  <c r="J2322" i="1"/>
  <c r="M2322" i="1" s="1"/>
  <c r="N2322" i="1" s="1"/>
  <c r="J2321" i="1"/>
  <c r="M2321" i="1" s="1"/>
  <c r="N2321" i="1" s="1"/>
  <c r="J2316" i="1"/>
  <c r="M2316" i="1" s="1"/>
  <c r="N2316" i="1" s="1"/>
  <c r="J2319" i="1"/>
  <c r="M2319" i="1" s="1"/>
  <c r="N2319" i="1" s="1"/>
  <c r="J2318" i="1"/>
  <c r="M2318" i="1" s="1"/>
  <c r="N2318" i="1" s="1"/>
  <c r="J2317" i="1"/>
  <c r="M2317" i="1" s="1"/>
  <c r="N2317" i="1" s="1"/>
  <c r="J2314" i="1"/>
  <c r="M2314" i="1" s="1"/>
  <c r="N2314" i="1" s="1"/>
  <c r="J2310" i="1"/>
  <c r="M2310" i="1" s="1"/>
  <c r="N2310" i="1" s="1"/>
  <c r="J2309" i="1"/>
  <c r="M2309" i="1" s="1"/>
  <c r="N2309" i="1" s="1"/>
  <c r="J2308" i="1"/>
  <c r="M2308" i="1" s="1"/>
  <c r="N2308" i="1" s="1"/>
  <c r="J2307" i="1"/>
  <c r="M2307" i="1" s="1"/>
  <c r="N2307" i="1" s="1"/>
  <c r="J2306" i="1"/>
  <c r="M2306" i="1" s="1"/>
  <c r="N2306" i="1" s="1"/>
  <c r="Y2322" i="1"/>
  <c r="I2322" i="1"/>
  <c r="F2322" i="1"/>
  <c r="Y2321" i="1"/>
  <c r="I2321" i="1"/>
  <c r="F2321" i="1"/>
  <c r="I2316" i="1"/>
  <c r="F2316" i="1"/>
  <c r="Y2319" i="1"/>
  <c r="I2319" i="1"/>
  <c r="F2319" i="1"/>
  <c r="Y2318" i="1"/>
  <c r="I2318" i="1"/>
  <c r="F2318" i="1"/>
  <c r="Y2317" i="1"/>
  <c r="I2317" i="1"/>
  <c r="F2317" i="1"/>
  <c r="M2320" i="1"/>
  <c r="N2320" i="1" s="1"/>
  <c r="I2320" i="1"/>
  <c r="F2320" i="1"/>
  <c r="Y2314" i="1"/>
  <c r="I2314" i="1"/>
  <c r="F2314" i="1"/>
  <c r="Y2310" i="1"/>
  <c r="I2310" i="1"/>
  <c r="F2310" i="1"/>
  <c r="Y2309" i="1"/>
  <c r="I2309" i="1"/>
  <c r="F2309" i="1"/>
  <c r="Y2308" i="1"/>
  <c r="I2308" i="1"/>
  <c r="F2308" i="1"/>
  <c r="Y2313" i="1"/>
  <c r="M2313" i="1"/>
  <c r="N2313" i="1" s="1"/>
  <c r="I2313" i="1"/>
  <c r="F2313" i="1"/>
  <c r="Y2307" i="1"/>
  <c r="I2307" i="1"/>
  <c r="F2307" i="1"/>
  <c r="Y2304" i="1"/>
  <c r="M2304" i="1"/>
  <c r="N2304" i="1" s="1"/>
  <c r="I2304" i="1"/>
  <c r="F2304" i="1"/>
  <c r="Y2311" i="1"/>
  <c r="M2311" i="1"/>
  <c r="N2311" i="1" s="1"/>
  <c r="I2311" i="1"/>
  <c r="F2311" i="1"/>
  <c r="Y2305" i="1"/>
  <c r="M2305" i="1"/>
  <c r="N2305" i="1" s="1"/>
  <c r="I2305" i="1"/>
  <c r="F2305" i="1"/>
  <c r="Y2306" i="1"/>
  <c r="I2306" i="1"/>
  <c r="F2306" i="1"/>
  <c r="Y2303" i="1"/>
  <c r="I2303" i="1"/>
  <c r="F2303" i="1"/>
  <c r="Y2302" i="1"/>
  <c r="M2302" i="1"/>
  <c r="N2302" i="1" s="1"/>
  <c r="I2302" i="1"/>
  <c r="F2302" i="1"/>
  <c r="M2295" i="1"/>
  <c r="N2295" i="1" s="1"/>
  <c r="J1556" i="2"/>
  <c r="K1556" i="2" s="1"/>
  <c r="J1748" i="2"/>
  <c r="K1748" i="2" s="1"/>
  <c r="J1686" i="2"/>
  <c r="K1686" i="2" s="1"/>
  <c r="M2291" i="1"/>
  <c r="N2291" i="1" s="1"/>
  <c r="J1746" i="2"/>
  <c r="K1746" i="2" s="1"/>
  <c r="Y2295" i="1"/>
  <c r="I2295" i="1"/>
  <c r="F2295" i="1"/>
  <c r="J2294" i="1"/>
  <c r="M2294" i="1" s="1"/>
  <c r="N2294" i="1" s="1"/>
  <c r="J2293" i="1"/>
  <c r="M2293" i="1" s="1"/>
  <c r="N2293" i="1" s="1"/>
  <c r="Y2301" i="1"/>
  <c r="M2301" i="1"/>
  <c r="N2301" i="1" s="1"/>
  <c r="I2301" i="1"/>
  <c r="F2301" i="1"/>
  <c r="Y2300" i="1"/>
  <c r="M2300" i="1"/>
  <c r="N2300" i="1" s="1"/>
  <c r="I2300" i="1"/>
  <c r="F2300" i="1"/>
  <c r="Y2299" i="1"/>
  <c r="M2299" i="1"/>
  <c r="N2299" i="1" s="1"/>
  <c r="I2299" i="1"/>
  <c r="F2299" i="1"/>
  <c r="Y2298" i="1"/>
  <c r="M2298" i="1"/>
  <c r="N2298" i="1" s="1"/>
  <c r="I2298" i="1"/>
  <c r="F2298" i="1"/>
  <c r="Y2297" i="1"/>
  <c r="M2297" i="1"/>
  <c r="N2297" i="1" s="1"/>
  <c r="I2297" i="1"/>
  <c r="F2297" i="1"/>
  <c r="Y2296" i="1"/>
  <c r="M2296" i="1"/>
  <c r="N2296" i="1" s="1"/>
  <c r="I2296" i="1"/>
  <c r="F2296" i="1"/>
  <c r="Y2294" i="1"/>
  <c r="I2294" i="1"/>
  <c r="F2294" i="1"/>
  <c r="Y2293" i="1"/>
  <c r="I2293" i="1"/>
  <c r="F2293" i="1"/>
  <c r="Y2292" i="1"/>
  <c r="M2292" i="1"/>
  <c r="N2292" i="1" s="1"/>
  <c r="I2292" i="1"/>
  <c r="F2292" i="1"/>
  <c r="Y2290" i="1"/>
  <c r="M2290" i="1"/>
  <c r="N2290" i="1" s="1"/>
  <c r="I2290" i="1"/>
  <c r="F2290" i="1"/>
  <c r="J1554" i="2"/>
  <c r="K1554" i="2" s="1"/>
  <c r="J1555" i="2"/>
  <c r="K1555" i="2" s="1"/>
  <c r="J1553" i="2"/>
  <c r="K1553" i="2" s="1"/>
  <c r="J1685" i="2"/>
  <c r="K1685" i="2" s="1"/>
  <c r="J1684" i="2"/>
  <c r="K1684" i="2" s="1"/>
  <c r="J1744" i="2"/>
  <c r="K1744" i="2" s="1"/>
  <c r="J2276" i="1"/>
  <c r="M2276" i="1" s="1"/>
  <c r="N2276" i="1" s="1"/>
  <c r="J1742" i="2"/>
  <c r="K1742" i="2" s="1"/>
  <c r="Y2284" i="1"/>
  <c r="M2284" i="1"/>
  <c r="N2284" i="1" s="1"/>
  <c r="I2284" i="1"/>
  <c r="F2284" i="1"/>
  <c r="Y2340" i="1"/>
  <c r="I2340" i="1"/>
  <c r="F2340" i="1"/>
  <c r="Y2279" i="1"/>
  <c r="M2279" i="1"/>
  <c r="N2279" i="1" s="1"/>
  <c r="I2279" i="1"/>
  <c r="F2279" i="1"/>
  <c r="Y2289" i="1"/>
  <c r="M2289" i="1"/>
  <c r="N2289" i="1" s="1"/>
  <c r="I2289" i="1"/>
  <c r="F2289" i="1"/>
  <c r="Y2288" i="1"/>
  <c r="M2288" i="1"/>
  <c r="N2288" i="1" s="1"/>
  <c r="I2288" i="1"/>
  <c r="F2288" i="1"/>
  <c r="Y2285" i="1"/>
  <c r="K2285" i="1"/>
  <c r="J2285" i="1"/>
  <c r="M2285" i="1" s="1"/>
  <c r="N2285" i="1" s="1"/>
  <c r="I2285" i="1"/>
  <c r="H2285" i="1"/>
  <c r="F2285" i="1"/>
  <c r="Y2287" i="1"/>
  <c r="M2287" i="1"/>
  <c r="N2287" i="1" s="1"/>
  <c r="I2287" i="1"/>
  <c r="F2287" i="1"/>
  <c r="Y2286" i="1"/>
  <c r="M2286" i="1"/>
  <c r="N2286" i="1" s="1"/>
  <c r="I2286" i="1"/>
  <c r="F2286" i="1"/>
  <c r="Y2291" i="1"/>
  <c r="I2291" i="1"/>
  <c r="F2291" i="1"/>
  <c r="Y2283" i="1"/>
  <c r="J2283" i="1"/>
  <c r="M2283" i="1" s="1"/>
  <c r="N2283" i="1" s="1"/>
  <c r="I2283" i="1"/>
  <c r="F2283" i="1"/>
  <c r="Y2282" i="1"/>
  <c r="J2282" i="1"/>
  <c r="M2282" i="1" s="1"/>
  <c r="N2282" i="1" s="1"/>
  <c r="I2282" i="1"/>
  <c r="F2282" i="1"/>
  <c r="Y2276" i="1"/>
  <c r="I2276" i="1"/>
  <c r="F2276" i="1"/>
  <c r="Y2281" i="1"/>
  <c r="J2281" i="1"/>
  <c r="M2281" i="1" s="1"/>
  <c r="N2281" i="1" s="1"/>
  <c r="I2281" i="1"/>
  <c r="F2281" i="1"/>
  <c r="Y2280" i="1"/>
  <c r="J2280" i="1"/>
  <c r="M2280" i="1" s="1"/>
  <c r="N2280" i="1" s="1"/>
  <c r="I2280" i="1"/>
  <c r="F2280" i="1"/>
  <c r="Y2278" i="1"/>
  <c r="M2278" i="1"/>
  <c r="N2278" i="1" s="1"/>
  <c r="I2278" i="1"/>
  <c r="F2278" i="1"/>
  <c r="Y2277" i="1"/>
  <c r="M2277" i="1"/>
  <c r="N2277" i="1" s="1"/>
  <c r="I2277" i="1"/>
  <c r="F2277" i="1"/>
  <c r="Y2275" i="1"/>
  <c r="J2275" i="1"/>
  <c r="M2275" i="1" s="1"/>
  <c r="N2275" i="1" s="1"/>
  <c r="I2275" i="1"/>
  <c r="F2275" i="1"/>
  <c r="J1730" i="2"/>
  <c r="K1730" i="2" s="1"/>
  <c r="J1672" i="2"/>
  <c r="K1672" i="2" s="1"/>
  <c r="J1775" i="2"/>
  <c r="K1775" i="2" s="1"/>
  <c r="J1729" i="2"/>
  <c r="K1729" i="2" s="1"/>
  <c r="J1671" i="2"/>
  <c r="K1671" i="2" s="1"/>
  <c r="Y2274" i="1"/>
  <c r="J2274" i="1"/>
  <c r="M2274" i="1" s="1"/>
  <c r="N2274" i="1" s="1"/>
  <c r="I2274" i="1"/>
  <c r="F2274" i="1"/>
  <c r="Y2273" i="1"/>
  <c r="J2273" i="1"/>
  <c r="M2273" i="1" s="1"/>
  <c r="N2273" i="1" s="1"/>
  <c r="I2273" i="1"/>
  <c r="F2273" i="1"/>
  <c r="Y2272" i="1"/>
  <c r="J2272" i="1"/>
  <c r="M2272" i="1" s="1"/>
  <c r="N2272" i="1" s="1"/>
  <c r="I2272" i="1"/>
  <c r="F2272" i="1"/>
  <c r="Y2271" i="1"/>
  <c r="J2271" i="1"/>
  <c r="M2271" i="1" s="1"/>
  <c r="N2271" i="1" s="1"/>
  <c r="I2271" i="1"/>
  <c r="F2271" i="1"/>
  <c r="Y2270" i="1"/>
  <c r="J2270" i="1"/>
  <c r="M2270" i="1" s="1"/>
  <c r="N2270" i="1" s="1"/>
  <c r="I2270" i="1"/>
  <c r="F2270" i="1"/>
  <c r="Y2269" i="1"/>
  <c r="J2269" i="1"/>
  <c r="M2269" i="1" s="1"/>
  <c r="N2269" i="1" s="1"/>
  <c r="I2269" i="1"/>
  <c r="F2269" i="1"/>
  <c r="Y2268" i="1"/>
  <c r="J2268" i="1"/>
  <c r="M2268" i="1" s="1"/>
  <c r="N2268" i="1" s="1"/>
  <c r="I2268" i="1"/>
  <c r="F2268" i="1"/>
  <c r="Y2265" i="1"/>
  <c r="M2265" i="1"/>
  <c r="N2265" i="1" s="1"/>
  <c r="I2265" i="1"/>
  <c r="F2265" i="1"/>
  <c r="Y2267" i="1"/>
  <c r="J2267" i="1"/>
  <c r="M2267" i="1" s="1"/>
  <c r="N2267" i="1" s="1"/>
  <c r="I2267" i="1"/>
  <c r="F2267" i="1"/>
  <c r="Y2264" i="1"/>
  <c r="M2264" i="1"/>
  <c r="N2264" i="1" s="1"/>
  <c r="I2264" i="1"/>
  <c r="F2264" i="1"/>
  <c r="Y2263" i="1"/>
  <c r="M2263" i="1"/>
  <c r="N2263" i="1" s="1"/>
  <c r="I2263" i="1"/>
  <c r="F2263" i="1"/>
  <c r="Y2266" i="1"/>
  <c r="M2266" i="1"/>
  <c r="N2266" i="1" s="1"/>
  <c r="I2266" i="1"/>
  <c r="F2266" i="1"/>
  <c r="Y2261" i="1"/>
  <c r="J2261" i="1"/>
  <c r="M2261" i="1" s="1"/>
  <c r="N2261" i="1" s="1"/>
  <c r="I2261" i="1"/>
  <c r="F2261" i="1"/>
  <c r="Y2260" i="1"/>
  <c r="J2260" i="1"/>
  <c r="M2260" i="1" s="1"/>
  <c r="N2260" i="1" s="1"/>
  <c r="I2260" i="1"/>
  <c r="F2260" i="1"/>
  <c r="Y2259" i="1"/>
  <c r="J2259" i="1"/>
  <c r="M2259" i="1" s="1"/>
  <c r="N2259" i="1" s="1"/>
  <c r="I2259" i="1"/>
  <c r="F2259" i="1"/>
  <c r="Y2258" i="1"/>
  <c r="J2258" i="1"/>
  <c r="M2258" i="1" s="1"/>
  <c r="N2258" i="1" s="1"/>
  <c r="I2258" i="1"/>
  <c r="F2258" i="1"/>
  <c r="Y2262" i="1"/>
  <c r="M2262" i="1"/>
  <c r="N2262" i="1" s="1"/>
  <c r="I2262" i="1"/>
  <c r="F2262" i="1"/>
  <c r="J1551" i="2"/>
  <c r="K1551" i="2" s="1"/>
  <c r="J1550" i="2"/>
  <c r="K1550" i="2" s="1"/>
  <c r="Y2252" i="1"/>
  <c r="F2252" i="1"/>
  <c r="I2252" i="1"/>
  <c r="M2252" i="1"/>
  <c r="N2252" i="1" s="1"/>
  <c r="J1670" i="2"/>
  <c r="K1670" i="2" s="1"/>
  <c r="Y2243" i="1"/>
  <c r="N2243" i="1"/>
  <c r="I2243" i="1"/>
  <c r="F2243" i="1"/>
  <c r="M2241" i="1"/>
  <c r="N2241" i="1" s="1"/>
  <c r="J2240" i="1"/>
  <c r="M2240" i="1" s="1"/>
  <c r="N2240" i="1" s="1"/>
  <c r="J2239" i="1"/>
  <c r="M2239" i="1" s="1"/>
  <c r="N2239" i="1" s="1"/>
  <c r="Y2240" i="1"/>
  <c r="I2240" i="1"/>
  <c r="F2240" i="1"/>
  <c r="Y2256" i="1"/>
  <c r="K2256" i="1"/>
  <c r="J2256" i="1"/>
  <c r="M2256" i="1" s="1"/>
  <c r="N2256" i="1" s="1"/>
  <c r="I2256" i="1"/>
  <c r="H2256" i="1"/>
  <c r="F2256" i="1"/>
  <c r="Y2247" i="1"/>
  <c r="K2247" i="1"/>
  <c r="J2247" i="1"/>
  <c r="M2247" i="1" s="1"/>
  <c r="N2247" i="1" s="1"/>
  <c r="I2247" i="1"/>
  <c r="H2247" i="1"/>
  <c r="F2247" i="1"/>
  <c r="Y2246" i="1"/>
  <c r="J2246" i="1"/>
  <c r="M2246" i="1" s="1"/>
  <c r="N2246" i="1" s="1"/>
  <c r="I2246" i="1"/>
  <c r="F2246" i="1"/>
  <c r="Y2254" i="1"/>
  <c r="M2254" i="1"/>
  <c r="N2254" i="1" s="1"/>
  <c r="I2254" i="1"/>
  <c r="F2254" i="1"/>
  <c r="Y2253" i="1"/>
  <c r="M2253" i="1"/>
  <c r="N2253" i="1" s="1"/>
  <c r="I2253" i="1"/>
  <c r="F2253" i="1"/>
  <c r="Y2251" i="1"/>
  <c r="M2251" i="1"/>
  <c r="N2251" i="1" s="1"/>
  <c r="I2251" i="1"/>
  <c r="F2251" i="1"/>
  <c r="Y2250" i="1"/>
  <c r="M2250" i="1"/>
  <c r="N2250" i="1" s="1"/>
  <c r="I2250" i="1"/>
  <c r="F2250" i="1"/>
  <c r="Y2249" i="1"/>
  <c r="M2249" i="1"/>
  <c r="N2249" i="1" s="1"/>
  <c r="I2249" i="1"/>
  <c r="F2249" i="1"/>
  <c r="Y2255" i="1"/>
  <c r="J2255" i="1"/>
  <c r="M2255" i="1" s="1"/>
  <c r="N2255" i="1" s="1"/>
  <c r="I2255" i="1"/>
  <c r="F2255" i="1"/>
  <c r="Y2248" i="1"/>
  <c r="M2248" i="1"/>
  <c r="N2248" i="1" s="1"/>
  <c r="I2248" i="1"/>
  <c r="F2248" i="1"/>
  <c r="Y2242" i="1"/>
  <c r="M2242" i="1"/>
  <c r="N2242" i="1" s="1"/>
  <c r="I2242" i="1"/>
  <c r="F2242" i="1"/>
  <c r="Y2245" i="1"/>
  <c r="J2245" i="1"/>
  <c r="N2245" i="1" s="1"/>
  <c r="I2245" i="1"/>
  <c r="F2245" i="1"/>
  <c r="Y2244" i="1"/>
  <c r="J2244" i="1"/>
  <c r="N2244" i="1" s="1"/>
  <c r="I2244" i="1"/>
  <c r="F2244" i="1"/>
  <c r="J1669" i="2"/>
  <c r="K1669" i="2" s="1"/>
  <c r="J1552" i="2"/>
  <c r="K1552" i="2" s="1"/>
  <c r="J1549" i="2"/>
  <c r="K1549" i="2" s="1"/>
  <c r="Y2238" i="1"/>
  <c r="J2238" i="1"/>
  <c r="M2238" i="1" s="1"/>
  <c r="N2238" i="1" s="1"/>
  <c r="I2238" i="1"/>
  <c r="F2238" i="1"/>
  <c r="J1683" i="2"/>
  <c r="K1683" i="2" s="1"/>
  <c r="J1548" i="2"/>
  <c r="K1548" i="2" s="1"/>
  <c r="J1667" i="2"/>
  <c r="K1667" i="2" s="1"/>
  <c r="Y2237" i="1"/>
  <c r="J2237" i="1"/>
  <c r="M2237" i="1" s="1"/>
  <c r="N2237" i="1" s="1"/>
  <c r="I2237" i="1"/>
  <c r="F2237" i="1"/>
  <c r="J2236" i="1"/>
  <c r="M2236" i="1" s="1"/>
  <c r="N2236" i="1" s="1"/>
  <c r="J2234" i="1"/>
  <c r="M2234" i="1" s="1"/>
  <c r="N2234" i="1" s="1"/>
  <c r="J2233" i="1"/>
  <c r="M2233" i="1" s="1"/>
  <c r="N2233" i="1" s="1"/>
  <c r="J2232" i="1"/>
  <c r="M2232" i="1" s="1"/>
  <c r="N2232" i="1" s="1"/>
  <c r="J2231" i="1"/>
  <c r="M2231" i="1" s="1"/>
  <c r="N2231" i="1" s="1"/>
  <c r="M2257" i="1"/>
  <c r="N2257" i="1" s="1"/>
  <c r="J2228" i="1"/>
  <c r="J2230" i="1"/>
  <c r="M2230" i="1" s="1"/>
  <c r="N2230" i="1" s="1"/>
  <c r="J2227" i="1"/>
  <c r="M2227" i="1" s="1"/>
  <c r="N2227" i="1" s="1"/>
  <c r="Y2241" i="1"/>
  <c r="I2241" i="1"/>
  <c r="F2241" i="1"/>
  <c r="Y2236" i="1"/>
  <c r="I2236" i="1"/>
  <c r="F2236" i="1"/>
  <c r="Y2234" i="1"/>
  <c r="I2234" i="1"/>
  <c r="F2234" i="1"/>
  <c r="Y2233" i="1"/>
  <c r="I2233" i="1"/>
  <c r="F2233" i="1"/>
  <c r="Y2232" i="1"/>
  <c r="I2232" i="1"/>
  <c r="F2232" i="1"/>
  <c r="Y2231" i="1"/>
  <c r="I2231" i="1"/>
  <c r="F2231" i="1"/>
  <c r="Y2229" i="1"/>
  <c r="N2229" i="1"/>
  <c r="I2229" i="1"/>
  <c r="F2229" i="1"/>
  <c r="Y2257" i="1"/>
  <c r="I2257" i="1"/>
  <c r="F2257" i="1"/>
  <c r="Y2228" i="1"/>
  <c r="N2228" i="1"/>
  <c r="I2228" i="1"/>
  <c r="F2228" i="1"/>
  <c r="Y2230" i="1"/>
  <c r="I2230" i="1"/>
  <c r="F2230" i="1"/>
  <c r="Y2227" i="1"/>
  <c r="I2227" i="1"/>
  <c r="F2227" i="1"/>
  <c r="Y2239" i="1"/>
  <c r="I2239" i="1"/>
  <c r="F2239" i="1"/>
  <c r="Y2225" i="1"/>
  <c r="N2225" i="1"/>
  <c r="I2225" i="1"/>
  <c r="F2225" i="1"/>
  <c r="Y2226" i="1"/>
  <c r="M2226" i="1"/>
  <c r="N2226" i="1" s="1"/>
  <c r="I2226" i="1"/>
  <c r="F2226" i="1"/>
  <c r="Y2235" i="1"/>
  <c r="N2235" i="1"/>
  <c r="F2235" i="1"/>
  <c r="I2235" i="1"/>
  <c r="J1668" i="2"/>
  <c r="K1668" i="2" s="1"/>
  <c r="J1547" i="2"/>
  <c r="K1547" i="2" s="1"/>
  <c r="J1666" i="2"/>
  <c r="K1666" i="2" s="1"/>
  <c r="Y2215" i="1"/>
  <c r="N2215" i="1"/>
  <c r="I2215" i="1"/>
  <c r="F2215" i="1"/>
  <c r="J2213" i="1"/>
  <c r="M2213" i="1" s="1"/>
  <c r="N2213" i="1" s="1"/>
  <c r="J1546" i="2"/>
  <c r="K1546" i="2" s="1"/>
  <c r="M2204" i="1"/>
  <c r="N2204" i="1" s="1"/>
  <c r="J2217" i="1"/>
  <c r="M2217" i="1" s="1"/>
  <c r="N2217" i="1" s="1"/>
  <c r="J2219" i="1"/>
  <c r="J2216" i="1"/>
  <c r="M2216" i="1" s="1"/>
  <c r="N2216" i="1" s="1"/>
  <c r="J2214" i="1"/>
  <c r="M2214" i="1" s="1"/>
  <c r="N2214" i="1" s="1"/>
  <c r="J2223" i="1"/>
  <c r="J2212" i="1"/>
  <c r="M2212" i="1" s="1"/>
  <c r="N2212" i="1" s="1"/>
  <c r="J2211" i="1"/>
  <c r="M2211" i="1" s="1"/>
  <c r="N2211" i="1" s="1"/>
  <c r="J2210" i="1"/>
  <c r="M2210" i="1" s="1"/>
  <c r="N2210" i="1" s="1"/>
  <c r="J2209" i="1"/>
  <c r="M2209" i="1" s="1"/>
  <c r="N2209" i="1" s="1"/>
  <c r="J2208" i="1"/>
  <c r="M2208" i="1" s="1"/>
  <c r="N2208" i="1" s="1"/>
  <c r="J2207" i="1"/>
  <c r="M2207" i="1" s="1"/>
  <c r="N2207" i="1" s="1"/>
  <c r="J2206" i="1"/>
  <c r="M2206" i="1" s="1"/>
  <c r="N2206" i="1" s="1"/>
  <c r="J2205" i="1"/>
  <c r="M2205" i="1" s="1"/>
  <c r="N2205" i="1" s="1"/>
  <c r="Y2217" i="1"/>
  <c r="K2217" i="1"/>
  <c r="I2217" i="1"/>
  <c r="H2217" i="1"/>
  <c r="F2217" i="1"/>
  <c r="Y2219" i="1"/>
  <c r="N2219" i="1"/>
  <c r="I2219" i="1"/>
  <c r="F2219" i="1"/>
  <c r="Y2222" i="1"/>
  <c r="N2222" i="1"/>
  <c r="I2222" i="1"/>
  <c r="F2222" i="1"/>
  <c r="Y2221" i="1"/>
  <c r="N2221" i="1"/>
  <c r="I2221" i="1"/>
  <c r="F2221" i="1"/>
  <c r="Y2220" i="1"/>
  <c r="N2220" i="1"/>
  <c r="I2220" i="1"/>
  <c r="F2220" i="1"/>
  <c r="Y2216" i="1"/>
  <c r="K2216" i="1"/>
  <c r="I2216" i="1"/>
  <c r="H2216" i="1"/>
  <c r="F2216" i="1"/>
  <c r="Y2214" i="1"/>
  <c r="I2214" i="1"/>
  <c r="F2214" i="1"/>
  <c r="Y2223" i="1"/>
  <c r="N2223" i="1"/>
  <c r="I2223" i="1"/>
  <c r="F2223" i="1"/>
  <c r="Y2218" i="1"/>
  <c r="N2218" i="1"/>
  <c r="I2218" i="1"/>
  <c r="F2218" i="1"/>
  <c r="Y2212" i="1"/>
  <c r="I2212" i="1"/>
  <c r="F2212" i="1"/>
  <c r="Y2211" i="1"/>
  <c r="I2211" i="1"/>
  <c r="F2211" i="1"/>
  <c r="Y2210" i="1"/>
  <c r="I2210" i="1"/>
  <c r="F2210" i="1"/>
  <c r="Y2209" i="1"/>
  <c r="I2209" i="1"/>
  <c r="F2209" i="1"/>
  <c r="Y2213" i="1"/>
  <c r="I2213" i="1"/>
  <c r="F2213" i="1"/>
  <c r="Y2208" i="1"/>
  <c r="I2208" i="1"/>
  <c r="F2208" i="1"/>
  <c r="Y2207" i="1"/>
  <c r="I2207" i="1"/>
  <c r="F2207" i="1"/>
  <c r="Y2206" i="1"/>
  <c r="K2206" i="1"/>
  <c r="I2206" i="1"/>
  <c r="H2206" i="1"/>
  <c r="F2206" i="1"/>
  <c r="Y2205" i="1"/>
  <c r="I2205" i="1"/>
  <c r="F2205" i="1"/>
  <c r="J2224" i="1"/>
  <c r="J1665" i="2"/>
  <c r="K1665" i="2" s="1"/>
  <c r="J1545" i="2"/>
  <c r="K1545" i="2" s="1"/>
  <c r="Y2204" i="1"/>
  <c r="I2204" i="1"/>
  <c r="F2204" i="1"/>
  <c r="Y2203" i="1"/>
  <c r="J2203" i="1"/>
  <c r="M2203" i="1" s="1"/>
  <c r="N2203" i="1" s="1"/>
  <c r="I2203" i="1"/>
  <c r="F2203" i="1"/>
  <c r="Y2190" i="1"/>
  <c r="M2190" i="1"/>
  <c r="N2190" i="1" s="1"/>
  <c r="I2190" i="1"/>
  <c r="F2190" i="1"/>
  <c r="J1664" i="2"/>
  <c r="K1664" i="2" s="1"/>
  <c r="J1544" i="2"/>
  <c r="K1544" i="2" s="1"/>
  <c r="Y2200" i="1"/>
  <c r="F2200" i="1"/>
  <c r="I2200" i="1"/>
  <c r="J2200" i="1"/>
  <c r="M2200" i="1" s="1"/>
  <c r="N2200" i="1" s="1"/>
  <c r="J1663" i="2"/>
  <c r="K1663" i="2" s="1"/>
  <c r="J1662" i="2"/>
  <c r="I1662" i="2"/>
  <c r="Y2201" i="1"/>
  <c r="J2201" i="1"/>
  <c r="M2201" i="1" s="1"/>
  <c r="N2201" i="1" s="1"/>
  <c r="I2201" i="1"/>
  <c r="F2201" i="1"/>
  <c r="Y2191" i="1"/>
  <c r="M2191" i="1"/>
  <c r="N2191" i="1" s="1"/>
  <c r="I2191" i="1"/>
  <c r="F2191" i="1"/>
  <c r="Y2186" i="1"/>
  <c r="J2186" i="1"/>
  <c r="M2186" i="1" s="1"/>
  <c r="N2186" i="1" s="1"/>
  <c r="I2186" i="1"/>
  <c r="F2186" i="1"/>
  <c r="Y2199" i="1"/>
  <c r="J2199" i="1"/>
  <c r="M2199" i="1" s="1"/>
  <c r="N2199" i="1" s="1"/>
  <c r="I2199" i="1"/>
  <c r="F2199" i="1"/>
  <c r="Y2224" i="1"/>
  <c r="N2224" i="1"/>
  <c r="I2224" i="1"/>
  <c r="F2224" i="1"/>
  <c r="Y2202" i="1"/>
  <c r="J2202" i="1"/>
  <c r="M2202" i="1" s="1"/>
  <c r="N2202" i="1" s="1"/>
  <c r="I2202" i="1"/>
  <c r="F2202" i="1"/>
  <c r="Y2185" i="1"/>
  <c r="J2185" i="1"/>
  <c r="M2185" i="1" s="1"/>
  <c r="N2185" i="1" s="1"/>
  <c r="I2185" i="1"/>
  <c r="F2185" i="1"/>
  <c r="Y2198" i="1"/>
  <c r="J2198" i="1"/>
  <c r="M2198" i="1" s="1"/>
  <c r="N2198" i="1" s="1"/>
  <c r="I2198" i="1"/>
  <c r="F2198" i="1"/>
  <c r="Y2194" i="1"/>
  <c r="J2194" i="1"/>
  <c r="M2194" i="1" s="1"/>
  <c r="N2194" i="1" s="1"/>
  <c r="I2194" i="1"/>
  <c r="F2194" i="1"/>
  <c r="Y2189" i="1"/>
  <c r="M2189" i="1"/>
  <c r="N2189" i="1" s="1"/>
  <c r="I2189" i="1"/>
  <c r="F2189" i="1"/>
  <c r="Y2184" i="1"/>
  <c r="J2184" i="1"/>
  <c r="M2184" i="1" s="1"/>
  <c r="N2184" i="1" s="1"/>
  <c r="I2184" i="1"/>
  <c r="F2184" i="1"/>
  <c r="Y2197" i="1"/>
  <c r="J2197" i="1"/>
  <c r="M2197" i="1" s="1"/>
  <c r="N2197" i="1" s="1"/>
  <c r="I2197" i="1"/>
  <c r="F2197" i="1"/>
  <c r="Y2196" i="1"/>
  <c r="J2196" i="1"/>
  <c r="M2196" i="1" s="1"/>
  <c r="N2196" i="1" s="1"/>
  <c r="I2196" i="1"/>
  <c r="F2196" i="1"/>
  <c r="Y2195" i="1"/>
  <c r="J2195" i="1"/>
  <c r="M2195" i="1" s="1"/>
  <c r="N2195" i="1" s="1"/>
  <c r="I2195" i="1"/>
  <c r="F2195" i="1"/>
  <c r="Y2188" i="1"/>
  <c r="M2188" i="1"/>
  <c r="N2188" i="1" s="1"/>
  <c r="I2188" i="1"/>
  <c r="F2188" i="1"/>
  <c r="Y2187" i="1"/>
  <c r="M2187" i="1"/>
  <c r="N2187" i="1" s="1"/>
  <c r="I2187" i="1"/>
  <c r="F2187" i="1"/>
  <c r="Y2182" i="1"/>
  <c r="M2182" i="1"/>
  <c r="N2182" i="1" s="1"/>
  <c r="I2182" i="1"/>
  <c r="F2182" i="1"/>
  <c r="Y2121" i="1"/>
  <c r="M2121" i="1"/>
  <c r="N2121" i="1" s="1"/>
  <c r="I2121" i="1"/>
  <c r="F2121" i="1"/>
  <c r="Y2106" i="1"/>
  <c r="J2106" i="1"/>
  <c r="M2106" i="1" s="1"/>
  <c r="N2106" i="1" s="1"/>
  <c r="I2106" i="1"/>
  <c r="F2106" i="1"/>
  <c r="Y2102" i="1"/>
  <c r="J2102" i="1"/>
  <c r="M2102" i="1" s="1"/>
  <c r="N2102" i="1" s="1"/>
  <c r="I2102" i="1"/>
  <c r="F2102" i="1"/>
  <c r="Y2019" i="1"/>
  <c r="J2019" i="1"/>
  <c r="M2019" i="1" s="1"/>
  <c r="N2019" i="1" s="1"/>
  <c r="I2019" i="1"/>
  <c r="F2019" i="1"/>
  <c r="Y2193" i="1"/>
  <c r="M2193" i="1"/>
  <c r="N2193" i="1" s="1"/>
  <c r="I2193" i="1"/>
  <c r="F2193" i="1"/>
  <c r="Y2192" i="1"/>
  <c r="M2192" i="1"/>
  <c r="N2192" i="1" s="1"/>
  <c r="I2192" i="1"/>
  <c r="F2192" i="1"/>
  <c r="Y2183" i="1"/>
  <c r="M2183" i="1"/>
  <c r="N2183" i="1" s="1"/>
  <c r="I2183" i="1"/>
  <c r="F2183" i="1"/>
  <c r="J1543" i="2"/>
  <c r="K1543" i="2" s="1"/>
  <c r="J2177" i="1"/>
  <c r="M2177" i="1" s="1"/>
  <c r="N2177" i="1" s="1"/>
  <c r="J2180" i="1"/>
  <c r="J2181" i="1"/>
  <c r="M2181" i="1" s="1"/>
  <c r="N2181" i="1" s="1"/>
  <c r="J2179" i="1"/>
  <c r="M2179" i="1" s="1"/>
  <c r="N2179" i="1" s="1"/>
  <c r="F2178" i="1"/>
  <c r="I2178" i="1"/>
  <c r="N2178" i="1"/>
  <c r="Y2178" i="1"/>
  <c r="F2177" i="1"/>
  <c r="I2177" i="1"/>
  <c r="Y2177" i="1"/>
  <c r="F2180" i="1"/>
  <c r="I2180" i="1"/>
  <c r="N2180" i="1"/>
  <c r="Y2180" i="1"/>
  <c r="F2181" i="1"/>
  <c r="I2181" i="1"/>
  <c r="Y2181" i="1"/>
  <c r="Y2179" i="1"/>
  <c r="F2179" i="1"/>
  <c r="I2179" i="1"/>
  <c r="I2172" i="1"/>
  <c r="I2173" i="1"/>
  <c r="I2170" i="1"/>
  <c r="J1542" i="2"/>
  <c r="K1542" i="2" s="1"/>
  <c r="Y2172" i="1"/>
  <c r="F2172" i="1"/>
  <c r="M2172" i="1"/>
  <c r="N2172" i="1" s="1"/>
  <c r="I1661" i="2"/>
  <c r="J1661" i="2"/>
  <c r="K1661" i="2" s="1"/>
  <c r="J1541" i="2"/>
  <c r="K1541" i="2" s="1"/>
  <c r="Y2174" i="1"/>
  <c r="M2174" i="1"/>
  <c r="N2174" i="1" s="1"/>
  <c r="I2174" i="1"/>
  <c r="F2174" i="1"/>
  <c r="J1540" i="2"/>
  <c r="K1540" i="2" s="1"/>
  <c r="J1660" i="2"/>
  <c r="K1660" i="2" s="1"/>
  <c r="Y2163" i="1"/>
  <c r="M2163" i="1"/>
  <c r="N2163" i="1" s="1"/>
  <c r="I2163" i="1"/>
  <c r="F2163" i="1"/>
  <c r="Y2176" i="1"/>
  <c r="K2176" i="1"/>
  <c r="J2176" i="1"/>
  <c r="M2176" i="1" s="1"/>
  <c r="N2176" i="1" s="1"/>
  <c r="I2176" i="1"/>
  <c r="H2176" i="1"/>
  <c r="F2176" i="1"/>
  <c r="Y2171" i="1"/>
  <c r="K2171" i="1"/>
  <c r="J2171" i="1"/>
  <c r="M2171" i="1" s="1"/>
  <c r="N2171" i="1" s="1"/>
  <c r="I2171" i="1"/>
  <c r="H2171" i="1"/>
  <c r="F2171" i="1"/>
  <c r="Y2169" i="1"/>
  <c r="J2169" i="1"/>
  <c r="M2169" i="1" s="1"/>
  <c r="N2169" i="1" s="1"/>
  <c r="I2169" i="1"/>
  <c r="F2169" i="1"/>
  <c r="Y2168" i="1"/>
  <c r="J2168" i="1"/>
  <c r="M2168" i="1" s="1"/>
  <c r="N2168" i="1" s="1"/>
  <c r="I2168" i="1"/>
  <c r="F2168" i="1"/>
  <c r="Y2158" i="1"/>
  <c r="M2158" i="1"/>
  <c r="N2158" i="1" s="1"/>
  <c r="I2158" i="1"/>
  <c r="F2158" i="1"/>
  <c r="Y2166" i="1"/>
  <c r="J2166" i="1"/>
  <c r="M2166" i="1" s="1"/>
  <c r="N2166" i="1" s="1"/>
  <c r="I2166" i="1"/>
  <c r="F2166" i="1"/>
  <c r="Y2157" i="1"/>
  <c r="M2157" i="1"/>
  <c r="N2157" i="1" s="1"/>
  <c r="I2157" i="1"/>
  <c r="F2157" i="1"/>
  <c r="Y2156" i="1"/>
  <c r="M2156" i="1"/>
  <c r="N2156" i="1" s="1"/>
  <c r="I2156" i="1"/>
  <c r="F2156" i="1"/>
  <c r="Y2162" i="1"/>
  <c r="J2162" i="1"/>
  <c r="M2162" i="1" s="1"/>
  <c r="N2162" i="1" s="1"/>
  <c r="I2162" i="1"/>
  <c r="F2162" i="1"/>
  <c r="Y2159" i="1"/>
  <c r="K2159" i="1"/>
  <c r="J2159" i="1"/>
  <c r="M2159" i="1" s="1"/>
  <c r="N2159" i="1" s="1"/>
  <c r="I2159" i="1"/>
  <c r="H2159" i="1"/>
  <c r="F2159" i="1"/>
  <c r="Y2161" i="1"/>
  <c r="J2161" i="1"/>
  <c r="M2161" i="1" s="1"/>
  <c r="N2161" i="1" s="1"/>
  <c r="I2161" i="1"/>
  <c r="F2161" i="1"/>
  <c r="Y2154" i="1"/>
  <c r="M2154" i="1"/>
  <c r="N2154" i="1" s="1"/>
  <c r="I2154" i="1"/>
  <c r="F2154" i="1"/>
  <c r="Y2153" i="1"/>
  <c r="M2153" i="1"/>
  <c r="N2153" i="1" s="1"/>
  <c r="I2153" i="1"/>
  <c r="F2153" i="1"/>
  <c r="Y2167" i="1"/>
  <c r="J2167" i="1"/>
  <c r="M2167" i="1" s="1"/>
  <c r="N2167" i="1" s="1"/>
  <c r="I2167" i="1"/>
  <c r="F2167" i="1"/>
  <c r="Y2175" i="1"/>
  <c r="K2175" i="1"/>
  <c r="J2175" i="1"/>
  <c r="M2175" i="1" s="1"/>
  <c r="N2175" i="1" s="1"/>
  <c r="I2175" i="1"/>
  <c r="H2175" i="1"/>
  <c r="F2175" i="1"/>
  <c r="Y2164" i="1"/>
  <c r="M2164" i="1"/>
  <c r="N2164" i="1" s="1"/>
  <c r="I2164" i="1"/>
  <c r="F2164" i="1"/>
  <c r="Y2170" i="1"/>
  <c r="M2170" i="1"/>
  <c r="N2170" i="1" s="1"/>
  <c r="F2170" i="1"/>
  <c r="Y2160" i="1"/>
  <c r="J2160" i="1"/>
  <c r="M2160" i="1" s="1"/>
  <c r="N2160" i="1" s="1"/>
  <c r="I2160" i="1"/>
  <c r="F2160" i="1"/>
  <c r="Y2165" i="1"/>
  <c r="M2165" i="1"/>
  <c r="N2165" i="1" s="1"/>
  <c r="I2165" i="1"/>
  <c r="F2165" i="1"/>
  <c r="J1658" i="2"/>
  <c r="K1658" i="2" s="1"/>
  <c r="J1539" i="2"/>
  <c r="K1539" i="2" s="1"/>
  <c r="J1537" i="2"/>
  <c r="K1537" i="2" s="1"/>
  <c r="Y2155" i="1"/>
  <c r="M2155" i="1"/>
  <c r="N2155" i="1" s="1"/>
  <c r="I2155" i="1"/>
  <c r="F2155" i="1"/>
  <c r="Y2152" i="1"/>
  <c r="M2152" i="1"/>
  <c r="N2152" i="1" s="1"/>
  <c r="I2152" i="1"/>
  <c r="F2152" i="1"/>
  <c r="Y2146" i="1"/>
  <c r="J2146" i="1"/>
  <c r="M2146" i="1" s="1"/>
  <c r="N2146" i="1" s="1"/>
  <c r="I2146" i="1"/>
  <c r="F2146" i="1"/>
  <c r="Y2150" i="1"/>
  <c r="J2150" i="1"/>
  <c r="I2150" i="1"/>
  <c r="F2150" i="1"/>
  <c r="J1659" i="2"/>
  <c r="I1659" i="2"/>
  <c r="J1538" i="2"/>
  <c r="K1538" i="2" s="1"/>
  <c r="J1536" i="2"/>
  <c r="K1536" i="2" s="1"/>
  <c r="J1657" i="2"/>
  <c r="I1657" i="2"/>
  <c r="I1656" i="2"/>
  <c r="J1656" i="2"/>
  <c r="K1656" i="2" s="1"/>
  <c r="J2128" i="1"/>
  <c r="M2128" i="1" s="1"/>
  <c r="N2128" i="1" s="1"/>
  <c r="J2127" i="1"/>
  <c r="M2127" i="1" s="1"/>
  <c r="N2127" i="1" s="1"/>
  <c r="J2125" i="1"/>
  <c r="M2125" i="1" s="1"/>
  <c r="N2125" i="1" s="1"/>
  <c r="J2124" i="1"/>
  <c r="M2124" i="1" s="1"/>
  <c r="N2124" i="1" s="1"/>
  <c r="J2123" i="1"/>
  <c r="M2123" i="1" s="1"/>
  <c r="N2123" i="1" s="1"/>
  <c r="J2122" i="1"/>
  <c r="M2122" i="1" s="1"/>
  <c r="N2122" i="1" s="1"/>
  <c r="Y2126" i="1"/>
  <c r="F2126" i="1"/>
  <c r="I2126" i="1"/>
  <c r="J2126" i="1"/>
  <c r="M2126" i="1" s="1"/>
  <c r="N2126" i="1" s="1"/>
  <c r="J1534" i="2"/>
  <c r="K1534" i="2" s="1"/>
  <c r="J1532" i="2"/>
  <c r="K1532" i="2" s="1"/>
  <c r="Y2135" i="1"/>
  <c r="J2135" i="1"/>
  <c r="M2135" i="1" s="1"/>
  <c r="N2135" i="1" s="1"/>
  <c r="I2135" i="1"/>
  <c r="F2135" i="1"/>
  <c r="Y2143" i="1"/>
  <c r="J2143" i="1"/>
  <c r="M2143" i="1" s="1"/>
  <c r="N2143" i="1" s="1"/>
  <c r="I2143" i="1"/>
  <c r="F2143" i="1"/>
  <c r="Y2151" i="1"/>
  <c r="N2151" i="1"/>
  <c r="I2151" i="1"/>
  <c r="F2151" i="1"/>
  <c r="Y2149" i="1"/>
  <c r="J2149" i="1"/>
  <c r="M2149" i="1" s="1"/>
  <c r="I2149" i="1"/>
  <c r="F2149" i="1"/>
  <c r="Y2148" i="1"/>
  <c r="J2148" i="1"/>
  <c r="M2148" i="1" s="1"/>
  <c r="I2148" i="1"/>
  <c r="F2148" i="1"/>
  <c r="Y2147" i="1"/>
  <c r="J2147" i="1"/>
  <c r="M2147" i="1" s="1"/>
  <c r="I2147" i="1"/>
  <c r="F2147" i="1"/>
  <c r="Y2144" i="1"/>
  <c r="J2144" i="1"/>
  <c r="M2144" i="1" s="1"/>
  <c r="N2144" i="1" s="1"/>
  <c r="I2144" i="1"/>
  <c r="F2144" i="1"/>
  <c r="Y2145" i="1"/>
  <c r="J2145" i="1"/>
  <c r="M2145" i="1" s="1"/>
  <c r="N2145" i="1" s="1"/>
  <c r="I2145" i="1"/>
  <c r="F2145" i="1"/>
  <c r="Y2138" i="1"/>
  <c r="M2138" i="1"/>
  <c r="N2138" i="1" s="1"/>
  <c r="I2138" i="1"/>
  <c r="F2138" i="1"/>
  <c r="Y2136" i="1"/>
  <c r="M2136" i="1"/>
  <c r="N2136" i="1" s="1"/>
  <c r="I2136" i="1"/>
  <c r="F2136" i="1"/>
  <c r="Y2140" i="1"/>
  <c r="M2140" i="1"/>
  <c r="N2140" i="1" s="1"/>
  <c r="I2140" i="1"/>
  <c r="F2140" i="1"/>
  <c r="Y2139" i="1"/>
  <c r="M2139" i="1"/>
  <c r="N2139" i="1" s="1"/>
  <c r="I2139" i="1"/>
  <c r="F2139" i="1"/>
  <c r="Y2137" i="1"/>
  <c r="M2137" i="1"/>
  <c r="N2137" i="1" s="1"/>
  <c r="I2137" i="1"/>
  <c r="F2137" i="1"/>
  <c r="Y2134" i="1"/>
  <c r="J2134" i="1"/>
  <c r="M2134" i="1" s="1"/>
  <c r="N2134" i="1" s="1"/>
  <c r="I2134" i="1"/>
  <c r="F2134" i="1"/>
  <c r="Y2133" i="1"/>
  <c r="J2133" i="1"/>
  <c r="M2133" i="1" s="1"/>
  <c r="N2133" i="1" s="1"/>
  <c r="I2133" i="1"/>
  <c r="F2133" i="1"/>
  <c r="Y2132" i="1"/>
  <c r="J2132" i="1"/>
  <c r="M2132" i="1" s="1"/>
  <c r="N2132" i="1" s="1"/>
  <c r="I2132" i="1"/>
  <c r="F2132" i="1"/>
  <c r="Y2131" i="1"/>
  <c r="J2131" i="1"/>
  <c r="M2131" i="1" s="1"/>
  <c r="N2131" i="1" s="1"/>
  <c r="I2131" i="1"/>
  <c r="F2131" i="1"/>
  <c r="Y2129" i="1"/>
  <c r="M2129" i="1"/>
  <c r="N2129" i="1" s="1"/>
  <c r="I2129" i="1"/>
  <c r="F2129" i="1"/>
  <c r="Y2173" i="1"/>
  <c r="M2173" i="1"/>
  <c r="N2173" i="1" s="1"/>
  <c r="F2173" i="1"/>
  <c r="Y2142" i="1"/>
  <c r="J2142" i="1"/>
  <c r="M2142" i="1" s="1"/>
  <c r="N2142" i="1" s="1"/>
  <c r="I2142" i="1"/>
  <c r="F2142" i="1"/>
  <c r="Y2141" i="1"/>
  <c r="M2141" i="1"/>
  <c r="N2141" i="1" s="1"/>
  <c r="I2141" i="1"/>
  <c r="F2141" i="1"/>
  <c r="Y2130" i="1"/>
  <c r="M2130" i="1"/>
  <c r="N2130" i="1" s="1"/>
  <c r="I2130" i="1"/>
  <c r="F2130" i="1"/>
  <c r="J1531" i="2"/>
  <c r="K1531" i="2" s="1"/>
  <c r="I2123" i="1"/>
  <c r="F2123" i="1"/>
  <c r="Y2120" i="1"/>
  <c r="J2120" i="1"/>
  <c r="M2120" i="1" s="1"/>
  <c r="N2120" i="1" s="1"/>
  <c r="I2120" i="1"/>
  <c r="F2120" i="1"/>
  <c r="J1655" i="2"/>
  <c r="K1655" i="2" s="1"/>
  <c r="Y2122" i="1"/>
  <c r="I2122" i="1"/>
  <c r="F2122" i="1"/>
  <c r="Y2128" i="1"/>
  <c r="I2128" i="1"/>
  <c r="F2128" i="1"/>
  <c r="Y2127" i="1"/>
  <c r="I2127" i="1"/>
  <c r="F2127" i="1"/>
  <c r="Y2125" i="1"/>
  <c r="I2125" i="1"/>
  <c r="F2125" i="1"/>
  <c r="Y2124" i="1"/>
  <c r="I2124" i="1"/>
  <c r="F2124" i="1"/>
  <c r="Y2119" i="1"/>
  <c r="M2119" i="1"/>
  <c r="N2119" i="1" s="1"/>
  <c r="I2119" i="1"/>
  <c r="F2119" i="1"/>
  <c r="Y2118" i="1"/>
  <c r="M2118" i="1"/>
  <c r="N2118" i="1" s="1"/>
  <c r="I2118" i="1"/>
  <c r="F2118" i="1"/>
  <c r="Y2115" i="1"/>
  <c r="M2115" i="1"/>
  <c r="N2115" i="1" s="1"/>
  <c r="I2115" i="1"/>
  <c r="F2115" i="1"/>
  <c r="Y2117" i="1"/>
  <c r="J2117" i="1"/>
  <c r="M2117" i="1" s="1"/>
  <c r="N2117" i="1" s="1"/>
  <c r="I2117" i="1"/>
  <c r="F2117" i="1"/>
  <c r="Y2116" i="1"/>
  <c r="J2116" i="1"/>
  <c r="M2116" i="1" s="1"/>
  <c r="N2116" i="1" s="1"/>
  <c r="I2116" i="1"/>
  <c r="F2116" i="1"/>
  <c r="Y2114" i="1"/>
  <c r="M2114" i="1"/>
  <c r="N2114" i="1" s="1"/>
  <c r="I2114" i="1"/>
  <c r="F2114" i="1"/>
  <c r="Y2112" i="1"/>
  <c r="J2112" i="1"/>
  <c r="M2112" i="1" s="1"/>
  <c r="N2112" i="1" s="1"/>
  <c r="I2112" i="1"/>
  <c r="F2112" i="1"/>
  <c r="J1529" i="2"/>
  <c r="K1529" i="2" s="1"/>
  <c r="J1528" i="2"/>
  <c r="K1528" i="2" s="1"/>
  <c r="J1530" i="2"/>
  <c r="K1530" i="2" s="1"/>
  <c r="J1728" i="2"/>
  <c r="K1728" i="2" s="1"/>
  <c r="Y2107" i="1"/>
  <c r="N2107" i="1"/>
  <c r="I2107" i="1"/>
  <c r="F2107" i="1"/>
  <c r="J1654" i="2"/>
  <c r="K1654" i="2" s="1"/>
  <c r="Y2108" i="1"/>
  <c r="M2108" i="1"/>
  <c r="N2108" i="1" s="1"/>
  <c r="I2108" i="1"/>
  <c r="F2108" i="1"/>
  <c r="J1727" i="2"/>
  <c r="K1727" i="2" s="1"/>
  <c r="Y2111" i="1"/>
  <c r="J2111" i="1"/>
  <c r="M2111" i="1" s="1"/>
  <c r="N2111" i="1" s="1"/>
  <c r="I2111" i="1"/>
  <c r="F2111" i="1"/>
  <c r="Y2110" i="1"/>
  <c r="M2110" i="1"/>
  <c r="N2110" i="1" s="1"/>
  <c r="I2110" i="1"/>
  <c r="F2110" i="1"/>
  <c r="Y2109" i="1"/>
  <c r="M2109" i="1"/>
  <c r="N2109" i="1" s="1"/>
  <c r="I2109" i="1"/>
  <c r="F2109" i="1"/>
  <c r="Y2101" i="1"/>
  <c r="J2101" i="1"/>
  <c r="M2101" i="1" s="1"/>
  <c r="N2101" i="1" s="1"/>
  <c r="I2101" i="1"/>
  <c r="F2101" i="1"/>
  <c r="Y2097" i="1"/>
  <c r="J2097" i="1"/>
  <c r="M2097" i="1" s="1"/>
  <c r="N2097" i="1" s="1"/>
  <c r="I2097" i="1"/>
  <c r="F2097" i="1"/>
  <c r="J2093" i="1"/>
  <c r="M2093" i="1" s="1"/>
  <c r="N2093" i="1" s="1"/>
  <c r="J2113" i="1"/>
  <c r="M2113" i="1" s="1"/>
  <c r="N2113" i="1" s="1"/>
  <c r="J2105" i="1"/>
  <c r="M2105" i="1" s="1"/>
  <c r="N2105" i="1" s="1"/>
  <c r="J2104" i="1"/>
  <c r="M2104" i="1" s="1"/>
  <c r="N2104" i="1" s="1"/>
  <c r="J2103" i="1"/>
  <c r="M2103" i="1" s="1"/>
  <c r="N2103" i="1" s="1"/>
  <c r="J2100" i="1"/>
  <c r="M2100" i="1" s="1"/>
  <c r="N2100" i="1" s="1"/>
  <c r="J2096" i="1"/>
  <c r="M2096" i="1" s="1"/>
  <c r="N2096" i="1" s="1"/>
  <c r="J2095" i="1"/>
  <c r="M2095" i="1" s="1"/>
  <c r="N2095" i="1" s="1"/>
  <c r="J2094" i="1"/>
  <c r="M2094" i="1" s="1"/>
  <c r="N2094" i="1" s="1"/>
  <c r="J2092" i="1"/>
  <c r="M2092" i="1" s="1"/>
  <c r="N2092" i="1" s="1"/>
  <c r="Y2113" i="1"/>
  <c r="I2113" i="1"/>
  <c r="F2113" i="1"/>
  <c r="Y2105" i="1"/>
  <c r="I2105" i="1"/>
  <c r="F2105" i="1"/>
  <c r="Y2099" i="1"/>
  <c r="M2099" i="1"/>
  <c r="N2099" i="1" s="1"/>
  <c r="I2099" i="1"/>
  <c r="F2099" i="1"/>
  <c r="Y2104" i="1"/>
  <c r="I2104" i="1"/>
  <c r="F2104" i="1"/>
  <c r="Y2103" i="1"/>
  <c r="I2103" i="1"/>
  <c r="F2103" i="1"/>
  <c r="Y2098" i="1"/>
  <c r="M2098" i="1"/>
  <c r="N2098" i="1" s="1"/>
  <c r="I2098" i="1"/>
  <c r="F2098" i="1"/>
  <c r="Y2100" i="1"/>
  <c r="I2100" i="1"/>
  <c r="F2100" i="1"/>
  <c r="Y2096" i="1"/>
  <c r="I2096" i="1"/>
  <c r="F2096" i="1"/>
  <c r="Y2095" i="1"/>
  <c r="I2095" i="1"/>
  <c r="F2095" i="1"/>
  <c r="Y2094" i="1"/>
  <c r="I2094" i="1"/>
  <c r="F2094" i="1"/>
  <c r="Y2092" i="1"/>
  <c r="I2092" i="1"/>
  <c r="F2092" i="1"/>
  <c r="Y2093" i="1"/>
  <c r="I2093" i="1"/>
  <c r="F2093" i="1"/>
  <c r="J1527" i="2"/>
  <c r="K1527" i="2" s="1"/>
  <c r="J1810" i="2"/>
  <c r="K1810" i="2" s="1"/>
  <c r="J1725" i="2"/>
  <c r="K1725" i="2" s="1"/>
  <c r="Y2091" i="1"/>
  <c r="J2091" i="1"/>
  <c r="M2091" i="1" s="1"/>
  <c r="N2091" i="1" s="1"/>
  <c r="I2091" i="1"/>
  <c r="F2091" i="1"/>
  <c r="J1513" i="2"/>
  <c r="K1513" i="2" s="1"/>
  <c r="Y2078" i="1"/>
  <c r="M2078" i="1"/>
  <c r="N2078" i="1" s="1"/>
  <c r="I2078" i="1"/>
  <c r="F2078" i="1"/>
  <c r="Y2076" i="1"/>
  <c r="M2076" i="1"/>
  <c r="N2076" i="1" s="1"/>
  <c r="I2076" i="1"/>
  <c r="F2076" i="1"/>
  <c r="Y2088" i="1"/>
  <c r="J2088" i="1"/>
  <c r="M2088" i="1" s="1"/>
  <c r="N2088" i="1" s="1"/>
  <c r="I2088" i="1"/>
  <c r="F2088" i="1"/>
  <c r="Y2083" i="1"/>
  <c r="J2083" i="1"/>
  <c r="M2083" i="1" s="1"/>
  <c r="N2083" i="1" s="1"/>
  <c r="I2083" i="1"/>
  <c r="F2083" i="1"/>
  <c r="Y2080" i="1"/>
  <c r="J2080" i="1"/>
  <c r="M2080" i="1" s="1"/>
  <c r="N2080" i="1" s="1"/>
  <c r="I2080" i="1"/>
  <c r="F2080" i="1"/>
  <c r="Y2077" i="1"/>
  <c r="J2077" i="1"/>
  <c r="M2077" i="1" s="1"/>
  <c r="N2077" i="1" s="1"/>
  <c r="I2077" i="1"/>
  <c r="F2077" i="1"/>
  <c r="Y2087" i="1"/>
  <c r="K2087" i="1"/>
  <c r="J2087" i="1"/>
  <c r="M2087" i="1" s="1"/>
  <c r="N2087" i="1" s="1"/>
  <c r="I2087" i="1"/>
  <c r="H2087" i="1"/>
  <c r="F2087" i="1"/>
  <c r="Y2086" i="1"/>
  <c r="J2086" i="1"/>
  <c r="M2086" i="1" s="1"/>
  <c r="N2086" i="1" s="1"/>
  <c r="I2086" i="1"/>
  <c r="F2086" i="1"/>
  <c r="Y2085" i="1"/>
  <c r="J2085" i="1"/>
  <c r="M2085" i="1" s="1"/>
  <c r="N2085" i="1" s="1"/>
  <c r="I2085" i="1"/>
  <c r="F2085" i="1"/>
  <c r="Y2084" i="1"/>
  <c r="J2084" i="1"/>
  <c r="M2084" i="1" s="1"/>
  <c r="N2084" i="1" s="1"/>
  <c r="I2084" i="1"/>
  <c r="F2084" i="1"/>
  <c r="Y2081" i="1"/>
  <c r="M2081" i="1"/>
  <c r="N2081" i="1" s="1"/>
  <c r="I2081" i="1"/>
  <c r="F2081" i="1"/>
  <c r="Y2082" i="1"/>
  <c r="J2082" i="1"/>
  <c r="M2082" i="1" s="1"/>
  <c r="N2082" i="1" s="1"/>
  <c r="I2082" i="1"/>
  <c r="F2082" i="1"/>
  <c r="Y2090" i="1"/>
  <c r="M2090" i="1"/>
  <c r="N2090" i="1" s="1"/>
  <c r="I2090" i="1"/>
  <c r="F2090" i="1"/>
  <c r="Y2075" i="1"/>
  <c r="J2075" i="1"/>
  <c r="M2075" i="1" s="1"/>
  <c r="N2075" i="1" s="1"/>
  <c r="I2075" i="1"/>
  <c r="F2075" i="1"/>
  <c r="Y2079" i="1"/>
  <c r="J2079" i="1"/>
  <c r="M2079" i="1" s="1"/>
  <c r="N2079" i="1" s="1"/>
  <c r="I2079" i="1"/>
  <c r="F2079" i="1"/>
  <c r="Y2073" i="1"/>
  <c r="J2073" i="1"/>
  <c r="M2073" i="1" s="1"/>
  <c r="N2073" i="1" s="1"/>
  <c r="I2073" i="1"/>
  <c r="F2073" i="1"/>
  <c r="J1724" i="2"/>
  <c r="K1724" i="2" s="1"/>
  <c r="J1723" i="2"/>
  <c r="K1723" i="2" s="1"/>
  <c r="J1653" i="2"/>
  <c r="K1653" i="2" s="1"/>
  <c r="J1722" i="2"/>
  <c r="K1722" i="2" s="1"/>
  <c r="J1354" i="2"/>
  <c r="K1354" i="2" s="1"/>
  <c r="Y2069" i="1"/>
  <c r="M2069" i="1"/>
  <c r="N2069" i="1" s="1"/>
  <c r="I2069" i="1"/>
  <c r="F2069" i="1"/>
  <c r="Y2089" i="1"/>
  <c r="K2089" i="1"/>
  <c r="J2089" i="1"/>
  <c r="M2089" i="1" s="1"/>
  <c r="N2089" i="1" s="1"/>
  <c r="I2089" i="1"/>
  <c r="H2089" i="1"/>
  <c r="F2089" i="1"/>
  <c r="J2063" i="1"/>
  <c r="M2063" i="1" s="1"/>
  <c r="N2063" i="1" s="1"/>
  <c r="J2062" i="1"/>
  <c r="M2062" i="1" s="1"/>
  <c r="N2062" i="1" s="1"/>
  <c r="J2072" i="1"/>
  <c r="M2072" i="1" s="1"/>
  <c r="N2072" i="1" s="1"/>
  <c r="J2061" i="1"/>
  <c r="M2061" i="1" s="1"/>
  <c r="N2061" i="1" s="1"/>
  <c r="J2060" i="1"/>
  <c r="M2060" i="1" s="1"/>
  <c r="N2060" i="1" s="1"/>
  <c r="J2059" i="1"/>
  <c r="M2059" i="1" s="1"/>
  <c r="N2059" i="1" s="1"/>
  <c r="Y2070" i="1"/>
  <c r="M2070" i="1"/>
  <c r="N2070" i="1" s="1"/>
  <c r="I2070" i="1"/>
  <c r="F2070" i="1"/>
  <c r="Y2068" i="1"/>
  <c r="M2068" i="1"/>
  <c r="N2068" i="1" s="1"/>
  <c r="I2068" i="1"/>
  <c r="F2068" i="1"/>
  <c r="Y2067" i="1"/>
  <c r="M2067" i="1"/>
  <c r="N2067" i="1" s="1"/>
  <c r="I2067" i="1"/>
  <c r="F2067" i="1"/>
  <c r="Y2063" i="1"/>
  <c r="I2063" i="1"/>
  <c r="F2063" i="1"/>
  <c r="Y2062" i="1"/>
  <c r="I2062" i="1"/>
  <c r="F2062" i="1"/>
  <c r="Y2072" i="1"/>
  <c r="I2072" i="1"/>
  <c r="F2072" i="1"/>
  <c r="Y2071" i="1"/>
  <c r="M2071" i="1"/>
  <c r="N2071" i="1" s="1"/>
  <c r="I2071" i="1"/>
  <c r="F2071" i="1"/>
  <c r="Y2061" i="1"/>
  <c r="I2061" i="1"/>
  <c r="F2061" i="1"/>
  <c r="Y2060" i="1"/>
  <c r="I2060" i="1"/>
  <c r="F2060" i="1"/>
  <c r="Y2059" i="1"/>
  <c r="I2059" i="1"/>
  <c r="F2059" i="1"/>
  <c r="Y2064" i="1"/>
  <c r="M2064" i="1"/>
  <c r="N2064" i="1" s="1"/>
  <c r="I2064" i="1"/>
  <c r="F2064" i="1"/>
  <c r="Y2074" i="1"/>
  <c r="M2074" i="1"/>
  <c r="N2074" i="1" s="1"/>
  <c r="I2074" i="1"/>
  <c r="F2074" i="1"/>
  <c r="Y2066" i="1"/>
  <c r="N2066" i="1"/>
  <c r="I2066" i="1"/>
  <c r="F2066" i="1"/>
  <c r="Y2065" i="1"/>
  <c r="M2065" i="1"/>
  <c r="N2065" i="1" s="1"/>
  <c r="I2065" i="1"/>
  <c r="F2065" i="1"/>
  <c r="M2051" i="1"/>
  <c r="N2051" i="1" s="1"/>
  <c r="J1726" i="2"/>
  <c r="K1726" i="2" s="1"/>
  <c r="Y2051" i="1"/>
  <c r="I2051" i="1"/>
  <c r="F2051" i="1"/>
  <c r="M2043" i="1"/>
  <c r="N2043" i="1" s="1"/>
  <c r="J1352" i="2"/>
  <c r="K1352" i="2" s="1"/>
  <c r="J1350" i="2"/>
  <c r="K1350" i="2" s="1"/>
  <c r="J1721" i="2"/>
  <c r="K1721" i="2" s="1"/>
  <c r="J1720" i="2"/>
  <c r="K1720" i="2" s="1"/>
  <c r="I1719" i="2"/>
  <c r="J1718" i="2"/>
  <c r="K1718" i="2" s="1"/>
  <c r="O2037" i="1"/>
  <c r="J1719" i="2" s="1"/>
  <c r="J1348" i="2"/>
  <c r="K1348" i="2" s="1"/>
  <c r="Y2047" i="1"/>
  <c r="M2047" i="1"/>
  <c r="N2047" i="1" s="1"/>
  <c r="I2047" i="1"/>
  <c r="F2047" i="1"/>
  <c r="Y2039" i="1"/>
  <c r="M2039" i="1"/>
  <c r="N2039" i="1" s="1"/>
  <c r="I2039" i="1"/>
  <c r="F2039" i="1"/>
  <c r="Y2058" i="1"/>
  <c r="J2058" i="1"/>
  <c r="M2058" i="1" s="1"/>
  <c r="N2058" i="1" s="1"/>
  <c r="I2058" i="1"/>
  <c r="F2058" i="1"/>
  <c r="Y2046" i="1"/>
  <c r="M2046" i="1"/>
  <c r="N2046" i="1" s="1"/>
  <c r="I2046" i="1"/>
  <c r="F2046" i="1"/>
  <c r="Y2057" i="1"/>
  <c r="J2057" i="1"/>
  <c r="M2057" i="1" s="1"/>
  <c r="N2057" i="1" s="1"/>
  <c r="I2057" i="1"/>
  <c r="F2057" i="1"/>
  <c r="Y2050" i="1"/>
  <c r="K2050" i="1"/>
  <c r="J2050" i="1"/>
  <c r="M2050" i="1" s="1"/>
  <c r="N2050" i="1" s="1"/>
  <c r="I2050" i="1"/>
  <c r="H2050" i="1"/>
  <c r="F2050" i="1"/>
  <c r="Y2043" i="1"/>
  <c r="I2043" i="1"/>
  <c r="F2043" i="1"/>
  <c r="Y2049" i="1"/>
  <c r="M2049" i="1"/>
  <c r="N2049" i="1" s="1"/>
  <c r="I2049" i="1"/>
  <c r="F2049" i="1"/>
  <c r="Y2054" i="1"/>
  <c r="J2054" i="1"/>
  <c r="M2054" i="1" s="1"/>
  <c r="N2054" i="1" s="1"/>
  <c r="I2054" i="1"/>
  <c r="F2054" i="1"/>
  <c r="Y2055" i="1"/>
  <c r="K2055" i="1"/>
  <c r="J2055" i="1"/>
  <c r="M2055" i="1" s="1"/>
  <c r="N2055" i="1" s="1"/>
  <c r="I2055" i="1"/>
  <c r="H2055" i="1"/>
  <c r="F2055" i="1"/>
  <c r="Y2048" i="1"/>
  <c r="M2048" i="1"/>
  <c r="N2048" i="1" s="1"/>
  <c r="I2048" i="1"/>
  <c r="F2048" i="1"/>
  <c r="Y2053" i="1"/>
  <c r="J2053" i="1"/>
  <c r="M2053" i="1" s="1"/>
  <c r="N2053" i="1" s="1"/>
  <c r="I2053" i="1"/>
  <c r="F2053" i="1"/>
  <c r="Y2052" i="1"/>
  <c r="M2052" i="1"/>
  <c r="N2052" i="1" s="1"/>
  <c r="I2052" i="1"/>
  <c r="F2052" i="1"/>
  <c r="Y2042" i="1"/>
  <c r="M2042" i="1"/>
  <c r="N2042" i="1" s="1"/>
  <c r="I2042" i="1"/>
  <c r="F2042" i="1"/>
  <c r="Y2041" i="1"/>
  <c r="M2041" i="1"/>
  <c r="N2041" i="1" s="1"/>
  <c r="I2041" i="1"/>
  <c r="F2041" i="1"/>
  <c r="Y2040" i="1"/>
  <c r="M2040" i="1"/>
  <c r="N2040" i="1" s="1"/>
  <c r="I2040" i="1"/>
  <c r="F2040" i="1"/>
  <c r="Y2045" i="1"/>
  <c r="J2045" i="1"/>
  <c r="M2045" i="1" s="1"/>
  <c r="N2045" i="1" s="1"/>
  <c r="I2045" i="1"/>
  <c r="F2045" i="1"/>
  <c r="Y2044" i="1"/>
  <c r="M2044" i="1"/>
  <c r="N2044" i="1" s="1"/>
  <c r="I2044" i="1"/>
  <c r="F2044" i="1"/>
  <c r="Y2036" i="1"/>
  <c r="J2036" i="1"/>
  <c r="M2036" i="1" s="1"/>
  <c r="N2036" i="1" s="1"/>
  <c r="I2036" i="1"/>
  <c r="F2036" i="1"/>
  <c r="M2024" i="1"/>
  <c r="N2024" i="1" s="1"/>
  <c r="J1651" i="2"/>
  <c r="K1651" i="2" s="1"/>
  <c r="J1346" i="2"/>
  <c r="K1346" i="2" s="1"/>
  <c r="Y2038" i="1"/>
  <c r="J2038" i="1"/>
  <c r="M2038" i="1" s="1"/>
  <c r="N2038" i="1" s="1"/>
  <c r="I2038" i="1"/>
  <c r="F2038" i="1"/>
  <c r="J2032" i="1"/>
  <c r="M2032" i="1" s="1"/>
  <c r="N2032" i="1" s="1"/>
  <c r="Y2027" i="1"/>
  <c r="J2027" i="1"/>
  <c r="M2027" i="1" s="1"/>
  <c r="N2027" i="1" s="1"/>
  <c r="I2027" i="1"/>
  <c r="F2027" i="1"/>
  <c r="J1717" i="2"/>
  <c r="K1717" i="2" s="1"/>
  <c r="J1716" i="2"/>
  <c r="K1716" i="2" s="1"/>
  <c r="J1715" i="2"/>
  <c r="K1715" i="2" s="1"/>
  <c r="J1650" i="2"/>
  <c r="K1650" i="2" s="1"/>
  <c r="Y2012" i="1"/>
  <c r="J2012" i="1"/>
  <c r="I2012" i="1"/>
  <c r="F2012" i="1"/>
  <c r="Y2037" i="1"/>
  <c r="M2037" i="1"/>
  <c r="N2037" i="1" s="1"/>
  <c r="I2037" i="1"/>
  <c r="F2037" i="1"/>
  <c r="Y2018" i="1"/>
  <c r="J2018" i="1"/>
  <c r="M2018" i="1" s="1"/>
  <c r="N2018" i="1" s="1"/>
  <c r="I2018" i="1"/>
  <c r="F2018" i="1"/>
  <c r="Y2031" i="1"/>
  <c r="M2031" i="1"/>
  <c r="N2031" i="1" s="1"/>
  <c r="I2031" i="1"/>
  <c r="F2031" i="1"/>
  <c r="Y2030" i="1"/>
  <c r="N2030" i="1"/>
  <c r="I2030" i="1"/>
  <c r="F2030" i="1"/>
  <c r="Y2025" i="1"/>
  <c r="J2025" i="1"/>
  <c r="M2025" i="1" s="1"/>
  <c r="N2025" i="1" s="1"/>
  <c r="I2025" i="1"/>
  <c r="F2025" i="1"/>
  <c r="Y2024" i="1"/>
  <c r="I2024" i="1"/>
  <c r="F2024" i="1"/>
  <c r="Y2017" i="1"/>
  <c r="J2017" i="1"/>
  <c r="M2017" i="1" s="1"/>
  <c r="N2017" i="1" s="1"/>
  <c r="I2017" i="1"/>
  <c r="F2017" i="1"/>
  <c r="Y2033" i="1"/>
  <c r="M2033" i="1"/>
  <c r="N2033" i="1" s="1"/>
  <c r="I2033" i="1"/>
  <c r="F2033" i="1"/>
  <c r="Y2029" i="1"/>
  <c r="M2029" i="1"/>
  <c r="N2029" i="1" s="1"/>
  <c r="I2029" i="1"/>
  <c r="F2029" i="1"/>
  <c r="Y2026" i="1"/>
  <c r="J2026" i="1"/>
  <c r="M2026" i="1" s="1"/>
  <c r="N2026" i="1" s="1"/>
  <c r="I2026" i="1"/>
  <c r="F2026" i="1"/>
  <c r="Y2021" i="1"/>
  <c r="J2021" i="1"/>
  <c r="M2021" i="1" s="1"/>
  <c r="N2021" i="1" s="1"/>
  <c r="I2021" i="1"/>
  <c r="F2021" i="1"/>
  <c r="Y2035" i="1"/>
  <c r="J2035" i="1"/>
  <c r="M2035" i="1" s="1"/>
  <c r="N2035" i="1" s="1"/>
  <c r="I2035" i="1"/>
  <c r="F2035" i="1"/>
  <c r="Y2056" i="1"/>
  <c r="J2056" i="1"/>
  <c r="M2056" i="1" s="1"/>
  <c r="N2056" i="1" s="1"/>
  <c r="I2056" i="1"/>
  <c r="F2056" i="1"/>
  <c r="Y2034" i="1"/>
  <c r="M2034" i="1"/>
  <c r="N2034" i="1" s="1"/>
  <c r="I2034" i="1"/>
  <c r="F2034" i="1"/>
  <c r="Y2028" i="1"/>
  <c r="J2028" i="1"/>
  <c r="M2028" i="1" s="1"/>
  <c r="N2028" i="1" s="1"/>
  <c r="I2028" i="1"/>
  <c r="F2028" i="1"/>
  <c r="Y2032" i="1"/>
  <c r="I2032" i="1"/>
  <c r="F2032" i="1"/>
  <c r="Y2023" i="1"/>
  <c r="M2023" i="1"/>
  <c r="N2023" i="1" s="1"/>
  <c r="I2023" i="1"/>
  <c r="F2023" i="1"/>
  <c r="Y2022" i="1"/>
  <c r="J2022" i="1"/>
  <c r="M2022" i="1" s="1"/>
  <c r="N2022" i="1" s="1"/>
  <c r="I2022" i="1"/>
  <c r="F2022" i="1"/>
  <c r="Y2020" i="1"/>
  <c r="J2020" i="1"/>
  <c r="M2020" i="1" s="1"/>
  <c r="N2020" i="1" s="1"/>
  <c r="I2020" i="1"/>
  <c r="F2020" i="1"/>
  <c r="Y2016" i="1"/>
  <c r="J2016" i="1"/>
  <c r="N2016" i="1" s="1"/>
  <c r="I2016" i="1"/>
  <c r="F2016" i="1"/>
  <c r="J1344" i="2"/>
  <c r="K1344" i="2" s="1"/>
  <c r="J1342" i="2"/>
  <c r="K1342" i="2" s="1"/>
  <c r="J1648" i="2"/>
  <c r="K1648" i="2" s="1"/>
  <c r="F1984" i="1"/>
  <c r="J1340" i="2"/>
  <c r="K1340" i="2" s="1"/>
  <c r="J1652" i="2"/>
  <c r="K1652" i="2" s="1"/>
  <c r="J1714" i="2"/>
  <c r="K1714" i="2" s="1"/>
  <c r="Y2015" i="1"/>
  <c r="F2015" i="1"/>
  <c r="I2015" i="1"/>
  <c r="N2015" i="1"/>
  <c r="Y2008" i="1"/>
  <c r="F2008" i="1"/>
  <c r="I2008" i="1"/>
  <c r="M2008" i="1"/>
  <c r="N2008" i="1" s="1"/>
  <c r="Y2004" i="1"/>
  <c r="F2004" i="1"/>
  <c r="I2004" i="1"/>
  <c r="J2004" i="1"/>
  <c r="M2004" i="1" s="1"/>
  <c r="N2004" i="1" s="1"/>
  <c r="Y2009" i="1"/>
  <c r="F2009" i="1"/>
  <c r="I2009" i="1"/>
  <c r="J2009" i="1"/>
  <c r="M2009" i="1" s="1"/>
  <c r="N2009" i="1" s="1"/>
  <c r="Y2010" i="1"/>
  <c r="F2010" i="1"/>
  <c r="I2010" i="1"/>
  <c r="J2010" i="1"/>
  <c r="M2010" i="1" s="1"/>
  <c r="N2010" i="1" s="1"/>
  <c r="J2005" i="1"/>
  <c r="J2003" i="1"/>
  <c r="M2003" i="1" s="1"/>
  <c r="N2003" i="1" s="1"/>
  <c r="Y2005" i="1"/>
  <c r="N2005" i="1"/>
  <c r="I2005" i="1"/>
  <c r="F2005" i="1"/>
  <c r="Y2003" i="1"/>
  <c r="I2003" i="1"/>
  <c r="F2003" i="1"/>
  <c r="Y2011" i="1"/>
  <c r="M2011" i="1"/>
  <c r="N2011" i="1" s="1"/>
  <c r="I2011" i="1"/>
  <c r="F2011" i="1"/>
  <c r="Y2014" i="1"/>
  <c r="N2014" i="1"/>
  <c r="I2014" i="1"/>
  <c r="F2014" i="1"/>
  <c r="Y2013" i="1"/>
  <c r="N2013" i="1"/>
  <c r="I2013" i="1"/>
  <c r="F2013" i="1"/>
  <c r="Y2007" i="1"/>
  <c r="J2007" i="1"/>
  <c r="M2007" i="1" s="1"/>
  <c r="N2007" i="1" s="1"/>
  <c r="I2007" i="1"/>
  <c r="F2007" i="1"/>
  <c r="Y2006" i="1"/>
  <c r="J2006" i="1"/>
  <c r="M2006" i="1" s="1"/>
  <c r="N2006" i="1" s="1"/>
  <c r="I2006" i="1"/>
  <c r="F2006" i="1"/>
  <c r="J1338" i="2"/>
  <c r="K1338" i="2" s="1"/>
  <c r="J1334" i="2"/>
  <c r="K1334" i="2" s="1"/>
  <c r="M1984" i="1"/>
  <c r="N1984" i="1" s="1"/>
  <c r="M1960" i="1"/>
  <c r="N1960" i="1" s="1"/>
  <c r="J1649" i="2"/>
  <c r="K1649" i="2" s="1"/>
  <c r="Y1984" i="1"/>
  <c r="I1984" i="1"/>
  <c r="J1713" i="2"/>
  <c r="K1713" i="2" s="1"/>
  <c r="J1336" i="2"/>
  <c r="K1336" i="2" s="1"/>
  <c r="J1711" i="2"/>
  <c r="K1711" i="2" s="1"/>
  <c r="J1990" i="1"/>
  <c r="M1990" i="1" s="1"/>
  <c r="N1990" i="1" s="1"/>
  <c r="J1986" i="1"/>
  <c r="M1986" i="1" s="1"/>
  <c r="N1986" i="1" s="1"/>
  <c r="M1982" i="1"/>
  <c r="N1982" i="1" s="1"/>
  <c r="J1995" i="1"/>
  <c r="M1995" i="1" s="1"/>
  <c r="N1995" i="1" s="1"/>
  <c r="J1996" i="1"/>
  <c r="M1996" i="1" s="1"/>
  <c r="N1996" i="1" s="1"/>
  <c r="J1998" i="1"/>
  <c r="M1998" i="1" s="1"/>
  <c r="N1998" i="1" s="1"/>
  <c r="J1999" i="1"/>
  <c r="M1999" i="1" s="1"/>
  <c r="N1999" i="1" s="1"/>
  <c r="J1994" i="1"/>
  <c r="M1994" i="1" s="1"/>
  <c r="N1994" i="1" s="1"/>
  <c r="J2000" i="1"/>
  <c r="M2000" i="1" s="1"/>
  <c r="N2000" i="1" s="1"/>
  <c r="J2001" i="1"/>
  <c r="M2001" i="1" s="1"/>
  <c r="N2001" i="1" s="1"/>
  <c r="J2002" i="1"/>
  <c r="M2002" i="1" s="1"/>
  <c r="N2002" i="1" s="1"/>
  <c r="Y1982" i="1"/>
  <c r="I1982" i="1"/>
  <c r="F1982" i="1"/>
  <c r="Y1990" i="1"/>
  <c r="I1990" i="1"/>
  <c r="F1990" i="1"/>
  <c r="Y1986" i="1"/>
  <c r="I1986" i="1"/>
  <c r="F1986" i="1"/>
  <c r="F2000" i="1"/>
  <c r="I2000" i="1"/>
  <c r="Y2000" i="1"/>
  <c r="F2001" i="1"/>
  <c r="I2001" i="1"/>
  <c r="Y2001" i="1"/>
  <c r="F2002" i="1"/>
  <c r="I2002" i="1"/>
  <c r="Y2002" i="1"/>
  <c r="F1998" i="1"/>
  <c r="I1998" i="1"/>
  <c r="Y1998" i="1"/>
  <c r="F1999" i="1"/>
  <c r="I1999" i="1"/>
  <c r="Y1999" i="1"/>
  <c r="F1994" i="1"/>
  <c r="I1994" i="1"/>
  <c r="Y1994" i="1"/>
  <c r="F1995" i="1"/>
  <c r="I1995" i="1"/>
  <c r="Y1995" i="1"/>
  <c r="F1996" i="1"/>
  <c r="I1996" i="1"/>
  <c r="Y1996" i="1"/>
  <c r="F1991" i="1"/>
  <c r="I1991" i="1"/>
  <c r="J1991" i="1"/>
  <c r="M1991" i="1" s="1"/>
  <c r="N1991" i="1" s="1"/>
  <c r="Y1991" i="1"/>
  <c r="F1992" i="1"/>
  <c r="I1992" i="1"/>
  <c r="J1992" i="1"/>
  <c r="M1992" i="1" s="1"/>
  <c r="N1992" i="1" s="1"/>
  <c r="Y1992" i="1"/>
  <c r="F1989" i="1"/>
  <c r="I1989" i="1"/>
  <c r="M1989" i="1"/>
  <c r="N1989" i="1" s="1"/>
  <c r="Y1989" i="1"/>
  <c r="F1993" i="1"/>
  <c r="I1993" i="1"/>
  <c r="J1993" i="1"/>
  <c r="M1993" i="1" s="1"/>
  <c r="N1993" i="1" s="1"/>
  <c r="Y1993" i="1"/>
  <c r="F1987" i="1"/>
  <c r="I1987" i="1"/>
  <c r="J1987" i="1"/>
  <c r="M1987" i="1" s="1"/>
  <c r="N1987" i="1" s="1"/>
  <c r="Y1987" i="1"/>
  <c r="F1988" i="1"/>
  <c r="I1988" i="1"/>
  <c r="J1988" i="1"/>
  <c r="M1988" i="1" s="1"/>
  <c r="N1988" i="1" s="1"/>
  <c r="Y1988" i="1"/>
  <c r="Y1985" i="1"/>
  <c r="F1985" i="1"/>
  <c r="I1985" i="1"/>
  <c r="J1985" i="1"/>
  <c r="M1985" i="1" s="1"/>
  <c r="N1985" i="1" s="1"/>
  <c r="F1983" i="1"/>
  <c r="H1983" i="1"/>
  <c r="I1983" i="1"/>
  <c r="J1983" i="1"/>
  <c r="M1983" i="1" s="1"/>
  <c r="N1983" i="1" s="1"/>
  <c r="K1983" i="1"/>
  <c r="Y1983" i="1"/>
  <c r="F1997" i="1"/>
  <c r="I1997" i="1"/>
  <c r="J1997" i="1"/>
  <c r="M1997" i="1" s="1"/>
  <c r="N1997" i="1" s="1"/>
  <c r="Y1997" i="1"/>
  <c r="J1332" i="2"/>
  <c r="K1332" i="2" s="1"/>
  <c r="Y1979" i="1"/>
  <c r="F1979" i="1"/>
  <c r="I1979" i="1"/>
  <c r="J1979" i="1"/>
  <c r="M1979" i="1" s="1"/>
  <c r="N1979" i="1" s="1"/>
  <c r="Y1973" i="1"/>
  <c r="F1973" i="1"/>
  <c r="I1973" i="1"/>
  <c r="M1973" i="1"/>
  <c r="N1973" i="1" s="1"/>
  <c r="Y1977" i="1"/>
  <c r="F1977" i="1"/>
  <c r="I1977" i="1"/>
  <c r="J1977" i="1"/>
  <c r="M1977" i="1" s="1"/>
  <c r="N1977" i="1" s="1"/>
  <c r="Y1967" i="1"/>
  <c r="M1967" i="1"/>
  <c r="N1967" i="1" s="1"/>
  <c r="I1967" i="1"/>
  <c r="F1967" i="1"/>
  <c r="I1934" i="1"/>
  <c r="I1936" i="1"/>
  <c r="I1935" i="1"/>
  <c r="I1960" i="1"/>
  <c r="I1959" i="1"/>
  <c r="I1958" i="1"/>
  <c r="I1957" i="1"/>
  <c r="I1956" i="1"/>
  <c r="I1955" i="1"/>
  <c r="I1954" i="1"/>
  <c r="I1951" i="1"/>
  <c r="I1953" i="1"/>
  <c r="I1950" i="1"/>
  <c r="I1949" i="1"/>
  <c r="I1952" i="1"/>
  <c r="I1948" i="1"/>
  <c r="I1947" i="1"/>
  <c r="I1946" i="1"/>
  <c r="I1945" i="1"/>
  <c r="I1944" i="1"/>
  <c r="I1943" i="1"/>
  <c r="I1942" i="1"/>
  <c r="I1941" i="1"/>
  <c r="I1940" i="1"/>
  <c r="I1939" i="1"/>
  <c r="I1938" i="1"/>
  <c r="I1937" i="1"/>
  <c r="I1962" i="1"/>
  <c r="I1963" i="1"/>
  <c r="I1964" i="1"/>
  <c r="I1965" i="1"/>
  <c r="I1969" i="1"/>
  <c r="I1970" i="1"/>
  <c r="I1971" i="1"/>
  <c r="I1966" i="1"/>
  <c r="I1974" i="1"/>
  <c r="I1975" i="1"/>
  <c r="I1976" i="1"/>
  <c r="I1968" i="1"/>
  <c r="I1972" i="1"/>
  <c r="I1978" i="1"/>
  <c r="I1980" i="1"/>
  <c r="I1981" i="1"/>
  <c r="I1961" i="1"/>
  <c r="J1330" i="2"/>
  <c r="K1330" i="2" s="1"/>
  <c r="J1712" i="2"/>
  <c r="K1712" i="2" s="1"/>
  <c r="Y1978" i="1"/>
  <c r="J1978" i="1"/>
  <c r="M1978" i="1" s="1"/>
  <c r="N1978" i="1" s="1"/>
  <c r="F1978" i="1"/>
  <c r="Y1969" i="1"/>
  <c r="M1969" i="1"/>
  <c r="N1969" i="1" s="1"/>
  <c r="F1969" i="1"/>
  <c r="J1636" i="2"/>
  <c r="K1636" i="2" s="1"/>
  <c r="J1710" i="2"/>
  <c r="K1710" i="2" s="1"/>
  <c r="Y1974" i="1"/>
  <c r="J1974" i="1"/>
  <c r="N1974" i="1" s="1"/>
  <c r="F1974" i="1"/>
  <c r="Y1966" i="1"/>
  <c r="J1966" i="1"/>
  <c r="M1966" i="1" s="1"/>
  <c r="N1966" i="1" s="1"/>
  <c r="F1966" i="1"/>
  <c r="Y1962" i="1"/>
  <c r="J1962" i="1"/>
  <c r="M1962" i="1" s="1"/>
  <c r="N1962" i="1" s="1"/>
  <c r="F1962" i="1"/>
  <c r="Y1961" i="1"/>
  <c r="J1961" i="1"/>
  <c r="M1961" i="1" s="1"/>
  <c r="N1961" i="1" s="1"/>
  <c r="F1961" i="1"/>
  <c r="F1964" i="1"/>
  <c r="J1964" i="1"/>
  <c r="M1964" i="1" s="1"/>
  <c r="N1964" i="1" s="1"/>
  <c r="Y1964" i="1"/>
  <c r="F1965" i="1"/>
  <c r="J1965" i="1"/>
  <c r="M1965" i="1" s="1"/>
  <c r="N1965" i="1" s="1"/>
  <c r="Y1965" i="1"/>
  <c r="F1970" i="1"/>
  <c r="M1970" i="1"/>
  <c r="N1970" i="1" s="1"/>
  <c r="Y1970" i="1"/>
  <c r="F1971" i="1"/>
  <c r="J1971" i="1"/>
  <c r="M1971" i="1" s="1"/>
  <c r="N1971" i="1" s="1"/>
  <c r="Y1971" i="1"/>
  <c r="F1975" i="1"/>
  <c r="J1975" i="1"/>
  <c r="M1975" i="1" s="1"/>
  <c r="N1975" i="1" s="1"/>
  <c r="Y1975" i="1"/>
  <c r="F1976" i="1"/>
  <c r="J1976" i="1"/>
  <c r="M1976" i="1" s="1"/>
  <c r="N1976" i="1" s="1"/>
  <c r="Y1976" i="1"/>
  <c r="F1968" i="1"/>
  <c r="M1968" i="1"/>
  <c r="N1968" i="1" s="1"/>
  <c r="Y1968" i="1"/>
  <c r="F1972" i="1"/>
  <c r="M1972" i="1"/>
  <c r="N1972" i="1" s="1"/>
  <c r="Y1972" i="1"/>
  <c r="F1980" i="1"/>
  <c r="J1980" i="1"/>
  <c r="M1980" i="1" s="1"/>
  <c r="N1980" i="1" s="1"/>
  <c r="Y1980" i="1"/>
  <c r="F1981" i="1"/>
  <c r="J1981" i="1"/>
  <c r="M1981" i="1" s="1"/>
  <c r="N1981" i="1" s="1"/>
  <c r="Y1981" i="1"/>
  <c r="Y1963" i="1"/>
  <c r="F1963" i="1"/>
  <c r="J1963" i="1"/>
  <c r="M1963" i="1" s="1"/>
  <c r="N1963" i="1" s="1"/>
  <c r="J1945" i="1"/>
  <c r="M1945" i="1" s="1"/>
  <c r="N1945" i="1" s="1"/>
  <c r="J1324" i="2"/>
  <c r="K1324" i="2" s="1"/>
  <c r="J1322" i="2"/>
  <c r="K1322" i="2" s="1"/>
  <c r="J1309" i="2"/>
  <c r="K1309" i="2" s="1"/>
  <c r="Y1959" i="1"/>
  <c r="J1959" i="1"/>
  <c r="M1959" i="1" s="1"/>
  <c r="N1959" i="1" s="1"/>
  <c r="F1959" i="1"/>
  <c r="J1328" i="2"/>
  <c r="K1328" i="2" s="1"/>
  <c r="J1326" i="2"/>
  <c r="K1326" i="2" s="1"/>
  <c r="F1950" i="1"/>
  <c r="M1950" i="1"/>
  <c r="N1950" i="1" s="1"/>
  <c r="Y1950" i="1"/>
  <c r="Y1955" i="1"/>
  <c r="M1955" i="1"/>
  <c r="N1955" i="1" s="1"/>
  <c r="F1955" i="1"/>
  <c r="Y1958" i="1"/>
  <c r="J1958" i="1"/>
  <c r="M1958" i="1" s="1"/>
  <c r="N1958" i="1" s="1"/>
  <c r="F1958" i="1"/>
  <c r="Y1957" i="1"/>
  <c r="J1957" i="1"/>
  <c r="M1957" i="1" s="1"/>
  <c r="N1957" i="1" s="1"/>
  <c r="F1957" i="1"/>
  <c r="Y1956" i="1"/>
  <c r="J1956" i="1"/>
  <c r="M1956" i="1" s="1"/>
  <c r="N1956" i="1" s="1"/>
  <c r="F1956" i="1"/>
  <c r="Y1954" i="1"/>
  <c r="M1954" i="1"/>
  <c r="N1954" i="1" s="1"/>
  <c r="F1954" i="1"/>
  <c r="Y1948" i="1"/>
  <c r="M1948" i="1"/>
  <c r="N1948" i="1" s="1"/>
  <c r="F1948" i="1"/>
  <c r="Y1951" i="1"/>
  <c r="M1951" i="1"/>
  <c r="N1951" i="1" s="1"/>
  <c r="F1951" i="1"/>
  <c r="Y1953" i="1"/>
  <c r="J1953" i="1"/>
  <c r="M1953" i="1" s="1"/>
  <c r="N1953" i="1" s="1"/>
  <c r="F1953" i="1"/>
  <c r="Y1952" i="1"/>
  <c r="J1952" i="1"/>
  <c r="M1952" i="1" s="1"/>
  <c r="N1952" i="1" s="1"/>
  <c r="F1952" i="1"/>
  <c r="Y1949" i="1"/>
  <c r="M1949" i="1"/>
  <c r="N1949" i="1" s="1"/>
  <c r="F1949" i="1"/>
  <c r="Y1947" i="1"/>
  <c r="J1947" i="1"/>
  <c r="M1947" i="1" s="1"/>
  <c r="N1947" i="1" s="1"/>
  <c r="F1947" i="1"/>
  <c r="Y1946" i="1"/>
  <c r="J1946" i="1"/>
  <c r="M1946" i="1" s="1"/>
  <c r="N1946" i="1" s="1"/>
  <c r="F1946" i="1"/>
  <c r="Y1945" i="1"/>
  <c r="F1945" i="1"/>
  <c r="Y1944" i="1"/>
  <c r="J1944" i="1"/>
  <c r="M1944" i="1" s="1"/>
  <c r="N1944" i="1" s="1"/>
  <c r="F1944" i="1"/>
  <c r="Y1943" i="1"/>
  <c r="J1943" i="1"/>
  <c r="M1943" i="1" s="1"/>
  <c r="N1943" i="1" s="1"/>
  <c r="F1943" i="1"/>
  <c r="Y1942" i="1"/>
  <c r="J1942" i="1"/>
  <c r="M1942" i="1" s="1"/>
  <c r="N1942" i="1" s="1"/>
  <c r="F1942" i="1"/>
  <c r="Y1941" i="1"/>
  <c r="J1941" i="1"/>
  <c r="M1941" i="1" s="1"/>
  <c r="N1941" i="1" s="1"/>
  <c r="F1941" i="1"/>
  <c r="J1232" i="2"/>
  <c r="K1232" i="2" s="1"/>
  <c r="Y1937" i="1"/>
  <c r="F1937" i="1"/>
  <c r="J1937" i="1"/>
  <c r="M1937" i="1" s="1"/>
  <c r="N1937" i="1" s="1"/>
  <c r="Y1960" i="1"/>
  <c r="F1960" i="1"/>
  <c r="J1525" i="2"/>
  <c r="K1525" i="2" s="1"/>
  <c r="Y1938" i="1"/>
  <c r="J1938" i="1"/>
  <c r="M1938" i="1" s="1"/>
  <c r="N1938" i="1" s="1"/>
  <c r="F1938" i="1"/>
  <c r="Y1939" i="1"/>
  <c r="J1939" i="1"/>
  <c r="M1939" i="1" s="1"/>
  <c r="N1939" i="1" s="1"/>
  <c r="F1939" i="1"/>
  <c r="Y1934" i="1"/>
  <c r="N1934" i="1"/>
  <c r="F1934" i="1"/>
  <c r="Y1935" i="1"/>
  <c r="M1935" i="1"/>
  <c r="N1935" i="1" s="1"/>
  <c r="F1935" i="1"/>
  <c r="Y1933" i="1"/>
  <c r="N1933" i="1"/>
  <c r="F1933" i="1"/>
  <c r="Y1936" i="1"/>
  <c r="M1936" i="1"/>
  <c r="N1936" i="1" s="1"/>
  <c r="F1936" i="1"/>
  <c r="Y1932" i="1"/>
  <c r="J1932" i="1"/>
  <c r="M1932" i="1" s="1"/>
  <c r="N1932" i="1" s="1"/>
  <c r="F1932" i="1"/>
  <c r="J1635" i="2"/>
  <c r="K1635" i="2" s="1"/>
  <c r="Y1940" i="1"/>
  <c r="J1940" i="1"/>
  <c r="M1940" i="1" s="1"/>
  <c r="N1940" i="1" s="1"/>
  <c r="F1940" i="1"/>
  <c r="J1634" i="2"/>
  <c r="K1634" i="2" s="1"/>
  <c r="J1524" i="2"/>
  <c r="K1524" i="2" s="1"/>
  <c r="Y1930" i="1"/>
  <c r="M1930" i="1"/>
  <c r="N1930" i="1" s="1"/>
  <c r="F1930" i="1"/>
  <c r="Y1926" i="1"/>
  <c r="J1926" i="1"/>
  <c r="N1926" i="1" s="1"/>
  <c r="F1926" i="1"/>
  <c r="Y1931" i="1"/>
  <c r="J1931" i="1"/>
  <c r="M1931" i="1" s="1"/>
  <c r="N1931" i="1" s="1"/>
  <c r="F1931" i="1"/>
  <c r="Y1929" i="1"/>
  <c r="M1929" i="1"/>
  <c r="N1929" i="1" s="1"/>
  <c r="F1929" i="1"/>
  <c r="Y1925" i="1"/>
  <c r="J1925" i="1"/>
  <c r="N1925" i="1" s="1"/>
  <c r="F1925" i="1"/>
  <c r="Y1927" i="1"/>
  <c r="J1927" i="1"/>
  <c r="N1927" i="1" s="1"/>
  <c r="F1927" i="1"/>
  <c r="J1633" i="2"/>
  <c r="K1633" i="2" s="1"/>
  <c r="J1522" i="2"/>
  <c r="K1522" i="2" s="1"/>
  <c r="J1521" i="2"/>
  <c r="K1521" i="2" s="1"/>
  <c r="J1520" i="2"/>
  <c r="K1520" i="2" s="1"/>
  <c r="M1913" i="1"/>
  <c r="N1913" i="1" s="1"/>
  <c r="J1523" i="2"/>
  <c r="K1523" i="2" s="1"/>
  <c r="Y1928" i="1"/>
  <c r="M1928" i="1"/>
  <c r="N1928" i="1" s="1"/>
  <c r="F1928" i="1"/>
  <c r="Y1918" i="1"/>
  <c r="J1918" i="1"/>
  <c r="M1918" i="1" s="1"/>
  <c r="N1918" i="1" s="1"/>
  <c r="F1918" i="1"/>
  <c r="J1632" i="2"/>
  <c r="K1632" i="2" s="1"/>
  <c r="Y1922" i="1"/>
  <c r="M1922" i="1"/>
  <c r="N1922" i="1" s="1"/>
  <c r="F1922" i="1"/>
  <c r="Y1914" i="1"/>
  <c r="J1914" i="1"/>
  <c r="M1914" i="1" s="1"/>
  <c r="N1914" i="1" s="1"/>
  <c r="F1914" i="1"/>
  <c r="Y1921" i="1"/>
  <c r="M1921" i="1"/>
  <c r="N1921" i="1" s="1"/>
  <c r="F1921" i="1"/>
  <c r="Y1924" i="1"/>
  <c r="J1924" i="1"/>
  <c r="M1924" i="1" s="1"/>
  <c r="N1924" i="1" s="1"/>
  <c r="F1924" i="1"/>
  <c r="Y1920" i="1"/>
  <c r="J1920" i="1"/>
  <c r="M1920" i="1" s="1"/>
  <c r="N1920" i="1" s="1"/>
  <c r="F1920" i="1"/>
  <c r="Y1917" i="1"/>
  <c r="J1917" i="1"/>
  <c r="M1917" i="1" s="1"/>
  <c r="N1917" i="1" s="1"/>
  <c r="F1917" i="1"/>
  <c r="Y1916" i="1"/>
  <c r="J1916" i="1"/>
  <c r="M1916" i="1" s="1"/>
  <c r="N1916" i="1" s="1"/>
  <c r="F1916" i="1"/>
  <c r="Y1911" i="1"/>
  <c r="M1911" i="1"/>
  <c r="N1911" i="1" s="1"/>
  <c r="F1911" i="1"/>
  <c r="Y1923" i="1"/>
  <c r="J1923" i="1"/>
  <c r="M1923" i="1" s="1"/>
  <c r="N1923" i="1" s="1"/>
  <c r="F1923" i="1"/>
  <c r="Y1919" i="1"/>
  <c r="M1919" i="1"/>
  <c r="N1919" i="1" s="1"/>
  <c r="F1919" i="1"/>
  <c r="Y1915" i="1"/>
  <c r="M1915" i="1"/>
  <c r="N1915" i="1" s="1"/>
  <c r="F1915" i="1"/>
  <c r="Y1912" i="1"/>
  <c r="M1912" i="1"/>
  <c r="N1912" i="1" s="1"/>
  <c r="F1912" i="1"/>
  <c r="J1519" i="2"/>
  <c r="K1519" i="2" s="1"/>
  <c r="Y1913" i="1"/>
  <c r="F1913" i="1"/>
  <c r="J1518" i="2"/>
  <c r="K1518" i="2" s="1"/>
  <c r="J1631" i="2"/>
  <c r="K1631" i="2" s="1"/>
  <c r="Y1899" i="1"/>
  <c r="M1899" i="1"/>
  <c r="N1899" i="1" s="1"/>
  <c r="F1899" i="1"/>
  <c r="J1517" i="2"/>
  <c r="K1517" i="2" s="1"/>
  <c r="J1516" i="2"/>
  <c r="K1516" i="2" s="1"/>
  <c r="J1903" i="1"/>
  <c r="M1903" i="1" s="1"/>
  <c r="N1903" i="1" s="1"/>
  <c r="J1904" i="1"/>
  <c r="M1904" i="1" s="1"/>
  <c r="N1904" i="1" s="1"/>
  <c r="J1910" i="1"/>
  <c r="M1910" i="1" s="1"/>
  <c r="N1910" i="1" s="1"/>
  <c r="J1909" i="1"/>
  <c r="M1909" i="1" s="1"/>
  <c r="N1909" i="1" s="1"/>
  <c r="J1907" i="1"/>
  <c r="M1907" i="1" s="1"/>
  <c r="N1907" i="1" s="1"/>
  <c r="J1906" i="1"/>
  <c r="M1906" i="1" s="1"/>
  <c r="N1906" i="1" s="1"/>
  <c r="J1902" i="1"/>
  <c r="M1902" i="1" s="1"/>
  <c r="N1902" i="1" s="1"/>
  <c r="J1908" i="1"/>
  <c r="M1908" i="1" s="1"/>
  <c r="N1908" i="1" s="1"/>
  <c r="J1905" i="1"/>
  <c r="M1905" i="1" s="1"/>
  <c r="N1905" i="1" s="1"/>
  <c r="J1900" i="1"/>
  <c r="M1900" i="1" s="1"/>
  <c r="N1900" i="1" s="1"/>
  <c r="Y1898" i="1"/>
  <c r="M1898" i="1"/>
  <c r="N1898" i="1" s="1"/>
  <c r="F1898" i="1"/>
  <c r="Y1904" i="1"/>
  <c r="F1904" i="1"/>
  <c r="Y1910" i="1"/>
  <c r="F1910" i="1"/>
  <c r="Y1909" i="1"/>
  <c r="F1909" i="1"/>
  <c r="Y1907" i="1"/>
  <c r="F1907" i="1"/>
  <c r="Y1906" i="1"/>
  <c r="F1906" i="1"/>
  <c r="Y1902" i="1"/>
  <c r="F1902" i="1"/>
  <c r="Y1901" i="1"/>
  <c r="M1901" i="1"/>
  <c r="N1901" i="1" s="1"/>
  <c r="F1901" i="1"/>
  <c r="Y1908" i="1"/>
  <c r="F1908" i="1"/>
  <c r="Y1905" i="1"/>
  <c r="F1905" i="1"/>
  <c r="Y1900" i="1"/>
  <c r="F1900" i="1"/>
  <c r="Y1897" i="1"/>
  <c r="M1897" i="1"/>
  <c r="N1897" i="1" s="1"/>
  <c r="F1897" i="1"/>
  <c r="Y1896" i="1"/>
  <c r="M1896" i="1"/>
  <c r="N1896" i="1" s="1"/>
  <c r="F1896" i="1"/>
  <c r="Y1903" i="1"/>
  <c r="F1903" i="1"/>
  <c r="Y1895" i="1"/>
  <c r="J1895" i="1"/>
  <c r="M1895" i="1" s="1"/>
  <c r="N1895" i="1" s="1"/>
  <c r="F1895" i="1"/>
  <c r="J1515" i="2"/>
  <c r="K1515" i="2" s="1"/>
  <c r="J1514" i="2"/>
  <c r="K1514" i="2" s="1"/>
  <c r="Y1884" i="1"/>
  <c r="M1884" i="1"/>
  <c r="N1884" i="1" s="1"/>
  <c r="F1884" i="1"/>
  <c r="Y1893" i="1"/>
  <c r="M1893" i="1"/>
  <c r="N1893" i="1" s="1"/>
  <c r="F1893" i="1"/>
  <c r="Y1888" i="1"/>
  <c r="M1888" i="1"/>
  <c r="N1888" i="1" s="1"/>
  <c r="F1888" i="1"/>
  <c r="Y1889" i="1"/>
  <c r="J1889" i="1"/>
  <c r="M1889" i="1" s="1"/>
  <c r="N1889" i="1" s="1"/>
  <c r="F1889" i="1"/>
  <c r="Y1887" i="1"/>
  <c r="J1887" i="1"/>
  <c r="M1887" i="1" s="1"/>
  <c r="N1887" i="1" s="1"/>
  <c r="F1887" i="1"/>
  <c r="Y1886" i="1"/>
  <c r="J1886" i="1"/>
  <c r="M1886" i="1" s="1"/>
  <c r="N1886" i="1" s="1"/>
  <c r="F1886" i="1"/>
  <c r="Y1892" i="1"/>
  <c r="M1892" i="1"/>
  <c r="N1892" i="1" s="1"/>
  <c r="F1892" i="1"/>
  <c r="Y1891" i="1"/>
  <c r="M1891" i="1"/>
  <c r="N1891" i="1" s="1"/>
  <c r="F1891" i="1"/>
  <c r="Y1885" i="1"/>
  <c r="J1885" i="1"/>
  <c r="M1885" i="1" s="1"/>
  <c r="N1885" i="1" s="1"/>
  <c r="F1885" i="1"/>
  <c r="Y1894" i="1"/>
  <c r="M1894" i="1"/>
  <c r="N1894" i="1" s="1"/>
  <c r="F1894" i="1"/>
  <c r="Y1890" i="1"/>
  <c r="M1890" i="1"/>
  <c r="N1890" i="1" s="1"/>
  <c r="F1890" i="1"/>
  <c r="J1512" i="2"/>
  <c r="K1512" i="2" s="1"/>
  <c r="J1511" i="2"/>
  <c r="K1511" i="2" s="1"/>
  <c r="Y1879" i="1"/>
  <c r="F1879" i="1"/>
  <c r="J1879" i="1"/>
  <c r="M1879" i="1" s="1"/>
  <c r="N1879" i="1" s="1"/>
  <c r="J1630" i="2"/>
  <c r="K1630" i="2" s="1"/>
  <c r="J1510" i="2"/>
  <c r="K1510" i="2" s="1"/>
  <c r="J1629" i="2"/>
  <c r="K1629" i="2" s="1"/>
  <c r="J1509" i="2"/>
  <c r="K1509" i="2" s="1"/>
  <c r="Y1873" i="1"/>
  <c r="M1873" i="1"/>
  <c r="N1873" i="1" s="1"/>
  <c r="F1873" i="1"/>
  <c r="J1508" i="2"/>
  <c r="K1508" i="2" s="1"/>
  <c r="J1505" i="2"/>
  <c r="K1505" i="2" s="1"/>
  <c r="Y1881" i="1"/>
  <c r="J1881" i="1"/>
  <c r="N1881" i="1" s="1"/>
  <c r="F1881" i="1"/>
  <c r="Y1872" i="1"/>
  <c r="M1872" i="1"/>
  <c r="N1872" i="1" s="1"/>
  <c r="F1872" i="1"/>
  <c r="Y1871" i="1"/>
  <c r="J1871" i="1"/>
  <c r="M1871" i="1" s="1"/>
  <c r="N1871" i="1" s="1"/>
  <c r="F1871" i="1"/>
  <c r="Y1876" i="1"/>
  <c r="J1876" i="1"/>
  <c r="N1876" i="1" s="1"/>
  <c r="F1876" i="1"/>
  <c r="Y1880" i="1"/>
  <c r="J1880" i="1"/>
  <c r="M1880" i="1" s="1"/>
  <c r="N1880" i="1" s="1"/>
  <c r="F1880" i="1"/>
  <c r="Y1877" i="1"/>
  <c r="J1877" i="1"/>
  <c r="N1877" i="1" s="1"/>
  <c r="F1877" i="1"/>
  <c r="Y1875" i="1"/>
  <c r="K1875" i="1"/>
  <c r="J1875" i="1"/>
  <c r="M1875" i="1" s="1"/>
  <c r="N1875" i="1" s="1"/>
  <c r="H1875" i="1"/>
  <c r="F1875" i="1"/>
  <c r="Y1870" i="1"/>
  <c r="J1870" i="1"/>
  <c r="M1870" i="1" s="1"/>
  <c r="N1870" i="1" s="1"/>
  <c r="F1870" i="1"/>
  <c r="Y1867" i="1"/>
  <c r="J1867" i="1"/>
  <c r="M1867" i="1" s="1"/>
  <c r="N1867" i="1" s="1"/>
  <c r="F1867" i="1"/>
  <c r="Y1874" i="1"/>
  <c r="J1874" i="1"/>
  <c r="M1874" i="1" s="1"/>
  <c r="N1874" i="1" s="1"/>
  <c r="F1874" i="1"/>
  <c r="Y1866" i="1"/>
  <c r="M1866" i="1"/>
  <c r="N1866" i="1" s="1"/>
  <c r="F1866" i="1"/>
  <c r="Y1878" i="1"/>
  <c r="J1878" i="1"/>
  <c r="M1878" i="1" s="1"/>
  <c r="N1878" i="1" s="1"/>
  <c r="F1878" i="1"/>
  <c r="Y1883" i="1"/>
  <c r="M1883" i="1"/>
  <c r="N1883" i="1" s="1"/>
  <c r="F1883" i="1"/>
  <c r="Y1868" i="1"/>
  <c r="M1868" i="1"/>
  <c r="N1868" i="1" s="1"/>
  <c r="F1868" i="1"/>
  <c r="J1853" i="1"/>
  <c r="M1853" i="1" s="1"/>
  <c r="N1853" i="1" s="1"/>
  <c r="J1504" i="2"/>
  <c r="K1504" i="2" s="1"/>
  <c r="Y1882" i="1"/>
  <c r="F1882" i="1"/>
  <c r="M1882" i="1"/>
  <c r="N1882" i="1" s="1"/>
  <c r="J1507" i="2"/>
  <c r="K1507" i="2" s="1"/>
  <c r="J1848" i="1"/>
  <c r="M1848" i="1" s="1"/>
  <c r="N1848" i="1" s="1"/>
  <c r="J1506" i="2"/>
  <c r="K1506" i="2" s="1"/>
  <c r="J1501" i="2"/>
  <c r="K1501" i="2" s="1"/>
  <c r="J1500" i="2"/>
  <c r="K1500" i="2" s="1"/>
  <c r="Y1869" i="1"/>
  <c r="J1869" i="1"/>
  <c r="M1869" i="1" s="1"/>
  <c r="N1869" i="1" s="1"/>
  <c r="F1869" i="1"/>
  <c r="Y1860" i="1"/>
  <c r="M1860" i="1"/>
  <c r="N1860" i="1" s="1"/>
  <c r="F1860" i="1"/>
  <c r="Y1864" i="1"/>
  <c r="M1864" i="1"/>
  <c r="N1864" i="1" s="1"/>
  <c r="F1864" i="1"/>
  <c r="Y1863" i="1"/>
  <c r="M1863" i="1"/>
  <c r="N1863" i="1" s="1"/>
  <c r="F1863" i="1"/>
  <c r="Y1862" i="1"/>
  <c r="M1862" i="1"/>
  <c r="N1862" i="1" s="1"/>
  <c r="F1862" i="1"/>
  <c r="Y1865" i="1"/>
  <c r="M1865" i="1"/>
  <c r="N1865" i="1" s="1"/>
  <c r="F1865" i="1"/>
  <c r="Y1853" i="1"/>
  <c r="F1853" i="1"/>
  <c r="Y1859" i="1"/>
  <c r="J1859" i="1"/>
  <c r="M1859" i="1" s="1"/>
  <c r="N1859" i="1" s="1"/>
  <c r="F1859" i="1"/>
  <c r="Y1855" i="1"/>
  <c r="M1855" i="1"/>
  <c r="N1855" i="1" s="1"/>
  <c r="F1855" i="1"/>
  <c r="Y1861" i="1"/>
  <c r="J1861" i="1"/>
  <c r="M1861" i="1" s="1"/>
  <c r="N1861" i="1" s="1"/>
  <c r="F1861" i="1"/>
  <c r="Y1858" i="1"/>
  <c r="J1858" i="1"/>
  <c r="M1858" i="1" s="1"/>
  <c r="N1858" i="1" s="1"/>
  <c r="F1858" i="1"/>
  <c r="Y1857" i="1"/>
  <c r="J1857" i="1"/>
  <c r="N1857" i="1" s="1"/>
  <c r="F1857" i="1"/>
  <c r="Y1856" i="1"/>
  <c r="J1856" i="1"/>
  <c r="N1856" i="1" s="1"/>
  <c r="F1856" i="1"/>
  <c r="Y1850" i="1"/>
  <c r="M1850" i="1"/>
  <c r="N1850" i="1" s="1"/>
  <c r="F1850" i="1"/>
  <c r="Y1848" i="1"/>
  <c r="F1848" i="1"/>
  <c r="Y1854" i="1"/>
  <c r="M1854" i="1"/>
  <c r="N1854" i="1" s="1"/>
  <c r="F1854" i="1"/>
  <c r="Y1851" i="1"/>
  <c r="M1851" i="1"/>
  <c r="N1851" i="1" s="1"/>
  <c r="F1851" i="1"/>
  <c r="J1502" i="2"/>
  <c r="K1502" i="2" s="1"/>
  <c r="J1499" i="2"/>
  <c r="K1499" i="2" s="1"/>
  <c r="J1498" i="2"/>
  <c r="K1498" i="2" s="1"/>
  <c r="Y1830" i="1"/>
  <c r="M1830" i="1"/>
  <c r="N1830" i="1" s="1"/>
  <c r="F1830" i="1"/>
  <c r="J1628" i="2"/>
  <c r="K1628" i="2" s="1"/>
  <c r="J1647" i="2"/>
  <c r="K1647" i="2" s="1"/>
  <c r="Y1852" i="1"/>
  <c r="M1852" i="1"/>
  <c r="N1852" i="1" s="1"/>
  <c r="F1852" i="1"/>
  <c r="Y1849" i="1"/>
  <c r="M1849" i="1"/>
  <c r="N1849" i="1" s="1"/>
  <c r="F1849" i="1"/>
  <c r="Y1847" i="1"/>
  <c r="M1847" i="1"/>
  <c r="N1847" i="1" s="1"/>
  <c r="F1847" i="1"/>
  <c r="Y1846" i="1"/>
  <c r="J1846" i="1"/>
  <c r="M1846" i="1" s="1"/>
  <c r="N1846" i="1" s="1"/>
  <c r="F1846" i="1"/>
  <c r="Y1845" i="1"/>
  <c r="J1845" i="1"/>
  <c r="M1845" i="1" s="1"/>
  <c r="N1845" i="1" s="1"/>
  <c r="F1845" i="1"/>
  <c r="Y1844" i="1"/>
  <c r="J1844" i="1"/>
  <c r="M1844" i="1" s="1"/>
  <c r="N1844" i="1" s="1"/>
  <c r="F1844" i="1"/>
  <c r="Y1843" i="1"/>
  <c r="J1843" i="1"/>
  <c r="M1843" i="1" s="1"/>
  <c r="N1843" i="1" s="1"/>
  <c r="F1843" i="1"/>
  <c r="Y1841" i="1"/>
  <c r="J1841" i="1"/>
  <c r="N1841" i="1" s="1"/>
  <c r="F1841" i="1"/>
  <c r="Y1842" i="1"/>
  <c r="J1842" i="1"/>
  <c r="M1842" i="1" s="1"/>
  <c r="N1842" i="1" s="1"/>
  <c r="F1842" i="1"/>
  <c r="Y1837" i="1"/>
  <c r="M1837" i="1"/>
  <c r="N1837" i="1" s="1"/>
  <c r="F1837" i="1"/>
  <c r="Y1832" i="1"/>
  <c r="J1832" i="1"/>
  <c r="M1832" i="1" s="1"/>
  <c r="N1832" i="1" s="1"/>
  <c r="F1832" i="1"/>
  <c r="Y1840" i="1"/>
  <c r="J1840" i="1"/>
  <c r="N1840" i="1" s="1"/>
  <c r="F1840" i="1"/>
  <c r="Y1839" i="1"/>
  <c r="J1839" i="1"/>
  <c r="N1839" i="1" s="1"/>
  <c r="F1839" i="1"/>
  <c r="Y1838" i="1"/>
  <c r="J1838" i="1"/>
  <c r="N1838" i="1" s="1"/>
  <c r="F1838" i="1"/>
  <c r="Y1833" i="1"/>
  <c r="M1833" i="1"/>
  <c r="N1833" i="1" s="1"/>
  <c r="F1833" i="1"/>
  <c r="Y1836" i="1"/>
  <c r="J1836" i="1"/>
  <c r="M1836" i="1" s="1"/>
  <c r="N1836" i="1" s="1"/>
  <c r="F1836" i="1"/>
  <c r="Y1828" i="1"/>
  <c r="M1828" i="1"/>
  <c r="N1828" i="1" s="1"/>
  <c r="F1828" i="1"/>
  <c r="Y1834" i="1"/>
  <c r="M1834" i="1"/>
  <c r="N1834" i="1" s="1"/>
  <c r="F1834" i="1"/>
  <c r="J1503" i="2"/>
  <c r="K1503" i="2" s="1"/>
  <c r="J1497" i="2"/>
  <c r="K1497" i="2" s="1"/>
  <c r="J1822" i="1"/>
  <c r="M1822" i="1" s="1"/>
  <c r="N1822" i="1" s="1"/>
  <c r="J1821" i="1"/>
  <c r="M1821" i="1" s="1"/>
  <c r="N1821" i="1" s="1"/>
  <c r="J1820" i="1"/>
  <c r="M1820" i="1" s="1"/>
  <c r="N1820" i="1" s="1"/>
  <c r="J1819" i="1"/>
  <c r="M1819" i="1" s="1"/>
  <c r="N1819" i="1" s="1"/>
  <c r="J1818" i="1"/>
  <c r="M1818" i="1" s="1"/>
  <c r="N1818" i="1" s="1"/>
  <c r="Y1816" i="1"/>
  <c r="Y1815" i="1"/>
  <c r="Y1818" i="1"/>
  <c r="Y1823" i="1"/>
  <c r="Y1817" i="1"/>
  <c r="Y1819" i="1"/>
  <c r="Y1820" i="1"/>
  <c r="Y1821" i="1"/>
  <c r="Y1822" i="1"/>
  <c r="Y1824" i="1"/>
  <c r="Y1826" i="1"/>
  <c r="Y1825" i="1"/>
  <c r="Y1831" i="1"/>
  <c r="Y1835" i="1"/>
  <c r="Y1829" i="1"/>
  <c r="Y1827" i="1"/>
  <c r="J1494" i="2"/>
  <c r="K1494" i="2" s="1"/>
  <c r="F1826" i="1"/>
  <c r="J1826" i="1"/>
  <c r="M1826" i="1" s="1"/>
  <c r="N1826" i="1" s="1"/>
  <c r="J1831" i="1"/>
  <c r="M1831" i="1" s="1"/>
  <c r="N1831" i="1" s="1"/>
  <c r="F1831" i="1"/>
  <c r="M1825" i="1"/>
  <c r="N1825" i="1" s="1"/>
  <c r="F1825" i="1"/>
  <c r="J1823" i="1"/>
  <c r="M1823" i="1" s="1"/>
  <c r="N1823" i="1" s="1"/>
  <c r="J1817" i="1"/>
  <c r="M1817" i="1" s="1"/>
  <c r="N1817" i="1" s="1"/>
  <c r="J1824" i="1"/>
  <c r="M1824" i="1" s="1"/>
  <c r="N1824" i="1" s="1"/>
  <c r="J1815" i="1"/>
  <c r="M1815" i="1" s="1"/>
  <c r="N1815" i="1" s="1"/>
  <c r="M1829" i="1"/>
  <c r="N1829" i="1" s="1"/>
  <c r="F1829" i="1"/>
  <c r="M1835" i="1"/>
  <c r="N1835" i="1" s="1"/>
  <c r="F1835" i="1"/>
  <c r="F1824" i="1"/>
  <c r="F1822" i="1"/>
  <c r="F1821" i="1"/>
  <c r="F1820" i="1"/>
  <c r="F1819" i="1"/>
  <c r="F1817" i="1"/>
  <c r="F1823" i="1"/>
  <c r="F1818" i="1"/>
  <c r="F1815" i="1"/>
  <c r="J1816" i="1"/>
  <c r="M1816" i="1" s="1"/>
  <c r="N1816" i="1" s="1"/>
  <c r="F1816" i="1"/>
  <c r="M1827" i="1"/>
  <c r="N1827" i="1" s="1"/>
  <c r="J1814" i="1"/>
  <c r="M1814" i="1" s="1"/>
  <c r="N1814" i="1" s="1"/>
  <c r="J1813" i="1"/>
  <c r="M1813" i="1" s="1"/>
  <c r="N1813" i="1" s="1"/>
  <c r="J1495" i="2"/>
  <c r="K1495" i="2" s="1"/>
  <c r="J1493" i="2"/>
  <c r="K1493" i="2" s="1"/>
  <c r="J1496" i="2"/>
  <c r="K1496" i="2" s="1"/>
  <c r="Y1801" i="1"/>
  <c r="J1801" i="1"/>
  <c r="M1801" i="1" s="1"/>
  <c r="N1801" i="1" s="1"/>
  <c r="F1801" i="1"/>
  <c r="J1805" i="1"/>
  <c r="M1805" i="1" s="1"/>
  <c r="N1805" i="1" s="1"/>
  <c r="J1800" i="1"/>
  <c r="M1800" i="1" s="1"/>
  <c r="N1800" i="1" s="1"/>
  <c r="J1804" i="1"/>
  <c r="M1804" i="1" s="1"/>
  <c r="N1804" i="1" s="1"/>
  <c r="J1799" i="1"/>
  <c r="M1799" i="1" s="1"/>
  <c r="N1799" i="1" s="1"/>
  <c r="F1827" i="1"/>
  <c r="Y1814" i="1"/>
  <c r="F1814" i="1"/>
  <c r="Y1813" i="1"/>
  <c r="F1813" i="1"/>
  <c r="Y1811" i="1"/>
  <c r="M1811" i="1"/>
  <c r="N1811" i="1" s="1"/>
  <c r="F1811" i="1"/>
  <c r="Y1805" i="1"/>
  <c r="F1805" i="1"/>
  <c r="Y1800" i="1"/>
  <c r="F1800" i="1"/>
  <c r="Y1806" i="1"/>
  <c r="M1806" i="1"/>
  <c r="N1806" i="1" s="1"/>
  <c r="F1806" i="1"/>
  <c r="Y1812" i="1"/>
  <c r="M1812" i="1"/>
  <c r="N1812" i="1" s="1"/>
  <c r="F1812" i="1"/>
  <c r="Y1810" i="1"/>
  <c r="M1810" i="1"/>
  <c r="N1810" i="1" s="1"/>
  <c r="F1810" i="1"/>
  <c r="Y1809" i="1"/>
  <c r="M1809" i="1"/>
  <c r="N1809" i="1" s="1"/>
  <c r="F1809" i="1"/>
  <c r="Y1808" i="1"/>
  <c r="M1808" i="1"/>
  <c r="N1808" i="1" s="1"/>
  <c r="F1808" i="1"/>
  <c r="Y1807" i="1"/>
  <c r="M1807" i="1"/>
  <c r="N1807" i="1" s="1"/>
  <c r="F1807" i="1"/>
  <c r="Y1804" i="1"/>
  <c r="F1804" i="1"/>
  <c r="Y1799" i="1"/>
  <c r="F1799" i="1"/>
  <c r="Y1795" i="1"/>
  <c r="M1795" i="1"/>
  <c r="N1795" i="1" s="1"/>
  <c r="F1795" i="1"/>
  <c r="J1492" i="2"/>
  <c r="K1492" i="2" s="1"/>
  <c r="J1627" i="2"/>
  <c r="K1627" i="2" s="1"/>
  <c r="J1626" i="2"/>
  <c r="K1626" i="2" s="1"/>
  <c r="J1491" i="2"/>
  <c r="K1491" i="2" s="1"/>
  <c r="J1625" i="2"/>
  <c r="K1625" i="2" s="1"/>
  <c r="Y1797" i="1"/>
  <c r="J1797" i="1"/>
  <c r="M1797" i="1" s="1"/>
  <c r="N1797" i="1" s="1"/>
  <c r="F1797" i="1"/>
  <c r="Y1798" i="1"/>
  <c r="M1798" i="1"/>
  <c r="N1798" i="1" s="1"/>
  <c r="F1798" i="1"/>
  <c r="J1788" i="1"/>
  <c r="J1624" i="2"/>
  <c r="K1624" i="2" s="1"/>
  <c r="J1623" i="2"/>
  <c r="K1623" i="2" s="1"/>
  <c r="J1784" i="1"/>
  <c r="J1793" i="1"/>
  <c r="J1794" i="1"/>
  <c r="J1791" i="1"/>
  <c r="J1790" i="1"/>
  <c r="J1789" i="1"/>
  <c r="J1490" i="2"/>
  <c r="K1490" i="2" s="1"/>
  <c r="J1621" i="2"/>
  <c r="K1621" i="2" s="1"/>
  <c r="K1738" i="2" l="1"/>
  <c r="M2532" i="1"/>
  <c r="N2532" i="1" s="1"/>
  <c r="K1659" i="2"/>
  <c r="K1657" i="2"/>
  <c r="K1662" i="2"/>
  <c r="N2147" i="1"/>
  <c r="N2148" i="1"/>
  <c r="N2149" i="1"/>
  <c r="M2150" i="1"/>
  <c r="N2150" i="1" s="1"/>
  <c r="K1719" i="2"/>
  <c r="M2012" i="1"/>
  <c r="N2012" i="1" s="1"/>
  <c r="Y1783" i="1"/>
  <c r="J1783" i="1"/>
  <c r="M1783" i="1" s="1"/>
  <c r="N1783" i="1" s="1"/>
  <c r="F1783" i="1"/>
  <c r="J1780" i="1"/>
  <c r="M1780" i="1" s="1"/>
  <c r="N1780" i="1" s="1"/>
  <c r="J1779" i="1"/>
  <c r="M1779" i="1" s="1"/>
  <c r="N1779" i="1" s="1"/>
  <c r="J1489" i="2"/>
  <c r="K1489" i="2" s="1"/>
  <c r="J1622" i="2"/>
  <c r="K1622" i="2" s="1"/>
  <c r="M1803" i="1"/>
  <c r="N1803" i="1" s="1"/>
  <c r="M1802" i="1"/>
  <c r="N1802" i="1" s="1"/>
  <c r="M1793" i="1"/>
  <c r="N1793" i="1" s="1"/>
  <c r="M1796" i="1"/>
  <c r="N1796" i="1" s="1"/>
  <c r="M1792" i="1"/>
  <c r="N1792" i="1" s="1"/>
  <c r="Y1803" i="1"/>
  <c r="F1803" i="1"/>
  <c r="Y1802" i="1"/>
  <c r="F1802" i="1"/>
  <c r="Y1793" i="1"/>
  <c r="F1793" i="1"/>
  <c r="Y1796" i="1"/>
  <c r="F1796" i="1"/>
  <c r="Y1794" i="1"/>
  <c r="K1794" i="1"/>
  <c r="M1794" i="1"/>
  <c r="N1794" i="1" s="1"/>
  <c r="H1794" i="1"/>
  <c r="F1794" i="1"/>
  <c r="Y1784" i="1"/>
  <c r="M1784" i="1"/>
  <c r="N1784" i="1" s="1"/>
  <c r="F1784" i="1"/>
  <c r="Y1779" i="1"/>
  <c r="F1779" i="1"/>
  <c r="Y1791" i="1"/>
  <c r="M1791" i="1"/>
  <c r="N1791" i="1" s="1"/>
  <c r="F1791" i="1"/>
  <c r="Y1786" i="1"/>
  <c r="J1786" i="1"/>
  <c r="M1786" i="1" s="1"/>
  <c r="N1786" i="1" s="1"/>
  <c r="F1786" i="1"/>
  <c r="Y1788" i="1"/>
  <c r="M1788" i="1"/>
  <c r="N1788" i="1" s="1"/>
  <c r="F1788" i="1"/>
  <c r="Y1790" i="1"/>
  <c r="M1790" i="1"/>
  <c r="N1790" i="1" s="1"/>
  <c r="F1790" i="1"/>
  <c r="Y1787" i="1"/>
  <c r="M1787" i="1"/>
  <c r="N1787" i="1" s="1"/>
  <c r="F1787" i="1"/>
  <c r="Y1782" i="1"/>
  <c r="J1782" i="1"/>
  <c r="M1782" i="1" s="1"/>
  <c r="N1782" i="1" s="1"/>
  <c r="F1782" i="1"/>
  <c r="Y1789" i="1"/>
  <c r="M1789" i="1"/>
  <c r="N1789" i="1" s="1"/>
  <c r="F1789" i="1"/>
  <c r="Y1785" i="1"/>
  <c r="M1785" i="1"/>
  <c r="N1785" i="1" s="1"/>
  <c r="F1785" i="1"/>
  <c r="Y1780" i="1"/>
  <c r="F1780" i="1"/>
  <c r="Y1781" i="1"/>
  <c r="J1781" i="1"/>
  <c r="M1781" i="1" s="1"/>
  <c r="N1781" i="1" s="1"/>
  <c r="F1781" i="1"/>
  <c r="J1488" i="2"/>
  <c r="K1488" i="2" s="1"/>
  <c r="Y1778" i="1"/>
  <c r="J1778" i="1"/>
  <c r="M1778" i="1" s="1"/>
  <c r="N1778" i="1" s="1"/>
  <c r="F1778" i="1"/>
  <c r="Y1792" i="1"/>
  <c r="F1792" i="1"/>
  <c r="J1765" i="1"/>
  <c r="M1765" i="1" s="1"/>
  <c r="N1765" i="1" s="1"/>
  <c r="J1487" i="2"/>
  <c r="K1487" i="2" s="1"/>
  <c r="J1764" i="1"/>
  <c r="M1764" i="1" s="1"/>
  <c r="N1764" i="1" s="1"/>
  <c r="Y1777" i="1"/>
  <c r="J1777" i="1"/>
  <c r="M1777" i="1" s="1"/>
  <c r="N1777" i="1" s="1"/>
  <c r="F1777" i="1"/>
  <c r="J1486" i="2"/>
  <c r="K1486" i="2" s="1"/>
  <c r="J1620" i="2"/>
  <c r="K1620" i="2" s="1"/>
  <c r="J1619" i="2"/>
  <c r="K1619" i="2" s="1"/>
  <c r="Y1775" i="1"/>
  <c r="M1775" i="1"/>
  <c r="N1775" i="1" s="1"/>
  <c r="F1775" i="1"/>
  <c r="Y1776" i="1"/>
  <c r="J1776" i="1"/>
  <c r="M1776" i="1" s="1"/>
  <c r="N1776" i="1" s="1"/>
  <c r="F1776" i="1"/>
  <c r="J1485" i="2"/>
  <c r="K1485" i="2" s="1"/>
  <c r="M1760" i="1"/>
  <c r="N1760" i="1" s="1"/>
  <c r="J1617" i="2"/>
  <c r="K1617" i="2" s="1"/>
  <c r="J1618" i="2"/>
  <c r="K1618" i="2" s="1"/>
  <c r="J1616" i="2"/>
  <c r="K1616" i="2" s="1"/>
  <c r="J1763" i="1"/>
  <c r="M1763" i="1" s="1"/>
  <c r="N1763" i="1" s="1"/>
  <c r="J1762" i="1"/>
  <c r="M1762" i="1" s="1"/>
  <c r="N1762" i="1" s="1"/>
  <c r="J1758" i="1"/>
  <c r="M1758" i="1" s="1"/>
  <c r="N1758" i="1" s="1"/>
  <c r="J1761" i="1"/>
  <c r="M1761" i="1" s="1"/>
  <c r="N1761" i="1" s="1"/>
  <c r="J1757" i="1"/>
  <c r="M1757" i="1" s="1"/>
  <c r="N1757" i="1" s="1"/>
  <c r="J1770" i="1"/>
  <c r="M1770" i="1" s="1"/>
  <c r="N1770" i="1" s="1"/>
  <c r="J1768" i="1"/>
  <c r="M1768" i="1" s="1"/>
  <c r="N1768" i="1" s="1"/>
  <c r="J1767" i="1"/>
  <c r="M1767" i="1" s="1"/>
  <c r="N1767" i="1" s="1"/>
  <c r="Y1771" i="1"/>
  <c r="M1771" i="1"/>
  <c r="N1771" i="1" s="1"/>
  <c r="F1771" i="1"/>
  <c r="Y1764" i="1"/>
  <c r="F1764" i="1"/>
  <c r="Y1774" i="1"/>
  <c r="M1774" i="1"/>
  <c r="N1774" i="1" s="1"/>
  <c r="F1774" i="1"/>
  <c r="Y1773" i="1"/>
  <c r="M1773" i="1"/>
  <c r="N1773" i="1" s="1"/>
  <c r="F1773" i="1"/>
  <c r="Y1763" i="1"/>
  <c r="F1763" i="1"/>
  <c r="Y1762" i="1"/>
  <c r="F1762" i="1"/>
  <c r="Y1758" i="1"/>
  <c r="F1758" i="1"/>
  <c r="Y1769" i="1"/>
  <c r="M1769" i="1"/>
  <c r="N1769" i="1" s="1"/>
  <c r="F1769" i="1"/>
  <c r="Y1761" i="1"/>
  <c r="F1761" i="1"/>
  <c r="Y1757" i="1"/>
  <c r="F1757" i="1"/>
  <c r="Y1772" i="1"/>
  <c r="M1772" i="1"/>
  <c r="N1772" i="1" s="1"/>
  <c r="F1772" i="1"/>
  <c r="Y1765" i="1"/>
  <c r="F1765" i="1"/>
  <c r="Y1770" i="1"/>
  <c r="F1770" i="1"/>
  <c r="Y1768" i="1"/>
  <c r="F1768" i="1"/>
  <c r="Y1767" i="1"/>
  <c r="K1767" i="1"/>
  <c r="H1767" i="1"/>
  <c r="F1767" i="1"/>
  <c r="J1615" i="2"/>
  <c r="K1615" i="2" s="1"/>
  <c r="Y1754" i="1"/>
  <c r="M1754" i="1"/>
  <c r="N1754" i="1" s="1"/>
  <c r="F1754" i="1"/>
  <c r="Y1766" i="1"/>
  <c r="M1766" i="1"/>
  <c r="N1766" i="1" s="1"/>
  <c r="F1766" i="1"/>
  <c r="J1744" i="1"/>
  <c r="M1744" i="1" s="1"/>
  <c r="N1744" i="1" s="1"/>
  <c r="J1614" i="2"/>
  <c r="K1614" i="2" s="1"/>
  <c r="J1483" i="2"/>
  <c r="K1483" i="2" s="1"/>
  <c r="J1482" i="2"/>
  <c r="K1482" i="2" s="1"/>
  <c r="J1481" i="2"/>
  <c r="K1481" i="2" s="1"/>
  <c r="J1612" i="2"/>
  <c r="K1612" i="2" s="1"/>
  <c r="J1480" i="2"/>
  <c r="K1480" i="2" s="1"/>
  <c r="J1613" i="2"/>
  <c r="K1613" i="2" s="1"/>
  <c r="J1442" i="2"/>
  <c r="Y1755" i="1"/>
  <c r="M1755" i="1"/>
  <c r="N1755" i="1" s="1"/>
  <c r="F1755" i="1"/>
  <c r="J1477" i="2"/>
  <c r="K1477" i="2" s="1"/>
  <c r="J1479" i="2"/>
  <c r="K1479" i="2" s="1"/>
  <c r="J1478" i="2"/>
  <c r="K1478" i="2" s="1"/>
  <c r="J1484" i="2"/>
  <c r="K1484" i="2" s="1"/>
  <c r="Y1752" i="1"/>
  <c r="M1752" i="1"/>
  <c r="N1752" i="1" s="1"/>
  <c r="F1752" i="1"/>
  <c r="Y1760" i="1"/>
  <c r="F1760" i="1"/>
  <c r="Y1751" i="1"/>
  <c r="M1751" i="1"/>
  <c r="N1751" i="1" s="1"/>
  <c r="F1751" i="1"/>
  <c r="Y1746" i="1"/>
  <c r="J1746" i="1"/>
  <c r="M1746" i="1" s="1"/>
  <c r="N1746" i="1" s="1"/>
  <c r="F1746" i="1"/>
  <c r="Y1737" i="1"/>
  <c r="M1737" i="1"/>
  <c r="N1737" i="1" s="1"/>
  <c r="F1737" i="1"/>
  <c r="Y1736" i="1"/>
  <c r="J1736" i="1"/>
  <c r="M1736" i="1" s="1"/>
  <c r="N1736" i="1" s="1"/>
  <c r="F1736" i="1"/>
  <c r="J1741" i="1"/>
  <c r="M1741" i="1" s="1"/>
  <c r="N1741" i="1" s="1"/>
  <c r="J1745" i="1"/>
  <c r="M1745" i="1" s="1"/>
  <c r="N1745" i="1" s="1"/>
  <c r="J1753" i="1"/>
  <c r="M1753" i="1" s="1"/>
  <c r="N1753" i="1" s="1"/>
  <c r="Y1756" i="1"/>
  <c r="M1756" i="1"/>
  <c r="N1756" i="1" s="1"/>
  <c r="F1756" i="1"/>
  <c r="Y1741" i="1"/>
  <c r="F1741" i="1"/>
  <c r="Y1750" i="1"/>
  <c r="M1750" i="1"/>
  <c r="N1750" i="1" s="1"/>
  <c r="F1750" i="1"/>
  <c r="Y1743" i="1"/>
  <c r="M1743" i="1"/>
  <c r="N1743" i="1" s="1"/>
  <c r="F1743" i="1"/>
  <c r="Y1749" i="1"/>
  <c r="M1749" i="1"/>
  <c r="N1749" i="1" s="1"/>
  <c r="F1749" i="1"/>
  <c r="Y1745" i="1"/>
  <c r="F1745" i="1"/>
  <c r="Y1747" i="1"/>
  <c r="M1747" i="1"/>
  <c r="N1747" i="1" s="1"/>
  <c r="F1747" i="1"/>
  <c r="Y1738" i="1"/>
  <c r="M1738" i="1"/>
  <c r="N1738" i="1" s="1"/>
  <c r="F1738" i="1"/>
  <c r="Y1753" i="1"/>
  <c r="F1753" i="1"/>
  <c r="Y1748" i="1"/>
  <c r="M1748" i="1"/>
  <c r="N1748" i="1" s="1"/>
  <c r="F1748" i="1"/>
  <c r="Y1744" i="1"/>
  <c r="F1744" i="1"/>
  <c r="Y1740" i="1"/>
  <c r="M1740" i="1"/>
  <c r="N1740" i="1" s="1"/>
  <c r="F1740" i="1"/>
  <c r="Y1742" i="1"/>
  <c r="M1742" i="1"/>
  <c r="N1742" i="1" s="1"/>
  <c r="F1742" i="1"/>
  <c r="Y1734" i="1"/>
  <c r="M1734" i="1"/>
  <c r="N1734" i="1" s="1"/>
  <c r="F1734" i="1"/>
  <c r="J1611" i="2"/>
  <c r="K1611" i="2" s="1"/>
  <c r="J1827" i="2"/>
  <c r="K1827" i="2" s="1"/>
  <c r="Y1731" i="1"/>
  <c r="M1731" i="1"/>
  <c r="N1731" i="1" s="1"/>
  <c r="F1731" i="1"/>
  <c r="J1610" i="2"/>
  <c r="K1610" i="2" s="1"/>
  <c r="Y1724" i="1"/>
  <c r="M1724" i="1"/>
  <c r="N1724" i="1" s="1"/>
  <c r="F1724" i="1"/>
  <c r="J1712" i="1"/>
  <c r="M1712" i="1" s="1"/>
  <c r="N1712" i="1" s="1"/>
  <c r="J1710" i="1"/>
  <c r="M1710" i="1" s="1"/>
  <c r="N1710" i="1" s="1"/>
  <c r="Y1720" i="1"/>
  <c r="J1720" i="1"/>
  <c r="M1720" i="1" s="1"/>
  <c r="N1720" i="1" s="1"/>
  <c r="F1720" i="1"/>
  <c r="J1709" i="1"/>
  <c r="Y1710" i="1"/>
  <c r="F1710" i="1"/>
  <c r="J1700" i="1"/>
  <c r="J1701" i="1"/>
  <c r="J1702" i="1"/>
  <c r="J1703" i="1"/>
  <c r="J1699" i="1"/>
  <c r="Y1712" i="1"/>
  <c r="F1712" i="1"/>
  <c r="Y1708" i="1"/>
  <c r="J1708" i="1"/>
  <c r="M1708" i="1" s="1"/>
  <c r="N1708" i="1" s="1"/>
  <c r="F1708" i="1"/>
  <c r="J1609" i="2"/>
  <c r="K1609" i="2" s="1"/>
  <c r="J1476" i="2"/>
  <c r="K1476" i="2" s="1"/>
  <c r="J1475" i="2" l="1"/>
  <c r="K1475" i="2" s="1"/>
  <c r="M1722" i="1" l="1"/>
  <c r="N1722" i="1" s="1"/>
  <c r="M1726" i="1"/>
  <c r="N1726" i="1" s="1"/>
  <c r="M1733" i="1"/>
  <c r="N1733" i="1" s="1"/>
  <c r="J1727" i="1"/>
  <c r="M1727" i="1" s="1"/>
  <c r="N1727" i="1" s="1"/>
  <c r="J1728" i="1"/>
  <c r="M1728" i="1" s="1"/>
  <c r="N1728" i="1" s="1"/>
  <c r="J1717" i="1"/>
  <c r="M1717" i="1" s="1"/>
  <c r="N1717" i="1" s="1"/>
  <c r="J1718" i="1"/>
  <c r="M1718" i="1" s="1"/>
  <c r="N1718" i="1" s="1"/>
  <c r="J1719" i="1"/>
  <c r="M1719" i="1" s="1"/>
  <c r="N1719" i="1" s="1"/>
  <c r="M1732" i="1"/>
  <c r="N1732" i="1" s="1"/>
  <c r="J1715" i="1"/>
  <c r="M1715" i="1" s="1"/>
  <c r="N1715" i="1" s="1"/>
  <c r="J1716" i="1"/>
  <c r="M1716" i="1" s="1"/>
  <c r="N1716" i="1" s="1"/>
  <c r="J1714" i="1"/>
  <c r="M1714" i="1" s="1"/>
  <c r="N1714" i="1" s="1"/>
  <c r="Y1729" i="1"/>
  <c r="J1729" i="1"/>
  <c r="M1729" i="1" s="1"/>
  <c r="N1729" i="1" s="1"/>
  <c r="F1729" i="1"/>
  <c r="F1733" i="1"/>
  <c r="Y1733" i="1"/>
  <c r="F1714" i="1"/>
  <c r="Y1714" i="1"/>
  <c r="F1715" i="1"/>
  <c r="Y1715" i="1"/>
  <c r="F1717" i="1"/>
  <c r="Y1717" i="1"/>
  <c r="F1718" i="1"/>
  <c r="Y1718" i="1"/>
  <c r="F1719" i="1"/>
  <c r="Y1719" i="1"/>
  <c r="F1722" i="1"/>
  <c r="Y1722" i="1"/>
  <c r="F1723" i="1"/>
  <c r="M1723" i="1"/>
  <c r="N1723" i="1" s="1"/>
  <c r="Y1723" i="1"/>
  <c r="F1727" i="1"/>
  <c r="Y1727" i="1"/>
  <c r="F1728" i="1"/>
  <c r="Y1728" i="1"/>
  <c r="F1732" i="1"/>
  <c r="Y1732" i="1"/>
  <c r="F1716" i="1"/>
  <c r="Y1716" i="1"/>
  <c r="F1725" i="1"/>
  <c r="M1725" i="1"/>
  <c r="N1725" i="1" s="1"/>
  <c r="Y1725" i="1"/>
  <c r="F1726" i="1"/>
  <c r="Y1726" i="1"/>
  <c r="F1721" i="1"/>
  <c r="M1721" i="1"/>
  <c r="N1721" i="1" s="1"/>
  <c r="Y1721" i="1"/>
  <c r="F1739" i="1"/>
  <c r="M1739" i="1"/>
  <c r="N1739" i="1" s="1"/>
  <c r="Y1739" i="1"/>
  <c r="Y1699" i="1"/>
  <c r="M1699" i="1"/>
  <c r="N1699" i="1" s="1"/>
  <c r="F1699" i="1"/>
  <c r="Y1730" i="1"/>
  <c r="J1730" i="1"/>
  <c r="M1730" i="1" s="1"/>
  <c r="N1730" i="1" s="1"/>
  <c r="F1730" i="1"/>
  <c r="Y1735" i="1"/>
  <c r="M1735" i="1"/>
  <c r="N1735" i="1" s="1"/>
  <c r="F1735" i="1"/>
  <c r="Y1759" i="1"/>
  <c r="M1759" i="1"/>
  <c r="N1759" i="1" s="1"/>
  <c r="F1759" i="1"/>
  <c r="J1474" i="2"/>
  <c r="K1474" i="2" s="1"/>
  <c r="J1826" i="2"/>
  <c r="K1826" i="2" s="1"/>
  <c r="Y1704" i="1" l="1"/>
  <c r="J1704" i="1"/>
  <c r="M1704" i="1" s="1"/>
  <c r="N1704" i="1" s="1"/>
  <c r="F1704" i="1"/>
  <c r="J1604" i="2"/>
  <c r="K1604" i="2" s="1"/>
  <c r="I1606" i="2"/>
  <c r="J1606" i="2"/>
  <c r="K1606" i="2" s="1"/>
  <c r="J1473" i="2"/>
  <c r="K1473" i="2" s="1"/>
  <c r="Y1697" i="1"/>
  <c r="M1697" i="1"/>
  <c r="N1697" i="1" s="1"/>
  <c r="F1697" i="1"/>
  <c r="J1602" i="2"/>
  <c r="K1602" i="2" s="1"/>
  <c r="Y1698" i="1"/>
  <c r="M1698" i="1"/>
  <c r="N1698" i="1" s="1"/>
  <c r="F1698" i="1"/>
  <c r="J1825" i="2"/>
  <c r="K1825" i="2" s="1"/>
  <c r="J1468" i="2"/>
  <c r="K1468" i="2" s="1"/>
  <c r="J1707" i="1"/>
  <c r="M1707" i="1" s="1"/>
  <c r="N1707" i="1" s="1"/>
  <c r="Y1713" i="1"/>
  <c r="M1713" i="1"/>
  <c r="N1713" i="1" s="1"/>
  <c r="F1713" i="1"/>
  <c r="Y1703" i="1"/>
  <c r="M1703" i="1"/>
  <c r="N1703" i="1" s="1"/>
  <c r="F1703" i="1"/>
  <c r="Y1689" i="1"/>
  <c r="J1689" i="1"/>
  <c r="M1689" i="1" s="1"/>
  <c r="N1689" i="1" s="1"/>
  <c r="F1689" i="1"/>
  <c r="Y1702" i="1"/>
  <c r="M1702" i="1"/>
  <c r="N1702" i="1" s="1"/>
  <c r="F1702" i="1"/>
  <c r="Y1691" i="1"/>
  <c r="M1691" i="1"/>
  <c r="N1691" i="1" s="1"/>
  <c r="F1691" i="1"/>
  <c r="Y1705" i="1"/>
  <c r="J1705" i="1"/>
  <c r="M1705" i="1" s="1"/>
  <c r="N1705" i="1" s="1"/>
  <c r="F1705" i="1"/>
  <c r="Y1701" i="1"/>
  <c r="M1701" i="1"/>
  <c r="N1701" i="1" s="1"/>
  <c r="F1701" i="1"/>
  <c r="Y1695" i="1"/>
  <c r="J1695" i="1"/>
  <c r="M1695" i="1" s="1"/>
  <c r="N1695" i="1" s="1"/>
  <c r="F1695" i="1"/>
  <c r="Y1688" i="1"/>
  <c r="J1688" i="1"/>
  <c r="M1688" i="1" s="1"/>
  <c r="N1688" i="1" s="1"/>
  <c r="F1688" i="1"/>
  <c r="Y1706" i="1"/>
  <c r="M1706" i="1"/>
  <c r="N1706" i="1" s="1"/>
  <c r="F1706" i="1"/>
  <c r="Y1694" i="1"/>
  <c r="J1694" i="1"/>
  <c r="M1694" i="1" s="1"/>
  <c r="N1694" i="1" s="1"/>
  <c r="F1694" i="1"/>
  <c r="Y1693" i="1"/>
  <c r="M1693" i="1"/>
  <c r="N1693" i="1" s="1"/>
  <c r="F1693" i="1"/>
  <c r="Y1700" i="1"/>
  <c r="M1700" i="1"/>
  <c r="N1700" i="1" s="1"/>
  <c r="F1700" i="1"/>
  <c r="Y1690" i="1"/>
  <c r="M1690" i="1"/>
  <c r="N1690" i="1" s="1"/>
  <c r="F1690" i="1"/>
  <c r="Y1707" i="1"/>
  <c r="F1707" i="1"/>
  <c r="Y1685" i="1"/>
  <c r="M1685" i="1"/>
  <c r="N1685" i="1" s="1"/>
  <c r="F1685" i="1"/>
  <c r="Y1709" i="1"/>
  <c r="M1709" i="1"/>
  <c r="N1709" i="1" s="1"/>
  <c r="F1709" i="1"/>
  <c r="M1711" i="1"/>
  <c r="N1711" i="1" s="1"/>
  <c r="Y1711" i="1"/>
  <c r="F1711" i="1"/>
  <c r="Y1696" i="1"/>
  <c r="J1696" i="1"/>
  <c r="M1696" i="1" s="1"/>
  <c r="N1696" i="1" s="1"/>
  <c r="F1696" i="1"/>
  <c r="J1471" i="2"/>
  <c r="K1471" i="2" s="1"/>
  <c r="Y1687" i="1"/>
  <c r="M1687" i="1"/>
  <c r="N1687" i="1" s="1"/>
  <c r="F1687" i="1"/>
  <c r="Y1692" i="1"/>
  <c r="M1692" i="1"/>
  <c r="N1692" i="1" s="1"/>
  <c r="F1692" i="1"/>
  <c r="Y1686" i="1"/>
  <c r="M1686" i="1"/>
  <c r="N1686" i="1" s="1"/>
  <c r="F1686" i="1"/>
  <c r="J1467" i="2"/>
  <c r="K1467" i="2" s="1"/>
  <c r="J1472" i="2"/>
  <c r="K1472" i="2" s="1"/>
  <c r="J1470" i="2"/>
  <c r="K1470" i="2" s="1"/>
  <c r="Y1672" i="1"/>
  <c r="J1672" i="1"/>
  <c r="M1672" i="1" s="1"/>
  <c r="N1672" i="1" s="1"/>
  <c r="F1672" i="1"/>
  <c r="J1680" i="1"/>
  <c r="M1680" i="1" s="1"/>
  <c r="N1680" i="1" s="1"/>
  <c r="Y1680" i="1"/>
  <c r="F1680" i="1"/>
  <c r="J1469" i="2"/>
  <c r="K1469" i="2" s="1"/>
  <c r="J1824" i="2"/>
  <c r="K1824" i="2" s="1"/>
  <c r="J1601" i="2"/>
  <c r="K1601" i="2" s="1"/>
  <c r="J1603" i="2"/>
  <c r="K1603" i="2" s="1"/>
  <c r="M1663" i="1"/>
  <c r="N1663" i="1" s="1"/>
  <c r="I1465" i="2"/>
  <c r="J1465" i="2"/>
  <c r="K1465" i="2" s="1"/>
  <c r="J1600" i="2"/>
  <c r="K1600" i="2" s="1"/>
  <c r="Y1682" i="1"/>
  <c r="J1682" i="1"/>
  <c r="M1682" i="1" s="1"/>
  <c r="N1682" i="1" s="1"/>
  <c r="F1682" i="1"/>
  <c r="Y1679" i="1"/>
  <c r="J1679" i="1"/>
  <c r="M1679" i="1" s="1"/>
  <c r="N1679" i="1" s="1"/>
  <c r="F1679" i="1"/>
  <c r="Y1678" i="1"/>
  <c r="J1678" i="1"/>
  <c r="M1678" i="1" s="1"/>
  <c r="N1678" i="1" s="1"/>
  <c r="F1678" i="1"/>
  <c r="Y1676" i="1"/>
  <c r="J1676" i="1"/>
  <c r="M1676" i="1" s="1"/>
  <c r="N1676" i="1" s="1"/>
  <c r="F1676" i="1"/>
  <c r="Y1670" i="1"/>
  <c r="M1670" i="1"/>
  <c r="N1670" i="1" s="1"/>
  <c r="F1670" i="1"/>
  <c r="Y1673" i="1"/>
  <c r="J1673" i="1"/>
  <c r="M1673" i="1" s="1"/>
  <c r="N1673" i="1" s="1"/>
  <c r="F1673" i="1"/>
  <c r="Y1666" i="1"/>
  <c r="J1666" i="1"/>
  <c r="M1666" i="1" s="1"/>
  <c r="N1666" i="1" s="1"/>
  <c r="F1666" i="1"/>
  <c r="Y1667" i="1"/>
  <c r="J1667" i="1"/>
  <c r="M1667" i="1" s="1"/>
  <c r="N1667" i="1" s="1"/>
  <c r="F1667" i="1"/>
  <c r="Y1681" i="1"/>
  <c r="J1681" i="1"/>
  <c r="M1681" i="1" s="1"/>
  <c r="N1681" i="1" s="1"/>
  <c r="F1681" i="1"/>
  <c r="Y1677" i="1"/>
  <c r="M1677" i="1"/>
  <c r="N1677" i="1" s="1"/>
  <c r="F1677" i="1"/>
  <c r="Y1675" i="1"/>
  <c r="J1675" i="1"/>
  <c r="M1675" i="1" s="1"/>
  <c r="N1675" i="1" s="1"/>
  <c r="F1675" i="1"/>
  <c r="Y1665" i="1"/>
  <c r="J1665" i="1"/>
  <c r="M1665" i="1" s="1"/>
  <c r="N1665" i="1" s="1"/>
  <c r="F1665" i="1"/>
  <c r="Y1669" i="1"/>
  <c r="M1669" i="1"/>
  <c r="N1669" i="1" s="1"/>
  <c r="F1669" i="1"/>
  <c r="Y1674" i="1"/>
  <c r="M1674" i="1"/>
  <c r="N1674" i="1" s="1"/>
  <c r="F1674" i="1"/>
  <c r="Y1671" i="1"/>
  <c r="M1671" i="1"/>
  <c r="N1671" i="1" s="1"/>
  <c r="F1671" i="1"/>
  <c r="J1683" i="1"/>
  <c r="M1683" i="1" s="1"/>
  <c r="N1683" i="1" s="1"/>
  <c r="Y1684" i="1"/>
  <c r="M1684" i="1"/>
  <c r="N1684" i="1" s="1"/>
  <c r="F1684" i="1"/>
  <c r="Y1663" i="1"/>
  <c r="F1663" i="1"/>
  <c r="Y1651" i="1"/>
  <c r="M1651" i="1"/>
  <c r="N1651" i="1" s="1"/>
  <c r="F1651" i="1"/>
  <c r="J1655" i="1"/>
  <c r="M1655" i="1" s="1"/>
  <c r="N1655" i="1" s="1"/>
  <c r="J1658" i="1"/>
  <c r="M1658" i="1" s="1"/>
  <c r="N1658" i="1" s="1"/>
  <c r="J1657" i="1"/>
  <c r="M1657" i="1" s="1"/>
  <c r="N1657" i="1" s="1"/>
  <c r="J1656" i="1"/>
  <c r="M1656" i="1" s="1"/>
  <c r="N1656" i="1" s="1"/>
  <c r="J1654" i="1"/>
  <c r="M1654" i="1" s="1"/>
  <c r="N1654" i="1" s="1"/>
  <c r="Y1668" i="1"/>
  <c r="M1668" i="1"/>
  <c r="N1668" i="1" s="1"/>
  <c r="F1668" i="1"/>
  <c r="J1466" i="2"/>
  <c r="K1466" i="2" s="1"/>
  <c r="J1464" i="2"/>
  <c r="K1464" i="2" s="1"/>
  <c r="M1642" i="1"/>
  <c r="N1642" i="1" s="1"/>
  <c r="M1641" i="1"/>
  <c r="N1641" i="1" s="1"/>
  <c r="M1640" i="1"/>
  <c r="N1640" i="1" s="1"/>
  <c r="M1639" i="1"/>
  <c r="N1639" i="1" s="1"/>
  <c r="M1637" i="1"/>
  <c r="N1637" i="1" s="1"/>
  <c r="M1638" i="1"/>
  <c r="N1638" i="1" s="1"/>
  <c r="Y1664" i="1"/>
  <c r="M1664" i="1"/>
  <c r="N1664" i="1" s="1"/>
  <c r="F1664" i="1"/>
  <c r="Y1644" i="1"/>
  <c r="M1644" i="1"/>
  <c r="N1644" i="1" s="1"/>
  <c r="F1644" i="1"/>
  <c r="Y1652" i="1"/>
  <c r="K1652" i="1"/>
  <c r="J1652" i="1"/>
  <c r="M1652" i="1" s="1"/>
  <c r="N1652" i="1" s="1"/>
  <c r="H1652" i="1"/>
  <c r="F1652" i="1"/>
  <c r="Y1653" i="1"/>
  <c r="M1653" i="1"/>
  <c r="N1653" i="1" s="1"/>
  <c r="F1653" i="1"/>
  <c r="Y1648" i="1"/>
  <c r="M1648" i="1"/>
  <c r="N1648" i="1" s="1"/>
  <c r="F1648" i="1"/>
  <c r="Y1650" i="1"/>
  <c r="J1650" i="1"/>
  <c r="M1650" i="1" s="1"/>
  <c r="N1650" i="1" s="1"/>
  <c r="F1650" i="1"/>
  <c r="Y1662" i="1"/>
  <c r="K1662" i="1"/>
  <c r="J1662" i="1"/>
  <c r="M1662" i="1" s="1"/>
  <c r="N1662" i="1" s="1"/>
  <c r="H1662" i="1"/>
  <c r="F1662" i="1"/>
  <c r="Y1659" i="1"/>
  <c r="J1659" i="1"/>
  <c r="M1659" i="1" s="1"/>
  <c r="N1659" i="1" s="1"/>
  <c r="F1659" i="1"/>
  <c r="Y1658" i="1"/>
  <c r="F1658" i="1"/>
  <c r="Y1657" i="1"/>
  <c r="F1657" i="1"/>
  <c r="Y1656" i="1"/>
  <c r="F1656" i="1"/>
  <c r="Y1647" i="1"/>
  <c r="M1647" i="1"/>
  <c r="N1647" i="1" s="1"/>
  <c r="F1647" i="1"/>
  <c r="Y1649" i="1"/>
  <c r="J1649" i="1"/>
  <c r="M1649" i="1" s="1"/>
  <c r="N1649" i="1" s="1"/>
  <c r="F1649" i="1"/>
  <c r="Y1645" i="1"/>
  <c r="M1645" i="1"/>
  <c r="N1645" i="1" s="1"/>
  <c r="F1645" i="1"/>
  <c r="Y1646" i="1"/>
  <c r="J1646" i="1"/>
  <c r="M1646" i="1" s="1"/>
  <c r="N1646" i="1" s="1"/>
  <c r="F1646" i="1"/>
  <c r="Y1661" i="1"/>
  <c r="K1661" i="1"/>
  <c r="J1661" i="1"/>
  <c r="M1661" i="1" s="1"/>
  <c r="N1661" i="1" s="1"/>
  <c r="H1661" i="1"/>
  <c r="F1661" i="1"/>
  <c r="Y1655" i="1"/>
  <c r="F1655" i="1"/>
  <c r="Y1654" i="1"/>
  <c r="F1654" i="1"/>
  <c r="Y1642" i="1"/>
  <c r="F1642" i="1"/>
  <c r="M1643" i="1"/>
  <c r="N1643" i="1" s="1"/>
  <c r="J1461" i="2"/>
  <c r="K1461" i="2" s="1"/>
  <c r="M1628" i="1"/>
  <c r="N1628" i="1" s="1"/>
  <c r="M1627" i="1"/>
  <c r="N1627" i="1" s="1"/>
  <c r="J1599" i="2"/>
  <c r="K1599" i="2" s="1"/>
  <c r="Y1683" i="1"/>
  <c r="K1683" i="1"/>
  <c r="F1683" i="1"/>
  <c r="H1683" i="1"/>
  <c r="J1823" i="2"/>
  <c r="K1823" i="2" s="1"/>
  <c r="J1462" i="2"/>
  <c r="K1462" i="2" s="1"/>
  <c r="J1463" i="2"/>
  <c r="K1463" i="2" s="1"/>
  <c r="J1458" i="2"/>
  <c r="K1458" i="2" s="1"/>
  <c r="J1460" i="2"/>
  <c r="K1460" i="2" s="1"/>
  <c r="Y1639" i="1"/>
  <c r="F1639" i="1"/>
  <c r="Y1637" i="1"/>
  <c r="F1637" i="1"/>
  <c r="Y1620" i="1"/>
  <c r="M1620" i="1"/>
  <c r="N1620" i="1" s="1"/>
  <c r="F1620" i="1"/>
  <c r="J1598" i="2"/>
  <c r="K1598" i="2" s="1"/>
  <c r="J1597" i="2"/>
  <c r="K1597" i="2" s="1"/>
  <c r="J1596" i="2"/>
  <c r="K1596" i="2" s="1"/>
  <c r="J1459" i="2"/>
  <c r="K1459" i="2" s="1"/>
  <c r="M1631" i="1"/>
  <c r="N1631" i="1" s="1"/>
  <c r="Y1619" i="1"/>
  <c r="J1619" i="1"/>
  <c r="M1619" i="1" s="1"/>
  <c r="N1619" i="1" s="1"/>
  <c r="F1619" i="1"/>
  <c r="Y1630" i="1"/>
  <c r="M1630" i="1"/>
  <c r="N1630" i="1" s="1"/>
  <c r="F1630" i="1"/>
  <c r="Y1631" i="1"/>
  <c r="F1631" i="1"/>
  <c r="J1624" i="1"/>
  <c r="M1624" i="1" s="1"/>
  <c r="N1624" i="1" s="1"/>
  <c r="M1635" i="1"/>
  <c r="N1635" i="1" s="1"/>
  <c r="M1625" i="1"/>
  <c r="N1625" i="1" s="1"/>
  <c r="J1622" i="1"/>
  <c r="M1622" i="1" s="1"/>
  <c r="N1622" i="1" s="1"/>
  <c r="J1618" i="1"/>
  <c r="M1618" i="1" s="1"/>
  <c r="N1618" i="1" s="1"/>
  <c r="J1629" i="1"/>
  <c r="M1629" i="1" s="1"/>
  <c r="N1629" i="1" s="1"/>
  <c r="J1623" i="1"/>
  <c r="M1623" i="1" s="1"/>
  <c r="N1623" i="1" s="1"/>
  <c r="Y1640" i="1"/>
  <c r="F1640" i="1"/>
  <c r="Y1624" i="1"/>
  <c r="F1624" i="1"/>
  <c r="Y1643" i="1"/>
  <c r="F1643" i="1"/>
  <c r="Y1641" i="1"/>
  <c r="F1641" i="1"/>
  <c r="Y1638" i="1"/>
  <c r="F1638" i="1"/>
  <c r="Y1635" i="1"/>
  <c r="F1635" i="1"/>
  <c r="Y1632" i="1"/>
  <c r="M1632" i="1"/>
  <c r="N1632" i="1" s="1"/>
  <c r="F1632" i="1"/>
  <c r="Y1625" i="1"/>
  <c r="F1625" i="1"/>
  <c r="Y1636" i="1"/>
  <c r="M1636" i="1"/>
  <c r="N1636" i="1" s="1"/>
  <c r="F1636" i="1"/>
  <c r="Y1622" i="1"/>
  <c r="F1622" i="1"/>
  <c r="Y1633" i="1"/>
  <c r="M1633" i="1"/>
  <c r="N1633" i="1" s="1"/>
  <c r="F1633" i="1"/>
  <c r="Y1628" i="1"/>
  <c r="F1628" i="1"/>
  <c r="Y1618" i="1"/>
  <c r="F1618" i="1"/>
  <c r="Y1634" i="1"/>
  <c r="M1634" i="1"/>
  <c r="N1634" i="1" s="1"/>
  <c r="F1634" i="1"/>
  <c r="Y1629" i="1"/>
  <c r="F1629" i="1"/>
  <c r="Y1623" i="1"/>
  <c r="F1623" i="1"/>
  <c r="Y1626" i="1"/>
  <c r="J1626" i="1"/>
  <c r="F1626" i="1"/>
  <c r="M1595" i="1"/>
  <c r="N1595" i="1" s="1"/>
  <c r="J1457" i="2"/>
  <c r="K1457" i="2" s="1"/>
  <c r="Y1627" i="1"/>
  <c r="F1627" i="1"/>
  <c r="J1621" i="1"/>
  <c r="M1621" i="1" s="1"/>
  <c r="N1621" i="1" s="1"/>
  <c r="Y1621" i="1"/>
  <c r="F1621" i="1"/>
  <c r="Y1608" i="1"/>
  <c r="J1608" i="1"/>
  <c r="M1608" i="1" s="1"/>
  <c r="N1608" i="1" s="1"/>
  <c r="F1608" i="1"/>
  <c r="Y1613" i="1"/>
  <c r="M1613" i="1"/>
  <c r="N1613" i="1" s="1"/>
  <c r="F1613" i="1"/>
  <c r="Y1612" i="1"/>
  <c r="M1612" i="1"/>
  <c r="N1612" i="1" s="1"/>
  <c r="F1612" i="1"/>
  <c r="Y1611" i="1"/>
  <c r="M1611" i="1"/>
  <c r="N1611" i="1" s="1"/>
  <c r="F1611" i="1"/>
  <c r="Y1609" i="1"/>
  <c r="M1609" i="1"/>
  <c r="N1609" i="1" s="1"/>
  <c r="F1609" i="1"/>
  <c r="Y1605" i="1"/>
  <c r="J1605" i="1"/>
  <c r="M1605" i="1" s="1"/>
  <c r="N1605" i="1" s="1"/>
  <c r="F1605" i="1"/>
  <c r="Y1617" i="1"/>
  <c r="M1617" i="1"/>
  <c r="N1617" i="1" s="1"/>
  <c r="F1617" i="1"/>
  <c r="Y1610" i="1"/>
  <c r="M1610" i="1"/>
  <c r="N1610" i="1" s="1"/>
  <c r="F1610" i="1"/>
  <c r="Y1607" i="1"/>
  <c r="J1607" i="1"/>
  <c r="M1607" i="1" s="1"/>
  <c r="N1607" i="1" s="1"/>
  <c r="F1607" i="1"/>
  <c r="Y1616" i="1"/>
  <c r="M1616" i="1"/>
  <c r="N1616" i="1" s="1"/>
  <c r="F1616" i="1"/>
  <c r="Y1606" i="1"/>
  <c r="J1606" i="1"/>
  <c r="M1606" i="1" s="1"/>
  <c r="N1606" i="1" s="1"/>
  <c r="F1606" i="1"/>
  <c r="Y1615" i="1"/>
  <c r="M1615" i="1"/>
  <c r="N1615" i="1" s="1"/>
  <c r="F1615" i="1"/>
  <c r="Y1604" i="1"/>
  <c r="J1604" i="1"/>
  <c r="M1604" i="1" s="1"/>
  <c r="N1604" i="1" s="1"/>
  <c r="H1604" i="1"/>
  <c r="F1604" i="1"/>
  <c r="J1595" i="2"/>
  <c r="K1595" i="2" s="1"/>
  <c r="Y1600" i="1"/>
  <c r="J1600" i="1"/>
  <c r="M1600" i="1" s="1"/>
  <c r="N1600" i="1" s="1"/>
  <c r="F1600" i="1"/>
  <c r="J1456" i="2"/>
  <c r="K1456" i="2" s="1"/>
  <c r="J1822" i="2"/>
  <c r="K1822" i="2" s="1"/>
  <c r="J1588" i="1"/>
  <c r="M1588" i="1" s="1"/>
  <c r="N1588" i="1" s="1"/>
  <c r="J1455" i="2"/>
  <c r="K1455" i="2" s="1"/>
  <c r="Y1592" i="1"/>
  <c r="M1592" i="1"/>
  <c r="N1592" i="1" s="1"/>
  <c r="F1592" i="1"/>
  <c r="J1594" i="2"/>
  <c r="K1594" i="2" s="1"/>
  <c r="Y1594" i="1"/>
  <c r="M1594" i="1"/>
  <c r="N1594" i="1" s="1"/>
  <c r="F1594" i="1"/>
  <c r="Y1595" i="1"/>
  <c r="F1595" i="1"/>
  <c r="Y1614" i="1"/>
  <c r="M1614" i="1"/>
  <c r="N1614" i="1" s="1"/>
  <c r="F1614" i="1"/>
  <c r="Y1599" i="1"/>
  <c r="J1599" i="1"/>
  <c r="M1599" i="1" s="1"/>
  <c r="N1599" i="1" s="1"/>
  <c r="F1599" i="1"/>
  <c r="Y1601" i="1"/>
  <c r="K1601" i="1"/>
  <c r="J1601" i="1"/>
  <c r="M1601" i="1" s="1"/>
  <c r="N1601" i="1" s="1"/>
  <c r="H1601" i="1"/>
  <c r="F1601" i="1"/>
  <c r="Y1602" i="1"/>
  <c r="F1602" i="1"/>
  <c r="Y1597" i="1"/>
  <c r="J1597" i="1"/>
  <c r="F1597" i="1"/>
  <c r="Y1593" i="1"/>
  <c r="M1593" i="1"/>
  <c r="N1593" i="1" s="1"/>
  <c r="F1593" i="1"/>
  <c r="Y1591" i="1"/>
  <c r="M1591" i="1"/>
  <c r="N1591" i="1" s="1"/>
  <c r="F1591" i="1"/>
  <c r="Y1589" i="1"/>
  <c r="J1589" i="1"/>
  <c r="M1589" i="1" s="1"/>
  <c r="N1589" i="1" s="1"/>
  <c r="F1589" i="1"/>
  <c r="Y1590" i="1"/>
  <c r="J1590" i="1"/>
  <c r="M1590" i="1" s="1"/>
  <c r="N1590" i="1" s="1"/>
  <c r="F1590" i="1"/>
  <c r="Y1596" i="1"/>
  <c r="J1596" i="1"/>
  <c r="F1596" i="1"/>
  <c r="Y1603" i="1"/>
  <c r="J1603" i="1"/>
  <c r="F1603" i="1"/>
  <c r="Y1586" i="1"/>
  <c r="J1586" i="1"/>
  <c r="N1586" i="1" s="1"/>
  <c r="F1586" i="1"/>
  <c r="Y1585" i="1"/>
  <c r="J1585" i="1"/>
  <c r="M1585" i="1" s="1"/>
  <c r="N1585" i="1" s="1"/>
  <c r="F1585" i="1"/>
  <c r="J1454" i="2"/>
  <c r="K1454" i="2" s="1"/>
  <c r="Y1598" i="1"/>
  <c r="K1598" i="1"/>
  <c r="J1598" i="1"/>
  <c r="M1598" i="1" s="1"/>
  <c r="N1598" i="1" s="1"/>
  <c r="H1598" i="1"/>
  <c r="F1598" i="1"/>
  <c r="J1573" i="1"/>
  <c r="M1573" i="1" s="1"/>
  <c r="N1573" i="1" s="1"/>
  <c r="J1574" i="1"/>
  <c r="M1574" i="1" s="1"/>
  <c r="N1574" i="1" s="1"/>
  <c r="J1593" i="2"/>
  <c r="K1593" i="2" s="1"/>
  <c r="Y1587" i="1"/>
  <c r="M1587" i="1"/>
  <c r="N1587" i="1" s="1"/>
  <c r="F1587" i="1"/>
  <c r="J1453" i="2"/>
  <c r="K1453" i="2" s="1"/>
  <c r="J1592" i="2"/>
  <c r="K1592" i="2" s="1"/>
  <c r="Y1577" i="1"/>
  <c r="J1577" i="1"/>
  <c r="M1577" i="1" s="1"/>
  <c r="N1577" i="1" s="1"/>
  <c r="F1577" i="1"/>
  <c r="J1451" i="2"/>
  <c r="K1451" i="2" s="1"/>
  <c r="J1591" i="2"/>
  <c r="K1591" i="2" s="1"/>
  <c r="Y1588" i="1"/>
  <c r="F1588" i="1"/>
  <c r="Y1582" i="1"/>
  <c r="K1582" i="1"/>
  <c r="J1582" i="1"/>
  <c r="M1582" i="1" s="1"/>
  <c r="N1582" i="1" s="1"/>
  <c r="H1582" i="1"/>
  <c r="F1582" i="1"/>
  <c r="Y1581" i="1"/>
  <c r="K1581" i="1"/>
  <c r="J1581" i="1"/>
  <c r="M1581" i="1" s="1"/>
  <c r="N1581" i="1" s="1"/>
  <c r="H1581" i="1"/>
  <c r="F1581" i="1"/>
  <c r="Y1580" i="1"/>
  <c r="K1580" i="1"/>
  <c r="J1580" i="1"/>
  <c r="M1580" i="1" s="1"/>
  <c r="N1580" i="1" s="1"/>
  <c r="H1580" i="1"/>
  <c r="F1580" i="1"/>
  <c r="Y1573" i="1"/>
  <c r="F1573" i="1"/>
  <c r="Y1571" i="1"/>
  <c r="J1571" i="1"/>
  <c r="M1571" i="1" s="1"/>
  <c r="N1571" i="1" s="1"/>
  <c r="F1571" i="1"/>
  <c r="Y1570" i="1"/>
  <c r="J1570" i="1"/>
  <c r="M1570" i="1" s="1"/>
  <c r="N1570" i="1" s="1"/>
  <c r="F1570" i="1"/>
  <c r="Y1569" i="1"/>
  <c r="J1569" i="1"/>
  <c r="M1569" i="1" s="1"/>
  <c r="N1569" i="1" s="1"/>
  <c r="F1569" i="1"/>
  <c r="Y1568" i="1"/>
  <c r="M1568" i="1"/>
  <c r="N1568" i="1" s="1"/>
  <c r="F1568" i="1"/>
  <c r="Y1567" i="1"/>
  <c r="J1567" i="1"/>
  <c r="M1567" i="1" s="1"/>
  <c r="N1567" i="1" s="1"/>
  <c r="F1567" i="1"/>
  <c r="Y1566" i="1"/>
  <c r="J1566" i="1"/>
  <c r="M1566" i="1" s="1"/>
  <c r="N1566" i="1" s="1"/>
  <c r="F1566" i="1"/>
  <c r="Y1579" i="1"/>
  <c r="K1579" i="1"/>
  <c r="J1579" i="1"/>
  <c r="M1579" i="1" s="1"/>
  <c r="N1579" i="1" s="1"/>
  <c r="H1579" i="1"/>
  <c r="F1579" i="1"/>
  <c r="Y1572" i="1"/>
  <c r="M1572" i="1"/>
  <c r="N1572" i="1" s="1"/>
  <c r="F1572" i="1"/>
  <c r="Y1583" i="1"/>
  <c r="M1583" i="1"/>
  <c r="N1583" i="1" s="1"/>
  <c r="F1583" i="1"/>
  <c r="Y1576" i="1"/>
  <c r="J1576" i="1"/>
  <c r="M1576" i="1" s="1"/>
  <c r="N1576" i="1" s="1"/>
  <c r="F1576" i="1"/>
  <c r="Y1584" i="1"/>
  <c r="J1584" i="1"/>
  <c r="M1584" i="1" s="1"/>
  <c r="N1584" i="1" s="1"/>
  <c r="F1584" i="1"/>
  <c r="Y1574" i="1"/>
  <c r="F1574" i="1"/>
  <c r="Y1578" i="1"/>
  <c r="M1578" i="1"/>
  <c r="N1578" i="1" s="1"/>
  <c r="F1578" i="1"/>
  <c r="J1452" i="2"/>
  <c r="K1452" i="2" s="1"/>
  <c r="Y1552" i="1"/>
  <c r="J1552" i="1"/>
  <c r="M1552" i="1" s="1"/>
  <c r="N1552" i="1" s="1"/>
  <c r="F1552" i="1"/>
  <c r="J1590" i="2"/>
  <c r="K1590" i="2" s="1"/>
  <c r="Y1547" i="1"/>
  <c r="M1547" i="1"/>
  <c r="N1547" i="1" s="1"/>
  <c r="F1547" i="1"/>
  <c r="Y1565" i="1"/>
  <c r="J1565" i="1"/>
  <c r="M1565" i="1" s="1"/>
  <c r="N1565" i="1" s="1"/>
  <c r="F1565" i="1"/>
  <c r="Y1575" i="1"/>
  <c r="M1575" i="1"/>
  <c r="N1575" i="1" s="1"/>
  <c r="F1575" i="1"/>
  <c r="Y1550" i="1"/>
  <c r="M1550" i="1"/>
  <c r="N1550" i="1" s="1"/>
  <c r="F1550" i="1"/>
  <c r="Y1564" i="1"/>
  <c r="J1564" i="1"/>
  <c r="M1564" i="1" s="1"/>
  <c r="N1564" i="1" s="1"/>
  <c r="F1564" i="1"/>
  <c r="Y1561" i="1"/>
  <c r="M1561" i="1"/>
  <c r="N1561" i="1" s="1"/>
  <c r="F1561" i="1"/>
  <c r="Y1554" i="1"/>
  <c r="M1554" i="1"/>
  <c r="N1554" i="1" s="1"/>
  <c r="F1554" i="1"/>
  <c r="Y1563" i="1"/>
  <c r="J1563" i="1"/>
  <c r="M1563" i="1" s="1"/>
  <c r="N1563" i="1" s="1"/>
  <c r="F1563" i="1"/>
  <c r="Y1560" i="1"/>
  <c r="M1560" i="1"/>
  <c r="N1560" i="1" s="1"/>
  <c r="F1560" i="1"/>
  <c r="Y1559" i="1"/>
  <c r="M1559" i="1"/>
  <c r="N1559" i="1" s="1"/>
  <c r="F1559" i="1"/>
  <c r="Y1553" i="1"/>
  <c r="M1553" i="1"/>
  <c r="N1553" i="1" s="1"/>
  <c r="F1553" i="1"/>
  <c r="Y1549" i="1"/>
  <c r="J1549" i="1"/>
  <c r="M1549" i="1" s="1"/>
  <c r="N1549" i="1" s="1"/>
  <c r="F1549" i="1"/>
  <c r="Y1555" i="1"/>
  <c r="M1555" i="1"/>
  <c r="N1555" i="1" s="1"/>
  <c r="F1555" i="1"/>
  <c r="Y1556" i="1"/>
  <c r="M1556" i="1"/>
  <c r="N1556" i="1" s="1"/>
  <c r="F1556" i="1"/>
  <c r="Y1558" i="1"/>
  <c r="M1558" i="1"/>
  <c r="N1558" i="1" s="1"/>
  <c r="F1558" i="1"/>
  <c r="Y1562" i="1"/>
  <c r="J1562" i="1"/>
  <c r="M1562" i="1" s="1"/>
  <c r="N1562" i="1" s="1"/>
  <c r="F1562" i="1"/>
  <c r="Y1551" i="1"/>
  <c r="J1551" i="1"/>
  <c r="M1551" i="1" s="1"/>
  <c r="N1551" i="1" s="1"/>
  <c r="F1551" i="1"/>
  <c r="Y1557" i="1"/>
  <c r="M1557" i="1"/>
  <c r="N1557" i="1" s="1"/>
  <c r="F1557" i="1"/>
  <c r="Y1546" i="1"/>
  <c r="M1546" i="1"/>
  <c r="N1546" i="1" s="1"/>
  <c r="F1546" i="1"/>
  <c r="J1450" i="2"/>
  <c r="K1450" i="2" s="1"/>
  <c r="J1449" i="2"/>
  <c r="K1449" i="2" s="1"/>
  <c r="Y1540" i="1"/>
  <c r="M1540" i="1"/>
  <c r="N1540" i="1" s="1"/>
  <c r="F1540" i="1"/>
  <c r="J1448" i="2"/>
  <c r="K1448" i="2" s="1"/>
  <c r="Y1537" i="1"/>
  <c r="J1537" i="1"/>
  <c r="M1537" i="1" s="1"/>
  <c r="N1537" i="1" s="1"/>
  <c r="F1537" i="1"/>
  <c r="J1821" i="2"/>
  <c r="K1821" i="2" s="1"/>
  <c r="F1529" i="1"/>
  <c r="M1529" i="1"/>
  <c r="N1529" i="1" s="1"/>
  <c r="Y1529" i="1"/>
  <c r="F1541" i="1"/>
  <c r="M1541" i="1"/>
  <c r="N1541" i="1" s="1"/>
  <c r="Y1541" i="1"/>
  <c r="F1533" i="1"/>
  <c r="J1533" i="1"/>
  <c r="M1533" i="1" s="1"/>
  <c r="N1533" i="1" s="1"/>
  <c r="Y1533" i="1"/>
  <c r="F1538" i="1"/>
  <c r="J1538" i="1"/>
  <c r="M1538" i="1" s="1"/>
  <c r="N1538" i="1" s="1"/>
  <c r="Y1538" i="1"/>
  <c r="J1530" i="1"/>
  <c r="M1530" i="1" s="1"/>
  <c r="N1530" i="1" s="1"/>
  <c r="Y1545" i="1"/>
  <c r="M1545" i="1"/>
  <c r="N1545" i="1" s="1"/>
  <c r="F1545" i="1"/>
  <c r="Y1544" i="1"/>
  <c r="M1544" i="1"/>
  <c r="N1544" i="1" s="1"/>
  <c r="F1544" i="1"/>
  <c r="Y1543" i="1"/>
  <c r="M1543" i="1"/>
  <c r="N1543" i="1" s="1"/>
  <c r="F1543" i="1"/>
  <c r="Y1542" i="1"/>
  <c r="M1542" i="1"/>
  <c r="N1542" i="1" s="1"/>
  <c r="F1542" i="1"/>
  <c r="Y1536" i="1"/>
  <c r="J1536" i="1"/>
  <c r="M1536" i="1" s="1"/>
  <c r="N1536" i="1" s="1"/>
  <c r="F1536" i="1"/>
  <c r="Y1528" i="1"/>
  <c r="M1528" i="1"/>
  <c r="N1528" i="1" s="1"/>
  <c r="F1528" i="1"/>
  <c r="Y1532" i="1"/>
  <c r="J1532" i="1"/>
  <c r="M1532" i="1" s="1"/>
  <c r="N1532" i="1" s="1"/>
  <c r="F1532" i="1"/>
  <c r="Y1531" i="1"/>
  <c r="J1531" i="1"/>
  <c r="M1531" i="1" s="1"/>
  <c r="N1531" i="1" s="1"/>
  <c r="F1531" i="1"/>
  <c r="Y1527" i="1"/>
  <c r="M1527" i="1"/>
  <c r="N1527" i="1" s="1"/>
  <c r="F1527" i="1"/>
  <c r="Y1539" i="1"/>
  <c r="K1539" i="1"/>
  <c r="J1539" i="1"/>
  <c r="M1539" i="1" s="1"/>
  <c r="N1539" i="1" s="1"/>
  <c r="H1539" i="1"/>
  <c r="F1539" i="1"/>
  <c r="Y1548" i="1"/>
  <c r="M1548" i="1"/>
  <c r="N1548" i="1" s="1"/>
  <c r="F1548" i="1"/>
  <c r="Y1530" i="1"/>
  <c r="F1530" i="1"/>
  <c r="Y1534" i="1"/>
  <c r="J1534" i="1"/>
  <c r="M1534" i="1" s="1"/>
  <c r="N1534" i="1" s="1"/>
  <c r="F1534" i="1"/>
  <c r="Y1525" i="1"/>
  <c r="M1525" i="1"/>
  <c r="N1525" i="1" s="1"/>
  <c r="F1525" i="1"/>
  <c r="Y1535" i="1"/>
  <c r="N1535" i="1"/>
  <c r="F1535" i="1"/>
  <c r="Y1526" i="1"/>
  <c r="M1526" i="1"/>
  <c r="N1526" i="1" s="1"/>
  <c r="F1526" i="1"/>
  <c r="J1589" i="2"/>
  <c r="K1589" i="2" s="1"/>
  <c r="J1588" i="2"/>
  <c r="K1588" i="2" s="1"/>
  <c r="J1447" i="2"/>
  <c r="K1447" i="2" s="1"/>
  <c r="J1446" i="2"/>
  <c r="K1446" i="2" s="1"/>
  <c r="J1587" i="2"/>
  <c r="K1587" i="2" s="1"/>
  <c r="J1586" i="2"/>
  <c r="K1586" i="2" s="1"/>
  <c r="J1511" i="1"/>
  <c r="M1511" i="1" s="1"/>
  <c r="N1511" i="1" s="1"/>
  <c r="Y1512" i="1"/>
  <c r="M1512" i="1"/>
  <c r="N1512" i="1" s="1"/>
  <c r="F1512" i="1"/>
  <c r="Y1523" i="1"/>
  <c r="M1523" i="1"/>
  <c r="N1523" i="1" s="1"/>
  <c r="F1523" i="1"/>
  <c r="J1515" i="1"/>
  <c r="M1515" i="1" s="1"/>
  <c r="N1515" i="1" s="1"/>
  <c r="J1507" i="1"/>
  <c r="M1507" i="1" s="1"/>
  <c r="N1507" i="1" s="1"/>
  <c r="J1510" i="1"/>
  <c r="M1510" i="1" s="1"/>
  <c r="N1510" i="1" s="1"/>
  <c r="Y1507" i="1"/>
  <c r="F1507" i="1"/>
  <c r="Y1521" i="1"/>
  <c r="M1521" i="1"/>
  <c r="N1521" i="1" s="1"/>
  <c r="F1521" i="1"/>
  <c r="Y1515" i="1"/>
  <c r="K1515" i="1"/>
  <c r="H1515" i="1"/>
  <c r="F1515" i="1"/>
  <c r="Y1522" i="1"/>
  <c r="M1522" i="1"/>
  <c r="N1522" i="1" s="1"/>
  <c r="F1522" i="1"/>
  <c r="Y1520" i="1"/>
  <c r="M1520" i="1"/>
  <c r="N1520" i="1" s="1"/>
  <c r="F1520" i="1"/>
  <c r="Y1519" i="1"/>
  <c r="M1519" i="1"/>
  <c r="N1519" i="1" s="1"/>
  <c r="F1519" i="1"/>
  <c r="Y1518" i="1"/>
  <c r="M1518" i="1"/>
  <c r="N1518" i="1" s="1"/>
  <c r="F1518" i="1"/>
  <c r="Y1517" i="1"/>
  <c r="M1517" i="1"/>
  <c r="N1517" i="1" s="1"/>
  <c r="F1517" i="1"/>
  <c r="Y1514" i="1"/>
  <c r="M1514" i="1"/>
  <c r="N1514" i="1" s="1"/>
  <c r="F1514" i="1"/>
  <c r="Y1513" i="1"/>
  <c r="M1513" i="1"/>
  <c r="N1513" i="1" s="1"/>
  <c r="F1513" i="1"/>
  <c r="Y1510" i="1"/>
  <c r="F1510" i="1"/>
  <c r="Y1508" i="1"/>
  <c r="M1508" i="1"/>
  <c r="N1508" i="1" s="1"/>
  <c r="F1508" i="1"/>
  <c r="Y1516" i="1"/>
  <c r="M1516" i="1"/>
  <c r="N1516" i="1" s="1"/>
  <c r="F1516" i="1"/>
  <c r="Y1509" i="1"/>
  <c r="K1509" i="1"/>
  <c r="J1509" i="1"/>
  <c r="M1509" i="1" s="1"/>
  <c r="N1509" i="1" s="1"/>
  <c r="H1509" i="1"/>
  <c r="F1509" i="1"/>
  <c r="J1585" i="2"/>
  <c r="K1585" i="2" s="1"/>
  <c r="J1445" i="2"/>
  <c r="K1445" i="2" s="1"/>
  <c r="J1444" i="2"/>
  <c r="K1444" i="2" s="1"/>
  <c r="Y1506" i="1"/>
  <c r="J1506" i="1"/>
  <c r="M1506" i="1" s="1"/>
  <c r="N1506" i="1" s="1"/>
  <c r="F1506" i="1"/>
  <c r="M1493" i="1"/>
  <c r="N1493" i="1" s="1"/>
  <c r="M1492" i="1"/>
  <c r="N1492" i="1" s="1"/>
  <c r="F1497" i="1"/>
  <c r="J1497" i="1"/>
  <c r="M1497" i="1" s="1"/>
  <c r="N1497" i="1" s="1"/>
  <c r="Y1497" i="1"/>
  <c r="F1500" i="1"/>
  <c r="J1500" i="1"/>
  <c r="M1500" i="1" s="1"/>
  <c r="N1500" i="1" s="1"/>
  <c r="Y1500" i="1"/>
  <c r="J1584" i="2"/>
  <c r="K1584" i="2" s="1"/>
  <c r="M1487" i="1"/>
  <c r="N1487" i="1" s="1"/>
  <c r="J1443" i="2"/>
  <c r="K1443" i="2" s="1"/>
  <c r="F1490" i="1"/>
  <c r="M1490" i="1"/>
  <c r="N1490" i="1" s="1"/>
  <c r="Y1490" i="1"/>
  <c r="Y1498" i="1"/>
  <c r="J1498" i="1"/>
  <c r="M1498" i="1" s="1"/>
  <c r="N1498" i="1" s="1"/>
  <c r="F1498" i="1"/>
  <c r="Y1511" i="1"/>
  <c r="F1511" i="1"/>
  <c r="M1488" i="1"/>
  <c r="N1488" i="1" s="1"/>
  <c r="F1488" i="1"/>
  <c r="M1482" i="1"/>
  <c r="N1482" i="1" s="1"/>
  <c r="Y1493" i="1"/>
  <c r="F1493" i="1"/>
  <c r="K1442" i="2"/>
  <c r="J1441" i="2"/>
  <c r="K1441" i="2" s="1"/>
  <c r="J1440" i="2"/>
  <c r="K1440" i="2" s="1"/>
  <c r="Y1505" i="1"/>
  <c r="J1505" i="1"/>
  <c r="M1505" i="1" s="1"/>
  <c r="N1505" i="1" s="1"/>
  <c r="F1505" i="1"/>
  <c r="Y1524" i="1"/>
  <c r="M1524" i="1"/>
  <c r="N1524" i="1" s="1"/>
  <c r="F1524" i="1"/>
  <c r="Y1504" i="1"/>
  <c r="J1504" i="1"/>
  <c r="M1504" i="1" s="1"/>
  <c r="N1504" i="1" s="1"/>
  <c r="F1504" i="1"/>
  <c r="Y1503" i="1"/>
  <c r="J1503" i="1"/>
  <c r="M1503" i="1" s="1"/>
  <c r="N1503" i="1" s="1"/>
  <c r="F1503" i="1"/>
  <c r="Y1502" i="1"/>
  <c r="J1502" i="1"/>
  <c r="M1502" i="1" s="1"/>
  <c r="N1502" i="1" s="1"/>
  <c r="F1502" i="1"/>
  <c r="Y1496" i="1"/>
  <c r="J1496" i="1"/>
  <c r="N1496" i="1" s="1"/>
  <c r="F1496" i="1"/>
  <c r="Y1495" i="1"/>
  <c r="J1495" i="1"/>
  <c r="M1495" i="1" s="1"/>
  <c r="N1495" i="1" s="1"/>
  <c r="F1495" i="1"/>
  <c r="Y1492" i="1"/>
  <c r="F1492" i="1"/>
  <c r="Y1486" i="1"/>
  <c r="M1486" i="1"/>
  <c r="N1486" i="1" s="1"/>
  <c r="F1486" i="1"/>
  <c r="Y1489" i="1"/>
  <c r="J1489" i="1"/>
  <c r="M1489" i="1" s="1"/>
  <c r="N1489" i="1" s="1"/>
  <c r="F1489" i="1"/>
  <c r="Y1491" i="1"/>
  <c r="J1491" i="1"/>
  <c r="F1491" i="1"/>
  <c r="Y1501" i="1"/>
  <c r="J1501" i="1"/>
  <c r="M1501" i="1" s="1"/>
  <c r="N1501" i="1" s="1"/>
  <c r="F1501" i="1"/>
  <c r="Y1499" i="1"/>
  <c r="K1499" i="1"/>
  <c r="J1499" i="1"/>
  <c r="M1499" i="1" s="1"/>
  <c r="N1499" i="1" s="1"/>
  <c r="H1499" i="1"/>
  <c r="F1499" i="1"/>
  <c r="Y1494" i="1"/>
  <c r="J1494" i="1"/>
  <c r="M1494" i="1" s="1"/>
  <c r="N1494" i="1" s="1"/>
  <c r="F1494" i="1"/>
  <c r="J1439" i="2"/>
  <c r="K1439" i="2" s="1"/>
  <c r="J1582" i="2"/>
  <c r="K1582" i="2" s="1"/>
  <c r="Y1475" i="1"/>
  <c r="M1475" i="1"/>
  <c r="N1475" i="1" s="1"/>
  <c r="F1475" i="1"/>
  <c r="Y1487" i="1"/>
  <c r="F1487" i="1"/>
  <c r="J1438" i="2"/>
  <c r="K1438" i="2" s="1"/>
  <c r="Y1479" i="1"/>
  <c r="J1479" i="1"/>
  <c r="M1479" i="1" s="1"/>
  <c r="N1479" i="1" s="1"/>
  <c r="F1479" i="1"/>
  <c r="J1467" i="1"/>
  <c r="M1467" i="1" s="1"/>
  <c r="N1467" i="1" s="1"/>
  <c r="J1478" i="1"/>
  <c r="M1478" i="1" s="1"/>
  <c r="N1478" i="1" s="1"/>
  <c r="Y1470" i="1"/>
  <c r="M1470" i="1"/>
  <c r="N1470" i="1" s="1"/>
  <c r="F1470" i="1"/>
  <c r="Y1462" i="1"/>
  <c r="M1462" i="1"/>
  <c r="N1462" i="1" s="1"/>
  <c r="F1462" i="1"/>
  <c r="Y1482" i="1"/>
  <c r="F1482" i="1"/>
  <c r="J1581" i="2"/>
  <c r="K1581" i="2" s="1"/>
  <c r="Y1484" i="1"/>
  <c r="J1484" i="1"/>
  <c r="M1484" i="1" s="1"/>
  <c r="N1484" i="1" s="1"/>
  <c r="F1484" i="1"/>
  <c r="Y1468" i="1"/>
  <c r="J1468" i="1"/>
  <c r="M1468" i="1" s="1"/>
  <c r="N1468" i="1" s="1"/>
  <c r="F1468" i="1"/>
  <c r="Y1466" i="1"/>
  <c r="K1466" i="1"/>
  <c r="J1466" i="1"/>
  <c r="M1466" i="1" s="1"/>
  <c r="N1466" i="1" s="1"/>
  <c r="H1466" i="1"/>
  <c r="F1466" i="1"/>
  <c r="Y1480" i="1"/>
  <c r="J1480" i="1"/>
  <c r="M1480" i="1" s="1"/>
  <c r="N1480" i="1" s="1"/>
  <c r="F1480" i="1"/>
  <c r="Y1477" i="1"/>
  <c r="J1477" i="1"/>
  <c r="M1477" i="1" s="1"/>
  <c r="N1477" i="1" s="1"/>
  <c r="F1477" i="1"/>
  <c r="Y1473" i="1"/>
  <c r="J1473" i="1"/>
  <c r="M1473" i="1" s="1"/>
  <c r="N1473" i="1" s="1"/>
  <c r="F1473" i="1"/>
  <c r="Y1472" i="1"/>
  <c r="J1472" i="1"/>
  <c r="M1472" i="1" s="1"/>
  <c r="N1472" i="1" s="1"/>
  <c r="F1472" i="1"/>
  <c r="Y1471" i="1"/>
  <c r="M1471" i="1"/>
  <c r="N1471" i="1" s="1"/>
  <c r="F1471" i="1"/>
  <c r="Y1469" i="1"/>
  <c r="J1469" i="1"/>
  <c r="M1469" i="1" s="1"/>
  <c r="N1469" i="1" s="1"/>
  <c r="F1469" i="1"/>
  <c r="Y1467" i="1"/>
  <c r="F1467" i="1"/>
  <c r="Y1478" i="1"/>
  <c r="F1478" i="1"/>
  <c r="Y1476" i="1"/>
  <c r="M1476" i="1"/>
  <c r="N1476" i="1" s="1"/>
  <c r="F1476" i="1"/>
  <c r="Y1474" i="1"/>
  <c r="J1474" i="1"/>
  <c r="M1474" i="1" s="1"/>
  <c r="N1474" i="1" s="1"/>
  <c r="F1474" i="1"/>
  <c r="Y1483" i="1"/>
  <c r="J1483" i="1"/>
  <c r="M1483" i="1" s="1"/>
  <c r="N1483" i="1" s="1"/>
  <c r="F1483" i="1"/>
  <c r="Y1481" i="1"/>
  <c r="J1481" i="1"/>
  <c r="M1481" i="1" s="1"/>
  <c r="N1481" i="1" s="1"/>
  <c r="F1481" i="1"/>
  <c r="Y1465" i="1"/>
  <c r="J1465" i="1"/>
  <c r="M1465" i="1" s="1"/>
  <c r="N1465" i="1" s="1"/>
  <c r="F1465" i="1"/>
  <c r="Y1464" i="1"/>
  <c r="J1464" i="1"/>
  <c r="M1464" i="1" s="1"/>
  <c r="N1464" i="1" s="1"/>
  <c r="F1464" i="1"/>
  <c r="Y1485" i="1"/>
  <c r="J1485" i="1"/>
  <c r="M1485" i="1" s="1"/>
  <c r="N1485" i="1" s="1"/>
  <c r="F1485" i="1"/>
  <c r="J1456" i="1"/>
  <c r="M1456" i="1" s="1"/>
  <c r="N1456" i="1" s="1"/>
  <c r="J1455" i="1"/>
  <c r="M1455" i="1" s="1"/>
  <c r="N1455" i="1" s="1"/>
  <c r="J1454" i="1"/>
  <c r="M1454" i="1" s="1"/>
  <c r="N1454" i="1" s="1"/>
  <c r="J1457" i="1"/>
  <c r="M1457" i="1" s="1"/>
  <c r="N1457" i="1" s="1"/>
  <c r="Y1463" i="1"/>
  <c r="M1463" i="1"/>
  <c r="N1463" i="1" s="1"/>
  <c r="F1463" i="1"/>
  <c r="Y1461" i="1"/>
  <c r="M1461" i="1"/>
  <c r="N1461" i="1" s="1"/>
  <c r="F1461" i="1"/>
  <c r="Y1459" i="1"/>
  <c r="M1459" i="1"/>
  <c r="N1459" i="1" s="1"/>
  <c r="F1459" i="1"/>
  <c r="Y1455" i="1"/>
  <c r="F1455" i="1"/>
  <c r="Y1454" i="1"/>
  <c r="K1454" i="1"/>
  <c r="H1454" i="1"/>
  <c r="F1454" i="1"/>
  <c r="Y1460" i="1"/>
  <c r="M1460" i="1"/>
  <c r="N1460" i="1" s="1"/>
  <c r="F1460" i="1"/>
  <c r="Y1457" i="1"/>
  <c r="F1457" i="1"/>
  <c r="Y1453" i="1"/>
  <c r="J1453" i="1"/>
  <c r="M1453" i="1" s="1"/>
  <c r="N1453" i="1" s="1"/>
  <c r="F1453" i="1"/>
  <c r="J1437" i="2"/>
  <c r="K1437" i="2" s="1"/>
  <c r="M1442" i="1"/>
  <c r="N1442" i="1" s="1"/>
  <c r="M1441" i="1"/>
  <c r="N1441" i="1" s="1"/>
  <c r="J1436" i="2"/>
  <c r="K1436" i="2" s="1"/>
  <c r="J1435" i="2"/>
  <c r="K1435" i="2" s="1"/>
  <c r="J1580" i="2"/>
  <c r="K1580" i="2" s="1"/>
  <c r="J1579" i="2"/>
  <c r="K1579" i="2" s="1"/>
  <c r="J1434" i="2"/>
  <c r="K1434" i="2" s="1"/>
  <c r="J1433" i="2"/>
  <c r="K1433" i="2" s="1"/>
  <c r="Y1436" i="1"/>
  <c r="M1436" i="1"/>
  <c r="N1436" i="1" s="1"/>
  <c r="F1436" i="1"/>
  <c r="J1578" i="2"/>
  <c r="K1578" i="2" s="1"/>
  <c r="J1432" i="2"/>
  <c r="K1432" i="2" s="1"/>
  <c r="J1430" i="2"/>
  <c r="K1430" i="2" s="1"/>
  <c r="Y1437" i="1"/>
  <c r="M1437" i="1"/>
  <c r="N1437" i="1" s="1"/>
  <c r="F1437" i="1"/>
  <c r="Y1442" i="1"/>
  <c r="F1442" i="1"/>
  <c r="Y1446" i="1"/>
  <c r="J1446" i="1"/>
  <c r="M1446" i="1" s="1"/>
  <c r="N1446" i="1" s="1"/>
  <c r="F1446" i="1"/>
  <c r="Y1440" i="1"/>
  <c r="M1440" i="1"/>
  <c r="N1440" i="1" s="1"/>
  <c r="F1440" i="1"/>
  <c r="Y1456" i="1"/>
  <c r="F1456" i="1"/>
  <c r="Y1452" i="1"/>
  <c r="J1452" i="1"/>
  <c r="M1452" i="1" s="1"/>
  <c r="N1452" i="1" s="1"/>
  <c r="F1452" i="1"/>
  <c r="Y1451" i="1"/>
  <c r="J1451" i="1"/>
  <c r="M1451" i="1" s="1"/>
  <c r="N1451" i="1" s="1"/>
  <c r="F1451" i="1"/>
  <c r="Y1450" i="1"/>
  <c r="J1450" i="1"/>
  <c r="M1450" i="1" s="1"/>
  <c r="N1450" i="1" s="1"/>
  <c r="F1450" i="1"/>
  <c r="Y1449" i="1"/>
  <c r="J1449" i="1"/>
  <c r="M1449" i="1" s="1"/>
  <c r="N1449" i="1" s="1"/>
  <c r="F1449" i="1"/>
  <c r="Y1445" i="1"/>
  <c r="J1445" i="1"/>
  <c r="M1445" i="1" s="1"/>
  <c r="N1445" i="1" s="1"/>
  <c r="F1445" i="1"/>
  <c r="Y1444" i="1"/>
  <c r="J1444" i="1"/>
  <c r="M1444" i="1" s="1"/>
  <c r="N1444" i="1" s="1"/>
  <c r="F1444" i="1"/>
  <c r="Y1435" i="1"/>
  <c r="M1435" i="1"/>
  <c r="N1435" i="1" s="1"/>
  <c r="F1435" i="1"/>
  <c r="Y1448" i="1"/>
  <c r="J1448" i="1"/>
  <c r="M1448" i="1" s="1"/>
  <c r="N1448" i="1" s="1"/>
  <c r="F1448" i="1"/>
  <c r="Y1447" i="1"/>
  <c r="J1447" i="1"/>
  <c r="M1447" i="1" s="1"/>
  <c r="N1447" i="1" s="1"/>
  <c r="F1447" i="1"/>
  <c r="Y1439" i="1"/>
  <c r="M1439" i="1"/>
  <c r="N1439" i="1" s="1"/>
  <c r="F1439" i="1"/>
  <c r="Y1434" i="1"/>
  <c r="M1434" i="1"/>
  <c r="N1434" i="1" s="1"/>
  <c r="F1434" i="1"/>
  <c r="Y1443" i="1"/>
  <c r="M1443" i="1"/>
  <c r="N1443" i="1" s="1"/>
  <c r="F1443" i="1"/>
  <c r="Y1441" i="1"/>
  <c r="F1441" i="1"/>
  <c r="Y1458" i="1"/>
  <c r="N1458" i="1"/>
  <c r="F1458" i="1"/>
  <c r="J1432" i="1"/>
  <c r="M1432" i="1" s="1"/>
  <c r="N1432" i="1" s="1"/>
  <c r="J1431" i="1"/>
  <c r="M1431" i="1" s="1"/>
  <c r="N1431" i="1" s="1"/>
  <c r="J1430" i="1"/>
  <c r="M1430" i="1" s="1"/>
  <c r="N1430" i="1" s="1"/>
  <c r="J1429" i="1"/>
  <c r="M1429" i="1" s="1"/>
  <c r="N1429" i="1" s="1"/>
  <c r="Y1431" i="1"/>
  <c r="F1431" i="1"/>
  <c r="Y1438" i="1"/>
  <c r="M1438" i="1"/>
  <c r="N1438" i="1" s="1"/>
  <c r="F1438" i="1"/>
  <c r="Y1433" i="1"/>
  <c r="M1433" i="1"/>
  <c r="N1433" i="1" s="1"/>
  <c r="F1433" i="1"/>
  <c r="Y1430" i="1"/>
  <c r="F1430" i="1"/>
  <c r="Y1429" i="1"/>
  <c r="F1429" i="1"/>
  <c r="Y1427" i="1"/>
  <c r="M1427" i="1"/>
  <c r="N1427" i="1" s="1"/>
  <c r="F1427" i="1"/>
  <c r="J1577" i="2"/>
  <c r="K1577" i="2" s="1"/>
  <c r="Y1419" i="1"/>
  <c r="J1419" i="1"/>
  <c r="M1419" i="1" s="1"/>
  <c r="N1419" i="1" s="1"/>
  <c r="H1419" i="1"/>
  <c r="F1419" i="1"/>
  <c r="Y1425" i="1"/>
  <c r="J1425" i="1"/>
  <c r="M1425" i="1" s="1"/>
  <c r="N1425" i="1" s="1"/>
  <c r="F1425" i="1"/>
  <c r="J1424" i="1"/>
  <c r="M1424" i="1" s="1"/>
  <c r="N1424" i="1" s="1"/>
  <c r="J1423" i="1"/>
  <c r="M1423" i="1" s="1"/>
  <c r="N1423" i="1" s="1"/>
  <c r="J1422" i="1"/>
  <c r="M1422" i="1" s="1"/>
  <c r="N1422" i="1" s="1"/>
  <c r="J1421" i="1"/>
  <c r="M1421" i="1" s="1"/>
  <c r="N1421" i="1" s="1"/>
  <c r="J1420" i="1"/>
  <c r="M1420" i="1" s="1"/>
  <c r="N1420" i="1" s="1"/>
  <c r="J1418" i="1"/>
  <c r="M1418" i="1" s="1"/>
  <c r="N1418" i="1" s="1"/>
  <c r="J1417" i="1"/>
  <c r="M1417" i="1" s="1"/>
  <c r="N1417" i="1" s="1"/>
  <c r="M1413" i="1"/>
  <c r="N1413" i="1" s="1"/>
  <c r="M1407" i="1"/>
  <c r="N1407" i="1" s="1"/>
  <c r="J1431" i="2"/>
  <c r="K1431" i="2" s="1"/>
  <c r="J1575" i="2"/>
  <c r="K1575" i="2" s="1"/>
  <c r="Y1408" i="1"/>
  <c r="M1408" i="1"/>
  <c r="N1408" i="1" s="1"/>
  <c r="F1408" i="1"/>
  <c r="J1576" i="2"/>
  <c r="K1576" i="2" s="1"/>
  <c r="Y1407" i="1"/>
  <c r="F1407" i="1"/>
  <c r="J1405" i="1"/>
  <c r="M1405" i="1" s="1"/>
  <c r="N1405" i="1" s="1"/>
  <c r="J1404" i="1"/>
  <c r="M1404" i="1" s="1"/>
  <c r="N1404" i="1" s="1"/>
  <c r="J1820" i="2"/>
  <c r="K1820" i="2" s="1"/>
  <c r="J1583" i="2"/>
  <c r="K1583" i="2" s="1"/>
  <c r="Y1426" i="1"/>
  <c r="J1426" i="1"/>
  <c r="M1426" i="1" s="1"/>
  <c r="N1426" i="1" s="1"/>
  <c r="F1426" i="1"/>
  <c r="J1574" i="2"/>
  <c r="K1574" i="2" s="1"/>
  <c r="Y1423" i="1"/>
  <c r="F1423" i="1"/>
  <c r="Y1660" i="1"/>
  <c r="M1660" i="1"/>
  <c r="N1660" i="1" s="1"/>
  <c r="F1660" i="1"/>
  <c r="Y1424" i="1"/>
  <c r="F1424" i="1"/>
  <c r="Y1422" i="1"/>
  <c r="F1422" i="1"/>
  <c r="Y1413" i="1"/>
  <c r="F1413" i="1"/>
  <c r="Y1416" i="1"/>
  <c r="J1416" i="1"/>
  <c r="M1416" i="1" s="1"/>
  <c r="N1416" i="1" s="1"/>
  <c r="F1416" i="1"/>
  <c r="Y1412" i="1"/>
  <c r="M1412" i="1"/>
  <c r="N1412" i="1" s="1"/>
  <c r="F1412" i="1"/>
  <c r="Y1411" i="1"/>
  <c r="M1411" i="1"/>
  <c r="N1411" i="1" s="1"/>
  <c r="F1411" i="1"/>
  <c r="Y1405" i="1"/>
  <c r="F1405" i="1"/>
  <c r="Y1404" i="1"/>
  <c r="F1404" i="1"/>
  <c r="Y1410" i="1"/>
  <c r="J1410" i="1"/>
  <c r="M1410" i="1" s="1"/>
  <c r="N1410" i="1" s="1"/>
  <c r="F1410" i="1"/>
  <c r="Y1402" i="1"/>
  <c r="J1402" i="1"/>
  <c r="M1402" i="1" s="1"/>
  <c r="N1402" i="1" s="1"/>
  <c r="F1402" i="1"/>
  <c r="Y1421" i="1"/>
  <c r="F1421" i="1"/>
  <c r="Y1428" i="1"/>
  <c r="M1428" i="1"/>
  <c r="N1428" i="1" s="1"/>
  <c r="F1428" i="1"/>
  <c r="Y1418" i="1"/>
  <c r="F1418" i="1"/>
  <c r="Y1417" i="1"/>
  <c r="F1417" i="1"/>
  <c r="Y1420" i="1"/>
  <c r="F1420" i="1"/>
  <c r="Y1414" i="1"/>
  <c r="J1414" i="1"/>
  <c r="N1414" i="1" s="1"/>
  <c r="F1414" i="1"/>
  <c r="Y1406" i="1"/>
  <c r="M1406" i="1"/>
  <c r="N1406" i="1" s="1"/>
  <c r="F1406" i="1"/>
  <c r="Y1393" i="1"/>
  <c r="M1393" i="1"/>
  <c r="N1393" i="1" s="1"/>
  <c r="F1393" i="1"/>
  <c r="J1429" i="2"/>
  <c r="K1429" i="2" s="1"/>
  <c r="J1424" i="2"/>
  <c r="K1424" i="2" s="1"/>
  <c r="Y1385" i="1"/>
  <c r="Y1432" i="1"/>
  <c r="F1432" i="1"/>
  <c r="Y1403" i="1"/>
  <c r="M1403" i="1"/>
  <c r="N1403" i="1" s="1"/>
  <c r="F1403" i="1"/>
  <c r="Y1409" i="1"/>
  <c r="M1409" i="1"/>
  <c r="N1409" i="1" s="1"/>
  <c r="F1409" i="1"/>
  <c r="Y1415" i="1"/>
  <c r="M1415" i="1"/>
  <c r="N1415" i="1" s="1"/>
  <c r="F1415" i="1"/>
  <c r="J1426" i="2"/>
  <c r="K1426" i="2" s="1"/>
  <c r="J1425" i="2"/>
  <c r="K1425" i="2" s="1"/>
  <c r="J1428" i="2"/>
  <c r="K1428" i="2" s="1"/>
  <c r="J1573" i="2"/>
  <c r="K1573" i="2" s="1"/>
  <c r="Y1395" i="1"/>
  <c r="M1395" i="1"/>
  <c r="N1395" i="1" s="1"/>
  <c r="F1395" i="1"/>
  <c r="Y1386" i="1"/>
  <c r="J1386" i="1"/>
  <c r="M1386" i="1" s="1"/>
  <c r="N1386" i="1" s="1"/>
  <c r="F1386" i="1"/>
  <c r="Y1389" i="1"/>
  <c r="M1389" i="1"/>
  <c r="N1389" i="1" s="1"/>
  <c r="F1389" i="1"/>
  <c r="Y1400" i="1"/>
  <c r="J1400" i="1"/>
  <c r="M1400" i="1" s="1"/>
  <c r="N1400" i="1" s="1"/>
  <c r="F1400" i="1"/>
  <c r="Y1394" i="1"/>
  <c r="M1394" i="1"/>
  <c r="N1394" i="1" s="1"/>
  <c r="F1394" i="1"/>
  <c r="Y1381" i="1"/>
  <c r="M1381" i="1"/>
  <c r="N1381" i="1" s="1"/>
  <c r="F1381" i="1"/>
  <c r="Y1396" i="1"/>
  <c r="J1396" i="1"/>
  <c r="M1396" i="1" s="1"/>
  <c r="N1396" i="1" s="1"/>
  <c r="F1396" i="1"/>
  <c r="Y1390" i="1"/>
  <c r="M1390" i="1"/>
  <c r="N1390" i="1" s="1"/>
  <c r="F1390" i="1"/>
  <c r="J1388" i="1"/>
  <c r="M1388" i="1" s="1"/>
  <c r="N1388" i="1" s="1"/>
  <c r="J1399" i="1"/>
  <c r="M1399" i="1" s="1"/>
  <c r="N1399" i="1" s="1"/>
  <c r="J1398" i="1"/>
  <c r="M1398" i="1" s="1"/>
  <c r="N1398" i="1" s="1"/>
  <c r="J1397" i="1"/>
  <c r="M1397" i="1" s="1"/>
  <c r="N1397" i="1" s="1"/>
  <c r="J1385" i="1"/>
  <c r="M1385" i="1" s="1"/>
  <c r="N1385" i="1" s="1"/>
  <c r="J1380" i="1"/>
  <c r="M1380" i="1" s="1"/>
  <c r="N1380" i="1" s="1"/>
  <c r="J1379" i="1"/>
  <c r="M1379" i="1" s="1"/>
  <c r="N1379" i="1" s="1"/>
  <c r="J1387" i="1"/>
  <c r="M1387" i="1" s="1"/>
  <c r="N1387" i="1" s="1"/>
  <c r="Y1388" i="1"/>
  <c r="F1388" i="1"/>
  <c r="Y1392" i="1"/>
  <c r="M1392" i="1"/>
  <c r="N1392" i="1" s="1"/>
  <c r="F1392" i="1"/>
  <c r="Y1399" i="1"/>
  <c r="F1399" i="1"/>
  <c r="Y1398" i="1"/>
  <c r="F1398" i="1"/>
  <c r="Y1397" i="1"/>
  <c r="F1397" i="1"/>
  <c r="Y1391" i="1"/>
  <c r="M1391" i="1"/>
  <c r="N1391" i="1" s="1"/>
  <c r="F1391" i="1"/>
  <c r="Y1384" i="1"/>
  <c r="M1384" i="1"/>
  <c r="N1384" i="1" s="1"/>
  <c r="F1384" i="1"/>
  <c r="Y1383" i="1"/>
  <c r="M1383" i="1"/>
  <c r="N1383" i="1" s="1"/>
  <c r="F1383" i="1"/>
  <c r="F1385" i="1"/>
  <c r="Y1382" i="1"/>
  <c r="M1382" i="1"/>
  <c r="N1382" i="1" s="1"/>
  <c r="F1382" i="1"/>
  <c r="Y1380" i="1"/>
  <c r="F1380" i="1"/>
  <c r="Y1379" i="1"/>
  <c r="F1379" i="1"/>
  <c r="Y1378" i="1"/>
  <c r="M1378" i="1"/>
  <c r="N1378" i="1" s="1"/>
  <c r="F1378" i="1"/>
  <c r="Y1387" i="1"/>
  <c r="F1387" i="1"/>
  <c r="Y1401" i="1"/>
  <c r="N1401" i="1"/>
  <c r="F1401" i="1"/>
  <c r="J1423" i="2"/>
  <c r="K1423" i="2" s="1"/>
  <c r="J1375" i="1"/>
  <c r="M1375" i="1" s="1"/>
  <c r="N1375" i="1" s="1"/>
  <c r="J1369" i="1"/>
  <c r="M1369" i="1" s="1"/>
  <c r="N1369" i="1" s="1"/>
  <c r="J1373" i="1"/>
  <c r="M1373" i="1" s="1"/>
  <c r="N1373" i="1" s="1"/>
  <c r="J1372" i="1"/>
  <c r="M1372" i="1" s="1"/>
  <c r="N1372" i="1" s="1"/>
  <c r="J1371" i="1"/>
  <c r="M1371" i="1" s="1"/>
  <c r="N1371" i="1" s="1"/>
  <c r="J1370" i="1"/>
  <c r="M1370" i="1" s="1"/>
  <c r="N1370" i="1" s="1"/>
  <c r="J1572" i="2"/>
  <c r="K1572" i="2" s="1"/>
  <c r="Y1377" i="1"/>
  <c r="M1377" i="1"/>
  <c r="N1377" i="1" s="1"/>
  <c r="F1377" i="1"/>
  <c r="Y1373" i="1"/>
  <c r="F1373" i="1"/>
  <c r="J1376" i="1"/>
  <c r="M1376" i="1" s="1"/>
  <c r="N1376" i="1" s="1"/>
  <c r="J1368" i="1"/>
  <c r="M1368" i="1" s="1"/>
  <c r="N1368" i="1" s="1"/>
  <c r="J1367" i="1"/>
  <c r="M1367" i="1" s="1"/>
  <c r="N1367" i="1" s="1"/>
  <c r="J1366" i="1"/>
  <c r="M1366" i="1" s="1"/>
  <c r="N1366" i="1" s="1"/>
  <c r="J1363" i="1"/>
  <c r="M1363" i="1" s="1"/>
  <c r="N1363" i="1" s="1"/>
  <c r="J1362" i="1"/>
  <c r="M1362" i="1" s="1"/>
  <c r="N1362" i="1" s="1"/>
  <c r="Y1364" i="1"/>
  <c r="M1364" i="1"/>
  <c r="N1364" i="1" s="1"/>
  <c r="F1364" i="1"/>
  <c r="J1571" i="2"/>
  <c r="K1571" i="2" s="1"/>
  <c r="J1354" i="1"/>
  <c r="M1354" i="1" s="1"/>
  <c r="N1354" i="1" s="1"/>
  <c r="J1353" i="1"/>
  <c r="M1353" i="1" s="1"/>
  <c r="N1353" i="1" s="1"/>
  <c r="J1352" i="1"/>
  <c r="M1352" i="1" s="1"/>
  <c r="N1352" i="1" s="1"/>
  <c r="J1355" i="1"/>
  <c r="M1355" i="1" s="1"/>
  <c r="N1355" i="1" s="1"/>
  <c r="J1360" i="1"/>
  <c r="J1359" i="1"/>
  <c r="J1356" i="1"/>
  <c r="M1356" i="1" s="1"/>
  <c r="N1356" i="1" s="1"/>
  <c r="Y1374" i="1"/>
  <c r="M1374" i="1"/>
  <c r="N1374" i="1" s="1"/>
  <c r="F1374" i="1"/>
  <c r="J1420" i="2"/>
  <c r="K1420" i="2" s="1"/>
  <c r="J1421" i="2"/>
  <c r="K1421" i="2" s="1"/>
  <c r="Y1376" i="1"/>
  <c r="F1376" i="1"/>
  <c r="J1422" i="2"/>
  <c r="K1422" i="2" s="1"/>
  <c r="J1570" i="2"/>
  <c r="K1570" i="2" s="1"/>
  <c r="Y1359" i="1"/>
  <c r="N1359" i="1"/>
  <c r="F1359" i="1"/>
  <c r="Y1375" i="1"/>
  <c r="F1375" i="1"/>
  <c r="Y1372" i="1"/>
  <c r="F1372" i="1"/>
  <c r="Y1371" i="1"/>
  <c r="F1371" i="1"/>
  <c r="Y1368" i="1"/>
  <c r="F1368" i="1"/>
  <c r="Y1367" i="1"/>
  <c r="F1367" i="1"/>
  <c r="Y1366" i="1"/>
  <c r="F1366" i="1"/>
  <c r="Y1363" i="1"/>
  <c r="F1363" i="1"/>
  <c r="Y1360" i="1"/>
  <c r="N1360" i="1"/>
  <c r="F1360" i="1"/>
  <c r="Y1356" i="1"/>
  <c r="F1356" i="1"/>
  <c r="Y1370" i="1"/>
  <c r="F1370" i="1"/>
  <c r="Y1357" i="1"/>
  <c r="M1357" i="1"/>
  <c r="N1357" i="1" s="1"/>
  <c r="F1357" i="1"/>
  <c r="Y1362" i="1"/>
  <c r="F1362" i="1"/>
  <c r="Y1361" i="1"/>
  <c r="M1361" i="1"/>
  <c r="N1361" i="1" s="1"/>
  <c r="F1361" i="1"/>
  <c r="Y1365" i="1"/>
  <c r="J1365" i="1"/>
  <c r="M1365" i="1" s="1"/>
  <c r="N1365" i="1" s="1"/>
  <c r="F1365" i="1"/>
  <c r="Y1369" i="1"/>
  <c r="F1369" i="1"/>
  <c r="J1348" i="1"/>
  <c r="M1348" i="1" s="1"/>
  <c r="N1348" i="1" s="1"/>
  <c r="Y1351" i="1"/>
  <c r="J1351" i="1"/>
  <c r="M1351" i="1" s="1"/>
  <c r="N1351" i="1" s="1"/>
  <c r="F1351" i="1"/>
  <c r="Y1350" i="1"/>
  <c r="J1350" i="1"/>
  <c r="M1350" i="1" s="1"/>
  <c r="N1350" i="1" s="1"/>
  <c r="F1350" i="1"/>
  <c r="J1419" i="2"/>
  <c r="K1419" i="2" s="1"/>
  <c r="F1347" i="1"/>
  <c r="M1347" i="1"/>
  <c r="N1347" i="1" s="1"/>
  <c r="Y1347" i="1"/>
  <c r="F1349" i="1"/>
  <c r="J1349" i="1"/>
  <c r="M1349" i="1" s="1"/>
  <c r="N1349" i="1" s="1"/>
  <c r="Y1349" i="1"/>
  <c r="F1343" i="1"/>
  <c r="M1343" i="1"/>
  <c r="N1343" i="1" s="1"/>
  <c r="Y1343" i="1"/>
  <c r="F1348" i="1"/>
  <c r="Y1348" i="1"/>
  <c r="F1355" i="1"/>
  <c r="Y1355" i="1"/>
  <c r="F1338" i="1"/>
  <c r="M1338" i="1"/>
  <c r="N1338" i="1" s="1"/>
  <c r="Y1338" i="1"/>
  <c r="F1339" i="1"/>
  <c r="M1339" i="1"/>
  <c r="N1339" i="1" s="1"/>
  <c r="Y1339" i="1"/>
  <c r="F1341" i="1"/>
  <c r="M1341" i="1"/>
  <c r="N1341" i="1" s="1"/>
  <c r="Y1341" i="1"/>
  <c r="F1346" i="1"/>
  <c r="M1346" i="1"/>
  <c r="N1346" i="1" s="1"/>
  <c r="Y1346" i="1"/>
  <c r="F1344" i="1"/>
  <c r="M1344" i="1"/>
  <c r="N1344" i="1" s="1"/>
  <c r="Y1344" i="1"/>
  <c r="F1352" i="1"/>
  <c r="Y1352" i="1"/>
  <c r="F1353" i="1"/>
  <c r="Y1353" i="1"/>
  <c r="F1345" i="1"/>
  <c r="H1345" i="1"/>
  <c r="J1345" i="1"/>
  <c r="M1345" i="1" s="1"/>
  <c r="N1345" i="1" s="1"/>
  <c r="K1345" i="1"/>
  <c r="Y1345" i="1"/>
  <c r="F1340" i="1"/>
  <c r="M1340" i="1"/>
  <c r="N1340" i="1" s="1"/>
  <c r="Y1340" i="1"/>
  <c r="F1342" i="1"/>
  <c r="M1342" i="1"/>
  <c r="N1342" i="1" s="1"/>
  <c r="Y1342" i="1"/>
  <c r="F1354" i="1"/>
  <c r="Y1354" i="1"/>
  <c r="Y1337" i="1"/>
  <c r="J1337" i="1"/>
  <c r="M1337" i="1" s="1"/>
  <c r="N1337" i="1" s="1"/>
  <c r="F1337" i="1"/>
  <c r="J1418" i="2"/>
  <c r="K1418" i="2" s="1"/>
  <c r="J1569" i="2"/>
  <c r="K1569" i="2" s="1"/>
  <c r="J1412" i="2"/>
  <c r="K1412" i="2" s="1"/>
  <c r="J1567" i="2"/>
  <c r="K1567" i="2" s="1"/>
  <c r="Y1319" i="1"/>
  <c r="M1319" i="1"/>
  <c r="N1319" i="1" s="1"/>
  <c r="F1319" i="1"/>
  <c r="J1410" i="2"/>
  <c r="K1410" i="2" s="1"/>
  <c r="J1411" i="2"/>
  <c r="K1411" i="2" s="1"/>
  <c r="J1387" i="2"/>
  <c r="K1387" i="2" s="1"/>
  <c r="Y1335" i="1"/>
  <c r="J1335" i="1"/>
  <c r="M1335" i="1" s="1"/>
  <c r="N1335" i="1" s="1"/>
  <c r="F1335" i="1"/>
  <c r="Y1330" i="1"/>
  <c r="M1330" i="1"/>
  <c r="N1330" i="1" s="1"/>
  <c r="F1330" i="1"/>
  <c r="Y1328" i="1"/>
  <c r="M1328" i="1"/>
  <c r="N1328" i="1" s="1"/>
  <c r="F1328" i="1"/>
  <c r="Y1324" i="1"/>
  <c r="M1324" i="1"/>
  <c r="N1324" i="1" s="1"/>
  <c r="F1324" i="1"/>
  <c r="Y1358" i="1"/>
  <c r="N1358" i="1"/>
  <c r="F1358" i="1"/>
  <c r="Y1336" i="1"/>
  <c r="J1336" i="1"/>
  <c r="M1336" i="1" s="1"/>
  <c r="N1336" i="1" s="1"/>
  <c r="F1336" i="1"/>
  <c r="Y1327" i="1"/>
  <c r="M1327" i="1"/>
  <c r="N1327" i="1" s="1"/>
  <c r="F1327" i="1"/>
  <c r="Y1329" i="1"/>
  <c r="M1329" i="1"/>
  <c r="N1329" i="1" s="1"/>
  <c r="F1329" i="1"/>
  <c r="Y1323" i="1"/>
  <c r="M1323" i="1"/>
  <c r="N1323" i="1" s="1"/>
  <c r="F1323" i="1"/>
  <c r="Y1322" i="1"/>
  <c r="M1322" i="1"/>
  <c r="N1322" i="1" s="1"/>
  <c r="F1322" i="1"/>
  <c r="Y1321" i="1"/>
  <c r="J1321" i="1"/>
  <c r="M1321" i="1" s="1"/>
  <c r="N1321" i="1" s="1"/>
  <c r="F1321" i="1"/>
  <c r="Y1320" i="1"/>
  <c r="J1320" i="1"/>
  <c r="M1320" i="1" s="1"/>
  <c r="N1320" i="1" s="1"/>
  <c r="F1320" i="1"/>
  <c r="Y1334" i="1"/>
  <c r="J1334" i="1"/>
  <c r="M1334" i="1" s="1"/>
  <c r="N1334" i="1" s="1"/>
  <c r="F1334" i="1"/>
  <c r="Y1333" i="1"/>
  <c r="J1333" i="1"/>
  <c r="M1333" i="1" s="1"/>
  <c r="N1333" i="1" s="1"/>
  <c r="F1333" i="1"/>
  <c r="Y1326" i="1"/>
  <c r="M1326" i="1"/>
  <c r="N1326" i="1" s="1"/>
  <c r="F1326" i="1"/>
  <c r="Y1332" i="1"/>
  <c r="J1332" i="1"/>
  <c r="M1332" i="1" s="1"/>
  <c r="N1332" i="1" s="1"/>
  <c r="F1332" i="1"/>
  <c r="Y1331" i="1"/>
  <c r="J1331" i="1"/>
  <c r="M1331" i="1" s="1"/>
  <c r="N1331" i="1" s="1"/>
  <c r="F1331" i="1"/>
  <c r="Y1318" i="1"/>
  <c r="M1318" i="1"/>
  <c r="N1318" i="1" s="1"/>
  <c r="F1318" i="1"/>
  <c r="J1386" i="2"/>
  <c r="K1386" i="2" s="1"/>
  <c r="Y1314" i="1"/>
  <c r="J1314" i="1"/>
  <c r="M1314" i="1" s="1"/>
  <c r="N1314" i="1" s="1"/>
  <c r="F1314" i="1"/>
  <c r="J1385" i="2"/>
  <c r="K1385" i="2" s="1"/>
  <c r="Y1307" i="1"/>
  <c r="M1307" i="1"/>
  <c r="N1307" i="1" s="1"/>
  <c r="F1307" i="1"/>
  <c r="J1384" i="2"/>
  <c r="K1384" i="2" s="1"/>
  <c r="Y1313" i="1"/>
  <c r="J1313" i="1"/>
  <c r="M1313" i="1" s="1"/>
  <c r="N1313" i="1" s="1"/>
  <c r="F1313" i="1"/>
  <c r="Y1308" i="1"/>
  <c r="M1308" i="1"/>
  <c r="N1308" i="1" s="1"/>
  <c r="F1308" i="1"/>
  <c r="Y1317" i="1"/>
  <c r="M1317" i="1"/>
  <c r="N1317" i="1" s="1"/>
  <c r="F1317" i="1"/>
  <c r="Y1312" i="1"/>
  <c r="J1312" i="1"/>
  <c r="M1312" i="1" s="1"/>
  <c r="N1312" i="1" s="1"/>
  <c r="F1312" i="1"/>
  <c r="Y1311" i="1"/>
  <c r="J1311" i="1"/>
  <c r="M1311" i="1" s="1"/>
  <c r="N1311" i="1" s="1"/>
  <c r="F1311" i="1"/>
  <c r="Y1305" i="1"/>
  <c r="M1305" i="1"/>
  <c r="N1305" i="1" s="1"/>
  <c r="F1305" i="1"/>
  <c r="Y1306" i="1"/>
  <c r="M1306" i="1"/>
  <c r="N1306" i="1" s="1"/>
  <c r="F1306" i="1"/>
  <c r="Y1304" i="1"/>
  <c r="M1304" i="1"/>
  <c r="N1304" i="1" s="1"/>
  <c r="F1304" i="1"/>
  <c r="Y1301" i="1"/>
  <c r="M1301" i="1"/>
  <c r="N1301" i="1" s="1"/>
  <c r="F1301" i="1"/>
  <c r="Y1302" i="1"/>
  <c r="M1302" i="1"/>
  <c r="N1302" i="1" s="1"/>
  <c r="F1302" i="1"/>
  <c r="Y1300" i="1"/>
  <c r="M1300" i="1"/>
  <c r="N1300" i="1" s="1"/>
  <c r="F1300" i="1"/>
  <c r="Y1299" i="1"/>
  <c r="M1299" i="1"/>
  <c r="N1299" i="1" s="1"/>
  <c r="F1299" i="1"/>
  <c r="Y1298" i="1"/>
  <c r="M1298" i="1"/>
  <c r="N1298" i="1" s="1"/>
  <c r="F1298" i="1"/>
  <c r="Y1310" i="1"/>
  <c r="J1310" i="1"/>
  <c r="M1310" i="1" s="1"/>
  <c r="N1310" i="1" s="1"/>
  <c r="F1310" i="1"/>
  <c r="Y1309" i="1"/>
  <c r="M1309" i="1"/>
  <c r="N1309" i="1" s="1"/>
  <c r="F1309" i="1"/>
  <c r="Y1303" i="1"/>
  <c r="M1303" i="1"/>
  <c r="N1303" i="1" s="1"/>
  <c r="F1303" i="1"/>
  <c r="Y1316" i="1"/>
  <c r="M1316" i="1"/>
  <c r="N1316" i="1" s="1"/>
  <c r="F1316" i="1"/>
  <c r="Y1315" i="1"/>
  <c r="J1315" i="1"/>
  <c r="M1315" i="1" s="1"/>
  <c r="N1315" i="1" s="1"/>
  <c r="F1315" i="1"/>
  <c r="Y1325" i="1"/>
  <c r="M1325" i="1"/>
  <c r="N1325" i="1" s="1"/>
  <c r="F1325" i="1"/>
  <c r="Y1277" i="1"/>
  <c r="Y1278" i="1"/>
  <c r="Y1279" i="1"/>
  <c r="Y1280" i="1"/>
  <c r="Y1281" i="1"/>
  <c r="Y1282" i="1"/>
  <c r="Y1284" i="1"/>
  <c r="Y1283" i="1"/>
  <c r="Y1285" i="1"/>
  <c r="Y1286" i="1"/>
  <c r="J1383" i="2"/>
  <c r="K1383" i="2" s="1"/>
  <c r="J1382" i="2"/>
  <c r="K1382" i="2" s="1"/>
  <c r="J1381" i="2"/>
  <c r="K1381" i="2" s="1"/>
  <c r="J1380" i="2"/>
  <c r="K1380" i="2" s="1"/>
  <c r="J1379" i="2"/>
  <c r="K1379" i="2" s="1"/>
  <c r="J1378" i="2"/>
  <c r="K1378" i="2" s="1"/>
  <c r="J1377" i="2"/>
  <c r="K1377" i="2" s="1"/>
  <c r="J1376" i="2"/>
  <c r="K1376" i="2" s="1"/>
  <c r="K1568" i="2"/>
  <c r="Y1268" i="1"/>
  <c r="Y1269" i="1"/>
  <c r="Y1270" i="1"/>
  <c r="Y1271" i="1"/>
  <c r="Y1272" i="1"/>
  <c r="Y1273" i="1"/>
  <c r="Y1274" i="1"/>
  <c r="Y1275" i="1"/>
  <c r="Y1276" i="1"/>
  <c r="N1277" i="1"/>
  <c r="J1277" i="1"/>
  <c r="F1277" i="1"/>
  <c r="M1263" i="1"/>
  <c r="N1263" i="1" s="1"/>
  <c r="J1262" i="1"/>
  <c r="M1262" i="1" s="1"/>
  <c r="N1262" i="1" s="1"/>
  <c r="J1261" i="1"/>
  <c r="M1261" i="1" s="1"/>
  <c r="N1261" i="1" s="1"/>
  <c r="M1268" i="1"/>
  <c r="N1268" i="1" s="1"/>
  <c r="F1268" i="1"/>
  <c r="J1270" i="1"/>
  <c r="M1270" i="1" s="1"/>
  <c r="N1270" i="1" s="1"/>
  <c r="F1270" i="1"/>
  <c r="J1276" i="1"/>
  <c r="M1276" i="1" s="1"/>
  <c r="N1276" i="1" s="1"/>
  <c r="F1276" i="1"/>
  <c r="J1828" i="2"/>
  <c r="K1828" i="2" s="1"/>
  <c r="Y1263" i="1"/>
  <c r="F1263" i="1"/>
  <c r="Y1267" i="1"/>
  <c r="J1267" i="1"/>
  <c r="M1267" i="1" s="1"/>
  <c r="N1267" i="1" s="1"/>
  <c r="F1267" i="1"/>
  <c r="Y1264" i="1"/>
  <c r="M1264" i="1"/>
  <c r="N1264" i="1" s="1"/>
  <c r="F1264" i="1"/>
  <c r="N1274" i="1"/>
  <c r="F1274" i="1"/>
  <c r="M1273" i="1"/>
  <c r="N1273" i="1" s="1"/>
  <c r="F1273" i="1"/>
  <c r="N1272" i="1"/>
  <c r="F1272" i="1"/>
  <c r="J1269" i="1"/>
  <c r="M1269" i="1" s="1"/>
  <c r="N1269" i="1" s="1"/>
  <c r="F1269" i="1"/>
  <c r="Y1266" i="1"/>
  <c r="J1266" i="1"/>
  <c r="M1266" i="1" s="1"/>
  <c r="N1266" i="1" s="1"/>
  <c r="F1266" i="1"/>
  <c r="Y1262" i="1"/>
  <c r="F1262" i="1"/>
  <c r="Y1261" i="1"/>
  <c r="F1261" i="1"/>
  <c r="Y1265" i="1"/>
  <c r="M1265" i="1"/>
  <c r="N1265" i="1" s="1"/>
  <c r="F1265" i="1"/>
  <c r="J1271" i="1"/>
  <c r="M1271" i="1" s="1"/>
  <c r="N1271" i="1" s="1"/>
  <c r="F1271" i="1"/>
  <c r="Y1260" i="1"/>
  <c r="J1260" i="1"/>
  <c r="M1260" i="1" s="1"/>
  <c r="N1260" i="1" s="1"/>
  <c r="F1260" i="1"/>
  <c r="Y1259" i="1"/>
  <c r="Y1258" i="1"/>
  <c r="J1275" i="1"/>
  <c r="M1275" i="1" s="1"/>
  <c r="N1275" i="1" s="1"/>
  <c r="J1258" i="1"/>
  <c r="M1258" i="1" s="1"/>
  <c r="N1258" i="1" s="1"/>
  <c r="J1259" i="1"/>
  <c r="M1259" i="1" s="1"/>
  <c r="N1259" i="1" s="1"/>
  <c r="F1259" i="1"/>
  <c r="F1258" i="1"/>
  <c r="F1275" i="1"/>
  <c r="Y1252" i="1"/>
  <c r="Y1255" i="1"/>
  <c r="Y1254" i="1"/>
  <c r="Y1257" i="1"/>
  <c r="Y1256" i="1"/>
  <c r="Y1253" i="1"/>
  <c r="J1256" i="1"/>
  <c r="M1256" i="1" s="1"/>
  <c r="N1256" i="1" s="1"/>
  <c r="J1257" i="1"/>
  <c r="M1257" i="1" s="1"/>
  <c r="N1257" i="1" s="1"/>
  <c r="J1254" i="1"/>
  <c r="M1254" i="1" s="1"/>
  <c r="N1254" i="1" s="1"/>
  <c r="F1256" i="1"/>
  <c r="F1254" i="1"/>
  <c r="F1257" i="1"/>
  <c r="J1255" i="1"/>
  <c r="M1255" i="1" s="1"/>
  <c r="N1255" i="1" s="1"/>
  <c r="F1255" i="1"/>
  <c r="Y1249" i="1"/>
  <c r="J1238" i="1"/>
  <c r="M1238" i="1" s="1"/>
  <c r="N1238" i="1" s="1"/>
  <c r="J1240" i="1"/>
  <c r="M1240" i="1" s="1"/>
  <c r="N1240" i="1" s="1"/>
  <c r="J1241" i="1"/>
  <c r="M1241" i="1" s="1"/>
  <c r="N1241" i="1" s="1"/>
  <c r="J1247" i="1"/>
  <c r="M1247" i="1" s="1"/>
  <c r="N1247" i="1" s="1"/>
  <c r="Y1243" i="1"/>
  <c r="J1243" i="1"/>
  <c r="M1243" i="1" s="1"/>
  <c r="N1243" i="1" s="1"/>
  <c r="F1243" i="1"/>
  <c r="J1375" i="2"/>
  <c r="K1375" i="2" s="1"/>
  <c r="Y1246" i="1"/>
  <c r="J1246" i="1"/>
  <c r="M1246" i="1" s="1"/>
  <c r="N1246" i="1" s="1"/>
  <c r="F1246" i="1"/>
  <c r="J1374" i="2"/>
  <c r="K1374" i="2" s="1"/>
  <c r="J1373" i="2"/>
  <c r="K1373" i="2" s="1"/>
  <c r="J1231" i="1"/>
  <c r="M1231" i="1" s="1"/>
  <c r="N1231" i="1" s="1"/>
  <c r="J1233" i="1"/>
  <c r="M1233" i="1" s="1"/>
  <c r="N1233" i="1" s="1"/>
  <c r="J1232" i="1"/>
  <c r="M1232" i="1" s="1"/>
  <c r="N1232" i="1" s="1"/>
  <c r="Y1244" i="1"/>
  <c r="J1244" i="1"/>
  <c r="M1244" i="1" s="1"/>
  <c r="N1244" i="1" s="1"/>
  <c r="F1244" i="1"/>
  <c r="Y1236" i="1"/>
  <c r="J1236" i="1"/>
  <c r="M1236" i="1" s="1"/>
  <c r="N1236" i="1" s="1"/>
  <c r="K1236" i="1"/>
  <c r="F1236" i="1"/>
  <c r="H1236" i="1"/>
  <c r="Y1251" i="1"/>
  <c r="M1251" i="1"/>
  <c r="N1251" i="1" s="1"/>
  <c r="F1251" i="1"/>
  <c r="J1566" i="2"/>
  <c r="K1566" i="2" s="1"/>
  <c r="Y1245" i="1"/>
  <c r="J1245" i="1"/>
  <c r="M1245" i="1" s="1"/>
  <c r="N1245" i="1" s="1"/>
  <c r="F1245" i="1"/>
  <c r="Y1238" i="1"/>
  <c r="F1238" i="1"/>
  <c r="J1249" i="1"/>
  <c r="M1249" i="1" s="1"/>
  <c r="N1249" i="1" s="1"/>
  <c r="F1249" i="1"/>
  <c r="Y1240" i="1"/>
  <c r="F1240" i="1"/>
  <c r="Y1234" i="1"/>
  <c r="J1234" i="1"/>
  <c r="M1234" i="1" s="1"/>
  <c r="N1234" i="1" s="1"/>
  <c r="F1234" i="1"/>
  <c r="Y1247" i="1"/>
  <c r="F1247" i="1"/>
  <c r="J1372" i="2"/>
  <c r="K1372" i="2" s="1"/>
  <c r="M1253" i="1"/>
  <c r="N1253" i="1" s="1"/>
  <c r="F1253" i="1"/>
  <c r="J1224" i="1"/>
  <c r="M1224" i="1" s="1"/>
  <c r="N1224" i="1" s="1"/>
  <c r="J1228" i="1"/>
  <c r="M1228" i="1" s="1"/>
  <c r="N1228" i="1" s="1"/>
  <c r="J1237" i="1"/>
  <c r="M1237" i="1" s="1"/>
  <c r="N1237" i="1" s="1"/>
  <c r="J1235" i="1"/>
  <c r="M1235" i="1" s="1"/>
  <c r="N1235" i="1" s="1"/>
  <c r="J1242" i="1"/>
  <c r="M1242" i="1" s="1"/>
  <c r="N1242" i="1" s="1"/>
  <c r="J1223" i="1"/>
  <c r="M1223" i="1" s="1"/>
  <c r="N1223" i="1" s="1"/>
  <c r="J1229" i="1"/>
  <c r="M1229" i="1" s="1"/>
  <c r="N1229" i="1" s="1"/>
  <c r="J1230" i="1"/>
  <c r="M1230" i="1" s="1"/>
  <c r="N1230" i="1" s="1"/>
  <c r="J1248" i="1"/>
  <c r="M1248" i="1" s="1"/>
  <c r="N1248" i="1" s="1"/>
  <c r="J1250" i="1"/>
  <c r="M1250" i="1" s="1"/>
  <c r="N1250" i="1" s="1"/>
  <c r="Y1250" i="1"/>
  <c r="F1250" i="1"/>
  <c r="Y1248" i="1"/>
  <c r="F1248" i="1"/>
  <c r="Y1241" i="1"/>
  <c r="F1241" i="1"/>
  <c r="Y1230" i="1"/>
  <c r="F1230" i="1"/>
  <c r="Y1232" i="1"/>
  <c r="F1232" i="1"/>
  <c r="Y1226" i="1"/>
  <c r="M1226" i="1"/>
  <c r="N1226" i="1" s="1"/>
  <c r="F1226" i="1"/>
  <c r="Y1229" i="1"/>
  <c r="F1229" i="1"/>
  <c r="Y1223" i="1"/>
  <c r="F1223" i="1"/>
  <c r="Y1242" i="1"/>
  <c r="F1242" i="1"/>
  <c r="Y1225" i="1"/>
  <c r="M1225" i="1"/>
  <c r="N1225" i="1" s="1"/>
  <c r="F1225" i="1"/>
  <c r="Y1239" i="1"/>
  <c r="M1239" i="1"/>
  <c r="N1239" i="1" s="1"/>
  <c r="F1239" i="1"/>
  <c r="Y1235" i="1"/>
  <c r="F1235" i="1"/>
  <c r="M1252" i="1"/>
  <c r="N1252" i="1" s="1"/>
  <c r="F1252" i="1"/>
  <c r="Y1237" i="1"/>
  <c r="F1237" i="1"/>
  <c r="Y1228" i="1"/>
  <c r="F1228" i="1"/>
  <c r="Y1224" i="1"/>
  <c r="F1224" i="1"/>
  <c r="Y1233" i="1"/>
  <c r="F1233" i="1"/>
  <c r="Y1231" i="1"/>
  <c r="F1231" i="1"/>
  <c r="Y1221" i="1"/>
  <c r="M1221" i="1"/>
  <c r="N1221" i="1" s="1"/>
  <c r="F1221" i="1"/>
  <c r="Y1211" i="1"/>
  <c r="M1211" i="1"/>
  <c r="N1211" i="1" s="1"/>
  <c r="F1211" i="1"/>
  <c r="M1208" i="1"/>
  <c r="N1208" i="1" s="1"/>
  <c r="J1371" i="2"/>
  <c r="K1371" i="2" s="1"/>
  <c r="J1370" i="2"/>
  <c r="K1370" i="2" s="1"/>
  <c r="J1565" i="2"/>
  <c r="K1565" i="2" s="1"/>
  <c r="J1812" i="2"/>
  <c r="K1812" i="2" s="1"/>
  <c r="Y1199" i="1"/>
  <c r="Y1206" i="1"/>
  <c r="Y1208" i="1"/>
  <c r="Y1207" i="1"/>
  <c r="Y1209" i="1"/>
  <c r="Y1210" i="1"/>
  <c r="Y1215" i="1"/>
  <c r="Y1214" i="1"/>
  <c r="Y1213" i="1"/>
  <c r="Y1212" i="1"/>
  <c r="Y1218" i="1"/>
  <c r="Y1217" i="1"/>
  <c r="Y1219" i="1"/>
  <c r="Y1216" i="1"/>
  <c r="Y1222" i="1"/>
  <c r="Y1220" i="1"/>
  <c r="Y1227" i="1"/>
  <c r="Y1201" i="1"/>
  <c r="Y1205" i="1"/>
  <c r="Y1203" i="1"/>
  <c r="Y1204" i="1"/>
  <c r="Y1200" i="1"/>
  <c r="J1220" i="1"/>
  <c r="M1220" i="1" s="1"/>
  <c r="N1220" i="1" s="1"/>
  <c r="F1220" i="1"/>
  <c r="F1207" i="1"/>
  <c r="M1207" i="1"/>
  <c r="N1207" i="1" s="1"/>
  <c r="F1213" i="1"/>
  <c r="J1213" i="1"/>
  <c r="M1213" i="1" s="1"/>
  <c r="N1213" i="1" s="1"/>
  <c r="F1212" i="1"/>
  <c r="M1212" i="1"/>
  <c r="N1212" i="1" s="1"/>
  <c r="F1222" i="1"/>
  <c r="M1222" i="1"/>
  <c r="N1222" i="1" s="1"/>
  <c r="F1209" i="1"/>
  <c r="J1209" i="1"/>
  <c r="M1209" i="1" s="1"/>
  <c r="N1209" i="1" s="1"/>
  <c r="F1218" i="1"/>
  <c r="J1218" i="1"/>
  <c r="M1218" i="1" s="1"/>
  <c r="N1218" i="1" s="1"/>
  <c r="F1227" i="1"/>
  <c r="M1227" i="1"/>
  <c r="N1227" i="1" s="1"/>
  <c r="F1215" i="1"/>
  <c r="M1215" i="1"/>
  <c r="N1215" i="1" s="1"/>
  <c r="F1217" i="1"/>
  <c r="H1217" i="1"/>
  <c r="J1217" i="1"/>
  <c r="M1217" i="1" s="1"/>
  <c r="N1217" i="1" s="1"/>
  <c r="K1217" i="1"/>
  <c r="F1219" i="1"/>
  <c r="J1219" i="1"/>
  <c r="M1219" i="1" s="1"/>
  <c r="N1219" i="1" s="1"/>
  <c r="F1210" i="1"/>
  <c r="J1210" i="1"/>
  <c r="M1210" i="1" s="1"/>
  <c r="N1210" i="1" s="1"/>
  <c r="F1214" i="1"/>
  <c r="M1214" i="1"/>
  <c r="N1214" i="1" s="1"/>
  <c r="F1216" i="1"/>
  <c r="J1216" i="1"/>
  <c r="M1216" i="1" s="1"/>
  <c r="N1216" i="1" s="1"/>
  <c r="M1206" i="1"/>
  <c r="N1206" i="1" s="1"/>
  <c r="F1206" i="1"/>
  <c r="J1369" i="2"/>
  <c r="K1369" i="2" s="1"/>
  <c r="J1368" i="2"/>
  <c r="K1368" i="2" s="1"/>
  <c r="J1201" i="1"/>
  <c r="M1201" i="1" s="1"/>
  <c r="N1201" i="1" s="1"/>
  <c r="F1201" i="1"/>
  <c r="K1202" i="1"/>
  <c r="J1202" i="1"/>
  <c r="M1202" i="1" s="1"/>
  <c r="N1202" i="1" s="1"/>
  <c r="H1202" i="1"/>
  <c r="F1202" i="1"/>
  <c r="J1196" i="1"/>
  <c r="M1196" i="1" s="1"/>
  <c r="N1196" i="1" s="1"/>
  <c r="F1196" i="1"/>
  <c r="J1197" i="1"/>
  <c r="M1197" i="1" s="1"/>
  <c r="N1197" i="1" s="1"/>
  <c r="F1197" i="1"/>
  <c r="J1191" i="1"/>
  <c r="M1191" i="1" s="1"/>
  <c r="N1191" i="1" s="1"/>
  <c r="J1200" i="1"/>
  <c r="M1200" i="1" s="1"/>
  <c r="N1200" i="1" s="1"/>
  <c r="J1203" i="1"/>
  <c r="M1203" i="1" s="1"/>
  <c r="N1203" i="1" s="1"/>
  <c r="J1204" i="1"/>
  <c r="M1204" i="1" s="1"/>
  <c r="N1204" i="1" s="1"/>
  <c r="J1367" i="2"/>
  <c r="K1367" i="2" s="1"/>
  <c r="J1366" i="2"/>
  <c r="K1366" i="2" s="1"/>
  <c r="M1193" i="1"/>
  <c r="N1193" i="1" s="1"/>
  <c r="F1193" i="1"/>
  <c r="F1191" i="1"/>
  <c r="F1204" i="1"/>
  <c r="F1203" i="1"/>
  <c r="M1194" i="1"/>
  <c r="N1194" i="1" s="1"/>
  <c r="F1194" i="1"/>
  <c r="M1195" i="1"/>
  <c r="N1195" i="1" s="1"/>
  <c r="F1195" i="1"/>
  <c r="M1187" i="1"/>
  <c r="N1187" i="1" s="1"/>
  <c r="F1187" i="1"/>
  <c r="M1189" i="1"/>
  <c r="N1189" i="1" s="1"/>
  <c r="F1189" i="1"/>
  <c r="F1200" i="1"/>
  <c r="M1199" i="1"/>
  <c r="N1199" i="1" s="1"/>
  <c r="F1199" i="1"/>
  <c r="M1192" i="1"/>
  <c r="N1192" i="1" s="1"/>
  <c r="F1192" i="1"/>
  <c r="M1198" i="1"/>
  <c r="N1198" i="1" s="1"/>
  <c r="F1198" i="1"/>
  <c r="M1188" i="1"/>
  <c r="N1188" i="1" s="1"/>
  <c r="F1188" i="1"/>
  <c r="J1190" i="1"/>
  <c r="M1190" i="1" s="1"/>
  <c r="N1190" i="1" s="1"/>
  <c r="F1190" i="1"/>
  <c r="M1186" i="1"/>
  <c r="N1186" i="1" s="1"/>
  <c r="F1186" i="1"/>
  <c r="J1363" i="2"/>
  <c r="K1363" i="2" s="1"/>
  <c r="J1183" i="1"/>
  <c r="M1183" i="1" s="1"/>
  <c r="N1183" i="1" s="1"/>
  <c r="F1183" i="1"/>
  <c r="J1171" i="1"/>
  <c r="M1171" i="1" s="1"/>
  <c r="N1171" i="1" s="1"/>
  <c r="J1365" i="2"/>
  <c r="K1365" i="2" s="1"/>
  <c r="J1362" i="2"/>
  <c r="K1362" i="2" s="1"/>
  <c r="J1564" i="2"/>
  <c r="K1564" i="2" s="1"/>
  <c r="J1184" i="1"/>
  <c r="M1184" i="1" s="1"/>
  <c r="N1184" i="1" s="1"/>
  <c r="F1184" i="1"/>
  <c r="J1164" i="1"/>
  <c r="M1164" i="1" s="1"/>
  <c r="N1164" i="1" s="1"/>
  <c r="M1173" i="1"/>
  <c r="N1173" i="1" s="1"/>
  <c r="F1173" i="1"/>
  <c r="J1361" i="2"/>
  <c r="K1361" i="2" s="1"/>
  <c r="F1180" i="1"/>
  <c r="M1180" i="1"/>
  <c r="N1180" i="1" s="1"/>
  <c r="F1205" i="1"/>
  <c r="M1205" i="1"/>
  <c r="N1205" i="1" s="1"/>
  <c r="J1177" i="1"/>
  <c r="M1177" i="1" s="1"/>
  <c r="N1177" i="1" s="1"/>
  <c r="F1177" i="1"/>
  <c r="J1172" i="1"/>
  <c r="M1172" i="1" s="1"/>
  <c r="N1172" i="1" s="1"/>
  <c r="J1182" i="1"/>
  <c r="M1182" i="1" s="1"/>
  <c r="N1182" i="1" s="1"/>
  <c r="J1176" i="1"/>
  <c r="M1176" i="1" s="1"/>
  <c r="N1176" i="1" s="1"/>
  <c r="J1167" i="1"/>
  <c r="M1167" i="1" s="1"/>
  <c r="N1167" i="1" s="1"/>
  <c r="J1165" i="1"/>
  <c r="M1165" i="1" s="1"/>
  <c r="N1165" i="1" s="1"/>
  <c r="J1185" i="1"/>
  <c r="M1185" i="1" s="1"/>
  <c r="N1185" i="1" s="1"/>
  <c r="J1178" i="1"/>
  <c r="M1178" i="1" s="1"/>
  <c r="N1178" i="1" s="1"/>
  <c r="J1175" i="1"/>
  <c r="M1175" i="1" s="1"/>
  <c r="N1175" i="1" s="1"/>
  <c r="M1181" i="1"/>
  <c r="N1181" i="1" s="1"/>
  <c r="J1174" i="1"/>
  <c r="M1174" i="1" s="1"/>
  <c r="N1174" i="1" s="1"/>
  <c r="F1174" i="1"/>
  <c r="F1181" i="1"/>
  <c r="F1171" i="1"/>
  <c r="F1175" i="1"/>
  <c r="F1178" i="1"/>
  <c r="F1185" i="1"/>
  <c r="F1165" i="1"/>
  <c r="F1167" i="1"/>
  <c r="F1169" i="1"/>
  <c r="M1169" i="1"/>
  <c r="N1169" i="1" s="1"/>
  <c r="F1176" i="1"/>
  <c r="F1182" i="1"/>
  <c r="F1172" i="1"/>
  <c r="F1168" i="1"/>
  <c r="M1168" i="1"/>
  <c r="N1168" i="1" s="1"/>
  <c r="F1170" i="1"/>
  <c r="M1170" i="1"/>
  <c r="N1170" i="1" s="1"/>
  <c r="F1179" i="1"/>
  <c r="M1179" i="1"/>
  <c r="N1179" i="1" s="1"/>
  <c r="J1166" i="1"/>
  <c r="M1166" i="1" s="1"/>
  <c r="N1166" i="1" s="1"/>
  <c r="F1166" i="1"/>
  <c r="J1364" i="2"/>
  <c r="K1364" i="2" s="1"/>
  <c r="J1155" i="1"/>
  <c r="M1155" i="1" s="1"/>
  <c r="N1155" i="1" s="1"/>
  <c r="J1157" i="1"/>
  <c r="M1157" i="1" s="1"/>
  <c r="N1157" i="1" s="1"/>
  <c r="J1158" i="1"/>
  <c r="M1158" i="1" s="1"/>
  <c r="N1158" i="1" s="1"/>
  <c r="J1156" i="1"/>
  <c r="M1156" i="1" s="1"/>
  <c r="N1156" i="1" s="1"/>
  <c r="J1159" i="1"/>
  <c r="M1159" i="1" s="1"/>
  <c r="N1159" i="1" s="1"/>
  <c r="J1160" i="1"/>
  <c r="M1160" i="1" s="1"/>
  <c r="N1160" i="1" s="1"/>
  <c r="F1160" i="1"/>
  <c r="J1360" i="2"/>
  <c r="K1360" i="2" s="1"/>
  <c r="F1155" i="1"/>
  <c r="J1359" i="2"/>
  <c r="K1359" i="2" s="1"/>
  <c r="F1164" i="1"/>
  <c r="J1163" i="1"/>
  <c r="M1163" i="1" s="1"/>
  <c r="N1163" i="1" s="1"/>
  <c r="F1163" i="1"/>
  <c r="F1159" i="1"/>
  <c r="J1153" i="1"/>
  <c r="M1153" i="1" s="1"/>
  <c r="N1153" i="1" s="1"/>
  <c r="F1153" i="1"/>
  <c r="J1144" i="1"/>
  <c r="M1144" i="1" s="1"/>
  <c r="N1144" i="1" s="1"/>
  <c r="F1144" i="1"/>
  <c r="J1154" i="1"/>
  <c r="M1154" i="1" s="1"/>
  <c r="N1154" i="1" s="1"/>
  <c r="F1154" i="1"/>
  <c r="J1149" i="1"/>
  <c r="M1149" i="1" s="1"/>
  <c r="N1149" i="1" s="1"/>
  <c r="F1149" i="1"/>
  <c r="J1162" i="1"/>
  <c r="M1162" i="1" s="1"/>
  <c r="N1162" i="1" s="1"/>
  <c r="F1162" i="1"/>
  <c r="F1157" i="1"/>
  <c r="J1152" i="1"/>
  <c r="M1152" i="1" s="1"/>
  <c r="N1152" i="1" s="1"/>
  <c r="F1152" i="1"/>
  <c r="J1151" i="1"/>
  <c r="M1151" i="1" s="1"/>
  <c r="N1151" i="1" s="1"/>
  <c r="F1151" i="1"/>
  <c r="M1145" i="1"/>
  <c r="N1145" i="1" s="1"/>
  <c r="F1145" i="1"/>
  <c r="J1148" i="1"/>
  <c r="M1148" i="1" s="1"/>
  <c r="N1148" i="1" s="1"/>
  <c r="F1148" i="1"/>
  <c r="J1147" i="1"/>
  <c r="M1147" i="1" s="1"/>
  <c r="N1147" i="1" s="1"/>
  <c r="F1147" i="1"/>
  <c r="J1161" i="1"/>
  <c r="M1161" i="1" s="1"/>
  <c r="N1161" i="1" s="1"/>
  <c r="F1161" i="1"/>
  <c r="F1158" i="1"/>
  <c r="J1150" i="1"/>
  <c r="M1150" i="1" s="1"/>
  <c r="N1150" i="1" s="1"/>
  <c r="F1150" i="1"/>
  <c r="F1156" i="1"/>
  <c r="J1146" i="1"/>
  <c r="M1146" i="1" s="1"/>
  <c r="N1146" i="1" s="1"/>
  <c r="F1146" i="1"/>
  <c r="J1143" i="1"/>
  <c r="M1143" i="1" s="1"/>
  <c r="N1143" i="1" s="1"/>
  <c r="F1143" i="1"/>
  <c r="J1358" i="2"/>
  <c r="K1358" i="2" s="1"/>
  <c r="J1357" i="2"/>
  <c r="K1357" i="2" s="1"/>
  <c r="J1356" i="2"/>
  <c r="K1356" i="2" s="1"/>
  <c r="J1563" i="2"/>
  <c r="K1563" i="2" s="1"/>
  <c r="M1137" i="1"/>
  <c r="N1137" i="1" s="1"/>
  <c r="F1137" i="1"/>
  <c r="M1135" i="1"/>
  <c r="N1135" i="1" s="1"/>
  <c r="F1135" i="1"/>
  <c r="J1128" i="1"/>
  <c r="M1128" i="1" s="1"/>
  <c r="N1128" i="1" s="1"/>
  <c r="M1132" i="1"/>
  <c r="N1132" i="1" s="1"/>
  <c r="F1132" i="1"/>
  <c r="J1355" i="2"/>
  <c r="K1355" i="2" s="1"/>
  <c r="M1121" i="1"/>
  <c r="N1121" i="1" s="1"/>
  <c r="F1121" i="1"/>
  <c r="J1353" i="2"/>
  <c r="K1353" i="2" s="1"/>
  <c r="J1133" i="1"/>
  <c r="M1133" i="1" s="1"/>
  <c r="N1133" i="1" s="1"/>
  <c r="J1141" i="1"/>
  <c r="M1141" i="1" s="1"/>
  <c r="N1141" i="1" s="1"/>
  <c r="F1141" i="1"/>
  <c r="M1140" i="1"/>
  <c r="N1140" i="1" s="1"/>
  <c r="F1140" i="1"/>
  <c r="M1139" i="1"/>
  <c r="N1139" i="1" s="1"/>
  <c r="F1139" i="1"/>
  <c r="M1134" i="1"/>
  <c r="N1134" i="1" s="1"/>
  <c r="F1134" i="1"/>
  <c r="M1127" i="1"/>
  <c r="N1127" i="1" s="1"/>
  <c r="F1127" i="1"/>
  <c r="F1208" i="1"/>
  <c r="M1138" i="1"/>
  <c r="N1138" i="1" s="1"/>
  <c r="F1138" i="1"/>
  <c r="J1130" i="1"/>
  <c r="M1130" i="1" s="1"/>
  <c r="N1130" i="1" s="1"/>
  <c r="F1130" i="1"/>
  <c r="J1125" i="1"/>
  <c r="M1125" i="1" s="1"/>
  <c r="N1125" i="1" s="1"/>
  <c r="F1125" i="1"/>
  <c r="J1124" i="1"/>
  <c r="M1124" i="1" s="1"/>
  <c r="N1124" i="1" s="1"/>
  <c r="F1124" i="1"/>
  <c r="F1128" i="1"/>
  <c r="J1131" i="1"/>
  <c r="M1131" i="1" s="1"/>
  <c r="N1131" i="1" s="1"/>
  <c r="F1131" i="1"/>
  <c r="M1126" i="1"/>
  <c r="N1126" i="1" s="1"/>
  <c r="F1126" i="1"/>
  <c r="J1129" i="1"/>
  <c r="M1129" i="1" s="1"/>
  <c r="N1129" i="1" s="1"/>
  <c r="F1129" i="1"/>
  <c r="J1142" i="1"/>
  <c r="M1142" i="1" s="1"/>
  <c r="N1142" i="1" s="1"/>
  <c r="F1142" i="1"/>
  <c r="M1136" i="1"/>
  <c r="N1136" i="1" s="1"/>
  <c r="F1136" i="1"/>
  <c r="K1119" i="1"/>
  <c r="J1119" i="1"/>
  <c r="M1119" i="1" s="1"/>
  <c r="N1119" i="1" s="1"/>
  <c r="H1119" i="1"/>
  <c r="F1119" i="1"/>
  <c r="M1120" i="1"/>
  <c r="N1120" i="1" s="1"/>
  <c r="F1120" i="1"/>
  <c r="M1123" i="1"/>
  <c r="N1123" i="1" s="1"/>
  <c r="F1123" i="1"/>
  <c r="M1122" i="1"/>
  <c r="N1122" i="1" s="1"/>
  <c r="F1122" i="1"/>
  <c r="J1112" i="1"/>
  <c r="M1112" i="1" s="1"/>
  <c r="N1112" i="1" s="1"/>
  <c r="J1110" i="1"/>
  <c r="M1110" i="1" s="1"/>
  <c r="N1110" i="1" s="1"/>
  <c r="M1107" i="1"/>
  <c r="N1107" i="1" s="1"/>
  <c r="F1112" i="1"/>
  <c r="J1351" i="2"/>
  <c r="K1351" i="2" s="1"/>
  <c r="J1349" i="2"/>
  <c r="K1349" i="2" s="1"/>
  <c r="J1562" i="2"/>
  <c r="K1562" i="2" s="1"/>
  <c r="J1561" i="2"/>
  <c r="K1561" i="2" s="1"/>
  <c r="J1106" i="1"/>
  <c r="M1106" i="1" s="1"/>
  <c r="N1106" i="1" s="1"/>
  <c r="J1115" i="1"/>
  <c r="M1115" i="1" s="1"/>
  <c r="N1115" i="1" s="1"/>
  <c r="J1114" i="1"/>
  <c r="M1114" i="1" s="1"/>
  <c r="N1114" i="1" s="1"/>
  <c r="J1109" i="1"/>
  <c r="M1109" i="1" s="1"/>
  <c r="N1109" i="1" s="1"/>
  <c r="J1105" i="1"/>
  <c r="M1105" i="1" s="1"/>
  <c r="N1105" i="1" s="1"/>
  <c r="J1104" i="1"/>
  <c r="M1104" i="1" s="1"/>
  <c r="N1104" i="1" s="1"/>
  <c r="J1118" i="1"/>
  <c r="M1118" i="1" s="1"/>
  <c r="N1118" i="1" s="1"/>
  <c r="J1117" i="1"/>
  <c r="M1117" i="1" s="1"/>
  <c r="N1117" i="1" s="1"/>
  <c r="J1116" i="1"/>
  <c r="M1116" i="1" s="1"/>
  <c r="N1116" i="1" s="1"/>
  <c r="J1113" i="1"/>
  <c r="M1113" i="1" s="1"/>
  <c r="N1113" i="1" s="1"/>
  <c r="F1113" i="1"/>
  <c r="K1115" i="1"/>
  <c r="H1115" i="1"/>
  <c r="F1115" i="1"/>
  <c r="F1133" i="1"/>
  <c r="F1114" i="1"/>
  <c r="F1109" i="1"/>
  <c r="F1105" i="1"/>
  <c r="F1104" i="1"/>
  <c r="K1118" i="1"/>
  <c r="H1118" i="1"/>
  <c r="F1118" i="1"/>
  <c r="K1117" i="1"/>
  <c r="H1117" i="1"/>
  <c r="F1117" i="1"/>
  <c r="K1116" i="1"/>
  <c r="H1116" i="1"/>
  <c r="F1116" i="1"/>
  <c r="F1110" i="1"/>
  <c r="M1103" i="1"/>
  <c r="N1103" i="1" s="1"/>
  <c r="F1103" i="1"/>
  <c r="F1107" i="1"/>
  <c r="J1347" i="2"/>
  <c r="K1347" i="2" s="1"/>
  <c r="J1345" i="2"/>
  <c r="K1345" i="2" s="1"/>
  <c r="J1108" i="1"/>
  <c r="M1108" i="1" s="1"/>
  <c r="N1108" i="1" s="1"/>
  <c r="Y1101" i="1"/>
  <c r="J1101" i="1"/>
  <c r="M1101" i="1" s="1"/>
  <c r="N1101" i="1" s="1"/>
  <c r="F1101" i="1"/>
  <c r="Y1098" i="1"/>
  <c r="M1098" i="1"/>
  <c r="N1098" i="1" s="1"/>
  <c r="F1098" i="1"/>
  <c r="J1091" i="1"/>
  <c r="M1091" i="1" s="1"/>
  <c r="N1091" i="1" s="1"/>
  <c r="Y1100" i="1"/>
  <c r="J1100" i="1"/>
  <c r="M1100" i="1" s="1"/>
  <c r="N1100" i="1" s="1"/>
  <c r="F1100" i="1"/>
  <c r="J1559" i="2"/>
  <c r="K1559" i="2" s="1"/>
  <c r="J1343" i="2"/>
  <c r="K1343" i="2" s="1"/>
  <c r="M1111" i="1"/>
  <c r="N1111" i="1" s="1"/>
  <c r="F1111" i="1"/>
  <c r="M1092" i="1"/>
  <c r="N1092" i="1" s="1"/>
  <c r="F1092" i="1"/>
  <c r="J1819" i="2"/>
  <c r="K1819" i="2" s="1"/>
  <c r="J1341" i="2"/>
  <c r="K1341" i="2" s="1"/>
  <c r="Y1089" i="1"/>
  <c r="M1089" i="1"/>
  <c r="N1089" i="1" s="1"/>
  <c r="F1089" i="1"/>
  <c r="Y1081" i="1"/>
  <c r="J1081" i="1"/>
  <c r="M1081" i="1" s="1"/>
  <c r="N1081" i="1" s="1"/>
  <c r="F1081" i="1"/>
  <c r="Y1090" i="1"/>
  <c r="J1090" i="1"/>
  <c r="M1090" i="1" s="1"/>
  <c r="N1090" i="1" s="1"/>
  <c r="F1090" i="1"/>
  <c r="Y1088" i="1"/>
  <c r="M1088" i="1"/>
  <c r="N1088" i="1" s="1"/>
  <c r="F1088" i="1"/>
  <c r="Y1082" i="1"/>
  <c r="M1082" i="1"/>
  <c r="N1082" i="1" s="1"/>
  <c r="F1082" i="1"/>
  <c r="Y1084" i="1"/>
  <c r="J1084" i="1"/>
  <c r="M1084" i="1" s="1"/>
  <c r="N1084" i="1" s="1"/>
  <c r="F1084" i="1"/>
  <c r="Y1079" i="1"/>
  <c r="M1079" i="1"/>
  <c r="N1079" i="1" s="1"/>
  <c r="F1079" i="1"/>
  <c r="Y1108" i="1"/>
  <c r="F1108" i="1"/>
  <c r="Y1097" i="1"/>
  <c r="M1097" i="1"/>
  <c r="N1097" i="1" s="1"/>
  <c r="F1097" i="1"/>
  <c r="Y1095" i="1"/>
  <c r="M1095" i="1"/>
  <c r="N1095" i="1" s="1"/>
  <c r="F1095" i="1"/>
  <c r="Y1096" i="1"/>
  <c r="K1096" i="1"/>
  <c r="M1096" i="1"/>
  <c r="N1096" i="1" s="1"/>
  <c r="H1096" i="1"/>
  <c r="F1096" i="1"/>
  <c r="Y1087" i="1"/>
  <c r="J1087" i="1"/>
  <c r="M1087" i="1" s="1"/>
  <c r="N1087" i="1" s="1"/>
  <c r="F1087" i="1"/>
  <c r="Y1099" i="1"/>
  <c r="J1099" i="1"/>
  <c r="M1099" i="1" s="1"/>
  <c r="N1099" i="1" s="1"/>
  <c r="F1099" i="1"/>
  <c r="Y1094" i="1"/>
  <c r="M1094" i="1"/>
  <c r="N1094" i="1" s="1"/>
  <c r="F1094" i="1"/>
  <c r="Y1093" i="1"/>
  <c r="M1093" i="1"/>
  <c r="N1093" i="1" s="1"/>
  <c r="F1093" i="1"/>
  <c r="Y1091" i="1"/>
  <c r="F1091" i="1"/>
  <c r="F1106" i="1"/>
  <c r="K1102" i="1"/>
  <c r="J1102" i="1"/>
  <c r="M1102" i="1" s="1"/>
  <c r="N1102" i="1" s="1"/>
  <c r="H1102" i="1"/>
  <c r="F1102" i="1"/>
  <c r="M1086" i="1"/>
  <c r="N1086" i="1" s="1"/>
  <c r="F1086" i="1"/>
  <c r="K1004" i="1"/>
  <c r="J1004" i="1"/>
  <c r="M1004" i="1" s="1"/>
  <c r="N1004" i="1" s="1"/>
  <c r="H1004" i="1"/>
  <c r="F1004" i="1"/>
  <c r="J1083" i="1"/>
  <c r="M1083" i="1" s="1"/>
  <c r="N1083" i="1" s="1"/>
  <c r="F1083" i="1"/>
  <c r="J1817" i="2"/>
  <c r="K1817" i="2" s="1"/>
  <c r="J1818" i="2"/>
  <c r="K1818" i="2" s="1"/>
  <c r="J1816" i="2"/>
  <c r="K1816" i="2" s="1"/>
  <c r="Y1072" i="1"/>
  <c r="M1072" i="1"/>
  <c r="N1072" i="1" s="1"/>
  <c r="F1072" i="1"/>
  <c r="J1815" i="2"/>
  <c r="K1815" i="2" s="1"/>
  <c r="Y1078" i="1"/>
  <c r="M1078" i="1"/>
  <c r="N1078" i="1" s="1"/>
  <c r="F1078" i="1"/>
  <c r="J1339" i="2"/>
  <c r="K1339" i="2" s="1"/>
  <c r="M1080" i="1"/>
  <c r="N1080" i="1" s="1"/>
  <c r="F1080" i="1"/>
  <c r="J1533" i="2"/>
  <c r="J1535" i="2"/>
  <c r="K1535" i="2" s="1"/>
  <c r="J1557" i="2"/>
  <c r="K1557" i="2" s="1"/>
  <c r="J1637" i="2"/>
  <c r="K1637" i="2" s="1"/>
  <c r="J1741" i="2"/>
  <c r="K1741" i="2" s="1"/>
  <c r="J1743" i="2"/>
  <c r="K1743" i="2" s="1"/>
  <c r="Y1060" i="1"/>
  <c r="J1060" i="1"/>
  <c r="M1060" i="1" s="1"/>
  <c r="N1060" i="1" s="1"/>
  <c r="F1060" i="1"/>
  <c r="Y1075" i="1"/>
  <c r="M1075" i="1"/>
  <c r="N1075" i="1" s="1"/>
  <c r="F1075" i="1"/>
  <c r="Y1077" i="1"/>
  <c r="J1077" i="1"/>
  <c r="M1077" i="1" s="1"/>
  <c r="N1077" i="1" s="1"/>
  <c r="F1077" i="1"/>
  <c r="Y1085" i="1"/>
  <c r="M1085" i="1"/>
  <c r="N1085" i="1" s="1"/>
  <c r="F1085" i="1"/>
  <c r="Y1074" i="1"/>
  <c r="M1074" i="1"/>
  <c r="N1074" i="1" s="1"/>
  <c r="F1074" i="1"/>
  <c r="Y1076" i="1"/>
  <c r="J1076" i="1"/>
  <c r="M1076" i="1" s="1"/>
  <c r="N1076" i="1" s="1"/>
  <c r="F1076" i="1"/>
  <c r="Y1069" i="1"/>
  <c r="M1069" i="1"/>
  <c r="N1069" i="1" s="1"/>
  <c r="F1069" i="1"/>
  <c r="Y1064" i="1"/>
  <c r="J1064" i="1"/>
  <c r="M1064" i="1" s="1"/>
  <c r="N1064" i="1" s="1"/>
  <c r="F1064" i="1"/>
  <c r="Y1073" i="1"/>
  <c r="M1073" i="1"/>
  <c r="N1073" i="1" s="1"/>
  <c r="F1073" i="1"/>
  <c r="Y1071" i="1"/>
  <c r="K1071" i="1"/>
  <c r="J1071" i="1"/>
  <c r="M1071" i="1" s="1"/>
  <c r="N1071" i="1" s="1"/>
  <c r="H1071" i="1"/>
  <c r="F1071" i="1"/>
  <c r="Y1068" i="1"/>
  <c r="J1068" i="1"/>
  <c r="M1068" i="1" s="1"/>
  <c r="N1068" i="1" s="1"/>
  <c r="F1068" i="1"/>
  <c r="Y1067" i="1"/>
  <c r="J1067" i="1"/>
  <c r="M1067" i="1" s="1"/>
  <c r="N1067" i="1" s="1"/>
  <c r="F1067" i="1"/>
  <c r="Y1066" i="1"/>
  <c r="J1066" i="1"/>
  <c r="M1066" i="1" s="1"/>
  <c r="N1066" i="1" s="1"/>
  <c r="F1066" i="1"/>
  <c r="J1814" i="2"/>
  <c r="K1814" i="2" s="1"/>
  <c r="M1070" i="1"/>
  <c r="N1070" i="1" s="1"/>
  <c r="F1070" i="1"/>
  <c r="M1065" i="1"/>
  <c r="N1065" i="1" s="1"/>
  <c r="F1065" i="1"/>
  <c r="M1063" i="1"/>
  <c r="N1063" i="1" s="1"/>
  <c r="F1063" i="1"/>
  <c r="J1058" i="1"/>
  <c r="M1058" i="1" s="1"/>
  <c r="N1058" i="1" s="1"/>
  <c r="J1057" i="1"/>
  <c r="M1057" i="1" s="1"/>
  <c r="N1057" i="1" s="1"/>
  <c r="J1059" i="1"/>
  <c r="M1059" i="1" s="1"/>
  <c r="N1059" i="1" s="1"/>
  <c r="J1055" i="1"/>
  <c r="M1055" i="1" s="1"/>
  <c r="N1055" i="1" s="1"/>
  <c r="J1056" i="1"/>
  <c r="M1056" i="1" s="1"/>
  <c r="N1056" i="1" s="1"/>
  <c r="J1054" i="1"/>
  <c r="M1054" i="1" s="1"/>
  <c r="N1054" i="1" s="1"/>
  <c r="J1053" i="1"/>
  <c r="M1053" i="1" s="1"/>
  <c r="N1053" i="1" s="1"/>
  <c r="J1337" i="2"/>
  <c r="K1337" i="2" s="1"/>
  <c r="F1061" i="1"/>
  <c r="J1061" i="1"/>
  <c r="N1061" i="1"/>
  <c r="Y1061" i="1"/>
  <c r="F1057" i="1"/>
  <c r="Y1057" i="1"/>
  <c r="Y1052" i="1"/>
  <c r="J1052" i="1"/>
  <c r="M1052" i="1" s="1"/>
  <c r="N1052" i="1" s="1"/>
  <c r="F1052" i="1"/>
  <c r="J1335" i="2"/>
  <c r="K1335" i="2" s="1"/>
  <c r="J1813" i="2"/>
  <c r="K1813" i="2" s="1"/>
  <c r="J1045" i="1"/>
  <c r="M1045" i="1" s="1"/>
  <c r="N1045" i="1" s="1"/>
  <c r="F1045" i="1"/>
  <c r="M1041" i="1"/>
  <c r="N1041" i="1" s="1"/>
  <c r="J1333" i="2"/>
  <c r="K1333" i="2" s="1"/>
  <c r="J1323" i="2"/>
  <c r="K1323" i="2" s="1"/>
  <c r="F1043" i="1"/>
  <c r="M1043" i="1"/>
  <c r="N1043" i="1" s="1"/>
  <c r="F1048" i="1"/>
  <c r="J1048" i="1"/>
  <c r="N1048" i="1"/>
  <c r="M1062" i="1"/>
  <c r="N1062" i="1" s="1"/>
  <c r="F1062" i="1"/>
  <c r="M1044" i="1"/>
  <c r="N1044" i="1" s="1"/>
  <c r="F1044" i="1"/>
  <c r="Y1059" i="1"/>
  <c r="F1059" i="1"/>
  <c r="Y1050" i="1"/>
  <c r="J1050" i="1"/>
  <c r="M1050" i="1" s="1"/>
  <c r="N1050" i="1" s="1"/>
  <c r="F1050" i="1"/>
  <c r="Y1058" i="1"/>
  <c r="F1058" i="1"/>
  <c r="Y1055" i="1"/>
  <c r="F1055" i="1"/>
  <c r="Y1053" i="1"/>
  <c r="F1053" i="1"/>
  <c r="Y1056" i="1"/>
  <c r="F1056" i="1"/>
  <c r="Y1049" i="1"/>
  <c r="J1049" i="1"/>
  <c r="M1049" i="1" s="1"/>
  <c r="N1049" i="1" s="1"/>
  <c r="F1049" i="1"/>
  <c r="Y1054" i="1"/>
  <c r="F1054" i="1"/>
  <c r="Y1047" i="1"/>
  <c r="M1047" i="1"/>
  <c r="N1047" i="1" s="1"/>
  <c r="F1047" i="1"/>
  <c r="Y1042" i="1"/>
  <c r="J1042" i="1"/>
  <c r="M1042" i="1" s="1"/>
  <c r="N1042" i="1" s="1"/>
  <c r="F1042" i="1"/>
  <c r="Y1046" i="1"/>
  <c r="M1046" i="1"/>
  <c r="N1046" i="1" s="1"/>
  <c r="F1046" i="1"/>
  <c r="Y1041" i="1"/>
  <c r="F1041" i="1"/>
  <c r="Y1051" i="1"/>
  <c r="J1051" i="1"/>
  <c r="M1051" i="1" s="1"/>
  <c r="N1051" i="1" s="1"/>
  <c r="F1051" i="1"/>
  <c r="J1028" i="1"/>
  <c r="M1028" i="1" s="1"/>
  <c r="N1028" i="1" s="1"/>
  <c r="F1028" i="1"/>
  <c r="Y1037" i="1"/>
  <c r="J1037" i="1"/>
  <c r="N1037" i="1" s="1"/>
  <c r="F1037" i="1"/>
  <c r="J1030" i="1"/>
  <c r="M1030" i="1" s="1"/>
  <c r="N1030" i="1" s="1"/>
  <c r="J1024" i="1"/>
  <c r="M1024" i="1" s="1"/>
  <c r="N1024" i="1" s="1"/>
  <c r="J1029" i="1"/>
  <c r="M1029" i="1" s="1"/>
  <c r="N1029" i="1" s="1"/>
  <c r="J1032" i="1"/>
  <c r="M1032" i="1" s="1"/>
  <c r="N1032" i="1" s="1"/>
  <c r="J1331" i="2"/>
  <c r="K1331" i="2" s="1"/>
  <c r="J1811" i="2"/>
  <c r="K1811" i="2" s="1"/>
  <c r="J1329" i="2"/>
  <c r="K1329" i="2" s="1"/>
  <c r="J1327" i="2"/>
  <c r="K1327" i="2" s="1"/>
  <c r="J1770" i="2"/>
  <c r="K1770" i="2" s="1"/>
  <c r="F1039" i="1"/>
  <c r="F1040" i="1"/>
  <c r="J1038" i="1"/>
  <c r="M1038" i="1" s="1"/>
  <c r="N1038" i="1" s="1"/>
  <c r="J1036" i="1"/>
  <c r="M1036" i="1" s="1"/>
  <c r="N1036" i="1" s="1"/>
  <c r="J1035" i="1"/>
  <c r="M1035" i="1" s="1"/>
  <c r="N1035" i="1" s="1"/>
  <c r="J1034" i="1"/>
  <c r="M1034" i="1" s="1"/>
  <c r="N1034" i="1" s="1"/>
  <c r="J1033" i="1"/>
  <c r="M1033" i="1" s="1"/>
  <c r="N1033" i="1" s="1"/>
  <c r="J1031" i="1"/>
  <c r="M1031" i="1" s="1"/>
  <c r="N1031" i="1" s="1"/>
  <c r="J1027" i="1"/>
  <c r="M1027" i="1" s="1"/>
  <c r="N1027" i="1" s="1"/>
  <c r="J1025" i="1"/>
  <c r="M1025" i="1" s="1"/>
  <c r="N1025" i="1" s="1"/>
  <c r="Y1032" i="1"/>
  <c r="F1032" i="1"/>
  <c r="Y1038" i="1"/>
  <c r="F1038" i="1"/>
  <c r="Y1036" i="1"/>
  <c r="F1036" i="1"/>
  <c r="Y1035" i="1"/>
  <c r="F1035" i="1"/>
  <c r="Y1034" i="1"/>
  <c r="F1034" i="1"/>
  <c r="Y1033" i="1"/>
  <c r="F1033" i="1"/>
  <c r="Y1029" i="1"/>
  <c r="F1029" i="1"/>
  <c r="Y1031" i="1"/>
  <c r="F1031" i="1"/>
  <c r="Y1027" i="1"/>
  <c r="F1027" i="1"/>
  <c r="Y1025" i="1"/>
  <c r="F1025" i="1"/>
  <c r="Y1022" i="1"/>
  <c r="J1022" i="1"/>
  <c r="M1022" i="1" s="1"/>
  <c r="N1022" i="1" s="1"/>
  <c r="F1022" i="1"/>
  <c r="Y1021" i="1"/>
  <c r="J1021" i="1"/>
  <c r="M1021" i="1" s="1"/>
  <c r="N1021" i="1" s="1"/>
  <c r="F1021" i="1"/>
  <c r="J1767" i="2"/>
  <c r="K1767" i="2" s="1"/>
  <c r="K1415" i="2"/>
  <c r="K1416" i="2"/>
  <c r="K1417" i="2"/>
  <c r="J1311" i="2"/>
  <c r="K1311" i="2" s="1"/>
  <c r="J1764" i="2"/>
  <c r="K1764" i="2" s="1"/>
  <c r="J1325" i="2"/>
  <c r="K1325" i="2" s="1"/>
  <c r="J1766" i="2"/>
  <c r="K1766" i="2" s="1"/>
  <c r="Y1014" i="1"/>
  <c r="J1014" i="1"/>
  <c r="M1014" i="1" s="1"/>
  <c r="N1014" i="1" s="1"/>
  <c r="F1014" i="1"/>
  <c r="J1762" i="2"/>
  <c r="K1762" i="2" s="1"/>
  <c r="Y1030" i="1"/>
  <c r="F1030" i="1"/>
  <c r="Y1024" i="1"/>
  <c r="F1024" i="1"/>
  <c r="Y1010" i="1"/>
  <c r="J1010" i="1"/>
  <c r="M1010" i="1" s="1"/>
  <c r="N1010" i="1" s="1"/>
  <c r="F1010" i="1"/>
  <c r="J1011" i="1"/>
  <c r="M1011" i="1" s="1"/>
  <c r="N1011" i="1" s="1"/>
  <c r="J1020" i="1"/>
  <c r="M1020" i="1" s="1"/>
  <c r="N1020" i="1" s="1"/>
  <c r="J1019" i="1"/>
  <c r="M1019" i="1" s="1"/>
  <c r="N1019" i="1" s="1"/>
  <c r="J1015" i="1"/>
  <c r="M1015" i="1" s="1"/>
  <c r="N1015" i="1" s="1"/>
  <c r="J1018" i="1"/>
  <c r="M1018" i="1" s="1"/>
  <c r="N1018" i="1" s="1"/>
  <c r="J1009" i="1"/>
  <c r="M1009" i="1" s="1"/>
  <c r="N1009" i="1" s="1"/>
  <c r="Y1023" i="1"/>
  <c r="J1023" i="1"/>
  <c r="M1023" i="1" s="1"/>
  <c r="N1023" i="1" s="1"/>
  <c r="F1023" i="1"/>
  <c r="Y1008" i="1"/>
  <c r="J1008" i="1"/>
  <c r="M1008" i="1" s="1"/>
  <c r="N1008" i="1" s="1"/>
  <c r="F1008" i="1"/>
  <c r="Y1017" i="1"/>
  <c r="J1017" i="1"/>
  <c r="M1017" i="1" s="1"/>
  <c r="N1017" i="1" s="1"/>
  <c r="F1017" i="1"/>
  <c r="Y1013" i="1"/>
  <c r="J1013" i="1"/>
  <c r="M1013" i="1" s="1"/>
  <c r="N1013" i="1" s="1"/>
  <c r="F1013" i="1"/>
  <c r="Y1007" i="1"/>
  <c r="J1007" i="1"/>
  <c r="M1007" i="1" s="1"/>
  <c r="N1007" i="1" s="1"/>
  <c r="F1007" i="1"/>
  <c r="Y1016" i="1"/>
  <c r="J1016" i="1"/>
  <c r="M1016" i="1" s="1"/>
  <c r="N1016" i="1" s="1"/>
  <c r="F1016" i="1"/>
  <c r="Y1012" i="1"/>
  <c r="J1012" i="1"/>
  <c r="M1012" i="1" s="1"/>
  <c r="N1012" i="1" s="1"/>
  <c r="F1012" i="1"/>
  <c r="J1006" i="1"/>
  <c r="M1006" i="1" s="1"/>
  <c r="N1006" i="1" s="1"/>
  <c r="J1005" i="1"/>
  <c r="M1005" i="1" s="1"/>
  <c r="N1005" i="1" s="1"/>
  <c r="Y1011" i="1"/>
  <c r="F1011" i="1"/>
  <c r="Y1020" i="1"/>
  <c r="F1020" i="1"/>
  <c r="Y1019" i="1"/>
  <c r="F1019" i="1"/>
  <c r="Y1015" i="1"/>
  <c r="F1015" i="1"/>
  <c r="Y1018" i="1"/>
  <c r="F1018" i="1"/>
  <c r="Y1009" i="1"/>
  <c r="F1009" i="1"/>
  <c r="Y1006" i="1"/>
  <c r="F1006" i="1"/>
  <c r="Y1005" i="1"/>
  <c r="F1005" i="1"/>
  <c r="Y1001" i="1"/>
  <c r="M1001" i="1"/>
  <c r="N1001" i="1" s="1"/>
  <c r="F1001" i="1"/>
  <c r="Y1003" i="1"/>
  <c r="J1003" i="1"/>
  <c r="M1003" i="1" s="1"/>
  <c r="N1003" i="1" s="1"/>
  <c r="F1003" i="1"/>
  <c r="Y1002" i="1"/>
  <c r="J1002" i="1"/>
  <c r="M1002" i="1" s="1"/>
  <c r="N1002" i="1" s="1"/>
  <c r="F1002" i="1"/>
  <c r="Y998" i="1"/>
  <c r="J998" i="1"/>
  <c r="M998" i="1" s="1"/>
  <c r="N998" i="1" s="1"/>
  <c r="F998" i="1"/>
  <c r="Y1000" i="1"/>
  <c r="J1000" i="1"/>
  <c r="M1000" i="1" s="1"/>
  <c r="N1000" i="1" s="1"/>
  <c r="F1000" i="1"/>
  <c r="Y999" i="1"/>
  <c r="M999" i="1"/>
  <c r="N999" i="1" s="1"/>
  <c r="F999" i="1"/>
  <c r="J1760" i="2"/>
  <c r="K1760" i="2" s="1"/>
  <c r="J1757" i="2"/>
  <c r="K1757" i="2" s="1"/>
  <c r="J1755" i="2"/>
  <c r="K1755" i="2" s="1"/>
  <c r="M984" i="1"/>
  <c r="N984" i="1" s="1"/>
  <c r="Y992" i="1"/>
  <c r="M992" i="1"/>
  <c r="N992" i="1" s="1"/>
  <c r="F992" i="1"/>
  <c r="Y993" i="1"/>
  <c r="J993" i="1"/>
  <c r="M993" i="1" s="1"/>
  <c r="N993" i="1" s="1"/>
  <c r="F993" i="1"/>
  <c r="Y995" i="1"/>
  <c r="M995" i="1"/>
  <c r="N995" i="1" s="1"/>
  <c r="F995" i="1"/>
  <c r="Y1026" i="1"/>
  <c r="M1026" i="1"/>
  <c r="N1026" i="1" s="1"/>
  <c r="F1026" i="1"/>
  <c r="Y994" i="1"/>
  <c r="J994" i="1"/>
  <c r="M994" i="1" s="1"/>
  <c r="N994" i="1" s="1"/>
  <c r="F994" i="1"/>
  <c r="Y991" i="1"/>
  <c r="J991" i="1"/>
  <c r="M991" i="1" s="1"/>
  <c r="N991" i="1" s="1"/>
  <c r="F991" i="1"/>
  <c r="Y996" i="1"/>
  <c r="M996" i="1"/>
  <c r="N996" i="1" s="1"/>
  <c r="F996" i="1"/>
  <c r="Y990" i="1"/>
  <c r="J990" i="1"/>
  <c r="M990" i="1" s="1"/>
  <c r="N990" i="1" s="1"/>
  <c r="F990" i="1"/>
  <c r="Y989" i="1"/>
  <c r="J989" i="1"/>
  <c r="M989" i="1" s="1"/>
  <c r="N989" i="1" s="1"/>
  <c r="F989" i="1"/>
  <c r="Y988" i="1"/>
  <c r="J988" i="1"/>
  <c r="M988" i="1" s="1"/>
  <c r="N988" i="1" s="1"/>
  <c r="F988" i="1"/>
  <c r="Y987" i="1"/>
  <c r="J987" i="1"/>
  <c r="M987" i="1" s="1"/>
  <c r="N987" i="1" s="1"/>
  <c r="F987" i="1"/>
  <c r="Y986" i="1"/>
  <c r="M986" i="1"/>
  <c r="N986" i="1" s="1"/>
  <c r="F986" i="1"/>
  <c r="Y985" i="1"/>
  <c r="M985" i="1"/>
  <c r="N985" i="1" s="1"/>
  <c r="F985" i="1"/>
  <c r="J1753" i="2"/>
  <c r="K1753" i="2" s="1"/>
  <c r="J1308" i="2"/>
  <c r="K1308" i="2" s="1"/>
  <c r="J1231" i="2"/>
  <c r="K1231" i="2" s="1"/>
  <c r="J1526" i="2"/>
  <c r="K1526" i="2" s="1"/>
  <c r="J1749" i="2"/>
  <c r="K1749" i="2" s="1"/>
  <c r="J1747" i="2"/>
  <c r="K1747" i="2" s="1"/>
  <c r="M968" i="1"/>
  <c r="N968" i="1" s="1"/>
  <c r="M969" i="1"/>
  <c r="N969" i="1" s="1"/>
  <c r="J1745" i="2"/>
  <c r="K1745" i="2" s="1"/>
  <c r="M965" i="1"/>
  <c r="N965" i="1" s="1"/>
  <c r="J973" i="1"/>
  <c r="M973" i="1" s="1"/>
  <c r="N973" i="1" s="1"/>
  <c r="J972" i="1"/>
  <c r="M972" i="1" s="1"/>
  <c r="N972" i="1" s="1"/>
  <c r="J983" i="1"/>
  <c r="M983" i="1" s="1"/>
  <c r="N983" i="1" s="1"/>
  <c r="J977" i="1"/>
  <c r="M977" i="1" s="1"/>
  <c r="N977" i="1" s="1"/>
  <c r="J982" i="1"/>
  <c r="M982" i="1" s="1"/>
  <c r="N982" i="1" s="1"/>
  <c r="J971" i="1"/>
  <c r="M971" i="1" s="1"/>
  <c r="N971" i="1" s="1"/>
  <c r="J976" i="1"/>
  <c r="M976" i="1" s="1"/>
  <c r="N976" i="1" s="1"/>
  <c r="J967" i="1"/>
  <c r="M967" i="1" s="1"/>
  <c r="N967" i="1" s="1"/>
  <c r="J970" i="1"/>
  <c r="M970" i="1" s="1"/>
  <c r="N970" i="1" s="1"/>
  <c r="J966" i="1"/>
  <c r="M966" i="1" s="1"/>
  <c r="N966" i="1" s="1"/>
  <c r="Y973" i="1"/>
  <c r="F973" i="1"/>
  <c r="Y972" i="1"/>
  <c r="F972" i="1"/>
  <c r="Y997" i="1"/>
  <c r="M997" i="1"/>
  <c r="N997" i="1" s="1"/>
  <c r="F997" i="1"/>
  <c r="Y983" i="1"/>
  <c r="F983" i="1"/>
  <c r="Y974" i="1"/>
  <c r="M974" i="1"/>
  <c r="N974" i="1" s="1"/>
  <c r="F974" i="1"/>
  <c r="Y964" i="1"/>
  <c r="M964" i="1"/>
  <c r="N964" i="1" s="1"/>
  <c r="K964" i="1"/>
  <c r="H964" i="1"/>
  <c r="F964" i="1"/>
  <c r="Y980" i="1"/>
  <c r="M980" i="1"/>
  <c r="N980" i="1" s="1"/>
  <c r="F980" i="1"/>
  <c r="Y977" i="1"/>
  <c r="F977" i="1"/>
  <c r="Y984" i="1"/>
  <c r="F984" i="1"/>
  <c r="Y982" i="1"/>
  <c r="F982" i="1"/>
  <c r="Y979" i="1"/>
  <c r="M979" i="1"/>
  <c r="N979" i="1" s="1"/>
  <c r="F979" i="1"/>
  <c r="Y971" i="1"/>
  <c r="F971" i="1"/>
  <c r="Y978" i="1"/>
  <c r="M978" i="1"/>
  <c r="N978" i="1" s="1"/>
  <c r="F978" i="1"/>
  <c r="Y976" i="1"/>
  <c r="F976" i="1"/>
  <c r="Y967" i="1"/>
  <c r="F967" i="1"/>
  <c r="Y970" i="1"/>
  <c r="F970" i="1"/>
  <c r="Y966" i="1"/>
  <c r="F966" i="1"/>
  <c r="Y963" i="1"/>
  <c r="M963" i="1"/>
  <c r="N963" i="1" s="1"/>
  <c r="F963" i="1"/>
  <c r="J1310" i="2"/>
  <c r="K1310" i="2" s="1"/>
  <c r="J1413" i="2"/>
  <c r="K1413" i="2" s="1"/>
  <c r="J1829" i="2"/>
  <c r="K1829" i="2" s="1"/>
  <c r="J1427" i="2"/>
  <c r="K1427" i="2" s="1"/>
  <c r="J1409" i="2"/>
  <c r="K1409" i="2" s="1"/>
  <c r="J1307" i="2"/>
  <c r="K1307" i="2" s="1"/>
  <c r="Y968" i="1"/>
  <c r="F968" i="1"/>
  <c r="Y965" i="1"/>
  <c r="F965" i="1"/>
  <c r="Y975" i="1"/>
  <c r="K975" i="1"/>
  <c r="J975" i="1"/>
  <c r="M975" i="1" s="1"/>
  <c r="N975" i="1" s="1"/>
  <c r="H975" i="1"/>
  <c r="F975" i="1"/>
  <c r="Y981" i="1"/>
  <c r="K981" i="1"/>
  <c r="J981" i="1"/>
  <c r="M981" i="1" s="1"/>
  <c r="N981" i="1" s="1"/>
  <c r="H981" i="1"/>
  <c r="F981" i="1"/>
  <c r="Y969" i="1"/>
  <c r="F969" i="1"/>
  <c r="Y960" i="1"/>
  <c r="M960" i="1"/>
  <c r="N960" i="1" s="1"/>
  <c r="F960" i="1"/>
  <c r="Y959" i="1"/>
  <c r="M959" i="1"/>
  <c r="N959" i="1" s="1"/>
  <c r="F959" i="1"/>
  <c r="Y962" i="1"/>
  <c r="M962" i="1"/>
  <c r="N962" i="1" s="1"/>
  <c r="F962" i="1"/>
  <c r="Y961" i="1"/>
  <c r="M961" i="1"/>
  <c r="N961" i="1" s="1"/>
  <c r="F961" i="1"/>
  <c r="Y958" i="1"/>
  <c r="J958" i="1"/>
  <c r="M958" i="1" s="1"/>
  <c r="N958" i="1" s="1"/>
  <c r="F958" i="1"/>
  <c r="Y955" i="1"/>
  <c r="M955" i="1"/>
  <c r="N955" i="1" s="1"/>
  <c r="F955" i="1"/>
  <c r="Y952" i="1"/>
  <c r="M952" i="1"/>
  <c r="N952" i="1" s="1"/>
  <c r="F952" i="1"/>
  <c r="J1408" i="2"/>
  <c r="K1408" i="2" s="1"/>
  <c r="J1407" i="2"/>
  <c r="K1407" i="2" s="1"/>
  <c r="Y949" i="1"/>
  <c r="M949" i="1"/>
  <c r="N949" i="1" s="1"/>
  <c r="F949" i="1"/>
  <c r="J1405" i="2"/>
  <c r="K1405" i="2" s="1"/>
  <c r="J1406" i="2"/>
  <c r="K1406" i="2" s="1"/>
  <c r="Y951" i="1"/>
  <c r="M951" i="1"/>
  <c r="N951" i="1" s="1"/>
  <c r="F951" i="1"/>
  <c r="Y957" i="1"/>
  <c r="K957" i="1"/>
  <c r="J957" i="1"/>
  <c r="M957" i="1" s="1"/>
  <c r="N957" i="1" s="1"/>
  <c r="H957" i="1"/>
  <c r="F957" i="1"/>
  <c r="Y956" i="1"/>
  <c r="K956" i="1"/>
  <c r="J956" i="1"/>
  <c r="M956" i="1" s="1"/>
  <c r="N956" i="1" s="1"/>
  <c r="H956" i="1"/>
  <c r="F956" i="1"/>
  <c r="Y950" i="1"/>
  <c r="M950" i="1"/>
  <c r="N950" i="1" s="1"/>
  <c r="F950" i="1"/>
  <c r="Y947" i="1"/>
  <c r="N947" i="1"/>
  <c r="F947" i="1"/>
  <c r="Y948" i="1"/>
  <c r="M948" i="1"/>
  <c r="N948" i="1" s="1"/>
  <c r="F948" i="1"/>
  <c r="Y954" i="1"/>
  <c r="J954" i="1"/>
  <c r="M954" i="1" s="1"/>
  <c r="N954" i="1" s="1"/>
  <c r="F954" i="1"/>
  <c r="Y946" i="1"/>
  <c r="M946" i="1"/>
  <c r="N946" i="1" s="1"/>
  <c r="F946" i="1"/>
  <c r="Y945" i="1"/>
  <c r="M945" i="1"/>
  <c r="N945" i="1" s="1"/>
  <c r="F945" i="1"/>
  <c r="Y953" i="1"/>
  <c r="J953" i="1"/>
  <c r="M953" i="1" s="1"/>
  <c r="N953" i="1" s="1"/>
  <c r="F953" i="1"/>
  <c r="Y941" i="1"/>
  <c r="M941" i="1"/>
  <c r="N941" i="1" s="1"/>
  <c r="F941" i="1"/>
  <c r="Y944" i="1"/>
  <c r="J944" i="1"/>
  <c r="M944" i="1" s="1"/>
  <c r="N944" i="1" s="1"/>
  <c r="F944" i="1"/>
  <c r="J1403" i="2"/>
  <c r="K1403" i="2" s="1"/>
  <c r="M929" i="1"/>
  <c r="N929" i="1" s="1"/>
  <c r="J1404" i="2"/>
  <c r="K1404" i="2" s="1"/>
  <c r="J1402" i="2"/>
  <c r="K1402" i="2" s="1"/>
  <c r="Y939" i="1"/>
  <c r="N939" i="1"/>
  <c r="F939" i="1"/>
  <c r="J1306" i="2"/>
  <c r="K1306" i="2" s="1"/>
  <c r="J1305" i="2"/>
  <c r="K1305" i="2" s="1"/>
  <c r="Y930" i="1"/>
  <c r="M930" i="1"/>
  <c r="N930" i="1" s="1"/>
  <c r="F930" i="1"/>
  <c r="Y943" i="1"/>
  <c r="J943" i="1"/>
  <c r="M943" i="1" s="1"/>
  <c r="N943" i="1" s="1"/>
  <c r="F943" i="1"/>
  <c r="J1401" i="2"/>
  <c r="K1401" i="2" s="1"/>
  <c r="J1400" i="2"/>
  <c r="K1400" i="2" s="1"/>
  <c r="J1399" i="2"/>
  <c r="K1399" i="2" s="1"/>
  <c r="J1398" i="2"/>
  <c r="K1398" i="2" s="1"/>
  <c r="J1397" i="2"/>
  <c r="K1397" i="2" s="1"/>
  <c r="J1230" i="2"/>
  <c r="K1230" i="2" s="1"/>
  <c r="Y937" i="1"/>
  <c r="J937" i="1"/>
  <c r="M937" i="1" s="1"/>
  <c r="N937" i="1" s="1"/>
  <c r="F937" i="1"/>
  <c r="Y928" i="1"/>
  <c r="M928" i="1"/>
  <c r="N928" i="1" s="1"/>
  <c r="F928" i="1"/>
  <c r="J942" i="1"/>
  <c r="M942" i="1" s="1"/>
  <c r="N942" i="1" s="1"/>
  <c r="Y940" i="1"/>
  <c r="N940" i="1"/>
  <c r="F940" i="1"/>
  <c r="Y938" i="1"/>
  <c r="M938" i="1"/>
  <c r="N938" i="1" s="1"/>
  <c r="F938" i="1"/>
  <c r="Y934" i="1"/>
  <c r="M934" i="1"/>
  <c r="N934" i="1" s="1"/>
  <c r="F934" i="1"/>
  <c r="Y925" i="1"/>
  <c r="M925" i="1"/>
  <c r="N925" i="1" s="1"/>
  <c r="F925" i="1"/>
  <c r="Y933" i="1"/>
  <c r="M933" i="1"/>
  <c r="N933" i="1" s="1"/>
  <c r="F933" i="1"/>
  <c r="Y932" i="1"/>
  <c r="M932" i="1"/>
  <c r="N932" i="1" s="1"/>
  <c r="F932" i="1"/>
  <c r="Y927" i="1"/>
  <c r="M927" i="1"/>
  <c r="N927" i="1" s="1"/>
  <c r="F927" i="1"/>
  <c r="Y935" i="1"/>
  <c r="M935" i="1"/>
  <c r="N935" i="1" s="1"/>
  <c r="F935" i="1"/>
  <c r="Y931" i="1"/>
  <c r="M931" i="1"/>
  <c r="N931" i="1" s="1"/>
  <c r="F931" i="1"/>
  <c r="Y936" i="1"/>
  <c r="M936" i="1"/>
  <c r="N936" i="1" s="1"/>
  <c r="F936" i="1"/>
  <c r="Y926" i="1"/>
  <c r="M926" i="1"/>
  <c r="N926" i="1" s="1"/>
  <c r="F926" i="1"/>
  <c r="Y924" i="1"/>
  <c r="M924" i="1"/>
  <c r="N924" i="1" s="1"/>
  <c r="F924" i="1"/>
  <c r="Y929" i="1"/>
  <c r="F929" i="1"/>
  <c r="J1396" i="2"/>
  <c r="K1396" i="2" s="1"/>
  <c r="J1395" i="2"/>
  <c r="K1395" i="2" s="1"/>
  <c r="J1393" i="2"/>
  <c r="K1393" i="2" s="1"/>
  <c r="J1388" i="2"/>
  <c r="K1388" i="2" s="1"/>
  <c r="J1304" i="2"/>
  <c r="K1304" i="2" s="1"/>
  <c r="J1241" i="2"/>
  <c r="J915" i="1"/>
  <c r="M915" i="1" s="1"/>
  <c r="N915" i="1" s="1"/>
  <c r="Y923" i="1"/>
  <c r="M923" i="1"/>
  <c r="N923" i="1" s="1"/>
  <c r="F923" i="1"/>
  <c r="J1392" i="2"/>
  <c r="K1392" i="2" s="1"/>
  <c r="J1391" i="2"/>
  <c r="K1391" i="2" s="1"/>
  <c r="J1217" i="2"/>
  <c r="K1217" i="2" s="1"/>
  <c r="J1216" i="2"/>
  <c r="K1216" i="2" s="1"/>
  <c r="Y942" i="1"/>
  <c r="K942" i="1"/>
  <c r="H942" i="1"/>
  <c r="F942" i="1"/>
  <c r="Y909" i="1"/>
  <c r="M909" i="1"/>
  <c r="N909" i="1" s="1"/>
  <c r="F909" i="1"/>
  <c r="Y920" i="1"/>
  <c r="M920" i="1"/>
  <c r="N920" i="1" s="1"/>
  <c r="F920" i="1"/>
  <c r="Y919" i="1"/>
  <c r="M919" i="1"/>
  <c r="N919" i="1" s="1"/>
  <c r="F919" i="1"/>
  <c r="Y914" i="1"/>
  <c r="M914" i="1"/>
  <c r="N914" i="1" s="1"/>
  <c r="F914" i="1"/>
  <c r="Y912" i="1"/>
  <c r="J912" i="1"/>
  <c r="M912" i="1" s="1"/>
  <c r="N912" i="1" s="1"/>
  <c r="F912" i="1"/>
  <c r="Y913" i="1"/>
  <c r="M913" i="1"/>
  <c r="N913" i="1" s="1"/>
  <c r="F913" i="1"/>
  <c r="Y906" i="1"/>
  <c r="M906" i="1"/>
  <c r="N906" i="1" s="1"/>
  <c r="F906" i="1"/>
  <c r="Y911" i="1"/>
  <c r="M911" i="1"/>
  <c r="N911" i="1" s="1"/>
  <c r="F911" i="1"/>
  <c r="Y910" i="1"/>
  <c r="M910" i="1"/>
  <c r="N910" i="1" s="1"/>
  <c r="F910" i="1"/>
  <c r="Y918" i="1"/>
  <c r="J918" i="1"/>
  <c r="M918" i="1" s="1"/>
  <c r="N918" i="1" s="1"/>
  <c r="F918" i="1"/>
  <c r="Y916" i="1"/>
  <c r="J916" i="1"/>
  <c r="M916" i="1" s="1"/>
  <c r="N916" i="1" s="1"/>
  <c r="F916" i="1"/>
  <c r="Y904" i="1"/>
  <c r="M904" i="1"/>
  <c r="N904" i="1" s="1"/>
  <c r="F904" i="1"/>
  <c r="Y917" i="1"/>
  <c r="J917" i="1"/>
  <c r="M917" i="1" s="1"/>
  <c r="N917" i="1" s="1"/>
  <c r="F917" i="1"/>
  <c r="Y922" i="1"/>
  <c r="J922" i="1"/>
  <c r="F922" i="1"/>
  <c r="Y921" i="1"/>
  <c r="J921" i="1"/>
  <c r="F921" i="1"/>
  <c r="Y907" i="1"/>
  <c r="M907" i="1"/>
  <c r="N907" i="1" s="1"/>
  <c r="F907" i="1"/>
  <c r="Y905" i="1"/>
  <c r="M905" i="1"/>
  <c r="N905" i="1" s="1"/>
  <c r="F905" i="1"/>
  <c r="Y908" i="1"/>
  <c r="K908" i="1"/>
  <c r="J908" i="1"/>
  <c r="M908" i="1" s="1"/>
  <c r="N908" i="1" s="1"/>
  <c r="H908" i="1"/>
  <c r="F908" i="1"/>
  <c r="Y901" i="1"/>
  <c r="J901" i="1"/>
  <c r="M901" i="1" s="1"/>
  <c r="N901" i="1" s="1"/>
  <c r="F901" i="1"/>
  <c r="M890" i="1"/>
  <c r="N890" i="1" s="1"/>
  <c r="M889" i="1"/>
  <c r="N889" i="1" s="1"/>
  <c r="J1215" i="2"/>
  <c r="K1215" i="2" s="1"/>
  <c r="I1241" i="2"/>
  <c r="J1240" i="2"/>
  <c r="K1240" i="2" s="1"/>
  <c r="J1389" i="2"/>
  <c r="K1389" i="2" s="1"/>
  <c r="J903" i="1"/>
  <c r="M903" i="1" s="1"/>
  <c r="N903" i="1" s="1"/>
  <c r="Y903" i="1"/>
  <c r="K903" i="1"/>
  <c r="H903" i="1"/>
  <c r="F903" i="1"/>
  <c r="Y893" i="1"/>
  <c r="M893" i="1"/>
  <c r="N893" i="1" s="1"/>
  <c r="F893" i="1"/>
  <c r="J899" i="1"/>
  <c r="M899" i="1" s="1"/>
  <c r="N899" i="1" s="1"/>
  <c r="J900" i="1"/>
  <c r="M900" i="1" s="1"/>
  <c r="N900" i="1" s="1"/>
  <c r="J902" i="1"/>
  <c r="M902" i="1" s="1"/>
  <c r="N902" i="1" s="1"/>
  <c r="J892" i="1"/>
  <c r="M892" i="1" s="1"/>
  <c r="N892" i="1" s="1"/>
  <c r="J886" i="1"/>
  <c r="M886" i="1" s="1"/>
  <c r="N886" i="1" s="1"/>
  <c r="Y892" i="1"/>
  <c r="F892" i="1"/>
  <c r="Y888" i="1"/>
  <c r="M888" i="1"/>
  <c r="N888" i="1" s="1"/>
  <c r="F888" i="1"/>
  <c r="Y895" i="1"/>
  <c r="M895" i="1"/>
  <c r="N895" i="1" s="1"/>
  <c r="F895" i="1"/>
  <c r="Y890" i="1"/>
  <c r="F890" i="1"/>
  <c r="Y902" i="1"/>
  <c r="K902" i="1"/>
  <c r="H902" i="1"/>
  <c r="F902" i="1"/>
  <c r="Y915" i="1"/>
  <c r="F915" i="1"/>
  <c r="Y896" i="1"/>
  <c r="M896" i="1"/>
  <c r="N896" i="1" s="1"/>
  <c r="F896" i="1"/>
  <c r="Y894" i="1"/>
  <c r="M894" i="1"/>
  <c r="N894" i="1" s="1"/>
  <c r="F894" i="1"/>
  <c r="Y900" i="1"/>
  <c r="F900" i="1"/>
  <c r="Y899" i="1"/>
  <c r="F899" i="1"/>
  <c r="Y898" i="1"/>
  <c r="M898" i="1"/>
  <c r="N898" i="1" s="1"/>
  <c r="F898" i="1"/>
  <c r="Y882" i="1"/>
  <c r="J882" i="1"/>
  <c r="M882" i="1" s="1"/>
  <c r="N882" i="1" s="1"/>
  <c r="F882" i="1"/>
  <c r="J1213" i="2"/>
  <c r="K1213" i="2" s="1"/>
  <c r="J872" i="1"/>
  <c r="M872" i="1" s="1"/>
  <c r="N872" i="1" s="1"/>
  <c r="J1212" i="2"/>
  <c r="K1212" i="2" s="1"/>
  <c r="J1390" i="2"/>
  <c r="K1390" i="2" s="1"/>
  <c r="Y865" i="1"/>
  <c r="M865" i="1"/>
  <c r="N865" i="1" s="1"/>
  <c r="F865" i="1"/>
  <c r="J1211" i="2"/>
  <c r="K1211" i="2" s="1"/>
  <c r="J1238" i="2"/>
  <c r="K1238" i="2" s="1"/>
  <c r="J1210" i="2"/>
  <c r="K1210" i="2" s="1"/>
  <c r="Y880" i="1"/>
  <c r="M880" i="1"/>
  <c r="N880" i="1" s="1"/>
  <c r="F880" i="1"/>
  <c r="Y897" i="1"/>
  <c r="J897" i="1"/>
  <c r="M897" i="1" s="1"/>
  <c r="N897" i="1" s="1"/>
  <c r="F897" i="1"/>
  <c r="Y889" i="1"/>
  <c r="F889" i="1"/>
  <c r="Y891" i="1"/>
  <c r="M891" i="1"/>
  <c r="N891" i="1" s="1"/>
  <c r="F891" i="1"/>
  <c r="Y885" i="1"/>
  <c r="M885" i="1"/>
  <c r="N885" i="1" s="1"/>
  <c r="F885" i="1"/>
  <c r="Y876" i="1"/>
  <c r="M876" i="1"/>
  <c r="N876" i="1" s="1"/>
  <c r="F876" i="1"/>
  <c r="Y881" i="1"/>
  <c r="M881" i="1"/>
  <c r="N881" i="1" s="1"/>
  <c r="F881" i="1"/>
  <c r="Y887" i="1"/>
  <c r="M887" i="1"/>
  <c r="N887" i="1" s="1"/>
  <c r="F887" i="1"/>
  <c r="Y884" i="1"/>
  <c r="J884" i="1"/>
  <c r="M884" i="1" s="1"/>
  <c r="N884" i="1" s="1"/>
  <c r="F884" i="1"/>
  <c r="Y872" i="1"/>
  <c r="F872" i="1"/>
  <c r="Y870" i="1"/>
  <c r="K870" i="1"/>
  <c r="M870" i="1"/>
  <c r="N870" i="1" s="1"/>
  <c r="H870" i="1"/>
  <c r="F870" i="1"/>
  <c r="Y871" i="1"/>
  <c r="M871" i="1"/>
  <c r="N871" i="1" s="1"/>
  <c r="F871" i="1"/>
  <c r="Y879" i="1"/>
  <c r="J879" i="1"/>
  <c r="M879" i="1" s="1"/>
  <c r="N879" i="1" s="1"/>
  <c r="F879" i="1"/>
  <c r="Y886" i="1"/>
  <c r="F886" i="1"/>
  <c r="Y883" i="1"/>
  <c r="M883" i="1"/>
  <c r="N883" i="1" s="1"/>
  <c r="F883" i="1"/>
  <c r="Y875" i="1"/>
  <c r="J875" i="1"/>
  <c r="M875" i="1" s="1"/>
  <c r="N875" i="1" s="1"/>
  <c r="F875" i="1"/>
  <c r="Y873" i="1"/>
  <c r="M873" i="1"/>
  <c r="N873" i="1" s="1"/>
  <c r="F873" i="1"/>
  <c r="J1237" i="2"/>
  <c r="I1237" i="2"/>
  <c r="J1209" i="2"/>
  <c r="K1209" i="2" s="1"/>
  <c r="Y874" i="1"/>
  <c r="J874" i="1"/>
  <c r="M874" i="1" s="1"/>
  <c r="N874" i="1" s="1"/>
  <c r="F874" i="1"/>
  <c r="Y868" i="1"/>
  <c r="M868" i="1"/>
  <c r="N868" i="1" s="1"/>
  <c r="F868" i="1"/>
  <c r="J878" i="1"/>
  <c r="M878" i="1" s="1"/>
  <c r="N878" i="1" s="1"/>
  <c r="J863" i="1"/>
  <c r="M863" i="1" s="1"/>
  <c r="N863" i="1" s="1"/>
  <c r="J859" i="1"/>
  <c r="M859" i="1" s="1"/>
  <c r="N859" i="1" s="1"/>
  <c r="J860" i="1"/>
  <c r="M860" i="1" s="1"/>
  <c r="N860" i="1" s="1"/>
  <c r="M862" i="1"/>
  <c r="N862" i="1" s="1"/>
  <c r="M866" i="1"/>
  <c r="N866" i="1" s="1"/>
  <c r="M867" i="1"/>
  <c r="N867" i="1" s="1"/>
  <c r="Y867" i="1"/>
  <c r="F867" i="1"/>
  <c r="Y866" i="1"/>
  <c r="F866" i="1"/>
  <c r="Y863" i="1"/>
  <c r="F863" i="1"/>
  <c r="Y878" i="1"/>
  <c r="F878" i="1"/>
  <c r="Y862" i="1"/>
  <c r="F862" i="1"/>
  <c r="J856" i="1"/>
  <c r="M856" i="1" s="1"/>
  <c r="N856" i="1" s="1"/>
  <c r="J855" i="1"/>
  <c r="M855" i="1" s="1"/>
  <c r="N855" i="1" s="1"/>
  <c r="J857" i="1"/>
  <c r="M857" i="1" s="1"/>
  <c r="N857" i="1" s="1"/>
  <c r="J877" i="1"/>
  <c r="M877" i="1" s="1"/>
  <c r="N877" i="1" s="1"/>
  <c r="J851" i="1"/>
  <c r="M851" i="1" s="1"/>
  <c r="N851" i="1" s="1"/>
  <c r="J869" i="1"/>
  <c r="M869" i="1" s="1"/>
  <c r="N869" i="1" s="1"/>
  <c r="J858" i="1"/>
  <c r="M858" i="1" s="1"/>
  <c r="N858" i="1" s="1"/>
  <c r="Y860" i="1"/>
  <c r="F860" i="1"/>
  <c r="Y859" i="1"/>
  <c r="F859" i="1"/>
  <c r="Y858" i="1"/>
  <c r="F858" i="1"/>
  <c r="Y869" i="1"/>
  <c r="F869" i="1"/>
  <c r="Y853" i="1"/>
  <c r="M853" i="1"/>
  <c r="N853" i="1" s="1"/>
  <c r="F853" i="1"/>
  <c r="Y851" i="1"/>
  <c r="F851" i="1"/>
  <c r="Y877" i="1"/>
  <c r="K877" i="1"/>
  <c r="H877" i="1"/>
  <c r="F877" i="1"/>
  <c r="Y857" i="1"/>
  <c r="F857" i="1"/>
  <c r="Y855" i="1"/>
  <c r="F855" i="1"/>
  <c r="Y861" i="1"/>
  <c r="M861" i="1"/>
  <c r="N861" i="1" s="1"/>
  <c r="F861" i="1"/>
  <c r="Y856" i="1"/>
  <c r="F856" i="1"/>
  <c r="Y852" i="1"/>
  <c r="M852" i="1"/>
  <c r="N852" i="1" s="1"/>
  <c r="F852" i="1"/>
  <c r="J1206" i="2"/>
  <c r="K1206" i="2" s="1"/>
  <c r="J1207" i="2"/>
  <c r="K1207" i="2" s="1"/>
  <c r="J1236" i="2"/>
  <c r="K1236" i="2" s="1"/>
  <c r="J1239" i="2"/>
  <c r="K1239" i="2" s="1"/>
  <c r="Y844" i="1"/>
  <c r="J844" i="1"/>
  <c r="N844" i="1" s="1"/>
  <c r="F844" i="1"/>
  <c r="Y830" i="1"/>
  <c r="N830" i="1"/>
  <c r="F830" i="1"/>
  <c r="J1235" i="2"/>
  <c r="K1235" i="2" s="1"/>
  <c r="J1205" i="2"/>
  <c r="K1205" i="2" s="1"/>
  <c r="Y838" i="1"/>
  <c r="M838" i="1"/>
  <c r="N838" i="1" s="1"/>
  <c r="F838" i="1"/>
  <c r="J1204" i="2"/>
  <c r="K1204" i="2" s="1"/>
  <c r="J1234" i="2"/>
  <c r="K1234" i="2" s="1"/>
  <c r="J1229" i="2"/>
  <c r="K1229" i="2" s="1"/>
  <c r="J850" i="1"/>
  <c r="M850" i="1" s="1"/>
  <c r="N850" i="1" s="1"/>
  <c r="Y864" i="1"/>
  <c r="M864" i="1"/>
  <c r="N864" i="1" s="1"/>
  <c r="F864" i="1"/>
  <c r="Y850" i="1"/>
  <c r="F850" i="1"/>
  <c r="Y849" i="1"/>
  <c r="M849" i="1"/>
  <c r="N849" i="1" s="1"/>
  <c r="F849" i="1"/>
  <c r="Y848" i="1"/>
  <c r="M848" i="1"/>
  <c r="N848" i="1" s="1"/>
  <c r="F848" i="1"/>
  <c r="Y854" i="1"/>
  <c r="M854" i="1"/>
  <c r="N854" i="1" s="1"/>
  <c r="F854" i="1"/>
  <c r="Y812" i="1"/>
  <c r="M812" i="1"/>
  <c r="N812" i="1" s="1"/>
  <c r="F812" i="1"/>
  <c r="J1202" i="2"/>
  <c r="K1202" i="2" s="1"/>
  <c r="J1203" i="2"/>
  <c r="K1203" i="2" s="1"/>
  <c r="Y843" i="1"/>
  <c r="K843" i="1"/>
  <c r="J843" i="1"/>
  <c r="M843" i="1" s="1"/>
  <c r="N843" i="1" s="1"/>
  <c r="H843" i="1"/>
  <c r="F843" i="1"/>
  <c r="Y822" i="1"/>
  <c r="M822" i="1"/>
  <c r="N822" i="1" s="1"/>
  <c r="F822" i="1"/>
  <c r="Y821" i="1"/>
  <c r="J821" i="1"/>
  <c r="M821" i="1" s="1"/>
  <c r="N821" i="1" s="1"/>
  <c r="F821" i="1"/>
  <c r="Y841" i="1"/>
  <c r="M841" i="1"/>
  <c r="N841" i="1" s="1"/>
  <c r="F841" i="1"/>
  <c r="Y837" i="1"/>
  <c r="M837" i="1"/>
  <c r="N837" i="1" s="1"/>
  <c r="F837" i="1"/>
  <c r="Y840" i="1"/>
  <c r="M840" i="1"/>
  <c r="N840" i="1" s="1"/>
  <c r="F840" i="1"/>
  <c r="Y839" i="1"/>
  <c r="M839" i="1"/>
  <c r="N839" i="1" s="1"/>
  <c r="F839" i="1"/>
  <c r="Y828" i="1"/>
  <c r="M828" i="1"/>
  <c r="N828" i="1" s="1"/>
  <c r="F828" i="1"/>
  <c r="Y842" i="1"/>
  <c r="J842" i="1"/>
  <c r="M842" i="1" s="1"/>
  <c r="N842" i="1" s="1"/>
  <c r="K842" i="1"/>
  <c r="F842" i="1"/>
  <c r="H842" i="1"/>
  <c r="Y836" i="1"/>
  <c r="M836" i="1"/>
  <c r="N836" i="1" s="1"/>
  <c r="F836" i="1"/>
  <c r="Y826" i="1"/>
  <c r="M826" i="1"/>
  <c r="N826" i="1" s="1"/>
  <c r="F826" i="1"/>
  <c r="Y834" i="1"/>
  <c r="M834" i="1"/>
  <c r="N834" i="1" s="1"/>
  <c r="F834" i="1"/>
  <c r="Y847" i="1"/>
  <c r="J847" i="1"/>
  <c r="M847" i="1" s="1"/>
  <c r="N847" i="1" s="1"/>
  <c r="F847" i="1"/>
  <c r="Y846" i="1"/>
  <c r="M846" i="1"/>
  <c r="N846" i="1" s="1"/>
  <c r="F846" i="1"/>
  <c r="Y833" i="1"/>
  <c r="M833" i="1"/>
  <c r="N833" i="1" s="1"/>
  <c r="F833" i="1"/>
  <c r="Y823" i="1"/>
  <c r="M823" i="1"/>
  <c r="N823" i="1" s="1"/>
  <c r="F823" i="1"/>
  <c r="Y835" i="1"/>
  <c r="M835" i="1"/>
  <c r="N835" i="1" s="1"/>
  <c r="F835" i="1"/>
  <c r="Y845" i="1"/>
  <c r="M845" i="1"/>
  <c r="N845" i="1" s="1"/>
  <c r="F845" i="1"/>
  <c r="Y815" i="1"/>
  <c r="M815" i="1"/>
  <c r="N815" i="1" s="1"/>
  <c r="F815" i="1"/>
  <c r="J1188" i="2"/>
  <c r="K1188" i="2" s="1"/>
  <c r="J1187" i="2"/>
  <c r="K1187" i="2" s="1"/>
  <c r="J1233" i="2"/>
  <c r="K1233" i="2" s="1"/>
  <c r="Y814" i="1"/>
  <c r="M814" i="1"/>
  <c r="N814" i="1" s="1"/>
  <c r="F814" i="1"/>
  <c r="Y816" i="1"/>
  <c r="J816" i="1"/>
  <c r="M816" i="1" s="1"/>
  <c r="N816" i="1" s="1"/>
  <c r="H816" i="1"/>
  <c r="F816" i="1"/>
  <c r="Y798" i="1"/>
  <c r="N798" i="1"/>
  <c r="F798" i="1"/>
  <c r="Y832" i="1"/>
  <c r="N832" i="1"/>
  <c r="F832" i="1"/>
  <c r="M794" i="1"/>
  <c r="N794" i="1" s="1"/>
  <c r="M792" i="1"/>
  <c r="N792" i="1" s="1"/>
  <c r="M791" i="1"/>
  <c r="N791" i="1" s="1"/>
  <c r="M793" i="1"/>
  <c r="N793" i="1" s="1"/>
  <c r="Y810" i="1"/>
  <c r="J810" i="1"/>
  <c r="M810" i="1" s="1"/>
  <c r="N810" i="1" s="1"/>
  <c r="F810" i="1"/>
  <c r="Y817" i="1"/>
  <c r="K817" i="1"/>
  <c r="J817" i="1"/>
  <c r="M817" i="1" s="1"/>
  <c r="N817" i="1" s="1"/>
  <c r="H817" i="1"/>
  <c r="F817" i="1"/>
  <c r="Y807" i="1"/>
  <c r="J807" i="1"/>
  <c r="M807" i="1" s="1"/>
  <c r="N807" i="1" s="1"/>
  <c r="F807" i="1"/>
  <c r="Y801" i="1"/>
  <c r="M801" i="1"/>
  <c r="N801" i="1" s="1"/>
  <c r="F801" i="1"/>
  <c r="J1394" i="2"/>
  <c r="K1394" i="2" s="1"/>
  <c r="J1199" i="2"/>
  <c r="K1199" i="2" s="1"/>
  <c r="J1200" i="2"/>
  <c r="K1200" i="2" s="1"/>
  <c r="J1201" i="2"/>
  <c r="K1201" i="2" s="1"/>
  <c r="J1218" i="2"/>
  <c r="K1218" i="2" s="1"/>
  <c r="J1219" i="2"/>
  <c r="K1219" i="2" s="1"/>
  <c r="J1220" i="2"/>
  <c r="K1220" i="2" s="1"/>
  <c r="J1221" i="2"/>
  <c r="K1221" i="2" s="1"/>
  <c r="J1222" i="2"/>
  <c r="K1222" i="2" s="1"/>
  <c r="J1223" i="2"/>
  <c r="K1223" i="2" s="1"/>
  <c r="J1224" i="2"/>
  <c r="K1224" i="2" s="1"/>
  <c r="J1225" i="2"/>
  <c r="K1225" i="2" s="1"/>
  <c r="J1226" i="2"/>
  <c r="K1226" i="2" s="1"/>
  <c r="J805" i="1"/>
  <c r="M805" i="1" s="1"/>
  <c r="N805" i="1" s="1"/>
  <c r="J806" i="1"/>
  <c r="M806" i="1" s="1"/>
  <c r="N806" i="1" s="1"/>
  <c r="J808" i="1"/>
  <c r="M808" i="1" s="1"/>
  <c r="N808" i="1" s="1"/>
  <c r="J809" i="1"/>
  <c r="M809" i="1" s="1"/>
  <c r="N809" i="1" s="1"/>
  <c r="J811" i="1"/>
  <c r="M811" i="1" s="1"/>
  <c r="N811" i="1" s="1"/>
  <c r="J818" i="1"/>
  <c r="M818" i="1" s="1"/>
  <c r="N818" i="1" s="1"/>
  <c r="J824" i="1"/>
  <c r="M824" i="1" s="1"/>
  <c r="N824" i="1" s="1"/>
  <c r="J829" i="1"/>
  <c r="M829" i="1" s="1"/>
  <c r="N829" i="1" s="1"/>
  <c r="Y827" i="1"/>
  <c r="M827" i="1"/>
  <c r="N827" i="1" s="1"/>
  <c r="F827" i="1"/>
  <c r="J781" i="1"/>
  <c r="M781" i="1" s="1"/>
  <c r="N781" i="1" s="1"/>
  <c r="F803" i="1"/>
  <c r="Y790" i="1"/>
  <c r="M790" i="1"/>
  <c r="N790" i="1" s="1"/>
  <c r="K790" i="1"/>
  <c r="H790" i="1"/>
  <c r="F790" i="1"/>
  <c r="Y829" i="1"/>
  <c r="K829" i="1"/>
  <c r="H829" i="1"/>
  <c r="F829" i="1"/>
  <c r="Y824" i="1"/>
  <c r="K824" i="1"/>
  <c r="H824" i="1"/>
  <c r="F824" i="1"/>
  <c r="Y818" i="1"/>
  <c r="K818" i="1"/>
  <c r="H818" i="1"/>
  <c r="F818" i="1"/>
  <c r="Y825" i="1"/>
  <c r="M825" i="1"/>
  <c r="N825" i="1" s="1"/>
  <c r="F825" i="1"/>
  <c r="Y831" i="1"/>
  <c r="N831" i="1"/>
  <c r="F831" i="1"/>
  <c r="Y820" i="1"/>
  <c r="M820" i="1"/>
  <c r="N820" i="1" s="1"/>
  <c r="F820" i="1"/>
  <c r="Y811" i="1"/>
  <c r="F811" i="1"/>
  <c r="Y813" i="1"/>
  <c r="M813" i="1"/>
  <c r="N813" i="1" s="1"/>
  <c r="F813" i="1"/>
  <c r="Y802" i="1"/>
  <c r="M802" i="1"/>
  <c r="N802" i="1" s="1"/>
  <c r="F802" i="1"/>
  <c r="Y796" i="1"/>
  <c r="M796" i="1"/>
  <c r="N796" i="1" s="1"/>
  <c r="F796" i="1"/>
  <c r="Y809" i="1"/>
  <c r="F809" i="1"/>
  <c r="Y808" i="1"/>
  <c r="F808" i="1"/>
  <c r="Y804" i="1"/>
  <c r="M804" i="1"/>
  <c r="N804" i="1" s="1"/>
  <c r="F804" i="1"/>
  <c r="Y800" i="1"/>
  <c r="M800" i="1"/>
  <c r="N800" i="1" s="1"/>
  <c r="F800" i="1"/>
  <c r="Y806" i="1"/>
  <c r="F806" i="1"/>
  <c r="Y805" i="1"/>
  <c r="F805" i="1"/>
  <c r="Y799" i="1"/>
  <c r="M799" i="1"/>
  <c r="N799" i="1" s="1"/>
  <c r="F799" i="1"/>
  <c r="Y803" i="1"/>
  <c r="M803" i="1"/>
  <c r="N803" i="1" s="1"/>
  <c r="Y794" i="1"/>
  <c r="F794" i="1"/>
  <c r="J1186" i="2"/>
  <c r="K1186" i="2" s="1"/>
  <c r="J780" i="1"/>
  <c r="M780" i="1" s="1"/>
  <c r="N780" i="1" s="1"/>
  <c r="J1228" i="2"/>
  <c r="K1228" i="2" s="1"/>
  <c r="J1185" i="2"/>
  <c r="K1185" i="2" s="1"/>
  <c r="Y791" i="1"/>
  <c r="F791" i="1"/>
  <c r="J1227" i="2"/>
  <c r="K1227" i="2" s="1"/>
  <c r="M773" i="1"/>
  <c r="N773" i="1" s="1"/>
  <c r="J1183" i="2"/>
  <c r="K1183" i="2" s="1"/>
  <c r="Y793" i="1"/>
  <c r="F793" i="1"/>
  <c r="J1182" i="2"/>
  <c r="K1182" i="2" s="1"/>
  <c r="J778" i="1"/>
  <c r="M778" i="1" s="1"/>
  <c r="N778" i="1" s="1"/>
  <c r="Y819" i="1"/>
  <c r="M819" i="1"/>
  <c r="N819" i="1" s="1"/>
  <c r="F819" i="1"/>
  <c r="Y797" i="1"/>
  <c r="M797" i="1"/>
  <c r="N797" i="1" s="1"/>
  <c r="F797" i="1"/>
  <c r="Y782" i="1"/>
  <c r="N782" i="1"/>
  <c r="F782" i="1"/>
  <c r="Y789" i="1"/>
  <c r="M789" i="1"/>
  <c r="N789" i="1" s="1"/>
  <c r="F789" i="1"/>
  <c r="Y785" i="1"/>
  <c r="M785" i="1"/>
  <c r="N785" i="1" s="1"/>
  <c r="F785" i="1"/>
  <c r="Y784" i="1"/>
  <c r="M784" i="1"/>
  <c r="N784" i="1" s="1"/>
  <c r="F784" i="1"/>
  <c r="Y781" i="1"/>
  <c r="F781" i="1"/>
  <c r="Y778" i="1"/>
  <c r="F778" i="1"/>
  <c r="Y788" i="1"/>
  <c r="M788" i="1"/>
  <c r="N788" i="1" s="1"/>
  <c r="F788" i="1"/>
  <c r="Y776" i="1"/>
  <c r="M776" i="1"/>
  <c r="N776" i="1" s="1"/>
  <c r="F776" i="1"/>
  <c r="Y787" i="1"/>
  <c r="M787" i="1"/>
  <c r="N787" i="1" s="1"/>
  <c r="F787" i="1"/>
  <c r="Y786" i="1"/>
  <c r="M786" i="1"/>
  <c r="N786" i="1" s="1"/>
  <c r="F786" i="1"/>
  <c r="Y783" i="1"/>
  <c r="M783" i="1"/>
  <c r="N783" i="1" s="1"/>
  <c r="F783" i="1"/>
  <c r="Y780" i="1"/>
  <c r="F780" i="1"/>
  <c r="Y795" i="1"/>
  <c r="M795" i="1"/>
  <c r="N795" i="1" s="1"/>
  <c r="F795" i="1"/>
  <c r="Y766" i="1"/>
  <c r="M766" i="1"/>
  <c r="N766" i="1" s="1"/>
  <c r="F766" i="1"/>
  <c r="M763" i="1"/>
  <c r="N763" i="1" s="1"/>
  <c r="Y773" i="1"/>
  <c r="F773" i="1"/>
  <c r="Y769" i="1"/>
  <c r="J769" i="1"/>
  <c r="N769" i="1" s="1"/>
  <c r="F769" i="1"/>
  <c r="Y765" i="1"/>
  <c r="N765" i="1"/>
  <c r="H765" i="1"/>
  <c r="F765" i="1"/>
  <c r="J757" i="1"/>
  <c r="M757" i="1" s="1"/>
  <c r="N757" i="1" s="1"/>
  <c r="J762" i="1"/>
  <c r="M762" i="1" s="1"/>
  <c r="N762" i="1" s="1"/>
  <c r="J1184" i="2"/>
  <c r="K1184" i="2" s="1"/>
  <c r="Y772" i="1"/>
  <c r="J772" i="1"/>
  <c r="M772" i="1" s="1"/>
  <c r="N772" i="1" s="1"/>
  <c r="H772" i="1"/>
  <c r="F772" i="1"/>
  <c r="Y764" i="1"/>
  <c r="J764" i="1"/>
  <c r="M764" i="1" s="1"/>
  <c r="N764" i="1" s="1"/>
  <c r="H764" i="1"/>
  <c r="F764" i="1"/>
  <c r="Y762" i="1"/>
  <c r="F762" i="1"/>
  <c r="Y792" i="1"/>
  <c r="F792" i="1"/>
  <c r="Y770" i="1"/>
  <c r="N770" i="1"/>
  <c r="F770" i="1"/>
  <c r="Y771" i="1"/>
  <c r="J771" i="1"/>
  <c r="M771" i="1" s="1"/>
  <c r="N771" i="1" s="1"/>
  <c r="F771" i="1"/>
  <c r="Y777" i="1"/>
  <c r="N777" i="1"/>
  <c r="F777" i="1"/>
  <c r="Y775" i="1"/>
  <c r="N775" i="1"/>
  <c r="F775" i="1"/>
  <c r="Y774" i="1"/>
  <c r="N774" i="1"/>
  <c r="F774" i="1"/>
  <c r="Y768" i="1"/>
  <c r="N768" i="1"/>
  <c r="F768" i="1"/>
  <c r="Y767" i="1"/>
  <c r="M767" i="1"/>
  <c r="N767" i="1" s="1"/>
  <c r="H767" i="1"/>
  <c r="F767" i="1"/>
  <c r="J1181" i="2"/>
  <c r="K1181" i="2" s="1"/>
  <c r="Y763" i="1"/>
  <c r="F763" i="1"/>
  <c r="Y779" i="1"/>
  <c r="M779" i="1"/>
  <c r="N779" i="1" s="1"/>
  <c r="F779" i="1"/>
  <c r="Y761" i="1"/>
  <c r="J761" i="1"/>
  <c r="M761" i="1" s="1"/>
  <c r="N761" i="1" s="1"/>
  <c r="F761" i="1"/>
  <c r="Y756" i="1"/>
  <c r="J756" i="1"/>
  <c r="M756" i="1" s="1"/>
  <c r="N756" i="1" s="1"/>
  <c r="F756" i="1"/>
  <c r="M732" i="1"/>
  <c r="N732" i="1" s="1"/>
  <c r="J1180" i="2"/>
  <c r="K1180" i="2" s="1"/>
  <c r="J1320" i="2"/>
  <c r="K1320" i="2" s="1"/>
  <c r="Y734" i="1"/>
  <c r="M734" i="1"/>
  <c r="N734" i="1" s="1"/>
  <c r="F734" i="1"/>
  <c r="Y733" i="1"/>
  <c r="M733" i="1"/>
  <c r="N733" i="1" s="1"/>
  <c r="F733" i="1"/>
  <c r="Y730" i="1"/>
  <c r="M730" i="1"/>
  <c r="N730" i="1" s="1"/>
  <c r="F730" i="1"/>
  <c r="Y729" i="1"/>
  <c r="M729" i="1"/>
  <c r="N729" i="1" s="1"/>
  <c r="F729" i="1"/>
  <c r="M728" i="1"/>
  <c r="N728" i="1" s="1"/>
  <c r="J1179" i="2"/>
  <c r="K1179" i="2" s="1"/>
  <c r="J1244" i="2"/>
  <c r="K1244" i="2" s="1"/>
  <c r="J1245" i="2"/>
  <c r="K1245" i="2" s="1"/>
  <c r="F732" i="1"/>
  <c r="Y732" i="1"/>
  <c r="F742" i="1"/>
  <c r="M742" i="1"/>
  <c r="N742" i="1" s="1"/>
  <c r="Y742" i="1"/>
  <c r="J1178" i="2"/>
  <c r="K1178" i="2" s="1"/>
  <c r="J1177" i="2"/>
  <c r="K1177" i="2" s="1"/>
  <c r="Y736" i="1"/>
  <c r="M736" i="1"/>
  <c r="N736" i="1" s="1"/>
  <c r="F736" i="1"/>
  <c r="Y735" i="1"/>
  <c r="M735" i="1"/>
  <c r="N735" i="1" s="1"/>
  <c r="F735" i="1"/>
  <c r="Y744" i="1"/>
  <c r="M744" i="1"/>
  <c r="N744" i="1" s="1"/>
  <c r="F744" i="1"/>
  <c r="F731" i="1"/>
  <c r="Y731" i="1"/>
  <c r="M731" i="1"/>
  <c r="N731" i="1" s="1"/>
  <c r="Y755" i="1"/>
  <c r="M755" i="1"/>
  <c r="N755" i="1" s="1"/>
  <c r="F755" i="1"/>
  <c r="Y754" i="1"/>
  <c r="M754" i="1"/>
  <c r="N754" i="1" s="1"/>
  <c r="F754" i="1"/>
  <c r="Y751" i="1"/>
  <c r="N751" i="1"/>
  <c r="F751" i="1"/>
  <c r="Y739" i="1"/>
  <c r="M739" i="1"/>
  <c r="N739" i="1" s="1"/>
  <c r="F739" i="1"/>
  <c r="Y760" i="1"/>
  <c r="K760" i="1"/>
  <c r="J760" i="1"/>
  <c r="M760" i="1" s="1"/>
  <c r="N760" i="1" s="1"/>
  <c r="H760" i="1"/>
  <c r="F760" i="1"/>
  <c r="Y759" i="1"/>
  <c r="K759" i="1"/>
  <c r="J759" i="1"/>
  <c r="M759" i="1" s="1"/>
  <c r="N759" i="1" s="1"/>
  <c r="H759" i="1"/>
  <c r="F759" i="1"/>
  <c r="Y748" i="1"/>
  <c r="M748" i="1"/>
  <c r="N748" i="1" s="1"/>
  <c r="F748" i="1"/>
  <c r="Y758" i="1"/>
  <c r="K758" i="1"/>
  <c r="J758" i="1"/>
  <c r="M758" i="1" s="1"/>
  <c r="N758" i="1" s="1"/>
  <c r="H758" i="1"/>
  <c r="F758" i="1"/>
  <c r="Y752" i="1"/>
  <c r="J752" i="1"/>
  <c r="M752" i="1" s="1"/>
  <c r="N752" i="1" s="1"/>
  <c r="F752" i="1"/>
  <c r="Y750" i="1"/>
  <c r="J750" i="1"/>
  <c r="F750" i="1"/>
  <c r="Y749" i="1"/>
  <c r="J749" i="1"/>
  <c r="F749" i="1"/>
  <c r="Y747" i="1"/>
  <c r="M747" i="1"/>
  <c r="N747" i="1" s="1"/>
  <c r="F747" i="1"/>
  <c r="Y746" i="1"/>
  <c r="K746" i="1"/>
  <c r="J746" i="1"/>
  <c r="M746" i="1" s="1"/>
  <c r="N746" i="1" s="1"/>
  <c r="H746" i="1"/>
  <c r="F746" i="1"/>
  <c r="Y738" i="1"/>
  <c r="M738" i="1"/>
  <c r="N738" i="1" s="1"/>
  <c r="F738" i="1"/>
  <c r="Y757" i="1"/>
  <c r="F757" i="1"/>
  <c r="Y743" i="1"/>
  <c r="M743" i="1"/>
  <c r="N743" i="1" s="1"/>
  <c r="F743" i="1"/>
  <c r="Y737" i="1"/>
  <c r="M737" i="1"/>
  <c r="N737" i="1" s="1"/>
  <c r="F737" i="1"/>
  <c r="J1176" i="2"/>
  <c r="K1176" i="2" s="1"/>
  <c r="J708" i="1"/>
  <c r="M708" i="1" s="1"/>
  <c r="N708" i="1" s="1"/>
  <c r="J707" i="1"/>
  <c r="M707" i="1" s="1"/>
  <c r="N707" i="1" s="1"/>
  <c r="Y727" i="1"/>
  <c r="M727" i="1"/>
  <c r="N727" i="1" s="1"/>
  <c r="F727" i="1"/>
  <c r="J1316" i="2"/>
  <c r="K1316" i="2" s="1"/>
  <c r="Y723" i="1"/>
  <c r="M723" i="1"/>
  <c r="N723" i="1" s="1"/>
  <c r="F723" i="1"/>
  <c r="J1258" i="2"/>
  <c r="K1258" i="2" s="1"/>
  <c r="Y709" i="1"/>
  <c r="N709" i="1"/>
  <c r="F709" i="1"/>
  <c r="J1175" i="2"/>
  <c r="K1175" i="2" s="1"/>
  <c r="J1172" i="2"/>
  <c r="K1172" i="2" s="1"/>
  <c r="Y728" i="1"/>
  <c r="F728" i="1"/>
  <c r="J1173" i="2"/>
  <c r="K1173" i="2" s="1"/>
  <c r="J1319" i="2"/>
  <c r="K1319" i="2" s="1"/>
  <c r="K1214" i="2"/>
  <c r="Y740" i="1"/>
  <c r="M740" i="1"/>
  <c r="N740" i="1" s="1"/>
  <c r="F740" i="1"/>
  <c r="Y741" i="1"/>
  <c r="M741" i="1"/>
  <c r="N741" i="1" s="1"/>
  <c r="F741" i="1"/>
  <c r="Y745" i="1"/>
  <c r="M745" i="1"/>
  <c r="N745" i="1" s="1"/>
  <c r="F745" i="1"/>
  <c r="J712" i="1"/>
  <c r="M712" i="1" s="1"/>
  <c r="N712" i="1" s="1"/>
  <c r="J711" i="1"/>
  <c r="M711" i="1" s="1"/>
  <c r="N711" i="1" s="1"/>
  <c r="J705" i="1"/>
  <c r="M705" i="1" s="1"/>
  <c r="N705" i="1" s="1"/>
  <c r="J700" i="1"/>
  <c r="M700" i="1" s="1"/>
  <c r="N700" i="1" s="1"/>
  <c r="Y712" i="1"/>
  <c r="F712" i="1"/>
  <c r="Y711" i="1"/>
  <c r="F711" i="1"/>
  <c r="Y705" i="1"/>
  <c r="F705" i="1"/>
  <c r="Y700" i="1"/>
  <c r="F700" i="1"/>
  <c r="Y722" i="1"/>
  <c r="M722" i="1"/>
  <c r="N722" i="1" s="1"/>
  <c r="F722" i="1"/>
  <c r="Y721" i="1"/>
  <c r="M721" i="1"/>
  <c r="N721" i="1" s="1"/>
  <c r="F721" i="1"/>
  <c r="Y720" i="1"/>
  <c r="M720" i="1"/>
  <c r="N720" i="1" s="1"/>
  <c r="F720" i="1"/>
  <c r="Y719" i="1"/>
  <c r="M719" i="1"/>
  <c r="N719" i="1" s="1"/>
  <c r="F719" i="1"/>
  <c r="Y718" i="1"/>
  <c r="M718" i="1"/>
  <c r="N718" i="1" s="1"/>
  <c r="F718" i="1"/>
  <c r="Y715" i="1"/>
  <c r="J715" i="1"/>
  <c r="M715" i="1" s="1"/>
  <c r="N715" i="1" s="1"/>
  <c r="F715" i="1"/>
  <c r="Y714" i="1"/>
  <c r="J714" i="1"/>
  <c r="M714" i="1" s="1"/>
  <c r="N714" i="1" s="1"/>
  <c r="F714" i="1"/>
  <c r="Y706" i="1"/>
  <c r="J706" i="1"/>
  <c r="M706" i="1" s="1"/>
  <c r="N706" i="1" s="1"/>
  <c r="F706" i="1"/>
  <c r="Y708" i="1"/>
  <c r="F708" i="1"/>
  <c r="Y713" i="1"/>
  <c r="J713" i="1"/>
  <c r="M713" i="1" s="1"/>
  <c r="N713" i="1" s="1"/>
  <c r="F713" i="1"/>
  <c r="Y717" i="1"/>
  <c r="M717" i="1"/>
  <c r="N717" i="1" s="1"/>
  <c r="F717" i="1"/>
  <c r="J725" i="1"/>
  <c r="M725" i="1" s="1"/>
  <c r="N725" i="1" s="1"/>
  <c r="J716" i="1"/>
  <c r="M716" i="1" s="1"/>
  <c r="N716" i="1" s="1"/>
  <c r="J710" i="1"/>
  <c r="M710" i="1" s="1"/>
  <c r="N710" i="1" s="1"/>
  <c r="J704" i="1"/>
  <c r="M704" i="1" s="1"/>
  <c r="N704" i="1" s="1"/>
  <c r="J703" i="1"/>
  <c r="J702" i="1"/>
  <c r="J701" i="1"/>
  <c r="Y707" i="1"/>
  <c r="F707" i="1"/>
  <c r="Y753" i="1"/>
  <c r="M753" i="1"/>
  <c r="N753" i="1" s="1"/>
  <c r="F753" i="1"/>
  <c r="Y726" i="1"/>
  <c r="M726" i="1"/>
  <c r="N726" i="1" s="1"/>
  <c r="F726" i="1"/>
  <c r="Y725" i="1"/>
  <c r="F725" i="1"/>
  <c r="Y724" i="1"/>
  <c r="M724" i="1"/>
  <c r="N724" i="1" s="1"/>
  <c r="F724" i="1"/>
  <c r="Y716" i="1"/>
  <c r="F716" i="1"/>
  <c r="Y710" i="1"/>
  <c r="F710" i="1"/>
  <c r="M689" i="1"/>
  <c r="N689" i="1" s="1"/>
  <c r="M681" i="1"/>
  <c r="N681" i="1" s="1"/>
  <c r="J1174" i="2"/>
  <c r="K1174" i="2" s="1"/>
  <c r="J1171" i="2"/>
  <c r="K1171" i="2" s="1"/>
  <c r="J1242" i="2"/>
  <c r="K1242" i="2" s="1"/>
  <c r="J1317" i="2"/>
  <c r="K1317" i="2" s="1"/>
  <c r="M679" i="1"/>
  <c r="N679" i="1" s="1"/>
  <c r="M677" i="1"/>
  <c r="N677" i="1" s="1"/>
  <c r="M680" i="1"/>
  <c r="N680" i="1" s="1"/>
  <c r="Y692" i="1"/>
  <c r="N692" i="1"/>
  <c r="F692" i="1"/>
  <c r="J1170" i="2"/>
  <c r="K1170" i="2" s="1"/>
  <c r="Y687" i="1"/>
  <c r="M687" i="1"/>
  <c r="N687" i="1" s="1"/>
  <c r="F687" i="1"/>
  <c r="F696" i="1"/>
  <c r="J696" i="1"/>
  <c r="M696" i="1" s="1"/>
  <c r="N696" i="1" s="1"/>
  <c r="Y696" i="1"/>
  <c r="F697" i="1"/>
  <c r="J697" i="1"/>
  <c r="M697" i="1" s="1"/>
  <c r="N697" i="1" s="1"/>
  <c r="Y697" i="1"/>
  <c r="Y695" i="1"/>
  <c r="J695" i="1"/>
  <c r="M695" i="1" s="1"/>
  <c r="N695" i="1" s="1"/>
  <c r="F695" i="1"/>
  <c r="Y694" i="1"/>
  <c r="J694" i="1"/>
  <c r="M694" i="1" s="1"/>
  <c r="N694" i="1" s="1"/>
  <c r="F694" i="1"/>
  <c r="Y686" i="1"/>
  <c r="M686" i="1"/>
  <c r="N686" i="1" s="1"/>
  <c r="F686" i="1"/>
  <c r="Y691" i="1"/>
  <c r="J691" i="1"/>
  <c r="M691" i="1" s="1"/>
  <c r="N691" i="1" s="1"/>
  <c r="F691" i="1"/>
  <c r="Y693" i="1"/>
  <c r="J693" i="1"/>
  <c r="M693" i="1" s="1"/>
  <c r="N693" i="1" s="1"/>
  <c r="F693" i="1"/>
  <c r="Y681" i="1"/>
  <c r="F681" i="1"/>
  <c r="Y699" i="1"/>
  <c r="J699" i="1"/>
  <c r="M699" i="1" s="1"/>
  <c r="N699" i="1" s="1"/>
  <c r="F699" i="1"/>
  <c r="Y685" i="1"/>
  <c r="M685" i="1"/>
  <c r="N685" i="1" s="1"/>
  <c r="F685" i="1"/>
  <c r="Y698" i="1"/>
  <c r="J698" i="1"/>
  <c r="M698" i="1" s="1"/>
  <c r="N698" i="1" s="1"/>
  <c r="F698" i="1"/>
  <c r="J688" i="1"/>
  <c r="M688" i="1" s="1"/>
  <c r="N688" i="1" s="1"/>
  <c r="Y684" i="1"/>
  <c r="M684" i="1"/>
  <c r="N684" i="1" s="1"/>
  <c r="F684" i="1"/>
  <c r="Y689" i="1"/>
  <c r="F689" i="1"/>
  <c r="Y688" i="1"/>
  <c r="F688" i="1"/>
  <c r="Y704" i="1"/>
  <c r="F704" i="1"/>
  <c r="Y703" i="1"/>
  <c r="N703" i="1"/>
  <c r="F703" i="1"/>
  <c r="Y702" i="1"/>
  <c r="N702" i="1"/>
  <c r="F702" i="1"/>
  <c r="Y701" i="1"/>
  <c r="N701" i="1"/>
  <c r="F701" i="1"/>
  <c r="Y690" i="1"/>
  <c r="J690" i="1"/>
  <c r="N690" i="1" s="1"/>
  <c r="F690" i="1"/>
  <c r="J668" i="1"/>
  <c r="J661" i="1"/>
  <c r="J1191" i="2"/>
  <c r="K1191" i="2" s="1"/>
  <c r="J1321" i="2"/>
  <c r="K1321" i="2" s="1"/>
  <c r="J1315" i="2"/>
  <c r="K1315" i="2" s="1"/>
  <c r="Y683" i="1"/>
  <c r="M683" i="1"/>
  <c r="N683" i="1" s="1"/>
  <c r="F683" i="1"/>
  <c r="Y678" i="1"/>
  <c r="N678" i="1"/>
  <c r="F678" i="1"/>
  <c r="Y677" i="1"/>
  <c r="F677" i="1"/>
  <c r="J1133" i="2"/>
  <c r="K1133" i="2" s="1"/>
  <c r="Y672" i="1"/>
  <c r="J672" i="1"/>
  <c r="M672" i="1" s="1"/>
  <c r="N672" i="1" s="1"/>
  <c r="F672" i="1"/>
  <c r="Y680" i="1"/>
  <c r="F680" i="1"/>
  <c r="Y676" i="1"/>
  <c r="M676" i="1"/>
  <c r="N676" i="1" s="1"/>
  <c r="F676" i="1"/>
  <c r="Y664" i="1"/>
  <c r="J664" i="1"/>
  <c r="N664" i="1" s="1"/>
  <c r="F664" i="1"/>
  <c r="Y682" i="1"/>
  <c r="M682" i="1"/>
  <c r="N682" i="1" s="1"/>
  <c r="F682" i="1"/>
  <c r="Y679" i="1"/>
  <c r="F679" i="1"/>
  <c r="Y671" i="1"/>
  <c r="J671" i="1"/>
  <c r="M671" i="1" s="1"/>
  <c r="N671" i="1" s="1"/>
  <c r="F671" i="1"/>
  <c r="Y675" i="1"/>
  <c r="M675" i="1"/>
  <c r="N675" i="1" s="1"/>
  <c r="F675" i="1"/>
  <c r="Y674" i="1"/>
  <c r="M674" i="1"/>
  <c r="N674" i="1" s="1"/>
  <c r="F674" i="1"/>
  <c r="Y666" i="1"/>
  <c r="J666" i="1"/>
  <c r="M666" i="1" s="1"/>
  <c r="N666" i="1" s="1"/>
  <c r="F666" i="1"/>
  <c r="Y670" i="1"/>
  <c r="M670" i="1"/>
  <c r="N670" i="1" s="1"/>
  <c r="F670" i="1"/>
  <c r="Y669" i="1"/>
  <c r="M669" i="1"/>
  <c r="N669" i="1" s="1"/>
  <c r="F669" i="1"/>
  <c r="Y665" i="1"/>
  <c r="J665" i="1"/>
  <c r="M665" i="1" s="1"/>
  <c r="N665" i="1" s="1"/>
  <c r="F665" i="1"/>
  <c r="Y661" i="1"/>
  <c r="N661" i="1"/>
  <c r="F661" i="1"/>
  <c r="J673" i="1"/>
  <c r="M673" i="1" s="1"/>
  <c r="N673" i="1" s="1"/>
  <c r="Y668" i="1"/>
  <c r="N668" i="1"/>
  <c r="F668" i="1"/>
  <c r="F662" i="1"/>
  <c r="J1135" i="2"/>
  <c r="K1135" i="2" s="1"/>
  <c r="J1134" i="2"/>
  <c r="K1134" i="2" s="1"/>
  <c r="J645" i="1"/>
  <c r="M645" i="1" s="1"/>
  <c r="N645" i="1" s="1"/>
  <c r="J644" i="1"/>
  <c r="M644" i="1" s="1"/>
  <c r="N644" i="1" s="1"/>
  <c r="J662" i="1"/>
  <c r="Y655" i="1"/>
  <c r="M655" i="1"/>
  <c r="N655" i="1" s="1"/>
  <c r="F655" i="1"/>
  <c r="J1128" i="2"/>
  <c r="K1128" i="2" s="1"/>
  <c r="J972" i="2"/>
  <c r="K972" i="2" s="1"/>
  <c r="J966" i="2"/>
  <c r="K966" i="2" s="1"/>
  <c r="J1314" i="2"/>
  <c r="K1314" i="2" s="1"/>
  <c r="J1313" i="2"/>
  <c r="K1313" i="2" s="1"/>
  <c r="O648" i="1"/>
  <c r="J1198" i="2" s="1"/>
  <c r="K1198" i="2" s="1"/>
  <c r="J1107" i="2"/>
  <c r="K1107" i="2" s="1"/>
  <c r="I1108" i="2"/>
  <c r="J1108" i="2"/>
  <c r="Y645" i="1"/>
  <c r="F645" i="1"/>
  <c r="Y644" i="1"/>
  <c r="F644" i="1"/>
  <c r="J663" i="1"/>
  <c r="Y667" i="1"/>
  <c r="N667" i="1"/>
  <c r="F667" i="1"/>
  <c r="Y663" i="1"/>
  <c r="N663" i="1"/>
  <c r="F663" i="1"/>
  <c r="Y654" i="1"/>
  <c r="J654" i="1"/>
  <c r="M654" i="1" s="1"/>
  <c r="N654" i="1" s="1"/>
  <c r="F654" i="1"/>
  <c r="Y653" i="1"/>
  <c r="J653" i="1"/>
  <c r="M653" i="1" s="1"/>
  <c r="N653" i="1" s="1"/>
  <c r="F653" i="1"/>
  <c r="Y652" i="1"/>
  <c r="M652" i="1"/>
  <c r="N652" i="1" s="1"/>
  <c r="F652" i="1"/>
  <c r="Y659" i="1"/>
  <c r="J659" i="1"/>
  <c r="N659" i="1" s="1"/>
  <c r="F659" i="1"/>
  <c r="Y658" i="1"/>
  <c r="J658" i="1"/>
  <c r="N658" i="1" s="1"/>
  <c r="F658" i="1"/>
  <c r="Y656" i="1"/>
  <c r="K656" i="1"/>
  <c r="J656" i="1"/>
  <c r="M656" i="1" s="1"/>
  <c r="N656" i="1" s="1"/>
  <c r="H656" i="1"/>
  <c r="F656" i="1"/>
  <c r="Y657" i="1"/>
  <c r="N657" i="1"/>
  <c r="F657" i="1"/>
  <c r="Y651" i="1"/>
  <c r="K651" i="1"/>
  <c r="J651" i="1"/>
  <c r="M651" i="1" s="1"/>
  <c r="N651" i="1" s="1"/>
  <c r="H651" i="1"/>
  <c r="F651" i="1"/>
  <c r="Y660" i="1"/>
  <c r="M660" i="1"/>
  <c r="N660" i="1" s="1"/>
  <c r="F660" i="1"/>
  <c r="Y650" i="1"/>
  <c r="J650" i="1"/>
  <c r="M650" i="1" s="1"/>
  <c r="N650" i="1" s="1"/>
  <c r="F650" i="1"/>
  <c r="Y649" i="1"/>
  <c r="J649" i="1"/>
  <c r="M649" i="1" s="1"/>
  <c r="N649" i="1" s="1"/>
  <c r="F649" i="1"/>
  <c r="Y673" i="1"/>
  <c r="F673" i="1"/>
  <c r="Y662" i="1"/>
  <c r="N662" i="1"/>
  <c r="Y648" i="1"/>
  <c r="J648" i="1"/>
  <c r="M648" i="1" s="1"/>
  <c r="N648" i="1" s="1"/>
  <c r="F648" i="1"/>
  <c r="J1197" i="2"/>
  <c r="K1197" i="2" s="1"/>
  <c r="M627" i="1"/>
  <c r="N627" i="1" s="1"/>
  <c r="M629" i="1"/>
  <c r="N629" i="1" s="1"/>
  <c r="M628" i="1"/>
  <c r="N628" i="1" s="1"/>
  <c r="Y635" i="1"/>
  <c r="J635" i="1"/>
  <c r="M635" i="1" s="1"/>
  <c r="N635" i="1" s="1"/>
  <c r="F635" i="1"/>
  <c r="Y639" i="1"/>
  <c r="J639" i="1"/>
  <c r="M639" i="1" s="1"/>
  <c r="N639" i="1" s="1"/>
  <c r="F639" i="1"/>
  <c r="Y638" i="1"/>
  <c r="J638" i="1"/>
  <c r="M638" i="1" s="1"/>
  <c r="N638" i="1" s="1"/>
  <c r="F638" i="1"/>
  <c r="Y630" i="1"/>
  <c r="J630" i="1"/>
  <c r="M630" i="1" s="1"/>
  <c r="N630" i="1" s="1"/>
  <c r="F630" i="1"/>
  <c r="J1312" i="2"/>
  <c r="K1312" i="2" s="1"/>
  <c r="Y641" i="1"/>
  <c r="M641" i="1"/>
  <c r="N641" i="1" s="1"/>
  <c r="F641" i="1"/>
  <c r="J1268" i="2"/>
  <c r="K1268" i="2" s="1"/>
  <c r="J1196" i="2"/>
  <c r="K1196" i="2" s="1"/>
  <c r="J1195" i="2"/>
  <c r="K1195" i="2" s="1"/>
  <c r="F628" i="1"/>
  <c r="Y628" i="1"/>
  <c r="F629" i="1"/>
  <c r="Y629" i="1"/>
  <c r="F626" i="1"/>
  <c r="M626" i="1"/>
  <c r="N626" i="1" s="1"/>
  <c r="Y626" i="1"/>
  <c r="F633" i="1"/>
  <c r="J633" i="1"/>
  <c r="M633" i="1" s="1"/>
  <c r="N633" i="1" s="1"/>
  <c r="Y633" i="1"/>
  <c r="F632" i="1"/>
  <c r="M632" i="1"/>
  <c r="N632" i="1" s="1"/>
  <c r="Y632" i="1"/>
  <c r="F634" i="1"/>
  <c r="J634" i="1"/>
  <c r="M634" i="1" s="1"/>
  <c r="N634" i="1" s="1"/>
  <c r="Y634" i="1"/>
  <c r="F636" i="1"/>
  <c r="J636" i="1"/>
  <c r="M636" i="1" s="1"/>
  <c r="N636" i="1" s="1"/>
  <c r="Y636" i="1"/>
  <c r="F637" i="1"/>
  <c r="J637" i="1"/>
  <c r="M637" i="1" s="1"/>
  <c r="N637" i="1" s="1"/>
  <c r="Y637" i="1"/>
  <c r="F643" i="1"/>
  <c r="M643" i="1"/>
  <c r="N643" i="1" s="1"/>
  <c r="Y643" i="1"/>
  <c r="F625" i="1"/>
  <c r="M625" i="1"/>
  <c r="N625" i="1" s="1"/>
  <c r="Y625" i="1"/>
  <c r="F642" i="1"/>
  <c r="M642" i="1"/>
  <c r="N642" i="1" s="1"/>
  <c r="Y642" i="1"/>
  <c r="F646" i="1"/>
  <c r="M646" i="1"/>
  <c r="N646" i="1" s="1"/>
  <c r="Y646" i="1"/>
  <c r="Y631" i="1"/>
  <c r="M631" i="1"/>
  <c r="N631" i="1" s="1"/>
  <c r="F631" i="1"/>
  <c r="Y647" i="1"/>
  <c r="M647" i="1"/>
  <c r="N647" i="1" s="1"/>
  <c r="F647" i="1"/>
  <c r="M615" i="1"/>
  <c r="N615" i="1" s="1"/>
  <c r="J1106" i="2"/>
  <c r="K1106" i="2" s="1"/>
  <c r="J1194" i="2"/>
  <c r="K1194" i="2" s="1"/>
  <c r="M608" i="1"/>
  <c r="N608" i="1" s="1"/>
  <c r="J1105" i="2"/>
  <c r="K1105" i="2" s="1"/>
  <c r="J1104" i="2"/>
  <c r="K1104" i="2" s="1"/>
  <c r="J1267" i="2"/>
  <c r="K1267" i="2" s="1"/>
  <c r="J1190" i="2"/>
  <c r="K1190" i="2" s="1"/>
  <c r="J1318" i="2"/>
  <c r="K1318" i="2" s="1"/>
  <c r="J1266" i="2"/>
  <c r="K1266" i="2" s="1"/>
  <c r="J1103" i="2"/>
  <c r="K1103" i="2" s="1"/>
  <c r="Y623" i="1"/>
  <c r="M623" i="1"/>
  <c r="N623" i="1" s="1"/>
  <c r="F623" i="1"/>
  <c r="Y606" i="1"/>
  <c r="M606" i="1"/>
  <c r="N606" i="1" s="1"/>
  <c r="F606" i="1"/>
  <c r="Y622" i="1"/>
  <c r="J622" i="1"/>
  <c r="M622" i="1" s="1"/>
  <c r="N622" i="1" s="1"/>
  <c r="F622" i="1"/>
  <c r="Y610" i="1"/>
  <c r="M610" i="1"/>
  <c r="N610" i="1" s="1"/>
  <c r="F610" i="1"/>
  <c r="Y621" i="1"/>
  <c r="J621" i="1"/>
  <c r="M621" i="1" s="1"/>
  <c r="N621" i="1" s="1"/>
  <c r="F621" i="1"/>
  <c r="Y620" i="1"/>
  <c r="J620" i="1"/>
  <c r="M620" i="1" s="1"/>
  <c r="N620" i="1" s="1"/>
  <c r="F620" i="1"/>
  <c r="Y617" i="1"/>
  <c r="J617" i="1"/>
  <c r="M617" i="1" s="1"/>
  <c r="N617" i="1" s="1"/>
  <c r="F617" i="1"/>
  <c r="Y607" i="1"/>
  <c r="M607" i="1"/>
  <c r="N607" i="1" s="1"/>
  <c r="F607" i="1"/>
  <c r="Y618" i="1"/>
  <c r="K618" i="1"/>
  <c r="J618" i="1"/>
  <c r="M618" i="1" s="1"/>
  <c r="N618" i="1" s="1"/>
  <c r="H618" i="1"/>
  <c r="F618" i="1"/>
  <c r="J624" i="1"/>
  <c r="M624" i="1" s="1"/>
  <c r="N624" i="1" s="1"/>
  <c r="Y619" i="1"/>
  <c r="K619" i="1"/>
  <c r="J619" i="1"/>
  <c r="M619" i="1" s="1"/>
  <c r="N619" i="1" s="1"/>
  <c r="H619" i="1"/>
  <c r="F619" i="1"/>
  <c r="Y613" i="1"/>
  <c r="M613" i="1"/>
  <c r="N613" i="1" s="1"/>
  <c r="F613" i="1"/>
  <c r="Y612" i="1"/>
  <c r="M612" i="1"/>
  <c r="N612" i="1" s="1"/>
  <c r="F612" i="1"/>
  <c r="Y611" i="1"/>
  <c r="J611" i="1"/>
  <c r="M611" i="1" s="1"/>
  <c r="N611" i="1" s="1"/>
  <c r="F611" i="1"/>
  <c r="Y605" i="1"/>
  <c r="J605" i="1"/>
  <c r="M605" i="1" s="1"/>
  <c r="N605" i="1" s="1"/>
  <c r="F605" i="1"/>
  <c r="Y624" i="1"/>
  <c r="F624" i="1"/>
  <c r="Y603" i="1"/>
  <c r="M603" i="1"/>
  <c r="N603" i="1" s="1"/>
  <c r="F603" i="1"/>
  <c r="Y604" i="1"/>
  <c r="M604" i="1"/>
  <c r="N604" i="1" s="1"/>
  <c r="F604" i="1"/>
  <c r="Y615" i="1"/>
  <c r="F615" i="1"/>
  <c r="Y608" i="1"/>
  <c r="F608" i="1"/>
  <c r="Y609" i="1"/>
  <c r="M609" i="1"/>
  <c r="N609" i="1" s="1"/>
  <c r="F609" i="1"/>
  <c r="Y614" i="1"/>
  <c r="J614" i="1"/>
  <c r="F614" i="1"/>
  <c r="Y627" i="1"/>
  <c r="F627" i="1"/>
  <c r="Y598" i="1"/>
  <c r="Y599" i="1"/>
  <c r="Y600" i="1"/>
  <c r="Y601" i="1"/>
  <c r="Y602" i="1"/>
  <c r="Y616" i="1"/>
  <c r="Y640" i="1"/>
  <c r="Y594" i="1"/>
  <c r="Y597" i="1"/>
  <c r="Y595" i="1"/>
  <c r="Y596" i="1"/>
  <c r="Y593" i="1"/>
  <c r="J1265" i="2"/>
  <c r="K1265" i="2" s="1"/>
  <c r="J1264" i="2"/>
  <c r="K1264" i="2" s="1"/>
  <c r="J1102" i="2"/>
  <c r="K1102" i="2" s="1"/>
  <c r="J597" i="1"/>
  <c r="M597" i="1" s="1"/>
  <c r="N597" i="1" s="1"/>
  <c r="J1101" i="2"/>
  <c r="K1101" i="2" s="1"/>
  <c r="M593" i="1"/>
  <c r="N593" i="1" s="1"/>
  <c r="F593" i="1"/>
  <c r="J594" i="1"/>
  <c r="M594" i="1" s="1"/>
  <c r="N594" i="1" s="1"/>
  <c r="J592" i="1"/>
  <c r="M601" i="1"/>
  <c r="N601" i="1" s="1"/>
  <c r="F601" i="1"/>
  <c r="M602" i="1"/>
  <c r="N602" i="1" s="1"/>
  <c r="F602" i="1"/>
  <c r="M600" i="1"/>
  <c r="N600" i="1" s="1"/>
  <c r="F600" i="1"/>
  <c r="M599" i="1"/>
  <c r="N599" i="1" s="1"/>
  <c r="F599" i="1"/>
  <c r="M598" i="1"/>
  <c r="N598" i="1" s="1"/>
  <c r="F598" i="1"/>
  <c r="M595" i="1"/>
  <c r="N595" i="1" s="1"/>
  <c r="F595" i="1"/>
  <c r="F594" i="1"/>
  <c r="M616" i="1"/>
  <c r="N616" i="1" s="1"/>
  <c r="F616" i="1"/>
  <c r="M596" i="1"/>
  <c r="N596" i="1" s="1"/>
  <c r="F596" i="1"/>
  <c r="X592" i="1"/>
  <c r="F592" i="1"/>
  <c r="X591" i="1"/>
  <c r="M591" i="1"/>
  <c r="N591" i="1" s="1"/>
  <c r="F591" i="1"/>
  <c r="J1100" i="2"/>
  <c r="K1100" i="2" s="1"/>
  <c r="M581" i="1"/>
  <c r="N581" i="1" s="1"/>
  <c r="J1263" i="2"/>
  <c r="K1263" i="2" s="1"/>
  <c r="J1193" i="2"/>
  <c r="K1193" i="2" s="1"/>
  <c r="I1192" i="2"/>
  <c r="J1192" i="2"/>
  <c r="F581" i="1"/>
  <c r="Y581" i="1"/>
  <c r="F597" i="1"/>
  <c r="F579" i="1"/>
  <c r="M579" i="1"/>
  <c r="N579" i="1" s="1"/>
  <c r="Y579" i="1"/>
  <c r="Y583" i="1"/>
  <c r="M583" i="1"/>
  <c r="N583" i="1" s="1"/>
  <c r="F583" i="1"/>
  <c r="Y590" i="1"/>
  <c r="M590" i="1"/>
  <c r="N590" i="1" s="1"/>
  <c r="F590" i="1"/>
  <c r="Y577" i="1"/>
  <c r="M577" i="1"/>
  <c r="N577" i="1" s="1"/>
  <c r="F577" i="1"/>
  <c r="Y585" i="1"/>
  <c r="J585" i="1"/>
  <c r="M585" i="1" s="1"/>
  <c r="N585" i="1" s="1"/>
  <c r="F585" i="1"/>
  <c r="Y576" i="1"/>
  <c r="M576" i="1"/>
  <c r="N576" i="1" s="1"/>
  <c r="F576" i="1"/>
  <c r="Y589" i="1"/>
  <c r="J589" i="1"/>
  <c r="M589" i="1" s="1"/>
  <c r="N589" i="1" s="1"/>
  <c r="F589" i="1"/>
  <c r="Y588" i="1"/>
  <c r="J588" i="1"/>
  <c r="M588" i="1" s="1"/>
  <c r="N588" i="1" s="1"/>
  <c r="F588" i="1"/>
  <c r="Y582" i="1"/>
  <c r="K582" i="1"/>
  <c r="J582" i="1"/>
  <c r="M582" i="1" s="1"/>
  <c r="N582" i="1" s="1"/>
  <c r="H582" i="1"/>
  <c r="F582" i="1"/>
  <c r="Y584" i="1"/>
  <c r="M584" i="1"/>
  <c r="N584" i="1" s="1"/>
  <c r="F584" i="1"/>
  <c r="Y580" i="1"/>
  <c r="M580" i="1"/>
  <c r="N580" i="1" s="1"/>
  <c r="F580" i="1"/>
  <c r="Y578" i="1"/>
  <c r="M578" i="1"/>
  <c r="N578" i="1" s="1"/>
  <c r="F578" i="1"/>
  <c r="Y575" i="1"/>
  <c r="M575" i="1"/>
  <c r="N575" i="1" s="1"/>
  <c r="F575" i="1"/>
  <c r="Y587" i="1"/>
  <c r="J587" i="1"/>
  <c r="M587" i="1" s="1"/>
  <c r="N587" i="1" s="1"/>
  <c r="F587" i="1"/>
  <c r="Y586" i="1"/>
  <c r="J586" i="1"/>
  <c r="M586" i="1" s="1"/>
  <c r="N586" i="1" s="1"/>
  <c r="F586" i="1"/>
  <c r="Y574" i="1"/>
  <c r="J574" i="1"/>
  <c r="M574" i="1" s="1"/>
  <c r="N574" i="1" s="1"/>
  <c r="F574" i="1"/>
  <c r="M566" i="1"/>
  <c r="N566" i="1" s="1"/>
  <c r="M560" i="1"/>
  <c r="N560" i="1" s="1"/>
  <c r="M561" i="1"/>
  <c r="N561" i="1" s="1"/>
  <c r="J1098" i="2"/>
  <c r="K1098" i="2" s="1"/>
  <c r="J1099" i="2"/>
  <c r="K1099" i="2" s="1"/>
  <c r="J1097" i="2"/>
  <c r="K1097" i="2" s="1"/>
  <c r="J1096" i="2"/>
  <c r="K1096" i="2" s="1"/>
  <c r="J1262" i="2"/>
  <c r="K1262" i="2" s="1"/>
  <c r="J1261" i="2"/>
  <c r="K1261" i="2" s="1"/>
  <c r="J1189" i="2"/>
  <c r="K1189" i="2" s="1"/>
  <c r="J1260" i="2"/>
  <c r="K1260" i="2" s="1"/>
  <c r="Y573" i="1"/>
  <c r="J573" i="1"/>
  <c r="M573" i="1" s="1"/>
  <c r="N573" i="1" s="1"/>
  <c r="F573" i="1"/>
  <c r="J564" i="1"/>
  <c r="M564" i="1" s="1"/>
  <c r="N564" i="1" s="1"/>
  <c r="Y556" i="1"/>
  <c r="M556" i="1"/>
  <c r="N556" i="1" s="1"/>
  <c r="F556" i="1"/>
  <c r="Y563" i="1"/>
  <c r="M563" i="1"/>
  <c r="N563" i="1" s="1"/>
  <c r="F563" i="1"/>
  <c r="Y558" i="1"/>
  <c r="M558" i="1"/>
  <c r="N558" i="1" s="1"/>
  <c r="F558" i="1"/>
  <c r="Y564" i="1"/>
  <c r="K564" i="1"/>
  <c r="H564" i="1"/>
  <c r="F564" i="1"/>
  <c r="Y562" i="1"/>
  <c r="M562" i="1"/>
  <c r="N562" i="1" s="1"/>
  <c r="F562" i="1"/>
  <c r="J570" i="1"/>
  <c r="M570" i="1" s="1"/>
  <c r="N570" i="1" s="1"/>
  <c r="J569" i="1"/>
  <c r="M569" i="1" s="1"/>
  <c r="N569" i="1" s="1"/>
  <c r="J571" i="1"/>
  <c r="M571" i="1" s="1"/>
  <c r="N571" i="1" s="1"/>
  <c r="J572" i="1"/>
  <c r="M572" i="1" s="1"/>
  <c r="N572" i="1" s="1"/>
  <c r="M640" i="1"/>
  <c r="N640" i="1" s="1"/>
  <c r="F640" i="1"/>
  <c r="Y559" i="1"/>
  <c r="M559" i="1"/>
  <c r="N559" i="1" s="1"/>
  <c r="F559" i="1"/>
  <c r="Y572" i="1"/>
  <c r="F572" i="1"/>
  <c r="Y571" i="1"/>
  <c r="F571" i="1"/>
  <c r="Y569" i="1"/>
  <c r="F569" i="1"/>
  <c r="Y565" i="1"/>
  <c r="M565" i="1"/>
  <c r="N565" i="1" s="1"/>
  <c r="F565" i="1"/>
  <c r="Y568" i="1"/>
  <c r="M568" i="1"/>
  <c r="N568" i="1" s="1"/>
  <c r="F568" i="1"/>
  <c r="Y567" i="1"/>
  <c r="M567" i="1"/>
  <c r="N567" i="1" s="1"/>
  <c r="F567" i="1"/>
  <c r="Y557" i="1"/>
  <c r="M557" i="1"/>
  <c r="N557" i="1" s="1"/>
  <c r="F557" i="1"/>
  <c r="Y570" i="1"/>
  <c r="F570" i="1"/>
  <c r="Y561" i="1"/>
  <c r="F561" i="1"/>
  <c r="Y560" i="1"/>
  <c r="F560" i="1"/>
  <c r="J1095" i="2"/>
  <c r="K1095" i="2" s="1"/>
  <c r="J1259" i="2"/>
  <c r="K1259" i="2" s="1"/>
  <c r="Y546" i="1"/>
  <c r="M546" i="1"/>
  <c r="N546" i="1" s="1"/>
  <c r="F546" i="1"/>
  <c r="J544" i="1"/>
  <c r="M544" i="1" s="1"/>
  <c r="N544" i="1" s="1"/>
  <c r="J1257" i="2"/>
  <c r="K1257" i="2" s="1"/>
  <c r="F530" i="1"/>
  <c r="J1256" i="2"/>
  <c r="K1256" i="2" s="1"/>
  <c r="F538" i="1"/>
  <c r="J1093" i="2"/>
  <c r="K1093" i="2" s="1"/>
  <c r="Y545" i="1"/>
  <c r="J545" i="1"/>
  <c r="M545" i="1" s="1"/>
  <c r="N545" i="1" s="1"/>
  <c r="F545" i="1"/>
  <c r="Y539" i="1"/>
  <c r="J539" i="1"/>
  <c r="N539" i="1" s="1"/>
  <c r="F539" i="1"/>
  <c r="Y538" i="1"/>
  <c r="J538" i="1"/>
  <c r="N538" i="1" s="1"/>
  <c r="J550" i="1"/>
  <c r="M550" i="1" s="1"/>
  <c r="N550" i="1" s="1"/>
  <c r="M541" i="1"/>
  <c r="N541" i="1" s="1"/>
  <c r="M547" i="1"/>
  <c r="N547" i="1" s="1"/>
  <c r="J551" i="1"/>
  <c r="M551" i="1" s="1"/>
  <c r="N551" i="1" s="1"/>
  <c r="M542" i="1"/>
  <c r="N542" i="1" s="1"/>
  <c r="M543" i="1"/>
  <c r="N543" i="1" s="1"/>
  <c r="M548" i="1"/>
  <c r="N548" i="1" s="1"/>
  <c r="J552" i="1"/>
  <c r="M552" i="1" s="1"/>
  <c r="N552" i="1" s="1"/>
  <c r="J553" i="1"/>
  <c r="M553" i="1" s="1"/>
  <c r="N553" i="1" s="1"/>
  <c r="M555" i="1"/>
  <c r="N555" i="1" s="1"/>
  <c r="J554" i="1"/>
  <c r="M554" i="1" s="1"/>
  <c r="N554" i="1" s="1"/>
  <c r="M549" i="1"/>
  <c r="N549" i="1" s="1"/>
  <c r="F544" i="1"/>
  <c r="Y554" i="1"/>
  <c r="F554" i="1"/>
  <c r="Y555" i="1"/>
  <c r="F555" i="1"/>
  <c r="Y553" i="1"/>
  <c r="K553" i="1"/>
  <c r="H553" i="1"/>
  <c r="F553" i="1"/>
  <c r="Y552" i="1"/>
  <c r="F552" i="1"/>
  <c r="Y548" i="1"/>
  <c r="F548" i="1"/>
  <c r="Y543" i="1"/>
  <c r="F543" i="1"/>
  <c r="Y542" i="1"/>
  <c r="F542" i="1"/>
  <c r="Y551" i="1"/>
  <c r="F551" i="1"/>
  <c r="Y547" i="1"/>
  <c r="F547" i="1"/>
  <c r="Y541" i="1"/>
  <c r="F541" i="1"/>
  <c r="Y544" i="1"/>
  <c r="Y550" i="1"/>
  <c r="F550" i="1"/>
  <c r="Y549" i="1"/>
  <c r="F549" i="1"/>
  <c r="J1094" i="2"/>
  <c r="K1094" i="2" s="1"/>
  <c r="J1169" i="2"/>
  <c r="K1169" i="2" s="1"/>
  <c r="J1168" i="2"/>
  <c r="K1168" i="2" s="1"/>
  <c r="J1092" i="2"/>
  <c r="K1092" i="2" s="1"/>
  <c r="M523" i="1"/>
  <c r="N523" i="1" s="1"/>
  <c r="F522" i="1"/>
  <c r="J1255" i="2"/>
  <c r="K1255" i="2" s="1"/>
  <c r="Y536" i="1"/>
  <c r="J536" i="1"/>
  <c r="M536" i="1" s="1"/>
  <c r="N536" i="1" s="1"/>
  <c r="F536" i="1"/>
  <c r="J1254" i="2"/>
  <c r="K1254" i="2" s="1"/>
  <c r="Y534" i="1"/>
  <c r="N534" i="1"/>
  <c r="F534" i="1"/>
  <c r="J540" i="1"/>
  <c r="M540" i="1" s="1"/>
  <c r="N540" i="1" s="1"/>
  <c r="O523" i="1"/>
  <c r="J1155" i="2" s="1"/>
  <c r="K1155" i="2" s="1"/>
  <c r="M517" i="1"/>
  <c r="N517" i="1" s="1"/>
  <c r="J518" i="1"/>
  <c r="M518" i="1" s="1"/>
  <c r="N518" i="1" s="1"/>
  <c r="Y524" i="1"/>
  <c r="M524" i="1"/>
  <c r="N524" i="1" s="1"/>
  <c r="F524" i="1"/>
  <c r="J1091" i="2"/>
  <c r="K1091" i="2" s="1"/>
  <c r="J1109" i="2"/>
  <c r="K1109" i="2" s="1"/>
  <c r="J1110" i="2"/>
  <c r="K1110" i="2" s="1"/>
  <c r="J1090" i="2"/>
  <c r="K1090" i="2" s="1"/>
  <c r="Y520" i="1"/>
  <c r="J520" i="1"/>
  <c r="M520" i="1" s="1"/>
  <c r="N520" i="1" s="1"/>
  <c r="F520" i="1"/>
  <c r="Y526" i="1"/>
  <c r="M526" i="1"/>
  <c r="N526" i="1" s="1"/>
  <c r="F526" i="1"/>
  <c r="Y525" i="1"/>
  <c r="M525" i="1"/>
  <c r="N525" i="1" s="1"/>
  <c r="F525" i="1"/>
  <c r="Y530" i="1"/>
  <c r="Y522" i="1"/>
  <c r="M522" i="1"/>
  <c r="N522" i="1" s="1"/>
  <c r="J530" i="1"/>
  <c r="N530" i="1" s="1"/>
  <c r="Y533" i="1"/>
  <c r="N533" i="1"/>
  <c r="F533" i="1"/>
  <c r="Y528" i="1"/>
  <c r="K528" i="1"/>
  <c r="J528" i="1"/>
  <c r="M528" i="1" s="1"/>
  <c r="N528" i="1" s="1"/>
  <c r="H528" i="1"/>
  <c r="F528" i="1"/>
  <c r="Y531" i="1"/>
  <c r="N531" i="1"/>
  <c r="F531" i="1"/>
  <c r="Y527" i="1"/>
  <c r="M527" i="1"/>
  <c r="N527" i="1" s="1"/>
  <c r="F527" i="1"/>
  <c r="Y529" i="1"/>
  <c r="K529" i="1"/>
  <c r="J529" i="1"/>
  <c r="M529" i="1" s="1"/>
  <c r="N529" i="1" s="1"/>
  <c r="H529" i="1"/>
  <c r="F529" i="1"/>
  <c r="Y519" i="1"/>
  <c r="J519" i="1"/>
  <c r="M519" i="1" s="1"/>
  <c r="N519" i="1" s="1"/>
  <c r="F519" i="1"/>
  <c r="Y532" i="1"/>
  <c r="N532" i="1"/>
  <c r="F532" i="1"/>
  <c r="Y566" i="1"/>
  <c r="F566" i="1"/>
  <c r="Y521" i="1"/>
  <c r="M521" i="1"/>
  <c r="N521" i="1" s="1"/>
  <c r="F521" i="1"/>
  <c r="Y540" i="1"/>
  <c r="F540" i="1"/>
  <c r="Y518" i="1"/>
  <c r="F518" i="1"/>
  <c r="J1243" i="2"/>
  <c r="K1243" i="2" s="1"/>
  <c r="M498" i="1"/>
  <c r="N498" i="1" s="1"/>
  <c r="J1253" i="2"/>
  <c r="K1253" i="2" s="1"/>
  <c r="Y514" i="1"/>
  <c r="J514" i="1"/>
  <c r="M514" i="1" s="1"/>
  <c r="N514" i="1" s="1"/>
  <c r="F514" i="1"/>
  <c r="Y505" i="1"/>
  <c r="M505" i="1"/>
  <c r="N505" i="1" s="1"/>
  <c r="F505" i="1"/>
  <c r="Y507" i="1"/>
  <c r="M507" i="1"/>
  <c r="N507" i="1" s="1"/>
  <c r="F507" i="1"/>
  <c r="J537" i="1"/>
  <c r="Y523" i="1"/>
  <c r="F523" i="1"/>
  <c r="Y516" i="1"/>
  <c r="M516" i="1"/>
  <c r="N516" i="1" s="1"/>
  <c r="F516" i="1"/>
  <c r="Y510" i="1"/>
  <c r="N510" i="1"/>
  <c r="F510" i="1"/>
  <c r="Y535" i="1"/>
  <c r="J535" i="1"/>
  <c r="M535" i="1" s="1"/>
  <c r="N535" i="1" s="1"/>
  <c r="F535" i="1"/>
  <c r="Y513" i="1"/>
  <c r="K513" i="1"/>
  <c r="J513" i="1"/>
  <c r="M513" i="1" s="1"/>
  <c r="N513" i="1" s="1"/>
  <c r="H513" i="1"/>
  <c r="F513" i="1"/>
  <c r="Y517" i="1"/>
  <c r="F517" i="1"/>
  <c r="Y515" i="1"/>
  <c r="M515" i="1"/>
  <c r="N515" i="1" s="1"/>
  <c r="F515" i="1"/>
  <c r="Y509" i="1"/>
  <c r="M509" i="1"/>
  <c r="N509" i="1" s="1"/>
  <c r="F509" i="1"/>
  <c r="Y508" i="1"/>
  <c r="M508" i="1"/>
  <c r="N508" i="1" s="1"/>
  <c r="F508" i="1"/>
  <c r="Y506" i="1"/>
  <c r="M506" i="1"/>
  <c r="N506" i="1" s="1"/>
  <c r="F506" i="1"/>
  <c r="Y512" i="1"/>
  <c r="J512" i="1"/>
  <c r="M512" i="1" s="1"/>
  <c r="N512" i="1" s="1"/>
  <c r="F512" i="1"/>
  <c r="Y503" i="1"/>
  <c r="J503" i="1"/>
  <c r="M503" i="1" s="1"/>
  <c r="N503" i="1" s="1"/>
  <c r="F503" i="1"/>
  <c r="Y511" i="1"/>
  <c r="J511" i="1"/>
  <c r="M511" i="1" s="1"/>
  <c r="N511" i="1" s="1"/>
  <c r="F511" i="1"/>
  <c r="Y504" i="1"/>
  <c r="M504" i="1"/>
  <c r="N504" i="1" s="1"/>
  <c r="F504" i="1"/>
  <c r="Y500" i="1"/>
  <c r="J500" i="1"/>
  <c r="M500" i="1" s="1"/>
  <c r="N500" i="1" s="1"/>
  <c r="F500" i="1"/>
  <c r="J1252" i="2"/>
  <c r="K1252" i="2" s="1"/>
  <c r="J1250" i="2"/>
  <c r="K1250" i="2" s="1"/>
  <c r="I1088" i="2"/>
  <c r="J1089" i="2"/>
  <c r="K1089" i="2" s="1"/>
  <c r="J1088" i="2"/>
  <c r="J1154" i="2"/>
  <c r="K1154" i="2" s="1"/>
  <c r="J1087" i="2"/>
  <c r="K1087" i="2" s="1"/>
  <c r="J1086" i="2"/>
  <c r="K1086" i="2" s="1"/>
  <c r="Y483" i="1"/>
  <c r="M483" i="1"/>
  <c r="N483" i="1" s="1"/>
  <c r="F483" i="1"/>
  <c r="Y489" i="1"/>
  <c r="N489" i="1"/>
  <c r="F489" i="1"/>
  <c r="Y490" i="1"/>
  <c r="J490" i="1"/>
  <c r="N490" i="1" s="1"/>
  <c r="F490" i="1"/>
  <c r="Y488" i="1"/>
  <c r="M488" i="1"/>
  <c r="N488" i="1" s="1"/>
  <c r="F488" i="1"/>
  <c r="Y502" i="1"/>
  <c r="N502" i="1"/>
  <c r="F502" i="1"/>
  <c r="Y499" i="1"/>
  <c r="J499" i="1"/>
  <c r="F499" i="1"/>
  <c r="Y495" i="1"/>
  <c r="J495" i="1"/>
  <c r="N495" i="1" s="1"/>
  <c r="F495" i="1"/>
  <c r="Y497" i="1"/>
  <c r="M497" i="1"/>
  <c r="N497" i="1" s="1"/>
  <c r="F497" i="1"/>
  <c r="Y494" i="1"/>
  <c r="J494" i="1"/>
  <c r="M494" i="1" s="1"/>
  <c r="N494" i="1" s="1"/>
  <c r="F494" i="1"/>
  <c r="Y493" i="1"/>
  <c r="J493" i="1"/>
  <c r="M493" i="1" s="1"/>
  <c r="N493" i="1" s="1"/>
  <c r="F493" i="1"/>
  <c r="Y492" i="1"/>
  <c r="J492" i="1"/>
  <c r="M492" i="1" s="1"/>
  <c r="N492" i="1" s="1"/>
  <c r="F492" i="1"/>
  <c r="Y484" i="1"/>
  <c r="J484" i="1"/>
  <c r="N484" i="1" s="1"/>
  <c r="F484" i="1"/>
  <c r="Y498" i="1"/>
  <c r="F498" i="1"/>
  <c r="Y491" i="1"/>
  <c r="J491" i="1"/>
  <c r="M491" i="1" s="1"/>
  <c r="N491" i="1" s="1"/>
  <c r="F491" i="1"/>
  <c r="Y496" i="1"/>
  <c r="M496" i="1"/>
  <c r="N496" i="1" s="1"/>
  <c r="F496" i="1"/>
  <c r="Y486" i="1"/>
  <c r="J486" i="1"/>
  <c r="N486" i="1" s="1"/>
  <c r="F486" i="1"/>
  <c r="Y537" i="1"/>
  <c r="N537" i="1"/>
  <c r="F537" i="1"/>
  <c r="Y501" i="1"/>
  <c r="J501" i="1"/>
  <c r="N501" i="1" s="1"/>
  <c r="F501" i="1"/>
  <c r="J1249" i="2"/>
  <c r="K1249" i="2" s="1"/>
  <c r="M467" i="1"/>
  <c r="N467" i="1" s="1"/>
  <c r="M466" i="1"/>
  <c r="N466" i="1" s="1"/>
  <c r="J1248" i="2"/>
  <c r="K1248" i="2" s="1"/>
  <c r="J1071" i="2"/>
  <c r="K1071" i="2" s="1"/>
  <c r="J1070" i="2"/>
  <c r="K1070" i="2" s="1"/>
  <c r="J1136" i="2"/>
  <c r="K1136" i="2" s="1"/>
  <c r="J1247" i="2"/>
  <c r="K1247" i="2" s="1"/>
  <c r="Y467" i="1"/>
  <c r="F467" i="1"/>
  <c r="J1069" i="2"/>
  <c r="K1069" i="2" s="1"/>
  <c r="Y487" i="1"/>
  <c r="N487" i="1"/>
  <c r="F487" i="1"/>
  <c r="Y485" i="1"/>
  <c r="N485" i="1"/>
  <c r="F485" i="1"/>
  <c r="Y481" i="1"/>
  <c r="J481" i="1"/>
  <c r="M481" i="1" s="1"/>
  <c r="N481" i="1" s="1"/>
  <c r="F481" i="1"/>
  <c r="Y477" i="1"/>
  <c r="J477" i="1"/>
  <c r="M477" i="1" s="1"/>
  <c r="N477" i="1" s="1"/>
  <c r="F477" i="1"/>
  <c r="Y465" i="1"/>
  <c r="M465" i="1"/>
  <c r="N465" i="1" s="1"/>
  <c r="F465" i="1"/>
  <c r="J1083" i="2"/>
  <c r="K1083" i="2" s="1"/>
  <c r="Y461" i="1"/>
  <c r="J461" i="1"/>
  <c r="M461" i="1" s="1"/>
  <c r="N461" i="1" s="1"/>
  <c r="F461" i="1"/>
  <c r="J475" i="1"/>
  <c r="M475" i="1" s="1"/>
  <c r="N475" i="1" s="1"/>
  <c r="Y475" i="1"/>
  <c r="F475" i="1"/>
  <c r="Y473" i="1"/>
  <c r="N473" i="1"/>
  <c r="F473" i="1"/>
  <c r="Y470" i="1"/>
  <c r="M470" i="1"/>
  <c r="N470" i="1" s="1"/>
  <c r="F470" i="1"/>
  <c r="Y482" i="1"/>
  <c r="J482" i="1"/>
  <c r="M482" i="1" s="1"/>
  <c r="N482" i="1" s="1"/>
  <c r="F482" i="1"/>
  <c r="Y478" i="1"/>
  <c r="J478" i="1"/>
  <c r="N478" i="1" s="1"/>
  <c r="F478" i="1"/>
  <c r="Y480" i="1"/>
  <c r="M480" i="1"/>
  <c r="N480" i="1" s="1"/>
  <c r="F480" i="1"/>
  <c r="Y479" i="1"/>
  <c r="M479" i="1"/>
  <c r="N479" i="1" s="1"/>
  <c r="F479" i="1"/>
  <c r="Y474" i="1"/>
  <c r="N474" i="1"/>
  <c r="F474" i="1"/>
  <c r="Y469" i="1"/>
  <c r="J469" i="1"/>
  <c r="M469" i="1" s="1"/>
  <c r="N469" i="1" s="1"/>
  <c r="F469" i="1"/>
  <c r="Y472" i="1"/>
  <c r="M472" i="1"/>
  <c r="N472" i="1" s="1"/>
  <c r="F472" i="1"/>
  <c r="Y476" i="1"/>
  <c r="M476" i="1"/>
  <c r="N476" i="1" s="1"/>
  <c r="F476" i="1"/>
  <c r="Y471" i="1"/>
  <c r="M471" i="1"/>
  <c r="N471" i="1" s="1"/>
  <c r="F471" i="1"/>
  <c r="Y464" i="1"/>
  <c r="M464" i="1"/>
  <c r="N464" i="1" s="1"/>
  <c r="F464" i="1"/>
  <c r="M449" i="1"/>
  <c r="N449" i="1" s="1"/>
  <c r="J1131" i="2"/>
  <c r="K1131" i="2" s="1"/>
  <c r="M447" i="1"/>
  <c r="N447" i="1" s="1"/>
  <c r="J1246" i="2"/>
  <c r="K1246" i="2" s="1"/>
  <c r="J1167" i="2"/>
  <c r="K1167" i="2" s="1"/>
  <c r="J1132" i="2"/>
  <c r="K1132" i="2" s="1"/>
  <c r="J1082" i="2"/>
  <c r="K1082" i="2" s="1"/>
  <c r="Y450" i="1"/>
  <c r="J450" i="1"/>
  <c r="M450" i="1" s="1"/>
  <c r="N450" i="1" s="1"/>
  <c r="F450" i="1"/>
  <c r="Y449" i="1"/>
  <c r="F449" i="1"/>
  <c r="Y451" i="1"/>
  <c r="M451" i="1"/>
  <c r="N451" i="1" s="1"/>
  <c r="F451" i="1"/>
  <c r="J453" i="1"/>
  <c r="M453" i="1" s="1"/>
  <c r="N453" i="1" s="1"/>
  <c r="Y448" i="1"/>
  <c r="M448" i="1"/>
  <c r="N448" i="1" s="1"/>
  <c r="F448" i="1"/>
  <c r="Y453" i="1"/>
  <c r="F453" i="1"/>
  <c r="Y463" i="1"/>
  <c r="J463" i="1"/>
  <c r="M463" i="1" s="1"/>
  <c r="N463" i="1" s="1"/>
  <c r="F463" i="1"/>
  <c r="Y456" i="1"/>
  <c r="J456" i="1"/>
  <c r="N456" i="1" s="1"/>
  <c r="F456" i="1"/>
  <c r="Y462" i="1"/>
  <c r="J462" i="1"/>
  <c r="M462" i="1" s="1"/>
  <c r="N462" i="1" s="1"/>
  <c r="F462" i="1"/>
  <c r="Y460" i="1"/>
  <c r="J460" i="1"/>
  <c r="N460" i="1" s="1"/>
  <c r="F460" i="1"/>
  <c r="Y459" i="1"/>
  <c r="J459" i="1"/>
  <c r="N459" i="1" s="1"/>
  <c r="F459" i="1"/>
  <c r="Y452" i="1"/>
  <c r="M452" i="1"/>
  <c r="N452" i="1" s="1"/>
  <c r="F452" i="1"/>
  <c r="Y458" i="1"/>
  <c r="J458" i="1"/>
  <c r="N458" i="1" s="1"/>
  <c r="F458" i="1"/>
  <c r="Y455" i="1"/>
  <c r="J455" i="1"/>
  <c r="M455" i="1" s="1"/>
  <c r="N455" i="1" s="1"/>
  <c r="F455" i="1"/>
  <c r="Y457" i="1"/>
  <c r="J457" i="1"/>
  <c r="N457" i="1" s="1"/>
  <c r="F457" i="1"/>
  <c r="Y454" i="1"/>
  <c r="J454" i="1"/>
  <c r="M454" i="1" s="1"/>
  <c r="N454" i="1" s="1"/>
  <c r="F454" i="1"/>
  <c r="Y466" i="1"/>
  <c r="F466" i="1"/>
  <c r="Y441" i="1"/>
  <c r="M441" i="1"/>
  <c r="N441" i="1" s="1"/>
  <c r="F441" i="1"/>
  <c r="J1081" i="2"/>
  <c r="K1081" i="2" s="1"/>
  <c r="J1060" i="2"/>
  <c r="K1060" i="2" s="1"/>
  <c r="J1059" i="2"/>
  <c r="K1059" i="2" s="1"/>
  <c r="J1080" i="2"/>
  <c r="K1080" i="2" s="1"/>
  <c r="J1166" i="2"/>
  <c r="K1166" i="2" s="1"/>
  <c r="J1130" i="2"/>
  <c r="K1130" i="2" s="1"/>
  <c r="J1165" i="2"/>
  <c r="K1165" i="2" s="1"/>
  <c r="Y439" i="1"/>
  <c r="M439" i="1"/>
  <c r="N439" i="1" s="1"/>
  <c r="F439" i="1"/>
  <c r="Y432" i="1"/>
  <c r="M432" i="1"/>
  <c r="N432" i="1" s="1"/>
  <c r="F432" i="1"/>
  <c r="J438" i="1"/>
  <c r="M438" i="1" s="1"/>
  <c r="N438" i="1" s="1"/>
  <c r="J429" i="1"/>
  <c r="M429" i="1" s="1"/>
  <c r="N429" i="1" s="1"/>
  <c r="J446" i="1"/>
  <c r="M446" i="1" s="1"/>
  <c r="N446" i="1" s="1"/>
  <c r="J443" i="1"/>
  <c r="M443" i="1" s="1"/>
  <c r="N443" i="1" s="1"/>
  <c r="J445" i="1"/>
  <c r="M445" i="1" s="1"/>
  <c r="N445" i="1" s="1"/>
  <c r="J444" i="1"/>
  <c r="J442" i="1"/>
  <c r="M442" i="1" s="1"/>
  <c r="N442" i="1" s="1"/>
  <c r="Y468" i="1"/>
  <c r="M468" i="1"/>
  <c r="N468" i="1" s="1"/>
  <c r="F468" i="1"/>
  <c r="Y447" i="1"/>
  <c r="F447" i="1"/>
  <c r="Y430" i="1"/>
  <c r="M430" i="1"/>
  <c r="N430" i="1" s="1"/>
  <c r="F430" i="1"/>
  <c r="Y429" i="1"/>
  <c r="F429" i="1"/>
  <c r="Y437" i="1"/>
  <c r="M437" i="1"/>
  <c r="N437" i="1" s="1"/>
  <c r="F437" i="1"/>
  <c r="Y446" i="1"/>
  <c r="F446" i="1"/>
  <c r="Y443" i="1"/>
  <c r="F443" i="1"/>
  <c r="Y440" i="1"/>
  <c r="M440" i="1"/>
  <c r="N440" i="1" s="1"/>
  <c r="F440" i="1"/>
  <c r="Y433" i="1"/>
  <c r="M433" i="1"/>
  <c r="N433" i="1" s="1"/>
  <c r="F433" i="1"/>
  <c r="Y431" i="1"/>
  <c r="M431" i="1"/>
  <c r="N431" i="1" s="1"/>
  <c r="F431" i="1"/>
  <c r="Y428" i="1"/>
  <c r="M428" i="1"/>
  <c r="N428" i="1" s="1"/>
  <c r="F428" i="1"/>
  <c r="Y445" i="1"/>
  <c r="F445" i="1"/>
  <c r="Y434" i="1"/>
  <c r="M434" i="1"/>
  <c r="N434" i="1" s="1"/>
  <c r="F434" i="1"/>
  <c r="Y444" i="1"/>
  <c r="N444" i="1"/>
  <c r="F444" i="1"/>
  <c r="Y442" i="1"/>
  <c r="F442" i="1"/>
  <c r="Y436" i="1"/>
  <c r="M436" i="1"/>
  <c r="N436" i="1" s="1"/>
  <c r="F436" i="1"/>
  <c r="F438" i="1"/>
  <c r="Y438" i="1"/>
  <c r="Y421" i="1"/>
  <c r="M421" i="1"/>
  <c r="N421" i="1" s="1"/>
  <c r="F421" i="1"/>
  <c r="Y427" i="1"/>
  <c r="M427" i="1"/>
  <c r="N427" i="1" s="1"/>
  <c r="F427" i="1"/>
  <c r="J1164" i="2"/>
  <c r="K1164" i="2" s="1"/>
  <c r="J1079" i="2"/>
  <c r="K1079" i="2" s="1"/>
  <c r="J1129" i="2"/>
  <c r="K1129" i="2" s="1"/>
  <c r="J1078" i="2"/>
  <c r="K1078" i="2" s="1"/>
  <c r="J1163" i="2"/>
  <c r="K1163" i="2" s="1"/>
  <c r="M393" i="1"/>
  <c r="N393" i="1" s="1"/>
  <c r="J1077" i="2"/>
  <c r="K1077" i="2" s="1"/>
  <c r="Y418" i="1"/>
  <c r="J418" i="1"/>
  <c r="M418" i="1" s="1"/>
  <c r="N418" i="1" s="1"/>
  <c r="H418" i="1"/>
  <c r="F418" i="1"/>
  <c r="Y411" i="1"/>
  <c r="M411" i="1"/>
  <c r="N411" i="1" s="1"/>
  <c r="F411" i="1"/>
  <c r="Y416" i="1"/>
  <c r="K416" i="1"/>
  <c r="J416" i="1"/>
  <c r="M416" i="1" s="1"/>
  <c r="N416" i="1" s="1"/>
  <c r="H416" i="1"/>
  <c r="F416" i="1"/>
  <c r="Y417" i="1"/>
  <c r="K417" i="1"/>
  <c r="J417" i="1"/>
  <c r="M417" i="1" s="1"/>
  <c r="N417" i="1" s="1"/>
  <c r="H417" i="1"/>
  <c r="F417" i="1"/>
  <c r="Y404" i="1"/>
  <c r="K404" i="1"/>
  <c r="J404" i="1"/>
  <c r="M404" i="1" s="1"/>
  <c r="N404" i="1" s="1"/>
  <c r="H404" i="1"/>
  <c r="F404" i="1"/>
  <c r="Y419" i="1"/>
  <c r="N419" i="1"/>
  <c r="F419" i="1"/>
  <c r="Y403" i="1"/>
  <c r="J403" i="1"/>
  <c r="M403" i="1" s="1"/>
  <c r="N403" i="1" s="1"/>
  <c r="F403" i="1"/>
  <c r="Y412" i="1"/>
  <c r="M412" i="1"/>
  <c r="N412" i="1" s="1"/>
  <c r="F412" i="1"/>
  <c r="Y401" i="1"/>
  <c r="M401" i="1"/>
  <c r="N401" i="1" s="1"/>
  <c r="F401" i="1"/>
  <c r="Y415" i="1"/>
  <c r="M415" i="1"/>
  <c r="N415" i="1" s="1"/>
  <c r="F415" i="1"/>
  <c r="Y413" i="1"/>
  <c r="M413" i="1"/>
  <c r="N413" i="1" s="1"/>
  <c r="F413" i="1"/>
  <c r="Y424" i="1"/>
  <c r="M424" i="1"/>
  <c r="N424" i="1" s="1"/>
  <c r="F424" i="1"/>
  <c r="Y423" i="1"/>
  <c r="M423" i="1"/>
  <c r="N423" i="1" s="1"/>
  <c r="F423" i="1"/>
  <c r="Y410" i="1"/>
  <c r="M410" i="1"/>
  <c r="N410" i="1" s="1"/>
  <c r="F410" i="1"/>
  <c r="Y420" i="1"/>
  <c r="M420" i="1"/>
  <c r="N420" i="1" s="1"/>
  <c r="F420" i="1"/>
  <c r="Y409" i="1"/>
  <c r="M409" i="1"/>
  <c r="N409" i="1" s="1"/>
  <c r="F409" i="1"/>
  <c r="Y408" i="1"/>
  <c r="M408" i="1"/>
  <c r="N408" i="1" s="1"/>
  <c r="F408" i="1"/>
  <c r="Y407" i="1"/>
  <c r="J407" i="1"/>
  <c r="M407" i="1" s="1"/>
  <c r="N407" i="1" s="1"/>
  <c r="F407" i="1"/>
  <c r="Y406" i="1"/>
  <c r="J406" i="1"/>
  <c r="F406" i="1"/>
  <c r="Y422" i="1"/>
  <c r="M422" i="1"/>
  <c r="N422" i="1" s="1"/>
  <c r="F422" i="1"/>
  <c r="Y414" i="1"/>
  <c r="J414" i="1"/>
  <c r="M414" i="1" s="1"/>
  <c r="N414" i="1" s="1"/>
  <c r="F414" i="1"/>
  <c r="Y402" i="1"/>
  <c r="J402" i="1"/>
  <c r="M402" i="1" s="1"/>
  <c r="N402" i="1" s="1"/>
  <c r="F402" i="1"/>
  <c r="Y426" i="1"/>
  <c r="M426" i="1"/>
  <c r="N426" i="1" s="1"/>
  <c r="F426" i="1"/>
  <c r="Y425" i="1"/>
  <c r="M425" i="1"/>
  <c r="N425" i="1" s="1"/>
  <c r="F425" i="1"/>
  <c r="Y405" i="1"/>
  <c r="J405" i="1"/>
  <c r="F405" i="1"/>
  <c r="M385" i="1"/>
  <c r="N385" i="1" s="1"/>
  <c r="M384" i="1"/>
  <c r="N384" i="1" s="1"/>
  <c r="J382" i="1"/>
  <c r="M382" i="1" s="1"/>
  <c r="N382" i="1" s="1"/>
  <c r="J381" i="1"/>
  <c r="M381" i="1" s="1"/>
  <c r="N381" i="1" s="1"/>
  <c r="J1076" i="2"/>
  <c r="K1076" i="2" s="1"/>
  <c r="M370" i="1"/>
  <c r="N370" i="1" s="1"/>
  <c r="M371" i="1"/>
  <c r="N371" i="1" s="1"/>
  <c r="J375" i="1"/>
  <c r="M375" i="1" s="1"/>
  <c r="N375" i="1" s="1"/>
  <c r="J1208" i="2"/>
  <c r="K1208" i="2" s="1"/>
  <c r="J1162" i="2"/>
  <c r="K1162" i="2" s="1"/>
  <c r="Y393" i="1"/>
  <c r="F393" i="1"/>
  <c r="J1160" i="2"/>
  <c r="K1160" i="2" s="1"/>
  <c r="J1161" i="2"/>
  <c r="K1161" i="2" s="1"/>
  <c r="J1074" i="2"/>
  <c r="K1074" i="2" s="1"/>
  <c r="J1159" i="2"/>
  <c r="K1159" i="2" s="1"/>
  <c r="Y435" i="1"/>
  <c r="M435" i="1"/>
  <c r="N435" i="1" s="1"/>
  <c r="F435" i="1"/>
  <c r="Y371" i="1"/>
  <c r="F371" i="1"/>
  <c r="Y400" i="1"/>
  <c r="M400" i="1"/>
  <c r="N400" i="1" s="1"/>
  <c r="F400" i="1"/>
  <c r="Y390" i="1"/>
  <c r="M390" i="1"/>
  <c r="N390" i="1" s="1"/>
  <c r="F390" i="1"/>
  <c r="Y380" i="1"/>
  <c r="M380" i="1"/>
  <c r="N380" i="1" s="1"/>
  <c r="F380" i="1"/>
  <c r="Y396" i="1"/>
  <c r="M396" i="1"/>
  <c r="N396" i="1" s="1"/>
  <c r="F396" i="1"/>
  <c r="Y395" i="1"/>
  <c r="M395" i="1"/>
  <c r="N395" i="1" s="1"/>
  <c r="F395" i="1"/>
  <c r="Y394" i="1"/>
  <c r="M394" i="1"/>
  <c r="N394" i="1" s="1"/>
  <c r="F394" i="1"/>
  <c r="Y388" i="1"/>
  <c r="M388" i="1"/>
  <c r="N388" i="1" s="1"/>
  <c r="F388" i="1"/>
  <c r="Y386" i="1"/>
  <c r="M386" i="1"/>
  <c r="N386" i="1" s="1"/>
  <c r="F386" i="1"/>
  <c r="Y377" i="1"/>
  <c r="J377" i="1"/>
  <c r="M377" i="1" s="1"/>
  <c r="N377" i="1" s="1"/>
  <c r="F377" i="1"/>
  <c r="Y375" i="1"/>
  <c r="F375" i="1"/>
  <c r="Y392" i="1"/>
  <c r="K392" i="1"/>
  <c r="J392" i="1"/>
  <c r="M392" i="1" s="1"/>
  <c r="N392" i="1" s="1"/>
  <c r="H392" i="1"/>
  <c r="F392" i="1"/>
  <c r="Y379" i="1"/>
  <c r="M379" i="1"/>
  <c r="N379" i="1" s="1"/>
  <c r="F379" i="1"/>
  <c r="Y381" i="1"/>
  <c r="F381" i="1"/>
  <c r="Y374" i="1"/>
  <c r="M374" i="1"/>
  <c r="N374" i="1" s="1"/>
  <c r="F374" i="1"/>
  <c r="Y373" i="1"/>
  <c r="J373" i="1"/>
  <c r="M373" i="1" s="1"/>
  <c r="N373" i="1" s="1"/>
  <c r="F373" i="1"/>
  <c r="Y398" i="1"/>
  <c r="M398" i="1"/>
  <c r="N398" i="1" s="1"/>
  <c r="F398" i="1"/>
  <c r="Y397" i="1"/>
  <c r="M397" i="1"/>
  <c r="N397" i="1" s="1"/>
  <c r="F397" i="1"/>
  <c r="Y382" i="1"/>
  <c r="F382" i="1"/>
  <c r="J376" i="1"/>
  <c r="M376" i="1" s="1"/>
  <c r="N376" i="1" s="1"/>
  <c r="Y376" i="1"/>
  <c r="F376" i="1"/>
  <c r="Y387" i="1"/>
  <c r="M387" i="1"/>
  <c r="N387" i="1" s="1"/>
  <c r="F387" i="1"/>
  <c r="Y378" i="1"/>
  <c r="K378" i="1"/>
  <c r="J378" i="1"/>
  <c r="M378" i="1" s="1"/>
  <c r="N378" i="1" s="1"/>
  <c r="H378" i="1"/>
  <c r="F378" i="1"/>
  <c r="Y372" i="1"/>
  <c r="J372" i="1"/>
  <c r="M372" i="1" s="1"/>
  <c r="N372" i="1" s="1"/>
  <c r="F372" i="1"/>
  <c r="Y399" i="1"/>
  <c r="J399" i="1"/>
  <c r="M399" i="1" s="1"/>
  <c r="N399" i="1" s="1"/>
  <c r="F399" i="1"/>
  <c r="Y383" i="1"/>
  <c r="J383" i="1"/>
  <c r="F383" i="1"/>
  <c r="Y389" i="1"/>
  <c r="M389" i="1"/>
  <c r="N389" i="1" s="1"/>
  <c r="F389" i="1"/>
  <c r="Y385" i="1"/>
  <c r="F385" i="1"/>
  <c r="Y384" i="1"/>
  <c r="F384" i="1"/>
  <c r="Y369" i="1"/>
  <c r="M369" i="1"/>
  <c r="N369" i="1" s="1"/>
  <c r="F369" i="1"/>
  <c r="J1158" i="2"/>
  <c r="K1158" i="2" s="1"/>
  <c r="I1073" i="2"/>
  <c r="J1073" i="2"/>
  <c r="K1073" i="2" s="1"/>
  <c r="Y368" i="1"/>
  <c r="M368" i="1"/>
  <c r="N368" i="1" s="1"/>
  <c r="F368" i="1"/>
  <c r="J1157" i="2"/>
  <c r="K1157" i="2" s="1"/>
  <c r="J1156" i="2"/>
  <c r="K1156" i="2" s="1"/>
  <c r="F364" i="1"/>
  <c r="J364" i="1"/>
  <c r="M364" i="1" s="1"/>
  <c r="N364" i="1" s="1"/>
  <c r="Y364" i="1"/>
  <c r="F365" i="1"/>
  <c r="M365" i="1"/>
  <c r="N365" i="1" s="1"/>
  <c r="Y365" i="1"/>
  <c r="Y370" i="1"/>
  <c r="F370" i="1"/>
  <c r="J1153" i="2"/>
  <c r="K1153" i="2" s="1"/>
  <c r="J1072" i="2"/>
  <c r="K1072" i="2" s="1"/>
  <c r="Y363" i="1"/>
  <c r="M363" i="1"/>
  <c r="N363" i="1" s="1"/>
  <c r="F363" i="1"/>
  <c r="J974" i="2"/>
  <c r="K974" i="2" s="1"/>
  <c r="J1152" i="2"/>
  <c r="K1152" i="2" s="1"/>
  <c r="J1066" i="2"/>
  <c r="K1066" i="2" s="1"/>
  <c r="Y346" i="1"/>
  <c r="M346" i="1"/>
  <c r="N346" i="1" s="1"/>
  <c r="F346" i="1"/>
  <c r="Y353" i="1"/>
  <c r="M353" i="1"/>
  <c r="N353" i="1" s="1"/>
  <c r="F353" i="1"/>
  <c r="Y355" i="1"/>
  <c r="M355" i="1"/>
  <c r="N355" i="1" s="1"/>
  <c r="F355" i="1"/>
  <c r="J391" i="1"/>
  <c r="M391" i="1" s="1"/>
  <c r="N391" i="1" s="1"/>
  <c r="Y391" i="1"/>
  <c r="F391" i="1"/>
  <c r="Y367" i="1"/>
  <c r="M367" i="1"/>
  <c r="N367" i="1" s="1"/>
  <c r="F367" i="1"/>
  <c r="Y361" i="1"/>
  <c r="M361" i="1"/>
  <c r="N361" i="1" s="1"/>
  <c r="F361" i="1"/>
  <c r="Y366" i="1"/>
  <c r="M366" i="1"/>
  <c r="N366" i="1" s="1"/>
  <c r="F366" i="1"/>
  <c r="Y360" i="1"/>
  <c r="M360" i="1"/>
  <c r="N360" i="1" s="1"/>
  <c r="F360" i="1"/>
  <c r="Y358" i="1"/>
  <c r="M358" i="1"/>
  <c r="N358" i="1" s="1"/>
  <c r="F358" i="1"/>
  <c r="Y352" i="1"/>
  <c r="M352" i="1"/>
  <c r="N352" i="1" s="1"/>
  <c r="F352" i="1"/>
  <c r="Y357" i="1"/>
  <c r="M357" i="1"/>
  <c r="N357" i="1" s="1"/>
  <c r="F357" i="1"/>
  <c r="Y359" i="1"/>
  <c r="M359" i="1"/>
  <c r="N359" i="1" s="1"/>
  <c r="F359" i="1"/>
  <c r="Y362" i="1"/>
  <c r="K362" i="1"/>
  <c r="J362" i="1"/>
  <c r="M362" i="1" s="1"/>
  <c r="N362" i="1" s="1"/>
  <c r="H362" i="1"/>
  <c r="F362" i="1"/>
  <c r="Y354" i="1"/>
  <c r="M354" i="1"/>
  <c r="N354" i="1" s="1"/>
  <c r="F354" i="1"/>
  <c r="J1151" i="2"/>
  <c r="K1151" i="2" s="1"/>
  <c r="J1150" i="2"/>
  <c r="K1150" i="2" s="1"/>
  <c r="J1068" i="2"/>
  <c r="K1068" i="2" s="1"/>
  <c r="Y345" i="1"/>
  <c r="M345" i="1"/>
  <c r="N345" i="1" s="1"/>
  <c r="F345" i="1"/>
  <c r="Y351" i="1"/>
  <c r="J351" i="1"/>
  <c r="M351" i="1" s="1"/>
  <c r="N351" i="1" s="1"/>
  <c r="F351" i="1"/>
  <c r="Y342" i="1"/>
  <c r="J342" i="1"/>
  <c r="M342" i="1" s="1"/>
  <c r="N342" i="1" s="1"/>
  <c r="F342" i="1"/>
  <c r="Y343" i="1"/>
  <c r="J343" i="1"/>
  <c r="M343" i="1" s="1"/>
  <c r="N343" i="1" s="1"/>
  <c r="F343" i="1"/>
  <c r="J1067" i="2"/>
  <c r="K1067" i="2" s="1"/>
  <c r="J1065" i="2"/>
  <c r="K1065" i="2" s="1"/>
  <c r="J1149" i="2"/>
  <c r="K1149" i="2" s="1"/>
  <c r="J973" i="2"/>
  <c r="K973" i="2" s="1"/>
  <c r="M325" i="1"/>
  <c r="N325" i="1" s="1"/>
  <c r="M324" i="1"/>
  <c r="N324" i="1" s="1"/>
  <c r="Y338" i="1"/>
  <c r="M338" i="1"/>
  <c r="N338" i="1" s="1"/>
  <c r="F338" i="1"/>
  <c r="Y350" i="1"/>
  <c r="J350" i="1"/>
  <c r="M350" i="1" s="1"/>
  <c r="N350" i="1" s="1"/>
  <c r="F350" i="1"/>
  <c r="Y332" i="1"/>
  <c r="M332" i="1"/>
  <c r="N332" i="1" s="1"/>
  <c r="F332" i="1"/>
  <c r="Y344" i="1"/>
  <c r="M344" i="1"/>
  <c r="N344" i="1" s="1"/>
  <c r="F344" i="1"/>
  <c r="Y337" i="1"/>
  <c r="M337" i="1"/>
  <c r="N337" i="1" s="1"/>
  <c r="F337" i="1"/>
  <c r="Y336" i="1"/>
  <c r="M336" i="1"/>
  <c r="N336" i="1" s="1"/>
  <c r="F336" i="1"/>
  <c r="Y331" i="1"/>
  <c r="M331" i="1"/>
  <c r="N331" i="1" s="1"/>
  <c r="F331" i="1"/>
  <c r="Y330" i="1"/>
  <c r="M330" i="1"/>
  <c r="N330" i="1" s="1"/>
  <c r="F330" i="1"/>
  <c r="Y349" i="1"/>
  <c r="J349" i="1"/>
  <c r="M349" i="1" s="1"/>
  <c r="N349" i="1" s="1"/>
  <c r="F349" i="1"/>
  <c r="Y348" i="1"/>
  <c r="J348" i="1"/>
  <c r="M348" i="1" s="1"/>
  <c r="N348" i="1" s="1"/>
  <c r="F348" i="1"/>
  <c r="Y347" i="1"/>
  <c r="J347" i="1"/>
  <c r="M347" i="1" s="1"/>
  <c r="N347" i="1" s="1"/>
  <c r="F347" i="1"/>
  <c r="Y341" i="1"/>
  <c r="J341" i="1"/>
  <c r="M341" i="1" s="1"/>
  <c r="N341" i="1" s="1"/>
  <c r="F341" i="1"/>
  <c r="Y340" i="1"/>
  <c r="M340" i="1"/>
  <c r="N340" i="1" s="1"/>
  <c r="F340" i="1"/>
  <c r="Y339" i="1"/>
  <c r="M339" i="1"/>
  <c r="N339" i="1" s="1"/>
  <c r="F339" i="1"/>
  <c r="Y334" i="1"/>
  <c r="M334" i="1"/>
  <c r="N334" i="1" s="1"/>
  <c r="F334" i="1"/>
  <c r="J1064" i="2"/>
  <c r="K1064" i="2" s="1"/>
  <c r="J1148" i="2"/>
  <c r="K1148" i="2" s="1"/>
  <c r="J1085" i="2"/>
  <c r="K1085" i="2" s="1"/>
  <c r="J1084" i="2"/>
  <c r="K1084" i="2" s="1"/>
  <c r="J1147" i="2"/>
  <c r="K1147" i="2" s="1"/>
  <c r="J1063" i="2"/>
  <c r="K1063" i="2" s="1"/>
  <c r="Y335" i="1"/>
  <c r="M335" i="1"/>
  <c r="N335" i="1" s="1"/>
  <c r="F335" i="1"/>
  <c r="Y324" i="1"/>
  <c r="F324" i="1"/>
  <c r="Y326" i="1"/>
  <c r="M326" i="1"/>
  <c r="N326" i="1" s="1"/>
  <c r="F326" i="1"/>
  <c r="Y322" i="1"/>
  <c r="M322" i="1"/>
  <c r="N322" i="1" s="1"/>
  <c r="F322" i="1"/>
  <c r="Y318" i="1"/>
  <c r="N318" i="1"/>
  <c r="F318" i="1"/>
  <c r="Y329" i="1"/>
  <c r="M329" i="1"/>
  <c r="N329" i="1" s="1"/>
  <c r="F329" i="1"/>
  <c r="Y356" i="1"/>
  <c r="M356" i="1"/>
  <c r="N356" i="1" s="1"/>
  <c r="F356" i="1"/>
  <c r="Y328" i="1"/>
  <c r="M328" i="1"/>
  <c r="N328" i="1" s="1"/>
  <c r="F328" i="1"/>
  <c r="Y327" i="1"/>
  <c r="J327" i="1"/>
  <c r="M327" i="1" s="1"/>
  <c r="N327" i="1" s="1"/>
  <c r="F327" i="1"/>
  <c r="Y323" i="1"/>
  <c r="M323" i="1"/>
  <c r="N323" i="1" s="1"/>
  <c r="F323" i="1"/>
  <c r="Y333" i="1"/>
  <c r="M333" i="1"/>
  <c r="N333" i="1" s="1"/>
  <c r="F333" i="1"/>
  <c r="Y321" i="1"/>
  <c r="M321" i="1"/>
  <c r="N321" i="1" s="1"/>
  <c r="F321" i="1"/>
  <c r="Y320" i="1"/>
  <c r="M320" i="1"/>
  <c r="N320" i="1" s="1"/>
  <c r="F320" i="1"/>
  <c r="Y319" i="1"/>
  <c r="M319" i="1"/>
  <c r="N319" i="1" s="1"/>
  <c r="F319" i="1"/>
  <c r="Y317" i="1"/>
  <c r="M317" i="1"/>
  <c r="N317" i="1" s="1"/>
  <c r="F317" i="1"/>
  <c r="Y315" i="1"/>
  <c r="J315" i="1"/>
  <c r="M315" i="1" s="1"/>
  <c r="N315" i="1" s="1"/>
  <c r="F315" i="1"/>
  <c r="M310" i="1"/>
  <c r="N310" i="1" s="1"/>
  <c r="M306" i="1"/>
  <c r="N306" i="1" s="1"/>
  <c r="M305" i="1"/>
  <c r="N305" i="1" s="1"/>
  <c r="J1146" i="2"/>
  <c r="K1146" i="2" s="1"/>
  <c r="M303" i="1"/>
  <c r="N303" i="1" s="1"/>
  <c r="M302" i="1"/>
  <c r="N302" i="1" s="1"/>
  <c r="J1145" i="2"/>
  <c r="K1145" i="2" s="1"/>
  <c r="J1144" i="2"/>
  <c r="K1144" i="2" s="1"/>
  <c r="J1251" i="2"/>
  <c r="K1251" i="2" s="1"/>
  <c r="J1143" i="2"/>
  <c r="K1143" i="2" s="1"/>
  <c r="Y314" i="1"/>
  <c r="J314" i="1"/>
  <c r="M314" i="1" s="1"/>
  <c r="N314" i="1" s="1"/>
  <c r="F314" i="1"/>
  <c r="Y310" i="1"/>
  <c r="F310" i="1"/>
  <c r="Y305" i="1"/>
  <c r="F305" i="1"/>
  <c r="Y313" i="1"/>
  <c r="J313" i="1"/>
  <c r="N313" i="1" s="1"/>
  <c r="F313" i="1"/>
  <c r="Y325" i="1"/>
  <c r="F325" i="1"/>
  <c r="Y316" i="1"/>
  <c r="J316" i="1"/>
  <c r="M316" i="1" s="1"/>
  <c r="N316" i="1" s="1"/>
  <c r="F316" i="1"/>
  <c r="Y311" i="1"/>
  <c r="M311" i="1"/>
  <c r="N311" i="1" s="1"/>
  <c r="F311" i="1"/>
  <c r="Y308" i="1"/>
  <c r="J308" i="1"/>
  <c r="M308" i="1" s="1"/>
  <c r="N308" i="1" s="1"/>
  <c r="F308" i="1"/>
  <c r="Y302" i="1"/>
  <c r="F302" i="1"/>
  <c r="Y309" i="1"/>
  <c r="M309" i="1"/>
  <c r="N309" i="1" s="1"/>
  <c r="F309" i="1"/>
  <c r="Y304" i="1"/>
  <c r="M304" i="1"/>
  <c r="N304" i="1" s="1"/>
  <c r="F304" i="1"/>
  <c r="Y312" i="1"/>
  <c r="M312" i="1"/>
  <c r="N312" i="1" s="1"/>
  <c r="F312" i="1"/>
  <c r="Y300" i="1"/>
  <c r="M300" i="1"/>
  <c r="N300" i="1" s="1"/>
  <c r="F300" i="1"/>
  <c r="Y303" i="1"/>
  <c r="F303" i="1"/>
  <c r="Y301" i="1"/>
  <c r="M301" i="1"/>
  <c r="N301" i="1" s="1"/>
  <c r="F301" i="1"/>
  <c r="Y307" i="1"/>
  <c r="J307" i="1"/>
  <c r="M307" i="1" s="1"/>
  <c r="N307" i="1" s="1"/>
  <c r="F307" i="1"/>
  <c r="Y298" i="1"/>
  <c r="N298" i="1"/>
  <c r="F298" i="1"/>
  <c r="J1141" i="2"/>
  <c r="K1141" i="2" s="1"/>
  <c r="J1140" i="2"/>
  <c r="K1140" i="2" s="1"/>
  <c r="J1062" i="2"/>
  <c r="K1062" i="2" s="1"/>
  <c r="J1061" i="2"/>
  <c r="K1061" i="2" s="1"/>
  <c r="Y295" i="1"/>
  <c r="M295" i="1"/>
  <c r="N295" i="1" s="1"/>
  <c r="F295" i="1"/>
  <c r="J1142" i="2"/>
  <c r="K1142" i="2" s="1"/>
  <c r="Y286" i="1"/>
  <c r="M286" i="1"/>
  <c r="N286" i="1" s="1"/>
  <c r="F286" i="1"/>
  <c r="J1138" i="2"/>
  <c r="K1138" i="2" s="1"/>
  <c r="J1137" i="2"/>
  <c r="K1137" i="2" s="1"/>
  <c r="J1127" i="2"/>
  <c r="K1127" i="2" s="1"/>
  <c r="Y296" i="1"/>
  <c r="J296" i="1"/>
  <c r="N296" i="1" s="1"/>
  <c r="F296" i="1"/>
  <c r="Y290" i="1"/>
  <c r="K290" i="1"/>
  <c r="J290" i="1"/>
  <c r="M290" i="1" s="1"/>
  <c r="N290" i="1" s="1"/>
  <c r="H290" i="1"/>
  <c r="F290" i="1"/>
  <c r="Y294" i="1"/>
  <c r="M294" i="1"/>
  <c r="N294" i="1" s="1"/>
  <c r="F294" i="1"/>
  <c r="Y292" i="1"/>
  <c r="J292" i="1"/>
  <c r="M292" i="1" s="1"/>
  <c r="N292" i="1" s="1"/>
  <c r="F292" i="1"/>
  <c r="Y293" i="1"/>
  <c r="J293" i="1"/>
  <c r="M293" i="1" s="1"/>
  <c r="N293" i="1" s="1"/>
  <c r="F293" i="1"/>
  <c r="Y289" i="1"/>
  <c r="J289" i="1"/>
  <c r="M289" i="1" s="1"/>
  <c r="N289" i="1" s="1"/>
  <c r="F289" i="1"/>
  <c r="Y297" i="1"/>
  <c r="J297" i="1"/>
  <c r="N297" i="1" s="1"/>
  <c r="F297" i="1"/>
  <c r="Y288" i="1"/>
  <c r="J288" i="1"/>
  <c r="N288" i="1" s="1"/>
  <c r="F288" i="1"/>
  <c r="Y285" i="1"/>
  <c r="M285" i="1"/>
  <c r="N285" i="1" s="1"/>
  <c r="F285" i="1"/>
  <c r="Y283" i="1"/>
  <c r="J283" i="1"/>
  <c r="M283" i="1" s="1"/>
  <c r="N283" i="1" s="1"/>
  <c r="F283" i="1"/>
  <c r="Y287" i="1"/>
  <c r="N287" i="1"/>
  <c r="F287" i="1"/>
  <c r="J282" i="1"/>
  <c r="M282" i="1" s="1"/>
  <c r="N282" i="1" s="1"/>
  <c r="J291" i="1"/>
  <c r="M291" i="1" s="1"/>
  <c r="N291" i="1" s="1"/>
  <c r="Y291" i="1"/>
  <c r="F291" i="1"/>
  <c r="Y284" i="1"/>
  <c r="M284" i="1"/>
  <c r="N284" i="1" s="1"/>
  <c r="F284" i="1"/>
  <c r="Y280" i="1"/>
  <c r="M280" i="1"/>
  <c r="N280" i="1" s="1"/>
  <c r="F280" i="1"/>
  <c r="Y282" i="1"/>
  <c r="F282" i="1"/>
  <c r="Y276" i="1"/>
  <c r="M276" i="1"/>
  <c r="N276" i="1" s="1"/>
  <c r="F276" i="1"/>
  <c r="Y299" i="1"/>
  <c r="J299" i="1"/>
  <c r="M299" i="1" s="1"/>
  <c r="N299" i="1" s="1"/>
  <c r="F299" i="1"/>
  <c r="Y275" i="1"/>
  <c r="J275" i="1"/>
  <c r="M275" i="1" s="1"/>
  <c r="N275" i="1" s="1"/>
  <c r="F275" i="1"/>
  <c r="F306" i="1"/>
  <c r="Y306" i="1"/>
  <c r="J1058" i="2"/>
  <c r="K1058" i="2" s="1"/>
  <c r="J1057" i="2"/>
  <c r="K1057" i="2" s="1"/>
  <c r="J1126" i="2"/>
  <c r="K1126" i="2" s="1"/>
  <c r="J1055" i="2"/>
  <c r="K1055" i="2" s="1"/>
  <c r="J1075" i="2"/>
  <c r="K1075" i="2" s="1"/>
  <c r="Y277" i="1"/>
  <c r="N277" i="1"/>
  <c r="F277" i="1"/>
  <c r="J1125" i="2"/>
  <c r="K1125" i="2" s="1"/>
  <c r="J264" i="1"/>
  <c r="J263" i="1"/>
  <c r="J1124" i="2"/>
  <c r="K1124" i="2" s="1"/>
  <c r="J281" i="1"/>
  <c r="J274" i="1"/>
  <c r="J279" i="1"/>
  <c r="Y274" i="1"/>
  <c r="N274" i="1"/>
  <c r="F274" i="1"/>
  <c r="Y278" i="1"/>
  <c r="N278" i="1"/>
  <c r="F278" i="1"/>
  <c r="Y272" i="1"/>
  <c r="M272" i="1"/>
  <c r="N272" i="1" s="1"/>
  <c r="F272" i="1"/>
  <c r="Y271" i="1"/>
  <c r="M271" i="1"/>
  <c r="N271" i="1" s="1"/>
  <c r="F271" i="1"/>
  <c r="Y269" i="1"/>
  <c r="M269" i="1"/>
  <c r="N269" i="1" s="1"/>
  <c r="F269" i="1"/>
  <c r="Y268" i="1"/>
  <c r="M268" i="1"/>
  <c r="N268" i="1" s="1"/>
  <c r="F268" i="1"/>
  <c r="Y266" i="1"/>
  <c r="M266" i="1"/>
  <c r="N266" i="1" s="1"/>
  <c r="F266" i="1"/>
  <c r="Y281" i="1"/>
  <c r="N281" i="1"/>
  <c r="F281" i="1"/>
  <c r="Y270" i="1"/>
  <c r="M270" i="1"/>
  <c r="N270" i="1" s="1"/>
  <c r="F270" i="1"/>
  <c r="Y267" i="1"/>
  <c r="M267" i="1"/>
  <c r="N267" i="1" s="1"/>
  <c r="F267" i="1"/>
  <c r="Y261" i="1"/>
  <c r="N261" i="1"/>
  <c r="F261" i="1"/>
  <c r="M254" i="1"/>
  <c r="N254" i="1" s="1"/>
  <c r="M253" i="1"/>
  <c r="N253" i="1" s="1"/>
  <c r="M255" i="1"/>
  <c r="N255" i="1" s="1"/>
  <c r="M251" i="1"/>
  <c r="N251" i="1" s="1"/>
  <c r="M252" i="1"/>
  <c r="N252" i="1" s="1"/>
  <c r="J1123" i="2"/>
  <c r="K1123" i="2" s="1"/>
  <c r="J1122" i="2"/>
  <c r="K1122" i="2" s="1"/>
  <c r="J1139" i="2"/>
  <c r="K1139" i="2" s="1"/>
  <c r="J1121" i="2"/>
  <c r="K1121" i="2" s="1"/>
  <c r="J982" i="2"/>
  <c r="K982" i="2" s="1"/>
  <c r="Y259" i="1"/>
  <c r="N259" i="1"/>
  <c r="F259" i="1"/>
  <c r="J1120" i="2"/>
  <c r="K1120" i="2" s="1"/>
  <c r="Y262" i="1"/>
  <c r="N262" i="1"/>
  <c r="F262" i="1"/>
  <c r="J1056" i="2"/>
  <c r="K1056" i="2" s="1"/>
  <c r="J240" i="1"/>
  <c r="M240" i="1" s="1"/>
  <c r="N240" i="1" s="1"/>
  <c r="J247" i="1"/>
  <c r="M247" i="1" s="1"/>
  <c r="N247" i="1" s="1"/>
  <c r="J246" i="1"/>
  <c r="M246" i="1" s="1"/>
  <c r="N246" i="1" s="1"/>
  <c r="F265" i="1"/>
  <c r="N265" i="1"/>
  <c r="Y265" i="1"/>
  <c r="F257" i="1"/>
  <c r="J257" i="1"/>
  <c r="N257" i="1"/>
  <c r="Y257" i="1"/>
  <c r="F263" i="1"/>
  <c r="N263" i="1"/>
  <c r="Y263" i="1"/>
  <c r="F251" i="1"/>
  <c r="Y251" i="1"/>
  <c r="F254" i="1"/>
  <c r="Y254" i="1"/>
  <c r="F273" i="1"/>
  <c r="H273" i="1"/>
  <c r="M273" i="1"/>
  <c r="N273" i="1" s="1"/>
  <c r="Y273" i="1"/>
  <c r="F264" i="1"/>
  <c r="N264" i="1"/>
  <c r="Y264" i="1"/>
  <c r="F252" i="1"/>
  <c r="Y252" i="1"/>
  <c r="F255" i="1"/>
  <c r="Y255" i="1"/>
  <c r="F250" i="1"/>
  <c r="M250" i="1"/>
  <c r="N250" i="1" s="1"/>
  <c r="Y250" i="1"/>
  <c r="F279" i="1"/>
  <c r="N279" i="1"/>
  <c r="Y279" i="1"/>
  <c r="Y253" i="1"/>
  <c r="F253" i="1"/>
  <c r="Y243" i="1"/>
  <c r="M243" i="1"/>
  <c r="N243" i="1" s="1"/>
  <c r="F243" i="1"/>
  <c r="Y256" i="1"/>
  <c r="M256" i="1"/>
  <c r="N256" i="1" s="1"/>
  <c r="F256" i="1"/>
  <c r="Y260" i="1"/>
  <c r="M260" i="1"/>
  <c r="N260" i="1" s="1"/>
  <c r="F260" i="1"/>
  <c r="Y249" i="1"/>
  <c r="M249" i="1"/>
  <c r="N249" i="1" s="1"/>
  <c r="F249" i="1"/>
  <c r="Y248" i="1"/>
  <c r="M248" i="1"/>
  <c r="N248" i="1" s="1"/>
  <c r="F248" i="1"/>
  <c r="Y258" i="1"/>
  <c r="N258" i="1"/>
  <c r="F258" i="1"/>
  <c r="J245" i="1"/>
  <c r="M245" i="1" s="1"/>
  <c r="N245" i="1" s="1"/>
  <c r="J237" i="1"/>
  <c r="M237" i="1" s="1"/>
  <c r="N237" i="1" s="1"/>
  <c r="J233" i="1"/>
  <c r="M233" i="1" s="1"/>
  <c r="N233" i="1" s="1"/>
  <c r="J239" i="1"/>
  <c r="M239" i="1" s="1"/>
  <c r="N239" i="1" s="1"/>
  <c r="J238" i="1"/>
  <c r="M238" i="1" s="1"/>
  <c r="N238" i="1" s="1"/>
  <c r="J234" i="1"/>
  <c r="M234" i="1" s="1"/>
  <c r="N234" i="1" s="1"/>
  <c r="J1119" i="2"/>
  <c r="K1119" i="2" s="1"/>
  <c r="J981" i="2"/>
  <c r="K981" i="2" s="1"/>
  <c r="J230" i="1"/>
  <c r="M230" i="1" s="1"/>
  <c r="N230" i="1" s="1"/>
  <c r="J980" i="2"/>
  <c r="K980" i="2" s="1"/>
  <c r="J1118" i="2"/>
  <c r="K1118" i="2" s="1"/>
  <c r="Y244" i="1"/>
  <c r="K244" i="1"/>
  <c r="J244" i="1"/>
  <c r="M244" i="1" s="1"/>
  <c r="N244" i="1" s="1"/>
  <c r="H244" i="1"/>
  <c r="G244" i="1"/>
  <c r="F244" i="1"/>
  <c r="J223" i="1"/>
  <c r="M223" i="1" s="1"/>
  <c r="N223" i="1" s="1"/>
  <c r="Y237" i="1"/>
  <c r="F237" i="1"/>
  <c r="J222" i="1"/>
  <c r="M222" i="1" s="1"/>
  <c r="N222" i="1" s="1"/>
  <c r="J221" i="1"/>
  <c r="M221" i="1" s="1"/>
  <c r="N221" i="1" s="1"/>
  <c r="M219" i="1"/>
  <c r="N219" i="1" s="1"/>
  <c r="M217" i="1"/>
  <c r="N217" i="1" s="1"/>
  <c r="Y240" i="1"/>
  <c r="F240" i="1"/>
  <c r="Y247" i="1"/>
  <c r="F247" i="1"/>
  <c r="Y246" i="1"/>
  <c r="F246" i="1"/>
  <c r="Y238" i="1"/>
  <c r="F238" i="1"/>
  <c r="Y231" i="1"/>
  <c r="N231" i="1"/>
  <c r="F231" i="1"/>
  <c r="Y242" i="1"/>
  <c r="J242" i="1"/>
  <c r="F242" i="1"/>
  <c r="Y241" i="1"/>
  <c r="J241" i="1"/>
  <c r="F241" i="1"/>
  <c r="Y233" i="1"/>
  <c r="F233" i="1"/>
  <c r="Y234" i="1"/>
  <c r="F234" i="1"/>
  <c r="Y245" i="1"/>
  <c r="F245" i="1"/>
  <c r="Y239" i="1"/>
  <c r="F239" i="1"/>
  <c r="Y230" i="1"/>
  <c r="F230" i="1"/>
  <c r="Y236" i="1"/>
  <c r="M236" i="1"/>
  <c r="N236" i="1" s="1"/>
  <c r="F236" i="1"/>
  <c r="Y228" i="1"/>
  <c r="J228" i="1"/>
  <c r="M228" i="1" s="1"/>
  <c r="N228" i="1" s="1"/>
  <c r="F228" i="1"/>
  <c r="J235" i="1"/>
  <c r="M235" i="1" s="1"/>
  <c r="N235" i="1" s="1"/>
  <c r="Y232" i="1"/>
  <c r="N232" i="1"/>
  <c r="F232" i="1"/>
  <c r="Y235" i="1"/>
  <c r="F235" i="1"/>
  <c r="Y229" i="1"/>
  <c r="M229" i="1"/>
  <c r="N229" i="1" s="1"/>
  <c r="F229" i="1"/>
  <c r="J1117" i="2"/>
  <c r="K1117" i="2" s="1"/>
  <c r="J962" i="2"/>
  <c r="K962" i="2" s="1"/>
  <c r="J216" i="1"/>
  <c r="M216" i="1" s="1"/>
  <c r="N216" i="1" s="1"/>
  <c r="J218" i="1"/>
  <c r="M218" i="1" s="1"/>
  <c r="N218" i="1" s="1"/>
  <c r="J1116" i="2"/>
  <c r="K1116" i="2" s="1"/>
  <c r="J979" i="2"/>
  <c r="K979" i="2" s="1"/>
  <c r="J976" i="2"/>
  <c r="K976" i="2" s="1"/>
  <c r="J978" i="2"/>
  <c r="K978" i="2" s="1"/>
  <c r="Y225" i="1"/>
  <c r="J225" i="1"/>
  <c r="M225" i="1" s="1"/>
  <c r="N225" i="1" s="1"/>
  <c r="F225" i="1"/>
  <c r="J1115" i="2"/>
  <c r="K1115" i="2" s="1"/>
  <c r="Y213" i="1"/>
  <c r="J213" i="1"/>
  <c r="M213" i="1" s="1"/>
  <c r="N213" i="1" s="1"/>
  <c r="F213" i="1"/>
  <c r="J1114" i="2"/>
  <c r="K1114" i="2" s="1"/>
  <c r="J206" i="1"/>
  <c r="J204" i="1"/>
  <c r="J977" i="2"/>
  <c r="K977" i="2" s="1"/>
  <c r="Y226" i="1"/>
  <c r="J226" i="1"/>
  <c r="M226" i="1" s="1"/>
  <c r="N226" i="1" s="1"/>
  <c r="F226" i="1"/>
  <c r="Y223" i="1"/>
  <c r="F223" i="1"/>
  <c r="Y219" i="1"/>
  <c r="F219" i="1"/>
  <c r="Y216" i="1"/>
  <c r="F216" i="1"/>
  <c r="Y224" i="1"/>
  <c r="J224" i="1"/>
  <c r="M224" i="1" s="1"/>
  <c r="N224" i="1" s="1"/>
  <c r="F224" i="1"/>
  <c r="Y227" i="1"/>
  <c r="J227" i="1"/>
  <c r="M227" i="1" s="1"/>
  <c r="N227" i="1" s="1"/>
  <c r="F227" i="1"/>
  <c r="Y222" i="1"/>
  <c r="F222" i="1"/>
  <c r="Y221" i="1"/>
  <c r="F221" i="1"/>
  <c r="Y220" i="1"/>
  <c r="J220" i="1"/>
  <c r="M220" i="1" s="1"/>
  <c r="N220" i="1" s="1"/>
  <c r="F220" i="1"/>
  <c r="Y218" i="1"/>
  <c r="F218" i="1"/>
  <c r="Y214" i="1"/>
  <c r="M214" i="1"/>
  <c r="N214" i="1" s="1"/>
  <c r="F214" i="1"/>
  <c r="Y211" i="1"/>
  <c r="M211" i="1"/>
  <c r="N211" i="1" s="1"/>
  <c r="F211" i="1"/>
  <c r="Y212" i="1"/>
  <c r="J212" i="1"/>
  <c r="M212" i="1" s="1"/>
  <c r="N212" i="1" s="1"/>
  <c r="F212" i="1"/>
  <c r="Y205" i="1"/>
  <c r="M205" i="1"/>
  <c r="N205" i="1" s="1"/>
  <c r="F205" i="1"/>
  <c r="Y210" i="1"/>
  <c r="N210" i="1"/>
  <c r="F210" i="1"/>
  <c r="M199" i="1"/>
  <c r="N199" i="1" s="1"/>
  <c r="M198" i="1"/>
  <c r="N198" i="1" s="1"/>
  <c r="M197" i="1"/>
  <c r="N197" i="1" s="1"/>
  <c r="J194" i="1"/>
  <c r="M194" i="1" s="1"/>
  <c r="N194" i="1" s="1"/>
  <c r="J961" i="2"/>
  <c r="K961" i="2" s="1"/>
  <c r="J191" i="1"/>
  <c r="M191" i="1" s="1"/>
  <c r="N191" i="1" s="1"/>
  <c r="J1113" i="2"/>
  <c r="K1113" i="2" s="1"/>
  <c r="J1112" i="2"/>
  <c r="K1112" i="2" s="1"/>
  <c r="J1111" i="2"/>
  <c r="K1111" i="2" s="1"/>
  <c r="J1054" i="2"/>
  <c r="K1054" i="2" s="1"/>
  <c r="Y208" i="1"/>
  <c r="J208" i="1"/>
  <c r="N208" i="1" s="1"/>
  <c r="F208" i="1"/>
  <c r="J975" i="2"/>
  <c r="K975" i="2" s="1"/>
  <c r="Y204" i="1"/>
  <c r="F204" i="1"/>
  <c r="Y217" i="1"/>
  <c r="F217" i="1"/>
  <c r="Y199" i="1"/>
  <c r="F199" i="1"/>
  <c r="Y196" i="1"/>
  <c r="M196" i="1"/>
  <c r="N196" i="1" s="1"/>
  <c r="F196" i="1"/>
  <c r="Y201" i="1"/>
  <c r="M201" i="1"/>
  <c r="N201" i="1" s="1"/>
  <c r="F201" i="1"/>
  <c r="Y195" i="1"/>
  <c r="M195" i="1"/>
  <c r="N195" i="1" s="1"/>
  <c r="F195" i="1"/>
  <c r="Y192" i="1"/>
  <c r="J192" i="1"/>
  <c r="M192" i="1" s="1"/>
  <c r="N192" i="1" s="1"/>
  <c r="F192" i="1"/>
  <c r="Y202" i="1"/>
  <c r="N202" i="1"/>
  <c r="F202" i="1"/>
  <c r="Y203" i="1"/>
  <c r="N203" i="1"/>
  <c r="F203" i="1"/>
  <c r="Y193" i="1"/>
  <c r="J193" i="1"/>
  <c r="M193" i="1" s="1"/>
  <c r="N193" i="1" s="1"/>
  <c r="F193" i="1"/>
  <c r="Y209" i="1"/>
  <c r="J209" i="1"/>
  <c r="N209" i="1" s="1"/>
  <c r="F209" i="1"/>
  <c r="Y206" i="1"/>
  <c r="F206" i="1"/>
  <c r="Y200" i="1"/>
  <c r="M200" i="1"/>
  <c r="N200" i="1" s="1"/>
  <c r="F200" i="1"/>
  <c r="Y197" i="1"/>
  <c r="F197" i="1"/>
  <c r="Y215" i="1"/>
  <c r="M215" i="1"/>
  <c r="N215" i="1" s="1"/>
  <c r="F215" i="1"/>
  <c r="Y198" i="1"/>
  <c r="F198" i="1"/>
  <c r="Y207" i="1"/>
  <c r="J207" i="1"/>
  <c r="N207" i="1" s="1"/>
  <c r="F207" i="1"/>
  <c r="Y194" i="1"/>
  <c r="F194" i="1"/>
  <c r="Y191" i="1"/>
  <c r="F191" i="1"/>
  <c r="J185" i="1"/>
  <c r="M185" i="1" s="1"/>
  <c r="N185" i="1" s="1"/>
  <c r="J960" i="2"/>
  <c r="K960" i="2" s="1"/>
  <c r="M182" i="1"/>
  <c r="N182" i="1" s="1"/>
  <c r="M184" i="1"/>
  <c r="N184" i="1" s="1"/>
  <c r="M183" i="1"/>
  <c r="N183" i="1" s="1"/>
  <c r="J1053" i="2"/>
  <c r="K1053" i="2" s="1"/>
  <c r="J1052" i="2"/>
  <c r="K1052" i="2" s="1"/>
  <c r="J1051" i="2"/>
  <c r="K1051" i="2" s="1"/>
  <c r="J1050" i="2"/>
  <c r="K1050" i="2" s="1"/>
  <c r="J1049" i="2"/>
  <c r="K1049" i="2" s="1"/>
  <c r="J169" i="1"/>
  <c r="M169" i="1" s="1"/>
  <c r="N169" i="1" s="1"/>
  <c r="Y159" i="1"/>
  <c r="J159" i="1"/>
  <c r="M159" i="1" s="1"/>
  <c r="N159" i="1" s="1"/>
  <c r="F159" i="1"/>
  <c r="J932" i="2"/>
  <c r="K932" i="2" s="1"/>
  <c r="J179" i="1"/>
  <c r="M179" i="1" s="1"/>
  <c r="N179" i="1" s="1"/>
  <c r="J180" i="1"/>
  <c r="M180" i="1" s="1"/>
  <c r="N180" i="1" s="1"/>
  <c r="J178" i="1"/>
  <c r="M178" i="1" s="1"/>
  <c r="N178" i="1" s="1"/>
  <c r="M166" i="1"/>
  <c r="N166" i="1" s="1"/>
  <c r="J170" i="1"/>
  <c r="M170" i="1" s="1"/>
  <c r="N170" i="1" s="1"/>
  <c r="J168" i="1"/>
  <c r="M168" i="1" s="1"/>
  <c r="N168" i="1" s="1"/>
  <c r="Y176" i="1"/>
  <c r="J176" i="1"/>
  <c r="F176" i="1"/>
  <c r="M162" i="1"/>
  <c r="N162" i="1" s="1"/>
  <c r="M161" i="1"/>
  <c r="N161" i="1" s="1"/>
  <c r="Y184" i="1"/>
  <c r="F184" i="1"/>
  <c r="Y183" i="1"/>
  <c r="F183" i="1"/>
  <c r="Y179" i="1"/>
  <c r="F179" i="1"/>
  <c r="Y178" i="1"/>
  <c r="F178" i="1"/>
  <c r="Y190" i="1"/>
  <c r="J190" i="1"/>
  <c r="N190" i="1" s="1"/>
  <c r="F190" i="1"/>
  <c r="Y189" i="1"/>
  <c r="J189" i="1"/>
  <c r="M189" i="1" s="1"/>
  <c r="N189" i="1" s="1"/>
  <c r="F189" i="1"/>
  <c r="Y186" i="1"/>
  <c r="M186" i="1"/>
  <c r="N186" i="1" s="1"/>
  <c r="F186" i="1"/>
  <c r="Y188" i="1"/>
  <c r="J188" i="1"/>
  <c r="M188" i="1" s="1"/>
  <c r="N188" i="1" s="1"/>
  <c r="F188" i="1"/>
  <c r="Y187" i="1"/>
  <c r="J187" i="1"/>
  <c r="M187" i="1" s="1"/>
  <c r="N187" i="1" s="1"/>
  <c r="F187" i="1"/>
  <c r="Y181" i="1"/>
  <c r="J181" i="1"/>
  <c r="F181" i="1"/>
  <c r="Y173" i="1"/>
  <c r="J173" i="1"/>
  <c r="M173" i="1" s="1"/>
  <c r="N173" i="1" s="1"/>
  <c r="F173" i="1"/>
  <c r="Y182" i="1"/>
  <c r="F182" i="1"/>
  <c r="Y172" i="1"/>
  <c r="J172" i="1"/>
  <c r="M172" i="1" s="1"/>
  <c r="N172" i="1" s="1"/>
  <c r="F172" i="1"/>
  <c r="Y175" i="1"/>
  <c r="K175" i="1"/>
  <c r="J175" i="1"/>
  <c r="M175" i="1" s="1"/>
  <c r="N175" i="1" s="1"/>
  <c r="H175" i="1"/>
  <c r="F175" i="1"/>
  <c r="J1048" i="2"/>
  <c r="K1048" i="2" s="1"/>
  <c r="J965" i="2"/>
  <c r="K965" i="2" s="1"/>
  <c r="J1047" i="2"/>
  <c r="K1047" i="2" s="1"/>
  <c r="M155" i="1"/>
  <c r="N155" i="1" s="1"/>
  <c r="J1046" i="2"/>
  <c r="K1046" i="2" s="1"/>
  <c r="J1045" i="2"/>
  <c r="K1045" i="2" s="1"/>
  <c r="J1044" i="2"/>
  <c r="K1044" i="2" s="1"/>
  <c r="I983" i="2"/>
  <c r="J984" i="2"/>
  <c r="K984" i="2" s="1"/>
  <c r="J983" i="2"/>
  <c r="J985" i="2"/>
  <c r="K985" i="2" s="1"/>
  <c r="Y171" i="1"/>
  <c r="F171" i="1"/>
  <c r="J171" i="1"/>
  <c r="M171" i="1" s="1"/>
  <c r="N171" i="1" s="1"/>
  <c r="J931" i="2"/>
  <c r="K931" i="2" s="1"/>
  <c r="J1043" i="2"/>
  <c r="K1043" i="2" s="1"/>
  <c r="Y162" i="1"/>
  <c r="F162" i="1"/>
  <c r="Y164" i="1"/>
  <c r="J164" i="1"/>
  <c r="M164" i="1" s="1"/>
  <c r="N164" i="1" s="1"/>
  <c r="F164" i="1"/>
  <c r="Y180" i="1"/>
  <c r="F180" i="1"/>
  <c r="Y174" i="1"/>
  <c r="M174" i="1"/>
  <c r="N174" i="1" s="1"/>
  <c r="F174" i="1"/>
  <c r="Y158" i="1"/>
  <c r="J158" i="1"/>
  <c r="F158" i="1"/>
  <c r="Y154" i="1"/>
  <c r="M154" i="1"/>
  <c r="N154" i="1" s="1"/>
  <c r="F154" i="1"/>
  <c r="Y166" i="1"/>
  <c r="F166" i="1"/>
  <c r="Y160" i="1"/>
  <c r="M160" i="1"/>
  <c r="N160" i="1" s="1"/>
  <c r="F160" i="1"/>
  <c r="Y157" i="1"/>
  <c r="J157" i="1"/>
  <c r="M157" i="1" s="1"/>
  <c r="N157" i="1" s="1"/>
  <c r="F157" i="1"/>
  <c r="Y167" i="1"/>
  <c r="J167" i="1"/>
  <c r="M167" i="1" s="1"/>
  <c r="N167" i="1" s="1"/>
  <c r="F167" i="1"/>
  <c r="Y165" i="1"/>
  <c r="J165" i="1"/>
  <c r="M165" i="1" s="1"/>
  <c r="N165" i="1" s="1"/>
  <c r="F165" i="1"/>
  <c r="Y169" i="1"/>
  <c r="F169" i="1"/>
  <c r="Y170" i="1"/>
  <c r="F170" i="1"/>
  <c r="Y177" i="1"/>
  <c r="J177" i="1"/>
  <c r="F177" i="1"/>
  <c r="Y168" i="1"/>
  <c r="F168" i="1"/>
  <c r="J1042" i="2"/>
  <c r="K1042" i="2" s="1"/>
  <c r="J1041" i="2"/>
  <c r="K1041" i="2" s="1"/>
  <c r="M145" i="1"/>
  <c r="N145" i="1" s="1"/>
  <c r="M144" i="1"/>
  <c r="N144" i="1" s="1"/>
  <c r="J1040" i="2"/>
  <c r="K1040" i="2" s="1"/>
  <c r="Y152" i="1"/>
  <c r="J152" i="1"/>
  <c r="M152" i="1" s="1"/>
  <c r="N152" i="1" s="1"/>
  <c r="F152" i="1"/>
  <c r="J1039" i="2"/>
  <c r="K1039" i="2" s="1"/>
  <c r="J1038" i="2"/>
  <c r="K1038" i="2" s="1"/>
  <c r="J1037" i="2"/>
  <c r="K1037" i="2" s="1"/>
  <c r="J1036" i="2"/>
  <c r="K1036" i="2" s="1"/>
  <c r="J1035" i="2"/>
  <c r="K1035" i="2" s="1"/>
  <c r="Y161" i="1"/>
  <c r="F161" i="1"/>
  <c r="Y163" i="1"/>
  <c r="M163" i="1"/>
  <c r="N163" i="1" s="1"/>
  <c r="F163" i="1"/>
  <c r="Y185" i="1"/>
  <c r="F185" i="1"/>
  <c r="Y149" i="1"/>
  <c r="N149" i="1"/>
  <c r="F149" i="1"/>
  <c r="Y151" i="1"/>
  <c r="M151" i="1"/>
  <c r="N151" i="1" s="1"/>
  <c r="F151" i="1"/>
  <c r="Y145" i="1"/>
  <c r="F145" i="1"/>
  <c r="Y150" i="1"/>
  <c r="M150" i="1"/>
  <c r="N150" i="1" s="1"/>
  <c r="F150" i="1"/>
  <c r="Y144" i="1"/>
  <c r="F144" i="1"/>
  <c r="Y156" i="1"/>
  <c r="M156" i="1"/>
  <c r="N156" i="1" s="1"/>
  <c r="F156" i="1"/>
  <c r="Y155" i="1"/>
  <c r="F155" i="1"/>
  <c r="Y148" i="1"/>
  <c r="M148" i="1"/>
  <c r="N148" i="1" s="1"/>
  <c r="F148" i="1"/>
  <c r="Y147" i="1"/>
  <c r="M147" i="1"/>
  <c r="N147" i="1" s="1"/>
  <c r="F147" i="1"/>
  <c r="Y142" i="1"/>
  <c r="M142" i="1"/>
  <c r="N142" i="1" s="1"/>
  <c r="F142" i="1"/>
  <c r="Y143" i="1"/>
  <c r="M143" i="1"/>
  <c r="N143" i="1" s="1"/>
  <c r="F143" i="1"/>
  <c r="Y141" i="1"/>
  <c r="J141" i="1"/>
  <c r="M141" i="1" s="1"/>
  <c r="N141" i="1" s="1"/>
  <c r="F141" i="1"/>
  <c r="Y146" i="1"/>
  <c r="M146" i="1"/>
  <c r="N146" i="1" s="1"/>
  <c r="F146" i="1"/>
  <c r="Y139" i="1"/>
  <c r="M139" i="1"/>
  <c r="N139" i="1" s="1"/>
  <c r="F139" i="1"/>
  <c r="Y153" i="1"/>
  <c r="J153" i="1"/>
  <c r="F153" i="1"/>
  <c r="M131" i="1"/>
  <c r="N131" i="1" s="1"/>
  <c r="M130" i="1"/>
  <c r="N130" i="1" s="1"/>
  <c r="M129" i="1"/>
  <c r="N129" i="1" s="1"/>
  <c r="J1034" i="2"/>
  <c r="K1034" i="2" s="1"/>
  <c r="J964" i="2"/>
  <c r="K964" i="2" s="1"/>
  <c r="J1033" i="2"/>
  <c r="K1033" i="2" s="1"/>
  <c r="J963" i="2"/>
  <c r="K963" i="2" s="1"/>
  <c r="J1032" i="2"/>
  <c r="K1032" i="2" s="1"/>
  <c r="J1031" i="2"/>
  <c r="K1031" i="2" s="1"/>
  <c r="Y138" i="1"/>
  <c r="M138" i="1"/>
  <c r="N138" i="1" s="1"/>
  <c r="F138" i="1"/>
  <c r="Y137" i="1"/>
  <c r="J137" i="1"/>
  <c r="M137" i="1" s="1"/>
  <c r="N137" i="1" s="1"/>
  <c r="F137" i="1"/>
  <c r="J1030" i="2"/>
  <c r="I1030" i="2"/>
  <c r="Y133" i="1"/>
  <c r="J133" i="1"/>
  <c r="M133" i="1" s="1"/>
  <c r="N133" i="1" s="1"/>
  <c r="F133" i="1"/>
  <c r="Y136" i="1"/>
  <c r="J136" i="1"/>
  <c r="M136" i="1" s="1"/>
  <c r="N136" i="1" s="1"/>
  <c r="F136" i="1"/>
  <c r="Y131" i="1"/>
  <c r="F131" i="1"/>
  <c r="Y130" i="1"/>
  <c r="F130" i="1"/>
  <c r="Y129" i="1"/>
  <c r="F129" i="1"/>
  <c r="Y128" i="1"/>
  <c r="M128" i="1"/>
  <c r="N128" i="1" s="1"/>
  <c r="F128" i="1"/>
  <c r="Y124" i="1"/>
  <c r="M124" i="1"/>
  <c r="N124" i="1" s="1"/>
  <c r="F124" i="1"/>
  <c r="Y140" i="1"/>
  <c r="M140" i="1"/>
  <c r="N140" i="1" s="1"/>
  <c r="F140" i="1"/>
  <c r="Y135" i="1"/>
  <c r="M135" i="1"/>
  <c r="N135" i="1" s="1"/>
  <c r="F135" i="1"/>
  <c r="Y127" i="1"/>
  <c r="M127" i="1"/>
  <c r="N127" i="1" s="1"/>
  <c r="F127" i="1"/>
  <c r="Y134" i="1"/>
  <c r="M134" i="1"/>
  <c r="N134" i="1" s="1"/>
  <c r="F134" i="1"/>
  <c r="Y132" i="1"/>
  <c r="M132" i="1"/>
  <c r="N132" i="1" s="1"/>
  <c r="F132" i="1"/>
  <c r="Y125" i="1"/>
  <c r="J125" i="1"/>
  <c r="M125" i="1" s="1"/>
  <c r="N125" i="1" s="1"/>
  <c r="F125" i="1"/>
  <c r="Y126" i="1"/>
  <c r="M126" i="1"/>
  <c r="N126" i="1" s="1"/>
  <c r="F126" i="1"/>
  <c r="Y122" i="1"/>
  <c r="M122" i="1"/>
  <c r="N122" i="1" s="1"/>
  <c r="F122" i="1"/>
  <c r="J930" i="2"/>
  <c r="K930" i="2" s="1"/>
  <c r="J929" i="2"/>
  <c r="K929" i="2" s="1"/>
  <c r="J928" i="2"/>
  <c r="K928" i="2" s="1"/>
  <c r="J1029" i="2"/>
  <c r="K1029" i="2" s="1"/>
  <c r="J1028" i="2"/>
  <c r="K1028" i="2" s="1"/>
  <c r="J1027" i="2"/>
  <c r="K1027" i="2" s="1"/>
  <c r="J1026" i="2"/>
  <c r="K1026" i="2" s="1"/>
  <c r="J1025" i="2"/>
  <c r="K1025" i="2" s="1"/>
  <c r="J110" i="1"/>
  <c r="M110" i="1" s="1"/>
  <c r="N110" i="1" s="1"/>
  <c r="J119" i="1"/>
  <c r="J118" i="1"/>
  <c r="M118" i="1" s="1"/>
  <c r="N118" i="1" s="1"/>
  <c r="Y113" i="1"/>
  <c r="M113" i="1"/>
  <c r="N113" i="1" s="1"/>
  <c r="F113" i="1"/>
  <c r="Y117" i="1"/>
  <c r="N117" i="1"/>
  <c r="F117" i="1"/>
  <c r="Y119" i="1"/>
  <c r="N119" i="1"/>
  <c r="F119" i="1"/>
  <c r="Y112" i="1"/>
  <c r="M112" i="1"/>
  <c r="N112" i="1" s="1"/>
  <c r="F112" i="1"/>
  <c r="Y111" i="1"/>
  <c r="M111" i="1"/>
  <c r="N111" i="1" s="1"/>
  <c r="F111" i="1"/>
  <c r="Y110" i="1"/>
  <c r="F110" i="1"/>
  <c r="Y106" i="1"/>
  <c r="M106" i="1"/>
  <c r="N106" i="1" s="1"/>
  <c r="F106" i="1"/>
  <c r="Y116" i="1"/>
  <c r="M116" i="1"/>
  <c r="N116" i="1" s="1"/>
  <c r="F116" i="1"/>
  <c r="Y115" i="1"/>
  <c r="N115" i="1"/>
  <c r="F115" i="1"/>
  <c r="Y114" i="1"/>
  <c r="J114" i="1"/>
  <c r="F114" i="1"/>
  <c r="Y109" i="1"/>
  <c r="J109" i="1"/>
  <c r="N109" i="1" s="1"/>
  <c r="F109" i="1"/>
  <c r="Y118" i="1"/>
  <c r="K118" i="1"/>
  <c r="H118" i="1"/>
  <c r="F118" i="1"/>
  <c r="Y120" i="1"/>
  <c r="N120" i="1"/>
  <c r="F120" i="1"/>
  <c r="J123" i="1"/>
  <c r="Y121" i="1"/>
  <c r="N121" i="1"/>
  <c r="F121" i="1"/>
  <c r="Y123" i="1"/>
  <c r="N123" i="1"/>
  <c r="F123" i="1"/>
  <c r="Y105" i="1"/>
  <c r="N105" i="1"/>
  <c r="F105" i="1"/>
  <c r="J927" i="2"/>
  <c r="K927" i="2" s="1"/>
  <c r="J926" i="2"/>
  <c r="K926" i="2" s="1"/>
  <c r="J898" i="2"/>
  <c r="K898" i="2" s="1"/>
  <c r="J971" i="2"/>
  <c r="K971" i="2" s="1"/>
  <c r="J1024" i="2"/>
  <c r="K1024" i="2" s="1"/>
  <c r="M95" i="1"/>
  <c r="N95" i="1" s="1"/>
  <c r="M94" i="1"/>
  <c r="N94" i="1" s="1"/>
  <c r="J959" i="2"/>
  <c r="K959" i="2" s="1"/>
  <c r="J1023" i="2"/>
  <c r="K1023" i="2" s="1"/>
  <c r="J1022" i="2"/>
  <c r="K1022" i="2" s="1"/>
  <c r="J1021" i="2"/>
  <c r="K1021" i="2" s="1"/>
  <c r="J1020" i="2"/>
  <c r="K1020" i="2" s="1"/>
  <c r="J1019" i="2"/>
  <c r="K1019" i="2" s="1"/>
  <c r="Y93" i="1"/>
  <c r="N93" i="1"/>
  <c r="F93" i="1"/>
  <c r="J958" i="2"/>
  <c r="K958" i="2" s="1"/>
  <c r="J102" i="1"/>
  <c r="J98" i="1"/>
  <c r="F104" i="1"/>
  <c r="H104" i="1"/>
  <c r="J104" i="1"/>
  <c r="M104" i="1" s="1"/>
  <c r="N104" i="1" s="1"/>
  <c r="K104" i="1"/>
  <c r="Y104" i="1"/>
  <c r="F98" i="1"/>
  <c r="N98" i="1"/>
  <c r="Y98" i="1"/>
  <c r="F103" i="1"/>
  <c r="N103" i="1"/>
  <c r="Y103" i="1"/>
  <c r="Y101" i="1"/>
  <c r="M101" i="1"/>
  <c r="N101" i="1" s="1"/>
  <c r="F101" i="1"/>
  <c r="Y96" i="1"/>
  <c r="M96" i="1"/>
  <c r="N96" i="1" s="1"/>
  <c r="F96" i="1"/>
  <c r="Y99" i="1"/>
  <c r="M99" i="1"/>
  <c r="N99" i="1" s="1"/>
  <c r="F99" i="1"/>
  <c r="Y94" i="1"/>
  <c r="F94" i="1"/>
  <c r="Y95" i="1"/>
  <c r="F95" i="1"/>
  <c r="Y100" i="1"/>
  <c r="M100" i="1"/>
  <c r="N100" i="1" s="1"/>
  <c r="F100" i="1"/>
  <c r="Y97" i="1"/>
  <c r="M97" i="1"/>
  <c r="N97" i="1" s="1"/>
  <c r="F97" i="1"/>
  <c r="J970" i="2"/>
  <c r="K970" i="2" s="1"/>
  <c r="J1018" i="2"/>
  <c r="K1018" i="2" s="1"/>
  <c r="J894" i="2"/>
  <c r="K894" i="2" s="1"/>
  <c r="J895" i="2"/>
  <c r="K895" i="2" s="1"/>
  <c r="J896" i="2"/>
  <c r="K896" i="2" s="1"/>
  <c r="J897" i="2"/>
  <c r="K897" i="2" s="1"/>
  <c r="J1017" i="2"/>
  <c r="K1017" i="2" s="1"/>
  <c r="J1016" i="2"/>
  <c r="K1016" i="2" s="1"/>
  <c r="Y92" i="1"/>
  <c r="J92" i="1"/>
  <c r="N92" i="1" s="1"/>
  <c r="F92" i="1"/>
  <c r="J1015" i="2"/>
  <c r="K1015" i="2" s="1"/>
  <c r="J1014" i="2"/>
  <c r="K1014" i="2" s="1"/>
  <c r="M81" i="1"/>
  <c r="N81" i="1" s="1"/>
  <c r="M84" i="1"/>
  <c r="N84" i="1" s="1"/>
  <c r="M73" i="1"/>
  <c r="N73" i="1" s="1"/>
  <c r="M82" i="1"/>
  <c r="N82" i="1" s="1"/>
  <c r="J87" i="1"/>
  <c r="M87" i="1" s="1"/>
  <c r="N87" i="1" s="1"/>
  <c r="M72" i="1"/>
  <c r="N72" i="1" s="1"/>
  <c r="M71" i="1"/>
  <c r="N71" i="1" s="1"/>
  <c r="Y71" i="1"/>
  <c r="F71" i="1"/>
  <c r="Y72" i="1"/>
  <c r="F72" i="1"/>
  <c r="Y87" i="1"/>
  <c r="K87" i="1"/>
  <c r="H87" i="1"/>
  <c r="F87" i="1"/>
  <c r="Y82" i="1"/>
  <c r="F82" i="1"/>
  <c r="Y73" i="1"/>
  <c r="F73" i="1"/>
  <c r="Y84" i="1"/>
  <c r="F84" i="1"/>
  <c r="Y81" i="1"/>
  <c r="F81" i="1"/>
  <c r="Y86" i="1"/>
  <c r="N86" i="1"/>
  <c r="F86" i="1"/>
  <c r="Y85" i="1"/>
  <c r="N85" i="1"/>
  <c r="F85" i="1"/>
  <c r="Y83" i="1"/>
  <c r="M83" i="1"/>
  <c r="N83" i="1" s="1"/>
  <c r="F83" i="1"/>
  <c r="Y78" i="1"/>
  <c r="N78" i="1"/>
  <c r="F78" i="1"/>
  <c r="Y91" i="1"/>
  <c r="M91" i="1"/>
  <c r="N91" i="1" s="1"/>
  <c r="F91" i="1"/>
  <c r="Y90" i="1"/>
  <c r="K90" i="1"/>
  <c r="J90" i="1"/>
  <c r="H90" i="1"/>
  <c r="F90" i="1"/>
  <c r="Y89" i="1"/>
  <c r="K89" i="1"/>
  <c r="J89" i="1"/>
  <c r="H89" i="1"/>
  <c r="F89" i="1"/>
  <c r="J88" i="1"/>
  <c r="M88" i="1" s="1"/>
  <c r="N88" i="1" s="1"/>
  <c r="Y88" i="1"/>
  <c r="K88" i="1"/>
  <c r="H88" i="1"/>
  <c r="F88" i="1"/>
  <c r="Y102" i="1"/>
  <c r="F102" i="1"/>
  <c r="Y108" i="1"/>
  <c r="F108" i="1"/>
  <c r="Y107" i="1"/>
  <c r="F107" i="1"/>
  <c r="Y80" i="1"/>
  <c r="F80" i="1"/>
  <c r="Y79" i="1"/>
  <c r="F79" i="1"/>
  <c r="Y77" i="1"/>
  <c r="N77" i="1"/>
  <c r="F77" i="1"/>
  <c r="J969" i="2"/>
  <c r="K969" i="2" s="1"/>
  <c r="Y74" i="1"/>
  <c r="N74" i="1"/>
  <c r="F74" i="1"/>
  <c r="J1013" i="2"/>
  <c r="K1013" i="2" s="1"/>
  <c r="J1012" i="2"/>
  <c r="K1012" i="2" s="1"/>
  <c r="J1011" i="2"/>
  <c r="K1011" i="2" s="1"/>
  <c r="J893" i="2"/>
  <c r="K893" i="2" s="1"/>
  <c r="J1010" i="2"/>
  <c r="K1010" i="2" s="1"/>
  <c r="J1009" i="2"/>
  <c r="K1009" i="2" s="1"/>
  <c r="M54" i="1"/>
  <c r="N54" i="1" s="1"/>
  <c r="J1008" i="2"/>
  <c r="K1008" i="2" s="1"/>
  <c r="J892" i="2"/>
  <c r="K892" i="2" s="1"/>
  <c r="F69" i="1"/>
  <c r="N69" i="1"/>
  <c r="Y69" i="1"/>
  <c r="F70" i="1"/>
  <c r="N70" i="1"/>
  <c r="Y70" i="1"/>
  <c r="F58" i="1"/>
  <c r="J58" i="1"/>
  <c r="M58" i="1" s="1"/>
  <c r="N58" i="1" s="1"/>
  <c r="Y58" i="1"/>
  <c r="F62" i="1"/>
  <c r="M62" i="1"/>
  <c r="N62" i="1" s="1"/>
  <c r="Y62" i="1"/>
  <c r="F64" i="1"/>
  <c r="J64" i="1"/>
  <c r="M64" i="1" s="1"/>
  <c r="N64" i="1" s="1"/>
  <c r="Y64" i="1"/>
  <c r="F67" i="1"/>
  <c r="N67" i="1"/>
  <c r="Y67" i="1"/>
  <c r="F68" i="1"/>
  <c r="J68" i="1"/>
  <c r="N68" i="1"/>
  <c r="Y68" i="1"/>
  <c r="F65" i="1"/>
  <c r="H65" i="1"/>
  <c r="J65" i="1"/>
  <c r="M65" i="1" s="1"/>
  <c r="N65" i="1" s="1"/>
  <c r="K65" i="1"/>
  <c r="Y65" i="1"/>
  <c r="Y76" i="1"/>
  <c r="F76" i="1"/>
  <c r="N76" i="1"/>
  <c r="Y75" i="1"/>
  <c r="N75" i="1"/>
  <c r="F75" i="1"/>
  <c r="Y63" i="1"/>
  <c r="J63" i="1"/>
  <c r="M63" i="1" s="1"/>
  <c r="N63" i="1" s="1"/>
  <c r="F63" i="1"/>
  <c r="Y61" i="1"/>
  <c r="J61" i="1"/>
  <c r="N61" i="1" s="1"/>
  <c r="F61" i="1"/>
  <c r="Y66" i="1"/>
  <c r="K66" i="1"/>
  <c r="J66" i="1"/>
  <c r="M66" i="1" s="1"/>
  <c r="N66" i="1" s="1"/>
  <c r="H66" i="1"/>
  <c r="F66" i="1"/>
  <c r="Y60" i="1"/>
  <c r="N60" i="1"/>
  <c r="F60" i="1"/>
  <c r="J968" i="2"/>
  <c r="K968" i="2" s="1"/>
  <c r="J937" i="2"/>
  <c r="K937" i="2" s="1"/>
  <c r="J938" i="2"/>
  <c r="K938" i="2" s="1"/>
  <c r="J1007" i="2"/>
  <c r="K1007" i="2" s="1"/>
  <c r="J1006" i="2"/>
  <c r="K1006" i="2" s="1"/>
  <c r="Y59" i="1"/>
  <c r="N59" i="1"/>
  <c r="F59" i="1"/>
  <c r="J1005" i="2"/>
  <c r="K1005" i="2" s="1"/>
  <c r="J1004" i="2"/>
  <c r="K1004" i="2" s="1"/>
  <c r="J884" i="2"/>
  <c r="K884" i="2" s="1"/>
  <c r="J48" i="1"/>
  <c r="M48" i="1" s="1"/>
  <c r="N48" i="1" s="1"/>
  <c r="Y56" i="1"/>
  <c r="M56" i="1"/>
  <c r="N56" i="1" s="1"/>
  <c r="F56" i="1"/>
  <c r="Y57" i="1"/>
  <c r="M57" i="1"/>
  <c r="N57" i="1" s="1"/>
  <c r="F57" i="1"/>
  <c r="Y51" i="1"/>
  <c r="M51" i="1"/>
  <c r="N51" i="1" s="1"/>
  <c r="F51" i="1"/>
  <c r="Y50" i="1"/>
  <c r="M50" i="1"/>
  <c r="N50" i="1" s="1"/>
  <c r="F50" i="1"/>
  <c r="Y46" i="1"/>
  <c r="M46" i="1"/>
  <c r="N46" i="1" s="1"/>
  <c r="F46" i="1"/>
  <c r="Y49" i="1"/>
  <c r="M49" i="1"/>
  <c r="N49" i="1" s="1"/>
  <c r="F49" i="1"/>
  <c r="Y48" i="1"/>
  <c r="F48" i="1"/>
  <c r="Y44" i="1"/>
  <c r="M44" i="1"/>
  <c r="N44" i="1" s="1"/>
  <c r="F44" i="1"/>
  <c r="Y43" i="1"/>
  <c r="M43" i="1"/>
  <c r="N43" i="1" s="1"/>
  <c r="F43" i="1"/>
  <c r="J53" i="1"/>
  <c r="M53" i="1" s="1"/>
  <c r="N53" i="1" s="1"/>
  <c r="J55" i="1"/>
  <c r="M55" i="1" s="1"/>
  <c r="N55" i="1" s="1"/>
  <c r="J45" i="1"/>
  <c r="M45" i="1" s="1"/>
  <c r="N45" i="1" s="1"/>
  <c r="Y55" i="1"/>
  <c r="F55" i="1"/>
  <c r="Y47" i="1"/>
  <c r="M47" i="1"/>
  <c r="N47" i="1" s="1"/>
  <c r="F47" i="1"/>
  <c r="Y53" i="1"/>
  <c r="F53" i="1"/>
  <c r="Y54" i="1"/>
  <c r="F54" i="1"/>
  <c r="Y45" i="1"/>
  <c r="F45" i="1"/>
  <c r="J1003" i="2"/>
  <c r="K1003" i="2" s="1"/>
  <c r="J1002" i="2"/>
  <c r="K1002" i="2" s="1"/>
  <c r="J936" i="2"/>
  <c r="K936" i="2" s="1"/>
  <c r="J1001" i="2"/>
  <c r="K1001" i="2" s="1"/>
  <c r="J1000" i="2"/>
  <c r="K1000" i="2" s="1"/>
  <c r="M27" i="1"/>
  <c r="N27" i="1" s="1"/>
  <c r="J999" i="2"/>
  <c r="K999" i="2" s="1"/>
  <c r="J934" i="2"/>
  <c r="K934" i="2" s="1"/>
  <c r="Y52" i="1"/>
  <c r="J52" i="1"/>
  <c r="F52" i="1"/>
  <c r="M24" i="1"/>
  <c r="N24" i="1" s="1"/>
  <c r="J998" i="2"/>
  <c r="K998" i="2" s="1"/>
  <c r="J883" i="2"/>
  <c r="K883" i="2" s="1"/>
  <c r="Y39" i="1"/>
  <c r="J39" i="1"/>
  <c r="M39" i="1" s="1"/>
  <c r="N39" i="1" s="1"/>
  <c r="F39" i="1"/>
  <c r="Y38" i="1"/>
  <c r="N38" i="1"/>
  <c r="F38" i="1"/>
  <c r="Y31" i="1"/>
  <c r="M31" i="1"/>
  <c r="N31" i="1" s="1"/>
  <c r="F31" i="1"/>
  <c r="Y33" i="1"/>
  <c r="M33" i="1"/>
  <c r="N33" i="1" s="1"/>
  <c r="F33" i="1"/>
  <c r="Y30" i="1"/>
  <c r="M30" i="1"/>
  <c r="N30" i="1" s="1"/>
  <c r="F30" i="1"/>
  <c r="Y35" i="1"/>
  <c r="M35" i="1"/>
  <c r="N35" i="1" s="1"/>
  <c r="F35" i="1"/>
  <c r="Y32" i="1"/>
  <c r="M32" i="1"/>
  <c r="N32" i="1" s="1"/>
  <c r="F32" i="1"/>
  <c r="J28" i="1"/>
  <c r="M28" i="1" s="1"/>
  <c r="N28" i="1" s="1"/>
  <c r="J29" i="1"/>
  <c r="M29" i="1" s="1"/>
  <c r="N29" i="1" s="1"/>
  <c r="J37" i="1"/>
  <c r="M37" i="1" s="1"/>
  <c r="N37" i="1" s="1"/>
  <c r="J34" i="1"/>
  <c r="M34" i="1" s="1"/>
  <c r="N34" i="1" s="1"/>
  <c r="Y42" i="1"/>
  <c r="N42" i="1"/>
  <c r="F42" i="1"/>
  <c r="Y37" i="1"/>
  <c r="F37" i="1"/>
  <c r="Y29" i="1"/>
  <c r="F29" i="1"/>
  <c r="Y28" i="1"/>
  <c r="F28" i="1"/>
  <c r="Y41" i="1"/>
  <c r="M41" i="1"/>
  <c r="N41" i="1" s="1"/>
  <c r="F41" i="1"/>
  <c r="Y34" i="1"/>
  <c r="F34" i="1"/>
  <c r="Y40" i="1"/>
  <c r="N40" i="1"/>
  <c r="F40" i="1"/>
  <c r="J997" i="2"/>
  <c r="K997" i="2" s="1"/>
  <c r="J996" i="2"/>
  <c r="K996" i="2" s="1"/>
  <c r="J995" i="2"/>
  <c r="K995" i="2" s="1"/>
  <c r="J994" i="2"/>
  <c r="K994" i="2" s="1"/>
  <c r="J993" i="2"/>
  <c r="K993" i="2" s="1"/>
  <c r="J935" i="2"/>
  <c r="K935" i="2" s="1"/>
  <c r="J13" i="1"/>
  <c r="M13" i="1" s="1"/>
  <c r="N13" i="1" s="1"/>
  <c r="J882" i="2"/>
  <c r="K882" i="2" s="1"/>
  <c r="Y36" i="1"/>
  <c r="J36" i="1"/>
  <c r="M36" i="1" s="1"/>
  <c r="N36" i="1" s="1"/>
  <c r="F36" i="1"/>
  <c r="Y16" i="1"/>
  <c r="J16" i="1"/>
  <c r="M16" i="1" s="1"/>
  <c r="N16" i="1" s="1"/>
  <c r="F16" i="1"/>
  <c r="Y21" i="1"/>
  <c r="J21" i="1"/>
  <c r="M21" i="1" s="1"/>
  <c r="N21" i="1" s="1"/>
  <c r="F21" i="1"/>
  <c r="Y27" i="1"/>
  <c r="F27" i="1"/>
  <c r="Y15" i="1"/>
  <c r="J15" i="1"/>
  <c r="M15" i="1" s="1"/>
  <c r="N15" i="1" s="1"/>
  <c r="F15" i="1"/>
  <c r="Y20" i="1"/>
  <c r="J20" i="1"/>
  <c r="M20" i="1" s="1"/>
  <c r="N20" i="1" s="1"/>
  <c r="F20" i="1"/>
  <c r="J14" i="1"/>
  <c r="M14" i="1" s="1"/>
  <c r="N14" i="1" s="1"/>
  <c r="Y14" i="1"/>
  <c r="F14" i="1"/>
  <c r="Y23" i="1"/>
  <c r="M23" i="1"/>
  <c r="N23" i="1" s="1"/>
  <c r="F23" i="1"/>
  <c r="Y24" i="1"/>
  <c r="F24" i="1"/>
  <c r="Y19" i="1"/>
  <c r="M19" i="1"/>
  <c r="N19" i="1" s="1"/>
  <c r="F19" i="1"/>
  <c r="Y26" i="1"/>
  <c r="J26" i="1"/>
  <c r="M26" i="1" s="1"/>
  <c r="N26" i="1" s="1"/>
  <c r="F26" i="1"/>
  <c r="Y17" i="1"/>
  <c r="M17" i="1"/>
  <c r="N17" i="1" s="1"/>
  <c r="F17" i="1"/>
  <c r="Y22" i="1"/>
  <c r="M22" i="1"/>
  <c r="N22" i="1" s="1"/>
  <c r="F22" i="1"/>
  <c r="Y25" i="1"/>
  <c r="M25" i="1"/>
  <c r="N25" i="1" s="1"/>
  <c r="F25" i="1"/>
  <c r="Y13" i="1"/>
  <c r="F13" i="1"/>
  <c r="J992" i="2"/>
  <c r="K992" i="2" s="1"/>
  <c r="J991" i="2"/>
  <c r="K991" i="2" s="1"/>
  <c r="J990" i="2"/>
  <c r="K990" i="2" s="1"/>
  <c r="J933" i="2"/>
  <c r="K933" i="2" s="1"/>
  <c r="J10" i="1"/>
  <c r="Y5" i="1"/>
  <c r="M5" i="1"/>
  <c r="N5" i="1" s="1"/>
  <c r="F5" i="1"/>
  <c r="J967" i="2"/>
  <c r="K967" i="2" s="1"/>
  <c r="Y6" i="1"/>
  <c r="J6" i="1"/>
  <c r="F6" i="1"/>
  <c r="J11" i="1"/>
  <c r="M11" i="1" s="1"/>
  <c r="N11" i="1" s="1"/>
  <c r="Y11" i="1"/>
  <c r="F11" i="1"/>
  <c r="Y10" i="1"/>
  <c r="N10" i="1"/>
  <c r="F10" i="1"/>
  <c r="Y7" i="1"/>
  <c r="M7" i="1"/>
  <c r="N7" i="1" s="1"/>
  <c r="F7" i="1"/>
  <c r="Y18" i="1"/>
  <c r="M18" i="1"/>
  <c r="N18" i="1" s="1"/>
  <c r="F18" i="1"/>
  <c r="Y12" i="1"/>
  <c r="J12" i="1"/>
  <c r="M12" i="1" s="1"/>
  <c r="N12" i="1" s="1"/>
  <c r="F12" i="1"/>
  <c r="Y8" i="1"/>
  <c r="M8" i="1"/>
  <c r="N8" i="1" s="1"/>
  <c r="F8" i="1"/>
  <c r="Y9" i="1"/>
  <c r="J9" i="1"/>
  <c r="M9" i="1" s="1"/>
  <c r="N9" i="1" s="1"/>
  <c r="F9" i="1"/>
  <c r="J988" i="2"/>
  <c r="K988" i="2" s="1"/>
  <c r="J987" i="2"/>
  <c r="K987" i="2" s="1"/>
  <c r="J986" i="2"/>
  <c r="K986" i="2" s="1"/>
  <c r="J989" i="2"/>
  <c r="K989" i="2" s="1"/>
  <c r="J891" i="2"/>
  <c r="K891" i="2" s="1"/>
  <c r="J887" i="2"/>
  <c r="K887" i="2" s="1"/>
  <c r="J886" i="2"/>
  <c r="K886" i="2" s="1"/>
  <c r="J885" i="2"/>
  <c r="K885" i="2" s="1"/>
  <c r="J953" i="2"/>
  <c r="K953" i="2" s="1"/>
  <c r="J955" i="2"/>
  <c r="K955" i="2" s="1"/>
  <c r="J828" i="2"/>
  <c r="K828" i="2" s="1"/>
  <c r="J666" i="2"/>
  <c r="K666" i="2" s="1"/>
  <c r="J827" i="2"/>
  <c r="K827" i="2" s="1"/>
  <c r="J829" i="2"/>
  <c r="K829" i="2" s="1"/>
  <c r="J909" i="2"/>
  <c r="K909" i="2" s="1"/>
  <c r="J825" i="2"/>
  <c r="K825" i="2" s="1"/>
  <c r="J826" i="2"/>
  <c r="K826" i="2" s="1"/>
  <c r="J876" i="2"/>
  <c r="K876" i="2" s="1"/>
  <c r="J723" i="2"/>
  <c r="K723" i="2" s="1"/>
  <c r="J722" i="2"/>
  <c r="K722" i="2" s="1"/>
  <c r="I875" i="2"/>
  <c r="J875" i="2"/>
  <c r="J824" i="2"/>
  <c r="K824" i="2" s="1"/>
  <c r="J952" i="2"/>
  <c r="K952" i="2" s="1"/>
  <c r="J951" i="2"/>
  <c r="K951" i="2" s="1"/>
  <c r="J823" i="2"/>
  <c r="K823" i="2" s="1"/>
  <c r="J853" i="2"/>
  <c r="K853" i="2" s="1"/>
  <c r="J950" i="2"/>
  <c r="K950" i="2" s="1"/>
  <c r="J874" i="2"/>
  <c r="K874" i="2" s="1"/>
  <c r="J822" i="2"/>
  <c r="K822" i="2" s="1"/>
  <c r="J830" i="2"/>
  <c r="K830" i="2" s="1"/>
  <c r="J821" i="2"/>
  <c r="K821" i="2" s="1"/>
  <c r="J724" i="2"/>
  <c r="K724" i="2" s="1"/>
  <c r="J721" i="2"/>
  <c r="K721" i="2" s="1"/>
  <c r="J954" i="2"/>
  <c r="K954" i="2" s="1"/>
  <c r="J665" i="2"/>
  <c r="K665" i="2" s="1"/>
  <c r="J720" i="2"/>
  <c r="K720" i="2" s="1"/>
  <c r="J719" i="2"/>
  <c r="K719" i="2" s="1"/>
  <c r="J718" i="2"/>
  <c r="K718" i="2" s="1"/>
  <c r="J820" i="2"/>
  <c r="K820" i="2" s="1"/>
  <c r="J819" i="2"/>
  <c r="K819" i="2" s="1"/>
  <c r="J831" i="2"/>
  <c r="K831" i="2" s="1"/>
  <c r="J949" i="2"/>
  <c r="K949" i="2" s="1"/>
  <c r="J910" i="2"/>
  <c r="K910" i="2" s="1"/>
  <c r="J817" i="2"/>
  <c r="K817" i="2" s="1"/>
  <c r="J816" i="2"/>
  <c r="K816" i="2" s="1"/>
  <c r="J948" i="2"/>
  <c r="K948" i="2" s="1"/>
  <c r="J815" i="2"/>
  <c r="K815" i="2" s="1"/>
  <c r="J717" i="2"/>
  <c r="K717" i="2" s="1"/>
  <c r="J716" i="2"/>
  <c r="K716" i="2" s="1"/>
  <c r="J715" i="2"/>
  <c r="K715" i="2" s="1"/>
  <c r="J814" i="2"/>
  <c r="K814" i="2" s="1"/>
  <c r="J813" i="2"/>
  <c r="K813" i="2" s="1"/>
  <c r="J812" i="2"/>
  <c r="K812" i="2" s="1"/>
  <c r="J944" i="2"/>
  <c r="K944" i="2" s="1"/>
  <c r="J947" i="2"/>
  <c r="K947" i="2" s="1"/>
  <c r="J811" i="2"/>
  <c r="K811" i="2" s="1"/>
  <c r="J657" i="2"/>
  <c r="K657" i="2" s="1"/>
  <c r="J810" i="2"/>
  <c r="K810" i="2" s="1"/>
  <c r="J714" i="2"/>
  <c r="K714" i="2" s="1"/>
  <c r="J713" i="2"/>
  <c r="K713" i="2" s="1"/>
  <c r="J943" i="2"/>
  <c r="K943" i="2" s="1"/>
  <c r="J946" i="2"/>
  <c r="K946" i="2" s="1"/>
  <c r="J809" i="2"/>
  <c r="K809" i="2" s="1"/>
  <c r="J808" i="2"/>
  <c r="K808" i="2" s="1"/>
  <c r="J807" i="2"/>
  <c r="K807" i="2" s="1"/>
  <c r="J942" i="2"/>
  <c r="K942" i="2" s="1"/>
  <c r="J806" i="2"/>
  <c r="K806" i="2" s="1"/>
  <c r="J945" i="2"/>
  <c r="K945" i="2" s="1"/>
  <c r="J805" i="2"/>
  <c r="K805" i="2" s="1"/>
  <c r="J712" i="2"/>
  <c r="K712" i="2" s="1"/>
  <c r="J711" i="2"/>
  <c r="K711" i="2" s="1"/>
  <c r="J710" i="2"/>
  <c r="K710" i="2" s="1"/>
  <c r="J804" i="2"/>
  <c r="K804" i="2" s="1"/>
  <c r="J803" i="2"/>
  <c r="K803" i="2" s="1"/>
  <c r="J802" i="2"/>
  <c r="K802" i="2" s="1"/>
  <c r="J941" i="2"/>
  <c r="K941" i="2" s="1"/>
  <c r="J801" i="2"/>
  <c r="K801" i="2" s="1"/>
  <c r="J855" i="2"/>
  <c r="K855" i="2" s="1"/>
  <c r="J854" i="2"/>
  <c r="K854" i="2" s="1"/>
  <c r="J681" i="2"/>
  <c r="K681" i="2" s="1"/>
  <c r="J678" i="2"/>
  <c r="K678" i="2" s="1"/>
  <c r="J677" i="2"/>
  <c r="K677" i="2" s="1"/>
  <c r="J655" i="2"/>
  <c r="K655" i="2" s="1"/>
  <c r="J873" i="2"/>
  <c r="K873" i="2" s="1"/>
  <c r="J800" i="2"/>
  <c r="K800" i="2" s="1"/>
  <c r="J799" i="2"/>
  <c r="K799" i="2" s="1"/>
  <c r="J913" i="2"/>
  <c r="K913" i="2" s="1"/>
  <c r="J852" i="2"/>
  <c r="K852" i="2" s="1"/>
  <c r="J798" i="2"/>
  <c r="K798" i="2" s="1"/>
  <c r="J675" i="2"/>
  <c r="K675" i="2" s="1"/>
  <c r="J676" i="2"/>
  <c r="K676" i="2" s="1"/>
  <c r="J797" i="2"/>
  <c r="K797" i="2" s="1"/>
  <c r="I725" i="2"/>
  <c r="J725" i="2"/>
  <c r="J674" i="2"/>
  <c r="K674" i="2" s="1"/>
  <c r="J912" i="2"/>
  <c r="K912" i="2" s="1"/>
  <c r="J796" i="2"/>
  <c r="K796" i="2" s="1"/>
  <c r="J795" i="2"/>
  <c r="K795" i="2" s="1"/>
  <c r="J673" i="2"/>
  <c r="K673" i="2" s="1"/>
  <c r="J872" i="2"/>
  <c r="K872" i="2" s="1"/>
  <c r="J794" i="2"/>
  <c r="K794" i="2" s="1"/>
  <c r="J654" i="2"/>
  <c r="K654" i="2" s="1"/>
  <c r="J730" i="2"/>
  <c r="K730" i="2" s="1"/>
  <c r="J793" i="2"/>
  <c r="K793" i="2" s="1"/>
  <c r="J792" i="2"/>
  <c r="K792" i="2" s="1"/>
  <c r="J791" i="2"/>
  <c r="K791" i="2" s="1"/>
  <c r="J790" i="2"/>
  <c r="K790" i="2" s="1"/>
  <c r="J851" i="2"/>
  <c r="K851" i="2" s="1"/>
  <c r="J671" i="2"/>
  <c r="K671" i="2" s="1"/>
  <c r="J672" i="2"/>
  <c r="K672" i="2" s="1"/>
  <c r="J789" i="2"/>
  <c r="K789" i="2" s="1"/>
  <c r="J788" i="2"/>
  <c r="K788" i="2" s="1"/>
  <c r="J871" i="2"/>
  <c r="K871" i="2" s="1"/>
  <c r="J729" i="2"/>
  <c r="K729" i="2" s="1"/>
  <c r="J653" i="2"/>
  <c r="K653" i="2" s="1"/>
  <c r="J787" i="2"/>
  <c r="K787" i="2" s="1"/>
  <c r="J786" i="2"/>
  <c r="K786" i="2" s="1"/>
  <c r="J785" i="2"/>
  <c r="K785" i="2" s="1"/>
  <c r="J651" i="2"/>
  <c r="K651" i="2" s="1"/>
  <c r="J850" i="2"/>
  <c r="K850" i="2" s="1"/>
  <c r="J670" i="2"/>
  <c r="K670" i="2" s="1"/>
  <c r="J649" i="2"/>
  <c r="K649" i="2" s="1"/>
  <c r="J784" i="2"/>
  <c r="K784" i="2" s="1"/>
  <c r="J870" i="2"/>
  <c r="K870" i="2" s="1"/>
  <c r="J669" i="2"/>
  <c r="K669" i="2" s="1"/>
  <c r="J849" i="2"/>
  <c r="K849" i="2" s="1"/>
  <c r="J647" i="2"/>
  <c r="K647" i="2" s="1"/>
  <c r="J783" i="2"/>
  <c r="K783" i="2" s="1"/>
  <c r="J782" i="2"/>
  <c r="K782" i="2" s="1"/>
  <c r="J911" i="2"/>
  <c r="K911" i="2" s="1"/>
  <c r="J866" i="2"/>
  <c r="K866" i="2" s="1"/>
  <c r="J629" i="2"/>
  <c r="K629" i="2" s="1"/>
  <c r="J781" i="2"/>
  <c r="K781" i="2" s="1"/>
  <c r="J780" i="2"/>
  <c r="K780" i="2" s="1"/>
  <c r="J1271" i="2"/>
  <c r="K1271" i="2" s="1"/>
  <c r="J779" i="2"/>
  <c r="K779" i="2" s="1"/>
  <c r="J778" i="2"/>
  <c r="K778" i="2" s="1"/>
  <c r="J628" i="2"/>
  <c r="K628" i="2" s="1"/>
  <c r="J777" i="2"/>
  <c r="K777" i="2" s="1"/>
  <c r="J728" i="2"/>
  <c r="K728" i="2" s="1"/>
  <c r="J869" i="2"/>
  <c r="K869" i="2" s="1"/>
  <c r="J848" i="2"/>
  <c r="K848" i="2" s="1"/>
  <c r="J774" i="2"/>
  <c r="K774" i="2" s="1"/>
  <c r="J776" i="2"/>
  <c r="K776" i="2" s="1"/>
  <c r="J775" i="2"/>
  <c r="K775" i="2" s="1"/>
  <c r="J773" i="2"/>
  <c r="K773" i="2" s="1"/>
  <c r="J567" i="2"/>
  <c r="K567" i="2" s="1"/>
  <c r="J772" i="2"/>
  <c r="K772" i="2" s="1"/>
  <c r="J771" i="2"/>
  <c r="K771" i="2" s="1"/>
  <c r="J770" i="2"/>
  <c r="K770" i="2" s="1"/>
  <c r="I626" i="2"/>
  <c r="J626" i="2"/>
  <c r="J769" i="2"/>
  <c r="K769" i="2" s="1"/>
  <c r="J768" i="2"/>
  <c r="K768" i="2" s="1"/>
  <c r="J625" i="2"/>
  <c r="K625" i="2" s="1"/>
  <c r="J767" i="2"/>
  <c r="K767" i="2" s="1"/>
  <c r="J765" i="2"/>
  <c r="K765" i="2" s="1"/>
  <c r="J867" i="2"/>
  <c r="K867" i="2" s="1"/>
  <c r="J847" i="2"/>
  <c r="K847" i="2" s="1"/>
  <c r="J764" i="2"/>
  <c r="K764" i="2" s="1"/>
  <c r="J763" i="2"/>
  <c r="K763" i="2" s="1"/>
  <c r="J762" i="2"/>
  <c r="K762" i="2" s="1"/>
  <c r="J761" i="2"/>
  <c r="K761" i="2" s="1"/>
  <c r="J760" i="2"/>
  <c r="K760" i="2" s="1"/>
  <c r="J759" i="2"/>
  <c r="K759" i="2" s="1"/>
  <c r="J758" i="2"/>
  <c r="K758" i="2" s="1"/>
  <c r="J757" i="2"/>
  <c r="K757" i="2" s="1"/>
  <c r="J1270" i="2"/>
  <c r="K1270" i="2" s="1"/>
  <c r="J756" i="2"/>
  <c r="K756" i="2" s="1"/>
  <c r="J908" i="2"/>
  <c r="K908" i="2" s="1"/>
  <c r="J727" i="2"/>
  <c r="K727" i="2" s="1"/>
  <c r="J726" i="2"/>
  <c r="K726" i="2" s="1"/>
  <c r="J846" i="2"/>
  <c r="K846" i="2" s="1"/>
  <c r="J755" i="2"/>
  <c r="K755" i="2" s="1"/>
  <c r="J865" i="2"/>
  <c r="K865" i="2" s="1"/>
  <c r="J753" i="2"/>
  <c r="K753" i="2" s="1"/>
  <c r="J752" i="2"/>
  <c r="K752" i="2" s="1"/>
  <c r="J906" i="2"/>
  <c r="K906" i="2" s="1"/>
  <c r="J901" i="2"/>
  <c r="K901" i="2" s="1"/>
  <c r="J845" i="2"/>
  <c r="K845" i="2" s="1"/>
  <c r="J844" i="2"/>
  <c r="K844" i="2" s="1"/>
  <c r="J754" i="2"/>
  <c r="K754" i="2" s="1"/>
  <c r="J864" i="2"/>
  <c r="K864" i="2" s="1"/>
  <c r="J900" i="2"/>
  <c r="K900" i="2" s="1"/>
  <c r="J751" i="2"/>
  <c r="K751" i="2" s="1"/>
  <c r="J750" i="2"/>
  <c r="K750" i="2" s="1"/>
  <c r="J843" i="2"/>
  <c r="K843" i="2" s="1"/>
  <c r="J569" i="2"/>
  <c r="K569" i="2" s="1"/>
  <c r="J868" i="2"/>
  <c r="K868" i="2" s="1"/>
  <c r="J624" i="2"/>
  <c r="K624" i="2" s="1"/>
  <c r="J899" i="2"/>
  <c r="K899" i="2" s="1"/>
  <c r="J668" i="2"/>
  <c r="K668" i="2" s="1"/>
  <c r="J749" i="2"/>
  <c r="K749" i="2" s="1"/>
  <c r="J748" i="2"/>
  <c r="K748" i="2" s="1"/>
  <c r="J842" i="2"/>
  <c r="K842" i="2" s="1"/>
  <c r="J841" i="2"/>
  <c r="K841" i="2" s="1"/>
  <c r="J566" i="2"/>
  <c r="K566" i="2" s="1"/>
  <c r="J890" i="2"/>
  <c r="K890" i="2" s="1"/>
  <c r="J588" i="2"/>
  <c r="K588" i="2" s="1"/>
  <c r="J745" i="2"/>
  <c r="K745" i="2" s="1"/>
  <c r="J746" i="2"/>
  <c r="K746" i="2" s="1"/>
  <c r="J747" i="2"/>
  <c r="K747" i="2" s="1"/>
  <c r="J818" i="2"/>
  <c r="K818" i="2" s="1"/>
  <c r="J1269" i="2"/>
  <c r="K1269" i="2" s="1"/>
  <c r="J905" i="2"/>
  <c r="K905" i="2" s="1"/>
  <c r="J863" i="2"/>
  <c r="K863" i="2" s="1"/>
  <c r="J889" i="2"/>
  <c r="K889" i="2" s="1"/>
  <c r="J744" i="2"/>
  <c r="K744" i="2" s="1"/>
  <c r="J583" i="2"/>
  <c r="K583" i="2" s="1"/>
  <c r="J840" i="2"/>
  <c r="K840" i="2" s="1"/>
  <c r="J862" i="2"/>
  <c r="K862" i="2" s="1"/>
  <c r="J907" i="2"/>
  <c r="K907" i="2" s="1"/>
  <c r="J743" i="2"/>
  <c r="K743" i="2" s="1"/>
  <c r="J939" i="2"/>
  <c r="K939" i="2" s="1"/>
  <c r="J957" i="2"/>
  <c r="K957" i="2" s="1"/>
  <c r="J565" i="2"/>
  <c r="K565" i="2" s="1"/>
  <c r="J839" i="2"/>
  <c r="K839" i="2" s="1"/>
  <c r="J940" i="2"/>
  <c r="K940" i="2" s="1"/>
  <c r="J888" i="2"/>
  <c r="K888" i="2" s="1"/>
  <c r="J742" i="2"/>
  <c r="K742" i="2" s="1"/>
  <c r="J903" i="2"/>
  <c r="K903" i="2" s="1"/>
  <c r="J741" i="2"/>
  <c r="K741" i="2" s="1"/>
  <c r="J924" i="2"/>
  <c r="K924" i="2" s="1"/>
  <c r="J925" i="2"/>
  <c r="K925" i="2" s="1"/>
  <c r="J582" i="2"/>
  <c r="K582" i="2" s="1"/>
  <c r="J861" i="2"/>
  <c r="K861" i="2" s="1"/>
  <c r="J923" i="2"/>
  <c r="K923" i="2" s="1"/>
  <c r="J837" i="2"/>
  <c r="K837" i="2" s="1"/>
  <c r="J881" i="2"/>
  <c r="K881" i="2" s="1"/>
  <c r="J1277" i="2"/>
  <c r="K1277" i="2" s="1"/>
  <c r="J956" i="2"/>
  <c r="K956" i="2" s="1"/>
  <c r="J562" i="2"/>
  <c r="K562" i="2" s="1"/>
  <c r="J922" i="2"/>
  <c r="K922" i="2" s="1"/>
  <c r="J921" i="2"/>
  <c r="K921" i="2" s="1"/>
  <c r="J902" i="2"/>
  <c r="K902" i="2" s="1"/>
  <c r="J879" i="2"/>
  <c r="K879" i="2" s="1"/>
  <c r="J559" i="2"/>
  <c r="K559" i="2" s="1"/>
  <c r="J557" i="2"/>
  <c r="K557" i="2" s="1"/>
  <c r="J836" i="2"/>
  <c r="K836" i="2" s="1"/>
  <c r="J739" i="2"/>
  <c r="K739" i="2" s="1"/>
  <c r="J555" i="2"/>
  <c r="K555" i="2" s="1"/>
  <c r="J553" i="2"/>
  <c r="K553" i="2" s="1"/>
  <c r="J920" i="2"/>
  <c r="K920" i="2" s="1"/>
  <c r="J919" i="2"/>
  <c r="K919" i="2" s="1"/>
  <c r="J858" i="2"/>
  <c r="K858" i="2" s="1"/>
  <c r="I1289" i="2"/>
  <c r="J1289" i="2"/>
  <c r="J833" i="2"/>
  <c r="K833" i="2" s="1"/>
  <c r="J878" i="2"/>
  <c r="K878" i="2" s="1"/>
  <c r="J738" i="2"/>
  <c r="K738" i="2" s="1"/>
  <c r="J918" i="2"/>
  <c r="K918" i="2" s="1"/>
  <c r="J550" i="2"/>
  <c r="K550" i="2" s="1"/>
  <c r="J1280" i="2"/>
  <c r="K1280" i="2" s="1"/>
  <c r="J548" i="2"/>
  <c r="K548" i="2" s="1"/>
  <c r="J1276" i="2"/>
  <c r="K1276" i="2" s="1"/>
  <c r="J564" i="2"/>
  <c r="K564" i="2" s="1"/>
  <c r="J740" i="2"/>
  <c r="K740" i="2" s="1"/>
  <c r="J737" i="2"/>
  <c r="K737" i="2" s="1"/>
  <c r="J1279" i="2"/>
  <c r="K1279" i="2" s="1"/>
  <c r="J832" i="2"/>
  <c r="K832" i="2" s="1"/>
  <c r="K736" i="2"/>
  <c r="J1272" i="2"/>
  <c r="K1272" i="2" s="1"/>
  <c r="J1283" i="2"/>
  <c r="K1283" i="2" s="1"/>
  <c r="J877" i="2"/>
  <c r="K877" i="2" s="1"/>
  <c r="J1282" i="2"/>
  <c r="K1282" i="2" s="1"/>
  <c r="J1281" i="2"/>
  <c r="K1281" i="2" s="1"/>
  <c r="K735" i="2"/>
  <c r="I904" i="2"/>
  <c r="J904" i="2"/>
  <c r="J1288" i="2"/>
  <c r="K1288" i="2" s="1"/>
  <c r="J1287" i="2"/>
  <c r="K1287" i="2" s="1"/>
  <c r="J835" i="2"/>
  <c r="K835" i="2" s="1"/>
  <c r="J857" i="2"/>
  <c r="K857" i="2" s="1"/>
  <c r="J1275" i="2"/>
  <c r="K1275" i="2" s="1"/>
  <c r="K917" i="2"/>
  <c r="J880" i="2"/>
  <c r="K880" i="2" s="1"/>
  <c r="J1278" i="2"/>
  <c r="K1278" i="2" s="1"/>
  <c r="J1286" i="2"/>
  <c r="K1286" i="2" s="1"/>
  <c r="K734" i="2"/>
  <c r="K173" i="2"/>
  <c r="J1285" i="2"/>
  <c r="K1285" i="2" s="1"/>
  <c r="J1274" i="2"/>
  <c r="K1274" i="2" s="1"/>
  <c r="K170" i="2"/>
  <c r="K169" i="2"/>
  <c r="K733" i="2"/>
  <c r="J579" i="2"/>
  <c r="K579" i="2" s="1"/>
  <c r="J575" i="2"/>
  <c r="K575" i="2" s="1"/>
  <c r="J572" i="2"/>
  <c r="K572" i="2" s="1"/>
  <c r="J574" i="2"/>
  <c r="K574" i="2" s="1"/>
  <c r="J573" i="2"/>
  <c r="K573" i="2" s="1"/>
  <c r="J581" i="2"/>
  <c r="K581" i="2" s="1"/>
  <c r="J580" i="2"/>
  <c r="K580" i="2" s="1"/>
  <c r="J578" i="2"/>
  <c r="K578" i="2" s="1"/>
  <c r="J834" i="2"/>
  <c r="K834" i="2" s="1"/>
  <c r="J856" i="2"/>
  <c r="K856" i="2" s="1"/>
  <c r="K916" i="2"/>
  <c r="K166" i="2"/>
  <c r="K732" i="2"/>
  <c r="J860" i="2"/>
  <c r="K860" i="2" s="1"/>
  <c r="J838" i="2"/>
  <c r="K838" i="2" s="1"/>
  <c r="J571" i="2"/>
  <c r="K571" i="2" s="1"/>
  <c r="K442" i="2"/>
  <c r="K1273" i="2"/>
  <c r="K618" i="2"/>
  <c r="K163" i="2"/>
  <c r="K162" i="2"/>
  <c r="K158" i="2"/>
  <c r="K159" i="2"/>
  <c r="J577" i="2"/>
  <c r="K577" i="2" s="1"/>
  <c r="J1284" i="2"/>
  <c r="K1284" i="2" s="1"/>
  <c r="J859" i="2"/>
  <c r="K859" i="2" s="1"/>
  <c r="J915" i="2"/>
  <c r="K915" i="2" s="1"/>
  <c r="J914" i="2"/>
  <c r="K914" i="2" s="1"/>
  <c r="J576" i="2"/>
  <c r="K576" i="2" s="1"/>
  <c r="J640" i="2"/>
  <c r="K640" i="2" s="1"/>
  <c r="J509" i="2"/>
  <c r="K509" i="2" s="1"/>
  <c r="J508" i="2"/>
  <c r="K508" i="2" s="1"/>
  <c r="J1300" i="2"/>
  <c r="K1300" i="2" s="1"/>
  <c r="J638" i="2"/>
  <c r="K638" i="2" s="1"/>
  <c r="K1302" i="2"/>
  <c r="K1301" i="2"/>
  <c r="K1303" i="2"/>
  <c r="J507" i="2"/>
  <c r="K507" i="2" s="1"/>
  <c r="J506" i="2"/>
  <c r="K506" i="2" s="1"/>
  <c r="J505" i="2"/>
  <c r="K505" i="2" s="1"/>
  <c r="J1299" i="2"/>
  <c r="K1299" i="2" s="1"/>
  <c r="J709" i="2"/>
  <c r="K709" i="2" s="1"/>
  <c r="J731" i="2"/>
  <c r="K731" i="2" s="1"/>
  <c r="J504" i="2"/>
  <c r="K504" i="2" s="1"/>
  <c r="J500" i="2"/>
  <c r="K500" i="2" s="1"/>
  <c r="J499" i="2"/>
  <c r="K499" i="2" s="1"/>
  <c r="J1297" i="2"/>
  <c r="K1297" i="2" s="1"/>
  <c r="J1298" i="2"/>
  <c r="K1298" i="2" s="1"/>
  <c r="J637" i="2"/>
  <c r="K637" i="2" s="1"/>
  <c r="J1296" i="2"/>
  <c r="K1296" i="2" s="1"/>
  <c r="J1295" i="2"/>
  <c r="K1295" i="2" s="1"/>
  <c r="J627" i="2"/>
  <c r="K627" i="2" s="1"/>
  <c r="J498" i="2"/>
  <c r="K498" i="2" s="1"/>
  <c r="J497" i="2"/>
  <c r="K497" i="2" s="1"/>
  <c r="J491" i="2"/>
  <c r="K491" i="2" s="1"/>
  <c r="J1293" i="2"/>
  <c r="K1293" i="2" s="1"/>
  <c r="J636" i="2"/>
  <c r="K636" i="2" s="1"/>
  <c r="J1294" i="2"/>
  <c r="K1294" i="2" s="1"/>
  <c r="J1292" i="2"/>
  <c r="K1292" i="2" s="1"/>
  <c r="J1291" i="2"/>
  <c r="K1291" i="2" s="1"/>
  <c r="J635" i="2"/>
  <c r="K635" i="2" s="1"/>
  <c r="J708" i="2"/>
  <c r="K708" i="2" s="1"/>
  <c r="J703" i="2"/>
  <c r="K703" i="2" s="1"/>
  <c r="J490" i="2"/>
  <c r="K490" i="2" s="1"/>
  <c r="J489" i="2"/>
  <c r="K489" i="2" s="1"/>
  <c r="J488" i="2"/>
  <c r="K488" i="2" s="1"/>
  <c r="J619" i="2"/>
  <c r="K619" i="2" s="1"/>
  <c r="J633" i="2"/>
  <c r="K633" i="2" s="1"/>
  <c r="J707" i="2"/>
  <c r="K707" i="2" s="1"/>
  <c r="J706" i="2"/>
  <c r="K706" i="2" s="1"/>
  <c r="J702" i="2"/>
  <c r="K702" i="2" s="1"/>
  <c r="J487" i="2"/>
  <c r="K487" i="2" s="1"/>
  <c r="J486" i="2"/>
  <c r="K486" i="2" s="1"/>
  <c r="J701" i="2"/>
  <c r="K701" i="2" s="1"/>
  <c r="J700" i="2"/>
  <c r="K700" i="2" s="1"/>
  <c r="J699" i="2"/>
  <c r="K699" i="2" s="1"/>
  <c r="J705" i="2"/>
  <c r="K705" i="2" s="1"/>
  <c r="J632" i="2"/>
  <c r="K632" i="2" s="1"/>
  <c r="J484" i="2"/>
  <c r="K484" i="2" s="1"/>
  <c r="J485" i="2"/>
  <c r="K485" i="2" s="1"/>
  <c r="J634" i="2"/>
  <c r="K634" i="2" s="1"/>
  <c r="J631" i="2"/>
  <c r="K631" i="2" s="1"/>
  <c r="J611" i="2"/>
  <c r="K611" i="2" s="1"/>
  <c r="J1290" i="2"/>
  <c r="K1290" i="2" s="1"/>
  <c r="J483" i="2"/>
  <c r="K483" i="2" s="1"/>
  <c r="I697" i="2"/>
  <c r="J698" i="2"/>
  <c r="K698" i="2" s="1"/>
  <c r="J697" i="2"/>
  <c r="J630" i="2"/>
  <c r="K630" i="2" s="1"/>
  <c r="J623" i="2"/>
  <c r="K623" i="2" s="1"/>
  <c r="J622" i="2"/>
  <c r="K622" i="2" s="1"/>
  <c r="J696" i="2"/>
  <c r="K696" i="2" s="1"/>
  <c r="J695" i="2"/>
  <c r="K695" i="2" s="1"/>
  <c r="J704" i="2"/>
  <c r="K704" i="2" s="1"/>
  <c r="J694" i="2"/>
  <c r="K694" i="2" s="1"/>
  <c r="J693" i="2"/>
  <c r="K693" i="2" s="1"/>
  <c r="J482" i="2"/>
  <c r="K482" i="2" s="1"/>
  <c r="J621" i="2"/>
  <c r="K621" i="2" s="1"/>
  <c r="J692" i="2"/>
  <c r="K692" i="2" s="1"/>
  <c r="J662" i="2"/>
  <c r="K662" i="2" s="1"/>
  <c r="J661" i="2"/>
  <c r="K661" i="2" s="1"/>
  <c r="J660" i="2"/>
  <c r="K660" i="2" s="1"/>
  <c r="J691" i="2"/>
  <c r="K691" i="2" s="1"/>
  <c r="J481" i="2"/>
  <c r="K481" i="2" s="1"/>
  <c r="J480" i="2"/>
  <c r="K480" i="2" s="1"/>
  <c r="J620" i="2"/>
  <c r="K620" i="2" s="1"/>
  <c r="J659" i="2"/>
  <c r="K659" i="2" s="1"/>
  <c r="J479" i="2"/>
  <c r="K479" i="2" s="1"/>
  <c r="J478" i="2"/>
  <c r="K478" i="2" s="1"/>
  <c r="J617" i="2"/>
  <c r="K617" i="2" s="1"/>
  <c r="J587" i="2"/>
  <c r="K587" i="2" s="1"/>
  <c r="J658" i="2"/>
  <c r="K658" i="2" s="1"/>
  <c r="J477" i="2"/>
  <c r="K477" i="2" s="1"/>
  <c r="J476" i="2"/>
  <c r="K476" i="2" s="1"/>
  <c r="J616" i="2"/>
  <c r="K616" i="2" s="1"/>
  <c r="J690" i="2"/>
  <c r="K690" i="2" s="1"/>
  <c r="J586" i="2"/>
  <c r="K586" i="2" s="1"/>
  <c r="J615" i="2"/>
  <c r="K615" i="2" s="1"/>
  <c r="J597" i="2"/>
  <c r="K597" i="2" s="1"/>
  <c r="J689" i="2"/>
  <c r="K689" i="2" s="1"/>
  <c r="J688" i="2"/>
  <c r="K688" i="2" s="1"/>
  <c r="J475" i="2"/>
  <c r="K475" i="2" s="1"/>
  <c r="J645" i="2"/>
  <c r="K645" i="2" s="1"/>
  <c r="J687" i="2"/>
  <c r="K687" i="2" s="1"/>
  <c r="J614" i="2"/>
  <c r="K614" i="2" s="1"/>
  <c r="J585" i="2"/>
  <c r="K585" i="2" s="1"/>
  <c r="J458" i="2"/>
  <c r="K458" i="2" s="1"/>
  <c r="J455" i="2"/>
  <c r="K455" i="2" s="1"/>
  <c r="J503" i="2"/>
  <c r="K503" i="2" s="1"/>
  <c r="J686" i="2"/>
  <c r="K686" i="2" s="1"/>
  <c r="J474" i="2"/>
  <c r="K474" i="2" s="1"/>
  <c r="J613" i="2"/>
  <c r="K613" i="2" s="1"/>
  <c r="J612" i="2"/>
  <c r="K612" i="2" s="1"/>
  <c r="J454" i="2"/>
  <c r="K454" i="2" s="1"/>
  <c r="J644" i="2"/>
  <c r="K644" i="2" s="1"/>
  <c r="J685" i="2"/>
  <c r="K685" i="2" s="1"/>
  <c r="J610" i="2"/>
  <c r="K610" i="2" s="1"/>
  <c r="J445" i="2"/>
  <c r="K445" i="2" s="1"/>
  <c r="J465" i="2"/>
  <c r="K465" i="2" s="1"/>
  <c r="J453" i="2"/>
  <c r="K453" i="2" s="1"/>
  <c r="J502" i="2"/>
  <c r="K502" i="2" s="1"/>
  <c r="J643" i="2"/>
  <c r="K643" i="2" s="1"/>
  <c r="J642" i="2"/>
  <c r="K642" i="2" s="1"/>
  <c r="J560" i="2"/>
  <c r="K560" i="2" s="1"/>
  <c r="J641" i="2"/>
  <c r="K641" i="2" s="1"/>
  <c r="J444" i="2"/>
  <c r="K444" i="2" s="1"/>
  <c r="J609" i="2"/>
  <c r="K609" i="2" s="1"/>
  <c r="J608" i="2"/>
  <c r="K608" i="2" s="1"/>
  <c r="J441" i="2"/>
  <c r="K441" i="2" s="1"/>
  <c r="J440" i="2"/>
  <c r="K440" i="2" s="1"/>
  <c r="J663" i="2"/>
  <c r="K663" i="2" s="1"/>
  <c r="J501" i="2"/>
  <c r="K501" i="2" s="1"/>
  <c r="J607" i="2"/>
  <c r="K607" i="2" s="1"/>
  <c r="J404" i="2"/>
  <c r="K404" i="2" s="1"/>
  <c r="J403" i="2"/>
  <c r="K403" i="2" s="1"/>
  <c r="J606" i="2"/>
  <c r="K606" i="2" s="1"/>
  <c r="J684" i="2"/>
  <c r="K684" i="2" s="1"/>
  <c r="J471" i="2"/>
  <c r="K471" i="2" s="1"/>
  <c r="J402" i="2"/>
  <c r="K402" i="2" s="1"/>
  <c r="J401" i="2"/>
  <c r="K401" i="2" s="1"/>
  <c r="J682" i="2"/>
  <c r="K682" i="2" s="1"/>
  <c r="J470" i="2"/>
  <c r="K470" i="2" s="1"/>
  <c r="J469" i="2"/>
  <c r="K469" i="2" s="1"/>
  <c r="J399" i="2"/>
  <c r="K399" i="2" s="1"/>
  <c r="J400" i="2"/>
  <c r="K400" i="2" s="1"/>
  <c r="J605" i="2"/>
  <c r="K605" i="2" s="1"/>
  <c r="J680" i="2"/>
  <c r="K680" i="2" s="1"/>
  <c r="J604" i="2"/>
  <c r="K604" i="2" s="1"/>
  <c r="J468" i="2"/>
  <c r="K468" i="2" s="1"/>
  <c r="J355" i="2"/>
  <c r="K355" i="2" s="1"/>
  <c r="J547" i="2"/>
  <c r="K547" i="2" s="1"/>
  <c r="J679" i="2"/>
  <c r="K679" i="2" s="1"/>
  <c r="J354" i="2"/>
  <c r="K354" i="2" s="1"/>
  <c r="J603" i="2"/>
  <c r="K603" i="2" s="1"/>
  <c r="J467" i="2"/>
  <c r="K467" i="2" s="1"/>
  <c r="J353" i="2"/>
  <c r="K353" i="2" s="1"/>
  <c r="J466" i="2"/>
  <c r="K466" i="2" s="1"/>
  <c r="J667" i="2"/>
  <c r="K667" i="2" s="1"/>
  <c r="J351" i="2"/>
  <c r="K351" i="2" s="1"/>
  <c r="J352" i="2"/>
  <c r="K352" i="2" s="1"/>
  <c r="J464" i="2"/>
  <c r="K464" i="2" s="1"/>
  <c r="J350" i="2"/>
  <c r="K350" i="2" s="1"/>
  <c r="J349" i="2"/>
  <c r="K349" i="2" s="1"/>
  <c r="J602" i="2"/>
  <c r="K602" i="2" s="1"/>
  <c r="J601" i="2"/>
  <c r="K601" i="2" s="1"/>
  <c r="J600" i="2"/>
  <c r="K600" i="2" s="1"/>
  <c r="J463" i="2"/>
  <c r="K463" i="2" s="1"/>
  <c r="J664" i="2"/>
  <c r="K664" i="2" s="1"/>
  <c r="J346" i="2"/>
  <c r="K346" i="2" s="1"/>
  <c r="J348" i="2"/>
  <c r="K348" i="2" s="1"/>
  <c r="J462" i="2"/>
  <c r="K462" i="2" s="1"/>
  <c r="J347" i="2"/>
  <c r="K347" i="2" s="1"/>
  <c r="J345" i="2"/>
  <c r="K345" i="2" s="1"/>
  <c r="J599" i="2"/>
  <c r="K599" i="2" s="1"/>
  <c r="J457" i="2"/>
  <c r="K457" i="2" s="1"/>
  <c r="J344" i="2"/>
  <c r="K344" i="2" s="1"/>
  <c r="J343" i="2"/>
  <c r="K343" i="2" s="1"/>
  <c r="J342" i="2"/>
  <c r="K342" i="2" s="1"/>
  <c r="J341" i="2"/>
  <c r="K341" i="2" s="1"/>
  <c r="J683" i="2"/>
  <c r="K683" i="2" s="1"/>
  <c r="J598" i="2"/>
  <c r="K598" i="2" s="1"/>
  <c r="J456" i="2"/>
  <c r="K456" i="2" s="1"/>
  <c r="J331" i="2"/>
  <c r="K331" i="2" s="1"/>
  <c r="J208" i="2"/>
  <c r="K208" i="2" s="1"/>
  <c r="J443" i="2"/>
  <c r="K443" i="2" s="1"/>
  <c r="J206" i="2"/>
  <c r="K206" i="2" s="1"/>
  <c r="J204" i="2"/>
  <c r="K204" i="2" s="1"/>
  <c r="J596" i="2"/>
  <c r="K596" i="2" s="1"/>
  <c r="J439" i="2"/>
  <c r="K439" i="2" s="1"/>
  <c r="J202" i="2"/>
  <c r="K202" i="2" s="1"/>
  <c r="J438" i="2"/>
  <c r="K438" i="2" s="1"/>
  <c r="J595" i="2"/>
  <c r="K595" i="2" s="1"/>
  <c r="J197" i="2"/>
  <c r="K197" i="2" s="1"/>
  <c r="J199" i="2"/>
  <c r="K199" i="2" s="1"/>
  <c r="J656" i="2"/>
  <c r="K656" i="2" s="1"/>
  <c r="J195" i="2"/>
  <c r="K195" i="2" s="1"/>
  <c r="J193" i="2"/>
  <c r="K193" i="2" s="1"/>
  <c r="J594" i="2"/>
  <c r="K594" i="2" s="1"/>
  <c r="J437" i="2"/>
  <c r="K437" i="2" s="1"/>
  <c r="J436" i="2"/>
  <c r="K436" i="2" s="1"/>
  <c r="J188" i="2"/>
  <c r="K188" i="2" s="1"/>
  <c r="J191" i="2"/>
  <c r="K191" i="2" s="1"/>
  <c r="J650" i="2"/>
  <c r="K650" i="2" s="1"/>
  <c r="J593" i="2"/>
  <c r="K593" i="2" s="1"/>
  <c r="J435" i="2"/>
  <c r="K435" i="2" s="1"/>
  <c r="J434" i="2"/>
  <c r="K434" i="2" s="1"/>
  <c r="J433" i="2"/>
  <c r="K433" i="2" s="1"/>
  <c r="J187" i="2"/>
  <c r="K187" i="2" s="1"/>
  <c r="J186" i="2"/>
  <c r="K186" i="2" s="1"/>
  <c r="J180" i="2"/>
  <c r="K180" i="2" s="1"/>
  <c r="J179" i="2"/>
  <c r="K179" i="2" s="1"/>
  <c r="J183" i="2"/>
  <c r="K183" i="2" s="1"/>
  <c r="J182" i="2"/>
  <c r="K182" i="2" s="1"/>
  <c r="J181" i="2"/>
  <c r="K181" i="2" s="1"/>
  <c r="J185" i="2"/>
  <c r="K185" i="2" s="1"/>
  <c r="J184" i="2"/>
  <c r="K184" i="2" s="1"/>
  <c r="J420" i="2"/>
  <c r="K420" i="2" s="1"/>
  <c r="J432" i="2"/>
  <c r="K432" i="2" s="1"/>
  <c r="J648" i="2"/>
  <c r="K648" i="2" s="1"/>
  <c r="J431" i="2"/>
  <c r="K431" i="2" s="1"/>
  <c r="J592" i="2"/>
  <c r="K592" i="2" s="1"/>
  <c r="J430" i="2"/>
  <c r="K430" i="2" s="1"/>
  <c r="J429" i="2"/>
  <c r="K429" i="2" s="1"/>
  <c r="J428" i="2"/>
  <c r="K428" i="2" s="1"/>
  <c r="J646" i="2"/>
  <c r="K646" i="2" s="1"/>
  <c r="J427" i="2"/>
  <c r="K427" i="2" s="1"/>
  <c r="J591" i="2"/>
  <c r="K591" i="2" s="1"/>
  <c r="J589" i="2"/>
  <c r="K589" i="2" s="1"/>
  <c r="J426" i="2"/>
  <c r="K426" i="2" s="1"/>
  <c r="J423" i="2"/>
  <c r="K423" i="2" s="1"/>
  <c r="J425" i="2"/>
  <c r="K425" i="2" s="1"/>
  <c r="J424" i="2"/>
  <c r="K424" i="2" s="1"/>
  <c r="J590" i="2"/>
  <c r="K590" i="2" s="1"/>
  <c r="J421" i="2"/>
  <c r="J422" i="2"/>
  <c r="K422" i="2" s="1"/>
  <c r="J419" i="2"/>
  <c r="K419" i="2" s="1"/>
  <c r="J418" i="2"/>
  <c r="K418" i="2" s="1"/>
  <c r="K178" i="2"/>
  <c r="J584" i="2"/>
  <c r="K584" i="2" s="1"/>
  <c r="J652" i="2"/>
  <c r="K652" i="2" s="1"/>
  <c r="J570" i="2"/>
  <c r="K570" i="2" s="1"/>
  <c r="J177" i="2"/>
  <c r="K177" i="2" s="1"/>
  <c r="J176" i="2"/>
  <c r="K176" i="2" s="1"/>
  <c r="J563" i="2"/>
  <c r="K563" i="2" s="1"/>
  <c r="J568" i="2"/>
  <c r="K568" i="2" s="1"/>
  <c r="J417" i="2"/>
  <c r="K417" i="2" s="1"/>
  <c r="J175" i="2"/>
  <c r="K175" i="2" s="1"/>
  <c r="J174" i="2"/>
  <c r="K174" i="2" s="1"/>
  <c r="J416" i="2"/>
  <c r="K416" i="2" s="1"/>
  <c r="J415" i="2"/>
  <c r="K415" i="2" s="1"/>
  <c r="J561" i="2"/>
  <c r="K561" i="2" s="1"/>
  <c r="J171" i="2"/>
  <c r="K171" i="2" s="1"/>
  <c r="J172" i="2"/>
  <c r="K172" i="2" s="1"/>
  <c r="J473" i="2"/>
  <c r="K473" i="2" s="1"/>
  <c r="J168" i="2"/>
  <c r="K168" i="2" s="1"/>
  <c r="J167" i="2"/>
  <c r="K167" i="2" s="1"/>
  <c r="J472" i="2"/>
  <c r="K472" i="2" s="1"/>
  <c r="J461" i="2"/>
  <c r="K461" i="2" s="1"/>
  <c r="J460" i="2"/>
  <c r="K460" i="2" s="1"/>
  <c r="J558" i="2"/>
  <c r="K558" i="2" s="1"/>
  <c r="J459" i="2"/>
  <c r="K459" i="2" s="1"/>
  <c r="J165" i="2"/>
  <c r="K165" i="2" s="1"/>
  <c r="J164" i="2"/>
  <c r="K164" i="2" s="1"/>
  <c r="J413" i="2"/>
  <c r="K413" i="2" s="1"/>
  <c r="J414" i="2"/>
  <c r="K414" i="2" s="1"/>
  <c r="J412" i="2"/>
  <c r="K412" i="2" s="1"/>
  <c r="J411" i="2"/>
  <c r="K411" i="2" s="1"/>
  <c r="J410" i="2"/>
  <c r="K410" i="2" s="1"/>
  <c r="J554" i="2"/>
  <c r="K554" i="2" s="1"/>
  <c r="J639" i="2"/>
  <c r="K639" i="2" s="1"/>
  <c r="J161" i="2"/>
  <c r="K161" i="2" s="1"/>
  <c r="J160" i="2"/>
  <c r="K160" i="2" s="1"/>
  <c r="J552" i="2"/>
  <c r="K552" i="2" s="1"/>
  <c r="J556" i="2"/>
  <c r="K556" i="2" s="1"/>
  <c r="J549" i="2"/>
  <c r="K549" i="2" s="1"/>
  <c r="J408" i="2"/>
  <c r="K408" i="2" s="1"/>
  <c r="J46" i="2"/>
  <c r="K46" i="2" s="1"/>
  <c r="J407" i="2"/>
  <c r="K407" i="2" s="1"/>
  <c r="J409" i="2"/>
  <c r="K409" i="2" s="1"/>
  <c r="J406" i="2"/>
  <c r="K406" i="2" s="1"/>
  <c r="J496" i="2"/>
  <c r="K496" i="2" s="1"/>
  <c r="J452" i="2"/>
  <c r="K452" i="2" s="1"/>
  <c r="J405" i="2"/>
  <c r="K405" i="2" s="1"/>
  <c r="J492" i="2"/>
  <c r="K492" i="2" s="1"/>
  <c r="J494" i="2"/>
  <c r="K494" i="2" s="1"/>
  <c r="J493" i="2"/>
  <c r="K493" i="2" s="1"/>
  <c r="J451" i="2"/>
  <c r="K451" i="2" s="1"/>
  <c r="J330" i="2"/>
  <c r="K330" i="2" s="1"/>
  <c r="J329" i="2"/>
  <c r="K329" i="2" s="1"/>
  <c r="J328" i="2"/>
  <c r="K328" i="2" s="1"/>
  <c r="J495" i="2"/>
  <c r="K495" i="2" s="1"/>
  <c r="J551" i="2"/>
  <c r="K551" i="2" s="1"/>
  <c r="J546" i="2"/>
  <c r="K546" i="2" s="1"/>
  <c r="J396" i="2"/>
  <c r="K396" i="2" s="1"/>
  <c r="J392" i="2"/>
  <c r="K392" i="2" s="1"/>
  <c r="J450" i="2"/>
  <c r="K450" i="2" s="1"/>
  <c r="J449" i="2"/>
  <c r="K449" i="2" s="1"/>
  <c r="J448" i="2"/>
  <c r="K448" i="2" s="1"/>
  <c r="J326" i="2"/>
  <c r="K326" i="2" s="1"/>
  <c r="J325" i="2"/>
  <c r="K325" i="2" s="1"/>
  <c r="J324" i="2"/>
  <c r="K324" i="2" s="1"/>
  <c r="J323" i="2"/>
  <c r="K323" i="2" s="1"/>
  <c r="J322" i="2"/>
  <c r="K322" i="2" s="1"/>
  <c r="J321" i="2"/>
  <c r="K321" i="2" s="1"/>
  <c r="J320" i="2"/>
  <c r="K320" i="2" s="1"/>
  <c r="J315" i="2"/>
  <c r="K315" i="2" s="1"/>
  <c r="J217" i="2"/>
  <c r="K217" i="2" s="1"/>
  <c r="J447" i="2"/>
  <c r="K447" i="2" s="1"/>
  <c r="J215" i="2"/>
  <c r="K215" i="2" s="1"/>
  <c r="J213" i="2"/>
  <c r="K213" i="2" s="1"/>
  <c r="J211" i="2"/>
  <c r="K211" i="2" s="1"/>
  <c r="J446" i="2"/>
  <c r="K446" i="2" s="1"/>
  <c r="J316" i="2"/>
  <c r="K316" i="2" s="1"/>
  <c r="J318" i="2"/>
  <c r="K318" i="2" s="1"/>
  <c r="J157" i="2"/>
  <c r="K157" i="2" s="1"/>
  <c r="J156" i="2"/>
  <c r="K156" i="2" s="1"/>
  <c r="J155" i="2"/>
  <c r="K155" i="2" s="1"/>
  <c r="J154" i="2"/>
  <c r="K154" i="2" s="1"/>
  <c r="J317" i="2"/>
  <c r="K317" i="2" s="1"/>
  <c r="J319" i="2"/>
  <c r="K319" i="2" s="1"/>
  <c r="J153" i="2"/>
  <c r="K153" i="2" s="1"/>
  <c r="J152" i="2"/>
  <c r="K152" i="2" s="1"/>
  <c r="J151" i="2"/>
  <c r="K151" i="2" s="1"/>
  <c r="J398" i="2"/>
  <c r="K398" i="2" s="1"/>
  <c r="J314" i="2"/>
  <c r="K314" i="2" s="1"/>
  <c r="J397" i="2"/>
  <c r="K397" i="2" s="1"/>
  <c r="J312" i="2"/>
  <c r="K312" i="2" s="1"/>
  <c r="J313" i="2"/>
  <c r="K313" i="2" s="1"/>
  <c r="J150" i="2"/>
  <c r="K150" i="2" s="1"/>
  <c r="J149" i="2"/>
  <c r="K149" i="2" s="1"/>
  <c r="J148" i="2"/>
  <c r="K148" i="2" s="1"/>
  <c r="J147" i="2"/>
  <c r="K147" i="2" s="1"/>
  <c r="J146" i="2"/>
  <c r="K146" i="2" s="1"/>
  <c r="J144" i="2"/>
  <c r="K144" i="2" s="1"/>
  <c r="J145" i="2"/>
  <c r="K145" i="2" s="1"/>
  <c r="J309" i="2"/>
  <c r="K309" i="2" s="1"/>
  <c r="J307" i="2"/>
  <c r="K307" i="2" s="1"/>
  <c r="J308" i="2"/>
  <c r="K308" i="2" s="1"/>
  <c r="J311" i="2"/>
  <c r="K311" i="2" s="1"/>
  <c r="J310" i="2"/>
  <c r="K310" i="2" s="1"/>
  <c r="J395" i="2"/>
  <c r="K395" i="2" s="1"/>
  <c r="J393" i="2"/>
  <c r="K393" i="2" s="1"/>
  <c r="J143" i="2"/>
  <c r="K143" i="2" s="1"/>
  <c r="J142" i="2"/>
  <c r="K142" i="2" s="1"/>
  <c r="J141" i="2"/>
  <c r="K141" i="2" s="1"/>
  <c r="J140" i="2"/>
  <c r="K140" i="2" s="1"/>
  <c r="J394" i="2"/>
  <c r="K394" i="2" s="1"/>
  <c r="J391" i="2"/>
  <c r="K391" i="2" s="1"/>
  <c r="J302" i="2"/>
  <c r="K302" i="2" s="1"/>
  <c r="J305" i="2"/>
  <c r="K305" i="2" s="1"/>
  <c r="J138" i="2"/>
  <c r="K138" i="2" s="1"/>
  <c r="J137" i="2"/>
  <c r="K137" i="2" s="1"/>
  <c r="J136" i="2"/>
  <c r="K136" i="2" s="1"/>
  <c r="J139" i="2"/>
  <c r="K139" i="2" s="1"/>
  <c r="J390" i="2"/>
  <c r="K390" i="2" s="1"/>
  <c r="J303" i="2"/>
  <c r="K303" i="2" s="1"/>
  <c r="J306" i="2"/>
  <c r="K306" i="2" s="1"/>
  <c r="J304" i="2"/>
  <c r="K304" i="2" s="1"/>
  <c r="J544" i="2"/>
  <c r="K544" i="2" s="1"/>
  <c r="J301" i="2"/>
  <c r="K301" i="2" s="1"/>
  <c r="J389" i="2"/>
  <c r="K389" i="2" s="1"/>
  <c r="J388" i="2"/>
  <c r="K388" i="2" s="1"/>
  <c r="J300" i="2"/>
  <c r="K300" i="2" s="1"/>
  <c r="J132" i="2"/>
  <c r="K132" i="2" s="1"/>
  <c r="J135" i="2"/>
  <c r="K135" i="2" s="1"/>
  <c r="J134" i="2"/>
  <c r="K134" i="2" s="1"/>
  <c r="J133" i="2"/>
  <c r="K133" i="2" s="1"/>
  <c r="J545" i="2"/>
  <c r="K545" i="2" s="1"/>
  <c r="J299" i="2"/>
  <c r="K299" i="2" s="1"/>
  <c r="J387" i="2"/>
  <c r="K387" i="2" s="1"/>
  <c r="J294" i="2"/>
  <c r="K294" i="2" s="1"/>
  <c r="J298" i="2"/>
  <c r="K298" i="2" s="1"/>
  <c r="J131" i="2"/>
  <c r="K131" i="2" s="1"/>
  <c r="J130" i="2"/>
  <c r="K130" i="2" s="1"/>
  <c r="J129" i="2"/>
  <c r="K129" i="2" s="1"/>
  <c r="J128" i="2"/>
  <c r="K128" i="2" s="1"/>
  <c r="J386" i="2"/>
  <c r="K386" i="2" s="1"/>
  <c r="J385" i="2"/>
  <c r="K385" i="2" s="1"/>
  <c r="J384" i="2"/>
  <c r="K384" i="2" s="1"/>
  <c r="J542" i="2"/>
  <c r="K542" i="2" s="1"/>
  <c r="J541" i="2"/>
  <c r="K541" i="2" s="1"/>
  <c r="J543" i="2"/>
  <c r="K543" i="2" s="1"/>
  <c r="J293" i="2"/>
  <c r="K293" i="2" s="1"/>
  <c r="J292" i="2"/>
  <c r="K292" i="2" s="1"/>
  <c r="J291" i="2"/>
  <c r="K291" i="2" s="1"/>
  <c r="J383" i="2"/>
  <c r="K383" i="2" s="1"/>
  <c r="J382" i="2"/>
  <c r="K382" i="2" s="1"/>
  <c r="J290" i="2"/>
  <c r="K290" i="2" s="1"/>
  <c r="J540" i="2"/>
  <c r="K540" i="2" s="1"/>
  <c r="J127" i="2"/>
  <c r="K127" i="2" s="1"/>
  <c r="J124" i="2"/>
  <c r="K124" i="2" s="1"/>
  <c r="J125" i="2"/>
  <c r="K125" i="2" s="1"/>
  <c r="J126" i="2"/>
  <c r="K126" i="2" s="1"/>
  <c r="J289" i="2"/>
  <c r="K289" i="2" s="1"/>
  <c r="J381" i="2"/>
  <c r="K381" i="2" s="1"/>
  <c r="J121" i="2"/>
  <c r="K121" i="2" s="1"/>
  <c r="J122" i="2"/>
  <c r="K122" i="2" s="1"/>
  <c r="J123" i="2"/>
  <c r="K123" i="2" s="1"/>
  <c r="J120" i="2"/>
  <c r="K120" i="2" s="1"/>
  <c r="J380" i="2"/>
  <c r="K380" i="2" s="1"/>
  <c r="J539" i="2"/>
  <c r="K539" i="2" s="1"/>
  <c r="J538" i="2"/>
  <c r="K538" i="2" s="1"/>
  <c r="J288" i="2"/>
  <c r="K288" i="2" s="1"/>
  <c r="J287" i="2"/>
  <c r="K287" i="2" s="1"/>
  <c r="J119" i="2"/>
  <c r="K119" i="2" s="1"/>
  <c r="J118" i="2"/>
  <c r="K118" i="2" s="1"/>
  <c r="J117" i="2"/>
  <c r="K117" i="2" s="1"/>
  <c r="J116" i="2"/>
  <c r="K116" i="2" s="1"/>
  <c r="J286" i="2"/>
  <c r="K286" i="2" s="1"/>
  <c r="J379" i="2"/>
  <c r="K379" i="2" s="1"/>
  <c r="J378" i="2"/>
  <c r="K378" i="2" s="1"/>
  <c r="J537" i="2"/>
  <c r="K537" i="2" s="1"/>
  <c r="J536" i="2"/>
  <c r="K536" i="2" s="1"/>
  <c r="J377" i="2"/>
  <c r="K377" i="2" s="1"/>
  <c r="J284" i="2"/>
  <c r="K284" i="2" s="1"/>
  <c r="J376" i="2"/>
  <c r="K376" i="2" s="1"/>
  <c r="J285" i="2"/>
  <c r="K285" i="2" s="1"/>
  <c r="J283" i="2"/>
  <c r="K283" i="2" s="1"/>
  <c r="J115" i="2"/>
  <c r="K115" i="2" s="1"/>
  <c r="J114" i="2"/>
  <c r="K114" i="2" s="1"/>
  <c r="J113" i="2"/>
  <c r="K113" i="2" s="1"/>
  <c r="J535" i="2"/>
  <c r="K535" i="2" s="1"/>
  <c r="J534" i="2"/>
  <c r="K534" i="2" s="1"/>
  <c r="J375" i="2"/>
  <c r="K375" i="2" s="1"/>
  <c r="J282" i="2"/>
  <c r="K282" i="2" s="1"/>
  <c r="J281" i="2"/>
  <c r="K281" i="2" s="1"/>
  <c r="J280" i="2"/>
  <c r="K280" i="2" s="1"/>
  <c r="J374" i="2"/>
  <c r="K374" i="2" s="1"/>
  <c r="J279" i="2"/>
  <c r="K279" i="2" s="1"/>
  <c r="J111" i="2"/>
  <c r="K111" i="2" s="1"/>
  <c r="J112" i="2"/>
  <c r="K112" i="2" s="1"/>
  <c r="J110" i="2"/>
  <c r="K110" i="2" s="1"/>
  <c r="J372" i="2"/>
  <c r="K372" i="2" s="1"/>
  <c r="J278" i="2"/>
  <c r="K278" i="2" s="1"/>
  <c r="J373" i="2"/>
  <c r="K373" i="2" s="1"/>
  <c r="J371" i="2"/>
  <c r="K371" i="2" s="1"/>
  <c r="J370" i="2"/>
  <c r="K370" i="2" s="1"/>
  <c r="J369" i="2"/>
  <c r="K369" i="2" s="1"/>
  <c r="J368" i="2"/>
  <c r="K368" i="2" s="1"/>
  <c r="J277" i="2"/>
  <c r="K277" i="2" s="1"/>
  <c r="J276" i="2"/>
  <c r="K276" i="2" s="1"/>
  <c r="J275" i="2"/>
  <c r="K275" i="2" s="1"/>
  <c r="J109" i="2"/>
  <c r="K109" i="2" s="1"/>
  <c r="J108" i="2"/>
  <c r="K108" i="2" s="1"/>
  <c r="J107" i="2"/>
  <c r="K107" i="2" s="1"/>
  <c r="J106" i="2"/>
  <c r="K106" i="2" s="1"/>
  <c r="J274" i="2"/>
  <c r="K274" i="2" s="1"/>
  <c r="J273" i="2"/>
  <c r="K273" i="2" s="1"/>
  <c r="J105" i="2"/>
  <c r="K105" i="2" s="1"/>
  <c r="J104" i="2"/>
  <c r="K104" i="2" s="1"/>
  <c r="J103" i="2"/>
  <c r="K103" i="2" s="1"/>
  <c r="J272" i="2"/>
  <c r="K272" i="2" s="1"/>
  <c r="J271" i="2"/>
  <c r="K271" i="2" s="1"/>
  <c r="J270" i="2"/>
  <c r="K270" i="2" s="1"/>
  <c r="J101" i="2"/>
  <c r="K101" i="2" s="1"/>
  <c r="J102" i="2"/>
  <c r="K102" i="2" s="1"/>
  <c r="J100" i="2"/>
  <c r="K100" i="2" s="1"/>
  <c r="J533" i="2"/>
  <c r="K533" i="2" s="1"/>
  <c r="J269" i="2"/>
  <c r="K269" i="2" s="1"/>
  <c r="J266" i="2"/>
  <c r="K266" i="2" s="1"/>
  <c r="J268" i="2"/>
  <c r="K268" i="2" s="1"/>
  <c r="J267" i="2"/>
  <c r="K267" i="2" s="1"/>
  <c r="J99" i="2"/>
  <c r="K99" i="2" s="1"/>
  <c r="J98" i="2"/>
  <c r="K98" i="2" s="1"/>
  <c r="J97" i="2"/>
  <c r="K97" i="2" s="1"/>
  <c r="J96" i="2"/>
  <c r="K96" i="2" s="1"/>
  <c r="J95" i="2"/>
  <c r="K95" i="2" s="1"/>
  <c r="J94" i="2"/>
  <c r="K94" i="2" s="1"/>
  <c r="J265" i="2"/>
  <c r="K265" i="2" s="1"/>
  <c r="J264" i="2"/>
  <c r="K264" i="2" s="1"/>
  <c r="J531" i="2"/>
  <c r="K531" i="2" s="1"/>
  <c r="J263" i="2"/>
  <c r="K263" i="2" s="1"/>
  <c r="J262" i="2"/>
  <c r="K262" i="2" s="1"/>
  <c r="J367" i="2"/>
  <c r="K367" i="2" s="1"/>
  <c r="J92" i="2"/>
  <c r="K92" i="2" s="1"/>
  <c r="J93" i="2"/>
  <c r="K93" i="2" s="1"/>
  <c r="J91" i="2"/>
  <c r="K91" i="2" s="1"/>
  <c r="J366" i="2"/>
  <c r="K366" i="2" s="1"/>
  <c r="J530" i="2"/>
  <c r="K530" i="2" s="1"/>
  <c r="J261" i="2"/>
  <c r="K261" i="2" s="1"/>
  <c r="J363" i="2"/>
  <c r="K363" i="2" s="1"/>
  <c r="J89" i="2"/>
  <c r="K89" i="2" s="1"/>
  <c r="J88" i="2"/>
  <c r="K88" i="2" s="1"/>
  <c r="J90" i="2"/>
  <c r="K90" i="2" s="1"/>
  <c r="J529" i="2"/>
  <c r="K529" i="2" s="1"/>
  <c r="J260" i="2"/>
  <c r="K260" i="2" s="1"/>
  <c r="J259" i="2"/>
  <c r="K259" i="2" s="1"/>
  <c r="J258" i="2"/>
  <c r="K258" i="2" s="1"/>
  <c r="J365" i="2"/>
  <c r="K365" i="2" s="1"/>
  <c r="J257" i="2"/>
  <c r="K257" i="2" s="1"/>
  <c r="J256" i="2"/>
  <c r="K256" i="2" s="1"/>
  <c r="J364" i="2"/>
  <c r="K364" i="2" s="1"/>
  <c r="J87" i="2"/>
  <c r="K87" i="2" s="1"/>
  <c r="J86" i="2"/>
  <c r="K86" i="2" s="1"/>
  <c r="J85" i="2"/>
  <c r="K85" i="2" s="1"/>
  <c r="J528" i="2"/>
  <c r="K528" i="2" s="1"/>
  <c r="J255" i="2"/>
  <c r="K255" i="2" s="1"/>
  <c r="J254" i="2"/>
  <c r="K254" i="2" s="1"/>
  <c r="J83" i="2"/>
  <c r="K83" i="2" s="1"/>
  <c r="J84" i="2"/>
  <c r="K84" i="2" s="1"/>
  <c r="J82" i="2"/>
  <c r="K82" i="2" s="1"/>
  <c r="J81" i="2"/>
  <c r="K81" i="2" s="1"/>
  <c r="J1414" i="2"/>
  <c r="K1414" i="2" s="1"/>
  <c r="J532" i="2"/>
  <c r="K532" i="2" s="1"/>
  <c r="J527" i="2"/>
  <c r="K527" i="2" s="1"/>
  <c r="J526" i="2"/>
  <c r="K526" i="2" s="1"/>
  <c r="J525" i="2"/>
  <c r="K525" i="2" s="1"/>
  <c r="J362" i="2"/>
  <c r="K362" i="2" s="1"/>
  <c r="J361" i="2"/>
  <c r="K361" i="2" s="1"/>
  <c r="J360" i="2"/>
  <c r="K360" i="2" s="1"/>
  <c r="J359" i="2"/>
  <c r="K359" i="2" s="1"/>
  <c r="J358" i="2"/>
  <c r="K358" i="2" s="1"/>
  <c r="J357" i="2"/>
  <c r="K357" i="2" s="1"/>
  <c r="J253" i="2"/>
  <c r="K253" i="2" s="1"/>
  <c r="J252" i="2"/>
  <c r="K252" i="2" s="1"/>
  <c r="J251" i="2"/>
  <c r="K251" i="2" s="1"/>
  <c r="J250" i="2"/>
  <c r="K250" i="2" s="1"/>
  <c r="J249" i="2"/>
  <c r="K249" i="2" s="1"/>
  <c r="J248" i="2"/>
  <c r="K248" i="2" s="1"/>
  <c r="J247" i="2"/>
  <c r="K247" i="2" s="1"/>
  <c r="J246" i="2"/>
  <c r="K246" i="2" s="1"/>
  <c r="J245" i="2"/>
  <c r="K245" i="2" s="1"/>
  <c r="J244" i="2"/>
  <c r="K244" i="2" s="1"/>
  <c r="J243" i="2"/>
  <c r="K243" i="2" s="1"/>
  <c r="J242" i="2"/>
  <c r="K242" i="2" s="1"/>
  <c r="J241" i="2"/>
  <c r="K241" i="2" s="1"/>
  <c r="J240" i="2"/>
  <c r="K240" i="2" s="1"/>
  <c r="J239" i="2"/>
  <c r="K239" i="2" s="1"/>
  <c r="J238" i="2"/>
  <c r="K238" i="2" s="1"/>
  <c r="J237" i="2"/>
  <c r="K237" i="2" s="1"/>
  <c r="J236" i="2"/>
  <c r="K236" i="2" s="1"/>
  <c r="J58" i="2"/>
  <c r="K58" i="2" s="1"/>
  <c r="J57" i="2"/>
  <c r="K57" i="2" s="1"/>
  <c r="J67" i="2"/>
  <c r="K67" i="2" s="1"/>
  <c r="J66" i="2"/>
  <c r="K66" i="2" s="1"/>
  <c r="J65" i="2"/>
  <c r="K65" i="2" s="1"/>
  <c r="J64" i="2"/>
  <c r="K64" i="2" s="1"/>
  <c r="J63" i="2"/>
  <c r="K63" i="2" s="1"/>
  <c r="J62" i="2"/>
  <c r="K62" i="2" s="1"/>
  <c r="J61" i="2"/>
  <c r="K61" i="2" s="1"/>
  <c r="J60" i="2"/>
  <c r="K60" i="2" s="1"/>
  <c r="J59" i="2"/>
  <c r="K59" i="2" s="1"/>
  <c r="J70" i="2"/>
  <c r="K70" i="2" s="1"/>
  <c r="J69" i="2"/>
  <c r="K69" i="2" s="1"/>
  <c r="J68" i="2"/>
  <c r="K68" i="2" s="1"/>
  <c r="J79" i="2"/>
  <c r="K79" i="2" s="1"/>
  <c r="J78" i="2"/>
  <c r="K78" i="2" s="1"/>
  <c r="J77" i="2"/>
  <c r="K77" i="2" s="1"/>
  <c r="J76" i="2"/>
  <c r="K76" i="2" s="1"/>
  <c r="J75" i="2"/>
  <c r="K75" i="2" s="1"/>
  <c r="J74" i="2"/>
  <c r="K74" i="2" s="1"/>
  <c r="J73" i="2"/>
  <c r="K73" i="2" s="1"/>
  <c r="J72" i="2"/>
  <c r="K72" i="2" s="1"/>
  <c r="J71" i="2"/>
  <c r="K71" i="2" s="1"/>
  <c r="J80" i="2"/>
  <c r="K80" i="2" s="1"/>
  <c r="J235" i="2"/>
  <c r="K235" i="2" s="1"/>
  <c r="J234" i="2"/>
  <c r="K234" i="2" s="1"/>
  <c r="J524" i="2"/>
  <c r="K524" i="2" s="1"/>
  <c r="K56" i="2"/>
  <c r="K54" i="2"/>
  <c r="K55" i="2"/>
  <c r="K53" i="2"/>
  <c r="J233" i="2"/>
  <c r="K233" i="2" s="1"/>
  <c r="J356" i="2"/>
  <c r="K356" i="2" s="1"/>
  <c r="J232" i="2"/>
  <c r="K232" i="2" s="1"/>
  <c r="J523" i="2"/>
  <c r="K523" i="2" s="1"/>
  <c r="K52" i="2"/>
  <c r="K51" i="2"/>
  <c r="K50" i="2"/>
  <c r="K49" i="2"/>
  <c r="J231" i="2"/>
  <c r="K231" i="2" s="1"/>
  <c r="K48" i="2"/>
  <c r="K47" i="2"/>
  <c r="K45" i="2"/>
  <c r="J522" i="2"/>
  <c r="K522" i="2" s="1"/>
  <c r="J340" i="2"/>
  <c r="K340" i="2" s="1"/>
  <c r="J230" i="2"/>
  <c r="K230" i="2" s="1"/>
  <c r="J228" i="2"/>
  <c r="K228" i="2" s="1"/>
  <c r="J339" i="2"/>
  <c r="K339" i="2" s="1"/>
  <c r="J229" i="2"/>
  <c r="K229" i="2" s="1"/>
  <c r="K44" i="2"/>
  <c r="J521" i="2"/>
  <c r="K521" i="2" s="1"/>
  <c r="K42" i="2"/>
  <c r="K43" i="2"/>
  <c r="K41" i="2"/>
  <c r="J227" i="2"/>
  <c r="K227" i="2" s="1"/>
  <c r="J338" i="2"/>
  <c r="K338" i="2" s="1"/>
  <c r="J520" i="2"/>
  <c r="K520" i="2" s="1"/>
  <c r="K40" i="2"/>
  <c r="K39" i="2"/>
  <c r="K38" i="2"/>
  <c r="J226" i="2"/>
  <c r="K226" i="2" s="1"/>
  <c r="J225" i="2"/>
  <c r="K225" i="2" s="1"/>
  <c r="J224" i="2"/>
  <c r="K224" i="2" s="1"/>
  <c r="K37" i="2"/>
  <c r="K36" i="2"/>
  <c r="K35" i="2"/>
  <c r="K33" i="2"/>
  <c r="K34" i="2"/>
  <c r="J223" i="2"/>
  <c r="K223" i="2" s="1"/>
  <c r="J519" i="2"/>
  <c r="K519" i="2" s="1"/>
  <c r="J337" i="2"/>
  <c r="K337" i="2" s="1"/>
  <c r="J222" i="2"/>
  <c r="K222" i="2" s="1"/>
  <c r="J518" i="2"/>
  <c r="K518" i="2" s="1"/>
  <c r="J336" i="2"/>
  <c r="K336" i="2" s="1"/>
  <c r="J220" i="2"/>
  <c r="K220" i="2" s="1"/>
  <c r="J221" i="2"/>
  <c r="K221" i="2" s="1"/>
  <c r="K31" i="2"/>
  <c r="K32" i="2"/>
  <c r="K30" i="2"/>
  <c r="J219" i="2"/>
  <c r="K219" i="2" s="1"/>
  <c r="J218" i="2"/>
  <c r="K218" i="2" s="1"/>
  <c r="J517" i="2"/>
  <c r="K517" i="2" s="1"/>
  <c r="K29" i="2"/>
  <c r="K28" i="2"/>
  <c r="K27" i="2"/>
  <c r="J13" i="2"/>
  <c r="K13" i="2" s="1"/>
  <c r="J516" i="2"/>
  <c r="K516" i="2" s="1"/>
  <c r="J216" i="2"/>
  <c r="K216" i="2" s="1"/>
  <c r="J214" i="2"/>
  <c r="K214" i="2" s="1"/>
  <c r="K24" i="2"/>
  <c r="K25" i="2"/>
  <c r="K26" i="2"/>
  <c r="J212" i="2"/>
  <c r="K212" i="2" s="1"/>
  <c r="J210" i="2"/>
  <c r="K210" i="2" s="1"/>
  <c r="J515" i="2"/>
  <c r="K515" i="2" s="1"/>
  <c r="K22" i="2"/>
  <c r="K23" i="2"/>
  <c r="K21" i="2"/>
  <c r="J209" i="2"/>
  <c r="K209" i="2" s="1"/>
  <c r="J207" i="2"/>
  <c r="K207" i="2" s="1"/>
  <c r="J334" i="2"/>
  <c r="K334" i="2" s="1"/>
  <c r="J514" i="2"/>
  <c r="K514" i="2" s="1"/>
  <c r="J333" i="2"/>
  <c r="K333" i="2" s="1"/>
  <c r="J200" i="2"/>
  <c r="K200" i="2" s="1"/>
  <c r="J201" i="2"/>
  <c r="K201" i="2" s="1"/>
  <c r="J203" i="2"/>
  <c r="K203" i="2" s="1"/>
  <c r="J205" i="2"/>
  <c r="K205" i="2" s="1"/>
  <c r="K16" i="2"/>
  <c r="K17" i="2"/>
  <c r="K18" i="2"/>
  <c r="K19" i="2"/>
  <c r="K20" i="2"/>
  <c r="J513" i="2"/>
  <c r="K513" i="2" s="1"/>
  <c r="J198" i="2"/>
  <c r="K198" i="2" s="1"/>
  <c r="J12" i="2"/>
  <c r="K12" i="2" s="1"/>
  <c r="J335" i="2"/>
  <c r="K335" i="2" s="1"/>
  <c r="J14" i="2"/>
  <c r="K14" i="2" s="1"/>
  <c r="K15" i="2"/>
  <c r="J332" i="2"/>
  <c r="K332" i="2" s="1"/>
  <c r="J11" i="2"/>
  <c r="K11" i="2" s="1"/>
  <c r="J10" i="2"/>
  <c r="K10" i="2" s="1"/>
  <c r="J196" i="2"/>
  <c r="K196" i="2" s="1"/>
  <c r="J511" i="2"/>
  <c r="K511" i="2" s="1"/>
  <c r="J9" i="2"/>
  <c r="K9" i="2" s="1"/>
  <c r="J8" i="2"/>
  <c r="K8" i="2" s="1"/>
  <c r="J194" i="2"/>
  <c r="K194" i="2" s="1"/>
  <c r="J192" i="2"/>
  <c r="K192" i="2" s="1"/>
  <c r="J5" i="2"/>
  <c r="K5" i="2" s="1"/>
  <c r="J6" i="2"/>
  <c r="K6" i="2" s="1"/>
  <c r="J7" i="2"/>
  <c r="K7" i="2" s="1"/>
  <c r="J512" i="2"/>
  <c r="K512" i="2" s="1"/>
  <c r="J190" i="2"/>
  <c r="K190" i="2" s="1"/>
  <c r="J189" i="2"/>
  <c r="K189" i="2" s="1"/>
  <c r="J327" i="2"/>
  <c r="K327" i="2" s="1"/>
  <c r="J295" i="2"/>
  <c r="K295" i="2" s="1"/>
  <c r="J296" i="2"/>
  <c r="K296" i="2" s="1"/>
  <c r="J297" i="2"/>
  <c r="K297" i="2" s="1"/>
  <c r="J510" i="2"/>
  <c r="K510" i="2" s="1"/>
  <c r="J766" i="2"/>
  <c r="M592" i="1" l="1"/>
  <c r="N592" i="1" s="1"/>
  <c r="K766" i="2"/>
  <c r="G2354" i="1"/>
  <c r="G2285" i="1"/>
  <c r="G2256" i="1"/>
  <c r="G2247" i="1"/>
  <c r="G2217" i="1"/>
  <c r="G2216" i="1"/>
  <c r="G2206" i="1"/>
  <c r="G2176" i="1"/>
  <c r="G2171" i="1"/>
  <c r="G2159" i="1"/>
  <c r="G2175" i="1"/>
  <c r="G2087" i="1"/>
  <c r="G2089" i="1"/>
  <c r="G2050" i="1"/>
  <c r="G2055" i="1"/>
  <c r="G1983" i="1"/>
  <c r="G1875" i="1"/>
  <c r="G1794" i="1"/>
  <c r="G1767" i="1"/>
  <c r="G1652" i="1"/>
  <c r="G1662" i="1"/>
  <c r="G1661" i="1"/>
  <c r="G1683" i="1"/>
  <c r="G1601" i="1"/>
  <c r="G1598" i="1"/>
  <c r="G1582" i="1"/>
  <c r="G1581" i="1"/>
  <c r="G1580" i="1"/>
  <c r="G1579" i="1"/>
  <c r="G1539" i="1"/>
  <c r="G1515" i="1"/>
  <c r="G1509" i="1"/>
  <c r="G1499" i="1"/>
  <c r="G1466" i="1"/>
  <c r="G1454" i="1"/>
  <c r="G1345" i="1"/>
  <c r="G1236" i="1"/>
  <c r="G1217" i="1"/>
  <c r="G1202" i="1"/>
  <c r="G1119" i="1"/>
  <c r="G1115" i="1"/>
  <c r="G1118" i="1"/>
  <c r="G1117" i="1"/>
  <c r="G1116" i="1"/>
  <c r="G1096" i="1"/>
  <c r="G1102" i="1"/>
  <c r="G1004" i="1"/>
  <c r="G1071" i="1"/>
  <c r="G964" i="1"/>
  <c r="G975" i="1"/>
  <c r="G981" i="1"/>
  <c r="G957" i="1"/>
  <c r="G956" i="1"/>
  <c r="G942" i="1"/>
  <c r="G908" i="1"/>
  <c r="G903" i="1"/>
  <c r="G902" i="1"/>
  <c r="G870" i="1"/>
  <c r="G877" i="1"/>
  <c r="G843" i="1"/>
  <c r="G842" i="1"/>
  <c r="G817" i="1"/>
  <c r="G790" i="1"/>
  <c r="G829" i="1"/>
  <c r="G824" i="1"/>
  <c r="G818" i="1"/>
  <c r="G760" i="1"/>
  <c r="G759" i="1"/>
  <c r="G758" i="1"/>
  <c r="G746" i="1"/>
  <c r="G656" i="1"/>
  <c r="G651" i="1"/>
  <c r="G618" i="1"/>
  <c r="G619" i="1"/>
  <c r="G582" i="1"/>
  <c r="G564" i="1"/>
  <c r="G553" i="1"/>
  <c r="G528" i="1"/>
  <c r="G529" i="1"/>
  <c r="G513" i="1"/>
  <c r="G416" i="1"/>
  <c r="G417" i="1"/>
  <c r="G404" i="1"/>
  <c r="G392" i="1"/>
  <c r="G378" i="1"/>
  <c r="G362" i="1"/>
  <c r="G290" i="1"/>
  <c r="G175" i="1"/>
  <c r="G118" i="1"/>
  <c r="G104" i="1"/>
  <c r="G87" i="1"/>
  <c r="G90" i="1"/>
  <c r="G89" i="1"/>
  <c r="G88" i="1"/>
  <c r="G65" i="1"/>
  <c r="G66" i="1"/>
  <c r="K1108" i="2"/>
  <c r="M1626" i="1"/>
  <c r="N1626" i="1" s="1"/>
  <c r="N1603" i="1"/>
  <c r="M1596" i="1"/>
  <c r="N1596" i="1" s="1"/>
  <c r="M1597" i="1"/>
  <c r="N1597" i="1" s="1"/>
  <c r="N1602" i="1"/>
  <c r="K1192" i="2"/>
  <c r="K1289" i="2"/>
  <c r="K983" i="2"/>
  <c r="K1088" i="2"/>
  <c r="K1241" i="2"/>
  <c r="K1237" i="2"/>
  <c r="M1491" i="1"/>
  <c r="N1491" i="1" s="1"/>
  <c r="K1030" i="2"/>
  <c r="M1040" i="1"/>
  <c r="N1040" i="1" s="1"/>
  <c r="M1039" i="1"/>
  <c r="N1039" i="1" s="1"/>
  <c r="M921" i="1"/>
  <c r="N921" i="1" s="1"/>
  <c r="M922" i="1"/>
  <c r="N922" i="1" s="1"/>
  <c r="M749" i="1"/>
  <c r="N749" i="1" s="1"/>
  <c r="M750" i="1"/>
  <c r="N750" i="1" s="1"/>
  <c r="M614" i="1"/>
  <c r="N614" i="1" s="1"/>
  <c r="M499" i="1"/>
  <c r="N499" i="1" s="1"/>
  <c r="K725" i="2"/>
  <c r="K626" i="2"/>
  <c r="K875" i="2"/>
  <c r="M405" i="1"/>
  <c r="N405" i="1" s="1"/>
  <c r="M406" i="1"/>
  <c r="N406" i="1" s="1"/>
  <c r="M383" i="1"/>
  <c r="N383" i="1" s="1"/>
  <c r="K697" i="2"/>
  <c r="K904" i="2"/>
  <c r="M241" i="1"/>
  <c r="N241" i="1" s="1"/>
  <c r="M242" i="1"/>
  <c r="N242" i="1" s="1"/>
  <c r="N206" i="1"/>
  <c r="M204" i="1"/>
  <c r="N204" i="1" s="1"/>
  <c r="M181" i="1"/>
  <c r="N181" i="1" s="1"/>
  <c r="M177" i="1"/>
  <c r="N177" i="1" s="1"/>
  <c r="M176" i="1"/>
  <c r="N176" i="1" s="1"/>
  <c r="M158" i="1"/>
  <c r="N158" i="1" s="1"/>
  <c r="M153" i="1"/>
  <c r="N153" i="1" s="1"/>
  <c r="M114" i="1"/>
  <c r="N114" i="1" s="1"/>
  <c r="N79" i="1"/>
  <c r="M80" i="1"/>
  <c r="N80" i="1" s="1"/>
  <c r="N107" i="1"/>
  <c r="N108" i="1"/>
  <c r="M102" i="1"/>
  <c r="N102" i="1" s="1"/>
  <c r="M89" i="1"/>
  <c r="N89" i="1" s="1"/>
  <c r="M90" i="1"/>
  <c r="N90" i="1" s="1"/>
  <c r="M52" i="1"/>
  <c r="N52" i="1" s="1"/>
  <c r="M6" i="1"/>
  <c r="N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tc={8DE02740-3A6B-4177-8368-68C0C846FC65}</author>
  </authors>
  <commentList>
    <comment ref="I1428" authorId="0" shapeId="0" xr:uid="{8DE02740-3A6B-4177-8368-68C0C846FC6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Factura original por 5 cargas, cruzaron 3, se hizo N/C por 2 cargas 
</t>
        </r>
      </text>
    </comment>
  </commentList>
</comments>
</file>

<file path=xl/sharedStrings.xml><?xml version="1.0" encoding="utf-8"?>
<sst xmlns="http://schemas.openxmlformats.org/spreadsheetml/2006/main" count="29246" uniqueCount="10235">
  <si>
    <t>--</t>
  </si>
  <si>
    <t>PROGRAMA DE CARGAS EN BRASIL desde 2024</t>
  </si>
  <si>
    <t xml:space="preserve"> </t>
  </si>
  <si>
    <t>Detalle/descripción presentación producto</t>
  </si>
  <si>
    <t>Carga
Sem.#</t>
  </si>
  <si>
    <t>Status</t>
  </si>
  <si>
    <t>Factura</t>
  </si>
  <si>
    <t>Productor</t>
  </si>
  <si>
    <t>Fecha de
Carga</t>
  </si>
  <si>
    <t>Carpeta Import.</t>
  </si>
  <si>
    <t>AFIDI</t>
  </si>
  <si>
    <t>Transportista</t>
  </si>
  <si>
    <t>Exportador</t>
  </si>
  <si>
    <t>Fecha 
Frontera</t>
  </si>
  <si>
    <t>Frontera</t>
  </si>
  <si>
    <t>Productos</t>
  </si>
  <si>
    <t>Fecha 
Descarga</t>
  </si>
  <si>
    <t>TT</t>
  </si>
  <si>
    <t xml:space="preserve">Cajas     MIC </t>
  </si>
  <si>
    <t>Cajas 
Desc</t>
  </si>
  <si>
    <t>CANT. DE PALLET</t>
  </si>
  <si>
    <t>CANT. KILOS POR CAJA/BOLSA</t>
  </si>
  <si>
    <t>Código de viaje</t>
  </si>
  <si>
    <t>MIC</t>
  </si>
  <si>
    <t>PLACAS  T</t>
  </si>
  <si>
    <t>PLACAS R</t>
  </si>
  <si>
    <t>Chofer</t>
  </si>
  <si>
    <t>Celular</t>
  </si>
  <si>
    <t xml:space="preserve">Observaciones </t>
  </si>
  <si>
    <t>Descargado</t>
  </si>
  <si>
    <t>001/24</t>
  </si>
  <si>
    <t>Jaime</t>
  </si>
  <si>
    <t>JM001</t>
  </si>
  <si>
    <t>RLL 2A97</t>
  </si>
  <si>
    <t>QHK 7710</t>
  </si>
  <si>
    <t>Benhur da Rosa</t>
  </si>
  <si>
    <t>MM 11/01 : DESCARGADO EN RIQUEZA NATURAL 919 CAJAS DE BRASIL FIBRA.</t>
  </si>
  <si>
    <t>021//24</t>
  </si>
  <si>
    <t>Varios</t>
  </si>
  <si>
    <t>RHB3A77</t>
  </si>
  <si>
    <t>BEN2E70</t>
  </si>
  <si>
    <t>010/</t>
  </si>
  <si>
    <t>Paraguay GM</t>
  </si>
  <si>
    <t>PY GM 003</t>
  </si>
  <si>
    <t>AAGJ923</t>
  </si>
  <si>
    <t>AADL399</t>
  </si>
  <si>
    <t>se descargo en riqueza natural 972 cajas de py2 el dia 13/1/2024</t>
  </si>
  <si>
    <t>1183/</t>
  </si>
  <si>
    <t>Paraguay EC</t>
  </si>
  <si>
    <t>PYEC006</t>
  </si>
  <si>
    <t>AAEH166</t>
  </si>
  <si>
    <t>AADU451</t>
  </si>
  <si>
    <t>MM 15/01 : DESCARGADO EN RIQUEZA NATURAL 930 CAJAS DE PARAGUAY EXTRA.</t>
  </si>
  <si>
    <t>1182/</t>
  </si>
  <si>
    <t>PY EC 004</t>
  </si>
  <si>
    <t>BOT019</t>
  </si>
  <si>
    <t>SE DESCARGO EN RIQUEZA NATURAL 930 CAJAS DE PY EL DIA 12/1/2024</t>
  </si>
  <si>
    <t>JM002</t>
  </si>
  <si>
    <t>RYK 8E00</t>
  </si>
  <si>
    <t>RYF 1D53</t>
  </si>
  <si>
    <t>Carlos Pompermaier</t>
  </si>
  <si>
    <t>MM 16/01 : DESCARGADO EN RIQUEZA NATURAL 918 CAJAS DE BRASIL FBRA.</t>
  </si>
  <si>
    <t>AL001/2024</t>
  </si>
  <si>
    <t>Nordeste</t>
  </si>
  <si>
    <t>RXT 0A05</t>
  </si>
  <si>
    <t>RXT 0A04</t>
  </si>
  <si>
    <t>Rogerio Fagundes</t>
  </si>
  <si>
    <t xml:space="preserve">SE DESCARGO EN RIQUEZA NATURAL 1103 CAJAS DE PURA VIDA EL DIA 16/1/2024. VINO EL CAMION CON FRUTA SENTIDA Y ALGUNOS PALLETS SIN FLEJES </t>
  </si>
  <si>
    <t>PYEC005</t>
  </si>
  <si>
    <t>AAAK129</t>
  </si>
  <si>
    <t>CDP119</t>
  </si>
  <si>
    <t>MM 15/01 : DESCARGADO EN RIQUEZA NATURAL 932 CAJAS DE PARAGUAY EXTRA.</t>
  </si>
  <si>
    <t>1185/</t>
  </si>
  <si>
    <t>PYEC007</t>
  </si>
  <si>
    <t>AAHG850</t>
  </si>
  <si>
    <t>AAHG813</t>
  </si>
  <si>
    <t>MM 16/01 : DESCARGADO EN RIQUEZA NATURAL 933 CAJAS DE PARAGUAY EXTRA.</t>
  </si>
  <si>
    <t>002/24</t>
  </si>
  <si>
    <t>Claudia</t>
  </si>
  <si>
    <t>CH002</t>
  </si>
  <si>
    <t>EOE 2457</t>
  </si>
  <si>
    <t>MJY 7674</t>
  </si>
  <si>
    <t>MM 19/01 : DESCARGADO EN RIQUEZA NATURAL 900 CAJAS DE BRASIL FIBRA EXTRA.</t>
  </si>
  <si>
    <t>JM003</t>
  </si>
  <si>
    <t>MGK 9855</t>
  </si>
  <si>
    <t>EOE 2359</t>
  </si>
  <si>
    <t>MM 19/01 : DESCARGADO EN RIQUEZA NATURAL 919 CAJAS DE BRASIL FIBRA EXTRA.</t>
  </si>
  <si>
    <t>Junkes</t>
  </si>
  <si>
    <t>JS001</t>
  </si>
  <si>
    <t>RYH 3A87</t>
  </si>
  <si>
    <t>RYH 2A07</t>
  </si>
  <si>
    <t>se descargo en riqueza natural 918 cajas de brasil fibra el dia 19/1/2024</t>
  </si>
  <si>
    <t>PYEC008</t>
  </si>
  <si>
    <t>AAAG911</t>
  </si>
  <si>
    <t>HFD454</t>
  </si>
  <si>
    <t>MM 20/01: DESCARGADO EN RIQUEZA NATURAL 932 CAJAS DE PARAGUAY EXTRA,</t>
  </si>
  <si>
    <t>1187/</t>
  </si>
  <si>
    <t>PYEC009</t>
  </si>
  <si>
    <t>AAIS133</t>
  </si>
  <si>
    <t>AYZ125</t>
  </si>
  <si>
    <t>MM 22/01 : DESCARGADO EN RIQUEZA NATURAL 930 CAJAS DE PARAGUAY EXTRA.</t>
  </si>
  <si>
    <t>307/</t>
  </si>
  <si>
    <t>Paraguay MS</t>
  </si>
  <si>
    <t>AACG469</t>
  </si>
  <si>
    <t>20/01: DESCARGADO EN RIQUEZA NATURAL 980 CAJAS DE PARAGUAY EXTRA.</t>
  </si>
  <si>
    <t>CH003</t>
  </si>
  <si>
    <t>RKX 1F29</t>
  </si>
  <si>
    <t>REA 1H91</t>
  </si>
  <si>
    <t>Diego Lopes</t>
  </si>
  <si>
    <t>MM 20/01 : DESCARGADO EN RIQUEZA NATURAL 900 CAJAS DE BRASIL FIBRA EXTRA.</t>
  </si>
  <si>
    <t>Corupá</t>
  </si>
  <si>
    <t>CP002</t>
  </si>
  <si>
    <t>EOE 2456</t>
  </si>
  <si>
    <t>EOE 2444</t>
  </si>
  <si>
    <t>Edenilson S. de Almeida</t>
  </si>
  <si>
    <t>MM 20/01 : DESCARGADO EN RIQUEZA NATURAL 919 CAJAS DE BRASIL COMUN.</t>
  </si>
  <si>
    <t>PYMS004</t>
  </si>
  <si>
    <t>AAGO344</t>
  </si>
  <si>
    <t>AAGX855</t>
  </si>
  <si>
    <t>MM 20/01: DESCARGADO EN RIQUEZA NATURAL 980 CAJAS DE PARAGUAY EXTRA,</t>
  </si>
  <si>
    <t>097/</t>
  </si>
  <si>
    <t>Paraguay DF</t>
  </si>
  <si>
    <t>PYDF001</t>
  </si>
  <si>
    <t>KAZ602</t>
  </si>
  <si>
    <t>HBA800</t>
  </si>
  <si>
    <t>MM 20/01 : DESCARGADO EN RIQUEZA NATURAL 982 CAJAS DE PARAGUAY SEGUNDA.</t>
  </si>
  <si>
    <t>011/</t>
  </si>
  <si>
    <t>PYGM004</t>
  </si>
  <si>
    <t>NBR357</t>
  </si>
  <si>
    <t>NBR474</t>
  </si>
  <si>
    <t>AL 23/01 : SE DESCARGARON EN RIQUEZA NATURAL 972 CAJAS DE PARAGUAY 2ª.</t>
  </si>
  <si>
    <t>AL002/2024</t>
  </si>
  <si>
    <t>RYK 0G12</t>
  </si>
  <si>
    <t>FCE 5549</t>
  </si>
  <si>
    <t>Emerson Lappe</t>
  </si>
  <si>
    <t>MM 25/01 : DESCARGADO EN RIQUEZA NATURAL 1104 CAJAS DE BRASIL CARTON.</t>
  </si>
  <si>
    <t>1188/</t>
  </si>
  <si>
    <t>PYEC010</t>
  </si>
  <si>
    <t>AAAA288</t>
  </si>
  <si>
    <t>AAAA294</t>
  </si>
  <si>
    <t>AL 23/01 : SE DESCARGARON EN RIQUEZA NATURAL 933 CAJAS DE PARAGUAY EXTRA.</t>
  </si>
  <si>
    <t>JM004</t>
  </si>
  <si>
    <t>QIW 6450</t>
  </si>
  <si>
    <t>QHT 8275</t>
  </si>
  <si>
    <t>AL 24/01 : DESCARGADO EN RIQUEZA NATURAL 919 CAJAS DE BRASIL FIBRA.</t>
  </si>
  <si>
    <t>003/24</t>
  </si>
  <si>
    <t>JM005</t>
  </si>
  <si>
    <t>FEJ 8C47</t>
  </si>
  <si>
    <t>EOE 2445</t>
  </si>
  <si>
    <t>MM 27/01 : DESCARGADO EN RIQUEZA NATURAL 919 CAJAS DE BRASIL FIBRA.</t>
  </si>
  <si>
    <t>CH005</t>
  </si>
  <si>
    <t>RDY 1B34</t>
  </si>
  <si>
    <t>RDS 5I03</t>
  </si>
  <si>
    <t>AL 27/01: DESCARGADO EN ROQUEZA NATURAL 901CAJAS DE BRASIL FIBRA EXTRA..</t>
  </si>
  <si>
    <t>012/</t>
  </si>
  <si>
    <t>PYGM005</t>
  </si>
  <si>
    <t>BHH113</t>
  </si>
  <si>
    <t>OBA516</t>
  </si>
  <si>
    <t>MM 25/01 : DESCARGADO EN RIQUEZA NATURAL 974 CAJAS DE PARAGUAY COMUN.</t>
  </si>
  <si>
    <t>311/</t>
  </si>
  <si>
    <t>PYMS005</t>
  </si>
  <si>
    <t>AAIS110</t>
  </si>
  <si>
    <t>OCG216</t>
  </si>
  <si>
    <t>AL 27/01: DESCARGADO EN ROQUEZA NATURAL 980 CAJAS DE PY PEPE</t>
  </si>
  <si>
    <t>1190/</t>
  </si>
  <si>
    <t>PYEC011</t>
  </si>
  <si>
    <t>ZAE495</t>
  </si>
  <si>
    <t>BZR991</t>
  </si>
  <si>
    <t>SE DESCARGO EN RIQUEZA 933 CAJAS DE PY EXTRA EL DIA 27/1/2024</t>
  </si>
  <si>
    <t>PYGM006</t>
  </si>
  <si>
    <t>BFK 528</t>
  </si>
  <si>
    <t>BEF 740</t>
  </si>
  <si>
    <t>MM 27/01 : DESCARGADO EN RIQUEZA NATURAL 972 CAJAS DE PARAGUAY,</t>
  </si>
  <si>
    <t>004/24</t>
  </si>
  <si>
    <t>JS002</t>
  </si>
  <si>
    <t>MEA 9B24</t>
  </si>
  <si>
    <t>INX 0372</t>
  </si>
  <si>
    <t>MM 27/01 : DESCARGADO EN RIQUEZA NATURAL 918 CAJAS DE BRASIL FIBRA.</t>
  </si>
  <si>
    <t>PYEC012</t>
  </si>
  <si>
    <t>MBP313</t>
  </si>
  <si>
    <t>OBF281</t>
  </si>
  <si>
    <t>AL 27/01: DESCARGADO EN ROQUEZA NATURAL 930 CAJAS DE PY PEPE EXTRA.</t>
  </si>
  <si>
    <t>2280/</t>
  </si>
  <si>
    <t>Paraguay HF</t>
  </si>
  <si>
    <t>PYHF001</t>
  </si>
  <si>
    <t>KAO 996</t>
  </si>
  <si>
    <t>ZAR 552</t>
  </si>
  <si>
    <t>MM 27/01 : DESCARGADO EN RIQUEZA NATURAL 980 CAJAS DE PARAGUAY,</t>
  </si>
  <si>
    <t>CH004</t>
  </si>
  <si>
    <t>MM 27/01 : DESCARGADO EN RIQUEZA NATURAL 901 CAJAS DE BRASIL FIBRA EXTRA.</t>
  </si>
  <si>
    <t>312/</t>
  </si>
  <si>
    <t>PYMS006</t>
  </si>
  <si>
    <t>AAJE676</t>
  </si>
  <si>
    <t>AAJE638</t>
  </si>
  <si>
    <t>SE DESCARGO EN RIQUEZA NATURAL 980 CAJAS DE PY EL DIA 29/1/2024</t>
  </si>
  <si>
    <t>101//</t>
  </si>
  <si>
    <t>DF001</t>
  </si>
  <si>
    <t>AAFL 470</t>
  </si>
  <si>
    <t>BCC 343</t>
  </si>
  <si>
    <t>AL003/2024</t>
  </si>
  <si>
    <t>RXP 2F83</t>
  </si>
  <si>
    <t>MAQ 7E23</t>
  </si>
  <si>
    <t>MM 30/01 : DESCARGADO EN RIQUEZA NATURAL 1104 CAJAS DE BRASIL CARTON.</t>
  </si>
  <si>
    <t>RXT0A05</t>
  </si>
  <si>
    <t>AL 01/02: DESCARGADO EN RIQUEZANATURAL 919 CAJAS DE BRASIL MADERA FIBRA.</t>
  </si>
  <si>
    <t>JM006</t>
  </si>
  <si>
    <t>QJQ 3610</t>
  </si>
  <si>
    <t>RLJ 4F32</t>
  </si>
  <si>
    <t>Luiz Paulo R. da Silva</t>
  </si>
  <si>
    <t>se descargo en riqueza natural 919 cajas de brasil fibra el dia 1/2/2024</t>
  </si>
  <si>
    <t>103//</t>
  </si>
  <si>
    <t>PYDF003</t>
  </si>
  <si>
    <t>AAGJ760</t>
  </si>
  <si>
    <t>AAGJ649</t>
  </si>
  <si>
    <t>AL 02/02: DE DESCARGARON EN RIQUEZA NATURAL 981 CAJAS DE PARAGUAY MADERA PEPE.</t>
  </si>
  <si>
    <t>PYDF002</t>
  </si>
  <si>
    <t>AAIF811</t>
  </si>
  <si>
    <t>AAIF819</t>
  </si>
  <si>
    <t>AL 02/02: DE DESCARGARON EN RIQUEZA NATURAL 980 CAJAS DE PARAGUAY MADERA PEPE.</t>
  </si>
  <si>
    <t>JM007</t>
  </si>
  <si>
    <t>GAT 3F49</t>
  </si>
  <si>
    <t>MGG 2B72</t>
  </si>
  <si>
    <t>AL 02/02 : SE DESCARGARON EN RIQUEZA NATURAL 919 CAJA DE BANANA BR FIBRA.</t>
  </si>
  <si>
    <t>1191/</t>
  </si>
  <si>
    <t>AADH998</t>
  </si>
  <si>
    <t>AADH872</t>
  </si>
  <si>
    <t>AL 02/02 : SE DESCARGARON EN RIQUEZA NATURAL 930 CAJAS DE PY PEPE EXTRA.</t>
  </si>
  <si>
    <t>007/24</t>
  </si>
  <si>
    <t>CH006</t>
  </si>
  <si>
    <t>Nasser Machado</t>
  </si>
  <si>
    <t>SE DESCARGO EN RIQUEZA NATURAL 901 CAJAS DE BR FIBRA.</t>
  </si>
  <si>
    <t>013/</t>
  </si>
  <si>
    <t>PYMG007</t>
  </si>
  <si>
    <t>AAG0344</t>
  </si>
  <si>
    <t>SE DESCARGO EN RIQUEZA NATURAL 972 CAJAS DE PY COMUN EL DIA 2/2/2024</t>
  </si>
  <si>
    <t>315/</t>
  </si>
  <si>
    <t>PYMS007</t>
  </si>
  <si>
    <t>BZF483</t>
  </si>
  <si>
    <t>SE DESCARGO EN RIQUEZA NATURAL 980 CAJAS DE PY EL DIA 3/2/2024</t>
  </si>
  <si>
    <t>PYGM008</t>
  </si>
  <si>
    <t>UAJ870</t>
  </si>
  <si>
    <t>NBR286</t>
  </si>
  <si>
    <t>AL 03/02 : SE RECIBIERON EN RIQUEZA NATURAL 976 CAJAS DE BANANA PARAGUAY COMÚN (CAJA NEGRA).</t>
  </si>
  <si>
    <t>PYEC014</t>
  </si>
  <si>
    <t>SE DESCARGO EN RIQUEZA NATURAL 934 CAJAS PEPE EXTRA 04/02</t>
  </si>
  <si>
    <t>001/24ALM</t>
  </si>
  <si>
    <t>EGK 4H56</t>
  </si>
  <si>
    <t>MHP 0D82</t>
  </si>
  <si>
    <t>008/24</t>
  </si>
  <si>
    <t>Gilson</t>
  </si>
  <si>
    <t>GT001</t>
  </si>
  <si>
    <t>IPA 0C32</t>
  </si>
  <si>
    <t>AVA 9556</t>
  </si>
  <si>
    <t>08/02: SE DESCARGO EN RIQUEZA NATURAL 919 CAJAS DE BRASIL MADERA.</t>
  </si>
  <si>
    <t>CP003</t>
  </si>
  <si>
    <t>MLC 7F48</t>
  </si>
  <si>
    <t>MLF 4G41</t>
  </si>
  <si>
    <t>08/02: SE DESCARGARON EN RIQUEZA NATURAL 919 CAJAS DE BANANA BRASIL MADERA</t>
  </si>
  <si>
    <t>claudia</t>
  </si>
  <si>
    <t>CH007</t>
  </si>
  <si>
    <t>08/02: SE DESCARGO EN RIQUEZA NATURAL 901 CAJAS DE BRASIL MADERA FIBRA EXTRA.</t>
  </si>
  <si>
    <t>AL004/2024</t>
  </si>
  <si>
    <t>PURA VIDA</t>
  </si>
  <si>
    <t>ELW 2791</t>
  </si>
  <si>
    <t>MIQ 0614</t>
  </si>
  <si>
    <t>08/02: SE DESCARGARON EN RIQUEZA NATURAL 1104 CAJAS DE BANANA BRASIL CARTON (PURA VIDA).</t>
  </si>
  <si>
    <t>104/</t>
  </si>
  <si>
    <t>PYDF004</t>
  </si>
  <si>
    <t>AAGJ 938</t>
  </si>
  <si>
    <t>AAIF650</t>
  </si>
  <si>
    <t>07/02 AL: SE RECIBIERON EN RIQUEZA NATURAL 983 CAJAS DE BANANA PARAGUAY PEPE.</t>
  </si>
  <si>
    <t>317/</t>
  </si>
  <si>
    <t>AAIR364</t>
  </si>
  <si>
    <t>AAAP975</t>
  </si>
  <si>
    <t>09/02: SE DESCARGARON EN RIQUEZA NATURAL 980 CAJAS DE  PY PEPE( -3 QUEMADAS). 977.</t>
  </si>
  <si>
    <t>AL005/2024</t>
  </si>
  <si>
    <t>SEB 0B64</t>
  </si>
  <si>
    <t>MLA 8D93</t>
  </si>
  <si>
    <t>10/02: SE DESCARGARON EN RIQUEZA NATURAL 1103 CAJAS DE BANANA PURAVIDA,</t>
  </si>
  <si>
    <t>AL006/2024</t>
  </si>
  <si>
    <t>PXD 0G96</t>
  </si>
  <si>
    <t>MHP 0E22</t>
  </si>
  <si>
    <t xml:space="preserve">10/02:SE DESCARGO ENRIQUEZA NATURAL 1104 CAJAS DE PURA VIDA </t>
  </si>
  <si>
    <t>JS004</t>
  </si>
  <si>
    <t>RAB 2900</t>
  </si>
  <si>
    <t>QTM 6394</t>
  </si>
  <si>
    <t>10/02:  DESCARGAN EN RIQUEZA NATURAL 919 CAJAS DE BANANA BRASIL FIBRA.</t>
  </si>
  <si>
    <t>PY*MS008</t>
  </si>
  <si>
    <t>BGN714</t>
  </si>
  <si>
    <t>AYU645</t>
  </si>
  <si>
    <t>SE DESCARGO EN RIQUEZA NATURAL 981 CAJAS DE PY EL DIA 10/2/2024</t>
  </si>
  <si>
    <t>CH*008</t>
  </si>
  <si>
    <t>RXZ 2J78</t>
  </si>
  <si>
    <t>RYF 7H56</t>
  </si>
  <si>
    <t>SE DESCARGO EN RIQUEZA NATURAL 901 CAJAS DE BRASIL FIBRA EL DIA 10/2/2024</t>
  </si>
  <si>
    <t>318/</t>
  </si>
  <si>
    <t>PY*MS009</t>
  </si>
  <si>
    <t>BHH13</t>
  </si>
  <si>
    <t>Cancelado</t>
  </si>
  <si>
    <t>xx</t>
  </si>
  <si>
    <t>014/</t>
  </si>
  <si>
    <t>SE DESCARGO EN RIQUEZA NATURAL 974 CAJAS DE PY COMUN EL DIA 11/02/2024</t>
  </si>
  <si>
    <t>015//</t>
  </si>
  <si>
    <t>l</t>
  </si>
  <si>
    <t>SE DESCARGO EN RIQUEZA NATURAL 972 CAJAS DE PY EL DIA 14/2/2024</t>
  </si>
  <si>
    <t>1194/</t>
  </si>
  <si>
    <t>SE DESCARGO EN RIQUEZA NATURAL 931 CAJAS DE PY EL DIA 11/02/2024</t>
  </si>
  <si>
    <t>SE DESCARGO EN RIQUEZA NATURAL 930 CAJAS DE PY EL DIA 11/02/2024</t>
  </si>
  <si>
    <t>107//</t>
  </si>
  <si>
    <t>PYDF005</t>
  </si>
  <si>
    <t>BFK528</t>
  </si>
  <si>
    <t>BEF740</t>
  </si>
  <si>
    <t>16/02: SE RECIBIERON EN RIQUEZA NATURAL 981 CAJAS DE BANANA PARAGUAY PEPE.</t>
  </si>
  <si>
    <t>2288/</t>
  </si>
  <si>
    <t>PYHF002</t>
  </si>
  <si>
    <t>BGX855</t>
  </si>
  <si>
    <t>UAB514</t>
  </si>
  <si>
    <t>16/02: SE DESCARGARON EN RIQUEZA NATURAL 982 CAJAS DE BANANA PARAGUAY PEPE.</t>
  </si>
  <si>
    <t>PYGM010</t>
  </si>
  <si>
    <t xml:space="preserve">AAIF811 </t>
  </si>
  <si>
    <t>16/02: SE DESCARGARON EN RIQUEZA NATURAL 972 CAJAS DE BANANA PARAGUAY COMUN (CAJA NEGRA).</t>
  </si>
  <si>
    <t>MDI 4739</t>
  </si>
  <si>
    <t>MIY 3F53</t>
  </si>
  <si>
    <t>17/02: SE RECIBIERON EN RIQUEZA NATURAL 919 CAJAS DE BANANA BRASIL MADERA.</t>
  </si>
  <si>
    <t>CH009</t>
  </si>
  <si>
    <t>MMH 8790</t>
  </si>
  <si>
    <t>FFW 3337</t>
  </si>
  <si>
    <t>17/02: SE DESCARGARON EN RIQUEZA NATURAL 901 CAJAS DE BANANA BR_FIBRA EXTRA.</t>
  </si>
  <si>
    <t>001-AMR-2024</t>
  </si>
  <si>
    <t>RHVOG74</t>
  </si>
  <si>
    <t>AL009/2024</t>
  </si>
  <si>
    <t>BEZ 3B58</t>
  </si>
  <si>
    <t>BEZ 3B59</t>
  </si>
  <si>
    <t>17/02: SE DESCARGARON EN RIQUEZA NATURAL 1104 CAJAS DE BANANA PURA VIDA.</t>
  </si>
  <si>
    <t>SE DESCARGO EN RIQUEZA NATURAL 919 CAJAS DE BRASIL EL DIA 17/2/2024. VINO CON FRUTA SENTIDA</t>
  </si>
  <si>
    <t>AL007/2024</t>
  </si>
  <si>
    <t>QJQ 1895</t>
  </si>
  <si>
    <t>MKW 8297</t>
  </si>
  <si>
    <t>SE DESCARGO EN RIQUEZA NATURAL 1104 CAJAS DE PURA VIDA EL DIA 17/2/2024</t>
  </si>
  <si>
    <t>AL008/2024</t>
  </si>
  <si>
    <t>MLR 9979</t>
  </si>
  <si>
    <t>MEY 0446</t>
  </si>
  <si>
    <t>321/</t>
  </si>
  <si>
    <t>PYMS011</t>
  </si>
  <si>
    <t>SE DESCARGO EN RIQUEZA NATURAL 980 CAJAS DE PARAGUAY EL DIA 17/2/2024</t>
  </si>
  <si>
    <t>016/</t>
  </si>
  <si>
    <t>PYGM011</t>
  </si>
  <si>
    <t>17/02: SE RECIBIERON EN RIQUEZA NATURAL 972 CAJAS DE BANANA PY COMUN (CAJA NEGRA).</t>
  </si>
  <si>
    <t>JM008</t>
  </si>
  <si>
    <t>QHP 4989</t>
  </si>
  <si>
    <t>QHT 8855</t>
  </si>
  <si>
    <t>SE DESCARGO EN RIQUEZA NATURAL 918 CAJAS DE BRASIL EL DIA 17/2/2024</t>
  </si>
  <si>
    <t>PYMS010</t>
  </si>
  <si>
    <t>BEB467</t>
  </si>
  <si>
    <t>BFH182</t>
  </si>
  <si>
    <t>1195/</t>
  </si>
  <si>
    <t>PYEC017</t>
  </si>
  <si>
    <t>AADH798</t>
  </si>
  <si>
    <t>19/02: SE RECIBIERON EN RIQUEZA NATURAL 931 CAJAS DE BANANA PY PEPE.</t>
  </si>
  <si>
    <t>PYEC018</t>
  </si>
  <si>
    <t>AACZ181</t>
  </si>
  <si>
    <t>20/02: SE RECIBIERON EN RIQUEZA NATURAL 930 CAJAS DE BANANA PY PEPE.</t>
  </si>
  <si>
    <t>Bolivia Tuli</t>
  </si>
  <si>
    <t>RHU 1A06</t>
  </si>
  <si>
    <t>RHU 1A07</t>
  </si>
  <si>
    <t>se descargo en riqueza natural 919 cajas de brasil  el dia 22/2/2024</t>
  </si>
  <si>
    <t>022//24</t>
  </si>
  <si>
    <t>RHB 4E47</t>
  </si>
  <si>
    <t>RHB 4E46</t>
  </si>
  <si>
    <t>010/24</t>
  </si>
  <si>
    <t>CH011</t>
  </si>
  <si>
    <t>QJV 4800</t>
  </si>
  <si>
    <t>QJM 1037</t>
  </si>
  <si>
    <t>23/02: SE DESCARGARON EN RIQUEZA NATURAL 900 CAJAS DE BANANA BR. FIBRA EXTRA.</t>
  </si>
  <si>
    <t>1010/</t>
  </si>
  <si>
    <t>PY HF 004</t>
  </si>
  <si>
    <t>AAMG947</t>
  </si>
  <si>
    <t>AAOE593</t>
  </si>
  <si>
    <t>SE DESCARGO EN RIQUEZA NATURAL 980 CAJAS DE PARAGAUY EL DIA 23/2/2024</t>
  </si>
  <si>
    <t>2292/</t>
  </si>
  <si>
    <t>PY HF 003</t>
  </si>
  <si>
    <t>AAAH194</t>
  </si>
  <si>
    <t>AOZ214</t>
  </si>
  <si>
    <t>SE DESCARGO EN RIQUEZA NATURAL 982 CAJAS DE PARAGUAY EL DIA 23/2/2024</t>
  </si>
  <si>
    <t>111/</t>
  </si>
  <si>
    <t>PY DF 006</t>
  </si>
  <si>
    <t xml:space="preserve">BZF483 </t>
  </si>
  <si>
    <t>BHX180</t>
  </si>
  <si>
    <t>SE DESCARGO ENR IQUEZA NATURAL 982 CAJAS DE PARAGUAY COMUN EL DIA 23/2/2024</t>
  </si>
  <si>
    <t>322/</t>
  </si>
  <si>
    <t>PY MS 012</t>
  </si>
  <si>
    <t>AACG315</t>
  </si>
  <si>
    <t>AAIF902</t>
  </si>
  <si>
    <t>23/02: E RECIBIERON EN RIQUEZA NATURAL 982 CAJAS DE BANANA PY PEPE.</t>
  </si>
  <si>
    <t>CH012</t>
  </si>
  <si>
    <t>OKD 3060</t>
  </si>
  <si>
    <t>QJJ 7228</t>
  </si>
  <si>
    <t>SE DESCARGO EN RIQUEZA NATURAL 900 CAJAS DE BRASIL FIBRA EXTRA EL DIA 24/2/2024</t>
  </si>
  <si>
    <t>1197/</t>
  </si>
  <si>
    <t>PYEC019</t>
  </si>
  <si>
    <t>HEA985</t>
  </si>
  <si>
    <t>24/02: SE DESCARGARON EN RIQUEZA NATURAL 930 CAJAS DE BANANA PY PEPE.</t>
  </si>
  <si>
    <t>PYMS13</t>
  </si>
  <si>
    <t>24/02: SE DESCARGARON EN RIQUEZA NATURAL 982 CAJAS DE BANANA PY PEPE.</t>
  </si>
  <si>
    <t>017/</t>
  </si>
  <si>
    <t>PY GM 012</t>
  </si>
  <si>
    <t>SAD119</t>
  </si>
  <si>
    <t>SE DESCARGO EN RIQUEZA NATURAL 973 CAJAS DE PARAGUAY COMUN EL DIA 24/2/2024</t>
  </si>
  <si>
    <t>012/24</t>
  </si>
  <si>
    <t>CP005</t>
  </si>
  <si>
    <t>MLX 3057</t>
  </si>
  <si>
    <t>MLV 6131</t>
  </si>
  <si>
    <t>24/02: SE DESCARGARON EN RIQUEZA NATURAL 919 CAJAS DE BANANA BRASIL MADERA.</t>
  </si>
  <si>
    <t>CHO13</t>
  </si>
  <si>
    <t>SE DESCARGO EN RIQUEZA NATURAL 901 CAJAS DE BRASIL FIBRA EXTRA EL DIA 24/2/2024</t>
  </si>
  <si>
    <t>AL012/2024</t>
  </si>
  <si>
    <t>IUG 6F27</t>
  </si>
  <si>
    <t>ITF 3H37</t>
  </si>
  <si>
    <t>SE DESCARGO EN RIQUEZA NATURAL 1103 CAJAS DE PURA VIDA EL DIA 29/2/2024</t>
  </si>
  <si>
    <t>AAGO346</t>
  </si>
  <si>
    <t>AAGO343</t>
  </si>
  <si>
    <t xml:space="preserve">29/02: SE RECIBIERON EN RIQUEZA NATURAL 972 CAJAS DE BANANA PY COMUN (CAJA NEGRA) </t>
  </si>
  <si>
    <t>AL011/2024</t>
  </si>
  <si>
    <t>EOF 6I79</t>
  </si>
  <si>
    <t>QJS 8B82</t>
  </si>
  <si>
    <t>SE DESCARGO EN RIQUEZA NATURAL 1104 CAJAS DE PURA VIDA EL DIA 01/3/2024</t>
  </si>
  <si>
    <t>AL010/2024</t>
  </si>
  <si>
    <t>QJR 9666</t>
  </si>
  <si>
    <t>QIG 4900</t>
  </si>
  <si>
    <t>JM009</t>
  </si>
  <si>
    <t>SE DESCARGO EN RIQUEZA NATURAL 919 CAJAS DE BRASIL FIBRA EL DIA 1/3/2024</t>
  </si>
  <si>
    <t>2295/</t>
  </si>
  <si>
    <t>PYHF006</t>
  </si>
  <si>
    <t>BCU372</t>
  </si>
  <si>
    <t>KAK211</t>
  </si>
  <si>
    <t>SE DESCARGO EN RIQUEZA NATURAL 981 CAJAS DE BANANA PY PEPE EL DIA 01/3/2024</t>
  </si>
  <si>
    <t>PYHF005</t>
  </si>
  <si>
    <t>AAJB656</t>
  </si>
  <si>
    <t>AAIJ099</t>
  </si>
  <si>
    <t>SE DESCARGO EN RIQUEZA NATURAL 982 CAJAS DE BANANA PY PEPE EL DIA 01/3/2024</t>
  </si>
  <si>
    <t>324/</t>
  </si>
  <si>
    <t>PYMS014</t>
  </si>
  <si>
    <t>SE DESCARGO EN RIQUEZA NATURAL 980 CAJAS DE  PY EL DIA 1/3/2024</t>
  </si>
  <si>
    <t>256/</t>
  </si>
  <si>
    <t>Paraguay SF</t>
  </si>
  <si>
    <t>PYSF001</t>
  </si>
  <si>
    <t>SE DESCARGO EN RIQUEZA NATURAL 981 CAJAS DE BANANA PARAGUAY COMUN EL DIA 01/3/2024</t>
  </si>
  <si>
    <t>CH014</t>
  </si>
  <si>
    <t>MHJ 4178</t>
  </si>
  <si>
    <t>RBM 2E36</t>
  </si>
  <si>
    <t>SE DESCARGO EN RIQUEZA NATURAL 901 CAJAS DE BRASIL FIBRA EXTRA EL DIA 2/3/2024</t>
  </si>
  <si>
    <t>CP006</t>
  </si>
  <si>
    <t>MKT 4555</t>
  </si>
  <si>
    <t>QIR 4668</t>
  </si>
  <si>
    <t>SE DESCARGO EN RIQUEZA NATURAL 918 CAJAS DE BRASIL 2/3/2024</t>
  </si>
  <si>
    <t>018/</t>
  </si>
  <si>
    <t>AAGJ938</t>
  </si>
  <si>
    <t>SE DESCARGO EN RIQUEZA NATURAL 972 CAJAS DE BANANA PARAGUAY COMUN (CAJA NEGRA).</t>
  </si>
  <si>
    <t>1200/</t>
  </si>
  <si>
    <t>PYEC020</t>
  </si>
  <si>
    <t>BHY951</t>
  </si>
  <si>
    <t>SE DESCARGO EN RIQUEZA NATURAL 930 CAJAS DE PY PEPE EL DIA 2/3/2024</t>
  </si>
  <si>
    <t>PYEC021</t>
  </si>
  <si>
    <t>GAG114</t>
  </si>
  <si>
    <t>SE DESCARGO EN RIQUEZA NATURAL 933 CAJAS DE PY PEPE EL DIA 4/3/2024</t>
  </si>
  <si>
    <t>AL013/2024</t>
  </si>
  <si>
    <t>QHX 6J28</t>
  </si>
  <si>
    <t>MJZ 7I39</t>
  </si>
  <si>
    <t>SE DESCARGO EN RIQUEZA NATURAL 1104 CAJAS DE PURA VIDA EL DIA 5/3/2024</t>
  </si>
  <si>
    <t>AL015/2024</t>
  </si>
  <si>
    <t>FTC 9G37</t>
  </si>
  <si>
    <t>MJS 3J23</t>
  </si>
  <si>
    <t>002-AMR-2024</t>
  </si>
  <si>
    <t>AL014/2024</t>
  </si>
  <si>
    <t>MKW 8476</t>
  </si>
  <si>
    <t>MLE 2148</t>
  </si>
  <si>
    <t>2297/</t>
  </si>
  <si>
    <t>PYHF007</t>
  </si>
  <si>
    <t>AAKV676</t>
  </si>
  <si>
    <t>AALB634</t>
  </si>
  <si>
    <t>SE DESCARGO EN RIQUEZA NATURAL 982 CAJAS DE PY PEPE EL DIA 7/3/2024</t>
  </si>
  <si>
    <t>327/</t>
  </si>
  <si>
    <t>PYMS015</t>
  </si>
  <si>
    <t>AAAK260</t>
  </si>
  <si>
    <t>EMMA025</t>
  </si>
  <si>
    <t>SE DESCARGO EN RIQUEZA NATURAL 982 CAJAS DE PY PEPE EL DIA 8/3/2024</t>
  </si>
  <si>
    <t>019/</t>
  </si>
  <si>
    <t xml:space="preserve">AAIF811	</t>
  </si>
  <si>
    <t>08/03:</t>
  </si>
  <si>
    <t>PYMS016</t>
  </si>
  <si>
    <t>AAIR363</t>
  </si>
  <si>
    <t>AAAP838</t>
  </si>
  <si>
    <t>PYHF008</t>
  </si>
  <si>
    <t>JS005</t>
  </si>
  <si>
    <t>RHL 1D36</t>
  </si>
  <si>
    <t>RHL 1D37</t>
  </si>
  <si>
    <t>SE DESCARGO EN RIQUEZA NATURAL 919 CAJAS DE BRASIL FIBRA EL DIA 9/3/2024</t>
  </si>
  <si>
    <t>013/24</t>
  </si>
  <si>
    <t>JM010</t>
  </si>
  <si>
    <t>RHL 1A06</t>
  </si>
  <si>
    <t>RHL 1A17</t>
  </si>
  <si>
    <t>SE DESCARGO EN RIQUEZA NATURAL 918 CAJAS DE BRASIL FIBRA EL DIA 9/3/2024</t>
  </si>
  <si>
    <t>014/24</t>
  </si>
  <si>
    <t>CH015</t>
  </si>
  <si>
    <t>EOE 2331</t>
  </si>
  <si>
    <t>ARI 8929</t>
  </si>
  <si>
    <t>SE DESCARGO EN RIQUEZA NATURAL 900 CAJAS DE BRASIL FIBRA  EXTRA EL DIA 9/3/2024</t>
  </si>
  <si>
    <t>PYMG015</t>
  </si>
  <si>
    <t xml:space="preserve">SAD119	</t>
  </si>
  <si>
    <t>NBR285</t>
  </si>
  <si>
    <t>SE DESCARGO EN RIQUEZA NATURAL 972 CAJAS DE PY COMUN EL DIA 9/3/2024</t>
  </si>
  <si>
    <t>329/</t>
  </si>
  <si>
    <t>PYMS017</t>
  </si>
  <si>
    <t>09/03: SE DESCARGO EN RIQUEZA NATURAL 980 CAJAS DE BANANA PY PEPE.</t>
  </si>
  <si>
    <t>1203/</t>
  </si>
  <si>
    <t>PYEC022</t>
  </si>
  <si>
    <t>SE DESCARGO EN RIQUEZA NATURAL 930 CAJAS DE PY PEPE EL DIA 9/3/2024</t>
  </si>
  <si>
    <t>PYEC023</t>
  </si>
  <si>
    <t>09/03: SE DESCARGO EN RIQUEZA NATURAL 933 CAJAS DE BANANA PY PEPE.</t>
  </si>
  <si>
    <t>ch016</t>
  </si>
  <si>
    <t>se descargo en riqueza natural 900 cajas de brasil fibra extra el dia 12/3/2024</t>
  </si>
  <si>
    <t>2301/</t>
  </si>
  <si>
    <t>PYHF009</t>
  </si>
  <si>
    <t>AAGN724</t>
  </si>
  <si>
    <t>ZAF516</t>
  </si>
  <si>
    <t>se descargo en riqueza natural 980 cajas py pepe  el dia 13/3/2024</t>
  </si>
  <si>
    <t>117/</t>
  </si>
  <si>
    <t>PYDF007</t>
  </si>
  <si>
    <t>AALM702</t>
  </si>
  <si>
    <t>AAMR803</t>
  </si>
  <si>
    <t>SE DESCARGO EN RIQUEZA 981 DE PY COMUN EL DIA 14/3/2024</t>
  </si>
  <si>
    <t>330/</t>
  </si>
  <si>
    <t>PYMS018</t>
  </si>
  <si>
    <t xml:space="preserve">14/03:SE DESCARGO EN RIQUEZA NATURAL 981 CAJAS DE PY PEPE </t>
  </si>
  <si>
    <t>118/</t>
  </si>
  <si>
    <t>PYDF008</t>
  </si>
  <si>
    <t>ASX126</t>
  </si>
  <si>
    <t>BSX762</t>
  </si>
  <si>
    <t>14/03: SE DESCARGARON EN RIQUEZA NATURAL 982 CAJAS DE BANANA PY COMUN(CAJA BLANCA)</t>
  </si>
  <si>
    <t>PYHF010</t>
  </si>
  <si>
    <t>AAIJ656</t>
  </si>
  <si>
    <t>14/03:SE RECIBIERON EN RIQUEZA NATURAL 982 CAJAS DE BANANA PY PEPE.</t>
  </si>
  <si>
    <t>PYHF011</t>
  </si>
  <si>
    <t>AAGS773</t>
  </si>
  <si>
    <t>AADJ829</t>
  </si>
  <si>
    <t>SE DESCARGO EN RIQUEZA 982 DE PY PEPE EL DIA 15/3/2024</t>
  </si>
  <si>
    <t>PYMS019</t>
  </si>
  <si>
    <t>SE DESCARGO EN RIQUEZA NATURAL   DE PY PEPE EL DIA 15/3/2024</t>
  </si>
  <si>
    <t>JM011</t>
  </si>
  <si>
    <t>MHG 8J16</t>
  </si>
  <si>
    <t>AUE 5D35</t>
  </si>
  <si>
    <t>SE DESCARGO EN RIQUEZA NATURAL 919 CAJAS DE BRASIL FIBRA EL DIA 16/3/2024</t>
  </si>
  <si>
    <t>CH017</t>
  </si>
  <si>
    <t>RKZ 6G65</t>
  </si>
  <si>
    <t>RLI 6J14</t>
  </si>
  <si>
    <t>SE DESCARGO EN RIQUEZA NATURAL 901 CAJAS DE BRASIL FIBRA EXTRA EL DIA 16/3/2024</t>
  </si>
  <si>
    <t>020/</t>
  </si>
  <si>
    <t>PYGM016</t>
  </si>
  <si>
    <t>16/03: SE DESCARGÓ EN RIQUEZA NATURAL 972 CAJAS DE BANANA PY COMUN (CAJA NEGRA).</t>
  </si>
  <si>
    <t>1206/</t>
  </si>
  <si>
    <t>PYEC024</t>
  </si>
  <si>
    <t>DBA789</t>
  </si>
  <si>
    <t>AAAU464</t>
  </si>
  <si>
    <t>16/03: SE DESCARGÓ EN RIQUEZA NATURAL 931 CAJAS DE BANANA PY PEPE.</t>
  </si>
  <si>
    <t>PYEC025</t>
  </si>
  <si>
    <t>SE DESCARGO EN RIQUEZA NATURAL  933  DE PY PEPE EL DIA  16/3/2024</t>
  </si>
  <si>
    <t>2302/</t>
  </si>
  <si>
    <t>PYHF012</t>
  </si>
  <si>
    <t>BEF631</t>
  </si>
  <si>
    <t>KAH321</t>
  </si>
  <si>
    <t>18/03: SE DESCARGO EN RIQUEZA NATURAL 982 CAJAS DE BANANA PARAGUAY PEPE.</t>
  </si>
  <si>
    <t>GT004</t>
  </si>
  <si>
    <t>19/03:QUEZA NATURAL 919 CAJAS DE BANANA BRASIL MADERA.</t>
  </si>
  <si>
    <t>CH018</t>
  </si>
  <si>
    <t>RXO 9D88</t>
  </si>
  <si>
    <t>QHW 1405</t>
  </si>
  <si>
    <t>19/03: SE RECIBIERON EN RIQUEZA NATURAL 901 CAJAS DE BANANA BRASIL FIBRA EXTRA.</t>
  </si>
  <si>
    <t>1208/</t>
  </si>
  <si>
    <t>PYEC026</t>
  </si>
  <si>
    <t>AAHG849</t>
  </si>
  <si>
    <t>SE DESCARGOE EN RIQUEZA NATURAL 932 CAJAS DE PY PEPE EL DIA 19/3/2024</t>
  </si>
  <si>
    <t>AL016/2024</t>
  </si>
  <si>
    <t>MIA7G10</t>
  </si>
  <si>
    <t>FVA8439</t>
  </si>
  <si>
    <t>21/03 Se recibieron en Riqueza Natural 1103 cajas de banana Brasil cartón PURA VIDA.</t>
  </si>
  <si>
    <t>2305/</t>
  </si>
  <si>
    <t>PYHF13</t>
  </si>
  <si>
    <t>AADC067</t>
  </si>
  <si>
    <t>AALC346</t>
  </si>
  <si>
    <t>21/03: Se descargó en Riqueza Natural 980 cajas de banana Paraguay Pepe.</t>
  </si>
  <si>
    <t>120/</t>
  </si>
  <si>
    <t>PYDF010</t>
  </si>
  <si>
    <t>AAIF606</t>
  </si>
  <si>
    <t>22/03: SE DECARGO EN RIQUEZA NATURAL 987 CAJA DE PY COMUN EL DIA 22/3/24</t>
  </si>
  <si>
    <t>PYDF009</t>
  </si>
  <si>
    <t>AAGJ932</t>
  </si>
  <si>
    <t>SE DESCARGO EN RIQUEZA NATURAL 980 CAJAS DE PY COMUN EL DIA 22/3/2024</t>
  </si>
  <si>
    <t>333/</t>
  </si>
  <si>
    <t>PYMS20</t>
  </si>
  <si>
    <t>22/03: SE RECIBIERON EN RIQUEZA NATURAL 981 CAJAS DE BANANA PARAGUAY PEPE.</t>
  </si>
  <si>
    <t>PYHF015</t>
  </si>
  <si>
    <t>DAX251</t>
  </si>
  <si>
    <t>AUP780</t>
  </si>
  <si>
    <t xml:space="preserve">25/03:SE DESCARGO EN RIQUEZA NATURAL 980 CAJAS DE PY PEPE </t>
  </si>
  <si>
    <t>017/24</t>
  </si>
  <si>
    <t>ch019</t>
  </si>
  <si>
    <t>SE DESCARGO EN RIQUEZA NATURAL 901 CAJAS DE BRASIL FIBRA EXTRA  EL DIA 23/3</t>
  </si>
  <si>
    <t>PYMS21</t>
  </si>
  <si>
    <t>SE DESCARGO EN RIQUEZA NATURAL 981 CAJAS DE PY PEPE EL DIA 22/3/2024</t>
  </si>
  <si>
    <t>023//24</t>
  </si>
  <si>
    <t>CH020</t>
  </si>
  <si>
    <t>RLA 8F17</t>
  </si>
  <si>
    <t>MIO 6F77</t>
  </si>
  <si>
    <t>002.24/</t>
  </si>
  <si>
    <t>RXP 5I66</t>
  </si>
  <si>
    <t>MLA 3725</t>
  </si>
  <si>
    <t>Melón</t>
  </si>
  <si>
    <t>024/24</t>
  </si>
  <si>
    <t>RAI 5G90</t>
  </si>
  <si>
    <t>GFJ 6419</t>
  </si>
  <si>
    <t>Mango</t>
  </si>
  <si>
    <t>PYHF014</t>
  </si>
  <si>
    <t>HEI189</t>
  </si>
  <si>
    <t>SE DESCARGO EN RIQUEZA NATURAL 981 CAJAS DE PY PEPE EL DIA 23/3</t>
  </si>
  <si>
    <t>1211//</t>
  </si>
  <si>
    <t>pyec027</t>
  </si>
  <si>
    <t>bce720</t>
  </si>
  <si>
    <t>se descargo en riqueza natural 936 cajas de py pepe el dia 23/3/2024</t>
  </si>
  <si>
    <t>PYMS022</t>
  </si>
  <si>
    <t>BNR568</t>
  </si>
  <si>
    <t>CAY879</t>
  </si>
  <si>
    <t>25/03: SE DESCARGARON EN RIQUEZA NATURAL 980 CAJAS DE BANANA PY PEPE.</t>
  </si>
  <si>
    <t>1212//</t>
  </si>
  <si>
    <t>PYEC029</t>
  </si>
  <si>
    <t>SE DESCARGO EN RIQUEZA NATURAL 933 CAJAS DE PY PEPE EL DIA 26/3/2024</t>
  </si>
  <si>
    <t>CP007</t>
  </si>
  <si>
    <t>IXY 9B86</t>
  </si>
  <si>
    <t>RYD 0B46</t>
  </si>
  <si>
    <t>26/03: SE DESCARGA EN RIQUEZA NATURAL 919 CAJAS DE BANANA BRASIL MADERA.</t>
  </si>
  <si>
    <t>CH021</t>
  </si>
  <si>
    <t>SE DESCARGO EN RIQUEZA NATURAL 901 CAJAS DE BRASIL FIBRA EXTRA EL DIA 26/3/2024</t>
  </si>
  <si>
    <t>018/24</t>
  </si>
  <si>
    <t>JM012</t>
  </si>
  <si>
    <t>EZU 8J03</t>
  </si>
  <si>
    <t>MHO 9G52</t>
  </si>
  <si>
    <t>26/03: SE RECIBEN EN RIQUEZA NATURAL 918 CAJAS DE BANANA BRASIL.</t>
  </si>
  <si>
    <t>1213/</t>
  </si>
  <si>
    <t>PYEC028</t>
  </si>
  <si>
    <t>hea985</t>
  </si>
  <si>
    <t>se descargo en riqueza natural 936 cajas de py pepe el dia 25/3/2024</t>
  </si>
  <si>
    <t>335/</t>
  </si>
  <si>
    <t>PYMS023</t>
  </si>
  <si>
    <t>27/03: SE RECIBE EN RIQUEZA NATURAL  982CAJAS DE BANANA PARAGUAY PEPE.</t>
  </si>
  <si>
    <t>2307/</t>
  </si>
  <si>
    <t>PYHF016</t>
  </si>
  <si>
    <t>AAHE664</t>
  </si>
  <si>
    <t>AAID171</t>
  </si>
  <si>
    <t>SE DESCARGO EN RIQUEZA NATURAL 979 CAJAS DE PY PEPE EL DIA 27/3/2024</t>
  </si>
  <si>
    <t>122/</t>
  </si>
  <si>
    <t>AL017/2024</t>
  </si>
  <si>
    <t>pura vida</t>
  </si>
  <si>
    <t>MGB 5290</t>
  </si>
  <si>
    <t>MKI 9075</t>
  </si>
  <si>
    <t>SE DESCARGO EN RIQUEZA NATURAL 1080 CAJAS DE PURA VIDA EL DIA 28/3/2024</t>
  </si>
  <si>
    <t>GT005</t>
  </si>
  <si>
    <t>MIC 4435</t>
  </si>
  <si>
    <t>MLN 7E91</t>
  </si>
  <si>
    <t>SE DESCARGO EN RIQUEZA NATURAL 919 CAJAS DE BRASIL EL DIA 28/3/2024</t>
  </si>
  <si>
    <t>ch024</t>
  </si>
  <si>
    <t>FEJ 8291</t>
  </si>
  <si>
    <t>QHK 7670</t>
  </si>
  <si>
    <t>se descargo en riqueza natural 901 cajas de brasil fibra extra eld dia 30/3/2024</t>
  </si>
  <si>
    <t>CH023</t>
  </si>
  <si>
    <t>QJQ 3510</t>
  </si>
  <si>
    <t>RAC 1931</t>
  </si>
  <si>
    <t>30/03: SE RECIBE EN RIQUEZA NATURAL 901 CAJAS DE BANANA BRASIL FIBRA EXTRA.</t>
  </si>
  <si>
    <t>JS006</t>
  </si>
  <si>
    <t>QTM 3779</t>
  </si>
  <si>
    <t>QJU 8620</t>
  </si>
  <si>
    <t>28/03: SE DESCARGARGA EN RIQUEZA NATURAL 918 CAJAS DE BANANA BRASIL FIBRA.</t>
  </si>
  <si>
    <t>PYHF018</t>
  </si>
  <si>
    <t>RRA320</t>
  </si>
  <si>
    <t>SE DESCARGO ENRIQUEZA NATURAL 980 CAJAS DE PY PEPE EL DIA 28/3/2024</t>
  </si>
  <si>
    <t>PYMS024</t>
  </si>
  <si>
    <t>SE DESCARGO EN RIQUEZA NATURAL 981 CAJAS DE PY PEPE EL DIA 28/3/2024</t>
  </si>
  <si>
    <t>019/24</t>
  </si>
  <si>
    <t>CH025</t>
  </si>
  <si>
    <t>QJD 3999</t>
  </si>
  <si>
    <t>MLO 8907</t>
  </si>
  <si>
    <t>CH022</t>
  </si>
  <si>
    <t>SE DESCARGO EN RIQUEZA NATURAL 901 CAJAS DE BRASIL FIBRA EXTRA EL DIA 28/3/2024</t>
  </si>
  <si>
    <t>AL018/2024</t>
  </si>
  <si>
    <t>RDS 5J39</t>
  </si>
  <si>
    <t>ECT 7468</t>
  </si>
  <si>
    <t>021//</t>
  </si>
  <si>
    <t>PYGM017</t>
  </si>
  <si>
    <t>SE DESCARGO EN RIQUEZA NATURAL 975 PY COMUN EL DIA 28/3/2024</t>
  </si>
  <si>
    <t>PYHF017</t>
  </si>
  <si>
    <t>28/03: SE DESCARGA EN RIQUEZA NATURAL 980 CAJAS DE BANANA PARAGUAY PEPE.</t>
  </si>
  <si>
    <t>PYHF019</t>
  </si>
  <si>
    <t>aagn724</t>
  </si>
  <si>
    <t>28/03: se DESCARGA EN RIQUEZA NATURAL 9801CAJAS DE BANANA PARAGUAY PEPE.</t>
  </si>
  <si>
    <t>1214/</t>
  </si>
  <si>
    <t>PYEC030</t>
  </si>
  <si>
    <t>AAHJ849</t>
  </si>
  <si>
    <t>SE DESCARGO EN RIQUEZA NATURAL 931 CAJAS DE PY PEPE EL DIA 28/3/2024</t>
  </si>
  <si>
    <t>PYEC031</t>
  </si>
  <si>
    <t xml:space="preserve">30/03: SE RECIBIERON EN RIQUEZA NATURAL 933 CAJAS DE BANANAS PY PEPE. </t>
  </si>
  <si>
    <t>JM013</t>
  </si>
  <si>
    <t>MJL 4168</t>
  </si>
  <si>
    <t>AOM 7460</t>
  </si>
  <si>
    <t>04/04: Se descargaron en Riqueza Natural 918 cajas de banana brasil fibra.</t>
  </si>
  <si>
    <t>2309/</t>
  </si>
  <si>
    <t>PYHF020</t>
  </si>
  <si>
    <t>AAFL660</t>
  </si>
  <si>
    <t>AAHC608</t>
  </si>
  <si>
    <t>05/04: Se descargaron en Riqueza Natural 980 cajas de banana Py Pepe.</t>
  </si>
  <si>
    <t>124/</t>
  </si>
  <si>
    <t>PYDF012</t>
  </si>
  <si>
    <t>05/04: SE DESCARGARON EN RIQUEZA NATURAL 993 CAJAS DE BANANA PY PEPE.</t>
  </si>
  <si>
    <t xml:space="preserve">021/24 </t>
  </si>
  <si>
    <t>RHX 1E14</t>
  </si>
  <si>
    <t>RHX 1D13</t>
  </si>
  <si>
    <t>SE DESCARGO ENR IQUEZA NATURAL 918 CAJAS DE BRASIL EL DIA 6/4/2024</t>
  </si>
  <si>
    <t>PYHF021</t>
  </si>
  <si>
    <t>JDVF222</t>
  </si>
  <si>
    <t>AANV301</t>
  </si>
  <si>
    <t>05/04: SE RECIBE EN RIQUEZA NATURAL 982 CAJAS DE BANANA PY PEPE.</t>
  </si>
  <si>
    <t>338/</t>
  </si>
  <si>
    <t>PYMS025</t>
  </si>
  <si>
    <t>05/04: Se descargaron en Riqueza Natural 981 cajas de banana Py Pepe.</t>
  </si>
  <si>
    <t>CH026</t>
  </si>
  <si>
    <t>FEJ 8202</t>
  </si>
  <si>
    <t>MLR 3987</t>
  </si>
  <si>
    <t>SE DESCARGO EN RIQUEZA NATURAL 900 CAJAS DE BRASIL FIBRA EXTRA EL DIA 6/4/2024</t>
  </si>
  <si>
    <t>JM014</t>
  </si>
  <si>
    <t>06/04: SE DESCARGARON 918 CAJAS DE BANANA BRASIL FIBRA.</t>
  </si>
  <si>
    <t>AL019/2024</t>
  </si>
  <si>
    <t>QIJ 8F00</t>
  </si>
  <si>
    <t>MHH 6G67</t>
  </si>
  <si>
    <t>06/04: SE DESCARGARON 1104 CAJAS DE BANANA BRASIL PURA VIDA</t>
  </si>
  <si>
    <t>CHO027</t>
  </si>
  <si>
    <t>06/4: SE DESCARGO EN RIQUEZA NATURAL 900 CAJAS DE BANANA FRIBRA EXTRA.</t>
  </si>
  <si>
    <t>PYHF022</t>
  </si>
  <si>
    <t>06/04: SE DESCARGARON EN RIQUEZA NATURAL 982 CAJAS DE BANANA PY PEPE.</t>
  </si>
  <si>
    <t>1217/</t>
  </si>
  <si>
    <t>08/04:</t>
  </si>
  <si>
    <t>Jhony Viera</t>
  </si>
  <si>
    <t>JV001</t>
  </si>
  <si>
    <t>RXT 0A10</t>
  </si>
  <si>
    <t>MJY 0D02</t>
  </si>
  <si>
    <t>09/04: SE RECIBIERON EN RIQUEZA NATURAL 919 CAJAS DE BANANA BRASIL FIBRA.</t>
  </si>
  <si>
    <t>126/</t>
  </si>
  <si>
    <t>PY DF013</t>
  </si>
  <si>
    <t>NBS 354</t>
  </si>
  <si>
    <t>NBS 592</t>
  </si>
  <si>
    <t>10/04: SE DESCARGO EN RIQUEZA NATURAL 980 CAJAS DE BANANA PY PEPE</t>
  </si>
  <si>
    <t>022/24</t>
  </si>
  <si>
    <t>CHO29</t>
  </si>
  <si>
    <t>MJW 8790</t>
  </si>
  <si>
    <t>MFM 4827</t>
  </si>
  <si>
    <t>SE DESCARGO EN RIQUEZA NATURAL 901 CAJAS DE BRASIL FIBRA EXTRA EL DIA 11/4/2024</t>
  </si>
  <si>
    <t>JM015</t>
  </si>
  <si>
    <t>SE DESCARGO EN RIQUEZA NATURAL 919 CAJAS DE BRASIL FIBRA EL DIA 11/4/2024</t>
  </si>
  <si>
    <t>Vitor</t>
  </si>
  <si>
    <t>VT001</t>
  </si>
  <si>
    <t>SE DESCARGO EN RIQUEZA NATURAL 900 CAJAS DE BRASIL EL DIA 11/4/2024</t>
  </si>
  <si>
    <t>CH028</t>
  </si>
  <si>
    <t>CP008</t>
  </si>
  <si>
    <t>SE DESCARGO EN RIQUEZA NATURAL 919 CAJAS DE BRASIL EL DIA 11/4/2024</t>
  </si>
  <si>
    <t>022/</t>
  </si>
  <si>
    <t>PYGM018</t>
  </si>
  <si>
    <t>12/04: DESCARGA RIQUEZA NATURAL 972 CAJAS DE BANANA  PY COMUN CAJA NEGRA.</t>
  </si>
  <si>
    <t>339/</t>
  </si>
  <si>
    <t>PYMS026</t>
  </si>
  <si>
    <t>BH</t>
  </si>
  <si>
    <t>SE DESCARGO EN RIQUEZA NATURAL 981 CAJAS DE PY PEPE EL DIA 12/4/2024</t>
  </si>
  <si>
    <t>PYMS027</t>
  </si>
  <si>
    <t>12/4: DESCARGA EN RIQUEZA NATURAL 980 CAJAS DE BANANA PY PEPE</t>
  </si>
  <si>
    <t>1219/</t>
  </si>
  <si>
    <t>PYEC035</t>
  </si>
  <si>
    <t>12/04: DESCARGA EN RIQUEZA NATURAL  931 CAJAS DE BANANA PEPE EXTRA.</t>
  </si>
  <si>
    <t>PYEC034</t>
  </si>
  <si>
    <t>12/04:DESCARGA EN RIQUEZA NATURAL 931 CAJAS DE PY PEPE.</t>
  </si>
  <si>
    <t>CH030</t>
  </si>
  <si>
    <t>SE DESCARGO EN RIQUEZA NATURAL 900 CAJAS DE BRASIL FIBRA EXTRA 13/4/2024</t>
  </si>
  <si>
    <t>AL020/2024</t>
  </si>
  <si>
    <t>13/04: SE DESCARGARON EN RIQUEZA NATURAL 1103 CAJAS DE BANANA BRASIL CARTON PURA VIDA.</t>
  </si>
  <si>
    <t>CP009</t>
  </si>
  <si>
    <t>SE DESCARGO EN RIQUEZA NATURAL 919 CAJAS DE BRASIL EL DIA 13/4/2024</t>
  </si>
  <si>
    <t>025/24</t>
  </si>
  <si>
    <t>CH031</t>
  </si>
  <si>
    <t>REB 4D67</t>
  </si>
  <si>
    <t>RLG 1I98</t>
  </si>
  <si>
    <t>SE DESCARGO EN RIQUEZA NATURAL 901 CAJAS DE BRASIL FIBRA EXTRA EL DIA 13/4/2024</t>
  </si>
  <si>
    <t>024//24</t>
  </si>
  <si>
    <t>VT002</t>
  </si>
  <si>
    <t>RHU 1H07</t>
  </si>
  <si>
    <t>SE DESCARGO EN RIQUEZA NATURAL 918 CAJAS DE BRASIL EL DIA 16/4/2024</t>
  </si>
  <si>
    <t>JV002</t>
  </si>
  <si>
    <t>BAK 7A01</t>
  </si>
  <si>
    <t>RHL 2D33</t>
  </si>
  <si>
    <t>SE DESCARGO EN RIQUEZA NATURAL 919 CAJAS DE BRASIL FIBRA EL DIA 16/4/2024</t>
  </si>
  <si>
    <t>Valdemar</t>
  </si>
  <si>
    <t>VR001</t>
  </si>
  <si>
    <t>RLM 6E16</t>
  </si>
  <si>
    <t>QIG 6D00</t>
  </si>
  <si>
    <t>16/04: DESCARGA RIQUEZA NATURAL 918 CAJAS DE BANANA BRASIL MADERA.</t>
  </si>
  <si>
    <t>CH033</t>
  </si>
  <si>
    <t>QJW 4140</t>
  </si>
  <si>
    <t>QJU 9636</t>
  </si>
  <si>
    <t>SE DESCARGO ENR IQUEZA NATURAL 901 CAJAS DE BRASIL FIBRA EXTRA EL DIA 18/4/2024</t>
  </si>
  <si>
    <t>GT007</t>
  </si>
  <si>
    <t>NUF 0B55</t>
  </si>
  <si>
    <t>AUA 0G47</t>
  </si>
  <si>
    <t>SE DESCARGO EN RIQUEZA NATURAL 919 CAJAS DE BRASIL COMUN EL DIA 18/4/2024</t>
  </si>
  <si>
    <t>JV003</t>
  </si>
  <si>
    <t>RXT 2J87</t>
  </si>
  <si>
    <t>QIW 6120</t>
  </si>
  <si>
    <t>18/04: DESCARGA EN RIQUEZA NATURAL 919 CAJAS DE BANANA BRASIL FIBRA.</t>
  </si>
  <si>
    <t>CH032</t>
  </si>
  <si>
    <t>RDY 1A74</t>
  </si>
  <si>
    <t>RDT 4F13</t>
  </si>
  <si>
    <t>18/04: DESCARGA EN RIQUEZA NATURAL 900 CAJAS DE BANANA BRASIL FIBRA EXTRA.</t>
  </si>
  <si>
    <t>026/24</t>
  </si>
  <si>
    <t>VT003</t>
  </si>
  <si>
    <t>ISY 1752</t>
  </si>
  <si>
    <t>MKA 1J84</t>
  </si>
  <si>
    <t>17/04: DESCARGA EN RIQUEZA NATURAL 1008 CAJAS DE BANANA BRASIL MADERA.</t>
  </si>
  <si>
    <t>JM016</t>
  </si>
  <si>
    <t>JAA 8H06</t>
  </si>
  <si>
    <t>JAA 8G99</t>
  </si>
  <si>
    <t>17/04: DESCARGA EN RIQUEZA NATURAL 1008 CAJAS DE BANANA BRASIL FIBRA.</t>
  </si>
  <si>
    <t>1221/</t>
  </si>
  <si>
    <t>PYEC036</t>
  </si>
  <si>
    <t>BGC119</t>
  </si>
  <si>
    <t>19/04:</t>
  </si>
  <si>
    <t>CP010</t>
  </si>
  <si>
    <t>QII 4230</t>
  </si>
  <si>
    <t>MDH 2761</t>
  </si>
  <si>
    <t>20/04: DESCARGA RIQUEZA NATURAL 901 CAJAS DE BANANA BRASIL MADERA</t>
  </si>
  <si>
    <t>CH034</t>
  </si>
  <si>
    <t>FFW 3340</t>
  </si>
  <si>
    <t>QHK 7730</t>
  </si>
  <si>
    <t>20/04: DESCARGA RIQUEZA NATURAL 901 CAJAS DE BANANA BRASIL FIBRA EXTRA.</t>
  </si>
  <si>
    <t>JM017</t>
  </si>
  <si>
    <t>MHH 8A77</t>
  </si>
  <si>
    <t>IWD 5B34</t>
  </si>
  <si>
    <t>20/04: DESCARGA RIQUEZA NATURAL 1009 CAJAS DE BANANA BRASIL FIBRA .</t>
  </si>
  <si>
    <t>028//24</t>
  </si>
  <si>
    <t>CH035</t>
  </si>
  <si>
    <t>STP 7975</t>
  </si>
  <si>
    <t>STP 8072</t>
  </si>
  <si>
    <t>20/04: DESCARGA RIQUEZA NATURAL 1008 CAJAS DE BANANA BRASIL FIBRA EXTRA.</t>
  </si>
  <si>
    <t>029/24</t>
  </si>
  <si>
    <t>JV004</t>
  </si>
  <si>
    <t>JAW 6J07</t>
  </si>
  <si>
    <t>IXN 6C57</t>
  </si>
  <si>
    <t>341/</t>
  </si>
  <si>
    <t>PYMS028</t>
  </si>
  <si>
    <t>20/04: DESCARGA RIQUEZA NATURAL 980 CAJAS DE BANANA PY PEPE</t>
  </si>
  <si>
    <t>PYMS029</t>
  </si>
  <si>
    <t>VT004</t>
  </si>
  <si>
    <t>JCC 3C87</t>
  </si>
  <si>
    <t>JCC 4I03</t>
  </si>
  <si>
    <t>CH036</t>
  </si>
  <si>
    <t>QJY 5200</t>
  </si>
  <si>
    <t>REA 1I71</t>
  </si>
  <si>
    <t>23/04: DESCARGA EN ROIQUEZA NATURAL 900 CAJAS DE BANANA BRASIL FRIBRA.</t>
  </si>
  <si>
    <t>GT008</t>
  </si>
  <si>
    <t>SE DESCARGO EN RIQUEZA NATURAL 919 CAJAS DE BRASIL EL DIA 23/4/2024</t>
  </si>
  <si>
    <t>033/24</t>
  </si>
  <si>
    <t>VT005</t>
  </si>
  <si>
    <t>ISA 1090</t>
  </si>
  <si>
    <t>MIB 3E78</t>
  </si>
  <si>
    <t>SE DESCARGO EN RIQUEZA NATURAL 1008 CAJAS DE BRASIL EL DIA 24/4/2024</t>
  </si>
  <si>
    <t>VH002</t>
  </si>
  <si>
    <t>AXH 9J94</t>
  </si>
  <si>
    <t>AHX 1C27</t>
  </si>
  <si>
    <t>24/04: DESCARGA EN RIQUEZA NATURAL 1008 CAJAS DE BANANA BRASIL FIBRA.</t>
  </si>
  <si>
    <t>Valdemar Ita</t>
  </si>
  <si>
    <t>VA001</t>
  </si>
  <si>
    <t>AXH 4E47</t>
  </si>
  <si>
    <t>AHX 5A11</t>
  </si>
  <si>
    <t>24/04: DESCARGA EN RIQUEZA NATURAL 1008 CAJAS DE BANANA BRASIL MADERA EXTRA.</t>
  </si>
  <si>
    <t>128//</t>
  </si>
  <si>
    <t>PYDF013</t>
  </si>
  <si>
    <t>AADH600</t>
  </si>
  <si>
    <t>SE DESCARGO EN RIQUEZA NATURAL 980 CAJAS DE PY PEPE EL DIA 24/4/2024</t>
  </si>
  <si>
    <t>VH003</t>
  </si>
  <si>
    <t>25/04: DESCARGA EN RIQUEZA NATURAL 918 CAJAS DE BANANA BRASIL FIBRA.</t>
  </si>
  <si>
    <t>CH037</t>
  </si>
  <si>
    <t>25/04: DESCARGA EN RIQUEZA NATURAL 900 CAJAS DE BANANA BRASIL FIBRA EXTRA.</t>
  </si>
  <si>
    <t>030/24</t>
  </si>
  <si>
    <t>CH038</t>
  </si>
  <si>
    <t>MJO 4528</t>
  </si>
  <si>
    <t>MHW 7856</t>
  </si>
  <si>
    <t>SE DESCARGO EN RIQUEZA NATURAL 901 CAJAS DE BRASIL FIBRA EXTRA 25/4/2024</t>
  </si>
  <si>
    <t>342/</t>
  </si>
  <si>
    <t>PYMS030</t>
  </si>
  <si>
    <t>SE DESCARGO EN RIQUEZA NATURAL 981 CAJAS DE PY PEPE EL DIA 25/4/2024</t>
  </si>
  <si>
    <t>1223/</t>
  </si>
  <si>
    <t>PYEC037</t>
  </si>
  <si>
    <t>se descargo en riqueza natural 931 cajas de py pepe el dia 26/4/2024</t>
  </si>
  <si>
    <t>VH004</t>
  </si>
  <si>
    <t>IWT 6996</t>
  </si>
  <si>
    <t>IZI 9J68</t>
  </si>
  <si>
    <t>SE DESCARGO EN RIQUEZA NATURAL 1009 CAJAS DE BRASIL FIBRA EL DIA 26/4/2024</t>
  </si>
  <si>
    <t>CH040</t>
  </si>
  <si>
    <t>SE DESCARGO EN RIQUEZA NATURAL 900 CAJAS DE FIBRA EXTRA EL DIA 27/4/2024</t>
  </si>
  <si>
    <t>VT006</t>
  </si>
  <si>
    <t>MHH8A77</t>
  </si>
  <si>
    <t>IWD5B34</t>
  </si>
  <si>
    <t>27/04: DESCARGA EN RIQUEZA NATURAL 1008 CAJAS DE BANANA BRASIL FIBRA.</t>
  </si>
  <si>
    <t>CP011</t>
  </si>
  <si>
    <t>SE DESCARGO EN RIQUEZA NATURAL 919 CAJAS DE BRASIL EL DIA 27/4/2024</t>
  </si>
  <si>
    <t>CH039</t>
  </si>
  <si>
    <t>RYA 2J98</t>
  </si>
  <si>
    <t>RYF 7H46</t>
  </si>
  <si>
    <t>SE DESCARGO EN RIQUEZA NATURAL 901 CAJAS DE FIBRA EXTRA EL DIA 27/4/2024</t>
  </si>
  <si>
    <t>VA002</t>
  </si>
  <si>
    <t>EQU 3E90</t>
  </si>
  <si>
    <t>JBL 8714</t>
  </si>
  <si>
    <t>27/04:</t>
  </si>
  <si>
    <t>2316/</t>
  </si>
  <si>
    <t>PYHF023</t>
  </si>
  <si>
    <t>27/04: DESCARGA EN RIQUEZA NATURAL 982 CAJAS DE BANANA PARAGUAY PEPE.</t>
  </si>
  <si>
    <t>JV005</t>
  </si>
  <si>
    <t>AXH 4E11</t>
  </si>
  <si>
    <t>AHX 9J08</t>
  </si>
  <si>
    <t>29/04: DESCARGA EN RIQUEZA NATURAL 1008 CAJAS DE BANNANA BRASIL FIBRA.</t>
  </si>
  <si>
    <t>PYMS031</t>
  </si>
  <si>
    <t>NBP318</t>
  </si>
  <si>
    <t>BFD841</t>
  </si>
  <si>
    <t>29/04: DESCARGA EN RIQUEZA NATURAL 980 CAJAS DE BANANA PY PEPE.</t>
  </si>
  <si>
    <t>CH041</t>
  </si>
  <si>
    <t>OKG 6086</t>
  </si>
  <si>
    <t>MIG 3985</t>
  </si>
  <si>
    <t>30/04: DESCARGA EN RIQUEZA NATURAL 901 CAJAS DE BANANA BRASIL FIBRA EXTRA.</t>
  </si>
  <si>
    <t>PYEC038</t>
  </si>
  <si>
    <t>GAH234</t>
  </si>
  <si>
    <t>30/04: DESCARGA EN RIQUEZA NATURAL 931 CAJAS DE BANANA PY PEPE.</t>
  </si>
  <si>
    <t>VH005</t>
  </si>
  <si>
    <t>MGJ 2478</t>
  </si>
  <si>
    <t>IYO 6037</t>
  </si>
  <si>
    <t>02/05: DESCARGA EN RIQUEZA NATURAL 1009 CAJAS DE BANANA BRASIL FIBRA.</t>
  </si>
  <si>
    <t>023/</t>
  </si>
  <si>
    <t>PYGM019</t>
  </si>
  <si>
    <t>02/05: DESCARGA EN RIQUEZA NATURAL ### CAJAS DE BANANA PY COMUN (CAJA NEGRA).</t>
  </si>
  <si>
    <t>GT009</t>
  </si>
  <si>
    <t>03/05: DESCARGA EN RIQUEZA NATURAL 919 CAJAS DE BANANA BRASIL FIBRA.</t>
  </si>
  <si>
    <t>CH042</t>
  </si>
  <si>
    <t>se descargo en riqueza natural 901 cajas de br madera el dia 03/05 FIBRA EXTRA.</t>
  </si>
  <si>
    <t>Sergio</t>
  </si>
  <si>
    <t>IZG 3B21</t>
  </si>
  <si>
    <t>MFX 0F55</t>
  </si>
  <si>
    <t>03/05: DESCARGA EN RIQUEZA NATURAL 918 CAJAS DE BANANA BRASIL MADERA.</t>
  </si>
  <si>
    <t>036/24</t>
  </si>
  <si>
    <t>CH043</t>
  </si>
  <si>
    <t>FJX 1823</t>
  </si>
  <si>
    <t>FJX 1821</t>
  </si>
  <si>
    <t>04/05: DESCARGA EN RIQUEZA NATURAL 901 CAJAS DE BANANA BR FIBRA EXTRA.</t>
  </si>
  <si>
    <t>344/</t>
  </si>
  <si>
    <t>AAAU137</t>
  </si>
  <si>
    <t>KAO465</t>
  </si>
  <si>
    <t>04/05: DESCARGA EN RIQUEZA NATURAL 980 CAJAS DE BANANA PY PEPE.</t>
  </si>
  <si>
    <t>VH006</t>
  </si>
  <si>
    <t>ISY 1452</t>
  </si>
  <si>
    <t>04/05: DESCAREGA EN RIQUEZA NATURAL 972 CAJAS DE BANANA BRASIL FIBRA.</t>
  </si>
  <si>
    <t>037/24</t>
  </si>
  <si>
    <t>VA003</t>
  </si>
  <si>
    <t>04/05: DESCARGA EN RIQUEZA NATURAL 990 CAJAS DE BANANA BR MADERA.</t>
  </si>
  <si>
    <t>1227/</t>
  </si>
  <si>
    <t>PYEC039</t>
  </si>
  <si>
    <t>07/05:</t>
  </si>
  <si>
    <t>VH007</t>
  </si>
  <si>
    <t>MIC 5840</t>
  </si>
  <si>
    <t>JBL 8712</t>
  </si>
  <si>
    <t>04/05: DESCARGA EN RIQUEZA NATURAL 973 CAJAS DE BANANA BR FIBRA.</t>
  </si>
  <si>
    <t>VT007</t>
  </si>
  <si>
    <t>04/05:DESCARGA EN RIQUEZA NATURAL 990 CAJAS DE BANANA BRASIL FIBRA.</t>
  </si>
  <si>
    <t>038/24</t>
  </si>
  <si>
    <t>CH044</t>
  </si>
  <si>
    <t>IUO 0058</t>
  </si>
  <si>
    <t>IPJ 1A64</t>
  </si>
  <si>
    <t>08/05: DESCARGA EN RIQUEZA NATURAL 991 CAJAS DE BANANA BRASIL FIBRA EXTRA.</t>
  </si>
  <si>
    <t>CP012</t>
  </si>
  <si>
    <t>IJK 2I63</t>
  </si>
  <si>
    <t>LYS 4J03</t>
  </si>
  <si>
    <t>08/05: DESCARGA EN RIQUEZA NATURAL 990 CAJAS DE BANANA BRASIL MADERA.</t>
  </si>
  <si>
    <t>346/</t>
  </si>
  <si>
    <t>08/05: DESCARGA ENRIQUEZA NATURAL 981 CAJAS DE BANANA PY PEPE.</t>
  </si>
  <si>
    <t>003.24ALM</t>
  </si>
  <si>
    <t>MGN 6F63</t>
  </si>
  <si>
    <t>MLH 1A84</t>
  </si>
  <si>
    <t>JV006</t>
  </si>
  <si>
    <t>IJS 8833</t>
  </si>
  <si>
    <t>IUG4117</t>
  </si>
  <si>
    <t>09/05:DESCARGA EN RIQUEZA NATURAL 972 CAJAS DE BANANA BR FIBRA.</t>
  </si>
  <si>
    <t>CH045</t>
  </si>
  <si>
    <t>JBQ 2C55</t>
  </si>
  <si>
    <t>IUS 9674</t>
  </si>
  <si>
    <t>09/05:DESCARGA EN RIQUEZA NATURAL 1009 CAJAS DE BANANA BR FIBRA EXTRA.</t>
  </si>
  <si>
    <t>MS032</t>
  </si>
  <si>
    <t>AAJS110</t>
  </si>
  <si>
    <t>09/05 SE DESCARGO EN RIQUEZA NATURAL 1 CAMION CON  980 CAJAS DE BANANAS PARAGUAY PEPE</t>
  </si>
  <si>
    <t>040/24</t>
  </si>
  <si>
    <t>GT010</t>
  </si>
  <si>
    <t>11/05:DESCARGA EN RIQUEZA NATURAL 918 CAJAS DE BANANA BR FIBRA.</t>
  </si>
  <si>
    <t>129//</t>
  </si>
  <si>
    <t>PYDF014</t>
  </si>
  <si>
    <t>AAGF310</t>
  </si>
  <si>
    <t>TCJC019</t>
  </si>
  <si>
    <t>10/05: DESCARGA EN RIQUEZA NATURAL 982 CAJAS DE BANANA PARAGUAY PÈPE.</t>
  </si>
  <si>
    <t>2322/</t>
  </si>
  <si>
    <t>PYHF024</t>
  </si>
  <si>
    <t>TCJC005</t>
  </si>
  <si>
    <t>TCJC006</t>
  </si>
  <si>
    <t>10/05: DESCARGA EN RIQUEZA NATURAL 982 CAJAS DE BANANA PARAGUAY PEPE.</t>
  </si>
  <si>
    <t>1228/</t>
  </si>
  <si>
    <t>PYEC040</t>
  </si>
  <si>
    <t>KAK028</t>
  </si>
  <si>
    <t>11/05:DESCARGA EN RIQUEZA NATURAL 931 CAJAS DE BANANA PY PEPE.</t>
  </si>
  <si>
    <t>JV007</t>
  </si>
  <si>
    <t>11/05:DESCARGA EN RIQUEZA NATURAL 919 CAJAS DE BANANA BR FIBRA.</t>
  </si>
  <si>
    <t>PYHF025</t>
  </si>
  <si>
    <t>YAB628</t>
  </si>
  <si>
    <t>OAY241</t>
  </si>
  <si>
    <t>11/05:DESCARGA EN RIQUEZA NATURAL 981 CAJAS DE BANANA PY PEPE.</t>
  </si>
  <si>
    <t>349//</t>
  </si>
  <si>
    <t>PYMS033</t>
  </si>
  <si>
    <t>11/05:DESCARGA EN RIQUEZA NATURAL 980 CAJAS DE BANANA PY PEPE.</t>
  </si>
  <si>
    <t>VA004</t>
  </si>
  <si>
    <t>DPF 9633</t>
  </si>
  <si>
    <t>HRS 8321</t>
  </si>
  <si>
    <t>SG002</t>
  </si>
  <si>
    <t>MG J2478</t>
  </si>
  <si>
    <t>SE DESCARGO EN RIQUEZA NATURAL 990 CAJAS DE BRASIL FIBRA EL DIA 14/5/2024</t>
  </si>
  <si>
    <t>HCC209</t>
  </si>
  <si>
    <t>VT008</t>
  </si>
  <si>
    <t>041/24</t>
  </si>
  <si>
    <t>VH010</t>
  </si>
  <si>
    <t>MIC5840</t>
  </si>
  <si>
    <t>14/05: DESCARGA EN RIQUEZA NATURAL 972 CAJAS DE BANANA BRASIL FIBRA.</t>
  </si>
  <si>
    <t>VH009</t>
  </si>
  <si>
    <t>IXC 9B95</t>
  </si>
  <si>
    <t>VH008</t>
  </si>
  <si>
    <t>INP 9A05</t>
  </si>
  <si>
    <t>JBD 6G16</t>
  </si>
  <si>
    <t>CP013</t>
  </si>
  <si>
    <t>SE DESCARGO EN RIQUEZA NATURAL 919 CAAJAS DE BRASIL COMUN EL DIA 15/5/2024</t>
  </si>
  <si>
    <t>CH046</t>
  </si>
  <si>
    <t>SE DESCARGO EN RIQUEZA NATURAL 901 CAJAS DE BRASIL FIBRA EL DIA 15/5/2024</t>
  </si>
  <si>
    <t>JV008</t>
  </si>
  <si>
    <t xml:space="preserve">REB 5D33 </t>
  </si>
  <si>
    <t>QJS 9198</t>
  </si>
  <si>
    <t>131/</t>
  </si>
  <si>
    <t>PYDF015</t>
  </si>
  <si>
    <t>TCJC003</t>
  </si>
  <si>
    <t>SE DESCARGO EN RIQUEZA NATURAL 986 CAJAS DE PY PEPE EL DIA 15/5/2024</t>
  </si>
  <si>
    <t>350/</t>
  </si>
  <si>
    <t>PYMS034</t>
  </si>
  <si>
    <t>OAB516</t>
  </si>
  <si>
    <t>15/05: DESCARGA EN RIQUEZA NATURAL 981 CAJAS DE BANANA PY PEPE.</t>
  </si>
  <si>
    <t>1231/</t>
  </si>
  <si>
    <t>PYEC046</t>
  </si>
  <si>
    <t>SE DESCARGO EN RIQUEZA NATURAL 930 CAJAS DE PY PEPE EL DIA 16/5/2024</t>
  </si>
  <si>
    <t>2324//</t>
  </si>
  <si>
    <t>PYHF026</t>
  </si>
  <si>
    <t>cbr526</t>
  </si>
  <si>
    <t>bhg616</t>
  </si>
  <si>
    <t>se descargo en riqueza natural 980 cajas de py pepe el dia 17/5/2024</t>
  </si>
  <si>
    <t>PYHF027</t>
  </si>
  <si>
    <t>CFF921</t>
  </si>
  <si>
    <t>CCA970</t>
  </si>
  <si>
    <t>PYEC043</t>
  </si>
  <si>
    <t>se descargo en riqueza natural 933 cajas de py pepe el dia 17/5/2024</t>
  </si>
  <si>
    <t>VH010A</t>
  </si>
  <si>
    <t>18/05:DESCARGA EN RIQUEZA NATURAL #### CAJAS DE BANANA BRASIL FIBRA. (CAJONES A PISO)</t>
  </si>
  <si>
    <t>CP014</t>
  </si>
  <si>
    <t>JCP 3H19</t>
  </si>
  <si>
    <t>IWQ 2622</t>
  </si>
  <si>
    <t>18/05: DESCARGA EN RIQUEZA NATURAL 990 CAJAS DE BANANA BRASIL MADERA COMUN,</t>
  </si>
  <si>
    <t>132/</t>
  </si>
  <si>
    <t>PYHF028</t>
  </si>
  <si>
    <t>AAFD245</t>
  </si>
  <si>
    <t>AADJ825</t>
  </si>
  <si>
    <t>20/05: DESCARGA EN RIQUEZA NATURAL 980 CAJAS DE BANANA PY PEPE.</t>
  </si>
  <si>
    <t>PYMS035</t>
  </si>
  <si>
    <t>AAAV137</t>
  </si>
  <si>
    <t>SE DESCARGO EN RIQUEZA NATURAL 980 CAJAS DE PY PEPE EL DIA 18/5/2024</t>
  </si>
  <si>
    <t>VH011</t>
  </si>
  <si>
    <t>IQA 2J27</t>
  </si>
  <si>
    <t>IZZ 8J69</t>
  </si>
  <si>
    <t>SE DESCARGO EN RIQUEZA NATURAL 918 CAJAS DE BRASIL FIBRA EL DIA18/5/2024</t>
  </si>
  <si>
    <t>PYMS036</t>
  </si>
  <si>
    <t>026/</t>
  </si>
  <si>
    <t>PYGM020</t>
  </si>
  <si>
    <t>20/05: DESCARGAEN RIQUEZA NATURAL 972 CAJAS DE BANANA PY COMUN CAJA NEGRA</t>
  </si>
  <si>
    <t>VA005</t>
  </si>
  <si>
    <t>21/05:DESCARGA EN RIQUEZA NATURAL 900 CAJAS DE BANANA BRASIL MADERA.</t>
  </si>
  <si>
    <t>VT009</t>
  </si>
  <si>
    <t>22/05: DESCARGA EN RIQUEZA NATURAL 990 CAJAS DE BANANA BRASILA FIBRA.</t>
  </si>
  <si>
    <t>044/24</t>
  </si>
  <si>
    <t>SG003</t>
  </si>
  <si>
    <t>FRX 6539</t>
  </si>
  <si>
    <t>MHB 2400</t>
  </si>
  <si>
    <t>23/05: DESCARGA EN RIQUEZA NATURAL 918 CAJAS DE BANANA BRASIL MADERA.</t>
  </si>
  <si>
    <t>PYDF017</t>
  </si>
  <si>
    <t>TCJC014</t>
  </si>
  <si>
    <t>22/05:DESCARGA EN RIQUEZA NATURAL 987 CAJAS DE BANANA PY PEPE.</t>
  </si>
  <si>
    <t>353//</t>
  </si>
  <si>
    <t>pyms037</t>
  </si>
  <si>
    <t>bgn714</t>
  </si>
  <si>
    <t>23/05: DESCARGA EN RIQUEZA NATURAL 981 CAJAS DE BANANA py pepe</t>
  </si>
  <si>
    <t>JV009</t>
  </si>
  <si>
    <t>IZF 5G95</t>
  </si>
  <si>
    <t>IZL 5G70</t>
  </si>
  <si>
    <t>24/05 SEDESCARGO EN RIQUEZA NATURAL 1 CAMOIN CON 991 CAJAS DE BANANAS BRASIL MADERA.</t>
  </si>
  <si>
    <t>PYMS038</t>
  </si>
  <si>
    <t>24/05: descarga en riqueza natural 980 cajas de banana py pepe</t>
  </si>
  <si>
    <t>2328/</t>
  </si>
  <si>
    <t>AAND795</t>
  </si>
  <si>
    <t>HCT503</t>
  </si>
  <si>
    <t>25/05: DESCARGA EN RIQUEZA NATURAL 980 CAJAS DE BANANA PY PEPE.</t>
  </si>
  <si>
    <t>GT011</t>
  </si>
  <si>
    <t>MIJ 4930</t>
  </si>
  <si>
    <t>MJW 9J03</t>
  </si>
  <si>
    <t>SE DESCARGO EN  RIQUEZA NATURAL 992 CAJAS DE BRASIL COMUN EL DIA 24/5/2024</t>
  </si>
  <si>
    <t>SE DESCARGO EN RIQUEZA NATURAL 990 CAJAS DE BRASIL FIBRA EL DIA 24/5/2024</t>
  </si>
  <si>
    <t>045/24</t>
  </si>
  <si>
    <t>23003939/</t>
  </si>
  <si>
    <t>SXH 1E33</t>
  </si>
  <si>
    <t>MLG 2555</t>
  </si>
  <si>
    <t>Melón Cantaloupe</t>
  </si>
  <si>
    <t>AL021/2024</t>
  </si>
  <si>
    <t>RLK 3E62</t>
  </si>
  <si>
    <t>RYX 1G91</t>
  </si>
  <si>
    <t>25/05: DESCARGA EN RIQUEZA NATURAL 1103 CAJAS DE BANANA BRASIL CARTON PURA VIDA.</t>
  </si>
  <si>
    <t>VA006</t>
  </si>
  <si>
    <t>SE DECARGO EN RIQUEZA NATURAL 990 CAJAS DE BRASIL EL DI 25/5/2024</t>
  </si>
  <si>
    <t>VH012</t>
  </si>
  <si>
    <t xml:space="preserve"> SE DESCARGO EN RIQUEZA NATURAL  990 CAJAS DE BANANAS BRASIL FIBRA EL DIA 25/05</t>
  </si>
  <si>
    <t>VH015</t>
  </si>
  <si>
    <t>IXJ 2690</t>
  </si>
  <si>
    <t>IML 0970</t>
  </si>
  <si>
    <t>SE DESCARGO EN RIQUEZA NATURAL 990 CAJAS DE BRASIL FIBRA EXTRA EL DIA 28/5/2024</t>
  </si>
  <si>
    <t>VT011</t>
  </si>
  <si>
    <t>AUV 0E38</t>
  </si>
  <si>
    <t>RLH 2A80</t>
  </si>
  <si>
    <t>SE DESCARGO EN RIQUEZA NATURAL 990 CAJAS DE BRASIL FIBRA EL DIA 28/5/2024</t>
  </si>
  <si>
    <t>VT010</t>
  </si>
  <si>
    <t>048/24</t>
  </si>
  <si>
    <t>VH013</t>
  </si>
  <si>
    <t>049/24</t>
  </si>
  <si>
    <t>IYB 8191</t>
  </si>
  <si>
    <t>IYC 5298</t>
  </si>
  <si>
    <t>SE DECARGO EN RIQUEZA NATURAL 990 CAJAS DE BRASIL MADERA 28/5/2024</t>
  </si>
  <si>
    <t>sergio</t>
  </si>
  <si>
    <t>SG004</t>
  </si>
  <si>
    <t>MLH 6B00</t>
  </si>
  <si>
    <t>ASH 0J51</t>
  </si>
  <si>
    <t>SE DECARGO EN RIQUEZA NATURAL 990 CAJAS DE BRASIL EL DIA 28/5/2024</t>
  </si>
  <si>
    <t>VH014</t>
  </si>
  <si>
    <t>IQS 9E28</t>
  </si>
  <si>
    <t>JBL 8711</t>
  </si>
  <si>
    <t>003/AMR/2024</t>
  </si>
  <si>
    <t>varios</t>
  </si>
  <si>
    <t>Mix</t>
  </si>
  <si>
    <t>VT012</t>
  </si>
  <si>
    <t>SE DESCARGO EN RIQUEZA NATURAL 9900000 CAJAS DE BANANAS BRSE DETECTO POCA FRUTA SENTIDA EL DIA 30//05/24</t>
  </si>
  <si>
    <t>VH016</t>
  </si>
  <si>
    <t>MIC 5955</t>
  </si>
  <si>
    <t>INA 1F68</t>
  </si>
  <si>
    <t>SE DECARGO EN RIQUEZA NATURAL 990 CAJAS DE BRASIL FIBRA 30/5/2024</t>
  </si>
  <si>
    <t>050/24</t>
  </si>
  <si>
    <t>IMC 9687</t>
  </si>
  <si>
    <t>JBN 4E59</t>
  </si>
  <si>
    <t>SE DECARGO EN RIQUEZA NATURAL 991 CAJAS DE BRASIL FIBRA 30/5/2024</t>
  </si>
  <si>
    <t>354//</t>
  </si>
  <si>
    <t>PYMS39</t>
  </si>
  <si>
    <t>31/05: DESCARGA EN RIQUEZA NATURAL 981 CAJAS DE BANANA PY PEPE.</t>
  </si>
  <si>
    <t>133/</t>
  </si>
  <si>
    <t>YDF018</t>
  </si>
  <si>
    <t>HBJ557</t>
  </si>
  <si>
    <t>HBN819</t>
  </si>
  <si>
    <t>SE DECARGO EN RIQUEZA NATURAL83 CAJAS DE PY PEPE 230/5/2024</t>
  </si>
  <si>
    <t>1237/</t>
  </si>
  <si>
    <t>EC044</t>
  </si>
  <si>
    <t>SE DESCARGARON EN RIQUEZA NATURAL  1 CAMION CON 931 CAJAS DE PARAGUAY PEPE EL DIA 01/06/24</t>
  </si>
  <si>
    <t>EC045</t>
  </si>
  <si>
    <t>SE DESCARGARON EN RIQUEZA NATURAL  1 CAMION CON 930 CAJAS DE PARAGUAY PEPE EL DIA 01/06/24</t>
  </si>
  <si>
    <t>MS040</t>
  </si>
  <si>
    <t>AAHD373</t>
  </si>
  <si>
    <t>BRS171</t>
  </si>
  <si>
    <t>SE DESCARGO EN RIQUEZA NATURAL 980 CAJAS DE BANANAS PARAGUAY PEPE EL DIA 01/06/24 ( FRUTA QUEMADA)</t>
  </si>
  <si>
    <t>VH017</t>
  </si>
  <si>
    <t>04/06: DESCARGA EN RIQUEZA NATURAL 990 CAJAS DE BANANA BR FIBRA.</t>
  </si>
  <si>
    <t>VT013</t>
  </si>
  <si>
    <t>04/06: DESCARGA EN RIQUEZA NATURAL 990 CAJAS DE BANANA BR MADERA.</t>
  </si>
  <si>
    <t>2329/</t>
  </si>
  <si>
    <t>HF029</t>
  </si>
  <si>
    <t>XAK593</t>
  </si>
  <si>
    <t>ADT503</t>
  </si>
  <si>
    <t xml:space="preserve">SE DESCARGO EN RIQUEZA NATURAL 1 CAMION CON 982 CAJAS DE BANANAS PARAGUAY PEPE EL DIA 05/06/24 </t>
  </si>
  <si>
    <t>RHL 2D32</t>
  </si>
  <si>
    <t>SE DESCARGO EN RIQUEZA NATURAL 919 CAJAS DE BRASIL COMUN EL DIA 4/6/2024</t>
  </si>
  <si>
    <t>VH019</t>
  </si>
  <si>
    <t>06/06: DESCARGA EN RIQUEZA NATURAL 882 CAJAS DE BANANA BR FIBRA.</t>
  </si>
  <si>
    <t>047/24</t>
  </si>
  <si>
    <t>CH047</t>
  </si>
  <si>
    <t>05/06: DESCARGA EN RIQUEZA NATURAL 901 CAJAS DE BANANA BRASIL FIBRA EXTRA.</t>
  </si>
  <si>
    <t>SG005</t>
  </si>
  <si>
    <t>IVN 2884</t>
  </si>
  <si>
    <t>SE DESCARGO EN RIQUEZA NATURAL 990 CAJAS DE BRASIL COMUN EL DDIA 4/6/2024</t>
  </si>
  <si>
    <t>134/</t>
  </si>
  <si>
    <t>PYDF019</t>
  </si>
  <si>
    <t>05/06: DESCARGA EN RIQUEZA NATURAL 984 CAJAS DE BANANA PY PEPE.</t>
  </si>
  <si>
    <t>053/24</t>
  </si>
  <si>
    <t>VH018</t>
  </si>
  <si>
    <t>06/06: DESCARGA EN RIQUEZA NATURAL 990 CAJAS DE BANANA BRASIL MADERA. *(FRUTA QUEMADA).</t>
  </si>
  <si>
    <t>355/</t>
  </si>
  <si>
    <t>PYMS041</t>
  </si>
  <si>
    <t>06/06: DESCARGA EN RIQUEZA NATURAL 981 CAJAS DE BANANA PY PEPE.</t>
  </si>
  <si>
    <t>VA007</t>
  </si>
  <si>
    <t>JBP 3J06</t>
  </si>
  <si>
    <t>07/06: DESCARGA EN RIQUEZA NATURAL 990 CAJAS DE BANANA BRASIL MADERA.</t>
  </si>
  <si>
    <t>JV010</t>
  </si>
  <si>
    <t>EJZ 2F42</t>
  </si>
  <si>
    <t xml:space="preserve">IFE 8G02 </t>
  </si>
  <si>
    <t>SE DESCARGO EN RIQUEZA NATURAL 991 CAJAS DE BRASIL FIBRA EL DIA 8/6/2024</t>
  </si>
  <si>
    <t>1239/</t>
  </si>
  <si>
    <t>08/06: DESCARGA EN RIQUEZA NATURAL 931 CAJAS DE BANANA</t>
  </si>
  <si>
    <t>CH048</t>
  </si>
  <si>
    <t>QJW 4150</t>
  </si>
  <si>
    <t>QJU 9656</t>
  </si>
  <si>
    <t>SE DESCARGO 1 CAMION EN RIQUEZA NATURAL 901 CAJAS DE BANANAS BRASIL FIBRA EXTRA EL DIA 07/06/24</t>
  </si>
  <si>
    <t>VT014</t>
  </si>
  <si>
    <t>07/06: DESCARGA EN RIQUEZA NATURAL 990 CAJAS DE BANANA BRASIL FIBRA.</t>
  </si>
  <si>
    <t>CP015</t>
  </si>
  <si>
    <t>08/06: DESCARGA EN RIQUEZA NATURAL 919 CAJAS DE BANANA BRASIL MADERA.</t>
  </si>
  <si>
    <t>VH020</t>
  </si>
  <si>
    <t>SE DESCARGO EN RIQUEZA NATURAL 990 CAJAS DE BRASIL FIBRA EL DIA 8/6/2024</t>
  </si>
  <si>
    <t>VA008</t>
  </si>
  <si>
    <t>JBZ 7F19</t>
  </si>
  <si>
    <t>JAB 8B42</t>
  </si>
  <si>
    <t>SE DESCARGO 1 CAMION EN RIQUEZA NATURAL CON 990 CAJAS DE BANANAS BRASIL MADERA ( CON FRUTA QUEMADA POR FRIO) EL DIA 08/06/2024</t>
  </si>
  <si>
    <t>CH049</t>
  </si>
  <si>
    <t>SE DESCARGO EN RIQUEZA NATURAL 901 CAJAS DE FIBRA EXTRA EL DIA 11/6/2024</t>
  </si>
  <si>
    <t>055/24</t>
  </si>
  <si>
    <t>VH022</t>
  </si>
  <si>
    <t>11/06: DESCARGA EN RIQUEZA NATURAL 918 CAJAS DE BANANA BRASIL MADERA.</t>
  </si>
  <si>
    <t>VH021</t>
  </si>
  <si>
    <t>AXN 1G60</t>
  </si>
  <si>
    <t>OBS 6J54</t>
  </si>
  <si>
    <t>SE DESCARGO 1 CAMION CON 918 CAJAS DE BANANAS BRASIL MADERA OK EL DIA 11/06/24</t>
  </si>
  <si>
    <t>VT015</t>
  </si>
  <si>
    <t>ITB 3H41</t>
  </si>
  <si>
    <t>ILN 1780</t>
  </si>
  <si>
    <t>11/06: DESCARGA EN RIQUEZA NATURAL 990 CAJAS DE BANANA BRASIL FIBRA.</t>
  </si>
  <si>
    <t>VA009</t>
  </si>
  <si>
    <t>SE DESCARGO EN RIQUEZA NATURAL 1 CAMION CON 990 CAJAS DE BANANAS BRASIL MADERA CON ALGUN PALLET CON FRUTA SENTIDA CON COLOR ( SON POCAS , SE ADJUNTAN FOTOS) EL DIA 11/06/24</t>
  </si>
  <si>
    <t>SG007</t>
  </si>
  <si>
    <t>11/06: DESCARGA EN RIQUEZA NATURAL 990 CAJAS DE BANANA BRASIL MADERA.</t>
  </si>
  <si>
    <t>SG006</t>
  </si>
  <si>
    <t>FYH 5B59</t>
  </si>
  <si>
    <t>IWC 1784</t>
  </si>
  <si>
    <t>357//</t>
  </si>
  <si>
    <t>MS042</t>
  </si>
  <si>
    <t>SE DESCARGO EN RIQUEZA NATURAL 1 CAMION COMN 980 CAJAS DE BANANAS PARAGUAY PEPE EL DIA 12/06/24</t>
  </si>
  <si>
    <t>025//24</t>
  </si>
  <si>
    <t>RHB 1B17</t>
  </si>
  <si>
    <t>RHB 1B18</t>
  </si>
  <si>
    <t>Sandía</t>
  </si>
  <si>
    <t>2332/</t>
  </si>
  <si>
    <t>pyhf030</t>
  </si>
  <si>
    <t>KAO996</t>
  </si>
  <si>
    <t>ZAR552</t>
  </si>
  <si>
    <t>se descrago en riqueza natural 980 cajas de py pepe el dia 13/6/2024</t>
  </si>
  <si>
    <t>JV012</t>
  </si>
  <si>
    <t>RYK 5A10</t>
  </si>
  <si>
    <t>RYJ 8I66</t>
  </si>
  <si>
    <t>13/02: DESCARGA EN RIQUEZA NATURAL 901 CAJAS DE BANANA BRASIL FIBRA.</t>
  </si>
  <si>
    <t>057/24</t>
  </si>
  <si>
    <t>JV011</t>
  </si>
  <si>
    <t>RAB 2800</t>
  </si>
  <si>
    <t>REA 1J21</t>
  </si>
  <si>
    <t>Morrón y Banana ( SE DESCARGO EN RIQUEZA NATURAL 361 CAJAS DE BANANAS BRASIL FIBRA EL DIA 13/06/24</t>
  </si>
  <si>
    <t>056/24</t>
  </si>
  <si>
    <t>VH023</t>
  </si>
  <si>
    <t>14/06: DESCARGA EN RIQUEZA NATURAL 990 CAJAS DE BRASIL MADERA.</t>
  </si>
  <si>
    <t>SG008</t>
  </si>
  <si>
    <t>RHD 7A04</t>
  </si>
  <si>
    <t>RHD 7A05</t>
  </si>
  <si>
    <t>14/06: DESCARGA EN RIQUEZA NATURAL 919 CAJAS DE BANANA BRASIL MADERA.</t>
  </si>
  <si>
    <t>VH024</t>
  </si>
  <si>
    <t>14/06: DESCARGA EN RIQUEZA NATURAL 990 CAJAS DE BANANA BRASIL MADERA.</t>
  </si>
  <si>
    <t>058/24</t>
  </si>
  <si>
    <t>CP016</t>
  </si>
  <si>
    <t>SE DESCARGO EN RIQUEZA NATURAL 918 CAJAS DE BRASIL EL DIA 14/6/2024</t>
  </si>
  <si>
    <t>CH050</t>
  </si>
  <si>
    <t>JAG 6C26</t>
  </si>
  <si>
    <t>IUG 4117</t>
  </si>
  <si>
    <t xml:space="preserve">14/06: DESCARGA EN RIQUEZA NATURAL 991 CAJAS DE BRASIL FIBRA </t>
  </si>
  <si>
    <t>VA010</t>
  </si>
  <si>
    <t>14/06: DESCARGA EN RIQUEZA NATURAL 918 CAJAS DE BANANA BRASIL MADERA.</t>
  </si>
  <si>
    <t>GT012</t>
  </si>
  <si>
    <t>135/</t>
  </si>
  <si>
    <t>PYDF020</t>
  </si>
  <si>
    <t>NBN050</t>
  </si>
  <si>
    <t>HDR256</t>
  </si>
  <si>
    <t>15/06: DESCARGA EN RIQUEZA NATURAL 981 CAJAS DE BANANA PY PEPE.</t>
  </si>
  <si>
    <t>1241/</t>
  </si>
  <si>
    <t>PYEC047</t>
  </si>
  <si>
    <t>15/06: DESCARGA EN RIQUEZA NATURAL 931 CAJAS DE BANANA PY PEPE EXTRA.</t>
  </si>
  <si>
    <t>PYEC048</t>
  </si>
  <si>
    <t>15/06: DESCARGA EN RIQUEZA NATURAL 931 CAJAS DE BANANA PY PEPE.</t>
  </si>
  <si>
    <t>VT016</t>
  </si>
  <si>
    <t>15/06: DESCARGA EN RIQUEZA NATURAL 990 CAJAS DE BANANA BR FIBRA.</t>
  </si>
  <si>
    <t>PYMS043</t>
  </si>
  <si>
    <t>VH025</t>
  </si>
  <si>
    <t>MHW 5517</t>
  </si>
  <si>
    <t>MJN 9B42</t>
  </si>
  <si>
    <t>SE DESCARGO EN RIQUEZA NATURAL 990 CAJAS DE BRASIL COMUN EL DIA 15/6/2024</t>
  </si>
  <si>
    <t>PYEC049</t>
  </si>
  <si>
    <t>15/06: DESCARGA EN RIQUEZA NATURAL 933 CAJAS DE BANANA PY PEPE.</t>
  </si>
  <si>
    <t>CH051</t>
  </si>
  <si>
    <t>SE DESCARGO EN RIQUEZA NATURAL 991 CAJAS DE FIBRA EXTRA EL DIA 15/6/2024</t>
  </si>
  <si>
    <t>AL022/2024</t>
  </si>
  <si>
    <t>12/06: DESCARGA EN RIQUEZA NATURAL 1104 CAJAS DE BANANA BRASIL CARTON PURA VIDA.</t>
  </si>
  <si>
    <t>030/</t>
  </si>
  <si>
    <t>PYGM021</t>
  </si>
  <si>
    <t>NBS354</t>
  </si>
  <si>
    <t>NBS592</t>
  </si>
  <si>
    <t>18/06: DESCARGA EN RIQUEZA NATURAL 972 CAJAS DE BANANA PY COMUN CAJA NEGRA.</t>
  </si>
  <si>
    <t>VH026</t>
  </si>
  <si>
    <t>18/06:DESCARGA EN RIQUEZA NATURAL 990 CAJAS DE BANANA BRASIL MADERA.</t>
  </si>
  <si>
    <t>VH028</t>
  </si>
  <si>
    <t>18/06: DESCARGA EN RIQUEZA NATURAL 990 CAJAS DE BANANA BR MADERA.</t>
  </si>
  <si>
    <t>060/24</t>
  </si>
  <si>
    <t>VT017</t>
  </si>
  <si>
    <t>SE DESCARGO EN RIQUEZA NATURAL 990 CAJAS DE BRASIL FIBRA EL DIA 18/6/2024</t>
  </si>
  <si>
    <t>SG009</t>
  </si>
  <si>
    <t>18/06: DESCARGA EN RIQUEZA NATURAL 918 CAJAS DE BANANA BR MADERA.</t>
  </si>
  <si>
    <t>VH027</t>
  </si>
  <si>
    <t>PYDF021</t>
  </si>
  <si>
    <t>AAHA905</t>
  </si>
  <si>
    <t>19/06: DESCARGA EN RIQUEZA NATURAL983 CAJAS DE BANANA PY PEPE.</t>
  </si>
  <si>
    <t>JV013</t>
  </si>
  <si>
    <t>JCA 2E15</t>
  </si>
  <si>
    <t>19/06: DESCARGA EN RIQUEZA NATURAL 990 CAJAS DE BANANA BR FIBRA.</t>
  </si>
  <si>
    <t>1244/</t>
  </si>
  <si>
    <t>PYEC050</t>
  </si>
  <si>
    <t>20/06: DESCARGA EN RIQUEZA NATURAL 930 CAJAS DE BANANA PY PEPE.</t>
  </si>
  <si>
    <t>JV014</t>
  </si>
  <si>
    <t>20/06: DESCARGA EN RIQUEZA NATURAL 919 CAJAS DE BANANA BR FIBRA.</t>
  </si>
  <si>
    <t>359//</t>
  </si>
  <si>
    <t>PYMS044</t>
  </si>
  <si>
    <t>21/06: DESCARGA EN RIQUEZA NATURAL 980 CAJAS DE BANANA PY PEPE.</t>
  </si>
  <si>
    <t>061/24</t>
  </si>
  <si>
    <t>SG 010</t>
  </si>
  <si>
    <t>SE DESCARGO EN RIQUEZA NATURAL 1 CAMION CON 919 CAJAS DE BANANAS BRASIL PEPE EL DIA 21/06/24</t>
  </si>
  <si>
    <t>CP 017</t>
  </si>
  <si>
    <t>INE 5G17</t>
  </si>
  <si>
    <t>HJI 3E80</t>
  </si>
  <si>
    <t>SE DESCARGO EN RIQUEZA NATURAL 1 CAMION CON 990 CAJAS DE BANANAS BRASIL  MADERA EL DIA 21/06/24</t>
  </si>
  <si>
    <t>VH029</t>
  </si>
  <si>
    <t>AWR 6I62</t>
  </si>
  <si>
    <t>MTN 2D37</t>
  </si>
  <si>
    <t>21/06: DESCARGA EN RIQUEZA NATURAL 990 CAJAS DE BANANA BR MADERA.</t>
  </si>
  <si>
    <t>VH030</t>
  </si>
  <si>
    <t>JBT 9J54</t>
  </si>
  <si>
    <t>JCC 4H81</t>
  </si>
  <si>
    <t>VT018</t>
  </si>
  <si>
    <t>21/06: DESCARGA EN RIQUEZA NATURAL 918 CAJAS DE BANANA BR FIBRA, Y 72 COMUN.</t>
  </si>
  <si>
    <t>VH031</t>
  </si>
  <si>
    <t>004/AMR/2024</t>
  </si>
  <si>
    <t>PYEC051</t>
  </si>
  <si>
    <t>BEN283</t>
  </si>
  <si>
    <t>22/06: DESCARGA ENRIQUEZA NATURAL 930 CAJAS DE BANANA PY PEPE.</t>
  </si>
  <si>
    <t>062/24</t>
  </si>
  <si>
    <t>CH053</t>
  </si>
  <si>
    <t>IEH 8J26</t>
  </si>
  <si>
    <t>CZX 6C95</t>
  </si>
  <si>
    <t>22/06: DESCARGA ENRIQUEZA NATURAL 991 CAJAS DE BANANA BR FIBRA EXTRA.</t>
  </si>
  <si>
    <t>VA 011</t>
  </si>
  <si>
    <t>RLC 3I16</t>
  </si>
  <si>
    <t>RLI 6J04</t>
  </si>
  <si>
    <t>SE DESCARGO 1 CAMION EN RIQUEZA NATURAL CON 918 CAJAS DE BANANAS BRASIL MADERA EL 22/06/24</t>
  </si>
  <si>
    <t>CH052</t>
  </si>
  <si>
    <t>SE DESCARGO 1 CAMION EN RIQUEZA NATURAL 991 CAJAS DE BABANANAS BRASIL FIBRA EXTRA  EL DIA 22/06/24</t>
  </si>
  <si>
    <t>PYMS045</t>
  </si>
  <si>
    <t>ACD226</t>
  </si>
  <si>
    <t>UAG449</t>
  </si>
  <si>
    <t>25/06: DESCARGA EN RIQUEZA NATURAL 981 CAJAS DE BANANA PY PEPE.</t>
  </si>
  <si>
    <t>CP018</t>
  </si>
  <si>
    <t xml:space="preserve"> EQU 3E90</t>
  </si>
  <si>
    <t>Lenon Costa</t>
  </si>
  <si>
    <t>25/06: DESCARGA EN RIQUEZA NATURAL 990 CAJAS DE BANANA BRASIL MADERA.</t>
  </si>
  <si>
    <t>VA012</t>
  </si>
  <si>
    <t>SE DESCARGO 1 CAMION EM RIQUEZA NATURAL CON 918 CAJAS DE BANANAS BRASIL MADERA EL DIA 25/06/24</t>
  </si>
  <si>
    <t>JV016</t>
  </si>
  <si>
    <t>MMK 8790</t>
  </si>
  <si>
    <t>MLB 2093</t>
  </si>
  <si>
    <t>Raul Souza</t>
  </si>
  <si>
    <t>SE DESCARGO EN RIQUEZA NATURAL 919 CAJAS DE BRASIL FIBRA EL DIA 26/6/2024</t>
  </si>
  <si>
    <t>VT019</t>
  </si>
  <si>
    <t>IWC 6500</t>
  </si>
  <si>
    <t>IWA 0042</t>
  </si>
  <si>
    <t>Liniker Silveira</t>
  </si>
  <si>
    <t>25/06: DESCARGA EN RIQUEZA NATURAL 990 CAJAS DE BANANA BRASIL FIBRA.</t>
  </si>
  <si>
    <t>VH032</t>
  </si>
  <si>
    <t>JBL 8713</t>
  </si>
  <si>
    <t>Ramón Flores</t>
  </si>
  <si>
    <t>SE DESCARGO EN RIQUEZA NATURAL 990 CAJAS DE BRASIL EL DIA 26/6/2024</t>
  </si>
  <si>
    <t>GT013</t>
  </si>
  <si>
    <t>SE DESCARGO EN RIQUEZA NATURAL 918 CAJAS DE BRASIL FIBRA EL DIA 26/6/2024</t>
  </si>
  <si>
    <t>SG012</t>
  </si>
  <si>
    <t>Josiel Magalhaes</t>
  </si>
  <si>
    <t>SE DESCARGO EN RIQUEZA NATURAL 919 CAJAS DE BRASIL COMUN EL DIA 26/6/2024</t>
  </si>
  <si>
    <t>SG011</t>
  </si>
  <si>
    <t>Rodrigo Rossa</t>
  </si>
  <si>
    <t>JV 015</t>
  </si>
  <si>
    <t>SE DESCARGO EN RIQUEZA NATURAL 1 CAMIONCON 991 CAJAS DE BANANAS BRASIL FIBRA EL DIA 26/06/24</t>
  </si>
  <si>
    <t>361/</t>
  </si>
  <si>
    <t>MS 046</t>
  </si>
  <si>
    <t xml:space="preserve">SE DESCARGO EN RIQUEZA NATURAL 1 CAMION CON 980 CAJAS DE BANANAS PARAGUAY PEPE  EL DIA 27/06/24 </t>
  </si>
  <si>
    <t>24000044/2024</t>
  </si>
  <si>
    <t>063/24</t>
  </si>
  <si>
    <t>CH054</t>
  </si>
  <si>
    <t>JAA8H06</t>
  </si>
  <si>
    <t>SE DESCARGO EN RIQUEZA NATURAL 990 CAJAS DE BRASIL FIBRA EXTRA EL DIA 28/6/2024</t>
  </si>
  <si>
    <t>VT 020</t>
  </si>
  <si>
    <t>EZU8J03</t>
  </si>
  <si>
    <t>MHO9G52</t>
  </si>
  <si>
    <t>SE DESCARGO EN RIQUEZA NATURAL 918 CAJAS DE BRASIL EL DIA 28/6/2024</t>
  </si>
  <si>
    <t>SG013</t>
  </si>
  <si>
    <t>RHL2D32</t>
  </si>
  <si>
    <t>RHL2D33</t>
  </si>
  <si>
    <t>SE DESCARGO EN RIQUEZA NATURAL 919 CAJAS DE BRASIL EL DIA 28/06/2024</t>
  </si>
  <si>
    <t>064/24</t>
  </si>
  <si>
    <t>FJX 1877</t>
  </si>
  <si>
    <t>MLX 3048</t>
  </si>
  <si>
    <t>se descargo en riqueza natural 918 cajas de brasil el dia 29/6/2024</t>
  </si>
  <si>
    <t>AL23/2024</t>
  </si>
  <si>
    <t>QJU 2555</t>
  </si>
  <si>
    <t>FUD 0753</t>
  </si>
  <si>
    <r>
      <rPr>
        <sz val="11"/>
        <color rgb="FF000000"/>
        <rFont val="Calibri"/>
        <family val="2"/>
        <scheme val="minor"/>
      </rPr>
      <t xml:space="preserve">SE DESCARGO 1 CAMION EN RIQUEZA NATURAL CON 1104 CAJAS DE BANANAS PURA VIDA ( </t>
    </r>
    <r>
      <rPr>
        <b/>
        <sz val="11"/>
        <color rgb="FF000000"/>
        <rFont val="Calibri"/>
        <family val="2"/>
        <scheme val="minor"/>
      </rPr>
      <t xml:space="preserve">FRUTA SENTIDA EN TODOS LOS PALLET)  </t>
    </r>
    <r>
      <rPr>
        <sz val="11"/>
        <color rgb="FF000000"/>
        <rFont val="Calibri"/>
        <family val="2"/>
        <scheme val="minor"/>
      </rPr>
      <t>EL DIA 29/06/24</t>
    </r>
  </si>
  <si>
    <t>AL24/2024</t>
  </si>
  <si>
    <t>RHB 6A02</t>
  </si>
  <si>
    <t>RHB 2A02</t>
  </si>
  <si>
    <t>SE DESCARGO 1 CAMION EN RIQUEZA NATURAL CON 1103 CAJAS DE BANANAS PURA VIDA ( FRUTA SENTIDA EN TODOS LOS PALLET)  EL DIA 29/06/24</t>
  </si>
  <si>
    <t>MS047</t>
  </si>
  <si>
    <t>SE DESCARGO 1 CAMION EN RIQUEZA NATURAL CON 981 CAJAS DE BANANAS PARAGUAY PEPE EL DIA 01/07/24</t>
  </si>
  <si>
    <t>1248/</t>
  </si>
  <si>
    <t>EC052</t>
  </si>
  <si>
    <t>SE DESCARGO EN RIQUEZA NATURAL 1 CAMION CON 930 CAJAS DE BANANAS PARAGUAY PEPE EL DIA 01/07/24</t>
  </si>
  <si>
    <t>CH055</t>
  </si>
  <si>
    <t>SE DESCARGO EN RIQUEZA NATURAL 1 CAMION CON 991 CAJAS DE BANANAS BRASIL FIBRA EL DIA 29/06/24</t>
  </si>
  <si>
    <t>VH033</t>
  </si>
  <si>
    <t>SE DESCARGO 1 CAMION EN RIQUEZA NATURAL CON 990 CAJAS DE BRASIL MADERA EL DIA 29/06/24</t>
  </si>
  <si>
    <t>SG014</t>
  </si>
  <si>
    <t>Joelmir dos Santos</t>
  </si>
  <si>
    <r>
      <rPr>
        <sz val="11"/>
        <color rgb="FF000000"/>
        <rFont val="Calibri"/>
        <family val="2"/>
        <scheme val="minor"/>
      </rPr>
      <t xml:space="preserve">SE DESCARGO 1 CAMION EN RIQUEZA NATURAL CON 990 CAJAS DE BANANAS BRASIL OK EL DIA 02/07/24  ( </t>
    </r>
    <r>
      <rPr>
        <b/>
        <sz val="11"/>
        <color rgb="FF000000"/>
        <rFont val="Calibri"/>
        <family val="2"/>
        <scheme val="minor"/>
      </rPr>
      <t>FRUTA SENTIDA EN TODOS LOS PALLETS)</t>
    </r>
  </si>
  <si>
    <t>GT014</t>
  </si>
  <si>
    <t>José Gonzalo Feijo</t>
  </si>
  <si>
    <r>
      <rPr>
        <sz val="11"/>
        <color rgb="FF000000"/>
        <rFont val="Calibri"/>
        <family val="2"/>
        <scheme val="minor"/>
      </rPr>
      <t>SE DESCARGO 1 CAMION EN RIQUEZA NATURAL CON 990 CAJAS DE BANANAS BRASIL FIBRA EL DIA 02/07/24 (</t>
    </r>
    <r>
      <rPr>
        <b/>
        <sz val="11"/>
        <color rgb="FF000000"/>
        <rFont val="Calibri"/>
        <family val="2"/>
        <scheme val="minor"/>
      </rPr>
      <t xml:space="preserve"> 5 PALLET VINIERON CON MADERA COMUN ENTREVERADOS</t>
    </r>
    <r>
      <rPr>
        <sz val="11"/>
        <color rgb="FF000000"/>
        <rFont val="Calibri"/>
        <family val="2"/>
        <scheme val="minor"/>
      </rPr>
      <t>)</t>
    </r>
  </si>
  <si>
    <t>VT021</t>
  </si>
  <si>
    <t>Ronaldo Muniz</t>
  </si>
  <si>
    <t>SE DESCARGO EN RIQUEZA NATURAL 1 CAMION CON 990 CAJAS DE BANANAS BRASIL FIBRA EL DIA 02/07/24</t>
  </si>
  <si>
    <t>066/24</t>
  </si>
  <si>
    <t>CP019</t>
  </si>
  <si>
    <t>MLL 8468</t>
  </si>
  <si>
    <t>Nelson Longo</t>
  </si>
  <si>
    <t>SE DESCARGO EN RIQUEZA NATURAL919 CAJAS DE BRASIL OK EL DIA 02/07/2024</t>
  </si>
  <si>
    <t>JV017</t>
  </si>
  <si>
    <t>Adilson Denis Duarte</t>
  </si>
  <si>
    <r>
      <rPr>
        <sz val="11"/>
        <color rgb="FF000000"/>
        <rFont val="Calibri"/>
        <family val="2"/>
        <scheme val="minor"/>
      </rPr>
      <t>SE DESCARGO  CAMION EN RIQUEZA NATURAL CON 919 CAJAS DE BRASIL FIBRA (</t>
    </r>
    <r>
      <rPr>
        <b/>
        <sz val="11"/>
        <color rgb="FF000000"/>
        <rFont val="Calibri"/>
        <family val="2"/>
        <scheme val="minor"/>
      </rPr>
      <t>FRUTA SENTIDA EN LA MAYORIA DE LOS PALLET)</t>
    </r>
  </si>
  <si>
    <t>SG015</t>
  </si>
  <si>
    <t>JBW 7B00</t>
  </si>
  <si>
    <t>JCJ 3I68</t>
  </si>
  <si>
    <t>Gislei Gomes</t>
  </si>
  <si>
    <r>
      <rPr>
        <sz val="11"/>
        <color rgb="FF000000"/>
        <rFont val="Calibri"/>
        <family val="2"/>
        <scheme val="minor"/>
      </rPr>
      <t xml:space="preserve">SE DESCARGO 1 CAMION EN RIQUEZA NATURAL CON 990 CAJAS DE BANANAS BRASIL OK ( </t>
    </r>
    <r>
      <rPr>
        <b/>
        <sz val="11"/>
        <color rgb="FF000000"/>
        <rFont val="Calibri"/>
        <family val="2"/>
        <scheme val="minor"/>
      </rPr>
      <t>CON POCA FRUTA SENTIDA</t>
    </r>
    <r>
      <rPr>
        <sz val="11"/>
        <color rgb="FF000000"/>
        <rFont val="Calibri"/>
        <family val="2"/>
        <scheme val="minor"/>
      </rPr>
      <t>) EL DIA 02/07/24</t>
    </r>
  </si>
  <si>
    <t>005/AMR/2024</t>
  </si>
  <si>
    <t>363//</t>
  </si>
  <si>
    <t>PYMS048</t>
  </si>
  <si>
    <t>SE DESCARGO EN RIQUEZA NATURAL 980 CAJAS DE PY PEPE EL DIA 4/7/2024</t>
  </si>
  <si>
    <t>2400073/2024</t>
  </si>
  <si>
    <t>jv018</t>
  </si>
  <si>
    <t>Renato Feijó</t>
  </si>
  <si>
    <t>se descargo en riqueza natural 991 cajas de brasil fibra el dia 5/7/2024</t>
  </si>
  <si>
    <t>BKZ395</t>
  </si>
  <si>
    <t>OAA844</t>
  </si>
  <si>
    <r>
      <rPr>
        <b/>
        <sz val="11"/>
        <color rgb="FF000000"/>
        <rFont val="Calibri"/>
        <family val="2"/>
        <scheme val="minor"/>
      </rPr>
      <t xml:space="preserve"> VR</t>
    </r>
    <r>
      <rPr>
        <sz val="11"/>
        <color rgb="FF000000"/>
        <rFont val="Calibri"/>
        <family val="2"/>
        <scheme val="minor"/>
      </rPr>
      <t xml:space="preserve"> SE DESCARGO 1 CAMION EN RIQUEZA NATURAL CON 981 CAJAS  DE BANANAS PARAGUAY PEPE </t>
    </r>
    <r>
      <rPr>
        <b/>
        <sz val="11"/>
        <color rgb="FF000000"/>
        <rFont val="Calibri"/>
        <family val="2"/>
        <scheme val="minor"/>
      </rPr>
      <t>(FRUTA QUEMADA POR FRIO) EL DIA 05/07/24</t>
    </r>
  </si>
  <si>
    <t>CH056</t>
  </si>
  <si>
    <t>Alex Lopes</t>
  </si>
  <si>
    <t>1250/</t>
  </si>
  <si>
    <t>EC053</t>
  </si>
  <si>
    <t>se descargo en riqueza natural 1 camion con 930 cajas de bananas paraguay pepe el dia 06/07/24</t>
  </si>
  <si>
    <t>CP 020</t>
  </si>
  <si>
    <t>Paulo Dornelles</t>
  </si>
  <si>
    <t>Se descargo en riqueza natural 1 camion con 919 cajas de bananas brasil ok el dia 06/07/24</t>
  </si>
  <si>
    <r>
      <rPr>
        <b/>
        <sz val="11"/>
        <color rgb="FF000000"/>
        <rFont val="Calibri"/>
        <family val="2"/>
        <scheme val="minor"/>
      </rPr>
      <t>VR</t>
    </r>
    <r>
      <rPr>
        <sz val="11"/>
        <color rgb="FF000000"/>
        <rFont val="Calibri"/>
        <family val="2"/>
        <scheme val="minor"/>
      </rPr>
      <t xml:space="preserve"> SE DESCARGO 1 CAMION EN RIQUEZA NATURAL CON 918 CAJAS DE BANANAS BRASIL MADERA</t>
    </r>
    <r>
      <rPr>
        <b/>
        <sz val="11"/>
        <color rgb="FF000000"/>
        <rFont val="Calibri"/>
        <family val="2"/>
        <scheme val="minor"/>
      </rPr>
      <t xml:space="preserve"> ( FRUTA QUEMADA POR FRIO)</t>
    </r>
    <r>
      <rPr>
        <sz val="11"/>
        <color rgb="FF000000"/>
        <rFont val="Calibri"/>
        <family val="2"/>
        <scheme val="minor"/>
      </rPr>
      <t xml:space="preserve"> el dia 05/07/24</t>
    </r>
  </si>
  <si>
    <t>SG016</t>
  </si>
  <si>
    <t>JBY 1D77</t>
  </si>
  <si>
    <t>ISA 4904</t>
  </si>
  <si>
    <t>Mauricio Almeida Silva</t>
  </si>
  <si>
    <t>09/07: DESCARGA EN RIQUEZA NATURAL 990 CAJAS DE BANANA BR MADERA.</t>
  </si>
  <si>
    <t>GT015</t>
  </si>
  <si>
    <t>Luis Fernando Nunes</t>
  </si>
  <si>
    <t>09/07: DESCARGA EN RIQUEZA NATURAL 919 CAJAS DE BANANA BR 847 FIBRA , 72 madera</t>
  </si>
  <si>
    <t>JV019</t>
  </si>
  <si>
    <t>09/07: DESCARGA EN RIQUEZA NATURAL 919 CAJAS DE BANANA BR FIBRA.</t>
  </si>
  <si>
    <t>VH035</t>
  </si>
  <si>
    <t>VT022</t>
  </si>
  <si>
    <t>09/07: DESCARGA EN RIQUEZA NATURAL 990 CAJAS DE BANANA BR FIBRA.</t>
  </si>
  <si>
    <t>071/24</t>
  </si>
  <si>
    <t>VT023</t>
  </si>
  <si>
    <t>ILP 6G97</t>
  </si>
  <si>
    <t>MLT 5E40</t>
  </si>
  <si>
    <t>Marcio Sampaio gomes</t>
  </si>
  <si>
    <t>09/07: DESCARGA EN RIQUEZA NATURAL 991 CAJAS DE BANANA BR FIBRA.</t>
  </si>
  <si>
    <t>CH057</t>
  </si>
  <si>
    <t>JBL8714</t>
  </si>
  <si>
    <t>SG017</t>
  </si>
  <si>
    <t>IZF 9A34</t>
  </si>
  <si>
    <t>Robinson Salgado</t>
  </si>
  <si>
    <t>09/07: DESCARGA EN RIQUEZA NATURAL 991 CAJAS DE BANANA BR MADERA.</t>
  </si>
  <si>
    <t>VH036</t>
  </si>
  <si>
    <t>Paulo Sergio A. Alves</t>
  </si>
  <si>
    <t>11/07: DESCARGA EN RIQUEZA NATURAL 918 CAJAS DE BANANA BR MADERA.</t>
  </si>
  <si>
    <t>JV020</t>
  </si>
  <si>
    <t>JQH 5150</t>
  </si>
  <si>
    <t>IJJ 5277</t>
  </si>
  <si>
    <t>Elizandro Tuche</t>
  </si>
  <si>
    <t>11/07: DESCARGA EN RIQUEZA NATURAL 991 CAJAS DE BANANA BR FIBRA.</t>
  </si>
  <si>
    <t>AL25/2024</t>
  </si>
  <si>
    <t>RLJ0D32</t>
  </si>
  <si>
    <t>12/07: DESCARGA EN RIQUEZA NATURAL 1104 CAJAS DE BANANA BR CARTON.</t>
  </si>
  <si>
    <t>026//24</t>
  </si>
  <si>
    <t>RYV 9I44</t>
  </si>
  <si>
    <t>SXA 5J44</t>
  </si>
  <si>
    <t>Ivonei Franchini</t>
  </si>
  <si>
    <t>AL26/2024</t>
  </si>
  <si>
    <t>RXM9H15</t>
  </si>
  <si>
    <t>RXP9D05</t>
  </si>
  <si>
    <t>13/07: DESCARGA EN RIQUEZA NATURAL 1103 CAJAS DE BANANA BR CARTON PURA VIDA.</t>
  </si>
  <si>
    <t>VT024</t>
  </si>
  <si>
    <t>12/07: DESCARGA EN RIQUEZA NATURAL 990 CAJAS DE BANANA BR FIBRA.</t>
  </si>
  <si>
    <t>1254/</t>
  </si>
  <si>
    <t>PYEC054</t>
  </si>
  <si>
    <t>12/07: DESCARGA EN RIQUEZA NATURAL 932 CAJAS DE BANANA PY PEPE.</t>
  </si>
  <si>
    <t>CP021</t>
  </si>
  <si>
    <t>BEG 7D15</t>
  </si>
  <si>
    <t>AIL 7D16</t>
  </si>
  <si>
    <t>12/07: DESCARGA EN RIQUEZA NATURAL 919 CAJAS DE BANANA BR MADERA.</t>
  </si>
  <si>
    <t>VH037</t>
  </si>
  <si>
    <t>RYM 1F00</t>
  </si>
  <si>
    <t>RYF 1D43</t>
  </si>
  <si>
    <t>12/07: DESCARGA EN RIQUEZA NATURAL 918 CAJAS DE BANANA BR MADERA.</t>
  </si>
  <si>
    <t>365//</t>
  </si>
  <si>
    <t>PYMS050</t>
  </si>
  <si>
    <t>13/07: DESCARGA EN RIQUEZA NATURAL 980 CAJAS DE BANANA PY PEPE.</t>
  </si>
  <si>
    <t>CH058</t>
  </si>
  <si>
    <t>13/07: DESCARGA EN RIQUEZA NATURAL 991 CAJAS DE BANANA BR FIBRA.</t>
  </si>
  <si>
    <t>PY051</t>
  </si>
  <si>
    <t>VA015</t>
  </si>
  <si>
    <t>Jefferson Amaral</t>
  </si>
  <si>
    <t>13/07: DESCARGA EN RIQUEZA NATURAL 918 CAJAS DE BANANA BR MADERA.</t>
  </si>
  <si>
    <t>073/24</t>
  </si>
  <si>
    <t>JV021</t>
  </si>
  <si>
    <t>IWU 8538</t>
  </si>
  <si>
    <t>IXL 1307</t>
  </si>
  <si>
    <t>Maicol Martias Maciel Duche</t>
  </si>
  <si>
    <t>16/07: DESCARGA EN RIQUEZA NATURAL 991 CAJAS DE BANANA BRASIL FIBRA.</t>
  </si>
  <si>
    <t>CH059</t>
  </si>
  <si>
    <t>Robson Teixeira</t>
  </si>
  <si>
    <t>SE DESCARGO EN RIQUEZA NATURAL 991 CAJAS DE BR ASIL FIBRA EL DIA 16/7/2024</t>
  </si>
  <si>
    <t>SG018</t>
  </si>
  <si>
    <t>16/07: DESCARGA EN RIQUEZA NATURAL 991 CAJAS DE BANANA BRASIL MADERA.</t>
  </si>
  <si>
    <t>VT025</t>
  </si>
  <si>
    <t>16/07: DESCARGA EN RIQUEZA NATURAL 990 CAJAS DE BANANA BRASIL FIBRA.</t>
  </si>
  <si>
    <t>VH038</t>
  </si>
  <si>
    <t>Jose Alves de Souza JR</t>
  </si>
  <si>
    <t>16/07: DESCARGA EN RIQUEZA NATURAL 918 CAJAS DE BANANA BRASIL MADERA.</t>
  </si>
  <si>
    <t>SG019</t>
  </si>
  <si>
    <t>16/07: DESCARGA EN RIQUEZA NATURAL 990 CAJAS DE BANANA BRASIL MADERA.</t>
  </si>
  <si>
    <t>006/AMR/2024</t>
  </si>
  <si>
    <t>JV022</t>
  </si>
  <si>
    <t>Mazael Soares</t>
  </si>
  <si>
    <t>17/07: DESCARGA EN RIQUEZA NATURAL 955 CAJAS DE BANANA BRASIL FIBRA.</t>
  </si>
  <si>
    <t>151/</t>
  </si>
  <si>
    <t>PYDF022</t>
  </si>
  <si>
    <t>19/07: DESCARGA EN RIQUEZ NATURAL 982 CAJAS DE BANANA PY PEPE.</t>
  </si>
  <si>
    <t>076/24</t>
  </si>
  <si>
    <t>VH039</t>
  </si>
  <si>
    <t>FIM 6E91</t>
  </si>
  <si>
    <t>MLG 3555</t>
  </si>
  <si>
    <t>Talison Klumb</t>
  </si>
  <si>
    <t>19/07: DESCARGA EN RIQUEZA NATURAL 918 CAJAS DE BANANA BR MADERA.</t>
  </si>
  <si>
    <t>PYDF023</t>
  </si>
  <si>
    <t>NAN496</t>
  </si>
  <si>
    <t>AAHE360</t>
  </si>
  <si>
    <t>367//</t>
  </si>
  <si>
    <t>PYMS053</t>
  </si>
  <si>
    <t>20/07: DESCARGA EN RIQUEZA NATURAL 981 CAJAS DE BANANA PY PEPE.</t>
  </si>
  <si>
    <t>1258/</t>
  </si>
  <si>
    <t>PYEC055</t>
  </si>
  <si>
    <t>20/07: DESCARGA EN RIQUEZA NATURAL 930 CAJAS DE BANANA PY PEPE.</t>
  </si>
  <si>
    <t>PYMS052</t>
  </si>
  <si>
    <t>20/07: DESCARGA EN RIQUEZA NATURAL 980 CAJAS DE BANANA PY PEPE.</t>
  </si>
  <si>
    <t>078/24</t>
  </si>
  <si>
    <t>VH040</t>
  </si>
  <si>
    <t>Jose Nilso</t>
  </si>
  <si>
    <t xml:space="preserve">20/07. DESCARGA EN RIQUEZA NATURAL 918 CAJAS DE OK </t>
  </si>
  <si>
    <t>077/24</t>
  </si>
  <si>
    <t>VT026</t>
  </si>
  <si>
    <t>IQA2J27</t>
  </si>
  <si>
    <t>IZZ8J69</t>
  </si>
  <si>
    <t>Diliardi Costa</t>
  </si>
  <si>
    <t>20/07: DESCARGA EN RIQUEZA NATURAL 990 CAJAS DE BANANA BR MADERA. Y 36 BR FIBRA CORRESPONDIENTES A DESCARGA DEL 17/07 DE JHONY VIERA.</t>
  </si>
  <si>
    <t>CH061</t>
  </si>
  <si>
    <t>JBL8712</t>
  </si>
  <si>
    <t>José Luís Squeff</t>
  </si>
  <si>
    <t>20/07:SE DESCARGO EN RIQUEZA NATURAL 1008 CAJAS DE BRASIL FIBRA EL DIA 20/7/2024</t>
  </si>
  <si>
    <t>CP022</t>
  </si>
  <si>
    <t>JBT9J54</t>
  </si>
  <si>
    <t>JCC4H81</t>
  </si>
  <si>
    <t>20/07: DESCARGA EN RIQUEZA NATURAL 972 CAJAS DE BANANA BR MADERA.</t>
  </si>
  <si>
    <t>CH062</t>
  </si>
  <si>
    <t>EQU3E90</t>
  </si>
  <si>
    <t>JBL8711</t>
  </si>
  <si>
    <t xml:space="preserve">23/07: #1 SE DESCARGO EN RIQUEZA NATURAL 990 CAJAS DE BRASIL FIBRA </t>
  </si>
  <si>
    <t>GT016</t>
  </si>
  <si>
    <t>23/07: #6 DESCARGA EN RIQUEZA NATURAL 919 CAJAS DE BANANA (775 FIBRA Y 144 MADERA "OK")</t>
  </si>
  <si>
    <t>VT027</t>
  </si>
  <si>
    <t>IXC9B95</t>
  </si>
  <si>
    <t>JBL8713</t>
  </si>
  <si>
    <t>23/07: #2 DESCARGA EN RIQUEZA NATURAL 990 CAJAS DE BANANA BRASIL FIBRA.</t>
  </si>
  <si>
    <t>VA016</t>
  </si>
  <si>
    <t>RXR 3B02</t>
  </si>
  <si>
    <t>RLP 1I81</t>
  </si>
  <si>
    <t>Mauro Nahirniak</t>
  </si>
  <si>
    <t>23/07: #3 DESCARGA EN RIQUEZA NATURAL 918 CAJAS DE BANANA BRASIL MADERA.</t>
  </si>
  <si>
    <t>SG020</t>
  </si>
  <si>
    <t>IQS9E28</t>
  </si>
  <si>
    <t>IZI9J68</t>
  </si>
  <si>
    <t>23/07: #5  DESCARGA EN RIQUEZA NATURAL 918 CAJAS DE BANANA BRASIL MADERA.</t>
  </si>
  <si>
    <t>VH041</t>
  </si>
  <si>
    <t>INP9A05</t>
  </si>
  <si>
    <t>JBD6G16</t>
  </si>
  <si>
    <t>23/07 #4 DESCARGA EN RIQUEZA NATURAL 990 CAJAS DE BANANA BRASIL MADERA.</t>
  </si>
  <si>
    <t>AL27/2024</t>
  </si>
  <si>
    <t>CFZ 9279</t>
  </si>
  <si>
    <t>SXA 6B64</t>
  </si>
  <si>
    <t>24/07: DESCARGA EN RIQUEZA NATURAL 1104 CAJAS DE BANANA PURA VIDA EN MAL ESTADO.</t>
  </si>
  <si>
    <t>JV023</t>
  </si>
  <si>
    <t>MGJ2478</t>
  </si>
  <si>
    <t>YO6037</t>
  </si>
  <si>
    <t>24/04: DESCARGA EN RIQUEZA NATURAL 991 CAJAS DE BANANA BR FIBRA.</t>
  </si>
  <si>
    <t>JV024</t>
  </si>
  <si>
    <t>25/07: DESCARGA EN RIQUEZA NATURAL 919 CAJAS DE BANANA BR FIBRA.</t>
  </si>
  <si>
    <t>CP023</t>
  </si>
  <si>
    <t>MME 9C55</t>
  </si>
  <si>
    <t>25/07: DESCARGA EN RIQUEZA NATURAL 918 CAJAS DE BANANA BR "OK"</t>
  </si>
  <si>
    <t>152/</t>
  </si>
  <si>
    <t>PYDF024</t>
  </si>
  <si>
    <t>25/07: DESCARGA EN RIQUEZA NATURAL 982 CAJAS DE BANANA PY PEPE.</t>
  </si>
  <si>
    <t>VH043</t>
  </si>
  <si>
    <t>JAA8G99</t>
  </si>
  <si>
    <t>26/07:</t>
  </si>
  <si>
    <t>370/</t>
  </si>
  <si>
    <t>PYMS054</t>
  </si>
  <si>
    <t>26/07: DESCARGA EN RIQUEZA NATURAL 981 CAJAS DE BANANA PY PEPE.</t>
  </si>
  <si>
    <t>CH063</t>
  </si>
  <si>
    <t>26/07: DESCARGA EN RIQUEZA NATURAL 90 CAJAS DE BANANA BR FIBRA.</t>
  </si>
  <si>
    <t>VH042</t>
  </si>
  <si>
    <t>26/07: DESCARGA EN RIQUEZA NATURAL 990 CAJAS DE BANANA BR MADERA</t>
  </si>
  <si>
    <t>008/AMR2024</t>
  </si>
  <si>
    <t>VT028</t>
  </si>
  <si>
    <t>ISY1752</t>
  </si>
  <si>
    <t>MKA1J84</t>
  </si>
  <si>
    <t>27/07: DESCARGA EN RIQUEZA NATURAL 990 CAJAS DE BANANA BR MADERA(43 SON FIBRA).</t>
  </si>
  <si>
    <t>SG021</t>
  </si>
  <si>
    <t>RYP8G28</t>
  </si>
  <si>
    <t>27/07: DESCARGA EN RIQUEZA NATURAL 918 CAJAS DE BANANA BR MADERA.</t>
  </si>
  <si>
    <t>VA017</t>
  </si>
  <si>
    <t>RYK8E00</t>
  </si>
  <si>
    <t>PYDF025</t>
  </si>
  <si>
    <t>27/07: DESCARGA EN RIQUEZA NATURAL 982 CAJAS DE BANANA PY PEPE.</t>
  </si>
  <si>
    <t>093/24</t>
  </si>
  <si>
    <t>CH064</t>
  </si>
  <si>
    <t>30/07: DESCARGA EN RIQUEZA NTURAL 990 CAJAS DE BANANA BR FIBRA.</t>
  </si>
  <si>
    <t>vitor</t>
  </si>
  <si>
    <t>VT029</t>
  </si>
  <si>
    <t>099/24</t>
  </si>
  <si>
    <t>VH044</t>
  </si>
  <si>
    <t>AWR6I62</t>
  </si>
  <si>
    <t>IPJ0H41</t>
  </si>
  <si>
    <t>31/07: DESCARGA EN RIQUEZA NATURAL 901 CAJAS DE BANANA BR MADERA.</t>
  </si>
  <si>
    <t>JV025</t>
  </si>
  <si>
    <t>IVM7968</t>
  </si>
  <si>
    <t>IXM4297</t>
  </si>
  <si>
    <t>31/07: DESCARGA EN RIQUEZA NATURAL 991 CAJAS DE BANANA BR FIBRA.</t>
  </si>
  <si>
    <t>Luiz Antonio Fuck</t>
  </si>
  <si>
    <t>01/08: DESCARGA EN RIQUEZA NATURAL  919 CAJAS DE BANANA BRASIL FIBRA.</t>
  </si>
  <si>
    <t>371/</t>
  </si>
  <si>
    <t>MS055</t>
  </si>
  <si>
    <t>OBAA516</t>
  </si>
  <si>
    <t>SE DESCARGO EN RIQUEZA NATURAL 981 CAJAS DE BANANAS PARAGUAY PEPE EL DIA 02/08/24</t>
  </si>
  <si>
    <t>VA018</t>
  </si>
  <si>
    <t>Vicente Junior</t>
  </si>
  <si>
    <t>02/08: DESCARGA EN RIQUEZA NATURAL 918 CAJAS DE BANANA BRASIL MADERA.</t>
  </si>
  <si>
    <t>CP024</t>
  </si>
  <si>
    <t xml:space="preserve"> DESCARGA EN RIQUEZA NATURAL 990 CAJAS DE BANANA BRASIL MADERA "OK". EL DIA 02/08/24</t>
  </si>
  <si>
    <t>007/AMR/2024</t>
  </si>
  <si>
    <t>EXP24000161/</t>
  </si>
  <si>
    <t>1263/</t>
  </si>
  <si>
    <t>PYEC056</t>
  </si>
  <si>
    <t>06/08: DESCARGA EN RIQUEZA NATURAL 930 CAJAS DE BANANA PY PEPE.</t>
  </si>
  <si>
    <t>PYEC057</t>
  </si>
  <si>
    <t>VH045</t>
  </si>
  <si>
    <t>ISA1090</t>
  </si>
  <si>
    <t>MIB3E78</t>
  </si>
  <si>
    <t>02/08: DESCARGA EN RIQUEZA NATURAL 991 CAJAS DE BANANA BRASIL MADERA.</t>
  </si>
  <si>
    <t>VT030</t>
  </si>
  <si>
    <t>IWT6996</t>
  </si>
  <si>
    <t>06/08: DESCARGA EN RIQUEZA NATURAL 990 CAJAS DE BANANA BRASIL FIBRA.</t>
  </si>
  <si>
    <t>VH046</t>
  </si>
  <si>
    <t>06/08: DESCARGA EN RIQUEZA NATURAL 990 CAJAS DE BANANA BRASIL MADERA.</t>
  </si>
  <si>
    <t>GT017</t>
  </si>
  <si>
    <t>QIX 5E72</t>
  </si>
  <si>
    <t>RYZ 7D83</t>
  </si>
  <si>
    <t>06/08:</t>
  </si>
  <si>
    <t>CH065</t>
  </si>
  <si>
    <t>IXJ2690</t>
  </si>
  <si>
    <t>IML0970</t>
  </si>
  <si>
    <t>06/08: DESCARGA EN RIQUEZA NATURAL 991 CAJAS DE BANANA BRASIL FIBRA.</t>
  </si>
  <si>
    <t>102/24</t>
  </si>
  <si>
    <t>JV027</t>
  </si>
  <si>
    <t>RBS3J15</t>
  </si>
  <si>
    <t>SXF1I05</t>
  </si>
  <si>
    <t>06/08: DESCARGA EN RIQUEZA NATURAL 919 CAJAS DE BANANA BRASIL FIBRA.</t>
  </si>
  <si>
    <t>VH047</t>
  </si>
  <si>
    <t>06/08: DESCARGA EN RIQUEZA NATURAL 918 CAJAS DE BANANA BRASIL MADERA.</t>
  </si>
  <si>
    <t>SG022</t>
  </si>
  <si>
    <t>06/08: DESCARGA EN RIQUEZA NATURAL 990 CAJAS DE BANANA BR MADERA "OK".</t>
  </si>
  <si>
    <t>027/24</t>
  </si>
  <si>
    <t>RHB3E43</t>
  </si>
  <si>
    <t>RHB3E44</t>
  </si>
  <si>
    <t>Uva</t>
  </si>
  <si>
    <t>1264/</t>
  </si>
  <si>
    <t>PYEC059</t>
  </si>
  <si>
    <t>07/08: DESCARGA EN RIQUEZA NATURAL 930 CAJAS DE BANANA PY PEPE.</t>
  </si>
  <si>
    <t>PYEC058</t>
  </si>
  <si>
    <t>07/08: DESCARGA EN RIQUEZA NATURAL 930 CAJAS DE BANANA PARAGUAY PEPE.</t>
  </si>
  <si>
    <t>098/24</t>
  </si>
  <si>
    <t>BAHIA</t>
  </si>
  <si>
    <t>BH001</t>
  </si>
  <si>
    <t>RLO 0I76</t>
  </si>
  <si>
    <t>QHJ 1J99</t>
  </si>
  <si>
    <t>8/08:</t>
  </si>
  <si>
    <t>RXM 8I54</t>
  </si>
  <si>
    <t>RLO 7E44</t>
  </si>
  <si>
    <t>SE DESCARGO EN RIQUEZA NATURAL 1 CAMION CON 919 CAJAS DE BANANAS BRASIL FIBRA EL DIA 07/08/24</t>
  </si>
  <si>
    <t>VH048</t>
  </si>
  <si>
    <t>09/08: DESCARGA EN RIQUEZA NATURAL 990 CAJAS DE BANANA BR MADERA.</t>
  </si>
  <si>
    <t>CH066</t>
  </si>
  <si>
    <t>09/08: DESCARGA EN RIQUEZA NATURAL 990 CAJAS DE BANANA BR FIBRA.</t>
  </si>
  <si>
    <t>100/24</t>
  </si>
  <si>
    <t>BH002</t>
  </si>
  <si>
    <t>RDU 8H05</t>
  </si>
  <si>
    <t>RDW 7J25</t>
  </si>
  <si>
    <t>SE DESCARGO 1 CAMIO CON 938 CAJAS DE BANANAS BRASIL BAHIA EN RIQUEZA NATURAL EL DIA 10/08/24</t>
  </si>
  <si>
    <t>373//</t>
  </si>
  <si>
    <t>PYMS056</t>
  </si>
  <si>
    <t>09/08: DESCARGA EN RIQUEZA NATURAL 981 CAJAS DE BANANA PARAGUAY PEPE.</t>
  </si>
  <si>
    <t>153/</t>
  </si>
  <si>
    <t>DF026</t>
  </si>
  <si>
    <t>SE DESCARGO EN RIQUEZA NATURAL 1 CAMION CON 983 CAJAS DE BANANAS PARAGUAY PEPE ( CON PENCAS CHICAS) EL DIA 10/08/24 VR</t>
  </si>
  <si>
    <t>104/24</t>
  </si>
  <si>
    <t>VA019</t>
  </si>
  <si>
    <t>Paulo Hamilton</t>
  </si>
  <si>
    <t xml:space="preserve">SE DESCARGARON EN RIQUEZA NATURAL 1 CAMION CON 918 CAJAS DE BANANAS BRASIL PEPE EL DIA 10/08/24 </t>
  </si>
  <si>
    <t>VH049</t>
  </si>
  <si>
    <t xml:space="preserve">SE DESCARGO EN RIQUEZA NATURAL 1 CAMION CON 990 CAJAS DE BANANAS BRASIL OK EL DIA 10/08/24 </t>
  </si>
  <si>
    <t>CP025</t>
  </si>
  <si>
    <t>PXD0G96</t>
  </si>
  <si>
    <t>MHP0E22</t>
  </si>
  <si>
    <t>SE DESCARGO EN RIQUEZA NATURAL 1 CAMION CON 918 CAJAS DE BANANAS BR PEPE Y BR OK EL DIA 13/08/24.( fruta sentida en varios pallet) VR</t>
  </si>
  <si>
    <t>GT18</t>
  </si>
  <si>
    <t>SE DESCARGO EN RIQUEZA NATURAL 1 CAMION CON 918 CAJAS DE BANANAS BRASIL EN EL CUAL VINIERON 846 CAJAS DE BRASIL FIBRA Y 72 CAJAS DE BRASIL OK EL DIA 13/08/24 vr</t>
  </si>
  <si>
    <t>JV029</t>
  </si>
  <si>
    <t>Jose Ereni</t>
  </si>
  <si>
    <t>13/08: DESCARGE EN RIQUEZA NATURAL 919 CAJAS DE BANANA BR FIBRA.</t>
  </si>
  <si>
    <t>VH050</t>
  </si>
  <si>
    <t>13/08: DESCARGA EN RIQUEZA NATURAL 990 CAJAS DE BANANA BR : 450 "OK" Y 540 "PEPE".</t>
  </si>
  <si>
    <t>VT031</t>
  </si>
  <si>
    <t>13/08:DESCAEGA EN RIQUEZA NATURAL 990 CAJAS DE BANANA BR FIBRA.</t>
  </si>
  <si>
    <t>SG023</t>
  </si>
  <si>
    <t>IZR1F22</t>
  </si>
  <si>
    <t>IYC5297</t>
  </si>
  <si>
    <t>SE DESCARGO 1 CAMION CON 990 CAJAS DE BANANAS BRASIL FIBRA EL DIA 14/08/24</t>
  </si>
  <si>
    <t>154/</t>
  </si>
  <si>
    <t>PYDF027</t>
  </si>
  <si>
    <t>AACX335</t>
  </si>
  <si>
    <t>AAIF096</t>
  </si>
  <si>
    <t xml:space="preserve">14/08:SE DESCARGO EN RIQUEZA NATURAL 982 CAJAS DE PY </t>
  </si>
  <si>
    <t>JV030</t>
  </si>
  <si>
    <t xml:space="preserve">VR 14/08/24: SE DESCARGO EN RIQUEZA NATURAL 1 CAMION CON 919 CAJAS DE BANANAS BRASIL FIBRA </t>
  </si>
  <si>
    <t>374/</t>
  </si>
  <si>
    <t>MS057</t>
  </si>
  <si>
    <r>
      <rPr>
        <sz val="11"/>
        <color rgb="FF000000"/>
        <rFont val="Calibri"/>
        <family val="2"/>
        <scheme val="minor"/>
      </rPr>
      <t>CU 15/08/24 SE DESCARGO EN RIQUEZA NATURAL 1 CAMION CON 982 CAJAS DE BANANAS PY PEPE EN BUEN ESTADO (</t>
    </r>
    <r>
      <rPr>
        <b/>
        <sz val="11"/>
        <color rgb="FFFF0000"/>
        <rFont val="Calibri"/>
        <family val="2"/>
        <scheme val="minor"/>
      </rPr>
      <t xml:space="preserve"> 2 CAJAS DE MAS)</t>
    </r>
  </si>
  <si>
    <t>108/24</t>
  </si>
  <si>
    <t>SG024</t>
  </si>
  <si>
    <t>IYO6037</t>
  </si>
  <si>
    <r>
      <rPr>
        <sz val="11"/>
        <color rgb="FF000000"/>
        <rFont val="Calibri"/>
        <family val="2"/>
        <scheme val="minor"/>
      </rPr>
      <t xml:space="preserve">VR 15/08/24 SE DESCARGO EN RIQUEZ NATURAL 1 CAMION CON 918 CAJAS DE BANANAS BRASIL MADERA OK ( </t>
    </r>
    <r>
      <rPr>
        <b/>
        <sz val="11"/>
        <color rgb="FFFF0000"/>
        <rFont val="Calibri"/>
        <family val="2"/>
        <scheme val="minor"/>
      </rPr>
      <t>FALTARON 72 CAJAS</t>
    </r>
    <r>
      <rPr>
        <sz val="11"/>
        <color rgb="FF000000"/>
        <rFont val="Calibri"/>
        <family val="2"/>
        <scheme val="minor"/>
      </rPr>
      <t>)</t>
    </r>
  </si>
  <si>
    <t>106/24</t>
  </si>
  <si>
    <t>BH003</t>
  </si>
  <si>
    <t>SXH 2J65</t>
  </si>
  <si>
    <t>RYW 3H55</t>
  </si>
  <si>
    <t>Zenildo Zenatti</t>
  </si>
  <si>
    <r>
      <rPr>
        <sz val="11"/>
        <color rgb="FF000000"/>
        <rFont val="Calibri"/>
        <family val="2"/>
        <scheme val="minor"/>
      </rPr>
      <t xml:space="preserve">VR 16/08/24 : SE DESCARGO EN RIQUEZA NATURAL 1 CAMION CON 936 CAJAS DE BANANAS BRASIL BAHIA </t>
    </r>
    <r>
      <rPr>
        <sz val="11"/>
        <color rgb="FFFF0000"/>
        <rFont val="Calibri"/>
        <family val="2"/>
        <scheme val="minor"/>
      </rPr>
      <t>( FRUTA SENTIDA EN LA MAYORIA DE LOS PALLET Y 1 PALLET CON FRUTA QUEMADA )</t>
    </r>
  </si>
  <si>
    <t>107/24</t>
  </si>
  <si>
    <t>CP026</t>
  </si>
  <si>
    <t>Dagoberto Junior</t>
  </si>
  <si>
    <r>
      <rPr>
        <sz val="11"/>
        <color rgb="FF000000"/>
        <rFont val="Calibri"/>
        <family val="2"/>
        <scheme val="minor"/>
      </rPr>
      <t xml:space="preserve">VR 16/08/24: SE DESCARGO 1 CAMION EN RIQUEZA NATURAL CON 919 CAJAS DE BANANAS BRASIL MADERA </t>
    </r>
    <r>
      <rPr>
        <sz val="11"/>
        <color rgb="FFFF0000"/>
        <rFont val="Calibri"/>
        <family val="2"/>
        <scheme val="minor"/>
      </rPr>
      <t>( FRUTA QUEMADA POR FRIO)</t>
    </r>
  </si>
  <si>
    <t>1267/</t>
  </si>
  <si>
    <t>EC060</t>
  </si>
  <si>
    <t>VR 16/08/24 : SE DESCARGO EN RIQUEZA NATURAL 1 CAMION CON 930 CAJAS DE BANANAS PARAGUAY PEPE, CAMION ABIERTO CON LONA ( FRUTA QUEMADA POR FRIO )</t>
  </si>
  <si>
    <t>MS058</t>
  </si>
  <si>
    <r>
      <rPr>
        <sz val="11"/>
        <color rgb="FF000000"/>
        <rFont val="Calibri"/>
        <family val="2"/>
        <scheme val="minor"/>
      </rPr>
      <t>VR 16/08/24: SE DESCARGO 1 CAMION EN RIQUEZA NATURAL CON 981 CAJAS DE BANANAS PARAGUAY PEPE  FRUTA EN BUEN ESTADO(</t>
    </r>
    <r>
      <rPr>
        <b/>
        <sz val="11"/>
        <color rgb="FFFF0000"/>
        <rFont val="Calibri"/>
        <family val="2"/>
        <scheme val="minor"/>
      </rPr>
      <t xml:space="preserve"> 1 CAJA DE MAS)</t>
    </r>
  </si>
  <si>
    <t>105/24</t>
  </si>
  <si>
    <t>VH051</t>
  </si>
  <si>
    <r>
      <rPr>
        <sz val="11"/>
        <color rgb="FF000000"/>
        <rFont val="Calibri"/>
        <family val="2"/>
        <scheme val="minor"/>
      </rPr>
      <t>VR 16/08/24 : SE DESCARGO  EN RIQUEZA NATURAL1 CAMION CON 990 CAJAS DE BRASIL MADERA PEPE (</t>
    </r>
    <r>
      <rPr>
        <sz val="11"/>
        <color rgb="FFFF0000"/>
        <rFont val="Calibri"/>
        <family val="2"/>
        <scheme val="minor"/>
      </rPr>
      <t>FRUTA QUEMADA POR FRIO)</t>
    </r>
  </si>
  <si>
    <t>009/AMR2024</t>
  </si>
  <si>
    <t>VT032</t>
  </si>
  <si>
    <r>
      <rPr>
        <sz val="11"/>
        <color rgb="FF000000"/>
        <rFont val="Calibri"/>
        <family val="2"/>
        <scheme val="minor"/>
      </rPr>
      <t>VR 17/08/24: SE DESCARGO EN RIQUEZA NATURAL 1 CAMION CON 990 CAJAS DE BANANAS BRASIL FIBRA (</t>
    </r>
    <r>
      <rPr>
        <sz val="11"/>
        <color rgb="FFFF0000"/>
        <rFont val="Calibri"/>
        <family val="2"/>
        <scheme val="minor"/>
      </rPr>
      <t xml:space="preserve"> FRUTA QUEMADA POR FRIO)</t>
    </r>
  </si>
  <si>
    <t>VA020</t>
  </si>
  <si>
    <t>QHB 8007</t>
  </si>
  <si>
    <t>QHW 1345</t>
  </si>
  <si>
    <t>Giovana Arrieche</t>
  </si>
  <si>
    <t>SE DESCARGO EN RIQUEZA NATURAL 918 CAJAS DE BRASIL PEPE EL DIA 17/8/2024</t>
  </si>
  <si>
    <t>JV031</t>
  </si>
  <si>
    <t>Marcio Vieira Lopes</t>
  </si>
  <si>
    <r>
      <rPr>
        <sz val="11"/>
        <color rgb="FF000000"/>
        <rFont val="Calibri"/>
        <family val="2"/>
        <scheme val="minor"/>
      </rPr>
      <t xml:space="preserve">VR 17/08/24: SE DESCARGO EN RIQUEZA NATURAL 1 CAMION CON 919 CAJAS DE BANANAS BRASIL PEPE( </t>
    </r>
    <r>
      <rPr>
        <sz val="11"/>
        <color rgb="FFFF0000"/>
        <rFont val="Calibri"/>
        <family val="2"/>
        <scheme val="minor"/>
      </rPr>
      <t>FRUTA QUEMADA POR FRIO)</t>
    </r>
  </si>
  <si>
    <t>VH 053</t>
  </si>
  <si>
    <t>CU 20/08 SE DESCARGO 1 CAMION DE BRASIL  VINIERON 990 CAJAS  VINO QUEMADA  Y CAJAS BAJO PESO DE 24 KILOS</t>
  </si>
  <si>
    <t>CP027</t>
  </si>
  <si>
    <t>RYP 8G28</t>
  </si>
  <si>
    <t>OMI 4G44</t>
  </si>
  <si>
    <t>Douglas Oliani</t>
  </si>
  <si>
    <t>CU 21/08 SE DESACARGO EN RIQUEZA NATURAL 919 CAJAS PEPE  VINO QUEMADA POR EL FRIO</t>
  </si>
  <si>
    <t>VH052</t>
  </si>
  <si>
    <t>GT 019</t>
  </si>
  <si>
    <t>VT033</t>
  </si>
  <si>
    <t xml:space="preserve">CU 21/08 SE DESCARGO EN RIQUEZA NATURAL 990 CAJAS  FIBRA  VINO QUEMADA POR EL FRIO </t>
  </si>
  <si>
    <t>SG25</t>
  </si>
  <si>
    <t>JAV2A69</t>
  </si>
  <si>
    <t>IXM4298</t>
  </si>
  <si>
    <t>CU 21/08 SE DESCARGO EN RIQUEZA NATURAL 990 CAJAS  FIBRA  VINO QUEMADA POR EL FRIO  VINIERON PALLET CON FRUTA SENTIDAS Y COLOR</t>
  </si>
  <si>
    <t>jhony Viera</t>
  </si>
  <si>
    <t>JV032</t>
  </si>
  <si>
    <t>IRB1H18</t>
  </si>
  <si>
    <t>IZC8E59</t>
  </si>
  <si>
    <t>CU 22/08 SE DESCARGO 991 CAJAS DE BRASIL VINO QUEMADA YUNAS PENCAS SENTIDAS</t>
  </si>
  <si>
    <t>010/AMR/2024</t>
  </si>
  <si>
    <t>Mixto</t>
  </si>
  <si>
    <t>SG026</t>
  </si>
  <si>
    <t>IUG0A52</t>
  </si>
  <si>
    <t>IUS3G13</t>
  </si>
  <si>
    <t xml:space="preserve">SE DESCARGO EN RIQUEZA NATURAL 990 CAJAS DE BRASIL EL  DIA 23/8/2024. VINIERON MUCHOS PALLETS CON FRUTA SENTIDA </t>
  </si>
  <si>
    <t>27 KILOS</t>
  </si>
  <si>
    <t>CP028</t>
  </si>
  <si>
    <t>PYEC061</t>
  </si>
  <si>
    <t xml:space="preserve">CU 23/08 SE DESACRGO EN RIQUEZA NATURAL 930 CAJAS PY PEPE VINO QUEMADA </t>
  </si>
  <si>
    <t>991/12</t>
  </si>
  <si>
    <t>CH067/CP038</t>
  </si>
  <si>
    <t>JAA8H06/IQA2J27</t>
  </si>
  <si>
    <r>
      <rPr>
        <sz val="11"/>
        <color rgb="FF000000"/>
        <rFont val="Calibri"/>
        <family val="2"/>
        <scheme val="minor"/>
      </rPr>
      <t>VR 23/08/24 : SE DESCARGO EN RIQUEZA NATURAL 1 CAMION CON 991 CAJAS DE BANANAS BRASIL FIBRA Y</t>
    </r>
    <r>
      <rPr>
        <sz val="11"/>
        <color rgb="FFFF0000"/>
        <rFont val="Calibri"/>
        <family val="2"/>
        <scheme val="minor"/>
      </rPr>
      <t xml:space="preserve"> 12 CAJAS DE BRASIL PEPE CORRESPONDIENTES A OTRO CAMION ( FRUTA EN BUEN ESTADO , QUEMADA POR FRIO)</t>
    </r>
  </si>
  <si>
    <t>375/</t>
  </si>
  <si>
    <t>PYMS059</t>
  </si>
  <si>
    <t>029//24</t>
  </si>
  <si>
    <t>RHB2G65</t>
  </si>
  <si>
    <t>BEN1445</t>
  </si>
  <si>
    <t xml:space="preserve">CU 27/08 SEDESACRGO </t>
  </si>
  <si>
    <t>110/24</t>
  </si>
  <si>
    <t>VH054</t>
  </si>
  <si>
    <t xml:space="preserve">CU 27/08 SE DESACARGO EN RIQUEZA NATURAL 990 CAJAS DE PEPE VINO QUEMADA Y CAJAS BAJO PESO DE 23 KG </t>
  </si>
  <si>
    <t>vt034</t>
  </si>
  <si>
    <t>ixc9b95</t>
  </si>
  <si>
    <t>jbl8713</t>
  </si>
  <si>
    <t>se descargo en riqueza natural 990 cajas de brasil fibra el dia 27/8/2024</t>
  </si>
  <si>
    <t>111/24</t>
  </si>
  <si>
    <t>GT020</t>
  </si>
  <si>
    <t>Rodrigo Leandro S. Correa</t>
  </si>
  <si>
    <t xml:space="preserve">CU 27/08 SE DESCARGO EN RIQUEZA NATURAL 919  VINO BAJO PESO </t>
  </si>
  <si>
    <t>jv033</t>
  </si>
  <si>
    <t>RDY 3F42</t>
  </si>
  <si>
    <t>RAC 1901</t>
  </si>
  <si>
    <t>Davi Ferreira</t>
  </si>
  <si>
    <t>se descargo en riqueza natural 919 cajas de brasil pepe el dia 27/8/2024, vino  en muy buen estado la fruta</t>
  </si>
  <si>
    <t>VH055b</t>
  </si>
  <si>
    <t xml:space="preserve">SE DESCARGO EN RIQUEZA NATURAL 990 CAJAS DE BRASIL PEPE EL DIA 27/8/2024.VINIERON PENCAS CHICAS </t>
  </si>
  <si>
    <t>CU 27/08 SE DESACRGO EN RIQUEZA NATURAL 990CAJAS PEPE VINO QUEMADA</t>
  </si>
  <si>
    <t>SG027</t>
  </si>
  <si>
    <t>JBQ2C55</t>
  </si>
  <si>
    <t>IYV2196</t>
  </si>
  <si>
    <t xml:space="preserve">CU 27/08 SE DESACARGO EN RIQUEZA NATURAL 990 CAJAS DE OK VINO QUEMADA Y FRUTA SENTIDA </t>
  </si>
  <si>
    <t>112/24</t>
  </si>
  <si>
    <t>BH004</t>
  </si>
  <si>
    <t>BEN 5D63</t>
  </si>
  <si>
    <t>BEN 5E43</t>
  </si>
  <si>
    <t>SE DESCARGO EN RIQUEZA NATURAL 936 CAJAS DE BRASIL BAHIA EL DIA 28/8/2024</t>
  </si>
  <si>
    <t>JV034</t>
  </si>
  <si>
    <t>SE DESCARGO EN RIQUEZA NATURAL 919 CAJAS DE BRASIL PEPE EL DIA 28/8/2024</t>
  </si>
  <si>
    <t>1270/</t>
  </si>
  <si>
    <t>PY EC062</t>
  </si>
  <si>
    <t>BOTO19</t>
  </si>
  <si>
    <t>SE DESCARGO EN RIQUEZA NATURAL 929 CAJAS DE PY PEPE EL DIA 30/8/2024</t>
  </si>
  <si>
    <t>SG028</t>
  </si>
  <si>
    <t>30/08 SE DESCARGO EN RIQUEZA NATURAL 918 CAJAS OK</t>
  </si>
  <si>
    <t>CP030</t>
  </si>
  <si>
    <t>Roni Altenburg</t>
  </si>
  <si>
    <t xml:space="preserve">CU 30/08 SE DESCCARGARON 965 CAJAS DE BRASIL PEPE </t>
  </si>
  <si>
    <t>VH 055a</t>
  </si>
  <si>
    <t>QJM 3805</t>
  </si>
  <si>
    <t>MKC 9026</t>
  </si>
  <si>
    <t>João Paulo Ferreira</t>
  </si>
  <si>
    <t>SE DESCARGARON 943 CAJAS, 918 CORRESPONDEN A VH 055 25 CAJAS DE MAS CORRESPONDEN CP (SE CAMION EN FRONTER)</t>
  </si>
  <si>
    <t>376/</t>
  </si>
  <si>
    <t>PYMS060</t>
  </si>
  <si>
    <t>SE DESCARGO EN RIQUEZA NATURAL 982 CAJAS DE PY PEPE EL DIA 31/8/2024</t>
  </si>
  <si>
    <t>CP031</t>
  </si>
  <si>
    <t>QJZ1F40</t>
  </si>
  <si>
    <t>Rui Knapp</t>
  </si>
  <si>
    <t>SE DESCARGO EN RIQUEZA NATURAL 991 CAJAS DE BRASIL PEPE EL DIA 3/9/2024</t>
  </si>
  <si>
    <t>VH056</t>
  </si>
  <si>
    <t>SE DESCARGO EN RIQUEZA NATURAL 990 CAJAS DE BRASIL PEPE EL DIA 3/9/2024</t>
  </si>
  <si>
    <t>JV035</t>
  </si>
  <si>
    <t>SE DESCARGO EN RIQUEZA NATURAL 990 CAJAS DE BRASIL FIBRA EL DIA 3/9/2024</t>
  </si>
  <si>
    <t>VT035</t>
  </si>
  <si>
    <t>113/24</t>
  </si>
  <si>
    <t>SG029</t>
  </si>
  <si>
    <t>IWC6500</t>
  </si>
  <si>
    <t>IWA0043</t>
  </si>
  <si>
    <t>SE DESCARGO EN RIQUEZA NATURAL 990 CAJAS DE BRASIL OK EL DIA 3/9/2024</t>
  </si>
  <si>
    <t>155/</t>
  </si>
  <si>
    <t>PYDF028</t>
  </si>
  <si>
    <t>TCJC021</t>
  </si>
  <si>
    <t>TCJCO14</t>
  </si>
  <si>
    <t>SE DESCARGO EN RIQUEZA NATURAL 982 CAJAS DE PY PEPE EL DIA 4/9/2024</t>
  </si>
  <si>
    <t>377/</t>
  </si>
  <si>
    <t>PYMS061</t>
  </si>
  <si>
    <t>SE DESCARGO EN RIQUEZA NATURAL 980 CAJAS DE PY PEPE EL DIA 5/9/2024</t>
  </si>
  <si>
    <t>JV037</t>
  </si>
  <si>
    <t>ILP6G97</t>
  </si>
  <si>
    <t>MLT5E40</t>
  </si>
  <si>
    <t>SE DESCRAGO EN RIQUEZA NATURAL 991 CAJAS DE BRASIL PEPE EL DIA 5/9/2024</t>
  </si>
  <si>
    <t>SG030</t>
  </si>
  <si>
    <t>Fabio Reck</t>
  </si>
  <si>
    <t>114/24</t>
  </si>
  <si>
    <t>JV036</t>
  </si>
  <si>
    <t>SE DESCARGO EN RIQUEZA NATURAL 919 CAJAS DE BRASIL PEPE EL DIA 5/9/2024</t>
  </si>
  <si>
    <t>1272/</t>
  </si>
  <si>
    <t>PYEC063</t>
  </si>
  <si>
    <t>SE DESCARGO EN RIQUEZA NATURAL 929 CAJAS DE PY PEPE EL DIA 6/9/2024</t>
  </si>
  <si>
    <t>PYEC064</t>
  </si>
  <si>
    <t>SE DESCARGO EN RIQUEZA NATURAL 936 CAJAS DE PY PEPE EL DIA 6/9/2024</t>
  </si>
  <si>
    <t>011/AMR/2024</t>
  </si>
  <si>
    <t>VT036</t>
  </si>
  <si>
    <t>CU 06/09 SE DESCARGO EN RIQUEZA NATURL 990 CAJAS PEPE</t>
  </si>
  <si>
    <t>CP032</t>
  </si>
  <si>
    <t>SE DESCARGO EN RIQUEZA NATURAL 991 CAJAS DE BRASIL PEPE EL DIA 6/9/2024</t>
  </si>
  <si>
    <t>116/24</t>
  </si>
  <si>
    <t>VH057</t>
  </si>
  <si>
    <t>SE DESCARGO EN RIQUEZA NATURAL 929 CAJAS DE BR PEPE EL DIA 6/9/2024</t>
  </si>
  <si>
    <t>VA021</t>
  </si>
  <si>
    <t>SE DESCARGO EN RIQUEZA NATURAL 990 CAJAS DE BRASIL PEPE EL DIA 6/9/2024</t>
  </si>
  <si>
    <t>028/24</t>
  </si>
  <si>
    <t>RHB5A09</t>
  </si>
  <si>
    <t>RHB5A10</t>
  </si>
  <si>
    <t>PYMS062</t>
  </si>
  <si>
    <t>SE DESCARGO EN RIQUEZA NATURAL 980 CAJAS DE PY PEPE EL DIA 7/9/2024</t>
  </si>
  <si>
    <t>BH005</t>
  </si>
  <si>
    <t>RXS 2C79</t>
  </si>
  <si>
    <t>MKT 2F55</t>
  </si>
  <si>
    <t>CU 07/09 SE DESCARGO 936 CAJAS DE BAHIA</t>
  </si>
  <si>
    <t>CH068</t>
  </si>
  <si>
    <t>SE DESCARGO EN RIQUEZA NATURAL 991 CAJAS DE BRASIL FIBRA EL DIA 7/9/2024</t>
  </si>
  <si>
    <t>GT021</t>
  </si>
  <si>
    <t>IZF5G95</t>
  </si>
  <si>
    <t>IXL1307</t>
  </si>
  <si>
    <t>SE DESCARGO EN RIQUEZA NATURAL 918 CAJAS DE BR FIBRA Y 73 CAJAS DE BR PEPE EL DIA 10/9/2024</t>
  </si>
  <si>
    <t>JV038</t>
  </si>
  <si>
    <t>SE DESCARGO EN RIQUEZA NATURAL 991 CAJAS DE BRASIL PEPE EL DIA 10/9/2024</t>
  </si>
  <si>
    <t>VT037</t>
  </si>
  <si>
    <t>SE DESCARGO EN RIQUEZA NATURAL 990 CAJAS DE BRASIL FIBRA EL DIA 10/9/2024</t>
  </si>
  <si>
    <t>115/24</t>
  </si>
  <si>
    <t>BH007</t>
  </si>
  <si>
    <t>RXY 9A54</t>
  </si>
  <si>
    <t>RXX 8J84</t>
  </si>
  <si>
    <t>SE DESCARGO EN RIQUEZA NATURAL 936 CAJAS DE BRASIL BAHIA EL DIA 11/9/2024</t>
  </si>
  <si>
    <t>BH006</t>
  </si>
  <si>
    <t>SXF 1F00</t>
  </si>
  <si>
    <t>RYG 6I97</t>
  </si>
  <si>
    <t>CU 10/09 SE DESCARGO EN RIQUEZA NATURAL 936 CAJAS DE BAHIA EXTRA</t>
  </si>
  <si>
    <t>CP033</t>
  </si>
  <si>
    <t>SE DESCARGO EN RIQUEZA NATURAL 991 CAJAS DE BRASIL PEPE EL DIA 12/9/2024</t>
  </si>
  <si>
    <t>JV039</t>
  </si>
  <si>
    <t>SE DESCARGO EN RIQUEZA NATURAL 990 CAJAS DE BRASIL PEPE EL DIA 13/9/2024</t>
  </si>
  <si>
    <t>24000525/</t>
  </si>
  <si>
    <t>378/</t>
  </si>
  <si>
    <t>PYMS063</t>
  </si>
  <si>
    <t>SE DESCARGO EN RIQUEZA NATURAL 981 CAJAS DE PY EL DIA 14/9/2024</t>
  </si>
  <si>
    <t>1275/</t>
  </si>
  <si>
    <t>PYEC065</t>
  </si>
  <si>
    <t>SE DESCARGO EN RIQUEZA NATURAL 930 CAJAS DE PY PEPE EL DIA 14/9/2024</t>
  </si>
  <si>
    <t>SG031</t>
  </si>
  <si>
    <t>SE DESCARGO EN RIQUEZA NATURAL 324 BR FIBRA Y 594 BR COMUN EL DIA 14/9/2024</t>
  </si>
  <si>
    <t>PYEC066</t>
  </si>
  <si>
    <t>OT019</t>
  </si>
  <si>
    <t>SE DESCARGO EN RIQUEZA NATURAL 929 CAJAS DE PY PEPE EL DIA 14/9/2024</t>
  </si>
  <si>
    <t>VH058</t>
  </si>
  <si>
    <t>SE DESCARGO EN RIQUEZA NATURAL 990 CAJAS DE BRASIL PEPE EL DIA 14/9/2024</t>
  </si>
  <si>
    <t>JV040</t>
  </si>
  <si>
    <t>CU 17/09 SE DESCARGO EN RIQUEZA NATURAL 991 CAJAS JV 040 VINO UNOS PALLET SENTIDO</t>
  </si>
  <si>
    <t>VH059</t>
  </si>
  <si>
    <t>SE DESCARGO EN RIQUEZA NATURAL 990 CAJAS DE BRASIL PEPE EL DIA 17/9/2024</t>
  </si>
  <si>
    <t>122/24</t>
  </si>
  <si>
    <t>VH060</t>
  </si>
  <si>
    <t>SE DESCARGO EN RIQUEZA NATURAL 918 CAJAS DE BRASIL PEPE EL DIA 17/9/2024</t>
  </si>
  <si>
    <t>CH069</t>
  </si>
  <si>
    <t>SE DESCARGO EN RIQUEZA NATURAL 991 CAJAS BRASIL FIBRA EL DIA 17/09/224</t>
  </si>
  <si>
    <t>VT038</t>
  </si>
  <si>
    <t>SE DESCARGO N RIQUEZA NATURAL 990 CAJAS BRASIL FIBRA EL DIA 17/09/224</t>
  </si>
  <si>
    <t>CP034</t>
  </si>
  <si>
    <t>SG032</t>
  </si>
  <si>
    <t xml:space="preserve">CU- 17/09  SE DESCARGO EN RIQUEZA NATURAL  990 CAJAS SERGIO  </t>
  </si>
  <si>
    <t>URG002</t>
  </si>
  <si>
    <t>EZU 5D77</t>
  </si>
  <si>
    <t>MLU 6I00</t>
  </si>
  <si>
    <t>UVA</t>
  </si>
  <si>
    <t>030//24</t>
  </si>
  <si>
    <t>SVA 2C48</t>
  </si>
  <si>
    <t>RYL8C78</t>
  </si>
  <si>
    <t>SANDIA</t>
  </si>
  <si>
    <t>121/24</t>
  </si>
  <si>
    <t>BH008</t>
  </si>
  <si>
    <t>RYW5F98</t>
  </si>
  <si>
    <t>RYK0I89</t>
  </si>
  <si>
    <t>SE DESCARGO EN RIQUEZA NATURAL 936 CAJAS DE BRASIL BAHIA EL DIA 18/9/2024</t>
  </si>
  <si>
    <t>GT022</t>
  </si>
  <si>
    <t>1276/</t>
  </si>
  <si>
    <t>EC067</t>
  </si>
  <si>
    <t xml:space="preserve">SE DESCARGO EN RIQUEZA  NATURAL 930 CAJAS </t>
  </si>
  <si>
    <t>379/</t>
  </si>
  <si>
    <t>PYMS064</t>
  </si>
  <si>
    <t>SE DESCARGO EN RIQUEZA NATURAL 981 CAJAS DE PY PEPE EL DIA 19/9/2024</t>
  </si>
  <si>
    <t>BH009</t>
  </si>
  <si>
    <t>QJZ 3396</t>
  </si>
  <si>
    <t>RAE 5526</t>
  </si>
  <si>
    <t>SE DESCARGO EN RIQUEZA NATURAL 940 CAJAS DE BRASIL BAHIA EL DIA 20/9/2024</t>
  </si>
  <si>
    <t>BH010</t>
  </si>
  <si>
    <t>RYU0D42</t>
  </si>
  <si>
    <t>RYW0J52</t>
  </si>
  <si>
    <t>SE DESCARGO EN RIQUEZA NATURAL 936 CAJAS DE BRASIL BAHIA EL DIA 20/9/2024</t>
  </si>
  <si>
    <t>012/AMR/2024</t>
  </si>
  <si>
    <t>SG033</t>
  </si>
  <si>
    <t>Ailton Rodrigues Ibarra</t>
  </si>
  <si>
    <t>SE DESCARGO EN RIQUEZA NATURAL 918 CAJAS DE BRASIL OK EL DIA 20/9/2024</t>
  </si>
  <si>
    <t>124/24</t>
  </si>
  <si>
    <t>CP035</t>
  </si>
  <si>
    <t>MAX 8J00</t>
  </si>
  <si>
    <t>SE DESCARGO EN RIQUEZA NATURAL 919 CAJAS DE BRASIL pepe EL DIA 20/9/2024</t>
  </si>
  <si>
    <t>126/24</t>
  </si>
  <si>
    <t>SG034</t>
  </si>
  <si>
    <t>CU SE DESCARGO ENRIQUEZA NATURAL 990 CAJAS DE OK SG034 VINO SENTIADA</t>
  </si>
  <si>
    <t>127/24</t>
  </si>
  <si>
    <t>GT023</t>
  </si>
  <si>
    <t>IZC7A88</t>
  </si>
  <si>
    <t>ITH3696</t>
  </si>
  <si>
    <t xml:space="preserve">CU 25/09 SE DESCARGO 990 CAJAS DE BRASIL PEPE </t>
  </si>
  <si>
    <t>VT039</t>
  </si>
  <si>
    <t>CU 24/09 SE DESCARGO EN RIQUEZA NATURAL 990 CAJAS PEPE FIBRA  VINIERON PALLET MOJADOS</t>
  </si>
  <si>
    <t>SG035</t>
  </si>
  <si>
    <t>SXI 0C57</t>
  </si>
  <si>
    <t>SXH 8G57</t>
  </si>
  <si>
    <t>SE DESCARGO EN RIQUEZA NATURAL 918 CAJAS BRASIL OK EL DIA 25/09/24</t>
  </si>
  <si>
    <t>VA022</t>
  </si>
  <si>
    <t>MLO 2A00</t>
  </si>
  <si>
    <t>EOF 4I21</t>
  </si>
  <si>
    <t>Rodrigo Pagno</t>
  </si>
  <si>
    <t>CU 25/09 SE DESCARGO EN RIQUEZA NATURAL 918 CAJAS BRASIL PEPE</t>
  </si>
  <si>
    <t>JV041</t>
  </si>
  <si>
    <t>CU 25/09 SE DESCARGO EN RIQUEZA NATURAL 991 CAJAS DE PEPE VINIERON LAS CAJAS  MOJADAS</t>
  </si>
  <si>
    <t>CH071</t>
  </si>
  <si>
    <t>CU 25/09 SE CESACRGO ENRIQUEZA NATURAL 991 CAJAS BRASIL PEPE FIBRA</t>
  </si>
  <si>
    <t>VH061</t>
  </si>
  <si>
    <t>CU 26/09 SE DESCARGO EN RIQUEZA NATURAL 918 CAJAS BRASIL PEPE</t>
  </si>
  <si>
    <t>VA023</t>
  </si>
  <si>
    <t>FFW 3459</t>
  </si>
  <si>
    <t>MKM 3904</t>
  </si>
  <si>
    <t>Luciano Dineck</t>
  </si>
  <si>
    <t>CU 27/09 SE DESCARGO EN RIQUEZA NATURAL 918 CAJAS PEPE</t>
  </si>
  <si>
    <t>031/24</t>
  </si>
  <si>
    <t xml:space="preserve">QIY3869 </t>
  </si>
  <si>
    <t>RXK5G94</t>
  </si>
  <si>
    <t>125/24</t>
  </si>
  <si>
    <t>BH011</t>
  </si>
  <si>
    <t>RYV0H92</t>
  </si>
  <si>
    <t>RYT2F07</t>
  </si>
  <si>
    <t>CU 27/09 SE DESCARGO 936 CAJAS DE BAHIA</t>
  </si>
  <si>
    <t>380/</t>
  </si>
  <si>
    <t>MS065</t>
  </si>
  <si>
    <t>CU 27/09 SE DESCARGO EN RIQUEZA NATURAL  980 CAJAS PEPE</t>
  </si>
  <si>
    <t>CP036</t>
  </si>
  <si>
    <t>LYP2322</t>
  </si>
  <si>
    <t>IIQ9F03</t>
  </si>
  <si>
    <t>Thomas Vieira</t>
  </si>
  <si>
    <t>CU 27/09 SE DESCARGO EN RIQUEZA NATURAL 990 CAJAS DE PEPE</t>
  </si>
  <si>
    <t>dil</t>
  </si>
  <si>
    <t>SG036</t>
  </si>
  <si>
    <t>SE DESCARGO EN RIQUEZA NARUTA 990 CAJS PRODUCTOR SG036 EL DIA 27/09/24</t>
  </si>
  <si>
    <t>BH013</t>
  </si>
  <si>
    <t>RYV0F62</t>
  </si>
  <si>
    <t>RYW5J92</t>
  </si>
  <si>
    <t>28/09 SE DESCARGO EN RIQUEZA NATURAL 936 CAJAS DE BAHIA</t>
  </si>
  <si>
    <t>BH012</t>
  </si>
  <si>
    <t>RXM9B73</t>
  </si>
  <si>
    <t>RXM0E23</t>
  </si>
  <si>
    <t>CH072</t>
  </si>
  <si>
    <t>CU 28/09 SE DESCARGO EN RIQUEZA NATURAL  991 CAJAS PEPE FIBRA</t>
  </si>
  <si>
    <t>JV042</t>
  </si>
  <si>
    <t>CU 28/09 SE DESCARGO EN RIQUEZA NATURAL  991 CAJAS PEPE</t>
  </si>
  <si>
    <t>CP037</t>
  </si>
  <si>
    <t>IUM6467</t>
  </si>
  <si>
    <t>ISA4904</t>
  </si>
  <si>
    <t>CU 28/09 SE DESCARGO EN RIQUEZA NATURAL  991 CAJAS OK</t>
  </si>
  <si>
    <t>MS066</t>
  </si>
  <si>
    <t>28/09 SE DESCARGO EN RIQUEZA NATURAL 980 CAJAS DE MS PEPE</t>
  </si>
  <si>
    <t>1278/</t>
  </si>
  <si>
    <t>EC068</t>
  </si>
  <si>
    <t>28/09 SE DESCARGO EN RIQUEZA NATURAL 930 CAJAS PY PEPE</t>
  </si>
  <si>
    <t>VH062</t>
  </si>
  <si>
    <t xml:space="preserve">CU 01/10 SE DESCARGO EN RIQUEZA NATURAL 990 CAJAS BRASIL </t>
  </si>
  <si>
    <t>014/AMR/2024</t>
  </si>
  <si>
    <t>VT040</t>
  </si>
  <si>
    <t>032/24</t>
  </si>
  <si>
    <t>RLN5C47</t>
  </si>
  <si>
    <t>RLC4F34</t>
  </si>
  <si>
    <t>128/24</t>
  </si>
  <si>
    <t>BH015</t>
  </si>
  <si>
    <t>JBH0C97</t>
  </si>
  <si>
    <t>RLD4G66</t>
  </si>
  <si>
    <t>CU 03/10 SE DESCARGO EN RIQUEZA NATURAL 936 CAJAS DE BAHIA  COMUN</t>
  </si>
  <si>
    <t>BH016</t>
  </si>
  <si>
    <t>RXZ3I79</t>
  </si>
  <si>
    <t>RLO6E63</t>
  </si>
  <si>
    <t>SE DESCAGO EN RIQUEZA NATURAL 936 CASJ BR-BH016 EL DIA 03/10/24</t>
  </si>
  <si>
    <t>BH014</t>
  </si>
  <si>
    <t>RYB0J79</t>
  </si>
  <si>
    <t>RXO5H49</t>
  </si>
  <si>
    <t>CU 03/10 SE DESCARGO EN RIQUEZA NATURAL 936 CAJAS DE BAHIA EXTRA</t>
  </si>
  <si>
    <t>004.24ALM</t>
  </si>
  <si>
    <t>Melón Amarillo</t>
  </si>
  <si>
    <t>CP038</t>
  </si>
  <si>
    <t>SXM 1C00</t>
  </si>
  <si>
    <t>SXA 4G75</t>
  </si>
  <si>
    <t>Jocelito Moreira</t>
  </si>
  <si>
    <t>CU 04/10 SE DESCARGO EN RIQUEZA NATURAL 919 CAJAS DE PEPE</t>
  </si>
  <si>
    <t>131/24</t>
  </si>
  <si>
    <t>BH017</t>
  </si>
  <si>
    <t>RKZ8E41</t>
  </si>
  <si>
    <t>QJX9795</t>
  </si>
  <si>
    <t>SE DESCARGO EN RIQUEZA NATURAL 936 CAJAS BRASIL BAHIA (BH017) EL DIA 04/10/24</t>
  </si>
  <si>
    <t>BH018</t>
  </si>
  <si>
    <t>SUP8B63</t>
  </si>
  <si>
    <t>RYP7I58</t>
  </si>
  <si>
    <t xml:space="preserve">SE DESCARO EN RIQUEZA NATURAL 936 CAJAS DE BR-BH 018 EL DIA 04/10/24 </t>
  </si>
  <si>
    <t>1279/</t>
  </si>
  <si>
    <t>EC069</t>
  </si>
  <si>
    <t>04/10 SE DESCARGO EN RIQUEZA NATURAL 930 PARAGUAYA  PEPE</t>
  </si>
  <si>
    <t>SG037</t>
  </si>
  <si>
    <t>Diego Bombarda</t>
  </si>
  <si>
    <t>04/10 SE DESCARGO EN RIQUEZA NATURAL 918 CAJAS DE OK</t>
  </si>
  <si>
    <t>VH063??</t>
  </si>
  <si>
    <t>134/24</t>
  </si>
  <si>
    <t>JH43</t>
  </si>
  <si>
    <t>CU 04/10 SE DESCARGO EN RIQUEZA NATURAL 99 CAJAS DE PEPE</t>
  </si>
  <si>
    <t>381/</t>
  </si>
  <si>
    <t>MS067</t>
  </si>
  <si>
    <t>05/10 SE DESCARGO ENRIQUEZA NATURAL 980 CAJAS DE PARAGUAY PEPE</t>
  </si>
  <si>
    <t>MS068</t>
  </si>
  <si>
    <t>BH019</t>
  </si>
  <si>
    <t>RYG9D29</t>
  </si>
  <si>
    <t>RYS8A51</t>
  </si>
  <si>
    <t>05/10 SE DESCARGO EN RIQUEZA NATURAL 936 CAJAS DE BAHIA</t>
  </si>
  <si>
    <t>05/10 SE DESCARGO  EN RIQUEZA NATURAL 990 CAJAS DE PEPE</t>
  </si>
  <si>
    <t>EC070</t>
  </si>
  <si>
    <t xml:space="preserve">CU 07/10 SE DESCARGO EN RIQUEZA NATURAL 930 CAJAS DE PEPE </t>
  </si>
  <si>
    <t>133/24</t>
  </si>
  <si>
    <t>Cassio Hauck</t>
  </si>
  <si>
    <t>CK001</t>
  </si>
  <si>
    <t>RKZ6H15</t>
  </si>
  <si>
    <t>RLJ4F72</t>
  </si>
  <si>
    <t>CU 09/10 SE DESCARGO EN RIQUEZA 918 CAJAS CK 001 OK VINO ALGUNOS PALLLET SENTIDO</t>
  </si>
  <si>
    <t>CH073</t>
  </si>
  <si>
    <t>SE DESCARGO EN RIQUEZA NATURAL EL DIA 08/10 990 CAJAS DE BRASIL MADERA FIBRA. CH073</t>
  </si>
  <si>
    <t>VH064</t>
  </si>
  <si>
    <t>CU 09/10 SE DESCARGO EN RIQUEZA NATURAL 990 CAJAS DE PEPE VINO EN PALLET CHICOS</t>
  </si>
  <si>
    <t>SE DESCARGO EN RIQUEZA NATURAL 990 CAJAS DE MADERA BRASIL EL DIA 08/10</t>
  </si>
  <si>
    <t>JV044</t>
  </si>
  <si>
    <t>CU 09/10 SE DESCARGOEN RIQUEZA NATURAL 990 CAJAS DE PEPE VINIERON VARIOS PALLET SENTIDO</t>
  </si>
  <si>
    <t>VT041</t>
  </si>
  <si>
    <t>135/24</t>
  </si>
  <si>
    <t>SG038</t>
  </si>
  <si>
    <t>CU 09/10 SE DESCARGO EN RIQUEZA NATURAL 918 CAJAS DE OK</t>
  </si>
  <si>
    <t>1282/</t>
  </si>
  <si>
    <t>PYEC071</t>
  </si>
  <si>
    <t>SE DESCARGO EN RIQUEZA NATURAL 930 CAJAS DE MADERA PARAGUAY EL DIA 08/10</t>
  </si>
  <si>
    <t>132/24</t>
  </si>
  <si>
    <t>BH023</t>
  </si>
  <si>
    <t>RXV7D73</t>
  </si>
  <si>
    <t>QJY3549</t>
  </si>
  <si>
    <t>CU 10/10 SE DESCARGOEN RIQUEZA NATURAL 936 CAJAS DE BAHIA EXTRA</t>
  </si>
  <si>
    <t>BH020</t>
  </si>
  <si>
    <t>RYT8H19</t>
  </si>
  <si>
    <t>RYU2C17</t>
  </si>
  <si>
    <t>BH021</t>
  </si>
  <si>
    <t>RXW2E94</t>
  </si>
  <si>
    <t>RXU7D54</t>
  </si>
  <si>
    <t>BH022</t>
  </si>
  <si>
    <t>RYB8H67</t>
  </si>
  <si>
    <t>QJW1783</t>
  </si>
  <si>
    <t>CU 10/10 SE DESCARGO EN RIQUEZA NATURAL 936 CAJAS DE BAHIA EXTRAS</t>
  </si>
  <si>
    <t>CU 09/10 SE DESCARGO EN RIQUEZA NATURAL 930 CAJAS DE PEPE PY</t>
  </si>
  <si>
    <t>JV045</t>
  </si>
  <si>
    <t>SE DESCARGO EN RIQUEZA NATURAL 990 CAJAS DE OK  VINO UNAS PECAS CON COLOR</t>
  </si>
  <si>
    <t>SG039</t>
  </si>
  <si>
    <t>SE DESCARGOEN RIQUEZA NATURAL 918 CAJAS  OK</t>
  </si>
  <si>
    <t>CP039</t>
  </si>
  <si>
    <t>RYD 4C08</t>
  </si>
  <si>
    <t>RYF 7H36</t>
  </si>
  <si>
    <t>SE DESCARGOEN RIQUEZA NATURAL 918 CAJAS PEPE</t>
  </si>
  <si>
    <t>013/AMR/2024</t>
  </si>
  <si>
    <t>JENGIBRE,LIMA,PAPAYA,MANGO</t>
  </si>
  <si>
    <t>BH024</t>
  </si>
  <si>
    <t>FYK7E19</t>
  </si>
  <si>
    <t>MME4087</t>
  </si>
  <si>
    <t xml:space="preserve">SE DESCARGO EN RIQEUZA NATURAL 936 CAJAS DE BRASIL MADERA EL DIA 11/10 </t>
  </si>
  <si>
    <t>382/</t>
  </si>
  <si>
    <t>MS069</t>
  </si>
  <si>
    <t>CU 10/10 SE DESCARGO EN RIQUEZA NATURAL 982 CAJAS DE PEPE PY</t>
  </si>
  <si>
    <t>MS070</t>
  </si>
  <si>
    <t>AAIR393</t>
  </si>
  <si>
    <t>11/10 SE DESCARGO EN RIQUEZA NATURAL 980 CAJAS DE PEPE</t>
  </si>
  <si>
    <t>CK002</t>
  </si>
  <si>
    <t>12/10 SE DESCARGO EN RIQUEZA NATURAL 919 CAJAS DE OK</t>
  </si>
  <si>
    <t>VH065</t>
  </si>
  <si>
    <t>11/10 SE DESCARGO EN RIQUEZA NATURAL 990 CAJAS DE PEPE VH 065</t>
  </si>
  <si>
    <t>JV046</t>
  </si>
  <si>
    <t>12/10 SE DESCARGO EN RIQUEZA NATURAL 991 CAJAS DE BRASIL PEPE</t>
  </si>
  <si>
    <t>136/24</t>
  </si>
  <si>
    <t>BH 025</t>
  </si>
  <si>
    <t>SUJ6H64</t>
  </si>
  <si>
    <t>RYT8G57</t>
  </si>
  <si>
    <t>14/10 SE DESCARGO EN RIQUEZA NATURAL 936 CAJAS DE BAHIA EXTRA</t>
  </si>
  <si>
    <t>SG040</t>
  </si>
  <si>
    <t>SE DESCARGO 918 CAJAS DE BANANA, BR OK EN RIQUEZA NATURAL.</t>
  </si>
  <si>
    <t>VH066</t>
  </si>
  <si>
    <t>15/10 SE DESCARGO EN RIQUEZA NATURAL 990 CAJAS DE PEPE</t>
  </si>
  <si>
    <t>CH074</t>
  </si>
  <si>
    <t>15/10 SE DESCARGO EN RIQUEZA NATURAL 990 CAJAS DE PEPE FIBRA</t>
  </si>
  <si>
    <t>140/24</t>
  </si>
  <si>
    <t>VA024</t>
  </si>
  <si>
    <t>139/24</t>
  </si>
  <si>
    <t>GT025</t>
  </si>
  <si>
    <t>SE DESCARGO EN RIQUEZA NATURAL, 990 CAJAS DE BANANA BR. BR FIBRA 738 Y BR. PEPE 252.</t>
  </si>
  <si>
    <t>VT042</t>
  </si>
  <si>
    <t>SE DESCARGO EN RIQUEZA NATURAL 990 CAJAS DE BRASIL PEPE EL DIA 15/10/2024</t>
  </si>
  <si>
    <t>JV047</t>
  </si>
  <si>
    <t>JDF4F50</t>
  </si>
  <si>
    <t>JDF0D01</t>
  </si>
  <si>
    <t>15/10 SE DESCARGO EN RIQUEZA NATURAL 991 CAJAS DE OK</t>
  </si>
  <si>
    <t>BH028</t>
  </si>
  <si>
    <t>SVFOC27</t>
  </si>
  <si>
    <t>SE DESCARGO 936 CAJAS DE BANANA BR. BAHIA, EN RIQUEZA NATURAL</t>
  </si>
  <si>
    <t>BH029</t>
  </si>
  <si>
    <t>RLN4J17</t>
  </si>
  <si>
    <t>SE DESCARGO EN RIQUEZA NATURAL 936 CAJAS DE BRASIL BAHIA EL DIA 16/10/2024</t>
  </si>
  <si>
    <t>BH026</t>
  </si>
  <si>
    <t>RYE9F99</t>
  </si>
  <si>
    <t>RYF1B69</t>
  </si>
  <si>
    <t>SE DESCARGO EN RIQUEZA NATURAL, 936 CAJAS DE BR. BAHIA.</t>
  </si>
  <si>
    <t>147/24</t>
  </si>
  <si>
    <t>BH027</t>
  </si>
  <si>
    <t>RX06J48</t>
  </si>
  <si>
    <t>RLO9J48</t>
  </si>
  <si>
    <t>SE DESCARGO 936 CAJAS DE BANANA BR. BAHIA. EN RIQUEZA NATURAL.</t>
  </si>
  <si>
    <t>STT7H54</t>
  </si>
  <si>
    <t>RYV7D71</t>
  </si>
  <si>
    <t>Sandia</t>
  </si>
  <si>
    <t>BH031</t>
  </si>
  <si>
    <t>RYZ5A21</t>
  </si>
  <si>
    <t>RYX0C81</t>
  </si>
  <si>
    <t>SE DESCARGO EN RIQUEZA NATURAL 936 CAJAS DE BR. BAHIA.</t>
  </si>
  <si>
    <t>BH030</t>
  </si>
  <si>
    <t>RYB1A09</t>
  </si>
  <si>
    <t>RXN7E99</t>
  </si>
  <si>
    <t>SE DESCARGO 936 CAJAS DE BANANA BR BAHIA, EN RIQUEZA NATURAL.</t>
  </si>
  <si>
    <t>1284/</t>
  </si>
  <si>
    <t xml:space="preserve">17/10 SE DESCARGO EN RIQUEZA NATURAL 930 CAJAS DE PEPE </t>
  </si>
  <si>
    <t>141/24</t>
  </si>
  <si>
    <t>MME7134</t>
  </si>
  <si>
    <t>QJT3724</t>
  </si>
  <si>
    <t>Calabacín</t>
  </si>
  <si>
    <t>BH033</t>
  </si>
  <si>
    <t>RYB0A89</t>
  </si>
  <si>
    <t>RLH6D59</t>
  </si>
  <si>
    <t>SE DESCARGO EN RIQUEZA NATURAL 936 CAJAS BR. BAHIA.</t>
  </si>
  <si>
    <t>BH032</t>
  </si>
  <si>
    <t>RYC9I26</t>
  </si>
  <si>
    <t>RXV9A57</t>
  </si>
  <si>
    <t>SE DESCARGO EN RIQUEZA NATURAL 936 CAJAS DE BANAN BAHIA.</t>
  </si>
  <si>
    <t>383/</t>
  </si>
  <si>
    <t>MS071</t>
  </si>
  <si>
    <t>SE DESCARGO EN RIQUEZA NATURAL 980 CAJAS DE PY PEPE EL DIA 18/10/2024</t>
  </si>
  <si>
    <t>159//</t>
  </si>
  <si>
    <t>DF029</t>
  </si>
  <si>
    <t>TCJ009</t>
  </si>
  <si>
    <t>TCJC010</t>
  </si>
  <si>
    <t>SE DESCARGO EN RIQUEZA NATURAL 977 CAJAS DE PY PEPE EL DIA 18/10/2024</t>
  </si>
  <si>
    <t>SG041</t>
  </si>
  <si>
    <t xml:space="preserve">18/10 SE DESCARGO EN RIQUEZA NATURAL 918 CAJAS DE BRASIL </t>
  </si>
  <si>
    <t>CK004</t>
  </si>
  <si>
    <t>Alisson Squeff</t>
  </si>
  <si>
    <t>SE DESCARGO EN RIQUEZA NATURAL 990 CAJAS DE BRASIL OK EL DIA 18/10/2024</t>
  </si>
  <si>
    <t>CK003</t>
  </si>
  <si>
    <t>IUO0058</t>
  </si>
  <si>
    <t>IPJ1A64</t>
  </si>
  <si>
    <t>SE DESCARGO EN RIQUEZA NATURAL 991 CAJAS DE BRASIL OK EL DIA 18/10/2024</t>
  </si>
  <si>
    <t>034/24</t>
  </si>
  <si>
    <t>RHB0A65</t>
  </si>
  <si>
    <t>RHB1J65</t>
  </si>
  <si>
    <t>Uvas</t>
  </si>
  <si>
    <t>EXP24001072/2024</t>
  </si>
  <si>
    <t>Melones</t>
  </si>
  <si>
    <t>146/24</t>
  </si>
  <si>
    <t>RYE9F29</t>
  </si>
  <si>
    <t>RXV9F89</t>
  </si>
  <si>
    <t>calabacín</t>
  </si>
  <si>
    <t>153/24</t>
  </si>
  <si>
    <t>CP040</t>
  </si>
  <si>
    <t>SE DESCARGO 919 CAJAS DE BANANA BR OK, EN RIQUEZA NATURAL.</t>
  </si>
  <si>
    <t>PYEC072</t>
  </si>
  <si>
    <t>SE DECARGO EN RIQUEZA NATURAL 930 CAJAS DE BANANA PY.</t>
  </si>
  <si>
    <t>035/24</t>
  </si>
  <si>
    <t>RYT1A52</t>
  </si>
  <si>
    <t>RYL2H22</t>
  </si>
  <si>
    <t>150/24</t>
  </si>
  <si>
    <t>BH034</t>
  </si>
  <si>
    <t>RLO9H56</t>
  </si>
  <si>
    <t>RXL3C35</t>
  </si>
  <si>
    <t>22/10 SE DESCARGO UN CAMION DE BAHIA 936 CAJAS EXTRA</t>
  </si>
  <si>
    <t>SE DESCARGO EN RIQUEZA NATURAL EL DIA 22/10/24, 991 CAJAS DE BANANA BR. FIBRA,DE LAS CUALES LLEGARON 6 PALET CON FIBRA EN CAJAS DE BANAN BR. OK (216 CAJAS). CAMION CON LONA.</t>
  </si>
  <si>
    <t>BH039</t>
  </si>
  <si>
    <t>RXZ3E59</t>
  </si>
  <si>
    <t>RDU5E13</t>
  </si>
  <si>
    <t>SE DESCARGO EN RIQUEZA NATURAL 936 CAJA DE BANANA, BR BAHIA.</t>
  </si>
  <si>
    <t>BH036</t>
  </si>
  <si>
    <t>RYH3E69</t>
  </si>
  <si>
    <t>SXG8I73</t>
  </si>
  <si>
    <t>SE SEACARGO EN RIQUEZA NATURAL 936 CAJAS DE BANANA BAHIA. EL DIA 23/10/24.</t>
  </si>
  <si>
    <t>VT043</t>
  </si>
  <si>
    <t>SE DESCARGO EN RIQUEZA NATURAL 1026 CAJAS DE BRASIL PEPE EL DIA 23/10/2024</t>
  </si>
  <si>
    <t>BH035</t>
  </si>
  <si>
    <t>QIS 9844</t>
  </si>
  <si>
    <t>QIW3754</t>
  </si>
  <si>
    <t>BH040</t>
  </si>
  <si>
    <t>RXN4I84</t>
  </si>
  <si>
    <t>RXP1I52</t>
  </si>
  <si>
    <t>BH038</t>
  </si>
  <si>
    <t>RXS5G41</t>
  </si>
  <si>
    <t>RLP2E12</t>
  </si>
  <si>
    <t>BH037</t>
  </si>
  <si>
    <t>RXZ4A79</t>
  </si>
  <si>
    <t>RXX1C39</t>
  </si>
  <si>
    <t>156/24</t>
  </si>
  <si>
    <t>BH041</t>
  </si>
  <si>
    <t>SYM8J43</t>
  </si>
  <si>
    <t>RLL3F14</t>
  </si>
  <si>
    <t xml:space="preserve">24/10 SE DESCARGO 1 CAMION DE BAHIA VINIERON 936 CAJAS </t>
  </si>
  <si>
    <t>SG042</t>
  </si>
  <si>
    <t>OKD3060</t>
  </si>
  <si>
    <t>QJJ7228</t>
  </si>
  <si>
    <t>24/10 SE DESCARGO EN RIQUEZA NATURAL 919 CAJAS DE OK</t>
  </si>
  <si>
    <t>`936</t>
  </si>
  <si>
    <t>BH042</t>
  </si>
  <si>
    <t>RYV0J82</t>
  </si>
  <si>
    <t>RYS2E92</t>
  </si>
  <si>
    <t>25/10 SE DESCARGO EN RIQUEZA NATURAL 936 CAJAS DE BAHIA</t>
  </si>
  <si>
    <t xml:space="preserve">25/10 SE DESCARGO EN RIQUEZA NATURAL 918 CAJAS  EN LA PLANILLA DECIA 990 </t>
  </si>
  <si>
    <t>BH043</t>
  </si>
  <si>
    <t>RXP6E63</t>
  </si>
  <si>
    <t>RLK5J15</t>
  </si>
  <si>
    <t>SE DESCARGO EN RIQUEZA NATURAL, 936 CAJAS DE BANANNA BAHIA EL DIA 28/10/24.</t>
  </si>
  <si>
    <t>037//24</t>
  </si>
  <si>
    <t>rechazo</t>
  </si>
  <si>
    <t>164/24</t>
  </si>
  <si>
    <t>CP041</t>
  </si>
  <si>
    <t>EOE2456</t>
  </si>
  <si>
    <t>EOE2444</t>
  </si>
  <si>
    <t>SE DESCARGO EN RIQUEZA NATURAL 919 CAJAS DE BRASIL OK EL DIA 30/10/2024</t>
  </si>
  <si>
    <t>BH044</t>
  </si>
  <si>
    <t>QJL1754</t>
  </si>
  <si>
    <t>MME7516</t>
  </si>
  <si>
    <t>165/24</t>
  </si>
  <si>
    <t>KABUTIA</t>
  </si>
  <si>
    <t>CK005</t>
  </si>
  <si>
    <t>QHP4989</t>
  </si>
  <si>
    <t>31/10 SE DESCARGO EN RIQUEZA NATURAL 918 CAJAS DE BRASIL CK 005</t>
  </si>
  <si>
    <t>JV048</t>
  </si>
  <si>
    <t>FEJ8C47</t>
  </si>
  <si>
    <t>31/10 SE DESCARGO EN RIQUEZA NATURAL 919 CAJAS DE BRASIL JV048</t>
  </si>
  <si>
    <t>015/AMR/2024</t>
  </si>
  <si>
    <t>Se descargo 240 Jengibre,289 Bananas,648 Mango</t>
  </si>
  <si>
    <t>163/24</t>
  </si>
  <si>
    <t>BH045</t>
  </si>
  <si>
    <t>RYC9F98</t>
  </si>
  <si>
    <t>RXN7G99</t>
  </si>
  <si>
    <t>SE DESCARGO EN RIQUEZA NATURAL 936CAJAS DE BAHIA EL DIA 1/11/2024</t>
  </si>
  <si>
    <t>BH046</t>
  </si>
  <si>
    <t>RLI3A30</t>
  </si>
  <si>
    <t>RLB7F90</t>
  </si>
  <si>
    <t>1/11 SE DESCARGO EN RIQUEZA NATURAL 936 CAJAS DE BAHIA</t>
  </si>
  <si>
    <t>JV050</t>
  </si>
  <si>
    <t>SE DESCARGO EN RIQUEZANATURAL 919CAJAS DE  BANANAS BR.OK.</t>
  </si>
  <si>
    <t>GT026</t>
  </si>
  <si>
    <t>QHK 3F69</t>
  </si>
  <si>
    <t>SE DESCARGO EN RIQUEZA NATURAL, 919 CAJAS DE BRASIL FIBRA, EN ESTA DESCARGA HAY 5 PALET DE BANANA FIBRA EN CAJAS DE BRASIL COMUN.</t>
  </si>
  <si>
    <t>SG043</t>
  </si>
  <si>
    <t>SE DESCRGO EN RIQUEZA NATUAL , 990 CAJAS DE BR. OK. 1/11/2024.</t>
  </si>
  <si>
    <t>BH047</t>
  </si>
  <si>
    <t>RXV7E03</t>
  </si>
  <si>
    <t>RXP4G23</t>
  </si>
  <si>
    <t>04/11 SE DESCARGO EN RIQUEZA NATURAL 936 CAJAS DE BAHIA VINO UNA PECAS CON HONGO</t>
  </si>
  <si>
    <t>CP042</t>
  </si>
  <si>
    <t>RDT 5F53</t>
  </si>
  <si>
    <t>QJW 6H76</t>
  </si>
  <si>
    <t>SE DESCARGO EN RIQUEZA NATURAL    919 CAJAS DE BRASIL OK</t>
  </si>
  <si>
    <t>VH067</t>
  </si>
  <si>
    <t>02/11 SE DESCARGO EN RIQUEZA NATURAL 990 CAJSAS DE PEPE VINO BAJO PESO PROMEDIO 23 KILOS</t>
  </si>
  <si>
    <t>167/24</t>
  </si>
  <si>
    <t>RYX5G51</t>
  </si>
  <si>
    <t>RYW1B71</t>
  </si>
  <si>
    <t>Zapallo Cabutia</t>
  </si>
  <si>
    <t>176/24</t>
  </si>
  <si>
    <t>GT028</t>
  </si>
  <si>
    <t>RHL1A06</t>
  </si>
  <si>
    <t>RHL1A07</t>
  </si>
  <si>
    <t>SE DESCARGO EN RIQUEZA NATURL 919 CAJAS DE BANANA BR. OK 5/11/24,</t>
  </si>
  <si>
    <t>VH068</t>
  </si>
  <si>
    <t>SE DESCARGO EN RIQUEZA NATURAL 990 CAJAS DE BRASIL OK EL DIA 5/11/2024</t>
  </si>
  <si>
    <t>SG044</t>
  </si>
  <si>
    <t>SE DESCARGO 990 CAJAS DE BANANA BR. OK , EN RIQUEZA NATURAL, 05/11/24,</t>
  </si>
  <si>
    <t>182/24</t>
  </si>
  <si>
    <t>CK006</t>
  </si>
  <si>
    <t>SXT 4E00</t>
  </si>
  <si>
    <t>RLP1I81</t>
  </si>
  <si>
    <t xml:space="preserve">05/11 SE DESCARGO EN RIQUEZA NATURAL 918 CAJAS OK </t>
  </si>
  <si>
    <t>GT027</t>
  </si>
  <si>
    <t>RLA8F17</t>
  </si>
  <si>
    <t>SE DESCARGO EN RIQUEZA NATURL 919 CAJAS DE BANANA BR. OK Y FIBRA.  162 CAJAS DE BR.OK , 757 CAJAS BR. FIBRA. 5/11/24,</t>
  </si>
  <si>
    <t>Fischer</t>
  </si>
  <si>
    <t>FH001</t>
  </si>
  <si>
    <t>RKZ 6H15</t>
  </si>
  <si>
    <t>RLJ 4F72</t>
  </si>
  <si>
    <t>JV051</t>
  </si>
  <si>
    <t>168/24</t>
  </si>
  <si>
    <t>Bahia + Exoticos</t>
  </si>
  <si>
    <t>RLI2I90</t>
  </si>
  <si>
    <t>RLP3A39</t>
  </si>
  <si>
    <t>432 CAJ,Mango de 18 kg - 912 caj, Mango de 4kg y 504 Bananas Bahia</t>
  </si>
  <si>
    <t>175/24</t>
  </si>
  <si>
    <t>RXV5J63</t>
  </si>
  <si>
    <t>RAC7325</t>
  </si>
  <si>
    <t>Papaya 390 cajas y Banana 720 Bahia</t>
  </si>
  <si>
    <t>FH002</t>
  </si>
  <si>
    <t>ETP0281</t>
  </si>
  <si>
    <t>ETP2817</t>
  </si>
  <si>
    <t>SE DESCARGO 996 CAJAS DE BANANA BR OK. EN RIQUEZA ATURAL .06/11/24. TRAJO ALGUNOS PALLET CIEGO , Y 10 PALLET DE 42 CAJAS. CON FRUTA SENTIDA.</t>
  </si>
  <si>
    <t>179/24</t>
  </si>
  <si>
    <t>RLB 9F97</t>
  </si>
  <si>
    <t>RLC 1B38</t>
  </si>
  <si>
    <t>Abacaxi+Jengibre+Lima+Banana Valdemar Aita</t>
  </si>
  <si>
    <t>CK007</t>
  </si>
  <si>
    <t>QTM3779</t>
  </si>
  <si>
    <t>QJU8620</t>
  </si>
  <si>
    <t>SE DESCARGO EN RIQUEZA NATURAL 918 CAJAS DE BANANA BR. OK. LLEGO CON VARIAS CAJAS MADURAS.7/11/24.</t>
  </si>
  <si>
    <t>JV052</t>
  </si>
  <si>
    <t xml:space="preserve">07/11 SE DESCARGO EN RIQUEZA NATURAL 991 CAJAS </t>
  </si>
  <si>
    <t>BH050</t>
  </si>
  <si>
    <t>RXY9C64</t>
  </si>
  <si>
    <t>QJD4752</t>
  </si>
  <si>
    <t>SE DESCARGARON 936 CAJAS DE BANANA BAHIA, EN RIQUEZA NATURAL, 7/11/24,</t>
  </si>
  <si>
    <t>192/24</t>
  </si>
  <si>
    <t>REA 3A52</t>
  </si>
  <si>
    <t>RKW 0F11</t>
  </si>
  <si>
    <t>194/24</t>
  </si>
  <si>
    <t>CK008</t>
  </si>
  <si>
    <t>ECM 8H97</t>
  </si>
  <si>
    <t>MCE 4A87</t>
  </si>
  <si>
    <t>SE DESCARGO EN RIQUEZA NATURAL 775 CAJAS DE BR. FIBRA Y 144 CAJAS DE BR.OK. 8/11/24,</t>
  </si>
  <si>
    <t>CP043</t>
  </si>
  <si>
    <t>REB4D67</t>
  </si>
  <si>
    <t>RLG1I98</t>
  </si>
  <si>
    <t>09/11 SE DESCARGO EN RIQUEZA NATURAL 919 CAJAS DE OK</t>
  </si>
  <si>
    <t>193/24</t>
  </si>
  <si>
    <t>VH069</t>
  </si>
  <si>
    <t>SE DESCARGO EN RIQUEZA NATURAL 990 CAJAS DE BANANA BR. PEPE. 8/11/24,</t>
  </si>
  <si>
    <t>SG045</t>
  </si>
  <si>
    <t xml:space="preserve">09/11 SE DESCARGO EN RIQUEZA NATURAL 990 CAJAS DE FIBRA </t>
  </si>
  <si>
    <t>GT029</t>
  </si>
  <si>
    <t>QJV1545</t>
  </si>
  <si>
    <t>MKC9026</t>
  </si>
  <si>
    <t>SE DESCARGO EN RIQUEZA NATURAL 919 CAJAS DE BANAN BR. OK. 9/11/24.</t>
  </si>
  <si>
    <t>FH004</t>
  </si>
  <si>
    <t>lleva sobre del zapallo.- SE DESCARGO EN RIQUEZA NATURAL ,918 CAJAS DE BANANA BR. OK. 12/11/24.</t>
  </si>
  <si>
    <t>GT030</t>
  </si>
  <si>
    <t>RHX1E14</t>
  </si>
  <si>
    <t>RHX1D13</t>
  </si>
  <si>
    <t>SE DESCARGO EN RIQUEZA NATURAL, 216 CAJAS DE BANANA BR COMUN Y 702 CAJAS DE BR. FIBRA.</t>
  </si>
  <si>
    <t>CK009</t>
  </si>
  <si>
    <t>RHD7A01</t>
  </si>
  <si>
    <t>RHD7A02</t>
  </si>
  <si>
    <t>SE DESCARGO EN RIQUEZA NATURAL, 919 CAJAS DE BR. OK. 12/11/2024</t>
  </si>
  <si>
    <t>VH072</t>
  </si>
  <si>
    <t>12/11 SE DESCARGO EN RIQUEZA NATURAL 991 CAJAS DE PEPE FIBRA</t>
  </si>
  <si>
    <t>195/24</t>
  </si>
  <si>
    <t>FH003</t>
  </si>
  <si>
    <t>SE DESCARGO EN RIQUEZA NATURAL 918 CAJAS DE BRASIL OK EL DIA 12/11/2024</t>
  </si>
  <si>
    <t>CH075</t>
  </si>
  <si>
    <t>SE DESCARGO 919 CAJAS DE BANANAN BR. FIBRA EN RIQUEZA NATURAL.12/11/24,</t>
  </si>
  <si>
    <t>SG046</t>
  </si>
  <si>
    <t>SE DESCARGO 990 CAJAS DE BANANA BR. FIBRA EN RIQUEZA NATURAL.12/11/2024. CAMION CON LONA.</t>
  </si>
  <si>
    <t>196/24</t>
  </si>
  <si>
    <t>JV053</t>
  </si>
  <si>
    <t>SE DESCARGO 991 CAJAS DE BANANA BR. FIBRA, EN RIQUEZA NATURAL. 12/11/2024. CAMION CON LONA.</t>
  </si>
  <si>
    <t>SG047</t>
  </si>
  <si>
    <t>IJS8833</t>
  </si>
  <si>
    <t>IXL1312</t>
  </si>
  <si>
    <t>12/11 SE DESCARGO EN RIQUEZA NATURAL 991 CJAS DE FIBRA</t>
  </si>
  <si>
    <t>JV054</t>
  </si>
  <si>
    <t>VH071</t>
  </si>
  <si>
    <t xml:space="preserve">12/11 SE DESCARGO EN RIQUEZA NATURAL 972 CAJAS NEGRAS DE HERMES VINIERON 18 CAJAS MENOS </t>
  </si>
  <si>
    <t>VHH070</t>
  </si>
  <si>
    <t>12/11 SE DESCARGOEN RIQUEZA NATURAL 990 CAJAS PEPE FIBRA</t>
  </si>
  <si>
    <t xml:space="preserve">Papa </t>
  </si>
  <si>
    <t>BH051</t>
  </si>
  <si>
    <t>RXQ7E68</t>
  </si>
  <si>
    <t>RLK5H25</t>
  </si>
  <si>
    <t>SE DESCARGO EN RIQUEZA NATURAL 936 CAJAS DE BANANA BAHIA. 13/11/24,</t>
  </si>
  <si>
    <t>197/24</t>
  </si>
  <si>
    <t>BH052</t>
  </si>
  <si>
    <t>RVX3E75</t>
  </si>
  <si>
    <t>RYH0F41</t>
  </si>
  <si>
    <t>SE DESCARGO EN RIQUEZA NATURAL 936 , CAJAS DE BANANA BAHIA. TENIA 3 PALET CON BANANA PQUEÑA (108CAJAS) 12/11/24,</t>
  </si>
  <si>
    <t>1290/</t>
  </si>
  <si>
    <t>EC073</t>
  </si>
  <si>
    <t>SE DESCARGO EN RIQUEZA NATURAL , 930 CAJAS DE BANANA PY. 13/11/2024.</t>
  </si>
  <si>
    <t>384/</t>
  </si>
  <si>
    <t>MS072</t>
  </si>
  <si>
    <t>SE DESCARGO EN RIQUEZA NATURAL 980 CAJAS DE PY PEPE EL DIA 13/11/24</t>
  </si>
  <si>
    <t>FH005</t>
  </si>
  <si>
    <t>SE DESCARGO EN RIQUEZA NATURAL 918 CAJAS DE BANANNA BR PEPE, TRAJO DE PALLET DE BANANA PEQUEÑA (72 CAJAS). 13/11/24,</t>
  </si>
  <si>
    <t>BH053</t>
  </si>
  <si>
    <t>QJT8578</t>
  </si>
  <si>
    <t>QJY0499</t>
  </si>
  <si>
    <t>SE DESCARGO EN RIQUEZA NATURAL 936 CAJAS DE BAHIA EL DIA 14/11/2024</t>
  </si>
  <si>
    <t>JV056</t>
  </si>
  <si>
    <t>SE DESCARGO EN RIQUEZA NATURAL 991 CAJAS DE BRASIL FIBRA EL DIA 14/11/2024</t>
  </si>
  <si>
    <t>CK010</t>
  </si>
  <si>
    <t>QJQ 1I95</t>
  </si>
  <si>
    <t>SE DESCARGO EN RIQUEZA NATURAL 918 CAJAS DE BRSIL PEPE EL DIA 14/11/2024</t>
  </si>
  <si>
    <t>JV055</t>
  </si>
  <si>
    <t>SE DESCARGO EN RIQUEZA NATURAL 991 CAJAS DE BRASIL PEPE EL DIA 14/11/2024</t>
  </si>
  <si>
    <t>199/24</t>
  </si>
  <si>
    <t>Boniato</t>
  </si>
  <si>
    <t>200/24</t>
  </si>
  <si>
    <t>BH054</t>
  </si>
  <si>
    <t>RVX3E76</t>
  </si>
  <si>
    <t>RYF0F69</t>
  </si>
  <si>
    <t xml:space="preserve">SE DESCARGO EN RIQUEZA NATURAL 792 CAJAS DE BAHIA Y 260 CAJAS DE PAPAYA </t>
  </si>
  <si>
    <t>203/24</t>
  </si>
  <si>
    <t>MME4544</t>
  </si>
  <si>
    <t>MHQ5189</t>
  </si>
  <si>
    <t>Se descargo en zac 960 bolsas de papa blanca</t>
  </si>
  <si>
    <t>202/24</t>
  </si>
  <si>
    <t>GT031</t>
  </si>
  <si>
    <t>SE DESCARGO EN RIQUEZA NATURAL 810 CAJAS DE BRASIL FIBRA Y 180 CAJAS E BRASIL COMUN   EL DIA  15/11/2024</t>
  </si>
  <si>
    <t>SG048</t>
  </si>
  <si>
    <t>SE DESCARGO EN RIQUEZA NATURAL 990 CAJAS DE BRASIL FIBRA  EL DIA  15/11/2024</t>
  </si>
  <si>
    <t>CP044</t>
  </si>
  <si>
    <t>15/11 SE DESCARGO EN RIQUEZA NATURAL 919 CAJAS DE PEPE  FIBRA</t>
  </si>
  <si>
    <t>SG049</t>
  </si>
  <si>
    <t>15/11 SE DESCARGO EN RIQUEZA NATURAL 990 CAJAS DE PEPE FIBRA  VINO UNOS PALLET CON PECAS MADURAS</t>
  </si>
  <si>
    <t>Muller</t>
  </si>
  <si>
    <t>ML001</t>
  </si>
  <si>
    <t xml:space="preserve">15/11 SE DESCARGO EN RIQUEZA NATURAL 990 CAJAS DE PEPE FIBRA  </t>
  </si>
  <si>
    <t>SG050</t>
  </si>
  <si>
    <t>RYK 4A50</t>
  </si>
  <si>
    <t>RYL 3A06</t>
  </si>
  <si>
    <t>SE DESCARGO EN RIQUEZA NATURAL 918 CAJAS DE BRASIL FIBRA EL DIA 15/11/2024</t>
  </si>
  <si>
    <t>SG051</t>
  </si>
  <si>
    <t>SE DESCARGO EN RIQUEZA NATURAL, 990 CAJAS DE BANANA BR. FIBRA. CAMION CON LONA. 19/11/24.</t>
  </si>
  <si>
    <t>VH073</t>
  </si>
  <si>
    <t>SE DESCARGO EN RIQUEZA NATURAL, 990 CAJAS DE BANANA BR.COMUN. CAMION CON LONA. 18/11/24,</t>
  </si>
  <si>
    <t>JV057</t>
  </si>
  <si>
    <t>IZD6D78</t>
  </si>
  <si>
    <t>IVC8937</t>
  </si>
  <si>
    <t>SE DESCARGO EN RIQUEZA NATURAL 991 CAJAS DE FIBRA EL DIA 19/11/2024</t>
  </si>
  <si>
    <t>206/24</t>
  </si>
  <si>
    <t>FEJ 8240</t>
  </si>
  <si>
    <t>Mix(Lima 192,Gengibre140,Jengibre 58,Abacaxi) 288 + Banana  504</t>
  </si>
  <si>
    <t>CK011</t>
  </si>
  <si>
    <t>RYF0A90</t>
  </si>
  <si>
    <t>MJV2237</t>
  </si>
  <si>
    <t xml:space="preserve">20/11 SE DESCARGO EN RIQUEZA NATURAL 918 CAJAS VINO EN ESTADO REGULAR SENTIDO Y PECAS MADURAS </t>
  </si>
  <si>
    <t>204/24</t>
  </si>
  <si>
    <t>FH007</t>
  </si>
  <si>
    <t>RHD7A04</t>
  </si>
  <si>
    <t>RHD7A05</t>
  </si>
  <si>
    <t>SE DESCARGO EN RIQUEZA NATURAL, 918 CAJAS DE BR. PEPE, DE LAS CUALES SE ENCONTRARON 9 CAJAS CON PENCAS MADURA. LA CARGA LLEGO CON 15 PALLET POR 30 CAJAS Y 13 PALLET DE 36 CAJAS.20/11/24,</t>
  </si>
  <si>
    <t>205/24</t>
  </si>
  <si>
    <t>FH006</t>
  </si>
  <si>
    <t>SE DESCARGO EN RIQUEZA NATURAL 918 CAJAS DE BANANA BR. PEPE, LLEGARON 3 PALLET DE FRUTA PEQUEÑA. (90 CAJAS), DEL TOTAL DE LA DESCARGA SOLO 3 CAJAS CON PENCAS MADURAS.</t>
  </si>
  <si>
    <t>bh055</t>
  </si>
  <si>
    <t>RVD3G69</t>
  </si>
  <si>
    <t>RXO5H22</t>
  </si>
  <si>
    <t>20/11 se descargo en riqueza natural 936 cajas de bahia</t>
  </si>
  <si>
    <t>212/24</t>
  </si>
  <si>
    <t>BH057</t>
  </si>
  <si>
    <t>RYX9F21</t>
  </si>
  <si>
    <t>RYS8D01</t>
  </si>
  <si>
    <t>SE DESCARGO EN RIQUEZA NATURAL , 936 CAJAS DE BANANA BAHIA, 22/11/24.</t>
  </si>
  <si>
    <t>BH056</t>
  </si>
  <si>
    <t>RXV6G23</t>
  </si>
  <si>
    <t>RXK5H24</t>
  </si>
  <si>
    <t>JV058</t>
  </si>
  <si>
    <t>SE DESCARGO EN RIQUEZA NATURAL 991 CAJAS DE BANANA, BR. FIBRA, CAMION CON LONA. 20/1/24,</t>
  </si>
  <si>
    <t>FH008</t>
  </si>
  <si>
    <t>IRH 3C22</t>
  </si>
  <si>
    <t>MGP 4E22</t>
  </si>
  <si>
    <t>22/11 SE DESCARGO EN RIQUEZA NATURAL 918 CAJAS D PEPE VINIERON 3 PALLLET X 30 CAJAS DE FRUTAS PEQUEÑAS</t>
  </si>
  <si>
    <t>JV059</t>
  </si>
  <si>
    <t xml:space="preserve">22/11 SE DESCARGO EN RIQUEZA NATURAL 991 CAJAS PEPE FIBRA </t>
  </si>
  <si>
    <t>BH058</t>
  </si>
  <si>
    <t>RYG9H27</t>
  </si>
  <si>
    <t>RLP2D82</t>
  </si>
  <si>
    <t>23/11 SE DESCARGO EN RIQUEZA NATURAL 936 CAJAS DE BAHIA VINO CON FRUTAS MADURAS Y SENTIDO BH058</t>
  </si>
  <si>
    <t>GT032</t>
  </si>
  <si>
    <t>23/11 SE DESCARGO EN RIQUEZA NATURAL 919 CAJAS DE PEPE VINIERON 216 CAJAS COMUNES Y 703 CAJAS DE FIBRA</t>
  </si>
  <si>
    <t>FH009</t>
  </si>
  <si>
    <t>QHP 0J65</t>
  </si>
  <si>
    <t>RYR 8E35</t>
  </si>
  <si>
    <t>SE DESCARGO EN RIQUEZA NATURAL 919 CAJAS DE BANANA BR. PEPE. TRAJO 120 CAJA DE FRUTA PEQUEÑA. 26/11/24.</t>
  </si>
  <si>
    <t>CP045</t>
  </si>
  <si>
    <t>SXO 4E00</t>
  </si>
  <si>
    <t>SXJ 8E05</t>
  </si>
  <si>
    <t>SE DESCARGO EN RIQUEZA NATURAL 919 CAJAS DE BANANA BR.PEPE. 26/11/24.</t>
  </si>
  <si>
    <t>VH074</t>
  </si>
  <si>
    <t>26/11 SE DSCRGO EN RIQUEZA NATURAL 990 CAJAS DE PEPE FIBRA</t>
  </si>
  <si>
    <t>CH076</t>
  </si>
  <si>
    <t>S</t>
  </si>
  <si>
    <t>222/24</t>
  </si>
  <si>
    <t>ML002</t>
  </si>
  <si>
    <t>26/11 SE DESCARGO EN RIQUEZA NATURL 990 CAJAS PEPE COMUN VINO FINA Y BAJO PESO</t>
  </si>
  <si>
    <t>FH010</t>
  </si>
  <si>
    <t>SE DESCARGO EN RIQUEZA NATURAL , 918 CAJAS DE BANANA BR. PEPE. TRAJO 120 CAJAS DE FRUTA PEQUEÑA.</t>
  </si>
  <si>
    <t>BH059</t>
  </si>
  <si>
    <t>RYZ5B71</t>
  </si>
  <si>
    <t>RYV7D21</t>
  </si>
  <si>
    <t>BH060</t>
  </si>
  <si>
    <t>JBH0D02</t>
  </si>
  <si>
    <t>RYE0D53</t>
  </si>
  <si>
    <t xml:space="preserve">27/11 SE DESCARGO EN RIQUEZA NATURAL 936 CAJAS DE PEPE BAHIA </t>
  </si>
  <si>
    <t>217/24</t>
  </si>
  <si>
    <t>BR 7217</t>
  </si>
  <si>
    <t>REB 0130</t>
  </si>
  <si>
    <t>MGX 1281</t>
  </si>
  <si>
    <t>Se descargo en Zac 912 caj Mango de 4kg y 1188 caj Mango de 18 Kg.</t>
  </si>
  <si>
    <t>385/</t>
  </si>
  <si>
    <t>PY MS 073</t>
  </si>
  <si>
    <t>SE DESCARGO EN RIQUEZA NATURAL 980 CAJJAS DE PY PEPE EL DIA 28/11/024</t>
  </si>
  <si>
    <t>BH063</t>
  </si>
  <si>
    <t>RVX3F02</t>
  </si>
  <si>
    <t>RYG7F51</t>
  </si>
  <si>
    <t>29/11 SE DESCARGO EN RIQUEZA NATURAL 936 CAJAS DE PEPE BAHIA VINO 1 PALLET CON FRUTAS CHICAS Y UNAS PECAS MADURAS  Y PECAS PUNTUALES CON HONGO</t>
  </si>
  <si>
    <t>223/24</t>
  </si>
  <si>
    <t>BH061</t>
  </si>
  <si>
    <t>RUM4H97</t>
  </si>
  <si>
    <t>RYB6H79</t>
  </si>
  <si>
    <t>SE DESCARGO ENRIQUEZA NATURAL 936, CAJAS DE BANANA BAHIA. LLEGO CON UN PALLET DE FRUTA PEQUEÑA,  UN PALLET CON CAJAS DE 20 KG. SE DETECTO HONGO EN LAS CORONAS DE LAS PENCAS. 29/11/24.</t>
  </si>
  <si>
    <t>BH062</t>
  </si>
  <si>
    <t>QJZ3456</t>
  </si>
  <si>
    <t>RAD6036</t>
  </si>
  <si>
    <t>SE DESCARGO EN RIQUEZA NATURAL 936 CAJAS DE BANAN BAHIA,  TRAJO UNAS 14 CAJAS CON PENCSA MADURA. CORONA SIN HNGOS. 29/11/2024.</t>
  </si>
  <si>
    <t>224/24</t>
  </si>
  <si>
    <t>JV060</t>
  </si>
  <si>
    <t>SE DESCARGO EN RIQUEZA NATURAL, 990 CAJAS DE BRASIL FIBRA. 29/11/24.</t>
  </si>
  <si>
    <t>VH075</t>
  </si>
  <si>
    <t>SE DESCARGO EN RIQUEZA NATURAL 990 CAJAS DE BRASIL CAJA VERDE EL DIA 29/11/2024</t>
  </si>
  <si>
    <t>ML003</t>
  </si>
  <si>
    <t>SE DESCARGO EN RIQUEZA NATURAL 990 CAJAS DE BRASIL COMUN EL DIA 29/11/2024</t>
  </si>
  <si>
    <t>001,24ALM</t>
  </si>
  <si>
    <t>13.5</t>
  </si>
  <si>
    <t>BRE054</t>
  </si>
  <si>
    <t>SXF 7C58</t>
  </si>
  <si>
    <t>SXC 1F38</t>
  </si>
  <si>
    <t>Melon Amarillo,Cal.7,360,Cal.8,600,Cal.9,360,cal.10,240</t>
  </si>
  <si>
    <t>BH065</t>
  </si>
  <si>
    <t>GAN4I09</t>
  </si>
  <si>
    <t>SE DESCARGO EN RIQUEZA NATURAL 936 CAJAS DE BANANA BAHIA .30/11/24.</t>
  </si>
  <si>
    <t>FH011</t>
  </si>
  <si>
    <t>SE DESCARGO EN RIQUEZA NATURAL, 912 CAJAS DE BANAN BR. PEPE. 30/11/24.</t>
  </si>
  <si>
    <t>CH077</t>
  </si>
  <si>
    <t>IWC6530</t>
  </si>
  <si>
    <t>IZL5G70</t>
  </si>
  <si>
    <t>SE DESCARGO EN RIQUEZA NATURAL, 991 CAJAS DE BANANA BR. FIBRA.30/11/24.</t>
  </si>
  <si>
    <t>BH064</t>
  </si>
  <si>
    <t>RXS8143</t>
  </si>
  <si>
    <t>RXU1G93</t>
  </si>
  <si>
    <t>SE DESCARGO EN RIQUEZA NATURAL 936 CAJAS DE BRASIL BAHIA EL DIA 30/11/2024</t>
  </si>
  <si>
    <t>CK012</t>
  </si>
  <si>
    <t>SE DESCARGO EN RIQUEZA NATURAL 919 CAJAS , DE BANANA BR. PEPE. 30/11/24.</t>
  </si>
  <si>
    <t>VH076</t>
  </si>
  <si>
    <t>SE DESCARGO EN RIQUEZA NATURAL, 990 CAJAS DE  BANANA BR FIBRA. 3/12/24.</t>
  </si>
  <si>
    <t>CP046</t>
  </si>
  <si>
    <t>IUL4357</t>
  </si>
  <si>
    <t>IVQ6517</t>
  </si>
  <si>
    <t xml:space="preserve">03/12 SE DESCARGO EN RIQUEZA NATURAL 991 CAJAS DE PEPE FIBRA VINO UNAS CAJAS CON PECAS MADURAS </t>
  </si>
  <si>
    <t>229/24</t>
  </si>
  <si>
    <t>Exotico</t>
  </si>
  <si>
    <t>RYX 6F37</t>
  </si>
  <si>
    <t>RYX 6F17</t>
  </si>
  <si>
    <t>Se descargo en Zac 980 Bolsas de Papa Blanca</t>
  </si>
  <si>
    <t>228/24</t>
  </si>
  <si>
    <t>GT033</t>
  </si>
  <si>
    <t>SE DESCARGO EN RIQUZA NATURAL , 180 CAJAS DE  BR. COMUN FRUTA PEQUEÑA, 739  CAJAS BR. FIBRA. 3/12/24.</t>
  </si>
  <si>
    <t>VH077</t>
  </si>
  <si>
    <t>BH066</t>
  </si>
  <si>
    <t>RVD3G70</t>
  </si>
  <si>
    <t>RLP3B49</t>
  </si>
  <si>
    <t>SE DESCARGO EN RIQUEZA NATURAL 936 CAJAS DE BRASIL BAHIA EL DIA 4/12/2024</t>
  </si>
  <si>
    <t>FH012</t>
  </si>
  <si>
    <t>OMI4G44</t>
  </si>
  <si>
    <t xml:space="preserve">03/12 SE DESCARGO EN RIQUEZA NATURAL 918 CAJAS DE PEPE COMUN </t>
  </si>
  <si>
    <t>JV061</t>
  </si>
  <si>
    <t>SE DESCARGO EN RIQUEZA NATURAL 990 CAJAS DE BANANA BR. FIBRA. 4/12/24.</t>
  </si>
  <si>
    <t>386/</t>
  </si>
  <si>
    <t>PYMS074</t>
  </si>
  <si>
    <t>SE DESCARGO EN RIQUEZA NATURAL 980 CAJAS DE BANANA PY. 5/12/24.</t>
  </si>
  <si>
    <t>230/24</t>
  </si>
  <si>
    <t>BH067</t>
  </si>
  <si>
    <t>SXB0H22</t>
  </si>
  <si>
    <t>RXZ4B73</t>
  </si>
  <si>
    <t>SE DESCARGO EN RIQUEZA 936 CAJAS DE BANANA BR. BAHIA. LLEGO CON 2 PALLET DE FRUTA PEQUEÑA 72 CAJAS. 6/12/24.</t>
  </si>
  <si>
    <t>CK013</t>
  </si>
  <si>
    <t>SE DESCARGO EN RIQUEZA NATURAL 991 CAJAS, BANANA BR. PEPE, CAMION CON LONA, FRUTA RAMEADA.</t>
  </si>
  <si>
    <t>BH068</t>
  </si>
  <si>
    <t>RXN4F74</t>
  </si>
  <si>
    <t>RLN9F44</t>
  </si>
  <si>
    <t>SE DESCARGO EN RIQUEZA NATURAL, 936 CAJAS DE BANANA BR. BAHIA.6/12/24.</t>
  </si>
  <si>
    <t>016/AMR/2024</t>
  </si>
  <si>
    <t>424b</t>
  </si>
  <si>
    <t>FUT9A64</t>
  </si>
  <si>
    <t>260 caj.Papaya,200 Caj.200 Jengibre,300 Lima,504 Bananas</t>
  </si>
  <si>
    <t>MS075</t>
  </si>
  <si>
    <t>AAHB660</t>
  </si>
  <si>
    <t>06/11 SE DESCARGO EN RIQUEZA NATURAL 982 CAJAS DE PEPE FRUTAS EN BUEN ESTAO</t>
  </si>
  <si>
    <t>FH013</t>
  </si>
  <si>
    <t>SE DESCARGO EN RIQUEZA NATURAL, 990 CAJAS DE BANANA BR.PEPE. LLEGO CON 3 PALLET DE FRUTA PEQUEÑA (90 CAJAS). PUTUAL MENTE SE ENCONTRARON CAJAS CON HONGOS Y FRUTA RAJADA. 6/12/24.</t>
  </si>
  <si>
    <t>JV062</t>
  </si>
  <si>
    <t>JBY1D77</t>
  </si>
  <si>
    <t>IXK9019</t>
  </si>
  <si>
    <t xml:space="preserve">06//12 SE DESCARGO EN RIQUEZA NATURAL 990 CAJAS DE PEPE VINO QUEMADA POR EL SOL </t>
  </si>
  <si>
    <t>CH078</t>
  </si>
  <si>
    <t>SE DESCARGO EN RIQUEZA 991 CAJAS DE BRASIL EL DIA 6/12/2024</t>
  </si>
  <si>
    <t>BH069</t>
  </si>
  <si>
    <t>JBG8A87</t>
  </si>
  <si>
    <t>RYA4A72</t>
  </si>
  <si>
    <t>07/11 SE DESCARGO EN RIQUEZA NATURAL 936 CAJAS DE PEPE BAHIA VINIERON 2 PALLET CON FRUTAS PEQUEÑAS BUEN ESTADO</t>
  </si>
  <si>
    <t>234/24</t>
  </si>
  <si>
    <t>GT034</t>
  </si>
  <si>
    <t>IZY9E78</t>
  </si>
  <si>
    <t>JAA7D94</t>
  </si>
  <si>
    <t>SE DESCARGO EN RIQUEZA NATURAL, 991 CAJAS DE BANANA BR. FIBRA. 10/12/24.</t>
  </si>
  <si>
    <t>CP047</t>
  </si>
  <si>
    <t xml:space="preserve">10/12 SEDESCARGO EN RIQUEZA NATURAL 919 CAJAS DE  PEPE EN BUEN ESTADO </t>
  </si>
  <si>
    <t>VH078</t>
  </si>
  <si>
    <t>SE DESCARGO EN RIQUEZA NATURA, 990 CAJAS DE BANANA BR. FIBRA, FRUTA CON PRINCIPIO DE HONGOS, Y PENCAS PUNTUALES MADURA. 10/12/2024.</t>
  </si>
  <si>
    <t>235/24</t>
  </si>
  <si>
    <t>FH014</t>
  </si>
  <si>
    <t>SE DESCARGO EN RIQUEZA NATURAL 990 CAJAS , DE BANANA BR. PEPE, LLEGO CON 5 PALLET DE 36 Y 27 PALLET DE 30 CAJAS. 10/12/24.</t>
  </si>
  <si>
    <t>AgroBianvirc</t>
  </si>
  <si>
    <t>JV063</t>
  </si>
  <si>
    <t>SE DESCARGO EN RIQUEZA NATURAL 990 CAJAS DE BANANA BR. FIBRA.13/12/2024</t>
  </si>
  <si>
    <t>VH079</t>
  </si>
  <si>
    <t>13/12 SE DESCARGO EN RIQUEZA NATURAL 918 CAJAS DE PEPE FIBRA FRTAS EN BUEN ESTADO</t>
  </si>
  <si>
    <t>170/</t>
  </si>
  <si>
    <t>PYDF030</t>
  </si>
  <si>
    <t>TCJC013</t>
  </si>
  <si>
    <t>13/12 SE DESCARGO EN RIQUEZA NATURAL 982 CAJAS DE PEPE PARAGUAYA  FRUTAS EN BUEN ESTADO</t>
  </si>
  <si>
    <t>FH015</t>
  </si>
  <si>
    <t>MIQ 4G40</t>
  </si>
  <si>
    <t>MHW 7I26</t>
  </si>
  <si>
    <t>SE DESCARGO EN RIQUEZA NATURAL, 918 CAJAS DE BR. PEPE , SE ENCONTRO PUNTUALMENTE FRUTA RAJADA. SIN PRINCIPIO DE HONGOS. 13/12/24,</t>
  </si>
  <si>
    <t>237/24</t>
  </si>
  <si>
    <t>Se descargo en Zac(288 Cajas Lima,420 cajas Papaya Formosa,324 Cajas Jengibre, 288 cajas Banana de Jhony)</t>
  </si>
  <si>
    <t>387</t>
  </si>
  <si>
    <t>MS076</t>
  </si>
  <si>
    <t>14/12 SE DESCARGO EN RIQUEZA NATURAL 981 CAJAS PEPE PARAGUAYA FRUTAS EN BUEN ESTADO</t>
  </si>
  <si>
    <t>MS077</t>
  </si>
  <si>
    <t>14/12 SE DESCARGO EN RIQUEZA NATURAL 980 CAJAS PEPE PARAGUAYA FRUTAS EN BUEN ESTADO</t>
  </si>
  <si>
    <t>2503/</t>
  </si>
  <si>
    <t>PYHF032</t>
  </si>
  <si>
    <t>BLA483</t>
  </si>
  <si>
    <t xml:space="preserve">16/12 SE DESCARGO EN RIQUEZA NATURAL 981 CAJAS DE PEPE PARAGUAYA  FRUTA EN BUEN ESTADO </t>
  </si>
  <si>
    <t>PYDF031</t>
  </si>
  <si>
    <t>SE SESCARGO EN RIQUEZA NATURAL 982 CAJAS DE BANANA PY., LLEVARON 4 PALLET CON MODELO DISTINTO DE CAJA.14/12/20244,</t>
  </si>
  <si>
    <t>PTHF031</t>
  </si>
  <si>
    <t>SEN DESCARGO EN RIQUEZA NATURAL 979 CAJAS DE BANANA PY. 14/12/24.</t>
  </si>
  <si>
    <t>056/</t>
  </si>
  <si>
    <t>GM022</t>
  </si>
  <si>
    <t>16/12 SE DESCARGO EN RIQUEZA NATURAL 972 CAJAS DE PARAGUAY DE SEGUNDA RUTA EN BUEN ESTADO</t>
  </si>
  <si>
    <t>JV064</t>
  </si>
  <si>
    <t>17/12 SE DESCARGO EN RIQUEZA NATURAL 990 CAJAS DE PEPE FIBRA FRUTAS EN BUEN ESTADO</t>
  </si>
  <si>
    <t>VH081</t>
  </si>
  <si>
    <t>SE DESCARGO EN RIQUEZA NATURAL, 990 CAJAS DE BANANA BR. FIBRA. 17/12/24.</t>
  </si>
  <si>
    <t>GT035</t>
  </si>
  <si>
    <t>17/12 SE DESCARGO EN RIQUEZA NATURAL 990 CAJAS DE PEPE FIBRA VINIERON 2 PALLET CON FRUTAS PEQUEÑAS  Y ES FRUTA NUEVA FRUTAS EN BUEN ESTADO</t>
  </si>
  <si>
    <t>1301//</t>
  </si>
  <si>
    <t>PYEC074</t>
  </si>
  <si>
    <t>17/12 SE DESCARGO EN RIQUEZA NATURAL 930 CAJAS DE PEPE EXTRA FRUTA EN BUEN ESTADO</t>
  </si>
  <si>
    <t>PYEC075</t>
  </si>
  <si>
    <t>SE DESCARGO EN RIQUEZA NATURAL ,930 CAJAS DE BANANA PY EXT. 17/12/24,</t>
  </si>
  <si>
    <t>238/24</t>
  </si>
  <si>
    <t>CH080</t>
  </si>
  <si>
    <t>RXR3I57</t>
  </si>
  <si>
    <t>MLX-3078</t>
  </si>
  <si>
    <t xml:space="preserve">18/12 SE DESCARGO EN RIQUEZA NATURAL 920 CAJAS DE PEPE COMUN FRUTAS EN BUEN ESTADO </t>
  </si>
  <si>
    <t>FH016</t>
  </si>
  <si>
    <t xml:space="preserve"> RYK5A10</t>
  </si>
  <si>
    <t xml:space="preserve"> RYJ8I66 </t>
  </si>
  <si>
    <t>SE DESCARGO EN RIQUEZA NATURAL, 918 CAJAS DE BANANA BR. PEPE.18/12/24,</t>
  </si>
  <si>
    <t>060</t>
  </si>
  <si>
    <t>GM023</t>
  </si>
  <si>
    <t>19/12 SE DESCARO EN RIQUEZA NATURAL 972 CAJAS DE SEGUNDA VINO CON HONGOS GM023</t>
  </si>
  <si>
    <t>2504/</t>
  </si>
  <si>
    <t>PYHF033</t>
  </si>
  <si>
    <t>SE DESCARGO EN RIQUEZA NATURAL 980 CAJAS DE BANANA PY. 19/12/24.</t>
  </si>
  <si>
    <t>172/</t>
  </si>
  <si>
    <t>PYDF032</t>
  </si>
  <si>
    <t>SE DESCARGO EN RIQUEZA NATURAL , 980 CAJAS DE BANANA PY. 19/12/24.</t>
  </si>
  <si>
    <t>HF034</t>
  </si>
  <si>
    <t>HER981</t>
  </si>
  <si>
    <t xml:space="preserve">19/12 SE DESCARGO EN RIQUEZA NATURAL 979 CAJAS DE PEPE  FRUTAS EN BUEN ESTADO  </t>
  </si>
  <si>
    <t>388/</t>
  </si>
  <si>
    <t>PYMS 078</t>
  </si>
  <si>
    <t>SE DESCARGO EN RIQUEZA NATURAL,980 CAJAS DE BANANA PY EXT. 19/12/24</t>
  </si>
  <si>
    <t>CP048</t>
  </si>
  <si>
    <t>SE DESCARGO EN RIQUEZA NATURAL 919 CAJAS DE BANANA BR. FIBRA. 19/12/24.</t>
  </si>
  <si>
    <t>001,24ALM/</t>
  </si>
  <si>
    <t>QIU3E08</t>
  </si>
  <si>
    <t>RKY1G14</t>
  </si>
  <si>
    <t>Se descargo en Zac 1560 Cajas de Melon Amarillo</t>
  </si>
  <si>
    <t>239/24</t>
  </si>
  <si>
    <t>RXO 5C42</t>
  </si>
  <si>
    <t>RXO 5C82</t>
  </si>
  <si>
    <t>1303/</t>
  </si>
  <si>
    <t>PYEC077</t>
  </si>
  <si>
    <t>SE DESCARGO EN RIQUEZA NATURAL 930 CAAJAS DE PY PEPE EL DIA 20/12/2024</t>
  </si>
  <si>
    <t>PYMS079</t>
  </si>
  <si>
    <t>SE DECAGO EN RIQUEZ NATRAL, 980 CAJAS DE BANANA PY. 20/12/24.</t>
  </si>
  <si>
    <t>PYEMS080</t>
  </si>
  <si>
    <t>SE DESCARGO EN RIQUEZA NATURAL ,980 CAJAS DE BAANA PY. 20/12/24.</t>
  </si>
  <si>
    <t>PYDF033</t>
  </si>
  <si>
    <t>TCJC001</t>
  </si>
  <si>
    <t>E DESCARGO EN RIQUEZA NATURAL 980 CAJAS DE BANANA  PY. 20/12/24.</t>
  </si>
  <si>
    <t>PYEC076</t>
  </si>
  <si>
    <t>PYHF035</t>
  </si>
  <si>
    <t>FH 017</t>
  </si>
  <si>
    <t>SE DESCARGO EN RIQUEZA NATURAL 990 CAJAS DE BANANA BR. 21/12/24.</t>
  </si>
  <si>
    <t>PYDF034</t>
  </si>
  <si>
    <t>NBJ556</t>
  </si>
  <si>
    <t>SE DESCARGO EN RIQUEZA NATURAL 984 CAJAS DE PY PEPE EL DIA 21/12/2024</t>
  </si>
  <si>
    <t>2507/</t>
  </si>
  <si>
    <t>PYHF036</t>
  </si>
  <si>
    <t>BLB284</t>
  </si>
  <si>
    <t>SE DESCARGO EN RIQUEZA NATURAL 982 CAJAS DE PY PEPE EL DIA 23/12/2024</t>
  </si>
  <si>
    <t>061/</t>
  </si>
  <si>
    <t>GM024</t>
  </si>
  <si>
    <t>AAAG968</t>
  </si>
  <si>
    <t>23/12 SWE DESCARGO EN RIQUEZA NATURAL 974 CAJAS DE PARAGUAY DE SEGUNDA FRUTAS EN BUEN ESTADO</t>
  </si>
  <si>
    <t>1307/</t>
  </si>
  <si>
    <t>EC078</t>
  </si>
  <si>
    <t>24/12 SE DESCARGO EN RIQUEZA NATURAL 930 CAJAS DE PEPE FRUTAS EN BUEN ESTADO</t>
  </si>
  <si>
    <t>GT036</t>
  </si>
  <si>
    <t>SXP4H58</t>
  </si>
  <si>
    <t>SE DESCARGO EN RIQUEZA NATURAL 919 CAJAS DE BANANA BR. PEPE Y FIBRA. 24/12/24.</t>
  </si>
  <si>
    <t>062/</t>
  </si>
  <si>
    <t>GM025</t>
  </si>
  <si>
    <t xml:space="preserve">24/12 SE DESCARGO EN RIQUEZA NATURAL 972 CAJAS DE  PALLET TOCIDOS Y FRUTAS QUEMADA POR LA LONA  </t>
  </si>
  <si>
    <t>174</t>
  </si>
  <si>
    <t>DF035</t>
  </si>
  <si>
    <t>NBJ557</t>
  </si>
  <si>
    <t xml:space="preserve">27/12 SE DESCARGO  EN RIQUEZA NATURAL 982 CAJAS DE PEPE FRUTAS EN BUEN ESTADO </t>
  </si>
  <si>
    <t>DF036</t>
  </si>
  <si>
    <t>27/12 SE DESCARGO  EN RIQUEZA NATURAL 982 CAJAS DE PEPE FRUTAS EN BUEN ESTADO  VINO CAJAS BLANCA Y PEPE</t>
  </si>
  <si>
    <t>389</t>
  </si>
  <si>
    <t>MS081</t>
  </si>
  <si>
    <t>BFD912</t>
  </si>
  <si>
    <t>28/12 SE DESCARGO EN RIQUEZA NATURAL 980 CAJAS DE PEPE FRUTAS EN BUEN ESTADO MS081</t>
  </si>
  <si>
    <t>2508/</t>
  </si>
  <si>
    <t>PYHF037</t>
  </si>
  <si>
    <t>NAD232</t>
  </si>
  <si>
    <t>30/12 SE DESCARGO EN RIQUEZA NATURAL 982 CAJAS DE PEPE FRUTA EN BUEN ESTADO</t>
  </si>
  <si>
    <t>242/24</t>
  </si>
  <si>
    <t>CUL 9550</t>
  </si>
  <si>
    <t>31/12 Se descargo en Zac,2280 Caj.Mango,192 Caj.Lima,420 Caj.Formosa, 336 Caj,Jengibre</t>
  </si>
  <si>
    <t>MS082</t>
  </si>
  <si>
    <t>AAHB66</t>
  </si>
  <si>
    <t>31/12 SE DESCARGO EN RIQUEZA NATURAL 981 CAJAS DE PEPE FRUTAS EN BUEN ESTADO</t>
  </si>
  <si>
    <t>HF038</t>
  </si>
  <si>
    <t>WCFF915</t>
  </si>
  <si>
    <t>31/12 SE DESCARGO EN RIQUEZA NATURAL 980 CAJAS DE PEPE FRUTAS EN BUEN ESTADO</t>
  </si>
  <si>
    <t>GT037</t>
  </si>
  <si>
    <t>SE DESCARGO EN RIQUEZA NATURAL ,919 CAJAS DE BANANA BR. FIBRA. 31/12/24,</t>
  </si>
  <si>
    <t>PYEC079</t>
  </si>
  <si>
    <t>SE DESCARGO EN RIQUEZA NATURAL 1010 CAJAS DE BANANA PY. 30/12/24</t>
  </si>
  <si>
    <t>176/</t>
  </si>
  <si>
    <t>PYDF037</t>
  </si>
  <si>
    <t>TCJC009</t>
  </si>
  <si>
    <t>PYDF038</t>
  </si>
  <si>
    <t>SE DESCARGO EN RIQUEZA NATURAL 984 CAJAS DE BANANA PY. 3/01/25,</t>
  </si>
  <si>
    <t>390//</t>
  </si>
  <si>
    <t>PYMS083</t>
  </si>
  <si>
    <t xml:space="preserve">04/01 SE DESCARGO EN RIQUEZA NATURAL 981 CAJAS DE PEPE FRUTA EN BUEN ESTADO </t>
  </si>
  <si>
    <t>PYMS084</t>
  </si>
  <si>
    <t>06/01 SE DESCARGO EN RIQIEZA NATURAL 980 CAJAS DE PEPE FRUTAS EN BUEN ESTADO</t>
  </si>
  <si>
    <t>2511/</t>
  </si>
  <si>
    <t>PYH039</t>
  </si>
  <si>
    <t>06/01 SE DESCARGO EN RIQIEZA NATURAL 981 CAJAS DE PEPE FRUTAS EN BUEN ESTADO</t>
  </si>
  <si>
    <t>177/</t>
  </si>
  <si>
    <t>PYDF039</t>
  </si>
  <si>
    <t>SE DESCARGO EN  RIQUEZA NATURAL 982 CAJAS DE PY EL DIA 7/1/2025</t>
  </si>
  <si>
    <t>1309/</t>
  </si>
  <si>
    <t>PYEC080</t>
  </si>
  <si>
    <t>SE DESCARGO EN  RIQUEZA NATURAL 990 CAJAS DE PY EL DIA 7/1/2025</t>
  </si>
  <si>
    <t>JV066</t>
  </si>
  <si>
    <t>07/01 SE DESCARGO EN RIQUEZA NATURAL 756 CAJAS DE PEPE FIBRA Y 235 CAJAS DE PEPE COMUN FRUTAS EN BUEN ESTADO</t>
  </si>
  <si>
    <t>064/</t>
  </si>
  <si>
    <t>PYGM026</t>
  </si>
  <si>
    <t>TCJCO17</t>
  </si>
  <si>
    <t>SE DESCARGO EN RIQUEZA NATURAL 972 CAJAS DE PY DE SEGUNDA EL DIA 8/1/2025</t>
  </si>
  <si>
    <t>179</t>
  </si>
  <si>
    <t>PYDF040</t>
  </si>
  <si>
    <t>TCJC002</t>
  </si>
  <si>
    <t>SE DESCARGO EN RIQUEZA NATURAL 982 CAJAS DE PY EL DIA 8/1/2025</t>
  </si>
  <si>
    <t>401/</t>
  </si>
  <si>
    <t>PYMS085</t>
  </si>
  <si>
    <t>08/01 SE DESCARGO EN RIQUEZA NATURAL 981 CAJAS DE PEPE FRUTAS EN BUEN ESTADO</t>
  </si>
  <si>
    <t>065/</t>
  </si>
  <si>
    <t>PYGM002</t>
  </si>
  <si>
    <t>SE DESCARGO EN RIQUEZA NATURAL 972 CAJAS DE PY DE SEGUNDA EL DIA 9/1/2025</t>
  </si>
  <si>
    <t>PYHF003</t>
  </si>
  <si>
    <t>BEC713</t>
  </si>
  <si>
    <t>09/01 SE DESCARGO EN RIQUEZA NATURAL 982 CAJAS DE PEPE FRUTAS EN BUEN ESTADO</t>
  </si>
  <si>
    <t>2513/</t>
  </si>
  <si>
    <t>CBL643</t>
  </si>
  <si>
    <t>CBL915</t>
  </si>
  <si>
    <t>SE DESCARGO EN RIQUEZA NATURAL 980 CAJAS DE PY EL DIA 9/1/2025</t>
  </si>
  <si>
    <t>SE DESCARGO EN RIQUEZA NATURAL 981 CAJAS DE PY EL DIA 9/1/2025</t>
  </si>
  <si>
    <t>CH001</t>
  </si>
  <si>
    <t xml:space="preserve">SE DESCARGO EN RIQUEZA NATURAL 991 CAJAS DE BRASIL EL DIA 9/1/2025. VINO CAJA CON BAJO PESO </t>
  </si>
  <si>
    <t>IXE3635</t>
  </si>
  <si>
    <t>IUS9674</t>
  </si>
  <si>
    <t xml:space="preserve">09/01 SE DESCARGO EN RIQUEZA NATURAL 991 CAJAS DE PEPE FRUTAS EN BUEN ESTADO </t>
  </si>
  <si>
    <t>CP001</t>
  </si>
  <si>
    <t>SE DESCARGO EN RIQUEZA NATURAL 919 CAJAS DE BRASIL COMUN EL DIA 9/1/25</t>
  </si>
  <si>
    <t>HF004</t>
  </si>
  <si>
    <t>AACO311</t>
  </si>
  <si>
    <t>10/01 SE DESCARGO EN RIQUEZA NATURAL 980 CAJAS DE PEPE FRUTA RAMEADA</t>
  </si>
  <si>
    <t>RBS 3J15</t>
  </si>
  <si>
    <t>SXF 1I05</t>
  </si>
  <si>
    <t>SE DESCARGO EN RIQUEZA NATURAL 918 CAJAS, DE BANAN BR. FIBRA. 10/01/25,</t>
  </si>
  <si>
    <t>DF002</t>
  </si>
  <si>
    <t>1//01 SE DESCARGO EN RIQUEZA NATURAL 984 CAJAS DE PEPE FRUTA EN BUEN ESTADO</t>
  </si>
  <si>
    <t>MS005</t>
  </si>
  <si>
    <t>10/01 SE DESCARGO EN RIQUEZA NATURAL 980 CAJAS DE PEPE FRUTA EN BUEN ESTADO</t>
  </si>
  <si>
    <t>004/25</t>
  </si>
  <si>
    <t>10/01 SE DESCARGO EN RIQUEZA NATURAL 918 CAJAS DE PEPE FIBRA  FRUTA EN BUEN ESTADO VH001</t>
  </si>
  <si>
    <t>066/</t>
  </si>
  <si>
    <t>GM003</t>
  </si>
  <si>
    <t xml:space="preserve">11/01 SE DESCARGO EN RIQUEZA NATURAL 972 CAJAS DE SEGUNDA FRUTA RAMEADA </t>
  </si>
  <si>
    <t>003/25</t>
  </si>
  <si>
    <t>RDY1B34</t>
  </si>
  <si>
    <t>11/01 SE DESCARGO EN RIQUEZA NATYURAL 918 CAJAS DE PEPE FRUTA EN BUEN ESTADO VINO 60 CAJAS DE FRUTA PEQUEÑA</t>
  </si>
  <si>
    <t>002/25</t>
  </si>
  <si>
    <t>RYB 4G25</t>
  </si>
  <si>
    <t>RYA 9I25</t>
  </si>
  <si>
    <t xml:space="preserve">SE DESCARGO 288 CAJAS DE BRASIL EL DIA 14/1/2025 VINIERON TODOS LOS PALLETS MADUROS </t>
  </si>
  <si>
    <t>GT002</t>
  </si>
  <si>
    <t>QTK 2999</t>
  </si>
  <si>
    <t>QHT 8885</t>
  </si>
  <si>
    <t>SE DESCARGO EN RIQUEZA NATURAL 918 CAJAS, DE BANAN BR. FIBRA. 14/01/25</t>
  </si>
  <si>
    <t>CP`002</t>
  </si>
  <si>
    <t>QJV 1545</t>
  </si>
  <si>
    <t>SE DESCARGO EN RIOUEZA NATURAL 919 CAJAS DE BRASIL FIBRA EL DIA 14/1/2025</t>
  </si>
  <si>
    <t>SE DESCARGO EN RIQUEZA NATURAL 990 CAJAS DE BRASIL EL DIA 14/1/2025</t>
  </si>
  <si>
    <t>067//</t>
  </si>
  <si>
    <t>SE DESCARGO EN RIQUEZA NATURAL 973 CAJAS DE PY DE SEGUNDA EL DIA 15/1/2025</t>
  </si>
  <si>
    <t>2519/</t>
  </si>
  <si>
    <t>BBF242</t>
  </si>
  <si>
    <t xml:space="preserve">15/01 SE DESCARGO EN RIQUEZA 982 CAJAS DE PEPE FRUTAS EN BUEN ESTADO </t>
  </si>
  <si>
    <t>SE DESCARGO EN RIQUEZA NATURAL 982 CAJAS DE PY EL DIA 16/1/2025</t>
  </si>
  <si>
    <t>402/</t>
  </si>
  <si>
    <t>16/01 SE DESCARGO EN RIQUEZA NATURAL 981 CAJAS DE PEPE MS006 FRUTAS EN BUEN ESTADO</t>
  </si>
  <si>
    <t>JCN0D95</t>
  </si>
  <si>
    <t>SE DESCARGO EN RIQUEZA NATURAL 991 CAJAS DE BRASIL FIBRA EL DIA 16/1/2025</t>
  </si>
  <si>
    <t>GT003</t>
  </si>
  <si>
    <t xml:space="preserve">17/01 SE DESCARGO EN RIQUEZA NATURAL 919 CAJASS DE PEPE FIBRA FRUTA EN BUEN ESTADO </t>
  </si>
  <si>
    <t>17/01 SE DESCARGO EN RIQUEZA NATURAL 991 CAJAS DE PEPE FIBRA FRUTA EN BUEN ESTADO</t>
  </si>
  <si>
    <t>ABL203</t>
  </si>
  <si>
    <t xml:space="preserve">20/01 SE DESCARGO EN RIQUEZA NATURAL 980 CAJAS DE PEPE VINO FRUTAS QUEMADA POR LA LONA </t>
  </si>
  <si>
    <t>SE DESCARGA EN RIQUEZA NATURAL 980 CAJAS DE PY PEPE EL DIA 20/1/20256</t>
  </si>
  <si>
    <t>007/25</t>
  </si>
  <si>
    <t>SE DESCARGARON 918 CAJAS DE BR FH 003 EL DIA 21/01/25</t>
  </si>
  <si>
    <t>SXP 4I28</t>
  </si>
  <si>
    <t>SXP 4I48</t>
  </si>
  <si>
    <t>SE DESCARGO EN RIQUEZA NATURAL 919 CAJAS DE BRASIL EL DIA 21/1/2025</t>
  </si>
  <si>
    <t>21/1 SE DESCARGO EN RIQUEZA NATURAL 919 CAJAS DE PEPE FIBRA FRUTAS EN BUEN ESTADO</t>
  </si>
  <si>
    <t>008/25</t>
  </si>
  <si>
    <t>QHP 2219</t>
  </si>
  <si>
    <t>QJI 3576</t>
  </si>
  <si>
    <t>Lima + Banana VH</t>
  </si>
  <si>
    <t>180/</t>
  </si>
  <si>
    <t>DF003</t>
  </si>
  <si>
    <t>TCJ005</t>
  </si>
  <si>
    <t>24/01 SE DESCARGO EN RIQUEZA NATURAL 984 CAJAS PEPE FRUTA BIEN UNAS PECAS RAMEADAS  DF003</t>
  </si>
  <si>
    <t>69/</t>
  </si>
  <si>
    <t>GM005</t>
  </si>
  <si>
    <t>23/01 SE DESCARGO EN RIQUEZA NATURAL 972 CAJAS DE SEGUNADA VINOPECAS QUEMADA POR LA LONA  GM005 Y TRAO PALLET TOCIDOS</t>
  </si>
  <si>
    <t>2523/</t>
  </si>
  <si>
    <t>HF009</t>
  </si>
  <si>
    <t>23/01 SE DESCARGO EN RIQUEZA NATURAL 980 CAJAS DE PEPE FRUTA EN BUEN ESTADO</t>
  </si>
  <si>
    <t>HF010</t>
  </si>
  <si>
    <t>NBJ005</t>
  </si>
  <si>
    <t>24/01 SE DESCARGO EN RIQUEZA NATURAL 984 CAJAS DE PEPE  FRUTA BIEN  ESTE CAMION CORRESPONDE FACTURA 2523 HF010</t>
  </si>
  <si>
    <t>403/</t>
  </si>
  <si>
    <t>MS008</t>
  </si>
  <si>
    <t>22/01 SE DESCARGO EN RIQUEZA NATURAL 981 CAJAS DE PEPE  FRUTA EN BUEN ESTADO</t>
  </si>
  <si>
    <t>HBK216</t>
  </si>
  <si>
    <t>CP004</t>
  </si>
  <si>
    <t>MME9C55</t>
  </si>
  <si>
    <t>25/01 SE DESCARGO EN RIQUEZA NATURAL 919 CAJAS DE PEPE  FRUTAS EN BUEN ESTADO  AG 001</t>
  </si>
  <si>
    <t>IWU8538</t>
  </si>
  <si>
    <t xml:space="preserve">23/01 SE DESCARGO EN RIQUEZA NATURAL 991 CAJAS DE PEPE FIBRA FRUTAS EN BUEN ESTADO  </t>
  </si>
  <si>
    <t>009/25</t>
  </si>
  <si>
    <t>23/1 SE DESCARGO EN RIQUEZA NTURAL 990 CAJAS DE PEPE FIBRA FRUTAS EN BUEN ESTADO</t>
  </si>
  <si>
    <t>MS009</t>
  </si>
  <si>
    <t>AAP107</t>
  </si>
  <si>
    <t xml:space="preserve">24/01 SE DESCARGO EN RIQUEZA NATURAL 981 CAJAS DE PEPE FRUTA EN BUEN ESTADO MS009 NUMERO DE FACTURA 403 </t>
  </si>
  <si>
    <t>25/01 SE DESCARGO EN RIQEUZA NATURAL 990 CAJAS DE BRASIL MADERA. FRUTA EN BUENM ESTADO</t>
  </si>
  <si>
    <t>SXO4C00</t>
  </si>
  <si>
    <t>25/01 SE DESCARGO EN RIQUEZA NATURAL 918 CAJAS DE FIBRA PEPE VINIERON 36 CAJAS DE FRUTA PEQUEÑA</t>
  </si>
  <si>
    <t>AANE473</t>
  </si>
  <si>
    <t>HEP088</t>
  </si>
  <si>
    <t>SE DESCARGO EN RIQUEZA NATURAL 980 CAJAS DE PY EL DIA 29/1/2025</t>
  </si>
  <si>
    <t xml:space="preserve">25/01 SE DESCARGO EN RIQUEZA NATURAL 980 CAJAS DE PARAGUAY . FRUTA  EN BUEN ESTADO </t>
  </si>
  <si>
    <t>011/25</t>
  </si>
  <si>
    <t>ECM8H97</t>
  </si>
  <si>
    <t>28/01 SE DESCARGA EN RIQUEZA NATURAL 918 CAJAS DE BRASIL PEPE FIBRA MADERA. FRUTA EN BUEN ESTADO VH006</t>
  </si>
  <si>
    <t>GT006</t>
  </si>
  <si>
    <t>RXO9E18</t>
  </si>
  <si>
    <t>28/1 SE DESCARGO EN RIQUEZA NATURAL 919 CAJAS D PEPE  FIBRA VINIERON 36 CAJAS DE FRUTAS PEQUEÑAS FRUTAS  EN BUEN ESTADO</t>
  </si>
  <si>
    <t>QJV4800</t>
  </si>
  <si>
    <t>28/1 SE DESCARGO EN RIQUEZA NATURAL 918 CAJAS D PEPE  VINIERON 60 CAJAS DE FRUTAS PEQUEÑAS FRUTAS  EN BUEN ESTADO</t>
  </si>
  <si>
    <t>28/1 SE DESCARGO EN RIQUEZA NATURAL 991 CAJAS DE PEPE COMUN FRUTAS EN BUEN ESTADO VINO UN OAR DE PALLEET CON CAJAS DE OK</t>
  </si>
  <si>
    <t>CH 002</t>
  </si>
  <si>
    <t>28/01 SE DESCARGA EN RIQUEZA NATURAL 991 CAJAS DE BRASIL MADERA. FRUTA EN BUEN ESTADO</t>
  </si>
  <si>
    <t>182/</t>
  </si>
  <si>
    <t>SE DESCARGO EN  RIQUEZA NATURAL 982 CAJAS DE PY EL DIA 29/1/2025</t>
  </si>
  <si>
    <t>PYDF006</t>
  </si>
  <si>
    <t>TCJC024</t>
  </si>
  <si>
    <t>SE DESCARGO EN  RIQUEZA NATURAL 984 CAJAS DE PY EL DIA 30/1/2025</t>
  </si>
  <si>
    <t>013/25</t>
  </si>
  <si>
    <t>SE DESCARGO EN RIQUEZA NATURAL 990 CAJAS DE BRASIL EL DIA 30/1/2025</t>
  </si>
  <si>
    <t>012/25</t>
  </si>
  <si>
    <t>RYV 9I54</t>
  </si>
  <si>
    <t>SXA 6D54</t>
  </si>
  <si>
    <t>Mango+Banana VH</t>
  </si>
  <si>
    <t>014/25</t>
  </si>
  <si>
    <t>JV 007</t>
  </si>
  <si>
    <t>SE DESCARGO EN UAM 991 CAJAS DE BR EL DIA 31/1/2025</t>
  </si>
  <si>
    <t>404/</t>
  </si>
  <si>
    <t>BGN113</t>
  </si>
  <si>
    <t>SE DESCARGO EN UAM 981 CJAS DE PY EL DIA 1/2/2025</t>
  </si>
  <si>
    <t>GT 007</t>
  </si>
  <si>
    <t>SE DESCARGO EN UAM 919 CAJAS DE BR FIBRA EL DIA 31/1/2025</t>
  </si>
  <si>
    <t>SE DESCARGO EN UAM 990 CAJAS DE BRASIL FIBRA EL DIA 1/2/2025</t>
  </si>
  <si>
    <t>015/25</t>
  </si>
  <si>
    <t>ch003</t>
  </si>
  <si>
    <t>SE DESCARGO EN UAM 920 CAJAS DE BR  EL DIA 1/2/2025</t>
  </si>
  <si>
    <t>QJW-4140</t>
  </si>
  <si>
    <t>QJU-9636</t>
  </si>
  <si>
    <t>SE DESCARGO EN RIQUEZA NATURAL 9189 CAJAS DE BRASIL FIBRA EL DIA 4/2/2025</t>
  </si>
  <si>
    <t>REB-5D33</t>
  </si>
  <si>
    <t>QJS-9198</t>
  </si>
  <si>
    <t>SE DESCARGO EN UAM 919 CAJAS DE BRASIL EL DIA 4/2/2025</t>
  </si>
  <si>
    <t>RXT0A04</t>
  </si>
  <si>
    <t>SE DESCARGO EN UAM 919 CAJAS DE BR FIBRA EL DIA 04/2/2025</t>
  </si>
  <si>
    <t>SE DESCARGO EN RIQUWZA NATURAL 991 CAJAS DE BRASIL EL DIA 4/2/2025</t>
  </si>
  <si>
    <t>Banana Combinada</t>
  </si>
  <si>
    <t>BG001</t>
  </si>
  <si>
    <t>SE DESCARGO EN UAM 990 CAJAS DE BRASIL EL DIA 4/2/2025</t>
  </si>
  <si>
    <t>RYO1F49</t>
  </si>
  <si>
    <t>RYH9A86</t>
  </si>
  <si>
    <t>SE DESCARGO EN UAM 918 CAJAS DE BRASIL EL DIA 4/2/2025</t>
  </si>
  <si>
    <t>184/</t>
  </si>
  <si>
    <t>PYDF07</t>
  </si>
  <si>
    <t>TCJC015</t>
  </si>
  <si>
    <t>SE DESCARGO EN UAM 982 CAJAS DE PY EL DIA 5/2/2025</t>
  </si>
  <si>
    <t>2529/</t>
  </si>
  <si>
    <t>PYHF013</t>
  </si>
  <si>
    <t xml:space="preserve">SE DESCARGO EN UAM 980 CAJAS DE PY EL DIA 5/2/2025 VINO CON FRUTA QUEMADA POR LONA </t>
  </si>
  <si>
    <t>016/25</t>
  </si>
  <si>
    <t>SE DESCARGO EN UAM 990 CAJAS DE BRASIL FIBRA EL DIA 6/2/2025</t>
  </si>
  <si>
    <t>IJK2I63</t>
  </si>
  <si>
    <t>LYS4J03</t>
  </si>
  <si>
    <t>SE DESCARGO EN UAM 991 CAJAS DE BR EL DIA 6/2/2025</t>
  </si>
  <si>
    <t>405/</t>
  </si>
  <si>
    <t>PYMS012</t>
  </si>
  <si>
    <t>AAOI5110</t>
  </si>
  <si>
    <t>SE DESCARGO EN UAM 980 CAJAS DE PY EL DIA 6/2/2025 VINIERON ALGUNOS PALLETS CON FRUTA QUEMADA POR LONA</t>
  </si>
  <si>
    <t>SE DESCARGO EN UAM 981 CAJAS DE PY EL DIA 6/2/2025 VINO CON FRUTA QUEMADA POR LONA</t>
  </si>
  <si>
    <t>PYDF08</t>
  </si>
  <si>
    <t>SE DESCARGO EN UAM 981 CAJAS DE PY EL DIA 7/2/2025</t>
  </si>
  <si>
    <t>SE DESCARGO EN RIQUEZA NATURAL 990 CAJAS DE BRASIL FIBRA EL DIA 7/2/25</t>
  </si>
  <si>
    <t>IRD0G03</t>
  </si>
  <si>
    <t>ILN1940</t>
  </si>
  <si>
    <t>SE DESCARGO EN UAM 990 CAJAS DE BR FIBRA EL DIA 7/2/2025</t>
  </si>
  <si>
    <t>PYMS013</t>
  </si>
  <si>
    <t>SE DESCARGO EN UAM 980 CAJAS DE PY EL DIA 7/2/2025</t>
  </si>
  <si>
    <t>SXO 4C00</t>
  </si>
  <si>
    <t>SXE 5G76</t>
  </si>
  <si>
    <t>SE DESCARGO EN RIQUEZA NATURAL 918 CAJAS DE BR FIBRA EL DIA 8/2/2025</t>
  </si>
  <si>
    <t>017/25</t>
  </si>
  <si>
    <t>SE DESCARGO EN UAM 919 CAJAS DE BR FIBRA EL DIA 08/2/2025</t>
  </si>
  <si>
    <t>QIX5E72</t>
  </si>
  <si>
    <t>RYZ7D83</t>
  </si>
  <si>
    <t>SE DESCARGO EN UAM 937 CAJAS DE BR  EL DIA 8/2/2025</t>
  </si>
  <si>
    <t>SE DESCARGO EN UAM 991 CAJAS DE BR FIBRA EL DIA 8/2/2025</t>
  </si>
  <si>
    <t>018/25</t>
  </si>
  <si>
    <t>RYF7H56</t>
  </si>
  <si>
    <t xml:space="preserve">SE DESCARGO EN UAM 918 CAJAS DE BRASIL EL DIA 11/2 VINIERON FRUTA SENTIDA </t>
  </si>
  <si>
    <t>IZZ6C39</t>
  </si>
  <si>
    <t>SE DESCARGO EN UAM 991 CAJAS DE BR EL DIA 11/2 VINIERON PENCAS SENTIDAS</t>
  </si>
  <si>
    <t>QHT8855</t>
  </si>
  <si>
    <t>SE DESCARGO EN RIQUEZA NATURAL 918 CAJAS DE BRASIL EL DIA 11/2</t>
  </si>
  <si>
    <t>FEJ8202</t>
  </si>
  <si>
    <t>MLR3987</t>
  </si>
  <si>
    <t>SE DESCARGO EN UAM 918 CAJAS DE BRASIL FISBRA EL DIA 12/2</t>
  </si>
  <si>
    <t>se descargo en riqueza natural 990 cajas de br el dia 11/2/2025</t>
  </si>
  <si>
    <t>SE DESCARGÓ EN UAM 990CAJAS DE BR 11/02</t>
  </si>
  <si>
    <t>SXF1L05</t>
  </si>
  <si>
    <t>SE DESCARGO EN UAM 919 CAJAS DE BR EL DIA 11/2/25</t>
  </si>
  <si>
    <t>020/25</t>
  </si>
  <si>
    <t>MHPOE22</t>
  </si>
  <si>
    <t xml:space="preserve">SE DESCARGO EN UAM 918 CAJAS DE BRASIL EL DIA 12/2 </t>
  </si>
  <si>
    <t>185/</t>
  </si>
  <si>
    <t>PYDF09</t>
  </si>
  <si>
    <t>SE DESCARGO EN UAM 988 CAJAS DE PY EL DIA 13/2/2025</t>
  </si>
  <si>
    <t>406/</t>
  </si>
  <si>
    <t>KBB917</t>
  </si>
  <si>
    <t>UAB944</t>
  </si>
  <si>
    <t>SE DESCARGO EN UAM  980 CAJAS DE BANANA PY. 13/12/24.</t>
  </si>
  <si>
    <t>SE DESCARGO EN UAM 919 CAJAS DE BR EL DIA 13/2</t>
  </si>
  <si>
    <t>2531/</t>
  </si>
  <si>
    <t>SE DESCARGO EN UAM 980 CAJAS DE PY EL DIA 14/2/25</t>
  </si>
  <si>
    <t>022/25</t>
  </si>
  <si>
    <t>JQH5150</t>
  </si>
  <si>
    <t>IJJ5277</t>
  </si>
  <si>
    <t>se descargo en uam 990 cajas de brasil el dia 14/2</t>
  </si>
  <si>
    <t>VH013B</t>
  </si>
  <si>
    <t>SE DESCARGO EN UAM 990 CAJAS DE BR FIBRA EL DIA 14/2</t>
  </si>
  <si>
    <t>SE DESCARGO EN UAM 991 CAJAS DE BR FIBRA EL DIA 14/2/2025</t>
  </si>
  <si>
    <t>FFW 3347</t>
  </si>
  <si>
    <t>MLA 7853</t>
  </si>
  <si>
    <t>SE DESCARGO EN UAM 919 CAJAS DE BR EL DIA 15/12</t>
  </si>
  <si>
    <t>1320/</t>
  </si>
  <si>
    <t>PYEC001</t>
  </si>
  <si>
    <t>BEN 283</t>
  </si>
  <si>
    <t>se descargo en uam 960 cajas de py el dia</t>
  </si>
  <si>
    <t>SXM1C00</t>
  </si>
  <si>
    <t xml:space="preserve"> SXA4G75</t>
  </si>
  <si>
    <t>SE DESCARGO EN UAM 918 CAJAS DE BRASIL FIBRA EL DIA 18/2/25</t>
  </si>
  <si>
    <t>SE DESCARGO EN UAM 990 CAJAS DE BRASIL EL DIA 18/2/2025</t>
  </si>
  <si>
    <t>REB5G39</t>
  </si>
  <si>
    <t>QIG5E00</t>
  </si>
  <si>
    <t>SE DESCARGO EN UAM 918 CAJAS DE BRASIL  EL DIA 18/2/2025</t>
  </si>
  <si>
    <t>MLC7F48</t>
  </si>
  <si>
    <t>QJM9087</t>
  </si>
  <si>
    <t>SE DESCARGO EN UAM 919 CAJAS DE BRASIL FIBRA EL DIA 18/2/2025</t>
  </si>
  <si>
    <t>RYF1D53</t>
  </si>
  <si>
    <t>JV015</t>
  </si>
  <si>
    <t>EOE-2457</t>
  </si>
  <si>
    <t>MJY-7674</t>
  </si>
  <si>
    <t>SE DESCARGO EN UAM 991 CAJAS DE BR EL DIA 19/2/2025</t>
  </si>
  <si>
    <t>071/</t>
  </si>
  <si>
    <t>BRUN007</t>
  </si>
  <si>
    <t>AAMV047</t>
  </si>
  <si>
    <t>SE DESCARGO EN UAM 974 CAJAS DE PY2  EL DIA 20/2/2025</t>
  </si>
  <si>
    <t>IVQ9598</t>
  </si>
  <si>
    <t>NJW1879</t>
  </si>
  <si>
    <t>SE DESCARGO EN UAM 991 CAJAS DE BR EL DIA 20/2/2025</t>
  </si>
  <si>
    <t>SE DESCARGO EN UAM 991 CAJAS DE BR FIBRA EL DIA 20/2/2025</t>
  </si>
  <si>
    <t>SE DESCARGO EN UAM 981 CAJAS DE PY EL DIA 22/2/2025</t>
  </si>
  <si>
    <t>SE DESCARGO EN UAM 991 CAJAS DE BR EL DIA 21/2/2025</t>
  </si>
  <si>
    <t>023/25</t>
  </si>
  <si>
    <t>SE DESCARGO EN UAM 919 CAJAS DE BR EL DIA 22/2/2025</t>
  </si>
  <si>
    <t>1321/</t>
  </si>
  <si>
    <t>PYEC002</t>
  </si>
  <si>
    <t xml:space="preserve">SE DESCARGO EN UAM 919 CAJAS DE BR EL DIA 22/2/2025 -  Productor es Gilson </t>
  </si>
  <si>
    <t>SE DESCARGO EN UAM 990 CAJAS DE BR EL DIA 22/2/2025</t>
  </si>
  <si>
    <t>028/25</t>
  </si>
  <si>
    <t>SE DESCARGO EN UAM 918 CAJAS DE BR EL DIA 22/2/2025</t>
  </si>
  <si>
    <t>MIU 8665</t>
  </si>
  <si>
    <t>ILO 1318</t>
  </si>
  <si>
    <t>SE DESCARGO EN UAM 919 CAJAS DE BR EL DIA 26/2/2025</t>
  </si>
  <si>
    <t>026/25</t>
  </si>
  <si>
    <t>RLJ2I41</t>
  </si>
  <si>
    <t>RLI2A90</t>
  </si>
  <si>
    <t>RHL1D36</t>
  </si>
  <si>
    <t>RHL1D37</t>
  </si>
  <si>
    <t>SE DESCARGO EN UAM 882CAJAS DE BR EL DIA 25/2/2025 FALTO UN PALLET  DE 36 CAJAS</t>
  </si>
  <si>
    <t>SE DESCARGO EN UAM 918 CAJAS DE BR EL DIA 25/2/2025</t>
  </si>
  <si>
    <t>CH008</t>
  </si>
  <si>
    <t>FEJ-8C47</t>
  </si>
  <si>
    <t>FEJ-8242</t>
  </si>
  <si>
    <t>SE DESCARGO EN UAM 919 CAJAS DE BR EL DIA 25/2/2025</t>
  </si>
  <si>
    <t>JV018</t>
  </si>
  <si>
    <t>QJM1037</t>
  </si>
  <si>
    <t>031/25</t>
  </si>
  <si>
    <t>QJA 7570</t>
  </si>
  <si>
    <t>GDM 4C07</t>
  </si>
  <si>
    <t>RHL7A04</t>
  </si>
  <si>
    <t>RHL7A05</t>
  </si>
  <si>
    <t>SE DESCARGO EN UAM 919 CAJAS DE BR EL DIA 25/2/25</t>
  </si>
  <si>
    <t>QHP-4989</t>
  </si>
  <si>
    <t>QHT-8855</t>
  </si>
  <si>
    <t>029/25</t>
  </si>
  <si>
    <t>IFZ4D85</t>
  </si>
  <si>
    <t>IUB5718</t>
  </si>
  <si>
    <t>SE DESCARGO EN UAM 990 CAJAS DE BR EL DIA 25/2/2025</t>
  </si>
  <si>
    <t>UY002-AL</t>
  </si>
  <si>
    <t>Banana de Corupa</t>
  </si>
  <si>
    <t>SE DESCARGO EN UAM 990 CAJAS DE BR EL DIA 27/2/25</t>
  </si>
  <si>
    <t>SE DESCARGO EN UAM 991 CAJAS DE BR EL DIA 27/2/25</t>
  </si>
  <si>
    <t>UY001-AL</t>
  </si>
  <si>
    <t>Mango Tommy</t>
  </si>
  <si>
    <t>032/25</t>
  </si>
  <si>
    <t xml:space="preserve">Banana SP </t>
  </si>
  <si>
    <t>SP001</t>
  </si>
  <si>
    <t>RXY8G55</t>
  </si>
  <si>
    <t>RXV9F25</t>
  </si>
  <si>
    <t xml:space="preserve">28/02 SE DESCARGO EN RIQUEZA NATURAL 936 CAJAS DE SP001 FRUTA BIEN VINO CON ROSE O SEA RAMEADA </t>
  </si>
  <si>
    <t>033/25</t>
  </si>
  <si>
    <t>SE DESCARGO EN UAM 990 CAJAS DE BRASIL FIBRA EL DIA 28/2/2025</t>
  </si>
  <si>
    <t>EGK 5E63</t>
  </si>
  <si>
    <t>INO 5976</t>
  </si>
  <si>
    <t>28/02 SE DESCARGO EN RIQUEZA NATURAL 919 CAJAS DE BRASIL PEPE FIBRA FRUTA EN BUEN ESTADO</t>
  </si>
  <si>
    <t>IYB8191</t>
  </si>
  <si>
    <t>IYC5298</t>
  </si>
  <si>
    <t>SE DESCARGO EN UAM 991 CAJAS DE BRASIL FIBRA EL DIA 28/2/2025</t>
  </si>
  <si>
    <t>28/02 SE DESCARGO EN RIQUEZA NATURAL 991 CAJAS DE FIBRA PEPE FRUTAS EN BUEN ESTADO</t>
  </si>
  <si>
    <t>SE DESCARGO EN RIQUEZA NATUIRAL 918 CAJAS DE BR EL DIA 1/3/2025</t>
  </si>
  <si>
    <t>SE DESCARGO EN RIQUEZA NATURAL 990 CAJAS BRASIL EL DIA 1/3/2025</t>
  </si>
  <si>
    <t>036/25</t>
  </si>
  <si>
    <t xml:space="preserve">SE DESCARGO EN UAM 918 CAJAS DE BRASIL EL DIA 7/3/25. VINO CON FRUTA SENTIDA TODOS LOS PALLETS </t>
  </si>
  <si>
    <t>SE DESCARGO EN UAM 919 CAJAS DE BRASIL FIBRA EL DIA 7/3/25</t>
  </si>
  <si>
    <t>QHP0J65</t>
  </si>
  <si>
    <t>RYR8E35</t>
  </si>
  <si>
    <t>SE DESCARGO EN UAM 918 CAJAS DE BRASIL EL DIA 7/3/25. VINO CON FRUTA SENTIDA</t>
  </si>
  <si>
    <t>RYJ 2J48</t>
  </si>
  <si>
    <t>RLK 1A06</t>
  </si>
  <si>
    <t>SE DESCARGO EN UAM 919 CAJAS DE BRASIL FIBRA EL DIA 7/3/2025</t>
  </si>
  <si>
    <t>SE DESCARGO EN UAM 990 CAJAS DE BRASIL EL DIA 7/3/25.</t>
  </si>
  <si>
    <t>SE DESCARGO EN UAM 991 BRASIL OK EL DIA 7/3/2025</t>
  </si>
  <si>
    <t>Chicolandia</t>
  </si>
  <si>
    <t>CI001</t>
  </si>
  <si>
    <t>RLI-2C94</t>
  </si>
  <si>
    <t>RLD-9B93</t>
  </si>
  <si>
    <t>SE DESCARGO EN UAM 918 CAJAS DE BRASIL EL DIA 7/3/25.</t>
  </si>
  <si>
    <t>JAI8A98</t>
  </si>
  <si>
    <t>JAP7D62</t>
  </si>
  <si>
    <t>SE DESCARGO EN UAM 990 CAJAS DE BRASIL FIBRA EL DIA 7/3/25.</t>
  </si>
  <si>
    <t>SE DESCARGO EN UAM 991 CAJAS DE BRASIL EL DIA 8/3/2025</t>
  </si>
  <si>
    <t>FEJ 8242</t>
  </si>
  <si>
    <t>SE DESCARGO EN UAM 919 CAJAS DE BRASIL FIBRA EL DIA 8/3/2025</t>
  </si>
  <si>
    <t>CH010</t>
  </si>
  <si>
    <t>SE DESCARGO EN UAM 990 CAJAS DE BR EL DIA 8/3/2025</t>
  </si>
  <si>
    <t>040/25</t>
  </si>
  <si>
    <t>SE DESCARGO EN UAM 918 CAJAS DE BRASIL  EL DIA 8/3/2025</t>
  </si>
  <si>
    <t>MKB 9D90</t>
  </si>
  <si>
    <t>IMZ 0C11</t>
  </si>
  <si>
    <t>SE DESCARGO EN UAM 918 CAJAS DE BRASIL EL DIA 11/3/25</t>
  </si>
  <si>
    <t>041/25</t>
  </si>
  <si>
    <t>SP002</t>
  </si>
  <si>
    <t>RYD6J49</t>
  </si>
  <si>
    <t>RXX1D49</t>
  </si>
  <si>
    <t>SE DESCARGO EN UAM 936 CAJAS DE BRASIL SAN PABLO EL DIA 11/3/2025</t>
  </si>
  <si>
    <t>GT019</t>
  </si>
  <si>
    <t>MKO 1576</t>
  </si>
  <si>
    <t>MIG 0455</t>
  </si>
  <si>
    <t>SE DESCARGO EN UAM 920 CAJAS DE BRASIL EL DIA 11/3/2025</t>
  </si>
  <si>
    <t>039/25</t>
  </si>
  <si>
    <t>SE DESCARGO EN UAM 2288 CAJAS DE PALTA BRASIL EL DIA 11/3/2025</t>
  </si>
  <si>
    <t>VINIERON 5 PALIES CON FRUTAS SENTIDAS Y 3 PALIES CON FRUTA PEQUEÑA</t>
  </si>
  <si>
    <t>VH-025</t>
  </si>
  <si>
    <t>DESCARGO UAM 900CAJ.BR 11/3/25</t>
  </si>
  <si>
    <t>042/25</t>
  </si>
  <si>
    <t>ACK8A07</t>
  </si>
  <si>
    <t>IQR1D84</t>
  </si>
  <si>
    <t>SE DESCARGO EN UAM 990 CAJAS DE BRASIL EL DIA 11/3/2025</t>
  </si>
  <si>
    <t>GT018</t>
  </si>
  <si>
    <t>RYF 2A56</t>
  </si>
  <si>
    <t>RAE 6207</t>
  </si>
  <si>
    <t>SE DESCARGO EN UAM 919 CAJAS DE BRASIL FIBRA EL DIA 11/3/2025</t>
  </si>
  <si>
    <t>SE DESCARGO EN UAM 991 CAJAS DE BRASIL EL DIA 11/3/2025</t>
  </si>
  <si>
    <t>JV026</t>
  </si>
  <si>
    <t>SE DESCARGO EN UAM 919 CAJAS DE BR EL DIA 11/3/2025</t>
  </si>
  <si>
    <t>044/25</t>
  </si>
  <si>
    <t>MIT-3857</t>
  </si>
  <si>
    <t>MBQ-4167</t>
  </si>
  <si>
    <t>SE DESCARGO EN UAM 918 CAJAS DE BRASIL EL DIA 11/3/2025</t>
  </si>
  <si>
    <t>SE DESCARGO EN UAM 991 CAJAS DE BR FIBRA Y BR COMUN EL DIA 11/3/2025</t>
  </si>
  <si>
    <t>jv028</t>
  </si>
  <si>
    <t>QIX 1765</t>
  </si>
  <si>
    <t>QIV 4273</t>
  </si>
  <si>
    <t>se descargo en uam  919 cajas  de brasil fibra y comun el dia 13/3/2025</t>
  </si>
  <si>
    <t>vh027</t>
  </si>
  <si>
    <t>se descargo en uam 990 cajas de brasil el dia 13/3/25!! vinieron 4 pallets de banana pequeña}</t>
  </si>
  <si>
    <t>MEE 2854</t>
  </si>
  <si>
    <t xml:space="preserve"> se descargo en uam 919 cajas de brasil fibra el dia 13/3/2025</t>
  </si>
  <si>
    <t>Se descargo en uam 991 cajas de brasil  el dia 14/3/2025</t>
  </si>
  <si>
    <t>SG001</t>
  </si>
  <si>
    <t>Se descargo en uam 990 cajas de brasil fibra el dia 14/3/2025</t>
  </si>
  <si>
    <t>045/25</t>
  </si>
  <si>
    <t>gt020</t>
  </si>
  <si>
    <t>STP8446</t>
  </si>
  <si>
    <t>STP8890</t>
  </si>
  <si>
    <t>SE DESCARGO EN UAM 990 CAAJAS DE BRASIL EL DIA 14/3/2025</t>
  </si>
  <si>
    <t>SE DESCARGO EN UAM 918 CAJAS DE BRASIL EL DIA 14/3/2025</t>
  </si>
  <si>
    <t>vt002</t>
  </si>
  <si>
    <t>Tureck</t>
  </si>
  <si>
    <t>TK001</t>
  </si>
  <si>
    <t>MKT 2396</t>
  </si>
  <si>
    <t>MGK 6282</t>
  </si>
  <si>
    <t>SE DESCARGO EN UAM 918 CAJAS DE BRASIL EL DIA 15/3/2025</t>
  </si>
  <si>
    <t>gt021</t>
  </si>
  <si>
    <t>JBZ7F19</t>
  </si>
  <si>
    <t>JAB8B42</t>
  </si>
  <si>
    <t>se descargo en uam 990 cajas de brasil el dia 15/3/2025</t>
  </si>
  <si>
    <t>FCJ9H84</t>
  </si>
  <si>
    <t>MFV8B36</t>
  </si>
  <si>
    <t xml:space="preserve">PERCINTATO - </t>
  </si>
  <si>
    <t>RHD 7A01</t>
  </si>
  <si>
    <t>RHD 7A02</t>
  </si>
  <si>
    <t xml:space="preserve">SE DESCARGO EN RIQUEZA NATUAL 918 CAJAS DE PEPE FIBRA FRUTA EN BUEN ESTADO </t>
  </si>
  <si>
    <t>RYM9D10</t>
  </si>
  <si>
    <t>SXM3C88</t>
  </si>
  <si>
    <t xml:space="preserve">18/03 SE DESCARGO EN RIQUEZA NATRUAL 919 CAJAS DE PEPE FIBRA VINI UN PALLET CON FRUTA PEQUEÑA FRUTA EN BUEN ESTADO </t>
  </si>
  <si>
    <t>QJO-0136</t>
  </si>
  <si>
    <t>MHQ-5203</t>
  </si>
  <si>
    <t xml:space="preserve">SE DESCARGO EN UAM 918 CAJAS DE BRASIL EL DIA 18/3/2025, MIXTO FIBRA Y COMUN </t>
  </si>
  <si>
    <t>050/25</t>
  </si>
  <si>
    <t>SE DESCARGO EN UAM 990 CAJAS DE BRASIL FIBRA 18/03/2025</t>
  </si>
  <si>
    <t>FH016a</t>
  </si>
  <si>
    <t>SXJ3E00</t>
  </si>
  <si>
    <t xml:space="preserve"> RYY4I35</t>
  </si>
  <si>
    <t xml:space="preserve">18/03 SE DESCARGO EN RIQUEZA NATURAL 918 CAJAS DE BRASIL PEPE VINO 2 PALLET CON FRUTAS PEQUEÑA FRUTA EN BUEN ESTADO </t>
  </si>
  <si>
    <t>SE DESCARGO EN UAM 990 CAJAS DE BRASIL EL DIA 18/3/2025</t>
  </si>
  <si>
    <t>048/25</t>
  </si>
  <si>
    <t>RLG4B36</t>
  </si>
  <si>
    <t>RLE0E15</t>
  </si>
  <si>
    <t>SE DESCARGO EN UAM 919 CAJAS DE BRASIL FIBRA EL DIA 18/03</t>
  </si>
  <si>
    <t>047/25</t>
  </si>
  <si>
    <t>SP003</t>
  </si>
  <si>
    <t>RDS0I92</t>
  </si>
  <si>
    <t>QJU2476</t>
  </si>
  <si>
    <t>SE DESCARGO EN UAM 936 CAJAS BRASIL SAO PABLO EL DIA 19/3/2025</t>
  </si>
  <si>
    <t>IRK7D17</t>
  </si>
  <si>
    <t>MTN2D37</t>
  </si>
  <si>
    <t>SE DESCARGO EN UAM 991 CAJAS BRASIL COMUN EL DIA 19/3/2025</t>
  </si>
  <si>
    <t>SP004</t>
  </si>
  <si>
    <t>RYT1C96</t>
  </si>
  <si>
    <t>RLB7B40</t>
  </si>
  <si>
    <t>SE DESCARGO EN UAM 936 CAJAS DE BRASIL SAO PABLO EL DIA 21/3/2025</t>
  </si>
  <si>
    <t>JV033</t>
  </si>
  <si>
    <t>JCC3C87</t>
  </si>
  <si>
    <t>JCC4I03</t>
  </si>
  <si>
    <t>SE DESCARGO EN UAM 991 CAJAS DE BRASIL EL DIA 21/3/25</t>
  </si>
  <si>
    <t>GT024</t>
  </si>
  <si>
    <t>SE DESCARGO EN UAM 991 CAJAS DE BRASIL FIBRA EL DIA 21/3/2025</t>
  </si>
  <si>
    <t>JBO7E73</t>
  </si>
  <si>
    <t>JAU7G09</t>
  </si>
  <si>
    <t>SE DESCARGO EN UAM 991 CAJAS DE BRASIL EL DIA 31/3/2025. LO CUALES VINIERON 2 PALLETS DE BRASIL FIBRA Y 26 PALLETS DE BRASIL</t>
  </si>
  <si>
    <t>CI002</t>
  </si>
  <si>
    <t>MJO-4528</t>
  </si>
  <si>
    <t>MHW-7856</t>
  </si>
  <si>
    <t>SE DESCARGO EN UAM 918 CAJAS DE BRASIL EL DIA 22/3/2025</t>
  </si>
  <si>
    <t>053/25</t>
  </si>
  <si>
    <t>RYT 9H32</t>
  </si>
  <si>
    <t>SE DESCARGO EN UAM 324 CAJAS DE JENGIBRE, 432 CJAS DE BRASIL,324 CJAS DE JENGIBRE, 140 CAJAS DE HAVAI Y 280 CAJAS DE PAPAYA FORMOSA</t>
  </si>
  <si>
    <t>SE DESCARGO EN UAM 990 CAJAS DE BRASIL EL DIA 22/3/2025</t>
  </si>
  <si>
    <t>056/25</t>
  </si>
  <si>
    <t>CP020</t>
  </si>
  <si>
    <t>SE DESCARGO EN UAM 919 CAJAS DE BRASIL FIBRA EL DIA 22/3/2025</t>
  </si>
  <si>
    <t>057/25</t>
  </si>
  <si>
    <t>FH017</t>
  </si>
  <si>
    <t xml:space="preserve">22/03 SE DESCARGO EN RIQUEZA NATURAL 918 CAJAS DE PEPE FIBRA VINIERON 2 PALLET CON FRUTA PEQUEÑAS  FUTA EN BUEN ESTADO </t>
  </si>
  <si>
    <t>CH013</t>
  </si>
  <si>
    <t>SE DESCARGO EN UAM 991 CAJAS DE BRASIL EL FIBRA EL DIA 22/3/25</t>
  </si>
  <si>
    <t>TK002</t>
  </si>
  <si>
    <t>RYE3I06</t>
  </si>
  <si>
    <t>GBJ2G17</t>
  </si>
  <si>
    <t>se descargo en uam 918 cajas de brasil el dia 22/3/2025</t>
  </si>
  <si>
    <t>054/25</t>
  </si>
  <si>
    <t>sp005</t>
  </si>
  <si>
    <t>RYE9F69</t>
  </si>
  <si>
    <t>RYE9F19</t>
  </si>
  <si>
    <t>SE DESCARGO EN UAM 936 BANANAS SAN PABLO EL DIA 25/3/25</t>
  </si>
  <si>
    <t>SE DESCARGO EN UAM 919 CAJAS DE BRASIL FIBRA EL DIA 25/3/25</t>
  </si>
  <si>
    <t>AZL 3469</t>
  </si>
  <si>
    <t>MCG 3843</t>
  </si>
  <si>
    <t>SE DESCARGO EN UAM 918 CAJAS DE BRASIL FIBRA EL DIA 25/3/2025</t>
  </si>
  <si>
    <t>se descargo en uam 990 cajas de brasil el dia 25/3/2025. VINIERON 14 PALLETS CON FRUTA SENTIDA</t>
  </si>
  <si>
    <t>SE DESCARGO UAM 990 CAJAS DE BRASIL EL DIA 25/3/2025</t>
  </si>
  <si>
    <t>se descargo en uam 990 cajas de brasil el dia 25/3/2025. VINIERON TODOS LOS PALLETS CON FRUTA SENTIDA</t>
  </si>
  <si>
    <t>FH016b</t>
  </si>
  <si>
    <t>se descargo en uam 918 cajas de brasiel el dia 25/3/2025</t>
  </si>
  <si>
    <t>RAB5706</t>
  </si>
  <si>
    <t>MIF9945</t>
  </si>
  <si>
    <t>se descargo en uam 918 cajas de brasil .Vinieron 16 palie con fruta madura y sentida el dia 26/03/2025</t>
  </si>
  <si>
    <t>059/25</t>
  </si>
  <si>
    <t>BEN1E32</t>
  </si>
  <si>
    <t>IQR1C76</t>
  </si>
  <si>
    <t>SE DESCARGO EN UAM 991 LO CUALES VINIERON 505 BRASIL FIBRA Y 486 CAJAS DE BRASIL EL DIA 27/3/2025</t>
  </si>
  <si>
    <t>20X36 BR FIBRA Y 5 X36 +1X18 BR OK</t>
  </si>
  <si>
    <t>24.75/24.70</t>
  </si>
  <si>
    <t>SG#005</t>
  </si>
  <si>
    <t>VR: SE DESCARGO EN UAM 918 CAJAS DE BANANAS BRASIL MADERA ( 720 CAJAS DE BR FIBRA Y 198 CAJAS DE BRASIL OK TODAS EN EXCELENTE ESTADO EL DIA 27/05/03</t>
  </si>
  <si>
    <t>061/25</t>
  </si>
  <si>
    <t>VH034</t>
  </si>
  <si>
    <t>VR: SE DESCARGO EN UAM 990 CAJAS DE BANANA BRASIL FIBRA EN EXCELENTE ESTADO EL DIA 27/03/25</t>
  </si>
  <si>
    <t>SP006</t>
  </si>
  <si>
    <t>TDQ9I90</t>
  </si>
  <si>
    <t>28/3 SE DESCARGO EN RIQUEZA NATURAL 936 CAJAS DE SP FRUTAS EN BUEN  ESTADO SP 006</t>
  </si>
  <si>
    <t xml:space="preserve">SE DESCARGARON 991 CAJAS EL DIA 28/03/25 PRODUCTOR JV DE LAS CUALES 731 bR-COMU, 260 BR-FIBRA </t>
  </si>
  <si>
    <t>FJX1823</t>
  </si>
  <si>
    <t>FJX1821</t>
  </si>
  <si>
    <t>SE DESCARGO EN RIQUEZA NATURAL 919 CAJAS PRODUCTOR CP021, TODOBRASIL FIBRA.</t>
  </si>
  <si>
    <t xml:space="preserve">SE DESCARGO EN RIQUEZA NATURAL 991 CAJAS PRODUCTOR GT, 36 BRCOMUN OK, 955 BR- FIBRA </t>
  </si>
  <si>
    <t xml:space="preserve">SE DESCARGO EN RIQUEZA NATURAL EL DIA 28/03/25 990 CAJAS DE BANANA BRASIL PRODUCTOR VICTOR 954 BR-COMUN, 36 BR-CAJA NEGRA </t>
  </si>
  <si>
    <t>063/25</t>
  </si>
  <si>
    <t>RLS1J06</t>
  </si>
  <si>
    <t>29/03 SE DESCARGO EN RIQUEZA NATURAL 919 CAJAS DE PEPE FIBRA FRUTA EN BUEN ESATADO</t>
  </si>
  <si>
    <t>TK003</t>
  </si>
  <si>
    <t>RXT8A52</t>
  </si>
  <si>
    <t>29/03 SE DESCARGO EN RIQUEZA NATURAL 918 CAJAS DE PEPE VINIERON LA MAYORIA DE LOS PALLET CON PECAS MADURAS</t>
  </si>
  <si>
    <t>CP021a</t>
  </si>
  <si>
    <t>SXP4128</t>
  </si>
  <si>
    <t>SXP4148</t>
  </si>
  <si>
    <t>se descargo en uam 918 brasil fibra el dia 29/3/2025</t>
  </si>
  <si>
    <t>LA CARGA VINO BIEN,SE DETECTARON ALGUNAS PENCAS PASADAS DE CALIBRE Y VINIERON DOS PALIES DE FRUTA PEQUEÑA</t>
  </si>
  <si>
    <t>SE DESCARGO EN UAM 918 CAJAS DE BRASIL FIBRA EL DIA 1/4/25</t>
  </si>
  <si>
    <t>RLN8F37</t>
  </si>
  <si>
    <t>QIW-4856</t>
  </si>
  <si>
    <t>GERSON FRANCISCO DOS SANTOS</t>
  </si>
  <si>
    <t>SE DESCARGO EN UAM 990 CAJAS DE BRASIL COMUN EL DIA 1/4/2025</t>
  </si>
  <si>
    <t>VINIERON VARIOS PALIE DE FRUTA SENTIDA DE BRASIL FIBRA EL DIA 01/04/2025</t>
  </si>
  <si>
    <t>062/25</t>
  </si>
  <si>
    <t>SP007</t>
  </si>
  <si>
    <t>JBH0D12</t>
  </si>
  <si>
    <t>RXY3J44</t>
  </si>
  <si>
    <t>OSMAR FERREIRA SILVA</t>
  </si>
  <si>
    <t>SE DESCARGO EN UAM 936 CAJAS DE BRASIL SAO PABLO EL DIA 2/4/2025</t>
  </si>
  <si>
    <t>SP008</t>
  </si>
  <si>
    <t>RYD6J59</t>
  </si>
  <si>
    <t>RYC1I99</t>
  </si>
  <si>
    <t>RANDOLFO SOUZA SILVA</t>
  </si>
  <si>
    <t>SE DESCARGO EN UAM 936 CAJAS DE SP EL DIA 03/04/2025 . VINO QUEMADA POR EL FRIO</t>
  </si>
  <si>
    <t xml:space="preserve">SE DESCARGO EN UAM 991 CAJAS DE BRASIL FIBRA EL DIA 03/04/2025. SE DETECTARON PENCAS DE BAJO CALIBRE </t>
  </si>
  <si>
    <t>UY003-AL</t>
  </si>
  <si>
    <t>EXOTICO</t>
  </si>
  <si>
    <t>DDA2G59</t>
  </si>
  <si>
    <t>SE DESCARGO EN UAM 3050 CAJAS DE: MANGO 2160 CAJAS,JENGIBRE 300 CAJAS,FORMOSA 260 CAJAS, LIMA 200 CAJAS,HAVAI 130 CAJAS EL DIA 4/4/2025</t>
  </si>
  <si>
    <t>FH018/GT028</t>
  </si>
  <si>
    <t>CLAUDIO LEITE DE CAMARGO</t>
  </si>
  <si>
    <t>SE DESCARGO EN UAM 919 CAJAS DE BRASIL EL DIA 4/4/2025</t>
  </si>
  <si>
    <t xml:space="preserve">SE DESCARGO EN UAM 991 CAJAS DE BRASIL FIBRA EL DIA 4/4/2025. VINIERON 20 PALLETS CON FRUTA SENTIDA Y COLOR </t>
  </si>
  <si>
    <t>KLISMAN SOARES DE OLIVEIRA</t>
  </si>
  <si>
    <t>SE DESCARGO EN UAM 990 CAJAS DE BRASIL FIBRA EL DIA 4/4/2025</t>
  </si>
  <si>
    <t>068/25</t>
  </si>
  <si>
    <t>SE DESCARGO EN UAM 991 CAJAS DE BRASIL COMUN EL DIA 4/4/2025</t>
  </si>
  <si>
    <t>SE DESCARGO EN UAM 991 CAJAS DE BRASIL EL DIA 5/4/2025</t>
  </si>
  <si>
    <t>069/25</t>
  </si>
  <si>
    <t>SE DESCARGO EN UAM 918 CAJAS DE BRASIL FIBRA EL DIA 8/4/2025</t>
  </si>
  <si>
    <t>TK004</t>
  </si>
  <si>
    <t>RXW5F83</t>
  </si>
  <si>
    <t>MFH-7224</t>
  </si>
  <si>
    <t>ORLANDO FERNANDES PEREIRA</t>
  </si>
  <si>
    <t xml:space="preserve">se descargo en uam 918 cajas de brasil el dia 8/4/2025. la fruta vino toda madura y con distinto calibre </t>
  </si>
  <si>
    <t>MMK 8H90</t>
  </si>
  <si>
    <t>FEJ 8236</t>
  </si>
  <si>
    <t>Ogilio Ferreira</t>
  </si>
  <si>
    <t>SE DESCARGO EN UAM 919 CAJAS DE BRASIL FIBRA EL DIA 8/4/2025</t>
  </si>
  <si>
    <t>FH019</t>
  </si>
  <si>
    <t>ATALIBA BENITES MENEZES</t>
  </si>
  <si>
    <t>SE DESCARGO EN UAM 918 CAJAS DE BRASIL EL DIA 8/4/2025</t>
  </si>
  <si>
    <t>jv040</t>
  </si>
  <si>
    <t>FCQ7H11</t>
  </si>
  <si>
    <t>RAE-6127</t>
  </si>
  <si>
    <t>RODICLESLEY DOS PASSOS DA SILVA</t>
  </si>
  <si>
    <t>se descargo en uam 919 cajas de brasil el dia 8/4/2025</t>
  </si>
  <si>
    <t>SE DESCARGO EN UAM 990 CAJAS DE BRASIL EL DIA 8/4/2025</t>
  </si>
  <si>
    <t>SE DESCARGOE EN UAM 991 CAJAS DE BRASIL FIBRA EL DIA 8/4/2025</t>
  </si>
  <si>
    <t>SE DESCARGO EN UAM 990 CAJAS DE BRASIL FIBRA EL DIA 8/4/2025</t>
  </si>
  <si>
    <t>SE DESCARGO EN UAM 991 CAJAS DE BRASIL EL DIA 10/4/2025</t>
  </si>
  <si>
    <t>071/25</t>
  </si>
  <si>
    <t>JVH040</t>
  </si>
  <si>
    <t>JCN 0D95</t>
  </si>
  <si>
    <t>JCR 5E06</t>
  </si>
  <si>
    <t>MARCOS RICARDO MENESES DA LUZ</t>
  </si>
  <si>
    <t>SE DESCARGO EN UAM 918 CAJAS DE BRASIL FIBRA EL DIA 10/4/2025</t>
  </si>
  <si>
    <t>CH016</t>
  </si>
  <si>
    <t>Luis Henrique Garça</t>
  </si>
  <si>
    <t>SE DESCARGO EN UAM 990 CAJAS DE BRASIL FIBRA Y COMUN EL DIA  10/4/2025</t>
  </si>
  <si>
    <t>Gustavo Dias</t>
  </si>
  <si>
    <t>SE DESCARGO EN UAM 990 CAAJAS DE BRASIL EL DIA 10/4/2025</t>
  </si>
  <si>
    <t>UY004-AL</t>
  </si>
  <si>
    <t>EXOTICO-VA009</t>
  </si>
  <si>
    <t>RXZ2F56</t>
  </si>
  <si>
    <t>MDJ8050</t>
  </si>
  <si>
    <t>SE DESCARGO EN UAM 324 CAJAS DE BRASIL, 100 CAJAS DE COCO,200 CAJAS DE LIMA,300 CAJAS  JENGIBRE,260 PAPAYA FORMOSAY 140 CAJAS DE HAVAI</t>
  </si>
  <si>
    <t>LUIZ ANTONIO EMIDIO</t>
  </si>
  <si>
    <t>SE DESCARGO EN UAM 919 CAJAS DE BRASIL FIBRA EL DIA 11/4/2025</t>
  </si>
  <si>
    <t>Maicom Acosta</t>
  </si>
  <si>
    <t>SE DESCARGO EN UAM 990 CAJAS DE BRASIL FIBRA EL DIA 11/4/2025</t>
  </si>
  <si>
    <t>se descargo en uam 990 cajas de brasil el dia 11/4/25</t>
  </si>
  <si>
    <t>FT020</t>
  </si>
  <si>
    <t>ABRAAO RODRIGUES DA SILVA</t>
  </si>
  <si>
    <t>SE DESCARGO EN UAM 918 CAJAS DE BRASIL EL DIA 11/4/2025</t>
  </si>
  <si>
    <t>jv042</t>
  </si>
  <si>
    <t>SE DESCARGO EN UAM 991 CAJAS DE BRASIL EL DIA 11/4/2025</t>
  </si>
  <si>
    <t>MLR 8C56</t>
  </si>
  <si>
    <t>RDU 8A16</t>
  </si>
  <si>
    <t>Marcio Elias da Silva</t>
  </si>
  <si>
    <t>SE DESCARGO EN UAM 900 CAJAS BRASIL FIBRA Y 18 BR CAJA NEGRA, PRODUCTOR VH 042 EL DIA 12/04/25</t>
  </si>
  <si>
    <t>073/25</t>
  </si>
  <si>
    <t>RAJ0B88</t>
  </si>
  <si>
    <t xml:space="preserve">12/04 SE DESCARGO EN RIQUEZA NATURAL 991 CAJAS DE PEPE FRUTA EN BUEN ESTADO VINIERON CAJAS BAJO PESO </t>
  </si>
  <si>
    <t>TK005</t>
  </si>
  <si>
    <t>GEB4J44</t>
  </si>
  <si>
    <t>MJF-6139</t>
  </si>
  <si>
    <t>ADEMIR RODRIGUES DE MELLO</t>
  </si>
  <si>
    <t xml:space="preserve">SE DESCARGO EN UAM 918 CAJAS DE BRASIL EL DIA 12/4/2025. </t>
  </si>
  <si>
    <t>CH017 Es fruta de Sergio SG#07</t>
  </si>
  <si>
    <t>SXU 1I10</t>
  </si>
  <si>
    <t>SXJ 7G98</t>
  </si>
  <si>
    <t>Nilso Orlandini</t>
  </si>
  <si>
    <t>12/04 SE DESCARGO EN RIQUEZA NATURAL 918 CAJAS DE OK COMUN FRUTA EN BUEN ESTADO</t>
  </si>
  <si>
    <t>072/25</t>
  </si>
  <si>
    <t>FPO3B77</t>
  </si>
  <si>
    <t>MHC-2792</t>
  </si>
  <si>
    <t>NEYXANN SILVA AMORIM</t>
  </si>
  <si>
    <t xml:space="preserve">15/04 SE DESCARGO EN RIQUEZA NATURAL 919 CAJAS BRASIL PEPE COMUN FRUTA EN BUEN ESTADO </t>
  </si>
  <si>
    <t>RXS4E22</t>
  </si>
  <si>
    <t>RDS6B52</t>
  </si>
  <si>
    <t>GILSON CONCEICAO DOS SANTOS</t>
  </si>
  <si>
    <t xml:space="preserve">15/04 SE DESCARGO EN RIQUEZA NATURAL 918 CAJAS DEPEPE COMUN FRUTA EN BUEN ESTADO </t>
  </si>
  <si>
    <t>SE DESCARGO EN UAM 990 CAJAS DE BRASIL COMUN EL DIA 15/4/2025</t>
  </si>
  <si>
    <t xml:space="preserve">15/4/2025 SE DESCARGO EN RIQUEZA NATRUAL 918 CAJAS DE PEPE COMUN FRUTA EN BUEN ESTADO </t>
  </si>
  <si>
    <t>CH019</t>
  </si>
  <si>
    <t>RENI ESPINOZA MORAES</t>
  </si>
  <si>
    <t>SE DESCARGO EN UAM 991 CAJAS DE BRASIL EL DIA 15/4/2025</t>
  </si>
  <si>
    <t>076/25</t>
  </si>
  <si>
    <t>BERNARDO OLIVEIRA DUTRA DA SILVEIRA</t>
  </si>
  <si>
    <t>JV043</t>
  </si>
  <si>
    <t>MKM9100</t>
  </si>
  <si>
    <t>JCH7G38</t>
  </si>
  <si>
    <t>Neiquel Avila</t>
  </si>
  <si>
    <t xml:space="preserve">15/4 SE DESCARGO EN RIQUEZA NATURAL 991 CAJAS DE PEPE COMUN  FRURAS EN BUEN ESTADO </t>
  </si>
  <si>
    <t>FZT8B53</t>
  </si>
  <si>
    <t>MHV-9186</t>
  </si>
  <si>
    <t>DIEGO DO VALE DA SILVA</t>
  </si>
  <si>
    <t>QTL8D90</t>
  </si>
  <si>
    <t xml:space="preserve">	QJU-3580</t>
  </si>
  <si>
    <t>JOAO FRANKLIN PEDROSO CHAVASCO</t>
  </si>
  <si>
    <t>15/04 SE DESCARGO EN RIQUEZANATURAL 919 CAJS DE PEPE COMUN FRUTA EN BUEN ESTADO</t>
  </si>
  <si>
    <t>TK006</t>
  </si>
  <si>
    <t>ITB3H41</t>
  </si>
  <si>
    <t>ILN1780</t>
  </si>
  <si>
    <t>Jorge Daniel Borches Oliveira</t>
  </si>
  <si>
    <t>SE DESCARGO EN UAM 990 CAJAS DE BRASIL EL DIA 15/4/2025</t>
  </si>
  <si>
    <t>IEH8J26</t>
  </si>
  <si>
    <t>CZX6C95</t>
  </si>
  <si>
    <t>PAULO RICARDO LISBOA TROGILDO FILHO</t>
  </si>
  <si>
    <t xml:space="preserve">15/04 SE DESCARGO EN RIQUEZA NATURAL 993 CAJAS DE PEPE FIBRA FRUTA EN BUEN ESTADO </t>
  </si>
  <si>
    <t>15/04 SE DESCARGO EN RIQUEZA NATURAL 990CAJAS BRASIL PEPE COMUN FRUTA EN BIEN VINO UNOS PALLET CON PECAS MADURAS</t>
  </si>
  <si>
    <t>IEZ1F31</t>
  </si>
  <si>
    <t>KDP2645</t>
  </si>
  <si>
    <t>GABRIEL AGUSTIN DE LOS SANTOS GARCIA</t>
  </si>
  <si>
    <t>074/25</t>
  </si>
  <si>
    <t>sp009</t>
  </si>
  <si>
    <t>RYE1J68</t>
  </si>
  <si>
    <t>RXN7H59</t>
  </si>
  <si>
    <t>ROGERIO BEZERRA</t>
  </si>
  <si>
    <t>SE DESCARGO EN UAM 936 CAAJAS DE BRASIL SAO PABLO EL DIA 16/4/2025</t>
  </si>
  <si>
    <t>Luciano Sarmento</t>
  </si>
  <si>
    <t>16/4/2025 SE DESCARGO EN RIQUEZA NATURAL 918 CAJAS DE FIBRA  VINIERON 2 PALLET CON FRUTAS PPEQUEÑAS FRUTA EN BUEN ESTADO</t>
  </si>
  <si>
    <t>075/25</t>
  </si>
  <si>
    <t>fh021</t>
  </si>
  <si>
    <t>Lucival dos Santos</t>
  </si>
  <si>
    <t>se descargo en uam 918 cajas de brasil el dia 16/4/2025</t>
  </si>
  <si>
    <t>078/25</t>
  </si>
  <si>
    <t>16/04 SE DESCARGO EN RIQUEZA NATURAL 991 CAJAS DE PEPE COMUN FRUTAS EN BUEN ESTADO</t>
  </si>
  <si>
    <t>JOBINSON PAUL VALDEZ FERREIRA</t>
  </si>
  <si>
    <t>SE DESCARGO EN UAM 990 CAJAS DE BRASIL FIBRA EL DIA 16/4/2025</t>
  </si>
  <si>
    <t>JAV2A68</t>
  </si>
  <si>
    <t>JBI9J54</t>
  </si>
  <si>
    <t>JANILSON FERREIRA</t>
  </si>
  <si>
    <t xml:space="preserve">16/04 SE DESCARGO EN RIQUEZA NATURAL 990 CAJAS DEPEPE FIBR VINIERON 4 PALLET CON FRUTA PEQUEÑA  FRUTA BIEN </t>
  </si>
  <si>
    <t>SE DESCARGO EN UAM 990 CAJAS DE BRASIL EL DIA 17/4/2025</t>
  </si>
  <si>
    <t>CI003</t>
  </si>
  <si>
    <t>RLA6D45</t>
  </si>
  <si>
    <t>RLB5A65</t>
  </si>
  <si>
    <t>SELMIR ADRIANO MORESCO</t>
  </si>
  <si>
    <t>SE DESCARGO EN UAM 918 CAJAS DE BRASIL EL DIA 17/4/2025</t>
  </si>
  <si>
    <t>FH022</t>
  </si>
  <si>
    <t>RXK4A99</t>
  </si>
  <si>
    <t>GIF4G59</t>
  </si>
  <si>
    <t>ALICINDO DOS SANTOS</t>
  </si>
  <si>
    <t xml:space="preserve">SE DESCARGO EN UAM 918 CAJAS DE BRASIL </t>
  </si>
  <si>
    <t>FH023</t>
  </si>
  <si>
    <t>ANDRE MATTOS FLORES</t>
  </si>
  <si>
    <t xml:space="preserve">  SE DESCARGO EN UAM EL DIA 23/04/2025 918 CAJAS DE BRASIL COMUN, VIENIERON FRUTA QUEMADAS POR EL FRIO,TAMBIEN 4 PALLETS DE FRUTA GRAUDA Y DOS PALIETS DE FRUTA PEQUEÑA</t>
  </si>
  <si>
    <t>SE DESCARGO EN UAM 991 CAJAS DE BRASIL EL DIA 24/4/2025</t>
  </si>
  <si>
    <t>SE DESCARGO EN UAM 990 CAJAS DE BRASIL EL DIA 24/4/2025</t>
  </si>
  <si>
    <t>UY005-AL</t>
  </si>
  <si>
    <t>EXOTICO (MANGO)</t>
  </si>
  <si>
    <t>RXP2F83</t>
  </si>
  <si>
    <t>Mango. sE DESCARGO EN RIQUEZA NATURAL EL DIA 25/04/25, 5615 CAJAS EN BUEN ESTADO.</t>
  </si>
  <si>
    <t>cp027</t>
  </si>
  <si>
    <t>SE DESCARGO EN UAM 918 CAJAS DE BRASIL FIBRA EL DIA 25/4/2025</t>
  </si>
  <si>
    <t>Neuri Bello</t>
  </si>
  <si>
    <t>SE DESCARGO EN UAM 919 CAJAS DE BRASIL EL DIA 25/4/2025</t>
  </si>
  <si>
    <t>RAJ0F68</t>
  </si>
  <si>
    <t>SE DESCARGO EN UAM 990 CAJAS DE BRASIL LAS CUALES VINIERON 144 CAJAS DE BRASIL COMUN Y 846 CAJAS DE BRASIL FIBRA EL DIA 26/4/2025</t>
  </si>
  <si>
    <t>FH024</t>
  </si>
  <si>
    <t>SE DESCARGO EN UAM 918 CAJAS DE BRASIL EL DIA 30/4/2025</t>
  </si>
  <si>
    <t>080/25</t>
  </si>
  <si>
    <t>RLP4H87</t>
  </si>
  <si>
    <t>RLK0J56</t>
  </si>
  <si>
    <t>MKO1196</t>
  </si>
  <si>
    <t>MFV8126</t>
  </si>
  <si>
    <t>081/25</t>
  </si>
  <si>
    <t>OKG6086</t>
  </si>
  <si>
    <t>MIG3985</t>
  </si>
  <si>
    <t>QTL7470</t>
  </si>
  <si>
    <t>RAB6288</t>
  </si>
  <si>
    <t>FH025</t>
  </si>
  <si>
    <t>RLG4B06</t>
  </si>
  <si>
    <t>QJW3659</t>
  </si>
  <si>
    <t>JV049</t>
  </si>
  <si>
    <t>AJE2C71</t>
  </si>
  <si>
    <t>ILR4153</t>
  </si>
  <si>
    <t>fh026</t>
  </si>
  <si>
    <t xml:space="preserve"> QTL-7470</t>
  </si>
  <si>
    <t>RAB-6288</t>
  </si>
  <si>
    <t>Cristian Leal</t>
  </si>
  <si>
    <t>se descargo en uam 918 cajas de brasil el dia 02/5/2025</t>
  </si>
  <si>
    <t>BRB043</t>
  </si>
  <si>
    <t> </t>
  </si>
  <si>
    <t>vh050</t>
  </si>
  <si>
    <t> RAJ0B88</t>
  </si>
  <si>
    <t> MIB3E78</t>
  </si>
  <si>
    <t>se descargo en uam 991 cajas de brasil el dia 2/5/2025</t>
  </si>
  <si>
    <t>083/25</t>
  </si>
  <si>
    <t>BRB046</t>
  </si>
  <si>
    <t>084/25</t>
  </si>
  <si>
    <t>BRB048</t>
  </si>
  <si>
    <t>BRB044</t>
  </si>
  <si>
    <t>cp029</t>
  </si>
  <si>
    <t>RLP3879</t>
  </si>
  <si>
    <t>RLI4F40</t>
  </si>
  <si>
    <t>Ovidio César Marcon</t>
  </si>
  <si>
    <t>se descargo en uam 918 cajas de brasil fibra el dia 2/5/2025</t>
  </si>
  <si>
    <t>SE DESCARGO EN UAM 990 CAJAS DE BRASIL EL DIA 29/4/2025</t>
  </si>
  <si>
    <t>001/AMR/2025</t>
  </si>
  <si>
    <t>BRB047</t>
  </si>
  <si>
    <t>FH027</t>
  </si>
  <si>
    <t>BAK7A01</t>
  </si>
  <si>
    <t>RHL1A17</t>
  </si>
  <si>
    <t>SE DESCARGO EN UMA 918 CAJAS DE BRASIL EL DIA 3/5/2025</t>
  </si>
  <si>
    <t>JCC387</t>
  </si>
  <si>
    <t>JCC4103</t>
  </si>
  <si>
    <t>SE DECARGO EN UAM 990 CAJAS DE BRASIL EL DIA 3/5/2025</t>
  </si>
  <si>
    <t>BRB045</t>
  </si>
  <si>
    <t> FEJ-8240</t>
  </si>
  <si>
    <t> MLB-2093</t>
  </si>
  <si>
    <t>HENRIQUE GOMES CARVALHO</t>
  </si>
  <si>
    <t>SE DESCARGO EN UAM 918 CAJAS DE BRASIL FIBRA EL DIA 6/5/2025</t>
  </si>
  <si>
    <t>086/25</t>
  </si>
  <si>
    <t>BRE014</t>
  </si>
  <si>
    <t xml:space="preserve">FH028-EXOTICO </t>
  </si>
  <si>
    <t>MGB5290</t>
  </si>
  <si>
    <t>FRV5093</t>
  </si>
  <si>
    <t>SE DESCARGO EN UAM 720 CAJAS DE BRASIL Y 324 CAJAS DE JENGIBRE EL DIA 6/5/2025</t>
  </si>
  <si>
    <t> OKG-6076</t>
  </si>
  <si>
    <t> MLX-3078</t>
  </si>
  <si>
    <t>NELIO DANIEL FURTADO SAMPAIO</t>
  </si>
  <si>
    <t>SE DESCARGO EN UAM 918 CAJAS DE BRASIL EL DIA 6/5/2025</t>
  </si>
  <si>
    <t> FEJ-8244</t>
  </si>
  <si>
    <t> QHT-8875</t>
  </si>
  <si>
    <t>MARCO ANTONIO C. DE MORAES</t>
  </si>
  <si>
    <t>SE DESCARGO EN UAM 919 CAJAS DE BRASIL EL DIA 6/5/2025!!   VINO EL CAMION TODO SENTIDO Y ALTO DE PULPA</t>
  </si>
  <si>
    <t> MKA1J84</t>
  </si>
  <si>
    <t>SE DESCARGO EN UAM 990 CAJAS DE BRASIL EL DIA 6/5/2025. VINIERON 10 PALLETS CON FRUTA SENTIDA</t>
  </si>
  <si>
    <t>VA011</t>
  </si>
  <si>
    <t> IZR1F22</t>
  </si>
  <si>
    <t> IYC5297</t>
  </si>
  <si>
    <t>JOAO IVO DA SILVA BRUM</t>
  </si>
  <si>
    <t>se descargo en uam 990 cajas de brasil el dia 6/5/2025</t>
  </si>
  <si>
    <t> RLP3E09</t>
  </si>
  <si>
    <t>RAG-2420</t>
  </si>
  <si>
    <t>HELBERTH LOBATO DOS SANTOS</t>
  </si>
  <si>
    <t>SE DESCARGO EN UAM 919 CAJAS DE BRASIL EL DIA 6/5/2025</t>
  </si>
  <si>
    <t> MIC5840</t>
  </si>
  <si>
    <t> MJN9B42</t>
  </si>
  <si>
    <t>SE DESCARGO EN UAM 990 CAJAS BRASIL EL DIA 6/5/2025</t>
  </si>
  <si>
    <t> IUO0058</t>
  </si>
  <si>
    <t> IPJ1A64</t>
  </si>
  <si>
    <t>SE DESCARGO EN UAM 991 CAJAS DE BRASIL EL DIA 6/5/2025</t>
  </si>
  <si>
    <t>ch023</t>
  </si>
  <si>
    <t> JBQ2C55</t>
  </si>
  <si>
    <t> IYV2196</t>
  </si>
  <si>
    <t>ANDRE NOVO FURTADO</t>
  </si>
  <si>
    <t>se descargo en uam 991 cajas de brasil el dia 6/5/2025</t>
  </si>
  <si>
    <t>087/25</t>
  </si>
  <si>
    <t>VH053</t>
  </si>
  <si>
    <t> RKZ-6G65</t>
  </si>
  <si>
    <t> RLI-6J14</t>
  </si>
  <si>
    <t>Renato Marton</t>
  </si>
  <si>
    <t>FH029</t>
  </si>
  <si>
    <t> RHX E14</t>
  </si>
  <si>
    <t>SE DESCARGO EN UAM 918 CAJAS DE BRASIL EL DIA 7/5/2025</t>
  </si>
  <si>
    <t>FH030</t>
  </si>
  <si>
    <t>QHPOJ65</t>
  </si>
  <si>
    <t> RYR8E35</t>
  </si>
  <si>
    <t>SE DESCARGO EN UAM 991 CAJAS DE BRASIL EL DIA 8/5/2025</t>
  </si>
  <si>
    <t xml:space="preserve"> SE DESCARGO EN UAM 991 CAJAS DE BRASIL EL DIA 8/5/2025</t>
  </si>
  <si>
    <t>MDN2A06</t>
  </si>
  <si>
    <t>LYS7F95</t>
  </si>
  <si>
    <t>EDUARDO FARIAS SAMPAIO</t>
  </si>
  <si>
    <t>SE DESCARGO EN UAM 990 CAJAS DE BRASIL EL DIA 8/5/2025</t>
  </si>
  <si>
    <t>088/25</t>
  </si>
  <si>
    <t>FH031</t>
  </si>
  <si>
    <t>SE DESCARGO EN UAM  990 CAJAS DE BRASIL EL DIA 9/5/2025</t>
  </si>
  <si>
    <t>FH032</t>
  </si>
  <si>
    <t>Maria Roberta Alves</t>
  </si>
  <si>
    <t>SE DESCARGO EN UAM 918 CAJAS DE BRASIL EL DIA 9/5/2025</t>
  </si>
  <si>
    <t>SE DESCARGO EN UAM 990 CAJAS DE BRASIL EL DIA 9/5/2025</t>
  </si>
  <si>
    <t>SE DESCARGO EN UAM 991 CAJAS DE BRASIL EL DIA 9/5/2025</t>
  </si>
  <si>
    <t>GT038</t>
  </si>
  <si>
    <t>RDY5A56</t>
  </si>
  <si>
    <t>IPL8E01</t>
  </si>
  <si>
    <t>Guillermo Daniel Vidal Estévez</t>
  </si>
  <si>
    <t>10/05 SE DESCARGO EN RIQUEZA NATURAL 990 CAJAS DE PEPE COMUN FRUTA BIEN GT038</t>
  </si>
  <si>
    <t>10/05 SE DESCARGO EN RIQUEZA NATURAL 991 CAJAS DE PEPE COMUN VINO SOLO UNA CAJA CON  PECA MADURA EL RESTO BIEN  CH 025</t>
  </si>
  <si>
    <t>FH034</t>
  </si>
  <si>
    <t>RLB6J52</t>
  </si>
  <si>
    <t>QJW-3639</t>
  </si>
  <si>
    <t>CLAUDIO JOSE DOS ANJOS</t>
  </si>
  <si>
    <t>SE DESCARGO EN UAM 918 CAJAS DE BRASI EL DIA 13/5/2025</t>
  </si>
  <si>
    <t>GT039</t>
  </si>
  <si>
    <t>RODRIGO MIRANDA DE MELLO</t>
  </si>
  <si>
    <t>se descargo en uam 918  cajas de brasil fibra el dia 13/5/2025</t>
  </si>
  <si>
    <t>SE DESCARGO EN UAM 919 CAJAS DE BRASIL EL DIA 13/5/2025</t>
  </si>
  <si>
    <t>GT040</t>
  </si>
  <si>
    <t>SE DESCARGO EN UAM 990 CAJAS DE BRASIL OK EL DIA 13/5/2025</t>
  </si>
  <si>
    <t>SE DESCARGO EN UAM 990 CAJAS DE BRASIL EL DIA 13/5/2025</t>
  </si>
  <si>
    <t>089/25</t>
  </si>
  <si>
    <t>RLP 4H47</t>
  </si>
  <si>
    <t>RDW 3J21</t>
  </si>
  <si>
    <t>ANTONIO VALDIR CORAZZA BASSETTO</t>
  </si>
  <si>
    <t>ELIVELTON DA SILVA SOARES</t>
  </si>
  <si>
    <t>SE DESCARGO EN UAM 991 CAJAS DE BRASIL EL DIA 13/5/2025</t>
  </si>
  <si>
    <t>003/AMR/2025</t>
  </si>
  <si>
    <t>FH033</t>
  </si>
  <si>
    <t>RLJ-7I85</t>
  </si>
  <si>
    <t>MKK-4327</t>
  </si>
  <si>
    <t>002/AMR/2025</t>
  </si>
  <si>
    <t>FH035</t>
  </si>
  <si>
    <t>RYY-9C80</t>
  </si>
  <si>
    <t>SXR-9J41</t>
  </si>
  <si>
    <t>MJN9B42</t>
  </si>
  <si>
    <t>090/25</t>
  </si>
  <si>
    <t>VH055</t>
  </si>
  <si>
    <t>KKC5579</t>
  </si>
  <si>
    <t>JBE1C44</t>
  </si>
  <si>
    <t>JUAN JOSE DIAZ PERRONI</t>
  </si>
  <si>
    <t>SE DESCARGO EN UAM 978 CAJAS DE BRASIL EL DIA 13/5/2025</t>
  </si>
  <si>
    <t>EXP24004371 / 2025</t>
  </si>
  <si>
    <t xml:space="preserve">AWR6J63	</t>
  </si>
  <si>
    <t>MLQ-5000</t>
  </si>
  <si>
    <t>Marcos Jose de Godoi</t>
  </si>
  <si>
    <t>SE DESCARGO EN UAM MELON AMARILLO 1560 CAAJS EL DIA 15/5/2025</t>
  </si>
  <si>
    <t>092/25</t>
  </si>
  <si>
    <t>SE DESCARGO EN UAM 990 CAJAS DE BRASIL EL DIA 15/5/2025</t>
  </si>
  <si>
    <t>vh057</t>
  </si>
  <si>
    <t xml:space="preserve"> SE DESCARGO EN UAM 990 CAJAS DE BRASIL EL DIA 16/5/2025</t>
  </si>
  <si>
    <t>SE DESCARGO EN UAM 990 CAJAS DE BRASIL EL DIA 16/5/2025</t>
  </si>
  <si>
    <t>GT041</t>
  </si>
  <si>
    <t>ANDERSON ACOSTA PACHECO</t>
  </si>
  <si>
    <t>SE DESCARGO EN UAM 990 CAJAS DE BRASIL FIBRA EL DIA 16/5/2025</t>
  </si>
  <si>
    <t>093/25</t>
  </si>
  <si>
    <t>FH 037</t>
  </si>
  <si>
    <t>BES 9A04</t>
  </si>
  <si>
    <t>MMF 5H73</t>
  </si>
  <si>
    <t>JORGE IVO LUDWIG</t>
  </si>
  <si>
    <t xml:space="preserve">16/05 SE DESCARGO EN RIQUEZA NATURAL 252 CAJAS DE BANANA -360 JENGIBRE- 200 LIMA-210 FORMOSA -528 PALTA  -50 COCO FRUTA BIEN </t>
  </si>
  <si>
    <t>FH036</t>
  </si>
  <si>
    <t>Igor do Santos</t>
  </si>
  <si>
    <t>SE DESCARGO EN UAM 918 CAJAS DE BRASIL EL DIA 15/5/2025</t>
  </si>
  <si>
    <t>FH038a</t>
  </si>
  <si>
    <t>JCG9H97</t>
  </si>
  <si>
    <t>BRAYAN DE SOUZA FERREIRA</t>
  </si>
  <si>
    <t xml:space="preserve">17/05 se descargo nen riqueza natural 990 cajas de PEPE COMUN </t>
  </si>
  <si>
    <t>GT042</t>
  </si>
  <si>
    <t xml:space="preserve">CP032 </t>
  </si>
  <si>
    <t>FCI8I95</t>
  </si>
  <si>
    <t xml:space="preserve">17/05SE DESCARGO EN RIQUEZA NATURAL 918 CAJAS DE PEPE FIBRA  FRUTA BIEN </t>
  </si>
  <si>
    <t>MKI 9A75</t>
  </si>
  <si>
    <t>GUILHERME PEDRO GAIO</t>
  </si>
  <si>
    <t>SE DESCARGO EN UAM 918 CAJAS DE BRASIL COMUN EL DIA 20/5/2025</t>
  </si>
  <si>
    <t>fh038</t>
  </si>
  <si>
    <t>FMT5G87</t>
  </si>
  <si>
    <t>CUK2I48</t>
  </si>
  <si>
    <t>ANTONIO CARLOS PRATES MAGALHAES</t>
  </si>
  <si>
    <t>fh039</t>
  </si>
  <si>
    <t>RLI 2E34</t>
  </si>
  <si>
    <t>RKY 0F54</t>
  </si>
  <si>
    <t>Fabio Pertussatti</t>
  </si>
  <si>
    <t>SE DESCARGO EN UAM 918 CAJAS DE BRASIL EL DIA 21/5/2025</t>
  </si>
  <si>
    <t>094/25</t>
  </si>
  <si>
    <t>FH037</t>
  </si>
  <si>
    <t>RLI 2C94</t>
  </si>
  <si>
    <t>RLD 9B93</t>
  </si>
  <si>
    <t>Ildga Arenhart</t>
  </si>
  <si>
    <t>SE DESCARGO EN UAM 918 CAJAS DE BRASIL EL DIA 20/5/2025</t>
  </si>
  <si>
    <t>QJO-0296</t>
  </si>
  <si>
    <t>MJQ-2197</t>
  </si>
  <si>
    <t>se descargo en uam 919 cajas de brasil fibra el dia 20/5/2025</t>
  </si>
  <si>
    <t>SE DESCARGO EN UAM 991 CAJAS DE BRASIL EL DIA 20/5/2025</t>
  </si>
  <si>
    <t>SE DESCARGO EN UAM 990 CAJAS DE BRASIL EL DIA 20/5/2025</t>
  </si>
  <si>
    <t>096/25</t>
  </si>
  <si>
    <t>SE DESCARGO EN UAM 990 CAJAS DE BRASIL EL DIA 22/5/2025</t>
  </si>
  <si>
    <t>ch025</t>
  </si>
  <si>
    <t>se descargo en uam 990 cajas de brasil el dia 22/5/2025</t>
  </si>
  <si>
    <t>FH040</t>
  </si>
  <si>
    <t>RLN8E37</t>
  </si>
  <si>
    <t>RLK0J86</t>
  </si>
  <si>
    <t>NELSON FERNANDO DA SILVA</t>
  </si>
  <si>
    <t>SE DESCARGOE N UAM 918 ACJAS DE BRASIL EL DIA 22/5/2025</t>
  </si>
  <si>
    <t>JV065</t>
  </si>
  <si>
    <t>QJN-8376</t>
  </si>
  <si>
    <t>RAE-6167</t>
  </si>
  <si>
    <t>JACKSON ALVES DO CARMO NASCIMENTO</t>
  </si>
  <si>
    <t>SE DESCARGO EN UAM 919 CAJAS DE BRASIL EL DIA 22/5/2025</t>
  </si>
  <si>
    <t>FH041</t>
  </si>
  <si>
    <t>RXO 9E18</t>
  </si>
  <si>
    <t>MKM 3I14</t>
  </si>
  <si>
    <t>Adriano Becker de Souza</t>
  </si>
  <si>
    <t>SE DESCARGO EN UAM 918 CAJAS DE BRASIL EL DIA 23/5/2025</t>
  </si>
  <si>
    <t>SE DESCARGO EN UAM 991 CAJAS BRASIL EL DIA 23/5/2025</t>
  </si>
  <si>
    <t>SE DESCARGO EN UAM EL DIA 24/05/25 990 CAJS PRODUCTOR VH059 TODO BRASIL COMUN.</t>
  </si>
  <si>
    <t>EVH8087</t>
  </si>
  <si>
    <t>QIH555</t>
  </si>
  <si>
    <t>SE DESCARGO EN UAM EL DIA 24/05/25 919 CAJS PRODUCTOR CP034 TODO BRASIL FIBRA.</t>
  </si>
  <si>
    <t>FH042</t>
  </si>
  <si>
    <t xml:space="preserve">SE DESCARGO EN UAM, EL DIA 24/05 918 CAJAS PRODUCTOR FH042, 108 CAJAS PEQUEÑA, 36 CAJAS GRAUDA. </t>
  </si>
  <si>
    <t xml:space="preserve">QJV1545	</t>
  </si>
  <si>
    <t xml:space="preserve">MKC9026	</t>
  </si>
  <si>
    <t>SE DESCARGO EN UAM 919 CAJAS DE BRASIL FIBRA EL DIA 27/5/2025</t>
  </si>
  <si>
    <t>GT042a</t>
  </si>
  <si>
    <t>SE DESCARGO EN UAM 990 CAJAS DE BRASIL FIBRA EL DIA 27/5/2025</t>
  </si>
  <si>
    <t>JV068</t>
  </si>
  <si>
    <t>SE DESCARGO EN UAM 991 CAJAS DE BRASIL EL DIA 27/5/2025</t>
  </si>
  <si>
    <t>jv067</t>
  </si>
  <si>
    <t>SE DESCARGO EN UAM 990 CAJAS DE BRASIL EL DIA 27/5/2025</t>
  </si>
  <si>
    <t>FH043</t>
  </si>
  <si>
    <t>RXT 8A62</t>
  </si>
  <si>
    <t>RXM 3F76</t>
  </si>
  <si>
    <t>ALEX SANDRO RODRIGUES DOS SANTOS</t>
  </si>
  <si>
    <t>SE DESCARGO EN UAM 918 CAJAS DE BRASIL EL DIA 27/5/2025</t>
  </si>
  <si>
    <t>FH044</t>
  </si>
  <si>
    <t>SE DESCARGO EN UAM 918 CAJAS DE BRASIL EL DIA 28/5/2025</t>
  </si>
  <si>
    <t>vh060</t>
  </si>
  <si>
    <t>se descargo en uam 990 caajas de brasil el dia 28/5/2025</t>
  </si>
  <si>
    <t>QTL 5000</t>
  </si>
  <si>
    <t>QJY 0812</t>
  </si>
  <si>
    <t>Jerinei de Castro</t>
  </si>
  <si>
    <t>SE DESCARGO EN UAM 919 CAJAS DE BRASIL EL DIA 29/5/2025</t>
  </si>
  <si>
    <t>004/AMR/2025</t>
  </si>
  <si>
    <t>Banana MG</t>
  </si>
  <si>
    <t>MG001</t>
  </si>
  <si>
    <t xml:space="preserve">SXM1C00 </t>
  </si>
  <si>
    <t xml:space="preserve">SXA4G75 </t>
  </si>
  <si>
    <t>SE DESCARGO EN UAM 1004 CAJAS DE BRASIL EL DIA 30/5/2025</t>
  </si>
  <si>
    <t>099/25</t>
  </si>
  <si>
    <t>FH046</t>
  </si>
  <si>
    <t>Carlos Alberto Pinheiro</t>
  </si>
  <si>
    <t>SE DESCARGO EN UAM 918 CAJAS DE BRASIL EL DIA 30/5/2025</t>
  </si>
  <si>
    <t>098/25</t>
  </si>
  <si>
    <t>JV069</t>
  </si>
  <si>
    <t>SE DESCARGO EN UAM 990 CAJAS DE BRASIL EL DIA 30/5/2025</t>
  </si>
  <si>
    <t>EXP24004496/2025</t>
  </si>
  <si>
    <t>QTM-3779</t>
  </si>
  <si>
    <t>QJU-8620</t>
  </si>
  <si>
    <t xml:space="preserve">30/05 SE DESCARGO EN RIQUEZA NATURAL 1864 CAJAS DE MELON </t>
  </si>
  <si>
    <t xml:space="preserve">RXS4A32 </t>
  </si>
  <si>
    <t>QIW4916</t>
  </si>
  <si>
    <t>SE DESCARGO EN UAM 919 CAJAS DE BRASIL EL DIA 30/5/2025</t>
  </si>
  <si>
    <t>FH045</t>
  </si>
  <si>
    <t>CH027</t>
  </si>
  <si>
    <t>MRM9A08</t>
  </si>
  <si>
    <t>AVC3D14</t>
  </si>
  <si>
    <t>HELTON FARIA</t>
  </si>
  <si>
    <t>UY006-AL</t>
  </si>
  <si>
    <t xml:space="preserve">MJL9G57 </t>
  </si>
  <si>
    <t>MHM1B28</t>
  </si>
  <si>
    <t>SE DESCARGO EN UVA 2639 CAJAS DE UVA EL DIA 30/5/2025</t>
  </si>
  <si>
    <t>CRISTIAN DAVID BORCHES</t>
  </si>
  <si>
    <t>SE DESCARGO EN UAM 989 CAJAS DE BRASIL EL DIA 31/5/2025</t>
  </si>
  <si>
    <t>JV070</t>
  </si>
  <si>
    <t>FH047</t>
  </si>
  <si>
    <t>SE DESCARGO EN UAM 990 CAJAS DE BRASIL EL DIA 31/5/2025</t>
  </si>
  <si>
    <t>100/25</t>
  </si>
  <si>
    <t>RLN 3E26</t>
  </si>
  <si>
    <t>QJO 7666</t>
  </si>
  <si>
    <t>Jose Carlos Lopes</t>
  </si>
  <si>
    <t xml:space="preserve">03/06 SE DESCARGO EN RIQUEZA NATURAL 1638 CAJAS DE JENGIBRE FRUTA BIEN </t>
  </si>
  <si>
    <t>SE DESCARGO EN UAM 918 CAJAS DE BRASIL FIBRA EL DIA 3/6/2025</t>
  </si>
  <si>
    <t>GT043</t>
  </si>
  <si>
    <t>SE DESCARGO EN UAM 990 CAJAS DE BRASIL FIBRA EL DIA 3/6/2025</t>
  </si>
  <si>
    <t>JV071</t>
  </si>
  <si>
    <t>SE DESCARGO EN UAM 991 CAJAS DE BRASIL EL DIA 3/6/2025</t>
  </si>
  <si>
    <t>102/25</t>
  </si>
  <si>
    <t>FMT 5G87</t>
  </si>
  <si>
    <t>CUK 2I48</t>
  </si>
  <si>
    <t>SE DESCARGO EN UAM 918 CAJAS DE BRASIL EL DIA 3/6/2025</t>
  </si>
  <si>
    <t>FH048</t>
  </si>
  <si>
    <t>SE DESCARGO EN UAM 990 CAJAS DE BRASIL EL DIA 3/6/2025</t>
  </si>
  <si>
    <t>JV072</t>
  </si>
  <si>
    <t>SE DESCARGO EN UAM 918 CAJAS EL DIA 4/6/2025</t>
  </si>
  <si>
    <t>VH063</t>
  </si>
  <si>
    <t>SE DESCARGO EN UAM 990 CAJAS DE BRASIL EL DIA 5/6/2025</t>
  </si>
  <si>
    <t>FH049</t>
  </si>
  <si>
    <t>WASHINGTON LEOPOLDINO CUELLO</t>
  </si>
  <si>
    <t>SE DESCARGO EN UAM 990 CAJAS DE BRASIL FIBRA EL DIA 5/6/2025</t>
  </si>
  <si>
    <t>SE DESCARGO EN UAM 990 CAJAS DE BRASIL EL DIA 6/6/2025</t>
  </si>
  <si>
    <t>FH050</t>
  </si>
  <si>
    <t>SE DESCARGO EN UAM 990 CAJAS DE BRASIL EL DIA 6/5/2025</t>
  </si>
  <si>
    <t>GT044</t>
  </si>
  <si>
    <t>SE DESCARGO EN UAM 990 CAJAS DE BRASIL</t>
  </si>
  <si>
    <t>JV073</t>
  </si>
  <si>
    <t>CH029</t>
  </si>
  <si>
    <t>EOE 5D40</t>
  </si>
  <si>
    <t>MLM 5H35</t>
  </si>
  <si>
    <t>LUCIANO CESAR DE PAULA BARROS</t>
  </si>
  <si>
    <t>SE DESCARGO EN UAM 918 CAJAS DE BRASIL EL DIA 7/6/2025</t>
  </si>
  <si>
    <t>105/25</t>
  </si>
  <si>
    <t>QHP-2219</t>
  </si>
  <si>
    <t>QJI-3576</t>
  </si>
  <si>
    <t>JAIME ANTONIO BRAGA</t>
  </si>
  <si>
    <t>SE DESCARGO EN UAM 919 CAJAS DE BRASIL EL DIA 10/6/2025</t>
  </si>
  <si>
    <t>FH051</t>
  </si>
  <si>
    <t>RKW6G91</t>
  </si>
  <si>
    <t>MJF-6169</t>
  </si>
  <si>
    <t>MARIA DE FATIMA DE ASSIS</t>
  </si>
  <si>
    <t xml:space="preserve">10/06 SE DESCARGO EN RIQUIEZA NATURAL 918 CAJAS DE BANANA PEPE FRUTA BIEN </t>
  </si>
  <si>
    <t>104/25</t>
  </si>
  <si>
    <t>MARIO HAMILTON MOLINA PINTO</t>
  </si>
  <si>
    <t>SE DESCRAGO EN UAM 684 CAJAS DE BRASIL, 50 CAJAS DE COCO Y 348 CAJAS DE FORMOSA EL DIA 10/6/2025</t>
  </si>
  <si>
    <t>SE DESCARGO EN UAM 918 CAJAS DE BRASIL EL DIA 10/6/2025</t>
  </si>
  <si>
    <t>107/25</t>
  </si>
  <si>
    <t>DBC1A97</t>
  </si>
  <si>
    <t>ITI4H16</t>
  </si>
  <si>
    <t>ANDRE FERNANDES DA SILVA</t>
  </si>
  <si>
    <t>SE DESCARGO EN UAM 990 CAJAS DE BRASIL EL DIA 10/6/2025</t>
  </si>
  <si>
    <t>106/25</t>
  </si>
  <si>
    <t>GT045</t>
  </si>
  <si>
    <t>ANDRE DE MELLO ORTEGA</t>
  </si>
  <si>
    <t>SE DESCARGO EN UAM 990 CAJAS DE BRASIL FIBRA EL DIA 10/6/2025</t>
  </si>
  <si>
    <t>FH052</t>
  </si>
  <si>
    <t>VT007a</t>
  </si>
  <si>
    <t>RYF 1B56</t>
  </si>
  <si>
    <t>RXP 1J50</t>
  </si>
  <si>
    <t>LEANDRO CAMARGO DE SOUZA</t>
  </si>
  <si>
    <t xml:space="preserve">10/06 SE DESCARGO EN RIUQEZA NATURAL 918 CAJAS DE BANANA PEPE COMUN FRUTA BIEN </t>
  </si>
  <si>
    <t>JV074</t>
  </si>
  <si>
    <t>RYA-2J98</t>
  </si>
  <si>
    <t>RYF-7H46</t>
  </si>
  <si>
    <t>Adilson Barboza</t>
  </si>
  <si>
    <t>FH053</t>
  </si>
  <si>
    <t>JV075</t>
  </si>
  <si>
    <t>108/25</t>
  </si>
  <si>
    <t>VA013</t>
  </si>
  <si>
    <t>RXW5C53</t>
  </si>
  <si>
    <t>RYA9D95</t>
  </si>
  <si>
    <t>ARIOVALDO ALVES DE SOUZA</t>
  </si>
  <si>
    <t>10/06 SE DESCARTGO EN RIQUEZA NATURAL 918 CAJAS DE BANANA PEPE FRUTA BIEN VINO INTERVENIDO POR AFIDI</t>
  </si>
  <si>
    <t>005/AMR/2025</t>
  </si>
  <si>
    <t xml:space="preserve">QTW3B94 </t>
  </si>
  <si>
    <t>HSJ4H50</t>
  </si>
  <si>
    <t>se descargo en uam 919 cajas de brasil el dia 11/6/2025</t>
  </si>
  <si>
    <t>Se descargo en zac 1 camion con 990 cajas de bananas brasil madera comun ok caja azul, fruta quemada por el frio.</t>
  </si>
  <si>
    <t>186//</t>
  </si>
  <si>
    <t>DF010</t>
  </si>
  <si>
    <t>SE DESCARGO EN UAM 1 CAMION CON 984 CAJAS DE BANANAS PARAGUAY PEPE ,CAMION CON LONA FRUTA QUEMADA POR FRIO.CAMION INTERVENIDO ,</t>
  </si>
  <si>
    <t>JV076</t>
  </si>
  <si>
    <t>SE DESCARGO EN UAM 991 CAJAS DE BRASIL EL DIA 12/6/2025</t>
  </si>
  <si>
    <t>GT046</t>
  </si>
  <si>
    <t>SE DESCARGO EN UAM 918 CAJAS DE BRASIL FIBRA Y 72 CAJAS BRASIL EL DIA 12/6/2025</t>
  </si>
  <si>
    <t>001-002-001/</t>
  </si>
  <si>
    <t>PY016</t>
  </si>
  <si>
    <t>BUY194</t>
  </si>
  <si>
    <t>ANR285</t>
  </si>
  <si>
    <t>13/06/25 VR: SE DESCARGO EN UAM UN CAMION CON 981 CAJAS DE BANANAS PARAGUAY PEPE FRUTA QUEMADA POR FRIO</t>
  </si>
  <si>
    <t>UY007-Al</t>
  </si>
  <si>
    <t>MANGO</t>
  </si>
  <si>
    <t>AZD3D60</t>
  </si>
  <si>
    <t>13/06 SE DESCARGO EN RIQUEZA NATURAL 5184 CAJAS DE MANGO  FRUTA EN BUEN ESTADO</t>
  </si>
  <si>
    <t>109/25</t>
  </si>
  <si>
    <t>VT009 Y EXOTICO</t>
  </si>
  <si>
    <t>SE DESCARGO EN UAM 880 CAJAS DE PALTA BRASIL CAL 16,18,20,22 Y TAMBIEN SE DESCARGO BANANA BRASIL 576 CAJAS EL DIA 13/6/2025  FRUTA QUEMADA POR FRIO</t>
  </si>
  <si>
    <t>PYDF011</t>
  </si>
  <si>
    <t>SE DESCARGO EN UAM 983 CAJAS DE PARAGUAY EL DIA 13/6/2025 VINO  QUEMADA POR EL FRIO</t>
  </si>
  <si>
    <t>FH054</t>
  </si>
  <si>
    <t>SE DESCARGO EN UAM 972 CAJAS DE BRASIL EL DIA 13/6/2025</t>
  </si>
  <si>
    <t>FH055</t>
  </si>
  <si>
    <t>LEANDRO MUNIZ DE CALDAS</t>
  </si>
  <si>
    <t>SE DESCARGO EN UAM 1008 CAJAS DE BRASIL EL DIA 13/6/2025</t>
  </si>
  <si>
    <t>110/25</t>
  </si>
  <si>
    <t>SE DESCARGO EN UAM 919 CAJAS DE BRASIL EL DIA 13/6/2025</t>
  </si>
  <si>
    <t>JV077</t>
  </si>
  <si>
    <t>SE DESCARGO EN UAM 991 CAJAS DE BRASIL EL DIA 13/6/2025</t>
  </si>
  <si>
    <t xml:space="preserve">RXT0A05 </t>
  </si>
  <si>
    <t>MIY3F53</t>
  </si>
  <si>
    <t>14/06 SE DESCARGO EN RIQUEZA NATURAL 919 CAJAS DE BANANA PEPE FIBRA FRUTA BIEN VINO QUEMADA CP041</t>
  </si>
  <si>
    <t>407/</t>
  </si>
  <si>
    <t>SE DDESCARGO EN RIQUEZA NATURAL 980 CAJAS DE PY EL DIA 14/6/2025</t>
  </si>
  <si>
    <t>EDUARDO VOLLENGHAUPT BATISTA</t>
  </si>
  <si>
    <t xml:space="preserve">14/06 SE DESCARGO EN RIQUEZA NATURAL 990 CAJAS DE OK PEPE  FRUTA BIEN </t>
  </si>
  <si>
    <t>FH056</t>
  </si>
  <si>
    <t>SE DESCARGO EN  RIQUEZA NATURAL 918 CAJAS DE BRASIL EL DIA 14/6/25</t>
  </si>
  <si>
    <t>ck008</t>
  </si>
  <si>
    <t>SE DESCARGO EN UAM 918 CAJAS DE BRASIL EL DIA 18/6/2025</t>
  </si>
  <si>
    <t>Choclo</t>
  </si>
  <si>
    <t>AXJ7C38</t>
  </si>
  <si>
    <t>IQB4468</t>
  </si>
  <si>
    <t>SE DESCARGO EN UAM 919 CAJAS DE BRASIL FIBRA EL DIA 17/06/2025, VINO EN BUEN ESTADO Y SE DETECTO FRUTA QUEMADA POR EL FRIO.</t>
  </si>
  <si>
    <t>JV079</t>
  </si>
  <si>
    <t>RYS3I69</t>
  </si>
  <si>
    <t>RYO1E61</t>
  </si>
  <si>
    <t>WESLEY SILVA MARTINS</t>
  </si>
  <si>
    <t>SE DESCARGO EN UAM 919 CAJAS DE BRASIL EL DIA 18/6/2025</t>
  </si>
  <si>
    <t>GT047</t>
  </si>
  <si>
    <t>SE DESCARGO EN UAM 990 CAJAS DE BRASIL FIBRA EL DIA 18/6/2025</t>
  </si>
  <si>
    <t>VA014</t>
  </si>
  <si>
    <t>DPE4I85</t>
  </si>
  <si>
    <t>ALK2D83</t>
  </si>
  <si>
    <t>UILIAN DE PAULA DOS SANTOS</t>
  </si>
  <si>
    <t>SE DESCARGO EN UAM 990 CAJAS DE BRASIL EL DIA 18/6/2025</t>
  </si>
  <si>
    <t>FH058</t>
  </si>
  <si>
    <t>se descargo en uam 990 cajas de brasil el dia 18/6/2025</t>
  </si>
  <si>
    <t>FH057</t>
  </si>
  <si>
    <t>FH059</t>
  </si>
  <si>
    <t>JV078</t>
  </si>
  <si>
    <t xml:space="preserve">18/06 SE DESCARGO EN RIQUEZA NATURAL 990 CAJAS DE BANANA PEPE COMUN FRUTA BIEN </t>
  </si>
  <si>
    <t>FH060</t>
  </si>
  <si>
    <t>IJF3J78</t>
  </si>
  <si>
    <t>AAW5G96</t>
  </si>
  <si>
    <t>Richard J R dos Santos</t>
  </si>
  <si>
    <t xml:space="preserve">19/*06 SE DESCARGO EN RIQUEZA NATURAL 990 CAJAS DE BANANA  PEPE COMUN FRUTA BIEN VINO QUEMADA FRIO </t>
  </si>
  <si>
    <t>113/25</t>
  </si>
  <si>
    <t>JV080</t>
  </si>
  <si>
    <t>se descargo en uam 1026 cajas de brasil el dia 24/6/2025</t>
  </si>
  <si>
    <t>FH062</t>
  </si>
  <si>
    <t>se descargo  en uam 954 cajas de brasil el dia 24/6/2025</t>
  </si>
  <si>
    <t>SE DESCARGO DE UAM 918 CAJAS DE BRASIL FIBRA EL DIA 24/6/2025</t>
  </si>
  <si>
    <t>006/AMR/2025</t>
  </si>
  <si>
    <t>RLP3D49</t>
  </si>
  <si>
    <t>QJE-3810</t>
  </si>
  <si>
    <t>SE DESCARGO EN UAM 919 CAJAS DE BRASIL EL DIA 24/6/2025</t>
  </si>
  <si>
    <t>FH061</t>
  </si>
  <si>
    <t>SE DESCARGO EN UAM 990 CAJAS DE BRASIL EL DIA 24/6/2025</t>
  </si>
  <si>
    <t>GT048</t>
  </si>
  <si>
    <t>SE DESCARGO EN UAM 990 CAJAS DE BRASIL FIBRA EL DIA 24/6/2025</t>
  </si>
  <si>
    <t>GT049</t>
  </si>
  <si>
    <t>se descargo en uam 990 cajas de brasil fibra el dia 26/6/2025</t>
  </si>
  <si>
    <t>115/25</t>
  </si>
  <si>
    <t>João Emidio</t>
  </si>
  <si>
    <t>SE DESCARGO EN UAM 918 CAJAS DE BRASIL EL DIA 26/6/2025</t>
  </si>
  <si>
    <t>114/25</t>
  </si>
  <si>
    <t>FH063</t>
  </si>
  <si>
    <t>IXQ8I99</t>
  </si>
  <si>
    <t>AKT0433</t>
  </si>
  <si>
    <t>Franco Camacho</t>
  </si>
  <si>
    <t>SE DESCARGO EN UAM 990 CAJAS DE BRASIL EL DIA 26/6/2025</t>
  </si>
  <si>
    <t>FH064</t>
  </si>
  <si>
    <t>IOM9I98</t>
  </si>
  <si>
    <t>IYX4107</t>
  </si>
  <si>
    <t>ANDERSON NEITZKE SOAREZ</t>
  </si>
  <si>
    <t xml:space="preserve">QJV1545 </t>
  </si>
  <si>
    <t>SE DESCARGO EN UAM 918 CAJAS DE BRASIL FIBRA EL DIA 27/6/2025</t>
  </si>
  <si>
    <t>SE DESCARGO EN UAM 990 CAJAS DE BRASIL EL DIA 27/6/2025</t>
  </si>
  <si>
    <t>UY008-AL</t>
  </si>
  <si>
    <t>EXOTICO/JV082</t>
  </si>
  <si>
    <t>SE DESCARGO EN UAM 576 CAJAS DE BRASIL, 50 CAJAS DE COCO,250 CAJAS DE LIMA Y 325 CAJAS DE FORMOSA EL DIA 28/6/2025</t>
  </si>
  <si>
    <t>RDW 6H99</t>
  </si>
  <si>
    <t>RLK 0H66</t>
  </si>
  <si>
    <t>JOSE CLAUDIO FERNANDES ROCHA</t>
  </si>
  <si>
    <t>SE DESCARGO EN UAM 919 CAJAS DE BRASIL OK CAJA NEGRA EL DIA 28/6/2025</t>
  </si>
  <si>
    <t>116/25</t>
  </si>
  <si>
    <t>Gilberto Toledo</t>
  </si>
  <si>
    <t xml:space="preserve">01/07 SE DESCARGO EN RIQUEZA NATURAL 576 CAJAS DE BANANA FRUTA SENTIDA Y 880 CAJAS DE PALTA  TODA FEA Y MADURAS </t>
  </si>
  <si>
    <t>FH065</t>
  </si>
  <si>
    <t xml:space="preserve">28/06 SE DESCARGO EN RIQUEZA NATURAL 990 CAJAS DE BANANA PEPE FRUTA BIEN VINO QUEMADA FRIO </t>
  </si>
  <si>
    <t>JV 081</t>
  </si>
  <si>
    <t xml:space="preserve">28/06 SE DESCARGO EN RIQUEZA NATURAL 991 CAJAS DE BANANA PEPE FRUTA BIEN VINO QUEMADA FRIO </t>
  </si>
  <si>
    <t>117/25</t>
  </si>
  <si>
    <t>FH066</t>
  </si>
  <si>
    <t>SE DESCARGO EN UAM 990 CAJAS DE BRASIL EL DIA 28/6/2025</t>
  </si>
  <si>
    <t>007/AMR/2025</t>
  </si>
  <si>
    <t>SE DESCARGO EN UAM 919 CAJAS DE BRASIL FIBRA EL DIA 1/7/2025</t>
  </si>
  <si>
    <t>SE DESCARGO EN UAM 918 CAJAS DE BRASIL OK CAJA NEGRA EL DIA 1/7/2025</t>
  </si>
  <si>
    <t>118/25</t>
  </si>
  <si>
    <t>FH068</t>
  </si>
  <si>
    <t>SE DESCARGO EN UAM 990 CAJAS DE BRASIL EL DIA 1/7/2025</t>
  </si>
  <si>
    <t>GT050</t>
  </si>
  <si>
    <t>SE DESCARGO EN UAM 990 CAJAS DE BRASIL FIBRA EL DIA 1/7/2025</t>
  </si>
  <si>
    <t>FH067</t>
  </si>
  <si>
    <t>JV082a</t>
  </si>
  <si>
    <t>SE DESACARGO EN UAM 990 CAJAS DE BRASIL EL DIA 1/7/2025</t>
  </si>
  <si>
    <t>fh069</t>
  </si>
  <si>
    <t>se descargo en uam 990 cajas de brasil el dia 4/7/2025</t>
  </si>
  <si>
    <t>rlp4h87</t>
  </si>
  <si>
    <t>SE DESCARGO EN UAM 919 CAJAS DE BRASIL EL DIA 4/7/2025</t>
  </si>
  <si>
    <t>MKT 0024</t>
  </si>
  <si>
    <t>MCB 4382</t>
  </si>
  <si>
    <t>LUCIANO FORTEZA</t>
  </si>
  <si>
    <t>SE DESCARGO EN UAM 919 CAJAS DE BRASIL OK CAJA NEGRA EL DIA 5/7/2025</t>
  </si>
  <si>
    <t>URG001-25</t>
  </si>
  <si>
    <t xml:space="preserve">08/07 SE DESCARGO EN RIQUEZA NATURAL 2520 CAJAS DE UVA FRUTA BIEN </t>
  </si>
  <si>
    <t>FH070</t>
  </si>
  <si>
    <t xml:space="preserve">SE DESCARGO EN UAM 972 CAJAS DE BRASIL EL DIA 8/7/2025 VINIERON MENOS CAJAS PORQUE SE HABIA PASADO DE PESO </t>
  </si>
  <si>
    <t>Alan Adacheski</t>
  </si>
  <si>
    <t>se descargo en uam 919 cajas de brasil fibra el dia 8/7/2025</t>
  </si>
  <si>
    <t xml:space="preserve">SE DESCARGO EN UAM 990 CAJAS DE BRASIL EL DIA 8/7/2025 </t>
  </si>
  <si>
    <t>JV083</t>
  </si>
  <si>
    <t>SE DESCARGO EN UAM 1028 CAJAS DE BRASIL EL DIA 8/7/2025</t>
  </si>
  <si>
    <t>GT051</t>
  </si>
  <si>
    <t>SE DESCARGO EN UAM 990 CAJAS DE BRASIL FIBRA EL DIA 8/7/2025</t>
  </si>
  <si>
    <t>FH071</t>
  </si>
  <si>
    <t xml:space="preserve">SE DESCARGO EN UAM 970 CAJAS DE BRASIL EL DIA 8/7/2025  VINIERON MENOS CAJAS PORQUE SE PASO DE PESO  </t>
  </si>
  <si>
    <t>FH072</t>
  </si>
  <si>
    <t>se descargo en uam 990 cajas de brasil el dia 8/7/2025</t>
  </si>
  <si>
    <t>120/25</t>
  </si>
  <si>
    <t>JV084</t>
  </si>
  <si>
    <t>IJH7G44</t>
  </si>
  <si>
    <t>JCT7C21</t>
  </si>
  <si>
    <t>WINSTON PORTO</t>
  </si>
  <si>
    <t>SE DESCARGO EN UAM 991 CAJAS DE BRASIL EL DIA 10/7/2025</t>
  </si>
  <si>
    <t>FH073</t>
  </si>
  <si>
    <t>SE DESCARGO EN UAM 990 CAJAS DE BRASIL EL DIA 10/7/2025</t>
  </si>
  <si>
    <t>SE DESCARGO EN UAM 990 CAJAS DE BRASIL FIBRA EL DIA 10/7/2025</t>
  </si>
  <si>
    <t>SE DESCARGO EN UAM 990 CAJAS DE BRASIL EL DIA 12/7/2025</t>
  </si>
  <si>
    <t>CK014</t>
  </si>
  <si>
    <t>SE DESCARGO EN UAM 991 CAJAS DE BRASIL EL DIA 12/7/2025</t>
  </si>
  <si>
    <t>JV085</t>
  </si>
  <si>
    <t>FH074</t>
  </si>
  <si>
    <t>GT052</t>
  </si>
  <si>
    <t>CYN7J04</t>
  </si>
  <si>
    <t>HDI9H56</t>
  </si>
  <si>
    <t>Anderson Braz</t>
  </si>
  <si>
    <t>SE DESCARGO EN UAM 990 CAJAS DE BRASIL FIBRA EL DIA 12/7/2025</t>
  </si>
  <si>
    <t>123/25</t>
  </si>
  <si>
    <t>CHOCLO</t>
  </si>
  <si>
    <t>SXO4E00</t>
  </si>
  <si>
    <t>SXJ8E05</t>
  </si>
  <si>
    <t>12/07 SE DECARGO EN RIQUEZA NATURAL 1327 BOLSAS DE CHOCLO VINIERON 195 CON PUNTA CORTADA Y 1132 COMUN</t>
  </si>
  <si>
    <t>FH075</t>
  </si>
  <si>
    <t>CK016</t>
  </si>
  <si>
    <t>SE DESCARGO EN UAM 990 CAJAS DE BRASIL EL DIA 15/7/2025</t>
  </si>
  <si>
    <t>121/25</t>
  </si>
  <si>
    <t>RLJ 5F85</t>
  </si>
  <si>
    <t>MKT 8138</t>
  </si>
  <si>
    <t>SE DESCARGO EN UAM 936 CAJAS DE BRASIL BAHIA EL DIA 16/7/2025</t>
  </si>
  <si>
    <t>VH070</t>
  </si>
  <si>
    <t>IZC1D27</t>
  </si>
  <si>
    <t>CP049</t>
  </si>
  <si>
    <t>se descargo en uam 990 cajas de brasil fibra el dia 15/7/2025</t>
  </si>
  <si>
    <t>CK015</t>
  </si>
  <si>
    <t>OKG 6076</t>
  </si>
  <si>
    <t>MLX 3078</t>
  </si>
  <si>
    <t>SE DESCARGO EN UAM 919 CAJAS DE BRASIL EL DIA 15/7/2025</t>
  </si>
  <si>
    <t>EXP00000099/25</t>
  </si>
  <si>
    <t>MELON AMARILLO</t>
  </si>
  <si>
    <t>QRJ 0J05</t>
  </si>
  <si>
    <t>15/07 SE DESCARGO EN RIQUEZA NATURAL 1578 CAJAS DE MELON AMARILLO MELICIA FRUTA BIEN TODO CAL 9</t>
  </si>
  <si>
    <t>125/25</t>
  </si>
  <si>
    <t>fh077</t>
  </si>
  <si>
    <t>SE DESCARGO EN UAM 918 CAJAS DE BRASIL EL DIA 16/7/2025</t>
  </si>
  <si>
    <t>124/25</t>
  </si>
  <si>
    <t>JV086</t>
  </si>
  <si>
    <t>126/25</t>
  </si>
  <si>
    <t>FH076</t>
  </si>
  <si>
    <t>SE DESCARGO EN UAM 918 CAJAS DE BRASIL EL DIA 15/7/2025</t>
  </si>
  <si>
    <t>se descargo en uam 990 cajas de brasil el dia 16/7/2025</t>
  </si>
  <si>
    <t>111/25</t>
  </si>
  <si>
    <t>RYK5A10</t>
  </si>
  <si>
    <t>RYJ8I66</t>
  </si>
  <si>
    <t>Paulo Marcos M. Teixeira</t>
  </si>
  <si>
    <t>17/07 SE DESCATRGO EN RIQUEZA NATURAL 1159 BOLSAS DE CHOCLO</t>
  </si>
  <si>
    <t>UY009-AL</t>
  </si>
  <si>
    <t>DTE4H77</t>
  </si>
  <si>
    <t xml:space="preserve">17/07 SE DESCARGO EN RIQUEZA NATURAL 576 CAJAS DE BANANA -298 CAJAS DE LIMA Y 260 CAJAS DE PAPAYA VINO MADURAS </t>
  </si>
  <si>
    <t>JV087</t>
  </si>
  <si>
    <t>JQH8I38</t>
  </si>
  <si>
    <t>JAR4I71</t>
  </si>
  <si>
    <t>GUILHERME MOTTA</t>
  </si>
  <si>
    <t>17/7 SE DESCARO EN RIQUEZA NATURAL 991 CAJAS DE BANANA PEPE FRUTA BIEN VINO QUEMADA FRIO</t>
  </si>
  <si>
    <t>EXP117/2025</t>
  </si>
  <si>
    <t>MELON CANTALOUPE</t>
  </si>
  <si>
    <t>RUM4I31</t>
  </si>
  <si>
    <t xml:space="preserve">17/07 SE DESCARGO EN RIQUEZA NATURAL 2106 CAJAS DE MELON CANTALOUPE FRUTA BIEN </t>
  </si>
  <si>
    <t>FH078</t>
  </si>
  <si>
    <t xml:space="preserve">SE DESCARGO EN UAM 990 CAJAS DE BRASIL EL DIA 19/7/2025. VINIERON 8 PALLETS CON FRUTA SENTIDA Y CON COLOR </t>
  </si>
  <si>
    <t>FH079</t>
  </si>
  <si>
    <t xml:space="preserve">SE DESCARGO EN RIQUEZA NATURAL 990 CAJS PRDUCTOR FH079 EL DIA 19/07/25, 72 CAJS PEQUEÑAS Y 36 GRAUDAS </t>
  </si>
  <si>
    <t>008/AMR/2025</t>
  </si>
  <si>
    <t>CK017</t>
  </si>
  <si>
    <t>SE DESCARGO EN UAM 991 CAJAS DE BRASIL EL DIA 19/7/2025</t>
  </si>
  <si>
    <t>RLI 5F45</t>
  </si>
  <si>
    <t>RLL 6F45</t>
  </si>
  <si>
    <t>MARCOS ALVES COSTA</t>
  </si>
  <si>
    <t>SE DESCARGO EN UAM 936 CAJAS DE BRASIL SAO PABLO EL DIA 19/7/2025</t>
  </si>
  <si>
    <t>CP050</t>
  </si>
  <si>
    <t>SE DESCARGO EN RIQUEZA NATURAL 991 CAJS PRODUCTOR CP050 EL DIA 19/7/25</t>
  </si>
  <si>
    <t>SE DESCARGO EN RIQUEZA NATURL 990 CAJAS BRASIL COMUN PRODUCTOR VH073 EL DIA 19/07/25</t>
  </si>
  <si>
    <t>129/25</t>
  </si>
  <si>
    <t>GT053</t>
  </si>
  <si>
    <t>HDI9276</t>
  </si>
  <si>
    <t>IWU1235</t>
  </si>
  <si>
    <t>SE DESCARGO EN UAM 990 CAJAS DE BRASIL EL DIA 22/7/2025</t>
  </si>
  <si>
    <t>130/25</t>
  </si>
  <si>
    <t>OSNI RAPCINSKE</t>
  </si>
  <si>
    <t>23/07 SE DESCARGO EN RIQUEZA NATURASL 1405 BOLSAS DE CHOCLO</t>
  </si>
  <si>
    <t>FH081</t>
  </si>
  <si>
    <t>IYE2747</t>
  </si>
  <si>
    <t>FH082</t>
  </si>
  <si>
    <t>SE DESCARGO EN UAM 846 CAJAS DE BRASIL EL DIA 22/7/2025</t>
  </si>
  <si>
    <t>128/25</t>
  </si>
  <si>
    <t>JV089</t>
  </si>
  <si>
    <t>SE DESCARGO EN UAM 991 CAJAS DE BRASIL EL DIA 22/7/2025</t>
  </si>
  <si>
    <t>cp051</t>
  </si>
  <si>
    <t>SE DESCARGO EN UAM 990 CAJAS DE BRASIL FIBRA EL DIA 22/7/2025</t>
  </si>
  <si>
    <t>FH080</t>
  </si>
  <si>
    <t>se descargo en uam 990 cajas de brasil el dia 22/7/2025</t>
  </si>
  <si>
    <t>CK018</t>
  </si>
  <si>
    <t>jv088</t>
  </si>
  <si>
    <t>FH083</t>
  </si>
  <si>
    <t>SE DESCARGO EN UAM 990 CAJAS DE BRASIL EL DIA 24/7/2025</t>
  </si>
  <si>
    <t>FH084</t>
  </si>
  <si>
    <t>CP052</t>
  </si>
  <si>
    <t>SE DESCARGO EN UAM 990 CAJAS DE BRASIL FIBRA EL DIA 25/7/2025</t>
  </si>
  <si>
    <t>UY10-AL</t>
  </si>
  <si>
    <t>25/07 SE DESCARGO EN RIQUEZA NATURAL 5184 CAJAS DE MANGO TOMMY FRUTA BIEN</t>
  </si>
  <si>
    <t>133/25</t>
  </si>
  <si>
    <t>JENGIBRE</t>
  </si>
  <si>
    <t>QIW 5C50</t>
  </si>
  <si>
    <t>QTM 6374</t>
  </si>
  <si>
    <t>Sidnei Surdi</t>
  </si>
  <si>
    <t xml:space="preserve">26/07 SE DESCAGO EN RIQUEZA NATURAL 1638 CAJAS DE JENGIBRE FRUTA BIEN </t>
  </si>
  <si>
    <t>CK019</t>
  </si>
  <si>
    <t>SE DESCARGO EN UAM 991 CAJAS DE BRASIL CAJA NEGRA EL DIA 26/7/2025</t>
  </si>
  <si>
    <t>FH085</t>
  </si>
  <si>
    <t>SE DESCARGO EN UAM 990 CAJAS DE BRASIL EL DIA 26/7/2025</t>
  </si>
  <si>
    <t>gt054</t>
  </si>
  <si>
    <t>se descargo en uam 918 cajas de brasil el dia 29/7/2025</t>
  </si>
  <si>
    <t>135/25</t>
  </si>
  <si>
    <t>JV090</t>
  </si>
  <si>
    <t>SE DESCARGO EN UAM 990 CAJAS DE BRASIL EL DIA 29/7/2025</t>
  </si>
  <si>
    <t>CP053</t>
  </si>
  <si>
    <t>vh075</t>
  </si>
  <si>
    <t>IOW1748</t>
  </si>
  <si>
    <t>Victor Velasquez</t>
  </si>
  <si>
    <t>se descargo en uam 990 cajas de brasil el dia 29/7/2025</t>
  </si>
  <si>
    <t>fh087</t>
  </si>
  <si>
    <t>fh086</t>
  </si>
  <si>
    <t>JV091</t>
  </si>
  <si>
    <t>CK020</t>
  </si>
  <si>
    <t>se descargo en uam 990 cajas de brasil caja negra el dia 29/7</t>
  </si>
  <si>
    <t>132/25</t>
  </si>
  <si>
    <t>RXW5G13</t>
  </si>
  <si>
    <t>QJW-4069</t>
  </si>
  <si>
    <t>SE DESCARGO EN UAM 936 CAJAS DE SAO PABLO EL DIA 30/7/2025</t>
  </si>
  <si>
    <t>136/25</t>
  </si>
  <si>
    <t>SXK 1C50</t>
  </si>
  <si>
    <t>SXM 6H71</t>
  </si>
  <si>
    <t>JV092</t>
  </si>
  <si>
    <t>SE DESCARGO 991 CAJAS DE BRASIL COMU EN UAM, PRODUCTOR JV092, EL DIA 30/07/25</t>
  </si>
  <si>
    <t>CK021</t>
  </si>
  <si>
    <t>se descargo en uam 990 cajas de brasil el dia 31/7/2025</t>
  </si>
  <si>
    <t>FH088</t>
  </si>
  <si>
    <t>EVA6B71</t>
  </si>
  <si>
    <t>JAT0F18</t>
  </si>
  <si>
    <t>SE DESCARGO EN UAM 990 CAJAS DE BRASIL EL DIA 1/8/2025</t>
  </si>
  <si>
    <t>1353/</t>
  </si>
  <si>
    <t>PYEC003</t>
  </si>
  <si>
    <t>SE DESCARGO EN UAM 960 CAJAS DE PY EL DIA 1/8/2025</t>
  </si>
  <si>
    <t>FH089</t>
  </si>
  <si>
    <t>CI004</t>
  </si>
  <si>
    <t>CP054</t>
  </si>
  <si>
    <t>SE DESCARGO EN UAM 919 CAJAS DE BRASIL FIBRA EL DIA 1/8/2025</t>
  </si>
  <si>
    <t>137/25</t>
  </si>
  <si>
    <t>RXR 3B32</t>
  </si>
  <si>
    <t>RLP 1J61</t>
  </si>
  <si>
    <t>Luiz Rocha</t>
  </si>
  <si>
    <t>139/25</t>
  </si>
  <si>
    <t>SE DESCARGO EN UAM 990 CAJAS DE BRASIL EL DIA 2/8/2025</t>
  </si>
  <si>
    <t>CK022</t>
  </si>
  <si>
    <t>DBM2A88</t>
  </si>
  <si>
    <t>JAD5H44</t>
  </si>
  <si>
    <t>Paulo Jeasy</t>
  </si>
  <si>
    <t>SE DESCARGO EN UAM 991 CAJAS DE BRASIL CAJA NEGRA EL DIA 2/8/2025</t>
  </si>
  <si>
    <t>FH090</t>
  </si>
  <si>
    <t>SE DESCARGO EN UAM 990 CAJAS DE BRASIL EL DIA 5/8/2025</t>
  </si>
  <si>
    <t>140/25</t>
  </si>
  <si>
    <t>FH091</t>
  </si>
  <si>
    <t>JV093</t>
  </si>
  <si>
    <t>SE DESCARGO EN UAM 978 CAJAS DE BRASIL EL DIA 5/8/2025</t>
  </si>
  <si>
    <t xml:space="preserve">SE DESCARGO EN UAM 1002 CAJAS DE BRASIL EL DIA 5/8/2025. VINIERON 12 CAJAS DE MAS PORQUE EL CAMION DE JHONY VIERA MATRCIULA JCC3C87 ESTABA PASADO DE PESO </t>
  </si>
  <si>
    <t>CK023</t>
  </si>
  <si>
    <t>SE DESCARGO EN UAM 991 CAJAS DE BRASIL CAJA NEGRA EL DIA 5/8/2025</t>
  </si>
  <si>
    <t>CP055</t>
  </si>
  <si>
    <t>RYF1B56</t>
  </si>
  <si>
    <t>RXP1J50</t>
  </si>
  <si>
    <t>se descargo en uam 919 cajas de brasil fibra el dia 5/8/2025</t>
  </si>
  <si>
    <t>141/25</t>
  </si>
  <si>
    <t>FH092</t>
  </si>
  <si>
    <t>IUB5715</t>
  </si>
  <si>
    <t>Jorge Luiz M. Silva</t>
  </si>
  <si>
    <t>SE DESCRAGO EN UAM 990 CAJAS DE BRASIL EL DIA 5/8/2025</t>
  </si>
  <si>
    <t>RLI5G15</t>
  </si>
  <si>
    <t>RKW0B26</t>
  </si>
  <si>
    <t>SE DESCARGO EN UAM 936 CAJAS DE SAN PABLO EL DIA 06/08/2025</t>
  </si>
  <si>
    <t>GT055</t>
  </si>
  <si>
    <t>MKJ 5565</t>
  </si>
  <si>
    <t>MKT 8236</t>
  </si>
  <si>
    <t>SE DESCARGO EN UAM 918 CAJAS DE BRASIL FIBRA EL DIA 7/8/2025</t>
  </si>
  <si>
    <t>FH093</t>
  </si>
  <si>
    <t>SE DESCARGO EN UAM 990 CAJAS DE BRASIL EL DIA 8/8/2025</t>
  </si>
  <si>
    <t>145/25</t>
  </si>
  <si>
    <t>TLW 2D09</t>
  </si>
  <si>
    <t>RAA 6I32</t>
  </si>
  <si>
    <t>Cl005</t>
  </si>
  <si>
    <t>JAG6C26</t>
  </si>
  <si>
    <t>148/25</t>
  </si>
  <si>
    <t>vh079</t>
  </si>
  <si>
    <t>SE DESCARGO EN UAM 990 CAJAS DE BRASIL EL DIA 9/8/2025</t>
  </si>
  <si>
    <t>FH094</t>
  </si>
  <si>
    <t>CK024</t>
  </si>
  <si>
    <t>SE DESCARGO EN UAM 991 CAJAS DE BRASIL CAJA NEGRA EL DIA 9/8/2025</t>
  </si>
  <si>
    <t>CP056</t>
  </si>
  <si>
    <t>SE DESCARGO EN UAM 919 CAJAS DE BRASIL FIBRA EL DIA 9/8/2025</t>
  </si>
  <si>
    <t>CP057</t>
  </si>
  <si>
    <t>SE DESCARGO EN UAM 918 CAJAS DE BRASIL EL DIA 12/8/2025</t>
  </si>
  <si>
    <t>CK025</t>
  </si>
  <si>
    <t>MJY 7G44</t>
  </si>
  <si>
    <t>SE DESCARGO EN UAM 918 CAJAS DE BRASIL CAJA NEGRA EL DIA 12/8/2025</t>
  </si>
  <si>
    <t>GT056</t>
  </si>
  <si>
    <t>SE DESCARGO EN UAM 990 CAJAS DE BRASIL FIBRA EL DIA 12/8/2025</t>
  </si>
  <si>
    <t>FH095</t>
  </si>
  <si>
    <t>se descargo en uam 990 cajas de brasil el dia 12/8/2025</t>
  </si>
  <si>
    <t>JV095</t>
  </si>
  <si>
    <t>SE DESCARGO EN UAM 990 CAJAS DE BRASIL EL DIA 12/8/2025</t>
  </si>
  <si>
    <t>VH080</t>
  </si>
  <si>
    <t>149/25</t>
  </si>
  <si>
    <t>FH096</t>
  </si>
  <si>
    <t>RXS4A32</t>
  </si>
  <si>
    <t>QIW-4916</t>
  </si>
  <si>
    <t>SE DESCRAGO EN UAM 918 CAJAS DE BRASIL EL DIA 13/8/2025</t>
  </si>
  <si>
    <t>JV094</t>
  </si>
  <si>
    <t>vh081</t>
  </si>
  <si>
    <t>150/25</t>
  </si>
  <si>
    <t>MKE 7312</t>
  </si>
  <si>
    <t>MLX 3068</t>
  </si>
  <si>
    <t>Belmiro Filho</t>
  </si>
  <si>
    <t>FH097- Fruta de Valdemar VH082</t>
  </si>
  <si>
    <t>SE DESCARGO EN UAM 990 CAJAS DE BRASIL EL DIA 14/8/2025</t>
  </si>
  <si>
    <t>JV096</t>
  </si>
  <si>
    <t>151/25</t>
  </si>
  <si>
    <t>vh083</t>
  </si>
  <si>
    <t>SE DESCARGO EN UAM 990 CAJAS DE BRASIL EL DIA 15/8/2025</t>
  </si>
  <si>
    <t>FH097</t>
  </si>
  <si>
    <t>CP058</t>
  </si>
  <si>
    <t>SE DESCARGO EN UAM 991 CAJAS DE BRASIL FIBRA EL DIA 15/8/2025</t>
  </si>
  <si>
    <t>CK026</t>
  </si>
  <si>
    <t>FH098</t>
  </si>
  <si>
    <t>FH099</t>
  </si>
  <si>
    <t xml:space="preserve">EOE2E75 </t>
  </si>
  <si>
    <t>SE DESCRAGO EN UAM 919 CAJAS DE BRASIL EL 16/8/2025</t>
  </si>
  <si>
    <t>UY011-AL</t>
  </si>
  <si>
    <t>rxp2f83</t>
  </si>
  <si>
    <t>se descvargo en riqueza natural 2520 uva</t>
  </si>
  <si>
    <t>CP059</t>
  </si>
  <si>
    <t>SE DESCARGO EN UAM 990 CAJAS DE BRASIL EL DIA 16/8/2025</t>
  </si>
  <si>
    <t>CK028</t>
  </si>
  <si>
    <t>152/25</t>
  </si>
  <si>
    <t xml:space="preserve">CK027 Y EXOTICO </t>
  </si>
  <si>
    <t>SE DESCARGO EN UAM 612 CAJAS DE BRASIL 50 COCO,216 LIMA Y 280 PAPAYA EL DIA 16/8/2025</t>
  </si>
  <si>
    <t>CP060</t>
  </si>
  <si>
    <t>SE DESCARGO EN UAM 991 CAJAS DE BRASIL FIBRA EL DIA 19/8/2025</t>
  </si>
  <si>
    <t>154/25</t>
  </si>
  <si>
    <t>FH100</t>
  </si>
  <si>
    <t>SE DESCARGO EN UAM 918 CAJAS DE BRASIL EL DIA 19/8/2025</t>
  </si>
  <si>
    <t>VH084</t>
  </si>
  <si>
    <t>SE DESCARGO EN UAM 990 CAJAS DE BRASIL EL DIA 19/8/2025</t>
  </si>
  <si>
    <t>FYH5B59</t>
  </si>
  <si>
    <t>IWC1784</t>
  </si>
  <si>
    <t>SE DESCARGO EN UAM 990 CAJAS DE BRASIL EL DIA 20/8/2025</t>
  </si>
  <si>
    <t>155/25</t>
  </si>
  <si>
    <t>SWW 5J46</t>
  </si>
  <si>
    <t>SXK 6B97</t>
  </si>
  <si>
    <t>ck029</t>
  </si>
  <si>
    <t>JBQ0H73</t>
  </si>
  <si>
    <t>IZO1G31</t>
  </si>
  <si>
    <t>SE DESCARGO EN UAM 991 CAJAS DE BRASIL CAJA NEGRA EL DIA 21/8/2025</t>
  </si>
  <si>
    <t>vh085</t>
  </si>
  <si>
    <t>se descargo en uam 990 cajas de brasil el dia 21/8/2025</t>
  </si>
  <si>
    <t>156/25</t>
  </si>
  <si>
    <t>FH101</t>
  </si>
  <si>
    <t>SE DESCARGARON 990 CAJAS DE BRASIL EL DIA 22/8/2025</t>
  </si>
  <si>
    <t>FH102</t>
  </si>
  <si>
    <t>SE DESCARGO EN UAM 990 CAJAS DE BRASIL EL DIA 22/8/2025</t>
  </si>
  <si>
    <t>CP061</t>
  </si>
  <si>
    <t>SE DESCRAGO EN UAM 991 CAJAS DE BRASIL FIBRA EL DIA 22/8/2025</t>
  </si>
  <si>
    <t>VH086</t>
  </si>
  <si>
    <t>SE DESCARGO EN UAM 990 CAJAS DE BRASIL EL DIA 23/8/2025</t>
  </si>
  <si>
    <t>1358//</t>
  </si>
  <si>
    <t>pyec004</t>
  </si>
  <si>
    <t>se descargo en uam 960 cajas de py el dia 26/8/2025</t>
  </si>
  <si>
    <t>001/ALM/2025</t>
  </si>
  <si>
    <t>CK031</t>
  </si>
  <si>
    <t>SE DESCARGO EN UAM 991 CAJAS DE BRASIL EL DIA 27/8/2025</t>
  </si>
  <si>
    <t>CP062</t>
  </si>
  <si>
    <t>SE DESCARGO EN UAM 919 CAJAS DE BRASIL EL DIA 27/8/2025</t>
  </si>
  <si>
    <t>FH103</t>
  </si>
  <si>
    <t>SE DESCARGO EN UAM 990 CAJAS DE BRASIL EL DIA 27/8/2025</t>
  </si>
  <si>
    <t>JV097</t>
  </si>
  <si>
    <t>CK030</t>
  </si>
  <si>
    <t>SE DESCARGO EN UAM 990 CAJAS DE BRASIL EL DIA  27/8/2025</t>
  </si>
  <si>
    <t>valdemar</t>
  </si>
  <si>
    <t>VH087</t>
  </si>
  <si>
    <t>JDL3I81</t>
  </si>
  <si>
    <t>SE DESCARGO EN UAM 990CAJAS DE BRASIL EL DIA 27/8/2025</t>
  </si>
  <si>
    <t>SG010</t>
  </si>
  <si>
    <t>SE DESCARGO EN UAM 918 CAJAS DE BRASIL EL DIA 27/8/2025</t>
  </si>
  <si>
    <t>GT057</t>
  </si>
  <si>
    <t>SE DESCARGO EN UAM 990 CAJAS DE BRASIL FIBRA EL DIA 29/8/2025</t>
  </si>
  <si>
    <t>FH104</t>
  </si>
  <si>
    <t>SE DESCARGO EN UAM 918 CAJAS DE BRASIL EL DIA 29/8/2025</t>
  </si>
  <si>
    <t>159/25</t>
  </si>
  <si>
    <t>VH088</t>
  </si>
  <si>
    <t>SE DESCARGO EN UAM 990 CAJAS DE BRASIL COMUN (936 BR-PEPE, 54 BR-CAJA NEGRA) EL DIA 30/08/25</t>
  </si>
  <si>
    <t>CP063</t>
  </si>
  <si>
    <t>SE DESCARGO EN UAM  991 CAJAS DE BRASIL FIBRA EL DIA 30/08/25</t>
  </si>
  <si>
    <t>CK032</t>
  </si>
  <si>
    <t>SE DESCARGO EN UAM, 990 CAJAS DE BRASIL CAJA NEGRA EL DIA 2/9/2025</t>
  </si>
  <si>
    <t>VH090</t>
  </si>
  <si>
    <t>SE DESCARGO EN UAM 990 CAJAS DE BRASIL EL DIA 3/9/2025</t>
  </si>
  <si>
    <t>JV098</t>
  </si>
  <si>
    <t>SE DESCARGO EN UAM 990 CAJAS DE BRASIL EL DIA 2/9/2025</t>
  </si>
  <si>
    <t>CK033</t>
  </si>
  <si>
    <t>IZI5F94</t>
  </si>
  <si>
    <t>IVM6653</t>
  </si>
  <si>
    <t>FH105</t>
  </si>
  <si>
    <t>RLB 1C80</t>
  </si>
  <si>
    <t>RLB 4G98</t>
  </si>
  <si>
    <t>SE DESCARGO EN UAM 918 CAJAS DE BRASIL EL DIA 2/9/2025</t>
  </si>
  <si>
    <t>CP064</t>
  </si>
  <si>
    <t>SE DESCARGO EN UAM 991 CAJAS DE BRASIL EL DIA 2/9/2025</t>
  </si>
  <si>
    <t>161/25</t>
  </si>
  <si>
    <t>FH106</t>
  </si>
  <si>
    <t>JCY 4D11</t>
  </si>
  <si>
    <t>MJU 3444</t>
  </si>
  <si>
    <t>SE DESCARGO EN UAM 918 CAAJS DE BRASIL EL DIA 3/9/2025</t>
  </si>
  <si>
    <t>VH089</t>
  </si>
  <si>
    <t>SE DESCARGO EN UAM 918 CAJAS DEW BRASIL EL DIA 2/9/2025</t>
  </si>
  <si>
    <t>FH107</t>
  </si>
  <si>
    <t>SE DESCARGO EN UAM 990 CAJAS 72 CAJS DE BANANA PEQUEÑA DE BRASIL COMUN PRODUCTOR FH 017 EL DIA 04/09</t>
  </si>
  <si>
    <t>UY012-AL</t>
  </si>
  <si>
    <t>VH091 Y EXOTICOS</t>
  </si>
  <si>
    <t>SE DESCARGO EN UAM 576 CAJS DE BRASIL COMUN PORODUCTOR VH091, 260 CAJAS DE PAPAYA FORMOSA, 300 CAJAS DE LIMA, 50 BOLSAS DE COCO</t>
  </si>
  <si>
    <t>163/25</t>
  </si>
  <si>
    <t>RXR 3I57</t>
  </si>
  <si>
    <t>SE DESCARGO EN UAM 919 CAJAS DE PRODUCTOR CH033, EL DIA 04/09/25</t>
  </si>
  <si>
    <t>001,25 LAM</t>
  </si>
  <si>
    <t>RYZ7G81</t>
  </si>
  <si>
    <t>RYHOH49</t>
  </si>
  <si>
    <t>CK034</t>
  </si>
  <si>
    <t>SE DESCARGO EN UAM 991 CAJAS DE BRASIL PEPE PRODUCTOR CK034 EL DIA 05/09/25</t>
  </si>
  <si>
    <t>VH093</t>
  </si>
  <si>
    <t>SE DESCARGO  990 CAJAS (24 BR-ON NEGRA, 966 BR-PEPE), PRODUCTOR VH093 EL DIA 05/09/25</t>
  </si>
  <si>
    <t>CP065</t>
  </si>
  <si>
    <t>SE DESCARGO EN UAM 990 CAJAS DE BRASIL FIBRA PRODUCTOR CP065 EL DIA 05/9/25</t>
  </si>
  <si>
    <t>164/25</t>
  </si>
  <si>
    <t>JV099</t>
  </si>
  <si>
    <t>SE DESCARGO EN UAM 991 CAJAS DE BRASIL PEPE EL DIA 05/09/25</t>
  </si>
  <si>
    <t>EXP 525/25</t>
  </si>
  <si>
    <t>162/25</t>
  </si>
  <si>
    <t>SXG 5G77</t>
  </si>
  <si>
    <t>SXD 9C07</t>
  </si>
  <si>
    <t>FH108</t>
  </si>
  <si>
    <t>SE DESCARGO EN UAM 990 CAJAS PRODUCTOR FH108 (786 BR-PEPE, 102 PEQUEÑA, 102 OK CAJA NEGRA) EL DIA 06/09/25</t>
  </si>
  <si>
    <t>VH092</t>
  </si>
  <si>
    <t>SE DESCARGO EN UAM 990 CAJAS DE PRODUCTOR VH093, 504 BR-PEPE, 486 BR-OK NEGRA EL DIA 05/09</t>
  </si>
  <si>
    <t>1361/</t>
  </si>
  <si>
    <t>PY005</t>
  </si>
  <si>
    <t>AAKH283</t>
  </si>
  <si>
    <t>SE DESCARGO EN UAM 990 CAJAS PY PEPE FRUTA BIEN VINO QUEMADA POR FRIO el dia 06/09/25</t>
  </si>
  <si>
    <t>PY006</t>
  </si>
  <si>
    <t>SE DESCARGO EN UAM 990 CAJAS DE PY EC006, FRUTA CON BAJO PESO. EL DIA 09/09/25</t>
  </si>
  <si>
    <t>JV100</t>
  </si>
  <si>
    <t>SE DESCARGO 990 CAJAS BR-PEPE, PRODUCTRO JV100 EL DIA 09/09/25</t>
  </si>
  <si>
    <t>VH095</t>
  </si>
  <si>
    <t>SE DESCARGO EN UAM 990 CAJAS PRODUCTOR VH095 DE LAS CUALES 894 SON BRASIL PEPE, 96 BR- OK CAJA NEGRA EL DIA 09/09/25</t>
  </si>
  <si>
    <t>VH094</t>
  </si>
  <si>
    <t>SE DESCARGO EN UAM 990 CAJAS PRODUCTOR VH094, 600 BR-PEPE, 390BR-CAJA MEGRA EL DIA 09/9/25</t>
  </si>
  <si>
    <t>GT058</t>
  </si>
  <si>
    <t xml:space="preserve">SE DESCARGO EN UAM 990 CAJAS PRODUCTOR GT058, 846 BR-FIBRA, 144 BR-OK NEGRA FFRUTA PEQUEÑA. </t>
  </si>
  <si>
    <t>CK035</t>
  </si>
  <si>
    <t>NGA2F79</t>
  </si>
  <si>
    <t>AHS1H49</t>
  </si>
  <si>
    <t>SE DESCARGO EN UAM 990 CAJAS BR-PEPE PRODUCTRO CK035 EL DIA 09/09/25</t>
  </si>
  <si>
    <t>165/25</t>
  </si>
  <si>
    <t>CK036</t>
  </si>
  <si>
    <t>SE DESCARGO EN UAM 991 CAJAS PRODUCTROR CK036 BR-PEPE EL DIA 10/09/25</t>
  </si>
  <si>
    <t>SE DESCARGO EN UAM 918 CAJAS PRODUCTRO SG013 BR-IOK AZUL EL DIA 10/09/25</t>
  </si>
  <si>
    <t>FH109</t>
  </si>
  <si>
    <t>SE DESCARGO EN UAM 990 CAJAS PRODUCTOR FH109, 108 CAJAS OK-NEGRA 36 BR-PEPE PEQUEÑA EL DIA 10/09/25</t>
  </si>
  <si>
    <t>002/ALM/2025</t>
  </si>
  <si>
    <t>CP066</t>
  </si>
  <si>
    <t>SE DECARGO EN UAM 990 BR-PEPE PRODUCTRO CP066, EL DIA 09/09/25</t>
  </si>
  <si>
    <t>SE DESCARGARON 918 CAJAS PRODUCTOR SG012, BR-OK AZUL, EL DIA 10/09/25</t>
  </si>
  <si>
    <t>160/25</t>
  </si>
  <si>
    <t>RXT 8B12</t>
  </si>
  <si>
    <t>MHS 9066</t>
  </si>
  <si>
    <t>SE DESCARGO EN UAM 936 CAJAS BR-SP006 EL DIA 10/09/25</t>
  </si>
  <si>
    <t>SP005</t>
  </si>
  <si>
    <t>QTL 8470</t>
  </si>
  <si>
    <t>MHZ 0878</t>
  </si>
  <si>
    <t>SE DESCARGARON EN UAM 936 CAJAS DE BR-SP EL DIA 10/09/25</t>
  </si>
  <si>
    <t>166/25</t>
  </si>
  <si>
    <t>FH110</t>
  </si>
  <si>
    <t>SE DESCARGO 990 CAJAS PRODUCTOR FH110, 72 CAJAS PEQUEÑA 36 CAJS GRAUDA. EL DIA 11/09/25</t>
  </si>
  <si>
    <t>GT059/JV101</t>
  </si>
  <si>
    <t>SE DESCARGO EN UAM 990 CAJAS: 504 CAJS BR-PEPE PRODUCTOR JV101, 486 CAJAS PRODUCTOR GT059 DE LAS CUALES 432 BR-FIBRA, 545 BR-COMUN.(14 Plt Jhony - 14 Plt Gilson). EL DIA 12/09/25</t>
  </si>
  <si>
    <t>VH096</t>
  </si>
  <si>
    <t>SE DESCARGO 990 CAJAS PRODUCTRO VH096 BR- COMUN PEPE. EL DIA 12/09/25</t>
  </si>
  <si>
    <t>169/25</t>
  </si>
  <si>
    <t>FH111</t>
  </si>
  <si>
    <t>SE DESCARGO EN UAM 990 CAJS PRODUCTRO FH111, DE LAS CUALES 102 CAJAS BE- PEQUEÑA, 36 BR-GRAUDA EL DIA 12/09/25</t>
  </si>
  <si>
    <t>CP067</t>
  </si>
  <si>
    <t>IZC-1D27</t>
  </si>
  <si>
    <t>SE DESCARGO EN UAM 991 CAJAS BR-FIBRA PRODUCTOR CP067 EL DIA 12/09/25</t>
  </si>
  <si>
    <t>VH097</t>
  </si>
  <si>
    <t>SE DESCARGO EN UAM 990 CAJAS DE PRODUCTRO VH097 DE LAS CUALES 36 CAJAS SON BR-OK NEGRA. EL DIA 13/09/25</t>
  </si>
  <si>
    <t>CK037</t>
  </si>
  <si>
    <t>SE DESCARO EN UAM 991 CAJS PRODUCTRO CK037 DE LOS CUALES 486 BR-PEPE, 505 BR- OK CAJA NEGRA EL DIA 13/09</t>
  </si>
  <si>
    <t>FH112</t>
  </si>
  <si>
    <t>SE DESCARO EN UAM 990 CAJAS DE PRODUCTRO FH112, DE LAS CUALES 72 PEQUEÑA CAJA OK- NEGRA, 66 PEQUEÑA CAJA PEPE, EL DIA 13/09/25</t>
  </si>
  <si>
    <t>CP068</t>
  </si>
  <si>
    <t xml:space="preserve">IOM9I98 </t>
  </si>
  <si>
    <t>SE DESCARGO EN UAM 991 CAJAS DE BR-FIBRA PRODUCTOR 068 EL DIA 16/09/25</t>
  </si>
  <si>
    <t>CK039</t>
  </si>
  <si>
    <t>SE DESCARGO EN UAM 918 CAJAS DE PRODUCTOR CK039 EL DIA 16/09/25</t>
  </si>
  <si>
    <t>CK038</t>
  </si>
  <si>
    <t>Jorge Bender</t>
  </si>
  <si>
    <t>SE DESCARGO EN UAM 919 CAJAS PRODUCTOR CK038 EL DIA 16/09/25</t>
  </si>
  <si>
    <t>VH099</t>
  </si>
  <si>
    <t>SE DESCARGO EN UAM 990 CAJAS DE PRODUCTOR VH099 EL DIA 16/09/25</t>
  </si>
  <si>
    <t>FH113</t>
  </si>
  <si>
    <t>SE DESCARGO EN AUM 990 CAJS DE BRASIL PRODUCTOR FH113, DE LAS CUALES 276 CAJA NEGRA 72 CAJA PEQUEÑA EL DIA 16/09/25</t>
  </si>
  <si>
    <t>JV102</t>
  </si>
  <si>
    <t>SE DESCARGO EN UAM 990 BRASL COMUN CAJAS PRODUCTRO JV102 EL DIA 16/09/25</t>
  </si>
  <si>
    <t>VH098</t>
  </si>
  <si>
    <t>SE DESCARGO EN UAM 990 CAJS DE BRASIL COMUN PRODUCTOR VH098, EL DIA 16/09/25</t>
  </si>
  <si>
    <t>167/25</t>
  </si>
  <si>
    <t>GBZ1H37</t>
  </si>
  <si>
    <t>MHS-4373</t>
  </si>
  <si>
    <t>SE DESCARGO EN UAM 936 SP007 72 BR-SP PEQUEÑA EL DIA 16/09/25</t>
  </si>
  <si>
    <t>UY013-AL</t>
  </si>
  <si>
    <t xml:space="preserve">Mix + Sandía </t>
  </si>
  <si>
    <t>170/25</t>
  </si>
  <si>
    <t>SWE 6E95</t>
  </si>
  <si>
    <t>SXK 6C97</t>
  </si>
  <si>
    <t xml:space="preserve">Sandía </t>
  </si>
  <si>
    <t>CK040</t>
  </si>
  <si>
    <t xml:space="preserve">MKE2E39 </t>
  </si>
  <si>
    <t>IXH5661</t>
  </si>
  <si>
    <t>SE DESCARGO EN UAM 991 CAJAS PRODUCTOR CK040 EL DIA 19/09/25</t>
  </si>
  <si>
    <t>FH114</t>
  </si>
  <si>
    <t>SE DESCARGARON 990 CAJAS PRODUCTOR FH114, DE LAS CUALES 72 CAJAS BRPEQUEÑA, EL DIA 19/09/25</t>
  </si>
  <si>
    <t>VH100</t>
  </si>
  <si>
    <t>SE DESCARGO EN UAM 990 CAJS DE PRODUCTOR VH100, EL DIA 18/09/25</t>
  </si>
  <si>
    <t>171/25</t>
  </si>
  <si>
    <t>SXK 1A30</t>
  </si>
  <si>
    <t>RDU 5J07</t>
  </si>
  <si>
    <t>172/25</t>
  </si>
  <si>
    <t>MFU3G98</t>
  </si>
  <si>
    <t>SE DESCARGO EN UAM 990 CAJAS PRODUCTOR SG014 EL DIA 19/09/25</t>
  </si>
  <si>
    <t>174/25</t>
  </si>
  <si>
    <t>CP069</t>
  </si>
  <si>
    <t>SE DESCARGO EN UAM 991 CAJS DE PRODUCTOR CP069</t>
  </si>
  <si>
    <t>1364/</t>
  </si>
  <si>
    <t>PY007</t>
  </si>
  <si>
    <t>SE DESCARGO EN UAM 991 CAJS PRODUCTOR EC007, EL DIA 19/09/25</t>
  </si>
  <si>
    <t>175/25</t>
  </si>
  <si>
    <t>VH101</t>
  </si>
  <si>
    <t>SE DESCARGO EN UAM 990 CAJAS PRODUCTRO VH101 DE LAS CUALES 36 OK-NEGRA EL DIA 20/09/25</t>
  </si>
  <si>
    <t>FH115</t>
  </si>
  <si>
    <t>SE DESCARGO EN UAM 990 CAJAS DE BRASIL PEPE PRODUCTOR FH115, EL DIA 20/09/25</t>
  </si>
  <si>
    <t>177/25</t>
  </si>
  <si>
    <t>FH116</t>
  </si>
  <si>
    <t>SE DESCARGO EN UAM 918 CAJAS PRODUCTOR FH116, EL DIA 20/09</t>
  </si>
  <si>
    <t>003/ALM/2025</t>
  </si>
  <si>
    <t>CK041</t>
  </si>
  <si>
    <t xml:space="preserve">IXQ8I99 </t>
  </si>
  <si>
    <t>SE DESCARGO EN UAM 991 CAJAS DE P`RODUCTOR CK041 EL DIA 23/09/25</t>
  </si>
  <si>
    <t>VH102</t>
  </si>
  <si>
    <t>SE DESCARGO EN UAM 990 CAJAS DE PRODUCTOR VH102 EL DIA 23/09/25</t>
  </si>
  <si>
    <t>CK042</t>
  </si>
  <si>
    <t>SE DESCARGARON 991 CAJS DE PRODUCTOR CK042 EL DIA 23/09/25</t>
  </si>
  <si>
    <t>GT060</t>
  </si>
  <si>
    <t>SE DESCARGO EN UAM 990 CAJAS DE PRODUCTOR GT060 DE LAS CUALES 138 CAJAS BR- OK NEGRA FRUTA PEQUEÑA, EL DIA 23/09/25</t>
  </si>
  <si>
    <t>JV103</t>
  </si>
  <si>
    <t>SE DESCARGO EN UAM 991 CAJS PRODUCTOR JV103 EL DIA 23/09/25</t>
  </si>
  <si>
    <t>173/25</t>
  </si>
  <si>
    <t>RLP 3G39</t>
  </si>
  <si>
    <t>FKH 8I67</t>
  </si>
  <si>
    <t>SE DESCARGO EN UAM 936 CAJAS DE BR-SP008 EL DIA 23/09/25</t>
  </si>
  <si>
    <t>FH117</t>
  </si>
  <si>
    <t>GEB 4J44</t>
  </si>
  <si>
    <t>MJF 6139</t>
  </si>
  <si>
    <t>SE DESCARGO EN UAM 918 CAJAS DE PRODUCTOR FH117 EL DIA 23/09/25</t>
  </si>
  <si>
    <t>VH103</t>
  </si>
  <si>
    <t>SE DESCARGO EN UAM 990 CAJAS PRODUCTOR VH103, DE LAS CUALES 54 BR-OK NEGRA Y 36 VINIERON CON PAPEL DE BR-SP, EL DIA 23/09/25</t>
  </si>
  <si>
    <t>SP010</t>
  </si>
  <si>
    <t>QTK 6446</t>
  </si>
  <si>
    <t>MFK 3188</t>
  </si>
  <si>
    <t>SE DESCARGO EN UAM 936 CAJAS DE BR-SP010 EL DIA 24/09/25</t>
  </si>
  <si>
    <t>189/</t>
  </si>
  <si>
    <t>SE DESCARGO EN UAM 980 CAJAS PYDF012 EL DIA 24/09/25</t>
  </si>
  <si>
    <t>SP009</t>
  </si>
  <si>
    <t>QJK 5205</t>
  </si>
  <si>
    <t>FNI 1I96</t>
  </si>
  <si>
    <t>SE DESCARGO EN UAM 936 CAJAS DE BR-SP009 EL DIA 24/09/25</t>
  </si>
  <si>
    <t>UY014-AL</t>
  </si>
  <si>
    <t>SE DESCARGO UAM 504 BR-PEPE PRODUCTRO FH118. 50 BOLSAS DE COCO, 260 CAJAS DE PAPAYA, 250 LIMA, EL DIA 25/9/25</t>
  </si>
  <si>
    <t>VH104</t>
  </si>
  <si>
    <t xml:space="preserve">26/09 SE DESCARGO 990 CAJAS DE PEPE FRUTA BIEN </t>
  </si>
  <si>
    <t>JV104</t>
  </si>
  <si>
    <t>SE DESCARGO EN UAM 991 CAJAS DE PRODUCTOR JV104 EL DIA 26/09/25</t>
  </si>
  <si>
    <t>CP070</t>
  </si>
  <si>
    <t>RYM 9D10</t>
  </si>
  <si>
    <t>SXM 3C88</t>
  </si>
  <si>
    <t>SE DESCARGO EN UAM 919 CAJAS PRODUCTOR CP070 BR-FIBRA EL DIA 26/09/25</t>
  </si>
  <si>
    <t>180/25</t>
  </si>
  <si>
    <t>FH119</t>
  </si>
  <si>
    <t>26/09 SE DESCARGO EN UAM 990 CAJAS DE PEPE VINO 3 PALLET CON FRUTA PEQUEÑA Y QUEMADA POR FRIO FH119</t>
  </si>
  <si>
    <t>179/25</t>
  </si>
  <si>
    <t>SXD 2A21</t>
  </si>
  <si>
    <t>RKY 8I07</t>
  </si>
  <si>
    <t>SE DESCARGO EN UAM 24500 KILOS DE SANDIA EL DIA 27/9/2025</t>
  </si>
  <si>
    <t>CK043</t>
  </si>
  <si>
    <t>SE DESCARGO EN UAM 991 CAJAS DE BRASIL  EL DIA 27/9/2025</t>
  </si>
  <si>
    <t>CK044</t>
  </si>
  <si>
    <t>IXQ 8199</t>
  </si>
  <si>
    <t>SE DESCARGO EN UAM 990 CAJAS DE BRASIL EL DIA 27/9/2025</t>
  </si>
  <si>
    <t>VH105</t>
  </si>
  <si>
    <t>ISY1H52</t>
  </si>
  <si>
    <t>SE DESCARGO EN UAM 990 CAJAS DE BANANA BRASIL EL DIA 27/9/2025</t>
  </si>
  <si>
    <t>004/ALM/2025</t>
  </si>
  <si>
    <t>FH120</t>
  </si>
  <si>
    <t>SE DESCRAGO EN UAM 504 CAJAS  DE CHOCLO Y 504 CAJASD DE BANANA BRASIL EL DIA 27/9/2025</t>
  </si>
  <si>
    <t>181/25</t>
  </si>
  <si>
    <t>FH121</t>
  </si>
  <si>
    <t>SE DESCARGO EN UAM 918 CAJAS DE BRASIL EL DIA 27/9/2025</t>
  </si>
  <si>
    <t>1366/</t>
  </si>
  <si>
    <t>SE DESCARGO EN UAM 990 CAJAS DE PY EL DIA 29/9/2025</t>
  </si>
  <si>
    <t>184/25</t>
  </si>
  <si>
    <t>SXD 1J51</t>
  </si>
  <si>
    <t>RYR 9C59</t>
  </si>
  <si>
    <t>GT061-CP071</t>
  </si>
  <si>
    <t>TQO2B65</t>
  </si>
  <si>
    <t>Federico Morales</t>
  </si>
  <si>
    <t>SE DESCARGO EN UAM 396 CAJAS DE BARSIL FIBRA Y 594 CAJAS DXE BRASIL EL DIA 30/9</t>
  </si>
  <si>
    <t>VH107</t>
  </si>
  <si>
    <t>SE DESCARGO EN UAM 990 CAJAS DE BRASIL EL DIA 30/9/2025</t>
  </si>
  <si>
    <t>FH122</t>
  </si>
  <si>
    <t>JV105</t>
  </si>
  <si>
    <t>FH123</t>
  </si>
  <si>
    <t>SE DESCARGO EN UAM 991 CAJAS DE BRASIL EL DIA 30/9</t>
  </si>
  <si>
    <t>VH106</t>
  </si>
  <si>
    <t>005/ALM/2025</t>
  </si>
  <si>
    <t>ck045</t>
  </si>
  <si>
    <t>se descargo en uam 991 cajas de brasil el dia 1/10/2025</t>
  </si>
  <si>
    <t>178/25</t>
  </si>
  <si>
    <t>SP011</t>
  </si>
  <si>
    <t>QJK-5305</t>
  </si>
  <si>
    <t>MHL-3002</t>
  </si>
  <si>
    <t>SE DESCARGO EN UAM 936 CAJAS DE SAO PABLO EL DIA 1/10/2025</t>
  </si>
  <si>
    <t>CK046</t>
  </si>
  <si>
    <t>SE DESCARGO EN UAM 990 CAJAS DE BRASIL EL DIA 2/10/2025</t>
  </si>
  <si>
    <t>183/25</t>
  </si>
  <si>
    <t>Milton Lopes</t>
  </si>
  <si>
    <t>Jengibre + curcuma</t>
  </si>
  <si>
    <t>186/25</t>
  </si>
  <si>
    <t>JV106</t>
  </si>
  <si>
    <t>SE DESCARGO EN UAM 991 CAJAS DE BRASIL EL DIA 2/10/2025</t>
  </si>
  <si>
    <t>002.25 ALM/</t>
  </si>
  <si>
    <t>RYV2196</t>
  </si>
  <si>
    <t>182/25</t>
  </si>
  <si>
    <t>RYG9E87</t>
  </si>
  <si>
    <t>RLB7F10</t>
  </si>
  <si>
    <t>Emerson Modesto Da Silva</t>
  </si>
  <si>
    <t>Mango + Banana Bahia</t>
  </si>
  <si>
    <t>SP012</t>
  </si>
  <si>
    <t>RYF1B36</t>
  </si>
  <si>
    <t>MFK-6525</t>
  </si>
  <si>
    <t>SE DESCARGO EN UAM 936 CAJAS DE SAO PABLO EL DIA 3/10/2025</t>
  </si>
  <si>
    <t>VH108</t>
  </si>
  <si>
    <t>SE DESCARGO EN UAM 990 CAJAS BRASIL EL DIA 3/10/2025</t>
  </si>
  <si>
    <t>FH124</t>
  </si>
  <si>
    <t>SE DESCARGO EN UAM 990 CAJAS DE BRASIL EL DIA 3/10/2025</t>
  </si>
  <si>
    <t>CK047</t>
  </si>
  <si>
    <t>SE DESCRAGO EN UAM 991 CAJAS DE  BRASIL EL DIA 3/10/2025</t>
  </si>
  <si>
    <t>VH109</t>
  </si>
  <si>
    <t>SE DESCARGO EN UAM 992 CAJAS DE BRASIL EL DIA 3/10/2025</t>
  </si>
  <si>
    <t>CP072</t>
  </si>
  <si>
    <t>SE DESCRAGO EN UAM 991 CAJAS DE BRASIL FIBRA EL DIA 3/10/2025</t>
  </si>
  <si>
    <t>JV107</t>
  </si>
  <si>
    <t>SE DESCARGO EN UAM 991 CAJAS DE BRASIL EL DIA 3/10/2025</t>
  </si>
  <si>
    <t>FH125</t>
  </si>
  <si>
    <t>SE DESCARGO EN UAM 990 CAJAS DE BRASIL  EL DIA 4/10/2025</t>
  </si>
  <si>
    <t>185/25</t>
  </si>
  <si>
    <t>SP014</t>
  </si>
  <si>
    <t>RXM3G36</t>
  </si>
  <si>
    <t>SE DESCARGO EN UAM 936 CAJAS DE SAO PABLO EL DIA 7/10/2025</t>
  </si>
  <si>
    <t>VH110</t>
  </si>
  <si>
    <t>SE DESCRAGO EN UAM 990 CAJAS DE BRASIL EL DIA 7/10/2025</t>
  </si>
  <si>
    <t>GT062</t>
  </si>
  <si>
    <t>SE DESCARGO EN UAM 756 CAJAS DE BRASIL FIBRA Y 234 CAJAS DE BRASIL PEPE EL DIA 7/10/2025</t>
  </si>
  <si>
    <t>FH127 Y CP073</t>
  </si>
  <si>
    <t>SE DESCARGO EN UAM 978 CAJAS DE BRASIL EL DIA 7/10/2025</t>
  </si>
  <si>
    <t>CK048</t>
  </si>
  <si>
    <t xml:space="preserve">SE DESCARGO EN UAM 991 CAJAS DE BRASIL EL DIA 7/10/2025. VINIERON 17 PALLETS SENTIDOS Y CON COLOR </t>
  </si>
  <si>
    <t>CK049</t>
  </si>
  <si>
    <t>IXQ8J99</t>
  </si>
  <si>
    <t>SE DESCARGO EN UAM 991 CAJAS DE BRASIL EL DIA 7/10/2025</t>
  </si>
  <si>
    <t>VH111</t>
  </si>
  <si>
    <t>187/25</t>
  </si>
  <si>
    <t>JV108</t>
  </si>
  <si>
    <t>SE DESCARGO EN UAM 991 CAJAS DE BRASIL EL DIA 7/10/2025. VINIERON 11 PALLETS CON FRUTA SENTIDA Y MADURA</t>
  </si>
  <si>
    <t>1368/</t>
  </si>
  <si>
    <t>SE DESCRAGO EN UAM 990 CAJAS DE PY EL DIA 6/10/2025</t>
  </si>
  <si>
    <t>UY015-AL</t>
  </si>
  <si>
    <t xml:space="preserve">FH126 Y EXOTICO </t>
  </si>
  <si>
    <t>SE DESCRAGO EN UAM 504 CAJAS DE BRASIL, 50 CAJAS COCO,260 CAJAS DE PAPAYA,300 CAJAS DE LIMA EL DIA 4/10/2025</t>
  </si>
  <si>
    <t>FH129</t>
  </si>
  <si>
    <t>SE DESCARGO EN UAM 1002 CAJAS DE BRASIL EL DIA 7/10/2025</t>
  </si>
  <si>
    <t>FH128</t>
  </si>
  <si>
    <t>IDM4H16</t>
  </si>
  <si>
    <t>IMB9F16</t>
  </si>
  <si>
    <t>SE DESCARGO EN UAM 996 CAJAS DE BRASIL EL DIA 7/10/2025</t>
  </si>
  <si>
    <t>Hermes Neto</t>
  </si>
  <si>
    <t>se descrago en uam 918 cajas de brasil el dia 8/10/2025</t>
  </si>
  <si>
    <t>188/25</t>
  </si>
  <si>
    <t>TPN 5H45</t>
  </si>
  <si>
    <t>TPP 8F55</t>
  </si>
  <si>
    <t>EXP00001203/25</t>
  </si>
  <si>
    <t>rxy9d04</t>
  </si>
  <si>
    <t>se descargo en riqueza natural 1512 melones amarillos</t>
  </si>
  <si>
    <t>006/ALM/2025</t>
  </si>
  <si>
    <t>CK050</t>
  </si>
  <si>
    <t>SE DESCARGO EN UAM 990 CAJAS DE BRASIL EL DIA 9/10/2025</t>
  </si>
  <si>
    <t>CK051</t>
  </si>
  <si>
    <t>SE DESCARGO EN AUM 991 CAJAS PRODUCTOR CK051 EL DIA 09/10/25</t>
  </si>
  <si>
    <t>jv109</t>
  </si>
  <si>
    <t>SE DESCRAGO EN UAM 990 CAJAS DE BRASIL EL DIA 9/10/2025</t>
  </si>
  <si>
    <t>SP015</t>
  </si>
  <si>
    <t>FTX9B22</t>
  </si>
  <si>
    <t>MJP-1896</t>
  </si>
  <si>
    <t>SE DESCARGO EN UAM 936 CAJAS DE SAO PABLO EL DIA 10/10/2025</t>
  </si>
  <si>
    <t>VH112</t>
  </si>
  <si>
    <t>SE DESCRAGO EN UAM 990 CAJAS DE BRASIL EL DIA 10/10/2025</t>
  </si>
  <si>
    <t>191/25</t>
  </si>
  <si>
    <t>FH131</t>
  </si>
  <si>
    <t>REA9F02</t>
  </si>
  <si>
    <t>RLE6H51</t>
  </si>
  <si>
    <t>SE DESCRAGO EN UAM 918 CAJAS DE BRASIL EL DIA 10/10/2025</t>
  </si>
  <si>
    <t>192/25</t>
  </si>
  <si>
    <t>CP074</t>
  </si>
  <si>
    <t>SE DESCRAGO EN UAM 919 CAJAS DE BRASIL FIBRA EL DIA 10/10/2025</t>
  </si>
  <si>
    <t>189/25</t>
  </si>
  <si>
    <t>FH130</t>
  </si>
  <si>
    <t>VH113</t>
  </si>
  <si>
    <t>SE DESCARGO EN UAM 990 CAJAS DE BRASIL EL DIA 11/10/2025</t>
  </si>
  <si>
    <t>CK052</t>
  </si>
  <si>
    <t>JV110</t>
  </si>
  <si>
    <t>SE DESCRAGO EN UAM 991 CAJAS DE BRASIL EL DIA 14/10/2025</t>
  </si>
  <si>
    <t>VH114</t>
  </si>
  <si>
    <t>se descargo en uam 990 cajas de brasil el dia 14/10/2025</t>
  </si>
  <si>
    <t>FH132</t>
  </si>
  <si>
    <t>GT063</t>
  </si>
  <si>
    <t>SE DESCARGO EN UAM 918 CAJAS DE BRASIL EL DIA 14/10/2025</t>
  </si>
  <si>
    <t>CK053</t>
  </si>
  <si>
    <t>190/25</t>
  </si>
  <si>
    <t>SXK 3J50</t>
  </si>
  <si>
    <t>SXL 7H09</t>
  </si>
  <si>
    <t>VH115</t>
  </si>
  <si>
    <t>SE DESCARGO EN UAM 990 CAJAS DE BRASIL EL DIA 14/10/2025</t>
  </si>
  <si>
    <t>FH133</t>
  </si>
  <si>
    <t>UY016-AL</t>
  </si>
  <si>
    <t>SE DESCARGO EN UAM 100 CAJAS DE COCO, 432 CAJAS DE CHOCLO, 200 CAJAS DE LIMA,390 CAJAS DE PAPAYA EL DIA 14/10/2025</t>
  </si>
  <si>
    <t>195/25</t>
  </si>
  <si>
    <t>SXD 1J61</t>
  </si>
  <si>
    <t>007/ALM/2025</t>
  </si>
  <si>
    <t>CK054</t>
  </si>
  <si>
    <t>SE DESCRAGO EN UAM 991 CAJAS DE BRASIL EL DIA 16/10/2025</t>
  </si>
  <si>
    <t>196/25</t>
  </si>
  <si>
    <t>FH134</t>
  </si>
  <si>
    <t>SE DESCRAGO EN UAM 990 CAJAS DE BRASIL EL DIA 16/10</t>
  </si>
  <si>
    <t>1350/25</t>
  </si>
  <si>
    <t>Cantaloupe</t>
  </si>
  <si>
    <t>193/25</t>
  </si>
  <si>
    <t>SWZ 2E06</t>
  </si>
  <si>
    <t>SXK 2D46</t>
  </si>
  <si>
    <t>CK055</t>
  </si>
  <si>
    <t>SE DESCARGO EN UAM 991 CAJAS DE BRASIL EL DIA 17/10/2025</t>
  </si>
  <si>
    <t>VH116</t>
  </si>
  <si>
    <t>SE DESCARGO EN UAM 990 CAJAS DE BRASIL EL DIA 17/10/2025</t>
  </si>
  <si>
    <t>JV111</t>
  </si>
  <si>
    <t>SE DESCRAGO EN UAM 991 CAJAS DE BRASIL EL DIA 17/10/2025</t>
  </si>
  <si>
    <t>VH117</t>
  </si>
  <si>
    <t>SE DESCARGO EN UAM 990 CAAJS DE BRASIL EL DIA 17/10/2025</t>
  </si>
  <si>
    <t>194/25</t>
  </si>
  <si>
    <t>RXV5F83</t>
  </si>
  <si>
    <t>QIW3734</t>
  </si>
  <si>
    <t>SE DESCARGO EN RIQUEZA NATURAL 5616 MANGOS</t>
  </si>
  <si>
    <t xml:space="preserve">camión volcó </t>
  </si>
  <si>
    <t>CP075</t>
  </si>
  <si>
    <t>SE DESCRAGO EN UAM 919 CAJAS DE BRASIL FIBRA EL DIA 18/10/2025</t>
  </si>
  <si>
    <t>CK056</t>
  </si>
  <si>
    <t>SE DESCARGO EN UAM 990 CAJAS DE BRASIL EL DIA 18/10/2025</t>
  </si>
  <si>
    <t>198/25</t>
  </si>
  <si>
    <t>FH135</t>
  </si>
  <si>
    <t>SE DESCARGO EN UAM 918 CAJAS DE BRASIL EL DIA 18/10/2025</t>
  </si>
  <si>
    <t>197/25</t>
  </si>
  <si>
    <t>SXJ 9I60</t>
  </si>
  <si>
    <t>RKZ 2H15</t>
  </si>
  <si>
    <t>GT064</t>
  </si>
  <si>
    <t>TLA 2H86</t>
  </si>
  <si>
    <t>GJL 3G61</t>
  </si>
  <si>
    <t>SE DESCRAGO EN UAM 918 CAJAS DE BRASIL FIBRA EL DIA 21/10/2025</t>
  </si>
  <si>
    <t>VH119</t>
  </si>
  <si>
    <t>SE DESCARGO EN UAM 990 CAJAS DE BRASIL EL DIA 21/10/2025</t>
  </si>
  <si>
    <t>JV112</t>
  </si>
  <si>
    <t>SE DESCARGO EN UAM 991 CAJAS DE BRASIL EL DIA 21/10/2025</t>
  </si>
  <si>
    <t>CP076 - FH136</t>
  </si>
  <si>
    <t>FH137</t>
  </si>
  <si>
    <t>SE DESCRAGO EN UAM 990 CAJAS DE BRASIL EL DIA 22/10/2025</t>
  </si>
  <si>
    <t>VH118</t>
  </si>
  <si>
    <t>SE DESCRAGO EN UAM 967 CAJAS DE BRASIL EL DIA 21/10/2025, VINIERON 23 CAJAS MENOS. EL PRODUCTOR DICVE QUE YA AVISO DE ESAS 23 CAJAS MENOS</t>
  </si>
  <si>
    <t>199/25</t>
  </si>
  <si>
    <t>CK057</t>
  </si>
  <si>
    <t>SE DESCRAGO EN UAM 991 CAJAS DE BRASIL EL DIA 21/10/2025. LA FRUTA VINO SENTIDA Y CON COLOR TODA LA CARGA.</t>
  </si>
  <si>
    <t>203/25</t>
  </si>
  <si>
    <t>FH138</t>
  </si>
  <si>
    <t>201/25</t>
  </si>
  <si>
    <t>QTL 7470</t>
  </si>
  <si>
    <t>RAB 6288</t>
  </si>
  <si>
    <t>200/25</t>
  </si>
  <si>
    <t>SXK 1A40</t>
  </si>
  <si>
    <t>RLE 1C73</t>
  </si>
  <si>
    <t>204/25</t>
  </si>
  <si>
    <t>CK058</t>
  </si>
  <si>
    <t>SE DESCRAGO EN UMA 919 CAJAS DE BRASIL EL DIA 24/10/2025</t>
  </si>
  <si>
    <t>VH120</t>
  </si>
  <si>
    <t>SE DESCRAGO EN UAM 990 CAJAS DE BRASIL EL DIA 24/10/2025</t>
  </si>
  <si>
    <t>CP077</t>
  </si>
  <si>
    <t>FH140</t>
  </si>
  <si>
    <t>JAR 1C99</t>
  </si>
  <si>
    <t>MLT 2516</t>
  </si>
  <si>
    <t>SE DESCRAGO EN UAM 918 CAJAS DE BRASIL EL DIA 25/10/2025</t>
  </si>
  <si>
    <t>SE DESCRAGO EN UAM 990 CAJAS DE BRASIL EL DIA 25/10/2025</t>
  </si>
  <si>
    <t>FH139</t>
  </si>
  <si>
    <t>SE DESCRAGO EN 918 CAJAS DE BRASIL EL DIA 28/10/2025</t>
  </si>
  <si>
    <t>JV113</t>
  </si>
  <si>
    <t>SE DESCRAGO EN UAM 990 CAJAS DE BRASIL EL DIA 29/10/2025</t>
  </si>
  <si>
    <t>FH141</t>
  </si>
  <si>
    <t>TPN 7H35</t>
  </si>
  <si>
    <t>TPN 7H65</t>
  </si>
  <si>
    <t>SE DESCARGO EN UAM 918 CAJAS DE BRASIL EL DIA 30/10/2025</t>
  </si>
  <si>
    <t>ck059</t>
  </si>
  <si>
    <t>SE DESCARGO EN UAM 990 CAJAS DE BRASIL EL DIA 29/10/2025</t>
  </si>
  <si>
    <t>VH121</t>
  </si>
  <si>
    <t>008/ALM/2025</t>
  </si>
  <si>
    <t>GT065</t>
  </si>
  <si>
    <t xml:space="preserve">FGR4E72 </t>
  </si>
  <si>
    <t>MBB0G43</t>
  </si>
  <si>
    <t>SE DESCRAGO EN UAM 918 CAJAS DE BRASIL FIBRA EL DIA 29/10/2025</t>
  </si>
  <si>
    <t>206/25</t>
  </si>
  <si>
    <t>208/25</t>
  </si>
  <si>
    <t>RYT 2J79</t>
  </si>
  <si>
    <t>RYR 9C49</t>
  </si>
  <si>
    <t>205/25</t>
  </si>
  <si>
    <t>207/25</t>
  </si>
  <si>
    <t>SP016</t>
  </si>
  <si>
    <t>RXW 5F53</t>
  </si>
  <si>
    <t>RLG 2J60</t>
  </si>
  <si>
    <t>SE DESCARGO EN UAM 936 CAJAS DE BRASIL SAO PABLO EL DIA 31/10/2025</t>
  </si>
  <si>
    <t>SP017</t>
  </si>
  <si>
    <t>FNY 6F45</t>
  </si>
  <si>
    <t>RAC 1E72</t>
  </si>
  <si>
    <t>CK060</t>
  </si>
  <si>
    <t>SE DESCRAGO EN UAM 918 CAJAS DE BRASIL EL DIA 31/10/2025</t>
  </si>
  <si>
    <t>FH142</t>
  </si>
  <si>
    <t>IQA - 2J27</t>
  </si>
  <si>
    <t>IZZ - 8J6</t>
  </si>
  <si>
    <t>SE DESCRAGO EN UAM 990 CAJAS DE BRASIL EL DIA 31/10/2025</t>
  </si>
  <si>
    <t>VH122</t>
  </si>
  <si>
    <t>1671/25</t>
  </si>
  <si>
    <t>003,25ALM</t>
  </si>
  <si>
    <t>210/25</t>
  </si>
  <si>
    <t>ck061</t>
  </si>
  <si>
    <t>se descrago en uam 918 cajas de brasil el dia 1/11/2025</t>
  </si>
  <si>
    <t>009/ALM/2025</t>
  </si>
  <si>
    <t>FH143</t>
  </si>
  <si>
    <t>HDI - 9276</t>
  </si>
  <si>
    <t xml:space="preserve"> IWU - 1235</t>
  </si>
  <si>
    <t>SE DESCARGO EN AUM 990 CAJAS PRODUCTOR FH 143 EL DIA 1/11/25</t>
  </si>
  <si>
    <t>CP078</t>
  </si>
  <si>
    <t>JCR5E06</t>
  </si>
  <si>
    <t>SE DESCRAGO EN UAM 990 CAJAS DE BRASIL EL DIA 4/11/2025</t>
  </si>
  <si>
    <t>CK062</t>
  </si>
  <si>
    <t>SE DESCRAGO EN UAM 918 CAJAS DE BRASIL EL DIA 4/11/2025</t>
  </si>
  <si>
    <t>GT066</t>
  </si>
  <si>
    <t>SE DESCRAGO EN RIQUEZA NATURAL 990 CAJAS DE BRASIL FIBRA EL DIA 4/11/2025</t>
  </si>
  <si>
    <t>JV114</t>
  </si>
  <si>
    <t>SE DESCRAGO EN RIQUEZA NATURAL 991 CAJAS DE BRASIL EL DIA 4/11/2025</t>
  </si>
  <si>
    <t>211/25</t>
  </si>
  <si>
    <t>VH124</t>
  </si>
  <si>
    <t>SE DESCRAGO EN RIQUEZA NATURAL 990 CAJAS DE BRASIL EL DIA 4/11/2025</t>
  </si>
  <si>
    <t>FH144</t>
  </si>
  <si>
    <t>MKE - 2E39</t>
  </si>
  <si>
    <t xml:space="preserve"> IYX - 4107</t>
  </si>
  <si>
    <t>VH123</t>
  </si>
  <si>
    <t>209/25</t>
  </si>
  <si>
    <t>SP019</t>
  </si>
  <si>
    <t>TIQ5H66</t>
  </si>
  <si>
    <t>TIY0G14</t>
  </si>
  <si>
    <t>SE DESCRAGO EN UAM 936 CAJAS DE BRASIL SAO PABLO EL DIA 6/11/2025</t>
  </si>
  <si>
    <t>SP018</t>
  </si>
  <si>
    <t>QTK6286</t>
  </si>
  <si>
    <t>MHW8866</t>
  </si>
  <si>
    <t>SE DESCRAAGO EN UAM 936 CAJAS DE BRASIL SAO PABLO EL DIA 6/11/2025</t>
  </si>
  <si>
    <t>CK063</t>
  </si>
  <si>
    <t>SE DESCRAGO EN UAM 918 CAJAS DE BRASIL EL DIA 7/11/2025</t>
  </si>
  <si>
    <t>SP020</t>
  </si>
  <si>
    <t>MFH-3062</t>
  </si>
  <si>
    <t>SE DESCRAGO EN UAM 936 CAJAS DE BRASIL EL DIA 8/11/2025</t>
  </si>
  <si>
    <t>CP079</t>
  </si>
  <si>
    <t>JORGE SEBASTIAN PEREZ</t>
  </si>
  <si>
    <t>SE DESCRAGO EN UAM 991 CAJAS DE BRASIL EL DIA 8/11/2025</t>
  </si>
  <si>
    <t>CK064</t>
  </si>
  <si>
    <t>SE DESCRAGO EN UAM 919 CAJAS DE BRASIL EL DIA 11/11/2025</t>
  </si>
  <si>
    <t>VH125</t>
  </si>
  <si>
    <t>SE DESCARGO EN UAM 990 CAJAS DE BRASIL EL DIA 11/11/2025</t>
  </si>
  <si>
    <t>215/25</t>
  </si>
  <si>
    <t>JV115</t>
  </si>
  <si>
    <t>SE DESCARGO EN UAM 991 CAJAS DE BRASIL EL DIA 11/11/2025</t>
  </si>
  <si>
    <t>GT067</t>
  </si>
  <si>
    <t>SE DESCRAGO EN UAM 492 CAJAS DE FIBRA Y 498 CAJAS DE BRASIL EL DIA 11/11/2025</t>
  </si>
  <si>
    <t>FH145</t>
  </si>
  <si>
    <t xml:space="preserve">IWU - 1235 </t>
  </si>
  <si>
    <t>SE DESCRAGO EN UAM 990 CAJAS DE BRASIL EL DIA 11/11/2025</t>
  </si>
  <si>
    <t>CK065</t>
  </si>
  <si>
    <t>Jaci Pedro Estipe</t>
  </si>
  <si>
    <t>FH146</t>
  </si>
  <si>
    <t>IYX - 4107</t>
  </si>
  <si>
    <t>se descrago en uam 990 cajas de brasil el dia 11/11/2025</t>
  </si>
  <si>
    <t>212/25</t>
  </si>
  <si>
    <t>SP021</t>
  </si>
  <si>
    <t>RLL8I47</t>
  </si>
  <si>
    <t>RXO5E49</t>
  </si>
  <si>
    <t>SE DESCARGO EN UAM 936 CAJAS DE BRASIL EL DIA 11/11/2025</t>
  </si>
  <si>
    <t>SP022</t>
  </si>
  <si>
    <t>TJX 6J76</t>
  </si>
  <si>
    <t>RLI 4F90</t>
  </si>
  <si>
    <t>SE DESCRAGO EN UAM 936 CAJAS DE SAO PABLO EL DIA 12/11/2025</t>
  </si>
  <si>
    <t>UY017-AL</t>
  </si>
  <si>
    <t>FH147 Y EXOTICO</t>
  </si>
  <si>
    <t>RBS3j15</t>
  </si>
  <si>
    <t>SXF105</t>
  </si>
  <si>
    <t>SE DESCARGO EN UAM 200 BOLSAS DE COCO, 200 CAJAS DE LIMA ,390 CAJAS DE PAPAYA Y 504 CAJAS DE BANANA BRASIL EL DIA 12/11/2025</t>
  </si>
  <si>
    <t>217/25</t>
  </si>
  <si>
    <t>CK066</t>
  </si>
  <si>
    <t>RLP 4A34</t>
  </si>
  <si>
    <t>RYJ 3B86</t>
  </si>
  <si>
    <t>SE DESCRAGO EN UAM 919 CAJAS DE BRASIL EL DIA 13/11/2025</t>
  </si>
  <si>
    <t>SP024</t>
  </si>
  <si>
    <t>SXG3F12</t>
  </si>
  <si>
    <t>RYU0A23</t>
  </si>
  <si>
    <t>SE DESCRAGO EN UAM 936 CAJAS DE SAO PABLO EL DIA 13/11/2025</t>
  </si>
  <si>
    <t>216/25</t>
  </si>
  <si>
    <t>RXO7A36</t>
  </si>
  <si>
    <t>RXZ3D12</t>
  </si>
  <si>
    <t>Mango Descarga Uam 648/CR 4968 cjs. Fruta en buen estado total 26 pàlets</t>
  </si>
  <si>
    <t>SP023</t>
  </si>
  <si>
    <t>RXQ1B36</t>
  </si>
  <si>
    <t>RAE6269</t>
  </si>
  <si>
    <t>SE DESCARGO EN UAM 936 CAJAS DE BRASIL SAO PABLO EL DIA 12/11/2025</t>
  </si>
  <si>
    <t>FH149</t>
  </si>
  <si>
    <t>SE DESCRAGO EN UAM 990 CAAJS DE BRASIL EL DIA 15/11/2025</t>
  </si>
  <si>
    <t>VH126</t>
  </si>
  <si>
    <t>SE DESCRAGO EN UAM 990 CAJAS DE BRASIL EL DIA 14/11/2025</t>
  </si>
  <si>
    <t>213/25</t>
  </si>
  <si>
    <t>SP025</t>
  </si>
  <si>
    <t>RYE3H46</t>
  </si>
  <si>
    <t>QJC-2283</t>
  </si>
  <si>
    <t>SE DESCRAGO EN UAM 936 CAJAS DE SAO PABLO EL DIA 14/11/2025</t>
  </si>
  <si>
    <t>SP026</t>
  </si>
  <si>
    <t>MIT-9087</t>
  </si>
  <si>
    <t>SE DESCARGO EN UAM 936 CAAJS DE SAO PABLO EL DIA 14/11/2025</t>
  </si>
  <si>
    <t>CP080</t>
  </si>
  <si>
    <t>SE DESCARGO EN UAM 990 CAJAS DE BRASIL COMUN CP 080 EL DIA 15/11/25</t>
  </si>
  <si>
    <t>010/ALM/2025</t>
  </si>
  <si>
    <t>FH148</t>
  </si>
  <si>
    <t>IOM - 9I98</t>
  </si>
  <si>
    <t>IYE - 2747</t>
  </si>
  <si>
    <t>JV116</t>
  </si>
  <si>
    <t>SE DESCRAGO EN UAM 990 CAJAS DE BRASIL EL DIA 18/11/2025</t>
  </si>
  <si>
    <t>VH127</t>
  </si>
  <si>
    <t>GT068- VH128</t>
  </si>
  <si>
    <t>SE DESCARGO EN UAM 990 CAJAS DE BRASIL EL DIA 18/11/2025</t>
  </si>
  <si>
    <t>CK067</t>
  </si>
  <si>
    <t xml:space="preserve"> REA - 9D62</t>
  </si>
  <si>
    <t>RLC - 9B11</t>
  </si>
  <si>
    <t>SE DESCARGO EN UAM 919 CAJAS DE BRASIL EL DIA 18/11/2025</t>
  </si>
  <si>
    <t>FH150</t>
  </si>
  <si>
    <t>IWU - 1235</t>
  </si>
  <si>
    <t>cassio Hauck</t>
  </si>
  <si>
    <t>CK068</t>
  </si>
  <si>
    <t>RLN - 8C90</t>
  </si>
  <si>
    <t>QJM - 8722</t>
  </si>
  <si>
    <t>SP027</t>
  </si>
  <si>
    <t>RYF2G08</t>
  </si>
  <si>
    <t>RYM5H92</t>
  </si>
  <si>
    <t>SE DESCRAGO EN UAM 936 CAJAS DE BRASIL SAO PABLO  EL DIA 18/11/2025</t>
  </si>
  <si>
    <t>SP028</t>
  </si>
  <si>
    <t>RXN1A08</t>
  </si>
  <si>
    <t>RLP0B68</t>
  </si>
  <si>
    <t>SE DESCARGO EN UAM 936 CAJAS DE SAO PABLO EL DIA 20/11/2025</t>
  </si>
  <si>
    <t>SP029</t>
  </si>
  <si>
    <t>RXW2C74</t>
  </si>
  <si>
    <t>RXX9H24</t>
  </si>
  <si>
    <t>SE DESCVRAGO EN UAM 936 CAJAS DE BRASIL SAO PABLO EL DIA 21/11/2025</t>
  </si>
  <si>
    <t>218/25</t>
  </si>
  <si>
    <t>SP030</t>
  </si>
  <si>
    <t>QJL 1754</t>
  </si>
  <si>
    <t>RXQ4J54</t>
  </si>
  <si>
    <t>SE DESCARGO EN UAM 936 CAJAS DE SAO PABLO EL DIA 21/11/2025</t>
  </si>
  <si>
    <t>221/25</t>
  </si>
  <si>
    <t>FH151</t>
  </si>
  <si>
    <t>SE DESCRAGO EN UAM 990 CAJAS DE BRASIL EL DIA 21/11/2025</t>
  </si>
  <si>
    <t>SP031</t>
  </si>
  <si>
    <t>RKW8J38</t>
  </si>
  <si>
    <t>RDV7F29</t>
  </si>
  <si>
    <t>VH129</t>
  </si>
  <si>
    <t>IAZ3E17</t>
  </si>
  <si>
    <t>ICI4E15</t>
  </si>
  <si>
    <t>SE DESCRAGO EN UAM 990 CAJAS DE BRASIL EL DIA 22/11/2025</t>
  </si>
  <si>
    <t>011/ALM/2025</t>
  </si>
  <si>
    <t>CK069</t>
  </si>
  <si>
    <t>SE DESCRAGO EN UAM 919 CAJAS DE BRASIL EL DIA 22/11/2025</t>
  </si>
  <si>
    <t>SP032</t>
  </si>
  <si>
    <t>SXB0B42</t>
  </si>
  <si>
    <t>SXW1D18</t>
  </si>
  <si>
    <t>SE DESCRAGO EN UAM 936 CAJAS DE SAO PABLO EL DIA 22/11/2025</t>
  </si>
  <si>
    <t>222/25</t>
  </si>
  <si>
    <t>FH152</t>
  </si>
  <si>
    <t>se descrago en uam 990 cajas de brasil el dia 22/11/2025</t>
  </si>
  <si>
    <t>CK070</t>
  </si>
  <si>
    <t>FFW3459</t>
  </si>
  <si>
    <t>MKM3904</t>
  </si>
  <si>
    <t>se descrago en uam 919 cajas de brasil el dia 22/11/2025</t>
  </si>
  <si>
    <t>012/ALM/2025</t>
  </si>
  <si>
    <t>CK071</t>
  </si>
  <si>
    <t>TJK8B46</t>
  </si>
  <si>
    <t>GJP2B62</t>
  </si>
  <si>
    <t>JV117</t>
  </si>
  <si>
    <t>SE DESCARGO EN UAM 991 CAJAS DE BRASIL EL DIA 25/11/2025</t>
  </si>
  <si>
    <t>GT069</t>
  </si>
  <si>
    <t>SE DESCARGO EN UAM 702 CAJAS DE FIBRA Y 288 CAJAS DE BRASIL EL DIA 25/11/2025</t>
  </si>
  <si>
    <t>VH130</t>
  </si>
  <si>
    <t>SE DESCARGO EN UAM 990 CAJAS DE BRASIL EL DIA 25/11/2025</t>
  </si>
  <si>
    <t>FH153</t>
  </si>
  <si>
    <t>SE DESCRAGO EN UAM 990 CAJAS DE BRASIL EL DIA 25/11/2025</t>
  </si>
  <si>
    <t>223/25</t>
  </si>
  <si>
    <t>SP034</t>
  </si>
  <si>
    <t>TPR 6I85</t>
  </si>
  <si>
    <t>TPJ 8H63</t>
  </si>
  <si>
    <t>Roberto Ulmer</t>
  </si>
  <si>
    <t>SE DESCARGO EN UAM 936 CAJAS SAO PABLO EL DIA 25/11/2025</t>
  </si>
  <si>
    <t>225/25</t>
  </si>
  <si>
    <t>SE DESCARGO EN UAM 990 CAJAS  DE BRASIL OK CAJA AZUL EL DIA 25/11/2025</t>
  </si>
  <si>
    <t>SP033</t>
  </si>
  <si>
    <t>SYN4D57</t>
  </si>
  <si>
    <t>TPW4C56</t>
  </si>
  <si>
    <t>SE DESCARGO EN UAM 936 CAJAS DE SAO PABLO EL DIA 25/11/2025</t>
  </si>
  <si>
    <t>SP035</t>
  </si>
  <si>
    <t>TDV5E36</t>
  </si>
  <si>
    <t>RXU5J74</t>
  </si>
  <si>
    <t>SE DESCARGO EN UAM 936 CAAJS DE SAO PABLO EL DIA 26/11/2025</t>
  </si>
  <si>
    <t>SP036</t>
  </si>
  <si>
    <t>RYG6J09</t>
  </si>
  <si>
    <t>RYV3G38</t>
  </si>
  <si>
    <t>SE DESCARGO EN UAM 936 CAJAS SAO PABLO EL DIA 26/11/2025</t>
  </si>
  <si>
    <t>224/25</t>
  </si>
  <si>
    <t>SP037</t>
  </si>
  <si>
    <t>RYX9E71</t>
  </si>
  <si>
    <t>RYP2J71</t>
  </si>
  <si>
    <t>SE DESCARGO EN UAM 936 CAJAS DE SAO PABLO EL DIA 27/11/2025</t>
  </si>
  <si>
    <t>CK072</t>
  </si>
  <si>
    <t>SXX 1I10</t>
  </si>
  <si>
    <t>SXO 3I79</t>
  </si>
  <si>
    <t>Luis Carlos Potter</t>
  </si>
  <si>
    <t>SE DESCARGO EN UAM 918 CAJAS DE BRASIL EL DIA 27/11/2025</t>
  </si>
  <si>
    <t>VH131</t>
  </si>
  <si>
    <t>AUV0E38</t>
  </si>
  <si>
    <t>RLH2A80</t>
  </si>
  <si>
    <t>Felipe Mello</t>
  </si>
  <si>
    <t>SE DESCRAGO EN UAM 990 CAJAS DE BRASIL EL DIA 28/11/2025</t>
  </si>
  <si>
    <t>SP038</t>
  </si>
  <si>
    <t>MLG 7B60</t>
  </si>
  <si>
    <t>MKI 2H71</t>
  </si>
  <si>
    <t>SE DESCRAGO EN UAM 936 CAJAS DE BAHIA EL DIA 28/11/2025</t>
  </si>
  <si>
    <t>UY018-AL</t>
  </si>
  <si>
    <t>VH132 Y EXOTICO</t>
  </si>
  <si>
    <t>SE DESCRAGO EN UAM 100 CJAS DE LIMA, PAPAYA FORMA 360 CAJAS Y 140 CAJAS DE PAPAYA HAVAI</t>
  </si>
  <si>
    <t>229/25</t>
  </si>
  <si>
    <t>CP081</t>
  </si>
  <si>
    <t>CZB2D70</t>
  </si>
  <si>
    <t>SE DESCRAGO EN UAM 991 CAJAS DE BRASIL EL DIA 29/11/2025</t>
  </si>
  <si>
    <t>FH154</t>
  </si>
  <si>
    <t>SE DESCARGO EN UAM 990 CAJAS DE BRASIL EL DIA 29/11/2025</t>
  </si>
  <si>
    <t>FH155</t>
  </si>
  <si>
    <t>IOM-9J98</t>
  </si>
  <si>
    <t>IYE-2747</t>
  </si>
  <si>
    <t>SE DESCRAGO EN UAM 990 CAJAS DE BRASIL EL DIA 29/11/2025</t>
  </si>
  <si>
    <t>SP039</t>
  </si>
  <si>
    <t>RXW2B84</t>
  </si>
  <si>
    <t>RXW9H64</t>
  </si>
  <si>
    <t>SE DESCARGO EN UAM 936 CAAJS DE SAO PABLO EL DIA 29/11/2025</t>
  </si>
  <si>
    <t>CK073</t>
  </si>
  <si>
    <t>Edson Rodrigues Pereira</t>
  </si>
  <si>
    <t>SE DESCRAGO EN UAM 919 CAJAS DE BRASIL EL DIA 28/11/2025</t>
  </si>
  <si>
    <t>jv118</t>
  </si>
  <si>
    <t>JDE8J32</t>
  </si>
  <si>
    <t>SE DESCRAGO EN UAM 990 CAJAS DE BRASIL EL DIA 2/12/2025</t>
  </si>
  <si>
    <t>FH156</t>
  </si>
  <si>
    <t>se descrago en uam 990 cajas de brasil el dia 2/12/2025</t>
  </si>
  <si>
    <t>231/25</t>
  </si>
  <si>
    <t>CK074</t>
  </si>
  <si>
    <t>se descrago en uam 918 cajas el dia 2/12/2025</t>
  </si>
  <si>
    <t>230/25</t>
  </si>
  <si>
    <t>CK075</t>
  </si>
  <si>
    <t>TIQ 5H66</t>
  </si>
  <si>
    <t>TIY 0G14</t>
  </si>
  <si>
    <t>SE DESCARGO EN UAM 919 CAJAS DE BRASIL EL DIA 2/12/2025</t>
  </si>
  <si>
    <t>SG020-GT070</t>
  </si>
  <si>
    <t>SE DESCRAGO EN UAM 324 CAJAS DE BRASIL FIBRA Y 666 CAJAS DE BRASIL  EL DIA 2/12/2025</t>
  </si>
  <si>
    <t>FH157</t>
  </si>
  <si>
    <t>IXQ8199</t>
  </si>
  <si>
    <t>SE DESCARGO 990 CAJAS DE BRASIL EL DIA 2/12/2025</t>
  </si>
  <si>
    <t>227/25</t>
  </si>
  <si>
    <t>1458/120</t>
  </si>
  <si>
    <t>Se descargo en CRaiz 1458 jengibre + 120 bolsas curcuma</t>
  </si>
  <si>
    <t>SP040</t>
  </si>
  <si>
    <t>RXQ1A46</t>
  </si>
  <si>
    <t>RLA5E29</t>
  </si>
  <si>
    <t>SE DESCRAGO EN UAM 936 CAJAS DE BRASIL EL DIA 4/12/2025</t>
  </si>
  <si>
    <t>013/ALM/2025</t>
  </si>
  <si>
    <t>FH158</t>
  </si>
  <si>
    <t>SE DESCRAGO EN UAM 990 CAJAS DE BRASIL EL DIA 4/12/2025</t>
  </si>
  <si>
    <t>CK076</t>
  </si>
  <si>
    <t>SE DESCARGO EN UAM 918 CAJAS DE BRASIL EL DIA 5/12/2025</t>
  </si>
  <si>
    <t>233/25</t>
  </si>
  <si>
    <t>VH133</t>
  </si>
  <si>
    <t>SE DESCARGO EN UAM 990 CAJAS DE BRASIL EL DIA 6/12/2025</t>
  </si>
  <si>
    <t>CP082</t>
  </si>
  <si>
    <t>SE DESCRAGO EN UAM 990 CAJAS DE BRASIL EL DIA 6/12/2025</t>
  </si>
  <si>
    <t>FH159</t>
  </si>
  <si>
    <t>IOM9198</t>
  </si>
  <si>
    <t>VH134</t>
  </si>
  <si>
    <t>SE DESCARGO EN UAM 990 CAJAS DE BRASIL EL DIA 9/12/2025</t>
  </si>
  <si>
    <t>SP041</t>
  </si>
  <si>
    <t>RXV6H33</t>
  </si>
  <si>
    <t>QII2597</t>
  </si>
  <si>
    <t>SE DESCARGO EN UAM 936 CAJAS DE  BAHIA EL DIA 8/12/2025</t>
  </si>
  <si>
    <t>CK077</t>
  </si>
  <si>
    <t>SE DESCRAGO EN UAM 919 CAJAS DE BRASIL EL DIA 9/12/2025</t>
  </si>
  <si>
    <t>CK078</t>
  </si>
  <si>
    <t>FEJ 8244</t>
  </si>
  <si>
    <t>QHT 8875</t>
  </si>
  <si>
    <t>JV119</t>
  </si>
  <si>
    <t>FH160</t>
  </si>
  <si>
    <t>FH161</t>
  </si>
  <si>
    <t>INA0I31</t>
  </si>
  <si>
    <t>se descargo en uam 990 cajas de FH161 EL DIA 9/12/25</t>
  </si>
  <si>
    <t>234/25</t>
  </si>
  <si>
    <t>SP042</t>
  </si>
  <si>
    <t>FUT9D29</t>
  </si>
  <si>
    <t>MFK-2928</t>
  </si>
  <si>
    <t>SE DESCARGO EN UAM 936 CAJAS  BAHIA  EL DIA 10/12/2025</t>
  </si>
  <si>
    <t>014/ALM/2025</t>
  </si>
  <si>
    <t>CK079</t>
  </si>
  <si>
    <t>rxr3157</t>
  </si>
  <si>
    <t>rac19321</t>
  </si>
  <si>
    <t>se descrago en uam 919 cajas de brasil el dia 11/12/2025</t>
  </si>
  <si>
    <t>FH162</t>
  </si>
  <si>
    <t>ZC1D27</t>
  </si>
  <si>
    <t>SE DESCARGO EN UAM 990 CAJAS DE BRASIL EL DIA 11/12/2025</t>
  </si>
  <si>
    <t>UY019-AL</t>
  </si>
  <si>
    <t>SE DESCARGO EN UAM 1264 CAJAS LOS CUALES VINIERON 468 CAJAS DE BANANA BRASIL, PAPAYA HAVAI 140 CAJAS, PAPAYA FORMOSA 256 CAJAS, COCO 100 BOLSAS Y LIMA 300 CAJONES EL DIA 12/12/2025</t>
  </si>
  <si>
    <t>CK080</t>
  </si>
  <si>
    <t>RYD4C08</t>
  </si>
  <si>
    <t>RYF7H36</t>
  </si>
  <si>
    <t>SE DESCARGO EN UAM 919 CAJAS DE BRASIL EL DIA 12/12/2025</t>
  </si>
  <si>
    <t>VH135</t>
  </si>
  <si>
    <t>SE DESCARGO EN UAM 990 CAJAS DE BRASIL EL DIA 13/12/2025</t>
  </si>
  <si>
    <t>CP083</t>
  </si>
  <si>
    <t>SE DESCARGO EN UAM 991 CAJAS DE BRASIL EL DIA 13/12/2025</t>
  </si>
  <si>
    <t>FH163</t>
  </si>
  <si>
    <t>RLC7D46</t>
  </si>
  <si>
    <t>RLG2J20</t>
  </si>
  <si>
    <t>SE DESCARGO EN UAM 918 CAJAS DE BRASIL EL DIA 13/12/2025</t>
  </si>
  <si>
    <t>238/25</t>
  </si>
  <si>
    <t>FH164</t>
  </si>
  <si>
    <t>IVN2884</t>
  </si>
  <si>
    <t>SE DESCARGO EN UAM 990 CAJAS DE BRASIL EL DIA 16/12/2025</t>
  </si>
  <si>
    <t>CK082</t>
  </si>
  <si>
    <t>RKZ9D92</t>
  </si>
  <si>
    <t>REA1I51</t>
  </si>
  <si>
    <t>SE DESCARGO EN UAM 919 CAJAS DE BRASIL EL DIA 16/12/2025</t>
  </si>
  <si>
    <t>GT071</t>
  </si>
  <si>
    <t>237/25</t>
  </si>
  <si>
    <t>JV120</t>
  </si>
  <si>
    <t>CK081</t>
  </si>
  <si>
    <t>VH136</t>
  </si>
  <si>
    <t>SE DESCRAGO EN UAM 990 CAJAS DE BRASIL EL DIA 16/12/2025</t>
  </si>
  <si>
    <t>VH137</t>
  </si>
  <si>
    <t>SE DESCARGO EN UAM 990 CAJAS DE BRASIL EL DIA 18/12/2025</t>
  </si>
  <si>
    <t>015/ALM/2025</t>
  </si>
  <si>
    <t>CK083</t>
  </si>
  <si>
    <t xml:space="preserve">SXC1A10 </t>
  </si>
  <si>
    <t>SXG9I09</t>
  </si>
  <si>
    <t>se descargo en uam 918 cajas de brasil el dia 18/12/2025</t>
  </si>
  <si>
    <t>236/25</t>
  </si>
  <si>
    <t>SP043- EXOTICO</t>
  </si>
  <si>
    <t>RLN5F17</t>
  </si>
  <si>
    <t>RLP2A89</t>
  </si>
  <si>
    <t>SE DESCRAGO EN UAM 540 CAJAS DE BAHIA Y MANGO 2376 CAJAS EL DIA 19/12/2025</t>
  </si>
  <si>
    <t>FH165</t>
  </si>
  <si>
    <t>se descargo en uam 990 cajas de brasil el dia 19/12/2025</t>
  </si>
  <si>
    <t>CK084</t>
  </si>
  <si>
    <t xml:space="preserve">RKZ6G65 </t>
  </si>
  <si>
    <t>RLI6J14</t>
  </si>
  <si>
    <t>se descargo en uam 918 cajas de brasil el dia 19/12/2025</t>
  </si>
  <si>
    <t>VH138</t>
  </si>
  <si>
    <t>TQW5F10</t>
  </si>
  <si>
    <t>TQY7H68</t>
  </si>
  <si>
    <t>SE DESCARGO EN UAM 990 CAJAS DE BRASIL EL DIA 20/12/2025</t>
  </si>
  <si>
    <t>GT072</t>
  </si>
  <si>
    <t>CP084</t>
  </si>
  <si>
    <t>SE DESCARGO EN UAM 1008 CAJAS DE BRASIL EL DIA 20/12/2025</t>
  </si>
  <si>
    <t>CK085</t>
  </si>
  <si>
    <t xml:space="preserve">OKG6086 </t>
  </si>
  <si>
    <t>SE DESCRAGO EN UAM 919 CAJAS DE BRASIL EL DIA 20/12/2025</t>
  </si>
  <si>
    <t>240/25</t>
  </si>
  <si>
    <t>jv121</t>
  </si>
  <si>
    <t>SE DESCARGO EN UAM 1009 CAJAS DE BRASIL EL DIA 23/12/2025</t>
  </si>
  <si>
    <t>239/25</t>
  </si>
  <si>
    <t>FH166</t>
  </si>
  <si>
    <t>RXT8B72</t>
  </si>
  <si>
    <t>MGR-8435</t>
  </si>
  <si>
    <t>SE DESCARGO EN UAM 936 CAAJS DE BRASIL EL DIA 23/12/2025</t>
  </si>
  <si>
    <t>UY021-AL</t>
  </si>
  <si>
    <t xml:space="preserve">CK086-EXOTICO </t>
  </si>
  <si>
    <t>SE DESCARGO EN UAM 1268 CAJAS DE: BANANA BRASIL 468, PAPAYA HAVAI 140 CAJAS, COCO 100  BOLSAS, LIMA 300 CAJAS Y PAPAYA FORMOSA 260</t>
  </si>
  <si>
    <t>ck087</t>
  </si>
  <si>
    <t xml:space="preserve">QJV4800 </t>
  </si>
  <si>
    <t>se descargo en uam 919 cajas de brasil el dia 23/12/2025</t>
  </si>
  <si>
    <t>241/25</t>
  </si>
  <si>
    <t>FH167</t>
  </si>
  <si>
    <t>SE DESCARGO EN UAM 1008 CAJAS DE BRASIL EL DIA 23/12/2025</t>
  </si>
  <si>
    <t>CP085- GT073</t>
  </si>
  <si>
    <t>SE DESCARGO EN UAM 505 CAJAS DE BRASIL COMUN Y 504 CAJAS DE BRASIL FIBRA EL DIA 26/12/2025</t>
  </si>
  <si>
    <t>CK088</t>
  </si>
  <si>
    <t>SE DESCARGO EN UAM 1008 CAJAS DE BRASIL EL DIA 26/12/2025</t>
  </si>
  <si>
    <t>243/25</t>
  </si>
  <si>
    <t>FH168</t>
  </si>
  <si>
    <t>SE DESCARGO EN UAM 936 CAJAS DE BRASIL EL DIA 26/12/2025</t>
  </si>
  <si>
    <t>UY020-AL</t>
  </si>
  <si>
    <t>Se descargo emn CRaiz Mnago (1 cja menos)</t>
  </si>
  <si>
    <t>CK089</t>
  </si>
  <si>
    <t>EOE 2E75</t>
  </si>
  <si>
    <t>se descargo en uam 936 cajas de brasil el dia 30/</t>
  </si>
  <si>
    <t>UY022-AL</t>
  </si>
  <si>
    <t>SE DESCRAGO EN UAM 1290 CAJAS EN LOS CUALES VINIERON : 900 CAJONES DE LIMA, 390 PAPAYA FORMOSA</t>
  </si>
  <si>
    <t>CK090</t>
  </si>
  <si>
    <t>SE DESCARGO EN UAM 936 CAJAS DE BRASIL EL DIA 30/12/2025</t>
  </si>
  <si>
    <t>SE DESCRAGO EN UAM 1008 CAJAS DE BRASIL EL DIA 30/12/2025</t>
  </si>
  <si>
    <t>GT074</t>
  </si>
  <si>
    <t>JAC3G75</t>
  </si>
  <si>
    <t>SE DESCARGO EN UAM 990 CAJAS DE BRASIL EL DIA 31/12/2025</t>
  </si>
  <si>
    <t>245/25</t>
  </si>
  <si>
    <t>CK001-CP001</t>
  </si>
  <si>
    <t>se descargo en uam 937 cajas de brasil el dia 2/1/2026</t>
  </si>
  <si>
    <t>VH001</t>
  </si>
  <si>
    <t>RXS6A82</t>
  </si>
  <si>
    <t>MJN-8937</t>
  </si>
  <si>
    <t>SE DESCRAGO EN UAM 936 CAJAS DE BRASIL EL DIA 3/1/2026</t>
  </si>
  <si>
    <t>RLD8J56</t>
  </si>
  <si>
    <t>RXW5J30</t>
  </si>
  <si>
    <t>SE DESCRAGO EN UAM 918 CAJAS DE BRASIL EL DIA 3/1/2026</t>
  </si>
  <si>
    <t>SE DESCARGO EN UAM 1009 CAJAS DE BRASIL EL DIA 6/1/2026</t>
  </si>
  <si>
    <t>jv001</t>
  </si>
  <si>
    <t>se descargo en uam 1008 cajas de brasil el dia 6/1/2026</t>
  </si>
  <si>
    <t>SE DESCARGO EN UAM 937 CAJAS DE BRASIL EL DIA 6/1/2026</t>
  </si>
  <si>
    <t>SE DESCARGO EN UAM 990 CAJAS DE BRASIL EL DIA 6/1/2026</t>
  </si>
  <si>
    <t>001/26</t>
  </si>
  <si>
    <t>SE DESCARGO EN UAM 1008 CAJAS DE BRASIL EL DIA 6/1/2026</t>
  </si>
  <si>
    <t>SE DESCARGO EN UAM 1008 CAJAS DE BRASIL EL DIA 8/1/2026</t>
  </si>
  <si>
    <t>CP002- GT001</t>
  </si>
  <si>
    <t>SE DESCRAGO EN UAM 360 CAJAS DE BRASIL FIBRA Y 649 CAJAS DE BRASIL COMUN EL DIA 8/1/2026</t>
  </si>
  <si>
    <t>SE DESCARGO EN UAM 1009 CAJAS DE BRASIL EL DIA 8/1/2026</t>
  </si>
  <si>
    <t>002/26</t>
  </si>
  <si>
    <t>QIX 2050</t>
  </si>
  <si>
    <t>BAO 6E18</t>
  </si>
  <si>
    <t>SE DESCARGO EN UAM 936 CAJAS DE BRASIL EL DIA 9/1</t>
  </si>
  <si>
    <t>MLD 7421</t>
  </si>
  <si>
    <t>002/ALM/2026</t>
  </si>
  <si>
    <t>SE DESCARGO EN UAM 937 CAJAS DE BRASIL EL DIA 9/1/2026</t>
  </si>
  <si>
    <t>001/ALM/2026</t>
  </si>
  <si>
    <t>SE DESCARGO EN UAM 1009 CAJAS DE BRASIL EL DIA 9/1</t>
  </si>
  <si>
    <t>003/26</t>
  </si>
  <si>
    <t>se descrago en uam 1008 cajas los cuales vinieron:756 cajas de brasil fibra y 252 cajas de brasil el dia 9/1/2026</t>
  </si>
  <si>
    <t>SE DESCARGO EN UAM 1008 CAJAS DE BRASIL EL DIA 9/1/2025</t>
  </si>
  <si>
    <t xml:space="preserve">MKE7312 </t>
  </si>
  <si>
    <t>MLX3068</t>
  </si>
  <si>
    <t>TQY5H41</t>
  </si>
  <si>
    <t>SE DESCRAGO EN UAM 1008 CAJAS DE BRASIL EL DIA 10/1/2026</t>
  </si>
  <si>
    <t>005/26</t>
  </si>
  <si>
    <t>SE DESCARGO EN UAM 1009 CAJAS DE BRASIL EL DIA 10/1/2026</t>
  </si>
  <si>
    <t>SE DESCARGO EN UAM 936 CAJAS DE BRASIL EL DIA 10/1/2026</t>
  </si>
  <si>
    <t>MKE2E39</t>
  </si>
  <si>
    <t>TQV4D28</t>
  </si>
  <si>
    <t>TQS0I04</t>
  </si>
  <si>
    <t>SE DESCARGO EN UAM 1008 CAJAS LO CUALES VINIERON: 792 CAJAS DE BRASIL FIBRA Y 216 CAJAS DE BRASIL EL DIA 13/1/2026</t>
  </si>
  <si>
    <t>jv004</t>
  </si>
  <si>
    <t>SE DESCARGO EN UAM 1008 CAJAS DE BRASIL EL DIA 13/1/2026</t>
  </si>
  <si>
    <t>SE DESCARGO EN UAM 936 CAJAS DE BRASIL EL DIA 13/1/2026</t>
  </si>
  <si>
    <t>TPW3B00</t>
  </si>
  <si>
    <t>TPN2J88</t>
  </si>
  <si>
    <t>SE DESCARGO EN UAM 937 CAJAS DE BRASIL EL DIA 13/1/2026</t>
  </si>
  <si>
    <t>UY001-AL-26</t>
  </si>
  <si>
    <t>GT004 Y EXOTICO</t>
  </si>
  <si>
    <t xml:space="preserve">SE DESCARGO EN UAM 1491 CAJAS DE 432 CJAS DE BANANA, 799 CAJAS DE PAPAYA FORMOSA Y 280 CAJAS DE PAPAYA HAVAI </t>
  </si>
  <si>
    <t>022//26</t>
  </si>
  <si>
    <t>SE DESCRAGO EN UAM 981 CAJAS DE PY EL DIA 15/1/2026</t>
  </si>
  <si>
    <t>se descargo en uam 980 cajas de py el dia 15/1/2026</t>
  </si>
  <si>
    <t>se descargo en uam 1008 cajas de brasil el dia 15/1/2026</t>
  </si>
  <si>
    <t>SE DESCARGO EN UAM 1008 CAJAS DE BRASIL EL DIA 15/1/2026</t>
  </si>
  <si>
    <t>006/26</t>
  </si>
  <si>
    <t>SE DESCARGO EN UAM 937 CAJAS DE BRASIL EL DIA 16/1/2026</t>
  </si>
  <si>
    <t>023/26</t>
  </si>
  <si>
    <t>SE DESCARGO EN UAM 981 CAJAS DE PY EL DIA 16/1/2026</t>
  </si>
  <si>
    <t>SE DESCARGO EN UAM 1009 CAJAS DE BRASIL EL DIA 16/1/2026</t>
  </si>
  <si>
    <t>SE DESCARGO EN UAM 1008 CAJAS DE BRASIL EL DIA 16/1/2026</t>
  </si>
  <si>
    <t>SE DESCRAGO EN UAM 1008 CAJAS DE BRASIL EL DIA 17/1/2026</t>
  </si>
  <si>
    <t>SE DESCRAGO EN UAM 1009 CAJAS DE BRASIL EL DIA 17/1/2026</t>
  </si>
  <si>
    <t>SE DESCARGO EN UAM 828 CAJAS DE BRASIL FIBRA Y 180 CAJAS DE BRASIL EL DIA 17/1/2026</t>
  </si>
  <si>
    <t>SE DESCARGO EN UAM 936 CAJAS DE BRASIL EL DIA 17/1/2026</t>
  </si>
  <si>
    <t>PYHF004</t>
  </si>
  <si>
    <t>SE DESCRAGO EN UAM 981 CAJAS DE PY EL DIA 17/1/2026</t>
  </si>
  <si>
    <t>008/26</t>
  </si>
  <si>
    <t>SE DESCRAGO EN UAM 1009 CAJAS DE BRASIL EL DIA 20/1/2026</t>
  </si>
  <si>
    <t>SE DESCRAGO EN UAM 1008 CAJAS LOS CUALES VINIERON 792 CAJAS DE BRASIL FIBRA Y 216 CAJAS DE BRASIL EL DIA 20/1/2026</t>
  </si>
  <si>
    <t>SXP 4H58</t>
  </si>
  <si>
    <t>SXP 4H98</t>
  </si>
  <si>
    <t>SE DESCRAGO EN UAM 937 CAJAS BRASIL EL DIA 20/1/2026</t>
  </si>
  <si>
    <t>SE DESCARGO EN UAM 1008 CAJAS DE BRASIL EL DIA 20/1/2026</t>
  </si>
  <si>
    <t>009/26</t>
  </si>
  <si>
    <t>se descargo en uam 1008 cajas de brasil el dia 20/1/2026</t>
  </si>
  <si>
    <t>SE DESCARGO EN UAM 936 CAJAS DE BRASIL EL DIA 21/1/2026</t>
  </si>
  <si>
    <t>107/</t>
  </si>
  <si>
    <t>PYGM001</t>
  </si>
  <si>
    <t>SE DESCARGO EN UAM 980 CAJAS DE PY DE 2 EL DIA 23/1/2026</t>
  </si>
  <si>
    <t>UY002-AL-26</t>
  </si>
  <si>
    <t>BB Y EXOTICO</t>
  </si>
  <si>
    <t>SE DESCARGO EN UAM 3240 CAJAS DE MANGO Y 396 CAJAS DE BRASIL EL DIA 22/1/2026</t>
  </si>
  <si>
    <t>TQY9J54</t>
  </si>
  <si>
    <t>SE DESCRAGO EN UAM 1008 CAJAS DE BRASIL EL DIA 22/1/2026</t>
  </si>
  <si>
    <t>026/26</t>
  </si>
  <si>
    <t>se descargo en uam 980 cajas de py el dia 23/1/2026</t>
  </si>
  <si>
    <t>003/ALM/2026</t>
  </si>
  <si>
    <t xml:space="preserve">TPN7H35 </t>
  </si>
  <si>
    <t>TPN7H65</t>
  </si>
  <si>
    <t>SE DESCRAGO EN UAM 937 CAJAS DE BRASIL EL DIA 24/1/2026</t>
  </si>
  <si>
    <t>SE DESCARGO EN UAM 1008 CAJAS DE BRASIL EL DIA 23/1/2026</t>
  </si>
  <si>
    <t>SE DESCRAGO EN UAM 980 CAJAS DE PY EL DIA 24/1/2026</t>
  </si>
  <si>
    <t>SE DESCARGO EN UAM 1008 CAJAS DE BRASIL EL DIA 24/1/2026</t>
  </si>
  <si>
    <t xml:space="preserve">TPT1G78 </t>
  </si>
  <si>
    <t>SXM2H43</t>
  </si>
  <si>
    <t>SE DESCARGO EN UAM 936 CAJAS DE BRASIL EL DIA 24/1/2026</t>
  </si>
  <si>
    <t>SE DESCRAGO EN UAM 1009 CAJAS DE BRASIL EL DIA 24/1/2026</t>
  </si>
  <si>
    <t>SE DESCRAGO EN UAM 1008 CAJAS DE BRASIL EL DIA 24/1/2026</t>
  </si>
  <si>
    <t xml:space="preserve">RXT0A10 </t>
  </si>
  <si>
    <t>MJY0D02</t>
  </si>
  <si>
    <t>011/26</t>
  </si>
  <si>
    <t>SE DESCARGO EN UAM 864 CAJAS DE BRASIL FIBRA Y 144 CAAJS DE BRASIL EN TOTAL FUERON 1008 CAJAS EL DIA 27/1/2026</t>
  </si>
  <si>
    <t>SE DESCARGO EN UAM 937 CAJAS DE BRASIL EL DIA 27/1/2026</t>
  </si>
  <si>
    <t>SE DESCARGO EN UAM 1009 CAJAS DE BRASIL EL DIA 27/1/2026</t>
  </si>
  <si>
    <t>SE DESCRAGO EN UAM 1008 CAJAS DE BRASIL EL DIA 27/1/2026</t>
  </si>
  <si>
    <t>SE DESCARGO 937 CAJAS DE BRASIL EL DIA 27/1/2026</t>
  </si>
  <si>
    <t>SE DESCARGO EN UAM 990 CAJAS DE BRASIL EL DIA 27/1/2026</t>
  </si>
  <si>
    <t>1205/26</t>
  </si>
  <si>
    <t>SE DESCARGO EN UAM 980 CAJAS DE PY EL DIA 30/1/2026</t>
  </si>
  <si>
    <t>201/26</t>
  </si>
  <si>
    <t>PYDF 001</t>
  </si>
  <si>
    <t xml:space="preserve">SE DESCARGO EN UAM 980 CAJAS DE PY EL DIA 30/1/2026. TODOS LAS CAJAS DE ARRIBA DE LOS PALLETS  VINIERON QUEMADA POR LONA </t>
  </si>
  <si>
    <t>FH018</t>
  </si>
  <si>
    <t>IUL9490</t>
  </si>
  <si>
    <t>SE DESCARGO EN UAM 1008 CAJAS DE BRASIL EL DIA 30/1/2026</t>
  </si>
  <si>
    <t>004/ALM/2026</t>
  </si>
  <si>
    <t xml:space="preserve">SXI0C57 </t>
  </si>
  <si>
    <t>SXH8G57</t>
  </si>
  <si>
    <t>SE DESCARGO EN UAM 937 CAJAS DE BRASIL EL DIA 30/1/2026</t>
  </si>
  <si>
    <t>SE DESCARGO EN UAM 1008 CAJAS DE BRASIL EL DIA 31/1/2026</t>
  </si>
  <si>
    <t>se descargo en uam 980 cajas de py el dia 31/1/2026</t>
  </si>
  <si>
    <t>SE DESCARGO EN UAM 980 CAJAS DE PY EL DIA 231/1/2026</t>
  </si>
  <si>
    <t xml:space="preserve">SXP4H58 </t>
  </si>
  <si>
    <t>SXP4H98</t>
  </si>
  <si>
    <t>SE DESCRAGO EN UAM 1937 CAJAS DE BRASIL EL DIA 3/2/2026</t>
  </si>
  <si>
    <t>UY003-AL-26</t>
  </si>
  <si>
    <t xml:space="preserve">SE DESCARGO EN UAM 1160 CAJAS DE LO SIGUIENTE: 520 CAJAS DE PAPAYA FORMOSA, 140 CAJAS DE PAPAYA HAVAI Y 500 CAJAS DE LIMA </t>
  </si>
  <si>
    <t>013/26</t>
  </si>
  <si>
    <t>SE DESCARGO EN UAM 1009 CAJAS DE BRASIL EL DIA 4/2/2026</t>
  </si>
  <si>
    <t>014/26</t>
  </si>
  <si>
    <t>FH020</t>
  </si>
  <si>
    <t>SE DESCARGO EN UAM 1008 CAJAS DE BRASIL EL DIA 4/2/2026</t>
  </si>
  <si>
    <t>Marconi Kons</t>
  </si>
  <si>
    <t>MK001</t>
  </si>
  <si>
    <t>1207/</t>
  </si>
  <si>
    <t>SE DESCARGO EN UAM 980 CAJAS DE BRASIL EL DIA 5/2/2026</t>
  </si>
  <si>
    <t>202/26</t>
  </si>
  <si>
    <t>SE DESCRAGO EN UAM 980 CAJAS DE PY EL DIA 6/2/2026</t>
  </si>
  <si>
    <t>MK002</t>
  </si>
  <si>
    <t xml:space="preserve">SE DESCARGO EN UAM 1008 CAJAS DE BRASIL EL DIA 6/2/2026/ </t>
  </si>
  <si>
    <t>Osnildo Stein</t>
  </si>
  <si>
    <t>ST001</t>
  </si>
  <si>
    <r>
      <rPr>
        <sz val="11"/>
        <color rgb="FF000000"/>
        <rFont val="Calibri"/>
        <family val="2"/>
        <scheme val="minor"/>
      </rPr>
      <t>SE DESCARGO EN UAM 1008 CAJAS DE BRASIL EL DIA 6/2/2026/</t>
    </r>
    <r>
      <rPr>
        <sz val="11"/>
        <color rgb="FFFF0000"/>
        <rFont val="Calibri"/>
        <family val="2"/>
        <scheme val="minor"/>
      </rPr>
      <t xml:space="preserve"> Decia MK002 se cambio a ST001</t>
    </r>
  </si>
  <si>
    <t>NUF0B55</t>
  </si>
  <si>
    <t>AUA0G47</t>
  </si>
  <si>
    <t>SE DESCRAGO EN UAM 937 CAJAS DE BRASIL EL DIA 6/2/2026</t>
  </si>
  <si>
    <t>SE DESCARGO EN UAM 1008 CAJAS LOS CUALES VINIERON 864 CAJAS DE BRASIL FIBRA Y 144 CAJAS DE BRASIL EL DIA 6/2/2026</t>
  </si>
  <si>
    <t>FH021</t>
  </si>
  <si>
    <t>SE DESCRAGO EN UAM 1008 CAJAS DE BRASIL EL DIA 6/2/2026</t>
  </si>
  <si>
    <t>HF012</t>
  </si>
  <si>
    <t>SE DESCARGO EN ZAC 980 CAJAS PRODUCTOR HF012, EL DIA 08/02/26</t>
  </si>
  <si>
    <t>HF013</t>
  </si>
  <si>
    <t>SE DESCARGO EN ZAC 979 CAJAS PRODUCTOR HF013, EL DIA 08/02/26</t>
  </si>
  <si>
    <t>MKN0J22</t>
  </si>
  <si>
    <t>SE DESCARGO EN UAM 937 CAJAS DE BRASIL EL DIA 7/2/2026</t>
  </si>
  <si>
    <t>SE DESCARGO EN UAM 1009 CAJAS DE BRASIL EL DIA 7/2/2026</t>
  </si>
  <si>
    <t>015/26</t>
  </si>
  <si>
    <t>109/</t>
  </si>
  <si>
    <t>SE DESCARGO EN UAM 936 CAJAS EE PY DE SEGUNDA EL DIA 7/2/2026</t>
  </si>
  <si>
    <t>PYGM003</t>
  </si>
  <si>
    <t>SE DESCARGO EN UAM 936 CAJAS DE PY DE SEGUNDA EL DIA 10/2/2026</t>
  </si>
  <si>
    <t>016/26</t>
  </si>
  <si>
    <t>Se descarg en CRaiz 135 bolsas de curcuma /1055 cjs.Jengibre</t>
  </si>
  <si>
    <t>IPAOC32</t>
  </si>
  <si>
    <t>SE DESCARGO 937 CAJAS DE BRASIL EL DIA 10/2/2026</t>
  </si>
  <si>
    <t>SE DESCARGO EN UAM 1008 CAJAS DE BRASIL EL DIA 10/2/2026</t>
  </si>
  <si>
    <t>005/ALM/2026</t>
  </si>
  <si>
    <t>RXT0A10</t>
  </si>
  <si>
    <t>SE DESCARGO EN UAM 937 CAJAS DE BRASIL EL DIA 10/2/2026</t>
  </si>
  <si>
    <t>203/</t>
  </si>
  <si>
    <t>SE DESCARGO EN UAM 894 CAJAS DE PARAGUAY Y 169 CAJAS DE PITAHAYAS EL DIA 11/2/2026</t>
  </si>
  <si>
    <t>SE DESCARGO EN UAM 1008 CAJAS DE BRASIL EL DIA 12/2/2026</t>
  </si>
  <si>
    <t>204/</t>
  </si>
  <si>
    <t>DF004</t>
  </si>
  <si>
    <t>SE DESCARGO EN UAM 983 CAJAS DE PY EL DIA 12/2/2026</t>
  </si>
  <si>
    <t>Aldo Corupa</t>
  </si>
  <si>
    <t>AC001</t>
  </si>
  <si>
    <t>ITS4G09</t>
  </si>
  <si>
    <t>Decia MK003 es AC001</t>
  </si>
  <si>
    <t>SE DESCARGO EN UAM 1009 CAJAS DE BRASIL EL DIA 12/2/2026</t>
  </si>
  <si>
    <t>1211-</t>
  </si>
  <si>
    <t>SE DESCARGO EN UAM 980 CAJAS DE PARAGUAY EL DIA 13/2/2026</t>
  </si>
  <si>
    <t>SE DESCARGO EN UAM 1008 CAJAS DE BRASIL EL DIA 13/2/2026</t>
  </si>
  <si>
    <t>111//</t>
  </si>
  <si>
    <t>SE DESCARGO EN UAM 979 CAJAS PY004 PRODUCTOR GUIDO, EL DIA 13/02/26</t>
  </si>
  <si>
    <t>SE DESCARG0 EN UAM 981 CAJAS DE PARAGUAY EL DIA 13/2/2026</t>
  </si>
  <si>
    <t>018/26</t>
  </si>
  <si>
    <t>UY004-AL-26</t>
  </si>
  <si>
    <t>MK004</t>
  </si>
  <si>
    <t xml:space="preserve">RBX8I75 </t>
  </si>
  <si>
    <t>SE DESCARGO EN UAM 280 CAJAS DE PAPAYA HAVAI, PAPAYA FORMOSA 780 CAJAS Y 360 CAJAS DE BRASIL EL DIA 14/2/2026</t>
  </si>
  <si>
    <t>019/26</t>
  </si>
  <si>
    <t>CK027</t>
  </si>
  <si>
    <t>SE DESCARGO EN UAM 1009 CAJAS DE BRASIL EL DIA 14/2/2026</t>
  </si>
  <si>
    <t>DESCARGA EN CR  996 CJS DE BRASIL 14/2/26</t>
  </si>
  <si>
    <t>ST002</t>
  </si>
  <si>
    <t>Decia AD001 es ST002</t>
  </si>
  <si>
    <t>DESCARGA EN CR 1020 (1008 VH/12 CP CJS DE BRASIL) 14/2/26</t>
  </si>
  <si>
    <t>SE DESCARGO EN UAM 937 CAJAS DE PARAGUAY EL DIA 14/2/2026</t>
  </si>
  <si>
    <t>SE DESCARGO EN UAM 980 CAJAS DE PARAGUAY EL DIA 14/2/2026</t>
  </si>
  <si>
    <t>006/ALM/2026</t>
  </si>
  <si>
    <t>SE DESCARGO EN UAM 936 CAJAS E BRASIL EL DIA 20/2/2026</t>
  </si>
  <si>
    <t>CK029</t>
  </si>
  <si>
    <t xml:space="preserve">EZU8J03 </t>
  </si>
  <si>
    <t>SXM2I03</t>
  </si>
  <si>
    <t>SE DESCARGO EN UAM 937 CAJAS DE BRASIL EL DIA 20/2/2026</t>
  </si>
  <si>
    <t xml:space="preserve">RBS3J15 </t>
  </si>
  <si>
    <t>SE DECARGO EN UAM 937 CAJAS DE BRASIL EL DIA 21/2/2026</t>
  </si>
  <si>
    <t>SE DESCARGO EN UAM 1008 CAJAS DE BRASIL EL DIA 20/2/2026</t>
  </si>
  <si>
    <t>SE DESCARGO EN UAM 997 CAJAS DE BRASIL EL DIA EL DIA 21/2/2026</t>
  </si>
  <si>
    <t>205//</t>
  </si>
  <si>
    <t>SE DESCARGO EN UAM 981 CAJAS DE PARAGUAY EL DIA 21/2/2026</t>
  </si>
  <si>
    <t>020/26</t>
  </si>
  <si>
    <t>Se descargo en CRaiz Mango(falta 1 caja ,1 caja C/F)</t>
  </si>
  <si>
    <t>112/</t>
  </si>
  <si>
    <t>SE DESCARGO EN UAM 936 CAJAS DE PY DE SEGUNDA EL DIA 24/2/2026</t>
  </si>
  <si>
    <t>SE DESCARGO EN UAM 1008 CAJAS DE BRASIL EL DIA 24/2/2026</t>
  </si>
  <si>
    <t xml:space="preserve">GT010 </t>
  </si>
  <si>
    <t>SE DESCARGO EN UAM 1008 CAJAS DE BRASIL LO CUALES VINIERON 936 CAJAS DE BRASIL FIBRA Y 72 CAJAS DE BRASIL COMUN EL DIA 24/2/2026</t>
  </si>
  <si>
    <t>QJD3999</t>
  </si>
  <si>
    <t xml:space="preserve"> MLO8907</t>
  </si>
  <si>
    <t>SE DESCARGO EN UAM 919 CAJAS DE BRASIL EL DIA 24/2/2026</t>
  </si>
  <si>
    <t>AC002</t>
  </si>
  <si>
    <t>IXQ-8I99</t>
  </si>
  <si>
    <t xml:space="preserve"> IZC-1D27</t>
  </si>
  <si>
    <r>
      <rPr>
        <sz val="11"/>
        <color rgb="FF000000"/>
        <rFont val="Calibri"/>
        <family val="2"/>
        <scheme val="minor"/>
      </rPr>
      <t xml:space="preserve">SE DESCARGO EN UAM 1008 CAJAS DE BRASIL EL DIA 24/2/2026 Decia </t>
    </r>
    <r>
      <rPr>
        <sz val="11"/>
        <color rgb="FFFF0000"/>
        <rFont val="Calibri"/>
        <family val="2"/>
        <scheme val="minor"/>
      </rPr>
      <t>AD002 es AC002</t>
    </r>
  </si>
  <si>
    <t>AUE5D35</t>
  </si>
  <si>
    <t>SE DESCARGO EN UAM 936 CAJAS DE BRASIL EL DIA 24/2/2026</t>
  </si>
  <si>
    <t>TPN7H35</t>
  </si>
  <si>
    <t>SE DESCARGO EN UAM 1020 CAJAS DE BRASIL EL DIA 24/2/2026</t>
  </si>
  <si>
    <t>113//</t>
  </si>
  <si>
    <t>PYGM007</t>
  </si>
  <si>
    <t>SE DESCARGO EN UAM 938 CJAS DE PARAGUAY DE SEGUNDA EL DIA 26/2/2026</t>
  </si>
  <si>
    <t>SE DESCARGO EN UAM 1009 CAJAS DE BRASIL EL DIA 26/2/2026</t>
  </si>
  <si>
    <t>1212-</t>
  </si>
  <si>
    <t>HF016</t>
  </si>
  <si>
    <t>SE DESCARGO EN UAM 936 CAJAS DE PARAGUAY EL DIA 27/2/2026</t>
  </si>
  <si>
    <t>007/ALM/2026</t>
  </si>
  <si>
    <t>IPA0C32</t>
  </si>
  <si>
    <t>AOM7460</t>
  </si>
  <si>
    <t>SE DESCARGO EN UAM 936 CAJAS DE BRASIL EL DIA 27/2/2026</t>
  </si>
  <si>
    <t>114/</t>
  </si>
  <si>
    <t>SE DESCARGO EN UAM 982 CAJAS DE PARAGUAY DE SEGUNDA EL DIA 27/2/2026</t>
  </si>
  <si>
    <t>SE DESCARGO EN UAM 1008 CAJAS DE BRASIL EL DIA 27/2/2026</t>
  </si>
  <si>
    <t xml:space="preserve">MHG8J16 </t>
  </si>
  <si>
    <t>AVA9556</t>
  </si>
  <si>
    <t>SE DESCARGO EN UAM 937 CAJAS DE BRASIL EL DIA 27/2/2026</t>
  </si>
  <si>
    <t>021/26</t>
  </si>
  <si>
    <t>SE DESCARGO EN UAM 1008 CAJAS DE BRASIL EL DIA 28/2/2026</t>
  </si>
  <si>
    <t>SE DESCARGO EN UAM 937 CAJAS DE BRASIL EL DIA 28/2/2026</t>
  </si>
  <si>
    <t>SE DESCARGO EN UAM 1008 CAJAS DE BRASIL EL DIA 3/3/2026</t>
  </si>
  <si>
    <t>Curuca</t>
  </si>
  <si>
    <t xml:space="preserve">NUF0B55 </t>
  </si>
  <si>
    <t>SE DESCARGO EN UAM 936 CAJAS DE BRASIL EL DIA 3/3/2026</t>
  </si>
  <si>
    <t>SE DESCARGO EN UAM 937 CAJAS DE BRASIL EL DIA 4/3/2026</t>
  </si>
  <si>
    <t>SE DESCARGO EN UAM 1008 CAJAS DE BRASIL EL DIA 5/3/2026</t>
  </si>
  <si>
    <t>207/</t>
  </si>
  <si>
    <t>se descargo en uam 936 cajas de py el dia 6/3/2026</t>
  </si>
  <si>
    <t>ST003</t>
  </si>
  <si>
    <r>
      <rPr>
        <sz val="11"/>
        <color rgb="FF000000"/>
        <rFont val="Calibri"/>
        <family val="2"/>
        <scheme val="minor"/>
      </rPr>
      <t xml:space="preserve">SE DESCARGO EN UAM 1008 CAJAS DE BRASIL EL DIA 6/3/2026 Decia </t>
    </r>
    <r>
      <rPr>
        <sz val="11"/>
        <color rgb="FFFF0000"/>
        <rFont val="Calibri"/>
        <family val="2"/>
        <scheme val="minor"/>
      </rPr>
      <t>ST01 es ST003</t>
    </r>
  </si>
  <si>
    <t>SE DESCARGO EN UAM 1008 CAJAS DE BRASIL EL DIA 6/3/2026</t>
  </si>
  <si>
    <t>SE DESCARGO EN UAM 1008 CAJAS  LOS CUALES VINIERON 288 DE BRASILY DE BRASIL FIBRA 720 CAJAS  EL DIA 6/3/2026</t>
  </si>
  <si>
    <t>008/ALM/2026</t>
  </si>
  <si>
    <t>SE DESCARGO EN UAM 937 CAJAS DE BRASIL EL DIA 6/3/2026</t>
  </si>
  <si>
    <t>SE DESCARGO EN UAM 1009 CAJAS DE BRASIL EL DIA 6/3/2026</t>
  </si>
  <si>
    <t>022/26</t>
  </si>
  <si>
    <t>024/26</t>
  </si>
  <si>
    <t>MK005</t>
  </si>
  <si>
    <t>IXQ8i99</t>
  </si>
  <si>
    <t>SE DESCARGO EN UAM 1008 CAJAS BR comun productor, 632 cajas producrot CX,376 cajas productor Mk004 de las cuales 144 br- ok negra Decia MK004 es MK005</t>
  </si>
  <si>
    <t xml:space="preserve">SXP4I28 </t>
  </si>
  <si>
    <t>SXP4I48</t>
  </si>
  <si>
    <t>SE DESCARGO EN UAM 936 CAJAS DE BRASIL EL DIA 7/3/2026</t>
  </si>
  <si>
    <t>Ivo Zimerman</t>
  </si>
  <si>
    <t>ZN001</t>
  </si>
  <si>
    <t>SE DESCARGO EN UAM 1008 CAJAS BR comun productor, 632 cajas producrot CX,376 cajas productor Mk004 de las cuales 144 br- ok negra decia MK004 es  ZN001</t>
  </si>
  <si>
    <t>MK006</t>
  </si>
  <si>
    <t>SE DESCARGO EN UAM 1008 CAJAS DE BRASIL EL DIA 10/3/2026 decia AC001 es MK006</t>
  </si>
  <si>
    <t>SE DESCARGO EN UAM 1008 CAJAS DE BRASIL EL DIA 10/3/2026</t>
  </si>
  <si>
    <t>Alexandre Wilbert</t>
  </si>
  <si>
    <t>AX001</t>
  </si>
  <si>
    <r>
      <rPr>
        <sz val="11"/>
        <color rgb="FF000000"/>
        <rFont val="Calibri"/>
        <family val="2"/>
        <scheme val="minor"/>
      </rPr>
      <t xml:space="preserve">SE DESCARGO EN UAM 1008 CAJAS DE BRASIL EL DIA 10/3/2026 DECIA </t>
    </r>
    <r>
      <rPr>
        <sz val="11"/>
        <color rgb="FFFF0000"/>
        <rFont val="Calibri"/>
        <family val="2"/>
        <scheme val="minor"/>
      </rPr>
      <t>AC001 es AX001</t>
    </r>
  </si>
  <si>
    <t>026016A/</t>
  </si>
  <si>
    <t>SE DESCARGO EN RIQUEZ NATURAL 2304 CAJAS DE PALTA BRASIL EL DIA 10/3/2026</t>
  </si>
  <si>
    <t>206/</t>
  </si>
  <si>
    <t>Exoticos PY</t>
  </si>
  <si>
    <t>SE DESCARGO EN UAM 546 CAJAS DE LIAM EL DIA 10/3/2026</t>
  </si>
  <si>
    <t xml:space="preserve">QIX5E72 </t>
  </si>
  <si>
    <t>SE DESCARGO EN UAM 936 CAJAS DE BRASIL EL DIA 10/3/2026</t>
  </si>
  <si>
    <t>MHG8J16</t>
  </si>
  <si>
    <t>SE DESCARGO EN UAM 937 CAJAS DE BRASIL EL DIA 10/6/2026</t>
  </si>
  <si>
    <t xml:space="preserve">IPH1F64 </t>
  </si>
  <si>
    <t>INY3126</t>
  </si>
  <si>
    <t>SE DESCARGO EN UAM 1008 CAAJS DE BRASIL EL DIA 10/3/2026</t>
  </si>
  <si>
    <t>UY005-AL-26</t>
  </si>
  <si>
    <t xml:space="preserve">SE DESCARGO EN UAM 433 CAJAS DE BRASIL,520 CAJAS DE PAPAYA FORMOSA, 200 BOLSAS DE COCO Y 280 CAJAS DE PAPAYA HAVAI EN TOTAL VINIERON 1433 CAJAS </t>
  </si>
  <si>
    <t>ST004</t>
  </si>
  <si>
    <r>
      <rPr>
        <sz val="11"/>
        <color rgb="FF000000"/>
        <rFont val="Calibri"/>
        <family val="2"/>
        <scheme val="minor"/>
      </rPr>
      <t xml:space="preserve">SE DESCARGO EN UAM 1008 CAJAS DE BRASIL EL DIA 12/3/2026 decia </t>
    </r>
    <r>
      <rPr>
        <sz val="11"/>
        <color rgb="FFFF0000"/>
        <rFont val="Calibri"/>
        <family val="2"/>
        <scheme val="minor"/>
      </rPr>
      <t>CA002 es el ST004</t>
    </r>
  </si>
  <si>
    <t>SE DESCARGO EN UAM 1009 CAJAS DE BRASIL EL DIA 12/3/2026</t>
  </si>
  <si>
    <t>SE DESCARGO EN UAM 1008 CAJAS DE BRASIL EL DIA 13/3/2026</t>
  </si>
  <si>
    <t>ZN002</t>
  </si>
  <si>
    <r>
      <rPr>
        <sz val="11"/>
        <color rgb="FF000000"/>
        <rFont val="Calibri"/>
        <family val="2"/>
        <scheme val="minor"/>
      </rPr>
      <t xml:space="preserve">SE DESCARGO EN UAM 1008 CAJAS DE BRASIL EL DIA 13/3/2026 Decia </t>
    </r>
    <r>
      <rPr>
        <sz val="11"/>
        <color rgb="FFFF0000"/>
        <rFont val="Calibri"/>
        <family val="2"/>
        <scheme val="minor"/>
      </rPr>
      <t>CA003 es ZN002</t>
    </r>
  </si>
  <si>
    <t>SE DESCARGO EN UAM 1009 CAJAS DE BRASIL EL DIA 13/3/2026</t>
  </si>
  <si>
    <t>009/ALM/2026</t>
  </si>
  <si>
    <t xml:space="preserve">SXM2H43 </t>
  </si>
  <si>
    <t>SE DESCARGO EN UAM 937 CAJAS DE BRASIL EL DIA 14/3/2026</t>
  </si>
  <si>
    <t>MK007</t>
  </si>
  <si>
    <r>
      <rPr>
        <sz val="11"/>
        <color rgb="FF000000"/>
        <rFont val="Calibri"/>
        <family val="2"/>
        <scheme val="minor"/>
      </rPr>
      <t xml:space="preserve">SE DESCARGO EN UAM 1008 CAJAS DE BRASIL EL DIA 13/3/2026 DEcia </t>
    </r>
    <r>
      <rPr>
        <sz val="11"/>
        <color rgb="FFFF0000"/>
        <rFont val="Calibri"/>
        <family val="2"/>
        <scheme val="minor"/>
      </rPr>
      <t>CA003 es MK007</t>
    </r>
  </si>
  <si>
    <t>SE DESCARGO EN UAM 1008 CAJAS DE BRASIL EL DIA 17/3/2026</t>
  </si>
  <si>
    <t>CK045</t>
  </si>
  <si>
    <t>SE DESCARGO EN UAM 936 CAJAS DE BRASIL EL DIA 17/3/2026</t>
  </si>
  <si>
    <t>027/26</t>
  </si>
  <si>
    <t>Vinicios Bonkoski</t>
  </si>
  <si>
    <t>VB001</t>
  </si>
  <si>
    <r>
      <rPr>
        <sz val="11"/>
        <color rgb="FF000000"/>
        <rFont val="Calibri"/>
        <family val="2"/>
        <scheme val="minor"/>
      </rPr>
      <t xml:space="preserve">SE DESCARGO EN UAM 1008 CAJAS DE BRASIL EL DIA 17/3/2026 </t>
    </r>
    <r>
      <rPr>
        <sz val="11"/>
        <color rgb="FFFF0000"/>
        <rFont val="Calibri"/>
        <family val="2"/>
        <scheme val="minor"/>
      </rPr>
      <t>Decia CA004 es VB001</t>
    </r>
  </si>
  <si>
    <t>IZN0C41</t>
  </si>
  <si>
    <t>026//26</t>
  </si>
  <si>
    <t>26047A/</t>
  </si>
  <si>
    <t>SE DESCARGARON 2304 CAJAS DE PALRA BRASIL, DE LAS CUALES 1056 CAJAS CAL 84, 288 CAJAS CAL 288, 960 CAJAS CAL 60</t>
  </si>
  <si>
    <t xml:space="preserve">SE DESCARGO EN UAM 1008 CAJAS DE BRASIL EL DIA 19/3/2026 </t>
  </si>
  <si>
    <t>SE DESCARGO EN UAM 1008 CAJAS DE BRASIL EL DIA 19/3/2026</t>
  </si>
  <si>
    <t>SE DESCARGO EN CRAIZ 1008 CAAJS DE BRASIL EL DIA 20/3/2026</t>
  </si>
  <si>
    <t>ST005</t>
  </si>
  <si>
    <r>
      <rPr>
        <sz val="11"/>
        <color rgb="FF000000"/>
        <rFont val="Calibri"/>
        <family val="2"/>
        <scheme val="minor"/>
      </rPr>
      <t>SE DESCARGO EN UAM 1008 CAJAS DE BRASIL EL DIA 20/3/2026 Decia</t>
    </r>
    <r>
      <rPr>
        <sz val="11"/>
        <color rgb="FFFF0000"/>
        <rFont val="Calibri"/>
        <family val="2"/>
        <scheme val="minor"/>
      </rPr>
      <t xml:space="preserve"> ST002 es ST005</t>
    </r>
  </si>
  <si>
    <t xml:space="preserve">IPA0C32 </t>
  </si>
  <si>
    <t>SE DESCARGO EN RIQUEWZA NATURAL 1009 CAJAS DE BRASIL EL DIA 20/3/2026</t>
  </si>
  <si>
    <t>029/26</t>
  </si>
  <si>
    <t>SE DESCARGO EN UAM 1008 CAJAS DE BRASIL EL DIA 20/3/2026</t>
  </si>
  <si>
    <t>SE DECARGO CRAIZ 1008 CAJAS DE BRASIL EL DIA 20/3/2026</t>
  </si>
  <si>
    <t>IQR1E64</t>
  </si>
  <si>
    <t>SE DESCARGO EN UAM 1009 CAJAS DE BRASIL EL DIA 20/3/2026</t>
  </si>
  <si>
    <t>MK008</t>
  </si>
  <si>
    <t>SE DESCARGO EN UAM 1008 CAJAS DE  BRASIL EL DIA 21/3/2026 Decia MK005 es MK008</t>
  </si>
  <si>
    <t>HJI3E80</t>
  </si>
  <si>
    <t>SE DESCARGO EN UAM 1008 CAJAS  DE BRASIL EL DIA 21/3/2026</t>
  </si>
  <si>
    <t>26070A/</t>
  </si>
  <si>
    <t>SE DESCARGO EN C.RAIZ  Palta br 21/3/26</t>
  </si>
  <si>
    <t>26071A/</t>
  </si>
  <si>
    <t>MHS 7J56</t>
  </si>
  <si>
    <t>MCO 7G08</t>
  </si>
  <si>
    <t>010/ALM/2026</t>
  </si>
  <si>
    <t xml:space="preserve">MJY0D02 </t>
  </si>
  <si>
    <t>SE DESCARGO EN UAM 937 CAJAS  DE BRASIL   EL DIA 21/3/2026</t>
  </si>
  <si>
    <t>SE DESCARGO EN UAM 1008 CAJAS  DE BRASIL FIBRA  EL DIA 21/3/2026</t>
  </si>
  <si>
    <t>Se descargo en UAM 937 cajas de Brasil el día 24/3/2026</t>
  </si>
  <si>
    <t>031/26</t>
  </si>
  <si>
    <t xml:space="preserve"> Marnei Meurer</t>
  </si>
  <si>
    <t>MM001</t>
  </si>
  <si>
    <t>SE DESCARGO EN UAM 1008 CAJAS DE BRASIL EL DIA 25/3/2026</t>
  </si>
  <si>
    <t>032/26</t>
  </si>
  <si>
    <t>SE DESCARGO EN UAM 1009 CAJAS DE BRASIL EL DIA 25/3/2026</t>
  </si>
  <si>
    <t>SE DESCARGO EN UAM 1008 CAJAS DE BRASIL OK CAJA NEGRA EL DIA 25/3/2026</t>
  </si>
  <si>
    <t>SE DESCARGO EN UAM 1009 CAJAS DE BRASIL OK CAJA NEGRA EL DIA 25/3/2026</t>
  </si>
  <si>
    <t>030/26</t>
  </si>
  <si>
    <t xml:space="preserve">CK051Y EXOTICO </t>
  </si>
  <si>
    <t>SE DESCARGO EN UAM 576 CAJAS DE BRASIL Y 540 CAJAS DE JENGIBRE EL DIA 26/3/2026</t>
  </si>
  <si>
    <t>SE DESCARGO EN UAM 1008 CAJAS DE BRASIL EL DIA 26/3/2026</t>
  </si>
  <si>
    <t>UY006-AL-26</t>
  </si>
  <si>
    <t>FH026</t>
  </si>
  <si>
    <t>SE DESCARGO EN UAM 1460 CAJAS EN LOS CUALES VINIERON 360 CAJAS DE BANANA, 280 CAJAS DE PAPAYA HAVAI Y 520 CAJAS DE PAPAYA FORMOSA Y 300 CAJAS DE LIMA 27/3/2026</t>
  </si>
  <si>
    <t>SE DESCARGO EN UAM 1008 CAJAS DE BRASIL EL DIA 27/3/2026</t>
  </si>
  <si>
    <t>MK009</t>
  </si>
  <si>
    <r>
      <rPr>
        <sz val="11"/>
        <color rgb="FF000000"/>
        <rFont val="Calibri"/>
        <family val="2"/>
        <scheme val="minor"/>
      </rPr>
      <t>SE DESCARGO EN UAM 1008 CAJAS DE BRASIL EL DIA 27/3/2026 D</t>
    </r>
    <r>
      <rPr>
        <sz val="11"/>
        <color rgb="FFFF0000"/>
        <rFont val="Calibri"/>
        <family val="2"/>
        <scheme val="minor"/>
      </rPr>
      <t>ecia MK006 es MK009</t>
    </r>
  </si>
  <si>
    <t>SE DESCARGO EN UAM 1009 CAJAS DE BRASIL EL DIA 27/3/2026</t>
  </si>
  <si>
    <t>SE DESCARGO EN UAM 936 CAJAS DE BRASIL EL DIA 27/3/2026</t>
  </si>
  <si>
    <t>033/26</t>
  </si>
  <si>
    <t>IWT3919</t>
  </si>
  <si>
    <t>SE DESCARGO EN UAM 1008 CAJAS DE BRASIL EL DIA 27/3/2026 OK Caja Negra</t>
  </si>
  <si>
    <t>011/ALM/2026</t>
  </si>
  <si>
    <t>28/03/2026 Se descargò en UAM 937 cajas, fruta en buen estado</t>
  </si>
  <si>
    <t>28/03/2026, Se descargò 901cajas de Brasil PEPE y 36 cajas OK negra, fruta en buen estado.</t>
  </si>
  <si>
    <t>26095A/</t>
  </si>
  <si>
    <t>RXT 3A07</t>
  </si>
  <si>
    <t>MKZ 3227</t>
  </si>
  <si>
    <t>SE DESCARGO EN CORONEL RAIZ 2304 CAJAS DE PALTA EL DIA 31/3/2026</t>
  </si>
  <si>
    <t>CP014- JV027</t>
  </si>
  <si>
    <t>se descargo en coronel raiz 1008 cajas de brasil el dia 31/3/2026</t>
  </si>
  <si>
    <t>SE DESCARGO EN RIQUEZA NATURAL 936 CAJAS DE BRASIL EL DIA 31/3/2026</t>
  </si>
  <si>
    <t xml:space="preserve">SE DESCARGO EN RIQUEZA NATURAL 1008 CAJAS DE BRASIL EL DIA 31/3/2026 </t>
  </si>
  <si>
    <t>Jorge Marangoni</t>
  </si>
  <si>
    <t>MI001</t>
  </si>
  <si>
    <t>ck056</t>
  </si>
  <si>
    <t>se descargo en coronel raiz 1009 cajas de brasil el dia 31/3/2026</t>
  </si>
  <si>
    <t>SE DESCARGO EN RIQUEZA NATURAL 937 CAJAS DE BRASIL EL DIA 31/3/2026</t>
  </si>
  <si>
    <t>ZN003</t>
  </si>
  <si>
    <r>
      <rPr>
        <sz val="11"/>
        <color rgb="FF000000"/>
        <rFont val="Calibri"/>
        <family val="2"/>
        <scheme val="minor"/>
      </rPr>
      <t xml:space="preserve">se descargo en coronel raiz 1008 cajas de brasil el dia 31/3/2026 Decia </t>
    </r>
    <r>
      <rPr>
        <sz val="11"/>
        <color rgb="FFFF0000"/>
        <rFont val="Calibri"/>
        <family val="2"/>
        <scheme val="minor"/>
      </rPr>
      <t>ZN001 es ZN003</t>
    </r>
  </si>
  <si>
    <t>035/26</t>
  </si>
  <si>
    <t>FH027- GT019</t>
  </si>
  <si>
    <t>SE DESCARGO EN CR 1008 CAJAS DE BRASIL EL DIA 1/4/2026</t>
  </si>
  <si>
    <t>036/26</t>
  </si>
  <si>
    <t>João Claudio Winter</t>
  </si>
  <si>
    <t>JW001</t>
  </si>
  <si>
    <t>MHW5517</t>
  </si>
  <si>
    <t>SE DESCARGO EN UAM 1008 CAJAS DE BRASIL EL DIA 1/4/2026</t>
  </si>
  <si>
    <t>ST006</t>
  </si>
  <si>
    <r>
      <rPr>
        <sz val="11"/>
        <color rgb="FF000000"/>
        <rFont val="Calibri"/>
        <family val="2"/>
        <scheme val="minor"/>
      </rPr>
      <t xml:space="preserve">SE DESCARGO EN UAM 1008 CAJAS DE BRASIL EL DIA 1/4/2026 </t>
    </r>
    <r>
      <rPr>
        <sz val="11"/>
        <color rgb="FFFF0000"/>
        <rFont val="Calibri"/>
        <family val="2"/>
        <scheme val="minor"/>
      </rPr>
      <t>DEcia ST003 es ST006</t>
    </r>
  </si>
  <si>
    <t>MI002</t>
  </si>
  <si>
    <t>SE DESCARGO EN UAM 1008 CAJAS DE BRASIL EL DIA 7/4/2026</t>
  </si>
  <si>
    <t>Wagner Schveitzer</t>
  </si>
  <si>
    <t>WR001</t>
  </si>
  <si>
    <t>MJD8857</t>
  </si>
  <si>
    <t>MK010</t>
  </si>
  <si>
    <t>SE DESCARGO EN UAM 1008 CAJAS DE BRASIL EL DIA 9/4/2026</t>
  </si>
  <si>
    <t>26118A/</t>
  </si>
  <si>
    <t>AWR 6J63</t>
  </si>
  <si>
    <t>MLS 1396</t>
  </si>
  <si>
    <t xml:space="preserve">Se descargo en CRaiz Palta BR 9/4/26 </t>
  </si>
  <si>
    <t>SE DESCARGO EN UAM 1008 CAJAS DE BRASIL EL DIA 10/4/2026</t>
  </si>
  <si>
    <t>QIX-5E72</t>
  </si>
  <si>
    <t>AUE-5D35</t>
  </si>
  <si>
    <t>SE DESCARGO EN UAM 937 CAJAS DE BRASIL EL DIA 10/4/26</t>
  </si>
  <si>
    <t>JW002</t>
  </si>
  <si>
    <t>039/26</t>
  </si>
  <si>
    <t>Furlani</t>
  </si>
  <si>
    <t>FI001</t>
  </si>
  <si>
    <t>SXI-0C57</t>
  </si>
  <si>
    <t xml:space="preserve"> SXH-8G57</t>
  </si>
  <si>
    <t>SE DESCARGO EN UAM 936 CAJAS DE BRASIL EL DIA 10/4/26</t>
  </si>
  <si>
    <t>UY007-AL-26</t>
  </si>
  <si>
    <t>CK059</t>
  </si>
  <si>
    <t>SE DESCARGO EN UAM 260 CAJAS DE PAPAYA, 600 CAJAS DE LIMA, 360 CAJAS DE BRASIL CK039</t>
  </si>
  <si>
    <t>038/26</t>
  </si>
  <si>
    <t>RYY 9C80</t>
  </si>
  <si>
    <t>SXR 9J41</t>
  </si>
  <si>
    <t>SE DESCARGO EN UAM 1188 CAJAS LO SCUALES VINIERON 756 CAJAS DE JENGIBRE Y 432 CAJAS DE BRASIL EL DIA 11/4/2026</t>
  </si>
  <si>
    <t>SE DESCARGO EN UAM 1008 CAJAS DE BRASIL EL DIA 11/4/2026</t>
  </si>
  <si>
    <t>WR002</t>
  </si>
  <si>
    <t>IIF8C69</t>
  </si>
  <si>
    <t>SE DESCARGO EN UAM 1008 CAJAS DE BRASIL EL DIA 14/4/2026</t>
  </si>
  <si>
    <t>MI003</t>
  </si>
  <si>
    <t>ST007</t>
  </si>
  <si>
    <t>FH028</t>
  </si>
  <si>
    <t>TQS5A83</t>
  </si>
  <si>
    <t>TQQ1F29</t>
  </si>
  <si>
    <t>JCP3H19</t>
  </si>
  <si>
    <t>SE DESCARGO EN UAM 1009 CAJAS DE BRASIL EL DIA 14/4/2026</t>
  </si>
  <si>
    <t>012/ALM/2026</t>
  </si>
  <si>
    <t>SE DESCARGO EN UAM 936 CAJAS DE BRASIL EL DIA 14/4/2026</t>
  </si>
  <si>
    <t>CK061</t>
  </si>
  <si>
    <t xml:space="preserve">PXD0G96 </t>
  </si>
  <si>
    <t>SE DESCARGO EN UAM 937 CAJAS DE BRASIL EL DIA 14/4/2026</t>
  </si>
  <si>
    <t>26138A/</t>
  </si>
  <si>
    <t>palta</t>
  </si>
  <si>
    <t>Se descargo en CRaiz Palta BR Cal60/70 15/4/26</t>
  </si>
  <si>
    <t>041/26</t>
  </si>
  <si>
    <t>SE DESCARGO EN UAM 1008 CAJAS DE BRASIL EL DIA 16/4/2026</t>
  </si>
  <si>
    <t>Palta</t>
  </si>
  <si>
    <t>ZN004</t>
  </si>
  <si>
    <t>PQN0A16</t>
  </si>
  <si>
    <t>TQX6J32</t>
  </si>
  <si>
    <t>TRE6I74</t>
  </si>
  <si>
    <t>SE DESCARGO EN UAM 1009 CAJAS DE BRASIL EL DIA 17/4/2026</t>
  </si>
  <si>
    <t>SE DESCARGO EN UAM 1009 CAJAS DE BRASIL FIBRA EL DIA 17/4/2026</t>
  </si>
  <si>
    <t>ZN005-ST008</t>
  </si>
  <si>
    <t>SE DESCARGO EN UAM 1008 CAJAS DE BRASIL EL DIA 17/4/2026</t>
  </si>
  <si>
    <t>FI002</t>
  </si>
  <si>
    <t>SE DESCARGO EN UAM 1008 CAJAS DE BRASIL  EL DIA 17/4/2026</t>
  </si>
  <si>
    <t>JW003</t>
  </si>
  <si>
    <t>SE DESCARGO EN UAM 1008 CAJAS DE BRASIL EL DIA 18/4/2026</t>
  </si>
  <si>
    <t>PYGM009</t>
  </si>
  <si>
    <t>SE DESCARGO EN UAM 937 CAJAS DE BRASIL EL DIA 23/4/2026</t>
  </si>
  <si>
    <t>SE DECARGO EN UAM 937 CAJAS DE BRASIL EL DIA 23/2/2026</t>
  </si>
  <si>
    <t>MI004</t>
  </si>
  <si>
    <t>SE DESCARGO EN UAM 1008 CAJAS DE BRASIL EL DIA 24/4/2026</t>
  </si>
  <si>
    <t>043/26</t>
  </si>
  <si>
    <t>WR003</t>
  </si>
  <si>
    <t>JW004</t>
  </si>
  <si>
    <t>042/26</t>
  </si>
  <si>
    <t>SE DESCARGO EN UAM 400 CAJAS DE MANI Y 720 CAJAS DE BRASIL EL DIA 25/4/2026</t>
  </si>
  <si>
    <t>044/26</t>
  </si>
  <si>
    <t>QHV 5555</t>
  </si>
  <si>
    <t>Se descargo en CRaiz Jengibre/Curcuma 24/4/26 (Diferencia de total fact.con descarga de jengibre)</t>
  </si>
  <si>
    <t>046/26</t>
  </si>
  <si>
    <t>MI005</t>
  </si>
  <si>
    <t>UY009-AL-26</t>
  </si>
  <si>
    <t>SE DESCARGO EN UAM 1302 CAJAS LOS CUALES VINIERON: 432 CAJAS DE BRASIL, 50 BOLSAS DE COCO, 300 CAJAS DE LIMA Y 520 CAJAS DE PAPAYA FORMOSA EL DIA 24/4/2026</t>
  </si>
  <si>
    <t>CP017</t>
  </si>
  <si>
    <t>SE DESCARGO EN UAM 1009 CAJAS DE BRASIL FIBRA  EL DIA 24/4/2026</t>
  </si>
  <si>
    <t>SE DESCARGO EN UAM 1009 CAJAS DE BRASIL EL DIA 24/4/2026</t>
  </si>
  <si>
    <t>FH032- FI003</t>
  </si>
  <si>
    <t>SE DESCARGO EN UAM 1008 CAJAS DE BRASIL EL DIA 25/4/2026</t>
  </si>
  <si>
    <t>MI006</t>
  </si>
  <si>
    <t>SE DESCARGO EN UAM 1008 CAJAS DE BRASIL EL DIA 28/4/2026</t>
  </si>
  <si>
    <t>048/26</t>
  </si>
  <si>
    <t>SE DESCARGO EN UAM 1009 CAJAS DE BRASIL FIBRA  EL DIA 28/4/2026</t>
  </si>
  <si>
    <t>TQO2B54</t>
  </si>
  <si>
    <t>UY008-AL-26</t>
  </si>
  <si>
    <t>Se descargo Mango en CRAiz 28/4/26</t>
  </si>
  <si>
    <t>MK011</t>
  </si>
  <si>
    <t>JDF2A88</t>
  </si>
  <si>
    <t>SE DESCARGO EN UAM 1008 CAJAS DE BRASIL EL DIA 30/4/2026</t>
  </si>
  <si>
    <t>26199A/</t>
  </si>
  <si>
    <t>Se descargo en CRAIZ PALTA BR 30/4/026</t>
  </si>
  <si>
    <t>SE DESCRAGO EN UAM 1009 CAJAS DE BRASIL EL DIA 30/4/2026</t>
  </si>
  <si>
    <t>UY10-AL-26</t>
  </si>
  <si>
    <t>SE DESCARGO EN UAM 576 CAJAS DE BRASIL, 100 BOLSAS DE COCO Y 650 PAPAYA FORMOSA EL DIA 30/4/2026</t>
  </si>
  <si>
    <t>se descargo en uam 1008 cajas de brasil el dia 2/5/2026</t>
  </si>
  <si>
    <t>SE DESCARGO EN UAM 1008 CAJAS DE BRASIL EL DIA 05/05/26</t>
  </si>
  <si>
    <t>SE DESCARGO EN UAM 936 CAJAS PRODUCTOR CK 071 EL DIA 05/05/26</t>
  </si>
  <si>
    <t>MK012/ZN006</t>
  </si>
  <si>
    <t>IZC 1D27</t>
  </si>
  <si>
    <t>SE DESCARGO EN UAM 1008 CAJAS DE LAS CUALES 432 MK012 Y 576 ZN006</t>
  </si>
  <si>
    <t>FI003</t>
  </si>
  <si>
    <t>IYX 4107</t>
  </si>
  <si>
    <t>SE DESCARGO EN UAM 1008 CAJAS DE FI003 EL DIA 05/05/26</t>
  </si>
  <si>
    <t>WR004</t>
  </si>
  <si>
    <t>AKT 0433</t>
  </si>
  <si>
    <t>05/05 descargo en uam 1008 cajas de brasil  fruta en buen estado fruta quemada por lona</t>
  </si>
  <si>
    <t>ST008</t>
  </si>
  <si>
    <t>JAT 0F18</t>
  </si>
  <si>
    <t>05/05descargo en uam 1008 cajas de brasil fruta bien vino bajo peso</t>
  </si>
  <si>
    <t>MI007</t>
  </si>
  <si>
    <t xml:space="preserve">05/05 descargo en uam 1008 cajas de brasil  fruta en buen estado </t>
  </si>
  <si>
    <t>051/26</t>
  </si>
  <si>
    <t>SE DESCARGO EN UAM 1008 CAJAS DE BRASIL EL DIA 6/5/2026</t>
  </si>
  <si>
    <t xml:space="preserve">MME3G51 </t>
  </si>
  <si>
    <t>QJV3H96</t>
  </si>
  <si>
    <t>SE DESCARGO EN UAM 936 CAJAS DE BRASIL PRODUCTOR CK072 EL DIA 05/05/26</t>
  </si>
  <si>
    <t>052/26</t>
  </si>
  <si>
    <t>MANI</t>
  </si>
  <si>
    <t>IYR0G58</t>
  </si>
  <si>
    <t>BZB7E97</t>
  </si>
  <si>
    <t>SE DESCARGO EN UAM 2600 CAJAS DE MANI EL DIA 6/5/2026</t>
  </si>
  <si>
    <t>208/</t>
  </si>
  <si>
    <t>TJC017</t>
  </si>
  <si>
    <t>TJC018</t>
  </si>
  <si>
    <t>se descargo en uam 981 cajas de py el dia 6/5/2026</t>
  </si>
  <si>
    <t>SE DESCARGO EN UAM 982 CAJAS DE PY EL DIA 7/5/2026</t>
  </si>
  <si>
    <t>58/</t>
  </si>
  <si>
    <t>SE DESCARGO EN UAM 936 CAJAS DE PY EL DIA 8/5/2026</t>
  </si>
  <si>
    <t>26209A</t>
  </si>
  <si>
    <t>Se descargo en CRaiz Palta BR 7/5/26</t>
  </si>
  <si>
    <t>SE DESCARGO EN UAM 1008 CAJAS DE BRASIL EL DIA 8/5/2026</t>
  </si>
  <si>
    <t>050/26</t>
  </si>
  <si>
    <t>SE DESCARGO EN UAM 1009 CAJAS DE BRASIL EL DIA 8/5/2026</t>
  </si>
  <si>
    <t>ZN007- ST009</t>
  </si>
  <si>
    <t>SE DESCRAGO 504 CAJAS  DE BRASIL  DE STEIN Y 504  CAJAS DE BRASIL DE IVO EL DIA 8/5/2026</t>
  </si>
  <si>
    <t>061//</t>
  </si>
  <si>
    <t>SE DESCARGO EN UAM 937 CAJAS DE PY EL DIA 9/5/2026</t>
  </si>
  <si>
    <t>SE DESCARGO EN UAM 1008 CAJAS DE BRASIL EL DIA 9/5/2026</t>
  </si>
  <si>
    <t>FI004</t>
  </si>
  <si>
    <t>013/ALM/2026</t>
  </si>
  <si>
    <t>SE DESCARGO EN UAM 936 CAJAS DE BRASIL EL DIA 9/5/2026</t>
  </si>
  <si>
    <t>SE DESCARGO EN UAM 1008 CAJAS DE BRASIL EL DIA 12/5/2026</t>
  </si>
  <si>
    <t>SE DESCRAGO EN UAM 1008 CAJAS DE BRASIL EL DIA 12/5/2026</t>
  </si>
  <si>
    <t>SE DESCRAGO EN UAM 1009 CAJAS DE BRASIL EL DIA 12/5/2026</t>
  </si>
  <si>
    <t>WR005</t>
  </si>
  <si>
    <t>MI008</t>
  </si>
  <si>
    <t>209/</t>
  </si>
  <si>
    <t xml:space="preserve">SE DESCARGO EN UAM 980 CAHAS DE PY </t>
  </si>
  <si>
    <t>062//</t>
  </si>
  <si>
    <t>SE DESCARGO EN UAM 936 CAJAS DE PY EL DIA 14/5/2026</t>
  </si>
  <si>
    <t>UY11-AL-26</t>
  </si>
  <si>
    <t>FH038</t>
  </si>
  <si>
    <t>SE DESCARGO EN UAM 432 CAJAS DE BRASIL, 300 CAJAS DE LIMA, 519 CAJAS DE PAPAYA FORMOSAEL DIA 15/5/2026</t>
  </si>
  <si>
    <t>SE DESCARGO EN UAM 937 CAJAS DE PY EL DIA 15/5/2026</t>
  </si>
  <si>
    <t>SE DESCARGO EN UAM 936 CAJAS DE PY EL DIA 15/5/2026</t>
  </si>
  <si>
    <t>SE DESCARGO EN UAM 1008 CAJAS DE BRASIL EL DIA 15/5/2026</t>
  </si>
  <si>
    <t>055/26</t>
  </si>
  <si>
    <t>MI009</t>
  </si>
  <si>
    <t>26235A</t>
  </si>
  <si>
    <t>SE DESCARGO EN CR PALTA BR 16/5/26</t>
  </si>
  <si>
    <t>SE DESCARGO EN UAM 1009 CAJAS DE BRASIL EL DIA 19/5/2026</t>
  </si>
  <si>
    <t>057/26</t>
  </si>
  <si>
    <t>SE DESCARGO EN UAM 1008 CAJAS DE BRASIL EL DIA 19/5/2026</t>
  </si>
  <si>
    <t>058/26</t>
  </si>
  <si>
    <t>WR006</t>
  </si>
  <si>
    <t>MI010</t>
  </si>
  <si>
    <t xml:space="preserve">RKY0H51 </t>
  </si>
  <si>
    <t>QIQ2B83</t>
  </si>
  <si>
    <t>SE DESCARGO EN UAM 937 CAJAS DE BRASIL EL DIA 19/5/2026</t>
  </si>
  <si>
    <t>FH039</t>
  </si>
  <si>
    <t>SE DESCARGO EN UAM 1008 CAJAS DE BRASIL EL DIA 20/5/2026</t>
  </si>
  <si>
    <t>210/</t>
  </si>
  <si>
    <t>SE DESCARGO EN UAM 981 CAJAS DE PY EL DIA 20/5/2026</t>
  </si>
  <si>
    <t>SE DESCARGO EN UAM 981 CAJAS DE PY EL DIA 21/5/2026</t>
  </si>
  <si>
    <t>68/</t>
  </si>
  <si>
    <t>SE DESCARGO EN UAM 983 CAJAS DE PY EL DIA 22/5/2026</t>
  </si>
  <si>
    <t>059/26</t>
  </si>
  <si>
    <t>Se descargo en CRaiz SANDIA 23/5/26</t>
  </si>
  <si>
    <t>014/ALM/2026</t>
  </si>
  <si>
    <t>SE DESCARGO EN UAM 937 CAJAS DE BRASIL EL DIA 26/5/2026</t>
  </si>
  <si>
    <t>SE DESCARGO EN UAM 984 CAJAS DE BRASIL EL DIA 26/5/2026</t>
  </si>
  <si>
    <t>SE DESCARGO EN UAM 1032 CAJAS DE BRASIL EL DIA 26/5/2026</t>
  </si>
  <si>
    <t>MI011</t>
  </si>
  <si>
    <t>SE DESCARGO EN UAM 1008 CAJAS DE BRASIL EL DIA 26/5/2026</t>
  </si>
  <si>
    <t>TQT4D78</t>
  </si>
  <si>
    <t>ZN008</t>
  </si>
  <si>
    <t>MK013</t>
  </si>
  <si>
    <t>211/</t>
  </si>
  <si>
    <t>SE DESCRAGO EN UAM 980 CAJAS DE PY EL DIA 28/5/2026</t>
  </si>
  <si>
    <t>501/</t>
  </si>
  <si>
    <t>PYMS001</t>
  </si>
  <si>
    <t>71/</t>
  </si>
  <si>
    <t>SE DESCRAGO EN UAM 976 CAJAS DE PY EL DIA 28/5/2026</t>
  </si>
  <si>
    <t>SE DESCARGO EN UAM 1008 CAAJS DE BRASIL EL DIA 29/5/2026</t>
  </si>
  <si>
    <t>ZN009 - MK014</t>
  </si>
  <si>
    <t>SE DESCARGO EN UAM 982 CAJAS DE PY EL DIA 29/5/2026</t>
  </si>
  <si>
    <t>UY012-AL-26</t>
  </si>
  <si>
    <t>SE DESCARGO EN UAM 1368 CAJAS LOS CUALES VINIERON 468 CAJAS DE BRSIL, 650 CAJAS DE PAPAYA FORMOSA Y 250 CAJAS DE LIMA EL DIA 29/5/2026</t>
  </si>
  <si>
    <t>SE DESCARGO EN UAM 937 CAJAS DE BRASIL EL DIA 30/5/2026</t>
  </si>
  <si>
    <t>MI012</t>
  </si>
  <si>
    <t>SE DESCARGO EN UAM 1008  CAJAS DE BRASIL EL DIA 30/5/2026</t>
  </si>
  <si>
    <t>26259A</t>
  </si>
  <si>
    <t>FI005</t>
  </si>
  <si>
    <t>SE DESCARGO EN UAM 1009 CAJAS DE BRASIL EL DIA 2/6/2026</t>
  </si>
  <si>
    <t>SE DESCARGO EN UAM 1008 CAJAS DE BRASIL EL DIA 2/6/2026</t>
  </si>
  <si>
    <t>064/26</t>
  </si>
  <si>
    <t>MI013</t>
  </si>
  <si>
    <t xml:space="preserve">IUL9490	</t>
  </si>
  <si>
    <t>WR007</t>
  </si>
  <si>
    <t>063/26</t>
  </si>
  <si>
    <t>065/26</t>
  </si>
  <si>
    <t>DDA 2G59</t>
  </si>
  <si>
    <t>SE DESCARGO EN UAM 936 CAJAS LO CUALES VINIERON 432 CAJAS DE CHOCLO Y 504 CAJAS DE BRASIL EL DIA 3/6/2026</t>
  </si>
  <si>
    <t>067/26</t>
  </si>
  <si>
    <t>ST010</t>
  </si>
  <si>
    <t>se descargo en uam 1008 cajas de brasil el dia 3/6/2026</t>
  </si>
  <si>
    <t>066/26</t>
  </si>
  <si>
    <t>DBA 3C78</t>
  </si>
  <si>
    <t>SVM 1F91</t>
  </si>
  <si>
    <t>Jengibre</t>
  </si>
  <si>
    <t xml:space="preserve">RXT0A04 </t>
  </si>
  <si>
    <t>se descargo en uam 936 cajas de brasil el dia 3/6/2026</t>
  </si>
  <si>
    <t>ZN010</t>
  </si>
  <si>
    <t>SE DESCARGO EN UAM 1008 CAJAS DE BRASIL EL DIA 4/6/2026</t>
  </si>
  <si>
    <t>SE DESCARGO EN UAM 1009 CAJAS DE BRASIL EL DIA 4/6/2026</t>
  </si>
  <si>
    <t>001.26ALM</t>
  </si>
  <si>
    <t>Se descargo en CRaiz Melón Amarillo (vino 1 caja vacia)4/6/26</t>
  </si>
  <si>
    <t>502/</t>
  </si>
  <si>
    <t>PYMS002</t>
  </si>
  <si>
    <t>SE DESCRAGO EN UAM 981 CAJAS DE PY EL DIA 28/5/2026</t>
  </si>
  <si>
    <t>73/</t>
  </si>
  <si>
    <t>PYHF27</t>
  </si>
  <si>
    <t>SE DESCARGO EN UAM 983 CAJAS DE PARAGUAY ELD IA 5/6/2026</t>
  </si>
  <si>
    <t>PYHF28</t>
  </si>
  <si>
    <t>SE DESCARGO EN UAM 937 CAJAS DE BRASIL EL DIA 9/6/2026</t>
  </si>
  <si>
    <t>FI006</t>
  </si>
  <si>
    <t>SE DESCARGO EN UAM 1008 CAJAS DE BRASIL EL DIA 9/6/2026</t>
  </si>
  <si>
    <t>MI014</t>
  </si>
  <si>
    <t>CK081-GT031</t>
  </si>
  <si>
    <t>SE DESCARGO EN UAM 1008 CAJAS DE BRASIL LOS CUIALES VINIERON 504 CAJAS DE GILSON Y 504 CAJAS DE CASSIO HUACK EL DIA 9/6/2026</t>
  </si>
  <si>
    <t>ZN011- MK015</t>
  </si>
  <si>
    <t>SE DESCARGO EN UAM 1008 CAJAS DE BRASIL LOS CUALES VINIERON 360 CAJAS DE MARCONI Y 648 CAJAS DE IVO EL DIA 9/6/2026</t>
  </si>
  <si>
    <t>Zapellini</t>
  </si>
  <si>
    <t>ZP001</t>
  </si>
  <si>
    <t>061/26</t>
  </si>
  <si>
    <t>mani</t>
  </si>
  <si>
    <t>se descargo en uam 2594 cajas de mani el dia 10/6/2026</t>
  </si>
  <si>
    <t>26282A/</t>
  </si>
  <si>
    <t xml:space="preserve">Se descargo en CRaiz Palta 10/06/26 </t>
  </si>
  <si>
    <t>PYMS003</t>
  </si>
  <si>
    <t>SE DESCARGO EN UAM 980 CAJAS DE PY EL DIA 10/6/2026</t>
  </si>
  <si>
    <t>212/</t>
  </si>
  <si>
    <t>SE DESCARGO EN UAM 980 CAJAS DE PY EL DIA 11/6/2026</t>
  </si>
  <si>
    <t>068/26</t>
  </si>
  <si>
    <t>RXS 7D01</t>
  </si>
  <si>
    <t>RXQ 8E64</t>
  </si>
  <si>
    <t xml:space="preserve">SE DESCARGO EN UAM 936 CAJAS LO CUALES VINIERON 504 CAJAS DE BRASIL Y 432 CAJAS DE CHOCLO </t>
  </si>
  <si>
    <t>ST011</t>
  </si>
  <si>
    <t>SE DESCARGO EN UAM 1008 CAJAS DE BRASIL EL DIA 12/6/2026</t>
  </si>
  <si>
    <t>º</t>
  </si>
  <si>
    <t>070/26</t>
  </si>
  <si>
    <t>SE DESCARGO EN UAM 1009 CAJAS DE BRASIL EL DIA 12/6/2026</t>
  </si>
  <si>
    <t>MI015</t>
  </si>
  <si>
    <t>015/ALM/2026</t>
  </si>
  <si>
    <t>SE DESCARGO EN UAM 937 CAJAS DE BRASIL EL DIA 12/6/2026</t>
  </si>
  <si>
    <t>78/</t>
  </si>
  <si>
    <t>PYHF29</t>
  </si>
  <si>
    <t>SE DESCARGO EN UAM 13/06 FRUTA BIEN  VINO QUEMADA POR FRIO 980 CAJAS PEPE</t>
  </si>
  <si>
    <t>PYHF30</t>
  </si>
  <si>
    <t>503/</t>
  </si>
  <si>
    <t>RKY0H51</t>
  </si>
  <si>
    <t>16/06 SEDESCARGO EN UAM 937 CAJAS DE PEPE FRUTA BIEN VINO QUEMADA X FRIO</t>
  </si>
  <si>
    <t xml:space="preserve">17/06 SE DESCARGO EN UAM 1008 CAJAS DE PEPE FRUTA BIEN VINO QUEMADA X  FRIO </t>
  </si>
  <si>
    <t>069/26</t>
  </si>
  <si>
    <t>RLD 8J56</t>
  </si>
  <si>
    <t>RXW 5J30</t>
  </si>
  <si>
    <t>CP029</t>
  </si>
  <si>
    <t>17/06 SE DESCARGO EN UAM 1009 CAJAS DE PEPE FRUTA BIEN VINO QUEMADA POR FRIO</t>
  </si>
  <si>
    <t>MI016</t>
  </si>
  <si>
    <t>17/06 SE DESCARG EN UAM 1008 CAJAS DE PEPE  FRUTA BIEN VINO QUEMADA X FRIO</t>
  </si>
  <si>
    <t>WR008</t>
  </si>
  <si>
    <t>17/06 SE DESCARGO EN UAM 1008 CAJAS DSE PEPE  FRUTA BIEN  VINO QUEMADA XFRIO</t>
  </si>
  <si>
    <t>FI007/SC001</t>
  </si>
  <si>
    <t>SE DESCARGO EN UAM 1008 CAJAS DE BRASIL 504 PRODUCTOR FI007 Y 504 CAJAS PRODUCTOR SC001 EL DIA 17/06/26</t>
  </si>
  <si>
    <t>072/26</t>
  </si>
  <si>
    <t>CK086</t>
  </si>
  <si>
    <t>se descargaron 360 cajas de choclo y 360 cajas de Brasil productor ck086 el dia 17/06/26</t>
  </si>
  <si>
    <t>UY013-AL-26</t>
  </si>
  <si>
    <t>CK087</t>
  </si>
  <si>
    <t>17/06 SE DESCARGO EN UAM 576 BANANA -100 BOSAS DE COCO 100 BOLSAS DE CURCUMA Y 520 CAJAS DE PAPAYA FORMOSA</t>
  </si>
  <si>
    <t>504/</t>
  </si>
  <si>
    <t>SE DESCARGO EN UAM 980 CAJAS DE PU MS005 EL DIA 17/06/26</t>
  </si>
  <si>
    <t>18/06 SE DESCARGO EN UAM 1008 DE PEPE FRUTA BIEN VINO QUEMADA X FRIO VINO 3 PALLET CON FRUTA PEQUEÑA</t>
  </si>
  <si>
    <t>79/</t>
  </si>
  <si>
    <t>PYHF031</t>
  </si>
  <si>
    <t>19/06 SE DESCARGO EN UAM 982 CAJAS DE PEPE PARAGUAY FRUTA BIEN VINO QUEMADA X FRIO</t>
  </si>
  <si>
    <t>19/06 SE DESCARGO EN UAM 982 CAJAS DE PEPE PARAGUAY FRUTA BIEN VINO QUEMADA X FRIO VINIERON 8 PALLETS TORCIDOS Y CAJAS ROTAS  EN MAL ESTADO</t>
  </si>
  <si>
    <t>075/26</t>
  </si>
  <si>
    <t>19/06 SE DESCARGO EN UAM 648 CAJAS DE CHOCLO  VINO BIEN ALGUNOS PALLETS ROTOS</t>
  </si>
  <si>
    <t>19/06 SE DESCARGO EN UAM 1008 CAJAS DE PEPE FRUTA BIEN VINO QUEMADA X FRIO</t>
  </si>
  <si>
    <t xml:space="preserve">19/06 SE DESCARGO EN UAM 1009 CAJAS DE PEPE FRUTA BIEN VI NO QUEMADA X FRIO </t>
  </si>
  <si>
    <t>074/26</t>
  </si>
  <si>
    <t>ST012</t>
  </si>
  <si>
    <t>19/06 SE DESCARGO EN UAM 1008 CAJS DE PEPE FRUTA BIEN VINO QUEMADA POR FRIO</t>
  </si>
  <si>
    <t>016/ALM/2026</t>
  </si>
  <si>
    <t xml:space="preserve">20/06 SE DESCARGO EN UAM 937 CAJAS DE PEPE FRUTA QUEMADA X FRIO </t>
  </si>
  <si>
    <t>Josemar Provesi</t>
  </si>
  <si>
    <t>JP001</t>
  </si>
  <si>
    <t>SE DESCARGO EN UAM 972 CAJAS DE BRASIL EL DIA 23/6/2026</t>
  </si>
  <si>
    <t>SE DESCARGO EN UAM 1008 CAJAS DE BRASIL EL DIA 23/6/2026</t>
  </si>
  <si>
    <t>077/26</t>
  </si>
  <si>
    <t>MI017</t>
  </si>
  <si>
    <t>ZP002</t>
  </si>
  <si>
    <t>JBW7B00</t>
  </si>
  <si>
    <t>JCJ3I68</t>
  </si>
  <si>
    <t>FI008- MK015</t>
  </si>
  <si>
    <t>078/26</t>
  </si>
  <si>
    <t>JP002</t>
  </si>
  <si>
    <t>SE DESCARGO EN UAM 972 CAJAS DE BRASIL EL DIA 24/6/2026</t>
  </si>
  <si>
    <t>079/26</t>
  </si>
  <si>
    <t>SXJ 3E00</t>
  </si>
  <si>
    <t>RYY 4I35</t>
  </si>
  <si>
    <t xml:space="preserve"> Se descargo Choclo en CRaiz 25/6/26</t>
  </si>
  <si>
    <t xml:space="preserve">MIC4435 </t>
  </si>
  <si>
    <t>se descargo en uam 937 caajs de brasil el dia 25/6/2026</t>
  </si>
  <si>
    <t>SE DESCARGO EN UAM 1008 CAJAS DE BRASIL EL DIA 25/6/2026</t>
  </si>
  <si>
    <t>213/</t>
  </si>
  <si>
    <t>PYDF016</t>
  </si>
  <si>
    <t>SE DESCARGO EN UAM 979 CAJAS DE PARAGUAY EL DIA 26/6/2026</t>
  </si>
  <si>
    <t>505/</t>
  </si>
  <si>
    <t>SE DESCARGO EN UAM 980 CAJAS DE PY EL DIA 27/6/2026</t>
  </si>
  <si>
    <t>se descargo en uam 1009 cajas de brasil el dia 26/6/2026</t>
  </si>
  <si>
    <t>SE DESCARGO EN UAM 1008 CAJAS DE BRASIL EL DIA 27/6/2026</t>
  </si>
  <si>
    <t>84/</t>
  </si>
  <si>
    <t>SE DESCARGO EN UAM 980 CAJAS DE PY EL DIA 26/6/2026</t>
  </si>
  <si>
    <t>SE DESCARGO EN UAM 980 CAJAS DE PARAGUAY EL DIA 29/6/2026</t>
  </si>
  <si>
    <t>PYHF34</t>
  </si>
  <si>
    <t>SE DESCARGO EN UAM 981 CAJAS DE PARAGUAY EL DIA 29/6/2026</t>
  </si>
  <si>
    <t>SE DESCARGO EN UAM 1008 CAJAS DE BRASIL EL DIA 1/7/2026</t>
  </si>
  <si>
    <t>CK091</t>
  </si>
  <si>
    <t>SE DESCRAGO EN UAM 936 CAJAS DE BRASIL EL DIA 1/7/2026</t>
  </si>
  <si>
    <t>rompio chasis</t>
  </si>
  <si>
    <t>CP-032-FI009</t>
  </si>
  <si>
    <t>SE DESCARGO EN UAM 1008 CAJAS LOS CUALES VINIERON 504 CAJAS DE CORUPA Y 504 CAJAS DE FURLANI EL DIA 1/7/2026</t>
  </si>
  <si>
    <t>WR009</t>
  </si>
  <si>
    <t>MI018</t>
  </si>
  <si>
    <t>87-</t>
  </si>
  <si>
    <t>Banana</t>
  </si>
  <si>
    <t>PYHF35</t>
  </si>
  <si>
    <t>0483 296 183</t>
  </si>
  <si>
    <t>SE DESCARGO EN UAM 981 CAJAS DE PY EL DIA 2/7/2026</t>
  </si>
  <si>
    <t>ST014</t>
  </si>
  <si>
    <t>SE DESCARGO EN UAM 1008 CAJAS DE BRASIL EL DIA 2/7/2026</t>
  </si>
  <si>
    <t>SE DESCARGO EN UAM 1008 CAJAS DE BRASIL EL DIA 3/7/2026</t>
  </si>
  <si>
    <t>SE DESCARGO EN UAM 980 CAJAS DE PY EL DIA 4/7/2026</t>
  </si>
  <si>
    <t>080/26</t>
  </si>
  <si>
    <t>SE DESCARGO EN UAM 1009 CAJAS DE BRASIL EL DIA 3/7/2026</t>
  </si>
  <si>
    <t>506-</t>
  </si>
  <si>
    <t>26306A-</t>
  </si>
  <si>
    <t>Se descargo en CRaiz PALTA BR.3/7/26</t>
  </si>
  <si>
    <t>017/ALM/2026</t>
  </si>
  <si>
    <t>ck092</t>
  </si>
  <si>
    <t>04/07 SE DESCARGO EN UAM 936 CAJAS DE PEPE FRUTA EN BUEN ESTADO VIN QUEMADA X FRIO</t>
  </si>
  <si>
    <t>UY014-AL-26</t>
  </si>
  <si>
    <t>SE DESCARGO EN UAM CAMION MIXTO CON, 779 CAJAS DE PAPAYA, 504 CAJAS BANAN BRASIL, 50 BOLSAS DE CURCUMA EL DIA 08/07/26</t>
  </si>
  <si>
    <t>083/26</t>
  </si>
  <si>
    <t>SE DESCARGO EN UAM 936 CAJAS DE CHOCLO EL DIA 8/7/2026</t>
  </si>
  <si>
    <t>081/26</t>
  </si>
  <si>
    <t>JP003</t>
  </si>
  <si>
    <t>SE DESCARGO EN UAM 976 CAJAS PRODUCTOR JP003 (FALTAN CAJAS QUE VINIERON EL OTRO CAMION). EL DIA 08/07/26</t>
  </si>
  <si>
    <t>FI010</t>
  </si>
  <si>
    <t>SE DESCARGO EN UAM 1008 CAJS PRODUCTOR FI009 EL DIA 08/07/26</t>
  </si>
  <si>
    <t>SE DESCARGO EN UAM 1008 CAJAS PRODUCTOR FH052 EL DIA 7/07</t>
  </si>
  <si>
    <t>ZP003</t>
  </si>
  <si>
    <t>TQO8E25</t>
  </si>
  <si>
    <t>SE DESCARGO EN UAM 1040 CAJAS PRODUCTOR ZP003 (32 CAJAS CORRESPONDEN A JP003) EL DIA 08/07/26</t>
  </si>
  <si>
    <t>IVR5E66</t>
  </si>
  <si>
    <t>SE DESCARGO EN UAM 1009 cajs productor CP034 el dia 07/07</t>
  </si>
  <si>
    <t>ZN012</t>
  </si>
  <si>
    <t>SE DESCARGO EN UAM 1008 CAJAS PRODUCTOR ZN012 EL DIA 07/07/26</t>
  </si>
  <si>
    <t>UY016-AL-26</t>
  </si>
  <si>
    <t>uva</t>
  </si>
  <si>
    <t>se descargo en cr 1397 cxajas de uva el dia 9/7/2026</t>
  </si>
  <si>
    <t>UY015-AL-26</t>
  </si>
  <si>
    <t>MIX</t>
  </si>
  <si>
    <t>MK017</t>
  </si>
  <si>
    <t>SE DESCARGO EN UAM CAMION MIXTO CON 216 BANANA BRASIL PRODUCTOR MK017, 50 COCO, 520 PAPAYA FORMOSA, 2592 MANGO TOMMY EL DIA 10/07/26</t>
  </si>
  <si>
    <t>090/</t>
  </si>
  <si>
    <t>PYHF038</t>
  </si>
  <si>
    <t>SE DESCARGO EN UAM 981 CAJSA PRODUCTOR PYHF038 EL DIA 10/07</t>
  </si>
  <si>
    <t>PYHF039</t>
  </si>
  <si>
    <t>SE DESCARGO EN UAM 980 CAJAS PRODUCTOR PYHF039 EL DIA 10/07/26</t>
  </si>
  <si>
    <t>26318A/</t>
  </si>
  <si>
    <t>palta brasil</t>
  </si>
  <si>
    <t>se descargo en cr 2279 cajas de palta brasil el dia 11/7/2026</t>
  </si>
  <si>
    <t>SE DESCARGO EN UAM 1008 CAJAS PRODUCTOR FH053 EL DIA 14/07</t>
  </si>
  <si>
    <t>CK093</t>
  </si>
  <si>
    <t>SE DESCARGO EN UAM 937 CAJAS PRODUCTOR CK093 EL DIA 14/07/6</t>
  </si>
  <si>
    <t>SE DESCARGO EN UAM 1008 CAJAS DE BANANA PRODUCTOR GT034 EL DIA 14/07</t>
  </si>
  <si>
    <t>SE DESCARGO EN UAM 1009 CAJAS PRODUCTOR CP035 EL DIA 14/07/26</t>
  </si>
  <si>
    <t>ZN013</t>
  </si>
  <si>
    <t>SE DESCARGO EN UAM 1018 CAJAS PRODUCTOR ZN013, EL DIA 14/07</t>
  </si>
  <si>
    <t>WR010</t>
  </si>
  <si>
    <t>SE DESCARGO EN UAM 1028 CAJAS PRODUCTOR WR010 EL DIA 14/07/26</t>
  </si>
  <si>
    <t>MI019</t>
  </si>
  <si>
    <t>SE DESCARGO EN UAM 1008 CAJAS PRODUCTOR MI019 EL DIA 15/07/26</t>
  </si>
  <si>
    <t>ST016</t>
  </si>
  <si>
    <t>SE DESCARGO EN UAM 1008 CAJAS PRODUCTOR ST016 EL DIA 15/07/26</t>
  </si>
  <si>
    <t>096/</t>
  </si>
  <si>
    <t>PYHF040</t>
  </si>
  <si>
    <t>se descargo en uam 981 cajas productor pyhf040 el dia 15/07</t>
  </si>
  <si>
    <t>PYHF041</t>
  </si>
  <si>
    <t>SE DESCARGO EN UAM 981 CAJAS DE PYHF041 EL DIA 15/07</t>
  </si>
  <si>
    <t>PYHF042</t>
  </si>
  <si>
    <t>se descargo en uam 980 cajs productor hf042 el dia 15/07/26</t>
  </si>
  <si>
    <t>26325A/</t>
  </si>
  <si>
    <t>SE DESCARGO EN CORONEL RAIZ 2304 CAJAS DE PALTA BRASIL EL DIA 17/7/2026</t>
  </si>
  <si>
    <t>507/</t>
  </si>
  <si>
    <t>PYMS008</t>
  </si>
  <si>
    <t>SE DESCARGO EN UAM 980 CAJAS DE PEPE FRUTA BIEN VINO QUEMADAPOR FRIO</t>
  </si>
  <si>
    <t>se descargo en uam 1008 cajas productor FH054 el dia 17/07</t>
  </si>
  <si>
    <t>085/26</t>
  </si>
  <si>
    <t>SE DESCARGO EN UAM 1009 CAJAS DE PEPE FRUTA BIEN VINO QUEMADAPOR FRIO</t>
  </si>
  <si>
    <t>086/26</t>
  </si>
  <si>
    <t>MI020</t>
  </si>
  <si>
    <t>DANIEL FERREIRA FARIA</t>
  </si>
  <si>
    <t>SE DESCRAGO EN UAM 1008 CAJAS DE BRASIL EL DIA 20/7/2026</t>
  </si>
  <si>
    <t>SE DESCARGO EN UAM 1008 CAJAS DE BRASIL EL DIA 21/7/2026</t>
  </si>
  <si>
    <t>018/ALM/2026</t>
  </si>
  <si>
    <t>CK094</t>
  </si>
  <si>
    <t>SE DESCARGO EN UAM 936 CAJAS DE BRASIL EL DIA 21/7/2026</t>
  </si>
  <si>
    <t>ST017</t>
  </si>
  <si>
    <t>ZN014</t>
  </si>
  <si>
    <t>FI011</t>
  </si>
  <si>
    <t>AXN9H88</t>
  </si>
  <si>
    <t>SE DESCARGO EN UAM 1026 CAJAS DE BRASIL EL DIA 21/7/2026</t>
  </si>
  <si>
    <t>087/26</t>
  </si>
  <si>
    <t>JP004</t>
  </si>
  <si>
    <t>MK018</t>
  </si>
  <si>
    <t>SE DESCARGO EN UAM 1008 CAJAS DE BRASIL PRODUCTOR MK018 EL DIA 21/07/26</t>
  </si>
  <si>
    <t>129/-</t>
  </si>
  <si>
    <t>SE DESCARGO EN UAM 980 CAJAS DE PY DE SEGUNDA  EL DIA 22/7/2026</t>
  </si>
  <si>
    <t>97/</t>
  </si>
  <si>
    <t>PYHF043</t>
  </si>
  <si>
    <t>SE DESCARGO EN UAM 981 CAJAS DE PY EL DIA 22/7/2026</t>
  </si>
  <si>
    <t>PYHF044</t>
  </si>
  <si>
    <t>SE DESCARGO EN UAM 981 CAJAS DE PARAGAUY EL DIA 23/7/2026</t>
  </si>
  <si>
    <t>088/26</t>
  </si>
  <si>
    <t>PYHF045</t>
  </si>
  <si>
    <t>Se descargo en CRaiz JENGIBRE 23/7/26</t>
  </si>
  <si>
    <t>ST018</t>
  </si>
  <si>
    <t>SE DESCARGO EN UAM 1008 CAJAS DE BRASIL EL DIA 24/7/2026</t>
  </si>
  <si>
    <t>090/26</t>
  </si>
  <si>
    <t>Banana + Choclo</t>
  </si>
  <si>
    <t>EXOTICO-FH056</t>
  </si>
  <si>
    <t>SXM 2I03</t>
  </si>
  <si>
    <t>SE DESCARGO EN UAM 1008 CAJAS LOS CUALES VINIERON 504 CAJAS DE BRASIL Y 504 CAJAS DE CHOCLO EL DIA 25/7/2026</t>
  </si>
  <si>
    <t>SE DESCARGO EN UAM 1008 CAJAS DE BRASIL EL DIA 25/7/2026</t>
  </si>
  <si>
    <t>26332A/</t>
  </si>
  <si>
    <t>Se descargo en CRaiz 25/7/26</t>
  </si>
  <si>
    <t>SE DESCARGO EN UAM 1008 CJAS DE BRASIL EL DIA 28/7/2026</t>
  </si>
  <si>
    <t>CK095</t>
  </si>
  <si>
    <t>SE DESCARGO EN UAM 936  CAJAS DE BRASIL EL DIA 28/7/2026</t>
  </si>
  <si>
    <t>SE DESCARGO EN UAM 1009 CJAS DE BRASIL EL DIA 28/7/2026</t>
  </si>
  <si>
    <t>ZN015</t>
  </si>
  <si>
    <t>SE DESCARGO EN UAM 1008  CAJAS DE BRASIL EL DIA 28/7/2026</t>
  </si>
  <si>
    <t>091/26</t>
  </si>
  <si>
    <t>MI021</t>
  </si>
  <si>
    <t>ZP004</t>
  </si>
  <si>
    <t>SE DESCARGO EN UAM 1008 CAJAS DE BRASIL EL DIA 28/7/2026</t>
  </si>
  <si>
    <t>JP005</t>
  </si>
  <si>
    <t>100/-</t>
  </si>
  <si>
    <t>PYHF046</t>
  </si>
  <si>
    <t>SE DESCARGO EN UAM 982 CAJAS DE PY EL DIA 30/7/2026</t>
  </si>
  <si>
    <t>PYHF047</t>
  </si>
  <si>
    <t>SE DESCARGO EN UAM 983 CAJAS DE PY EL DIA 30/7/2026</t>
  </si>
  <si>
    <t>PYHF048</t>
  </si>
  <si>
    <t>PYHF049</t>
  </si>
  <si>
    <t>SE DESCARGO EN UAM 981 CAJAS DE  PY EL DIA 30/7/2026</t>
  </si>
  <si>
    <t>131/-</t>
  </si>
  <si>
    <t>SE DESCARGO EN UAM 982 CAJAS DE PY DE SEGUNDA EL DIA 31/7/2026</t>
  </si>
  <si>
    <t>160/-</t>
  </si>
  <si>
    <t>PYMS009</t>
  </si>
  <si>
    <t>SE DESCARGO EN UAM 980 CAJAS DE PY EL DIA 1/8/2026</t>
  </si>
  <si>
    <t>SE DESCARGO EN UAM 981 CAJAS DE PY EL DIA 1/8/2026</t>
  </si>
  <si>
    <t>PYHF050</t>
  </si>
  <si>
    <t>SE DESCARGO EN UAM 982 CAJAS DE PY EL DIA 4/8/2026</t>
  </si>
  <si>
    <t>PYHF051</t>
  </si>
  <si>
    <t>SE DESCARGO EN UAM 985 CAJAS DE PY EL DIA 4/8/2026</t>
  </si>
  <si>
    <t>Robinson Robledo Garbin</t>
  </si>
  <si>
    <t>SE DESCARGO EN UAM 1008 CAJAS DE BRASIL EL DIA 4/8/2026</t>
  </si>
  <si>
    <t>CK096</t>
  </si>
  <si>
    <t>SE DESCRAGO EN UAM 1008 CAJAS DE BRASIL EL DIA 4/8/2026</t>
  </si>
  <si>
    <t>SE DESCARGO EN UAM 1009 CAJAS DE BRASIL EL DIA 4/8/2026</t>
  </si>
  <si>
    <t>26339A/</t>
  </si>
  <si>
    <t>Se descargo en CRaiz Palta BR 6/8/26</t>
  </si>
  <si>
    <t>103/-</t>
  </si>
  <si>
    <t>PYHF052</t>
  </si>
  <si>
    <t>SE DESCARGO EN UAM 987 CAJAS DE PY EL DIA 6/8/2026</t>
  </si>
  <si>
    <t>PYHF053</t>
  </si>
  <si>
    <t>SE DESCARGO EN UAM 982 CAJAS DE PY EL DIA 6/8/2026</t>
  </si>
  <si>
    <t>ZN016</t>
  </si>
  <si>
    <t>SE DESCARGO EN UAM 1026 CAJAS DE BRASIL EL DIA 7/8/2026</t>
  </si>
  <si>
    <t>093/26</t>
  </si>
  <si>
    <t>Choclo y Banana</t>
  </si>
  <si>
    <t>SE DESCARGO EN UAM 1008 CAJAS LO CUALES VINIERON 505 CAJAS DE BANANA BRASIL Y 503 CAJAS DE CHOCLO EL DIA 7/8/2026</t>
  </si>
  <si>
    <t>UY018-AL-26</t>
  </si>
  <si>
    <t>WR011</t>
  </si>
  <si>
    <t>SE DESCARGO EN UAM 1324 CAJAS LOS CUALES VINIERON 50 CAJAS DE CURCUMA, 100 BOLSAS DE COCO, 150 CAJAS DE LIMA Y 504 CAJAS DE BANANA BRASIL  EL DIA 7/8/2026</t>
  </si>
  <si>
    <t>UY017-AL-26</t>
  </si>
  <si>
    <t>Se descargo en CRaiz UVA 8/8/26</t>
  </si>
  <si>
    <t>PYHF054</t>
  </si>
  <si>
    <t>SE DESCARGO EN UAM 983 CAJAS PRODUCTOR HF054</t>
  </si>
  <si>
    <t>508/</t>
  </si>
  <si>
    <t>SE DESCARGO EN UAM 980 CAJAS PRODUCTOR MS011 EL DIA 08/08/26</t>
  </si>
  <si>
    <t>XX</t>
  </si>
  <si>
    <t>SE DESCARGO EN UAM 1008 CAJAS DE BRASIL EL DIA 11/8/2026</t>
  </si>
  <si>
    <t>SE DESCARGO EN UAM 1009 CAJAS DE BRASIL EL DIA 11/8/2026</t>
  </si>
  <si>
    <t>ZN017</t>
  </si>
  <si>
    <t>ANDRE GUIMARAES PEREIRA</t>
  </si>
  <si>
    <t>SE DESCARGO EN UAM 1018 CAJAS DE BRASIL EL DIA 11/8/2026</t>
  </si>
  <si>
    <t>095/26</t>
  </si>
  <si>
    <t>MK019</t>
  </si>
  <si>
    <t>JP006</t>
  </si>
  <si>
    <t>JDF7D19</t>
  </si>
  <si>
    <t>107/-</t>
  </si>
  <si>
    <t>PYHF056</t>
  </si>
  <si>
    <t>SE DESCARGO EN UAM 981 CAJAS DE PY EL DIA 13/8/2026</t>
  </si>
  <si>
    <t>PYHF057</t>
  </si>
  <si>
    <t>SE DESCARGO EN UAM 980 CAAJS DE PY EL DIA 13/8/2026</t>
  </si>
  <si>
    <t>PYHF058</t>
  </si>
  <si>
    <t>SE DESCARGO EN UAM 982 CAJAS DE PY EL DIA 13/8/2026</t>
  </si>
  <si>
    <t>PYHF055</t>
  </si>
  <si>
    <t>SE DESCARGO EN UAM 980 CAJAS DE PY EL DIA 13/8/2026</t>
  </si>
  <si>
    <t>SE DESCRAGO EN UAM 980 CAJAS DE PY EL DIA 14/8/2026</t>
  </si>
  <si>
    <t>204/-</t>
  </si>
  <si>
    <t>Paraguay AS</t>
  </si>
  <si>
    <t>PYAS001</t>
  </si>
  <si>
    <t>SE DESCRAGO EN UAM 984 CAJAS DE PY EL DIA 14/8/2026</t>
  </si>
  <si>
    <t>UY019-AL-26</t>
  </si>
  <si>
    <t>Mango y Mix</t>
  </si>
  <si>
    <t>Se descargo en CRaiz MIx 15/8/26</t>
  </si>
  <si>
    <t>SE DESCARGO EN UAM 1009 CAJAS DE BRASIL EL DIA 15/8/2026</t>
  </si>
  <si>
    <t>SE DESCARGO EN UAM 983 CAJAS DE PY EL DIA 15/8/2026</t>
  </si>
  <si>
    <t>509/</t>
  </si>
  <si>
    <t>SE DESCARGO EN UAM 982 CAJAS DE PY EL DIA 15/8/2026</t>
  </si>
  <si>
    <t>SE DESCRAGO EN UAM 982 CAJAS DE PY EL DIA 17/8/2026</t>
  </si>
  <si>
    <t>002,26,ALM</t>
  </si>
  <si>
    <t>Se descargo en CRaiz Melon 3 variedades 18/8/26</t>
  </si>
  <si>
    <t>26349A/</t>
  </si>
  <si>
    <t>Se descargo en CRaiz PALTA BR 18/8/26</t>
  </si>
  <si>
    <t>se descargo en uam 1008 cajas de brasil el dia 19/8/2026</t>
  </si>
  <si>
    <t>096/26</t>
  </si>
  <si>
    <t>SE DESCARGO EN UAM 1008 CAJAS DE BRASIL EL DIA 18/8/2026</t>
  </si>
  <si>
    <t>CK097</t>
  </si>
  <si>
    <t>SE DESCARGO EN UAM 937 CAJAS DE BRASIL EL DIA 18/8/2026</t>
  </si>
  <si>
    <t>097/26</t>
  </si>
  <si>
    <t>ST019</t>
  </si>
  <si>
    <t>098/26</t>
  </si>
  <si>
    <t>206/-</t>
  </si>
  <si>
    <t>PYAS002</t>
  </si>
  <si>
    <t>SE DESCARGOE N UAM 984 CAJAS DE PY EL DIA 20/8/2026</t>
  </si>
  <si>
    <t>110/</t>
  </si>
  <si>
    <t>SE DESCRAGO EN CR 980 CAJAS DE PY EL DIA 21/8/2026</t>
  </si>
  <si>
    <t>207/-</t>
  </si>
  <si>
    <t>PYAS003</t>
  </si>
  <si>
    <t>SE DESCARGO EN UAM 984 CAJAS DE PY EL DIA 21/8/2026</t>
  </si>
  <si>
    <t>PYAS004</t>
  </si>
  <si>
    <t>UILSON CARLOS P DE SOUZA</t>
  </si>
  <si>
    <t>SE DESCARGO EN CR 1008 CAJAS DE BRASIL EL DIA 21/8/2026</t>
  </si>
  <si>
    <t>Se descargo en CRaiz 1009 cajas de Brasil el dia 21/08/26</t>
  </si>
  <si>
    <t>ST020</t>
  </si>
  <si>
    <t>MHW5F17</t>
  </si>
  <si>
    <t>Se descargo en CRaiz 1008 cajas de Brasil 21/8/26</t>
  </si>
  <si>
    <t>SS</t>
  </si>
  <si>
    <t>ZN018</t>
  </si>
  <si>
    <t>Se descargo en CRaiz 1008 cajas de Brasil el dia 21/08/26</t>
  </si>
  <si>
    <t>FI012</t>
  </si>
  <si>
    <t>IWA0042</t>
  </si>
  <si>
    <t>SE DESCARGO EN UAM  1008 CAJAS DE BRASIL EL DIA 21/8/2026</t>
  </si>
  <si>
    <t>019/ALM/2026</t>
  </si>
  <si>
    <t>CK098</t>
  </si>
  <si>
    <t>SE DESCARGO EN UAM 936 CAJAS DE BRASIL EL DIA 22/8/2026</t>
  </si>
  <si>
    <t>100/26</t>
  </si>
  <si>
    <t>Banana y Choclo</t>
  </si>
  <si>
    <t>CK099</t>
  </si>
  <si>
    <t>SE DESCRAGO EN UAM 1008 CAJAS LOS CUALES VINIERON 648 CAJAS DE BRASIL Y 360 CAJAS DE CHOCLO EL DIA 26/8/2026</t>
  </si>
  <si>
    <t>SE DESCARGO EN UAM 1008 CAJAS DE BRASIL EL DIA 26/8/2026</t>
  </si>
  <si>
    <t>ST021</t>
  </si>
  <si>
    <t xml:space="preserve">JAT0F18	</t>
  </si>
  <si>
    <t>SE DESCRAGO EN UAM 1008 CAJAS DE BRASIL EL DIA 26/8/2026</t>
  </si>
  <si>
    <t>26353A/</t>
  </si>
  <si>
    <t>Se descargo en CRaiz Palta Brasil el 27/8/26</t>
  </si>
  <si>
    <t>208/-</t>
  </si>
  <si>
    <t xml:space="preserve">Banana </t>
  </si>
  <si>
    <t>PYAS005</t>
  </si>
  <si>
    <t>SE DESCARGO EN UMA 985 CAJAS DE PY EL DIA 27/8/2026</t>
  </si>
  <si>
    <t>112/-</t>
  </si>
  <si>
    <t>SE DESCRAGO EN UAM 980 CAJAS DE PY EL DIA 27/8/2026</t>
  </si>
  <si>
    <t>UY020-AL-26</t>
  </si>
  <si>
    <t xml:space="preserve">CK100 Y EXOTICO </t>
  </si>
  <si>
    <t>SE DESCARGO EN UAM 1365 CAJAS LOS CUALES VINIERON 396 CAJAS DE BRASIL, 150 MANDIOCA, 250 LIMA , 520 CAJAS DE PAPAYA FORMSA Y ÑAME 49 CAJAS EL DIA 28/8/2026</t>
  </si>
  <si>
    <t>SE DESCARGO EN UAM 1009 CAJAS DE BRASIL EL DIA 28/8/2026</t>
  </si>
  <si>
    <t>SE DESCARGO EN UAM 1008 CAJAS DE BRASIL EL DIA 28/8/2026</t>
  </si>
  <si>
    <t>103/26</t>
  </si>
  <si>
    <t xml:space="preserve">EXOTICO </t>
  </si>
  <si>
    <t>SE DESCARGO EN UAM 936 CAJAS LOS CUALES VINIERON 504 CHOCLO Y 432 CAJAS DE BRASIL EL DIA 29/8/2026</t>
  </si>
  <si>
    <t>SE DESCARGO EN UAM 1008 CAJAS DE BRASIL EL DIA 1/9/2026</t>
  </si>
  <si>
    <t>SE DESCARGOE N UAM 1009 CAJAS DE BRASIL EL DIA 1/9/2026</t>
  </si>
  <si>
    <t>102/26</t>
  </si>
  <si>
    <t>FI013</t>
  </si>
  <si>
    <t>Bruno Senosiain Carmona</t>
  </si>
  <si>
    <t>SE DESCARGOE N UAM 1008 CAJAS DE BRASIL EL DIA 1/9/2026</t>
  </si>
  <si>
    <t>101/26</t>
  </si>
  <si>
    <t>1008-</t>
  </si>
  <si>
    <t>MK020</t>
  </si>
  <si>
    <t>26363A/</t>
  </si>
  <si>
    <t>EXOTICOS</t>
  </si>
  <si>
    <t>01/09 SE DESCARGO EN RIQUEZA NATURAL 2303 CAJAS FRUTA BIEN</t>
  </si>
  <si>
    <t>JP007</t>
  </si>
  <si>
    <t>ST023</t>
  </si>
  <si>
    <t>CK101</t>
  </si>
  <si>
    <t>SE DESCARGO EN UAM 936 CAJAS DE BRASIL EL DIA 2/9/2026</t>
  </si>
  <si>
    <t>104/26</t>
  </si>
  <si>
    <t>02/09 SE DESCARGO EN RIQUEZA NATURAL 1008 CAJAS DE CHOCLO VINO BIEN</t>
  </si>
  <si>
    <t>114/-</t>
  </si>
  <si>
    <t>PYHF059</t>
  </si>
  <si>
    <t>/SE DESCARGO EN UAM 977 CAJAS DE PY EL DIA 2/9/2026</t>
  </si>
  <si>
    <t>210/-</t>
  </si>
  <si>
    <t>PYAS006</t>
  </si>
  <si>
    <t>SE DESCARGO EN UAM 985 CAJAS DE PY EL DIA 3/9/2026</t>
  </si>
  <si>
    <t>PYHF060</t>
  </si>
  <si>
    <t>SE DESCARGO EN UAM 981 CAJAS DE PY EL DIA 3/9/2026</t>
  </si>
  <si>
    <t>PYAS007</t>
  </si>
  <si>
    <t>SE DESCARGO EN UAM 984 CAJAS DE PYAS007</t>
  </si>
  <si>
    <t>020/ALM/2026</t>
  </si>
  <si>
    <t>CK102</t>
  </si>
  <si>
    <t>SE DESCARGO EN UAM 937 CAJAS DE CK102</t>
  </si>
  <si>
    <t>SE DESCARGO EN UAM 1008 CAJAS DE BRASIL EL DIA 4/9/2026</t>
  </si>
  <si>
    <t>JP008</t>
  </si>
  <si>
    <t>ZN019</t>
  </si>
  <si>
    <t>SE DESCARGO EN UAM 1008 CAJAS DE BR ZN019 EL DIA 05/09/26</t>
  </si>
  <si>
    <t>510/</t>
  </si>
  <si>
    <t>SE DESCARGO EN UAM 980 CAJAS PYMS015 EL DIA 05/09/26</t>
  </si>
  <si>
    <t>115/</t>
  </si>
  <si>
    <t>PYHF061</t>
  </si>
  <si>
    <t>SE DESCARGO EN UAM 980 CAJAS PYHF061 EL DIA 05/09/26</t>
  </si>
  <si>
    <t>Puerto</t>
  </si>
  <si>
    <t>106/26</t>
  </si>
  <si>
    <t>Shapo</t>
  </si>
  <si>
    <t>Cargado</t>
  </si>
  <si>
    <t>105/26</t>
  </si>
  <si>
    <t>511/</t>
  </si>
  <si>
    <t>118/-</t>
  </si>
  <si>
    <t>Solicitado</t>
  </si>
  <si>
    <t>512/</t>
  </si>
  <si>
    <t>212/-</t>
  </si>
  <si>
    <t>217/</t>
  </si>
  <si>
    <t>Corupa</t>
  </si>
  <si>
    <t xml:space="preserve">                                                                         </t>
  </si>
  <si>
    <t xml:space="preserve"> CAJAS OK VINI </t>
  </si>
  <si>
    <t>CARPETAS DE IMPORTACIÓN - CONTROL DE CARGAS y SALDOS</t>
  </si>
  <si>
    <t>Fatura</t>
  </si>
  <si>
    <t>Carpeta</t>
  </si>
  <si>
    <t>Export</t>
  </si>
  <si>
    <t>Producto</t>
  </si>
  <si>
    <t>Transp.</t>
  </si>
  <si>
    <t>Qtde</t>
  </si>
  <si>
    <t>Saldo</t>
  </si>
  <si>
    <t>Afidi</t>
  </si>
  <si>
    <t>DUA</t>
  </si>
  <si>
    <t>2994/</t>
  </si>
  <si>
    <t>BRA001</t>
  </si>
  <si>
    <t>Agricola Famosa</t>
  </si>
  <si>
    <t>Rio Branco</t>
  </si>
  <si>
    <t>Silvio</t>
  </si>
  <si>
    <t>139.16.59</t>
  </si>
  <si>
    <t>2995/</t>
  </si>
  <si>
    <t>139.16.58</t>
  </si>
  <si>
    <t>3055/</t>
  </si>
  <si>
    <t>139.16.57</t>
  </si>
  <si>
    <t>3115/</t>
  </si>
  <si>
    <t>BRA002</t>
  </si>
  <si>
    <t>139.20.23</t>
  </si>
  <si>
    <t>3116/</t>
  </si>
  <si>
    <t>BRA003</t>
  </si>
  <si>
    <t>Miro</t>
  </si>
  <si>
    <t>139.20.24</t>
  </si>
  <si>
    <t>3179/</t>
  </si>
  <si>
    <t>BRA004</t>
  </si>
  <si>
    <t>139.25.59</t>
  </si>
  <si>
    <t>3331/</t>
  </si>
  <si>
    <t>139.25.60</t>
  </si>
  <si>
    <t>3332/</t>
  </si>
  <si>
    <t>BRA005</t>
  </si>
  <si>
    <t>139.28.29</t>
  </si>
  <si>
    <t>3384/</t>
  </si>
  <si>
    <t>3385/</t>
  </si>
  <si>
    <t>3494/</t>
  </si>
  <si>
    <t>BRA006</t>
  </si>
  <si>
    <t>139.31.58</t>
  </si>
  <si>
    <t>3495/</t>
  </si>
  <si>
    <t>3556/</t>
  </si>
  <si>
    <t>3557/</t>
  </si>
  <si>
    <t>BRA007</t>
  </si>
  <si>
    <t>139.31.59</t>
  </si>
  <si>
    <t>3558/</t>
  </si>
  <si>
    <t>3653/</t>
  </si>
  <si>
    <t>BRA008</t>
  </si>
  <si>
    <t>139.31.60</t>
  </si>
  <si>
    <t>3707/21</t>
  </si>
  <si>
    <t>BRA009</t>
  </si>
  <si>
    <t>139.42.43</t>
  </si>
  <si>
    <t>3657/21</t>
  </si>
  <si>
    <t>BRA010</t>
  </si>
  <si>
    <t>139.42.42</t>
  </si>
  <si>
    <t>3696/21</t>
  </si>
  <si>
    <t>3731/21</t>
  </si>
  <si>
    <t>BRA011</t>
  </si>
  <si>
    <t>139.48.43</t>
  </si>
  <si>
    <t>3762/21</t>
  </si>
  <si>
    <t>3763/21</t>
  </si>
  <si>
    <t>3822/</t>
  </si>
  <si>
    <t>BRA012</t>
  </si>
  <si>
    <t>139.51.75</t>
  </si>
  <si>
    <t>3823/</t>
  </si>
  <si>
    <t>3824/</t>
  </si>
  <si>
    <t>BRA013</t>
  </si>
  <si>
    <t>139.51.76</t>
  </si>
  <si>
    <t>3863/</t>
  </si>
  <si>
    <t>BRA014</t>
  </si>
  <si>
    <t>139.57.32</t>
  </si>
  <si>
    <t>3864/</t>
  </si>
  <si>
    <t>3865/</t>
  </si>
  <si>
    <t>3893//</t>
  </si>
  <si>
    <t>BRA015</t>
  </si>
  <si>
    <t>139.62.30</t>
  </si>
  <si>
    <t>3894//</t>
  </si>
  <si>
    <t>BRA016</t>
  </si>
  <si>
    <t>139.62.31</t>
  </si>
  <si>
    <t>3923/</t>
  </si>
  <si>
    <t>BRA017</t>
  </si>
  <si>
    <t>139.66.97</t>
  </si>
  <si>
    <t>3924/</t>
  </si>
  <si>
    <t>3925/</t>
  </si>
  <si>
    <t>BRA018</t>
  </si>
  <si>
    <t>139.66.98</t>
  </si>
  <si>
    <t>3957/</t>
  </si>
  <si>
    <t>BRA019</t>
  </si>
  <si>
    <t>silvio</t>
  </si>
  <si>
    <t>3958/</t>
  </si>
  <si>
    <t>3959/</t>
  </si>
  <si>
    <t>BRA020</t>
  </si>
  <si>
    <t>3989/</t>
  </si>
  <si>
    <t>BRA021</t>
  </si>
  <si>
    <t>139.76.37</t>
  </si>
  <si>
    <t>3990/</t>
  </si>
  <si>
    <t>3991/</t>
  </si>
  <si>
    <t>4019/</t>
  </si>
  <si>
    <t>4026/</t>
  </si>
  <si>
    <t>BRA022</t>
  </si>
  <si>
    <t>139.81.67</t>
  </si>
  <si>
    <t>3410/</t>
  </si>
  <si>
    <t>141.95.81</t>
  </si>
  <si>
    <t>4051/</t>
  </si>
  <si>
    <t>4052/</t>
  </si>
  <si>
    <t>4053/</t>
  </si>
  <si>
    <t>BRA023</t>
  </si>
  <si>
    <t>139.85.73</t>
  </si>
  <si>
    <t>4054/</t>
  </si>
  <si>
    <t>4055/</t>
  </si>
  <si>
    <t>4069/</t>
  </si>
  <si>
    <t>4070/</t>
  </si>
  <si>
    <t>BRA024</t>
  </si>
  <si>
    <t>139.91.47</t>
  </si>
  <si>
    <t>4071/</t>
  </si>
  <si>
    <t>4072/</t>
  </si>
  <si>
    <t>4073/</t>
  </si>
  <si>
    <t>4074/</t>
  </si>
  <si>
    <t>BRA025</t>
  </si>
  <si>
    <t>139.97.69</t>
  </si>
  <si>
    <t>4088/</t>
  </si>
  <si>
    <t>4087/</t>
  </si>
  <si>
    <t>4075/</t>
  </si>
  <si>
    <t>4090/</t>
  </si>
  <si>
    <t>BRA026</t>
  </si>
  <si>
    <t>140.06.22</t>
  </si>
  <si>
    <t>4099/</t>
  </si>
  <si>
    <t>4089/</t>
  </si>
  <si>
    <t>4100/</t>
  </si>
  <si>
    <t>BRA027</t>
  </si>
  <si>
    <t>140.10.03</t>
  </si>
  <si>
    <t>4101/</t>
  </si>
  <si>
    <t>4106/</t>
  </si>
  <si>
    <t>4108/</t>
  </si>
  <si>
    <t>BRA028</t>
  </si>
  <si>
    <t>140.16.58</t>
  </si>
  <si>
    <t>4107/</t>
  </si>
  <si>
    <t>4113/</t>
  </si>
  <si>
    <t>BRA029</t>
  </si>
  <si>
    <t>140.21.28</t>
  </si>
  <si>
    <t>4118/</t>
  </si>
  <si>
    <t>4127/</t>
  </si>
  <si>
    <t>BRA030</t>
  </si>
  <si>
    <t>140.24.25</t>
  </si>
  <si>
    <t>4122/</t>
  </si>
  <si>
    <t>4119/</t>
  </si>
  <si>
    <t>4132/</t>
  </si>
  <si>
    <t>BRA031</t>
  </si>
  <si>
    <t>140.29.23</t>
  </si>
  <si>
    <t>4138/</t>
  </si>
  <si>
    <t>008/</t>
  </si>
  <si>
    <t>027/</t>
  </si>
  <si>
    <t>BRA032</t>
  </si>
  <si>
    <t>140.32.28</t>
  </si>
  <si>
    <t>021/</t>
  </si>
  <si>
    <t>009/</t>
  </si>
  <si>
    <t>023//</t>
  </si>
  <si>
    <t>BRA033</t>
  </si>
  <si>
    <t>1403132/1403133/1403134</t>
  </si>
  <si>
    <t>028/</t>
  </si>
  <si>
    <t>BRA034</t>
  </si>
  <si>
    <t>140.40.68</t>
  </si>
  <si>
    <t>043/</t>
  </si>
  <si>
    <t>059/</t>
  </si>
  <si>
    <t>052/</t>
  </si>
  <si>
    <t>060/</t>
  </si>
  <si>
    <t>BRA035</t>
  </si>
  <si>
    <t>140.47.92</t>
  </si>
  <si>
    <t>067/</t>
  </si>
  <si>
    <t>070/</t>
  </si>
  <si>
    <t>103/</t>
  </si>
  <si>
    <t>BRA036</t>
  </si>
  <si>
    <t>140.48.71</t>
  </si>
  <si>
    <t>095/</t>
  </si>
  <si>
    <t>113/</t>
  </si>
  <si>
    <t>128/</t>
  </si>
  <si>
    <t>BRA037</t>
  </si>
  <si>
    <t>140.54.39</t>
  </si>
  <si>
    <t>129/</t>
  </si>
  <si>
    <t>137/</t>
  </si>
  <si>
    <t>143/</t>
  </si>
  <si>
    <t>BRA038</t>
  </si>
  <si>
    <t>140.58.89</t>
  </si>
  <si>
    <t>156/</t>
  </si>
  <si>
    <t>159/</t>
  </si>
  <si>
    <t>160/</t>
  </si>
  <si>
    <t>BRA039</t>
  </si>
  <si>
    <t>140.66.66</t>
  </si>
  <si>
    <t>174/</t>
  </si>
  <si>
    <t>175/</t>
  </si>
  <si>
    <t>179/</t>
  </si>
  <si>
    <t>BRA040</t>
  </si>
  <si>
    <t>140.71.19</t>
  </si>
  <si>
    <t>186/</t>
  </si>
  <si>
    <t>188/</t>
  </si>
  <si>
    <t>192/</t>
  </si>
  <si>
    <t>BRA041</t>
  </si>
  <si>
    <t>140.79.84</t>
  </si>
  <si>
    <t>202/</t>
  </si>
  <si>
    <t>205/</t>
  </si>
  <si>
    <t>243/</t>
  </si>
  <si>
    <t>BRA042</t>
  </si>
  <si>
    <t>140.86.14</t>
  </si>
  <si>
    <t>250/</t>
  </si>
  <si>
    <t>373/</t>
  </si>
  <si>
    <t>468/</t>
  </si>
  <si>
    <t>BRA043</t>
  </si>
  <si>
    <t>140.89.55</t>
  </si>
  <si>
    <t>471/</t>
  </si>
  <si>
    <t>528/</t>
  </si>
  <si>
    <t>600/21</t>
  </si>
  <si>
    <t>BRA044</t>
  </si>
  <si>
    <t>140.94.57</t>
  </si>
  <si>
    <t>598/21</t>
  </si>
  <si>
    <t>530/21</t>
  </si>
  <si>
    <t>750/21</t>
  </si>
  <si>
    <t>BRA045</t>
  </si>
  <si>
    <t>140.98.21</t>
  </si>
  <si>
    <t>749/21</t>
  </si>
  <si>
    <t>745/21</t>
  </si>
  <si>
    <t>746/21</t>
  </si>
  <si>
    <t>805/21</t>
  </si>
  <si>
    <t>BRA046</t>
  </si>
  <si>
    <t>141.03.76</t>
  </si>
  <si>
    <t>881/21</t>
  </si>
  <si>
    <t>882/21</t>
  </si>
  <si>
    <t>958/21</t>
  </si>
  <si>
    <t>1076/21</t>
  </si>
  <si>
    <t>BRA047</t>
  </si>
  <si>
    <t>141.10.09</t>
  </si>
  <si>
    <t>1077/21</t>
  </si>
  <si>
    <t>1078/21</t>
  </si>
  <si>
    <t>1012/21</t>
  </si>
  <si>
    <t>1189/21</t>
  </si>
  <si>
    <t>BRA048</t>
  </si>
  <si>
    <t>Chuy</t>
  </si>
  <si>
    <t>141.17.83</t>
  </si>
  <si>
    <t>1262/21</t>
  </si>
  <si>
    <t>1263/21</t>
  </si>
  <si>
    <t>1264/21</t>
  </si>
  <si>
    <t>1355/</t>
  </si>
  <si>
    <t>BRA049</t>
  </si>
  <si>
    <t>141.23.01</t>
  </si>
  <si>
    <t>1356/</t>
  </si>
  <si>
    <t>1358/</t>
  </si>
  <si>
    <t>1377/</t>
  </si>
  <si>
    <t>1539/</t>
  </si>
  <si>
    <t>BRA050</t>
  </si>
  <si>
    <t>141.31.21</t>
  </si>
  <si>
    <t>1542/</t>
  </si>
  <si>
    <t>1543/</t>
  </si>
  <si>
    <t>1644/</t>
  </si>
  <si>
    <t>1688/</t>
  </si>
  <si>
    <t>BRA051</t>
  </si>
  <si>
    <t>141.38.04</t>
  </si>
  <si>
    <t>1691/</t>
  </si>
  <si>
    <t>1804/</t>
  </si>
  <si>
    <t>1883/</t>
  </si>
  <si>
    <t>1884/</t>
  </si>
  <si>
    <t>BRA052</t>
  </si>
  <si>
    <t>141.46.27</t>
  </si>
  <si>
    <t>1885/</t>
  </si>
  <si>
    <t>2073/</t>
  </si>
  <si>
    <t>2077/</t>
  </si>
  <si>
    <t>BRA053</t>
  </si>
  <si>
    <t>141.50.81</t>
  </si>
  <si>
    <t>2076/</t>
  </si>
  <si>
    <t>2075/</t>
  </si>
  <si>
    <t>2074/</t>
  </si>
  <si>
    <t>2258/</t>
  </si>
  <si>
    <t>BRA054</t>
  </si>
  <si>
    <t>141.56.48</t>
  </si>
  <si>
    <t>2257/</t>
  </si>
  <si>
    <t>2384/</t>
  </si>
  <si>
    <t>2430/</t>
  </si>
  <si>
    <t>BRA055</t>
  </si>
  <si>
    <t>141.63.07</t>
  </si>
  <si>
    <t>2432/</t>
  </si>
  <si>
    <t>2431/</t>
  </si>
  <si>
    <t>2617/</t>
  </si>
  <si>
    <t>2846/</t>
  </si>
  <si>
    <t>144.99.50</t>
  </si>
  <si>
    <t>2858/</t>
  </si>
  <si>
    <t>3542/</t>
  </si>
  <si>
    <t>141.99.89</t>
  </si>
  <si>
    <t>3545/</t>
  </si>
  <si>
    <t>2936/</t>
  </si>
  <si>
    <t>145.06.30</t>
  </si>
  <si>
    <t>2950/</t>
  </si>
  <si>
    <t>3626/</t>
  </si>
  <si>
    <t>142.05.31</t>
  </si>
  <si>
    <t>3629</t>
  </si>
  <si>
    <t>3029/</t>
  </si>
  <si>
    <t>145.06.32</t>
  </si>
  <si>
    <t>3775/</t>
  </si>
  <si>
    <t>142.08.41</t>
  </si>
  <si>
    <t>3765/</t>
  </si>
  <si>
    <t>3126//</t>
  </si>
  <si>
    <t>145.13.38</t>
  </si>
  <si>
    <t>3130/</t>
  </si>
  <si>
    <t>3908/</t>
  </si>
  <si>
    <t>142.13.98</t>
  </si>
  <si>
    <t>3910/</t>
  </si>
  <si>
    <t>3257/</t>
  </si>
  <si>
    <t>145,20,04</t>
  </si>
  <si>
    <t>4081/</t>
  </si>
  <si>
    <t>142.21.60</t>
  </si>
  <si>
    <t>4198/</t>
  </si>
  <si>
    <t>4199/</t>
  </si>
  <si>
    <t>142.23.89</t>
  </si>
  <si>
    <t>4201/</t>
  </si>
  <si>
    <t>4328/</t>
  </si>
  <si>
    <t>142.30.35</t>
  </si>
  <si>
    <t>4412/</t>
  </si>
  <si>
    <t>142.39.83</t>
  </si>
  <si>
    <t>4474/</t>
  </si>
  <si>
    <t>142.33.76</t>
  </si>
  <si>
    <t>4510/</t>
  </si>
  <si>
    <t>142.44.10</t>
  </si>
  <si>
    <t>4552/</t>
  </si>
  <si>
    <t>142.50.28</t>
  </si>
  <si>
    <t>4586/</t>
  </si>
  <si>
    <t>142.58.18</t>
  </si>
  <si>
    <t>4621/</t>
  </si>
  <si>
    <t>142.59.00</t>
  </si>
  <si>
    <t>4671/</t>
  </si>
  <si>
    <t>142.66.34</t>
  </si>
  <si>
    <t>4685/</t>
  </si>
  <si>
    <t>142.71.27</t>
  </si>
  <si>
    <t>4684/</t>
  </si>
  <si>
    <t>4687/</t>
  </si>
  <si>
    <t>142.78.33</t>
  </si>
  <si>
    <t>002/21</t>
  </si>
  <si>
    <t>BRB001</t>
  </si>
  <si>
    <t>Etimex</t>
  </si>
  <si>
    <t>139.16.55</t>
  </si>
  <si>
    <t>003/21</t>
  </si>
  <si>
    <t>BRB002</t>
  </si>
  <si>
    <t>Zanini</t>
  </si>
  <si>
    <t>139.16.56</t>
  </si>
  <si>
    <t>4688/</t>
  </si>
  <si>
    <t>008/21</t>
  </si>
  <si>
    <t>BRB003</t>
  </si>
  <si>
    <t>139.22.92</t>
  </si>
  <si>
    <t>4712/</t>
  </si>
  <si>
    <t>142.82.17</t>
  </si>
  <si>
    <t>009/21</t>
  </si>
  <si>
    <t>BRB004</t>
  </si>
  <si>
    <t>139.23.16</t>
  </si>
  <si>
    <t>4714/</t>
  </si>
  <si>
    <t>015/21</t>
  </si>
  <si>
    <t>BRB005</t>
  </si>
  <si>
    <t>139.27.78</t>
  </si>
  <si>
    <t>4732/</t>
  </si>
  <si>
    <t>142.86.71</t>
  </si>
  <si>
    <t>019/21</t>
  </si>
  <si>
    <t>BRB006</t>
  </si>
  <si>
    <t>139.27.79</t>
  </si>
  <si>
    <t>4734/</t>
  </si>
  <si>
    <t>022/21</t>
  </si>
  <si>
    <t>BRB007</t>
  </si>
  <si>
    <t>139.35.06</t>
  </si>
  <si>
    <t>023/21</t>
  </si>
  <si>
    <t>BRB008</t>
  </si>
  <si>
    <t>139.35.07</t>
  </si>
  <si>
    <t>4754/</t>
  </si>
  <si>
    <t>142.95.88</t>
  </si>
  <si>
    <t>025/21</t>
  </si>
  <si>
    <t>BRB009</t>
  </si>
  <si>
    <t>RIO Branco</t>
  </si>
  <si>
    <t>139.40.69</t>
  </si>
  <si>
    <t>4778/</t>
  </si>
  <si>
    <t>143.01.54</t>
  </si>
  <si>
    <t>026/21</t>
  </si>
  <si>
    <t>BRB010</t>
  </si>
  <si>
    <t>139.40.70</t>
  </si>
  <si>
    <t>4781/</t>
  </si>
  <si>
    <t>029/21</t>
  </si>
  <si>
    <t>BRB011</t>
  </si>
  <si>
    <t>139.43.43</t>
  </si>
  <si>
    <t>4786/</t>
  </si>
  <si>
    <t>143,04,78</t>
  </si>
  <si>
    <t>030/21</t>
  </si>
  <si>
    <t>BRB012</t>
  </si>
  <si>
    <t>139.43.75</t>
  </si>
  <si>
    <t>035/21</t>
  </si>
  <si>
    <t>BRB013</t>
  </si>
  <si>
    <t>139.46.87</t>
  </si>
  <si>
    <t>2619/</t>
  </si>
  <si>
    <t>BRA056</t>
  </si>
  <si>
    <t>141.69.42</t>
  </si>
  <si>
    <t>036/21</t>
  </si>
  <si>
    <t>BRB014</t>
  </si>
  <si>
    <t>zanini</t>
  </si>
  <si>
    <t>139.47.00</t>
  </si>
  <si>
    <t>2618/</t>
  </si>
  <si>
    <t>039/21</t>
  </si>
  <si>
    <t>BRB015</t>
  </si>
  <si>
    <t>139.52.04</t>
  </si>
  <si>
    <t>2621/</t>
  </si>
  <si>
    <t>040/21</t>
  </si>
  <si>
    <t>BRB016</t>
  </si>
  <si>
    <t>139.52.05</t>
  </si>
  <si>
    <t>2967/</t>
  </si>
  <si>
    <t>BRA057</t>
  </si>
  <si>
    <t>141.79.89</t>
  </si>
  <si>
    <t>043/21</t>
  </si>
  <si>
    <t>BRB017</t>
  </si>
  <si>
    <t>139.57.01</t>
  </si>
  <si>
    <t>044/21</t>
  </si>
  <si>
    <t>BRB018</t>
  </si>
  <si>
    <t>139.58.02</t>
  </si>
  <si>
    <t>049/21</t>
  </si>
  <si>
    <t>BRB019</t>
  </si>
  <si>
    <t>139.61.23</t>
  </si>
  <si>
    <t>050/21</t>
  </si>
  <si>
    <t>BRB020</t>
  </si>
  <si>
    <t>139.62.03</t>
  </si>
  <si>
    <t>055/21</t>
  </si>
  <si>
    <t>BRB021</t>
  </si>
  <si>
    <t>139.65.30</t>
  </si>
  <si>
    <t>057/21</t>
  </si>
  <si>
    <t>BRB022</t>
  </si>
  <si>
    <t>139.65.54</t>
  </si>
  <si>
    <t>062/21</t>
  </si>
  <si>
    <t>BRB023</t>
  </si>
  <si>
    <t>139.73.19</t>
  </si>
  <si>
    <t>063/21</t>
  </si>
  <si>
    <t>BRB024</t>
  </si>
  <si>
    <t>139.73.20</t>
  </si>
  <si>
    <t>064/21</t>
  </si>
  <si>
    <t>BRB025</t>
  </si>
  <si>
    <t>Gral</t>
  </si>
  <si>
    <t>139.74.32</t>
  </si>
  <si>
    <t>069/21</t>
  </si>
  <si>
    <t>BRB026</t>
  </si>
  <si>
    <t>139.77.05</t>
  </si>
  <si>
    <t>071/21</t>
  </si>
  <si>
    <t>BRB027</t>
  </si>
  <si>
    <t>139.77.23</t>
  </si>
  <si>
    <t>072/21</t>
  </si>
  <si>
    <t>BRB028</t>
  </si>
  <si>
    <t>139.77.24</t>
  </si>
  <si>
    <t>074/21</t>
  </si>
  <si>
    <t>BRB029</t>
  </si>
  <si>
    <t>139.83.01</t>
  </si>
  <si>
    <t>080/21</t>
  </si>
  <si>
    <t>BRB030</t>
  </si>
  <si>
    <t>139.88.71</t>
  </si>
  <si>
    <t>081/21</t>
  </si>
  <si>
    <t>BRB031</t>
  </si>
  <si>
    <t>083/21</t>
  </si>
  <si>
    <t>BRB032</t>
  </si>
  <si>
    <t>13994.41</t>
  </si>
  <si>
    <t>084/21</t>
  </si>
  <si>
    <t>BRB033</t>
  </si>
  <si>
    <t>139.96.11</t>
  </si>
  <si>
    <t>085/21</t>
  </si>
  <si>
    <t>BRB034</t>
  </si>
  <si>
    <t>139.96.14</t>
  </si>
  <si>
    <t>087/21</t>
  </si>
  <si>
    <t>BRB035</t>
  </si>
  <si>
    <t>139.99.60</t>
  </si>
  <si>
    <t>089/21</t>
  </si>
  <si>
    <t>BRB036</t>
  </si>
  <si>
    <t>140.04.06</t>
  </si>
  <si>
    <t>090/21</t>
  </si>
  <si>
    <t>BRB037</t>
  </si>
  <si>
    <t>gral</t>
  </si>
  <si>
    <t>140.04.05</t>
  </si>
  <si>
    <t>092/21</t>
  </si>
  <si>
    <t>BRB038</t>
  </si>
  <si>
    <t>140.05.29</t>
  </si>
  <si>
    <t>095/21</t>
  </si>
  <si>
    <t>BRB039</t>
  </si>
  <si>
    <t>140.09.57</t>
  </si>
  <si>
    <t>096/21</t>
  </si>
  <si>
    <t>BRB040</t>
  </si>
  <si>
    <t>140.09.58</t>
  </si>
  <si>
    <t>097/21</t>
  </si>
  <si>
    <t>BRB041</t>
  </si>
  <si>
    <t>140.16.60</t>
  </si>
  <si>
    <t>099/21</t>
  </si>
  <si>
    <t>BRB042</t>
  </si>
  <si>
    <t>140.20.88</t>
  </si>
  <si>
    <t>103/21</t>
  </si>
  <si>
    <t>140.25.54</t>
  </si>
  <si>
    <t>104/21</t>
  </si>
  <si>
    <t>140.25.55</t>
  </si>
  <si>
    <t>107/21</t>
  </si>
  <si>
    <t>140.29.86</t>
  </si>
  <si>
    <t>108/21</t>
  </si>
  <si>
    <t>140.29.87</t>
  </si>
  <si>
    <t>110/21</t>
  </si>
  <si>
    <t>140.32.67</t>
  </si>
  <si>
    <t>111/21</t>
  </si>
  <si>
    <t>BRB049</t>
  </si>
  <si>
    <t>140.32.69</t>
  </si>
  <si>
    <t>112/21</t>
  </si>
  <si>
    <t>BRB050</t>
  </si>
  <si>
    <t>140.32.70</t>
  </si>
  <si>
    <t>114/21</t>
  </si>
  <si>
    <t>BRB052</t>
  </si>
  <si>
    <t>140.38.73</t>
  </si>
  <si>
    <t>115/21</t>
  </si>
  <si>
    <t>BRB053</t>
  </si>
  <si>
    <t>140.38.74</t>
  </si>
  <si>
    <t>116/21</t>
  </si>
  <si>
    <t>BRB054</t>
  </si>
  <si>
    <t>140.41.97</t>
  </si>
  <si>
    <t>119/21</t>
  </si>
  <si>
    <t>BRB056</t>
  </si>
  <si>
    <t>140.43.22</t>
  </si>
  <si>
    <t>120/21</t>
  </si>
  <si>
    <t>BRB057</t>
  </si>
  <si>
    <t>140.44.72</t>
  </si>
  <si>
    <t>121/21</t>
  </si>
  <si>
    <t>BRB058</t>
  </si>
  <si>
    <t>140.47.80</t>
  </si>
  <si>
    <t>122/21</t>
  </si>
  <si>
    <t>BRB059</t>
  </si>
  <si>
    <t>140.47.81</t>
  </si>
  <si>
    <t>125/21</t>
  </si>
  <si>
    <t>BRB060</t>
  </si>
  <si>
    <t>140.50.33</t>
  </si>
  <si>
    <t>126/21</t>
  </si>
  <si>
    <t>BRB061</t>
  </si>
  <si>
    <t>140.50.34</t>
  </si>
  <si>
    <t>127/21</t>
  </si>
  <si>
    <t>BRB062</t>
  </si>
  <si>
    <t>14050.32</t>
  </si>
  <si>
    <t>128/21</t>
  </si>
  <si>
    <t>BRB063</t>
  </si>
  <si>
    <t>Amaro</t>
  </si>
  <si>
    <t>140.54.64</t>
  </si>
  <si>
    <t>130/21</t>
  </si>
  <si>
    <t>BRB064</t>
  </si>
  <si>
    <t>140.57.12</t>
  </si>
  <si>
    <t>131/21</t>
  </si>
  <si>
    <t>BRB065</t>
  </si>
  <si>
    <t>140.57.11</t>
  </si>
  <si>
    <t>136/21</t>
  </si>
  <si>
    <t>BRB067</t>
  </si>
  <si>
    <t>140.62.48</t>
  </si>
  <si>
    <t>138/21</t>
  </si>
  <si>
    <t>BRB068</t>
  </si>
  <si>
    <t>140.62.49</t>
  </si>
  <si>
    <t>141/21</t>
  </si>
  <si>
    <t>BRB069</t>
  </si>
  <si>
    <t>140.69.42</t>
  </si>
  <si>
    <t>142/21</t>
  </si>
  <si>
    <t>BRB070</t>
  </si>
  <si>
    <t>140.69.43</t>
  </si>
  <si>
    <t>143/21</t>
  </si>
  <si>
    <t>BRB071</t>
  </si>
  <si>
    <t>14069.44</t>
  </si>
  <si>
    <t>144/21</t>
  </si>
  <si>
    <t>BRB072</t>
  </si>
  <si>
    <t>140.69.46</t>
  </si>
  <si>
    <t>146/21</t>
  </si>
  <si>
    <t>BRB073</t>
  </si>
  <si>
    <t>140.77.50</t>
  </si>
  <si>
    <t>147/21</t>
  </si>
  <si>
    <t>BRB074</t>
  </si>
  <si>
    <t>140.77.52</t>
  </si>
  <si>
    <t>148/21</t>
  </si>
  <si>
    <t>BRB075</t>
  </si>
  <si>
    <t>140.77.47</t>
  </si>
  <si>
    <t>150/21</t>
  </si>
  <si>
    <t>BRB076</t>
  </si>
  <si>
    <t>140.83.84</t>
  </si>
  <si>
    <t>151/21</t>
  </si>
  <si>
    <t>BRB077</t>
  </si>
  <si>
    <t>140.83.91</t>
  </si>
  <si>
    <t>154/21</t>
  </si>
  <si>
    <t>BRB079</t>
  </si>
  <si>
    <t>140.83.87</t>
  </si>
  <si>
    <t>155/21</t>
  </si>
  <si>
    <t>BRB080</t>
  </si>
  <si>
    <t>140.87.97</t>
  </si>
  <si>
    <t>157/21</t>
  </si>
  <si>
    <t>BRB082</t>
  </si>
  <si>
    <t>140.91.03</t>
  </si>
  <si>
    <t>161/21</t>
  </si>
  <si>
    <t>BRB083</t>
  </si>
  <si>
    <t>140.92.99</t>
  </si>
  <si>
    <t>162/21</t>
  </si>
  <si>
    <t>BRB084</t>
  </si>
  <si>
    <t>140.92.97</t>
  </si>
  <si>
    <t>163/21</t>
  </si>
  <si>
    <t>BRB085</t>
  </si>
  <si>
    <t>140.92.96</t>
  </si>
  <si>
    <t>164/21</t>
  </si>
  <si>
    <t>BRB086</t>
  </si>
  <si>
    <t>140.92.98</t>
  </si>
  <si>
    <t>166/21</t>
  </si>
  <si>
    <t>BRB088</t>
  </si>
  <si>
    <t>Fartura</t>
  </si>
  <si>
    <t>140.97.98</t>
  </si>
  <si>
    <t>170/21</t>
  </si>
  <si>
    <t>BRB090</t>
  </si>
  <si>
    <t>141.03.71</t>
  </si>
  <si>
    <t>171/21</t>
  </si>
  <si>
    <t>BRB091</t>
  </si>
  <si>
    <t>141.03.72</t>
  </si>
  <si>
    <t>172/21</t>
  </si>
  <si>
    <t>BRB092</t>
  </si>
  <si>
    <t>141.03.73</t>
  </si>
  <si>
    <t>173/21</t>
  </si>
  <si>
    <t>BRB093</t>
  </si>
  <si>
    <t>141.03.74</t>
  </si>
  <si>
    <t>178/21</t>
  </si>
  <si>
    <t>BRB095</t>
  </si>
  <si>
    <t>141.10.87</t>
  </si>
  <si>
    <t>179/21</t>
  </si>
  <si>
    <t>BRB096</t>
  </si>
  <si>
    <t>141.11.92</t>
  </si>
  <si>
    <t>180/21</t>
  </si>
  <si>
    <t>BRB097</t>
  </si>
  <si>
    <t>141.11.91</t>
  </si>
  <si>
    <t>183/21</t>
  </si>
  <si>
    <t>BRB098</t>
  </si>
  <si>
    <t>141.20.50</t>
  </si>
  <si>
    <t>185/21</t>
  </si>
  <si>
    <t>BRB099</t>
  </si>
  <si>
    <t>141.23.85</t>
  </si>
  <si>
    <t>187/21/</t>
  </si>
  <si>
    <t>BRB100</t>
  </si>
  <si>
    <t>141.23.87</t>
  </si>
  <si>
    <t>188/21</t>
  </si>
  <si>
    <t>BRB101</t>
  </si>
  <si>
    <t>Chabat</t>
  </si>
  <si>
    <t>141.23.88</t>
  </si>
  <si>
    <t>191/21</t>
  </si>
  <si>
    <t>BRB102</t>
  </si>
  <si>
    <t>141.29.98</t>
  </si>
  <si>
    <t>2894/</t>
  </si>
  <si>
    <t>BRB113</t>
  </si>
  <si>
    <t>139.13.79</t>
  </si>
  <si>
    <t>2979/</t>
  </si>
  <si>
    <t>139.13.78</t>
  </si>
  <si>
    <t>2993/</t>
  </si>
  <si>
    <t>139.13.77</t>
  </si>
  <si>
    <t>190/21</t>
  </si>
  <si>
    <t>BRB104</t>
  </si>
  <si>
    <t>141.29.99</t>
  </si>
  <si>
    <t>194/21</t>
  </si>
  <si>
    <t>BRB105</t>
  </si>
  <si>
    <t>141.32.99</t>
  </si>
  <si>
    <t>196/21</t>
  </si>
  <si>
    <t>BRB106</t>
  </si>
  <si>
    <t>141.35.72</t>
  </si>
  <si>
    <t>197/21</t>
  </si>
  <si>
    <t>BRB107</t>
  </si>
  <si>
    <t>141.35.71</t>
  </si>
  <si>
    <t>204/21</t>
  </si>
  <si>
    <t>BRB109</t>
  </si>
  <si>
    <t>141.14.35</t>
  </si>
  <si>
    <t>205/21</t>
  </si>
  <si>
    <t>BRB110</t>
  </si>
  <si>
    <t>141.40.36</t>
  </si>
  <si>
    <t>206/21</t>
  </si>
  <si>
    <t>BRB111</t>
  </si>
  <si>
    <t>141.40.38</t>
  </si>
  <si>
    <t>207/21</t>
  </si>
  <si>
    <t>BRB112</t>
  </si>
  <si>
    <t>141.40.39</t>
  </si>
  <si>
    <t>208/21</t>
  </si>
  <si>
    <t>1414041/1413929</t>
  </si>
  <si>
    <t>214/21</t>
  </si>
  <si>
    <t>BRB114</t>
  </si>
  <si>
    <t>141.50.64</t>
  </si>
  <si>
    <t>215/21</t>
  </si>
  <si>
    <t>BRB115</t>
  </si>
  <si>
    <t>141.50.65</t>
  </si>
  <si>
    <t>213/21</t>
  </si>
  <si>
    <t>BRB116</t>
  </si>
  <si>
    <t>141.50.19</t>
  </si>
  <si>
    <t>216/21</t>
  </si>
  <si>
    <t>BRB117</t>
  </si>
  <si>
    <t>141.50.66</t>
  </si>
  <si>
    <t>217/21</t>
  </si>
  <si>
    <t>BRB118</t>
  </si>
  <si>
    <t>141.50.67</t>
  </si>
  <si>
    <t>224/21</t>
  </si>
  <si>
    <t>BRB119</t>
  </si>
  <si>
    <t>141.60.56</t>
  </si>
  <si>
    <t>223/21</t>
  </si>
  <si>
    <t>BRB120</t>
  </si>
  <si>
    <t>141.58.07</t>
  </si>
  <si>
    <t>225/21</t>
  </si>
  <si>
    <t>BRB121</t>
  </si>
  <si>
    <t>141.60.57</t>
  </si>
  <si>
    <t>2795/</t>
  </si>
  <si>
    <t>226/21</t>
  </si>
  <si>
    <t>BRB122</t>
  </si>
  <si>
    <t>141.60.58</t>
  </si>
  <si>
    <t>230/21</t>
  </si>
  <si>
    <t>BRB123</t>
  </si>
  <si>
    <t>141.68.45</t>
  </si>
  <si>
    <t>232/21</t>
  </si>
  <si>
    <t>BRB124</t>
  </si>
  <si>
    <t>141.69.2</t>
  </si>
  <si>
    <t>231/21</t>
  </si>
  <si>
    <t>BRB125</t>
  </si>
  <si>
    <t>141.69.24</t>
  </si>
  <si>
    <t>2793/</t>
  </si>
  <si>
    <t>2968/</t>
  </si>
  <si>
    <t>BRA058</t>
  </si>
  <si>
    <t>141.83.42</t>
  </si>
  <si>
    <t>2971/</t>
  </si>
  <si>
    <t>2972/</t>
  </si>
  <si>
    <t>3126/</t>
  </si>
  <si>
    <t>BRA059</t>
  </si>
  <si>
    <t>141.83.46</t>
  </si>
  <si>
    <t>3125/</t>
  </si>
  <si>
    <t>3122/</t>
  </si>
  <si>
    <t>004/21</t>
  </si>
  <si>
    <t>BRE001</t>
  </si>
  <si>
    <t>139.13.73/74/75</t>
  </si>
  <si>
    <t>3402/</t>
  </si>
  <si>
    <t>BRA060</t>
  </si>
  <si>
    <t>141.95.99</t>
  </si>
  <si>
    <t>3273/</t>
  </si>
  <si>
    <t>3272/</t>
  </si>
  <si>
    <t>4789/</t>
  </si>
  <si>
    <t>016/21</t>
  </si>
  <si>
    <t>BRE002</t>
  </si>
  <si>
    <t>1392486/1392487/1392484</t>
  </si>
  <si>
    <t>021/21</t>
  </si>
  <si>
    <t>BRE003</t>
  </si>
  <si>
    <t>139.30.76</t>
  </si>
  <si>
    <t>028/21</t>
  </si>
  <si>
    <t>BRE004</t>
  </si>
  <si>
    <t>139.41.83</t>
  </si>
  <si>
    <t>042/21</t>
  </si>
  <si>
    <t>BRE005</t>
  </si>
  <si>
    <t>1395379/1395380/1395378/1395381</t>
  </si>
  <si>
    <t>051/21</t>
  </si>
  <si>
    <t>BRE006</t>
  </si>
  <si>
    <t>1395892/1395887/1395888/1395890/1395891</t>
  </si>
  <si>
    <t>056/21</t>
  </si>
  <si>
    <t>BRE008</t>
  </si>
  <si>
    <t>1396227/1396226/1396228/1396225/1395987</t>
  </si>
  <si>
    <t>067/21</t>
  </si>
  <si>
    <t>BRE009</t>
  </si>
  <si>
    <t>1396874/1397592/1396876/1396877</t>
  </si>
  <si>
    <t>073/21</t>
  </si>
  <si>
    <t>BRE010</t>
  </si>
  <si>
    <t>1397911/1397910/1398147/1398148</t>
  </si>
  <si>
    <t>076/21</t>
  </si>
  <si>
    <t>BRE011</t>
  </si>
  <si>
    <t>1398472/1398471/1398473/1396875/1398469</t>
  </si>
  <si>
    <t>0009/</t>
  </si>
  <si>
    <t>143.07.81</t>
  </si>
  <si>
    <t>0026/</t>
  </si>
  <si>
    <t>143.17.29</t>
  </si>
  <si>
    <t>0031/</t>
  </si>
  <si>
    <t>049/</t>
  </si>
  <si>
    <t>053/</t>
  </si>
  <si>
    <t>143.19.09</t>
  </si>
  <si>
    <t>059//</t>
  </si>
  <si>
    <t>0070/</t>
  </si>
  <si>
    <t>143.27.09</t>
  </si>
  <si>
    <t>0090/</t>
  </si>
  <si>
    <t>100/</t>
  </si>
  <si>
    <t>143.29.80</t>
  </si>
  <si>
    <t>106/</t>
  </si>
  <si>
    <t>114/22</t>
  </si>
  <si>
    <t>143.36.51</t>
  </si>
  <si>
    <t>121/22</t>
  </si>
  <si>
    <t>130/22</t>
  </si>
  <si>
    <t>143.39.66</t>
  </si>
  <si>
    <t>153/22</t>
  </si>
  <si>
    <t>143.47.28</t>
  </si>
  <si>
    <t>172/22</t>
  </si>
  <si>
    <t>143.52.53</t>
  </si>
  <si>
    <t>062/2021</t>
  </si>
  <si>
    <t>BRE012</t>
  </si>
  <si>
    <t>Trebol</t>
  </si>
  <si>
    <t>1399188/1399190/1399186/1399186/1399191/1393231</t>
  </si>
  <si>
    <t>093/001-2021</t>
  </si>
  <si>
    <t>BRE013</t>
  </si>
  <si>
    <t>Trebol/Etimex</t>
  </si>
  <si>
    <t>1400247/1400246/1399708/1400245/1400695</t>
  </si>
  <si>
    <t>080783/080781</t>
  </si>
  <si>
    <t>TRB-011/2021</t>
  </si>
  <si>
    <t xml:space="preserve">Trebol </t>
  </si>
  <si>
    <t>1400834/1400843./14008351401289/1401289./1400837/1399187</t>
  </si>
  <si>
    <t>TRB-012/2021</t>
  </si>
  <si>
    <t>BRE015</t>
  </si>
  <si>
    <t>1401988/1401989/1401992/1401664</t>
  </si>
  <si>
    <t>TRB-020/2021</t>
  </si>
  <si>
    <t>BRE016</t>
  </si>
  <si>
    <t>1402540./1402445./1402542./1402542./1402541./1402009.</t>
  </si>
  <si>
    <t>TRB-028/2021 / 109/21</t>
  </si>
  <si>
    <t>BRE017 - BRB047</t>
  </si>
  <si>
    <t>1403015/1403013/1403011/1402275/1403014</t>
  </si>
  <si>
    <t>104362/104363</t>
  </si>
  <si>
    <t>TRB-047/2021/113/21</t>
  </si>
  <si>
    <t>BRE018 - BRB051</t>
  </si>
  <si>
    <t>1403942/1403542/1403541/1403545/1403544</t>
  </si>
  <si>
    <t>108807-108808</t>
  </si>
  <si>
    <t>TRB-057/2021/117/21</t>
  </si>
  <si>
    <t>BRE019-BRB055</t>
  </si>
  <si>
    <t>1403891/1404126/1404124/1404198</t>
  </si>
  <si>
    <t>113184/113253</t>
  </si>
  <si>
    <t>068/</t>
  </si>
  <si>
    <t>BRE020</t>
  </si>
  <si>
    <t>1404291/1404292</t>
  </si>
  <si>
    <t>TRB-059/2021</t>
  </si>
  <si>
    <t>BRE021</t>
  </si>
  <si>
    <t>1404437/1404434/1404438/1404436/1404435/1404476</t>
  </si>
  <si>
    <t>127/</t>
  </si>
  <si>
    <t>BRE022</t>
  </si>
  <si>
    <t>1405306/07</t>
  </si>
  <si>
    <t>TRB-061/132/21</t>
  </si>
  <si>
    <t>BRE023/BRB066</t>
  </si>
  <si>
    <t>1405873/1405632/1405631/1405630/</t>
  </si>
  <si>
    <t>128622/21</t>
  </si>
  <si>
    <t>TRB-062/2021</t>
  </si>
  <si>
    <t>BRE024</t>
  </si>
  <si>
    <t>1405838/1405839/1405840/1407069/1405441</t>
  </si>
  <si>
    <t>187/21</t>
  </si>
  <si>
    <t>BRE025</t>
  </si>
  <si>
    <t>1406952/1406951</t>
  </si>
  <si>
    <t>198/</t>
  </si>
  <si>
    <t>BRE026</t>
  </si>
  <si>
    <t>140.72.42</t>
  </si>
  <si>
    <t>TRB064/2021/152/21</t>
  </si>
  <si>
    <t>BRE027/BRB078</t>
  </si>
  <si>
    <t>Trebol-Etimex</t>
  </si>
  <si>
    <t>1407797/1407798/1407799/1408304/1407235</t>
  </si>
  <si>
    <t>146747/146746</t>
  </si>
  <si>
    <t>467/</t>
  </si>
  <si>
    <t>BRE028</t>
  </si>
  <si>
    <t>1408938/1408939</t>
  </si>
  <si>
    <t>TRB073/2021/156/21</t>
  </si>
  <si>
    <t>BRE029 / BRB081</t>
  </si>
  <si>
    <t>1408970/1408380/1408382/1408377/1408388</t>
  </si>
  <si>
    <t>151329/151330</t>
  </si>
  <si>
    <t>TRB-074/2021/165/21</t>
  </si>
  <si>
    <t>BRE030/BRB087</t>
  </si>
  <si>
    <t>1409406/1408381/1408385/1408378</t>
  </si>
  <si>
    <t>156686/156684</t>
  </si>
  <si>
    <t>TRB-075/2021/169/21</t>
  </si>
  <si>
    <t>BRE031/BRB089</t>
  </si>
  <si>
    <t>1410157/1409634/1408375</t>
  </si>
  <si>
    <t>159669/159670</t>
  </si>
  <si>
    <t>599/</t>
  </si>
  <si>
    <t>BRE032</t>
  </si>
  <si>
    <t>140.98.20</t>
  </si>
  <si>
    <t>566/21</t>
  </si>
  <si>
    <t>BRE033</t>
  </si>
  <si>
    <t>Special Fruit</t>
  </si>
  <si>
    <t>140.98.66</t>
  </si>
  <si>
    <t>077/174</t>
  </si>
  <si>
    <t>BRE034/BRB094</t>
  </si>
  <si>
    <t>141.05.38/14105.37/1410536</t>
  </si>
  <si>
    <t>165472/165471</t>
  </si>
  <si>
    <t>738/</t>
  </si>
  <si>
    <t>BRE035</t>
  </si>
  <si>
    <t>078/2021</t>
  </si>
  <si>
    <t>BRE036</t>
  </si>
  <si>
    <t>1410743/1410744/1410748/1410752/1410279/1410750</t>
  </si>
  <si>
    <t>883/21</t>
  </si>
  <si>
    <t>BRE037</t>
  </si>
  <si>
    <t>1409993/1410501</t>
  </si>
  <si>
    <t>1015/21</t>
  </si>
  <si>
    <t>BRE038</t>
  </si>
  <si>
    <t>141.07.97</t>
  </si>
  <si>
    <t>081/2021</t>
  </si>
  <si>
    <t>BRE039</t>
  </si>
  <si>
    <t>TRB</t>
  </si>
  <si>
    <t>1411812/1411811/1411810/1411813/1410447</t>
  </si>
  <si>
    <t>817/21</t>
  </si>
  <si>
    <t>BRE040</t>
  </si>
  <si>
    <t>141.18.14</t>
  </si>
  <si>
    <t>1195/21</t>
  </si>
  <si>
    <t>BRE041</t>
  </si>
  <si>
    <t>141.14.53</t>
  </si>
  <si>
    <t>1190/21</t>
  </si>
  <si>
    <t>BRE042</t>
  </si>
  <si>
    <t>141.17.85</t>
  </si>
  <si>
    <t>82/2021/192/21</t>
  </si>
  <si>
    <t>BRE043/BRB103</t>
  </si>
  <si>
    <t>TRebol-Etimex</t>
  </si>
  <si>
    <t>1412780/1412713/1412714/1412192/1412193</t>
  </si>
  <si>
    <t>181758/181759</t>
  </si>
  <si>
    <t>83/2021</t>
  </si>
  <si>
    <t>BRE044</t>
  </si>
  <si>
    <t>141.29.73</t>
  </si>
  <si>
    <t>84/2021/198/21</t>
  </si>
  <si>
    <t>BRE045/BRB108</t>
  </si>
  <si>
    <t>1413181/1413183/1410446</t>
  </si>
  <si>
    <t>187129/187128</t>
  </si>
  <si>
    <t>1540/</t>
  </si>
  <si>
    <t>BRE046</t>
  </si>
  <si>
    <t>141.14.54</t>
  </si>
  <si>
    <t>85/21</t>
  </si>
  <si>
    <t>BRE047</t>
  </si>
  <si>
    <t>141.37.34</t>
  </si>
  <si>
    <t>86/21</t>
  </si>
  <si>
    <t>BRE048</t>
  </si>
  <si>
    <t>141.44.06</t>
  </si>
  <si>
    <t>1689/21</t>
  </si>
  <si>
    <t>BRE049</t>
  </si>
  <si>
    <t xml:space="preserve">141.37.54 </t>
  </si>
  <si>
    <t>1690/21</t>
  </si>
  <si>
    <t>BRE050</t>
  </si>
  <si>
    <t>chuy</t>
  </si>
  <si>
    <t>141.37.33</t>
  </si>
  <si>
    <t>87/21</t>
  </si>
  <si>
    <t>BRE051</t>
  </si>
  <si>
    <t>141.44.58/1414459/1414461/1414460/1413861</t>
  </si>
  <si>
    <t>2072/</t>
  </si>
  <si>
    <t>BRE052</t>
  </si>
  <si>
    <t>141.14.55</t>
  </si>
  <si>
    <t>089/2021</t>
  </si>
  <si>
    <t>BRE053</t>
  </si>
  <si>
    <t>141.56.34/1415633/1415655/14159/0</t>
  </si>
  <si>
    <t>090/2021</t>
  </si>
  <si>
    <t>141.61.29</t>
  </si>
  <si>
    <t>193/22</t>
  </si>
  <si>
    <t>143.60.38</t>
  </si>
  <si>
    <t>199/22</t>
  </si>
  <si>
    <t>203/22</t>
  </si>
  <si>
    <t>143.67.63</t>
  </si>
  <si>
    <t>204/22</t>
  </si>
  <si>
    <t>302/22</t>
  </si>
  <si>
    <t>143.76.10</t>
  </si>
  <si>
    <t>301/22</t>
  </si>
  <si>
    <t>001/22</t>
  </si>
  <si>
    <t>141.96.39</t>
  </si>
  <si>
    <t>003/22</t>
  </si>
  <si>
    <t>141.99.45</t>
  </si>
  <si>
    <t>004/22</t>
  </si>
  <si>
    <t>141.99.46</t>
  </si>
  <si>
    <t>005/22</t>
  </si>
  <si>
    <t>141.99.47</t>
  </si>
  <si>
    <t>006/22</t>
  </si>
  <si>
    <t>141.99.48</t>
  </si>
  <si>
    <t>009/22</t>
  </si>
  <si>
    <t>142.04.55</t>
  </si>
  <si>
    <t>010/22</t>
  </si>
  <si>
    <t>142.04.57</t>
  </si>
  <si>
    <t>011/22</t>
  </si>
  <si>
    <t>142.04.56</t>
  </si>
  <si>
    <t>013/22</t>
  </si>
  <si>
    <t>142.06.36</t>
  </si>
  <si>
    <t>014/22</t>
  </si>
  <si>
    <t>Dallog</t>
  </si>
  <si>
    <t>142.06.37</t>
  </si>
  <si>
    <t>026/22</t>
  </si>
  <si>
    <t>142.19.79</t>
  </si>
  <si>
    <t>028/22</t>
  </si>
  <si>
    <t>142.21.70</t>
  </si>
  <si>
    <t>029/22</t>
  </si>
  <si>
    <t>142.21.72</t>
  </si>
  <si>
    <t>030/22</t>
  </si>
  <si>
    <t>142.21.73</t>
  </si>
  <si>
    <t>034/22</t>
  </si>
  <si>
    <t>142.31.66</t>
  </si>
  <si>
    <t>035/22</t>
  </si>
  <si>
    <t>142.34.95</t>
  </si>
  <si>
    <t>037/22</t>
  </si>
  <si>
    <t>142.34.96</t>
  </si>
  <si>
    <t>038/22</t>
  </si>
  <si>
    <t>142.34.97</t>
  </si>
  <si>
    <t>042/22</t>
  </si>
  <si>
    <t>142.41.38</t>
  </si>
  <si>
    <t>043/22</t>
  </si>
  <si>
    <t>142.41.39</t>
  </si>
  <si>
    <t>044/22</t>
  </si>
  <si>
    <t>142.41.40</t>
  </si>
  <si>
    <t>045/22</t>
  </si>
  <si>
    <t>142.46.80</t>
  </si>
  <si>
    <t>049/22</t>
  </si>
  <si>
    <t>142.53.39</t>
  </si>
  <si>
    <t>051/22</t>
  </si>
  <si>
    <t>142.59.47</t>
  </si>
  <si>
    <t>052/22</t>
  </si>
  <si>
    <t>142.59.48</t>
  </si>
  <si>
    <t>053/22</t>
  </si>
  <si>
    <t>142.59.51</t>
  </si>
  <si>
    <t>056/22</t>
  </si>
  <si>
    <t>142.66.35</t>
  </si>
  <si>
    <t>058/22</t>
  </si>
  <si>
    <t>142.70.92</t>
  </si>
  <si>
    <t>060/22</t>
  </si>
  <si>
    <t>142.75.70</t>
  </si>
  <si>
    <t>061/22</t>
  </si>
  <si>
    <t>142.75.71</t>
  </si>
  <si>
    <t>062/22</t>
  </si>
  <si>
    <t>142.75.73</t>
  </si>
  <si>
    <t>068/22</t>
  </si>
  <si>
    <t>142.85.05</t>
  </si>
  <si>
    <t>069/22</t>
  </si>
  <si>
    <t>142.85.06</t>
  </si>
  <si>
    <t>073/22</t>
  </si>
  <si>
    <t>142.93.65</t>
  </si>
  <si>
    <t>074/22</t>
  </si>
  <si>
    <t>142.99.76</t>
  </si>
  <si>
    <t>376//</t>
  </si>
  <si>
    <t>143.85.18</t>
  </si>
  <si>
    <t>455/</t>
  </si>
  <si>
    <t>2935/</t>
  </si>
  <si>
    <t>144.99.42</t>
  </si>
  <si>
    <t>077/22</t>
  </si>
  <si>
    <t>143.07.22</t>
  </si>
  <si>
    <t>143.88.61</t>
  </si>
  <si>
    <t>628/</t>
  </si>
  <si>
    <t>143.98.26</t>
  </si>
  <si>
    <t>237/21</t>
  </si>
  <si>
    <t>BRB126</t>
  </si>
  <si>
    <t>141.78.04</t>
  </si>
  <si>
    <t>243/21</t>
  </si>
  <si>
    <t>BRB127</t>
  </si>
  <si>
    <t>141.81.57</t>
  </si>
  <si>
    <t>244/21</t>
  </si>
  <si>
    <t>BRB128</t>
  </si>
  <si>
    <t>141.84.05</t>
  </si>
  <si>
    <t>245/21</t>
  </si>
  <si>
    <t>BRB129</t>
  </si>
  <si>
    <t>141.84.06</t>
  </si>
  <si>
    <t>249/21</t>
  </si>
  <si>
    <t>BRB130</t>
  </si>
  <si>
    <t>141.87.27</t>
  </si>
  <si>
    <t>250/21</t>
  </si>
  <si>
    <t>BRB131</t>
  </si>
  <si>
    <t>141.87.28</t>
  </si>
  <si>
    <t>256/21</t>
  </si>
  <si>
    <t>BRB132</t>
  </si>
  <si>
    <t>141.96.38</t>
  </si>
  <si>
    <t>596/</t>
  </si>
  <si>
    <t>762/</t>
  </si>
  <si>
    <t>144.04.39</t>
  </si>
  <si>
    <t>774/</t>
  </si>
  <si>
    <t>079/22</t>
  </si>
  <si>
    <t>143.12.48</t>
  </si>
  <si>
    <t>084/22</t>
  </si>
  <si>
    <t>143.20.76</t>
  </si>
  <si>
    <t>919/</t>
  </si>
  <si>
    <t>144.11.37</t>
  </si>
  <si>
    <t>017/22</t>
  </si>
  <si>
    <t>142.09.48</t>
  </si>
  <si>
    <t>018/22</t>
  </si>
  <si>
    <t>142.09.59</t>
  </si>
  <si>
    <t>019/22</t>
  </si>
  <si>
    <t>142.09.60</t>
  </si>
  <si>
    <t>089/22</t>
  </si>
  <si>
    <t>143.29.04</t>
  </si>
  <si>
    <t>091/22</t>
  </si>
  <si>
    <t>143.32.68</t>
  </si>
  <si>
    <t>093/22</t>
  </si>
  <si>
    <t>143.38.61</t>
  </si>
  <si>
    <t>088/22</t>
  </si>
  <si>
    <t>143,23,53</t>
  </si>
  <si>
    <t>096/22</t>
  </si>
  <si>
    <t>143,44,33</t>
  </si>
  <si>
    <t>098/22</t>
  </si>
  <si>
    <t>BRB051</t>
  </si>
  <si>
    <t>143.48.43</t>
  </si>
  <si>
    <t>101/22</t>
  </si>
  <si>
    <t>143.59.45</t>
  </si>
  <si>
    <t>110/22</t>
  </si>
  <si>
    <t>143.59.48</t>
  </si>
  <si>
    <t>119/22</t>
  </si>
  <si>
    <t>143.71.95</t>
  </si>
  <si>
    <t>125/22</t>
  </si>
  <si>
    <t>BRB055</t>
  </si>
  <si>
    <t>143.80.12</t>
  </si>
  <si>
    <t>021/22</t>
  </si>
  <si>
    <t>142.13.64</t>
  </si>
  <si>
    <t>022/22</t>
  </si>
  <si>
    <t>142.13.65</t>
  </si>
  <si>
    <t>1064/22</t>
  </si>
  <si>
    <t>1069/</t>
  </si>
  <si>
    <t>144.19.95</t>
  </si>
  <si>
    <t>1211/</t>
  </si>
  <si>
    <t>144.27.44</t>
  </si>
  <si>
    <t>1212/</t>
  </si>
  <si>
    <t>1357/</t>
  </si>
  <si>
    <t>144.31.83</t>
  </si>
  <si>
    <t>1359/</t>
  </si>
  <si>
    <t>1494/</t>
  </si>
  <si>
    <t>144.43.49</t>
  </si>
  <si>
    <t>1496/</t>
  </si>
  <si>
    <t>1630//</t>
  </si>
  <si>
    <t>144.49.70</t>
  </si>
  <si>
    <t>1763/</t>
  </si>
  <si>
    <t>144,54,83</t>
  </si>
  <si>
    <t>1878/</t>
  </si>
  <si>
    <t>144.62.77</t>
  </si>
  <si>
    <t>1879/</t>
  </si>
  <si>
    <t>2015/</t>
  </si>
  <si>
    <t>144.68.82</t>
  </si>
  <si>
    <t>2017/</t>
  </si>
  <si>
    <t>2183/</t>
  </si>
  <si>
    <t>144.73.10</t>
  </si>
  <si>
    <t>2185/</t>
  </si>
  <si>
    <t>2186/</t>
  </si>
  <si>
    <t>2324/</t>
  </si>
  <si>
    <t>144,78,76</t>
  </si>
  <si>
    <t>1363/</t>
  </si>
  <si>
    <t>BRE055</t>
  </si>
  <si>
    <t>Franco</t>
  </si>
  <si>
    <t>092/2021</t>
  </si>
  <si>
    <t>BRE056</t>
  </si>
  <si>
    <t>1416628/1416626/1416629/1416632/1416631/1416630/1416627</t>
  </si>
  <si>
    <t>093/2021</t>
  </si>
  <si>
    <t>BRE057</t>
  </si>
  <si>
    <t>3123/21</t>
  </si>
  <si>
    <t>BRE058</t>
  </si>
  <si>
    <t>095/2021</t>
  </si>
  <si>
    <t>BRE059</t>
  </si>
  <si>
    <t>1412990/1219288/1419291/1419292</t>
  </si>
  <si>
    <t>2327/</t>
  </si>
  <si>
    <t>2453/</t>
  </si>
  <si>
    <t>2563/</t>
  </si>
  <si>
    <t>144.83.37</t>
  </si>
  <si>
    <t>2455/</t>
  </si>
  <si>
    <t>128/22</t>
  </si>
  <si>
    <t>143,89,40</t>
  </si>
  <si>
    <t>137/22</t>
  </si>
  <si>
    <t>144.05.68</t>
  </si>
  <si>
    <t>141/22</t>
  </si>
  <si>
    <t>144.13.46</t>
  </si>
  <si>
    <t>2456/</t>
  </si>
  <si>
    <t>2587/</t>
  </si>
  <si>
    <t>144.89.18</t>
  </si>
  <si>
    <t>2565/</t>
  </si>
  <si>
    <t>2568/</t>
  </si>
  <si>
    <t>2665/</t>
  </si>
  <si>
    <t>144.89.19</t>
  </si>
  <si>
    <t>2729/</t>
  </si>
  <si>
    <t>697/</t>
  </si>
  <si>
    <t>PYB001</t>
  </si>
  <si>
    <t>Ectotierra</t>
  </si>
  <si>
    <t>Salto</t>
  </si>
  <si>
    <t>Alto Paraguay</t>
  </si>
  <si>
    <t>139.15.54</t>
  </si>
  <si>
    <t>700/</t>
  </si>
  <si>
    <t>PYB002</t>
  </si>
  <si>
    <t>139.19.09</t>
  </si>
  <si>
    <t>701/</t>
  </si>
  <si>
    <t>PYB003</t>
  </si>
  <si>
    <t>139.27.30</t>
  </si>
  <si>
    <t>702/</t>
  </si>
  <si>
    <t>PYB004</t>
  </si>
  <si>
    <t>139.30.00</t>
  </si>
  <si>
    <t>703/</t>
  </si>
  <si>
    <t>PYB005</t>
  </si>
  <si>
    <t>139.30.02</t>
  </si>
  <si>
    <t>705/</t>
  </si>
  <si>
    <t>PYB006</t>
  </si>
  <si>
    <t>139.30.03</t>
  </si>
  <si>
    <t>706/</t>
  </si>
  <si>
    <t>PYB007</t>
  </si>
  <si>
    <t>139.44.95</t>
  </si>
  <si>
    <t>708/</t>
  </si>
  <si>
    <t>PYB008</t>
  </si>
  <si>
    <t>710/</t>
  </si>
  <si>
    <t>PYB009</t>
  </si>
  <si>
    <t>139.56.47</t>
  </si>
  <si>
    <t>713/</t>
  </si>
  <si>
    <t>PYB010</t>
  </si>
  <si>
    <t>139.61.24</t>
  </si>
  <si>
    <t>717/</t>
  </si>
  <si>
    <t>PYB011</t>
  </si>
  <si>
    <t>139.66.03</t>
  </si>
  <si>
    <t>721/</t>
  </si>
  <si>
    <t>PYB012</t>
  </si>
  <si>
    <t>139.74.31</t>
  </si>
  <si>
    <t>724/</t>
  </si>
  <si>
    <t>PYB013</t>
  </si>
  <si>
    <t>139.79.31</t>
  </si>
  <si>
    <t>727/</t>
  </si>
  <si>
    <t>PYB014</t>
  </si>
  <si>
    <t>139.84.60</t>
  </si>
  <si>
    <t>730/</t>
  </si>
  <si>
    <t>PYB015</t>
  </si>
  <si>
    <t>139.90.41</t>
  </si>
  <si>
    <t>733/</t>
  </si>
  <si>
    <t>PYB016</t>
  </si>
  <si>
    <t>139.96.10</t>
  </si>
  <si>
    <t>736/</t>
  </si>
  <si>
    <t>PYB017</t>
  </si>
  <si>
    <t>140.01.67</t>
  </si>
  <si>
    <t>739/</t>
  </si>
  <si>
    <t>PYB018</t>
  </si>
  <si>
    <t>140.08.72</t>
  </si>
  <si>
    <t>744/</t>
  </si>
  <si>
    <t>PYB019</t>
  </si>
  <si>
    <t>140.19.54</t>
  </si>
  <si>
    <t>805/</t>
  </si>
  <si>
    <t>PYB020</t>
  </si>
  <si>
    <t>140.46.52</t>
  </si>
  <si>
    <t>807//</t>
  </si>
  <si>
    <t>PYB021</t>
  </si>
  <si>
    <t>140.50.35</t>
  </si>
  <si>
    <t>812/</t>
  </si>
  <si>
    <t>PYB022</t>
  </si>
  <si>
    <t>140.56.62</t>
  </si>
  <si>
    <t>813/</t>
  </si>
  <si>
    <t>PYB023</t>
  </si>
  <si>
    <t>817/</t>
  </si>
  <si>
    <t>PYB024</t>
  </si>
  <si>
    <t>140.68.95</t>
  </si>
  <si>
    <t>819/</t>
  </si>
  <si>
    <t>PYB025</t>
  </si>
  <si>
    <t>140.77.22</t>
  </si>
  <si>
    <t>828/</t>
  </si>
  <si>
    <t>PYB026</t>
  </si>
  <si>
    <t>140.98.06</t>
  </si>
  <si>
    <t>829/</t>
  </si>
  <si>
    <t>PYB027</t>
  </si>
  <si>
    <t>1409805/1409492</t>
  </si>
  <si>
    <t>833/</t>
  </si>
  <si>
    <t>PYB028</t>
  </si>
  <si>
    <t>141.05.97</t>
  </si>
  <si>
    <t>834/</t>
  </si>
  <si>
    <t>PYB029</t>
  </si>
  <si>
    <t>141.05.98/1410628</t>
  </si>
  <si>
    <t>836/</t>
  </si>
  <si>
    <t>PYB030</t>
  </si>
  <si>
    <t>141.09.75</t>
  </si>
  <si>
    <t>838/</t>
  </si>
  <si>
    <t>PYB031</t>
  </si>
  <si>
    <t>141.09.76</t>
  </si>
  <si>
    <t>842/</t>
  </si>
  <si>
    <t>PYB032</t>
  </si>
  <si>
    <t>141.26.88</t>
  </si>
  <si>
    <t>843/</t>
  </si>
  <si>
    <t>PYB033</t>
  </si>
  <si>
    <t>1412690/1410973</t>
  </si>
  <si>
    <t>845/</t>
  </si>
  <si>
    <t>PYB034</t>
  </si>
  <si>
    <t>141.32.96</t>
  </si>
  <si>
    <t>847/</t>
  </si>
  <si>
    <t>PYB035</t>
  </si>
  <si>
    <t>141.39.85</t>
  </si>
  <si>
    <t>850/</t>
  </si>
  <si>
    <t>PYB036</t>
  </si>
  <si>
    <t>141.47.33</t>
  </si>
  <si>
    <t>1690/22</t>
  </si>
  <si>
    <t>143.48.68</t>
  </si>
  <si>
    <t>3594/</t>
  </si>
  <si>
    <t>145.43.31</t>
  </si>
  <si>
    <t>001/2022-002/22</t>
  </si>
  <si>
    <t>BRE001-BRB002</t>
  </si>
  <si>
    <t>TRB-Etimex</t>
  </si>
  <si>
    <t>141.95.94-1419595-1419949</t>
  </si>
  <si>
    <t>2658/2656</t>
  </si>
  <si>
    <t>3670/</t>
  </si>
  <si>
    <t>145,49,35</t>
  </si>
  <si>
    <t>002/2022</t>
  </si>
  <si>
    <t xml:space="preserve">BRE002 </t>
  </si>
  <si>
    <t xml:space="preserve">TRB </t>
  </si>
  <si>
    <t>1419905-1419906-1419940-1419909</t>
  </si>
  <si>
    <t>003/2022</t>
  </si>
  <si>
    <t>3671/</t>
  </si>
  <si>
    <t>3543/</t>
  </si>
  <si>
    <t>3728/</t>
  </si>
  <si>
    <t>145,57,05</t>
  </si>
  <si>
    <t>004/2022</t>
  </si>
  <si>
    <t>1420325/1420323/1420327/1420328/1420322/1400326</t>
  </si>
  <si>
    <t>3834/</t>
  </si>
  <si>
    <t>145.62.83</t>
  </si>
  <si>
    <t>005/2022</t>
  </si>
  <si>
    <t>1420639/1420642/1420641/1420644</t>
  </si>
  <si>
    <t>3835/</t>
  </si>
  <si>
    <t>145.71.24</t>
  </si>
  <si>
    <t>1848/22</t>
  </si>
  <si>
    <t>006/2022</t>
  </si>
  <si>
    <t>BRE007</t>
  </si>
  <si>
    <t>1421597/1421598/1421600/1421599</t>
  </si>
  <si>
    <t>3916/</t>
  </si>
  <si>
    <t>145,82,36</t>
  </si>
  <si>
    <t>007/2022</t>
  </si>
  <si>
    <t>1422271/1422272/1422274/1422273/1422380</t>
  </si>
  <si>
    <t>2203578/23</t>
  </si>
  <si>
    <t>145.33.11</t>
  </si>
  <si>
    <t>4018/23</t>
  </si>
  <si>
    <t>BRE027</t>
  </si>
  <si>
    <t>145,97,92</t>
  </si>
  <si>
    <t>22004098 / 2023</t>
  </si>
  <si>
    <t>227/23</t>
  </si>
  <si>
    <t>008/2022</t>
  </si>
  <si>
    <t>142.27.28</t>
  </si>
  <si>
    <t>UR013/23</t>
  </si>
  <si>
    <t>BRS008</t>
  </si>
  <si>
    <t>Agrobianvirc</t>
  </si>
  <si>
    <t>009/2022</t>
  </si>
  <si>
    <t>1422865/1422868/14228/67/1422866/1422730</t>
  </si>
  <si>
    <t>UR007/23</t>
  </si>
  <si>
    <t>Agrovianbirc</t>
  </si>
  <si>
    <t>1450197/1450199/1450200/1450208</t>
  </si>
  <si>
    <t>UR010/23</t>
  </si>
  <si>
    <t>1451290/1451292/1451289/1451291/1448974</t>
  </si>
  <si>
    <t>UR006/23</t>
  </si>
  <si>
    <t>BRS004</t>
  </si>
  <si>
    <t>145.02.30</t>
  </si>
  <si>
    <t>UR008/23</t>
  </si>
  <si>
    <t>BRS005</t>
  </si>
  <si>
    <t>145,10,52</t>
  </si>
  <si>
    <t>UR009/23</t>
  </si>
  <si>
    <t>BRS006</t>
  </si>
  <si>
    <t>145,02,33</t>
  </si>
  <si>
    <t>UR001/23</t>
  </si>
  <si>
    <t>1449441/1449440/1449442</t>
  </si>
  <si>
    <t>UR003/23</t>
  </si>
  <si>
    <t>1449778/1449779/1449780</t>
  </si>
  <si>
    <t>UR002/23</t>
  </si>
  <si>
    <t>BRS001</t>
  </si>
  <si>
    <t>144.94.47</t>
  </si>
  <si>
    <t>UR011/23</t>
  </si>
  <si>
    <t>BRS007</t>
  </si>
  <si>
    <t>145,17,76</t>
  </si>
  <si>
    <t>UR004/23</t>
  </si>
  <si>
    <t>BRS002</t>
  </si>
  <si>
    <t>145.02.46</t>
  </si>
  <si>
    <t>UR005/23</t>
  </si>
  <si>
    <t>BRS003</t>
  </si>
  <si>
    <t>145.02.47</t>
  </si>
  <si>
    <t>001/23</t>
  </si>
  <si>
    <t>Benini</t>
  </si>
  <si>
    <t>1459089/1459086/1459088/1459087</t>
  </si>
  <si>
    <t>002//23</t>
  </si>
  <si>
    <t>BRE029</t>
  </si>
  <si>
    <t>1460805/1460803/1460802</t>
  </si>
  <si>
    <t>010/2022</t>
  </si>
  <si>
    <t>142.27.29</t>
  </si>
  <si>
    <t>142/22</t>
  </si>
  <si>
    <t>144.13.47</t>
  </si>
  <si>
    <t>156/22</t>
  </si>
  <si>
    <t>144.29.57</t>
  </si>
  <si>
    <t>158/22</t>
  </si>
  <si>
    <t>144.35.40</t>
  </si>
  <si>
    <t>003/23</t>
  </si>
  <si>
    <t>BRE031</t>
  </si>
  <si>
    <t>011/2022</t>
  </si>
  <si>
    <t>1423086/1423089/1423091/1423093/1423034/1423082</t>
  </si>
  <si>
    <t>012/2022</t>
  </si>
  <si>
    <t>1424288/1424290/1424291/1424289/1424352</t>
  </si>
  <si>
    <t>13/2022</t>
  </si>
  <si>
    <t>1424978/1424980/1424979/1424353</t>
  </si>
  <si>
    <t>014/2022-055/22</t>
  </si>
  <si>
    <t>BRE015-BRB033</t>
  </si>
  <si>
    <t>TRB-ETIMEX</t>
  </si>
  <si>
    <t>015/22</t>
  </si>
  <si>
    <t>1426974/1426975/1426976/1426978</t>
  </si>
  <si>
    <t>016/22</t>
  </si>
  <si>
    <t>BRE017</t>
  </si>
  <si>
    <t>017//22</t>
  </si>
  <si>
    <t>BRE018</t>
  </si>
  <si>
    <t>-018/22</t>
  </si>
  <si>
    <t>BRE019</t>
  </si>
  <si>
    <t>1429688/1429687/1429685/1429677/1429684/1429686</t>
  </si>
  <si>
    <t>2117/22</t>
  </si>
  <si>
    <t>144.17.23</t>
  </si>
  <si>
    <t>TRB 019/22</t>
  </si>
  <si>
    <t>1431361/1431362/1431363/1431364</t>
  </si>
  <si>
    <t>TRB 020/22</t>
  </si>
  <si>
    <t>1432456/1432455/142457/1432457/1432459</t>
  </si>
  <si>
    <t>TRB 021/22</t>
  </si>
  <si>
    <t>1433088/1433090/1433264/1433089/1432889</t>
  </si>
  <si>
    <t>102/</t>
  </si>
  <si>
    <t>BRE023</t>
  </si>
  <si>
    <t>1432970/1432971</t>
  </si>
  <si>
    <t>101/</t>
  </si>
  <si>
    <t>143.29.69</t>
  </si>
  <si>
    <t>TRB 023/22</t>
  </si>
  <si>
    <t>1434693/1434697/1434694/1434696/1434535</t>
  </si>
  <si>
    <t>173/</t>
  </si>
  <si>
    <t>143.50.60</t>
  </si>
  <si>
    <t>TRB 025/22</t>
  </si>
  <si>
    <t>1435955/1435957/1435956/1435958</t>
  </si>
  <si>
    <t>UR013</t>
  </si>
  <si>
    <t>143.72.67/143.72.68/143.72.69/143.72.70</t>
  </si>
  <si>
    <t>UR014</t>
  </si>
  <si>
    <t>BRE030</t>
  </si>
  <si>
    <t>TRB 031/22</t>
  </si>
  <si>
    <t>1439158/1439511</t>
  </si>
  <si>
    <t>474/22</t>
  </si>
  <si>
    <t>143.85.16</t>
  </si>
  <si>
    <t>UR016</t>
  </si>
  <si>
    <t>BRE034</t>
  </si>
  <si>
    <t>171/22</t>
  </si>
  <si>
    <t>144.58.37</t>
  </si>
  <si>
    <t>768/</t>
  </si>
  <si>
    <t>143.98.31</t>
  </si>
  <si>
    <t>773/</t>
  </si>
  <si>
    <t>148.98.54</t>
  </si>
  <si>
    <t>TRB 037/22</t>
  </si>
  <si>
    <t>1445116/1441518/1441517/1441515</t>
  </si>
  <si>
    <t>1210/22</t>
  </si>
  <si>
    <t>144.21.06/07</t>
  </si>
  <si>
    <t>UR022</t>
  </si>
  <si>
    <t>1442370/1442371/1442372/1442377/1442378</t>
  </si>
  <si>
    <t>1356//</t>
  </si>
  <si>
    <t>144.30.64</t>
  </si>
  <si>
    <t>175/22</t>
  </si>
  <si>
    <t>144.73.31</t>
  </si>
  <si>
    <t>UR023</t>
  </si>
  <si>
    <t>144,33,69/144.23.78/144.32.24</t>
  </si>
  <si>
    <t>UR026</t>
  </si>
  <si>
    <t>BRE043</t>
  </si>
  <si>
    <t>1444255/1444253/1444256/1444254</t>
  </si>
  <si>
    <t>UR028</t>
  </si>
  <si>
    <t>1445264/1446263/1445265</t>
  </si>
  <si>
    <t>UR029</t>
  </si>
  <si>
    <t>BRE045</t>
  </si>
  <si>
    <t>005//23</t>
  </si>
  <si>
    <t>1463357/1463354/1463355</t>
  </si>
  <si>
    <t>007//23</t>
  </si>
  <si>
    <t>146,77,03/146,77,05/146,77,04/146,58,69</t>
  </si>
  <si>
    <t>008//23</t>
  </si>
  <si>
    <t>1469691/1467706</t>
  </si>
  <si>
    <t>178/22</t>
  </si>
  <si>
    <t>144,83,36</t>
  </si>
  <si>
    <t>009/23</t>
  </si>
  <si>
    <t>147,10,86</t>
  </si>
  <si>
    <t>10/23</t>
  </si>
  <si>
    <t>1759/</t>
  </si>
  <si>
    <t>144.47.89</t>
  </si>
  <si>
    <t>TRB 041/22</t>
  </si>
  <si>
    <t>144.58.21</t>
  </si>
  <si>
    <t>UR031</t>
  </si>
  <si>
    <t>1446300/1446299/1446303/1446298</t>
  </si>
  <si>
    <t>TRB043/22</t>
  </si>
  <si>
    <t>1447115/1447293</t>
  </si>
  <si>
    <t>2427/22</t>
  </si>
  <si>
    <t>TRB046/22</t>
  </si>
  <si>
    <t>144,73,24</t>
  </si>
  <si>
    <t>UR035</t>
  </si>
  <si>
    <t>1445081-1445082-1445083</t>
  </si>
  <si>
    <t>TRB048/22</t>
  </si>
  <si>
    <t>1447323/1448095</t>
  </si>
  <si>
    <t xml:space="preserve">UR037 </t>
  </si>
  <si>
    <t>144.91.69</t>
  </si>
  <si>
    <t>860/</t>
  </si>
  <si>
    <t>Ecotierra</t>
  </si>
  <si>
    <t>141.99.90</t>
  </si>
  <si>
    <t>2667/</t>
  </si>
  <si>
    <t>144.86.74</t>
  </si>
  <si>
    <t>914/</t>
  </si>
  <si>
    <t>Ecotierra srl</t>
  </si>
  <si>
    <t>143.89.72</t>
  </si>
  <si>
    <t>916/</t>
  </si>
  <si>
    <t>143.96.77</t>
  </si>
  <si>
    <t>921/</t>
  </si>
  <si>
    <t>144.04.15</t>
  </si>
  <si>
    <t>922/</t>
  </si>
  <si>
    <t>144.04.16</t>
  </si>
  <si>
    <t>924/</t>
  </si>
  <si>
    <t>144.10.20</t>
  </si>
  <si>
    <t>UR001</t>
  </si>
  <si>
    <t>Marvel</t>
  </si>
  <si>
    <t>1422504/1422503</t>
  </si>
  <si>
    <t>011/23</t>
  </si>
  <si>
    <t>UR002</t>
  </si>
  <si>
    <t>142.54.09</t>
  </si>
  <si>
    <t>012//23</t>
  </si>
  <si>
    <t>147.26.67</t>
  </si>
  <si>
    <t>URU003</t>
  </si>
  <si>
    <t>013/23</t>
  </si>
  <si>
    <t>UR004</t>
  </si>
  <si>
    <t>142.78.48</t>
  </si>
  <si>
    <t>014/23</t>
  </si>
  <si>
    <t>147,42,44</t>
  </si>
  <si>
    <t>015/23</t>
  </si>
  <si>
    <t>1474350/1474353/1474351/1474355</t>
  </si>
  <si>
    <t>016/23</t>
  </si>
  <si>
    <t>UR005</t>
  </si>
  <si>
    <t>142.92.75</t>
  </si>
  <si>
    <t>017/23</t>
  </si>
  <si>
    <t>1478033/1478034/1478032</t>
  </si>
  <si>
    <t>930/</t>
  </si>
  <si>
    <t>144.21.82</t>
  </si>
  <si>
    <t>933/</t>
  </si>
  <si>
    <t>144.41.32</t>
  </si>
  <si>
    <t>935/</t>
  </si>
  <si>
    <t>144.36.91</t>
  </si>
  <si>
    <t>938/</t>
  </si>
  <si>
    <t>JC Transporte</t>
  </si>
  <si>
    <t>144.43.98</t>
  </si>
  <si>
    <t>939/</t>
  </si>
  <si>
    <t>Uniòn Sur</t>
  </si>
  <si>
    <t>144.44.00</t>
  </si>
  <si>
    <t>940/</t>
  </si>
  <si>
    <t>144.43.99</t>
  </si>
  <si>
    <t>UR006</t>
  </si>
  <si>
    <t>143.16.12</t>
  </si>
  <si>
    <t>018//23</t>
  </si>
  <si>
    <t>019//23</t>
  </si>
  <si>
    <t>BRE060</t>
  </si>
  <si>
    <t>1480774/1480771/1480769/1480767</t>
  </si>
  <si>
    <t>UR007</t>
  </si>
  <si>
    <t>143.29.40</t>
  </si>
  <si>
    <t>004//23</t>
  </si>
  <si>
    <t>BRN001</t>
  </si>
  <si>
    <t>146.27.29</t>
  </si>
  <si>
    <t>AL01/2023</t>
  </si>
  <si>
    <t>Brok</t>
  </si>
  <si>
    <t>147.23.01</t>
  </si>
  <si>
    <t>AL02/2023</t>
  </si>
  <si>
    <t>147,35,82</t>
  </si>
  <si>
    <t>AL03/2023</t>
  </si>
  <si>
    <t>147.44.65</t>
  </si>
  <si>
    <t>AL04/2023</t>
  </si>
  <si>
    <t>AL05/2023</t>
  </si>
  <si>
    <t>147.52.15</t>
  </si>
  <si>
    <t>AL06/2023</t>
  </si>
  <si>
    <t>AL07/2023</t>
  </si>
  <si>
    <t>147.60.49</t>
  </si>
  <si>
    <t>AL08/2023</t>
  </si>
  <si>
    <t>AL09/2023</t>
  </si>
  <si>
    <t>147,64,27</t>
  </si>
  <si>
    <t>AL10/2023</t>
  </si>
  <si>
    <t>UR008</t>
  </si>
  <si>
    <t>143.42.76</t>
  </si>
  <si>
    <t>UR009</t>
  </si>
  <si>
    <t>BRS009</t>
  </si>
  <si>
    <t>143,52,55</t>
  </si>
  <si>
    <t>AL11/2023</t>
  </si>
  <si>
    <t>UR010</t>
  </si>
  <si>
    <t>BRS010</t>
  </si>
  <si>
    <t>143.61.23</t>
  </si>
  <si>
    <t>UR011</t>
  </si>
  <si>
    <t>BRS011</t>
  </si>
  <si>
    <t>143.68.47</t>
  </si>
  <si>
    <t>UR012</t>
  </si>
  <si>
    <t>BRS012</t>
  </si>
  <si>
    <t>143.74.84</t>
  </si>
  <si>
    <t>UR015</t>
  </si>
  <si>
    <t>BRS013</t>
  </si>
  <si>
    <t>143.92.61</t>
  </si>
  <si>
    <t>UR017</t>
  </si>
  <si>
    <t>BRS014</t>
  </si>
  <si>
    <t>144.13.33</t>
  </si>
  <si>
    <t>UR018</t>
  </si>
  <si>
    <t>BRS015</t>
  </si>
  <si>
    <t>144.15.68</t>
  </si>
  <si>
    <t>UR019</t>
  </si>
  <si>
    <t>BRS016</t>
  </si>
  <si>
    <t>144.20.71</t>
  </si>
  <si>
    <t>UR020</t>
  </si>
  <si>
    <t>BRS017</t>
  </si>
  <si>
    <t>144,27,45</t>
  </si>
  <si>
    <t>UR021</t>
  </si>
  <si>
    <t>BRS018</t>
  </si>
  <si>
    <t>144,27,46</t>
  </si>
  <si>
    <t>UR024</t>
  </si>
  <si>
    <t>BRS019</t>
  </si>
  <si>
    <t>144.35.21</t>
  </si>
  <si>
    <t>UR025</t>
  </si>
  <si>
    <t>BRS020</t>
  </si>
  <si>
    <t>Kaipper</t>
  </si>
  <si>
    <t>144.44.98</t>
  </si>
  <si>
    <t>941/</t>
  </si>
  <si>
    <t>144.50.92</t>
  </si>
  <si>
    <t>942/</t>
  </si>
  <si>
    <t>144.50.90</t>
  </si>
  <si>
    <t>943/</t>
  </si>
  <si>
    <t>144.50.88</t>
  </si>
  <si>
    <t>944/</t>
  </si>
  <si>
    <t>144.50.93</t>
  </si>
  <si>
    <t>946/</t>
  </si>
  <si>
    <t>144.57.12</t>
  </si>
  <si>
    <t>947/</t>
  </si>
  <si>
    <t>144.57.13</t>
  </si>
  <si>
    <t>948/</t>
  </si>
  <si>
    <t>144.57.14</t>
  </si>
  <si>
    <t>951/</t>
  </si>
  <si>
    <t>144.63.25</t>
  </si>
  <si>
    <t>952/</t>
  </si>
  <si>
    <t>144.63.26</t>
  </si>
  <si>
    <t>954/</t>
  </si>
  <si>
    <t>144.63.27</t>
  </si>
  <si>
    <t>956/</t>
  </si>
  <si>
    <t>144.70.62</t>
  </si>
  <si>
    <t>UR027</t>
  </si>
  <si>
    <t>BRS021</t>
  </si>
  <si>
    <t>144.52.62</t>
  </si>
  <si>
    <t>UR030</t>
  </si>
  <si>
    <t>BRS022</t>
  </si>
  <si>
    <t>144.67.23</t>
  </si>
  <si>
    <t>UR032</t>
  </si>
  <si>
    <t>BRS023</t>
  </si>
  <si>
    <t>144,72,62</t>
  </si>
  <si>
    <t>UR033</t>
  </si>
  <si>
    <t>BRS024</t>
  </si>
  <si>
    <t>144.72.64</t>
  </si>
  <si>
    <t>UR034</t>
  </si>
  <si>
    <t>BRS025</t>
  </si>
  <si>
    <t>144.76.03</t>
  </si>
  <si>
    <t>UR036</t>
  </si>
  <si>
    <t>BRS026</t>
  </si>
  <si>
    <t>144.88.65</t>
  </si>
  <si>
    <t>AL12/2023</t>
  </si>
  <si>
    <t>147.70.05</t>
  </si>
  <si>
    <t>AL13/2023</t>
  </si>
  <si>
    <t>AL14/2023</t>
  </si>
  <si>
    <t>AL015/2023</t>
  </si>
  <si>
    <t>AL016/2023</t>
  </si>
  <si>
    <t>AL017/2023</t>
  </si>
  <si>
    <t>147,85,58</t>
  </si>
  <si>
    <t>AL018/2023</t>
  </si>
  <si>
    <t>AL019/2023</t>
  </si>
  <si>
    <t>AL020/2023</t>
  </si>
  <si>
    <t>AL021/2023</t>
  </si>
  <si>
    <t>148,05,00</t>
  </si>
  <si>
    <t>AL022/2023</t>
  </si>
  <si>
    <t>AL023/2023</t>
  </si>
  <si>
    <t>147.98.61</t>
  </si>
  <si>
    <t>AL025/2023</t>
  </si>
  <si>
    <t>AL026/2023</t>
  </si>
  <si>
    <t>URGCAPP01/2023/URG002/2023</t>
  </si>
  <si>
    <t>Capellaro</t>
  </si>
  <si>
    <t>001.23/</t>
  </si>
  <si>
    <t>Dina</t>
  </si>
  <si>
    <t>146.56.91</t>
  </si>
  <si>
    <t>006/23</t>
  </si>
  <si>
    <t>1465647/1465645/1465646/1465648</t>
  </si>
  <si>
    <t>002/23ALM</t>
  </si>
  <si>
    <t>147,02,77</t>
  </si>
  <si>
    <t>003.23ALM</t>
  </si>
  <si>
    <t>004.23 ALM</t>
  </si>
  <si>
    <t>147,41,55</t>
  </si>
  <si>
    <t>973/</t>
  </si>
  <si>
    <t>144.91.74</t>
  </si>
  <si>
    <t>979/</t>
  </si>
  <si>
    <t>145.04.89</t>
  </si>
  <si>
    <t>983/</t>
  </si>
  <si>
    <t>145,12,05</t>
  </si>
  <si>
    <t>984/</t>
  </si>
  <si>
    <t>145,15,01</t>
  </si>
  <si>
    <t>300/</t>
  </si>
  <si>
    <t>145,22,03</t>
  </si>
  <si>
    <t>994/</t>
  </si>
  <si>
    <t>145.30.02</t>
  </si>
  <si>
    <t>996/</t>
  </si>
  <si>
    <t>1453822/1454197</t>
  </si>
  <si>
    <t>1000/</t>
  </si>
  <si>
    <t>145.54.34</t>
  </si>
  <si>
    <t>1003/</t>
  </si>
  <si>
    <t>145.63.15</t>
  </si>
  <si>
    <t>1009/</t>
  </si>
  <si>
    <t>145.78.73</t>
  </si>
  <si>
    <t>1019/</t>
  </si>
  <si>
    <t>1020/</t>
  </si>
  <si>
    <t>145.95.86</t>
  </si>
  <si>
    <t>1024/</t>
  </si>
  <si>
    <t>145.98.51</t>
  </si>
  <si>
    <t>1027/</t>
  </si>
  <si>
    <t>146.15.65</t>
  </si>
  <si>
    <t>1028/</t>
  </si>
  <si>
    <t>146.24.59</t>
  </si>
  <si>
    <t>1031/</t>
  </si>
  <si>
    <t>146.24.89</t>
  </si>
  <si>
    <t>1032/</t>
  </si>
  <si>
    <t>146.24.91</t>
  </si>
  <si>
    <t>1033/</t>
  </si>
  <si>
    <t>146.29.90</t>
  </si>
  <si>
    <t>1036/</t>
  </si>
  <si>
    <t>146,32,87</t>
  </si>
  <si>
    <t>1037/</t>
  </si>
  <si>
    <t>146,32,88</t>
  </si>
  <si>
    <t>1040/</t>
  </si>
  <si>
    <t>146,42,77</t>
  </si>
  <si>
    <t>1041/</t>
  </si>
  <si>
    <t>146,42,78</t>
  </si>
  <si>
    <t>1042/</t>
  </si>
  <si>
    <t>PYB037</t>
  </si>
  <si>
    <t>146,44,99</t>
  </si>
  <si>
    <t>1047/</t>
  </si>
  <si>
    <t>PYB038</t>
  </si>
  <si>
    <t>146,51,13</t>
  </si>
  <si>
    <t>1048/</t>
  </si>
  <si>
    <t>PYB039</t>
  </si>
  <si>
    <t>146,51,14</t>
  </si>
  <si>
    <t>1050/</t>
  </si>
  <si>
    <t>PYB040</t>
  </si>
  <si>
    <t>146.60.79</t>
  </si>
  <si>
    <t>1055/</t>
  </si>
  <si>
    <t>PYB041</t>
  </si>
  <si>
    <t>146.68.25</t>
  </si>
  <si>
    <t>1059/</t>
  </si>
  <si>
    <t>PYB042</t>
  </si>
  <si>
    <t>146,68,26</t>
  </si>
  <si>
    <t>1060/</t>
  </si>
  <si>
    <t>PYB043</t>
  </si>
  <si>
    <t>146,72,99</t>
  </si>
  <si>
    <t>1061/</t>
  </si>
  <si>
    <t>PYB044</t>
  </si>
  <si>
    <t>146.76.11</t>
  </si>
  <si>
    <t>1062/</t>
  </si>
  <si>
    <t>PYB045</t>
  </si>
  <si>
    <t>146,76,10</t>
  </si>
  <si>
    <t>1065/</t>
  </si>
  <si>
    <t>PYB046</t>
  </si>
  <si>
    <t>146,76,13</t>
  </si>
  <si>
    <t>1066/</t>
  </si>
  <si>
    <t>PYB047</t>
  </si>
  <si>
    <t>146.76.15</t>
  </si>
  <si>
    <t>1068/</t>
  </si>
  <si>
    <t>PYB048</t>
  </si>
  <si>
    <t>146,83,30</t>
  </si>
  <si>
    <t>1069//</t>
  </si>
  <si>
    <t>PYB049</t>
  </si>
  <si>
    <t>146.83.29</t>
  </si>
  <si>
    <t>BRB</t>
  </si>
  <si>
    <t>1070/</t>
  </si>
  <si>
    <t>PYB050</t>
  </si>
  <si>
    <t>146.83.31</t>
  </si>
  <si>
    <t>1071/</t>
  </si>
  <si>
    <t>PYB051</t>
  </si>
  <si>
    <t>146,83,33</t>
  </si>
  <si>
    <t>1073/</t>
  </si>
  <si>
    <t>PYB052</t>
  </si>
  <si>
    <t>146.94.11</t>
  </si>
  <si>
    <t>1074/</t>
  </si>
  <si>
    <t>PYB053</t>
  </si>
  <si>
    <t>146,94,10</t>
  </si>
  <si>
    <t>1076/</t>
  </si>
  <si>
    <t>PYB054</t>
  </si>
  <si>
    <t>146,94,23</t>
  </si>
  <si>
    <t>1077/</t>
  </si>
  <si>
    <t>PYB055</t>
  </si>
  <si>
    <t>146,94,19</t>
  </si>
  <si>
    <t>1078/</t>
  </si>
  <si>
    <t>PYB056</t>
  </si>
  <si>
    <t>147,03,33</t>
  </si>
  <si>
    <t>1079/</t>
  </si>
  <si>
    <t>PYB057</t>
  </si>
  <si>
    <t>147.03.34</t>
  </si>
  <si>
    <t>1081/</t>
  </si>
  <si>
    <t>PYB058</t>
  </si>
  <si>
    <t>1470338/14703371470336</t>
  </si>
  <si>
    <t>1082/</t>
  </si>
  <si>
    <t>PYB059</t>
  </si>
  <si>
    <t>1470335/</t>
  </si>
  <si>
    <t>1084/</t>
  </si>
  <si>
    <t>PYB060</t>
  </si>
  <si>
    <t>1470339/</t>
  </si>
  <si>
    <t>1085/</t>
  </si>
  <si>
    <t>PYB061</t>
  </si>
  <si>
    <t>1471106/1471111/</t>
  </si>
  <si>
    <t>1087/</t>
  </si>
  <si>
    <t>PYB062</t>
  </si>
  <si>
    <t>1471108/1471109</t>
  </si>
  <si>
    <t>1088/</t>
  </si>
  <si>
    <t>PYB063</t>
  </si>
  <si>
    <t>1471110/</t>
  </si>
  <si>
    <t>1090/</t>
  </si>
  <si>
    <t>PYB064</t>
  </si>
  <si>
    <t>147,15,90</t>
  </si>
  <si>
    <t>1091/</t>
  </si>
  <si>
    <t>PYB065</t>
  </si>
  <si>
    <t>147,15,92</t>
  </si>
  <si>
    <t>1093/</t>
  </si>
  <si>
    <t>PYB066</t>
  </si>
  <si>
    <t>147.16.33</t>
  </si>
  <si>
    <t>1095/</t>
  </si>
  <si>
    <t>PYB067</t>
  </si>
  <si>
    <t>147.24.10</t>
  </si>
  <si>
    <t>1098/</t>
  </si>
  <si>
    <t>PYB068</t>
  </si>
  <si>
    <t>1101/</t>
  </si>
  <si>
    <t>PYB069</t>
  </si>
  <si>
    <t>147,28,47</t>
  </si>
  <si>
    <t>1103/</t>
  </si>
  <si>
    <t>PYB070</t>
  </si>
  <si>
    <t>147,40,65</t>
  </si>
  <si>
    <t>1104/</t>
  </si>
  <si>
    <t>PYB071</t>
  </si>
  <si>
    <t>147.40.67</t>
  </si>
  <si>
    <t>1105/</t>
  </si>
  <si>
    <t>PYB072</t>
  </si>
  <si>
    <t>147.43.98</t>
  </si>
  <si>
    <t>1107/</t>
  </si>
  <si>
    <t>PYB073</t>
  </si>
  <si>
    <t>147.44.01</t>
  </si>
  <si>
    <t>1108/</t>
  </si>
  <si>
    <t>PYB074</t>
  </si>
  <si>
    <t>147,43,99</t>
  </si>
  <si>
    <t>1111/</t>
  </si>
  <si>
    <t>PYB075</t>
  </si>
  <si>
    <t>147.47.91</t>
  </si>
  <si>
    <t>1110/</t>
  </si>
  <si>
    <t>PYB076</t>
  </si>
  <si>
    <t>147.47.92</t>
  </si>
  <si>
    <t>1112/</t>
  </si>
  <si>
    <t>PYB077</t>
  </si>
  <si>
    <t>147.51.44</t>
  </si>
  <si>
    <t>1113/</t>
  </si>
  <si>
    <t>PYB078</t>
  </si>
  <si>
    <t>147,51,41</t>
  </si>
  <si>
    <t>1115/</t>
  </si>
  <si>
    <t>PYB079</t>
  </si>
  <si>
    <t>147,52,71</t>
  </si>
  <si>
    <t>1116/</t>
  </si>
  <si>
    <t>PYB080</t>
  </si>
  <si>
    <t>147,52,72</t>
  </si>
  <si>
    <t>1119/</t>
  </si>
  <si>
    <t>PYB081</t>
  </si>
  <si>
    <t>147.57.53</t>
  </si>
  <si>
    <t>1121/</t>
  </si>
  <si>
    <t>PYB082</t>
  </si>
  <si>
    <t>147.57.56/57</t>
  </si>
  <si>
    <t>1122/</t>
  </si>
  <si>
    <t>PYB083</t>
  </si>
  <si>
    <t>1123/</t>
  </si>
  <si>
    <t>PYB084</t>
  </si>
  <si>
    <t>1476371/1476373/1476372</t>
  </si>
  <si>
    <t>1125/</t>
  </si>
  <si>
    <t>PYB086</t>
  </si>
  <si>
    <t>1126/</t>
  </si>
  <si>
    <t>PYB087</t>
  </si>
  <si>
    <t>1129/</t>
  </si>
  <si>
    <t>PYB088</t>
  </si>
  <si>
    <t>1130/</t>
  </si>
  <si>
    <t>PYB089</t>
  </si>
  <si>
    <t>1131/</t>
  </si>
  <si>
    <t>PYB091</t>
  </si>
  <si>
    <t>1477864/1477865/1477866/1477867/1477997</t>
  </si>
  <si>
    <t>1132/</t>
  </si>
  <si>
    <t>PYB093</t>
  </si>
  <si>
    <t>1477994 /</t>
  </si>
  <si>
    <t xml:space="preserve">1133/ </t>
  </si>
  <si>
    <t>PYB094</t>
  </si>
  <si>
    <t>1477995/1477999</t>
  </si>
  <si>
    <t>1134/</t>
  </si>
  <si>
    <t>PYB095</t>
  </si>
  <si>
    <t>1137/</t>
  </si>
  <si>
    <t>PYB097</t>
  </si>
  <si>
    <t xml:space="preserve">1478469/1478473 /1478474 </t>
  </si>
  <si>
    <t>1136/</t>
  </si>
  <si>
    <t>PYB099</t>
  </si>
  <si>
    <t>1478470/1478472</t>
  </si>
  <si>
    <t>1143/</t>
  </si>
  <si>
    <t>PYB102</t>
  </si>
  <si>
    <t>147.84.75</t>
  </si>
  <si>
    <t>1146/</t>
  </si>
  <si>
    <t>PYB103</t>
  </si>
  <si>
    <t>147.91.35</t>
  </si>
  <si>
    <t>1147/</t>
  </si>
  <si>
    <t>PYB104</t>
  </si>
  <si>
    <t>147.91.32</t>
  </si>
  <si>
    <t>1149/</t>
  </si>
  <si>
    <t>PYB105</t>
  </si>
  <si>
    <t>147,91,33</t>
  </si>
  <si>
    <t>1150/</t>
  </si>
  <si>
    <t>PYB107</t>
  </si>
  <si>
    <t>147,95,01</t>
  </si>
  <si>
    <t>1151/</t>
  </si>
  <si>
    <t>PYB108</t>
  </si>
  <si>
    <t>147.91.34</t>
  </si>
  <si>
    <t>1154/</t>
  </si>
  <si>
    <t>PYB110</t>
  </si>
  <si>
    <t>147,97,13</t>
  </si>
  <si>
    <t>1157/</t>
  </si>
  <si>
    <t>PYB111</t>
  </si>
  <si>
    <t>147,98,59</t>
  </si>
  <si>
    <t>1158/</t>
  </si>
  <si>
    <t>PYB112</t>
  </si>
  <si>
    <t>147,98,60</t>
  </si>
  <si>
    <t>1161/</t>
  </si>
  <si>
    <t>PYB114</t>
  </si>
  <si>
    <t>148.02.32</t>
  </si>
  <si>
    <t>1163/</t>
  </si>
  <si>
    <t>PYB115</t>
  </si>
  <si>
    <t>148.02.33</t>
  </si>
  <si>
    <t>1165/</t>
  </si>
  <si>
    <t>PYB117</t>
  </si>
  <si>
    <t>148,04,11</t>
  </si>
  <si>
    <t>1168/</t>
  </si>
  <si>
    <t>PYB120</t>
  </si>
  <si>
    <t>148,07,66</t>
  </si>
  <si>
    <t>1170/</t>
  </si>
  <si>
    <t>PYB121</t>
  </si>
  <si>
    <t>148,07,65</t>
  </si>
  <si>
    <t>1171/</t>
  </si>
  <si>
    <t>PYB122</t>
  </si>
  <si>
    <t>148.11.43</t>
  </si>
  <si>
    <t>1172/</t>
  </si>
  <si>
    <t>PYB123</t>
  </si>
  <si>
    <t>1173/</t>
  </si>
  <si>
    <t>PYB124</t>
  </si>
  <si>
    <t>148,12,11</t>
  </si>
  <si>
    <t>1177/</t>
  </si>
  <si>
    <t>PYB125</t>
  </si>
  <si>
    <t>148.14.84</t>
  </si>
  <si>
    <t>1152/</t>
  </si>
  <si>
    <t>PYP001</t>
  </si>
  <si>
    <t>147.93.83</t>
  </si>
  <si>
    <t>1164/</t>
  </si>
  <si>
    <t>PYP002</t>
  </si>
  <si>
    <t>148.02.20</t>
  </si>
  <si>
    <t>029/23</t>
  </si>
  <si>
    <t>145.44.64</t>
  </si>
  <si>
    <t>038/23</t>
  </si>
  <si>
    <t>145,56,51</t>
  </si>
  <si>
    <t>008/23</t>
  </si>
  <si>
    <t>145,01,47</t>
  </si>
  <si>
    <t>018/23</t>
  </si>
  <si>
    <t>145,25,89</t>
  </si>
  <si>
    <t>059/23</t>
  </si>
  <si>
    <t>145,69,54</t>
  </si>
  <si>
    <t>075/23</t>
  </si>
  <si>
    <t>145,86,07</t>
  </si>
  <si>
    <t>005/23</t>
  </si>
  <si>
    <t>145.01.45</t>
  </si>
  <si>
    <t>087/23</t>
  </si>
  <si>
    <t>146.01.98</t>
  </si>
  <si>
    <t>099/23</t>
  </si>
  <si>
    <t>146,10,05</t>
  </si>
  <si>
    <t>104/23</t>
  </si>
  <si>
    <t>146.19.85</t>
  </si>
  <si>
    <t>108/23</t>
  </si>
  <si>
    <t>146.32.71</t>
  </si>
  <si>
    <t>110/23</t>
  </si>
  <si>
    <t>146,43,29</t>
  </si>
  <si>
    <t>115/23</t>
  </si>
  <si>
    <t>146,46,12</t>
  </si>
  <si>
    <t>118/23</t>
  </si>
  <si>
    <t>146,53,41</t>
  </si>
  <si>
    <t>121/23</t>
  </si>
  <si>
    <t>146,57,93</t>
  </si>
  <si>
    <t>128/23</t>
  </si>
  <si>
    <t>146,84,79</t>
  </si>
  <si>
    <t>133/23</t>
  </si>
  <si>
    <t>147,08,92</t>
  </si>
  <si>
    <t>138/23</t>
  </si>
  <si>
    <t>147,26,82</t>
  </si>
  <si>
    <t>143/23</t>
  </si>
  <si>
    <t>147,35,20</t>
  </si>
  <si>
    <t>148/23</t>
  </si>
  <si>
    <t>147,44,52</t>
  </si>
  <si>
    <t>154/23</t>
  </si>
  <si>
    <t>147,62,81</t>
  </si>
  <si>
    <t>184/23</t>
  </si>
  <si>
    <t>148,03,87</t>
  </si>
  <si>
    <t>163/2023</t>
  </si>
  <si>
    <t>BRP002</t>
  </si>
  <si>
    <t>147,69,50</t>
  </si>
  <si>
    <t>166/2023</t>
  </si>
  <si>
    <t>BRP003</t>
  </si>
  <si>
    <t>147,74,28</t>
  </si>
  <si>
    <t>007/23</t>
  </si>
  <si>
    <t>145,01,46</t>
  </si>
  <si>
    <t>019/23</t>
  </si>
  <si>
    <t>145,25,90</t>
  </si>
  <si>
    <t>049/23</t>
  </si>
  <si>
    <t>145,62,82</t>
  </si>
  <si>
    <t>002/23</t>
  </si>
  <si>
    <t>144.96.42</t>
  </si>
  <si>
    <t>004/23</t>
  </si>
  <si>
    <t>145.01.44</t>
  </si>
  <si>
    <t>077/23</t>
  </si>
  <si>
    <t>145,86,08</t>
  </si>
  <si>
    <t>098/23</t>
  </si>
  <si>
    <t>146,10,04</t>
  </si>
  <si>
    <t>103/23</t>
  </si>
  <si>
    <t>146,19,82</t>
  </si>
  <si>
    <t>113/23</t>
  </si>
  <si>
    <t>146,46,11</t>
  </si>
  <si>
    <t>120/23</t>
  </si>
  <si>
    <t>146,57,88</t>
  </si>
  <si>
    <t>136/23</t>
  </si>
  <si>
    <t>147,22,69</t>
  </si>
  <si>
    <t>129/23</t>
  </si>
  <si>
    <t>146,84,81</t>
  </si>
  <si>
    <t>093/23</t>
  </si>
  <si>
    <t>BRP001</t>
  </si>
  <si>
    <t>145,98,82</t>
  </si>
  <si>
    <t>134/23</t>
  </si>
  <si>
    <t>147,08,93</t>
  </si>
  <si>
    <t>140/23</t>
  </si>
  <si>
    <t>147,30,51</t>
  </si>
  <si>
    <t>147/23</t>
  </si>
  <si>
    <t>147,44,08</t>
  </si>
  <si>
    <t>153/23</t>
  </si>
  <si>
    <t>147.52.67</t>
  </si>
  <si>
    <t>157/23</t>
  </si>
  <si>
    <t>147.65.74</t>
  </si>
  <si>
    <t>183/23</t>
  </si>
  <si>
    <t>148,03,85</t>
  </si>
  <si>
    <t>186/23</t>
  </si>
  <si>
    <t>148,08,85</t>
  </si>
  <si>
    <t>187/23</t>
  </si>
  <si>
    <t>148,08,86</t>
  </si>
  <si>
    <t>025/23</t>
  </si>
  <si>
    <t>Etimex - Claudia</t>
  </si>
  <si>
    <t>145,38,85</t>
  </si>
  <si>
    <t>039/23</t>
  </si>
  <si>
    <t>145,56,53</t>
  </si>
  <si>
    <t>064/23</t>
  </si>
  <si>
    <t>145,69,57</t>
  </si>
  <si>
    <t>012/23</t>
  </si>
  <si>
    <t>145,25,88</t>
  </si>
  <si>
    <t>076/23</t>
  </si>
  <si>
    <t>145,86,04</t>
  </si>
  <si>
    <t>147,76,57</t>
  </si>
  <si>
    <t>AL027/2023</t>
  </si>
  <si>
    <t>148,10,52</t>
  </si>
  <si>
    <t>AL028/2023</t>
  </si>
  <si>
    <t>AL029/2023</t>
  </si>
  <si>
    <t>085/23</t>
  </si>
  <si>
    <t>146,00,45</t>
  </si>
  <si>
    <t>102/23</t>
  </si>
  <si>
    <t>146,19,80</t>
  </si>
  <si>
    <t>106/23</t>
  </si>
  <si>
    <t>146.28.03</t>
  </si>
  <si>
    <t>AL030/2023</t>
  </si>
  <si>
    <t>148,16,71</t>
  </si>
  <si>
    <t>148,36,69</t>
  </si>
  <si>
    <t>148,40,49</t>
  </si>
  <si>
    <t>148,45,98</t>
  </si>
  <si>
    <t>109/23</t>
  </si>
  <si>
    <t>146,33,05</t>
  </si>
  <si>
    <t>112/23</t>
  </si>
  <si>
    <t>146,46,09</t>
  </si>
  <si>
    <t>117/23</t>
  </si>
  <si>
    <t>146,53,40</t>
  </si>
  <si>
    <t>065/23</t>
  </si>
  <si>
    <t>Etimex - Jaime</t>
  </si>
  <si>
    <t>145,69,56</t>
  </si>
  <si>
    <t>083/23</t>
  </si>
  <si>
    <t>021/23</t>
  </si>
  <si>
    <t>145,34,67</t>
  </si>
  <si>
    <t>105/23</t>
  </si>
  <si>
    <t>146.19.86</t>
  </si>
  <si>
    <t>119/23</t>
  </si>
  <si>
    <t>146,53,42</t>
  </si>
  <si>
    <t>096/23</t>
  </si>
  <si>
    <t>Etimex-Claudia</t>
  </si>
  <si>
    <t>146,10,00</t>
  </si>
  <si>
    <t>124/23</t>
  </si>
  <si>
    <t>005.23ALM</t>
  </si>
  <si>
    <t>Norfruit</t>
  </si>
  <si>
    <t>B2</t>
  </si>
  <si>
    <t>004,23ALM/</t>
  </si>
  <si>
    <t>001.23ALM/</t>
  </si>
  <si>
    <t>Nortifruit</t>
  </si>
  <si>
    <t>002.23/ ALM</t>
  </si>
  <si>
    <t>003.23 ALM</t>
  </si>
  <si>
    <t>283/</t>
  </si>
  <si>
    <t>Oscar Paniagua</t>
  </si>
  <si>
    <t>284/</t>
  </si>
  <si>
    <t>295//</t>
  </si>
  <si>
    <t>987/</t>
  </si>
  <si>
    <t>145.22.04</t>
  </si>
  <si>
    <t>353/</t>
  </si>
  <si>
    <t>1454512/1454799</t>
  </si>
  <si>
    <t>354/</t>
  </si>
  <si>
    <t>145.54.33</t>
  </si>
  <si>
    <t>356/</t>
  </si>
  <si>
    <t>145,58,12</t>
  </si>
  <si>
    <t>357/</t>
  </si>
  <si>
    <t>145,58,13</t>
  </si>
  <si>
    <t>358/</t>
  </si>
  <si>
    <t>145,80,36</t>
  </si>
  <si>
    <t>359/</t>
  </si>
  <si>
    <t>145,80,46</t>
  </si>
  <si>
    <t>362/</t>
  </si>
  <si>
    <t>145.86.02</t>
  </si>
  <si>
    <t>363/</t>
  </si>
  <si>
    <t>148,52,05</t>
  </si>
  <si>
    <t>148.66.76</t>
  </si>
  <si>
    <t>148,22,17</t>
  </si>
  <si>
    <t>148,25,12</t>
  </si>
  <si>
    <t>148,30,62</t>
  </si>
  <si>
    <t>148,30,63</t>
  </si>
  <si>
    <t>148.35.36</t>
  </si>
  <si>
    <t>148,38,32</t>
  </si>
  <si>
    <t>364/</t>
  </si>
  <si>
    <t>367/</t>
  </si>
  <si>
    <t>146.05.48</t>
  </si>
  <si>
    <t>387/</t>
  </si>
  <si>
    <t>PYB085</t>
  </si>
  <si>
    <t>389/</t>
  </si>
  <si>
    <t>PYB092</t>
  </si>
  <si>
    <t>1477860 /1477861</t>
  </si>
  <si>
    <t>390/</t>
  </si>
  <si>
    <t>PYB098</t>
  </si>
  <si>
    <t>147,78,63</t>
  </si>
  <si>
    <t>392/</t>
  </si>
  <si>
    <t>PYB101</t>
  </si>
  <si>
    <t>147.84.53</t>
  </si>
  <si>
    <t>285/</t>
  </si>
  <si>
    <t>PYB090</t>
  </si>
  <si>
    <t>Santa Lucia</t>
  </si>
  <si>
    <t>286/</t>
  </si>
  <si>
    <t>PYB096</t>
  </si>
  <si>
    <t>147.86.29</t>
  </si>
  <si>
    <t>287/</t>
  </si>
  <si>
    <t>PYB100</t>
  </si>
  <si>
    <t>147.82.05</t>
  </si>
  <si>
    <t>290/</t>
  </si>
  <si>
    <t>PYB106</t>
  </si>
  <si>
    <t>147,91,36</t>
  </si>
  <si>
    <t>292/</t>
  </si>
  <si>
    <t>PYB109</t>
  </si>
  <si>
    <t>147,95,72</t>
  </si>
  <si>
    <t>295/</t>
  </si>
  <si>
    <t>PYB116</t>
  </si>
  <si>
    <t>294/</t>
  </si>
  <si>
    <t>PYB118</t>
  </si>
  <si>
    <t>148.01.08</t>
  </si>
  <si>
    <t>297/</t>
  </si>
  <si>
    <t>PYB119</t>
  </si>
  <si>
    <t>148,07,03</t>
  </si>
  <si>
    <t>300//</t>
  </si>
  <si>
    <t>PYB126</t>
  </si>
  <si>
    <t>001-001-007/</t>
  </si>
  <si>
    <t>PYB113</t>
  </si>
  <si>
    <t>Servi-Fel E.A.S</t>
  </si>
  <si>
    <t>147,95,71</t>
  </si>
  <si>
    <t>001-001-008/</t>
  </si>
  <si>
    <t>PYB127</t>
  </si>
  <si>
    <t>148,15,16</t>
  </si>
  <si>
    <t>2715/23</t>
  </si>
  <si>
    <t>145,79,84</t>
  </si>
  <si>
    <t>2761/23</t>
  </si>
  <si>
    <t>145.97.94</t>
  </si>
  <si>
    <t>148.48.32</t>
  </si>
  <si>
    <t>148,51,58</t>
  </si>
  <si>
    <t>148,63,71</t>
  </si>
  <si>
    <t>148,63,72</t>
  </si>
  <si>
    <t>148,74,91</t>
  </si>
  <si>
    <t>148,75,26</t>
  </si>
  <si>
    <t>1481758/1411756/1411757/1471759</t>
  </si>
  <si>
    <t>Alianca</t>
  </si>
  <si>
    <t>1483959-1483960-1483907</t>
  </si>
  <si>
    <t>1484483/1484482</t>
  </si>
  <si>
    <t>1485292/1485306</t>
  </si>
  <si>
    <t>148,78,66</t>
  </si>
  <si>
    <t>149,35,52</t>
  </si>
  <si>
    <t>148,82,44</t>
  </si>
  <si>
    <t>148,84,13</t>
  </si>
  <si>
    <t>148,89,74</t>
  </si>
  <si>
    <t>148,91,83</t>
  </si>
  <si>
    <t>FG</t>
  </si>
  <si>
    <t>148,91,91</t>
  </si>
  <si>
    <t>Silvio Abierto</t>
  </si>
  <si>
    <t>148,96,18</t>
  </si>
  <si>
    <t>148,96,19</t>
  </si>
  <si>
    <t>148,96,20</t>
  </si>
  <si>
    <t>1487143/1487141/1487139</t>
  </si>
  <si>
    <t>148.52.18</t>
  </si>
  <si>
    <t>009//</t>
  </si>
  <si>
    <t>148,15,15</t>
  </si>
  <si>
    <t>302/</t>
  </si>
  <si>
    <t>148,17,37</t>
  </si>
  <si>
    <t>303/</t>
  </si>
  <si>
    <t>148,17,38</t>
  </si>
  <si>
    <t>1179/</t>
  </si>
  <si>
    <t>148.18.28</t>
  </si>
  <si>
    <t>148,17,39</t>
  </si>
  <si>
    <t>148.21.71</t>
  </si>
  <si>
    <t>148.21.72</t>
  </si>
  <si>
    <t>148.22.46</t>
  </si>
  <si>
    <t>148.22.30</t>
  </si>
  <si>
    <t>Diego Fernandez</t>
  </si>
  <si>
    <t>148.22.93</t>
  </si>
  <si>
    <t>148,22,92</t>
  </si>
  <si>
    <t>148.26.79</t>
  </si>
  <si>
    <t>148.26.81</t>
  </si>
  <si>
    <t>Hugo Franco</t>
  </si>
  <si>
    <t>148.27.09</t>
  </si>
  <si>
    <t>148,29,77</t>
  </si>
  <si>
    <t>148,29,76</t>
  </si>
  <si>
    <t>148,32,71</t>
  </si>
  <si>
    <t>148.32.37</t>
  </si>
  <si>
    <t>148.35.32</t>
  </si>
  <si>
    <t>148,35,31</t>
  </si>
  <si>
    <t>Jauser</t>
  </si>
  <si>
    <t>148,37,94</t>
  </si>
  <si>
    <t>148,38,94</t>
  </si>
  <si>
    <t>148,38,93</t>
  </si>
  <si>
    <t>148,39,83</t>
  </si>
  <si>
    <t>148,40,48</t>
  </si>
  <si>
    <t>Tahan</t>
  </si>
  <si>
    <t>148,42,59</t>
  </si>
  <si>
    <t>145,45,55</t>
  </si>
  <si>
    <t>148.45.31</t>
  </si>
  <si>
    <t>148,45,62</t>
  </si>
  <si>
    <t>148.45.61</t>
  </si>
  <si>
    <t>148.49.41</t>
  </si>
  <si>
    <t>148,49,40</t>
  </si>
  <si>
    <t>148,51,09</t>
  </si>
  <si>
    <t>148.49.09</t>
  </si>
  <si>
    <t>148,55,27</t>
  </si>
  <si>
    <t>Cargo Net</t>
  </si>
  <si>
    <t>148,55,19</t>
  </si>
  <si>
    <t>Fruticultura</t>
  </si>
  <si>
    <t>148,55,33</t>
  </si>
  <si>
    <t>148,55,25</t>
  </si>
  <si>
    <t>148,62,08</t>
  </si>
  <si>
    <t>148,61,02</t>
  </si>
  <si>
    <t>148,60,72</t>
  </si>
  <si>
    <t>148,61,03</t>
  </si>
  <si>
    <t>148,63,18</t>
  </si>
  <si>
    <t>148.64.24</t>
  </si>
  <si>
    <t>148,66,78</t>
  </si>
  <si>
    <t>148.67,07</t>
  </si>
  <si>
    <t>148,67,19</t>
  </si>
  <si>
    <t>148,70,06</t>
  </si>
  <si>
    <t>148,71,45</t>
  </si>
  <si>
    <t>148,68,91</t>
  </si>
  <si>
    <t>148.73.49</t>
  </si>
  <si>
    <t>148,73,50</t>
  </si>
  <si>
    <t>148,73,48</t>
  </si>
  <si>
    <t>148.77.17</t>
  </si>
  <si>
    <t>148,76,29</t>
  </si>
  <si>
    <t>148,78,40</t>
  </si>
  <si>
    <t>148,78,34</t>
  </si>
  <si>
    <t>148,75,95</t>
  </si>
  <si>
    <t>148,78,84</t>
  </si>
  <si>
    <t>0033/24</t>
  </si>
  <si>
    <t>148,99,53</t>
  </si>
  <si>
    <t>149,08,28</t>
  </si>
  <si>
    <t>149,08,74</t>
  </si>
  <si>
    <t>148,08,76</t>
  </si>
  <si>
    <t>149,51,70</t>
  </si>
  <si>
    <t>149,57,86</t>
  </si>
  <si>
    <t>149,12,48</t>
  </si>
  <si>
    <t>149,21,06</t>
  </si>
  <si>
    <t xml:space="preserve">Silvio </t>
  </si>
  <si>
    <t>149,21,04</t>
  </si>
  <si>
    <t>149,32,83</t>
  </si>
  <si>
    <t>149,32,84</t>
  </si>
  <si>
    <t>149,32,85</t>
  </si>
  <si>
    <t>Brod</t>
  </si>
  <si>
    <t>149,32,86</t>
  </si>
  <si>
    <t>149,57,16</t>
  </si>
  <si>
    <t>149,39,16</t>
  </si>
  <si>
    <t>149,39,17</t>
  </si>
  <si>
    <t>149,42,02</t>
  </si>
  <si>
    <t>148.82.38</t>
  </si>
  <si>
    <t>149,45,77</t>
  </si>
  <si>
    <t>149,48,54</t>
  </si>
  <si>
    <t>149,50,28</t>
  </si>
  <si>
    <t>149,50,94</t>
  </si>
  <si>
    <t>149,56,99</t>
  </si>
  <si>
    <t>149,56,97</t>
  </si>
  <si>
    <t>149,60,67</t>
  </si>
  <si>
    <t>149,66,97</t>
  </si>
  <si>
    <t>1491766)</t>
  </si>
  <si>
    <t>1492867/1492868/1492870/1492869</t>
  </si>
  <si>
    <t>149,71,45</t>
  </si>
  <si>
    <t>149,72,02</t>
  </si>
  <si>
    <t>149,75,58</t>
  </si>
  <si>
    <t>149,75,56</t>
  </si>
  <si>
    <t>Pendiente de pago</t>
  </si>
  <si>
    <t>149.87.05</t>
  </si>
  <si>
    <t>149.88.97</t>
  </si>
  <si>
    <t>149,88,87</t>
  </si>
  <si>
    <t>Sergio Navas</t>
  </si>
  <si>
    <t>149,90,07</t>
  </si>
  <si>
    <t>149,92,49</t>
  </si>
  <si>
    <t>149,96,96</t>
  </si>
  <si>
    <t>149,97,86</t>
  </si>
  <si>
    <t>149,98,15</t>
  </si>
  <si>
    <t>150,01,65</t>
  </si>
  <si>
    <t>150,01,69</t>
  </si>
  <si>
    <t>150,11,54</t>
  </si>
  <si>
    <t>150,11,53</t>
  </si>
  <si>
    <t>150,13,59</t>
  </si>
  <si>
    <t>150,18,70</t>
  </si>
  <si>
    <t>150,24,08</t>
  </si>
  <si>
    <t>150,24,07</t>
  </si>
  <si>
    <t>150,24,06</t>
  </si>
  <si>
    <t>BRB066</t>
  </si>
  <si>
    <t>150,32,95</t>
  </si>
  <si>
    <t>150,35,36</t>
  </si>
  <si>
    <t>BRC001</t>
  </si>
  <si>
    <t>149,85,27</t>
  </si>
  <si>
    <t>149,35,57</t>
  </si>
  <si>
    <t>148,80,79</t>
  </si>
  <si>
    <t>148,80,78</t>
  </si>
  <si>
    <t>148,79,48</t>
  </si>
  <si>
    <t>148,86,95</t>
  </si>
  <si>
    <t>148,86,92</t>
  </si>
  <si>
    <t>Milciades</t>
  </si>
  <si>
    <t>148,99,38</t>
  </si>
  <si>
    <t xml:space="preserve">PYB080 </t>
  </si>
  <si>
    <t>149,01,22</t>
  </si>
  <si>
    <t>149,00,62</t>
  </si>
  <si>
    <t>149,01,23</t>
  </si>
  <si>
    <t>149,07,34</t>
  </si>
  <si>
    <t>149,07,33</t>
  </si>
  <si>
    <t>1494116/1494504</t>
  </si>
  <si>
    <t>150,39,99</t>
  </si>
  <si>
    <t>150,38,40</t>
  </si>
  <si>
    <t>150,38,42</t>
  </si>
  <si>
    <t>149,13,38</t>
  </si>
  <si>
    <t>149,15,06</t>
  </si>
  <si>
    <t>149,14,37</t>
  </si>
  <si>
    <t>149.13.96</t>
  </si>
  <si>
    <t>150,46,97</t>
  </si>
  <si>
    <t>150,50,02</t>
  </si>
  <si>
    <t>150,54,77</t>
  </si>
  <si>
    <t>BRB078</t>
  </si>
  <si>
    <t>BRB081</t>
  </si>
  <si>
    <t>150,70,99</t>
  </si>
  <si>
    <t>150,73,37</t>
  </si>
  <si>
    <t>150,75,06</t>
  </si>
  <si>
    <t>150.82.57</t>
  </si>
  <si>
    <t>BRB087</t>
  </si>
  <si>
    <t>150,88,69</t>
  </si>
  <si>
    <t>150,90,92</t>
  </si>
  <si>
    <t>BRB089</t>
  </si>
  <si>
    <t>150,94,46</t>
  </si>
  <si>
    <t>150,94,41</t>
  </si>
  <si>
    <t>BRC002</t>
  </si>
  <si>
    <t>150,01,61</t>
  </si>
  <si>
    <t>BRC003</t>
  </si>
  <si>
    <t>150,21,89</t>
  </si>
  <si>
    <t>BRC004</t>
  </si>
  <si>
    <t>150,48,78</t>
  </si>
  <si>
    <t>150,07,56</t>
  </si>
  <si>
    <t>1500660/1500659/1500661/1500662/1500665</t>
  </si>
  <si>
    <t>150.03.69</t>
  </si>
  <si>
    <t>Cappellaro</t>
  </si>
  <si>
    <t>150.25.29</t>
  </si>
  <si>
    <t>1503456/15034455/1503454/1503500</t>
  </si>
  <si>
    <t>150,94,43</t>
  </si>
  <si>
    <t>150,94,44</t>
  </si>
  <si>
    <t>150,94,98</t>
  </si>
  <si>
    <t>BRB094</t>
  </si>
  <si>
    <t>150,98,71</t>
  </si>
  <si>
    <t>150,98,70</t>
  </si>
  <si>
    <t>150,99,91</t>
  </si>
  <si>
    <t>151,04,12</t>
  </si>
  <si>
    <t>151,08,87</t>
  </si>
  <si>
    <t>151,08,86</t>
  </si>
  <si>
    <t>151,10,04</t>
  </si>
  <si>
    <t>151,16,28</t>
  </si>
  <si>
    <t>151,16,29</t>
  </si>
  <si>
    <t>BRB103</t>
  </si>
  <si>
    <t>151,28,88</t>
  </si>
  <si>
    <t>151,21,89</t>
  </si>
  <si>
    <t>150,66,41</t>
  </si>
  <si>
    <t>150.67.25</t>
  </si>
  <si>
    <t>150,50,52</t>
  </si>
  <si>
    <t>150.80.39</t>
  </si>
  <si>
    <t>150,80,40</t>
  </si>
  <si>
    <t>1508039 1508589</t>
  </si>
  <si>
    <t>1508779 1508853</t>
  </si>
  <si>
    <t>8852 9017 9016 8589</t>
  </si>
  <si>
    <t>151,46,35</t>
  </si>
  <si>
    <t>BRB001-26</t>
  </si>
  <si>
    <t>154,68,95</t>
  </si>
  <si>
    <t>150,94,92</t>
  </si>
  <si>
    <t>150.91.21</t>
  </si>
  <si>
    <t>150,80,23</t>
  </si>
  <si>
    <t>150,99,38,41,39,36,41</t>
  </si>
  <si>
    <t>150,97,38/1503739</t>
  </si>
  <si>
    <t>150,99,96</t>
  </si>
  <si>
    <t>Copy</t>
  </si>
  <si>
    <t>Rodo Calvi</t>
  </si>
  <si>
    <t>Chui</t>
  </si>
  <si>
    <t>1511328/1511327/1511326/1511329</t>
  </si>
  <si>
    <t>PYB143</t>
  </si>
  <si>
    <t>150.53.62</t>
  </si>
  <si>
    <t>PYB144</t>
  </si>
  <si>
    <t>xxxx</t>
  </si>
  <si>
    <t>PYB145</t>
  </si>
  <si>
    <t>PYB146</t>
  </si>
  <si>
    <t>Milciades Sosa</t>
  </si>
  <si>
    <t>1504761,1504757,1504755,1504758</t>
  </si>
  <si>
    <t>PYB128</t>
  </si>
  <si>
    <t>149,99,78</t>
  </si>
  <si>
    <t>PYB129</t>
  </si>
  <si>
    <t>149,99,76</t>
  </si>
  <si>
    <t>PYB130</t>
  </si>
  <si>
    <t>149,99,92</t>
  </si>
  <si>
    <t>PYB131</t>
  </si>
  <si>
    <t>150,07,88</t>
  </si>
  <si>
    <t>PYB132</t>
  </si>
  <si>
    <t>150,13,87</t>
  </si>
  <si>
    <t>PYB133</t>
  </si>
  <si>
    <t>150,13,86</t>
  </si>
  <si>
    <t>PYB135</t>
  </si>
  <si>
    <t>PYB136</t>
  </si>
  <si>
    <t>150.19,24</t>
  </si>
  <si>
    <t>2814/23</t>
  </si>
  <si>
    <t>146.16.28</t>
  </si>
  <si>
    <t>2953/23</t>
  </si>
  <si>
    <t>3079/23</t>
  </si>
  <si>
    <t>147.13.95</t>
  </si>
  <si>
    <t>TRB020</t>
  </si>
  <si>
    <t>TRB002/23</t>
  </si>
  <si>
    <t>1450761/1450760/1450762</t>
  </si>
  <si>
    <t>TRB005</t>
  </si>
  <si>
    <t>TRB011</t>
  </si>
  <si>
    <t>145,26,26</t>
  </si>
  <si>
    <t>TRB022/23</t>
  </si>
  <si>
    <t>1454258/1454261/1454259/1453960/1454260</t>
  </si>
  <si>
    <t>TRB031/23</t>
  </si>
  <si>
    <t>1458071/1458072/1458073/1458074/1457317</t>
  </si>
  <si>
    <t>TRB009</t>
  </si>
  <si>
    <t>145.23.15</t>
  </si>
  <si>
    <t>TRB021</t>
  </si>
  <si>
    <t>145,43,73</t>
  </si>
  <si>
    <t>TRB024/23</t>
  </si>
  <si>
    <t>1454375/1454371</t>
  </si>
  <si>
    <t>TRB016</t>
  </si>
  <si>
    <t>145,34,87</t>
  </si>
  <si>
    <t>TRB017</t>
  </si>
  <si>
    <t>1452932/1452931/1452930/1452937/1453834</t>
  </si>
  <si>
    <t>TRB018</t>
  </si>
  <si>
    <t>TRB001/23</t>
  </si>
  <si>
    <t>144.95.10</t>
  </si>
  <si>
    <t>TRB006</t>
  </si>
  <si>
    <t>145,13,76</t>
  </si>
  <si>
    <t>TRB007</t>
  </si>
  <si>
    <t>145,18,87</t>
  </si>
  <si>
    <t>TRB012</t>
  </si>
  <si>
    <t>145,29,34</t>
  </si>
  <si>
    <t>TRB013</t>
  </si>
  <si>
    <t>1452624/1452628/1452623/1452301/1450203</t>
  </si>
  <si>
    <t>TRB025/23</t>
  </si>
  <si>
    <t>1455558/1455560/1455556/1455356</t>
  </si>
  <si>
    <t>960/</t>
  </si>
  <si>
    <t>144.74.61</t>
  </si>
  <si>
    <t>261/</t>
  </si>
  <si>
    <t>144,73,77</t>
  </si>
  <si>
    <t>265/</t>
  </si>
  <si>
    <t>144,73,78</t>
  </si>
  <si>
    <t>266/</t>
  </si>
  <si>
    <t>144.80.83</t>
  </si>
  <si>
    <t>964/</t>
  </si>
  <si>
    <t>144,80,96</t>
  </si>
  <si>
    <t>270/</t>
  </si>
  <si>
    <t>144.80.94</t>
  </si>
  <si>
    <t>271/</t>
  </si>
  <si>
    <t>144.81.95</t>
  </si>
  <si>
    <t>966/</t>
  </si>
  <si>
    <t>144,85,93</t>
  </si>
  <si>
    <t>272/</t>
  </si>
  <si>
    <t>144.81.96</t>
  </si>
  <si>
    <t>275/</t>
  </si>
  <si>
    <t>144.81.97</t>
  </si>
  <si>
    <t>969/</t>
  </si>
  <si>
    <t>144.88.86</t>
  </si>
  <si>
    <t>278/</t>
  </si>
  <si>
    <t>144.87.52</t>
  </si>
  <si>
    <t>279/</t>
  </si>
  <si>
    <t>144.88.87</t>
  </si>
  <si>
    <t>280/</t>
  </si>
  <si>
    <t>144.88.88</t>
  </si>
  <si>
    <t>1512428/1512427/1512426/1512425</t>
  </si>
  <si>
    <t>1513001/1512999/151300/1513002</t>
  </si>
  <si>
    <t>1513295,96,97,98</t>
  </si>
  <si>
    <t>151,46,34</t>
  </si>
  <si>
    <t>BRB002-26</t>
  </si>
  <si>
    <t>154,69,93</t>
  </si>
  <si>
    <t>151,42,11</t>
  </si>
  <si>
    <t>PYB137</t>
  </si>
  <si>
    <t>150,30,94</t>
  </si>
  <si>
    <t>PYB138</t>
  </si>
  <si>
    <t>150,29,29</t>
  </si>
  <si>
    <t>PYB139</t>
  </si>
  <si>
    <t>150,35,91</t>
  </si>
  <si>
    <t>PYB140</t>
  </si>
  <si>
    <t>150.35.92</t>
  </si>
  <si>
    <t>PYB141</t>
  </si>
  <si>
    <t>150,45,25</t>
  </si>
  <si>
    <t>PYB142</t>
  </si>
  <si>
    <t>150.46.92</t>
  </si>
  <si>
    <t>PYB134</t>
  </si>
  <si>
    <t>150,19,22</t>
  </si>
  <si>
    <t>PYB147</t>
  </si>
  <si>
    <t>150,70,59</t>
  </si>
  <si>
    <t>PYB148</t>
  </si>
  <si>
    <t>150,70,58</t>
  </si>
  <si>
    <t>PYB149</t>
  </si>
  <si>
    <t>150.70.60</t>
  </si>
  <si>
    <t>BRB003-26</t>
  </si>
  <si>
    <t>154,69,94</t>
  </si>
  <si>
    <t>BRB004-26</t>
  </si>
  <si>
    <t>154,69,95</t>
  </si>
  <si>
    <t>BRB005-26</t>
  </si>
  <si>
    <t>A&amp;A</t>
  </si>
  <si>
    <t>154,69,91</t>
  </si>
  <si>
    <t>Nilton</t>
  </si>
  <si>
    <t>BRB006-26</t>
  </si>
  <si>
    <t>154,69,90</t>
  </si>
  <si>
    <t>BRB007-26</t>
  </si>
  <si>
    <t>BRB008-26</t>
  </si>
  <si>
    <t>151,66,54</t>
  </si>
  <si>
    <t>BRB009-26</t>
  </si>
  <si>
    <t>151,66,52</t>
  </si>
  <si>
    <t>BRB010-26</t>
  </si>
  <si>
    <t>AXT</t>
  </si>
  <si>
    <t>151,66,53</t>
  </si>
  <si>
    <t>BRB011-26</t>
  </si>
  <si>
    <t>BRB012-26</t>
  </si>
  <si>
    <t>151,76,11</t>
  </si>
  <si>
    <t>BRB013-26</t>
  </si>
  <si>
    <t>151,83,24</t>
  </si>
  <si>
    <t>BRB014-26</t>
  </si>
  <si>
    <t>OCH</t>
  </si>
  <si>
    <t>151,83,23</t>
  </si>
  <si>
    <t>BRB015-26</t>
  </si>
  <si>
    <t>151,84,80</t>
  </si>
  <si>
    <t>BRB016-26</t>
  </si>
  <si>
    <t>154,98,98</t>
  </si>
  <si>
    <t>151,84,81</t>
  </si>
  <si>
    <t>BRB017-26</t>
  </si>
  <si>
    <t>155,01,06</t>
  </si>
  <si>
    <t>151,13,61</t>
  </si>
  <si>
    <t>BRB018-26</t>
  </si>
  <si>
    <t>155,01,07</t>
  </si>
  <si>
    <t>151,86,81</t>
  </si>
  <si>
    <t>BRB019-26</t>
  </si>
  <si>
    <t>151,91,12</t>
  </si>
  <si>
    <t>151,93,58</t>
  </si>
  <si>
    <t>151,96,01</t>
  </si>
  <si>
    <t>151,96,02</t>
  </si>
  <si>
    <t>151,98,54</t>
  </si>
  <si>
    <t>B</t>
  </si>
  <si>
    <t>152,00,10</t>
  </si>
  <si>
    <t>152,02,58</t>
  </si>
  <si>
    <t>152,2,48</t>
  </si>
  <si>
    <t>152,02,49</t>
  </si>
  <si>
    <t>152,02,50</t>
  </si>
  <si>
    <t>152,02,46</t>
  </si>
  <si>
    <t>152,07,62</t>
  </si>
  <si>
    <t>152,02,47</t>
  </si>
  <si>
    <t>152,15,75</t>
  </si>
  <si>
    <t>152,15,73</t>
  </si>
  <si>
    <t>152,15,74</t>
  </si>
  <si>
    <t>152,22,78</t>
  </si>
  <si>
    <t>152,22,72</t>
  </si>
  <si>
    <t>152,25,18</t>
  </si>
  <si>
    <t>152,22,74</t>
  </si>
  <si>
    <t>152,22,80</t>
  </si>
  <si>
    <t>152,27,58</t>
  </si>
  <si>
    <t>152,23,50</t>
  </si>
  <si>
    <t>152,32,51</t>
  </si>
  <si>
    <t>152,32,52</t>
  </si>
  <si>
    <t>152,35,96</t>
  </si>
  <si>
    <t>152,35,98</t>
  </si>
  <si>
    <t>152,38,91</t>
  </si>
  <si>
    <t>152,47,82</t>
  </si>
  <si>
    <t>152,49,27</t>
  </si>
  <si>
    <t>152,47,83</t>
  </si>
  <si>
    <t>PYB150</t>
  </si>
  <si>
    <t>150.97.13</t>
  </si>
  <si>
    <t>PYB151</t>
  </si>
  <si>
    <t>150.96.31</t>
  </si>
  <si>
    <t>PYB152</t>
  </si>
  <si>
    <t>PYB153</t>
  </si>
  <si>
    <t>151,17,37</t>
  </si>
  <si>
    <t>PYB154</t>
  </si>
  <si>
    <t>Servi-Fel</t>
  </si>
  <si>
    <t>151,17,23</t>
  </si>
  <si>
    <t>PYB155</t>
  </si>
  <si>
    <t>151,20,93</t>
  </si>
  <si>
    <t>PYB156</t>
  </si>
  <si>
    <t>151,28,32</t>
  </si>
  <si>
    <t>PYB157</t>
  </si>
  <si>
    <t>PYB158</t>
  </si>
  <si>
    <t>151,24,29</t>
  </si>
  <si>
    <t>PYB159/</t>
  </si>
  <si>
    <t>151.29,06</t>
  </si>
  <si>
    <t>PYB160</t>
  </si>
  <si>
    <t>151,30,90</t>
  </si>
  <si>
    <t>PYB161</t>
  </si>
  <si>
    <t>151,28,41</t>
  </si>
  <si>
    <t>PYB162</t>
  </si>
  <si>
    <t>151.30.30</t>
  </si>
  <si>
    <t>PYB163</t>
  </si>
  <si>
    <t>151,29,11</t>
  </si>
  <si>
    <t>PYB164</t>
  </si>
  <si>
    <t>PYB165</t>
  </si>
  <si>
    <t>151,29,12</t>
  </si>
  <si>
    <t>PYB166</t>
  </si>
  <si>
    <t>PYB167</t>
  </si>
  <si>
    <t>151.33.15</t>
  </si>
  <si>
    <t>PYB168</t>
  </si>
  <si>
    <t>PYB169</t>
  </si>
  <si>
    <t>PYB170</t>
  </si>
  <si>
    <t>PYB171</t>
  </si>
  <si>
    <t>152,50,13</t>
  </si>
  <si>
    <t>152,53,39</t>
  </si>
  <si>
    <t>152,53,84</t>
  </si>
  <si>
    <t>PYB174</t>
  </si>
  <si>
    <t>151,42,22</t>
  </si>
  <si>
    <t>Favor no eliminar la carpeta BRB xx</t>
  </si>
  <si>
    <t>152,58,53</t>
  </si>
  <si>
    <t>152,60,15</t>
  </si>
  <si>
    <t>152,65,76</t>
  </si>
  <si>
    <t>152,65,78</t>
  </si>
  <si>
    <t>152,61,49</t>
  </si>
  <si>
    <t>152,69,30</t>
  </si>
  <si>
    <t>152,72,63</t>
  </si>
  <si>
    <t>152,72,64</t>
  </si>
  <si>
    <t>152,73,01</t>
  </si>
  <si>
    <t>PYB172</t>
  </si>
  <si>
    <t>152,73,05</t>
  </si>
  <si>
    <t>152,77,92</t>
  </si>
  <si>
    <t>152,81,46</t>
  </si>
  <si>
    <t>152,84,36</t>
  </si>
  <si>
    <t>152,86,18</t>
  </si>
  <si>
    <t>152,86,54</t>
  </si>
  <si>
    <t>152,89,50</t>
  </si>
  <si>
    <t>152,89,49</t>
  </si>
  <si>
    <t>152,89,75</t>
  </si>
  <si>
    <t>152,97,88</t>
  </si>
  <si>
    <t>153,04,35</t>
  </si>
  <si>
    <t>153,04,36</t>
  </si>
  <si>
    <t>153,04,74</t>
  </si>
  <si>
    <t>153,06,64</t>
  </si>
  <si>
    <t>153,09,85</t>
  </si>
  <si>
    <t>153,09,86</t>
  </si>
  <si>
    <t>153,12,63</t>
  </si>
  <si>
    <t>153,15,35</t>
  </si>
  <si>
    <t>153,19,67</t>
  </si>
  <si>
    <t>153,19,71</t>
  </si>
  <si>
    <t>153,19,69</t>
  </si>
  <si>
    <t>153,25,77</t>
  </si>
  <si>
    <t>153,28,73</t>
  </si>
  <si>
    <t>153,30,66</t>
  </si>
  <si>
    <t>153,32,80</t>
  </si>
  <si>
    <t>153,36,54</t>
  </si>
  <si>
    <t>153,39,38</t>
  </si>
  <si>
    <t>153.43.49</t>
  </si>
  <si>
    <t>153,50,36</t>
  </si>
  <si>
    <t>153,50,45</t>
  </si>
  <si>
    <t>153,50,54</t>
  </si>
  <si>
    <t>153,54,72</t>
  </si>
  <si>
    <t>153,52,77</t>
  </si>
  <si>
    <t>153,53,66</t>
  </si>
  <si>
    <t>153.57.39</t>
  </si>
  <si>
    <t>153,56,67</t>
  </si>
  <si>
    <t>153,60,68</t>
  </si>
  <si>
    <t>153,66,31</t>
  </si>
  <si>
    <t>153,66,32</t>
  </si>
  <si>
    <t>153,66,53</t>
  </si>
  <si>
    <t>153,68,22</t>
  </si>
  <si>
    <t>BRB108</t>
  </si>
  <si>
    <t>153,68,21</t>
  </si>
  <si>
    <t>153,66,54</t>
  </si>
  <si>
    <t>153.74.79</t>
  </si>
  <si>
    <t>153.71.62</t>
  </si>
  <si>
    <t>153.75.62</t>
  </si>
  <si>
    <t>153,76,24</t>
  </si>
  <si>
    <t>153,76,23</t>
  </si>
  <si>
    <t>153,87,97</t>
  </si>
  <si>
    <t>153,87,98</t>
  </si>
  <si>
    <t>153,87,99</t>
  </si>
  <si>
    <t>153,86,74</t>
  </si>
  <si>
    <t>153.95.01</t>
  </si>
  <si>
    <t>153.94.27</t>
  </si>
  <si>
    <t>Entraron 1159 Bolsas</t>
  </si>
  <si>
    <t>153.76.25</t>
  </si>
  <si>
    <t>Mercadería con Problemas hubo descuent</t>
  </si>
  <si>
    <t>153,97,95</t>
  </si>
  <si>
    <t>153,97,51</t>
  </si>
  <si>
    <t>153,97,52</t>
  </si>
  <si>
    <t>153,97,53</t>
  </si>
  <si>
    <t>154,09,25</t>
  </si>
  <si>
    <t>154,06,26</t>
  </si>
  <si>
    <t>154,12,09</t>
  </si>
  <si>
    <t>154,10,13</t>
  </si>
  <si>
    <t>BRB133</t>
  </si>
  <si>
    <t>154,13,24</t>
  </si>
  <si>
    <t>BRB134</t>
  </si>
  <si>
    <t>154,16,23</t>
  </si>
  <si>
    <t>BRB135</t>
  </si>
  <si>
    <t>154,16,22</t>
  </si>
  <si>
    <t>BRB136</t>
  </si>
  <si>
    <t>154,22,10</t>
  </si>
  <si>
    <t>BRB137</t>
  </si>
  <si>
    <t>154,26,06</t>
  </si>
  <si>
    <t>BRB138</t>
  </si>
  <si>
    <t>154,24,20</t>
  </si>
  <si>
    <t>BRB139</t>
  </si>
  <si>
    <t>154,24,06</t>
  </si>
  <si>
    <t>BRB140</t>
  </si>
  <si>
    <t>154,28,29</t>
  </si>
  <si>
    <t>BRB141</t>
  </si>
  <si>
    <t>154,28,21</t>
  </si>
  <si>
    <t>BRB142</t>
  </si>
  <si>
    <t>154,27,30</t>
  </si>
  <si>
    <t>BRB143</t>
  </si>
  <si>
    <t>154,27,31</t>
  </si>
  <si>
    <t>BRB144</t>
  </si>
  <si>
    <t>154,32,59</t>
  </si>
  <si>
    <t>BRB145</t>
  </si>
  <si>
    <t>154,28,24</t>
  </si>
  <si>
    <t>BRB146</t>
  </si>
  <si>
    <t>154,36,59</t>
  </si>
  <si>
    <t>BRB147</t>
  </si>
  <si>
    <t>154,37,74</t>
  </si>
  <si>
    <t>BRB148</t>
  </si>
  <si>
    <t>154,39,05</t>
  </si>
  <si>
    <t>BRB020-26</t>
  </si>
  <si>
    <t>155.10.40</t>
  </si>
  <si>
    <t>BRB149</t>
  </si>
  <si>
    <t>154,42,17</t>
  </si>
  <si>
    <t>BRB150</t>
  </si>
  <si>
    <t>154,39,07</t>
  </si>
  <si>
    <t>BRB151</t>
  </si>
  <si>
    <t>154.43.82</t>
  </si>
  <si>
    <t>BRB152</t>
  </si>
  <si>
    <t>154.48.93</t>
  </si>
  <si>
    <t>BRB153</t>
  </si>
  <si>
    <t>154.51.58</t>
  </si>
  <si>
    <t>BRB154</t>
  </si>
  <si>
    <t>154,32,58</t>
  </si>
  <si>
    <t>BRB155</t>
  </si>
  <si>
    <t>154,55,19</t>
  </si>
  <si>
    <t>BRB156</t>
  </si>
  <si>
    <t>154,58,59</t>
  </si>
  <si>
    <t>BRB157</t>
  </si>
  <si>
    <t>154,58,61</t>
  </si>
  <si>
    <t>BRB158</t>
  </si>
  <si>
    <t>154,58,60</t>
  </si>
  <si>
    <t>BRB159</t>
  </si>
  <si>
    <t>154,62,02</t>
  </si>
  <si>
    <t>BRB160</t>
  </si>
  <si>
    <t>154,66,88</t>
  </si>
  <si>
    <t>BRB021-26</t>
  </si>
  <si>
    <t>155.13.13</t>
  </si>
  <si>
    <t>BRB022-26</t>
  </si>
  <si>
    <t>155,18,88</t>
  </si>
  <si>
    <t>BRB023-26</t>
  </si>
  <si>
    <t>155,13,11</t>
  </si>
  <si>
    <t>BRB024-26</t>
  </si>
  <si>
    <t>155,19,29</t>
  </si>
  <si>
    <t>BRB025-26</t>
  </si>
  <si>
    <t>155,23,52</t>
  </si>
  <si>
    <t>BRB026-26</t>
  </si>
  <si>
    <t>155,25,75</t>
  </si>
  <si>
    <t>1515510/1515310</t>
  </si>
  <si>
    <t>BRB027-26</t>
  </si>
  <si>
    <t>155,25,74</t>
  </si>
  <si>
    <t xml:space="preserve">Mercadería Rechazada no ingreso </t>
  </si>
  <si>
    <t>BRB028-26</t>
  </si>
  <si>
    <t>155,29,93</t>
  </si>
  <si>
    <t>BRB029-26</t>
  </si>
  <si>
    <t>155.13.11</t>
  </si>
  <si>
    <t>BRB030-26</t>
  </si>
  <si>
    <t>155,31,49</t>
  </si>
  <si>
    <t>BRB031-26</t>
  </si>
  <si>
    <t>155.31.50</t>
  </si>
  <si>
    <t>BRB032-26</t>
  </si>
  <si>
    <t>155.36.94</t>
  </si>
  <si>
    <t>BRB033-26</t>
  </si>
  <si>
    <t>155.37.64</t>
  </si>
  <si>
    <t>BRB034-26</t>
  </si>
  <si>
    <t>155,39,61</t>
  </si>
  <si>
    <t>BRB035-26</t>
  </si>
  <si>
    <t>155,39,62</t>
  </si>
  <si>
    <t>BRB036-26</t>
  </si>
  <si>
    <t>BRB037-26</t>
  </si>
  <si>
    <t>155,52,48</t>
  </si>
  <si>
    <t>BRB038-26</t>
  </si>
  <si>
    <t>155,55,48</t>
  </si>
  <si>
    <t>BRB039-26</t>
  </si>
  <si>
    <t>155,36,94</t>
  </si>
  <si>
    <t>BRB040-26</t>
  </si>
  <si>
    <t>BRB041/26</t>
  </si>
  <si>
    <t>BRB042/26</t>
  </si>
  <si>
    <t>155,72,92</t>
  </si>
  <si>
    <t>BRB043/26</t>
  </si>
  <si>
    <t>155,72,93</t>
  </si>
  <si>
    <t>BRB044/26</t>
  </si>
  <si>
    <t>BRB045/26</t>
  </si>
  <si>
    <t>BRB046/26</t>
  </si>
  <si>
    <t>BRB047/26</t>
  </si>
  <si>
    <t>BRB048/26</t>
  </si>
  <si>
    <t>1516907/1516908/1516901/1516911/1517072</t>
  </si>
  <si>
    <t>BRB049/26</t>
  </si>
  <si>
    <t>1516909/1517707/1517706/1517708/1517861</t>
  </si>
  <si>
    <t>BRB050/26</t>
  </si>
  <si>
    <t>Dom Basto</t>
  </si>
  <si>
    <t>151.78.54</t>
  </si>
  <si>
    <t>151806/1518038/1518037/1518039</t>
  </si>
  <si>
    <t>1520105/1520107/1520106/1520108/</t>
  </si>
  <si>
    <t>M.Rockenbach</t>
  </si>
  <si>
    <t>1520482/1520484/1520485/1520483</t>
  </si>
  <si>
    <t>VPM</t>
  </si>
  <si>
    <t>1521862/1521860/1522126/1521868</t>
  </si>
  <si>
    <t>1523776/1523600</t>
  </si>
  <si>
    <t>1525021/1525427/1525020/1525018/1525019</t>
  </si>
  <si>
    <t>1527095/96/97/98</t>
  </si>
  <si>
    <t>152,76,32</t>
  </si>
  <si>
    <t>UY007-AL</t>
  </si>
  <si>
    <t>VPN</t>
  </si>
  <si>
    <t>152,77,46</t>
  </si>
  <si>
    <t>1528818/1528487/</t>
  </si>
  <si>
    <t>1528485/1528484/1528486</t>
  </si>
  <si>
    <t>1530138/39/40</t>
  </si>
  <si>
    <t>153,10,55</t>
  </si>
  <si>
    <t>153,11,84</t>
  </si>
  <si>
    <t>Pampeana</t>
  </si>
  <si>
    <t>Miltex</t>
  </si>
  <si>
    <t>153,15,60</t>
  </si>
  <si>
    <t>153,16,42</t>
  </si>
  <si>
    <t>153,24,06</t>
  </si>
  <si>
    <t>153,28,88</t>
  </si>
  <si>
    <t xml:space="preserve">VPM </t>
  </si>
  <si>
    <t>153,18,80</t>
  </si>
  <si>
    <t>153,3278/1532462/1532461/1532905</t>
  </si>
  <si>
    <t>153,33,15</t>
  </si>
  <si>
    <t>158/25</t>
  </si>
  <si>
    <t>153,43,09</t>
  </si>
  <si>
    <t>Don Basto</t>
  </si>
  <si>
    <t>1534548/1534547/1534929/1534792</t>
  </si>
  <si>
    <t>153,49,17</t>
  </si>
  <si>
    <t>1535946/1535945/1535944/1535714</t>
  </si>
  <si>
    <t>153,59,08</t>
  </si>
  <si>
    <t>153,62,25</t>
  </si>
  <si>
    <t>1536865/1536866/1536867/1537059</t>
  </si>
  <si>
    <t>BRB051/26</t>
  </si>
  <si>
    <t>1537169/1537170</t>
  </si>
  <si>
    <t>1537478 / 1537060</t>
  </si>
  <si>
    <t>1537061 / 1537276</t>
  </si>
  <si>
    <t>153.74.58</t>
  </si>
  <si>
    <t>BRE061</t>
  </si>
  <si>
    <t>BRE062</t>
  </si>
  <si>
    <t>BRE063</t>
  </si>
  <si>
    <t>BRE064</t>
  </si>
  <si>
    <t>BRE065</t>
  </si>
  <si>
    <t>BRE066</t>
  </si>
  <si>
    <t>153,91,32</t>
  </si>
  <si>
    <t>BRE067</t>
  </si>
  <si>
    <t>BRE068</t>
  </si>
  <si>
    <t>BRE069</t>
  </si>
  <si>
    <t>BRE070</t>
  </si>
  <si>
    <t>BRE071</t>
  </si>
  <si>
    <t>BRE072</t>
  </si>
  <si>
    <t>BRE073</t>
  </si>
  <si>
    <t>BRE074</t>
  </si>
  <si>
    <t>154152/1541531/1541533/1541526</t>
  </si>
  <si>
    <t>BRE075</t>
  </si>
  <si>
    <t>1543090/15430090/1543091/1543109</t>
  </si>
  <si>
    <t>BRE076</t>
  </si>
  <si>
    <t>1543092/1543094</t>
  </si>
  <si>
    <t>BRE077</t>
  </si>
  <si>
    <t>154.47.32/33/35/34</t>
  </si>
  <si>
    <t>BRE078</t>
  </si>
  <si>
    <t>154,45,12/154,50,73</t>
  </si>
  <si>
    <t>BRE079</t>
  </si>
  <si>
    <t>154,55,68/154,5564/1545571</t>
  </si>
  <si>
    <t>BRE080</t>
  </si>
  <si>
    <t>BRE081</t>
  </si>
  <si>
    <t>1546444/1546443</t>
  </si>
  <si>
    <t>151,42,14</t>
  </si>
  <si>
    <t>BRB052/26</t>
  </si>
  <si>
    <t>156,03,63</t>
  </si>
  <si>
    <t>BRB053/26</t>
  </si>
  <si>
    <t>BRB054/26</t>
  </si>
  <si>
    <t>156,09,31</t>
  </si>
  <si>
    <t>BRB055/26</t>
  </si>
  <si>
    <t>BRB056/26</t>
  </si>
  <si>
    <t>BRB057/26</t>
  </si>
  <si>
    <t>BRB058/26</t>
  </si>
  <si>
    <t>BRB059/26</t>
  </si>
  <si>
    <t>BRB060/26</t>
  </si>
  <si>
    <t>156,21,29</t>
  </si>
  <si>
    <t>BRE001-26</t>
  </si>
  <si>
    <t>1547096-1547095</t>
  </si>
  <si>
    <t>BRE002-26</t>
  </si>
  <si>
    <t>1547163-1547506</t>
  </si>
  <si>
    <t>BRE003-26</t>
  </si>
  <si>
    <t>1548957-1548960</t>
  </si>
  <si>
    <t>BRE004-26</t>
  </si>
  <si>
    <t>1548931/1548933</t>
  </si>
  <si>
    <t>BRE005-26</t>
  </si>
  <si>
    <t>BRE006-26</t>
  </si>
  <si>
    <t>155,01,25</t>
  </si>
  <si>
    <t>BRE007-26</t>
  </si>
  <si>
    <t>Jaguacy</t>
  </si>
  <si>
    <t>BRE008-26</t>
  </si>
  <si>
    <t>155.19.29-155.19.31-1551930</t>
  </si>
  <si>
    <t>BRE009-26</t>
  </si>
  <si>
    <t>BRE010/26</t>
  </si>
  <si>
    <t>BRE011/26</t>
  </si>
  <si>
    <t>1552727/1553172</t>
  </si>
  <si>
    <t>BRE012/26</t>
  </si>
  <si>
    <t>BRE013-26</t>
  </si>
  <si>
    <t>1553363/1553364/1553538</t>
  </si>
  <si>
    <t>BRE014-26</t>
  </si>
  <si>
    <t>155.37.02</t>
  </si>
  <si>
    <t>BRE015/26</t>
  </si>
  <si>
    <t>pode</t>
  </si>
  <si>
    <t>BRE016/26</t>
  </si>
  <si>
    <t>1554374-1554371-1554378</t>
  </si>
  <si>
    <t>BRE017-26</t>
  </si>
  <si>
    <t xml:space="preserve">Jengibre y Banana </t>
  </si>
  <si>
    <t>1554370-1554956</t>
  </si>
  <si>
    <t>BRE018-26</t>
  </si>
  <si>
    <t>BRE019-26</t>
  </si>
  <si>
    <t>Maní y Banana</t>
  </si>
  <si>
    <t>1555890/Runaev 4036/00/01</t>
  </si>
  <si>
    <t>BRE020-26</t>
  </si>
  <si>
    <t>BRE021-26</t>
  </si>
  <si>
    <t>Jengibre y Curcuma</t>
  </si>
  <si>
    <t>7952d</t>
  </si>
  <si>
    <t>BRE022-26</t>
  </si>
  <si>
    <t>15555735/1555736/1555734/15586090</t>
  </si>
  <si>
    <t>BRE023-26</t>
  </si>
  <si>
    <t>BRE024-26</t>
  </si>
  <si>
    <t>BRE025-26</t>
  </si>
  <si>
    <t>Maní</t>
  </si>
  <si>
    <t>Runaev 4036/00/01</t>
  </si>
  <si>
    <t>BRB061/26</t>
  </si>
  <si>
    <t>156.34.33</t>
  </si>
  <si>
    <t>BRB062/26</t>
  </si>
  <si>
    <t>156.34.34</t>
  </si>
  <si>
    <t>BRB063/26</t>
  </si>
  <si>
    <t>156.34.36</t>
  </si>
  <si>
    <t>BRB064/26</t>
  </si>
  <si>
    <t>156,35,31</t>
  </si>
  <si>
    <t>BRB065/26</t>
  </si>
  <si>
    <t>156,43,79</t>
  </si>
  <si>
    <t>BRB066/26</t>
  </si>
  <si>
    <t>156.56.20</t>
  </si>
  <si>
    <t>BRB067/26</t>
  </si>
  <si>
    <t>156,62,09</t>
  </si>
  <si>
    <t>BRB068/26</t>
  </si>
  <si>
    <t>BRB069/26</t>
  </si>
  <si>
    <t>BRB070/26</t>
  </si>
  <si>
    <t>BRE026-26</t>
  </si>
  <si>
    <t>BRE027-26</t>
  </si>
  <si>
    <t>BRE028-26</t>
  </si>
  <si>
    <t>BRE029-26</t>
  </si>
  <si>
    <t>BRB071/26</t>
  </si>
  <si>
    <t>BRE031-26</t>
  </si>
  <si>
    <t>1559012-1559013-1559117</t>
  </si>
  <si>
    <t>BRE032-26</t>
  </si>
  <si>
    <t>BRE033-26</t>
  </si>
  <si>
    <t>1559825/1559693</t>
  </si>
  <si>
    <t>BRE034-26</t>
  </si>
  <si>
    <t>1559267/1559268</t>
  </si>
  <si>
    <t>BRE035-26</t>
  </si>
  <si>
    <t>DINA</t>
  </si>
  <si>
    <t>BRB072/26</t>
  </si>
  <si>
    <t>BRE030-26</t>
  </si>
  <si>
    <t>BRE036-26</t>
  </si>
  <si>
    <t>BRE037-26</t>
  </si>
  <si>
    <t>1560248/1560288</t>
  </si>
  <si>
    <t>BRE038-26</t>
  </si>
  <si>
    <t>BRE039-26</t>
  </si>
  <si>
    <t>1560718/1560719</t>
  </si>
  <si>
    <t>BRE040-26</t>
  </si>
  <si>
    <t>1560512/15660510/1560514/1560513</t>
  </si>
  <si>
    <t>BRE041/26</t>
  </si>
  <si>
    <t>BRE042/26</t>
  </si>
  <si>
    <t>BRE043/26</t>
  </si>
  <si>
    <t>BRB073/26</t>
  </si>
  <si>
    <t>156,85,13</t>
  </si>
  <si>
    <t>BRB074/26</t>
  </si>
  <si>
    <t>156,87,83</t>
  </si>
  <si>
    <t>BRE044-26</t>
  </si>
  <si>
    <t>1561889/1561888/1561891</t>
  </si>
  <si>
    <t>BRE045-26</t>
  </si>
  <si>
    <t>BRE046-26</t>
  </si>
  <si>
    <t>156,25,14</t>
  </si>
  <si>
    <t>BRE047-26</t>
  </si>
  <si>
    <t>BRE048-26</t>
  </si>
  <si>
    <t>156.19.54/1562591/1562595</t>
  </si>
  <si>
    <t>PYB001-26</t>
  </si>
  <si>
    <t>3G</t>
  </si>
  <si>
    <t>154.70.65</t>
  </si>
  <si>
    <t>PYB002-26</t>
  </si>
  <si>
    <t>PYB003-26</t>
  </si>
  <si>
    <t>Servi Fel</t>
  </si>
  <si>
    <t>PYB004-26</t>
  </si>
  <si>
    <t>PYB005-26</t>
  </si>
  <si>
    <t>PYB006-26</t>
  </si>
  <si>
    <t>Compass</t>
  </si>
  <si>
    <t>PYB007-26</t>
  </si>
  <si>
    <t>Compas</t>
  </si>
  <si>
    <t>154,93,70</t>
  </si>
  <si>
    <t>PYB008/26</t>
  </si>
  <si>
    <t>TEYU´I E HIJOS S.R.L.</t>
  </si>
  <si>
    <t>154,93,37</t>
  </si>
  <si>
    <t>PYB009/26</t>
  </si>
  <si>
    <t>Surcentral</t>
  </si>
  <si>
    <t>PYB010/26</t>
  </si>
  <si>
    <t>PYB011/26</t>
  </si>
  <si>
    <t>PYB012/26</t>
  </si>
  <si>
    <t>Mega</t>
  </si>
  <si>
    <t>PYB013/26</t>
  </si>
  <si>
    <t>PYB014/26</t>
  </si>
  <si>
    <t>PYB015/26</t>
  </si>
  <si>
    <t>155,04,91</t>
  </si>
  <si>
    <t>PYB016/26</t>
  </si>
  <si>
    <t>155,07,25</t>
  </si>
  <si>
    <t>PYB017/26</t>
  </si>
  <si>
    <t>155.10.43</t>
  </si>
  <si>
    <t>PYB018/26</t>
  </si>
  <si>
    <t>155.09.93</t>
  </si>
  <si>
    <t>PYB019/26</t>
  </si>
  <si>
    <t>PYB020-26</t>
  </si>
  <si>
    <t>PYB021-26</t>
  </si>
  <si>
    <t>Mega Logistica</t>
  </si>
  <si>
    <t>BRE049-26</t>
  </si>
  <si>
    <t>BRE050-26</t>
  </si>
  <si>
    <t>156,33,90</t>
  </si>
  <si>
    <t>BRE051-26</t>
  </si>
  <si>
    <t>156,15,54</t>
  </si>
  <si>
    <t>BRE052-26</t>
  </si>
  <si>
    <t>BRE053/26</t>
  </si>
  <si>
    <t>BRE054/26</t>
  </si>
  <si>
    <t>BRE055-26</t>
  </si>
  <si>
    <t>1564986/1564989/1564987/1564988</t>
  </si>
  <si>
    <t>BRE056/26</t>
  </si>
  <si>
    <t>1565230/1565229</t>
  </si>
  <si>
    <t>BRE057-26</t>
  </si>
  <si>
    <t>Melon</t>
  </si>
  <si>
    <t>BRE058-26</t>
  </si>
  <si>
    <t>151.42.13</t>
  </si>
  <si>
    <t>PYB022-26</t>
  </si>
  <si>
    <t>151,44,11</t>
  </si>
  <si>
    <t>PYB023-26</t>
  </si>
  <si>
    <t>PYB024-26</t>
  </si>
  <si>
    <t>PYB025-26</t>
  </si>
  <si>
    <t>PYB026/26</t>
  </si>
  <si>
    <t>PYB027/26</t>
  </si>
  <si>
    <t>PYB028/26</t>
  </si>
  <si>
    <t>G.S.C.S. PARAGUAY TTES.</t>
  </si>
  <si>
    <t>MIL</t>
  </si>
  <si>
    <t>PYB029-26</t>
  </si>
  <si>
    <t>BRE059-26</t>
  </si>
  <si>
    <t>BRE060-26</t>
  </si>
  <si>
    <t>BRE061-26</t>
  </si>
  <si>
    <t>1566897/1566898</t>
  </si>
  <si>
    <t>151.52.43</t>
  </si>
  <si>
    <t>BRE062-26</t>
  </si>
  <si>
    <t>1566971/1566972/1566974/1566975/1566976</t>
  </si>
  <si>
    <t>Milsiades</t>
  </si>
  <si>
    <t>BRE063/26</t>
  </si>
  <si>
    <t>1567627/1567626</t>
  </si>
  <si>
    <t>BRE064/26</t>
  </si>
  <si>
    <t>PYB030-26</t>
  </si>
  <si>
    <t>PYB031-26</t>
  </si>
  <si>
    <t>G.S.C.S. PARAGUAY TTES. S.R.L.</t>
  </si>
  <si>
    <t>PYB032-26</t>
  </si>
  <si>
    <t>156,02,79</t>
  </si>
  <si>
    <t>PYB033/26</t>
  </si>
  <si>
    <t>PYB034/26</t>
  </si>
  <si>
    <t>PYB035-26</t>
  </si>
  <si>
    <t>PYB036/26</t>
  </si>
  <si>
    <t>PYB037-26</t>
  </si>
  <si>
    <t>PYB038-26</t>
  </si>
  <si>
    <t>PYB039/26</t>
  </si>
  <si>
    <t>PYB040/26</t>
  </si>
  <si>
    <t>PYB041/26</t>
  </si>
  <si>
    <t>PYB042/26</t>
  </si>
  <si>
    <t>BRE065/26</t>
  </si>
  <si>
    <t>BRE066/26</t>
  </si>
  <si>
    <t>PYB044/26</t>
  </si>
  <si>
    <t>156.32.48</t>
  </si>
  <si>
    <t>PYB045/26</t>
  </si>
  <si>
    <t>Servifel</t>
  </si>
  <si>
    <t>Lider Express</t>
  </si>
  <si>
    <t>156,33,94</t>
  </si>
  <si>
    <t>PYB046/26</t>
  </si>
  <si>
    <t>PYB047-26</t>
  </si>
  <si>
    <t>PYB048-26</t>
  </si>
  <si>
    <t>156,43,99</t>
  </si>
  <si>
    <t>PYB049-26</t>
  </si>
  <si>
    <t>Emprendimientos Karen</t>
  </si>
  <si>
    <t>PYB050-26</t>
  </si>
  <si>
    <t>PYB051-26</t>
  </si>
  <si>
    <t>PYB052-26</t>
  </si>
  <si>
    <t>Alvaro Saldivar</t>
  </si>
  <si>
    <t>PYB053-26</t>
  </si>
  <si>
    <t>PYB054-26</t>
  </si>
  <si>
    <t>PYB055-26</t>
  </si>
  <si>
    <t>PYB056-26</t>
  </si>
  <si>
    <t xml:space="preserve">MARSO EMPRENDIMIENTOS S.R.L. </t>
  </si>
  <si>
    <t>PYB057-26</t>
  </si>
  <si>
    <t>PYB058/26</t>
  </si>
  <si>
    <t>PYB059-26</t>
  </si>
  <si>
    <t>PYB060-26</t>
  </si>
  <si>
    <t>PYB061-26</t>
  </si>
  <si>
    <t>PYB062-26</t>
  </si>
  <si>
    <t>PYB063-26</t>
  </si>
  <si>
    <t>PYB064/26</t>
  </si>
  <si>
    <t>PYB065-26</t>
  </si>
  <si>
    <t>PYB066-26</t>
  </si>
  <si>
    <t>PYB067-26</t>
  </si>
  <si>
    <t>PYB068-26</t>
  </si>
  <si>
    <t>156,87,09</t>
  </si>
  <si>
    <t>PYE001-26</t>
  </si>
  <si>
    <t>+++++++++++++++++++++++++++++++</t>
  </si>
  <si>
    <t>152,75,57</t>
  </si>
  <si>
    <t>152,75,56</t>
  </si>
  <si>
    <t>153,16,24</t>
  </si>
  <si>
    <t>153,35,37</t>
  </si>
  <si>
    <t>153.51.14</t>
  </si>
  <si>
    <t>153,65,99</t>
  </si>
  <si>
    <t>153.75.12</t>
  </si>
  <si>
    <t>PYB173</t>
  </si>
  <si>
    <t>151,43,29</t>
  </si>
  <si>
    <t xml:space="preserve">                            </t>
  </si>
  <si>
    <t>celular</t>
  </si>
  <si>
    <t>Adailton Chinkevicz</t>
  </si>
  <si>
    <t>+5542999594310</t>
  </si>
  <si>
    <t>Adair Rosseto</t>
  </si>
  <si>
    <t>+5542999841559</t>
  </si>
  <si>
    <t>Adão da Silveira</t>
  </si>
  <si>
    <t>+5549989007917</t>
  </si>
  <si>
    <t>Adilso Martello</t>
  </si>
  <si>
    <t>+5549999288403</t>
  </si>
  <si>
    <t>+5555999696955</t>
  </si>
  <si>
    <t>Adilson Beitum</t>
  </si>
  <si>
    <t>+554199367107</t>
  </si>
  <si>
    <t>Adilson Caceres</t>
  </si>
  <si>
    <t>+5555996177111</t>
  </si>
  <si>
    <t>+5548992106401</t>
  </si>
  <si>
    <t>+5555999703929</t>
  </si>
  <si>
    <t>Agnaldo Mariano Noelves</t>
  </si>
  <si>
    <t>+5527997171235</t>
  </si>
  <si>
    <t>+5555984262559</t>
  </si>
  <si>
    <t>Alan Gusz Kusz</t>
  </si>
  <si>
    <t>+5554996996146</t>
  </si>
  <si>
    <t>+5553984382803</t>
  </si>
  <si>
    <t>Alexandre Correa Lopes</t>
  </si>
  <si>
    <t>+555499570579</t>
  </si>
  <si>
    <t>Alexandre Marostica</t>
  </si>
  <si>
    <t>+5549999343517</t>
  </si>
  <si>
    <t>Alexandre Matheus Da Silva</t>
  </si>
  <si>
    <t>+5549998402576</t>
  </si>
  <si>
    <t>+5553984414060</t>
  </si>
  <si>
    <t>Amauri Lopes</t>
  </si>
  <si>
    <t>+5542991220251</t>
  </si>
  <si>
    <t>Anderson Campanucci</t>
  </si>
  <si>
    <t>+5511914877797</t>
  </si>
  <si>
    <t>André da Silva</t>
  </si>
  <si>
    <t>+5555999971810</t>
  </si>
  <si>
    <t>Anildo arenhart</t>
  </si>
  <si>
    <t>+5534984146838</t>
  </si>
  <si>
    <t>Antonio F. de Souza</t>
  </si>
  <si>
    <t>+5544991829345</t>
  </si>
  <si>
    <t>Arhur Menezes Veloso</t>
  </si>
  <si>
    <t>+5511994766812</t>
  </si>
  <si>
    <t>Ariel Arenhart</t>
  </si>
  <si>
    <t>+5549988466446</t>
  </si>
  <si>
    <t>+5555991366995</t>
  </si>
  <si>
    <t>Bruno Cechi</t>
  </si>
  <si>
    <t>+5549988712894</t>
  </si>
  <si>
    <t>Carlos Alberto de Lima</t>
  </si>
  <si>
    <t>+5547989253003</t>
  </si>
  <si>
    <t>+5546988068113</t>
  </si>
  <si>
    <t>Carlos Eduardo Amaral</t>
  </si>
  <si>
    <t>+5549988896693</t>
  </si>
  <si>
    <t>Carlos Eduardo Pegorara</t>
  </si>
  <si>
    <t>+5555997300101</t>
  </si>
  <si>
    <t>+5547991777362</t>
  </si>
  <si>
    <t>Celso Jaritas Rosa</t>
  </si>
  <si>
    <t>+5549999225591</t>
  </si>
  <si>
    <t>Clair Dalarossi</t>
  </si>
  <si>
    <t>+554999915445</t>
  </si>
  <si>
    <t>Claudinei Martins</t>
  </si>
  <si>
    <t>+5548988688638</t>
  </si>
  <si>
    <t>Cleber Daniel da S. Santos</t>
  </si>
  <si>
    <t>+5555981068663</t>
  </si>
  <si>
    <t>Cleverson Levandoski</t>
  </si>
  <si>
    <t>+5542988004284</t>
  </si>
  <si>
    <t>Cleverson Ozorio</t>
  </si>
  <si>
    <t>+5547996592266</t>
  </si>
  <si>
    <t>Clóvis Schmidt</t>
  </si>
  <si>
    <t>+5549988793702</t>
  </si>
  <si>
    <t>Cristian Sot</t>
  </si>
  <si>
    <t>+5549988692864</t>
  </si>
  <si>
    <t>Cristiano Mesquita</t>
  </si>
  <si>
    <t>+5553984326884</t>
  </si>
  <si>
    <t>Cristiano Teixeira</t>
  </si>
  <si>
    <t>+5547999509375</t>
  </si>
  <si>
    <t>+5555997126993</t>
  </si>
  <si>
    <t>Daniel Bittencourt</t>
  </si>
  <si>
    <t>+5553999027886</t>
  </si>
  <si>
    <t>Danilo Vasconcelos</t>
  </si>
  <si>
    <t>+5519983156660</t>
  </si>
  <si>
    <t>+5542999737345</t>
  </si>
  <si>
    <t>Decio Kobs</t>
  </si>
  <si>
    <t>+5549998366063</t>
  </si>
  <si>
    <t>Deivison Machado</t>
  </si>
  <si>
    <t>+5553999605079</t>
  </si>
  <si>
    <t>+5542991092026</t>
  </si>
  <si>
    <t>Diego Mendes</t>
  </si>
  <si>
    <t>+5549999056146</t>
  </si>
  <si>
    <t>+5553984318842</t>
  </si>
  <si>
    <t>Dilmar Lauermann</t>
  </si>
  <si>
    <t>+554199522777</t>
  </si>
  <si>
    <t>Dionis Prichua</t>
  </si>
  <si>
    <t>+5546999065114</t>
  </si>
  <si>
    <t>Dirso Venancio</t>
  </si>
  <si>
    <t>+5549999901929</t>
  </si>
  <si>
    <t>Dolir Campanharo</t>
  </si>
  <si>
    <t>+5546988245666</t>
  </si>
  <si>
    <t>+5547999313501</t>
  </si>
  <si>
    <t>Douy Herik De Lima</t>
  </si>
  <si>
    <t>+554998879617</t>
  </si>
  <si>
    <t>+5542998101794</t>
  </si>
  <si>
    <t>Edersom Ampeze</t>
  </si>
  <si>
    <t>+5549999991179</t>
  </si>
  <si>
    <t>Ederson Nossal</t>
  </si>
  <si>
    <t>+5548996777474</t>
  </si>
  <si>
    <t>+5555984565510</t>
  </si>
  <si>
    <t>Egon Ruppenthal</t>
  </si>
  <si>
    <t>+5549988099700</t>
  </si>
  <si>
    <t>Elinton Soehn</t>
  </si>
  <si>
    <t>+5555996810620</t>
  </si>
  <si>
    <t>+5553999520871</t>
  </si>
  <si>
    <t>Elton Asen</t>
  </si>
  <si>
    <t>+5549999354265</t>
  </si>
  <si>
    <t>+5549999774835</t>
  </si>
  <si>
    <t>+5527998189742</t>
  </si>
  <si>
    <t>Enio da Silva</t>
  </si>
  <si>
    <t>+5548999487777</t>
  </si>
  <si>
    <t>Evelazio Bertella</t>
  </si>
  <si>
    <t>+5567998102472</t>
  </si>
  <si>
    <t>Eveltom Krummernauer</t>
  </si>
  <si>
    <t>+5546999776640</t>
  </si>
  <si>
    <t>Everton Cavalet</t>
  </si>
  <si>
    <t>+5547991056398</t>
  </si>
  <si>
    <t>Eziquiel Adacheski</t>
  </si>
  <si>
    <t>+5542988297747</t>
  </si>
  <si>
    <t>Fabiano Moreira</t>
  </si>
  <si>
    <t>+5553981057704</t>
  </si>
  <si>
    <t>Fabio Barragan Portela</t>
  </si>
  <si>
    <t>+5555991740789</t>
  </si>
  <si>
    <t>Fabio Enster</t>
  </si>
  <si>
    <t>+5555999095154</t>
  </si>
  <si>
    <t>Fabio Lisboa</t>
  </si>
  <si>
    <t>+5553984649843</t>
  </si>
  <si>
    <t>Fabio Marinho</t>
  </si>
  <si>
    <t>+5545999801129</t>
  </si>
  <si>
    <t>Fabio May</t>
  </si>
  <si>
    <t>+5548991607168</t>
  </si>
  <si>
    <t>+5554992334640</t>
  </si>
  <si>
    <t>+5555999462209</t>
  </si>
  <si>
    <t>Fabricio Peter</t>
  </si>
  <si>
    <t>+5553999201983</t>
  </si>
  <si>
    <t>+5553981336340</t>
  </si>
  <si>
    <t>Felipe Masson</t>
  </si>
  <si>
    <t>+5549998009632</t>
  </si>
  <si>
    <t>Fernando Bays</t>
  </si>
  <si>
    <t>+5549999286088</t>
  </si>
  <si>
    <t>Franciele Rosa</t>
  </si>
  <si>
    <t>+5549999165235</t>
  </si>
  <si>
    <t>Francisco Joesley</t>
  </si>
  <si>
    <t>+5549999158016</t>
  </si>
  <si>
    <t>Francisco Junior</t>
  </si>
  <si>
    <t>+5527998476347</t>
  </si>
  <si>
    <t>Francisco Silveira Lima</t>
  </si>
  <si>
    <t>+5549988567997</t>
  </si>
  <si>
    <t>Franco Mario</t>
  </si>
  <si>
    <t>+54 9 3756 43-1308</t>
  </si>
  <si>
    <t>Frederico Ovidio</t>
  </si>
  <si>
    <t>+5531999527275</t>
  </si>
  <si>
    <t>Gean Kuyava</t>
  </si>
  <si>
    <t>+5549991214419</t>
  </si>
  <si>
    <t>Geovane da Silva</t>
  </si>
  <si>
    <t>+5547997131719</t>
  </si>
  <si>
    <t>Gerson Penteado</t>
  </si>
  <si>
    <t>+5541999019037</t>
  </si>
  <si>
    <t>Gilberto Pasold</t>
  </si>
  <si>
    <t>+5542999344572</t>
  </si>
  <si>
    <t>Gilberto Trojan</t>
  </si>
  <si>
    <t>+5549999840290</t>
  </si>
  <si>
    <t>Giliane Goudinho</t>
  </si>
  <si>
    <t>+5549999158744</t>
  </si>
  <si>
    <t>Gilson Brum</t>
  </si>
  <si>
    <t>+5555996943464</t>
  </si>
  <si>
    <t>Gionesi Pereira</t>
  </si>
  <si>
    <t>+5549999158769</t>
  </si>
  <si>
    <t>Giovani dos Santos</t>
  </si>
  <si>
    <t>+5513988271708</t>
  </si>
  <si>
    <t>Giovani Luciani</t>
  </si>
  <si>
    <t>+5547996411120</t>
  </si>
  <si>
    <t>+5553999016543</t>
  </si>
  <si>
    <t>Guilherme Herlein</t>
  </si>
  <si>
    <t>+5555991658950</t>
  </si>
  <si>
    <t>Gustavo Barbosa</t>
  </si>
  <si>
    <t>+5555991753030</t>
  </si>
  <si>
    <t>Helio Lambertes</t>
  </si>
  <si>
    <t>+5554991670700</t>
  </si>
  <si>
    <t>Henrique Neumann</t>
  </si>
  <si>
    <t>+5549999423149</t>
  </si>
  <si>
    <t>+5555997225305</t>
  </si>
  <si>
    <t>Honorio Marques</t>
  </si>
  <si>
    <t>+5555991237083</t>
  </si>
  <si>
    <t>+5555997005936</t>
  </si>
  <si>
    <t>+5555999194221</t>
  </si>
  <si>
    <t>Iocif Anufriev</t>
  </si>
  <si>
    <t>+5542991150148</t>
  </si>
  <si>
    <t>Itamar Dias</t>
  </si>
  <si>
    <t>+5555999359777</t>
  </si>
  <si>
    <t>+5549999158753</t>
  </si>
  <si>
    <t>Jaci Claudio Marques</t>
  </si>
  <si>
    <t>+5555991730501</t>
  </si>
  <si>
    <t>+5549999843090</t>
  </si>
  <si>
    <t>Jaime Hack</t>
  </si>
  <si>
    <t>+5549999651943</t>
  </si>
  <si>
    <t>Jairo da Silva</t>
  </si>
  <si>
    <t>+5551992034026</t>
  </si>
  <si>
    <t>Jaison da Silva</t>
  </si>
  <si>
    <t>+5549999158750</t>
  </si>
  <si>
    <t>Janilso Tim</t>
  </si>
  <si>
    <t>+5553981265336</t>
  </si>
  <si>
    <t>Jarbas Rolhano</t>
  </si>
  <si>
    <t>+5553999462560</t>
  </si>
  <si>
    <t>Jean Galina</t>
  </si>
  <si>
    <t>+5542999162031</t>
  </si>
  <si>
    <t>Jean Hubert</t>
  </si>
  <si>
    <t>+5551991568956</t>
  </si>
  <si>
    <t>Jeferson Iurck</t>
  </si>
  <si>
    <t>+5542991247361</t>
  </si>
  <si>
    <t>+5541987757575</t>
  </si>
  <si>
    <t>Jefferson Benvenutti</t>
  </si>
  <si>
    <t>+5554999796520</t>
  </si>
  <si>
    <t>Jekson Prestes</t>
  </si>
  <si>
    <t>+5553984044691</t>
  </si>
  <si>
    <t>+5549998164474</t>
  </si>
  <si>
    <t>Jerry Matos</t>
  </si>
  <si>
    <t>+5549999520338</t>
  </si>
  <si>
    <t>Joanatan Neto</t>
  </si>
  <si>
    <t>+5551992476719</t>
  </si>
  <si>
    <t>João Batista de Aguiar</t>
  </si>
  <si>
    <t>+5555991928186</t>
  </si>
  <si>
    <t>+5542991616275</t>
  </si>
  <si>
    <t>João Hoch</t>
  </si>
  <si>
    <t>+5549999318990</t>
  </si>
  <si>
    <t>João Ivo Brum</t>
  </si>
  <si>
    <t>+5553981105942</t>
  </si>
  <si>
    <t>João Luiz Diniz Barbosa</t>
  </si>
  <si>
    <t>+5555991821947</t>
  </si>
  <si>
    <t>Joao Matana</t>
  </si>
  <si>
    <t>+5592994078787</t>
  </si>
  <si>
    <t>João Padilha</t>
  </si>
  <si>
    <t>+5549988074266</t>
  </si>
  <si>
    <t>+5542991159306</t>
  </si>
  <si>
    <t>+5542999247034</t>
  </si>
  <si>
    <t>Jocevar Azolim</t>
  </si>
  <si>
    <t>+5555991469000</t>
  </si>
  <si>
    <t>Joel Moreira de Macedo</t>
  </si>
  <si>
    <t>+5554992035454</t>
  </si>
  <si>
    <t>+5553997081676</t>
  </si>
  <si>
    <t>+5554999782229</t>
  </si>
  <si>
    <t>+5553984482248</t>
  </si>
  <si>
    <t>+5547999229927</t>
  </si>
  <si>
    <t>Jose Carlos Mello</t>
  </si>
  <si>
    <t>+5549988490431</t>
  </si>
  <si>
    <t>Jose Carneiro Braz</t>
  </si>
  <si>
    <t>+5541999119750</t>
  </si>
  <si>
    <t>Jose Elias de Souza</t>
  </si>
  <si>
    <t>+5555981342965</t>
  </si>
  <si>
    <t>+5555996189765</t>
  </si>
  <si>
    <t>Jose Ereni Jr</t>
  </si>
  <si>
    <t>+5535998264289</t>
  </si>
  <si>
    <t>+59893339027</t>
  </si>
  <si>
    <t>Jose Horacio Martins</t>
  </si>
  <si>
    <t>+5541996380638</t>
  </si>
  <si>
    <t>+5553991254560</t>
  </si>
  <si>
    <t>Jose Naziazeno</t>
  </si>
  <si>
    <t>+5555981545908</t>
  </si>
  <si>
    <t>+5547988461729</t>
  </si>
  <si>
    <t>Jose Valmiro da Silva</t>
  </si>
  <si>
    <t>+5541992618453</t>
  </si>
  <si>
    <t>+5541998209759</t>
  </si>
  <si>
    <t>Joziano Matos</t>
  </si>
  <si>
    <t>+5551997867659</t>
  </si>
  <si>
    <t>Julio César Ferrando</t>
  </si>
  <si>
    <t>+5542998750427</t>
  </si>
  <si>
    <t>Julio Paredes Bezerra</t>
  </si>
  <si>
    <t>+5581984168635</t>
  </si>
  <si>
    <t>Laury Wermeier</t>
  </si>
  <si>
    <t>+5549988241661</t>
  </si>
  <si>
    <t>Leandro Gomes</t>
  </si>
  <si>
    <t>+5541984501004</t>
  </si>
  <si>
    <t>Leandro Lindner</t>
  </si>
  <si>
    <t>+5549998009728</t>
  </si>
  <si>
    <t>+5551996322594</t>
  </si>
  <si>
    <t>Leonardo Moura Silva</t>
  </si>
  <si>
    <t>+5549989213704</t>
  </si>
  <si>
    <t>Leonildo Nunes de Siqueira</t>
  </si>
  <si>
    <t>+5549999405000</t>
  </si>
  <si>
    <t>+5553991154670</t>
  </si>
  <si>
    <t>Lucas de Jesus Almeida</t>
  </si>
  <si>
    <t>+5527995031870</t>
  </si>
  <si>
    <t>Luciano Mendes</t>
  </si>
  <si>
    <t>+5553981183086</t>
  </si>
  <si>
    <t>+5551981741752</t>
  </si>
  <si>
    <t>+5547996273107</t>
  </si>
  <si>
    <t>Ludimar Brandalise</t>
  </si>
  <si>
    <t>+5542988395454</t>
  </si>
  <si>
    <t>Luis Anger</t>
  </si>
  <si>
    <t>+5555991081657</t>
  </si>
  <si>
    <t>Luis Carlos Batista</t>
  </si>
  <si>
    <t>+5555996868458</t>
  </si>
  <si>
    <t>+5549999081661</t>
  </si>
  <si>
    <t>+5555991250624</t>
  </si>
  <si>
    <t>Luis Ramirez</t>
  </si>
  <si>
    <t>+5541988994294</t>
  </si>
  <si>
    <t>Luis Tiago Avila</t>
  </si>
  <si>
    <t>+5555981110819</t>
  </si>
  <si>
    <t>Luis Volpe Junior</t>
  </si>
  <si>
    <t>+5518997094752</t>
  </si>
  <si>
    <t>+5542998003432</t>
  </si>
  <si>
    <t>Luiz Felipe Matos</t>
  </si>
  <si>
    <t>+5551995389750</t>
  </si>
  <si>
    <t>+5555999813455</t>
  </si>
  <si>
    <t>Luiz Trein</t>
  </si>
  <si>
    <t>+5554992136336</t>
  </si>
  <si>
    <t>+5553999669289</t>
  </si>
  <si>
    <t>Maicon Mueller</t>
  </si>
  <si>
    <t>+5549988928195</t>
  </si>
  <si>
    <t>Maiquel Gross</t>
  </si>
  <si>
    <t>+5549998292559</t>
  </si>
  <si>
    <t>Marcelo Fabian Mezquida</t>
  </si>
  <si>
    <t>+59891666841</t>
  </si>
  <si>
    <t>Marcelo Ferraza</t>
  </si>
  <si>
    <t>+5555996821723</t>
  </si>
  <si>
    <t>Marcio Bubolz</t>
  </si>
  <si>
    <t>+5553981389777</t>
  </si>
  <si>
    <t>Marcio Cristiano</t>
  </si>
  <si>
    <t>+5555991268564</t>
  </si>
  <si>
    <t>Marcio de Souza</t>
  </si>
  <si>
    <t>+5555984422409</t>
  </si>
  <si>
    <t>Marcio dos Santos</t>
  </si>
  <si>
    <t>+5549988017535</t>
  </si>
  <si>
    <t>Marcio Preti</t>
  </si>
  <si>
    <t>+5527996210065</t>
  </si>
  <si>
    <t>+5553999595710</t>
  </si>
  <si>
    <t>Marcio Schneider</t>
  </si>
  <si>
    <t>+5546999016714</t>
  </si>
  <si>
    <t>+5549988127179</t>
  </si>
  <si>
    <t>Marcos Fraga</t>
  </si>
  <si>
    <t>+5549988195294</t>
  </si>
  <si>
    <t>+5543991415310</t>
  </si>
  <si>
    <t>Marcos Jose de Oliveira</t>
  </si>
  <si>
    <t>+5549991098526</t>
  </si>
  <si>
    <t>Marcos Tigre</t>
  </si>
  <si>
    <t>+5549999987413</t>
  </si>
  <si>
    <t>+5555999738998</t>
  </si>
  <si>
    <t>Mario Antonio Siqueira</t>
  </si>
  <si>
    <t>+5549988548068</t>
  </si>
  <si>
    <t>Mario Teran</t>
  </si>
  <si>
    <t>+59891688661</t>
  </si>
  <si>
    <t>Marlison Azevedo</t>
  </si>
  <si>
    <t>+5531986185142</t>
  </si>
  <si>
    <t>+5553991871138</t>
  </si>
  <si>
    <t>Mauricio/Adriana</t>
  </si>
  <si>
    <t>+5549999333231</t>
  </si>
  <si>
    <t>Mauro Dias</t>
  </si>
  <si>
    <t>+5527997367118</t>
  </si>
  <si>
    <t>+5542999600411</t>
  </si>
  <si>
    <t>Maycon Theodoro</t>
  </si>
  <si>
    <t>+5542999924113</t>
  </si>
  <si>
    <t>+5551998970570</t>
  </si>
  <si>
    <t>Milton Ajala Fraga</t>
  </si>
  <si>
    <t>+5555999056342</t>
  </si>
  <si>
    <t>+5555996399356</t>
  </si>
  <si>
    <t>+5555996886269</t>
  </si>
  <si>
    <t>Nataniel Cadorin Machado</t>
  </si>
  <si>
    <t>+5549991763560</t>
  </si>
  <si>
    <t>+5549988315170</t>
  </si>
  <si>
    <t>Nery Alves Fernandes</t>
  </si>
  <si>
    <t>+5541992853501</t>
  </si>
  <si>
    <t>+5549999345979</t>
  </si>
  <si>
    <t>Nilso bittencourt</t>
  </si>
  <si>
    <t>+5549991939989</t>
  </si>
  <si>
    <t>+5549999154912</t>
  </si>
  <si>
    <t>Nilton Coelho</t>
  </si>
  <si>
    <t>+5553999085805</t>
  </si>
  <si>
    <t>Nilton Laurentino</t>
  </si>
  <si>
    <t>+5527981500101</t>
  </si>
  <si>
    <t>Norberto Hamester</t>
  </si>
  <si>
    <t>+5554991880798</t>
  </si>
  <si>
    <t>Odivan Masson</t>
  </si>
  <si>
    <t>+5549999078321</t>
  </si>
  <si>
    <t>Odmar Barbosa</t>
  </si>
  <si>
    <t>+55279998867077</t>
  </si>
  <si>
    <t>+5549999311377</t>
  </si>
  <si>
    <t>Onei Rohleder</t>
  </si>
  <si>
    <t>+5555999624560</t>
  </si>
  <si>
    <t>Onofre Dias</t>
  </si>
  <si>
    <t>+5555999100663</t>
  </si>
  <si>
    <t>Orlando Colvero</t>
  </si>
  <si>
    <t>+5549998160898</t>
  </si>
  <si>
    <t>Osmar Correia</t>
  </si>
  <si>
    <t>+5546988223668</t>
  </si>
  <si>
    <t>Osni Rosa de Souza</t>
  </si>
  <si>
    <t>+5549998340127</t>
  </si>
  <si>
    <t>+5555997133031</t>
  </si>
  <si>
    <t>Paulo Graziadei</t>
  </si>
  <si>
    <t>+5551991168069</t>
  </si>
  <si>
    <t>+5555991021206</t>
  </si>
  <si>
    <t>+5551997205052</t>
  </si>
  <si>
    <t>Paulo Martini</t>
  </si>
  <si>
    <t>+5549989039425</t>
  </si>
  <si>
    <t>+5555981257673</t>
  </si>
  <si>
    <t>Paulo Sergio Eckert</t>
  </si>
  <si>
    <t>+5551989400101</t>
  </si>
  <si>
    <t>Pedro Neto</t>
  </si>
  <si>
    <t>+5553999582677</t>
  </si>
  <si>
    <t>Rafael Beck</t>
  </si>
  <si>
    <t>+5547996910068</t>
  </si>
  <si>
    <t>Rafael Mengen</t>
  </si>
  <si>
    <t>+598 99 562 745</t>
  </si>
  <si>
    <t>+59899406679</t>
  </si>
  <si>
    <t>+5549988460494</t>
  </si>
  <si>
    <t>Reginaldo Medina</t>
  </si>
  <si>
    <t>+55559984679891</t>
  </si>
  <si>
    <t>Reinaldo Pacheco</t>
  </si>
  <si>
    <t>+5542999017064</t>
  </si>
  <si>
    <t>+5553984039582</t>
  </si>
  <si>
    <t>+5555991627080</t>
  </si>
  <si>
    <t>Rholf Pacheco Trindade</t>
  </si>
  <si>
    <t>+5527993114565</t>
  </si>
  <si>
    <t>+59897722274</t>
  </si>
  <si>
    <t>+5554991079474</t>
  </si>
  <si>
    <t>Roberto Wons</t>
  </si>
  <si>
    <t>+5549991178383</t>
  </si>
  <si>
    <t>+5551981746186</t>
  </si>
  <si>
    <t>Robison Barriga</t>
  </si>
  <si>
    <t>+5547992763579</t>
  </si>
  <si>
    <t>Robson Lourenço</t>
  </si>
  <si>
    <t>+5547999518810</t>
  </si>
  <si>
    <t>+55119971489722</t>
  </si>
  <si>
    <t>+5547997081928</t>
  </si>
  <si>
    <t>Rodrigo Lopes</t>
  </si>
  <si>
    <t>+5555991328353</t>
  </si>
  <si>
    <t>Rodrigo Misael Dornelles</t>
  </si>
  <si>
    <t>+5555992204107</t>
  </si>
  <si>
    <t>+5554981206200</t>
  </si>
  <si>
    <t>+5547991222760</t>
  </si>
  <si>
    <t>Rodrigo Vijalva</t>
  </si>
  <si>
    <t>+5553984553449</t>
  </si>
  <si>
    <t>Rogerio Carvalho</t>
  </si>
  <si>
    <t>Rogerio Dalarossi</t>
  </si>
  <si>
    <t>+5549999024464</t>
  </si>
  <si>
    <t>+5555996711696</t>
  </si>
  <si>
    <t>Rogerio Nunes</t>
  </si>
  <si>
    <t>+555599101161</t>
  </si>
  <si>
    <t>+5553984274141</t>
  </si>
  <si>
    <t>Ruan Weaver</t>
  </si>
  <si>
    <t>+5549988938902</t>
  </si>
  <si>
    <t>Rudimar Prestes</t>
  </si>
  <si>
    <t>+5549991723248</t>
  </si>
  <si>
    <t>Sergio Amarante</t>
  </si>
  <si>
    <t>+5551982190170</t>
  </si>
  <si>
    <t>Sergio Arostegui Pintos</t>
  </si>
  <si>
    <t>+59897496027</t>
  </si>
  <si>
    <t>+5549999193862</t>
  </si>
  <si>
    <t>Tallyson Bezerra</t>
  </si>
  <si>
    <t>+5567981311694</t>
  </si>
  <si>
    <t>Thiago Dagioz</t>
  </si>
  <si>
    <t>+5549988322761</t>
  </si>
  <si>
    <t>Valdecir dos Santos</t>
  </si>
  <si>
    <t>+5549988994447</t>
  </si>
  <si>
    <t>Valmir Geller</t>
  </si>
  <si>
    <t>+5542988287755</t>
  </si>
  <si>
    <t>Valter Luiz S. de Oliveira</t>
  </si>
  <si>
    <t>+5554981627078</t>
  </si>
  <si>
    <t>Vanderlei de Bastiani</t>
  </si>
  <si>
    <t>+5549991660570</t>
  </si>
  <si>
    <t>Vanderlei Manorov</t>
  </si>
  <si>
    <t>+5549988999922</t>
  </si>
  <si>
    <t>Volmir Junior</t>
  </si>
  <si>
    <t>+5553999603975</t>
  </si>
  <si>
    <t>Washigton Cuello</t>
  </si>
  <si>
    <t>+59899112261</t>
  </si>
  <si>
    <t>Zalmir Carvalho</t>
  </si>
  <si>
    <t>+5548991606577</t>
  </si>
  <si>
    <t>+5549999520186</t>
  </si>
  <si>
    <t>+5547996185932</t>
  </si>
  <si>
    <t>+5553999650828</t>
  </si>
  <si>
    <t>+5553999049426</t>
  </si>
  <si>
    <t>+5554984377792</t>
  </si>
  <si>
    <t>+5553981528085</t>
  </si>
  <si>
    <t>+5555997356277</t>
  </si>
  <si>
    <t>+5546999068908</t>
  </si>
  <si>
    <t>+5511 99284-8666</t>
  </si>
  <si>
    <t>+55 71 99138‑4633</t>
  </si>
  <si>
    <t>+55 49 98878‑6559</t>
  </si>
  <si>
    <t>+555496539442</t>
  </si>
  <si>
    <t>+598 91 508 964</t>
  </si>
  <si>
    <t>+55 55 9647-4500</t>
  </si>
  <si>
    <t>+55 13 99680-8940</t>
  </si>
  <si>
    <t>+59897354091</t>
  </si>
  <si>
    <t>+5553999763332</t>
  </si>
  <si>
    <t>+55 53 8484-4541</t>
  </si>
  <si>
    <t>+55 53 9997-3438</t>
  </si>
  <si>
    <t>+55 53 9713-4372</t>
  </si>
  <si>
    <t>+5542991364160</t>
  </si>
  <si>
    <t>+55 41 9259-9136</t>
  </si>
  <si>
    <t>+55 54 9991-5699</t>
  </si>
  <si>
    <t>+5541997764260</t>
  </si>
  <si>
    <t>+55 73 9186-9441</t>
  </si>
  <si>
    <t>+598 91 356 680</t>
  </si>
  <si>
    <t>+55 53 9141-8046</t>
  </si>
  <si>
    <t>+598 92 396 977</t>
  </si>
  <si>
    <t>+55 53 8122-3386</t>
  </si>
  <si>
    <t>+55 49 9949-0470</t>
  </si>
  <si>
    <t>+55 49 9949-0222</t>
  </si>
  <si>
    <t>+55 19 993646518</t>
  </si>
  <si>
    <t>+55 53 8453-1303</t>
  </si>
  <si>
    <t>+55 53 8131-7788</t>
  </si>
  <si>
    <t>+55 49 98835‑4909</t>
  </si>
  <si>
    <t>+55 53 9969-0469</t>
  </si>
  <si>
    <t>+55 53 8126-5336</t>
  </si>
  <si>
    <t>+55 49 991921881</t>
  </si>
  <si>
    <t>+55 49 988233907</t>
  </si>
  <si>
    <t>+55 55 9686-5485</t>
  </si>
  <si>
    <t>ADAILTON ALVES PEREIRA</t>
  </si>
  <si>
    <t>+55 49 9990-6059</t>
  </si>
  <si>
    <t>Luis José Gomez Ramos</t>
  </si>
  <si>
    <t>+55 49 9949-0793</t>
  </si>
  <si>
    <t>+55 55 8426-0540</t>
  </si>
  <si>
    <t>GUSTAVO PACHECO</t>
  </si>
  <si>
    <t>+55 53 8449-0656</t>
  </si>
  <si>
    <t>HERUNSON AMORIM PEIXOTO</t>
  </si>
  <si>
    <t>+55 21 98816-2471</t>
  </si>
  <si>
    <t>+55 49 8897-2287</t>
  </si>
  <si>
    <t>+55 55 9930-6979</t>
  </si>
  <si>
    <t>+55 55 9708-9597</t>
  </si>
  <si>
    <t>+55 55 9968-1559</t>
  </si>
  <si>
    <t>+55 21 97981-8251</t>
  </si>
  <si>
    <t>+55 53 9948-4963</t>
  </si>
  <si>
    <t>+55 53 8110-5942</t>
  </si>
  <si>
    <t>+55 53 8432-5009</t>
  </si>
  <si>
    <t>+55 53 9900-8301</t>
  </si>
  <si>
    <t>+55 53 8412-9466</t>
  </si>
  <si>
    <t>+55 11 94125-2913</t>
  </si>
  <si>
    <t>+55 55 9177-5175</t>
  </si>
  <si>
    <t>+55 14 99812-9413</t>
  </si>
  <si>
    <t>+55 53 999603586</t>
  </si>
  <si>
    <t>+55 53 9932-5838</t>
  </si>
  <si>
    <t>+55 53 8445-7318</t>
  </si>
  <si>
    <t>+55 45 9852-1502</t>
  </si>
  <si>
    <t>+55 55 9220-4794</t>
  </si>
  <si>
    <t>+55 49 8897-9118</t>
  </si>
  <si>
    <t>+55 49 9928-7578</t>
  </si>
  <si>
    <t>+55 32 9932-2650</t>
  </si>
  <si>
    <t>+55 49 8837-5440</t>
  </si>
  <si>
    <t>+55 53 8478-6279</t>
  </si>
  <si>
    <t>+598 91 618 918</t>
  </si>
  <si>
    <t>+55 21 97022-8539</t>
  </si>
  <si>
    <t>+598 99 112 261</t>
  </si>
  <si>
    <t>+55 47 8817-3869</t>
  </si>
  <si>
    <t>+55 85 9972-8707</t>
  </si>
  <si>
    <t>+55 49 8902-2009</t>
  </si>
  <si>
    <t>+55 49 9819-0281</t>
  </si>
  <si>
    <t>+55 49 9924-4149</t>
  </si>
  <si>
    <t>+55 55 8428-9650</t>
  </si>
  <si>
    <t>+55 53 9921-7067</t>
  </si>
  <si>
    <t>+55 53 9933-3906</t>
  </si>
  <si>
    <t>+55 53 9905-0337</t>
  </si>
  <si>
    <t>+55 53 9991-5557</t>
  </si>
  <si>
    <t>+55 53 8474-9701</t>
  </si>
  <si>
    <t>ALEX SANDRO BILHALVA</t>
  </si>
  <si>
    <t>+598 91 694 331</t>
  </si>
  <si>
    <t>+55 53 8406-9723</t>
  </si>
  <si>
    <t>+55 73 8177-8043</t>
  </si>
  <si>
    <t>+55 55 9999-0960</t>
  </si>
  <si>
    <t>+55 55 9979-8055</t>
  </si>
  <si>
    <t>+55 41 9687-3997</t>
  </si>
  <si>
    <t>+55 53 9972-5431</t>
  </si>
  <si>
    <t>+55 55 9674-9281</t>
  </si>
  <si>
    <t>+55 53 8485-1806</t>
  </si>
  <si>
    <t>+55 49 8411-6446</t>
  </si>
  <si>
    <t>+55 49 8816-0696</t>
  </si>
  <si>
    <t>+55 49 9984-6132</t>
  </si>
  <si>
    <t>+598 98 562 952</t>
  </si>
  <si>
    <t>+55 53 9981-7077</t>
  </si>
  <si>
    <t>+55 42 8409-9400</t>
  </si>
  <si>
    <t>+55 55 9606-8595</t>
  </si>
  <si>
    <t>+598 98 195 659</t>
  </si>
  <si>
    <t>+55 53 9933-6026</t>
  </si>
  <si>
    <t>Ibañez</t>
  </si>
  <si>
    <t>+595982394104</t>
  </si>
  <si>
    <t>+55 53 9173-3828</t>
  </si>
  <si>
    <t>+55 53 98447-9222</t>
  </si>
  <si>
    <t>+55 53 98154-6474</t>
  </si>
  <si>
    <t>+55 54 99649-9027</t>
  </si>
  <si>
    <t>+55 53 99990-3654</t>
  </si>
  <si>
    <t>=PROCV('Choferes'!B3:C400</t>
  </si>
  <si>
    <t>Listas para validación de datos</t>
  </si>
  <si>
    <t>Status List</t>
  </si>
  <si>
    <t>Transporte</t>
  </si>
  <si>
    <t>Cajas x Viaje</t>
  </si>
  <si>
    <t>INCOTERMS</t>
  </si>
  <si>
    <t>Fronteras</t>
  </si>
  <si>
    <t>Productores</t>
  </si>
  <si>
    <t>Iniciales</t>
  </si>
  <si>
    <t>Ulgo</t>
  </si>
  <si>
    <t>HG</t>
  </si>
  <si>
    <t>Destruida</t>
  </si>
  <si>
    <t>CMCN</t>
  </si>
  <si>
    <t>DAP</t>
  </si>
  <si>
    <t>Montevideo</t>
  </si>
  <si>
    <t>Confirmado</t>
  </si>
  <si>
    <t>CH</t>
  </si>
  <si>
    <t>Balbiani</t>
  </si>
  <si>
    <t>FCA</t>
  </si>
  <si>
    <t>GT</t>
  </si>
  <si>
    <t>Cigliuti</t>
  </si>
  <si>
    <t>Río Branco</t>
  </si>
  <si>
    <t>JM</t>
  </si>
  <si>
    <t>Cordenonsi</t>
  </si>
  <si>
    <t>Rivera</t>
  </si>
  <si>
    <t>Papa</t>
  </si>
  <si>
    <t>PA</t>
  </si>
  <si>
    <t>Liberado</t>
  </si>
  <si>
    <t>El Palomar</t>
  </si>
  <si>
    <t>BO</t>
  </si>
  <si>
    <t>Arribado</t>
  </si>
  <si>
    <t>Pradera</t>
  </si>
  <si>
    <t>Sidnei</t>
  </si>
  <si>
    <t>SR</t>
  </si>
  <si>
    <t>Transzanini</t>
  </si>
  <si>
    <t>BN</t>
  </si>
  <si>
    <t>VH</t>
  </si>
  <si>
    <t>Aotrans</t>
  </si>
  <si>
    <t>VA</t>
  </si>
  <si>
    <t>Adriano</t>
  </si>
  <si>
    <t>AD</t>
  </si>
  <si>
    <t>Sergio Nava</t>
  </si>
  <si>
    <t>ND</t>
  </si>
  <si>
    <t>K2</t>
  </si>
  <si>
    <t>CP</t>
  </si>
  <si>
    <t>Costa Rica</t>
  </si>
  <si>
    <t>JV</t>
  </si>
  <si>
    <t>Schwanck</t>
  </si>
  <si>
    <t>MU</t>
  </si>
  <si>
    <t>SG</t>
  </si>
  <si>
    <t>VM</t>
  </si>
  <si>
    <t>MK</t>
  </si>
  <si>
    <t>IZ</t>
  </si>
  <si>
    <t>MG</t>
  </si>
  <si>
    <t>A Confirmar</t>
  </si>
  <si>
    <t>Paraguay</t>
  </si>
  <si>
    <t>PY</t>
  </si>
  <si>
    <t>PYE</t>
  </si>
  <si>
    <t>Paraguay OP</t>
  </si>
  <si>
    <t>PYO</t>
  </si>
  <si>
    <t>PYM</t>
  </si>
  <si>
    <t>GM</t>
  </si>
  <si>
    <t>DF</t>
  </si>
  <si>
    <t>Tottal Brasil</t>
  </si>
  <si>
    <t>HF</t>
  </si>
  <si>
    <t>SF</t>
  </si>
  <si>
    <t>Trans America</t>
  </si>
  <si>
    <t>BT</t>
  </si>
  <si>
    <t>JW</t>
  </si>
  <si>
    <t>ST</t>
  </si>
  <si>
    <t>ZP</t>
  </si>
  <si>
    <t>FH</t>
  </si>
  <si>
    <t>TK</t>
  </si>
  <si>
    <t>JP</t>
  </si>
  <si>
    <t xml:space="preserve">Cebolla </t>
  </si>
  <si>
    <t>CE</t>
  </si>
  <si>
    <t>Abacaxi</t>
  </si>
  <si>
    <t>AB</t>
  </si>
  <si>
    <t>BRSP</t>
  </si>
  <si>
    <t>Transitex</t>
  </si>
  <si>
    <t>Ruiz</t>
  </si>
  <si>
    <t>Cobalchini</t>
  </si>
  <si>
    <t>CB</t>
  </si>
  <si>
    <t>Viana</t>
  </si>
  <si>
    <t>JS</t>
  </si>
  <si>
    <t>WC</t>
  </si>
  <si>
    <t>Realeza</t>
  </si>
  <si>
    <t>BA</t>
  </si>
  <si>
    <t xml:space="preserve">BRSP </t>
  </si>
  <si>
    <t>MM</t>
  </si>
  <si>
    <t>SH</t>
  </si>
  <si>
    <t>AC</t>
  </si>
  <si>
    <t>AW</t>
  </si>
  <si>
    <t>VB</t>
  </si>
  <si>
    <t>FU</t>
  </si>
  <si>
    <t>Azzolini</t>
  </si>
  <si>
    <t>VI-MA</t>
  </si>
  <si>
    <t>Airton Curuca</t>
  </si>
  <si>
    <t>Coopecarga</t>
  </si>
  <si>
    <t>Transporte Carneiro</t>
  </si>
  <si>
    <t>121/-</t>
  </si>
  <si>
    <t>PYB070-26</t>
  </si>
  <si>
    <t>1569901</t>
  </si>
  <si>
    <t>218/</t>
  </si>
  <si>
    <t>PYB069-26</t>
  </si>
  <si>
    <t>1569899</t>
  </si>
  <si>
    <t>213/-</t>
  </si>
  <si>
    <t>PYB072-26</t>
  </si>
  <si>
    <t>156990</t>
  </si>
  <si>
    <t>MARSO EMPRENDIMIENTOS S.R.L.</t>
  </si>
  <si>
    <t>513/-</t>
  </si>
  <si>
    <t>PYB071-26</t>
  </si>
  <si>
    <t>1569898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</si>
</sst>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 #,##0_-;_-* &quot;-&quot;??_-;_-@_-"/>
    <numFmt numFmtId="166" formatCode="dd/mm/yy;@"/>
    <numFmt numFmtId="167" formatCode="#,##0;[Red]#,##0"/>
    <numFmt numFmtId="168" formatCode="dd\-mm\-yy;@"/>
  </numFmts>
  <fonts count="34" x14ac:knownFonts="1">
    <font>
      <sz val="11"/>
      <color theme="1"/>
      <name val="Calibri"/>
      <family val="2"/>
      <scheme val="minor"/>
    </font>
    <font>
      <sz val="11"/>
      <color theme="1"/>
      <name val="Calibri"/>
      <family val="2"/>
      <scheme val="minor"/>
    </font>
    <font>
      <b/>
      <sz val="10"/>
      <name val="Arial"/>
      <family val="2"/>
    </font>
    <font>
      <b/>
      <sz val="10"/>
      <color theme="0"/>
      <name val="Arial"/>
      <family val="2"/>
    </font>
    <font>
      <b/>
      <sz val="13"/>
      <color theme="1"/>
      <name val="Calibri"/>
      <family val="2"/>
      <scheme val="minor"/>
    </font>
    <font>
      <sz val="10"/>
      <name val="Arial"/>
      <family val="2"/>
    </font>
    <font>
      <b/>
      <sz val="14"/>
      <color theme="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b/>
      <sz val="10"/>
      <color rgb="FF000000"/>
      <name val="Calibri"/>
      <family val="2"/>
      <scheme val="minor"/>
    </font>
    <font>
      <b/>
      <sz val="10"/>
      <color rgb="FF000000"/>
      <name val="Arial"/>
      <family val="2"/>
    </font>
    <font>
      <u/>
      <sz val="11"/>
      <color theme="1"/>
      <name val="Calibri"/>
      <family val="2"/>
      <scheme val="minor"/>
    </font>
    <font>
      <b/>
      <sz val="11"/>
      <color rgb="FFFF0000"/>
      <name val="Calibri"/>
      <family val="2"/>
      <scheme val="minor"/>
    </font>
    <font>
      <sz val="11"/>
      <color rgb="FFFF0000"/>
      <name val="Calibri"/>
      <family val="2"/>
      <scheme val="minor"/>
    </font>
    <font>
      <b/>
      <sz val="8"/>
      <color rgb="FF000000"/>
      <name val="Calibri"/>
      <family val="2"/>
      <scheme val="minor"/>
    </font>
    <font>
      <b/>
      <sz val="11"/>
      <color theme="0"/>
      <name val="Calibri"/>
      <family val="2"/>
      <scheme val="minor"/>
    </font>
    <font>
      <b/>
      <sz val="10"/>
      <color theme="1"/>
      <name val="Arial"/>
      <family val="2"/>
    </font>
    <font>
      <sz val="11"/>
      <color rgb="FFFF0000"/>
      <name val="Calibri"/>
      <family val="2"/>
      <scheme val="minor"/>
    </font>
    <font>
      <b/>
      <sz val="10"/>
      <color theme="6"/>
      <name val="Arial"/>
      <family val="2"/>
    </font>
    <font>
      <sz val="11"/>
      <color theme="6"/>
      <name val="Calibri"/>
      <family val="2"/>
      <scheme val="minor"/>
    </font>
    <font>
      <b/>
      <sz val="10"/>
      <color rgb="FF92D050"/>
      <name val="Arial"/>
      <family val="2"/>
    </font>
    <font>
      <sz val="11"/>
      <color rgb="FF92D050"/>
      <name val="Calibri"/>
      <family val="2"/>
      <scheme val="minor"/>
    </font>
    <font>
      <sz val="11"/>
      <color theme="6" tint="0.59999389629810485"/>
      <name val="Calibri"/>
      <family val="2"/>
      <scheme val="minor"/>
    </font>
    <font>
      <b/>
      <sz val="10"/>
      <color theme="6" tint="-0.249977111117893"/>
      <name val="Arial"/>
      <family val="2"/>
    </font>
    <font>
      <sz val="11"/>
      <color theme="6" tint="-0.249977111117893"/>
      <name val="Calibri"/>
      <family val="2"/>
      <scheme val="minor"/>
    </font>
    <font>
      <sz val="11"/>
      <color rgb="FF000000"/>
      <name val="Calibri"/>
      <family val="2"/>
    </font>
    <font>
      <b/>
      <sz val="10"/>
      <color rgb="FFFF0000"/>
      <name val="Arial"/>
      <family val="2"/>
    </font>
    <font>
      <sz val="11"/>
      <color rgb="FFFF3300"/>
      <name val="Calibri"/>
      <family val="2"/>
      <scheme val="minor"/>
    </font>
    <font>
      <sz val="14"/>
      <color rgb="FF000000"/>
      <name val="Calibri"/>
      <family val="2"/>
      <scheme val="minor"/>
    </font>
    <font>
      <b/>
      <sz val="10"/>
      <color theme="1"/>
      <name val="Arial"/>
    </font>
    <font>
      <b/>
      <sz val="10"/>
      <color theme="6"/>
      <name val="Arial"/>
    </font>
    <font>
      <b/>
      <sz val="10"/>
      <color rgb="FF92D050"/>
      <name val="Arial"/>
    </font>
    <font>
      <u/>
      <sz val="11"/>
      <color rgb="FF000000"/>
      <name val="Calibri"/>
      <family val="2"/>
      <scheme val="minor"/>
    </font>
  </fonts>
  <fills count="16">
    <fill>
      <patternFill patternType="none"/>
    </fill>
    <fill>
      <patternFill patternType="gray125"/>
    </fill>
    <fill>
      <patternFill patternType="solid">
        <fgColor theme="3" tint="0.59999389629810485"/>
        <bgColor indexed="64"/>
      </patternFill>
    </fill>
    <fill>
      <patternFill patternType="solid">
        <fgColor theme="6" tint="-0.499984740745262"/>
        <bgColor indexed="64"/>
      </patternFill>
    </fill>
    <fill>
      <patternFill patternType="solid">
        <fgColor theme="3" tint="0.39997558519241921"/>
        <bgColor indexed="64"/>
      </patternFill>
    </fill>
    <fill>
      <patternFill patternType="solid">
        <fgColor rgb="FFD7E3BC"/>
      </patternFill>
    </fill>
    <fill>
      <patternFill patternType="solid">
        <fgColor rgb="FFFFFF00"/>
        <bgColor indexed="64"/>
      </patternFill>
    </fill>
    <fill>
      <patternFill patternType="solid">
        <fgColor rgb="FFFFFFFF"/>
        <bgColor indexed="64"/>
      </patternFill>
    </fill>
    <fill>
      <patternFill patternType="solid">
        <fgColor rgb="FF00B050"/>
        <bgColor indexed="64"/>
      </patternFill>
    </fill>
    <fill>
      <patternFill patternType="solid">
        <fgColor rgb="FF8EA9DB"/>
        <bgColor indexed="64"/>
      </patternFill>
    </fill>
    <fill>
      <patternFill patternType="solid">
        <fgColor theme="0"/>
        <bgColor indexed="64"/>
      </patternFill>
    </fill>
    <fill>
      <patternFill patternType="solid">
        <fgColor theme="6" tint="0.39997558519241921"/>
        <bgColor indexed="64"/>
      </patternFill>
    </fill>
    <fill>
      <patternFill patternType="solid">
        <fgColor rgb="FFFDE9D9"/>
        <bgColor rgb="FF000000"/>
      </patternFill>
    </fill>
    <fill>
      <patternFill patternType="solid">
        <fgColor rgb="FFFF0000"/>
        <bgColor indexed="64"/>
      </patternFill>
    </fill>
    <fill>
      <patternFill patternType="solid">
        <fgColor theme="6"/>
        <bgColor indexed="64"/>
      </patternFill>
    </fill>
    <fill>
      <patternFill patternType="solid">
        <fgColor rgb="FFFF3300"/>
        <bgColor indexed="64"/>
      </patternFill>
    </fill>
  </fills>
  <borders count="54">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thin">
        <color indexed="64"/>
      </right>
      <top style="hair">
        <color indexed="64"/>
      </top>
      <bottom style="hair">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auto="1"/>
      </left>
      <right style="thin">
        <color indexed="64"/>
      </right>
      <top style="thin">
        <color theme="0" tint="-0.24994659260841701"/>
      </top>
      <bottom style="thin">
        <color theme="0" tint="-0.24994659260841701"/>
      </bottom>
      <diagonal/>
    </border>
    <border>
      <left style="thin">
        <color auto="1"/>
      </left>
      <right style="thin">
        <color indexed="64"/>
      </right>
      <top style="thin">
        <color theme="0" tint="-0.24994659260841701"/>
      </top>
      <bottom style="thin">
        <color indexed="64"/>
      </bottom>
      <diagonal/>
    </border>
    <border>
      <left style="thin">
        <color auto="1"/>
      </left>
      <right style="thin">
        <color indexed="64"/>
      </right>
      <top style="thin">
        <color auto="1"/>
      </top>
      <bottom style="thin">
        <color theme="0" tint="-0.24994659260841701"/>
      </bottom>
      <diagonal/>
    </border>
    <border>
      <left style="thin">
        <color auto="1"/>
      </left>
      <right style="thin">
        <color indexed="64"/>
      </right>
      <top style="thin">
        <color theme="0" tint="-0.24994659260841701"/>
      </top>
      <bottom/>
      <diagonal/>
    </border>
    <border>
      <left style="thin">
        <color indexed="64"/>
      </left>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indexed="64"/>
      </right>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hair">
        <color indexed="64"/>
      </bottom>
      <diagonal/>
    </border>
    <border>
      <left style="medium">
        <color rgb="FF000000"/>
      </left>
      <right style="medium">
        <color rgb="FF000000"/>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rgb="FFFF0000"/>
      </left>
      <right style="thin">
        <color rgb="FFFF0000"/>
      </right>
      <top style="thin">
        <color rgb="FFFF0000"/>
      </top>
      <bottom style="thin">
        <color rgb="FFFF0000"/>
      </bottom>
      <diagonal/>
    </border>
    <border>
      <left style="dashed">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dashed">
        <color rgb="FF000000"/>
      </bottom>
      <diagonal/>
    </border>
    <border>
      <left style="thin">
        <color indexed="64"/>
      </left>
      <right/>
      <top style="hair">
        <color indexed="64"/>
      </top>
      <bottom/>
      <diagonal/>
    </border>
    <border>
      <left style="thin">
        <color rgb="FF000000"/>
      </left>
      <right style="thin">
        <color rgb="FF000000"/>
      </right>
      <top/>
      <bottom/>
      <diagonal/>
    </border>
    <border>
      <left style="dashed">
        <color rgb="FF000000"/>
      </left>
      <right/>
      <top style="dashed">
        <color rgb="FF000000"/>
      </top>
      <bottom style="dashed">
        <color rgb="FF000000"/>
      </bottom>
      <diagonal/>
    </border>
    <border>
      <left style="thin">
        <color rgb="FF000000"/>
      </left>
      <right/>
      <top/>
      <bottom/>
      <diagonal/>
    </border>
    <border>
      <left style="dashed">
        <color rgb="FF000000"/>
      </left>
      <right/>
      <top style="dashed">
        <color rgb="FF000000"/>
      </top>
      <bottom style="thin">
        <color rgb="FF000000"/>
      </bottom>
      <diagonal/>
    </border>
    <border>
      <left style="dashed">
        <color rgb="FF000000"/>
      </left>
      <right/>
      <top style="thin">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style="hair">
        <color indexed="64"/>
      </top>
      <bottom/>
      <diagonal/>
    </border>
    <border>
      <left/>
      <right style="thin">
        <color rgb="FF000000"/>
      </right>
      <top/>
      <bottom/>
      <diagonal/>
    </border>
    <border>
      <left/>
      <right style="thin">
        <color indexed="64"/>
      </right>
      <top style="hair">
        <color indexed="64"/>
      </top>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top/>
      <bottom style="dotted">
        <color rgb="FF000000"/>
      </bottom>
      <diagonal/>
    </border>
    <border>
      <left style="thin">
        <color rgb="FF000000"/>
      </left>
      <right/>
      <top/>
      <bottom style="hair">
        <color indexed="64"/>
      </bottom>
      <diagonal/>
    </border>
    <border>
      <left style="thin">
        <color rgb="FF000000"/>
      </left>
      <right style="thin">
        <color rgb="FF000000"/>
      </right>
      <top/>
      <bottom style="hair">
        <color indexed="64"/>
      </bottom>
      <diagonal/>
    </border>
    <border>
      <left/>
      <right style="thin">
        <color indexed="64"/>
      </right>
      <top style="hair">
        <color indexed="64"/>
      </top>
      <bottom style="dotted">
        <color rgb="FF000000"/>
      </bottom>
      <diagonal/>
    </border>
    <border>
      <left style="thin">
        <color rgb="FF000000"/>
      </left>
      <right/>
      <top style="hair">
        <color indexed="64"/>
      </top>
      <bottom style="dotted">
        <color rgb="FF000000"/>
      </bottom>
      <diagonal/>
    </border>
    <border>
      <left style="thin">
        <color rgb="FF000000"/>
      </left>
      <right style="thin">
        <color rgb="FF000000"/>
      </right>
      <top style="hair">
        <color indexed="64"/>
      </top>
      <bottom style="dotted">
        <color rgb="FF000000"/>
      </bottom>
      <diagonal/>
    </border>
  </borders>
  <cellStyleXfs count="3">
    <xf numFmtId="0" fontId="0" fillId="0" borderId="0"/>
    <xf numFmtId="164" fontId="1" fillId="0" borderId="0" applyFont="0" applyFill="0" applyBorder="0" applyAlignment="0" applyProtection="0"/>
    <xf numFmtId="0" fontId="5" fillId="0" borderId="0"/>
  </cellStyleXfs>
  <cellXfs count="303">
    <xf numFmtId="0" fontId="0" fillId="0" borderId="0" xfId="0"/>
    <xf numFmtId="0" fontId="0" fillId="0" borderId="1" xfId="0" applyBorder="1"/>
    <xf numFmtId="0" fontId="2" fillId="0" borderId="4" xfId="0" applyFont="1" applyBorder="1" applyAlignment="1">
      <alignment horizontal="left"/>
    </xf>
    <xf numFmtId="165" fontId="2" fillId="0" borderId="4" xfId="1" applyNumberFormat="1" applyFont="1" applyBorder="1" applyAlignment="1">
      <alignment horizontal="left"/>
    </xf>
    <xf numFmtId="165" fontId="2" fillId="0" borderId="3" xfId="1" applyNumberFormat="1" applyFont="1" applyBorder="1" applyAlignment="1">
      <alignment horizontal="left"/>
    </xf>
    <xf numFmtId="166" fontId="2" fillId="0" borderId="4" xfId="0" applyNumberFormat="1" applyFont="1" applyBorder="1" applyAlignment="1">
      <alignment horizontal="center"/>
    </xf>
    <xf numFmtId="49" fontId="2" fillId="0" borderId="4" xfId="0" applyNumberFormat="1" applyFont="1" applyBorder="1" applyAlignment="1">
      <alignment horizontal="center"/>
    </xf>
    <xf numFmtId="0" fontId="3" fillId="3" borderId="7" xfId="0" applyFont="1" applyFill="1" applyBorder="1" applyAlignment="1">
      <alignment horizontal="center"/>
    </xf>
    <xf numFmtId="0" fontId="0" fillId="2" borderId="9" xfId="0" applyFill="1" applyBorder="1"/>
    <xf numFmtId="0" fontId="0" fillId="2" borderId="8" xfId="0" applyFill="1" applyBorder="1"/>
    <xf numFmtId="0" fontId="0" fillId="2" borderId="2" xfId="0" applyFill="1" applyBorder="1"/>
    <xf numFmtId="0" fontId="0" fillId="0" borderId="13" xfId="0" applyBorder="1"/>
    <xf numFmtId="0" fontId="0" fillId="0" borderId="13" xfId="0" applyBorder="1" applyAlignment="1">
      <alignment horizontal="left"/>
    </xf>
    <xf numFmtId="0" fontId="0" fillId="0" borderId="14" xfId="0" applyBorder="1" applyAlignment="1">
      <alignment horizontal="left"/>
    </xf>
    <xf numFmtId="0" fontId="0" fillId="0" borderId="14" xfId="0" applyBorder="1"/>
    <xf numFmtId="0" fontId="6" fillId="0" borderId="0" xfId="0" applyFont="1"/>
    <xf numFmtId="0" fontId="0" fillId="0" borderId="13" xfId="0" applyBorder="1" applyAlignment="1">
      <alignment horizontal="center"/>
    </xf>
    <xf numFmtId="0" fontId="0" fillId="0" borderId="14" xfId="0" applyBorder="1" applyAlignment="1">
      <alignment horizontal="center"/>
    </xf>
    <xf numFmtId="167" fontId="2" fillId="0" borderId="3" xfId="1" applyNumberFormat="1" applyFont="1" applyBorder="1" applyAlignment="1">
      <alignment horizontal="right"/>
    </xf>
    <xf numFmtId="0" fontId="0" fillId="0" borderId="0" xfId="0" applyAlignment="1">
      <alignment horizontal="left"/>
    </xf>
    <xf numFmtId="0" fontId="0" fillId="0" borderId="2" xfId="0" applyBorder="1"/>
    <xf numFmtId="0" fontId="0" fillId="0" borderId="15" xfId="0" applyBorder="1"/>
    <xf numFmtId="0" fontId="0" fillId="0" borderId="15" xfId="0" applyBorder="1" applyAlignment="1">
      <alignment horizontal="center"/>
    </xf>
    <xf numFmtId="0" fontId="8" fillId="0" borderId="5" xfId="0" applyFont="1" applyBorder="1" applyAlignment="1">
      <alignment horizontal="center" vertical="center"/>
    </xf>
    <xf numFmtId="0" fontId="8" fillId="0" borderId="5" xfId="0" applyFont="1" applyBorder="1" applyAlignment="1" applyProtection="1">
      <alignment horizontal="left" vertical="center"/>
      <protection locked="0"/>
    </xf>
    <xf numFmtId="16" fontId="8" fillId="0" borderId="5" xfId="0" applyNumberFormat="1" applyFont="1" applyBorder="1" applyAlignment="1">
      <alignment horizontal="left" vertical="center"/>
    </xf>
    <xf numFmtId="1" fontId="9" fillId="0" borderId="5" xfId="0" applyNumberFormat="1" applyFont="1" applyBorder="1" applyAlignment="1">
      <alignment horizontal="center" vertical="center"/>
    </xf>
    <xf numFmtId="0" fontId="8" fillId="0" borderId="5" xfId="0" applyFont="1" applyBorder="1" applyAlignment="1" applyProtection="1">
      <alignment horizontal="center" vertical="center"/>
      <protection locked="0"/>
    </xf>
    <xf numFmtId="0" fontId="0" fillId="0" borderId="16" xfId="0" applyBorder="1" applyAlignment="1">
      <alignment horizontal="left"/>
    </xf>
    <xf numFmtId="0" fontId="0" fillId="0" borderId="16" xfId="0" applyBorder="1" applyAlignment="1">
      <alignment horizontal="center"/>
    </xf>
    <xf numFmtId="0" fontId="0" fillId="0" borderId="16" xfId="0" applyBorder="1"/>
    <xf numFmtId="0" fontId="8" fillId="0" borderId="10" xfId="0" applyFont="1" applyBorder="1" applyAlignment="1">
      <alignment horizontal="center" vertical="center"/>
    </xf>
    <xf numFmtId="1" fontId="8" fillId="0" borderId="5" xfId="0" applyNumberFormat="1" applyFont="1" applyBorder="1" applyAlignment="1">
      <alignment horizontal="center" vertical="center"/>
    </xf>
    <xf numFmtId="0" fontId="7" fillId="0" borderId="17" xfId="0" applyFont="1" applyBorder="1" applyAlignment="1" applyProtection="1">
      <alignment horizontal="center" vertical="center"/>
      <protection locked="0"/>
    </xf>
    <xf numFmtId="16" fontId="8" fillId="0" borderId="5" xfId="0" applyNumberFormat="1" applyFont="1" applyBorder="1" applyAlignment="1" applyProtection="1">
      <alignment horizontal="left" vertical="center" wrapText="1"/>
      <protection locked="0"/>
    </xf>
    <xf numFmtId="0" fontId="0" fillId="0" borderId="18" xfId="0" applyBorder="1"/>
    <xf numFmtId="0" fontId="0" fillId="0" borderId="19" xfId="0" applyBorder="1"/>
    <xf numFmtId="0" fontId="2" fillId="0" borderId="4" xfId="0" applyFont="1" applyBorder="1" applyAlignment="1">
      <alignment horizontal="center"/>
    </xf>
    <xf numFmtId="0" fontId="8" fillId="7" borderId="11" xfId="0" applyFont="1" applyFill="1" applyBorder="1" applyAlignment="1" applyProtection="1">
      <alignment vertical="center"/>
      <protection locked="0"/>
    </xf>
    <xf numFmtId="49" fontId="8" fillId="7" borderId="5" xfId="0" applyNumberFormat="1" applyFont="1" applyFill="1" applyBorder="1" applyAlignment="1" applyProtection="1">
      <alignment horizontal="center" vertical="center"/>
      <protection locked="0"/>
    </xf>
    <xf numFmtId="165" fontId="0" fillId="0" borderId="0" xfId="0" applyNumberFormat="1"/>
    <xf numFmtId="0" fontId="0" fillId="0" borderId="20" xfId="0" applyBorder="1"/>
    <xf numFmtId="0" fontId="0" fillId="0" borderId="2" xfId="0" applyBorder="1" applyAlignment="1">
      <alignment horizontal="center"/>
    </xf>
    <xf numFmtId="14" fontId="0" fillId="0" borderId="0" xfId="0" applyNumberFormat="1"/>
    <xf numFmtId="14" fontId="6" fillId="0" borderId="0" xfId="0" applyNumberFormat="1" applyFont="1"/>
    <xf numFmtId="14" fontId="3" fillId="3" borderId="6" xfId="0" applyNumberFormat="1" applyFont="1" applyFill="1" applyBorder="1" applyAlignment="1">
      <alignment horizontal="center"/>
    </xf>
    <xf numFmtId="14" fontId="2" fillId="0" borderId="4" xfId="0" applyNumberFormat="1" applyFont="1" applyBorder="1" applyAlignment="1">
      <alignment horizontal="center"/>
    </xf>
    <xf numFmtId="168" fontId="8" fillId="7" borderId="12" xfId="0" applyNumberFormat="1" applyFont="1" applyFill="1" applyBorder="1" applyAlignment="1" applyProtection="1">
      <alignment horizontal="center" vertical="center"/>
      <protection locked="0"/>
    </xf>
    <xf numFmtId="168" fontId="8" fillId="0" borderId="5" xfId="0" applyNumberFormat="1" applyFont="1" applyBorder="1" applyAlignment="1" applyProtection="1">
      <alignment horizontal="center" vertical="center"/>
      <protection locked="0"/>
    </xf>
    <xf numFmtId="0" fontId="10" fillId="8" borderId="2" xfId="0" applyFont="1" applyFill="1" applyBorder="1" applyAlignment="1">
      <alignment horizontal="center" vertical="center" wrapText="1"/>
    </xf>
    <xf numFmtId="0" fontId="7" fillId="7" borderId="5" xfId="0" applyFont="1" applyFill="1" applyBorder="1" applyAlignment="1" applyProtection="1">
      <alignment horizontal="center" vertical="center"/>
      <protection locked="0"/>
    </xf>
    <xf numFmtId="0" fontId="0" fillId="0" borderId="21" xfId="0" applyBorder="1"/>
    <xf numFmtId="49" fontId="0" fillId="0" borderId="21" xfId="0" applyNumberFormat="1" applyBorder="1"/>
    <xf numFmtId="0" fontId="0" fillId="0" borderId="22" xfId="0" applyBorder="1"/>
    <xf numFmtId="49" fontId="0" fillId="0" borderId="22" xfId="0" applyNumberFormat="1" applyBorder="1"/>
    <xf numFmtId="0" fontId="0" fillId="9" borderId="21" xfId="0" applyFill="1" applyBorder="1"/>
    <xf numFmtId="0" fontId="8" fillId="0" borderId="5" xfId="0" applyFont="1" applyBorder="1" applyAlignment="1" applyProtection="1">
      <alignment horizontal="center" vertical="center" wrapText="1"/>
      <protection locked="0"/>
    </xf>
    <xf numFmtId="0" fontId="12" fillId="0" borderId="0" xfId="0" applyFont="1"/>
    <xf numFmtId="14" fontId="2" fillId="0" borderId="18" xfId="0" applyNumberFormat="1" applyFont="1" applyBorder="1" applyAlignment="1">
      <alignment horizontal="center"/>
    </xf>
    <xf numFmtId="49" fontId="2" fillId="0" borderId="18" xfId="0" applyNumberFormat="1" applyFont="1" applyBorder="1" applyAlignment="1">
      <alignment horizontal="center"/>
    </xf>
    <xf numFmtId="49" fontId="2" fillId="0" borderId="18" xfId="0" applyNumberFormat="1" applyFont="1" applyBorder="1" applyAlignment="1">
      <alignment horizontal="left"/>
    </xf>
    <xf numFmtId="0" fontId="2" fillId="0" borderId="18" xfId="0" applyFont="1" applyBorder="1" applyAlignment="1">
      <alignment horizontal="left"/>
    </xf>
    <xf numFmtId="165" fontId="2" fillId="0" borderId="18" xfId="1" applyNumberFormat="1" applyFont="1" applyBorder="1" applyAlignment="1">
      <alignment horizontal="left"/>
    </xf>
    <xf numFmtId="166" fontId="2" fillId="0" borderId="18" xfId="0" applyNumberFormat="1" applyFont="1" applyBorder="1" applyAlignment="1">
      <alignment horizontal="center"/>
    </xf>
    <xf numFmtId="0" fontId="2" fillId="0" borderId="18" xfId="0" applyFont="1" applyBorder="1" applyAlignment="1">
      <alignment horizontal="center"/>
    </xf>
    <xf numFmtId="0" fontId="10" fillId="4" borderId="2" xfId="0" applyFont="1" applyFill="1" applyBorder="1" applyAlignment="1">
      <alignment horizontal="center" vertical="center" wrapText="1"/>
    </xf>
    <xf numFmtId="14" fontId="10" fillId="4" borderId="2" xfId="0" applyNumberFormat="1" applyFont="1" applyFill="1" applyBorder="1" applyAlignment="1">
      <alignment horizontal="center" vertical="center" wrapText="1"/>
    </xf>
    <xf numFmtId="14" fontId="10" fillId="8" borderId="2" xfId="0" applyNumberFormat="1" applyFont="1" applyFill="1" applyBorder="1" applyAlignment="1">
      <alignment horizontal="center" vertical="center" wrapText="1"/>
    </xf>
    <xf numFmtId="0" fontId="7" fillId="0" borderId="0" xfId="0" applyFont="1" applyAlignment="1">
      <alignment horizontal="center" wrapText="1"/>
    </xf>
    <xf numFmtId="0" fontId="0" fillId="0" borderId="0" xfId="0" applyAlignment="1">
      <alignment horizontal="center"/>
    </xf>
    <xf numFmtId="14" fontId="0" fillId="0" borderId="0" xfId="0" applyNumberFormat="1" applyAlignment="1">
      <alignment horizontal="center"/>
    </xf>
    <xf numFmtId="0" fontId="8" fillId="7" borderId="11" xfId="0" applyFont="1" applyFill="1" applyBorder="1" applyAlignment="1" applyProtection="1">
      <alignment horizontal="center" vertical="center"/>
      <protection locked="0"/>
    </xf>
    <xf numFmtId="16" fontId="8" fillId="0" borderId="5" xfId="0" applyNumberFormat="1" applyFont="1" applyBorder="1" applyAlignment="1">
      <alignment horizontal="center" vertical="center"/>
    </xf>
    <xf numFmtId="16" fontId="8" fillId="0" borderId="5" xfId="0" applyNumberFormat="1" applyFont="1" applyBorder="1" applyAlignment="1" applyProtection="1">
      <alignment horizontal="center" vertical="center" wrapText="1"/>
      <protection locked="0"/>
    </xf>
    <xf numFmtId="20" fontId="8" fillId="0" borderId="5" xfId="0" applyNumberFormat="1" applyFont="1" applyBorder="1" applyAlignment="1" applyProtection="1">
      <alignment horizontal="center" vertical="center" wrapText="1"/>
      <protection locked="0"/>
    </xf>
    <xf numFmtId="0" fontId="15" fillId="8" borderId="2" xfId="0" applyFont="1" applyFill="1" applyBorder="1" applyAlignment="1">
      <alignment horizontal="center" vertical="center" wrapText="1"/>
    </xf>
    <xf numFmtId="0" fontId="0" fillId="0" borderId="5" xfId="0" applyBorder="1" applyAlignment="1">
      <alignment horizontal="center"/>
    </xf>
    <xf numFmtId="49" fontId="17" fillId="0" borderId="18" xfId="0" applyNumberFormat="1" applyFont="1" applyBorder="1" applyAlignment="1">
      <alignment horizontal="center"/>
    </xf>
    <xf numFmtId="0" fontId="17" fillId="0" borderId="18" xfId="0" applyFont="1" applyBorder="1" applyAlignment="1">
      <alignment horizontal="left"/>
    </xf>
    <xf numFmtId="0" fontId="18" fillId="0" borderId="0" xfId="0" applyFont="1"/>
    <xf numFmtId="14" fontId="17" fillId="0" borderId="18" xfId="0" applyNumberFormat="1" applyFont="1" applyBorder="1" applyAlignment="1">
      <alignment horizontal="center"/>
    </xf>
    <xf numFmtId="165" fontId="17" fillId="0" borderId="18" xfId="1" applyNumberFormat="1" applyFont="1" applyBorder="1" applyAlignment="1">
      <alignment horizontal="left"/>
    </xf>
    <xf numFmtId="165" fontId="17" fillId="0" borderId="3" xfId="1" applyNumberFormat="1" applyFont="1" applyBorder="1" applyAlignment="1">
      <alignment horizontal="left"/>
    </xf>
    <xf numFmtId="167" fontId="17" fillId="0" borderId="3" xfId="1" applyNumberFormat="1" applyFont="1" applyBorder="1" applyAlignment="1">
      <alignment horizontal="right"/>
    </xf>
    <xf numFmtId="166" fontId="17" fillId="0" borderId="18" xfId="0" applyNumberFormat="1" applyFont="1" applyBorder="1" applyAlignment="1">
      <alignment horizontal="center"/>
    </xf>
    <xf numFmtId="0" fontId="17" fillId="0" borderId="18" xfId="0" applyFont="1" applyBorder="1" applyAlignment="1">
      <alignment horizontal="center"/>
    </xf>
    <xf numFmtId="14" fontId="19" fillId="0" borderId="18" xfId="0" applyNumberFormat="1" applyFont="1" applyBorder="1" applyAlignment="1">
      <alignment horizontal="center"/>
    </xf>
    <xf numFmtId="49" fontId="19" fillId="0" borderId="18" xfId="0" applyNumberFormat="1" applyFont="1" applyBorder="1" applyAlignment="1">
      <alignment horizontal="center"/>
    </xf>
    <xf numFmtId="0" fontId="19" fillId="0" borderId="18" xfId="0" applyFont="1" applyBorder="1" applyAlignment="1">
      <alignment horizontal="left"/>
    </xf>
    <xf numFmtId="165" fontId="19" fillId="0" borderId="18" xfId="1" applyNumberFormat="1" applyFont="1" applyBorder="1" applyAlignment="1">
      <alignment horizontal="left"/>
    </xf>
    <xf numFmtId="165" fontId="19" fillId="0" borderId="3" xfId="1" applyNumberFormat="1" applyFont="1" applyBorder="1" applyAlignment="1">
      <alignment horizontal="left"/>
    </xf>
    <xf numFmtId="167" fontId="19" fillId="0" borderId="3" xfId="1" applyNumberFormat="1" applyFont="1" applyBorder="1" applyAlignment="1">
      <alignment horizontal="right"/>
    </xf>
    <xf numFmtId="0" fontId="19" fillId="0" borderId="18" xfId="0" applyFont="1" applyBorder="1" applyAlignment="1">
      <alignment horizontal="center"/>
    </xf>
    <xf numFmtId="0" fontId="20" fillId="0" borderId="0" xfId="0" applyFont="1"/>
    <xf numFmtId="166" fontId="19" fillId="0" borderId="18" xfId="0" applyNumberFormat="1" applyFont="1" applyBorder="1" applyAlignment="1">
      <alignment horizontal="center"/>
    </xf>
    <xf numFmtId="14" fontId="21" fillId="0" borderId="18" xfId="0" applyNumberFormat="1" applyFont="1" applyBorder="1" applyAlignment="1">
      <alignment horizontal="center"/>
    </xf>
    <xf numFmtId="49" fontId="21" fillId="0" borderId="18" xfId="0" applyNumberFormat="1" applyFont="1" applyBorder="1" applyAlignment="1">
      <alignment horizontal="center"/>
    </xf>
    <xf numFmtId="0" fontId="21" fillId="0" borderId="18" xfId="0" applyFont="1" applyBorder="1" applyAlignment="1">
      <alignment horizontal="left"/>
    </xf>
    <xf numFmtId="165" fontId="21" fillId="0" borderId="18" xfId="1" applyNumberFormat="1" applyFont="1" applyBorder="1" applyAlignment="1">
      <alignment horizontal="left"/>
    </xf>
    <xf numFmtId="165" fontId="21" fillId="0" borderId="3" xfId="1" applyNumberFormat="1" applyFont="1" applyBorder="1" applyAlignment="1">
      <alignment horizontal="left"/>
    </xf>
    <xf numFmtId="167" fontId="21" fillId="0" borderId="3" xfId="1" applyNumberFormat="1" applyFont="1" applyBorder="1" applyAlignment="1">
      <alignment horizontal="right"/>
    </xf>
    <xf numFmtId="166" fontId="21" fillId="0" borderId="18" xfId="0" applyNumberFormat="1" applyFont="1" applyBorder="1" applyAlignment="1">
      <alignment horizontal="center"/>
    </xf>
    <xf numFmtId="0" fontId="21" fillId="0" borderId="18" xfId="0" applyFont="1" applyBorder="1" applyAlignment="1">
      <alignment horizontal="center"/>
    </xf>
    <xf numFmtId="0" fontId="22" fillId="0" borderId="0" xfId="0" applyFont="1"/>
    <xf numFmtId="0" fontId="23" fillId="0" borderId="0" xfId="0" applyFont="1"/>
    <xf numFmtId="0" fontId="0" fillId="0" borderId="16" xfId="0" applyBorder="1" applyAlignment="1">
      <alignment horizontal="left" wrapText="1"/>
    </xf>
    <xf numFmtId="0" fontId="7" fillId="7" borderId="5" xfId="0" applyFont="1" applyFill="1" applyBorder="1" applyAlignment="1" applyProtection="1">
      <alignment horizontal="center" vertical="center" wrapText="1"/>
      <protection locked="0"/>
    </xf>
    <xf numFmtId="14" fontId="24" fillId="0" borderId="18" xfId="0" applyNumberFormat="1" applyFont="1" applyBorder="1" applyAlignment="1">
      <alignment horizontal="center"/>
    </xf>
    <xf numFmtId="49" fontId="24" fillId="0" borderId="18" xfId="0" applyNumberFormat="1" applyFont="1" applyBorder="1" applyAlignment="1">
      <alignment horizontal="center"/>
    </xf>
    <xf numFmtId="0" fontId="24" fillId="0" borderId="18" xfId="0" applyFont="1" applyBorder="1" applyAlignment="1">
      <alignment horizontal="left"/>
    </xf>
    <xf numFmtId="165" fontId="24" fillId="0" borderId="18" xfId="1" applyNumberFormat="1" applyFont="1" applyBorder="1" applyAlignment="1">
      <alignment horizontal="left"/>
    </xf>
    <xf numFmtId="165" fontId="24" fillId="0" borderId="3" xfId="1" applyNumberFormat="1" applyFont="1" applyBorder="1" applyAlignment="1">
      <alignment horizontal="left"/>
    </xf>
    <xf numFmtId="167" fontId="24" fillId="0" borderId="3" xfId="1" applyNumberFormat="1" applyFont="1" applyBorder="1" applyAlignment="1">
      <alignment horizontal="right"/>
    </xf>
    <xf numFmtId="0" fontId="24" fillId="0" borderId="18" xfId="0" applyFont="1" applyBorder="1" applyAlignment="1">
      <alignment horizontal="center"/>
    </xf>
    <xf numFmtId="166" fontId="24" fillId="0" borderId="18" xfId="0" applyNumberFormat="1" applyFont="1" applyBorder="1" applyAlignment="1">
      <alignment horizontal="center"/>
    </xf>
    <xf numFmtId="0" fontId="25" fillId="0" borderId="0" xfId="0" applyFont="1"/>
    <xf numFmtId="0" fontId="19" fillId="0" borderId="18" xfId="0" applyFont="1" applyBorder="1" applyAlignment="1">
      <alignment horizontal="center" wrapText="1"/>
    </xf>
    <xf numFmtId="3" fontId="24" fillId="0" borderId="18" xfId="0" applyNumberFormat="1" applyFont="1" applyBorder="1" applyAlignment="1">
      <alignment horizontal="center" wrapText="1"/>
    </xf>
    <xf numFmtId="0" fontId="24" fillId="0" borderId="18" xfId="0" applyFont="1" applyBorder="1" applyAlignment="1">
      <alignment horizontal="center" wrapText="1"/>
    </xf>
    <xf numFmtId="0" fontId="24" fillId="0" borderId="18" xfId="0" applyFont="1" applyBorder="1" applyAlignment="1">
      <alignment horizontal="left" wrapText="1"/>
    </xf>
    <xf numFmtId="0" fontId="0" fillId="0" borderId="0" xfId="0" applyAlignment="1">
      <alignment horizontal="center" wrapText="1"/>
    </xf>
    <xf numFmtId="0" fontId="19" fillId="0" borderId="18" xfId="0" applyFont="1" applyBorder="1" applyAlignment="1">
      <alignment horizontal="left" wrapText="1"/>
    </xf>
    <xf numFmtId="3" fontId="19" fillId="0" borderId="18" xfId="0" applyNumberFormat="1" applyFont="1" applyBorder="1" applyAlignment="1">
      <alignment horizontal="center" wrapText="1"/>
    </xf>
    <xf numFmtId="0" fontId="17" fillId="0" borderId="18" xfId="0" applyFont="1" applyBorder="1" applyAlignment="1">
      <alignment horizontal="left" wrapText="1"/>
    </xf>
    <xf numFmtId="3" fontId="17" fillId="0" borderId="18" xfId="0" applyNumberFormat="1" applyFont="1" applyBorder="1" applyAlignment="1">
      <alignment horizontal="center" wrapText="1"/>
    </xf>
    <xf numFmtId="0" fontId="0" fillId="0" borderId="21" xfId="0" applyBorder="1" applyAlignment="1">
      <alignment wrapText="1"/>
    </xf>
    <xf numFmtId="49" fontId="0" fillId="0" borderId="0" xfId="0" applyNumberFormat="1" applyAlignment="1">
      <alignment horizontal="center"/>
    </xf>
    <xf numFmtId="49" fontId="10" fillId="8" borderId="2" xfId="0" applyNumberFormat="1" applyFont="1" applyFill="1" applyBorder="1" applyAlignment="1">
      <alignment horizontal="center" vertical="center" wrapText="1"/>
    </xf>
    <xf numFmtId="49" fontId="8" fillId="0" borderId="5" xfId="0" applyNumberFormat="1" applyFont="1" applyBorder="1" applyAlignment="1" applyProtection="1">
      <alignment horizontal="center" vertical="center" wrapText="1"/>
      <protection locked="0"/>
    </xf>
    <xf numFmtId="0" fontId="26" fillId="12" borderId="5" xfId="0" applyFont="1" applyFill="1" applyBorder="1" applyAlignment="1">
      <alignment horizontal="center" vertical="center"/>
    </xf>
    <xf numFmtId="0" fontId="26" fillId="12" borderId="5" xfId="0" applyFont="1" applyFill="1" applyBorder="1" applyAlignment="1">
      <alignment horizontal="center"/>
    </xf>
    <xf numFmtId="0" fontId="26" fillId="0" borderId="21" xfId="0" applyFont="1" applyBorder="1"/>
    <xf numFmtId="0" fontId="26" fillId="0" borderId="24" xfId="0" quotePrefix="1" applyFont="1" applyBorder="1"/>
    <xf numFmtId="0" fontId="26" fillId="0" borderId="25" xfId="0" applyFont="1" applyBorder="1"/>
    <xf numFmtId="0" fontId="26" fillId="0" borderId="26" xfId="0" quotePrefix="1" applyFont="1" applyBorder="1"/>
    <xf numFmtId="0" fontId="21" fillId="0" borderId="18" xfId="0" applyFont="1" applyBorder="1" applyAlignment="1">
      <alignment horizontal="left" wrapText="1"/>
    </xf>
    <xf numFmtId="3" fontId="21" fillId="0" borderId="18" xfId="0" applyNumberFormat="1" applyFont="1" applyBorder="1" applyAlignment="1">
      <alignment horizontal="center" wrapText="1"/>
    </xf>
    <xf numFmtId="14" fontId="27" fillId="0" borderId="18" xfId="0" applyNumberFormat="1" applyFont="1" applyBorder="1" applyAlignment="1">
      <alignment horizontal="center"/>
    </xf>
    <xf numFmtId="49" fontId="27" fillId="0" borderId="18" xfId="0" applyNumberFormat="1" applyFont="1" applyBorder="1" applyAlignment="1">
      <alignment horizontal="center"/>
    </xf>
    <xf numFmtId="0" fontId="27" fillId="0" borderId="18" xfId="0" applyFont="1" applyBorder="1" applyAlignment="1">
      <alignment horizontal="left"/>
    </xf>
    <xf numFmtId="0" fontId="27" fillId="0" borderId="18" xfId="0" applyFont="1" applyBorder="1" applyAlignment="1">
      <alignment horizontal="left" wrapText="1"/>
    </xf>
    <xf numFmtId="165" fontId="27" fillId="0" borderId="18" xfId="1" applyNumberFormat="1" applyFont="1" applyBorder="1" applyAlignment="1">
      <alignment horizontal="left"/>
    </xf>
    <xf numFmtId="165" fontId="27" fillId="0" borderId="3" xfId="1" applyNumberFormat="1" applyFont="1" applyBorder="1" applyAlignment="1">
      <alignment horizontal="left"/>
    </xf>
    <xf numFmtId="167" fontId="27" fillId="0" borderId="3" xfId="1" applyNumberFormat="1" applyFont="1" applyBorder="1" applyAlignment="1">
      <alignment horizontal="right"/>
    </xf>
    <xf numFmtId="3" fontId="27" fillId="0" borderId="18" xfId="0" applyNumberFormat="1" applyFont="1" applyBorder="1" applyAlignment="1">
      <alignment horizontal="center" wrapText="1"/>
    </xf>
    <xf numFmtId="0" fontId="27" fillId="0" borderId="18" xfId="0" applyFont="1" applyBorder="1" applyAlignment="1">
      <alignment horizontal="center"/>
    </xf>
    <xf numFmtId="0" fontId="20" fillId="13" borderId="0" xfId="0" applyFont="1" applyFill="1"/>
    <xf numFmtId="0" fontId="7" fillId="0" borderId="0" xfId="0" applyFont="1" applyAlignment="1" applyProtection="1">
      <alignment horizontal="center" vertical="center"/>
      <protection locked="0"/>
    </xf>
    <xf numFmtId="0" fontId="8" fillId="7" borderId="0" xfId="0" applyFont="1" applyFill="1" applyAlignment="1" applyProtection="1">
      <alignment horizontal="center" vertical="center"/>
      <protection locked="0"/>
    </xf>
    <xf numFmtId="49" fontId="8" fillId="7" borderId="0" xfId="0" applyNumberFormat="1" applyFont="1" applyFill="1" applyAlignment="1" applyProtection="1">
      <alignment horizontal="center" vertical="center"/>
      <protection locked="0"/>
    </xf>
    <xf numFmtId="0" fontId="7" fillId="7" borderId="0" xfId="0" applyFont="1" applyFill="1" applyAlignment="1" applyProtection="1">
      <alignment horizontal="center" vertical="center"/>
      <protection locked="0"/>
    </xf>
    <xf numFmtId="168" fontId="8" fillId="7" borderId="0" xfId="0" applyNumberFormat="1" applyFont="1" applyFill="1" applyAlignment="1" applyProtection="1">
      <alignment horizontal="center" vertical="center"/>
      <protection locked="0"/>
    </xf>
    <xf numFmtId="0" fontId="8" fillId="0" borderId="0" xfId="0" applyFont="1" applyAlignment="1">
      <alignment horizontal="center" vertical="center"/>
    </xf>
    <xf numFmtId="0" fontId="8" fillId="0" borderId="0" xfId="0" applyFont="1" applyAlignment="1" applyProtection="1">
      <alignment horizontal="center" vertical="center"/>
      <protection locked="0"/>
    </xf>
    <xf numFmtId="1" fontId="8" fillId="0" borderId="0" xfId="0" applyNumberFormat="1" applyFont="1" applyAlignment="1">
      <alignment horizontal="center" vertical="center"/>
    </xf>
    <xf numFmtId="168" fontId="8" fillId="0" borderId="0" xfId="0" applyNumberFormat="1" applyFont="1" applyAlignment="1" applyProtection="1">
      <alignment horizontal="center" vertical="center"/>
      <protection locked="0"/>
    </xf>
    <xf numFmtId="1" fontId="9" fillId="0" borderId="0" xfId="0" applyNumberFormat="1" applyFont="1" applyAlignment="1">
      <alignment horizontal="center" vertical="center"/>
    </xf>
    <xf numFmtId="16" fontId="8" fillId="0" borderId="0" xfId="0" applyNumberFormat="1" applyFont="1" applyAlignment="1" applyProtection="1">
      <alignment horizontal="center" vertical="center" wrapText="1"/>
      <protection locked="0"/>
    </xf>
    <xf numFmtId="14" fontId="19" fillId="13" borderId="18" xfId="0" applyNumberFormat="1" applyFont="1" applyFill="1" applyBorder="1" applyAlignment="1">
      <alignment horizontal="center"/>
    </xf>
    <xf numFmtId="49" fontId="19" fillId="13" borderId="18" xfId="0" applyNumberFormat="1" applyFont="1" applyFill="1" applyBorder="1" applyAlignment="1">
      <alignment horizontal="center"/>
    </xf>
    <xf numFmtId="0" fontId="19" fillId="13" borderId="18" xfId="0" applyFont="1" applyFill="1" applyBorder="1" applyAlignment="1">
      <alignment horizontal="left"/>
    </xf>
    <xf numFmtId="0" fontId="19" fillId="13" borderId="18" xfId="0" applyFont="1" applyFill="1" applyBorder="1" applyAlignment="1">
      <alignment horizontal="left" wrapText="1"/>
    </xf>
    <xf numFmtId="165" fontId="19" fillId="13" borderId="18" xfId="1" applyNumberFormat="1" applyFont="1" applyFill="1" applyBorder="1" applyAlignment="1">
      <alignment horizontal="left"/>
    </xf>
    <xf numFmtId="165" fontId="19" fillId="13" borderId="3" xfId="1" applyNumberFormat="1" applyFont="1" applyFill="1" applyBorder="1" applyAlignment="1">
      <alignment horizontal="left"/>
    </xf>
    <xf numFmtId="167" fontId="19" fillId="13" borderId="3" xfId="1" applyNumberFormat="1" applyFont="1" applyFill="1" applyBorder="1" applyAlignment="1">
      <alignment horizontal="right"/>
    </xf>
    <xf numFmtId="3" fontId="19" fillId="13" borderId="18" xfId="0" applyNumberFormat="1" applyFont="1" applyFill="1" applyBorder="1" applyAlignment="1">
      <alignment horizontal="center" wrapText="1"/>
    </xf>
    <xf numFmtId="0" fontId="19" fillId="13" borderId="18" xfId="0" applyFont="1" applyFill="1" applyBorder="1" applyAlignment="1">
      <alignment horizontal="center"/>
    </xf>
    <xf numFmtId="0" fontId="14" fillId="0" borderId="5" xfId="0" applyFont="1" applyBorder="1" applyAlignment="1" applyProtection="1">
      <alignment horizontal="center" vertical="center"/>
      <protection locked="0"/>
    </xf>
    <xf numFmtId="49" fontId="11" fillId="0" borderId="4" xfId="0" applyNumberFormat="1" applyFont="1" applyBorder="1" applyAlignment="1">
      <alignment horizontal="center"/>
    </xf>
    <xf numFmtId="0" fontId="11" fillId="0" borderId="4" xfId="0" applyFont="1" applyBorder="1" applyAlignment="1">
      <alignment horizontal="left"/>
    </xf>
    <xf numFmtId="167" fontId="2" fillId="0" borderId="4" xfId="1" applyNumberFormat="1" applyFont="1" applyBorder="1" applyAlignment="1">
      <alignment horizontal="center"/>
    </xf>
    <xf numFmtId="14" fontId="2" fillId="6" borderId="4" xfId="0" applyNumberFormat="1" applyFont="1" applyFill="1" applyBorder="1" applyAlignment="1">
      <alignment horizontal="center"/>
    </xf>
    <xf numFmtId="49" fontId="2" fillId="6" borderId="4" xfId="0" applyNumberFormat="1" applyFont="1" applyFill="1" applyBorder="1" applyAlignment="1">
      <alignment horizontal="center"/>
    </xf>
    <xf numFmtId="0" fontId="2" fillId="6" borderId="4" xfId="0" applyFont="1" applyFill="1" applyBorder="1" applyAlignment="1">
      <alignment horizontal="left"/>
    </xf>
    <xf numFmtId="165" fontId="2" fillId="6" borderId="4" xfId="1" applyNumberFormat="1" applyFont="1" applyFill="1" applyBorder="1" applyAlignment="1">
      <alignment horizontal="left"/>
    </xf>
    <xf numFmtId="167" fontId="2" fillId="6" borderId="3" xfId="1" applyNumberFormat="1" applyFont="1" applyFill="1" applyBorder="1" applyAlignment="1">
      <alignment horizontal="right"/>
    </xf>
    <xf numFmtId="166" fontId="2" fillId="6" borderId="4" xfId="0" applyNumberFormat="1" applyFont="1" applyFill="1" applyBorder="1" applyAlignment="1">
      <alignment horizontal="center"/>
    </xf>
    <xf numFmtId="0" fontId="2" fillId="6" borderId="4" xfId="0" applyFont="1" applyFill="1" applyBorder="1" applyAlignment="1">
      <alignment horizontal="center"/>
    </xf>
    <xf numFmtId="14" fontId="2" fillId="10" borderId="4" xfId="0" applyNumberFormat="1" applyFont="1" applyFill="1" applyBorder="1" applyAlignment="1">
      <alignment horizontal="center"/>
    </xf>
    <xf numFmtId="49" fontId="2" fillId="10" borderId="4" xfId="0" applyNumberFormat="1" applyFont="1" applyFill="1" applyBorder="1" applyAlignment="1">
      <alignment horizontal="center"/>
    </xf>
    <xf numFmtId="0" fontId="2" fillId="10" borderId="4" xfId="0" applyFont="1" applyFill="1" applyBorder="1" applyAlignment="1">
      <alignment horizontal="left"/>
    </xf>
    <xf numFmtId="165" fontId="2" fillId="10" borderId="4" xfId="1" applyNumberFormat="1" applyFont="1" applyFill="1" applyBorder="1" applyAlignment="1">
      <alignment horizontal="left"/>
    </xf>
    <xf numFmtId="165" fontId="2" fillId="10" borderId="3" xfId="1" applyNumberFormat="1" applyFont="1" applyFill="1" applyBorder="1" applyAlignment="1">
      <alignment horizontal="left"/>
    </xf>
    <xf numFmtId="167" fontId="2" fillId="10" borderId="3" xfId="1" applyNumberFormat="1" applyFont="1" applyFill="1" applyBorder="1" applyAlignment="1">
      <alignment horizontal="right"/>
    </xf>
    <xf numFmtId="166" fontId="2" fillId="10" borderId="4" xfId="0" applyNumberFormat="1" applyFont="1" applyFill="1" applyBorder="1" applyAlignment="1">
      <alignment horizontal="center"/>
    </xf>
    <xf numFmtId="0" fontId="2" fillId="10" borderId="4" xfId="0" applyFont="1" applyFill="1" applyBorder="1" applyAlignment="1">
      <alignment horizontal="center"/>
    </xf>
    <xf numFmtId="165" fontId="2" fillId="0" borderId="4" xfId="1" applyNumberFormat="1" applyFont="1" applyFill="1" applyBorder="1" applyAlignment="1">
      <alignment horizontal="left"/>
    </xf>
    <xf numFmtId="167" fontId="2" fillId="0" borderId="3" xfId="1" applyNumberFormat="1" applyFont="1" applyFill="1" applyBorder="1" applyAlignment="1">
      <alignment horizontal="right"/>
    </xf>
    <xf numFmtId="167" fontId="2" fillId="0" borderId="4" xfId="1" applyNumberFormat="1" applyFont="1" applyFill="1" applyBorder="1" applyAlignment="1">
      <alignment horizontal="center"/>
    </xf>
    <xf numFmtId="166" fontId="2" fillId="0" borderId="3" xfId="0" applyNumberFormat="1" applyFont="1" applyBorder="1" applyAlignment="1">
      <alignment horizontal="center"/>
    </xf>
    <xf numFmtId="0" fontId="2" fillId="11" borderId="18" xfId="0" applyFont="1" applyFill="1" applyBorder="1" applyAlignment="1">
      <alignment horizontal="center"/>
    </xf>
    <xf numFmtId="14" fontId="11" fillId="0" borderId="18" xfId="0" applyNumberFormat="1" applyFont="1" applyBorder="1" applyAlignment="1">
      <alignment horizontal="center"/>
    </xf>
    <xf numFmtId="49" fontId="11" fillId="0" borderId="18" xfId="0" applyNumberFormat="1" applyFont="1" applyBorder="1" applyAlignment="1">
      <alignment horizontal="center"/>
    </xf>
    <xf numFmtId="0" fontId="11" fillId="0" borderId="18" xfId="0" applyFont="1" applyBorder="1" applyAlignment="1">
      <alignment horizontal="left"/>
    </xf>
    <xf numFmtId="0" fontId="2" fillId="0" borderId="18" xfId="0" applyFont="1" applyBorder="1" applyAlignment="1">
      <alignment horizontal="center" wrapText="1"/>
    </xf>
    <xf numFmtId="3" fontId="2" fillId="0" borderId="18" xfId="0" applyNumberFormat="1" applyFont="1" applyBorder="1" applyAlignment="1">
      <alignment horizontal="center" wrapText="1"/>
    </xf>
    <xf numFmtId="0" fontId="2" fillId="10" borderId="18" xfId="0" applyFont="1" applyFill="1" applyBorder="1" applyAlignment="1">
      <alignment horizontal="center"/>
    </xf>
    <xf numFmtId="0" fontId="2" fillId="0" borderId="18" xfId="0" applyFont="1" applyBorder="1" applyAlignment="1">
      <alignment horizontal="left" wrapText="1"/>
    </xf>
    <xf numFmtId="0" fontId="14" fillId="0" borderId="0" xfId="0" applyFont="1"/>
    <xf numFmtId="0" fontId="8" fillId="0" borderId="0" xfId="0" applyFont="1"/>
    <xf numFmtId="0" fontId="11" fillId="0" borderId="18" xfId="0" applyFont="1" applyBorder="1" applyAlignment="1">
      <alignment horizontal="left" wrapText="1"/>
    </xf>
    <xf numFmtId="165" fontId="11" fillId="0" borderId="18" xfId="1" applyNumberFormat="1" applyFont="1" applyBorder="1" applyAlignment="1">
      <alignment horizontal="left"/>
    </xf>
    <xf numFmtId="165" fontId="11" fillId="0" borderId="3" xfId="1" applyNumberFormat="1" applyFont="1" applyBorder="1" applyAlignment="1">
      <alignment horizontal="left"/>
    </xf>
    <xf numFmtId="167" fontId="11" fillId="0" borderId="3" xfId="1" applyNumberFormat="1" applyFont="1" applyBorder="1" applyAlignment="1">
      <alignment horizontal="right"/>
    </xf>
    <xf numFmtId="3" fontId="11" fillId="0" borderId="18" xfId="0" applyNumberFormat="1" applyFont="1" applyBorder="1" applyAlignment="1">
      <alignment horizontal="center" wrapText="1"/>
    </xf>
    <xf numFmtId="0" fontId="11" fillId="0" borderId="18" xfId="0" applyFont="1" applyBorder="1" applyAlignment="1">
      <alignment horizontal="center"/>
    </xf>
    <xf numFmtId="0" fontId="14" fillId="14" borderId="0" xfId="0" applyFont="1" applyFill="1"/>
    <xf numFmtId="14" fontId="27" fillId="14" borderId="18" xfId="0" applyNumberFormat="1" applyFont="1" applyFill="1" applyBorder="1" applyAlignment="1">
      <alignment horizontal="center"/>
    </xf>
    <xf numFmtId="49" fontId="27" fillId="14" borderId="18" xfId="0" applyNumberFormat="1" applyFont="1" applyFill="1" applyBorder="1" applyAlignment="1">
      <alignment horizontal="center"/>
    </xf>
    <xf numFmtId="0" fontId="27" fillId="14" borderId="18" xfId="0" applyFont="1" applyFill="1" applyBorder="1" applyAlignment="1">
      <alignment horizontal="left"/>
    </xf>
    <xf numFmtId="0" fontId="27" fillId="14" borderId="18" xfId="0" applyFont="1" applyFill="1" applyBorder="1" applyAlignment="1">
      <alignment horizontal="left" wrapText="1"/>
    </xf>
    <xf numFmtId="165" fontId="27" fillId="14" borderId="18" xfId="1" applyNumberFormat="1" applyFont="1" applyFill="1" applyBorder="1" applyAlignment="1">
      <alignment horizontal="left"/>
    </xf>
    <xf numFmtId="167" fontId="27" fillId="14" borderId="3" xfId="1" applyNumberFormat="1" applyFont="1" applyFill="1" applyBorder="1" applyAlignment="1">
      <alignment horizontal="right"/>
    </xf>
    <xf numFmtId="3" fontId="27" fillId="14" borderId="18" xfId="0" applyNumberFormat="1" applyFont="1" applyFill="1" applyBorder="1" applyAlignment="1">
      <alignment horizontal="center" wrapText="1"/>
    </xf>
    <xf numFmtId="0" fontId="27" fillId="14" borderId="18" xfId="0" applyFont="1" applyFill="1" applyBorder="1" applyAlignment="1">
      <alignment horizontal="center"/>
    </xf>
    <xf numFmtId="0" fontId="20" fillId="14" borderId="0" xfId="0" applyFont="1" applyFill="1"/>
    <xf numFmtId="0" fontId="0" fillId="0" borderId="5" xfId="0" applyBorder="1" applyAlignment="1">
      <alignment horizontal="center" wrapText="1"/>
    </xf>
    <xf numFmtId="0" fontId="26" fillId="0" borderId="0" xfId="0" applyFont="1"/>
    <xf numFmtId="16" fontId="8" fillId="0" borderId="5" xfId="0" applyNumberFormat="1" applyFont="1" applyBorder="1" applyAlignment="1" applyProtection="1">
      <alignment horizontal="center" vertical="center"/>
      <protection locked="0"/>
    </xf>
    <xf numFmtId="17" fontId="8" fillId="0" borderId="5" xfId="0" applyNumberFormat="1"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8" fillId="0" borderId="17" xfId="0" applyFont="1" applyBorder="1" applyAlignment="1" applyProtection="1">
      <alignment horizontal="left" vertical="center"/>
      <protection locked="0"/>
    </xf>
    <xf numFmtId="0" fontId="13" fillId="0" borderId="17" xfId="0" applyFont="1" applyBorder="1" applyAlignment="1" applyProtection="1">
      <alignment horizontal="center" vertical="center"/>
      <protection locked="0"/>
    </xf>
    <xf numFmtId="168" fontId="8" fillId="7" borderId="12" xfId="0" applyNumberFormat="1" applyFont="1" applyFill="1" applyBorder="1" applyAlignment="1" applyProtection="1">
      <alignment horizontal="center" vertical="center" wrapText="1"/>
      <protection locked="0"/>
    </xf>
    <xf numFmtId="0" fontId="13" fillId="7" borderId="5" xfId="0" applyFont="1" applyFill="1" applyBorder="1" applyAlignment="1" applyProtection="1">
      <alignment horizontal="center" vertical="center" wrapText="1"/>
      <protection locked="0"/>
    </xf>
    <xf numFmtId="16" fontId="28" fillId="15" borderId="5" xfId="0" applyNumberFormat="1" applyFont="1" applyFill="1" applyBorder="1" applyAlignment="1" applyProtection="1">
      <alignment horizontal="center" vertical="center" wrapText="1"/>
      <protection locked="0"/>
    </xf>
    <xf numFmtId="16" fontId="14" fillId="0" borderId="5" xfId="0" applyNumberFormat="1" applyFont="1" applyBorder="1" applyAlignment="1" applyProtection="1">
      <alignment horizontal="center" vertical="center" wrapText="1"/>
      <protection locked="0"/>
    </xf>
    <xf numFmtId="16" fontId="29" fillId="0" borderId="5" xfId="0" applyNumberFormat="1" applyFont="1" applyBorder="1" applyAlignment="1" applyProtection="1">
      <alignment horizontal="center" vertical="center" wrapText="1"/>
      <protection locked="0"/>
    </xf>
    <xf numFmtId="0" fontId="0" fillId="0" borderId="0" xfId="0" quotePrefix="1" applyAlignment="1">
      <alignment horizontal="center"/>
    </xf>
    <xf numFmtId="16" fontId="8" fillId="0" borderId="27" xfId="0" applyNumberFormat="1" applyFont="1" applyBorder="1" applyAlignment="1">
      <alignment horizontal="center" vertical="center"/>
    </xf>
    <xf numFmtId="0" fontId="8" fillId="0" borderId="28" xfId="0" applyFont="1" applyBorder="1" applyAlignment="1">
      <alignment horizontal="center" vertical="center"/>
    </xf>
    <xf numFmtId="0" fontId="10" fillId="8" borderId="29" xfId="0" applyFont="1" applyFill="1" applyBorder="1" applyAlignment="1">
      <alignment horizontal="center" vertical="center" wrapText="1"/>
    </xf>
    <xf numFmtId="16" fontId="8" fillId="0" borderId="17" xfId="0" applyNumberFormat="1" applyFont="1" applyBorder="1" applyAlignment="1">
      <alignment horizontal="center" vertical="center"/>
    </xf>
    <xf numFmtId="14" fontId="10" fillId="8" borderId="30" xfId="0" applyNumberFormat="1" applyFont="1" applyFill="1" applyBorder="1" applyAlignment="1">
      <alignment horizontal="center" vertical="center" wrapText="1"/>
    </xf>
    <xf numFmtId="168" fontId="8" fillId="0" borderId="10" xfId="0" applyNumberFormat="1" applyFont="1" applyBorder="1" applyAlignment="1" applyProtection="1">
      <alignment horizontal="center" vertical="center"/>
      <protection locked="0"/>
    </xf>
    <xf numFmtId="16" fontId="8" fillId="0" borderId="31" xfId="0" applyNumberFormat="1" applyFont="1" applyBorder="1" applyAlignment="1">
      <alignment horizontal="center" vertical="center"/>
    </xf>
    <xf numFmtId="1" fontId="8" fillId="0" borderId="32" xfId="0" applyNumberFormat="1" applyFont="1" applyBorder="1" applyAlignment="1">
      <alignment horizontal="center" vertical="center"/>
    </xf>
    <xf numFmtId="0" fontId="8" fillId="0" borderId="33" xfId="0" applyFont="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0"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8" fillId="0" borderId="32" xfId="0" applyFont="1" applyBorder="1" applyAlignment="1" applyProtection="1">
      <alignment horizontal="center" vertical="center"/>
      <protection locked="0"/>
    </xf>
    <xf numFmtId="16" fontId="8" fillId="0" borderId="28" xfId="0" applyNumberFormat="1" applyFont="1" applyBorder="1" applyAlignment="1">
      <alignment horizontal="center" vertical="center"/>
    </xf>
    <xf numFmtId="168" fontId="8" fillId="7" borderId="17" xfId="0" applyNumberFormat="1" applyFont="1" applyFill="1" applyBorder="1" applyAlignment="1" applyProtection="1">
      <alignment horizontal="center" vertical="center"/>
      <protection locked="0"/>
    </xf>
    <xf numFmtId="16"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16" fontId="8" fillId="0" borderId="34" xfId="0" applyNumberFormat="1" applyFont="1" applyBorder="1" applyAlignment="1">
      <alignment horizontal="center" vertical="center"/>
    </xf>
    <xf numFmtId="16" fontId="8" fillId="0" borderId="35" xfId="0" applyNumberFormat="1" applyFont="1" applyBorder="1" applyAlignment="1">
      <alignment horizontal="center" vertical="center"/>
    </xf>
    <xf numFmtId="16" fontId="8" fillId="0" borderId="36" xfId="0" applyNumberFormat="1" applyFont="1" applyBorder="1" applyAlignment="1">
      <alignment horizontal="center" vertical="center"/>
    </xf>
    <xf numFmtId="16" fontId="8" fillId="0" borderId="38" xfId="0" applyNumberFormat="1" applyFont="1" applyBorder="1" applyAlignment="1">
      <alignment horizontal="center" vertical="center"/>
    </xf>
    <xf numFmtId="16" fontId="8" fillId="0" borderId="39" xfId="0" applyNumberFormat="1" applyFont="1" applyBorder="1" applyAlignment="1">
      <alignment horizontal="center" vertical="center"/>
    </xf>
    <xf numFmtId="16" fontId="8" fillId="0" borderId="40" xfId="0" applyNumberFormat="1" applyFont="1" applyBorder="1" applyAlignment="1">
      <alignment horizontal="center" vertical="center"/>
    </xf>
    <xf numFmtId="16" fontId="8" fillId="0" borderId="41" xfId="0" applyNumberFormat="1" applyFont="1" applyBorder="1" applyAlignment="1">
      <alignment horizontal="center" vertical="center"/>
    </xf>
    <xf numFmtId="16" fontId="8" fillId="0" borderId="42" xfId="0" applyNumberFormat="1" applyFont="1" applyBorder="1" applyAlignment="1">
      <alignment horizontal="center" vertical="center"/>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8" fillId="0" borderId="37" xfId="0" applyFont="1" applyBorder="1" applyAlignment="1">
      <alignment horizontal="center" vertical="center"/>
    </xf>
    <xf numFmtId="0" fontId="10" fillId="5" borderId="25" xfId="0" applyFont="1" applyFill="1" applyBorder="1" applyAlignment="1">
      <alignment horizontal="center" vertical="center" wrapText="1"/>
    </xf>
    <xf numFmtId="16" fontId="8" fillId="0" borderId="22" xfId="0" applyNumberFormat="1" applyFont="1" applyBorder="1" applyAlignment="1">
      <alignment horizontal="center" vertical="center"/>
    </xf>
    <xf numFmtId="168" fontId="8" fillId="0" borderId="45" xfId="0" applyNumberFormat="1" applyFont="1" applyBorder="1" applyAlignment="1" applyProtection="1">
      <alignment horizontal="center" vertical="center"/>
      <protection locked="0"/>
    </xf>
    <xf numFmtId="16" fontId="8" fillId="0" borderId="46" xfId="0" applyNumberFormat="1" applyFont="1" applyBorder="1" applyAlignment="1">
      <alignment horizontal="center" vertical="center"/>
    </xf>
    <xf numFmtId="16" fontId="8" fillId="0" borderId="47" xfId="0" applyNumberFormat="1"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168" fontId="8" fillId="0" borderId="49" xfId="0" applyNumberFormat="1" applyFont="1" applyBorder="1" applyAlignment="1" applyProtection="1">
      <alignment horizontal="center" vertical="center"/>
      <protection locked="0"/>
    </xf>
    <xf numFmtId="1" fontId="9" fillId="0" borderId="50" xfId="0" applyNumberFormat="1" applyFont="1" applyBorder="1" applyAlignment="1">
      <alignment horizontal="center" vertical="center"/>
    </xf>
    <xf numFmtId="0" fontId="8" fillId="0" borderId="46" xfId="0" applyFont="1" applyBorder="1" applyAlignment="1">
      <alignment horizontal="center" vertical="center"/>
    </xf>
    <xf numFmtId="1" fontId="9" fillId="0" borderId="51" xfId="0" applyNumberFormat="1" applyFont="1" applyBorder="1" applyAlignment="1">
      <alignment horizontal="center" vertical="center"/>
    </xf>
    <xf numFmtId="168" fontId="8" fillId="0" borderId="52" xfId="0" applyNumberFormat="1" applyFont="1" applyBorder="1" applyAlignment="1" applyProtection="1">
      <alignment horizontal="center" vertical="center"/>
      <protection locked="0"/>
    </xf>
    <xf numFmtId="1" fontId="9" fillId="0" borderId="53" xfId="0" applyNumberFormat="1" applyFont="1" applyBorder="1" applyAlignment="1">
      <alignment horizontal="center" vertical="center"/>
    </xf>
    <xf numFmtId="168" fontId="8" fillId="0" borderId="47" xfId="0" applyNumberFormat="1" applyFont="1" applyBorder="1" applyAlignment="1" applyProtection="1">
      <alignment horizontal="center" vertical="center"/>
      <protection locked="0"/>
    </xf>
    <xf numFmtId="14" fontId="30" fillId="0" borderId="18" xfId="0" applyNumberFormat="1" applyFont="1" applyBorder="1" applyAlignment="1">
      <alignment horizontal="center"/>
    </xf>
    <xf numFmtId="49" fontId="30" fillId="0" borderId="18" xfId="0" applyNumberFormat="1" applyFont="1" applyBorder="1" applyAlignment="1">
      <alignment horizontal="center"/>
    </xf>
    <xf numFmtId="0" fontId="30" fillId="0" borderId="18" xfId="0" applyFont="1" applyBorder="1" applyAlignment="1">
      <alignment horizontal="left"/>
    </xf>
    <xf numFmtId="0" fontId="30" fillId="0" borderId="18" xfId="0" applyFont="1" applyBorder="1" applyAlignment="1">
      <alignment horizontal="left" wrapText="1"/>
    </xf>
    <xf numFmtId="0" fontId="31" fillId="0" borderId="18" xfId="0" applyFont="1" applyBorder="1" applyAlignment="1">
      <alignment horizontal="left" wrapText="1"/>
    </xf>
    <xf numFmtId="165" fontId="30" fillId="0" borderId="18" xfId="1" applyNumberFormat="1" applyFont="1" applyBorder="1" applyAlignment="1">
      <alignment horizontal="left"/>
    </xf>
    <xf numFmtId="165" fontId="30" fillId="0" borderId="3" xfId="1" applyNumberFormat="1" applyFont="1" applyBorder="1" applyAlignment="1">
      <alignment horizontal="left"/>
    </xf>
    <xf numFmtId="167" fontId="30" fillId="0" borderId="3" xfId="1" applyNumberFormat="1" applyFont="1" applyBorder="1" applyAlignment="1">
      <alignment horizontal="right"/>
    </xf>
    <xf numFmtId="3" fontId="30" fillId="0" borderId="18" xfId="0" applyNumberFormat="1" applyFont="1" applyBorder="1" applyAlignment="1">
      <alignment horizontal="center" wrapText="1"/>
    </xf>
    <xf numFmtId="0" fontId="30" fillId="0" borderId="18" xfId="0" applyFont="1" applyBorder="1" applyAlignment="1">
      <alignment horizontal="center"/>
    </xf>
    <xf numFmtId="14" fontId="31" fillId="0" borderId="18" xfId="0" applyNumberFormat="1" applyFont="1" applyBorder="1" applyAlignment="1">
      <alignment horizontal="center"/>
    </xf>
    <xf numFmtId="49" fontId="31" fillId="0" borderId="18" xfId="0" applyNumberFormat="1" applyFont="1" applyBorder="1" applyAlignment="1">
      <alignment horizontal="center"/>
    </xf>
    <xf numFmtId="0" fontId="31" fillId="0" borderId="18" xfId="0" applyFont="1" applyBorder="1" applyAlignment="1">
      <alignment horizontal="left"/>
    </xf>
    <xf numFmtId="165" fontId="31" fillId="0" borderId="18" xfId="1" applyNumberFormat="1" applyFont="1" applyBorder="1" applyAlignment="1">
      <alignment horizontal="left"/>
    </xf>
    <xf numFmtId="165" fontId="31" fillId="0" borderId="3" xfId="1" applyNumberFormat="1" applyFont="1" applyBorder="1" applyAlignment="1">
      <alignment horizontal="left"/>
    </xf>
    <xf numFmtId="167" fontId="31" fillId="0" borderId="3" xfId="1" applyNumberFormat="1" applyFont="1" applyBorder="1" applyAlignment="1">
      <alignment horizontal="right"/>
    </xf>
    <xf numFmtId="3" fontId="31" fillId="0" borderId="18" xfId="0" applyNumberFormat="1" applyFont="1" applyBorder="1" applyAlignment="1">
      <alignment horizontal="center" wrapText="1"/>
    </xf>
    <xf numFmtId="0" fontId="31" fillId="0" borderId="18" xfId="0" applyFont="1" applyBorder="1" applyAlignment="1">
      <alignment horizontal="center"/>
    </xf>
    <xf numFmtId="49" fontId="8" fillId="7" borderId="5" xfId="0" applyNumberFormat="1" applyFont="1" applyFill="1" applyBorder="1" applyAlignment="1" applyProtection="1">
      <alignment horizontal="center" vertical="center" wrapText="1"/>
      <protection locked="0"/>
    </xf>
    <xf numFmtId="14" fontId="32" fillId="0" borderId="18" xfId="0" applyNumberFormat="1" applyFont="1" applyBorder="1" applyAlignment="1">
      <alignment horizontal="center"/>
    </xf>
    <xf numFmtId="49" fontId="32" fillId="0" borderId="18" xfId="0" applyNumberFormat="1" applyFont="1" applyBorder="1" applyAlignment="1">
      <alignment horizontal="center"/>
    </xf>
    <xf numFmtId="0" fontId="32" fillId="0" borderId="18" xfId="0" applyFont="1" applyBorder="1" applyAlignment="1">
      <alignment horizontal="left"/>
    </xf>
    <xf numFmtId="0" fontId="32" fillId="0" borderId="18" xfId="0" applyFont="1" applyBorder="1" applyAlignment="1">
      <alignment horizontal="left" wrapText="1"/>
    </xf>
    <xf numFmtId="165" fontId="32" fillId="0" borderId="18" xfId="1" applyNumberFormat="1" applyFont="1" applyBorder="1" applyAlignment="1">
      <alignment horizontal="left"/>
    </xf>
    <xf numFmtId="165" fontId="32" fillId="0" borderId="3" xfId="1" applyNumberFormat="1" applyFont="1" applyBorder="1" applyAlignment="1">
      <alignment horizontal="left"/>
    </xf>
    <xf numFmtId="167" fontId="32" fillId="0" borderId="3" xfId="1" applyNumberFormat="1" applyFont="1" applyBorder="1" applyAlignment="1">
      <alignment horizontal="right"/>
    </xf>
    <xf numFmtId="3" fontId="32" fillId="0" borderId="18" xfId="0" applyNumberFormat="1" applyFont="1" applyBorder="1" applyAlignment="1">
      <alignment horizontal="center" wrapText="1"/>
    </xf>
    <xf numFmtId="0" fontId="32" fillId="0" borderId="18" xfId="0" applyFont="1" applyBorder="1" applyAlignment="1">
      <alignment horizontal="center"/>
    </xf>
    <xf numFmtId="16" fontId="33" fillId="0" borderId="5" xfId="0" applyNumberFormat="1" applyFont="1" applyBorder="1" applyAlignment="1" applyProtection="1">
      <alignment horizontal="center" vertical="center" wrapText="1"/>
      <protection locked="0"/>
    </xf>
    <xf numFmtId="0" fontId="16" fillId="8" borderId="23" xfId="0" applyFont="1" applyFill="1" applyBorder="1" applyAlignment="1">
      <alignment horizontal="center" wrapText="1"/>
    </xf>
    <xf numFmtId="0" fontId="4" fillId="0" borderId="0" xfId="0" applyFont="1" applyAlignment="1">
      <alignment horizontal="center"/>
    </xf>
    <xf numFmtId="49" fontId="8" fillId="0" borderId="5" xfId="0" applyNumberFormat="1" applyFont="1" applyBorder="1" applyAlignment="1">
      <alignment horizontal="center" vertical="center"/>
    </xf>
  </cellXfs>
  <cellStyles count="3">
    <cellStyle name="Excel Built-in Normal" xfId="2" xr:uid="{00000000-0005-0000-0000-000000000000}"/>
    <cellStyle name="Millares" xfId="1" builtinId="3"/>
    <cellStyle name="Normal" xfId="0" builtinId="0"/>
  </cellStyles>
  <dxfs count="97">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79998168889431442"/>
        </patternFill>
      </fill>
    </dxf>
    <dxf>
      <fill>
        <patternFill>
          <bgColor theme="9" tint="-0.24994659260841701"/>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24994659260841701"/>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24994659260841701"/>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
      <fill>
        <patternFill>
          <bgColor theme="9" tint="0.59996337778862885"/>
        </patternFill>
      </fill>
    </dxf>
    <dxf>
      <fill>
        <patternFill>
          <bgColor theme="6" tint="0.79998168889431442"/>
        </patternFill>
      </fill>
    </dxf>
    <dxf>
      <fill>
        <patternFill>
          <bgColor theme="6" tint="0.59996337778862885"/>
        </patternFill>
      </fill>
    </dxf>
    <dxf>
      <font>
        <strike/>
      </font>
      <fill>
        <patternFill>
          <bgColor theme="5" tint="0.79998168889431442"/>
        </patternFill>
      </fill>
    </dxf>
    <dxf>
      <fill>
        <patternFill>
          <bgColor theme="6" tint="0.39994506668294322"/>
        </patternFill>
      </fill>
    </dxf>
    <dxf>
      <fill>
        <patternFill>
          <bgColor rgb="FFFFC000"/>
        </patternFill>
      </fill>
    </dxf>
    <dxf>
      <fill>
        <patternFill>
          <bgColor theme="9" tint="0.79998168889431442"/>
        </patternFill>
      </fill>
    </dxf>
  </dxfs>
  <tableStyles count="0" defaultTableStyle="TableStyleMedium9" defaultPivotStyle="PivotStyleLight16"/>
  <colors>
    <mruColors>
      <color rgb="FFFF3300"/>
      <color rgb="FFFF5050"/>
      <color rgb="FF0033CC"/>
      <color rgb="FFFFFFCC"/>
      <color rgb="FFFDD07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15</xdr:col>
      <xdr:colOff>342900</xdr:colOff>
      <xdr:row>1</xdr:row>
      <xdr:rowOff>0</xdr:rowOff>
    </xdr:from>
    <xdr:to>
      <xdr:col>16</xdr:col>
      <xdr:colOff>304800</xdr:colOff>
      <xdr:row>1</xdr:row>
      <xdr:rowOff>180975</xdr:rowOff>
    </xdr:to>
    <xdr:sp macro="" textlink="">
      <xdr:nvSpPr>
        <xdr:cNvPr id="3" name="Flecha abajo 2">
          <a:extLst>
            <a:ext uri="{FF2B5EF4-FFF2-40B4-BE49-F238E27FC236}">
              <a16:creationId xmlns:a16="http://schemas.microsoft.com/office/drawing/2014/main" id="{77AE2E4A-8411-47DF-ACAC-0C6AADACEC6F}"/>
            </a:ext>
            <a:ext uri="{147F2762-F138-4A5C-976F-8EAC2B608ADB}">
              <a16:predDERef xmlns:a16="http://schemas.microsoft.com/office/drawing/2014/main" pred="{A7E0BD87-EE9E-DF81-1BF3-AC8465570F59}"/>
            </a:ext>
          </a:extLst>
        </xdr:cNvPr>
        <xdr:cNvSpPr/>
      </xdr:nvSpPr>
      <xdr:spPr>
        <a:xfrm>
          <a:off x="11982450" y="66675"/>
          <a:ext cx="514350" cy="180975"/>
        </a:xfrm>
        <a:prstGeom prst="downArrow">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15E62B57-6680-40B1-8FF4-D162F58CC30C}">
    <nsvFilter filterId="{00000000-0001-0000-0000-000000000000}" ref="A4:AI2599" tableId="0">
      <columnFilter colId="1">
        <filter colId="1">
          <x:filters blank="1">
            <x:filter val="Confirmado"/>
            <x:filter val="Solicitado"/>
          </x:filters>
        </filter>
      </columnFilter>
      <sortRules>
        <sortRule colId="12">
          <sortCondition ref="M4:M2599"/>
        </sortRule>
      </sortRules>
    </nsvFilter>
  </namedSheetView>
  <namedSheetView name="Ver1" id="{7031B13A-5C22-4B6D-B246-454C19D5F229}"/>
  <namedSheetView name="Ver2" id="{07E5C188-25A3-4235-9B7B-4FEA6C2748C3}">
    <nsvFilter filterId="{00000000-0001-0000-0000-000000000000}" ref="A4:AI2599" tableId="0">
      <columnFilter colId="1">
        <filter colId="1">
          <x:filters>
            <x:filter val="Frontera"/>
            <x:filter val="Solicitado"/>
          </x:filters>
        </filter>
      </columnFilter>
      <columnFilter colId="13">
        <filter colId="13">
          <x:filters>
            <x:dateGroupItem year="2025" month="9" dateTimeGrouping="month"/>
          </x:filters>
        </filter>
      </columnFilter>
      <sortRules>
        <sortRule colId="10">
          <sortCondition ref="K4:K2599"/>
        </sortRule>
      </sortRules>
    </nsvFilter>
  </namedSheetView>
</namedSheetViews>
</file>

<file path=xl/persons/person.xml><?xml version="1.0" encoding="utf-8"?>
<personList xmlns="http://schemas.microsoft.com/office/spreadsheetml/2018/threadedcomments" xmlns:x="http://schemas.openxmlformats.org/spreadsheetml/2006/main">
  <person displayName="Almar C.Exterior" id="{E5FFDFAE-C95D-457F-A009-7E3E420E3F61}" userId="65c81eaa3cf040bd"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428" dT="2025-07-25T11:42:23.16" personId="{E5FFDFAE-C95D-457F-A009-7E3E420E3F61}" id="{8DE02740-3A6B-4177-8368-68C0C846FC65}">
    <text xml:space="preserve">Factura original por 5 cargas, cruzaron 3, se hizo N/C por 2 cargas 
</text>
  </threadedComment>
</ThreadedComments>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pageSetUpPr autoPageBreaks="0" fitToPage="1"/>
  </sheetPr>
  <dimension ref="A1:AI3155"/>
  <sheetViews>
    <sheetView showGridLines="0" tabSelected="1" topLeftCell="P1" workbookViewId="0">
      <pane ySplit="4" topLeftCell="A2572" activePane="bottomLeft" state="frozen"/>
      <selection pane="bottomLeft" activeCell="L2582" sqref="L2582"/>
    </sheetView>
  </sheetViews>
  <sheetFormatPr baseColWidth="10" defaultColWidth="9.140625" defaultRowHeight="15" customHeight="1" x14ac:dyDescent="0.25"/>
  <cols>
    <col min="1" max="1" width="9.140625" style="69" customWidth="1"/>
    <col min="2" max="2" width="17" style="69" customWidth="1"/>
    <col min="3" max="3" width="15.42578125" style="69" customWidth="1"/>
    <col min="4" max="4" width="16.85546875" style="69" customWidth="1"/>
    <col min="5" max="5" width="10.7109375" style="70" customWidth="1"/>
    <col min="6" max="6" width="10.85546875" style="69" customWidth="1"/>
    <col min="7" max="7" width="24.5703125" style="69" customWidth="1"/>
    <col min="8" max="8" width="32.85546875" style="69" customWidth="1"/>
    <col min="9" max="9" width="15.42578125" style="69" bestFit="1" customWidth="1"/>
    <col min="10" max="10" width="9.140625" style="70" customWidth="1"/>
    <col min="11" max="11" width="10.28515625" style="69" customWidth="1"/>
    <col min="12" max="12" width="11.42578125" style="69" customWidth="1"/>
    <col min="13" max="13" width="9.140625" style="70" customWidth="1"/>
    <col min="14" max="18" width="9.140625" style="69" customWidth="1"/>
    <col min="19" max="19" width="19" style="69" customWidth="1"/>
    <col min="20" max="20" width="17.28515625" style="69" customWidth="1"/>
    <col min="21" max="21" width="9.140625" style="69" customWidth="1"/>
    <col min="22" max="23" width="11.5703125" style="69" customWidth="1"/>
    <col min="24" max="24" width="29.7109375" style="126" customWidth="1"/>
    <col min="25" max="25" width="22.28515625" style="69" customWidth="1"/>
    <col min="26" max="26" width="78.28515625" style="69" bestFit="1" customWidth="1"/>
    <col min="27" max="27" width="9.140625" style="69"/>
    <col min="28" max="28" width="12.85546875" style="69" bestFit="1" customWidth="1"/>
    <col min="29" max="16384" width="9.140625" style="69"/>
  </cols>
  <sheetData>
    <row r="1" spans="1:26" ht="15" customHeight="1" x14ac:dyDescent="0.25">
      <c r="H1" s="228" t="s">
        <v>0</v>
      </c>
    </row>
    <row r="2" spans="1:26" ht="17.25" x14ac:dyDescent="0.3">
      <c r="A2" s="301" t="s">
        <v>1</v>
      </c>
      <c r="B2" s="301"/>
      <c r="C2" s="301"/>
      <c r="D2" s="301"/>
      <c r="E2" s="301"/>
      <c r="G2" s="69" t="s">
        <v>2</v>
      </c>
    </row>
    <row r="3" spans="1:26" x14ac:dyDescent="0.25">
      <c r="O3" s="300" t="s">
        <v>3</v>
      </c>
      <c r="P3" s="300"/>
      <c r="Q3" s="300"/>
      <c r="R3" s="300"/>
    </row>
    <row r="4" spans="1:26" s="68" customFormat="1" ht="41.25" customHeight="1" x14ac:dyDescent="0.25">
      <c r="A4" s="49" t="s">
        <v>4</v>
      </c>
      <c r="B4" s="65" t="s">
        <v>5</v>
      </c>
      <c r="C4" s="65" t="s">
        <v>6</v>
      </c>
      <c r="D4" s="65" t="s">
        <v>7</v>
      </c>
      <c r="E4" s="66" t="s">
        <v>8</v>
      </c>
      <c r="F4" s="49" t="s">
        <v>9</v>
      </c>
      <c r="G4" s="49" t="s">
        <v>10</v>
      </c>
      <c r="H4" s="49" t="s">
        <v>11</v>
      </c>
      <c r="I4" s="49" t="s">
        <v>12</v>
      </c>
      <c r="J4" s="67" t="s">
        <v>13</v>
      </c>
      <c r="K4" s="231" t="s">
        <v>14</v>
      </c>
      <c r="L4" s="257" t="s">
        <v>15</v>
      </c>
      <c r="M4" s="233" t="s">
        <v>16</v>
      </c>
      <c r="N4" s="49" t="s">
        <v>17</v>
      </c>
      <c r="O4" s="49" t="s">
        <v>18</v>
      </c>
      <c r="P4" s="49" t="s">
        <v>19</v>
      </c>
      <c r="Q4" s="75" t="s">
        <v>20</v>
      </c>
      <c r="R4" s="75" t="s">
        <v>21</v>
      </c>
      <c r="S4" s="49" t="s">
        <v>22</v>
      </c>
      <c r="T4" s="49"/>
      <c r="U4" s="49" t="s">
        <v>23</v>
      </c>
      <c r="V4" s="49" t="s">
        <v>24</v>
      </c>
      <c r="W4" s="49" t="s">
        <v>25</v>
      </c>
      <c r="X4" s="127" t="s">
        <v>26</v>
      </c>
      <c r="Y4" s="49" t="s">
        <v>27</v>
      </c>
      <c r="Z4" s="49" t="s">
        <v>28</v>
      </c>
    </row>
    <row r="5" spans="1:26" hidden="1" x14ac:dyDescent="0.25">
      <c r="A5" s="33">
        <v>2</v>
      </c>
      <c r="B5" s="71" t="s">
        <v>29</v>
      </c>
      <c r="C5" s="39" t="s">
        <v>30</v>
      </c>
      <c r="D5" s="50" t="s">
        <v>31</v>
      </c>
      <c r="E5" s="47">
        <v>45300</v>
      </c>
      <c r="F5" s="31" t="str">
        <f>VLOOKUP($C5,Carpetas!$C$5:$M$2666,2,FALSE)</f>
        <v>BRB001</v>
      </c>
      <c r="G5" s="23" t="str">
        <f>VLOOKUP($C5,Carpetas!$C$5:$M$2666,10,FALSE)</f>
        <v>148,22,17</v>
      </c>
      <c r="H5" s="27" t="str">
        <f>VLOOKUP($C5,Carpetas!$C$5:$M$2666,6,FALSE)</f>
        <v>Zanini</v>
      </c>
      <c r="I5" s="220">
        <f>VLOOKUP($C5,Carpetas!$C$5:$M$2666,4,FALSE)</f>
        <v>0</v>
      </c>
      <c r="J5" s="47">
        <v>45301</v>
      </c>
      <c r="K5" s="72" t="str">
        <f>VLOOKUP($C5,Carpetas!$C$5:$M$2666,5,FALSE)</f>
        <v>Rio Branco</v>
      </c>
      <c r="L5" s="236"/>
      <c r="M5" s="48">
        <f>J5+1</f>
        <v>45302</v>
      </c>
      <c r="N5" s="26">
        <f t="shared" ref="N5:N68" si="0">IF(E5&lt;&gt;"",M5-E5,"-")</f>
        <v>2</v>
      </c>
      <c r="O5" s="27">
        <v>918</v>
      </c>
      <c r="P5" s="27">
        <v>919</v>
      </c>
      <c r="Q5" s="27"/>
      <c r="R5" s="27"/>
      <c r="S5" s="27" t="s">
        <v>32</v>
      </c>
      <c r="T5" s="27"/>
      <c r="U5" s="27">
        <v>4157</v>
      </c>
      <c r="V5" s="27" t="s">
        <v>33</v>
      </c>
      <c r="W5" s="27" t="s">
        <v>34</v>
      </c>
      <c r="X5" s="73" t="s">
        <v>35</v>
      </c>
      <c r="Y5" s="73" t="str">
        <f>VLOOKUP(X5,Choferes!$B$2:$C$500,2,FALSE)</f>
        <v>+5555991366995</v>
      </c>
      <c r="Z5" s="73" t="s">
        <v>36</v>
      </c>
    </row>
    <row r="6" spans="1:26" hidden="1" x14ac:dyDescent="0.25">
      <c r="A6" s="33">
        <v>1</v>
      </c>
      <c r="B6" s="71" t="s">
        <v>29</v>
      </c>
      <c r="C6" s="39" t="s">
        <v>37</v>
      </c>
      <c r="D6" s="50" t="s">
        <v>38</v>
      </c>
      <c r="E6" s="47">
        <v>45296</v>
      </c>
      <c r="F6" s="31" t="str">
        <f>VLOOKUP($C6,Carpetas!$C$5:$M$2666,2,FALSE)</f>
        <v>BRE002</v>
      </c>
      <c r="G6" s="23" t="str">
        <f>VLOOKUP($C6,Carpetas!$C$5:$M$2666,10,FALSE)</f>
        <v>1481758/1411756/1411757/1471759</v>
      </c>
      <c r="H6" s="27" t="str">
        <f>VLOOKUP($C6,Carpetas!$C$5:$M$2666,6,FALSE)</f>
        <v>Benini</v>
      </c>
      <c r="I6" s="220">
        <f>VLOOKUP($C6,Carpetas!$C$5:$M$2666,4,FALSE)</f>
        <v>0</v>
      </c>
      <c r="J6" s="47">
        <f>E6+5</f>
        <v>45301</v>
      </c>
      <c r="K6" s="72" t="str">
        <f>VLOOKUP($C6,Carpetas!$C$5:$M$2666,5,FALSE)</f>
        <v>Rio Branco</v>
      </c>
      <c r="L6" s="32"/>
      <c r="M6" s="48">
        <f>J6+1+2</f>
        <v>45304</v>
      </c>
      <c r="N6" s="26">
        <f t="shared" si="0"/>
        <v>8</v>
      </c>
      <c r="O6" s="27">
        <v>1054</v>
      </c>
      <c r="P6" s="27"/>
      <c r="Q6" s="27"/>
      <c r="R6" s="27"/>
      <c r="S6" s="27"/>
      <c r="T6" s="27"/>
      <c r="U6" s="27">
        <v>58</v>
      </c>
      <c r="V6" s="27" t="s">
        <v>39</v>
      </c>
      <c r="W6" s="27" t="s">
        <v>40</v>
      </c>
      <c r="X6" s="73"/>
      <c r="Y6" s="73" t="e">
        <f>VLOOKUP(X6,Choferes!$B$2:$C$500,2,FALSE)</f>
        <v>#N/A</v>
      </c>
      <c r="Z6" s="73"/>
    </row>
    <row r="7" spans="1:26" hidden="1" x14ac:dyDescent="0.25">
      <c r="A7" s="33">
        <v>2</v>
      </c>
      <c r="B7" s="71" t="s">
        <v>29</v>
      </c>
      <c r="C7" s="39" t="s">
        <v>41</v>
      </c>
      <c r="D7" s="50" t="s">
        <v>42</v>
      </c>
      <c r="E7" s="47">
        <v>45300</v>
      </c>
      <c r="F7" s="31" t="str">
        <f>VLOOKUP($C7,Carpetas!$C$5:$M$2666,2,FALSE)</f>
        <v>PYB005</v>
      </c>
      <c r="G7" s="23" t="str">
        <f>VLOOKUP($C7,Carpetas!$C$5:$M$2666,10,FALSE)</f>
        <v>148,17,39</v>
      </c>
      <c r="H7" s="27">
        <f>VLOOKUP($C7,Carpetas!$C$5:$M$2666,6,FALSE)</f>
        <v>0</v>
      </c>
      <c r="I7" s="220"/>
      <c r="J7" s="47">
        <v>45303</v>
      </c>
      <c r="K7" s="72" t="str">
        <f>VLOOKUP($C7,Carpetas!$C$5:$M$2666,5,FALSE)</f>
        <v>Salto</v>
      </c>
      <c r="L7" s="32"/>
      <c r="M7" s="48">
        <f>J7+1</f>
        <v>45304</v>
      </c>
      <c r="N7" s="26">
        <f t="shared" si="0"/>
        <v>4</v>
      </c>
      <c r="O7" s="27">
        <v>930</v>
      </c>
      <c r="P7" s="27">
        <v>972</v>
      </c>
      <c r="Q7" s="27"/>
      <c r="R7" s="27"/>
      <c r="S7" s="27" t="s">
        <v>43</v>
      </c>
      <c r="T7" s="27"/>
      <c r="U7" s="27"/>
      <c r="V7" s="27" t="s">
        <v>44</v>
      </c>
      <c r="W7" s="27" t="s">
        <v>45</v>
      </c>
      <c r="X7" s="73"/>
      <c r="Y7" s="73" t="e">
        <f>VLOOKUP(X7,Choferes!$B$2:$C$500,2,FALSE)</f>
        <v>#N/A</v>
      </c>
      <c r="Z7" s="73" t="s">
        <v>46</v>
      </c>
    </row>
    <row r="8" spans="1:26" hidden="1" x14ac:dyDescent="0.25">
      <c r="A8" s="33">
        <v>2</v>
      </c>
      <c r="B8" s="71" t="s">
        <v>29</v>
      </c>
      <c r="C8" s="39" t="s">
        <v>47</v>
      </c>
      <c r="D8" s="50" t="s">
        <v>48</v>
      </c>
      <c r="E8" s="47">
        <v>45301</v>
      </c>
      <c r="F8" s="31" t="str">
        <f>VLOOKUP($C8,Carpetas!$C$5:$M$2666,2,FALSE)</f>
        <v>PYB007</v>
      </c>
      <c r="G8" s="23" t="str">
        <f>VLOOKUP($C8,Carpetas!$C$5:$M$2666,10,FALSE)</f>
        <v>148.21.72</v>
      </c>
      <c r="H8" s="27">
        <f>VLOOKUP($C8,Carpetas!$C$5:$M$2666,6,FALSE)</f>
        <v>0</v>
      </c>
      <c r="I8" s="220"/>
      <c r="J8" s="47">
        <v>45303</v>
      </c>
      <c r="K8" s="72" t="str">
        <f>VLOOKUP($C8,Carpetas!$C$5:$M$2666,5,FALSE)</f>
        <v>Salto</v>
      </c>
      <c r="L8" s="32"/>
      <c r="M8" s="48">
        <f>J8+1</f>
        <v>45304</v>
      </c>
      <c r="N8" s="26">
        <f t="shared" si="0"/>
        <v>3</v>
      </c>
      <c r="O8" s="27">
        <v>930</v>
      </c>
      <c r="P8" s="27">
        <v>930</v>
      </c>
      <c r="Q8" s="27"/>
      <c r="R8" s="27"/>
      <c r="S8" s="27" t="s">
        <v>49</v>
      </c>
      <c r="T8" s="27"/>
      <c r="U8" s="27"/>
      <c r="V8" s="27" t="s">
        <v>50</v>
      </c>
      <c r="W8" s="27" t="s">
        <v>51</v>
      </c>
      <c r="X8" s="73"/>
      <c r="Y8" s="73" t="e">
        <f>VLOOKUP(X8,Choferes!$B$2:$C$500,2,FALSE)</f>
        <v>#N/A</v>
      </c>
      <c r="Z8" s="73" t="s">
        <v>52</v>
      </c>
    </row>
    <row r="9" spans="1:26" hidden="1" x14ac:dyDescent="0.25">
      <c r="A9" s="33">
        <v>2</v>
      </c>
      <c r="B9" s="71" t="s">
        <v>29</v>
      </c>
      <c r="C9" s="39" t="s">
        <v>53</v>
      </c>
      <c r="D9" s="50" t="s">
        <v>48</v>
      </c>
      <c r="E9" s="47">
        <v>45300</v>
      </c>
      <c r="F9" s="31" t="str">
        <f>VLOOKUP($C9,Carpetas!$C$5:$M$2666,2,FALSE)</f>
        <v>PYB006</v>
      </c>
      <c r="G9" s="23" t="str">
        <f>VLOOKUP($C9,Carpetas!$C$5:$M$2666,10,FALSE)</f>
        <v>148.21.71</v>
      </c>
      <c r="H9" s="27">
        <f>VLOOKUP($C9,Carpetas!$C$5:$M$2666,6,FALSE)</f>
        <v>0</v>
      </c>
      <c r="I9" s="220"/>
      <c r="J9" s="47">
        <f>E9+5</f>
        <v>45305</v>
      </c>
      <c r="K9" s="72" t="str">
        <f>VLOOKUP($C9,Carpetas!$C$5:$M$2666,5,FALSE)</f>
        <v>Salto</v>
      </c>
      <c r="L9" s="32"/>
      <c r="M9" s="48">
        <f>J9+1</f>
        <v>45306</v>
      </c>
      <c r="N9" s="26">
        <f t="shared" si="0"/>
        <v>6</v>
      </c>
      <c r="O9" s="27">
        <v>930</v>
      </c>
      <c r="P9" s="27">
        <v>930</v>
      </c>
      <c r="Q9" s="27"/>
      <c r="R9" s="27"/>
      <c r="S9" s="27" t="s">
        <v>54</v>
      </c>
      <c r="T9" s="27"/>
      <c r="U9" s="27"/>
      <c r="V9" s="27" t="s">
        <v>55</v>
      </c>
      <c r="W9" s="27"/>
      <c r="X9" s="73"/>
      <c r="Y9" s="73" t="e">
        <f>VLOOKUP(X9,Choferes!$B$2:$C$500,2,FALSE)</f>
        <v>#N/A</v>
      </c>
      <c r="Z9" s="73" t="s">
        <v>56</v>
      </c>
    </row>
    <row r="10" spans="1:26" hidden="1" x14ac:dyDescent="0.25">
      <c r="A10" s="33">
        <v>2</v>
      </c>
      <c r="B10" s="71" t="s">
        <v>29</v>
      </c>
      <c r="C10" s="39" t="s">
        <v>30</v>
      </c>
      <c r="D10" s="50" t="s">
        <v>31</v>
      </c>
      <c r="E10" s="47">
        <v>45303</v>
      </c>
      <c r="F10" s="31" t="str">
        <f>VLOOKUP($C10,Carpetas!$C$5:$M$2666,2,FALSE)</f>
        <v>BRB001</v>
      </c>
      <c r="G10" s="23" t="str">
        <f>VLOOKUP($C10,Carpetas!$C$5:$M$2666,10,FALSE)</f>
        <v>148,22,17</v>
      </c>
      <c r="H10" s="27" t="str">
        <f>VLOOKUP($C10,Carpetas!$C$5:$M$2666,6,FALSE)</f>
        <v>Zanini</v>
      </c>
      <c r="I10" s="220"/>
      <c r="J10" s="47">
        <f>E10+2</f>
        <v>45305</v>
      </c>
      <c r="K10" s="72" t="str">
        <f>VLOOKUP($C10,Carpetas!$C$5:$M$2666,5,FALSE)</f>
        <v>Rio Branco</v>
      </c>
      <c r="L10" s="32"/>
      <c r="M10" s="48">
        <v>45307</v>
      </c>
      <c r="N10" s="26">
        <f t="shared" si="0"/>
        <v>4</v>
      </c>
      <c r="O10" s="27">
        <v>918</v>
      </c>
      <c r="P10" s="27">
        <v>918</v>
      </c>
      <c r="Q10" s="27"/>
      <c r="R10" s="27"/>
      <c r="S10" s="27" t="s">
        <v>57</v>
      </c>
      <c r="T10" s="27"/>
      <c r="U10" s="27">
        <v>4161</v>
      </c>
      <c r="V10" s="27" t="s">
        <v>58</v>
      </c>
      <c r="W10" s="27" t="s">
        <v>59</v>
      </c>
      <c r="X10" s="73" t="s">
        <v>60</v>
      </c>
      <c r="Y10" s="73" t="str">
        <f>VLOOKUP(X10,Choferes!$B$2:$C$500,2,FALSE)</f>
        <v>+5547991777362</v>
      </c>
      <c r="Z10" s="73" t="s">
        <v>61</v>
      </c>
    </row>
    <row r="11" spans="1:26" ht="30" hidden="1" x14ac:dyDescent="0.25">
      <c r="A11" s="33">
        <v>1</v>
      </c>
      <c r="B11" s="71" t="s">
        <v>29</v>
      </c>
      <c r="C11" s="39" t="s">
        <v>62</v>
      </c>
      <c r="D11" s="50" t="s">
        <v>63</v>
      </c>
      <c r="E11" s="47">
        <v>45296</v>
      </c>
      <c r="F11" s="31" t="str">
        <f>VLOOKUP($C11,Carpetas!$C$5:$M$2666,2,FALSE)</f>
        <v>BRA001</v>
      </c>
      <c r="G11" s="23" t="str">
        <f>VLOOKUP($C11,Carpetas!$C$5:$M$2666,10,FALSE)</f>
        <v>147,76,57</v>
      </c>
      <c r="H11" s="27" t="str">
        <f>VLOOKUP($C11,Carpetas!$C$5:$M$2666,6,FALSE)</f>
        <v>Silvio</v>
      </c>
      <c r="I11" s="220"/>
      <c r="J11" s="47">
        <f>E11+10</f>
        <v>45306</v>
      </c>
      <c r="K11" s="72" t="str">
        <f>VLOOKUP($C11,Carpetas!$C$5:$M$2666,5,FALSE)</f>
        <v>Rio Branco</v>
      </c>
      <c r="L11" s="32"/>
      <c r="M11" s="48">
        <f t="shared" ref="M11:M23" si="1">J11+1</f>
        <v>45307</v>
      </c>
      <c r="N11" s="26">
        <f t="shared" si="0"/>
        <v>11</v>
      </c>
      <c r="O11" s="27">
        <v>1104</v>
      </c>
      <c r="P11" s="27"/>
      <c r="Q11" s="27"/>
      <c r="R11" s="27"/>
      <c r="S11" s="27">
        <v>1103</v>
      </c>
      <c r="T11" s="27"/>
      <c r="U11" s="27">
        <v>6669</v>
      </c>
      <c r="V11" s="27" t="s">
        <v>64</v>
      </c>
      <c r="W11" s="27" t="s">
        <v>65</v>
      </c>
      <c r="X11" s="73" t="s">
        <v>66</v>
      </c>
      <c r="Y11" s="73" t="str">
        <f>VLOOKUP(X11,Choferes!$B$2:$C$500,2,FALSE)</f>
        <v>+5555996711696</v>
      </c>
      <c r="Z11" s="73" t="s">
        <v>67</v>
      </c>
    </row>
    <row r="12" spans="1:26" hidden="1" x14ac:dyDescent="0.25">
      <c r="A12" s="33">
        <v>2</v>
      </c>
      <c r="B12" s="71" t="s">
        <v>29</v>
      </c>
      <c r="C12" s="39" t="s">
        <v>53</v>
      </c>
      <c r="D12" s="50" t="s">
        <v>48</v>
      </c>
      <c r="E12" s="47">
        <v>45301</v>
      </c>
      <c r="F12" s="31" t="str">
        <f>VLOOKUP($C12,Carpetas!$C$5:$M$2666,2,FALSE)</f>
        <v>PYB006</v>
      </c>
      <c r="G12" s="23" t="str">
        <f>VLOOKUP($C12,Carpetas!$C$5:$M$2666,10,FALSE)</f>
        <v>148.21.71</v>
      </c>
      <c r="H12" s="27">
        <f>VLOOKUP($C12,Carpetas!$C$5:$M$2666,6,FALSE)</f>
        <v>0</v>
      </c>
      <c r="I12" s="220"/>
      <c r="J12" s="47">
        <f>E12+5</f>
        <v>45306</v>
      </c>
      <c r="K12" s="72" t="str">
        <f>VLOOKUP($C12,Carpetas!$C$5:$M$2666,5,FALSE)</f>
        <v>Salto</v>
      </c>
      <c r="L12" s="32"/>
      <c r="M12" s="48">
        <f t="shared" si="1"/>
        <v>45307</v>
      </c>
      <c r="N12" s="26">
        <f t="shared" si="0"/>
        <v>6</v>
      </c>
      <c r="O12" s="27">
        <v>930</v>
      </c>
      <c r="P12" s="27">
        <v>932</v>
      </c>
      <c r="Q12" s="27"/>
      <c r="R12" s="27"/>
      <c r="S12" s="27" t="s">
        <v>68</v>
      </c>
      <c r="T12" s="27"/>
      <c r="U12" s="27"/>
      <c r="V12" s="27" t="s">
        <v>69</v>
      </c>
      <c r="W12" s="27" t="s">
        <v>70</v>
      </c>
      <c r="X12" s="73"/>
      <c r="Y12" s="73" t="e">
        <f>VLOOKUP(X12,Choferes!$B$2:$C$500,2,FALSE)</f>
        <v>#N/A</v>
      </c>
      <c r="Z12" s="73" t="s">
        <v>71</v>
      </c>
    </row>
    <row r="13" spans="1:26" hidden="1" x14ac:dyDescent="0.25">
      <c r="A13" s="33">
        <v>2</v>
      </c>
      <c r="B13" s="71" t="s">
        <v>29</v>
      </c>
      <c r="C13" s="39" t="s">
        <v>72</v>
      </c>
      <c r="D13" s="50" t="s">
        <v>48</v>
      </c>
      <c r="E13" s="47">
        <v>45302</v>
      </c>
      <c r="F13" s="31" t="str">
        <f>VLOOKUP($C13,Carpetas!$C$5:$M$2666,2,FALSE)</f>
        <v>PYB008</v>
      </c>
      <c r="G13" s="23" t="str">
        <f>VLOOKUP($C13,Carpetas!$C$5:$M$2666,10,FALSE)</f>
        <v>148.22.46</v>
      </c>
      <c r="H13" s="27">
        <f>VLOOKUP($C13,Carpetas!$C$5:$M$2666,6,FALSE)</f>
        <v>0</v>
      </c>
      <c r="I13" s="220"/>
      <c r="J13" s="47">
        <f>E13+5</f>
        <v>45307</v>
      </c>
      <c r="K13" s="72" t="str">
        <f>VLOOKUP($C13,Carpetas!$C$5:$M$2666,5,FALSE)</f>
        <v>Salto</v>
      </c>
      <c r="L13" s="32"/>
      <c r="M13" s="48">
        <f t="shared" si="1"/>
        <v>45308</v>
      </c>
      <c r="N13" s="26">
        <f t="shared" si="0"/>
        <v>6</v>
      </c>
      <c r="O13" s="27">
        <v>930</v>
      </c>
      <c r="P13" s="27">
        <v>933</v>
      </c>
      <c r="Q13" s="27"/>
      <c r="R13" s="27"/>
      <c r="S13" s="27" t="s">
        <v>73</v>
      </c>
      <c r="T13" s="27"/>
      <c r="U13" s="27"/>
      <c r="V13" s="27" t="s">
        <v>74</v>
      </c>
      <c r="W13" s="27" t="s">
        <v>75</v>
      </c>
      <c r="X13" s="73"/>
      <c r="Y13" s="73" t="e">
        <f>VLOOKUP(X13,Choferes!$B$2:$C$500,2,FALSE)</f>
        <v>#N/A</v>
      </c>
      <c r="Z13" s="73" t="s">
        <v>76</v>
      </c>
    </row>
    <row r="14" spans="1:26" hidden="1" x14ac:dyDescent="0.25">
      <c r="A14" s="33">
        <v>3</v>
      </c>
      <c r="B14" s="71" t="s">
        <v>29</v>
      </c>
      <c r="C14" s="39" t="s">
        <v>77</v>
      </c>
      <c r="D14" s="50" t="s">
        <v>78</v>
      </c>
      <c r="E14" s="47">
        <v>45306</v>
      </c>
      <c r="F14" s="31" t="str">
        <f>VLOOKUP($C14,Carpetas!$C$5:$M$2666,2,FALSE)</f>
        <v>BRB002</v>
      </c>
      <c r="G14" s="23" t="str">
        <f>VLOOKUP($C14,Carpetas!$C$5:$M$2666,10,FALSE)</f>
        <v>148,25,12</v>
      </c>
      <c r="H14" s="27" t="str">
        <f>VLOOKUP($C14,Carpetas!$C$5:$M$2666,6,FALSE)</f>
        <v>Zanini</v>
      </c>
      <c r="I14" s="220"/>
      <c r="J14" s="47">
        <f>E14+2</f>
        <v>45308</v>
      </c>
      <c r="K14" s="72" t="str">
        <f>VLOOKUP($C14,Carpetas!$C$5:$M$2666,5,FALSE)</f>
        <v>Rio Branco</v>
      </c>
      <c r="L14" s="32"/>
      <c r="M14" s="48">
        <f t="shared" si="1"/>
        <v>45309</v>
      </c>
      <c r="N14" s="26">
        <f t="shared" si="0"/>
        <v>3</v>
      </c>
      <c r="O14" s="27">
        <v>900</v>
      </c>
      <c r="P14" s="27">
        <v>900</v>
      </c>
      <c r="Q14" s="27"/>
      <c r="R14" s="27"/>
      <c r="S14" s="27" t="s">
        <v>79</v>
      </c>
      <c r="T14" s="27"/>
      <c r="U14" s="27">
        <v>4167</v>
      </c>
      <c r="V14" s="27" t="s">
        <v>80</v>
      </c>
      <c r="W14" s="27" t="s">
        <v>81</v>
      </c>
      <c r="X14" s="73"/>
      <c r="Y14" s="73" t="e">
        <f>VLOOKUP(X14,Choferes!$B$2:$C$500,2,FALSE)</f>
        <v>#N/A</v>
      </c>
      <c r="Z14" s="73" t="s">
        <v>82</v>
      </c>
    </row>
    <row r="15" spans="1:26" hidden="1" x14ac:dyDescent="0.25">
      <c r="A15" s="33">
        <v>3</v>
      </c>
      <c r="B15" s="71" t="s">
        <v>29</v>
      </c>
      <c r="C15" s="39" t="s">
        <v>30</v>
      </c>
      <c r="D15" s="50" t="s">
        <v>31</v>
      </c>
      <c r="E15" s="47">
        <v>45306</v>
      </c>
      <c r="F15" s="31" t="str">
        <f>VLOOKUP($C15,Carpetas!$C$5:$M$2666,2,FALSE)</f>
        <v>BRB001</v>
      </c>
      <c r="G15" s="23" t="str">
        <f>VLOOKUP($C15,Carpetas!$C$5:$M$2666,10,FALSE)</f>
        <v>148,22,17</v>
      </c>
      <c r="H15" s="27" t="str">
        <f>VLOOKUP($C15,Carpetas!$C$5:$M$2666,6,FALSE)</f>
        <v>Zanini</v>
      </c>
      <c r="I15" s="220"/>
      <c r="J15" s="47">
        <f>E15+2</f>
        <v>45308</v>
      </c>
      <c r="K15" s="72" t="str">
        <f>VLOOKUP($C15,Carpetas!$C$5:$M$2666,5,FALSE)</f>
        <v>Rio Branco</v>
      </c>
      <c r="L15" s="32"/>
      <c r="M15" s="48">
        <f t="shared" si="1"/>
        <v>45309</v>
      </c>
      <c r="N15" s="26">
        <f t="shared" si="0"/>
        <v>3</v>
      </c>
      <c r="O15" s="27">
        <v>918</v>
      </c>
      <c r="P15" s="27">
        <v>919</v>
      </c>
      <c r="Q15" s="27"/>
      <c r="R15" s="27"/>
      <c r="S15" s="27" t="s">
        <v>83</v>
      </c>
      <c r="T15" s="27"/>
      <c r="U15" s="27">
        <v>4168</v>
      </c>
      <c r="V15" s="27" t="s">
        <v>84</v>
      </c>
      <c r="W15" s="27" t="s">
        <v>85</v>
      </c>
      <c r="X15" s="73"/>
      <c r="Y15" s="73" t="e">
        <f>VLOOKUP(X15,Choferes!$B$2:$C$500,2,FALSE)</f>
        <v>#N/A</v>
      </c>
      <c r="Z15" s="73" t="s">
        <v>86</v>
      </c>
    </row>
    <row r="16" spans="1:26" hidden="1" x14ac:dyDescent="0.25">
      <c r="A16" s="33">
        <v>3</v>
      </c>
      <c r="B16" s="71" t="s">
        <v>29</v>
      </c>
      <c r="C16" s="39" t="s">
        <v>30</v>
      </c>
      <c r="D16" s="50" t="s">
        <v>87</v>
      </c>
      <c r="E16" s="47">
        <v>45307</v>
      </c>
      <c r="F16" s="31" t="str">
        <f>VLOOKUP($C16,Carpetas!$C$5:$M$2666,2,FALSE)</f>
        <v>BRB001</v>
      </c>
      <c r="G16" s="23" t="str">
        <f>VLOOKUP($C16,Carpetas!$C$5:$M$2666,10,FALSE)</f>
        <v>148,22,17</v>
      </c>
      <c r="H16" s="27" t="str">
        <f>VLOOKUP($C16,Carpetas!$C$5:$M$2666,6,FALSE)</f>
        <v>Zanini</v>
      </c>
      <c r="I16" s="220"/>
      <c r="J16" s="47">
        <f>E16+2</f>
        <v>45309</v>
      </c>
      <c r="K16" s="72" t="str">
        <f>VLOOKUP($C16,Carpetas!$C$5:$M$2666,5,FALSE)</f>
        <v>Rio Branco</v>
      </c>
      <c r="L16" s="32"/>
      <c r="M16" s="48">
        <f t="shared" si="1"/>
        <v>45310</v>
      </c>
      <c r="N16" s="26">
        <f t="shared" si="0"/>
        <v>3</v>
      </c>
      <c r="O16" s="27">
        <v>918</v>
      </c>
      <c r="P16" s="27">
        <v>918</v>
      </c>
      <c r="Q16" s="27"/>
      <c r="R16" s="27"/>
      <c r="S16" s="27" t="s">
        <v>88</v>
      </c>
      <c r="T16" s="27"/>
      <c r="U16" s="27">
        <v>4175</v>
      </c>
      <c r="V16" s="27" t="s">
        <v>89</v>
      </c>
      <c r="W16" s="27" t="s">
        <v>90</v>
      </c>
      <c r="X16" s="73"/>
      <c r="Y16" s="73" t="e">
        <f>VLOOKUP(X16,Choferes!$B$2:$C$500,2,FALSE)</f>
        <v>#N/A</v>
      </c>
      <c r="Z16" s="73" t="s">
        <v>91</v>
      </c>
    </row>
    <row r="17" spans="1:26" hidden="1" x14ac:dyDescent="0.25">
      <c r="A17" s="33">
        <v>3</v>
      </c>
      <c r="B17" s="71" t="s">
        <v>29</v>
      </c>
      <c r="C17" s="39" t="s">
        <v>53</v>
      </c>
      <c r="D17" s="50" t="s">
        <v>48</v>
      </c>
      <c r="E17" s="47">
        <v>45306</v>
      </c>
      <c r="F17" s="31" t="str">
        <f>VLOOKUP($C17,Carpetas!$C$5:$M$2666,2,FALSE)</f>
        <v>PYB006</v>
      </c>
      <c r="G17" s="23" t="str">
        <f>VLOOKUP($C17,Carpetas!$C$5:$M$2666,10,FALSE)</f>
        <v>148.21.71</v>
      </c>
      <c r="H17" s="27">
        <f>VLOOKUP($C17,Carpetas!$C$5:$M$2666,6,FALSE)</f>
        <v>0</v>
      </c>
      <c r="I17" s="220"/>
      <c r="J17" s="47">
        <v>45310</v>
      </c>
      <c r="K17" s="72" t="str">
        <f>VLOOKUP($C17,Carpetas!$C$5:$M$2666,5,FALSE)</f>
        <v>Salto</v>
      </c>
      <c r="L17" s="32"/>
      <c r="M17" s="48">
        <f t="shared" si="1"/>
        <v>45311</v>
      </c>
      <c r="N17" s="26">
        <f t="shared" si="0"/>
        <v>5</v>
      </c>
      <c r="O17" s="27">
        <v>930</v>
      </c>
      <c r="P17" s="27">
        <v>932</v>
      </c>
      <c r="Q17" s="27"/>
      <c r="R17" s="27"/>
      <c r="S17" s="27" t="s">
        <v>92</v>
      </c>
      <c r="T17" s="27"/>
      <c r="U17" s="27"/>
      <c r="V17" s="27" t="s">
        <v>93</v>
      </c>
      <c r="W17" s="27" t="s">
        <v>94</v>
      </c>
      <c r="X17" s="73"/>
      <c r="Y17" s="73" t="e">
        <f>VLOOKUP(X17,Choferes!$B$2:$C$500,2,FALSE)</f>
        <v>#N/A</v>
      </c>
      <c r="Z17" s="73" t="s">
        <v>95</v>
      </c>
    </row>
    <row r="18" spans="1:26" hidden="1" x14ac:dyDescent="0.25">
      <c r="A18" s="33">
        <v>3</v>
      </c>
      <c r="B18" s="71" t="s">
        <v>29</v>
      </c>
      <c r="C18" s="39" t="s">
        <v>96</v>
      </c>
      <c r="D18" s="50" t="s">
        <v>48</v>
      </c>
      <c r="E18" s="47">
        <v>45307</v>
      </c>
      <c r="F18" s="31" t="str">
        <f>VLOOKUP($C18,Carpetas!$C$5:$M$2666,2,FALSE)</f>
        <v>PYB012</v>
      </c>
      <c r="G18" s="23" t="str">
        <f>VLOOKUP($C18,Carpetas!$C$5:$M$2666,10,FALSE)</f>
        <v>148.26.79</v>
      </c>
      <c r="H18" s="27">
        <f>VLOOKUP($C18,Carpetas!$C$5:$M$2666,6,FALSE)</f>
        <v>0</v>
      </c>
      <c r="I18" s="220"/>
      <c r="J18" s="47">
        <v>45310</v>
      </c>
      <c r="K18" s="72" t="str">
        <f>VLOOKUP($C18,Carpetas!$C$5:$M$2666,5,FALSE)</f>
        <v>Salto</v>
      </c>
      <c r="L18" s="32"/>
      <c r="M18" s="48">
        <f t="shared" si="1"/>
        <v>45311</v>
      </c>
      <c r="N18" s="26">
        <f t="shared" si="0"/>
        <v>4</v>
      </c>
      <c r="O18" s="27">
        <v>930</v>
      </c>
      <c r="P18" s="27">
        <v>930</v>
      </c>
      <c r="Q18" s="27"/>
      <c r="R18" s="27"/>
      <c r="S18" s="27" t="s">
        <v>97</v>
      </c>
      <c r="T18" s="27"/>
      <c r="U18" s="27"/>
      <c r="V18" s="27" t="s">
        <v>98</v>
      </c>
      <c r="W18" s="27" t="s">
        <v>99</v>
      </c>
      <c r="X18" s="73"/>
      <c r="Y18" s="73" t="e">
        <f>VLOOKUP(X18,Choferes!$B$2:$C$500,2,FALSE)</f>
        <v>#N/A</v>
      </c>
      <c r="Z18" s="73" t="s">
        <v>100</v>
      </c>
    </row>
    <row r="19" spans="1:26" hidden="1" x14ac:dyDescent="0.25">
      <c r="A19" s="33">
        <v>3</v>
      </c>
      <c r="B19" s="71" t="s">
        <v>29</v>
      </c>
      <c r="C19" s="39" t="s">
        <v>101</v>
      </c>
      <c r="D19" s="50" t="s">
        <v>102</v>
      </c>
      <c r="E19" s="47">
        <v>45307</v>
      </c>
      <c r="F19" s="31" t="str">
        <f>VLOOKUP($C19,Carpetas!$C$5:$M$2666,2,FALSE)</f>
        <v>PYB009</v>
      </c>
      <c r="G19" s="23" t="str">
        <f>VLOOKUP($C19,Carpetas!$C$5:$M$2666,10,FALSE)</f>
        <v>148.22.30</v>
      </c>
      <c r="H19" s="27">
        <f>VLOOKUP($C19,Carpetas!$C$5:$M$2666,6,FALSE)</f>
        <v>0</v>
      </c>
      <c r="I19" s="220"/>
      <c r="J19" s="47">
        <v>45310</v>
      </c>
      <c r="K19" s="72" t="str">
        <f>VLOOKUP($C19,Carpetas!$C$5:$M$2666,5,FALSE)</f>
        <v>Salto</v>
      </c>
      <c r="L19" s="32"/>
      <c r="M19" s="48">
        <f t="shared" si="1"/>
        <v>45311</v>
      </c>
      <c r="N19" s="26">
        <f t="shared" si="0"/>
        <v>4</v>
      </c>
      <c r="O19" s="27">
        <v>980</v>
      </c>
      <c r="P19" s="27"/>
      <c r="Q19" s="27"/>
      <c r="R19" s="27"/>
      <c r="S19" s="27"/>
      <c r="T19" s="27"/>
      <c r="U19" s="27"/>
      <c r="V19" s="27" t="s">
        <v>103</v>
      </c>
      <c r="W19" s="27"/>
      <c r="X19" s="73"/>
      <c r="Y19" s="73" t="e">
        <f>VLOOKUP(X19,Choferes!$B$2:$C$500,2,FALSE)</f>
        <v>#N/A</v>
      </c>
      <c r="Z19" s="73" t="s">
        <v>104</v>
      </c>
    </row>
    <row r="20" spans="1:26" hidden="1" x14ac:dyDescent="0.25">
      <c r="A20" s="33">
        <v>3</v>
      </c>
      <c r="B20" s="71" t="s">
        <v>29</v>
      </c>
      <c r="C20" s="39" t="s">
        <v>77</v>
      </c>
      <c r="D20" s="50" t="s">
        <v>78</v>
      </c>
      <c r="E20" s="47">
        <v>45308</v>
      </c>
      <c r="F20" s="31" t="str">
        <f>VLOOKUP($C20,Carpetas!$C$5:$M$2666,2,FALSE)</f>
        <v>BRB002</v>
      </c>
      <c r="G20" s="23" t="str">
        <f>VLOOKUP($C20,Carpetas!$C$5:$M$2666,10,FALSE)</f>
        <v>148,25,12</v>
      </c>
      <c r="H20" s="27" t="str">
        <f>VLOOKUP($C20,Carpetas!$C$5:$M$2666,6,FALSE)</f>
        <v>Zanini</v>
      </c>
      <c r="I20" s="220"/>
      <c r="J20" s="47">
        <f>E20+2</f>
        <v>45310</v>
      </c>
      <c r="K20" s="72" t="str">
        <f>VLOOKUP($C20,Carpetas!$C$5:$M$2666,5,FALSE)</f>
        <v>Rio Branco</v>
      </c>
      <c r="L20" s="32"/>
      <c r="M20" s="48">
        <f t="shared" si="1"/>
        <v>45311</v>
      </c>
      <c r="N20" s="26">
        <f t="shared" si="0"/>
        <v>3</v>
      </c>
      <c r="O20" s="27">
        <v>900</v>
      </c>
      <c r="P20" s="27">
        <v>900</v>
      </c>
      <c r="Q20" s="27"/>
      <c r="R20" s="27"/>
      <c r="S20" s="27" t="s">
        <v>105</v>
      </c>
      <c r="T20" s="27"/>
      <c r="U20" s="27">
        <v>4181</v>
      </c>
      <c r="V20" s="27" t="s">
        <v>106</v>
      </c>
      <c r="W20" s="27" t="s">
        <v>107</v>
      </c>
      <c r="X20" s="73" t="s">
        <v>108</v>
      </c>
      <c r="Y20" s="73" t="str">
        <f>VLOOKUP(X20,Choferes!$B$2:$C$500,2,FALSE)</f>
        <v>+5542991092026</v>
      </c>
      <c r="Z20" s="73" t="s">
        <v>109</v>
      </c>
    </row>
    <row r="21" spans="1:26" hidden="1" x14ac:dyDescent="0.25">
      <c r="A21" s="33">
        <v>3</v>
      </c>
      <c r="B21" s="71" t="s">
        <v>29</v>
      </c>
      <c r="C21" s="39" t="s">
        <v>30</v>
      </c>
      <c r="D21" s="50" t="s">
        <v>110</v>
      </c>
      <c r="E21" s="47">
        <v>45308</v>
      </c>
      <c r="F21" s="31" t="str">
        <f>VLOOKUP($C21,Carpetas!$C$5:$M$2666,2,FALSE)</f>
        <v>BRB001</v>
      </c>
      <c r="G21" s="23" t="str">
        <f>VLOOKUP($C21,Carpetas!$C$5:$M$2666,10,FALSE)</f>
        <v>148,22,17</v>
      </c>
      <c r="H21" s="27" t="str">
        <f>VLOOKUP($C21,Carpetas!$C$5:$M$2666,6,FALSE)</f>
        <v>Zanini</v>
      </c>
      <c r="I21" s="220"/>
      <c r="J21" s="47">
        <f>E21+2</f>
        <v>45310</v>
      </c>
      <c r="K21" s="72" t="str">
        <f>VLOOKUP($C21,Carpetas!$C$5:$M$2666,5,FALSE)</f>
        <v>Rio Branco</v>
      </c>
      <c r="L21" s="32"/>
      <c r="M21" s="48">
        <f t="shared" si="1"/>
        <v>45311</v>
      </c>
      <c r="N21" s="26">
        <f t="shared" si="0"/>
        <v>3</v>
      </c>
      <c r="O21" s="27">
        <v>918</v>
      </c>
      <c r="P21" s="27">
        <v>919</v>
      </c>
      <c r="Q21" s="27"/>
      <c r="R21" s="27"/>
      <c r="S21" s="27" t="s">
        <v>111</v>
      </c>
      <c r="T21" s="27"/>
      <c r="U21" s="27">
        <v>4180</v>
      </c>
      <c r="V21" s="27" t="s">
        <v>112</v>
      </c>
      <c r="W21" s="27" t="s">
        <v>113</v>
      </c>
      <c r="X21" s="73" t="s">
        <v>114</v>
      </c>
      <c r="Y21" s="73" t="str">
        <f>VLOOKUP(X21,Choferes!$B$2:$C$500,2,FALSE)</f>
        <v>+5542998101794</v>
      </c>
      <c r="Z21" s="73" t="s">
        <v>115</v>
      </c>
    </row>
    <row r="22" spans="1:26" hidden="1" x14ac:dyDescent="0.25">
      <c r="A22" s="33">
        <v>3</v>
      </c>
      <c r="B22" s="71" t="s">
        <v>29</v>
      </c>
      <c r="C22" s="39" t="s">
        <v>101</v>
      </c>
      <c r="D22" s="50" t="s">
        <v>102</v>
      </c>
      <c r="E22" s="47">
        <v>45308</v>
      </c>
      <c r="F22" s="31" t="str">
        <f>VLOOKUP($C22,Carpetas!$C$5:$M$2666,2,FALSE)</f>
        <v>PYB009</v>
      </c>
      <c r="G22" s="23" t="str">
        <f>VLOOKUP($C22,Carpetas!$C$5:$M$2666,10,FALSE)</f>
        <v>148.22.30</v>
      </c>
      <c r="H22" s="27">
        <f>VLOOKUP($C22,Carpetas!$C$5:$M$2666,6,FALSE)</f>
        <v>0</v>
      </c>
      <c r="I22" s="220"/>
      <c r="J22" s="47">
        <v>45310</v>
      </c>
      <c r="K22" s="72" t="str">
        <f>VLOOKUP($C22,Carpetas!$C$5:$M$2666,5,FALSE)</f>
        <v>Salto</v>
      </c>
      <c r="L22" s="32"/>
      <c r="M22" s="48">
        <f t="shared" si="1"/>
        <v>45311</v>
      </c>
      <c r="N22" s="26">
        <f t="shared" si="0"/>
        <v>3</v>
      </c>
      <c r="O22" s="27">
        <v>980</v>
      </c>
      <c r="P22" s="27">
        <v>980</v>
      </c>
      <c r="Q22" s="27"/>
      <c r="R22" s="27"/>
      <c r="S22" s="27" t="s">
        <v>116</v>
      </c>
      <c r="T22" s="27"/>
      <c r="U22" s="27"/>
      <c r="V22" s="27" t="s">
        <v>117</v>
      </c>
      <c r="W22" s="27" t="s">
        <v>118</v>
      </c>
      <c r="X22" s="73"/>
      <c r="Y22" s="73" t="e">
        <f>VLOOKUP(X22,Choferes!$B$2:$C$500,2,FALSE)</f>
        <v>#N/A</v>
      </c>
      <c r="Z22" s="73" t="s">
        <v>119</v>
      </c>
    </row>
    <row r="23" spans="1:26" hidden="1" x14ac:dyDescent="0.25">
      <c r="A23" s="33">
        <v>3</v>
      </c>
      <c r="B23" s="71" t="s">
        <v>29</v>
      </c>
      <c r="C23" s="39" t="s">
        <v>120</v>
      </c>
      <c r="D23" s="50" t="s">
        <v>121</v>
      </c>
      <c r="E23" s="47">
        <v>45308</v>
      </c>
      <c r="F23" s="31" t="str">
        <f>VLOOKUP($C23,Carpetas!$C$5:$M$2666,2,FALSE)</f>
        <v>PYB010</v>
      </c>
      <c r="G23" s="23" t="str">
        <f>VLOOKUP($C23,Carpetas!$C$5:$M$2666,10,FALSE)</f>
        <v>148.22.93</v>
      </c>
      <c r="H23" s="27">
        <f>VLOOKUP($C23,Carpetas!$C$5:$M$2666,6,FALSE)</f>
        <v>0</v>
      </c>
      <c r="I23" s="220"/>
      <c r="J23" s="47">
        <v>45310</v>
      </c>
      <c r="K23" s="72" t="str">
        <f>VLOOKUP($C23,Carpetas!$C$5:$M$2666,5,FALSE)</f>
        <v>Salto</v>
      </c>
      <c r="L23" s="32"/>
      <c r="M23" s="48">
        <f t="shared" si="1"/>
        <v>45311</v>
      </c>
      <c r="N23" s="26">
        <f t="shared" si="0"/>
        <v>3</v>
      </c>
      <c r="O23" s="27">
        <v>980</v>
      </c>
      <c r="P23" s="27">
        <v>982</v>
      </c>
      <c r="Q23" s="27"/>
      <c r="R23" s="27"/>
      <c r="S23" s="27" t="s">
        <v>122</v>
      </c>
      <c r="T23" s="27"/>
      <c r="U23" s="27"/>
      <c r="V23" s="27" t="s">
        <v>123</v>
      </c>
      <c r="W23" s="27" t="s">
        <v>124</v>
      </c>
      <c r="X23" s="73"/>
      <c r="Y23" s="73" t="e">
        <f>VLOOKUP(X23,Choferes!$B$2:$C$500,2,FALSE)</f>
        <v>#N/A</v>
      </c>
      <c r="Z23" s="73" t="s">
        <v>125</v>
      </c>
    </row>
    <row r="24" spans="1:26" hidden="1" x14ac:dyDescent="0.25">
      <c r="A24" s="33">
        <v>3</v>
      </c>
      <c r="B24" s="71" t="s">
        <v>29</v>
      </c>
      <c r="C24" s="39" t="s">
        <v>126</v>
      </c>
      <c r="D24" s="50" t="s">
        <v>42</v>
      </c>
      <c r="E24" s="47">
        <v>45306</v>
      </c>
      <c r="F24" s="31" t="str">
        <f>VLOOKUP($C24,Carpetas!$C$5:$M$2666,2,FALSE)</f>
        <v>PYB011</v>
      </c>
      <c r="G24" s="23" t="str">
        <f>VLOOKUP($C24,Carpetas!$C$5:$M$2666,10,FALSE)</f>
        <v>148,22,92</v>
      </c>
      <c r="H24" s="27">
        <f>VLOOKUP($C24,Carpetas!$C$5:$M$2666,6,FALSE)</f>
        <v>0</v>
      </c>
      <c r="I24" s="220"/>
      <c r="J24" s="47">
        <v>45310</v>
      </c>
      <c r="K24" s="72" t="str">
        <f>VLOOKUP($C24,Carpetas!$C$5:$M$2666,5,FALSE)</f>
        <v>Salto</v>
      </c>
      <c r="L24" s="32"/>
      <c r="M24" s="48">
        <f>J24+1+3</f>
        <v>45314</v>
      </c>
      <c r="N24" s="26">
        <f t="shared" si="0"/>
        <v>8</v>
      </c>
      <c r="O24" s="27">
        <v>972</v>
      </c>
      <c r="P24" s="27">
        <v>972</v>
      </c>
      <c r="Q24" s="27"/>
      <c r="R24" s="27"/>
      <c r="S24" s="27" t="s">
        <v>127</v>
      </c>
      <c r="T24" s="27"/>
      <c r="U24" s="27"/>
      <c r="V24" s="27" t="s">
        <v>128</v>
      </c>
      <c r="W24" s="27" t="s">
        <v>129</v>
      </c>
      <c r="X24" s="73"/>
      <c r="Y24" s="73" t="e">
        <f>VLOOKUP(X24,Choferes!$B$2:$C$500,2,FALSE)</f>
        <v>#N/A</v>
      </c>
      <c r="Z24" s="73" t="s">
        <v>130</v>
      </c>
    </row>
    <row r="25" spans="1:26" hidden="1" x14ac:dyDescent="0.25">
      <c r="A25" s="33">
        <v>2</v>
      </c>
      <c r="B25" s="71" t="s">
        <v>29</v>
      </c>
      <c r="C25" s="39" t="s">
        <v>131</v>
      </c>
      <c r="D25" s="50" t="s">
        <v>63</v>
      </c>
      <c r="E25" s="47">
        <v>45304</v>
      </c>
      <c r="F25" s="31" t="str">
        <f>VLOOKUP($C25,Carpetas!$C$5:$M$2666,2,FALSE)</f>
        <v>BRA002</v>
      </c>
      <c r="G25" s="23">
        <f>VLOOKUP($C25,Carpetas!$C$5:$M$2666,10,FALSE)</f>
        <v>0</v>
      </c>
      <c r="H25" s="27" t="str">
        <f>VLOOKUP($C25,Carpetas!$C$5:$M$2666,6,FALSE)</f>
        <v>Silvio</v>
      </c>
      <c r="I25" s="220"/>
      <c r="J25" s="47">
        <v>45313</v>
      </c>
      <c r="K25" s="72" t="str">
        <f>VLOOKUP($C25,Carpetas!$C$5:$M$2666,5,FALSE)</f>
        <v>Rio Branco</v>
      </c>
      <c r="L25" s="32"/>
      <c r="M25" s="48">
        <f>J25+1</f>
        <v>45314</v>
      </c>
      <c r="N25" s="26">
        <f t="shared" si="0"/>
        <v>10</v>
      </c>
      <c r="O25" s="27">
        <v>1104</v>
      </c>
      <c r="P25" s="27">
        <v>1104</v>
      </c>
      <c r="Q25" s="27"/>
      <c r="R25" s="27"/>
      <c r="S25" s="27">
        <v>61447</v>
      </c>
      <c r="T25" s="27"/>
      <c r="U25" s="27">
        <v>6682</v>
      </c>
      <c r="V25" s="27" t="s">
        <v>132</v>
      </c>
      <c r="W25" s="27" t="s">
        <v>133</v>
      </c>
      <c r="X25" s="73" t="s">
        <v>134</v>
      </c>
      <c r="Y25" s="73" t="str">
        <f>VLOOKUP(X25,Choferes!$B$2:$C$500,2,FALSE)</f>
        <v>+5549999774835</v>
      </c>
      <c r="Z25" s="73" t="s">
        <v>135</v>
      </c>
    </row>
    <row r="26" spans="1:26" hidden="1" x14ac:dyDescent="0.25">
      <c r="A26" s="33">
        <v>3</v>
      </c>
      <c r="B26" s="71" t="s">
        <v>29</v>
      </c>
      <c r="C26" s="39" t="s">
        <v>136</v>
      </c>
      <c r="D26" s="50" t="s">
        <v>48</v>
      </c>
      <c r="E26" s="47">
        <v>45308</v>
      </c>
      <c r="F26" s="31" t="str">
        <f>VLOOKUP($C26,Carpetas!$C$5:$M$2666,2,FALSE)</f>
        <v>PYB013</v>
      </c>
      <c r="G26" s="23" t="str">
        <f>VLOOKUP($C26,Carpetas!$C$5:$M$2666,10,FALSE)</f>
        <v>148.26.81</v>
      </c>
      <c r="H26" s="27">
        <f>VLOOKUP($C26,Carpetas!$C$5:$M$2666,6,FALSE)</f>
        <v>0</v>
      </c>
      <c r="I26" s="220"/>
      <c r="J26" s="47">
        <f>E26+5</f>
        <v>45313</v>
      </c>
      <c r="K26" s="72" t="str">
        <f>VLOOKUP($C26,Carpetas!$C$5:$M$2666,5,FALSE)</f>
        <v>Salto</v>
      </c>
      <c r="L26" s="32"/>
      <c r="M26" s="48">
        <f>J26+1</f>
        <v>45314</v>
      </c>
      <c r="N26" s="26">
        <f t="shared" si="0"/>
        <v>6</v>
      </c>
      <c r="O26" s="27">
        <v>930</v>
      </c>
      <c r="P26" s="27">
        <v>933</v>
      </c>
      <c r="Q26" s="27"/>
      <c r="R26" s="27"/>
      <c r="S26" s="27" t="s">
        <v>137</v>
      </c>
      <c r="T26" s="27"/>
      <c r="U26" s="27"/>
      <c r="V26" s="27" t="s">
        <v>138</v>
      </c>
      <c r="W26" s="27" t="s">
        <v>139</v>
      </c>
      <c r="X26" s="73"/>
      <c r="Y26" s="73" t="e">
        <f>VLOOKUP(X26,Choferes!$B$2:$C$500,2,FALSE)</f>
        <v>#N/A</v>
      </c>
      <c r="Z26" s="73" t="s">
        <v>140</v>
      </c>
    </row>
    <row r="27" spans="1:26" hidden="1" x14ac:dyDescent="0.25">
      <c r="A27" s="33">
        <v>3</v>
      </c>
      <c r="B27" s="71" t="s">
        <v>29</v>
      </c>
      <c r="C27" s="39" t="s">
        <v>30</v>
      </c>
      <c r="D27" s="50" t="s">
        <v>31</v>
      </c>
      <c r="E27" s="47">
        <v>45310</v>
      </c>
      <c r="F27" s="31" t="str">
        <f>VLOOKUP($C27,Carpetas!$C$5:$M$2666,2,FALSE)</f>
        <v>BRB001</v>
      </c>
      <c r="G27" s="23" t="str">
        <f>VLOOKUP($C27,Carpetas!$C$5:$M$2666,10,FALSE)</f>
        <v>148,22,17</v>
      </c>
      <c r="H27" s="27" t="str">
        <f>VLOOKUP($C27,Carpetas!$C$5:$M$2666,6,FALSE)</f>
        <v>Zanini</v>
      </c>
      <c r="I27" s="220"/>
      <c r="J27" s="47">
        <v>45313</v>
      </c>
      <c r="K27" s="72" t="str">
        <f>VLOOKUP($C27,Carpetas!$C$5:$M$2666,5,FALSE)</f>
        <v>Rio Branco</v>
      </c>
      <c r="L27" s="32"/>
      <c r="M27" s="48">
        <f>J27+1+1</f>
        <v>45315</v>
      </c>
      <c r="N27" s="26">
        <f t="shared" si="0"/>
        <v>5</v>
      </c>
      <c r="O27" s="27">
        <v>918</v>
      </c>
      <c r="P27" s="27">
        <v>919</v>
      </c>
      <c r="Q27" s="27"/>
      <c r="R27" s="27"/>
      <c r="S27" s="27" t="s">
        <v>141</v>
      </c>
      <c r="T27" s="27"/>
      <c r="U27" s="27">
        <v>4187</v>
      </c>
      <c r="V27" s="27" t="s">
        <v>142</v>
      </c>
      <c r="W27" s="27" t="s">
        <v>143</v>
      </c>
      <c r="X27" s="73"/>
      <c r="Y27" s="73" t="e">
        <f>VLOOKUP(X27,Choferes!$B$2:$C$500,2,FALSE)</f>
        <v>#N/A</v>
      </c>
      <c r="Z27" s="73" t="s">
        <v>144</v>
      </c>
    </row>
    <row r="28" spans="1:26" hidden="1" x14ac:dyDescent="0.25">
      <c r="A28" s="33">
        <v>4</v>
      </c>
      <c r="B28" s="71" t="s">
        <v>29</v>
      </c>
      <c r="C28" s="39" t="s">
        <v>145</v>
      </c>
      <c r="D28" s="50" t="s">
        <v>31</v>
      </c>
      <c r="E28" s="47">
        <v>45313</v>
      </c>
      <c r="F28" s="31" t="str">
        <f>VLOOKUP($C28,Carpetas!$C$5:$M$2666,2,FALSE)</f>
        <v>BRB003</v>
      </c>
      <c r="G28" s="23" t="str">
        <f>VLOOKUP($C28,Carpetas!$C$5:$M$2666,10,FALSE)</f>
        <v>148,30,62</v>
      </c>
      <c r="H28" s="27" t="str">
        <f>VLOOKUP($C28,Carpetas!$C$5:$M$2666,6,FALSE)</f>
        <v>Zanini</v>
      </c>
      <c r="I28" s="220"/>
      <c r="J28" s="47">
        <f>E28+2</f>
        <v>45315</v>
      </c>
      <c r="K28" s="72" t="str">
        <f>VLOOKUP($C28,Carpetas!$C$5:$M$2666,5,FALSE)</f>
        <v>Rio Branco</v>
      </c>
      <c r="L28" s="32"/>
      <c r="M28" s="48">
        <f t="shared" ref="M28:M37" si="2">J28+1</f>
        <v>45316</v>
      </c>
      <c r="N28" s="26">
        <f t="shared" si="0"/>
        <v>3</v>
      </c>
      <c r="O28" s="27">
        <v>918</v>
      </c>
      <c r="P28" s="27">
        <v>919</v>
      </c>
      <c r="Q28" s="27"/>
      <c r="R28" s="27"/>
      <c r="S28" s="27" t="s">
        <v>146</v>
      </c>
      <c r="T28" s="27"/>
      <c r="U28" s="27">
        <v>4192</v>
      </c>
      <c r="V28" s="27" t="s">
        <v>147</v>
      </c>
      <c r="W28" s="27" t="s">
        <v>148</v>
      </c>
      <c r="X28" s="73"/>
      <c r="Y28" s="73" t="e">
        <f>VLOOKUP(X28,Choferes!$B$2:$C$500,2,FALSE)</f>
        <v>#N/A</v>
      </c>
      <c r="Z28" s="73" t="s">
        <v>149</v>
      </c>
    </row>
    <row r="29" spans="1:26" hidden="1" x14ac:dyDescent="0.25">
      <c r="A29" s="33">
        <v>4</v>
      </c>
      <c r="B29" s="71" t="s">
        <v>29</v>
      </c>
      <c r="C29" s="39" t="s">
        <v>77</v>
      </c>
      <c r="D29" s="50" t="s">
        <v>78</v>
      </c>
      <c r="E29" s="47">
        <v>45313</v>
      </c>
      <c r="F29" s="31" t="str">
        <f>VLOOKUP($C29,Carpetas!$C$5:$M$2666,2,FALSE)</f>
        <v>BRB002</v>
      </c>
      <c r="G29" s="23" t="str">
        <f>VLOOKUP($C29,Carpetas!$C$5:$M$2666,10,FALSE)</f>
        <v>148,25,12</v>
      </c>
      <c r="H29" s="27" t="str">
        <f>VLOOKUP($C29,Carpetas!$C$5:$M$2666,6,FALSE)</f>
        <v>Zanini</v>
      </c>
      <c r="I29" s="220"/>
      <c r="J29" s="47">
        <f>E29+2</f>
        <v>45315</v>
      </c>
      <c r="K29" s="72" t="str">
        <f>VLOOKUP($C29,Carpetas!$C$5:$M$2666,5,FALSE)</f>
        <v>Rio Branco</v>
      </c>
      <c r="L29" s="32"/>
      <c r="M29" s="48">
        <f t="shared" si="2"/>
        <v>45316</v>
      </c>
      <c r="N29" s="26">
        <f t="shared" si="0"/>
        <v>3</v>
      </c>
      <c r="O29" s="27">
        <v>900</v>
      </c>
      <c r="P29" s="27">
        <v>901</v>
      </c>
      <c r="Q29" s="27"/>
      <c r="R29" s="27"/>
      <c r="S29" s="27" t="s">
        <v>150</v>
      </c>
      <c r="T29" s="27"/>
      <c r="U29" s="27">
        <v>4191</v>
      </c>
      <c r="V29" s="27" t="s">
        <v>151</v>
      </c>
      <c r="W29" s="27" t="s">
        <v>152</v>
      </c>
      <c r="X29" s="73"/>
      <c r="Y29" s="73" t="e">
        <f>VLOOKUP(X29,Choferes!$B$2:$C$500,2,FALSE)</f>
        <v>#N/A</v>
      </c>
      <c r="Z29" s="73" t="s">
        <v>153</v>
      </c>
    </row>
    <row r="30" spans="1:26" hidden="1" x14ac:dyDescent="0.25">
      <c r="A30" s="33">
        <v>4</v>
      </c>
      <c r="B30" s="71" t="s">
        <v>29</v>
      </c>
      <c r="C30" s="39" t="s">
        <v>154</v>
      </c>
      <c r="D30" s="50" t="s">
        <v>42</v>
      </c>
      <c r="E30" s="47">
        <v>45313</v>
      </c>
      <c r="F30" s="31" t="str">
        <f>VLOOKUP($C30,Carpetas!$C$5:$M$2666,2,FALSE)</f>
        <v>PYB016</v>
      </c>
      <c r="G30" s="23" t="str">
        <f>VLOOKUP($C30,Carpetas!$C$5:$M$2666,10,FALSE)</f>
        <v>148,29,76</v>
      </c>
      <c r="H30" s="27">
        <f>VLOOKUP($C30,Carpetas!$C$5:$M$2666,6,FALSE)</f>
        <v>0</v>
      </c>
      <c r="I30" s="220"/>
      <c r="J30" s="47">
        <v>45315</v>
      </c>
      <c r="K30" s="72" t="str">
        <f>VLOOKUP($C30,Carpetas!$C$5:$M$2666,5,FALSE)</f>
        <v>Salto</v>
      </c>
      <c r="L30" s="32"/>
      <c r="M30" s="48">
        <f t="shared" si="2"/>
        <v>45316</v>
      </c>
      <c r="N30" s="26">
        <f t="shared" si="0"/>
        <v>3</v>
      </c>
      <c r="O30" s="27">
        <v>980</v>
      </c>
      <c r="P30" s="27">
        <v>974</v>
      </c>
      <c r="Q30" s="27"/>
      <c r="R30" s="27"/>
      <c r="S30" s="27" t="s">
        <v>155</v>
      </c>
      <c r="T30" s="27"/>
      <c r="U30" s="27"/>
      <c r="V30" s="27" t="s">
        <v>156</v>
      </c>
      <c r="W30" s="27" t="s">
        <v>157</v>
      </c>
      <c r="X30" s="73"/>
      <c r="Y30" s="73" t="e">
        <f>VLOOKUP(X30,Choferes!$B$2:$C$500,2,FALSE)</f>
        <v>#N/A</v>
      </c>
      <c r="Z30" s="73" t="s">
        <v>158</v>
      </c>
    </row>
    <row r="31" spans="1:26" hidden="1" x14ac:dyDescent="0.25">
      <c r="A31" s="33">
        <v>4</v>
      </c>
      <c r="B31" s="71" t="s">
        <v>29</v>
      </c>
      <c r="C31" s="39" t="s">
        <v>159</v>
      </c>
      <c r="D31" s="50" t="s">
        <v>102</v>
      </c>
      <c r="E31" s="47">
        <v>45313</v>
      </c>
      <c r="F31" s="31" t="str">
        <f>VLOOKUP($C31,Carpetas!$C$5:$M$2666,2,FALSE)</f>
        <v>PYB018</v>
      </c>
      <c r="G31" s="23" t="str">
        <f>VLOOKUP($C31,Carpetas!$C$5:$M$2666,10,FALSE)</f>
        <v>148,29,76</v>
      </c>
      <c r="H31" s="27">
        <f>VLOOKUP($C31,Carpetas!$C$5:$M$2666,6,FALSE)</f>
        <v>0</v>
      </c>
      <c r="I31" s="220"/>
      <c r="J31" s="47">
        <v>45315</v>
      </c>
      <c r="K31" s="72" t="str">
        <f>VLOOKUP($C31,Carpetas!$C$5:$M$2666,5,FALSE)</f>
        <v>Salto</v>
      </c>
      <c r="L31" s="32"/>
      <c r="M31" s="48">
        <f t="shared" si="2"/>
        <v>45316</v>
      </c>
      <c r="N31" s="26">
        <f t="shared" si="0"/>
        <v>3</v>
      </c>
      <c r="O31" s="27">
        <v>980</v>
      </c>
      <c r="P31" s="27">
        <v>980</v>
      </c>
      <c r="Q31" s="27"/>
      <c r="R31" s="27"/>
      <c r="S31" s="27" t="s">
        <v>160</v>
      </c>
      <c r="T31" s="27"/>
      <c r="U31" s="27"/>
      <c r="V31" s="27" t="s">
        <v>161</v>
      </c>
      <c r="W31" s="27" t="s">
        <v>162</v>
      </c>
      <c r="X31" s="73"/>
      <c r="Y31" s="73" t="e">
        <f>VLOOKUP(X31,Choferes!$B$2:$C$500,2,FALSE)</f>
        <v>#N/A</v>
      </c>
      <c r="Z31" s="73" t="s">
        <v>163</v>
      </c>
    </row>
    <row r="32" spans="1:26" hidden="1" x14ac:dyDescent="0.25">
      <c r="A32" s="33">
        <v>4</v>
      </c>
      <c r="B32" s="71" t="s">
        <v>29</v>
      </c>
      <c r="C32" s="39" t="s">
        <v>164</v>
      </c>
      <c r="D32" s="50" t="s">
        <v>48</v>
      </c>
      <c r="E32" s="47">
        <v>45313</v>
      </c>
      <c r="F32" s="31" t="str">
        <f>VLOOKUP($C32,Carpetas!$C$5:$M$2666,2,FALSE)</f>
        <v>PYB017</v>
      </c>
      <c r="G32" s="23" t="str">
        <f>VLOOKUP($C32,Carpetas!$C$5:$M$2666,10,FALSE)</f>
        <v>148,29,76</v>
      </c>
      <c r="H32" s="27">
        <f>VLOOKUP($C32,Carpetas!$C$5:$M$2666,6,FALSE)</f>
        <v>0</v>
      </c>
      <c r="I32" s="220"/>
      <c r="J32" s="47">
        <v>45316</v>
      </c>
      <c r="K32" s="72" t="str">
        <f>VLOOKUP($C32,Carpetas!$C$5:$M$2666,5,FALSE)</f>
        <v>Salto</v>
      </c>
      <c r="L32" s="32"/>
      <c r="M32" s="48">
        <f t="shared" si="2"/>
        <v>45317</v>
      </c>
      <c r="N32" s="26">
        <f t="shared" si="0"/>
        <v>4</v>
      </c>
      <c r="O32" s="27">
        <v>930</v>
      </c>
      <c r="P32" s="27">
        <v>933</v>
      </c>
      <c r="Q32" s="27"/>
      <c r="R32" s="27"/>
      <c r="S32" s="27" t="s">
        <v>165</v>
      </c>
      <c r="T32" s="27"/>
      <c r="U32" s="27"/>
      <c r="V32" s="27" t="s">
        <v>166</v>
      </c>
      <c r="W32" s="27" t="s">
        <v>167</v>
      </c>
      <c r="X32" s="73"/>
      <c r="Y32" s="73" t="e">
        <f>VLOOKUP(X32,Choferes!$B$2:$C$500,2,FALSE)</f>
        <v>#N/A</v>
      </c>
      <c r="Z32" s="73" t="s">
        <v>168</v>
      </c>
    </row>
    <row r="33" spans="1:26" hidden="1" x14ac:dyDescent="0.25">
      <c r="A33" s="33">
        <v>4</v>
      </c>
      <c r="B33" s="71" t="s">
        <v>29</v>
      </c>
      <c r="C33" s="39" t="s">
        <v>154</v>
      </c>
      <c r="D33" s="50" t="s">
        <v>42</v>
      </c>
      <c r="E33" s="47">
        <v>45313</v>
      </c>
      <c r="F33" s="31" t="str">
        <f>VLOOKUP($C33,Carpetas!$C$5:$M$2666,2,FALSE)</f>
        <v>PYB016</v>
      </c>
      <c r="G33" s="23" t="str">
        <f>VLOOKUP($C33,Carpetas!$C$5:$M$2666,10,FALSE)</f>
        <v>148,29,76</v>
      </c>
      <c r="H33" s="27">
        <f>VLOOKUP($C33,Carpetas!$C$5:$M$2666,6,FALSE)</f>
        <v>0</v>
      </c>
      <c r="I33" s="220"/>
      <c r="J33" s="47">
        <v>45316</v>
      </c>
      <c r="K33" s="72" t="str">
        <f>VLOOKUP($C33,Carpetas!$C$5:$M$2666,5,FALSE)</f>
        <v>Salto</v>
      </c>
      <c r="L33" s="32"/>
      <c r="M33" s="48">
        <f t="shared" si="2"/>
        <v>45317</v>
      </c>
      <c r="N33" s="26">
        <f t="shared" si="0"/>
        <v>4</v>
      </c>
      <c r="O33" s="27">
        <v>980</v>
      </c>
      <c r="P33" s="27">
        <v>972</v>
      </c>
      <c r="Q33" s="27"/>
      <c r="R33" s="27"/>
      <c r="S33" s="27" t="s">
        <v>169</v>
      </c>
      <c r="T33" s="27"/>
      <c r="U33" s="27"/>
      <c r="V33" s="27" t="s">
        <v>170</v>
      </c>
      <c r="W33" s="27" t="s">
        <v>171</v>
      </c>
      <c r="X33" s="73"/>
      <c r="Y33" s="73" t="e">
        <f>VLOOKUP(X33,Choferes!$B$2:$C$500,2,FALSE)</f>
        <v>#N/A</v>
      </c>
      <c r="Z33" s="73" t="s">
        <v>172</v>
      </c>
    </row>
    <row r="34" spans="1:26" hidden="1" x14ac:dyDescent="0.25">
      <c r="A34" s="33">
        <v>4</v>
      </c>
      <c r="B34" s="71" t="s">
        <v>29</v>
      </c>
      <c r="C34" s="39" t="s">
        <v>173</v>
      </c>
      <c r="D34" s="50" t="s">
        <v>87</v>
      </c>
      <c r="E34" s="47">
        <v>45314</v>
      </c>
      <c r="F34" s="31" t="str">
        <f>VLOOKUP($C34,Carpetas!$C$5:$M$2666,2,FALSE)</f>
        <v>BRB004</v>
      </c>
      <c r="G34" s="23" t="str">
        <f>VLOOKUP($C34,Carpetas!$C$5:$M$2666,10,FALSE)</f>
        <v>148,30,63</v>
      </c>
      <c r="H34" s="27" t="str">
        <f>VLOOKUP($C34,Carpetas!$C$5:$M$2666,6,FALSE)</f>
        <v>Silvio</v>
      </c>
      <c r="I34" s="220"/>
      <c r="J34" s="47">
        <f>E34+2</f>
        <v>45316</v>
      </c>
      <c r="K34" s="72" t="str">
        <f>VLOOKUP($C34,Carpetas!$C$5:$M$2666,5,FALSE)</f>
        <v>Rio Branco</v>
      </c>
      <c r="L34" s="32"/>
      <c r="M34" s="48">
        <f t="shared" si="2"/>
        <v>45317</v>
      </c>
      <c r="N34" s="26">
        <f t="shared" si="0"/>
        <v>3</v>
      </c>
      <c r="O34" s="27">
        <v>918</v>
      </c>
      <c r="P34" s="27">
        <v>918</v>
      </c>
      <c r="Q34" s="27"/>
      <c r="R34" s="27"/>
      <c r="S34" s="27" t="s">
        <v>174</v>
      </c>
      <c r="T34" s="27"/>
      <c r="U34" s="27">
        <v>6702</v>
      </c>
      <c r="V34" s="27" t="s">
        <v>175</v>
      </c>
      <c r="W34" s="27" t="s">
        <v>176</v>
      </c>
      <c r="X34" s="73"/>
      <c r="Y34" s="73" t="e">
        <f>VLOOKUP(X34,Choferes!$B$2:$C$500,2,FALSE)</f>
        <v>#N/A</v>
      </c>
      <c r="Z34" s="73" t="s">
        <v>177</v>
      </c>
    </row>
    <row r="35" spans="1:26" hidden="1" x14ac:dyDescent="0.25">
      <c r="A35" s="33">
        <v>4</v>
      </c>
      <c r="B35" s="71" t="s">
        <v>29</v>
      </c>
      <c r="C35" s="39" t="s">
        <v>164</v>
      </c>
      <c r="D35" s="50" t="s">
        <v>48</v>
      </c>
      <c r="E35" s="47">
        <v>45314</v>
      </c>
      <c r="F35" s="31" t="str">
        <f>VLOOKUP($C35,Carpetas!$C$5:$M$2666,2,FALSE)</f>
        <v>PYB017</v>
      </c>
      <c r="G35" s="23" t="str">
        <f>VLOOKUP($C35,Carpetas!$C$5:$M$2666,10,FALSE)</f>
        <v>148,29,76</v>
      </c>
      <c r="H35" s="27">
        <f>VLOOKUP($C35,Carpetas!$C$5:$M$2666,6,FALSE)</f>
        <v>0</v>
      </c>
      <c r="I35" s="220"/>
      <c r="J35" s="47">
        <v>45316</v>
      </c>
      <c r="K35" s="72" t="str">
        <f>VLOOKUP($C35,Carpetas!$C$5:$M$2666,5,FALSE)</f>
        <v>Salto</v>
      </c>
      <c r="L35" s="32"/>
      <c r="M35" s="48">
        <f t="shared" si="2"/>
        <v>45317</v>
      </c>
      <c r="N35" s="26">
        <f t="shared" si="0"/>
        <v>3</v>
      </c>
      <c r="O35" s="27">
        <v>930</v>
      </c>
      <c r="P35" s="27">
        <v>930</v>
      </c>
      <c r="Q35" s="27"/>
      <c r="R35" s="27"/>
      <c r="S35" s="27" t="s">
        <v>178</v>
      </c>
      <c r="T35" s="27"/>
      <c r="U35" s="27"/>
      <c r="V35" s="27" t="s">
        <v>179</v>
      </c>
      <c r="W35" s="27" t="s">
        <v>180</v>
      </c>
      <c r="X35" s="73"/>
      <c r="Y35" s="73" t="e">
        <f>VLOOKUP(X35,Choferes!$B$2:$C$500,2,FALSE)</f>
        <v>#N/A</v>
      </c>
      <c r="Z35" s="73" t="s">
        <v>181</v>
      </c>
    </row>
    <row r="36" spans="1:26" hidden="1" x14ac:dyDescent="0.25">
      <c r="A36" s="33">
        <v>4</v>
      </c>
      <c r="B36" s="71" t="s">
        <v>29</v>
      </c>
      <c r="C36" s="39" t="s">
        <v>182</v>
      </c>
      <c r="D36" s="50" t="s">
        <v>183</v>
      </c>
      <c r="E36" s="47">
        <v>45312</v>
      </c>
      <c r="F36" s="31" t="str">
        <f>VLOOKUP($C36,Carpetas!$C$5:$M$2666,2,FALSE)</f>
        <v>PYB014</v>
      </c>
      <c r="G36" s="23" t="str">
        <f>VLOOKUP($C36,Carpetas!$C$5:$M$2666,10,FALSE)</f>
        <v>148.27.09</v>
      </c>
      <c r="H36" s="27">
        <f>VLOOKUP($C36,Carpetas!$C$5:$M$2666,6,FALSE)</f>
        <v>0</v>
      </c>
      <c r="I36" s="220"/>
      <c r="J36" s="47">
        <f>E36+5</f>
        <v>45317</v>
      </c>
      <c r="K36" s="72" t="str">
        <f>VLOOKUP($C36,Carpetas!$C$5:$M$2666,5,FALSE)</f>
        <v>Salto</v>
      </c>
      <c r="L36" s="32"/>
      <c r="M36" s="48">
        <f t="shared" si="2"/>
        <v>45318</v>
      </c>
      <c r="N36" s="26">
        <f t="shared" si="0"/>
        <v>6</v>
      </c>
      <c r="O36" s="27">
        <v>980</v>
      </c>
      <c r="P36" s="27">
        <v>980</v>
      </c>
      <c r="Q36" s="27"/>
      <c r="R36" s="27"/>
      <c r="S36" s="27" t="s">
        <v>184</v>
      </c>
      <c r="T36" s="27"/>
      <c r="U36" s="27"/>
      <c r="V36" s="27" t="s">
        <v>185</v>
      </c>
      <c r="W36" s="27" t="s">
        <v>186</v>
      </c>
      <c r="X36" s="73"/>
      <c r="Y36" s="73" t="e">
        <f>VLOOKUP(X36,Choferes!$B$2:$C$500,2,FALSE)</f>
        <v>#N/A</v>
      </c>
      <c r="Z36" s="73" t="s">
        <v>187</v>
      </c>
    </row>
    <row r="37" spans="1:26" hidden="1" x14ac:dyDescent="0.25">
      <c r="A37" s="33">
        <v>4</v>
      </c>
      <c r="B37" s="71" t="s">
        <v>29</v>
      </c>
      <c r="C37" s="39" t="s">
        <v>77</v>
      </c>
      <c r="D37" s="50" t="s">
        <v>78</v>
      </c>
      <c r="E37" s="47">
        <v>45316</v>
      </c>
      <c r="F37" s="31" t="str">
        <f>VLOOKUP($C37,Carpetas!$C$5:$M$2666,2,FALSE)</f>
        <v>BRB002</v>
      </c>
      <c r="G37" s="23" t="str">
        <f>VLOOKUP($C37,Carpetas!$C$5:$M$2666,10,FALSE)</f>
        <v>148,25,12</v>
      </c>
      <c r="H37" s="27" t="str">
        <f>VLOOKUP($C37,Carpetas!$C$5:$M$2666,6,FALSE)</f>
        <v>Zanini</v>
      </c>
      <c r="I37" s="220"/>
      <c r="J37" s="47">
        <f>E37+2</f>
        <v>45318</v>
      </c>
      <c r="K37" s="72" t="str">
        <f>VLOOKUP($C37,Carpetas!$C$5:$M$2666,5,FALSE)</f>
        <v>Rio Branco</v>
      </c>
      <c r="L37" s="32"/>
      <c r="M37" s="48">
        <f t="shared" si="2"/>
        <v>45319</v>
      </c>
      <c r="N37" s="26">
        <f t="shared" si="0"/>
        <v>3</v>
      </c>
      <c r="O37" s="27">
        <v>900</v>
      </c>
      <c r="P37" s="27">
        <v>901</v>
      </c>
      <c r="Q37" s="27"/>
      <c r="R37" s="27"/>
      <c r="S37" s="27" t="s">
        <v>188</v>
      </c>
      <c r="T37" s="27"/>
      <c r="U37" s="27">
        <v>4200</v>
      </c>
      <c r="V37" s="27" t="s">
        <v>33</v>
      </c>
      <c r="W37" s="27" t="s">
        <v>34</v>
      </c>
      <c r="X37" s="73"/>
      <c r="Y37" s="73" t="e">
        <f>VLOOKUP(X37,Choferes!$B$2:$C$500,2,FALSE)</f>
        <v>#N/A</v>
      </c>
      <c r="Z37" s="73" t="s">
        <v>189</v>
      </c>
    </row>
    <row r="38" spans="1:26" hidden="1" x14ac:dyDescent="0.25">
      <c r="A38" s="33">
        <v>4</v>
      </c>
      <c r="B38" s="71" t="s">
        <v>29</v>
      </c>
      <c r="C38" s="39" t="s">
        <v>190</v>
      </c>
      <c r="D38" s="50" t="s">
        <v>102</v>
      </c>
      <c r="E38" s="47">
        <v>45315</v>
      </c>
      <c r="F38" s="31" t="str">
        <f>VLOOKUP($C38,Carpetas!$C$5:$M$2666,2,FALSE)</f>
        <v>PYB019</v>
      </c>
      <c r="G38" s="23" t="str">
        <f>VLOOKUP($C38,Carpetas!$C$5:$M$2666,10,FALSE)</f>
        <v>148,29,76</v>
      </c>
      <c r="H38" s="27">
        <f>VLOOKUP($C38,Carpetas!$C$5:$M$2666,6,FALSE)</f>
        <v>0</v>
      </c>
      <c r="I38" s="220"/>
      <c r="J38" s="47">
        <v>45318</v>
      </c>
      <c r="K38" s="72" t="str">
        <f>VLOOKUP($C38,Carpetas!$C$5:$M$2666,5,FALSE)</f>
        <v>Salto</v>
      </c>
      <c r="L38" s="32"/>
      <c r="M38" s="48">
        <v>45320</v>
      </c>
      <c r="N38" s="26">
        <f t="shared" si="0"/>
        <v>5</v>
      </c>
      <c r="O38" s="27">
        <v>980</v>
      </c>
      <c r="P38" s="27">
        <v>980</v>
      </c>
      <c r="Q38" s="27"/>
      <c r="R38" s="27"/>
      <c r="S38" s="27" t="s">
        <v>191</v>
      </c>
      <c r="T38" s="27"/>
      <c r="U38" s="27"/>
      <c r="V38" s="27" t="s">
        <v>192</v>
      </c>
      <c r="W38" s="27" t="s">
        <v>193</v>
      </c>
      <c r="X38" s="73"/>
      <c r="Y38" s="73" t="e">
        <f>VLOOKUP(X38,Choferes!$B$2:$C$500,2,FALSE)</f>
        <v>#N/A</v>
      </c>
      <c r="Z38" s="73" t="s">
        <v>194</v>
      </c>
    </row>
    <row r="39" spans="1:26" hidden="1" x14ac:dyDescent="0.25">
      <c r="A39" s="33">
        <v>4</v>
      </c>
      <c r="B39" s="71" t="s">
        <v>29</v>
      </c>
      <c r="C39" s="39" t="s">
        <v>195</v>
      </c>
      <c r="D39" s="50" t="s">
        <v>121</v>
      </c>
      <c r="E39" s="47">
        <v>45314</v>
      </c>
      <c r="F39" s="31" t="str">
        <f>VLOOKUP($C39,Carpetas!$C$5:$M$2666,2,FALSE)</f>
        <v>PYB015</v>
      </c>
      <c r="G39" s="23" t="str">
        <f>VLOOKUP($C39,Carpetas!$C$5:$M$2666,10,FALSE)</f>
        <v>148,29,77</v>
      </c>
      <c r="H39" s="27">
        <f>VLOOKUP($C39,Carpetas!$C$5:$M$2666,6,FALSE)</f>
        <v>0</v>
      </c>
      <c r="I39" s="220"/>
      <c r="J39" s="47">
        <f>E39+5</f>
        <v>45319</v>
      </c>
      <c r="K39" s="72" t="str">
        <f>VLOOKUP($C39,Carpetas!$C$5:$M$2666,5,FALSE)</f>
        <v>Salto</v>
      </c>
      <c r="L39" s="32"/>
      <c r="M39" s="48">
        <f>J39+1</f>
        <v>45320</v>
      </c>
      <c r="N39" s="26">
        <f t="shared" si="0"/>
        <v>6</v>
      </c>
      <c r="O39" s="27">
        <v>980</v>
      </c>
      <c r="P39" s="27">
        <v>980</v>
      </c>
      <c r="Q39" s="27"/>
      <c r="R39" s="27"/>
      <c r="S39" s="27" t="s">
        <v>196</v>
      </c>
      <c r="T39" s="27"/>
      <c r="U39" s="27"/>
      <c r="V39" s="27" t="s">
        <v>197</v>
      </c>
      <c r="W39" s="27" t="s">
        <v>198</v>
      </c>
      <c r="X39" s="73"/>
      <c r="Y39" s="73" t="e">
        <f>VLOOKUP(X39,Choferes!$B$2:$C$500,2,FALSE)</f>
        <v>#N/A</v>
      </c>
      <c r="Z39" s="73" t="s">
        <v>187</v>
      </c>
    </row>
    <row r="40" spans="1:26" hidden="1" x14ac:dyDescent="0.25">
      <c r="A40" s="33">
        <v>3</v>
      </c>
      <c r="B40" s="71" t="s">
        <v>29</v>
      </c>
      <c r="C40" s="39" t="s">
        <v>199</v>
      </c>
      <c r="D40" s="50" t="s">
        <v>63</v>
      </c>
      <c r="E40" s="47">
        <v>45310</v>
      </c>
      <c r="F40" s="31" t="str">
        <f>VLOOKUP($C40,Carpetas!$C$5:$M$2666,2,FALSE)</f>
        <v>BRA003</v>
      </c>
      <c r="G40" s="23">
        <f>VLOOKUP($C40,Carpetas!$C$5:$M$2666,10,FALSE)</f>
        <v>0</v>
      </c>
      <c r="H40" s="27" t="str">
        <f>VLOOKUP($C40,Carpetas!$C$5:$M$2666,6,FALSE)</f>
        <v>Silvio</v>
      </c>
      <c r="I40" s="220"/>
      <c r="J40" s="47">
        <v>45317</v>
      </c>
      <c r="K40" s="72" t="str">
        <f>VLOOKUP($C40,Carpetas!$C$5:$M$2666,5,FALSE)</f>
        <v>Rio Branco</v>
      </c>
      <c r="L40" s="32"/>
      <c r="M40" s="48">
        <v>45321</v>
      </c>
      <c r="N40" s="26">
        <f t="shared" si="0"/>
        <v>11</v>
      </c>
      <c r="O40" s="27">
        <v>1104</v>
      </c>
      <c r="P40" s="27">
        <v>1104</v>
      </c>
      <c r="Q40" s="27"/>
      <c r="R40" s="27"/>
      <c r="S40" s="27">
        <v>61014</v>
      </c>
      <c r="T40" s="27"/>
      <c r="U40" s="27">
        <v>6693</v>
      </c>
      <c r="V40" s="27" t="s">
        <v>200</v>
      </c>
      <c r="W40" s="27" t="s">
        <v>201</v>
      </c>
      <c r="X40" s="73"/>
      <c r="Y40" s="73" t="e">
        <f>VLOOKUP(X40,Choferes!$B$2:$C$500,2,FALSE)</f>
        <v>#N/A</v>
      </c>
      <c r="Z40" s="73" t="s">
        <v>202</v>
      </c>
    </row>
    <row r="41" spans="1:26" hidden="1" x14ac:dyDescent="0.25">
      <c r="A41" s="33">
        <v>4</v>
      </c>
      <c r="B41" s="71" t="s">
        <v>29</v>
      </c>
      <c r="C41" s="39" t="s">
        <v>173</v>
      </c>
      <c r="D41" s="50" t="s">
        <v>87</v>
      </c>
      <c r="E41" s="47">
        <v>45317</v>
      </c>
      <c r="F41" s="31" t="str">
        <f>VLOOKUP($C41,Carpetas!$C$5:$M$2666,2,FALSE)</f>
        <v>BRB004</v>
      </c>
      <c r="G41" s="23" t="str">
        <f>VLOOKUP($C41,Carpetas!$C$5:$M$2666,10,FALSE)</f>
        <v>148,30,63</v>
      </c>
      <c r="H41" s="27" t="str">
        <f>VLOOKUP($C41,Carpetas!$C$5:$M$2666,6,FALSE)</f>
        <v>Silvio</v>
      </c>
      <c r="I41" s="220"/>
      <c r="J41" s="47">
        <v>45320</v>
      </c>
      <c r="K41" s="72" t="str">
        <f>VLOOKUP($C41,Carpetas!$C$5:$M$2666,5,FALSE)</f>
        <v>Rio Branco</v>
      </c>
      <c r="L41" s="32"/>
      <c r="M41" s="48">
        <f>J41+1</f>
        <v>45321</v>
      </c>
      <c r="N41" s="26">
        <f t="shared" si="0"/>
        <v>4</v>
      </c>
      <c r="O41" s="27">
        <v>918</v>
      </c>
      <c r="P41" s="27">
        <v>919</v>
      </c>
      <c r="Q41" s="27"/>
      <c r="R41" s="27"/>
      <c r="S41" s="27" t="s">
        <v>203</v>
      </c>
      <c r="T41" s="27"/>
      <c r="U41" s="27">
        <v>6712</v>
      </c>
      <c r="V41" s="27" t="s">
        <v>64</v>
      </c>
      <c r="W41" s="27" t="s">
        <v>65</v>
      </c>
      <c r="X41" s="73" t="s">
        <v>66</v>
      </c>
      <c r="Y41" s="73" t="str">
        <f>VLOOKUP(X41,Choferes!$B$2:$C$500,2,FALSE)</f>
        <v>+5555996711696</v>
      </c>
      <c r="Z41" s="73" t="s">
        <v>204</v>
      </c>
    </row>
    <row r="42" spans="1:26" hidden="1" x14ac:dyDescent="0.25">
      <c r="A42" s="33">
        <v>4</v>
      </c>
      <c r="B42" s="71" t="s">
        <v>29</v>
      </c>
      <c r="C42" s="39" t="s">
        <v>145</v>
      </c>
      <c r="D42" s="50" t="s">
        <v>31</v>
      </c>
      <c r="E42" s="47">
        <v>45317</v>
      </c>
      <c r="F42" s="31" t="str">
        <f>VLOOKUP($C42,Carpetas!$C$5:$M$2666,2,FALSE)</f>
        <v>BRB003</v>
      </c>
      <c r="G42" s="23" t="str">
        <f>VLOOKUP($C42,Carpetas!$C$5:$M$2666,10,FALSE)</f>
        <v>148,30,62</v>
      </c>
      <c r="H42" s="27" t="str">
        <f>VLOOKUP($C42,Carpetas!$C$5:$M$2666,6,FALSE)</f>
        <v>Zanini</v>
      </c>
      <c r="I42" s="220"/>
      <c r="J42" s="47">
        <v>45320</v>
      </c>
      <c r="K42" s="72" t="str">
        <f>VLOOKUP($C42,Carpetas!$C$5:$M$2666,5,FALSE)</f>
        <v>Rio Branco</v>
      </c>
      <c r="L42" s="32"/>
      <c r="M42" s="48">
        <v>45323</v>
      </c>
      <c r="N42" s="26">
        <f t="shared" si="0"/>
        <v>6</v>
      </c>
      <c r="O42" s="27">
        <v>918</v>
      </c>
      <c r="P42" s="27">
        <v>919</v>
      </c>
      <c r="Q42" s="27"/>
      <c r="R42" s="27"/>
      <c r="S42" s="27" t="s">
        <v>205</v>
      </c>
      <c r="T42" s="27"/>
      <c r="U42" s="27">
        <v>4204</v>
      </c>
      <c r="V42" s="27" t="s">
        <v>206</v>
      </c>
      <c r="W42" s="27" t="s">
        <v>207</v>
      </c>
      <c r="X42" s="73" t="s">
        <v>208</v>
      </c>
      <c r="Y42" s="73" t="str">
        <f>VLOOKUP(X42,Choferes!$B$2:$C$500,2,FALSE)</f>
        <v>+5555999813455</v>
      </c>
      <c r="Z42" s="73" t="s">
        <v>209</v>
      </c>
    </row>
    <row r="43" spans="1:26" ht="30" hidden="1" x14ac:dyDescent="0.25">
      <c r="A43" s="33">
        <v>5</v>
      </c>
      <c r="B43" s="71" t="s">
        <v>29</v>
      </c>
      <c r="C43" s="39" t="s">
        <v>210</v>
      </c>
      <c r="D43" s="50" t="s">
        <v>121</v>
      </c>
      <c r="E43" s="47">
        <v>45320</v>
      </c>
      <c r="F43" s="31" t="str">
        <f>VLOOKUP($C43,Carpetas!$C$5:$M$2666,2,FALSE)</f>
        <v>PYB021</v>
      </c>
      <c r="G43" s="23" t="str">
        <f>VLOOKUP($C43,Carpetas!$C$5:$M$2666,10,FALSE)</f>
        <v>148.32.37</v>
      </c>
      <c r="H43" s="27">
        <f>VLOOKUP($C43,Carpetas!$C$5:$M$2666,6,FALSE)</f>
        <v>0</v>
      </c>
      <c r="I43" s="220"/>
      <c r="J43" s="47">
        <v>45323</v>
      </c>
      <c r="K43" s="72" t="str">
        <f>VLOOKUP($C43,Carpetas!$C$5:$M$2666,5,FALSE)</f>
        <v>Salto</v>
      </c>
      <c r="L43" s="32"/>
      <c r="M43" s="48">
        <f t="shared" ref="M43:M51" si="3">J43+1</f>
        <v>45324</v>
      </c>
      <c r="N43" s="26">
        <f t="shared" si="0"/>
        <v>4</v>
      </c>
      <c r="O43" s="27">
        <v>980</v>
      </c>
      <c r="P43" s="27"/>
      <c r="Q43" s="27"/>
      <c r="R43" s="27"/>
      <c r="S43" s="27" t="s">
        <v>211</v>
      </c>
      <c r="T43" s="27"/>
      <c r="U43" s="27"/>
      <c r="V43" s="27" t="s">
        <v>212</v>
      </c>
      <c r="W43" s="27" t="s">
        <v>213</v>
      </c>
      <c r="X43" s="73"/>
      <c r="Y43" s="73" t="e">
        <f>VLOOKUP(X43,Choferes!$B$2:$C$500,2,FALSE)</f>
        <v>#N/A</v>
      </c>
      <c r="Z43" s="73" t="s">
        <v>214</v>
      </c>
    </row>
    <row r="44" spans="1:26" ht="30" hidden="1" x14ac:dyDescent="0.25">
      <c r="A44" s="33">
        <v>5</v>
      </c>
      <c r="B44" s="71" t="s">
        <v>29</v>
      </c>
      <c r="C44" s="39" t="s">
        <v>210</v>
      </c>
      <c r="D44" s="50" t="s">
        <v>121</v>
      </c>
      <c r="E44" s="47">
        <v>45320</v>
      </c>
      <c r="F44" s="31" t="str">
        <f>VLOOKUP($C44,Carpetas!$C$5:$M$2666,2,FALSE)</f>
        <v>PYB021</v>
      </c>
      <c r="G44" s="23" t="str">
        <f>VLOOKUP($C44,Carpetas!$C$5:$M$2666,10,FALSE)</f>
        <v>148.32.37</v>
      </c>
      <c r="H44" s="27">
        <f>VLOOKUP($C44,Carpetas!$C$5:$M$2666,6,FALSE)</f>
        <v>0</v>
      </c>
      <c r="I44" s="220"/>
      <c r="J44" s="47">
        <v>45323</v>
      </c>
      <c r="K44" s="72" t="str">
        <f>VLOOKUP($C44,Carpetas!$C$5:$M$2666,5,FALSE)</f>
        <v>Salto</v>
      </c>
      <c r="L44" s="32"/>
      <c r="M44" s="48">
        <f t="shared" si="3"/>
        <v>45324</v>
      </c>
      <c r="N44" s="26">
        <f t="shared" si="0"/>
        <v>4</v>
      </c>
      <c r="O44" s="27">
        <v>980</v>
      </c>
      <c r="P44" s="27">
        <v>980</v>
      </c>
      <c r="Q44" s="27"/>
      <c r="R44" s="27"/>
      <c r="S44" s="27" t="s">
        <v>215</v>
      </c>
      <c r="T44" s="27"/>
      <c r="U44" s="27">
        <v>252</v>
      </c>
      <c r="V44" s="27" t="s">
        <v>216</v>
      </c>
      <c r="W44" s="27" t="s">
        <v>217</v>
      </c>
      <c r="X44" s="73"/>
      <c r="Y44" s="73" t="e">
        <f>VLOOKUP(X44,Choferes!$B$2:$C$500,2,FALSE)</f>
        <v>#N/A</v>
      </c>
      <c r="Z44" s="73" t="s">
        <v>218</v>
      </c>
    </row>
    <row r="45" spans="1:26" hidden="1" x14ac:dyDescent="0.25">
      <c r="A45" s="33">
        <v>5</v>
      </c>
      <c r="B45" s="71" t="s">
        <v>29</v>
      </c>
      <c r="C45" s="39" t="s">
        <v>173</v>
      </c>
      <c r="D45" s="50" t="s">
        <v>31</v>
      </c>
      <c r="E45" s="47">
        <v>45321</v>
      </c>
      <c r="F45" s="31" t="str">
        <f>VLOOKUP($C45,Carpetas!$C$5:$M$2666,2,FALSE)</f>
        <v>BRB004</v>
      </c>
      <c r="G45" s="23" t="str">
        <f>VLOOKUP($C45,Carpetas!$C$5:$M$2666,10,FALSE)</f>
        <v>148,30,63</v>
      </c>
      <c r="H45" s="27" t="str">
        <f>VLOOKUP($C45,Carpetas!$C$5:$M$2666,6,FALSE)</f>
        <v>Silvio</v>
      </c>
      <c r="I45" s="220"/>
      <c r="J45" s="47">
        <f>E45+2</f>
        <v>45323</v>
      </c>
      <c r="K45" s="72" t="str">
        <f>VLOOKUP($C45,Carpetas!$C$5:$M$2666,5,FALSE)</f>
        <v>Rio Branco</v>
      </c>
      <c r="L45" s="32"/>
      <c r="M45" s="48">
        <f t="shared" si="3"/>
        <v>45324</v>
      </c>
      <c r="N45" s="26">
        <f t="shared" si="0"/>
        <v>3</v>
      </c>
      <c r="O45" s="27">
        <v>918</v>
      </c>
      <c r="P45" s="27">
        <v>919</v>
      </c>
      <c r="Q45" s="27"/>
      <c r="R45" s="27"/>
      <c r="S45" s="27" t="s">
        <v>219</v>
      </c>
      <c r="T45" s="27"/>
      <c r="U45" s="27">
        <v>6703</v>
      </c>
      <c r="V45" s="27" t="s">
        <v>220</v>
      </c>
      <c r="W45" s="27" t="s">
        <v>221</v>
      </c>
      <c r="X45" s="73"/>
      <c r="Y45" s="73" t="e">
        <f>VLOOKUP(X45,Choferes!$B$2:$C$500,2,FALSE)</f>
        <v>#N/A</v>
      </c>
      <c r="Z45" s="73" t="s">
        <v>222</v>
      </c>
    </row>
    <row r="46" spans="1:26" hidden="1" x14ac:dyDescent="0.25">
      <c r="A46" s="33">
        <v>5</v>
      </c>
      <c r="B46" s="71" t="s">
        <v>29</v>
      </c>
      <c r="C46" s="39" t="s">
        <v>223</v>
      </c>
      <c r="D46" s="50" t="s">
        <v>48</v>
      </c>
      <c r="E46" s="47">
        <v>45321</v>
      </c>
      <c r="F46" s="31" t="str">
        <f>VLOOKUP($C46,Carpetas!$C$5:$M$2666,2,FALSE)</f>
        <v>PYB022</v>
      </c>
      <c r="G46" s="23" t="str">
        <f>VLOOKUP($C46,Carpetas!$C$5:$M$2666,10,FALSE)</f>
        <v>148.35.32</v>
      </c>
      <c r="H46" s="27">
        <f>VLOOKUP($C46,Carpetas!$C$5:$M$2666,6,FALSE)</f>
        <v>0</v>
      </c>
      <c r="I46" s="220"/>
      <c r="J46" s="47">
        <v>45323</v>
      </c>
      <c r="K46" s="72" t="str">
        <f>VLOOKUP($C46,Carpetas!$C$5:$M$2666,5,FALSE)</f>
        <v>Salto</v>
      </c>
      <c r="L46" s="32"/>
      <c r="M46" s="48">
        <f t="shared" si="3"/>
        <v>45324</v>
      </c>
      <c r="N46" s="26">
        <f t="shared" si="0"/>
        <v>3</v>
      </c>
      <c r="O46" s="27">
        <v>930</v>
      </c>
      <c r="P46" s="27">
        <v>930</v>
      </c>
      <c r="Q46" s="27"/>
      <c r="R46" s="27"/>
      <c r="S46" s="27"/>
      <c r="T46" s="27"/>
      <c r="U46" s="27"/>
      <c r="V46" s="27" t="s">
        <v>224</v>
      </c>
      <c r="W46" s="27" t="s">
        <v>225</v>
      </c>
      <c r="X46" s="73"/>
      <c r="Y46" s="73" t="e">
        <f>VLOOKUP(X46,Choferes!$B$2:$C$500,2,FALSE)</f>
        <v>#N/A</v>
      </c>
      <c r="Z46" s="73" t="s">
        <v>226</v>
      </c>
    </row>
    <row r="47" spans="1:26" hidden="1" x14ac:dyDescent="0.25">
      <c r="A47" s="33">
        <v>5</v>
      </c>
      <c r="B47" s="71" t="s">
        <v>29</v>
      </c>
      <c r="C47" s="39" t="s">
        <v>227</v>
      </c>
      <c r="D47" s="50" t="s">
        <v>78</v>
      </c>
      <c r="E47" s="47">
        <v>45322</v>
      </c>
      <c r="F47" s="31" t="str">
        <f>VLOOKUP($C47,Carpetas!$C$5:$M$2666,2,FALSE)</f>
        <v>BRB005</v>
      </c>
      <c r="G47" s="23" t="str">
        <f>VLOOKUP($C47,Carpetas!$C$5:$M$2666,10,FALSE)</f>
        <v>148.35.36</v>
      </c>
      <c r="H47" s="27" t="str">
        <f>VLOOKUP($C47,Carpetas!$C$5:$M$2666,6,FALSE)</f>
        <v>Zanini</v>
      </c>
      <c r="I47" s="220"/>
      <c r="J47" s="47">
        <v>45323</v>
      </c>
      <c r="K47" s="72" t="str">
        <f>VLOOKUP($C47,Carpetas!$C$5:$M$2666,5,FALSE)</f>
        <v>Rio Branco</v>
      </c>
      <c r="L47" s="32"/>
      <c r="M47" s="48">
        <f t="shared" si="3"/>
        <v>45324</v>
      </c>
      <c r="N47" s="26">
        <f t="shared" si="0"/>
        <v>2</v>
      </c>
      <c r="O47" s="27">
        <v>900</v>
      </c>
      <c r="P47" s="27">
        <v>901</v>
      </c>
      <c r="Q47" s="27"/>
      <c r="R47" s="27"/>
      <c r="S47" s="27" t="s">
        <v>228</v>
      </c>
      <c r="T47" s="27"/>
      <c r="U47" s="27">
        <v>4212</v>
      </c>
      <c r="V47" s="27" t="s">
        <v>89</v>
      </c>
      <c r="W47" s="27" t="s">
        <v>90</v>
      </c>
      <c r="X47" s="73" t="s">
        <v>229</v>
      </c>
      <c r="Y47" s="73" t="str">
        <f>VLOOKUP(X47,Choferes!$B$2:$C$500,2,FALSE)</f>
        <v>+5555996886269</v>
      </c>
      <c r="Z47" s="73" t="s">
        <v>230</v>
      </c>
    </row>
    <row r="48" spans="1:26" hidden="1" x14ac:dyDescent="0.25">
      <c r="A48" s="33">
        <v>5</v>
      </c>
      <c r="B48" s="71" t="s">
        <v>29</v>
      </c>
      <c r="C48" s="39" t="s">
        <v>231</v>
      </c>
      <c r="D48" s="50" t="s">
        <v>42</v>
      </c>
      <c r="E48" s="47">
        <v>45320</v>
      </c>
      <c r="F48" s="31" t="str">
        <f>VLOOKUP($C48,Carpetas!$C$5:$M$2666,2,FALSE)</f>
        <v>PYB020</v>
      </c>
      <c r="G48" s="23" t="str">
        <f>VLOOKUP($C48,Carpetas!$C$5:$M$2666,10,FALSE)</f>
        <v>148,32,71</v>
      </c>
      <c r="H48" s="27">
        <f>VLOOKUP($C48,Carpetas!$C$5:$M$2666,6,FALSE)</f>
        <v>0</v>
      </c>
      <c r="I48" s="220"/>
      <c r="J48" s="47">
        <f>E48+4</f>
        <v>45324</v>
      </c>
      <c r="K48" s="72" t="str">
        <f>VLOOKUP($C48,Carpetas!$C$5:$M$2666,5,FALSE)</f>
        <v>Salto</v>
      </c>
      <c r="L48" s="32"/>
      <c r="M48" s="48">
        <f t="shared" si="3"/>
        <v>45325</v>
      </c>
      <c r="N48" s="26">
        <f t="shared" si="0"/>
        <v>5</v>
      </c>
      <c r="O48" s="27">
        <v>972</v>
      </c>
      <c r="P48" s="27">
        <v>972</v>
      </c>
      <c r="Q48" s="27"/>
      <c r="R48" s="27"/>
      <c r="S48" s="27" t="s">
        <v>232</v>
      </c>
      <c r="T48" s="27"/>
      <c r="U48" s="27"/>
      <c r="V48" s="27" t="s">
        <v>233</v>
      </c>
      <c r="W48" s="27"/>
      <c r="X48" s="73"/>
      <c r="Y48" s="73" t="e">
        <f>VLOOKUP(X48,Choferes!$B$2:$C$500,2,FALSE)</f>
        <v>#N/A</v>
      </c>
      <c r="Z48" s="73" t="s">
        <v>234</v>
      </c>
    </row>
    <row r="49" spans="1:26" hidden="1" x14ac:dyDescent="0.25">
      <c r="A49" s="33">
        <v>5</v>
      </c>
      <c r="B49" s="71" t="s">
        <v>29</v>
      </c>
      <c r="C49" s="39" t="s">
        <v>235</v>
      </c>
      <c r="D49" s="50" t="s">
        <v>102</v>
      </c>
      <c r="E49" s="47">
        <v>45321</v>
      </c>
      <c r="F49" s="31" t="str">
        <f>VLOOKUP($C49,Carpetas!$C$5:$M$2666,2,FALSE)</f>
        <v>PYB023</v>
      </c>
      <c r="G49" s="23" t="str">
        <f>VLOOKUP($C49,Carpetas!$C$5:$M$2666,10,FALSE)</f>
        <v>148,35,31</v>
      </c>
      <c r="H49" s="27">
        <f>VLOOKUP($C49,Carpetas!$C$5:$M$2666,6,FALSE)</f>
        <v>0</v>
      </c>
      <c r="I49" s="220"/>
      <c r="J49" s="47">
        <v>45324</v>
      </c>
      <c r="K49" s="72" t="str">
        <f>VLOOKUP($C49,Carpetas!$C$5:$M$2666,5,FALSE)</f>
        <v>Salto</v>
      </c>
      <c r="L49" s="32"/>
      <c r="M49" s="48">
        <f t="shared" si="3"/>
        <v>45325</v>
      </c>
      <c r="N49" s="26">
        <f t="shared" si="0"/>
        <v>4</v>
      </c>
      <c r="O49" s="27">
        <v>980</v>
      </c>
      <c r="P49" s="27">
        <v>980</v>
      </c>
      <c r="Q49" s="27"/>
      <c r="R49" s="27"/>
      <c r="S49" s="27" t="s">
        <v>236</v>
      </c>
      <c r="T49" s="27"/>
      <c r="U49" s="27"/>
      <c r="V49" s="27" t="s">
        <v>237</v>
      </c>
      <c r="W49" s="27"/>
      <c r="X49" s="73"/>
      <c r="Y49" s="73" t="e">
        <f>VLOOKUP(X49,Choferes!$B$2:$C$500,2,FALSE)</f>
        <v>#N/A</v>
      </c>
      <c r="Z49" s="73" t="s">
        <v>238</v>
      </c>
    </row>
    <row r="50" spans="1:26" ht="30" hidden="1" x14ac:dyDescent="0.25">
      <c r="A50" s="33">
        <v>5</v>
      </c>
      <c r="B50" s="71" t="s">
        <v>29</v>
      </c>
      <c r="C50" s="39" t="s">
        <v>231</v>
      </c>
      <c r="D50" s="50" t="s">
        <v>42</v>
      </c>
      <c r="E50" s="47">
        <v>45321</v>
      </c>
      <c r="F50" s="31" t="str">
        <f>VLOOKUP($C50,Carpetas!$C$5:$M$2666,2,FALSE)</f>
        <v>PYB020</v>
      </c>
      <c r="G50" s="23" t="str">
        <f>VLOOKUP($C50,Carpetas!$C$5:$M$2666,10,FALSE)</f>
        <v>148,32,71</v>
      </c>
      <c r="H50" s="27">
        <f>VLOOKUP($C50,Carpetas!$C$5:$M$2666,6,FALSE)</f>
        <v>0</v>
      </c>
      <c r="I50" s="220"/>
      <c r="J50" s="47">
        <v>45324</v>
      </c>
      <c r="K50" s="72" t="str">
        <f>VLOOKUP($C50,Carpetas!$C$5:$M$2666,5,FALSE)</f>
        <v>Salto</v>
      </c>
      <c r="L50" s="32"/>
      <c r="M50" s="48">
        <f t="shared" si="3"/>
        <v>45325</v>
      </c>
      <c r="N50" s="26">
        <f t="shared" si="0"/>
        <v>4</v>
      </c>
      <c r="O50" s="27">
        <v>972</v>
      </c>
      <c r="P50" s="27">
        <v>976</v>
      </c>
      <c r="Q50" s="27"/>
      <c r="R50" s="27"/>
      <c r="S50" s="27" t="s">
        <v>239</v>
      </c>
      <c r="T50" s="27"/>
      <c r="U50" s="27"/>
      <c r="V50" s="27" t="s">
        <v>240</v>
      </c>
      <c r="W50" s="27" t="s">
        <v>241</v>
      </c>
      <c r="X50" s="73"/>
      <c r="Y50" s="73" t="e">
        <f>VLOOKUP(X50,Choferes!$B$2:$C$500,2,FALSE)</f>
        <v>#N/A</v>
      </c>
      <c r="Z50" s="73" t="s">
        <v>242</v>
      </c>
    </row>
    <row r="51" spans="1:26" hidden="1" x14ac:dyDescent="0.25">
      <c r="A51" s="33">
        <v>5</v>
      </c>
      <c r="B51" s="71" t="s">
        <v>29</v>
      </c>
      <c r="C51" s="39" t="s">
        <v>223</v>
      </c>
      <c r="D51" s="50" t="s">
        <v>48</v>
      </c>
      <c r="E51" s="47">
        <v>45322</v>
      </c>
      <c r="F51" s="31" t="str">
        <f>VLOOKUP($C51,Carpetas!$C$5:$M$2666,2,FALSE)</f>
        <v>PYB022</v>
      </c>
      <c r="G51" s="23" t="str">
        <f>VLOOKUP($C51,Carpetas!$C$5:$M$2666,10,FALSE)</f>
        <v>148.35.32</v>
      </c>
      <c r="H51" s="27">
        <f>VLOOKUP($C51,Carpetas!$C$5:$M$2666,6,FALSE)</f>
        <v>0</v>
      </c>
      <c r="I51" s="220"/>
      <c r="J51" s="47">
        <v>45324</v>
      </c>
      <c r="K51" s="72" t="str">
        <f>VLOOKUP($C51,Carpetas!$C$5:$M$2666,5,FALSE)</f>
        <v>Salto</v>
      </c>
      <c r="L51" s="32"/>
      <c r="M51" s="48">
        <f t="shared" si="3"/>
        <v>45325</v>
      </c>
      <c r="N51" s="26">
        <f t="shared" si="0"/>
        <v>3</v>
      </c>
      <c r="O51" s="27">
        <v>900</v>
      </c>
      <c r="P51" s="27">
        <v>934</v>
      </c>
      <c r="Q51" s="27"/>
      <c r="R51" s="27"/>
      <c r="S51" s="27" t="s">
        <v>243</v>
      </c>
      <c r="T51" s="27"/>
      <c r="U51" s="27"/>
      <c r="V51" s="27" t="s">
        <v>69</v>
      </c>
      <c r="W51" s="27"/>
      <c r="X51" s="73"/>
      <c r="Y51" s="73" t="e">
        <f>VLOOKUP(X51,Choferes!$B$2:$C$500,2,FALSE)</f>
        <v>#N/A</v>
      </c>
      <c r="Z51" s="73" t="s">
        <v>244</v>
      </c>
    </row>
    <row r="52" spans="1:26" hidden="1" x14ac:dyDescent="0.25">
      <c r="A52" s="33">
        <v>3</v>
      </c>
      <c r="B52" s="71" t="s">
        <v>29</v>
      </c>
      <c r="C52" s="39" t="s">
        <v>245</v>
      </c>
      <c r="D52" s="50" t="s">
        <v>38</v>
      </c>
      <c r="E52" s="47">
        <v>45316</v>
      </c>
      <c r="F52" s="31" t="str">
        <f>VLOOKUP($C52,Carpetas!$C$5:$M$2666,2,FALSE)</f>
        <v>BRE003</v>
      </c>
      <c r="G52" s="23">
        <f>VLOOKUP($C52,Carpetas!$C$5:$M$2666,10,FALSE)</f>
        <v>0</v>
      </c>
      <c r="H52" s="27" t="str">
        <f>VLOOKUP($C52,Carpetas!$C$5:$M$2666,6,FALSE)</f>
        <v>Silvio</v>
      </c>
      <c r="I52" s="220">
        <f>VLOOKUP($C52,Carpetas!$C$5:$M$2666,4,FALSE)</f>
        <v>0</v>
      </c>
      <c r="J52" s="47">
        <f>E52+10</f>
        <v>45326</v>
      </c>
      <c r="K52" s="72" t="str">
        <f>VLOOKUP($C52,Carpetas!$C$5:$M$2666,5,FALSE)</f>
        <v>Rio Branco</v>
      </c>
      <c r="L52" s="32"/>
      <c r="M52" s="48">
        <f>J52+1+1</f>
        <v>45328</v>
      </c>
      <c r="N52" s="26">
        <f t="shared" si="0"/>
        <v>12</v>
      </c>
      <c r="O52" s="27">
        <v>1610</v>
      </c>
      <c r="P52" s="27"/>
      <c r="Q52" s="27"/>
      <c r="R52" s="27"/>
      <c r="S52" s="27"/>
      <c r="T52" s="27"/>
      <c r="U52" s="27">
        <v>6708</v>
      </c>
      <c r="V52" s="27" t="s">
        <v>246</v>
      </c>
      <c r="W52" s="27" t="s">
        <v>247</v>
      </c>
      <c r="X52" s="73"/>
      <c r="Y52" s="73" t="e">
        <f>VLOOKUP(X52,Choferes!$B$2:$C$500,2,FALSE)</f>
        <v>#N/A</v>
      </c>
      <c r="Z52" s="73"/>
    </row>
    <row r="53" spans="1:26" hidden="1" x14ac:dyDescent="0.25">
      <c r="A53" s="33">
        <v>5</v>
      </c>
      <c r="B53" s="71" t="s">
        <v>29</v>
      </c>
      <c r="C53" s="39" t="s">
        <v>248</v>
      </c>
      <c r="D53" s="50" t="s">
        <v>249</v>
      </c>
      <c r="E53" s="47">
        <v>45323</v>
      </c>
      <c r="F53" s="31" t="str">
        <f>VLOOKUP($C53,Carpetas!$C$5:$M$2666,2,FALSE)</f>
        <v>BRB006</v>
      </c>
      <c r="G53" s="23" t="str">
        <f>VLOOKUP($C53,Carpetas!$C$5:$M$2666,10,FALSE)</f>
        <v>148,38,32</v>
      </c>
      <c r="H53" s="27" t="str">
        <f>VLOOKUP($C53,Carpetas!$C$5:$M$2666,6,FALSE)</f>
        <v>Silvio</v>
      </c>
      <c r="I53" s="220"/>
      <c r="J53" s="47">
        <f>E53+2</f>
        <v>45325</v>
      </c>
      <c r="K53" s="72" t="str">
        <f>VLOOKUP($C53,Carpetas!$C$5:$M$2666,5,FALSE)</f>
        <v>Rio Branco</v>
      </c>
      <c r="L53" s="32"/>
      <c r="M53" s="48">
        <f>J53+1+2+1</f>
        <v>45329</v>
      </c>
      <c r="N53" s="26">
        <f t="shared" si="0"/>
        <v>6</v>
      </c>
      <c r="O53" s="27">
        <v>918</v>
      </c>
      <c r="P53" s="27">
        <v>919</v>
      </c>
      <c r="Q53" s="27"/>
      <c r="R53" s="27"/>
      <c r="S53" s="27" t="s">
        <v>250</v>
      </c>
      <c r="T53" s="27"/>
      <c r="U53" s="27">
        <v>6723</v>
      </c>
      <c r="V53" s="27" t="s">
        <v>251</v>
      </c>
      <c r="W53" s="27" t="s">
        <v>252</v>
      </c>
      <c r="X53" s="73"/>
      <c r="Y53" s="73" t="e">
        <f>VLOOKUP(X53,Choferes!$B$2:$C$500,2,FALSE)</f>
        <v>#N/A</v>
      </c>
      <c r="Z53" s="73" t="s">
        <v>253</v>
      </c>
    </row>
    <row r="54" spans="1:26" ht="30" hidden="1" x14ac:dyDescent="0.25">
      <c r="A54" s="33">
        <v>5</v>
      </c>
      <c r="B54" s="71" t="s">
        <v>29</v>
      </c>
      <c r="C54" s="39" t="s">
        <v>173</v>
      </c>
      <c r="D54" s="50" t="s">
        <v>110</v>
      </c>
      <c r="E54" s="47">
        <v>45322</v>
      </c>
      <c r="F54" s="31" t="str">
        <f>VLOOKUP($C54,Carpetas!$C$5:$M$2666,2,FALSE)</f>
        <v>BRB004</v>
      </c>
      <c r="G54" s="23" t="str">
        <f>VLOOKUP($C54,Carpetas!$C$5:$M$2666,10,FALSE)</f>
        <v>148,30,63</v>
      </c>
      <c r="H54" s="27" t="str">
        <f>VLOOKUP($C54,Carpetas!$C$5:$M$2666,6,FALSE)</f>
        <v>Silvio</v>
      </c>
      <c r="I54" s="220"/>
      <c r="J54" s="47">
        <v>45326</v>
      </c>
      <c r="K54" s="72" t="str">
        <f>VLOOKUP($C54,Carpetas!$C$5:$M$2666,5,FALSE)</f>
        <v>Rio Branco</v>
      </c>
      <c r="L54" s="32"/>
      <c r="M54" s="48">
        <f>J54+1+2</f>
        <v>45329</v>
      </c>
      <c r="N54" s="26">
        <f t="shared" si="0"/>
        <v>7</v>
      </c>
      <c r="O54" s="27">
        <v>918</v>
      </c>
      <c r="P54" s="27">
        <v>919</v>
      </c>
      <c r="Q54" s="27"/>
      <c r="R54" s="27"/>
      <c r="S54" s="27" t="s">
        <v>254</v>
      </c>
      <c r="T54" s="27"/>
      <c r="U54" s="27">
        <v>6704</v>
      </c>
      <c r="V54" s="27" t="s">
        <v>255</v>
      </c>
      <c r="W54" s="27" t="s">
        <v>256</v>
      </c>
      <c r="X54" s="73"/>
      <c r="Y54" s="73" t="e">
        <f>VLOOKUP(X54,Choferes!$B$2:$C$500,2,FALSE)</f>
        <v>#N/A</v>
      </c>
      <c r="Z54" s="73" t="s">
        <v>257</v>
      </c>
    </row>
    <row r="55" spans="1:26" ht="30" hidden="1" x14ac:dyDescent="0.25">
      <c r="A55" s="33">
        <v>5</v>
      </c>
      <c r="B55" s="71" t="s">
        <v>29</v>
      </c>
      <c r="C55" s="39" t="s">
        <v>227</v>
      </c>
      <c r="D55" s="50" t="s">
        <v>258</v>
      </c>
      <c r="E55" s="47">
        <v>45324</v>
      </c>
      <c r="F55" s="31" t="str">
        <f>VLOOKUP($C55,Carpetas!$C$5:$M$2666,2,FALSE)</f>
        <v>BRB005</v>
      </c>
      <c r="G55" s="23" t="str">
        <f>VLOOKUP($C55,Carpetas!$C$5:$M$2666,10,FALSE)</f>
        <v>148.35.36</v>
      </c>
      <c r="H55" s="27" t="str">
        <f>VLOOKUP($C55,Carpetas!$C$5:$M$2666,6,FALSE)</f>
        <v>Zanini</v>
      </c>
      <c r="I55" s="220"/>
      <c r="J55" s="47">
        <f>E55+2</f>
        <v>45326</v>
      </c>
      <c r="K55" s="72" t="str">
        <f>VLOOKUP($C55,Carpetas!$C$5:$M$2666,5,FALSE)</f>
        <v>Rio Branco</v>
      </c>
      <c r="L55" s="32"/>
      <c r="M55" s="48">
        <f>J55+1+2</f>
        <v>45329</v>
      </c>
      <c r="N55" s="26">
        <f t="shared" si="0"/>
        <v>5</v>
      </c>
      <c r="O55" s="27">
        <v>900</v>
      </c>
      <c r="P55" s="27">
        <v>901</v>
      </c>
      <c r="Q55" s="27"/>
      <c r="R55" s="27"/>
      <c r="S55" s="27" t="s">
        <v>259</v>
      </c>
      <c r="T55" s="27"/>
      <c r="U55" s="27">
        <v>4214</v>
      </c>
      <c r="V55" s="27" t="s">
        <v>147</v>
      </c>
      <c r="W55" s="27" t="s">
        <v>148</v>
      </c>
      <c r="X55" s="73"/>
      <c r="Y55" s="73" t="e">
        <f>VLOOKUP(X55,Choferes!$B$2:$C$500,2,FALSE)</f>
        <v>#N/A</v>
      </c>
      <c r="Z55" s="73" t="s">
        <v>260</v>
      </c>
    </row>
    <row r="56" spans="1:26" ht="30" hidden="1" x14ac:dyDescent="0.25">
      <c r="A56" s="33">
        <v>5</v>
      </c>
      <c r="B56" s="71" t="s">
        <v>29</v>
      </c>
      <c r="C56" s="39" t="s">
        <v>261</v>
      </c>
      <c r="D56" s="50" t="s">
        <v>63</v>
      </c>
      <c r="E56" s="47">
        <v>45320</v>
      </c>
      <c r="F56" s="31" t="str">
        <f>VLOOKUP($C56,Carpetas!$C$5:$M$2666,2,FALSE)</f>
        <v>BRA004</v>
      </c>
      <c r="G56" s="23">
        <f>VLOOKUP($C56,Carpetas!$C$5:$M$2666,10,FALSE)</f>
        <v>0</v>
      </c>
      <c r="H56" s="27" t="str">
        <f>VLOOKUP($C56,Carpetas!$C$5:$M$2666,6,FALSE)</f>
        <v>Silvio</v>
      </c>
      <c r="I56" s="220"/>
      <c r="J56" s="47">
        <v>45328</v>
      </c>
      <c r="K56" s="72" t="str">
        <f>VLOOKUP($C56,Carpetas!$C$5:$M$2666,5,FALSE)</f>
        <v>Rio Branco</v>
      </c>
      <c r="L56" s="32"/>
      <c r="M56" s="48">
        <f>J56+1</f>
        <v>45329</v>
      </c>
      <c r="N56" s="26">
        <f t="shared" si="0"/>
        <v>9</v>
      </c>
      <c r="O56" s="27">
        <v>1104</v>
      </c>
      <c r="P56" s="27">
        <v>1104</v>
      </c>
      <c r="Q56" s="27"/>
      <c r="R56" s="27"/>
      <c r="S56" s="27" t="s">
        <v>262</v>
      </c>
      <c r="T56" s="27"/>
      <c r="U56" s="27"/>
      <c r="V56" s="27" t="s">
        <v>263</v>
      </c>
      <c r="W56" s="27" t="s">
        <v>264</v>
      </c>
      <c r="X56" s="73"/>
      <c r="Y56" s="73" t="e">
        <f>VLOOKUP(X56,Choferes!$B$2:$C$500,2,FALSE)</f>
        <v>#N/A</v>
      </c>
      <c r="Z56" s="73" t="s">
        <v>265</v>
      </c>
    </row>
    <row r="57" spans="1:26" ht="30" hidden="1" x14ac:dyDescent="0.25">
      <c r="A57" s="33">
        <v>5</v>
      </c>
      <c r="B57" s="71" t="s">
        <v>29</v>
      </c>
      <c r="C57" s="39" t="s">
        <v>266</v>
      </c>
      <c r="D57" s="50" t="s">
        <v>121</v>
      </c>
      <c r="E57" s="47">
        <v>45325</v>
      </c>
      <c r="F57" s="31" t="str">
        <f>VLOOKUP($C57,Carpetas!$C$5:$M$2666,2,FALSE)</f>
        <v>PYB024</v>
      </c>
      <c r="G57" s="23" t="str">
        <f>VLOOKUP($C57,Carpetas!$C$5:$M$2666,10,FALSE)</f>
        <v>148,37,94</v>
      </c>
      <c r="H57" s="27" t="str">
        <f>VLOOKUP($C57,Carpetas!$C$5:$M$2666,6,FALSE)</f>
        <v>Jauser</v>
      </c>
      <c r="I57" s="220"/>
      <c r="J57" s="47">
        <v>45328</v>
      </c>
      <c r="K57" s="72" t="str">
        <f>VLOOKUP($C57,Carpetas!$C$5:$M$2666,5,FALSE)</f>
        <v>Salto</v>
      </c>
      <c r="L57" s="32"/>
      <c r="M57" s="48">
        <f>J57+1</f>
        <v>45329</v>
      </c>
      <c r="N57" s="26">
        <f t="shared" si="0"/>
        <v>4</v>
      </c>
      <c r="O57" s="27">
        <v>980</v>
      </c>
      <c r="P57" s="27">
        <v>983</v>
      </c>
      <c r="Q57" s="27"/>
      <c r="R57" s="27"/>
      <c r="S57" s="27" t="s">
        <v>267</v>
      </c>
      <c r="T57" s="27"/>
      <c r="U57" s="27"/>
      <c r="V57" s="27" t="s">
        <v>268</v>
      </c>
      <c r="W57" s="27" t="s">
        <v>269</v>
      </c>
      <c r="X57" s="73"/>
      <c r="Y57" s="73" t="e">
        <f>VLOOKUP(X57,Choferes!$B$2:$C$500,2,FALSE)</f>
        <v>#N/A</v>
      </c>
      <c r="Z57" s="73" t="s">
        <v>270</v>
      </c>
    </row>
    <row r="58" spans="1:26" ht="30" hidden="1" x14ac:dyDescent="0.25">
      <c r="A58" s="33">
        <v>6</v>
      </c>
      <c r="B58" s="71" t="s">
        <v>29</v>
      </c>
      <c r="C58" s="39" t="s">
        <v>271</v>
      </c>
      <c r="D58" s="50" t="s">
        <v>102</v>
      </c>
      <c r="E58" s="47">
        <v>45328</v>
      </c>
      <c r="F58" s="31" t="str">
        <f>VLOOKUP($C58,Carpetas!$C$5:$M$2666,2,FALSE)</f>
        <v>PYB026</v>
      </c>
      <c r="G58" s="23" t="str">
        <f>VLOOKUP($C58,Carpetas!$C$5:$M$2666,10,FALSE)</f>
        <v>148,38,93</v>
      </c>
      <c r="H58" s="27" t="str">
        <f>VLOOKUP($C58,Carpetas!$C$5:$M$2666,6,FALSE)</f>
        <v>Jauser</v>
      </c>
      <c r="I58" s="220"/>
      <c r="J58" s="47">
        <f>E58+2</f>
        <v>45330</v>
      </c>
      <c r="K58" s="72" t="str">
        <f>VLOOKUP($C58,Carpetas!$C$5:$M$2666,5,FALSE)</f>
        <v>Salto</v>
      </c>
      <c r="L58" s="32"/>
      <c r="M58" s="48">
        <f>J58+1</f>
        <v>45331</v>
      </c>
      <c r="N58" s="26">
        <f t="shared" si="0"/>
        <v>3</v>
      </c>
      <c r="O58" s="27">
        <v>980</v>
      </c>
      <c r="P58" s="27">
        <v>980</v>
      </c>
      <c r="Q58" s="27"/>
      <c r="R58" s="27"/>
      <c r="S58" s="27" t="s">
        <v>236</v>
      </c>
      <c r="T58" s="27"/>
      <c r="U58" s="27">
        <v>1892</v>
      </c>
      <c r="V58" s="27" t="s">
        <v>272</v>
      </c>
      <c r="W58" s="27" t="s">
        <v>273</v>
      </c>
      <c r="X58" s="73"/>
      <c r="Y58" s="73" t="e">
        <f>VLOOKUP(X58,Choferes!$B$2:$C$500,2,FALSE)</f>
        <v>#N/A</v>
      </c>
      <c r="Z58" s="73" t="s">
        <v>274</v>
      </c>
    </row>
    <row r="59" spans="1:26" hidden="1" x14ac:dyDescent="0.25">
      <c r="A59" s="33">
        <v>5</v>
      </c>
      <c r="B59" s="71" t="s">
        <v>29</v>
      </c>
      <c r="C59" s="39" t="s">
        <v>275</v>
      </c>
      <c r="D59" s="50" t="s">
        <v>63</v>
      </c>
      <c r="E59" s="47">
        <v>45322</v>
      </c>
      <c r="F59" s="31" t="str">
        <f>VLOOKUP($C59,Carpetas!$C$5:$M$2666,2,FALSE)</f>
        <v>BRA004</v>
      </c>
      <c r="G59" s="23">
        <f>VLOOKUP($C59,Carpetas!$C$5:$M$2666,10,FALSE)</f>
        <v>0</v>
      </c>
      <c r="H59" s="27" t="str">
        <f>VLOOKUP($C59,Carpetas!$C$5:$M$2666,6,FALSE)</f>
        <v>Silvio</v>
      </c>
      <c r="I59" s="220"/>
      <c r="J59" s="47">
        <v>45329</v>
      </c>
      <c r="K59" s="72" t="str">
        <f>VLOOKUP($C59,Carpetas!$C$5:$M$2666,5,FALSE)</f>
        <v>Rio Branco</v>
      </c>
      <c r="L59" s="32"/>
      <c r="M59" s="48">
        <v>45332</v>
      </c>
      <c r="N59" s="26">
        <f t="shared" si="0"/>
        <v>10</v>
      </c>
      <c r="O59" s="27">
        <v>1103</v>
      </c>
      <c r="P59" s="27"/>
      <c r="Q59" s="27"/>
      <c r="R59" s="27"/>
      <c r="S59" s="27" t="s">
        <v>262</v>
      </c>
      <c r="T59" s="27"/>
      <c r="U59" s="27">
        <v>6722</v>
      </c>
      <c r="V59" s="27" t="s">
        <v>276</v>
      </c>
      <c r="W59" s="27" t="s">
        <v>277</v>
      </c>
      <c r="X59" s="73"/>
      <c r="Y59" s="73" t="e">
        <f>VLOOKUP(X59,Choferes!$B$2:$C$500,2,FALSE)</f>
        <v>#N/A</v>
      </c>
      <c r="Z59" s="73" t="s">
        <v>278</v>
      </c>
    </row>
    <row r="60" spans="1:26" hidden="1" x14ac:dyDescent="0.25">
      <c r="A60" s="33">
        <v>5</v>
      </c>
      <c r="B60" s="71" t="s">
        <v>29</v>
      </c>
      <c r="C60" s="39" t="s">
        <v>279</v>
      </c>
      <c r="D60" s="50" t="s">
        <v>63</v>
      </c>
      <c r="E60" s="47">
        <v>45324</v>
      </c>
      <c r="F60" s="31" t="str">
        <f>VLOOKUP($C60,Carpetas!$C$5:$M$2666,2,FALSE)</f>
        <v>BRA005</v>
      </c>
      <c r="G60" s="23" t="str">
        <f>VLOOKUP($C60,Carpetas!$C$5:$M$2666,10,FALSE)</f>
        <v>148,36,69</v>
      </c>
      <c r="H60" s="27" t="str">
        <f>VLOOKUP($C60,Carpetas!$C$5:$M$2666,6,FALSE)</f>
        <v>Silvio</v>
      </c>
      <c r="I60" s="220"/>
      <c r="J60" s="47">
        <v>45330</v>
      </c>
      <c r="K60" s="72" t="str">
        <f>VLOOKUP($C60,Carpetas!$C$5:$M$2666,5,FALSE)</f>
        <v>Rio Branco</v>
      </c>
      <c r="L60" s="32"/>
      <c r="M60" s="48">
        <v>45332</v>
      </c>
      <c r="N60" s="26">
        <f t="shared" si="0"/>
        <v>8</v>
      </c>
      <c r="O60" s="27">
        <v>1104</v>
      </c>
      <c r="P60" s="27">
        <v>1104</v>
      </c>
      <c r="Q60" s="27"/>
      <c r="R60" s="27"/>
      <c r="S60" s="27" t="s">
        <v>262</v>
      </c>
      <c r="T60" s="27"/>
      <c r="U60" s="27">
        <v>6729</v>
      </c>
      <c r="V60" s="27" t="s">
        <v>280</v>
      </c>
      <c r="W60" s="27" t="s">
        <v>281</v>
      </c>
      <c r="X60" s="73"/>
      <c r="Y60" s="73" t="e">
        <f>VLOOKUP(X60,Choferes!$B$2:$C$500,2,FALSE)</f>
        <v>#N/A</v>
      </c>
      <c r="Z60" s="73" t="s">
        <v>282</v>
      </c>
    </row>
    <row r="61" spans="1:26" hidden="1" x14ac:dyDescent="0.25">
      <c r="A61" s="33">
        <v>6</v>
      </c>
      <c r="B61" s="71" t="s">
        <v>29</v>
      </c>
      <c r="C61" s="39" t="s">
        <v>145</v>
      </c>
      <c r="D61" s="50" t="s">
        <v>87</v>
      </c>
      <c r="E61" s="47">
        <v>45328</v>
      </c>
      <c r="F61" s="31" t="str">
        <f>VLOOKUP($C61,Carpetas!$C$5:$M$2666,2,FALSE)</f>
        <v>BRB003</v>
      </c>
      <c r="G61" s="23" t="str">
        <f>VLOOKUP($C61,Carpetas!$C$5:$M$2666,10,FALSE)</f>
        <v>148,30,62</v>
      </c>
      <c r="H61" s="27" t="str">
        <f>VLOOKUP($C61,Carpetas!$C$5:$M$2666,6,FALSE)</f>
        <v>Zanini</v>
      </c>
      <c r="I61" s="220"/>
      <c r="J61" s="47">
        <f>E61+2</f>
        <v>45330</v>
      </c>
      <c r="K61" s="72" t="str">
        <f>VLOOKUP($C61,Carpetas!$C$5:$M$2666,5,FALSE)</f>
        <v>Rio Branco</v>
      </c>
      <c r="L61" s="32"/>
      <c r="M61" s="48">
        <v>45332</v>
      </c>
      <c r="N61" s="26">
        <f t="shared" si="0"/>
        <v>4</v>
      </c>
      <c r="O61" s="27">
        <v>918</v>
      </c>
      <c r="P61" s="27">
        <v>919</v>
      </c>
      <c r="Q61" s="27"/>
      <c r="R61" s="27"/>
      <c r="S61" s="27" t="s">
        <v>283</v>
      </c>
      <c r="T61" s="27"/>
      <c r="U61" s="27">
        <v>4222</v>
      </c>
      <c r="V61" s="27" t="s">
        <v>284</v>
      </c>
      <c r="W61" s="27" t="s">
        <v>285</v>
      </c>
      <c r="X61" s="73"/>
      <c r="Y61" s="73" t="e">
        <f>VLOOKUP(X61,Choferes!$B$2:$C$500,2,FALSE)</f>
        <v>#N/A</v>
      </c>
      <c r="Z61" s="73" t="s">
        <v>286</v>
      </c>
    </row>
    <row r="62" spans="1:26" hidden="1" x14ac:dyDescent="0.25">
      <c r="A62" s="33">
        <v>6</v>
      </c>
      <c r="B62" s="71" t="s">
        <v>29</v>
      </c>
      <c r="C62" s="39" t="s">
        <v>271</v>
      </c>
      <c r="D62" s="50" t="s">
        <v>102</v>
      </c>
      <c r="E62" s="47">
        <v>45328</v>
      </c>
      <c r="F62" s="31" t="str">
        <f>VLOOKUP($C62,Carpetas!$C$5:$M$2666,2,FALSE)</f>
        <v>PYB026</v>
      </c>
      <c r="G62" s="23" t="str">
        <f>VLOOKUP($C62,Carpetas!$C$5:$M$2666,10,FALSE)</f>
        <v>148,38,93</v>
      </c>
      <c r="H62" s="27" t="str">
        <f>VLOOKUP($C62,Carpetas!$C$5:$M$2666,6,FALSE)</f>
        <v>Jauser</v>
      </c>
      <c r="I62" s="220"/>
      <c r="J62" s="47">
        <v>45331</v>
      </c>
      <c r="K62" s="72" t="str">
        <f>VLOOKUP($C62,Carpetas!$C$5:$M$2666,5,FALSE)</f>
        <v>Salto</v>
      </c>
      <c r="L62" s="32"/>
      <c r="M62" s="48">
        <f>J62+1</f>
        <v>45332</v>
      </c>
      <c r="N62" s="26">
        <f t="shared" si="0"/>
        <v>4</v>
      </c>
      <c r="O62" s="27">
        <v>980</v>
      </c>
      <c r="P62" s="27">
        <v>981</v>
      </c>
      <c r="Q62" s="27"/>
      <c r="R62" s="27"/>
      <c r="S62" s="27" t="s">
        <v>287</v>
      </c>
      <c r="T62" s="27"/>
      <c r="U62" s="27"/>
      <c r="V62" s="27" t="s">
        <v>288</v>
      </c>
      <c r="W62" s="27" t="s">
        <v>289</v>
      </c>
      <c r="X62" s="73"/>
      <c r="Y62" s="73" t="e">
        <f>VLOOKUP(X62,Choferes!$B$2:$C$500,2,FALSE)</f>
        <v>#N/A</v>
      </c>
      <c r="Z62" s="73" t="s">
        <v>290</v>
      </c>
    </row>
    <row r="63" spans="1:26" hidden="1" x14ac:dyDescent="0.25">
      <c r="A63" s="33">
        <v>6</v>
      </c>
      <c r="B63" s="71" t="s">
        <v>29</v>
      </c>
      <c r="C63" s="39" t="s">
        <v>227</v>
      </c>
      <c r="D63" s="50" t="s">
        <v>258</v>
      </c>
      <c r="E63" s="47">
        <v>45329</v>
      </c>
      <c r="F63" s="31" t="str">
        <f>VLOOKUP($C63,Carpetas!$C$5:$M$2666,2,FALSE)</f>
        <v>BRB005</v>
      </c>
      <c r="G63" s="23" t="str">
        <f>VLOOKUP($C63,Carpetas!$C$5:$M$2666,10,FALSE)</f>
        <v>148.35.36</v>
      </c>
      <c r="H63" s="27" t="str">
        <f>VLOOKUP($C63,Carpetas!$C$5:$M$2666,6,FALSE)</f>
        <v>Zanini</v>
      </c>
      <c r="I63" s="220"/>
      <c r="J63" s="47">
        <f>E63+2</f>
        <v>45331</v>
      </c>
      <c r="K63" s="72" t="str">
        <f>VLOOKUP($C63,Carpetas!$C$5:$M$2666,5,FALSE)</f>
        <v>Rio Branco</v>
      </c>
      <c r="L63" s="32"/>
      <c r="M63" s="48">
        <f>J63+1</f>
        <v>45332</v>
      </c>
      <c r="N63" s="26">
        <f t="shared" si="0"/>
        <v>3</v>
      </c>
      <c r="O63" s="27">
        <v>900</v>
      </c>
      <c r="P63" s="27">
        <v>901</v>
      </c>
      <c r="Q63" s="27"/>
      <c r="R63" s="27"/>
      <c r="S63" s="27" t="s">
        <v>291</v>
      </c>
      <c r="T63" s="27"/>
      <c r="U63" s="27">
        <v>4221</v>
      </c>
      <c r="V63" s="27" t="s">
        <v>292</v>
      </c>
      <c r="W63" s="27" t="s">
        <v>293</v>
      </c>
      <c r="X63" s="73"/>
      <c r="Y63" s="73" t="e">
        <f>VLOOKUP(X63,Choferes!$B$2:$C$500,2,FALSE)</f>
        <v>#N/A</v>
      </c>
      <c r="Z63" s="73" t="s">
        <v>294</v>
      </c>
    </row>
    <row r="64" spans="1:26" hidden="1" x14ac:dyDescent="0.25">
      <c r="A64" s="33">
        <v>6</v>
      </c>
      <c r="B64" s="71" t="s">
        <v>29</v>
      </c>
      <c r="C64" s="39" t="s">
        <v>295</v>
      </c>
      <c r="D64" s="50" t="s">
        <v>102</v>
      </c>
      <c r="E64" s="47">
        <v>45329</v>
      </c>
      <c r="F64" s="31" t="str">
        <f>VLOOKUP($C64,Carpetas!$C$5:$M$2666,2,FALSE)</f>
        <v>PYB028</v>
      </c>
      <c r="G64" s="23" t="str">
        <f>VLOOKUP($C64,Carpetas!$C$5:$M$2666,10,FALSE)</f>
        <v>148,40,48</v>
      </c>
      <c r="H64" s="27">
        <f>VLOOKUP($C64,Carpetas!$C$5:$M$2666,6,FALSE)</f>
        <v>0</v>
      </c>
      <c r="I64" s="220"/>
      <c r="J64" s="47">
        <f>E64+2</f>
        <v>45331</v>
      </c>
      <c r="K64" s="72" t="str">
        <f>VLOOKUP($C64,Carpetas!$C$5:$M$2666,5,FALSE)</f>
        <v>Salto</v>
      </c>
      <c r="L64" s="32"/>
      <c r="M64" s="48">
        <f>J64+1</f>
        <v>45332</v>
      </c>
      <c r="N64" s="26">
        <f t="shared" si="0"/>
        <v>3</v>
      </c>
      <c r="O64" s="27">
        <v>980</v>
      </c>
      <c r="P64" s="27">
        <v>981</v>
      </c>
      <c r="Q64" s="27"/>
      <c r="R64" s="27"/>
      <c r="S64" s="27" t="s">
        <v>296</v>
      </c>
      <c r="T64" s="27"/>
      <c r="U64" s="27"/>
      <c r="V64" s="27" t="s">
        <v>297</v>
      </c>
      <c r="W64" s="27" t="s">
        <v>157</v>
      </c>
      <c r="X64" s="73"/>
      <c r="Y64" s="73" t="e">
        <f>VLOOKUP(X64,Choferes!$B$2:$C$500,2,FALSE)</f>
        <v>#N/A</v>
      </c>
      <c r="Z64" s="73" t="s">
        <v>290</v>
      </c>
    </row>
    <row r="65" spans="1:26" hidden="1" x14ac:dyDescent="0.25">
      <c r="A65" s="33">
        <v>6</v>
      </c>
      <c r="B65" s="71" t="s">
        <v>298</v>
      </c>
      <c r="C65" s="39" t="s">
        <v>299</v>
      </c>
      <c r="D65" s="50" t="s">
        <v>121</v>
      </c>
      <c r="E65" s="47">
        <v>45330</v>
      </c>
      <c r="F65" s="31" t="str">
        <f>VLOOKUP($C65,Carpetas!$C$5:$M$2666,2,FALSE)</f>
        <v>BRB</v>
      </c>
      <c r="G65" s="23" t="e">
        <f>VLOOKUP($C65,Carpetas!$C$5:$M$2666,9,FALSE)</f>
        <v>#REF!</v>
      </c>
      <c r="H65" s="27" t="str">
        <f>VLOOKUP($C65,Carpetas!$C$5:$M$2666,5,FALSE)</f>
        <v>xx</v>
      </c>
      <c r="I65" s="220"/>
      <c r="J65" s="47">
        <f>E65+2</f>
        <v>45332</v>
      </c>
      <c r="K65" s="72">
        <f>VLOOKUP($C65,Carpetas!$C$5:$M$2666,4,FALSE)</f>
        <v>0</v>
      </c>
      <c r="L65" s="32"/>
      <c r="M65" s="48">
        <f>J65+1</f>
        <v>45333</v>
      </c>
      <c r="N65" s="26">
        <f t="shared" si="0"/>
        <v>3</v>
      </c>
      <c r="O65" s="27">
        <v>918</v>
      </c>
      <c r="P65" s="27"/>
      <c r="Q65" s="27"/>
      <c r="R65" s="27"/>
      <c r="S65" s="27"/>
      <c r="T65" s="27"/>
      <c r="U65" s="27"/>
      <c r="V65" s="27"/>
      <c r="W65" s="27"/>
      <c r="X65" s="73"/>
      <c r="Y65" s="73" t="e">
        <f>VLOOKUP(X65,Choferes!$B$2:$C$500,2,FALSE)</f>
        <v>#N/A</v>
      </c>
      <c r="Z65" s="73"/>
    </row>
    <row r="66" spans="1:26" hidden="1" x14ac:dyDescent="0.25">
      <c r="A66" s="33">
        <v>6</v>
      </c>
      <c r="B66" s="71" t="s">
        <v>298</v>
      </c>
      <c r="C66" s="39" t="s">
        <v>299</v>
      </c>
      <c r="D66" s="50" t="s">
        <v>121</v>
      </c>
      <c r="E66" s="47">
        <v>45330</v>
      </c>
      <c r="F66" s="31" t="str">
        <f>VLOOKUP($C66,Carpetas!$C$5:$M$2666,2,FALSE)</f>
        <v>BRB</v>
      </c>
      <c r="G66" s="23" t="e">
        <f>VLOOKUP($C66,Carpetas!$C$5:$M$2666,9,FALSE)</f>
        <v>#REF!</v>
      </c>
      <c r="H66" s="27" t="str">
        <f>VLOOKUP($C66,Carpetas!$C$5:$M$2666,5,FALSE)</f>
        <v>xx</v>
      </c>
      <c r="I66" s="220"/>
      <c r="J66" s="47">
        <f>E66+2</f>
        <v>45332</v>
      </c>
      <c r="K66" s="72">
        <f>VLOOKUP($C66,Carpetas!$C$5:$M$2666,4,FALSE)</f>
        <v>0</v>
      </c>
      <c r="L66" s="32"/>
      <c r="M66" s="48">
        <f>J66+1</f>
        <v>45333</v>
      </c>
      <c r="N66" s="26">
        <f t="shared" si="0"/>
        <v>3</v>
      </c>
      <c r="O66" s="27">
        <v>918</v>
      </c>
      <c r="P66" s="27"/>
      <c r="Q66" s="27"/>
      <c r="R66" s="27"/>
      <c r="S66" s="27"/>
      <c r="T66" s="27"/>
      <c r="U66" s="27"/>
      <c r="V66" s="27"/>
      <c r="W66" s="27"/>
      <c r="X66" s="73"/>
      <c r="Y66" s="73" t="e">
        <f>VLOOKUP(X66,Choferes!$B$2:$C$500,2,FALSE)</f>
        <v>#N/A</v>
      </c>
      <c r="Z66" s="73"/>
    </row>
    <row r="67" spans="1:26" hidden="1" x14ac:dyDescent="0.25">
      <c r="A67" s="33">
        <v>6</v>
      </c>
      <c r="B67" s="71" t="s">
        <v>29</v>
      </c>
      <c r="C67" s="39" t="s">
        <v>300</v>
      </c>
      <c r="D67" s="50" t="s">
        <v>42</v>
      </c>
      <c r="E67" s="47">
        <v>45329</v>
      </c>
      <c r="F67" s="31" t="str">
        <f>VLOOKUP($C67,Carpetas!$C$5:$M$2666,2,FALSE)</f>
        <v>PYB025</v>
      </c>
      <c r="G67" s="23" t="str">
        <f>VLOOKUP($C67,Carpetas!$C$5:$M$2666,10,FALSE)</f>
        <v>148,38,94</v>
      </c>
      <c r="H67" s="27" t="str">
        <f>VLOOKUP($C67,Carpetas!$C$5:$M$2666,6,FALSE)</f>
        <v>Jauser</v>
      </c>
      <c r="I67" s="220"/>
      <c r="J67" s="47">
        <v>45332</v>
      </c>
      <c r="K67" s="72" t="str">
        <f>VLOOKUP($C67,Carpetas!$C$5:$M$2666,5,FALSE)</f>
        <v>Salto</v>
      </c>
      <c r="L67" s="32"/>
      <c r="M67" s="48">
        <v>45334</v>
      </c>
      <c r="N67" s="26">
        <f t="shared" si="0"/>
        <v>5</v>
      </c>
      <c r="O67" s="27">
        <v>972</v>
      </c>
      <c r="P67" s="27">
        <v>974</v>
      </c>
      <c r="Q67" s="27"/>
      <c r="R67" s="27"/>
      <c r="S67" s="27"/>
      <c r="T67" s="27"/>
      <c r="U67" s="27"/>
      <c r="V67" s="27"/>
      <c r="W67" s="27"/>
      <c r="X67" s="73"/>
      <c r="Y67" s="73" t="e">
        <f>VLOOKUP(X67,Choferes!$B$2:$C$500,2,FALSE)</f>
        <v>#N/A</v>
      </c>
      <c r="Z67" s="73" t="s">
        <v>301</v>
      </c>
    </row>
    <row r="68" spans="1:26" hidden="1" x14ac:dyDescent="0.25">
      <c r="A68" s="33">
        <v>6</v>
      </c>
      <c r="B68" s="71" t="s">
        <v>29</v>
      </c>
      <c r="C68" s="39" t="s">
        <v>302</v>
      </c>
      <c r="D68" s="50" t="s">
        <v>42</v>
      </c>
      <c r="E68" s="47">
        <v>45330</v>
      </c>
      <c r="F68" s="31" t="str">
        <f>VLOOKUP($C68,Carpetas!$C$5:$M$2666,2,FALSE)</f>
        <v>PYB029</v>
      </c>
      <c r="G68" s="23" t="str">
        <f>VLOOKUP($C68,Carpetas!$C$5:$M$2666,10,FALSE)</f>
        <v>148,42,59</v>
      </c>
      <c r="H68" s="27" t="str">
        <f>VLOOKUP($C68,Carpetas!$C$5:$M$2666,6,FALSE)</f>
        <v>Tahan</v>
      </c>
      <c r="I68" s="220"/>
      <c r="J68" s="47">
        <f>E68+2</f>
        <v>45332</v>
      </c>
      <c r="K68" s="72" t="str">
        <f>VLOOKUP($C68,Carpetas!$C$5:$M$2666,5,FALSE)</f>
        <v>Salto</v>
      </c>
      <c r="L68" s="32"/>
      <c r="M68" s="48">
        <v>45334</v>
      </c>
      <c r="N68" s="26">
        <f t="shared" si="0"/>
        <v>4</v>
      </c>
      <c r="O68" s="27">
        <v>972</v>
      </c>
      <c r="P68" s="27">
        <v>972</v>
      </c>
      <c r="Q68" s="27"/>
      <c r="R68" s="27"/>
      <c r="S68" s="27"/>
      <c r="T68" s="27"/>
      <c r="U68" s="27"/>
      <c r="V68" s="27"/>
      <c r="W68" s="27" t="s">
        <v>303</v>
      </c>
      <c r="X68" s="73"/>
      <c r="Y68" s="73" t="e">
        <f>VLOOKUP(X68,Choferes!$B$2:$C$500,2,FALSE)</f>
        <v>#N/A</v>
      </c>
      <c r="Z68" s="73" t="s">
        <v>304</v>
      </c>
    </row>
    <row r="69" spans="1:26" hidden="1" x14ac:dyDescent="0.25">
      <c r="A69" s="33">
        <v>6</v>
      </c>
      <c r="B69" s="71" t="s">
        <v>29</v>
      </c>
      <c r="C69" s="39" t="s">
        <v>305</v>
      </c>
      <c r="D69" s="50" t="s">
        <v>48</v>
      </c>
      <c r="E69" s="47">
        <v>45330</v>
      </c>
      <c r="F69" s="31" t="str">
        <f>VLOOKUP($C69,Carpetas!$C$5:$M$2666,2,FALSE)</f>
        <v>PYB027</v>
      </c>
      <c r="G69" s="23" t="str">
        <f>VLOOKUP($C69,Carpetas!$C$5:$M$2666,10,FALSE)</f>
        <v>148,39,83</v>
      </c>
      <c r="H69" s="27">
        <f>VLOOKUP($C69,Carpetas!$C$5:$M$2666,6,FALSE)</f>
        <v>0</v>
      </c>
      <c r="I69" s="220"/>
      <c r="J69" s="47">
        <v>45332</v>
      </c>
      <c r="K69" s="72" t="str">
        <f>VLOOKUP($C69,Carpetas!$C$5:$M$2666,5,FALSE)</f>
        <v>Salto</v>
      </c>
      <c r="L69" s="32"/>
      <c r="M69" s="48">
        <v>45334</v>
      </c>
      <c r="N69" s="26">
        <f t="shared" ref="N69:N132" si="4">IF(E69&lt;&gt;"",M69-E69,"-")</f>
        <v>4</v>
      </c>
      <c r="O69" s="27">
        <v>930</v>
      </c>
      <c r="P69" s="27">
        <v>931</v>
      </c>
      <c r="Q69" s="27"/>
      <c r="R69" s="27"/>
      <c r="S69" s="27"/>
      <c r="T69" s="27"/>
      <c r="U69" s="27"/>
      <c r="V69" s="27"/>
      <c r="W69" s="27"/>
      <c r="X69" s="73"/>
      <c r="Y69" s="73" t="e">
        <f>VLOOKUP(X69,Choferes!$B$2:$C$500,2,FALSE)</f>
        <v>#N/A</v>
      </c>
      <c r="Z69" s="73" t="s">
        <v>306</v>
      </c>
    </row>
    <row r="70" spans="1:26" hidden="1" x14ac:dyDescent="0.25">
      <c r="A70" s="33">
        <v>6</v>
      </c>
      <c r="B70" s="71" t="s">
        <v>29</v>
      </c>
      <c r="C70" s="39" t="s">
        <v>305</v>
      </c>
      <c r="D70" s="50" t="s">
        <v>48</v>
      </c>
      <c r="E70" s="47">
        <v>45331</v>
      </c>
      <c r="F70" s="31" t="str">
        <f>VLOOKUP($C70,Carpetas!$C$5:$M$2666,2,FALSE)</f>
        <v>PYB027</v>
      </c>
      <c r="G70" s="23" t="str">
        <f>VLOOKUP($C70,Carpetas!$C$5:$M$2666,10,FALSE)</f>
        <v>148,39,83</v>
      </c>
      <c r="H70" s="27">
        <f>VLOOKUP($C70,Carpetas!$C$5:$M$2666,6,FALSE)</f>
        <v>0</v>
      </c>
      <c r="I70" s="220"/>
      <c r="J70" s="47">
        <v>45332</v>
      </c>
      <c r="K70" s="72" t="str">
        <f>VLOOKUP($C70,Carpetas!$C$5:$M$2666,5,FALSE)</f>
        <v>Salto</v>
      </c>
      <c r="L70" s="32"/>
      <c r="M70" s="48">
        <v>45334</v>
      </c>
      <c r="N70" s="26">
        <f t="shared" si="4"/>
        <v>3</v>
      </c>
      <c r="O70" s="27">
        <v>930</v>
      </c>
      <c r="P70" s="27">
        <v>930</v>
      </c>
      <c r="Q70" s="27"/>
      <c r="R70" s="27"/>
      <c r="S70" s="27"/>
      <c r="T70" s="27"/>
      <c r="U70" s="27"/>
      <c r="V70" s="27"/>
      <c r="W70" s="27"/>
      <c r="X70" s="73"/>
      <c r="Y70" s="73" t="e">
        <f>VLOOKUP(X70,Choferes!$B$2:$C$500,2,FALSE)</f>
        <v>#N/A</v>
      </c>
      <c r="Z70" s="73" t="s">
        <v>307</v>
      </c>
    </row>
    <row r="71" spans="1:26" hidden="1" x14ac:dyDescent="0.25">
      <c r="A71" s="33">
        <v>7</v>
      </c>
      <c r="B71" s="71" t="s">
        <v>29</v>
      </c>
      <c r="C71" s="39" t="s">
        <v>308</v>
      </c>
      <c r="D71" s="50" t="s">
        <v>121</v>
      </c>
      <c r="E71" s="47">
        <v>45334</v>
      </c>
      <c r="F71" s="31" t="str">
        <f>VLOOKUP($C71,Carpetas!$C$5:$M$2666,2,FALSE)</f>
        <v>PYB030</v>
      </c>
      <c r="G71" s="23" t="str">
        <f>VLOOKUP($C71,Carpetas!$C$5:$M$2666,10,FALSE)</f>
        <v>145,45,55</v>
      </c>
      <c r="H71" s="27" t="str">
        <f>VLOOKUP($C71,Carpetas!$C$5:$M$2666,6,FALSE)</f>
        <v>Tahan</v>
      </c>
      <c r="I71" s="220"/>
      <c r="J71" s="47">
        <v>45337</v>
      </c>
      <c r="K71" s="72" t="str">
        <f>VLOOKUP($C71,Carpetas!$C$5:$M$2666,5,FALSE)</f>
        <v>Salto</v>
      </c>
      <c r="L71" s="32"/>
      <c r="M71" s="48">
        <f>J71+1</f>
        <v>45338</v>
      </c>
      <c r="N71" s="26">
        <f t="shared" si="4"/>
        <v>4</v>
      </c>
      <c r="O71" s="27">
        <v>980</v>
      </c>
      <c r="P71" s="27">
        <v>981</v>
      </c>
      <c r="Q71" s="27"/>
      <c r="R71" s="27"/>
      <c r="S71" s="27" t="s">
        <v>309</v>
      </c>
      <c r="T71" s="27"/>
      <c r="U71" s="27"/>
      <c r="V71" s="27" t="s">
        <v>310</v>
      </c>
      <c r="W71" s="27" t="s">
        <v>311</v>
      </c>
      <c r="X71" s="73"/>
      <c r="Y71" s="73" t="e">
        <f>VLOOKUP(X71,Choferes!$B$2:$C$500,2,FALSE)</f>
        <v>#N/A</v>
      </c>
      <c r="Z71" s="73" t="s">
        <v>312</v>
      </c>
    </row>
    <row r="72" spans="1:26" ht="30" hidden="1" x14ac:dyDescent="0.25">
      <c r="A72" s="33">
        <v>7</v>
      </c>
      <c r="B72" s="71" t="s">
        <v>29</v>
      </c>
      <c r="C72" s="39" t="s">
        <v>313</v>
      </c>
      <c r="D72" s="50" t="s">
        <v>183</v>
      </c>
      <c r="E72" s="47">
        <v>45334</v>
      </c>
      <c r="F72" s="31" t="str">
        <f>VLOOKUP($C72,Carpetas!$C$5:$M$2666,2,FALSE)</f>
        <v>PYB031</v>
      </c>
      <c r="G72" s="23" t="str">
        <f>VLOOKUP($C72,Carpetas!$C$5:$M$2666,10,FALSE)</f>
        <v>148.45.31</v>
      </c>
      <c r="H72" s="27">
        <f>VLOOKUP($C72,Carpetas!$C$5:$M$2666,6,FALSE)</f>
        <v>0</v>
      </c>
      <c r="I72" s="220"/>
      <c r="J72" s="47">
        <v>45337</v>
      </c>
      <c r="K72" s="72" t="str">
        <f>VLOOKUP($C72,Carpetas!$C$5:$M$2666,5,FALSE)</f>
        <v>Salto</v>
      </c>
      <c r="L72" s="32"/>
      <c r="M72" s="48">
        <f>J72+1</f>
        <v>45338</v>
      </c>
      <c r="N72" s="26">
        <f t="shared" si="4"/>
        <v>4</v>
      </c>
      <c r="O72" s="27">
        <v>980</v>
      </c>
      <c r="P72" s="27">
        <v>982</v>
      </c>
      <c r="Q72" s="27"/>
      <c r="R72" s="27"/>
      <c r="S72" s="27" t="s">
        <v>314</v>
      </c>
      <c r="T72" s="27"/>
      <c r="U72" s="27"/>
      <c r="V72" s="27" t="s">
        <v>315</v>
      </c>
      <c r="W72" s="27" t="s">
        <v>316</v>
      </c>
      <c r="X72" s="73"/>
      <c r="Y72" s="73" t="e">
        <f>VLOOKUP(X72,Choferes!$B$2:$C$500,2,FALSE)</f>
        <v>#N/A</v>
      </c>
      <c r="Z72" s="73" t="s">
        <v>317</v>
      </c>
    </row>
    <row r="73" spans="1:26" ht="30" hidden="1" x14ac:dyDescent="0.25">
      <c r="A73" s="33">
        <v>7</v>
      </c>
      <c r="B73" s="71" t="s">
        <v>29</v>
      </c>
      <c r="C73" s="39" t="s">
        <v>300</v>
      </c>
      <c r="D73" s="50" t="s">
        <v>42</v>
      </c>
      <c r="E73" s="47">
        <v>45334</v>
      </c>
      <c r="F73" s="31" t="str">
        <f>VLOOKUP($C73,Carpetas!$C$5:$M$2666,2,FALSE)</f>
        <v>PYB025</v>
      </c>
      <c r="G73" s="23" t="str">
        <f>VLOOKUP($C73,Carpetas!$C$5:$M$2666,10,FALSE)</f>
        <v>148,38,94</v>
      </c>
      <c r="H73" s="27" t="str">
        <f>VLOOKUP($C73,Carpetas!$C$5:$M$2666,6,FALSE)</f>
        <v>Jauser</v>
      </c>
      <c r="I73" s="220"/>
      <c r="J73" s="47">
        <v>45337</v>
      </c>
      <c r="K73" s="72" t="str">
        <f>VLOOKUP($C73,Carpetas!$C$5:$M$2666,5,FALSE)</f>
        <v>Salto</v>
      </c>
      <c r="L73" s="32"/>
      <c r="M73" s="48">
        <f>J73+1</f>
        <v>45338</v>
      </c>
      <c r="N73" s="26">
        <f t="shared" si="4"/>
        <v>4</v>
      </c>
      <c r="O73" s="27">
        <v>980</v>
      </c>
      <c r="P73" s="27">
        <v>972</v>
      </c>
      <c r="Q73" s="27"/>
      <c r="R73" s="27"/>
      <c r="S73" s="27" t="s">
        <v>318</v>
      </c>
      <c r="T73" s="27"/>
      <c r="U73" s="27"/>
      <c r="V73" s="27" t="s">
        <v>319</v>
      </c>
      <c r="W73" s="27" t="s">
        <v>217</v>
      </c>
      <c r="X73" s="73"/>
      <c r="Y73" s="73" t="e">
        <f>VLOOKUP(X73,Choferes!$B$2:$C$500,2,FALSE)</f>
        <v>#N/A</v>
      </c>
      <c r="Z73" s="73" t="s">
        <v>320</v>
      </c>
    </row>
    <row r="74" spans="1:26" hidden="1" x14ac:dyDescent="0.25">
      <c r="A74" s="33">
        <v>6</v>
      </c>
      <c r="B74" s="71" t="s">
        <v>29</v>
      </c>
      <c r="C74" s="39" t="s">
        <v>248</v>
      </c>
      <c r="D74" s="50" t="s">
        <v>249</v>
      </c>
      <c r="E74" s="47">
        <v>45330</v>
      </c>
      <c r="F74" s="31" t="str">
        <f>VLOOKUP($C74,Carpetas!$C$5:$M$2666,2,FALSE)</f>
        <v>BRB006</v>
      </c>
      <c r="G74" s="23" t="str">
        <f>VLOOKUP($C74,Carpetas!$C$5:$M$2666,10,FALSE)</f>
        <v>148,38,32</v>
      </c>
      <c r="H74" s="27" t="str">
        <f>VLOOKUP($C74,Carpetas!$C$5:$M$2666,6,FALSE)</f>
        <v>Silvio</v>
      </c>
      <c r="I74" s="220"/>
      <c r="J74" s="47">
        <v>45336</v>
      </c>
      <c r="K74" s="72" t="str">
        <f>VLOOKUP($C74,Carpetas!$C$5:$M$2666,5,FALSE)</f>
        <v>Rio Branco</v>
      </c>
      <c r="L74" s="32"/>
      <c r="M74" s="48">
        <v>45339</v>
      </c>
      <c r="N74" s="26">
        <f t="shared" si="4"/>
        <v>9</v>
      </c>
      <c r="O74" s="27">
        <v>918</v>
      </c>
      <c r="P74" s="27"/>
      <c r="Q74" s="27"/>
      <c r="R74" s="27"/>
      <c r="S74" s="27"/>
      <c r="T74" s="27"/>
      <c r="U74" s="27">
        <v>6824</v>
      </c>
      <c r="V74" s="27" t="s">
        <v>321</v>
      </c>
      <c r="W74" s="27" t="s">
        <v>322</v>
      </c>
      <c r="X74" s="73"/>
      <c r="Y74" s="73" t="e">
        <f>VLOOKUP(X74,Choferes!$B$2:$C$500,2,FALSE)</f>
        <v>#N/A</v>
      </c>
      <c r="Z74" s="73" t="s">
        <v>323</v>
      </c>
    </row>
    <row r="75" spans="1:26" ht="30" hidden="1" x14ac:dyDescent="0.25">
      <c r="A75" s="33">
        <v>6</v>
      </c>
      <c r="B75" s="71" t="s">
        <v>29</v>
      </c>
      <c r="C75" s="39" t="s">
        <v>227</v>
      </c>
      <c r="D75" s="50" t="s">
        <v>258</v>
      </c>
      <c r="E75" s="47">
        <v>45331</v>
      </c>
      <c r="F75" s="31" t="str">
        <f>VLOOKUP($C75,Carpetas!$C$5:$M$2666,2,FALSE)</f>
        <v>BRB005</v>
      </c>
      <c r="G75" s="23" t="str">
        <f>VLOOKUP($C75,Carpetas!$C$5:$M$2666,10,FALSE)</f>
        <v>148.35.36</v>
      </c>
      <c r="H75" s="27" t="str">
        <f>VLOOKUP($C75,Carpetas!$C$5:$M$2666,6,FALSE)</f>
        <v>Zanini</v>
      </c>
      <c r="I75" s="220"/>
      <c r="J75" s="47">
        <v>45336</v>
      </c>
      <c r="K75" s="72" t="str">
        <f>VLOOKUP($C75,Carpetas!$C$5:$M$2666,5,FALSE)</f>
        <v>Rio Branco</v>
      </c>
      <c r="L75" s="32"/>
      <c r="M75" s="48">
        <v>45339</v>
      </c>
      <c r="N75" s="26">
        <f t="shared" si="4"/>
        <v>8</v>
      </c>
      <c r="O75" s="27">
        <v>900</v>
      </c>
      <c r="P75" s="27">
        <v>901</v>
      </c>
      <c r="Q75" s="27"/>
      <c r="R75" s="27"/>
      <c r="S75" s="27" t="s">
        <v>324</v>
      </c>
      <c r="T75" s="27"/>
      <c r="U75" s="27">
        <v>4228</v>
      </c>
      <c r="V75" s="27" t="s">
        <v>325</v>
      </c>
      <c r="W75" s="27" t="s">
        <v>326</v>
      </c>
      <c r="X75" s="73"/>
      <c r="Y75" s="73" t="e">
        <f>VLOOKUP(X75,Choferes!$B$2:$C$500,2,FALSE)</f>
        <v>#N/A</v>
      </c>
      <c r="Z75" s="73" t="s">
        <v>327</v>
      </c>
    </row>
    <row r="76" spans="1:26" hidden="1" x14ac:dyDescent="0.25">
      <c r="A76" s="33">
        <v>6</v>
      </c>
      <c r="B76" s="71" t="s">
        <v>29</v>
      </c>
      <c r="C76" s="39" t="s">
        <v>328</v>
      </c>
      <c r="D76" s="50" t="s">
        <v>38</v>
      </c>
      <c r="E76" s="47">
        <v>45331</v>
      </c>
      <c r="F76" s="31" t="str">
        <f>VLOOKUP($C76,Carpetas!$C$5:$M$2666,2,FALSE)</f>
        <v>BRE004</v>
      </c>
      <c r="G76" s="23" t="str">
        <f>VLOOKUP($C76,Carpetas!$C$5:$M$2666,10,FALSE)</f>
        <v>1483959-1483960-1483907</v>
      </c>
      <c r="H76" s="27">
        <f>VLOOKUP($C76,Carpetas!$C$5:$M$2666,6,FALSE)</f>
        <v>0</v>
      </c>
      <c r="I76" s="220">
        <f>VLOOKUP($C76,Carpetas!$C$5:$M$2666,4,FALSE)</f>
        <v>0</v>
      </c>
      <c r="J76" s="47">
        <v>45336</v>
      </c>
      <c r="K76" s="72" t="str">
        <f>VLOOKUP($C76,Carpetas!$C$5:$M$2666,5,FALSE)</f>
        <v>Rio Branco</v>
      </c>
      <c r="L76" s="32"/>
      <c r="M76" s="48">
        <v>45339</v>
      </c>
      <c r="N76" s="26">
        <f t="shared" si="4"/>
        <v>8</v>
      </c>
      <c r="O76" s="27">
        <v>1428</v>
      </c>
      <c r="P76" s="27"/>
      <c r="Q76" s="27"/>
      <c r="R76" s="27"/>
      <c r="S76" s="27"/>
      <c r="T76" s="27"/>
      <c r="U76" s="27"/>
      <c r="V76" s="27" t="s">
        <v>329</v>
      </c>
      <c r="W76" s="27"/>
      <c r="X76" s="73"/>
      <c r="Y76" s="73" t="e">
        <f>VLOOKUP(X76,Choferes!$B$2:$C$500,2,FALSE)</f>
        <v>#N/A</v>
      </c>
      <c r="Z76" s="73"/>
    </row>
    <row r="77" spans="1:26" hidden="1" x14ac:dyDescent="0.25">
      <c r="A77" s="33">
        <v>6</v>
      </c>
      <c r="B77" s="71" t="s">
        <v>29</v>
      </c>
      <c r="C77" s="39" t="s">
        <v>330</v>
      </c>
      <c r="D77" s="50" t="s">
        <v>63</v>
      </c>
      <c r="E77" s="47">
        <v>45331</v>
      </c>
      <c r="F77" s="31" t="str">
        <f>VLOOKUP($C77,Carpetas!$C$5:$M$2666,2,FALSE)</f>
        <v>BRA006</v>
      </c>
      <c r="G77" s="23" t="str">
        <f>VLOOKUP($C77,Carpetas!$C$5:$M$2666,10,FALSE)</f>
        <v>148,40,49</v>
      </c>
      <c r="H77" s="27" t="str">
        <f>VLOOKUP($C77,Carpetas!$C$5:$M$2666,6,FALSE)</f>
        <v>Silvio</v>
      </c>
      <c r="I77" s="220"/>
      <c r="J77" s="47">
        <v>45336</v>
      </c>
      <c r="K77" s="72" t="str">
        <f>VLOOKUP($C77,Carpetas!$C$5:$M$2666,5,FALSE)</f>
        <v>Rio Branco</v>
      </c>
      <c r="L77" s="32"/>
      <c r="M77" s="48">
        <v>45339</v>
      </c>
      <c r="N77" s="26">
        <f t="shared" si="4"/>
        <v>8</v>
      </c>
      <c r="O77" s="27">
        <v>1104</v>
      </c>
      <c r="P77" s="27">
        <v>1104</v>
      </c>
      <c r="Q77" s="27"/>
      <c r="R77" s="27"/>
      <c r="S77" s="27" t="s">
        <v>262</v>
      </c>
      <c r="T77" s="27"/>
      <c r="U77" s="27">
        <v>6737</v>
      </c>
      <c r="V77" s="27" t="s">
        <v>331</v>
      </c>
      <c r="W77" s="27" t="s">
        <v>332</v>
      </c>
      <c r="X77" s="73"/>
      <c r="Y77" s="73" t="e">
        <f>VLOOKUP(X77,Choferes!$B$2:$C$500,2,FALSE)</f>
        <v>#N/A</v>
      </c>
      <c r="Z77" s="73" t="s">
        <v>333</v>
      </c>
    </row>
    <row r="78" spans="1:26" ht="30" hidden="1" x14ac:dyDescent="0.25">
      <c r="A78" s="33">
        <v>7</v>
      </c>
      <c r="B78" s="71" t="s">
        <v>29</v>
      </c>
      <c r="C78" s="39" t="s">
        <v>248</v>
      </c>
      <c r="D78" s="50" t="s">
        <v>110</v>
      </c>
      <c r="E78" s="47">
        <v>45336</v>
      </c>
      <c r="F78" s="31" t="str">
        <f>VLOOKUP($C78,Carpetas!$C$5:$M$2666,2,FALSE)</f>
        <v>BRB006</v>
      </c>
      <c r="G78" s="23" t="str">
        <f>VLOOKUP($C78,Carpetas!$C$5:$M$2666,10,FALSE)</f>
        <v>148,38,32</v>
      </c>
      <c r="H78" s="27" t="str">
        <f>VLOOKUP($C78,Carpetas!$C$5:$M$2666,6,FALSE)</f>
        <v>Silvio</v>
      </c>
      <c r="I78" s="220"/>
      <c r="J78" s="47">
        <v>45336</v>
      </c>
      <c r="K78" s="72" t="str">
        <f>VLOOKUP($C78,Carpetas!$C$5:$M$2666,5,FALSE)</f>
        <v>Rio Branco</v>
      </c>
      <c r="L78" s="32"/>
      <c r="M78" s="48">
        <v>45339</v>
      </c>
      <c r="N78" s="26">
        <f t="shared" si="4"/>
        <v>3</v>
      </c>
      <c r="O78" s="27">
        <v>918</v>
      </c>
      <c r="P78" s="27">
        <v>919</v>
      </c>
      <c r="Q78" s="27"/>
      <c r="R78" s="27"/>
      <c r="S78" s="27"/>
      <c r="T78" s="27"/>
      <c r="U78" s="27">
        <v>6725</v>
      </c>
      <c r="V78" s="27" t="s">
        <v>132</v>
      </c>
      <c r="W78" s="27" t="s">
        <v>133</v>
      </c>
      <c r="X78" s="73"/>
      <c r="Y78" s="73" t="e">
        <f>VLOOKUP(X78,Choferes!$B$2:$C$500,2,FALSE)</f>
        <v>#N/A</v>
      </c>
      <c r="Z78" s="73" t="s">
        <v>334</v>
      </c>
    </row>
    <row r="79" spans="1:26" hidden="1" x14ac:dyDescent="0.25">
      <c r="A79" s="33">
        <v>6</v>
      </c>
      <c r="B79" s="71" t="s">
        <v>29</v>
      </c>
      <c r="C79" s="39" t="s">
        <v>335</v>
      </c>
      <c r="D79" s="50" t="s">
        <v>63</v>
      </c>
      <c r="E79" s="47">
        <v>45329</v>
      </c>
      <c r="F79" s="31" t="str">
        <f>VLOOKUP($C79,Carpetas!$C$5:$M$2666,2,FALSE)</f>
        <v>BRA006</v>
      </c>
      <c r="G79" s="23" t="str">
        <f>VLOOKUP($C79,Carpetas!$C$5:$M$2666,10,FALSE)</f>
        <v>148,40,49</v>
      </c>
      <c r="H79" s="27" t="str">
        <f>VLOOKUP($C79,Carpetas!$C$5:$M$2666,6,FALSE)</f>
        <v>Silvio</v>
      </c>
      <c r="I79" s="220"/>
      <c r="J79" s="47">
        <v>45337</v>
      </c>
      <c r="K79" s="72" t="str">
        <f>VLOOKUP($C79,Carpetas!$C$5:$M$2666,5,FALSE)</f>
        <v>Rio Branco</v>
      </c>
      <c r="L79" s="32"/>
      <c r="M79" s="48">
        <v>45339</v>
      </c>
      <c r="N79" s="26">
        <f t="shared" si="4"/>
        <v>10</v>
      </c>
      <c r="O79" s="27">
        <v>1104</v>
      </c>
      <c r="P79" s="27">
        <v>1104</v>
      </c>
      <c r="Q79" s="27"/>
      <c r="R79" s="27"/>
      <c r="S79" s="27" t="s">
        <v>262</v>
      </c>
      <c r="T79" s="27"/>
      <c r="U79" s="27">
        <v>6730</v>
      </c>
      <c r="V79" s="27" t="s">
        <v>336</v>
      </c>
      <c r="W79" s="27" t="s">
        <v>337</v>
      </c>
      <c r="X79" s="73"/>
      <c r="Y79" s="73" t="e">
        <f>VLOOKUP(X79,Choferes!$B$2:$C$500,2,FALSE)</f>
        <v>#N/A</v>
      </c>
      <c r="Z79" s="73" t="s">
        <v>338</v>
      </c>
    </row>
    <row r="80" spans="1:26" hidden="1" x14ac:dyDescent="0.25">
      <c r="A80" s="33">
        <v>6</v>
      </c>
      <c r="B80" s="71" t="s">
        <v>29</v>
      </c>
      <c r="C80" s="39" t="s">
        <v>339</v>
      </c>
      <c r="D80" s="50" t="s">
        <v>63</v>
      </c>
      <c r="E80" s="47">
        <v>45330</v>
      </c>
      <c r="F80" s="31" t="str">
        <f>VLOOKUP($C80,Carpetas!$C$5:$M$2666,2,FALSE)</f>
        <v>BRA006</v>
      </c>
      <c r="G80" s="23" t="str">
        <f>VLOOKUP($C80,Carpetas!$C$5:$M$2666,10,FALSE)</f>
        <v>148,40,49</v>
      </c>
      <c r="H80" s="27" t="str">
        <f>VLOOKUP($C80,Carpetas!$C$5:$M$2666,6,FALSE)</f>
        <v>Silvio</v>
      </c>
      <c r="I80" s="220"/>
      <c r="J80" s="47">
        <v>45338</v>
      </c>
      <c r="K80" s="72" t="str">
        <f>VLOOKUP($C80,Carpetas!$C$5:$M$2666,5,FALSE)</f>
        <v>Rio Branco</v>
      </c>
      <c r="L80" s="32"/>
      <c r="M80" s="48">
        <f>J80+1</f>
        <v>45339</v>
      </c>
      <c r="N80" s="26">
        <f t="shared" si="4"/>
        <v>9</v>
      </c>
      <c r="O80" s="27">
        <v>1104</v>
      </c>
      <c r="P80" s="27">
        <v>1104</v>
      </c>
      <c r="Q80" s="27"/>
      <c r="R80" s="27"/>
      <c r="S80" s="27" t="s">
        <v>262</v>
      </c>
      <c r="T80" s="27"/>
      <c r="U80" s="27">
        <v>6734</v>
      </c>
      <c r="V80" s="27" t="s">
        <v>340</v>
      </c>
      <c r="W80" s="27" t="s">
        <v>341</v>
      </c>
      <c r="X80" s="73"/>
      <c r="Y80" s="73" t="e">
        <f>VLOOKUP(X80,Choferes!$B$2:$C$500,2,FALSE)</f>
        <v>#N/A</v>
      </c>
      <c r="Z80" s="73" t="s">
        <v>338</v>
      </c>
    </row>
    <row r="81" spans="1:26" hidden="1" x14ac:dyDescent="0.25">
      <c r="A81" s="33">
        <v>7</v>
      </c>
      <c r="B81" s="71" t="s">
        <v>29</v>
      </c>
      <c r="C81" s="39" t="s">
        <v>342</v>
      </c>
      <c r="D81" s="50" t="s">
        <v>102</v>
      </c>
      <c r="E81" s="47">
        <v>45335</v>
      </c>
      <c r="F81" s="31" t="str">
        <f>VLOOKUP($C81,Carpetas!$C$5:$M$2666,2,FALSE)</f>
        <v>PYB033</v>
      </c>
      <c r="G81" s="23" t="str">
        <f>VLOOKUP($C81,Carpetas!$C$5:$M$2666,10,FALSE)</f>
        <v>148.45.61</v>
      </c>
      <c r="H81" s="27">
        <f>VLOOKUP($C81,Carpetas!$C$5:$M$2666,6,FALSE)</f>
        <v>0</v>
      </c>
      <c r="I81" s="220"/>
      <c r="J81" s="47">
        <v>45338</v>
      </c>
      <c r="K81" s="72" t="str">
        <f>VLOOKUP($C81,Carpetas!$C$5:$M$2666,5,FALSE)</f>
        <v>Salto</v>
      </c>
      <c r="L81" s="32"/>
      <c r="M81" s="48">
        <f>J81+1</f>
        <v>45339</v>
      </c>
      <c r="N81" s="26">
        <f t="shared" si="4"/>
        <v>4</v>
      </c>
      <c r="O81" s="27">
        <v>980</v>
      </c>
      <c r="P81" s="27">
        <v>980</v>
      </c>
      <c r="Q81" s="27"/>
      <c r="R81" s="27"/>
      <c r="S81" s="27" t="s">
        <v>343</v>
      </c>
      <c r="T81" s="27"/>
      <c r="U81" s="27"/>
      <c r="V81" s="27" t="s">
        <v>161</v>
      </c>
      <c r="W81" s="27" t="s">
        <v>162</v>
      </c>
      <c r="X81" s="73"/>
      <c r="Y81" s="73" t="e">
        <f>VLOOKUP(X81,Choferes!$B$2:$C$500,2,FALSE)</f>
        <v>#N/A</v>
      </c>
      <c r="Z81" s="73" t="s">
        <v>344</v>
      </c>
    </row>
    <row r="82" spans="1:26" ht="30" hidden="1" x14ac:dyDescent="0.25">
      <c r="A82" s="33">
        <v>7</v>
      </c>
      <c r="B82" s="71" t="s">
        <v>29</v>
      </c>
      <c r="C82" s="39" t="s">
        <v>345</v>
      </c>
      <c r="D82" s="50" t="s">
        <v>42</v>
      </c>
      <c r="E82" s="47">
        <v>45335</v>
      </c>
      <c r="F82" s="31" t="str">
        <f>VLOOKUP($C82,Carpetas!$C$5:$M$2666,2,FALSE)</f>
        <v>PYB034</v>
      </c>
      <c r="G82" s="23">
        <f>VLOOKUP($C82,Carpetas!$C$5:$M$2666,10,FALSE)</f>
        <v>0</v>
      </c>
      <c r="H82" s="27">
        <f>VLOOKUP($C82,Carpetas!$C$5:$M$2666,6,FALSE)</f>
        <v>0</v>
      </c>
      <c r="I82" s="220"/>
      <c r="J82" s="47">
        <v>45338</v>
      </c>
      <c r="K82" s="72" t="str">
        <f>VLOOKUP($C82,Carpetas!$C$5:$M$2666,5,FALSE)</f>
        <v>Salto</v>
      </c>
      <c r="L82" s="32"/>
      <c r="M82" s="48">
        <f>J82+1</f>
        <v>45339</v>
      </c>
      <c r="N82" s="26">
        <f t="shared" si="4"/>
        <v>4</v>
      </c>
      <c r="O82" s="27">
        <v>972</v>
      </c>
      <c r="P82" s="27">
        <v>972</v>
      </c>
      <c r="Q82" s="27"/>
      <c r="R82" s="27"/>
      <c r="S82" s="27" t="s">
        <v>346</v>
      </c>
      <c r="T82" s="27"/>
      <c r="U82" s="27"/>
      <c r="V82" s="27" t="s">
        <v>117</v>
      </c>
      <c r="W82" s="27" t="s">
        <v>118</v>
      </c>
      <c r="X82" s="73"/>
      <c r="Y82" s="73" t="e">
        <f>VLOOKUP(X82,Choferes!$B$2:$C$500,2,FALSE)</f>
        <v>#N/A</v>
      </c>
      <c r="Z82" s="73" t="s">
        <v>347</v>
      </c>
    </row>
    <row r="83" spans="1:26" hidden="1" x14ac:dyDescent="0.25">
      <c r="A83" s="33">
        <v>7</v>
      </c>
      <c r="B83" s="71" t="s">
        <v>29</v>
      </c>
      <c r="C83" s="39" t="s">
        <v>145</v>
      </c>
      <c r="D83" s="50" t="s">
        <v>31</v>
      </c>
      <c r="E83" s="47">
        <v>45336</v>
      </c>
      <c r="F83" s="31" t="str">
        <f>VLOOKUP($C83,Carpetas!$C$5:$M$2666,2,FALSE)</f>
        <v>BRB003</v>
      </c>
      <c r="G83" s="23" t="str">
        <f>VLOOKUP($C83,Carpetas!$C$5:$M$2666,10,FALSE)</f>
        <v>148,30,62</v>
      </c>
      <c r="H83" s="27" t="str">
        <f>VLOOKUP($C83,Carpetas!$C$5:$M$2666,6,FALSE)</f>
        <v>Zanini</v>
      </c>
      <c r="I83" s="220"/>
      <c r="J83" s="47">
        <v>45338</v>
      </c>
      <c r="K83" s="72" t="str">
        <f>VLOOKUP($C83,Carpetas!$C$5:$M$2666,5,FALSE)</f>
        <v>Rio Branco</v>
      </c>
      <c r="L83" s="32"/>
      <c r="M83" s="48">
        <f>J83+1</f>
        <v>45339</v>
      </c>
      <c r="N83" s="26">
        <f t="shared" si="4"/>
        <v>3</v>
      </c>
      <c r="O83" s="27">
        <v>918</v>
      </c>
      <c r="P83" s="27">
        <v>918</v>
      </c>
      <c r="Q83" s="27"/>
      <c r="R83" s="27"/>
      <c r="S83" s="27" t="s">
        <v>348</v>
      </c>
      <c r="T83" s="27"/>
      <c r="U83" s="27">
        <v>4234</v>
      </c>
      <c r="V83" s="27" t="s">
        <v>349</v>
      </c>
      <c r="W83" s="27" t="s">
        <v>350</v>
      </c>
      <c r="X83" s="73"/>
      <c r="Y83" s="73" t="e">
        <f>VLOOKUP(X83,Choferes!$B$2:$C$500,2,FALSE)</f>
        <v>#N/A</v>
      </c>
      <c r="Z83" s="73" t="s">
        <v>351</v>
      </c>
    </row>
    <row r="84" spans="1:26" hidden="1" x14ac:dyDescent="0.25">
      <c r="A84" s="33">
        <v>7</v>
      </c>
      <c r="B84" s="71" t="s">
        <v>29</v>
      </c>
      <c r="C84" s="39" t="s">
        <v>342</v>
      </c>
      <c r="D84" s="50" t="s">
        <v>102</v>
      </c>
      <c r="E84" s="47">
        <v>45336</v>
      </c>
      <c r="F84" s="31" t="str">
        <f>VLOOKUP($C84,Carpetas!$C$5:$M$2666,2,FALSE)</f>
        <v>PYB033</v>
      </c>
      <c r="G84" s="23" t="str">
        <f>VLOOKUP($C84,Carpetas!$C$5:$M$2666,10,FALSE)</f>
        <v>148.45.61</v>
      </c>
      <c r="H84" s="27">
        <f>VLOOKUP($C84,Carpetas!$C$5:$M$2666,6,FALSE)</f>
        <v>0</v>
      </c>
      <c r="I84" s="220"/>
      <c r="J84" s="47">
        <v>45338</v>
      </c>
      <c r="K84" s="72" t="str">
        <f>VLOOKUP($C84,Carpetas!$C$5:$M$2666,5,FALSE)</f>
        <v>Salto</v>
      </c>
      <c r="L84" s="32"/>
      <c r="M84" s="48">
        <f>J84+1</f>
        <v>45339</v>
      </c>
      <c r="N84" s="26">
        <f t="shared" si="4"/>
        <v>3</v>
      </c>
      <c r="O84" s="27">
        <v>980</v>
      </c>
      <c r="P84" s="27">
        <v>980</v>
      </c>
      <c r="Q84" s="27"/>
      <c r="R84" s="27"/>
      <c r="S84" s="27" t="s">
        <v>352</v>
      </c>
      <c r="T84" s="27"/>
      <c r="U84" s="27"/>
      <c r="V84" s="27" t="s">
        <v>353</v>
      </c>
      <c r="W84" s="27" t="s">
        <v>354</v>
      </c>
      <c r="X84" s="73"/>
      <c r="Y84" s="73" t="e">
        <f>VLOOKUP(X84,Choferes!$B$2:$C$500,2,FALSE)</f>
        <v>#N/A</v>
      </c>
      <c r="Z84" s="73" t="s">
        <v>344</v>
      </c>
    </row>
    <row r="85" spans="1:26" hidden="1" x14ac:dyDescent="0.25">
      <c r="A85" s="33">
        <v>7</v>
      </c>
      <c r="B85" s="71" t="s">
        <v>29</v>
      </c>
      <c r="C85" s="39" t="s">
        <v>355</v>
      </c>
      <c r="D85" s="50" t="s">
        <v>48</v>
      </c>
      <c r="E85" s="47">
        <v>45335</v>
      </c>
      <c r="F85" s="31" t="str">
        <f>VLOOKUP($C85,Carpetas!$C$5:$M$2666,2,FALSE)</f>
        <v>PYB032</v>
      </c>
      <c r="G85" s="23" t="str">
        <f>VLOOKUP($C85,Carpetas!$C$5:$M$2666,10,FALSE)</f>
        <v>148,45,62</v>
      </c>
      <c r="H85" s="27">
        <f>VLOOKUP($C85,Carpetas!$C$5:$M$2666,6,FALSE)</f>
        <v>0</v>
      </c>
      <c r="I85" s="220"/>
      <c r="J85" s="47">
        <v>45338</v>
      </c>
      <c r="K85" s="72" t="str">
        <f>VLOOKUP($C85,Carpetas!$C$5:$M$2666,5,FALSE)</f>
        <v>Salto</v>
      </c>
      <c r="L85" s="32"/>
      <c r="M85" s="48">
        <v>45341</v>
      </c>
      <c r="N85" s="26">
        <f t="shared" si="4"/>
        <v>6</v>
      </c>
      <c r="O85" s="27">
        <v>930</v>
      </c>
      <c r="P85" s="27">
        <v>931</v>
      </c>
      <c r="Q85" s="27"/>
      <c r="R85" s="27"/>
      <c r="S85" s="27" t="s">
        <v>356</v>
      </c>
      <c r="T85" s="27"/>
      <c r="U85" s="27"/>
      <c r="V85" s="27" t="s">
        <v>357</v>
      </c>
      <c r="W85" s="27" t="s">
        <v>225</v>
      </c>
      <c r="X85" s="73"/>
      <c r="Y85" s="73" t="e">
        <f>VLOOKUP(X85,Choferes!$B$2:$C$500,2,FALSE)</f>
        <v>#N/A</v>
      </c>
      <c r="Z85" s="73" t="s">
        <v>358</v>
      </c>
    </row>
    <row r="86" spans="1:26" hidden="1" x14ac:dyDescent="0.25">
      <c r="A86" s="33">
        <v>7</v>
      </c>
      <c r="B86" s="71" t="s">
        <v>29</v>
      </c>
      <c r="C86" s="39" t="s">
        <v>355</v>
      </c>
      <c r="D86" s="50" t="s">
        <v>48</v>
      </c>
      <c r="E86" s="47">
        <v>45336</v>
      </c>
      <c r="F86" s="31" t="str">
        <f>VLOOKUP($C86,Carpetas!$C$5:$M$2666,2,FALSE)</f>
        <v>PYB032</v>
      </c>
      <c r="G86" s="23" t="str">
        <f>VLOOKUP($C86,Carpetas!$C$5:$M$2666,10,FALSE)</f>
        <v>148,45,62</v>
      </c>
      <c r="H86" s="27">
        <f>VLOOKUP($C86,Carpetas!$C$5:$M$2666,6,FALSE)</f>
        <v>0</v>
      </c>
      <c r="I86" s="220"/>
      <c r="J86" s="47">
        <v>45339</v>
      </c>
      <c r="K86" s="72" t="str">
        <f>VLOOKUP($C86,Carpetas!$C$5:$M$2666,5,FALSE)</f>
        <v>Salto</v>
      </c>
      <c r="L86" s="32"/>
      <c r="M86" s="48">
        <v>45341</v>
      </c>
      <c r="N86" s="26">
        <f t="shared" si="4"/>
        <v>5</v>
      </c>
      <c r="O86" s="27">
        <v>930</v>
      </c>
      <c r="P86" s="27">
        <v>930</v>
      </c>
      <c r="Q86" s="27"/>
      <c r="R86" s="27"/>
      <c r="S86" s="27" t="s">
        <v>359</v>
      </c>
      <c r="T86" s="27"/>
      <c r="U86" s="27"/>
      <c r="V86" s="27" t="s">
        <v>360</v>
      </c>
      <c r="W86" s="27" t="s">
        <v>167</v>
      </c>
      <c r="X86" s="73"/>
      <c r="Y86" s="73" t="e">
        <f>VLOOKUP(X86,Choferes!$B$2:$C$500,2,FALSE)</f>
        <v>#N/A</v>
      </c>
      <c r="Z86" s="73" t="s">
        <v>361</v>
      </c>
    </row>
    <row r="87" spans="1:26" hidden="1" x14ac:dyDescent="0.25">
      <c r="A87" s="33">
        <v>7</v>
      </c>
      <c r="B87" s="71" t="s">
        <v>298</v>
      </c>
      <c r="C87" s="39" t="s">
        <v>299</v>
      </c>
      <c r="D87" s="50" t="s">
        <v>183</v>
      </c>
      <c r="E87" s="47">
        <v>45335</v>
      </c>
      <c r="F87" s="31" t="str">
        <f>VLOOKUP($C87,Carpetas!$C$5:$M$2666,2,FALSE)</f>
        <v>BRB</v>
      </c>
      <c r="G87" s="23" t="e">
        <f>VLOOKUP($C87,Carpetas!$C$5:$M$2666,9,FALSE)</f>
        <v>#REF!</v>
      </c>
      <c r="H87" s="27" t="str">
        <f>VLOOKUP($C87,Carpetas!$C$5:$M$2666,5,FALSE)</f>
        <v>xx</v>
      </c>
      <c r="I87" s="220"/>
      <c r="J87" s="47">
        <f>E87+5</f>
        <v>45340</v>
      </c>
      <c r="K87" s="72">
        <f>VLOOKUP($C87,Carpetas!$C$5:$M$2666,4,FALSE)</f>
        <v>0</v>
      </c>
      <c r="L87" s="32"/>
      <c r="M87" s="48">
        <f>J87+1</f>
        <v>45341</v>
      </c>
      <c r="N87" s="26">
        <f t="shared" si="4"/>
        <v>6</v>
      </c>
      <c r="O87" s="27">
        <v>918</v>
      </c>
      <c r="P87" s="27"/>
      <c r="Q87" s="27"/>
      <c r="R87" s="27"/>
      <c r="S87" s="27"/>
      <c r="T87" s="27"/>
      <c r="U87" s="27"/>
      <c r="V87" s="27"/>
      <c r="W87" s="27"/>
      <c r="X87" s="73"/>
      <c r="Y87" s="73" t="e">
        <f>VLOOKUP(X87,Choferes!$B$2:$C$500,2,FALSE)</f>
        <v>#N/A</v>
      </c>
      <c r="Z87" s="73"/>
    </row>
    <row r="88" spans="1:26" hidden="1" x14ac:dyDescent="0.25">
      <c r="A88" s="33">
        <v>7</v>
      </c>
      <c r="B88" s="71" t="s">
        <v>298</v>
      </c>
      <c r="C88" s="39" t="s">
        <v>299</v>
      </c>
      <c r="D88" s="50" t="s">
        <v>362</v>
      </c>
      <c r="E88" s="47">
        <v>45335</v>
      </c>
      <c r="F88" s="31" t="str">
        <f>VLOOKUP($C88,Carpetas!$C$5:$M$2666,2,FALSE)</f>
        <v>BRB</v>
      </c>
      <c r="G88" s="23" t="e">
        <f>VLOOKUP($C88,Carpetas!$C$5:$M$2666,9,FALSE)</f>
        <v>#REF!</v>
      </c>
      <c r="H88" s="27" t="str">
        <f>VLOOKUP($C88,Carpetas!$C$5:$M$2666,5,FALSE)</f>
        <v>xx</v>
      </c>
      <c r="I88" s="220"/>
      <c r="J88" s="47">
        <f>E88+5</f>
        <v>45340</v>
      </c>
      <c r="K88" s="72">
        <f>VLOOKUP($C88,Carpetas!$C$5:$M$2666,4,FALSE)</f>
        <v>0</v>
      </c>
      <c r="L88" s="32"/>
      <c r="M88" s="48">
        <f>J88+1</f>
        <v>45341</v>
      </c>
      <c r="N88" s="26">
        <f t="shared" si="4"/>
        <v>6</v>
      </c>
      <c r="O88" s="27">
        <v>1104</v>
      </c>
      <c r="P88" s="27"/>
      <c r="Q88" s="27"/>
      <c r="R88" s="27"/>
      <c r="S88" s="27"/>
      <c r="T88" s="27"/>
      <c r="U88" s="27"/>
      <c r="V88" s="27"/>
      <c r="W88" s="27"/>
      <c r="X88" s="73"/>
      <c r="Y88" s="73" t="e">
        <f>VLOOKUP(X88,Choferes!$B$2:$C$500,2,FALSE)</f>
        <v>#N/A</v>
      </c>
      <c r="Z88" s="73"/>
    </row>
    <row r="89" spans="1:26" hidden="1" x14ac:dyDescent="0.25">
      <c r="A89" s="33">
        <v>7</v>
      </c>
      <c r="B89" s="71" t="s">
        <v>298</v>
      </c>
      <c r="C89" s="39" t="s">
        <v>299</v>
      </c>
      <c r="D89" s="50" t="s">
        <v>362</v>
      </c>
      <c r="E89" s="47">
        <v>45335</v>
      </c>
      <c r="F89" s="31" t="str">
        <f>VLOOKUP($C89,Carpetas!$C$5:$M$2666,2,FALSE)</f>
        <v>BRB</v>
      </c>
      <c r="G89" s="23" t="e">
        <f>VLOOKUP($C89,Carpetas!$C$5:$M$2666,9,FALSE)</f>
        <v>#REF!</v>
      </c>
      <c r="H89" s="27" t="str">
        <f>VLOOKUP($C89,Carpetas!$C$5:$M$2666,5,FALSE)</f>
        <v>xx</v>
      </c>
      <c r="I89" s="220"/>
      <c r="J89" s="47">
        <f>E89+5</f>
        <v>45340</v>
      </c>
      <c r="K89" s="72">
        <f>VLOOKUP($C89,Carpetas!$C$5:$M$2666,4,FALSE)</f>
        <v>0</v>
      </c>
      <c r="L89" s="32"/>
      <c r="M89" s="48">
        <f>J89+1</f>
        <v>45341</v>
      </c>
      <c r="N89" s="26">
        <f t="shared" si="4"/>
        <v>6</v>
      </c>
      <c r="O89" s="27">
        <v>1104</v>
      </c>
      <c r="P89" s="27"/>
      <c r="Q89" s="27"/>
      <c r="R89" s="27"/>
      <c r="S89" s="27"/>
      <c r="T89" s="27"/>
      <c r="U89" s="27"/>
      <c r="V89" s="27"/>
      <c r="W89" s="27"/>
      <c r="X89" s="73"/>
      <c r="Y89" s="73" t="e">
        <f>VLOOKUP(X89,Choferes!$B$2:$C$500,2,FALSE)</f>
        <v>#N/A</v>
      </c>
      <c r="Z89" s="73"/>
    </row>
    <row r="90" spans="1:26" hidden="1" x14ac:dyDescent="0.25">
      <c r="A90" s="33">
        <v>7</v>
      </c>
      <c r="B90" s="71" t="s">
        <v>298</v>
      </c>
      <c r="C90" s="39" t="s">
        <v>299</v>
      </c>
      <c r="D90" s="50" t="s">
        <v>362</v>
      </c>
      <c r="E90" s="47">
        <v>45335</v>
      </c>
      <c r="F90" s="31" t="str">
        <f>VLOOKUP($C90,Carpetas!$C$5:$M$2666,2,FALSE)</f>
        <v>BRB</v>
      </c>
      <c r="G90" s="23" t="e">
        <f>VLOOKUP($C90,Carpetas!$C$5:$M$2666,9,FALSE)</f>
        <v>#REF!</v>
      </c>
      <c r="H90" s="27" t="str">
        <f>VLOOKUP($C90,Carpetas!$C$5:$M$2666,5,FALSE)</f>
        <v>xx</v>
      </c>
      <c r="I90" s="220"/>
      <c r="J90" s="47">
        <f>E90+5</f>
        <v>45340</v>
      </c>
      <c r="K90" s="72">
        <f>VLOOKUP($C90,Carpetas!$C$5:$M$2666,4,FALSE)</f>
        <v>0</v>
      </c>
      <c r="L90" s="32"/>
      <c r="M90" s="48">
        <f>J90+1</f>
        <v>45341</v>
      </c>
      <c r="N90" s="26">
        <f t="shared" si="4"/>
        <v>6</v>
      </c>
      <c r="O90" s="27">
        <v>1104</v>
      </c>
      <c r="P90" s="27"/>
      <c r="Q90" s="27"/>
      <c r="R90" s="27"/>
      <c r="S90" s="27"/>
      <c r="T90" s="27"/>
      <c r="U90" s="27"/>
      <c r="V90" s="27"/>
      <c r="W90" s="27"/>
      <c r="X90" s="73"/>
      <c r="Y90" s="73" t="e">
        <f>VLOOKUP(X90,Choferes!$B$2:$C$500,2,FALSE)</f>
        <v>#N/A</v>
      </c>
      <c r="Z90" s="73"/>
    </row>
    <row r="91" spans="1:26" hidden="1" x14ac:dyDescent="0.25">
      <c r="A91" s="33">
        <v>7</v>
      </c>
      <c r="B91" s="71" t="s">
        <v>29</v>
      </c>
      <c r="C91" s="39" t="s">
        <v>248</v>
      </c>
      <c r="D91" s="50" t="s">
        <v>249</v>
      </c>
      <c r="E91" s="47">
        <v>45338</v>
      </c>
      <c r="F91" s="31" t="str">
        <f>VLOOKUP($C91,Carpetas!$C$5:$M$2666,2,FALSE)</f>
        <v>BRB006</v>
      </c>
      <c r="G91" s="23" t="str">
        <f>VLOOKUP($C91,Carpetas!$C$5:$M$2666,10,FALSE)</f>
        <v>148,38,32</v>
      </c>
      <c r="H91" s="27" t="str">
        <f>VLOOKUP($C91,Carpetas!$C$5:$M$2666,6,FALSE)</f>
        <v>Silvio</v>
      </c>
      <c r="I91" s="220"/>
      <c r="J91" s="47">
        <v>45341</v>
      </c>
      <c r="K91" s="72" t="str">
        <f>VLOOKUP($C91,Carpetas!$C$5:$M$2666,5,FALSE)</f>
        <v>Rio Branco</v>
      </c>
      <c r="L91" s="32"/>
      <c r="M91" s="48">
        <f>J91+1</f>
        <v>45342</v>
      </c>
      <c r="N91" s="26">
        <f t="shared" si="4"/>
        <v>4</v>
      </c>
      <c r="O91" s="27">
        <v>918</v>
      </c>
      <c r="P91" s="27">
        <v>919</v>
      </c>
      <c r="Q91" s="27"/>
      <c r="R91" s="27"/>
      <c r="S91" s="27"/>
      <c r="T91" s="27"/>
      <c r="U91" s="27">
        <v>6726</v>
      </c>
      <c r="V91" s="27" t="s">
        <v>363</v>
      </c>
      <c r="W91" s="27" t="s">
        <v>364</v>
      </c>
      <c r="X91" s="73"/>
      <c r="Y91" s="73" t="e">
        <f>VLOOKUP(X91,Choferes!$B$2:$C$500,2,FALSE)</f>
        <v>#N/A</v>
      </c>
      <c r="Z91" s="73" t="s">
        <v>365</v>
      </c>
    </row>
    <row r="92" spans="1:26" hidden="1" x14ac:dyDescent="0.25">
      <c r="A92" s="33">
        <v>7</v>
      </c>
      <c r="B92" s="71" t="s">
        <v>29</v>
      </c>
      <c r="C92" s="39" t="s">
        <v>366</v>
      </c>
      <c r="D92" s="50" t="s">
        <v>38</v>
      </c>
      <c r="E92" s="47">
        <v>45336</v>
      </c>
      <c r="F92" s="31" t="str">
        <f>VLOOKUP($C92,Carpetas!$C$5:$M$2666,2,FALSE)</f>
        <v>BRE005</v>
      </c>
      <c r="G92" s="23" t="str">
        <f>VLOOKUP($C92,Carpetas!$C$5:$M$2666,10,FALSE)</f>
        <v>1484483/1484482</v>
      </c>
      <c r="H92" s="27">
        <f>VLOOKUP($C92,Carpetas!$C$5:$M$2666,6,FALSE)</f>
        <v>0</v>
      </c>
      <c r="I92" s="220">
        <f>VLOOKUP($C92,Carpetas!$C$5:$M$2666,4,FALSE)</f>
        <v>0</v>
      </c>
      <c r="J92" s="47">
        <f>E92+2</f>
        <v>45338</v>
      </c>
      <c r="K92" s="72" t="str">
        <f>VLOOKUP($C92,Carpetas!$C$5:$M$2666,5,FALSE)</f>
        <v>Rio Branco</v>
      </c>
      <c r="L92" s="32"/>
      <c r="M92" s="48">
        <v>45344</v>
      </c>
      <c r="N92" s="26">
        <f t="shared" si="4"/>
        <v>8</v>
      </c>
      <c r="O92" s="27">
        <v>1032</v>
      </c>
      <c r="P92" s="27"/>
      <c r="Q92" s="27"/>
      <c r="R92" s="27"/>
      <c r="S92" s="27"/>
      <c r="T92" s="27"/>
      <c r="U92" s="27">
        <v>59</v>
      </c>
      <c r="V92" s="27" t="s">
        <v>367</v>
      </c>
      <c r="W92" s="27" t="s">
        <v>368</v>
      </c>
      <c r="X92" s="73"/>
      <c r="Y92" s="73" t="e">
        <f>VLOOKUP(X92,Choferes!$B$2:$C$500,2,FALSE)</f>
        <v>#N/A</v>
      </c>
      <c r="Z92" s="73"/>
    </row>
    <row r="93" spans="1:26" ht="30" hidden="1" x14ac:dyDescent="0.25">
      <c r="A93" s="33">
        <v>7</v>
      </c>
      <c r="B93" s="71" t="s">
        <v>29</v>
      </c>
      <c r="C93" s="39" t="s">
        <v>369</v>
      </c>
      <c r="D93" s="50" t="s">
        <v>78</v>
      </c>
      <c r="E93" s="47">
        <v>45338</v>
      </c>
      <c r="F93" s="31" t="str">
        <f>VLOOKUP($C93,Carpetas!$C$5:$M$2666,2,FALSE)</f>
        <v>BRB007</v>
      </c>
      <c r="G93" s="23" t="str">
        <f>VLOOKUP($C93,Carpetas!$C$5:$M$2666,10,FALSE)</f>
        <v>148.48.32</v>
      </c>
      <c r="H93" s="27" t="str">
        <f>VLOOKUP($C93,Carpetas!$C$5:$M$2666,6,FALSE)</f>
        <v>Zanini</v>
      </c>
      <c r="I93" s="220"/>
      <c r="J93" s="47">
        <v>45342</v>
      </c>
      <c r="K93" s="72" t="str">
        <f>VLOOKUP($C93,Carpetas!$C$5:$M$2666,5,FALSE)</f>
        <v>Rio Branco</v>
      </c>
      <c r="L93" s="32"/>
      <c r="M93" s="48">
        <v>45345</v>
      </c>
      <c r="N93" s="26">
        <f t="shared" si="4"/>
        <v>7</v>
      </c>
      <c r="O93" s="27">
        <v>900</v>
      </c>
      <c r="P93" s="27">
        <v>900</v>
      </c>
      <c r="Q93" s="27"/>
      <c r="R93" s="27"/>
      <c r="S93" s="27" t="s">
        <v>370</v>
      </c>
      <c r="T93" s="27"/>
      <c r="U93" s="27">
        <v>4242</v>
      </c>
      <c r="V93" s="27" t="s">
        <v>371</v>
      </c>
      <c r="W93" s="27" t="s">
        <v>372</v>
      </c>
      <c r="X93" s="73"/>
      <c r="Y93" s="73" t="e">
        <f>VLOOKUP(X93,Choferes!$B$2:$C$500,2,FALSE)</f>
        <v>#N/A</v>
      </c>
      <c r="Z93" s="73" t="s">
        <v>373</v>
      </c>
    </row>
    <row r="94" spans="1:26" hidden="1" x14ac:dyDescent="0.25">
      <c r="A94" s="33">
        <v>8</v>
      </c>
      <c r="B94" s="71" t="s">
        <v>29</v>
      </c>
      <c r="C94" s="39" t="s">
        <v>374</v>
      </c>
      <c r="D94" s="50" t="s">
        <v>183</v>
      </c>
      <c r="E94" s="47">
        <v>45341</v>
      </c>
      <c r="F94" s="31" t="str">
        <f>VLOOKUP($C94,Carpetas!$C$5:$M$2666,2,FALSE)</f>
        <v>PYB039</v>
      </c>
      <c r="G94" s="23" t="str">
        <f>VLOOKUP($C94,Carpetas!$C$5:$M$2666,10,FALSE)</f>
        <v>148,51,09</v>
      </c>
      <c r="H94" s="27">
        <f>VLOOKUP($C94,Carpetas!$C$5:$M$2666,6,FALSE)</f>
        <v>0</v>
      </c>
      <c r="I94" s="220"/>
      <c r="J94" s="47">
        <v>45343</v>
      </c>
      <c r="K94" s="72" t="str">
        <f>VLOOKUP($C94,Carpetas!$C$5:$M$2666,5,FALSE)</f>
        <v>Salto</v>
      </c>
      <c r="L94" s="32"/>
      <c r="M94" s="48">
        <f>J94+1+1</f>
        <v>45345</v>
      </c>
      <c r="N94" s="26">
        <f t="shared" si="4"/>
        <v>4</v>
      </c>
      <c r="O94" s="27">
        <v>980</v>
      </c>
      <c r="P94" s="27">
        <v>980</v>
      </c>
      <c r="Q94" s="27"/>
      <c r="R94" s="27"/>
      <c r="S94" s="27" t="s">
        <v>375</v>
      </c>
      <c r="T94" s="27"/>
      <c r="U94" s="27"/>
      <c r="V94" s="27" t="s">
        <v>376</v>
      </c>
      <c r="W94" s="27" t="s">
        <v>377</v>
      </c>
      <c r="X94" s="73"/>
      <c r="Y94" s="73" t="e">
        <f>VLOOKUP(X94,Choferes!$B$2:$C$500,2,FALSE)</f>
        <v>#N/A</v>
      </c>
      <c r="Z94" s="73" t="s">
        <v>378</v>
      </c>
    </row>
    <row r="95" spans="1:26" hidden="1" x14ac:dyDescent="0.25">
      <c r="A95" s="33">
        <v>8</v>
      </c>
      <c r="B95" s="71" t="s">
        <v>29</v>
      </c>
      <c r="C95" s="39" t="s">
        <v>379</v>
      </c>
      <c r="D95" s="50" t="s">
        <v>183</v>
      </c>
      <c r="E95" s="47">
        <v>45341</v>
      </c>
      <c r="F95" s="31" t="str">
        <f>VLOOKUP($C95,Carpetas!$C$5:$M$2666,2,FALSE)</f>
        <v>PYB035</v>
      </c>
      <c r="G95" s="23" t="str">
        <f>VLOOKUP($C95,Carpetas!$C$5:$M$2666,10,FALSE)</f>
        <v>148.49.41</v>
      </c>
      <c r="H95" s="27">
        <f>VLOOKUP($C95,Carpetas!$C$5:$M$2666,6,FALSE)</f>
        <v>0</v>
      </c>
      <c r="I95" s="220"/>
      <c r="J95" s="47">
        <v>45343</v>
      </c>
      <c r="K95" s="72" t="str">
        <f>VLOOKUP($C95,Carpetas!$C$5:$M$2666,5,FALSE)</f>
        <v>Salto</v>
      </c>
      <c r="L95" s="32"/>
      <c r="M95" s="48">
        <f>J95+1+1</f>
        <v>45345</v>
      </c>
      <c r="N95" s="26">
        <f t="shared" si="4"/>
        <v>4</v>
      </c>
      <c r="O95" s="27">
        <v>980</v>
      </c>
      <c r="P95" s="27">
        <v>982</v>
      </c>
      <c r="Q95" s="27"/>
      <c r="R95" s="27"/>
      <c r="S95" s="27" t="s">
        <v>380</v>
      </c>
      <c r="T95" s="27"/>
      <c r="U95" s="27"/>
      <c r="V95" s="27" t="s">
        <v>381</v>
      </c>
      <c r="W95" s="27" t="s">
        <v>382</v>
      </c>
      <c r="X95" s="73"/>
      <c r="Y95" s="73" t="e">
        <f>VLOOKUP(X95,Choferes!$B$2:$C$500,2,FALSE)</f>
        <v>#N/A</v>
      </c>
      <c r="Z95" s="73" t="s">
        <v>383</v>
      </c>
    </row>
    <row r="96" spans="1:26" ht="30" hidden="1" x14ac:dyDescent="0.25">
      <c r="A96" s="33">
        <v>8</v>
      </c>
      <c r="B96" s="71" t="s">
        <v>29</v>
      </c>
      <c r="C96" s="39" t="s">
        <v>384</v>
      </c>
      <c r="D96" s="50" t="s">
        <v>121</v>
      </c>
      <c r="E96" s="47">
        <v>45340</v>
      </c>
      <c r="F96" s="31" t="str">
        <f>VLOOKUP($C96,Carpetas!$C$5:$M$2666,2,FALSE)</f>
        <v>PYB038</v>
      </c>
      <c r="G96" s="23">
        <f>VLOOKUP($C96,Carpetas!$C$5:$M$2666,10,FALSE)</f>
        <v>0</v>
      </c>
      <c r="H96" s="27">
        <f>VLOOKUP($C96,Carpetas!$C$5:$M$2666,6,FALSE)</f>
        <v>0</v>
      </c>
      <c r="I96" s="220"/>
      <c r="J96" s="47">
        <v>45344</v>
      </c>
      <c r="K96" s="72" t="str">
        <f>VLOOKUP($C96,Carpetas!$C$5:$M$2666,5,FALSE)</f>
        <v>Salto</v>
      </c>
      <c r="L96" s="32"/>
      <c r="M96" s="48">
        <f>J96+1</f>
        <v>45345</v>
      </c>
      <c r="N96" s="26">
        <f t="shared" si="4"/>
        <v>5</v>
      </c>
      <c r="O96" s="27">
        <v>980</v>
      </c>
      <c r="P96" s="27">
        <v>982</v>
      </c>
      <c r="Q96" s="27"/>
      <c r="R96" s="27"/>
      <c r="S96" s="27" t="s">
        <v>385</v>
      </c>
      <c r="T96" s="27"/>
      <c r="U96" s="27"/>
      <c r="V96" s="27" t="s">
        <v>386</v>
      </c>
      <c r="W96" s="27" t="s">
        <v>387</v>
      </c>
      <c r="X96" s="73"/>
      <c r="Y96" s="73" t="e">
        <f>VLOOKUP(X96,Choferes!$B$2:$C$500,2,FALSE)</f>
        <v>#N/A</v>
      </c>
      <c r="Z96" s="73" t="s">
        <v>388</v>
      </c>
    </row>
    <row r="97" spans="1:26" hidden="1" x14ac:dyDescent="0.25">
      <c r="A97" s="33">
        <v>8</v>
      </c>
      <c r="B97" s="71" t="s">
        <v>29</v>
      </c>
      <c r="C97" s="39" t="s">
        <v>389</v>
      </c>
      <c r="D97" s="50" t="s">
        <v>102</v>
      </c>
      <c r="E97" s="47">
        <v>45341</v>
      </c>
      <c r="F97" s="31" t="str">
        <f>VLOOKUP($C97,Carpetas!$C$5:$M$2666,2,FALSE)</f>
        <v>PYB040</v>
      </c>
      <c r="G97" s="23" t="str">
        <f>VLOOKUP($C97,Carpetas!$C$5:$M$2666,10,FALSE)</f>
        <v>148.49.09</v>
      </c>
      <c r="H97" s="27">
        <f>VLOOKUP($C97,Carpetas!$C$5:$M$2666,6,FALSE)</f>
        <v>0</v>
      </c>
      <c r="I97" s="220"/>
      <c r="J97" s="47">
        <v>45344</v>
      </c>
      <c r="K97" s="72" t="str">
        <f>VLOOKUP($C97,Carpetas!$C$5:$M$2666,5,FALSE)</f>
        <v>Salto</v>
      </c>
      <c r="L97" s="32"/>
      <c r="M97" s="48">
        <f>J97+1</f>
        <v>45345</v>
      </c>
      <c r="N97" s="26">
        <f t="shared" si="4"/>
        <v>4</v>
      </c>
      <c r="O97" s="27">
        <v>980</v>
      </c>
      <c r="P97" s="27">
        <v>982</v>
      </c>
      <c r="Q97" s="27"/>
      <c r="R97" s="27"/>
      <c r="S97" s="27" t="s">
        <v>390</v>
      </c>
      <c r="T97" s="27"/>
      <c r="U97" s="27"/>
      <c r="V97" s="27" t="s">
        <v>391</v>
      </c>
      <c r="W97" s="27" t="s">
        <v>392</v>
      </c>
      <c r="X97" s="73"/>
      <c r="Y97" s="73" t="e">
        <f>VLOOKUP(X97,Choferes!$B$2:$C$500,2,FALSE)</f>
        <v>#N/A</v>
      </c>
      <c r="Z97" s="73" t="s">
        <v>393</v>
      </c>
    </row>
    <row r="98" spans="1:26" ht="30" hidden="1" x14ac:dyDescent="0.25">
      <c r="A98" s="33">
        <v>8</v>
      </c>
      <c r="B98" s="71" t="s">
        <v>29</v>
      </c>
      <c r="C98" s="39" t="s">
        <v>369</v>
      </c>
      <c r="D98" s="50" t="s">
        <v>78</v>
      </c>
      <c r="E98" s="47">
        <v>45341</v>
      </c>
      <c r="F98" s="31" t="str">
        <f>VLOOKUP($C98,Carpetas!$C$5:$M$2666,2,FALSE)</f>
        <v>BRB007</v>
      </c>
      <c r="G98" s="23" t="str">
        <f>VLOOKUP($C98,Carpetas!$C$5:$M$2666,10,FALSE)</f>
        <v>148.48.32</v>
      </c>
      <c r="H98" s="27" t="str">
        <f>VLOOKUP($C98,Carpetas!$C$5:$M$2666,6,FALSE)</f>
        <v>Zanini</v>
      </c>
      <c r="I98" s="220"/>
      <c r="J98" s="47">
        <f>E98+2</f>
        <v>45343</v>
      </c>
      <c r="K98" s="72" t="str">
        <f>VLOOKUP($C98,Carpetas!$C$5:$M$2666,5,FALSE)</f>
        <v>Rio Branco</v>
      </c>
      <c r="L98" s="32"/>
      <c r="M98" s="48">
        <v>45346</v>
      </c>
      <c r="N98" s="26">
        <f t="shared" si="4"/>
        <v>5</v>
      </c>
      <c r="O98" s="27">
        <v>900</v>
      </c>
      <c r="P98" s="27">
        <v>900</v>
      </c>
      <c r="Q98" s="27"/>
      <c r="R98" s="27"/>
      <c r="S98" s="27" t="s">
        <v>394</v>
      </c>
      <c r="T98" s="27"/>
      <c r="U98" s="27">
        <v>4244</v>
      </c>
      <c r="V98" s="27" t="s">
        <v>395</v>
      </c>
      <c r="W98" s="27" t="s">
        <v>396</v>
      </c>
      <c r="X98" s="73"/>
      <c r="Y98" s="73" t="e">
        <f>VLOOKUP(X98,Choferes!$B$2:$C$500,2,FALSE)</f>
        <v>#N/A</v>
      </c>
      <c r="Z98" s="73" t="s">
        <v>397</v>
      </c>
    </row>
    <row r="99" spans="1:26" hidden="1" x14ac:dyDescent="0.25">
      <c r="A99" s="33">
        <v>8</v>
      </c>
      <c r="B99" s="71" t="s">
        <v>29</v>
      </c>
      <c r="C99" s="39" t="s">
        <v>398</v>
      </c>
      <c r="D99" s="50" t="s">
        <v>48</v>
      </c>
      <c r="E99" s="47">
        <v>45342</v>
      </c>
      <c r="F99" s="31" t="str">
        <f>VLOOKUP($C99,Carpetas!$C$5:$M$2666,2,FALSE)</f>
        <v>PYB037</v>
      </c>
      <c r="G99" s="23">
        <f>VLOOKUP($C99,Carpetas!$C$5:$M$2666,10,FALSE)</f>
        <v>0</v>
      </c>
      <c r="H99" s="27">
        <f>VLOOKUP($C99,Carpetas!$C$5:$M$2666,6,FALSE)</f>
        <v>0</v>
      </c>
      <c r="I99" s="220"/>
      <c r="J99" s="47">
        <v>45345</v>
      </c>
      <c r="K99" s="72" t="str">
        <f>VLOOKUP($C99,Carpetas!$C$5:$M$2666,5,FALSE)</f>
        <v>Salto</v>
      </c>
      <c r="L99" s="32"/>
      <c r="M99" s="48">
        <f>J99+1</f>
        <v>45346</v>
      </c>
      <c r="N99" s="26">
        <f t="shared" si="4"/>
        <v>4</v>
      </c>
      <c r="O99" s="27">
        <v>930</v>
      </c>
      <c r="P99" s="27">
        <v>930</v>
      </c>
      <c r="Q99" s="27"/>
      <c r="R99" s="27"/>
      <c r="S99" s="27" t="s">
        <v>399</v>
      </c>
      <c r="T99" s="27"/>
      <c r="U99" s="27"/>
      <c r="V99" s="27" t="s">
        <v>400</v>
      </c>
      <c r="W99" s="27" t="s">
        <v>180</v>
      </c>
      <c r="X99" s="73"/>
      <c r="Y99" s="73" t="e">
        <f>VLOOKUP(X99,Choferes!$B$2:$C$500,2,FALSE)</f>
        <v>#N/A</v>
      </c>
      <c r="Z99" s="73" t="s">
        <v>401</v>
      </c>
    </row>
    <row r="100" spans="1:26" hidden="1" x14ac:dyDescent="0.25">
      <c r="A100" s="33">
        <v>8</v>
      </c>
      <c r="B100" s="71" t="s">
        <v>29</v>
      </c>
      <c r="C100" s="39" t="s">
        <v>389</v>
      </c>
      <c r="D100" s="50" t="s">
        <v>102</v>
      </c>
      <c r="E100" s="47">
        <v>45342</v>
      </c>
      <c r="F100" s="31" t="str">
        <f>VLOOKUP($C100,Carpetas!$C$5:$M$2666,2,FALSE)</f>
        <v>PYB040</v>
      </c>
      <c r="G100" s="23" t="str">
        <f>VLOOKUP($C100,Carpetas!$C$5:$M$2666,10,FALSE)</f>
        <v>148.49.09</v>
      </c>
      <c r="H100" s="27">
        <f>VLOOKUP($C100,Carpetas!$C$5:$M$2666,6,FALSE)</f>
        <v>0</v>
      </c>
      <c r="I100" s="220"/>
      <c r="J100" s="47">
        <v>45345</v>
      </c>
      <c r="K100" s="72" t="str">
        <f>VLOOKUP($C100,Carpetas!$C$5:$M$2666,5,FALSE)</f>
        <v>Salto</v>
      </c>
      <c r="L100" s="32"/>
      <c r="M100" s="48">
        <f>J100+1</f>
        <v>45346</v>
      </c>
      <c r="N100" s="26">
        <f t="shared" si="4"/>
        <v>4</v>
      </c>
      <c r="O100" s="27">
        <v>980</v>
      </c>
      <c r="P100" s="27">
        <v>982</v>
      </c>
      <c r="Q100" s="27"/>
      <c r="R100" s="27"/>
      <c r="S100" s="27" t="s">
        <v>402</v>
      </c>
      <c r="T100" s="27"/>
      <c r="U100" s="27"/>
      <c r="V100" s="27" t="s">
        <v>44</v>
      </c>
      <c r="W100" s="27" t="s">
        <v>45</v>
      </c>
      <c r="X100" s="73"/>
      <c r="Y100" s="73" t="e">
        <f>VLOOKUP(X100,Choferes!$B$2:$C$500,2,FALSE)</f>
        <v>#N/A</v>
      </c>
      <c r="Z100" s="73" t="s">
        <v>403</v>
      </c>
    </row>
    <row r="101" spans="1:26" ht="30" hidden="1" x14ac:dyDescent="0.25">
      <c r="A101" s="33">
        <v>8</v>
      </c>
      <c r="B101" s="71" t="s">
        <v>29</v>
      </c>
      <c r="C101" s="39" t="s">
        <v>404</v>
      </c>
      <c r="D101" s="50" t="s">
        <v>42</v>
      </c>
      <c r="E101" s="47">
        <v>45342</v>
      </c>
      <c r="F101" s="31" t="str">
        <f>VLOOKUP($C101,Carpetas!$C$5:$M$2666,2,FALSE)</f>
        <v>PYB036</v>
      </c>
      <c r="G101" s="23" t="str">
        <f>VLOOKUP($C101,Carpetas!$C$5:$M$2666,10,FALSE)</f>
        <v>148,49,40</v>
      </c>
      <c r="H101" s="27">
        <f>VLOOKUP($C101,Carpetas!$C$5:$M$2666,6,FALSE)</f>
        <v>0</v>
      </c>
      <c r="I101" s="220"/>
      <c r="J101" s="47">
        <v>45345</v>
      </c>
      <c r="K101" s="72" t="str">
        <f>VLOOKUP($C101,Carpetas!$C$5:$M$2666,5,FALSE)</f>
        <v>Salto</v>
      </c>
      <c r="L101" s="32"/>
      <c r="M101" s="48">
        <f>J101+1</f>
        <v>45346</v>
      </c>
      <c r="N101" s="26">
        <f t="shared" si="4"/>
        <v>4</v>
      </c>
      <c r="O101" s="27">
        <v>972</v>
      </c>
      <c r="P101" s="27">
        <v>973</v>
      </c>
      <c r="Q101" s="27"/>
      <c r="R101" s="27"/>
      <c r="S101" s="27" t="s">
        <v>405</v>
      </c>
      <c r="T101" s="27"/>
      <c r="U101" s="27"/>
      <c r="V101" s="27" t="s">
        <v>406</v>
      </c>
      <c r="W101" s="27"/>
      <c r="X101" s="73"/>
      <c r="Y101" s="73" t="e">
        <f>VLOOKUP(X101,Choferes!$B$2:$C$500,2,FALSE)</f>
        <v>#N/A</v>
      </c>
      <c r="Z101" s="73" t="s">
        <v>407</v>
      </c>
    </row>
    <row r="102" spans="1:26" ht="30" hidden="1" x14ac:dyDescent="0.25">
      <c r="A102" s="33">
        <v>8</v>
      </c>
      <c r="B102" s="71" t="s">
        <v>29</v>
      </c>
      <c r="C102" s="39" t="s">
        <v>408</v>
      </c>
      <c r="D102" s="50" t="s">
        <v>110</v>
      </c>
      <c r="E102" s="47">
        <v>45343</v>
      </c>
      <c r="F102" s="31" t="str">
        <f>VLOOKUP($C102,Carpetas!$C$5:$M$2666,2,FALSE)</f>
        <v>BRB008</v>
      </c>
      <c r="G102" s="23" t="str">
        <f>VLOOKUP($C102,Carpetas!$C$5:$M$2666,10,FALSE)</f>
        <v>148,51,58</v>
      </c>
      <c r="H102" s="27" t="str">
        <f>VLOOKUP($C102,Carpetas!$C$5:$M$2666,6,FALSE)</f>
        <v>Silvio</v>
      </c>
      <c r="I102" s="220"/>
      <c r="J102" s="47">
        <f>E102+2</f>
        <v>45345</v>
      </c>
      <c r="K102" s="72" t="str">
        <f>VLOOKUP($C102,Carpetas!$C$5:$M$2666,5,FALSE)</f>
        <v>Rio Branco</v>
      </c>
      <c r="L102" s="32"/>
      <c r="M102" s="48">
        <f>J102+1</f>
        <v>45346</v>
      </c>
      <c r="N102" s="26">
        <f t="shared" si="4"/>
        <v>3</v>
      </c>
      <c r="O102" s="27">
        <v>918</v>
      </c>
      <c r="P102" s="27">
        <v>919</v>
      </c>
      <c r="Q102" s="27"/>
      <c r="R102" s="27"/>
      <c r="S102" s="27" t="s">
        <v>409</v>
      </c>
      <c r="T102" s="27"/>
      <c r="U102" s="27">
        <v>6757</v>
      </c>
      <c r="V102" s="27" t="s">
        <v>410</v>
      </c>
      <c r="W102" s="27" t="s">
        <v>411</v>
      </c>
      <c r="X102" s="73"/>
      <c r="Y102" s="73" t="e">
        <f>VLOOKUP(X102,Choferes!$B$2:$C$500,2,FALSE)</f>
        <v>#N/A</v>
      </c>
      <c r="Z102" s="73" t="s">
        <v>412</v>
      </c>
    </row>
    <row r="103" spans="1:26" ht="30" hidden="1" x14ac:dyDescent="0.25">
      <c r="A103" s="33">
        <v>8</v>
      </c>
      <c r="B103" s="71" t="s">
        <v>29</v>
      </c>
      <c r="C103" s="39" t="s">
        <v>369</v>
      </c>
      <c r="D103" s="50" t="s">
        <v>78</v>
      </c>
      <c r="E103" s="47">
        <v>45344</v>
      </c>
      <c r="F103" s="31" t="str">
        <f>VLOOKUP($C103,Carpetas!$C$5:$M$2666,2,FALSE)</f>
        <v>BRB007</v>
      </c>
      <c r="G103" s="23" t="str">
        <f>VLOOKUP($C103,Carpetas!$C$5:$M$2666,10,FALSE)</f>
        <v>148.48.32</v>
      </c>
      <c r="H103" s="27" t="str">
        <f>VLOOKUP($C103,Carpetas!$C$5:$M$2666,6,FALSE)</f>
        <v>Zanini</v>
      </c>
      <c r="I103" s="220"/>
      <c r="J103" s="47">
        <v>45345</v>
      </c>
      <c r="K103" s="72" t="str">
        <f>VLOOKUP($C103,Carpetas!$C$5:$M$2666,5,FALSE)</f>
        <v>Rio Branco</v>
      </c>
      <c r="L103" s="32"/>
      <c r="M103" s="48">
        <v>45346</v>
      </c>
      <c r="N103" s="26">
        <f t="shared" si="4"/>
        <v>2</v>
      </c>
      <c r="O103" s="27">
        <v>900</v>
      </c>
      <c r="P103" s="27">
        <v>901</v>
      </c>
      <c r="Q103" s="27"/>
      <c r="R103" s="27"/>
      <c r="S103" s="27" t="s">
        <v>413</v>
      </c>
      <c r="T103" s="27"/>
      <c r="U103" s="27">
        <v>4246</v>
      </c>
      <c r="V103" s="27" t="s">
        <v>147</v>
      </c>
      <c r="W103" s="27" t="s">
        <v>148</v>
      </c>
      <c r="X103" s="73"/>
      <c r="Y103" s="73" t="e">
        <f>VLOOKUP(X103,Choferes!$B$2:$C$500,2,FALSE)</f>
        <v>#N/A</v>
      </c>
      <c r="Z103" s="73" t="s">
        <v>414</v>
      </c>
    </row>
    <row r="104" spans="1:26" hidden="1" x14ac:dyDescent="0.25">
      <c r="A104" s="33">
        <v>8</v>
      </c>
      <c r="B104" s="71" t="s">
        <v>298</v>
      </c>
      <c r="C104" s="39" t="s">
        <v>299</v>
      </c>
      <c r="D104" s="50" t="s">
        <v>42</v>
      </c>
      <c r="E104" s="47">
        <v>45343</v>
      </c>
      <c r="F104" s="31" t="str">
        <f>VLOOKUP($C104,Carpetas!$C$5:$M$2666,2,FALSE)</f>
        <v>BRB</v>
      </c>
      <c r="G104" s="23" t="e">
        <f>VLOOKUP($C104,Carpetas!$C$5:$M$2666,9,FALSE)</f>
        <v>#REF!</v>
      </c>
      <c r="H104" s="27" t="str">
        <f>VLOOKUP($C104,Carpetas!$C$5:$M$2666,5,FALSE)</f>
        <v>xx</v>
      </c>
      <c r="I104" s="220"/>
      <c r="J104" s="47">
        <f>E104+5</f>
        <v>45348</v>
      </c>
      <c r="K104" s="72">
        <f>VLOOKUP($C104,Carpetas!$C$5:$M$2666,4,FALSE)</f>
        <v>0</v>
      </c>
      <c r="L104" s="32"/>
      <c r="M104" s="48">
        <f>J104+1</f>
        <v>45349</v>
      </c>
      <c r="N104" s="26">
        <f t="shared" si="4"/>
        <v>6</v>
      </c>
      <c r="O104" s="27">
        <v>980</v>
      </c>
      <c r="P104" s="27"/>
      <c r="Q104" s="27"/>
      <c r="R104" s="27"/>
      <c r="S104" s="27"/>
      <c r="T104" s="27"/>
      <c r="U104" s="27"/>
      <c r="V104" s="27"/>
      <c r="W104" s="27"/>
      <c r="X104" s="73"/>
      <c r="Y104" s="73" t="e">
        <f>VLOOKUP(X104,Choferes!$B$2:$C$500,2,FALSE)</f>
        <v>#N/A</v>
      </c>
      <c r="Z104" s="73"/>
    </row>
    <row r="105" spans="1:26" hidden="1" x14ac:dyDescent="0.25">
      <c r="A105" s="33">
        <v>7</v>
      </c>
      <c r="B105" s="71" t="s">
        <v>29</v>
      </c>
      <c r="C105" s="39" t="s">
        <v>415</v>
      </c>
      <c r="D105" s="50" t="s">
        <v>63</v>
      </c>
      <c r="E105" s="47">
        <v>45337</v>
      </c>
      <c r="F105" s="31" t="str">
        <f>VLOOKUP($C105,Carpetas!$C$5:$M$2666,2,FALSE)</f>
        <v>BRA007</v>
      </c>
      <c r="G105" s="23" t="str">
        <f>VLOOKUP($C105,Carpetas!$C$5:$M$2666,10,FALSE)</f>
        <v>148,45,98</v>
      </c>
      <c r="H105" s="27" t="str">
        <f>VLOOKUP($C105,Carpetas!$C$5:$M$2666,6,FALSE)</f>
        <v>Silvio</v>
      </c>
      <c r="I105" s="220"/>
      <c r="J105" s="47">
        <v>45348</v>
      </c>
      <c r="K105" s="72" t="str">
        <f>VLOOKUP($C105,Carpetas!$C$5:$M$2666,5,FALSE)</f>
        <v>Rio Branco</v>
      </c>
      <c r="L105" s="32"/>
      <c r="M105" s="48">
        <v>45351</v>
      </c>
      <c r="N105" s="26">
        <f t="shared" si="4"/>
        <v>14</v>
      </c>
      <c r="O105" s="27">
        <v>1104</v>
      </c>
      <c r="P105" s="27">
        <v>1103</v>
      </c>
      <c r="Q105" s="27"/>
      <c r="R105" s="27"/>
      <c r="S105" s="27" t="s">
        <v>262</v>
      </c>
      <c r="T105" s="27"/>
      <c r="U105" s="27">
        <v>6752</v>
      </c>
      <c r="V105" s="27" t="s">
        <v>416</v>
      </c>
      <c r="W105" s="27" t="s">
        <v>417</v>
      </c>
      <c r="X105" s="73"/>
      <c r="Y105" s="73" t="e">
        <f>VLOOKUP(X105,Choferes!$B$2:$C$500,2,FALSE)</f>
        <v>#N/A</v>
      </c>
      <c r="Z105" s="73" t="s">
        <v>418</v>
      </c>
    </row>
    <row r="106" spans="1:26" ht="30" hidden="1" x14ac:dyDescent="0.25">
      <c r="A106" s="33">
        <v>9</v>
      </c>
      <c r="B106" s="71" t="s">
        <v>29</v>
      </c>
      <c r="C106" s="39" t="s">
        <v>404</v>
      </c>
      <c r="D106" s="50" t="s">
        <v>42</v>
      </c>
      <c r="E106" s="47">
        <v>45348</v>
      </c>
      <c r="F106" s="31" t="str">
        <f>VLOOKUP($C106,Carpetas!$C$5:$M$2666,2,FALSE)</f>
        <v>PYB036</v>
      </c>
      <c r="G106" s="23" t="str">
        <f>VLOOKUP($C106,Carpetas!$C$5:$M$2666,10,FALSE)</f>
        <v>148,49,40</v>
      </c>
      <c r="H106" s="27">
        <f>VLOOKUP($C106,Carpetas!$C$5:$M$2666,6,FALSE)</f>
        <v>0</v>
      </c>
      <c r="I106" s="220"/>
      <c r="J106" s="47">
        <v>45350</v>
      </c>
      <c r="K106" s="72" t="str">
        <f>VLOOKUP($C106,Carpetas!$C$5:$M$2666,5,FALSE)</f>
        <v>Salto</v>
      </c>
      <c r="L106" s="32"/>
      <c r="M106" s="48">
        <f>J106+1</f>
        <v>45351</v>
      </c>
      <c r="N106" s="26">
        <f t="shared" si="4"/>
        <v>3</v>
      </c>
      <c r="O106" s="27">
        <v>980</v>
      </c>
      <c r="P106" s="27"/>
      <c r="Q106" s="27"/>
      <c r="R106" s="27"/>
      <c r="S106" s="27"/>
      <c r="T106" s="27"/>
      <c r="U106" s="27"/>
      <c r="V106" s="27" t="s">
        <v>419</v>
      </c>
      <c r="W106" s="27" t="s">
        <v>420</v>
      </c>
      <c r="X106" s="73"/>
      <c r="Y106" s="73" t="e">
        <f>VLOOKUP(X106,Choferes!$B$2:$C$500,2,FALSE)</f>
        <v>#N/A</v>
      </c>
      <c r="Z106" s="73" t="s">
        <v>421</v>
      </c>
    </row>
    <row r="107" spans="1:26" hidden="1" x14ac:dyDescent="0.25">
      <c r="A107" s="33">
        <v>7</v>
      </c>
      <c r="B107" s="71" t="s">
        <v>29</v>
      </c>
      <c r="C107" s="39" t="s">
        <v>422</v>
      </c>
      <c r="D107" s="50" t="s">
        <v>63</v>
      </c>
      <c r="E107" s="47">
        <v>45335</v>
      </c>
      <c r="F107" s="31" t="str">
        <f>VLOOKUP($C107,Carpetas!$C$5:$M$2666,2,FALSE)</f>
        <v>BRA007</v>
      </c>
      <c r="G107" s="23" t="str">
        <f>VLOOKUP($C107,Carpetas!$C$5:$M$2666,10,FALSE)</f>
        <v>148,45,98</v>
      </c>
      <c r="H107" s="27" t="str">
        <f>VLOOKUP($C107,Carpetas!$C$5:$M$2666,6,FALSE)</f>
        <v>Silvio</v>
      </c>
      <c r="I107" s="220"/>
      <c r="J107" s="47">
        <v>45348</v>
      </c>
      <c r="K107" s="72" t="str">
        <f>VLOOKUP($C107,Carpetas!$C$5:$M$2666,5,FALSE)</f>
        <v>Rio Branco</v>
      </c>
      <c r="L107" s="32"/>
      <c r="M107" s="48">
        <v>45352</v>
      </c>
      <c r="N107" s="26">
        <f t="shared" si="4"/>
        <v>17</v>
      </c>
      <c r="O107" s="27">
        <v>1104</v>
      </c>
      <c r="P107" s="27">
        <v>1104</v>
      </c>
      <c r="Q107" s="27"/>
      <c r="R107" s="27"/>
      <c r="S107" s="27" t="s">
        <v>262</v>
      </c>
      <c r="T107" s="27"/>
      <c r="U107" s="27">
        <v>6751</v>
      </c>
      <c r="V107" s="27" t="s">
        <v>423</v>
      </c>
      <c r="W107" s="27" t="s">
        <v>424</v>
      </c>
      <c r="X107" s="73"/>
      <c r="Y107" s="73" t="e">
        <f>VLOOKUP(X107,Choferes!$B$2:$C$500,2,FALSE)</f>
        <v>#N/A</v>
      </c>
      <c r="Z107" s="73" t="s">
        <v>425</v>
      </c>
    </row>
    <row r="108" spans="1:26" hidden="1" x14ac:dyDescent="0.25">
      <c r="A108" s="33">
        <v>7</v>
      </c>
      <c r="B108" s="71" t="s">
        <v>29</v>
      </c>
      <c r="C108" s="39" t="s">
        <v>426</v>
      </c>
      <c r="D108" s="50" t="s">
        <v>63</v>
      </c>
      <c r="E108" s="47">
        <v>45336</v>
      </c>
      <c r="F108" s="31" t="str">
        <f>VLOOKUP($C108,Carpetas!$C$5:$M$2666,2,FALSE)</f>
        <v>BRA007</v>
      </c>
      <c r="G108" s="23" t="str">
        <f>VLOOKUP($C108,Carpetas!$C$5:$M$2666,10,FALSE)</f>
        <v>148,45,98</v>
      </c>
      <c r="H108" s="27" t="str">
        <f>VLOOKUP($C108,Carpetas!$C$5:$M$2666,6,FALSE)</f>
        <v>Silvio</v>
      </c>
      <c r="I108" s="220"/>
      <c r="J108" s="47">
        <v>45348</v>
      </c>
      <c r="K108" s="72" t="str">
        <f>VLOOKUP($C108,Carpetas!$C$5:$M$2666,5,FALSE)</f>
        <v>Rio Branco</v>
      </c>
      <c r="L108" s="32"/>
      <c r="M108" s="48">
        <v>45352</v>
      </c>
      <c r="N108" s="26">
        <f t="shared" si="4"/>
        <v>16</v>
      </c>
      <c r="O108" s="27">
        <v>1104</v>
      </c>
      <c r="P108" s="27">
        <v>1104</v>
      </c>
      <c r="Q108" s="27"/>
      <c r="R108" s="27"/>
      <c r="S108" s="27" t="s">
        <v>262</v>
      </c>
      <c r="T108" s="27"/>
      <c r="U108" s="27">
        <v>6750</v>
      </c>
      <c r="V108" s="27" t="s">
        <v>427</v>
      </c>
      <c r="W108" s="27" t="s">
        <v>428</v>
      </c>
      <c r="X108" s="73"/>
      <c r="Y108" s="73" t="e">
        <f>VLOOKUP(X108,Choferes!$B$2:$C$500,2,FALSE)</f>
        <v>#N/A</v>
      </c>
      <c r="Z108" s="73" t="s">
        <v>425</v>
      </c>
    </row>
    <row r="109" spans="1:26" hidden="1" x14ac:dyDescent="0.25">
      <c r="A109" s="33">
        <v>9</v>
      </c>
      <c r="B109" s="71" t="s">
        <v>29</v>
      </c>
      <c r="C109" s="39" t="s">
        <v>408</v>
      </c>
      <c r="D109" s="50" t="s">
        <v>31</v>
      </c>
      <c r="E109" s="47">
        <v>45348</v>
      </c>
      <c r="F109" s="31" t="str">
        <f>VLOOKUP($C109,Carpetas!$C$5:$M$2666,2,FALSE)</f>
        <v>BRB008</v>
      </c>
      <c r="G109" s="23" t="str">
        <f>VLOOKUP($C109,Carpetas!$C$5:$M$2666,10,FALSE)</f>
        <v>148,51,58</v>
      </c>
      <c r="H109" s="27" t="str">
        <f>VLOOKUP($C109,Carpetas!$C$5:$M$2666,6,FALSE)</f>
        <v>Silvio</v>
      </c>
      <c r="I109" s="220"/>
      <c r="J109" s="47">
        <f>E109+2</f>
        <v>45350</v>
      </c>
      <c r="K109" s="72" t="str">
        <f>VLOOKUP($C109,Carpetas!$C$5:$M$2666,5,FALSE)</f>
        <v>Rio Branco</v>
      </c>
      <c r="L109" s="32"/>
      <c r="M109" s="48">
        <v>45352</v>
      </c>
      <c r="N109" s="26">
        <f t="shared" si="4"/>
        <v>4</v>
      </c>
      <c r="O109" s="27">
        <v>918</v>
      </c>
      <c r="P109" s="27">
        <v>919</v>
      </c>
      <c r="Q109" s="27"/>
      <c r="R109" s="27"/>
      <c r="S109" s="27" t="s">
        <v>429</v>
      </c>
      <c r="T109" s="27"/>
      <c r="U109" s="27">
        <v>6758</v>
      </c>
      <c r="V109" s="27" t="s">
        <v>321</v>
      </c>
      <c r="W109" s="27" t="s">
        <v>322</v>
      </c>
      <c r="X109" s="73"/>
      <c r="Y109" s="73" t="e">
        <f>VLOOKUP(X109,Choferes!$B$2:$C$500,2,FALSE)</f>
        <v>#N/A</v>
      </c>
      <c r="Z109" s="73" t="s">
        <v>430</v>
      </c>
    </row>
    <row r="110" spans="1:26" hidden="1" x14ac:dyDescent="0.25">
      <c r="A110" s="33">
        <v>9</v>
      </c>
      <c r="B110" s="71" t="s">
        <v>29</v>
      </c>
      <c r="C110" s="39" t="s">
        <v>431</v>
      </c>
      <c r="D110" s="50" t="s">
        <v>183</v>
      </c>
      <c r="E110" s="47">
        <v>45348</v>
      </c>
      <c r="F110" s="31" t="str">
        <f>VLOOKUP($C110,Carpetas!$C$5:$M$2666,2,FALSE)</f>
        <v>PYB041</v>
      </c>
      <c r="G110" s="23" t="str">
        <f>VLOOKUP($C110,Carpetas!$C$5:$M$2666,10,FALSE)</f>
        <v>148,55,27</v>
      </c>
      <c r="H110" s="27">
        <f>VLOOKUP($C110,Carpetas!$C$5:$M$2666,6,FALSE)</f>
        <v>0</v>
      </c>
      <c r="I110" s="220"/>
      <c r="J110" s="47">
        <f>E110+3</f>
        <v>45351</v>
      </c>
      <c r="K110" s="72" t="str">
        <f>VLOOKUP($C110,Carpetas!$C$5:$M$2666,5,FALSE)</f>
        <v>Salto</v>
      </c>
      <c r="L110" s="32"/>
      <c r="M110" s="48">
        <f>J110+1</f>
        <v>45352</v>
      </c>
      <c r="N110" s="26">
        <f t="shared" si="4"/>
        <v>4</v>
      </c>
      <c r="O110" s="27">
        <v>980</v>
      </c>
      <c r="P110" s="27">
        <v>981</v>
      </c>
      <c r="Q110" s="27"/>
      <c r="R110" s="27"/>
      <c r="S110" s="27" t="s">
        <v>432</v>
      </c>
      <c r="T110" s="27"/>
      <c r="U110" s="27">
        <v>450</v>
      </c>
      <c r="V110" s="27" t="s">
        <v>433</v>
      </c>
      <c r="W110" s="27" t="s">
        <v>434</v>
      </c>
      <c r="X110" s="73"/>
      <c r="Y110" s="73" t="e">
        <f>VLOOKUP(X110,Choferes!$B$2:$C$500,2,FALSE)</f>
        <v>#N/A</v>
      </c>
      <c r="Z110" s="73" t="s">
        <v>435</v>
      </c>
    </row>
    <row r="111" spans="1:26" hidden="1" x14ac:dyDescent="0.25">
      <c r="A111" s="33">
        <v>9</v>
      </c>
      <c r="B111" s="71" t="s">
        <v>29</v>
      </c>
      <c r="C111" s="39" t="s">
        <v>431</v>
      </c>
      <c r="D111" s="50" t="s">
        <v>183</v>
      </c>
      <c r="E111" s="47">
        <v>45349</v>
      </c>
      <c r="F111" s="31" t="str">
        <f>VLOOKUP($C111,Carpetas!$C$5:$M$2666,2,FALSE)</f>
        <v>PYB041</v>
      </c>
      <c r="G111" s="23" t="str">
        <f>VLOOKUP($C111,Carpetas!$C$5:$M$2666,10,FALSE)</f>
        <v>148,55,27</v>
      </c>
      <c r="H111" s="27">
        <f>VLOOKUP($C111,Carpetas!$C$5:$M$2666,6,FALSE)</f>
        <v>0</v>
      </c>
      <c r="I111" s="220"/>
      <c r="J111" s="47">
        <v>45351</v>
      </c>
      <c r="K111" s="72" t="str">
        <f>VLOOKUP($C111,Carpetas!$C$5:$M$2666,5,FALSE)</f>
        <v>Salto</v>
      </c>
      <c r="L111" s="32"/>
      <c r="M111" s="48">
        <f>J111+1</f>
        <v>45352</v>
      </c>
      <c r="N111" s="26">
        <f t="shared" si="4"/>
        <v>3</v>
      </c>
      <c r="O111" s="27">
        <v>980</v>
      </c>
      <c r="P111" s="27">
        <v>982</v>
      </c>
      <c r="Q111" s="27"/>
      <c r="R111" s="27"/>
      <c r="S111" s="27" t="s">
        <v>436</v>
      </c>
      <c r="T111" s="27"/>
      <c r="U111" s="27">
        <v>453</v>
      </c>
      <c r="V111" s="27" t="s">
        <v>437</v>
      </c>
      <c r="W111" s="27" t="s">
        <v>438</v>
      </c>
      <c r="X111" s="73"/>
      <c r="Y111" s="73" t="e">
        <f>VLOOKUP(X111,Choferes!$B$2:$C$500,2,FALSE)</f>
        <v>#N/A</v>
      </c>
      <c r="Z111" s="73" t="s">
        <v>439</v>
      </c>
    </row>
    <row r="112" spans="1:26" hidden="1" x14ac:dyDescent="0.25">
      <c r="A112" s="33">
        <v>9</v>
      </c>
      <c r="B112" s="71" t="s">
        <v>29</v>
      </c>
      <c r="C112" s="39" t="s">
        <v>440</v>
      </c>
      <c r="D112" s="50" t="s">
        <v>102</v>
      </c>
      <c r="E112" s="47">
        <v>45349</v>
      </c>
      <c r="F112" s="31" t="str">
        <f>VLOOKUP($C112,Carpetas!$C$5:$M$2666,2,FALSE)</f>
        <v>PYB042</v>
      </c>
      <c r="G112" s="23" t="str">
        <f>VLOOKUP($C112,Carpetas!$C$5:$M$2666,10,FALSE)</f>
        <v>148,55,19</v>
      </c>
      <c r="H112" s="27" t="str">
        <f>VLOOKUP($C112,Carpetas!$C$5:$M$2666,6,FALSE)</f>
        <v>Cargo Net</v>
      </c>
      <c r="I112" s="220"/>
      <c r="J112" s="47">
        <v>45351</v>
      </c>
      <c r="K112" s="72" t="str">
        <f>VLOOKUP($C112,Carpetas!$C$5:$M$2666,5,FALSE)</f>
        <v>Salto</v>
      </c>
      <c r="L112" s="32"/>
      <c r="M112" s="48">
        <f>J112+1</f>
        <v>45352</v>
      </c>
      <c r="N112" s="26">
        <f t="shared" si="4"/>
        <v>3</v>
      </c>
      <c r="O112" s="27">
        <v>980</v>
      </c>
      <c r="P112" s="27">
        <v>980</v>
      </c>
      <c r="Q112" s="27"/>
      <c r="R112" s="27"/>
      <c r="S112" s="27" t="s">
        <v>441</v>
      </c>
      <c r="T112" s="27"/>
      <c r="U112" s="27"/>
      <c r="V112" s="27" t="s">
        <v>50</v>
      </c>
      <c r="W112" s="27" t="s">
        <v>51</v>
      </c>
      <c r="X112" s="73"/>
      <c r="Y112" s="73" t="e">
        <f>VLOOKUP(X112,Choferes!$B$2:$C$500,2,FALSE)</f>
        <v>#N/A</v>
      </c>
      <c r="Z112" s="73" t="s">
        <v>442</v>
      </c>
    </row>
    <row r="113" spans="1:26" ht="30" hidden="1" x14ac:dyDescent="0.25">
      <c r="A113" s="33">
        <v>9</v>
      </c>
      <c r="B113" s="71" t="s">
        <v>29</v>
      </c>
      <c r="C113" s="39" t="s">
        <v>443</v>
      </c>
      <c r="D113" s="50" t="s">
        <v>444</v>
      </c>
      <c r="E113" s="47">
        <v>45349</v>
      </c>
      <c r="F113" s="31" t="str">
        <f>VLOOKUP($C113,Carpetas!$C$5:$M$2666,2,FALSE)</f>
        <v>PYB043</v>
      </c>
      <c r="G113" s="23" t="str">
        <f>VLOOKUP($C113,Carpetas!$C$5:$M$2666,10,FALSE)</f>
        <v>148,55,33</v>
      </c>
      <c r="H113" s="27" t="str">
        <f>VLOOKUP($C113,Carpetas!$C$5:$M$2666,6,FALSE)</f>
        <v>Tahan</v>
      </c>
      <c r="I113" s="220"/>
      <c r="J113" s="47">
        <v>45351</v>
      </c>
      <c r="K113" s="72" t="str">
        <f>VLOOKUP($C113,Carpetas!$C$5:$M$2666,5,FALSE)</f>
        <v>Salto</v>
      </c>
      <c r="L113" s="32"/>
      <c r="M113" s="48">
        <f>J113+1</f>
        <v>45352</v>
      </c>
      <c r="N113" s="26">
        <f t="shared" si="4"/>
        <v>3</v>
      </c>
      <c r="O113" s="27">
        <v>980</v>
      </c>
      <c r="P113" s="27">
        <v>981</v>
      </c>
      <c r="Q113" s="27"/>
      <c r="R113" s="27"/>
      <c r="S113" s="27" t="s">
        <v>445</v>
      </c>
      <c r="T113" s="27"/>
      <c r="U113" s="27">
        <v>3025</v>
      </c>
      <c r="V113" s="27" t="s">
        <v>156</v>
      </c>
      <c r="W113" s="27" t="s">
        <v>157</v>
      </c>
      <c r="X113" s="73"/>
      <c r="Y113" s="73" t="e">
        <f>VLOOKUP(X113,Choferes!$B$2:$C$500,2,FALSE)</f>
        <v>#N/A</v>
      </c>
      <c r="Z113" s="73" t="s">
        <v>446</v>
      </c>
    </row>
    <row r="114" spans="1:26" ht="30" hidden="1" x14ac:dyDescent="0.25">
      <c r="A114" s="33">
        <v>9</v>
      </c>
      <c r="B114" s="71" t="s">
        <v>29</v>
      </c>
      <c r="C114" s="39" t="s">
        <v>369</v>
      </c>
      <c r="D114" s="50" t="s">
        <v>78</v>
      </c>
      <c r="E114" s="47">
        <v>45349</v>
      </c>
      <c r="F114" s="31" t="str">
        <f>VLOOKUP($C114,Carpetas!$C$5:$M$2666,2,FALSE)</f>
        <v>BRB007</v>
      </c>
      <c r="G114" s="23" t="str">
        <f>VLOOKUP($C114,Carpetas!$C$5:$M$2666,10,FALSE)</f>
        <v>148.48.32</v>
      </c>
      <c r="H114" s="27" t="str">
        <f>VLOOKUP($C114,Carpetas!$C$5:$M$2666,6,FALSE)</f>
        <v>Zanini</v>
      </c>
      <c r="I114" s="220"/>
      <c r="J114" s="47">
        <f>E114+2</f>
        <v>45351</v>
      </c>
      <c r="K114" s="72" t="str">
        <f>VLOOKUP($C114,Carpetas!$C$5:$M$2666,5,FALSE)</f>
        <v>Rio Branco</v>
      </c>
      <c r="L114" s="32"/>
      <c r="M114" s="48">
        <f>J114+1+1</f>
        <v>45353</v>
      </c>
      <c r="N114" s="26">
        <f t="shared" si="4"/>
        <v>4</v>
      </c>
      <c r="O114" s="27">
        <v>900</v>
      </c>
      <c r="P114" s="27">
        <v>901</v>
      </c>
      <c r="Q114" s="27"/>
      <c r="R114" s="27"/>
      <c r="S114" s="27" t="s">
        <v>447</v>
      </c>
      <c r="T114" s="27"/>
      <c r="U114" s="27">
        <v>4265</v>
      </c>
      <c r="V114" s="27" t="s">
        <v>448</v>
      </c>
      <c r="W114" s="27" t="s">
        <v>449</v>
      </c>
      <c r="X114" s="73"/>
      <c r="Y114" s="73" t="e">
        <f>VLOOKUP(X114,Choferes!$B$2:$C$500,2,FALSE)</f>
        <v>#N/A</v>
      </c>
      <c r="Z114" s="73" t="s">
        <v>450</v>
      </c>
    </row>
    <row r="115" spans="1:26" hidden="1" x14ac:dyDescent="0.25">
      <c r="A115" s="33">
        <v>9</v>
      </c>
      <c r="B115" s="71" t="s">
        <v>29</v>
      </c>
      <c r="C115" s="39" t="s">
        <v>408</v>
      </c>
      <c r="D115" s="50" t="s">
        <v>110</v>
      </c>
      <c r="E115" s="47">
        <v>45350</v>
      </c>
      <c r="F115" s="31" t="str">
        <f>VLOOKUP($C115,Carpetas!$C$5:$M$2666,2,FALSE)</f>
        <v>BRB008</v>
      </c>
      <c r="G115" s="23" t="str">
        <f>VLOOKUP($C115,Carpetas!$C$5:$M$2666,10,FALSE)</f>
        <v>148,51,58</v>
      </c>
      <c r="H115" s="27" t="str">
        <f>VLOOKUP($C115,Carpetas!$C$5:$M$2666,6,FALSE)</f>
        <v>Silvio</v>
      </c>
      <c r="I115" s="220"/>
      <c r="J115" s="47">
        <v>45351</v>
      </c>
      <c r="K115" s="72" t="str">
        <f>VLOOKUP($C115,Carpetas!$C$5:$M$2666,5,FALSE)</f>
        <v>Rio Branco</v>
      </c>
      <c r="L115" s="32"/>
      <c r="M115" s="48">
        <v>45353</v>
      </c>
      <c r="N115" s="26">
        <f t="shared" si="4"/>
        <v>3</v>
      </c>
      <c r="O115" s="27">
        <v>918</v>
      </c>
      <c r="P115" s="27">
        <v>918</v>
      </c>
      <c r="Q115" s="27"/>
      <c r="R115" s="27"/>
      <c r="S115" s="27" t="s">
        <v>451</v>
      </c>
      <c r="T115" s="27"/>
      <c r="U115" s="27">
        <v>6759</v>
      </c>
      <c r="V115" s="27" t="s">
        <v>452</v>
      </c>
      <c r="W115" s="27" t="s">
        <v>453</v>
      </c>
      <c r="X115" s="73"/>
      <c r="Y115" s="73" t="e">
        <f>VLOOKUP(X115,Choferes!$B$2:$C$500,2,FALSE)</f>
        <v>#N/A</v>
      </c>
      <c r="Z115" s="73" t="s">
        <v>454</v>
      </c>
    </row>
    <row r="116" spans="1:26" ht="30" hidden="1" x14ac:dyDescent="0.25">
      <c r="A116" s="33">
        <v>9</v>
      </c>
      <c r="B116" s="71" t="s">
        <v>29</v>
      </c>
      <c r="C116" s="39" t="s">
        <v>455</v>
      </c>
      <c r="D116" s="50" t="s">
        <v>42</v>
      </c>
      <c r="E116" s="47">
        <v>45348</v>
      </c>
      <c r="F116" s="31" t="str">
        <f>VLOOKUP($C116,Carpetas!$C$5:$M$2666,2,FALSE)</f>
        <v>PYB044</v>
      </c>
      <c r="G116" s="23" t="str">
        <f>VLOOKUP($C116,Carpetas!$C$5:$M$2666,10,FALSE)</f>
        <v>148,55,25</v>
      </c>
      <c r="H116" s="27" t="str">
        <f>VLOOKUP($C116,Carpetas!$C$5:$M$2666,6,FALSE)</f>
        <v>Jauser</v>
      </c>
      <c r="I116" s="220"/>
      <c r="J116" s="47">
        <v>45352</v>
      </c>
      <c r="K116" s="72" t="str">
        <f>VLOOKUP($C116,Carpetas!$C$5:$M$2666,5,FALSE)</f>
        <v>Salto</v>
      </c>
      <c r="L116" s="32"/>
      <c r="M116" s="48">
        <f>J116+1</f>
        <v>45353</v>
      </c>
      <c r="N116" s="26">
        <f t="shared" si="4"/>
        <v>5</v>
      </c>
      <c r="O116" s="27">
        <v>972</v>
      </c>
      <c r="P116" s="27">
        <v>972</v>
      </c>
      <c r="Q116" s="27"/>
      <c r="R116" s="27"/>
      <c r="S116" s="27"/>
      <c r="T116" s="27"/>
      <c r="U116" s="27"/>
      <c r="V116" s="27" t="s">
        <v>456</v>
      </c>
      <c r="W116" s="27" t="s">
        <v>269</v>
      </c>
      <c r="X116" s="73"/>
      <c r="Y116" s="73" t="e">
        <f>VLOOKUP(X116,Choferes!$B$2:$C$500,2,FALSE)</f>
        <v>#N/A</v>
      </c>
      <c r="Z116" s="73" t="s">
        <v>457</v>
      </c>
    </row>
    <row r="117" spans="1:26" hidden="1" x14ac:dyDescent="0.25">
      <c r="A117" s="33">
        <v>9</v>
      </c>
      <c r="B117" s="71" t="s">
        <v>29</v>
      </c>
      <c r="C117" s="39" t="s">
        <v>458</v>
      </c>
      <c r="D117" s="50" t="s">
        <v>48</v>
      </c>
      <c r="E117" s="47">
        <v>45349</v>
      </c>
      <c r="F117" s="31" t="str">
        <f>VLOOKUP($C117,Carpetas!$C$5:$M$2666,2,FALSE)</f>
        <v>PYB045</v>
      </c>
      <c r="G117" s="23">
        <f>VLOOKUP($C117,Carpetas!$C$5:$M$2666,10,FALSE)</f>
        <v>0</v>
      </c>
      <c r="H117" s="27">
        <f>VLOOKUP($C117,Carpetas!$C$5:$M$2666,6,FALSE)</f>
        <v>0</v>
      </c>
      <c r="I117" s="220"/>
      <c r="J117" s="47">
        <v>45352</v>
      </c>
      <c r="K117" s="72" t="str">
        <f>VLOOKUP($C117,Carpetas!$C$5:$M$2666,5,FALSE)</f>
        <v>Salto</v>
      </c>
      <c r="L117" s="32"/>
      <c r="M117" s="48">
        <v>45353</v>
      </c>
      <c r="N117" s="26">
        <f t="shared" si="4"/>
        <v>4</v>
      </c>
      <c r="O117" s="27">
        <v>930</v>
      </c>
      <c r="P117" s="27">
        <v>930</v>
      </c>
      <c r="Q117" s="27"/>
      <c r="R117" s="27"/>
      <c r="S117" s="27" t="s">
        <v>459</v>
      </c>
      <c r="T117" s="27"/>
      <c r="U117" s="27"/>
      <c r="V117" s="27" t="s">
        <v>166</v>
      </c>
      <c r="W117" s="27" t="s">
        <v>460</v>
      </c>
      <c r="X117" s="73"/>
      <c r="Y117" s="73" t="e">
        <f>VLOOKUP(X117,Choferes!$B$2:$C$500,2,FALSE)</f>
        <v>#N/A</v>
      </c>
      <c r="Z117" s="73" t="s">
        <v>461</v>
      </c>
    </row>
    <row r="118" spans="1:26" hidden="1" x14ac:dyDescent="0.25">
      <c r="A118" s="33">
        <v>9</v>
      </c>
      <c r="B118" s="71" t="s">
        <v>298</v>
      </c>
      <c r="C118" s="39" t="s">
        <v>299</v>
      </c>
      <c r="D118" s="50" t="s">
        <v>121</v>
      </c>
      <c r="E118" s="47">
        <v>45349</v>
      </c>
      <c r="F118" s="31" t="str">
        <f>VLOOKUP($C118,Carpetas!$C$5:$M$2666,2,FALSE)</f>
        <v>BRB</v>
      </c>
      <c r="G118" s="23" t="e">
        <f>VLOOKUP($C118,Carpetas!$C$5:$M$2666,9,FALSE)</f>
        <v>#REF!</v>
      </c>
      <c r="H118" s="27" t="str">
        <f>VLOOKUP($C118,Carpetas!$C$5:$M$2666,5,FALSE)</f>
        <v>xx</v>
      </c>
      <c r="I118" s="220"/>
      <c r="J118" s="47">
        <f>E118+3</f>
        <v>45352</v>
      </c>
      <c r="K118" s="72">
        <f>VLOOKUP($C118,Carpetas!$C$5:$M$2666,4,FALSE)</f>
        <v>0</v>
      </c>
      <c r="L118" s="32"/>
      <c r="M118" s="48">
        <f>J118+1</f>
        <v>45353</v>
      </c>
      <c r="N118" s="26">
        <f t="shared" si="4"/>
        <v>4</v>
      </c>
      <c r="O118" s="27">
        <v>980</v>
      </c>
      <c r="P118" s="27"/>
      <c r="Q118" s="27"/>
      <c r="R118" s="27"/>
      <c r="S118" s="27"/>
      <c r="T118" s="27"/>
      <c r="U118" s="27"/>
      <c r="V118" s="27"/>
      <c r="W118" s="27"/>
      <c r="X118" s="73"/>
      <c r="Y118" s="73" t="e">
        <f>VLOOKUP(X118,Choferes!$B$2:$C$500,2,FALSE)</f>
        <v>#N/A</v>
      </c>
      <c r="Z118" s="73"/>
    </row>
    <row r="119" spans="1:26" hidden="1" x14ac:dyDescent="0.25">
      <c r="A119" s="33">
        <v>9</v>
      </c>
      <c r="B119" s="71" t="s">
        <v>29</v>
      </c>
      <c r="C119" s="39" t="s">
        <v>458</v>
      </c>
      <c r="D119" s="50" t="s">
        <v>48</v>
      </c>
      <c r="E119" s="47">
        <v>45350</v>
      </c>
      <c r="F119" s="31" t="str">
        <f>VLOOKUP($C119,Carpetas!$C$5:$M$2666,2,FALSE)</f>
        <v>PYB045</v>
      </c>
      <c r="G119" s="23">
        <f>VLOOKUP($C119,Carpetas!$C$5:$M$2666,10,FALSE)</f>
        <v>0</v>
      </c>
      <c r="H119" s="27">
        <f>VLOOKUP($C119,Carpetas!$C$5:$M$2666,6,FALSE)</f>
        <v>0</v>
      </c>
      <c r="I119" s="220"/>
      <c r="J119" s="47">
        <f>E119+3</f>
        <v>45353</v>
      </c>
      <c r="K119" s="72" t="str">
        <f>VLOOKUP($C119,Carpetas!$C$5:$M$2666,5,FALSE)</f>
        <v>Salto</v>
      </c>
      <c r="L119" s="32"/>
      <c r="M119" s="48">
        <v>45355</v>
      </c>
      <c r="N119" s="26">
        <f t="shared" si="4"/>
        <v>5</v>
      </c>
      <c r="O119" s="27">
        <v>930</v>
      </c>
      <c r="P119" s="27">
        <v>933</v>
      </c>
      <c r="Q119" s="27"/>
      <c r="R119" s="27"/>
      <c r="S119" s="27" t="s">
        <v>462</v>
      </c>
      <c r="T119" s="27"/>
      <c r="U119" s="27"/>
      <c r="V119" s="27" t="s">
        <v>55</v>
      </c>
      <c r="W119" s="27" t="s">
        <v>463</v>
      </c>
      <c r="X119" s="73"/>
      <c r="Y119" s="73" t="e">
        <f>VLOOKUP(X119,Choferes!$B$2:$C$500,2,FALSE)</f>
        <v>#N/A</v>
      </c>
      <c r="Z119" s="73" t="s">
        <v>464</v>
      </c>
    </row>
    <row r="120" spans="1:26" hidden="1" x14ac:dyDescent="0.25">
      <c r="A120" s="33">
        <v>8</v>
      </c>
      <c r="B120" s="71" t="s">
        <v>29</v>
      </c>
      <c r="C120" s="39" t="s">
        <v>465</v>
      </c>
      <c r="D120" s="50" t="s">
        <v>63</v>
      </c>
      <c r="E120" s="47">
        <v>45345</v>
      </c>
      <c r="F120" s="31" t="str">
        <f>VLOOKUP($C120,Carpetas!$C$5:$M$2666,2,FALSE)</f>
        <v>BRA008</v>
      </c>
      <c r="G120" s="23" t="str">
        <f>VLOOKUP($C120,Carpetas!$C$5:$M$2666,10,FALSE)</f>
        <v>148,52,05</v>
      </c>
      <c r="H120" s="27" t="str">
        <f>VLOOKUP($C120,Carpetas!$C$5:$M$2666,6,FALSE)</f>
        <v>Silvio</v>
      </c>
      <c r="I120" s="220"/>
      <c r="J120" s="47">
        <v>45351</v>
      </c>
      <c r="K120" s="72" t="str">
        <f>VLOOKUP($C120,Carpetas!$C$5:$M$2666,5,FALSE)</f>
        <v>Rio Branco</v>
      </c>
      <c r="L120" s="32"/>
      <c r="M120" s="48">
        <v>45356</v>
      </c>
      <c r="N120" s="26">
        <f t="shared" si="4"/>
        <v>11</v>
      </c>
      <c r="O120" s="27">
        <v>1104</v>
      </c>
      <c r="P120" s="27">
        <v>1104</v>
      </c>
      <c r="Q120" s="27"/>
      <c r="R120" s="27"/>
      <c r="S120" s="27" t="s">
        <v>262</v>
      </c>
      <c r="T120" s="27"/>
      <c r="U120" s="27">
        <v>6762</v>
      </c>
      <c r="V120" s="27" t="s">
        <v>466</v>
      </c>
      <c r="W120" s="27" t="s">
        <v>467</v>
      </c>
      <c r="X120" s="73"/>
      <c r="Y120" s="73" t="e">
        <f>VLOOKUP(X120,Choferes!$B$2:$C$500,2,FALSE)</f>
        <v>#N/A</v>
      </c>
      <c r="Z120" s="73" t="s">
        <v>468</v>
      </c>
    </row>
    <row r="121" spans="1:26" hidden="1" x14ac:dyDescent="0.25">
      <c r="A121" s="33">
        <v>8</v>
      </c>
      <c r="B121" s="71" t="s">
        <v>29</v>
      </c>
      <c r="C121" s="39" t="s">
        <v>469</v>
      </c>
      <c r="D121" s="50" t="s">
        <v>63</v>
      </c>
      <c r="E121" s="47">
        <v>45345</v>
      </c>
      <c r="F121" s="31" t="str">
        <f>VLOOKUP($C121,Carpetas!$C$5:$M$2666,2,FALSE)</f>
        <v>BRA008</v>
      </c>
      <c r="G121" s="23" t="str">
        <f>VLOOKUP($C121,Carpetas!$C$5:$M$2666,10,FALSE)</f>
        <v>148,52,05</v>
      </c>
      <c r="H121" s="27" t="str">
        <f>VLOOKUP($C121,Carpetas!$C$5:$M$2666,6,FALSE)</f>
        <v>Silvio</v>
      </c>
      <c r="I121" s="220"/>
      <c r="J121" s="47">
        <v>45351</v>
      </c>
      <c r="K121" s="72" t="str">
        <f>VLOOKUP($C121,Carpetas!$C$5:$M$2666,5,FALSE)</f>
        <v>Rio Branco</v>
      </c>
      <c r="L121" s="32"/>
      <c r="M121" s="48">
        <v>45356</v>
      </c>
      <c r="N121" s="26">
        <f t="shared" si="4"/>
        <v>11</v>
      </c>
      <c r="O121" s="27">
        <v>1104</v>
      </c>
      <c r="P121" s="27">
        <v>1104</v>
      </c>
      <c r="Q121" s="27"/>
      <c r="R121" s="27"/>
      <c r="S121" s="27" t="s">
        <v>262</v>
      </c>
      <c r="T121" s="27"/>
      <c r="U121" s="27">
        <v>6773</v>
      </c>
      <c r="V121" s="27" t="s">
        <v>470</v>
      </c>
      <c r="W121" s="27" t="s">
        <v>471</v>
      </c>
      <c r="X121" s="73"/>
      <c r="Y121" s="73" t="e">
        <f>VLOOKUP(X121,Choferes!$B$2:$C$500,2,FALSE)</f>
        <v>#N/A</v>
      </c>
      <c r="Z121" s="73" t="s">
        <v>468</v>
      </c>
    </row>
    <row r="122" spans="1:26" hidden="1" x14ac:dyDescent="0.25">
      <c r="A122" s="33">
        <v>9</v>
      </c>
      <c r="B122" s="71" t="s">
        <v>29</v>
      </c>
      <c r="C122" s="39" t="s">
        <v>472</v>
      </c>
      <c r="D122" s="50" t="s">
        <v>38</v>
      </c>
      <c r="E122" s="47">
        <v>45349</v>
      </c>
      <c r="F122" s="31" t="str">
        <f>VLOOKUP($C122,Carpetas!$C$5:$M$2666,2,FALSE)</f>
        <v>BRE006</v>
      </c>
      <c r="G122" s="23" t="str">
        <f>VLOOKUP($C122,Carpetas!$C$5:$M$2666,10,FALSE)</f>
        <v>1485292/1485306</v>
      </c>
      <c r="H122" s="27">
        <f>VLOOKUP($C122,Carpetas!$C$5:$M$2666,6,FALSE)</f>
        <v>0</v>
      </c>
      <c r="I122" s="220">
        <f>VLOOKUP($C122,Carpetas!$C$5:$M$2666,4,FALSE)</f>
        <v>0</v>
      </c>
      <c r="J122" s="47">
        <v>45355</v>
      </c>
      <c r="K122" s="72" t="str">
        <f>VLOOKUP($C122,Carpetas!$C$5:$M$2666,5,FALSE)</f>
        <v>Rio Branco</v>
      </c>
      <c r="L122" s="32"/>
      <c r="M122" s="48">
        <f>J122+1</f>
        <v>45356</v>
      </c>
      <c r="N122" s="26">
        <f t="shared" si="4"/>
        <v>7</v>
      </c>
      <c r="O122" s="27">
        <v>1824</v>
      </c>
      <c r="P122" s="27"/>
      <c r="Q122" s="27"/>
      <c r="R122" s="27"/>
      <c r="S122" s="27"/>
      <c r="T122" s="27"/>
      <c r="U122" s="27"/>
      <c r="V122" s="27"/>
      <c r="W122" s="27"/>
      <c r="X122" s="73"/>
      <c r="Y122" s="73" t="e">
        <f>VLOOKUP(X122,Choferes!$B$2:$C$500,2,FALSE)</f>
        <v>#N/A</v>
      </c>
      <c r="Z122" s="73"/>
    </row>
    <row r="123" spans="1:26" hidden="1" x14ac:dyDescent="0.25">
      <c r="A123" s="33">
        <v>8</v>
      </c>
      <c r="B123" s="71" t="s">
        <v>29</v>
      </c>
      <c r="C123" s="39" t="s">
        <v>473</v>
      </c>
      <c r="D123" s="50" t="s">
        <v>63</v>
      </c>
      <c r="E123" s="47">
        <v>45344</v>
      </c>
      <c r="F123" s="31" t="str">
        <f>VLOOKUP($C123,Carpetas!$C$5:$M$2666,2,FALSE)</f>
        <v>BRA008</v>
      </c>
      <c r="G123" s="23" t="str">
        <f>VLOOKUP($C123,Carpetas!$C$5:$M$2666,10,FALSE)</f>
        <v>148,52,05</v>
      </c>
      <c r="H123" s="27" t="str">
        <f>VLOOKUP($C123,Carpetas!$C$5:$M$2666,6,FALSE)</f>
        <v>Silvio</v>
      </c>
      <c r="I123" s="220"/>
      <c r="J123" s="47">
        <f>E123+10</f>
        <v>45354</v>
      </c>
      <c r="K123" s="72" t="str">
        <f>VLOOKUP($C123,Carpetas!$C$5:$M$2666,5,FALSE)</f>
        <v>Rio Branco</v>
      </c>
      <c r="L123" s="32"/>
      <c r="M123" s="48">
        <v>45358</v>
      </c>
      <c r="N123" s="26">
        <f t="shared" si="4"/>
        <v>14</v>
      </c>
      <c r="O123" s="27">
        <v>1104</v>
      </c>
      <c r="P123" s="27">
        <v>1104</v>
      </c>
      <c r="Q123" s="27"/>
      <c r="R123" s="27"/>
      <c r="S123" s="27" t="s">
        <v>262</v>
      </c>
      <c r="T123" s="27"/>
      <c r="U123" s="27">
        <v>6771</v>
      </c>
      <c r="V123" s="27" t="s">
        <v>474</v>
      </c>
      <c r="W123" s="27" t="s">
        <v>475</v>
      </c>
      <c r="X123" s="73"/>
      <c r="Y123" s="73" t="e">
        <f>VLOOKUP(X123,Choferes!$B$2:$C$500,2,FALSE)</f>
        <v>#N/A</v>
      </c>
      <c r="Z123" s="73"/>
    </row>
    <row r="124" spans="1:26" hidden="1" x14ac:dyDescent="0.25">
      <c r="A124" s="33">
        <v>10</v>
      </c>
      <c r="B124" s="71" t="s">
        <v>29</v>
      </c>
      <c r="C124" s="39" t="s">
        <v>476</v>
      </c>
      <c r="D124" s="50" t="s">
        <v>183</v>
      </c>
      <c r="E124" s="47">
        <v>45355</v>
      </c>
      <c r="F124" s="31" t="str">
        <f>VLOOKUP($C124,Carpetas!$C$5:$M$2666,2,FALSE)</f>
        <v>PYB046</v>
      </c>
      <c r="G124" s="23" t="str">
        <f>VLOOKUP($C124,Carpetas!$C$5:$M$2666,10,FALSE)</f>
        <v>148,62,08</v>
      </c>
      <c r="H124" s="27">
        <f>VLOOKUP($C124,Carpetas!$C$5:$M$2666,6,FALSE)</f>
        <v>0</v>
      </c>
      <c r="I124" s="220"/>
      <c r="J124" s="47">
        <v>45357</v>
      </c>
      <c r="K124" s="72" t="str">
        <f>VLOOKUP($C124,Carpetas!$C$5:$M$2666,5,FALSE)</f>
        <v>Salto</v>
      </c>
      <c r="L124" s="32"/>
      <c r="M124" s="48">
        <f>J124+1</f>
        <v>45358</v>
      </c>
      <c r="N124" s="26">
        <f t="shared" si="4"/>
        <v>3</v>
      </c>
      <c r="O124" s="27">
        <v>980</v>
      </c>
      <c r="P124" s="27">
        <v>982</v>
      </c>
      <c r="Q124" s="27"/>
      <c r="R124" s="27"/>
      <c r="S124" s="27" t="s">
        <v>477</v>
      </c>
      <c r="T124" s="27"/>
      <c r="U124" s="27"/>
      <c r="V124" s="27" t="s">
        <v>478</v>
      </c>
      <c r="W124" s="27" t="s">
        <v>479</v>
      </c>
      <c r="X124" s="73"/>
      <c r="Y124" s="73" t="e">
        <f>VLOOKUP(X124,Choferes!$B$2:$C$500,2,FALSE)</f>
        <v>#N/A</v>
      </c>
      <c r="Z124" s="73" t="s">
        <v>480</v>
      </c>
    </row>
    <row r="125" spans="1:26" hidden="1" x14ac:dyDescent="0.25">
      <c r="A125" s="33">
        <v>10</v>
      </c>
      <c r="B125" s="71" t="s">
        <v>29</v>
      </c>
      <c r="C125" s="39" t="s">
        <v>481</v>
      </c>
      <c r="D125" s="50" t="s">
        <v>102</v>
      </c>
      <c r="E125" s="47">
        <v>45355</v>
      </c>
      <c r="F125" s="31" t="str">
        <f>VLOOKUP($C125,Carpetas!$C$5:$M$2666,2,FALSE)</f>
        <v>PYB049</v>
      </c>
      <c r="G125" s="23" t="str">
        <f>VLOOKUP($C125,Carpetas!$C$5:$M$2666,10,FALSE)</f>
        <v>148,61,03</v>
      </c>
      <c r="H125" s="27">
        <f>VLOOKUP($C125,Carpetas!$C$5:$M$2666,6,FALSE)</f>
        <v>0</v>
      </c>
      <c r="I125" s="220"/>
      <c r="J125" s="47">
        <f>E125+3</f>
        <v>45358</v>
      </c>
      <c r="K125" s="72" t="str">
        <f>VLOOKUP($C125,Carpetas!$C$5:$M$2666,5,FALSE)</f>
        <v>Salto</v>
      </c>
      <c r="L125" s="32"/>
      <c r="M125" s="48">
        <f>J125+1</f>
        <v>45359</v>
      </c>
      <c r="N125" s="26">
        <f t="shared" si="4"/>
        <v>4</v>
      </c>
      <c r="O125" s="27">
        <v>980</v>
      </c>
      <c r="P125" s="27">
        <v>982</v>
      </c>
      <c r="Q125" s="27"/>
      <c r="R125" s="27"/>
      <c r="S125" s="27" t="s">
        <v>482</v>
      </c>
      <c r="T125" s="27"/>
      <c r="U125" s="27"/>
      <c r="V125" s="27" t="s">
        <v>483</v>
      </c>
      <c r="W125" s="27" t="s">
        <v>484</v>
      </c>
      <c r="X125" s="73"/>
      <c r="Y125" s="73" t="e">
        <f>VLOOKUP(X125,Choferes!$B$2:$C$500,2,FALSE)</f>
        <v>#N/A</v>
      </c>
      <c r="Z125" s="73" t="s">
        <v>485</v>
      </c>
    </row>
    <row r="126" spans="1:26" hidden="1" x14ac:dyDescent="0.25">
      <c r="A126" s="33">
        <v>10</v>
      </c>
      <c r="B126" s="71" t="s">
        <v>29</v>
      </c>
      <c r="C126" s="39" t="s">
        <v>486</v>
      </c>
      <c r="D126" s="50" t="s">
        <v>42</v>
      </c>
      <c r="E126" s="47">
        <v>45355</v>
      </c>
      <c r="F126" s="31" t="str">
        <f>VLOOKUP($C126,Carpetas!$C$5:$M$2666,2,FALSE)</f>
        <v>PYB048</v>
      </c>
      <c r="G126" s="23" t="str">
        <f>VLOOKUP($C126,Carpetas!$C$5:$M$2666,10,FALSE)</f>
        <v>148,60,72</v>
      </c>
      <c r="H126" s="27">
        <f>VLOOKUP($C126,Carpetas!$C$5:$M$2666,6,FALSE)</f>
        <v>0</v>
      </c>
      <c r="I126" s="220"/>
      <c r="J126" s="47">
        <v>45358</v>
      </c>
      <c r="K126" s="72" t="str">
        <f>VLOOKUP($C126,Carpetas!$C$5:$M$2666,5,FALSE)</f>
        <v>Salto</v>
      </c>
      <c r="L126" s="32"/>
      <c r="M126" s="48">
        <f>J126+1</f>
        <v>45359</v>
      </c>
      <c r="N126" s="26">
        <f t="shared" si="4"/>
        <v>4</v>
      </c>
      <c r="O126" s="27">
        <v>972</v>
      </c>
      <c r="P126" s="27"/>
      <c r="Q126" s="27"/>
      <c r="R126" s="27"/>
      <c r="S126" s="27"/>
      <c r="T126" s="27"/>
      <c r="U126" s="27"/>
      <c r="V126" s="27" t="s">
        <v>487</v>
      </c>
      <c r="W126" s="27" t="s">
        <v>217</v>
      </c>
      <c r="X126" s="73"/>
      <c r="Y126" s="73" t="e">
        <f>VLOOKUP(X126,Choferes!$B$2:$C$500,2,FALSE)</f>
        <v>#N/A</v>
      </c>
      <c r="Z126" s="73" t="s">
        <v>488</v>
      </c>
    </row>
    <row r="127" spans="1:26" hidden="1" x14ac:dyDescent="0.25">
      <c r="A127" s="33">
        <v>10</v>
      </c>
      <c r="B127" s="71" t="s">
        <v>29</v>
      </c>
      <c r="C127" s="39" t="s">
        <v>481</v>
      </c>
      <c r="D127" s="50" t="s">
        <v>102</v>
      </c>
      <c r="E127" s="47">
        <v>45356</v>
      </c>
      <c r="F127" s="31" t="str">
        <f>VLOOKUP($C127,Carpetas!$C$5:$M$2666,2,FALSE)</f>
        <v>PYB049</v>
      </c>
      <c r="G127" s="23" t="str">
        <f>VLOOKUP($C127,Carpetas!$C$5:$M$2666,10,FALSE)</f>
        <v>148,61,03</v>
      </c>
      <c r="H127" s="27">
        <f>VLOOKUP($C127,Carpetas!$C$5:$M$2666,6,FALSE)</f>
        <v>0</v>
      </c>
      <c r="I127" s="220"/>
      <c r="J127" s="47">
        <v>45358</v>
      </c>
      <c r="K127" s="72" t="str">
        <f>VLOOKUP($C127,Carpetas!$C$5:$M$2666,5,FALSE)</f>
        <v>Salto</v>
      </c>
      <c r="L127" s="32"/>
      <c r="M127" s="48">
        <f>J127+1</f>
        <v>45359</v>
      </c>
      <c r="N127" s="26">
        <f t="shared" si="4"/>
        <v>3</v>
      </c>
      <c r="O127" s="27">
        <v>980</v>
      </c>
      <c r="P127" s="27"/>
      <c r="Q127" s="27"/>
      <c r="R127" s="27"/>
      <c r="S127" s="27" t="s">
        <v>489</v>
      </c>
      <c r="T127" s="27"/>
      <c r="U127" s="27"/>
      <c r="V127" s="27" t="s">
        <v>490</v>
      </c>
      <c r="W127" s="27" t="s">
        <v>491</v>
      </c>
      <c r="X127" s="73"/>
      <c r="Y127" s="73" t="e">
        <f>VLOOKUP(X127,Choferes!$B$2:$C$500,2,FALSE)</f>
        <v>#N/A</v>
      </c>
      <c r="Z127" s="73" t="s">
        <v>485</v>
      </c>
    </row>
    <row r="128" spans="1:26" hidden="1" x14ac:dyDescent="0.25">
      <c r="A128" s="33">
        <v>10</v>
      </c>
      <c r="B128" s="71" t="s">
        <v>29</v>
      </c>
      <c r="C128" s="39" t="s">
        <v>476</v>
      </c>
      <c r="D128" s="50" t="s">
        <v>183</v>
      </c>
      <c r="E128" s="47">
        <v>45356</v>
      </c>
      <c r="F128" s="31" t="str">
        <f>VLOOKUP($C128,Carpetas!$C$5:$M$2666,2,FALSE)</f>
        <v>PYB046</v>
      </c>
      <c r="G128" s="23" t="str">
        <f>VLOOKUP($C128,Carpetas!$C$5:$M$2666,10,FALSE)</f>
        <v>148,62,08</v>
      </c>
      <c r="H128" s="27">
        <f>VLOOKUP($C128,Carpetas!$C$5:$M$2666,6,FALSE)</f>
        <v>0</v>
      </c>
      <c r="I128" s="220"/>
      <c r="J128" s="47">
        <v>45358</v>
      </c>
      <c r="K128" s="72" t="str">
        <f>VLOOKUP($C128,Carpetas!$C$5:$M$2666,5,FALSE)</f>
        <v>Salto</v>
      </c>
      <c r="L128" s="32"/>
      <c r="M128" s="48">
        <f>J128+1</f>
        <v>45359</v>
      </c>
      <c r="N128" s="26">
        <f t="shared" si="4"/>
        <v>3</v>
      </c>
      <c r="O128" s="27">
        <v>980</v>
      </c>
      <c r="P128" s="27">
        <v>982</v>
      </c>
      <c r="Q128" s="27"/>
      <c r="R128" s="27"/>
      <c r="S128" s="27" t="s">
        <v>492</v>
      </c>
      <c r="T128" s="27"/>
      <c r="U128" s="27"/>
      <c r="V128" s="27" t="s">
        <v>315</v>
      </c>
      <c r="W128" s="27" t="s">
        <v>316</v>
      </c>
      <c r="X128" s="73"/>
      <c r="Y128" s="73" t="e">
        <f>VLOOKUP(X128,Choferes!$B$2:$C$500,2,FALSE)</f>
        <v>#N/A</v>
      </c>
      <c r="Z128" s="73" t="s">
        <v>485</v>
      </c>
    </row>
    <row r="129" spans="1:26" hidden="1" x14ac:dyDescent="0.25">
      <c r="A129" s="33">
        <v>10</v>
      </c>
      <c r="B129" s="71" t="s">
        <v>29</v>
      </c>
      <c r="C129" s="39" t="s">
        <v>408</v>
      </c>
      <c r="D129" s="50" t="s">
        <v>87</v>
      </c>
      <c r="E129" s="47">
        <v>45356</v>
      </c>
      <c r="F129" s="31" t="str">
        <f>VLOOKUP($C129,Carpetas!$C$5:$M$2666,2,FALSE)</f>
        <v>BRB008</v>
      </c>
      <c r="G129" s="23" t="str">
        <f>VLOOKUP($C129,Carpetas!$C$5:$M$2666,10,FALSE)</f>
        <v>148,51,58</v>
      </c>
      <c r="H129" s="27" t="str">
        <f>VLOOKUP($C129,Carpetas!$C$5:$M$2666,6,FALSE)</f>
        <v>Silvio</v>
      </c>
      <c r="I129" s="220"/>
      <c r="J129" s="47">
        <v>45357</v>
      </c>
      <c r="K129" s="72" t="str">
        <f>VLOOKUP($C129,Carpetas!$C$5:$M$2666,5,FALSE)</f>
        <v>Rio Branco</v>
      </c>
      <c r="L129" s="32"/>
      <c r="M129" s="48">
        <f>J129+1+2</f>
        <v>45360</v>
      </c>
      <c r="N129" s="26">
        <f t="shared" si="4"/>
        <v>4</v>
      </c>
      <c r="O129" s="27">
        <v>918</v>
      </c>
      <c r="P129" s="27">
        <v>919</v>
      </c>
      <c r="Q129" s="27"/>
      <c r="R129" s="27"/>
      <c r="S129" s="27" t="s">
        <v>493</v>
      </c>
      <c r="T129" s="27"/>
      <c r="U129" s="27">
        <v>6760</v>
      </c>
      <c r="V129" s="27" t="s">
        <v>494</v>
      </c>
      <c r="W129" s="27" t="s">
        <v>495</v>
      </c>
      <c r="X129" s="73"/>
      <c r="Y129" s="73" t="e">
        <f>VLOOKUP(X129,Choferes!$B$2:$C$500,2,FALSE)</f>
        <v>#N/A</v>
      </c>
      <c r="Z129" s="73" t="s">
        <v>496</v>
      </c>
    </row>
    <row r="130" spans="1:26" hidden="1" x14ac:dyDescent="0.25">
      <c r="A130" s="33">
        <v>10</v>
      </c>
      <c r="B130" s="71" t="s">
        <v>29</v>
      </c>
      <c r="C130" s="39" t="s">
        <v>497</v>
      </c>
      <c r="D130" s="50" t="s">
        <v>31</v>
      </c>
      <c r="E130" s="47">
        <v>45356</v>
      </c>
      <c r="F130" s="31" t="str">
        <f>VLOOKUP($C130,Carpetas!$C$5:$M$2666,2,FALSE)</f>
        <v>BRB009</v>
      </c>
      <c r="G130" s="23" t="str">
        <f>VLOOKUP($C130,Carpetas!$C$5:$M$2666,10,FALSE)</f>
        <v>148,63,71</v>
      </c>
      <c r="H130" s="27" t="str">
        <f>VLOOKUP($C130,Carpetas!$C$5:$M$2666,6,FALSE)</f>
        <v>Silvio</v>
      </c>
      <c r="I130" s="220"/>
      <c r="J130" s="47">
        <v>45357</v>
      </c>
      <c r="K130" s="72" t="str">
        <f>VLOOKUP($C130,Carpetas!$C$5:$M$2666,5,FALSE)</f>
        <v>Rio Branco</v>
      </c>
      <c r="L130" s="32"/>
      <c r="M130" s="48">
        <f>J130+1+2</f>
        <v>45360</v>
      </c>
      <c r="N130" s="26">
        <f t="shared" si="4"/>
        <v>4</v>
      </c>
      <c r="O130" s="27">
        <v>918</v>
      </c>
      <c r="P130" s="27">
        <v>918</v>
      </c>
      <c r="Q130" s="27"/>
      <c r="R130" s="27"/>
      <c r="S130" s="27" t="s">
        <v>498</v>
      </c>
      <c r="T130" s="27"/>
      <c r="U130" s="27">
        <v>6783</v>
      </c>
      <c r="V130" s="27" t="s">
        <v>499</v>
      </c>
      <c r="W130" s="27" t="s">
        <v>500</v>
      </c>
      <c r="X130" s="73"/>
      <c r="Y130" s="73" t="e">
        <f>VLOOKUP(X130,Choferes!$B$2:$C$500,2,FALSE)</f>
        <v>#N/A</v>
      </c>
      <c r="Z130" s="73" t="s">
        <v>501</v>
      </c>
    </row>
    <row r="131" spans="1:26" ht="30" hidden="1" x14ac:dyDescent="0.25">
      <c r="A131" s="33">
        <v>10</v>
      </c>
      <c r="B131" s="71" t="s">
        <v>29</v>
      </c>
      <c r="C131" s="39" t="s">
        <v>502</v>
      </c>
      <c r="D131" s="50" t="s">
        <v>78</v>
      </c>
      <c r="E131" s="47">
        <v>45356</v>
      </c>
      <c r="F131" s="31" t="str">
        <f>VLOOKUP($C131,Carpetas!$C$5:$M$2666,2,FALSE)</f>
        <v>BRB010</v>
      </c>
      <c r="G131" s="23" t="str">
        <f>VLOOKUP($C131,Carpetas!$C$5:$M$2666,10,FALSE)</f>
        <v>148,63,72</v>
      </c>
      <c r="H131" s="27" t="str">
        <f>VLOOKUP($C131,Carpetas!$C$5:$M$2666,6,FALSE)</f>
        <v>Zanini</v>
      </c>
      <c r="I131" s="220"/>
      <c r="J131" s="47">
        <v>45358</v>
      </c>
      <c r="K131" s="72" t="str">
        <f>VLOOKUP($C131,Carpetas!$C$5:$M$2666,5,FALSE)</f>
        <v>Rio Branco</v>
      </c>
      <c r="L131" s="32"/>
      <c r="M131" s="48">
        <f>J131+1+1</f>
        <v>45360</v>
      </c>
      <c r="N131" s="26">
        <f t="shared" si="4"/>
        <v>4</v>
      </c>
      <c r="O131" s="27">
        <v>900</v>
      </c>
      <c r="P131" s="27">
        <v>900</v>
      </c>
      <c r="Q131" s="27"/>
      <c r="R131" s="27"/>
      <c r="S131" s="27" t="s">
        <v>503</v>
      </c>
      <c r="T131" s="27"/>
      <c r="U131" s="27">
        <v>4281</v>
      </c>
      <c r="V131" s="27" t="s">
        <v>504</v>
      </c>
      <c r="W131" s="27" t="s">
        <v>505</v>
      </c>
      <c r="X131" s="73"/>
      <c r="Y131" s="73" t="e">
        <f>VLOOKUP(X131,Choferes!$B$2:$C$500,2,FALSE)</f>
        <v>#N/A</v>
      </c>
      <c r="Z131" s="73" t="s">
        <v>506</v>
      </c>
    </row>
    <row r="132" spans="1:26" hidden="1" x14ac:dyDescent="0.25">
      <c r="A132" s="33">
        <v>10</v>
      </c>
      <c r="B132" s="71" t="s">
        <v>29</v>
      </c>
      <c r="C132" s="39" t="s">
        <v>486</v>
      </c>
      <c r="D132" s="50" t="s">
        <v>42</v>
      </c>
      <c r="E132" s="47">
        <v>45356</v>
      </c>
      <c r="F132" s="31" t="str">
        <f>VLOOKUP($C132,Carpetas!$C$5:$M$2666,2,FALSE)</f>
        <v>PYB048</v>
      </c>
      <c r="G132" s="23" t="str">
        <f>VLOOKUP($C132,Carpetas!$C$5:$M$2666,10,FALSE)</f>
        <v>148,60,72</v>
      </c>
      <c r="H132" s="27">
        <f>VLOOKUP($C132,Carpetas!$C$5:$M$2666,6,FALSE)</f>
        <v>0</v>
      </c>
      <c r="I132" s="220"/>
      <c r="J132" s="47">
        <v>45359</v>
      </c>
      <c r="K132" s="72" t="str">
        <f>VLOOKUP($C132,Carpetas!$C$5:$M$2666,5,FALSE)</f>
        <v>Salto</v>
      </c>
      <c r="L132" s="32"/>
      <c r="M132" s="48">
        <f t="shared" ref="M132:M143" si="5">J132+1</f>
        <v>45360</v>
      </c>
      <c r="N132" s="26">
        <f t="shared" si="4"/>
        <v>4</v>
      </c>
      <c r="O132" s="27">
        <v>972</v>
      </c>
      <c r="P132" s="27">
        <v>972</v>
      </c>
      <c r="Q132" s="27"/>
      <c r="R132" s="27"/>
      <c r="S132" s="27" t="s">
        <v>507</v>
      </c>
      <c r="T132" s="27"/>
      <c r="U132" s="27"/>
      <c r="V132" s="27" t="s">
        <v>508</v>
      </c>
      <c r="W132" s="27" t="s">
        <v>509</v>
      </c>
      <c r="X132" s="73"/>
      <c r="Y132" s="73" t="e">
        <f>VLOOKUP(X132,Choferes!$B$2:$C$500,2,FALSE)</f>
        <v>#N/A</v>
      </c>
      <c r="Z132" s="73" t="s">
        <v>510</v>
      </c>
    </row>
    <row r="133" spans="1:26" hidden="1" x14ac:dyDescent="0.25">
      <c r="A133" s="33">
        <v>10</v>
      </c>
      <c r="B133" s="71" t="s">
        <v>29</v>
      </c>
      <c r="C133" s="39" t="s">
        <v>511</v>
      </c>
      <c r="D133" s="50" t="s">
        <v>102</v>
      </c>
      <c r="E133" s="47">
        <v>45356</v>
      </c>
      <c r="F133" s="31" t="str">
        <f>VLOOKUP($C133,Carpetas!$C$5:$M$2666,2,FALSE)</f>
        <v>PYB050</v>
      </c>
      <c r="G133" s="23" t="str">
        <f>VLOOKUP($C133,Carpetas!$C$5:$M$2666,10,FALSE)</f>
        <v>148,63,18</v>
      </c>
      <c r="H133" s="27">
        <f>VLOOKUP($C133,Carpetas!$C$5:$M$2666,6,FALSE)</f>
        <v>0</v>
      </c>
      <c r="I133" s="220"/>
      <c r="J133" s="47">
        <f>E133+3</f>
        <v>45359</v>
      </c>
      <c r="K133" s="72" t="str">
        <f>VLOOKUP($C133,Carpetas!$C$5:$M$2666,5,FALSE)</f>
        <v>Salto</v>
      </c>
      <c r="L133" s="32"/>
      <c r="M133" s="48">
        <f t="shared" si="5"/>
        <v>45360</v>
      </c>
      <c r="N133" s="26">
        <f t="shared" ref="N133:N196" si="6">IF(E133&lt;&gt;"",M133-E133,"-")</f>
        <v>4</v>
      </c>
      <c r="O133" s="27">
        <v>980</v>
      </c>
      <c r="P133" s="27">
        <v>980</v>
      </c>
      <c r="Q133" s="27"/>
      <c r="R133" s="27"/>
      <c r="S133" s="27" t="s">
        <v>512</v>
      </c>
      <c r="T133" s="27"/>
      <c r="U133" s="27"/>
      <c r="V133" s="27" t="s">
        <v>161</v>
      </c>
      <c r="W133" s="27" t="s">
        <v>162</v>
      </c>
      <c r="X133" s="73"/>
      <c r="Y133" s="73" t="e">
        <f>VLOOKUP(X133,Choferes!$B$2:$C$500,2,FALSE)</f>
        <v>#N/A</v>
      </c>
      <c r="Z133" s="74" t="s">
        <v>513</v>
      </c>
    </row>
    <row r="134" spans="1:26" hidden="1" x14ac:dyDescent="0.25">
      <c r="A134" s="33">
        <v>10</v>
      </c>
      <c r="B134" s="71" t="s">
        <v>29</v>
      </c>
      <c r="C134" s="39" t="s">
        <v>514</v>
      </c>
      <c r="D134" s="50" t="s">
        <v>48</v>
      </c>
      <c r="E134" s="47">
        <v>45356</v>
      </c>
      <c r="F134" s="31" t="str">
        <f>VLOOKUP($C134,Carpetas!$C$5:$M$2666,2,FALSE)</f>
        <v>PYB047</v>
      </c>
      <c r="G134" s="23" t="str">
        <f>VLOOKUP($C134,Carpetas!$C$5:$M$2666,10,FALSE)</f>
        <v>148,61,02</v>
      </c>
      <c r="H134" s="27">
        <f>VLOOKUP($C134,Carpetas!$C$5:$M$2666,6,FALSE)</f>
        <v>0</v>
      </c>
      <c r="I134" s="220"/>
      <c r="J134" s="47">
        <v>45359</v>
      </c>
      <c r="K134" s="72" t="str">
        <f>VLOOKUP($C134,Carpetas!$C$5:$M$2666,5,FALSE)</f>
        <v>Salto</v>
      </c>
      <c r="L134" s="32"/>
      <c r="M134" s="48">
        <f t="shared" si="5"/>
        <v>45360</v>
      </c>
      <c r="N134" s="26">
        <f t="shared" si="6"/>
        <v>4</v>
      </c>
      <c r="O134" s="27">
        <v>930</v>
      </c>
      <c r="P134" s="27">
        <v>930</v>
      </c>
      <c r="Q134" s="27"/>
      <c r="R134" s="27"/>
      <c r="S134" s="27" t="s">
        <v>515</v>
      </c>
      <c r="T134" s="27"/>
      <c r="U134" s="27"/>
      <c r="V134" s="27" t="s">
        <v>400</v>
      </c>
      <c r="W134" s="27" t="s">
        <v>180</v>
      </c>
      <c r="X134" s="73"/>
      <c r="Y134" s="73" t="e">
        <f>VLOOKUP(X134,Choferes!$B$2:$C$500,2,FALSE)</f>
        <v>#N/A</v>
      </c>
      <c r="Z134" s="73" t="s">
        <v>516</v>
      </c>
    </row>
    <row r="135" spans="1:26" hidden="1" x14ac:dyDescent="0.25">
      <c r="A135" s="33">
        <v>10</v>
      </c>
      <c r="B135" s="71" t="s">
        <v>29</v>
      </c>
      <c r="C135" s="39" t="s">
        <v>514</v>
      </c>
      <c r="D135" s="50" t="s">
        <v>48</v>
      </c>
      <c r="E135" s="47">
        <v>45357</v>
      </c>
      <c r="F135" s="31" t="str">
        <f>VLOOKUP($C135,Carpetas!$C$5:$M$2666,2,FALSE)</f>
        <v>PYB047</v>
      </c>
      <c r="G135" s="23" t="str">
        <f>VLOOKUP($C135,Carpetas!$C$5:$M$2666,10,FALSE)</f>
        <v>148,61,02</v>
      </c>
      <c r="H135" s="27">
        <f>VLOOKUP($C135,Carpetas!$C$5:$M$2666,6,FALSE)</f>
        <v>0</v>
      </c>
      <c r="I135" s="220"/>
      <c r="J135" s="47">
        <v>45359</v>
      </c>
      <c r="K135" s="72" t="str">
        <f>VLOOKUP($C135,Carpetas!$C$5:$M$2666,5,FALSE)</f>
        <v>Salto</v>
      </c>
      <c r="L135" s="32"/>
      <c r="M135" s="48">
        <f t="shared" si="5"/>
        <v>45360</v>
      </c>
      <c r="N135" s="26">
        <f t="shared" si="6"/>
        <v>3</v>
      </c>
      <c r="O135" s="27">
        <v>930</v>
      </c>
      <c r="P135" s="27">
        <v>933</v>
      </c>
      <c r="Q135" s="27"/>
      <c r="R135" s="27"/>
      <c r="S135" s="27" t="s">
        <v>517</v>
      </c>
      <c r="T135" s="27"/>
      <c r="U135" s="27"/>
      <c r="V135" s="27" t="s">
        <v>360</v>
      </c>
      <c r="W135" s="27" t="s">
        <v>94</v>
      </c>
      <c r="X135" s="73"/>
      <c r="Y135" s="73" t="e">
        <f>VLOOKUP(X135,Choferes!$B$2:$C$500,2,FALSE)</f>
        <v>#N/A</v>
      </c>
      <c r="Z135" s="73" t="s">
        <v>518</v>
      </c>
    </row>
    <row r="136" spans="1:26" hidden="1" x14ac:dyDescent="0.25">
      <c r="A136" s="33">
        <v>10</v>
      </c>
      <c r="B136" s="71" t="s">
        <v>29</v>
      </c>
      <c r="C136" s="39" t="s">
        <v>502</v>
      </c>
      <c r="D136" s="50" t="s">
        <v>258</v>
      </c>
      <c r="E136" s="47">
        <v>45358</v>
      </c>
      <c r="F136" s="31" t="str">
        <f>VLOOKUP($C136,Carpetas!$C$5:$M$2666,2,FALSE)</f>
        <v>BRB010</v>
      </c>
      <c r="G136" s="23" t="str">
        <f>VLOOKUP($C136,Carpetas!$C$5:$M$2666,10,FALSE)</f>
        <v>148,63,72</v>
      </c>
      <c r="H136" s="27" t="str">
        <f>VLOOKUP($C136,Carpetas!$C$5:$M$2666,6,FALSE)</f>
        <v>Zanini</v>
      </c>
      <c r="I136" s="220"/>
      <c r="J136" s="47">
        <f>E136+3</f>
        <v>45361</v>
      </c>
      <c r="K136" s="72" t="str">
        <f>VLOOKUP($C136,Carpetas!$C$5:$M$2666,5,FALSE)</f>
        <v>Rio Branco</v>
      </c>
      <c r="L136" s="32"/>
      <c r="M136" s="48">
        <f t="shared" si="5"/>
        <v>45362</v>
      </c>
      <c r="N136" s="26">
        <f t="shared" si="6"/>
        <v>4</v>
      </c>
      <c r="O136" s="27">
        <v>900</v>
      </c>
      <c r="P136" s="27">
        <v>900</v>
      </c>
      <c r="Q136" s="27"/>
      <c r="R136" s="27"/>
      <c r="S136" s="27" t="s">
        <v>519</v>
      </c>
      <c r="T136" s="27"/>
      <c r="U136" s="27">
        <v>4282</v>
      </c>
      <c r="V136" s="27" t="s">
        <v>349</v>
      </c>
      <c r="W136" s="27" t="s">
        <v>350</v>
      </c>
      <c r="X136" s="73"/>
      <c r="Y136" s="73" t="e">
        <f>VLOOKUP(X136,Choferes!$B$2:$C$500,2,FALSE)</f>
        <v>#N/A</v>
      </c>
      <c r="Z136" s="73" t="s">
        <v>520</v>
      </c>
    </row>
    <row r="137" spans="1:26" hidden="1" x14ac:dyDescent="0.25">
      <c r="A137" s="33">
        <v>10</v>
      </c>
      <c r="B137" s="71" t="s">
        <v>29</v>
      </c>
      <c r="C137" s="39" t="s">
        <v>521</v>
      </c>
      <c r="D137" s="50" t="s">
        <v>183</v>
      </c>
      <c r="E137" s="47">
        <v>45360</v>
      </c>
      <c r="F137" s="31" t="str">
        <f>VLOOKUP($C137,Carpetas!$C$5:$M$2666,2,FALSE)</f>
        <v>PYB052</v>
      </c>
      <c r="G137" s="23">
        <f>VLOOKUP($C137,Carpetas!$C$5:$M$2666,10,FALSE)</f>
        <v>1486718</v>
      </c>
      <c r="H137" s="27">
        <f>VLOOKUP($C137,Carpetas!$C$5:$M$2666,6,FALSE)</f>
        <v>0</v>
      </c>
      <c r="I137" s="220"/>
      <c r="J137" s="47">
        <f>E137+3</f>
        <v>45363</v>
      </c>
      <c r="K137" s="72" t="str">
        <f>VLOOKUP($C137,Carpetas!$C$5:$M$2666,5,FALSE)</f>
        <v>Salto</v>
      </c>
      <c r="L137" s="32"/>
      <c r="M137" s="48">
        <f t="shared" si="5"/>
        <v>45364</v>
      </c>
      <c r="N137" s="26">
        <f t="shared" si="6"/>
        <v>4</v>
      </c>
      <c r="O137" s="27">
        <v>980</v>
      </c>
      <c r="P137" s="27">
        <v>980</v>
      </c>
      <c r="Q137" s="27"/>
      <c r="R137" s="27"/>
      <c r="S137" s="27" t="s">
        <v>522</v>
      </c>
      <c r="T137" s="27"/>
      <c r="U137" s="27"/>
      <c r="V137" s="27" t="s">
        <v>523</v>
      </c>
      <c r="W137" s="27" t="s">
        <v>524</v>
      </c>
      <c r="X137" s="73"/>
      <c r="Y137" s="73" t="e">
        <f>VLOOKUP(X137,Choferes!$B$2:$C$500,2,FALSE)</f>
        <v>#N/A</v>
      </c>
      <c r="Z137" s="73" t="s">
        <v>525</v>
      </c>
    </row>
    <row r="138" spans="1:26" hidden="1" x14ac:dyDescent="0.25">
      <c r="A138" s="33">
        <v>10</v>
      </c>
      <c r="B138" s="71" t="s">
        <v>29</v>
      </c>
      <c r="C138" s="39" t="s">
        <v>526</v>
      </c>
      <c r="D138" s="50" t="s">
        <v>121</v>
      </c>
      <c r="E138" s="47">
        <v>45360</v>
      </c>
      <c r="F138" s="31" t="str">
        <f>VLOOKUP($C138,Carpetas!$C$5:$M$2666,2,FALSE)</f>
        <v>PYB051</v>
      </c>
      <c r="G138" s="23" t="str">
        <f>VLOOKUP($C138,Carpetas!$C$5:$M$2666,10,FALSE)</f>
        <v>148.64.24</v>
      </c>
      <c r="H138" s="27">
        <f>VLOOKUP($C138,Carpetas!$C$5:$M$2666,6,FALSE)</f>
        <v>0</v>
      </c>
      <c r="I138" s="220"/>
      <c r="J138" s="47">
        <v>45364</v>
      </c>
      <c r="K138" s="72" t="str">
        <f>VLOOKUP($C138,Carpetas!$C$5:$M$2666,5,FALSE)</f>
        <v>Salto</v>
      </c>
      <c r="L138" s="32"/>
      <c r="M138" s="48">
        <f t="shared" si="5"/>
        <v>45365</v>
      </c>
      <c r="N138" s="26">
        <f t="shared" si="6"/>
        <v>5</v>
      </c>
      <c r="O138" s="27">
        <v>980</v>
      </c>
      <c r="P138" s="27">
        <v>981</v>
      </c>
      <c r="Q138" s="27"/>
      <c r="R138" s="27"/>
      <c r="S138" s="27" t="s">
        <v>527</v>
      </c>
      <c r="T138" s="27"/>
      <c r="U138" s="27"/>
      <c r="V138" s="27" t="s">
        <v>528</v>
      </c>
      <c r="W138" s="27" t="s">
        <v>529</v>
      </c>
      <c r="X138" s="73"/>
      <c r="Y138" s="73" t="e">
        <f>VLOOKUP(X138,Choferes!$B$2:$C$500,2,FALSE)</f>
        <v>#N/A</v>
      </c>
      <c r="Z138" s="73" t="s">
        <v>530</v>
      </c>
    </row>
    <row r="139" spans="1:26" hidden="1" x14ac:dyDescent="0.25">
      <c r="A139" s="33">
        <v>11</v>
      </c>
      <c r="B139" s="71" t="s">
        <v>29</v>
      </c>
      <c r="C139" s="39" t="s">
        <v>531</v>
      </c>
      <c r="D139" s="50" t="s">
        <v>102</v>
      </c>
      <c r="E139" s="47">
        <v>45362</v>
      </c>
      <c r="F139" s="31" t="str">
        <f>VLOOKUP($C139,Carpetas!$C$5:$M$2666,2,FALSE)</f>
        <v>PYB054</v>
      </c>
      <c r="G139" s="23" t="str">
        <f>VLOOKUP($C139,Carpetas!$C$5:$M$2666,10,FALSE)</f>
        <v>148.67,07</v>
      </c>
      <c r="H139" s="27">
        <f>VLOOKUP($C139,Carpetas!$C$5:$M$2666,6,FALSE)</f>
        <v>0</v>
      </c>
      <c r="I139" s="220"/>
      <c r="J139" s="47">
        <v>45364</v>
      </c>
      <c r="K139" s="72" t="str">
        <f>VLOOKUP($C139,Carpetas!$C$5:$M$2666,5,FALSE)</f>
        <v>Salto</v>
      </c>
      <c r="L139" s="32"/>
      <c r="M139" s="48">
        <f t="shared" si="5"/>
        <v>45365</v>
      </c>
      <c r="N139" s="26">
        <f t="shared" si="6"/>
        <v>3</v>
      </c>
      <c r="O139" s="27">
        <v>980</v>
      </c>
      <c r="P139" s="27">
        <v>981</v>
      </c>
      <c r="Q139" s="27"/>
      <c r="R139" s="27"/>
      <c r="S139" s="27" t="s">
        <v>532</v>
      </c>
      <c r="T139" s="27"/>
      <c r="U139" s="27"/>
      <c r="V139" s="27" t="s">
        <v>288</v>
      </c>
      <c r="W139" s="27" t="s">
        <v>289</v>
      </c>
      <c r="X139" s="73"/>
      <c r="Y139" s="73" t="e">
        <f>VLOOKUP(X139,Choferes!$B$2:$C$500,2,FALSE)</f>
        <v>#N/A</v>
      </c>
      <c r="Z139" s="73" t="s">
        <v>533</v>
      </c>
    </row>
    <row r="140" spans="1:26" ht="30" hidden="1" x14ac:dyDescent="0.25">
      <c r="A140" s="33">
        <v>10</v>
      </c>
      <c r="B140" s="71" t="s">
        <v>29</v>
      </c>
      <c r="C140" s="39" t="s">
        <v>534</v>
      </c>
      <c r="D140" s="50" t="s">
        <v>121</v>
      </c>
      <c r="E140" s="47">
        <v>45360</v>
      </c>
      <c r="F140" s="31" t="str">
        <f>VLOOKUP($C140,Carpetas!$C$5:$M$2666,2,FALSE)</f>
        <v>PYB051</v>
      </c>
      <c r="G140" s="23" t="str">
        <f>VLOOKUP($C140,Carpetas!$C$5:$M$2666,10,FALSE)</f>
        <v>148.64.24</v>
      </c>
      <c r="H140" s="27">
        <f>VLOOKUP($C140,Carpetas!$C$5:$M$2666,6,FALSE)</f>
        <v>0</v>
      </c>
      <c r="I140" s="220"/>
      <c r="J140" s="47">
        <v>45365</v>
      </c>
      <c r="K140" s="72" t="str">
        <f>VLOOKUP($C140,Carpetas!$C$5:$M$2666,5,FALSE)</f>
        <v>Salto</v>
      </c>
      <c r="L140" s="32"/>
      <c r="M140" s="48">
        <f t="shared" si="5"/>
        <v>45366</v>
      </c>
      <c r="N140" s="26">
        <f t="shared" si="6"/>
        <v>6</v>
      </c>
      <c r="O140" s="27">
        <v>980</v>
      </c>
      <c r="P140" s="27">
        <v>982</v>
      </c>
      <c r="Q140" s="27"/>
      <c r="R140" s="27"/>
      <c r="S140" s="27" t="s">
        <v>535</v>
      </c>
      <c r="T140" s="27"/>
      <c r="U140" s="27"/>
      <c r="V140" s="27" t="s">
        <v>536</v>
      </c>
      <c r="W140" s="27" t="s">
        <v>537</v>
      </c>
      <c r="X140" s="73"/>
      <c r="Y140" s="73" t="e">
        <f>VLOOKUP(X140,Choferes!$B$2:$C$500,2,FALSE)</f>
        <v>#N/A</v>
      </c>
      <c r="Z140" s="73" t="s">
        <v>538</v>
      </c>
    </row>
    <row r="141" spans="1:26" hidden="1" x14ac:dyDescent="0.25">
      <c r="A141" s="33">
        <v>11</v>
      </c>
      <c r="B141" s="71" t="s">
        <v>29</v>
      </c>
      <c r="C141" s="39" t="s">
        <v>521</v>
      </c>
      <c r="D141" s="50" t="s">
        <v>183</v>
      </c>
      <c r="E141" s="47">
        <v>45362</v>
      </c>
      <c r="F141" s="31" t="str">
        <f>VLOOKUP($C141,Carpetas!$C$5:$M$2666,2,FALSE)</f>
        <v>PYB052</v>
      </c>
      <c r="G141" s="23">
        <f>VLOOKUP($C141,Carpetas!$C$5:$M$2666,10,FALSE)</f>
        <v>1486718</v>
      </c>
      <c r="H141" s="27">
        <f>VLOOKUP($C141,Carpetas!$C$5:$M$2666,6,FALSE)</f>
        <v>0</v>
      </c>
      <c r="I141" s="220"/>
      <c r="J141" s="47">
        <f>E141+3</f>
        <v>45365</v>
      </c>
      <c r="K141" s="72" t="str">
        <f>VLOOKUP($C141,Carpetas!$C$5:$M$2666,5,FALSE)</f>
        <v>Salto</v>
      </c>
      <c r="L141" s="32"/>
      <c r="M141" s="48">
        <f t="shared" si="5"/>
        <v>45366</v>
      </c>
      <c r="N141" s="26">
        <f t="shared" si="6"/>
        <v>4</v>
      </c>
      <c r="O141" s="27">
        <v>980</v>
      </c>
      <c r="P141" s="27">
        <v>982</v>
      </c>
      <c r="Q141" s="27"/>
      <c r="R141" s="27"/>
      <c r="S141" s="27" t="s">
        <v>539</v>
      </c>
      <c r="T141" s="27"/>
      <c r="U141" s="27"/>
      <c r="V141" s="27" t="s">
        <v>540</v>
      </c>
      <c r="W141" s="27" t="s">
        <v>438</v>
      </c>
      <c r="X141" s="73"/>
      <c r="Y141" s="73" t="e">
        <f>VLOOKUP(X141,Choferes!$B$2:$C$500,2,FALSE)</f>
        <v>#N/A</v>
      </c>
      <c r="Z141" s="73" t="s">
        <v>541</v>
      </c>
    </row>
    <row r="142" spans="1:26" hidden="1" x14ac:dyDescent="0.25">
      <c r="A142" s="33">
        <v>11</v>
      </c>
      <c r="B142" s="71" t="s">
        <v>29</v>
      </c>
      <c r="C142" s="39" t="s">
        <v>521</v>
      </c>
      <c r="D142" s="50" t="s">
        <v>183</v>
      </c>
      <c r="E142" s="47">
        <v>45363</v>
      </c>
      <c r="F142" s="31" t="str">
        <f>VLOOKUP($C142,Carpetas!$C$5:$M$2666,2,FALSE)</f>
        <v>PYB052</v>
      </c>
      <c r="G142" s="23">
        <f>VLOOKUP($C142,Carpetas!$C$5:$M$2666,10,FALSE)</f>
        <v>1486718</v>
      </c>
      <c r="H142" s="27">
        <f>VLOOKUP($C142,Carpetas!$C$5:$M$2666,6,FALSE)</f>
        <v>0</v>
      </c>
      <c r="I142" s="220"/>
      <c r="J142" s="47">
        <v>45365</v>
      </c>
      <c r="K142" s="72" t="str">
        <f>VLOOKUP($C142,Carpetas!$C$5:$M$2666,5,FALSE)</f>
        <v>Salto</v>
      </c>
      <c r="L142" s="32"/>
      <c r="M142" s="48">
        <f t="shared" si="5"/>
        <v>45366</v>
      </c>
      <c r="N142" s="26">
        <f t="shared" si="6"/>
        <v>3</v>
      </c>
      <c r="O142" s="27">
        <v>980</v>
      </c>
      <c r="P142" s="27">
        <v>982</v>
      </c>
      <c r="Q142" s="27"/>
      <c r="R142" s="27"/>
      <c r="S142" s="27" t="s">
        <v>542</v>
      </c>
      <c r="T142" s="27"/>
      <c r="U142" s="27"/>
      <c r="V142" s="27" t="s">
        <v>543</v>
      </c>
      <c r="W142" s="27" t="s">
        <v>544</v>
      </c>
      <c r="X142" s="73"/>
      <c r="Y142" s="73" t="e">
        <f>VLOOKUP(X142,Choferes!$B$2:$C$500,2,FALSE)</f>
        <v>#N/A</v>
      </c>
      <c r="Z142" s="73" t="s">
        <v>545</v>
      </c>
    </row>
    <row r="143" spans="1:26" hidden="1" x14ac:dyDescent="0.25">
      <c r="A143" s="33">
        <v>11</v>
      </c>
      <c r="B143" s="71" t="s">
        <v>29</v>
      </c>
      <c r="C143" s="39" t="s">
        <v>531</v>
      </c>
      <c r="D143" s="50" t="s">
        <v>102</v>
      </c>
      <c r="E143" s="47">
        <v>45363</v>
      </c>
      <c r="F143" s="31" t="str">
        <f>VLOOKUP($C143,Carpetas!$C$5:$M$2666,2,FALSE)</f>
        <v>PYB054</v>
      </c>
      <c r="G143" s="23" t="str">
        <f>VLOOKUP($C143,Carpetas!$C$5:$M$2666,10,FALSE)</f>
        <v>148.67,07</v>
      </c>
      <c r="H143" s="27">
        <f>VLOOKUP($C143,Carpetas!$C$5:$M$2666,6,FALSE)</f>
        <v>0</v>
      </c>
      <c r="I143" s="220"/>
      <c r="J143" s="47">
        <v>45365</v>
      </c>
      <c r="K143" s="72" t="str">
        <f>VLOOKUP($C143,Carpetas!$C$5:$M$2666,5,FALSE)</f>
        <v>Salto</v>
      </c>
      <c r="L143" s="32"/>
      <c r="M143" s="48">
        <f t="shared" si="5"/>
        <v>45366</v>
      </c>
      <c r="N143" s="26">
        <f t="shared" si="6"/>
        <v>3</v>
      </c>
      <c r="O143" s="27">
        <v>980</v>
      </c>
      <c r="P143" s="27">
        <v>980</v>
      </c>
      <c r="Q143" s="27"/>
      <c r="R143" s="27"/>
      <c r="S143" s="27" t="s">
        <v>546</v>
      </c>
      <c r="T143" s="27"/>
      <c r="U143" s="27"/>
      <c r="V143" s="27" t="s">
        <v>272</v>
      </c>
      <c r="W143" s="27"/>
      <c r="X143" s="73"/>
      <c r="Y143" s="73" t="e">
        <f>VLOOKUP(X143,Choferes!$B$2:$C$500,2,FALSE)</f>
        <v>#N/A</v>
      </c>
      <c r="Z143" s="73" t="s">
        <v>547</v>
      </c>
    </row>
    <row r="144" spans="1:26" hidden="1" x14ac:dyDescent="0.25">
      <c r="A144" s="33">
        <v>11</v>
      </c>
      <c r="B144" s="71" t="s">
        <v>29</v>
      </c>
      <c r="C144" s="39" t="s">
        <v>497</v>
      </c>
      <c r="D144" s="50" t="s">
        <v>31</v>
      </c>
      <c r="E144" s="47">
        <v>45363</v>
      </c>
      <c r="F144" s="31" t="str">
        <f>VLOOKUP($C144,Carpetas!$C$5:$M$2666,2,FALSE)</f>
        <v>BRB009</v>
      </c>
      <c r="G144" s="23" t="str">
        <f>VLOOKUP($C144,Carpetas!$C$5:$M$2666,10,FALSE)</f>
        <v>148,63,71</v>
      </c>
      <c r="H144" s="27" t="str">
        <f>VLOOKUP($C144,Carpetas!$C$5:$M$2666,6,FALSE)</f>
        <v>Silvio</v>
      </c>
      <c r="I144" s="220"/>
      <c r="J144" s="47">
        <v>45365</v>
      </c>
      <c r="K144" s="72" t="str">
        <f>VLOOKUP($C144,Carpetas!$C$5:$M$2666,5,FALSE)</f>
        <v>Rio Branco</v>
      </c>
      <c r="L144" s="32"/>
      <c r="M144" s="48">
        <f>J144+1+1</f>
        <v>45367</v>
      </c>
      <c r="N144" s="26">
        <f t="shared" si="6"/>
        <v>4</v>
      </c>
      <c r="O144" s="27">
        <v>918</v>
      </c>
      <c r="P144" s="27">
        <v>919</v>
      </c>
      <c r="Q144" s="27"/>
      <c r="R144" s="27"/>
      <c r="S144" s="27" t="s">
        <v>548</v>
      </c>
      <c r="T144" s="27"/>
      <c r="U144" s="27">
        <v>6784</v>
      </c>
      <c r="V144" s="27" t="s">
        <v>549</v>
      </c>
      <c r="W144" s="27" t="s">
        <v>550</v>
      </c>
      <c r="X144" s="73"/>
      <c r="Y144" s="73" t="e">
        <f>VLOOKUP(X144,Choferes!$B$2:$C$500,2,FALSE)</f>
        <v>#N/A</v>
      </c>
      <c r="Z144" s="73" t="s">
        <v>551</v>
      </c>
    </row>
    <row r="145" spans="1:26" ht="30" hidden="1" x14ac:dyDescent="0.25">
      <c r="A145" s="33">
        <v>11</v>
      </c>
      <c r="B145" s="71" t="s">
        <v>29</v>
      </c>
      <c r="C145" s="39" t="s">
        <v>502</v>
      </c>
      <c r="D145" s="50" t="s">
        <v>78</v>
      </c>
      <c r="E145" s="47">
        <v>45363</v>
      </c>
      <c r="F145" s="31" t="str">
        <f>VLOOKUP($C145,Carpetas!$C$5:$M$2666,2,FALSE)</f>
        <v>BRB010</v>
      </c>
      <c r="G145" s="23" t="str">
        <f>VLOOKUP($C145,Carpetas!$C$5:$M$2666,10,FALSE)</f>
        <v>148,63,72</v>
      </c>
      <c r="H145" s="27" t="str">
        <f>VLOOKUP($C145,Carpetas!$C$5:$M$2666,6,FALSE)</f>
        <v>Zanini</v>
      </c>
      <c r="I145" s="220"/>
      <c r="J145" s="47">
        <v>45365</v>
      </c>
      <c r="K145" s="72" t="str">
        <f>VLOOKUP($C145,Carpetas!$C$5:$M$2666,5,FALSE)</f>
        <v>Rio Branco</v>
      </c>
      <c r="L145" s="32"/>
      <c r="M145" s="48">
        <f>J145+1+1</f>
        <v>45367</v>
      </c>
      <c r="N145" s="26">
        <f t="shared" si="6"/>
        <v>4</v>
      </c>
      <c r="O145" s="27">
        <v>900</v>
      </c>
      <c r="P145" s="27">
        <v>901</v>
      </c>
      <c r="Q145" s="27"/>
      <c r="R145" s="27"/>
      <c r="S145" s="27" t="s">
        <v>552</v>
      </c>
      <c r="T145" s="27"/>
      <c r="U145" s="27">
        <v>4290</v>
      </c>
      <c r="V145" s="27" t="s">
        <v>553</v>
      </c>
      <c r="W145" s="27" t="s">
        <v>554</v>
      </c>
      <c r="X145" s="73"/>
      <c r="Y145" s="73" t="e">
        <f>VLOOKUP(X145,Choferes!$B$2:$C$500,2,FALSE)</f>
        <v>#N/A</v>
      </c>
      <c r="Z145" s="73" t="s">
        <v>555</v>
      </c>
    </row>
    <row r="146" spans="1:26" ht="30" hidden="1" x14ac:dyDescent="0.25">
      <c r="A146" s="33">
        <v>11</v>
      </c>
      <c r="B146" s="71" t="s">
        <v>29</v>
      </c>
      <c r="C146" s="39" t="s">
        <v>556</v>
      </c>
      <c r="D146" s="50" t="s">
        <v>42</v>
      </c>
      <c r="E146" s="47">
        <v>45362</v>
      </c>
      <c r="F146" s="31" t="str">
        <f>VLOOKUP($C146,Carpetas!$C$5:$M$2666,2,FALSE)</f>
        <v>PYB053</v>
      </c>
      <c r="G146" s="23" t="str">
        <f>VLOOKUP($C146,Carpetas!$C$5:$M$2666,10,FALSE)</f>
        <v>148,66,78</v>
      </c>
      <c r="H146" s="27">
        <f>VLOOKUP($C146,Carpetas!$C$5:$M$2666,6,FALSE)</f>
        <v>0</v>
      </c>
      <c r="I146" s="220"/>
      <c r="J146" s="47">
        <v>45366</v>
      </c>
      <c r="K146" s="72" t="str">
        <f>VLOOKUP($C146,Carpetas!$C$5:$M$2666,5,FALSE)</f>
        <v>Salto</v>
      </c>
      <c r="L146" s="32"/>
      <c r="M146" s="48">
        <f>J146+1</f>
        <v>45367</v>
      </c>
      <c r="N146" s="26">
        <f t="shared" si="6"/>
        <v>5</v>
      </c>
      <c r="O146" s="27">
        <v>972</v>
      </c>
      <c r="P146" s="27">
        <v>972</v>
      </c>
      <c r="Q146" s="27"/>
      <c r="R146" s="27"/>
      <c r="S146" s="27" t="s">
        <v>557</v>
      </c>
      <c r="T146" s="27"/>
      <c r="U146" s="27"/>
      <c r="V146" s="27" t="s">
        <v>192</v>
      </c>
      <c r="W146" s="27" t="s">
        <v>193</v>
      </c>
      <c r="X146" s="73"/>
      <c r="Y146" s="73" t="e">
        <f>VLOOKUP(X146,Choferes!$B$2:$C$500,2,FALSE)</f>
        <v>#N/A</v>
      </c>
      <c r="Z146" s="73" t="s">
        <v>558</v>
      </c>
    </row>
    <row r="147" spans="1:26" hidden="1" x14ac:dyDescent="0.25">
      <c r="A147" s="33">
        <v>11</v>
      </c>
      <c r="B147" s="71" t="s">
        <v>29</v>
      </c>
      <c r="C147" s="39" t="s">
        <v>559</v>
      </c>
      <c r="D147" s="50" t="s">
        <v>48</v>
      </c>
      <c r="E147" s="47">
        <v>45364</v>
      </c>
      <c r="F147" s="31" t="str">
        <f>VLOOKUP($C147,Carpetas!$C$5:$M$2666,2,FALSE)</f>
        <v>PYB055</v>
      </c>
      <c r="G147" s="23" t="str">
        <f>VLOOKUP($C147,Carpetas!$C$5:$M$2666,10,FALSE)</f>
        <v>148,67,19</v>
      </c>
      <c r="H147" s="27">
        <f>VLOOKUP($C147,Carpetas!$C$5:$M$2666,6,FALSE)</f>
        <v>0</v>
      </c>
      <c r="I147" s="220"/>
      <c r="J147" s="47">
        <v>45366</v>
      </c>
      <c r="K147" s="72" t="str">
        <f>VLOOKUP($C147,Carpetas!$C$5:$M$2666,5,FALSE)</f>
        <v>Salto</v>
      </c>
      <c r="L147" s="32"/>
      <c r="M147" s="48">
        <f>J147+1</f>
        <v>45367</v>
      </c>
      <c r="N147" s="26">
        <f t="shared" si="6"/>
        <v>3</v>
      </c>
      <c r="O147" s="27">
        <v>930</v>
      </c>
      <c r="P147" s="27">
        <v>931</v>
      </c>
      <c r="Q147" s="27"/>
      <c r="R147" s="27"/>
      <c r="S147" s="27" t="s">
        <v>560</v>
      </c>
      <c r="T147" s="27"/>
      <c r="U147" s="27"/>
      <c r="V147" s="27" t="s">
        <v>561</v>
      </c>
      <c r="W147" s="27" t="s">
        <v>562</v>
      </c>
      <c r="X147" s="73"/>
      <c r="Y147" s="73" t="e">
        <f>VLOOKUP(X147,Choferes!$B$2:$C$500,2,FALSE)</f>
        <v>#N/A</v>
      </c>
      <c r="Z147" s="73" t="s">
        <v>563</v>
      </c>
    </row>
    <row r="148" spans="1:26" hidden="1" x14ac:dyDescent="0.25">
      <c r="A148" s="33">
        <v>11</v>
      </c>
      <c r="B148" s="71" t="s">
        <v>29</v>
      </c>
      <c r="C148" s="39" t="s">
        <v>559</v>
      </c>
      <c r="D148" s="50" t="s">
        <v>48</v>
      </c>
      <c r="E148" s="47">
        <v>45364</v>
      </c>
      <c r="F148" s="31" t="str">
        <f>VLOOKUP($C148,Carpetas!$C$5:$M$2666,2,FALSE)</f>
        <v>PYB055</v>
      </c>
      <c r="G148" s="23" t="str">
        <f>VLOOKUP($C148,Carpetas!$C$5:$M$2666,10,FALSE)</f>
        <v>148,67,19</v>
      </c>
      <c r="H148" s="27">
        <f>VLOOKUP($C148,Carpetas!$C$5:$M$2666,6,FALSE)</f>
        <v>0</v>
      </c>
      <c r="I148" s="220"/>
      <c r="J148" s="47">
        <v>45366</v>
      </c>
      <c r="K148" s="72" t="str">
        <f>VLOOKUP($C148,Carpetas!$C$5:$M$2666,5,FALSE)</f>
        <v>Salto</v>
      </c>
      <c r="L148" s="32"/>
      <c r="M148" s="48">
        <f>J148+1</f>
        <v>45367</v>
      </c>
      <c r="N148" s="26">
        <f t="shared" si="6"/>
        <v>3</v>
      </c>
      <c r="O148" s="27">
        <v>930</v>
      </c>
      <c r="P148" s="27">
        <v>933</v>
      </c>
      <c r="Q148" s="27"/>
      <c r="R148" s="27"/>
      <c r="S148" s="27" t="s">
        <v>564</v>
      </c>
      <c r="T148" s="27"/>
      <c r="U148" s="27"/>
      <c r="V148" s="27" t="s">
        <v>74</v>
      </c>
      <c r="W148" s="27" t="s">
        <v>75</v>
      </c>
      <c r="X148" s="73"/>
      <c r="Y148" s="73" t="e">
        <f>VLOOKUP(X148,Choferes!$B$2:$C$500,2,FALSE)</f>
        <v>#N/A</v>
      </c>
      <c r="Z148" s="73" t="s">
        <v>565</v>
      </c>
    </row>
    <row r="149" spans="1:26" hidden="1" x14ac:dyDescent="0.25">
      <c r="A149" s="33">
        <v>11</v>
      </c>
      <c r="B149" s="71" t="s">
        <v>29</v>
      </c>
      <c r="C149" s="39" t="s">
        <v>566</v>
      </c>
      <c r="D149" s="50" t="s">
        <v>183</v>
      </c>
      <c r="E149" s="47">
        <v>45367</v>
      </c>
      <c r="F149" s="31" t="str">
        <f>VLOOKUP($C149,Carpetas!$C$5:$M$2666,2,FALSE)</f>
        <v>PYB056</v>
      </c>
      <c r="G149" s="23" t="str">
        <f>VLOOKUP($C149,Carpetas!$C$5:$M$2666,10,FALSE)</f>
        <v>148,70,06</v>
      </c>
      <c r="H149" s="27">
        <f>VLOOKUP($C149,Carpetas!$C$5:$M$2666,6,FALSE)</f>
        <v>0</v>
      </c>
      <c r="I149" s="220"/>
      <c r="J149" s="47">
        <v>45367</v>
      </c>
      <c r="K149" s="72" t="str">
        <f>VLOOKUP($C149,Carpetas!$C$5:$M$2666,5,FALSE)</f>
        <v>Salto</v>
      </c>
      <c r="L149" s="32"/>
      <c r="M149" s="48">
        <v>45369</v>
      </c>
      <c r="N149" s="26">
        <f t="shared" si="6"/>
        <v>2</v>
      </c>
      <c r="O149" s="27">
        <v>980</v>
      </c>
      <c r="P149" s="27">
        <v>982</v>
      </c>
      <c r="Q149" s="27"/>
      <c r="R149" s="27"/>
      <c r="S149" s="27" t="s">
        <v>567</v>
      </c>
      <c r="T149" s="27"/>
      <c r="U149" s="27"/>
      <c r="V149" s="27" t="s">
        <v>568</v>
      </c>
      <c r="W149" s="27" t="s">
        <v>569</v>
      </c>
      <c r="X149" s="73"/>
      <c r="Y149" s="73" t="e">
        <f>VLOOKUP(X149,Choferes!$B$2:$C$500,2,FALSE)</f>
        <v>#N/A</v>
      </c>
      <c r="Z149" s="73" t="s">
        <v>570</v>
      </c>
    </row>
    <row r="150" spans="1:26" hidden="1" x14ac:dyDescent="0.25">
      <c r="A150" s="33">
        <v>11</v>
      </c>
      <c r="B150" s="71" t="s">
        <v>29</v>
      </c>
      <c r="C150" s="39" t="s">
        <v>497</v>
      </c>
      <c r="D150" s="50" t="s">
        <v>249</v>
      </c>
      <c r="E150" s="47">
        <v>45365</v>
      </c>
      <c r="F150" s="31" t="str">
        <f>VLOOKUP($C150,Carpetas!$C$5:$M$2666,2,FALSE)</f>
        <v>BRB009</v>
      </c>
      <c r="G150" s="23" t="str">
        <f>VLOOKUP($C150,Carpetas!$C$5:$M$2666,10,FALSE)</f>
        <v>148,63,71</v>
      </c>
      <c r="H150" s="27" t="str">
        <f>VLOOKUP($C150,Carpetas!$C$5:$M$2666,6,FALSE)</f>
        <v>Silvio</v>
      </c>
      <c r="I150" s="220"/>
      <c r="J150" s="47">
        <v>45369</v>
      </c>
      <c r="K150" s="72" t="str">
        <f>VLOOKUP($C150,Carpetas!$C$5:$M$2666,5,FALSE)</f>
        <v>Rio Branco</v>
      </c>
      <c r="L150" s="32"/>
      <c r="M150" s="48">
        <f>J150+1</f>
        <v>45370</v>
      </c>
      <c r="N150" s="26">
        <f t="shared" si="6"/>
        <v>5</v>
      </c>
      <c r="O150" s="27">
        <v>918</v>
      </c>
      <c r="P150" s="27">
        <v>919</v>
      </c>
      <c r="Q150" s="27"/>
      <c r="R150" s="27"/>
      <c r="S150" s="27" t="s">
        <v>571</v>
      </c>
      <c r="T150" s="27"/>
      <c r="U150" s="27">
        <v>6785</v>
      </c>
      <c r="V150" s="27" t="s">
        <v>280</v>
      </c>
      <c r="W150" s="27" t="s">
        <v>281</v>
      </c>
      <c r="X150" s="73"/>
      <c r="Y150" s="73" t="e">
        <f>VLOOKUP(X150,Choferes!$B$2:$C$500,2,FALSE)</f>
        <v>#N/A</v>
      </c>
      <c r="Z150" s="73" t="s">
        <v>572</v>
      </c>
    </row>
    <row r="151" spans="1:26" ht="30" hidden="1" x14ac:dyDescent="0.25">
      <c r="A151" s="33">
        <v>11</v>
      </c>
      <c r="B151" s="71" t="s">
        <v>29</v>
      </c>
      <c r="C151" s="39" t="s">
        <v>502</v>
      </c>
      <c r="D151" s="50" t="s">
        <v>78</v>
      </c>
      <c r="E151" s="47">
        <v>45365</v>
      </c>
      <c r="F151" s="31" t="str">
        <f>VLOOKUP($C151,Carpetas!$C$5:$M$2666,2,FALSE)</f>
        <v>BRB010</v>
      </c>
      <c r="G151" s="23" t="str">
        <f>VLOOKUP($C151,Carpetas!$C$5:$M$2666,10,FALSE)</f>
        <v>148,63,72</v>
      </c>
      <c r="H151" s="27" t="str">
        <f>VLOOKUP($C151,Carpetas!$C$5:$M$2666,6,FALSE)</f>
        <v>Zanini</v>
      </c>
      <c r="I151" s="220"/>
      <c r="J151" s="47">
        <v>45369</v>
      </c>
      <c r="K151" s="72" t="str">
        <f>VLOOKUP($C151,Carpetas!$C$5:$M$2666,5,FALSE)</f>
        <v>Rio Branco</v>
      </c>
      <c r="L151" s="32"/>
      <c r="M151" s="48">
        <f>J151+1</f>
        <v>45370</v>
      </c>
      <c r="N151" s="26">
        <f t="shared" si="6"/>
        <v>5</v>
      </c>
      <c r="O151" s="27">
        <v>900</v>
      </c>
      <c r="P151" s="27">
        <v>901</v>
      </c>
      <c r="Q151" s="27"/>
      <c r="R151" s="27"/>
      <c r="S151" s="27" t="s">
        <v>573</v>
      </c>
      <c r="T151" s="27"/>
      <c r="U151" s="27">
        <v>4294</v>
      </c>
      <c r="V151" s="27" t="s">
        <v>574</v>
      </c>
      <c r="W151" s="27" t="s">
        <v>575</v>
      </c>
      <c r="X151" s="73"/>
      <c r="Y151" s="73" t="e">
        <f>VLOOKUP(X151,Choferes!$B$2:$C$500,2,FALSE)</f>
        <v>#N/A</v>
      </c>
      <c r="Z151" s="73" t="s">
        <v>576</v>
      </c>
    </row>
    <row r="152" spans="1:26" hidden="1" x14ac:dyDescent="0.25">
      <c r="A152" s="33">
        <v>11</v>
      </c>
      <c r="B152" s="71" t="s">
        <v>29</v>
      </c>
      <c r="C152" s="39" t="s">
        <v>577</v>
      </c>
      <c r="D152" s="50" t="s">
        <v>48</v>
      </c>
      <c r="E152" s="47">
        <v>45366</v>
      </c>
      <c r="F152" s="31" t="str">
        <f>VLOOKUP($C152,Carpetas!$C$5:$M$2666,2,FALSE)</f>
        <v>PYB057</v>
      </c>
      <c r="G152" s="23" t="str">
        <f>VLOOKUP($C152,Carpetas!$C$5:$M$2666,10,FALSE)</f>
        <v>148,71,45</v>
      </c>
      <c r="H152" s="27">
        <f>VLOOKUP($C152,Carpetas!$C$5:$M$2666,6,FALSE)</f>
        <v>0</v>
      </c>
      <c r="I152" s="220"/>
      <c r="J152" s="47">
        <f>E152+3</f>
        <v>45369</v>
      </c>
      <c r="K152" s="72" t="str">
        <f>VLOOKUP($C152,Carpetas!$C$5:$M$2666,5,FALSE)</f>
        <v>Salto</v>
      </c>
      <c r="L152" s="32"/>
      <c r="M152" s="48">
        <f>J152+1</f>
        <v>45370</v>
      </c>
      <c r="N152" s="26">
        <f t="shared" si="6"/>
        <v>4</v>
      </c>
      <c r="O152" s="27">
        <v>930</v>
      </c>
      <c r="P152" s="27">
        <v>932</v>
      </c>
      <c r="Q152" s="27"/>
      <c r="R152" s="27"/>
      <c r="S152" s="27" t="s">
        <v>578</v>
      </c>
      <c r="T152" s="27"/>
      <c r="U152" s="27"/>
      <c r="V152" s="27" t="s">
        <v>579</v>
      </c>
      <c r="W152" s="27"/>
      <c r="X152" s="73"/>
      <c r="Y152" s="73" t="e">
        <f>VLOOKUP(X152,Choferes!$B$2:$C$500,2,FALSE)</f>
        <v>#N/A</v>
      </c>
      <c r="Z152" s="73" t="s">
        <v>580</v>
      </c>
    </row>
    <row r="153" spans="1:26" hidden="1" x14ac:dyDescent="0.25">
      <c r="A153" s="33">
        <v>10</v>
      </c>
      <c r="B153" s="71" t="s">
        <v>29</v>
      </c>
      <c r="C153" s="39" t="s">
        <v>581</v>
      </c>
      <c r="D153" s="50" t="s">
        <v>63</v>
      </c>
      <c r="E153" s="47">
        <v>45359</v>
      </c>
      <c r="F153" s="31" t="str">
        <f>VLOOKUP($C153,Carpetas!$C$5:$M$2666,2,FALSE)</f>
        <v>BRA009</v>
      </c>
      <c r="G153" s="23" t="str">
        <f>VLOOKUP($C153,Carpetas!$C$5:$M$2666,10,FALSE)</f>
        <v>148.66.76</v>
      </c>
      <c r="H153" s="27" t="str">
        <f>VLOOKUP($C153,Carpetas!$C$5:$M$2666,6,FALSE)</f>
        <v>Silvio</v>
      </c>
      <c r="I153" s="220"/>
      <c r="J153" s="47">
        <f>E153+10</f>
        <v>45369</v>
      </c>
      <c r="K153" s="72" t="str">
        <f>VLOOKUP($C153,Carpetas!$C$5:$M$2666,5,FALSE)</f>
        <v>Rio Branco</v>
      </c>
      <c r="L153" s="32"/>
      <c r="M153" s="48">
        <f>J153+1+2</f>
        <v>45372</v>
      </c>
      <c r="N153" s="26">
        <f t="shared" si="6"/>
        <v>13</v>
      </c>
      <c r="O153" s="27">
        <v>1104</v>
      </c>
      <c r="P153" s="27">
        <v>1103</v>
      </c>
      <c r="Q153" s="27"/>
      <c r="R153" s="27"/>
      <c r="S153" s="27" t="s">
        <v>262</v>
      </c>
      <c r="T153" s="27"/>
      <c r="U153" s="27"/>
      <c r="V153" s="27" t="s">
        <v>582</v>
      </c>
      <c r="W153" s="27" t="s">
        <v>583</v>
      </c>
      <c r="X153" s="73"/>
      <c r="Y153" s="73" t="e">
        <f>VLOOKUP(X153,Choferes!$B$2:$C$500,2,FALSE)</f>
        <v>#N/A</v>
      </c>
      <c r="Z153" s="73" t="s">
        <v>584</v>
      </c>
    </row>
    <row r="154" spans="1:26" hidden="1" x14ac:dyDescent="0.25">
      <c r="A154" s="33">
        <v>12</v>
      </c>
      <c r="B154" s="71" t="s">
        <v>29</v>
      </c>
      <c r="C154" s="39" t="s">
        <v>585</v>
      </c>
      <c r="D154" s="50" t="s">
        <v>183</v>
      </c>
      <c r="E154" s="47">
        <v>45369</v>
      </c>
      <c r="F154" s="31" t="str">
        <f>VLOOKUP($C154,Carpetas!$C$5:$M$2666,2,FALSE)</f>
        <v>PYB059</v>
      </c>
      <c r="G154" s="23" t="str">
        <f>VLOOKUP($C154,Carpetas!$C$5:$M$2666,10,FALSE)</f>
        <v>148.73.49</v>
      </c>
      <c r="H154" s="27">
        <f>VLOOKUP($C154,Carpetas!$C$5:$M$2666,6,FALSE)</f>
        <v>0</v>
      </c>
      <c r="I154" s="220"/>
      <c r="J154" s="47">
        <v>45371</v>
      </c>
      <c r="K154" s="72" t="str">
        <f>VLOOKUP($C154,Carpetas!$C$5:$M$2666,5,FALSE)</f>
        <v>Salto</v>
      </c>
      <c r="L154" s="32"/>
      <c r="M154" s="48">
        <f>J154+1</f>
        <v>45372</v>
      </c>
      <c r="N154" s="26">
        <f t="shared" si="6"/>
        <v>3</v>
      </c>
      <c r="O154" s="27">
        <v>980</v>
      </c>
      <c r="P154" s="27">
        <v>980</v>
      </c>
      <c r="Q154" s="27"/>
      <c r="R154" s="27"/>
      <c r="S154" s="27" t="s">
        <v>586</v>
      </c>
      <c r="T154" s="27"/>
      <c r="U154" s="27"/>
      <c r="V154" s="27" t="s">
        <v>587</v>
      </c>
      <c r="W154" s="27" t="s">
        <v>588</v>
      </c>
      <c r="X154" s="73"/>
      <c r="Y154" s="73" t="e">
        <f>VLOOKUP(X154,Choferes!$B$2:$C$500,2,FALSE)</f>
        <v>#N/A</v>
      </c>
      <c r="Z154" s="73" t="s">
        <v>589</v>
      </c>
    </row>
    <row r="155" spans="1:26" hidden="1" x14ac:dyDescent="0.25">
      <c r="A155" s="33">
        <v>11</v>
      </c>
      <c r="B155" s="71" t="s">
        <v>29</v>
      </c>
      <c r="C155" s="39" t="s">
        <v>590</v>
      </c>
      <c r="D155" s="50" t="s">
        <v>121</v>
      </c>
      <c r="E155" s="47">
        <v>45366</v>
      </c>
      <c r="F155" s="31" t="str">
        <f>VLOOKUP($C155,Carpetas!$C$5:$M$2666,2,FALSE)</f>
        <v>PYB058</v>
      </c>
      <c r="G155" s="23" t="str">
        <f>VLOOKUP($C155,Carpetas!$C$5:$M$2666,10,FALSE)</f>
        <v>148,68,91</v>
      </c>
      <c r="H155" s="27" t="str">
        <f>VLOOKUP($C155,Carpetas!$C$5:$M$2666,6,FALSE)</f>
        <v>Jauser</v>
      </c>
      <c r="I155" s="220"/>
      <c r="J155" s="47">
        <v>45371</v>
      </c>
      <c r="K155" s="72" t="str">
        <f>VLOOKUP($C155,Carpetas!$C$5:$M$2666,5,FALSE)</f>
        <v>Salto</v>
      </c>
      <c r="L155" s="32"/>
      <c r="M155" s="48">
        <f>J155+1+1</f>
        <v>45373</v>
      </c>
      <c r="N155" s="26">
        <f t="shared" si="6"/>
        <v>7</v>
      </c>
      <c r="O155" s="27">
        <v>980</v>
      </c>
      <c r="P155" s="27">
        <v>987</v>
      </c>
      <c r="Q155" s="27"/>
      <c r="R155" s="27"/>
      <c r="S155" s="27" t="s">
        <v>591</v>
      </c>
      <c r="T155" s="27"/>
      <c r="U155" s="27"/>
      <c r="V155" s="27" t="s">
        <v>592</v>
      </c>
      <c r="W155" s="27"/>
      <c r="X155" s="73"/>
      <c r="Y155" s="73" t="e">
        <f>VLOOKUP(X155,Choferes!$B$2:$C$500,2,FALSE)</f>
        <v>#N/A</v>
      </c>
      <c r="Z155" s="73" t="s">
        <v>593</v>
      </c>
    </row>
    <row r="156" spans="1:26" hidden="1" x14ac:dyDescent="0.25">
      <c r="A156" s="33">
        <v>11</v>
      </c>
      <c r="B156" s="71" t="s">
        <v>29</v>
      </c>
      <c r="C156" s="39" t="s">
        <v>590</v>
      </c>
      <c r="D156" s="50" t="s">
        <v>121</v>
      </c>
      <c r="E156" s="47">
        <v>45367</v>
      </c>
      <c r="F156" s="31" t="str">
        <f>VLOOKUP($C156,Carpetas!$C$5:$M$2666,2,FALSE)</f>
        <v>PYB058</v>
      </c>
      <c r="G156" s="23" t="str">
        <f>VLOOKUP($C156,Carpetas!$C$5:$M$2666,10,FALSE)</f>
        <v>148,68,91</v>
      </c>
      <c r="H156" s="27" t="str">
        <f>VLOOKUP($C156,Carpetas!$C$5:$M$2666,6,FALSE)</f>
        <v>Jauser</v>
      </c>
      <c r="I156" s="220"/>
      <c r="J156" s="47">
        <v>45372</v>
      </c>
      <c r="K156" s="72" t="str">
        <f>VLOOKUP($C156,Carpetas!$C$5:$M$2666,5,FALSE)</f>
        <v>Salto</v>
      </c>
      <c r="L156" s="32"/>
      <c r="M156" s="48">
        <f>J156+1</f>
        <v>45373</v>
      </c>
      <c r="N156" s="26">
        <f t="shared" si="6"/>
        <v>6</v>
      </c>
      <c r="O156" s="27">
        <v>980</v>
      </c>
      <c r="P156" s="27">
        <v>980</v>
      </c>
      <c r="Q156" s="27"/>
      <c r="R156" s="27"/>
      <c r="S156" s="27" t="s">
        <v>594</v>
      </c>
      <c r="T156" s="27"/>
      <c r="U156" s="27"/>
      <c r="V156" s="27" t="s">
        <v>595</v>
      </c>
      <c r="W156" s="27" t="s">
        <v>269</v>
      </c>
      <c r="X156" s="73"/>
      <c r="Y156" s="73" t="e">
        <f>VLOOKUP(X156,Choferes!$B$2:$C$500,2,FALSE)</f>
        <v>#N/A</v>
      </c>
      <c r="Z156" s="73" t="s">
        <v>596</v>
      </c>
    </row>
    <row r="157" spans="1:26" hidden="1" x14ac:dyDescent="0.25">
      <c r="A157" s="33">
        <v>12</v>
      </c>
      <c r="B157" s="71" t="s">
        <v>29</v>
      </c>
      <c r="C157" s="39" t="s">
        <v>597</v>
      </c>
      <c r="D157" s="50" t="s">
        <v>102</v>
      </c>
      <c r="E157" s="47">
        <v>45369</v>
      </c>
      <c r="F157" s="31" t="str">
        <f>VLOOKUP($C157,Carpetas!$C$5:$M$2666,2,FALSE)</f>
        <v>PYB061</v>
      </c>
      <c r="G157" s="23" t="str">
        <f>VLOOKUP($C157,Carpetas!$C$5:$M$2666,10,FALSE)</f>
        <v>148,73,48</v>
      </c>
      <c r="H157" s="27">
        <f>VLOOKUP($C157,Carpetas!$C$5:$M$2666,6,FALSE)</f>
        <v>0</v>
      </c>
      <c r="I157" s="220"/>
      <c r="J157" s="47">
        <f>E157+3</f>
        <v>45372</v>
      </c>
      <c r="K157" s="72" t="str">
        <f>VLOOKUP($C157,Carpetas!$C$5:$M$2666,5,FALSE)</f>
        <v>Salto</v>
      </c>
      <c r="L157" s="32"/>
      <c r="M157" s="48">
        <f>J157+1</f>
        <v>45373</v>
      </c>
      <c r="N157" s="26">
        <f t="shared" si="6"/>
        <v>4</v>
      </c>
      <c r="O157" s="27">
        <v>980</v>
      </c>
      <c r="P157" s="27">
        <v>981</v>
      </c>
      <c r="Q157" s="27"/>
      <c r="R157" s="27"/>
      <c r="S157" s="27" t="s">
        <v>598</v>
      </c>
      <c r="T157" s="27"/>
      <c r="U157" s="27"/>
      <c r="V157" s="27" t="s">
        <v>156</v>
      </c>
      <c r="W157" s="27" t="s">
        <v>157</v>
      </c>
      <c r="X157" s="73"/>
      <c r="Y157" s="73" t="e">
        <f>VLOOKUP(X157,Choferes!$B$2:$C$500,2,FALSE)</f>
        <v>#N/A</v>
      </c>
      <c r="Z157" s="73" t="s">
        <v>599</v>
      </c>
    </row>
    <row r="158" spans="1:26" hidden="1" x14ac:dyDescent="0.25">
      <c r="A158" s="33">
        <v>12</v>
      </c>
      <c r="B158" s="71" t="s">
        <v>29</v>
      </c>
      <c r="C158" s="39" t="s">
        <v>585</v>
      </c>
      <c r="D158" s="50" t="s">
        <v>183</v>
      </c>
      <c r="E158" s="47">
        <v>45369</v>
      </c>
      <c r="F158" s="31" t="str">
        <f>VLOOKUP($C158,Carpetas!$C$5:$M$2666,2,FALSE)</f>
        <v>PYB059</v>
      </c>
      <c r="G158" s="23" t="str">
        <f>VLOOKUP($C158,Carpetas!$C$5:$M$2666,10,FALSE)</f>
        <v>148.73.49</v>
      </c>
      <c r="H158" s="27">
        <f>VLOOKUP($C158,Carpetas!$C$5:$M$2666,6,FALSE)</f>
        <v>0</v>
      </c>
      <c r="I158" s="220"/>
      <c r="J158" s="47">
        <f>E158+3</f>
        <v>45372</v>
      </c>
      <c r="K158" s="72" t="str">
        <f>VLOOKUP($C158,Carpetas!$C$5:$M$2666,5,FALSE)</f>
        <v>Salto</v>
      </c>
      <c r="L158" s="32"/>
      <c r="M158" s="48">
        <f>J158+1</f>
        <v>45373</v>
      </c>
      <c r="N158" s="26">
        <f t="shared" si="6"/>
        <v>4</v>
      </c>
      <c r="O158" s="27">
        <v>980</v>
      </c>
      <c r="P158" s="27">
        <v>980</v>
      </c>
      <c r="Q158" s="27"/>
      <c r="R158" s="27"/>
      <c r="S158" s="27" t="s">
        <v>600</v>
      </c>
      <c r="T158" s="27"/>
      <c r="U158" s="27"/>
      <c r="V158" s="27" t="s">
        <v>601</v>
      </c>
      <c r="W158" s="27" t="s">
        <v>602</v>
      </c>
      <c r="X158" s="73"/>
      <c r="Y158" s="73" t="e">
        <f>VLOOKUP(X158,Choferes!$B$2:$C$500,2,FALSE)</f>
        <v>#N/A</v>
      </c>
      <c r="Z158" s="73" t="s">
        <v>603</v>
      </c>
    </row>
    <row r="159" spans="1:26" hidden="1" x14ac:dyDescent="0.25">
      <c r="A159" s="33">
        <v>12</v>
      </c>
      <c r="B159" s="71" t="s">
        <v>29</v>
      </c>
      <c r="C159" s="39" t="s">
        <v>604</v>
      </c>
      <c r="D159" s="50" t="s">
        <v>78</v>
      </c>
      <c r="E159" s="47">
        <v>45370</v>
      </c>
      <c r="F159" s="31" t="str">
        <f>VLOOKUP($C159,Carpetas!$C$5:$M$2666,2,FALSE)</f>
        <v>BRB011</v>
      </c>
      <c r="G159" s="23" t="str">
        <f>VLOOKUP($C159,Carpetas!$C$5:$M$2666,10,FALSE)</f>
        <v>148,74,91</v>
      </c>
      <c r="H159" s="27" t="str">
        <f>VLOOKUP($C159,Carpetas!$C$5:$M$2666,6,FALSE)</f>
        <v>Zanini</v>
      </c>
      <c r="I159" s="220"/>
      <c r="J159" s="47">
        <f>E159+2</f>
        <v>45372</v>
      </c>
      <c r="K159" s="72" t="str">
        <f>VLOOKUP($C159,Carpetas!$C$5:$M$2666,5,FALSE)</f>
        <v>Rio Branco</v>
      </c>
      <c r="L159" s="32"/>
      <c r="M159" s="48">
        <f>J159+1</f>
        <v>45373</v>
      </c>
      <c r="N159" s="26">
        <f t="shared" si="6"/>
        <v>3</v>
      </c>
      <c r="O159" s="27">
        <v>900</v>
      </c>
      <c r="P159" s="27">
        <v>901</v>
      </c>
      <c r="Q159" s="27"/>
      <c r="R159" s="27"/>
      <c r="S159" s="27" t="s">
        <v>605</v>
      </c>
      <c r="T159" s="27"/>
      <c r="U159" s="27">
        <v>4302</v>
      </c>
      <c r="V159" s="27" t="s">
        <v>448</v>
      </c>
      <c r="W159" s="27" t="s">
        <v>449</v>
      </c>
      <c r="X159" s="73"/>
      <c r="Y159" s="73" t="e">
        <f>VLOOKUP(X159,Choferes!$B$2:$C$500,2,FALSE)</f>
        <v>#N/A</v>
      </c>
      <c r="Z159" s="73" t="s">
        <v>606</v>
      </c>
    </row>
    <row r="160" spans="1:26" hidden="1" x14ac:dyDescent="0.25">
      <c r="A160" s="33">
        <v>12</v>
      </c>
      <c r="B160" s="71" t="s">
        <v>29</v>
      </c>
      <c r="C160" s="39" t="s">
        <v>597</v>
      </c>
      <c r="D160" s="50" t="s">
        <v>102</v>
      </c>
      <c r="E160" s="47">
        <v>45370</v>
      </c>
      <c r="F160" s="31" t="str">
        <f>VLOOKUP($C160,Carpetas!$C$5:$M$2666,2,FALSE)</f>
        <v>PYB061</v>
      </c>
      <c r="G160" s="23" t="str">
        <f>VLOOKUP($C160,Carpetas!$C$5:$M$2666,10,FALSE)</f>
        <v>148,73,48</v>
      </c>
      <c r="H160" s="27">
        <f>VLOOKUP($C160,Carpetas!$C$5:$M$2666,6,FALSE)</f>
        <v>0</v>
      </c>
      <c r="I160" s="220"/>
      <c r="J160" s="47">
        <v>45372</v>
      </c>
      <c r="K160" s="72" t="str">
        <f>VLOOKUP($C160,Carpetas!$C$5:$M$2666,5,FALSE)</f>
        <v>Salto</v>
      </c>
      <c r="L160" s="32"/>
      <c r="M160" s="48">
        <f>J160+1</f>
        <v>45373</v>
      </c>
      <c r="N160" s="26">
        <f t="shared" si="6"/>
        <v>3</v>
      </c>
      <c r="O160" s="27">
        <v>980</v>
      </c>
      <c r="P160" s="27">
        <v>981</v>
      </c>
      <c r="Q160" s="27"/>
      <c r="R160" s="27"/>
      <c r="S160" s="27" t="s">
        <v>607</v>
      </c>
      <c r="T160" s="27"/>
      <c r="U160" s="27"/>
      <c r="V160" s="27" t="s">
        <v>156</v>
      </c>
      <c r="W160" s="27" t="s">
        <v>157</v>
      </c>
      <c r="X160" s="73"/>
      <c r="Y160" s="73" t="e">
        <f>VLOOKUP(X160,Choferes!$B$2:$C$500,2,FALSE)</f>
        <v>#N/A</v>
      </c>
      <c r="Z160" s="73" t="s">
        <v>608</v>
      </c>
    </row>
    <row r="161" spans="1:26" hidden="1" x14ac:dyDescent="0.25">
      <c r="A161" s="33">
        <v>11</v>
      </c>
      <c r="B161" s="71" t="s">
        <v>29</v>
      </c>
      <c r="C161" s="39" t="s">
        <v>609</v>
      </c>
      <c r="D161" s="50" t="s">
        <v>38</v>
      </c>
      <c r="E161" s="47">
        <v>45369</v>
      </c>
      <c r="F161" s="31" t="str">
        <f>VLOOKUP($C161,Carpetas!$C$5:$M$2666,2,FALSE)</f>
        <v>BRE007</v>
      </c>
      <c r="G161" s="23" t="str">
        <f>VLOOKUP($C161,Carpetas!$C$5:$M$2666,10,FALSE)</f>
        <v>1487143/1487141/1487139</v>
      </c>
      <c r="H161" s="27" t="str">
        <f>VLOOKUP($C161,Carpetas!$C$5:$M$2666,6,FALSE)</f>
        <v>Silvio</v>
      </c>
      <c r="I161" s="220">
        <f>VLOOKUP($C161,Carpetas!$C$5:$M$2666,4,FALSE)</f>
        <v>0</v>
      </c>
      <c r="J161" s="47">
        <v>45371</v>
      </c>
      <c r="K161" s="72" t="str">
        <f>VLOOKUP($C161,Carpetas!$C$5:$M$2666,5,FALSE)</f>
        <v>Rio Branco</v>
      </c>
      <c r="L161" s="32"/>
      <c r="M161" s="48">
        <f>J161+1+1+1</f>
        <v>45374</v>
      </c>
      <c r="N161" s="26">
        <f t="shared" si="6"/>
        <v>5</v>
      </c>
      <c r="O161" s="27">
        <v>1184</v>
      </c>
      <c r="P161" s="27"/>
      <c r="Q161" s="27"/>
      <c r="R161" s="27"/>
      <c r="S161" s="27" t="s">
        <v>610</v>
      </c>
      <c r="T161" s="27"/>
      <c r="U161" s="27">
        <v>6799</v>
      </c>
      <c r="V161" s="27" t="s">
        <v>611</v>
      </c>
      <c r="W161" s="27" t="s">
        <v>612</v>
      </c>
      <c r="X161" s="73"/>
      <c r="Y161" s="73" t="e">
        <f>VLOOKUP(X161,Choferes!$B$2:$C$500,2,FALSE)</f>
        <v>#N/A</v>
      </c>
      <c r="Z161" s="73" t="s">
        <v>38</v>
      </c>
    </row>
    <row r="162" spans="1:26" hidden="1" x14ac:dyDescent="0.25">
      <c r="A162" s="33">
        <v>11</v>
      </c>
      <c r="B162" s="71" t="s">
        <v>29</v>
      </c>
      <c r="C162" s="39" t="s">
        <v>613</v>
      </c>
      <c r="D162" s="50" t="s">
        <v>38</v>
      </c>
      <c r="E162" s="47">
        <v>45365</v>
      </c>
      <c r="F162" s="31" t="str">
        <f>VLOOKUP($C162,Carpetas!$C$5:$M$2666,2,FALSE)</f>
        <v>BRE009</v>
      </c>
      <c r="G162" s="23">
        <f>VLOOKUP($C162,Carpetas!$C$5:$M$2666,10,FALSE)</f>
        <v>0</v>
      </c>
      <c r="H162" s="27" t="str">
        <f>VLOOKUP($C162,Carpetas!$C$5:$M$2666,6,FALSE)</f>
        <v>Silvio</v>
      </c>
      <c r="I162" s="220">
        <f>VLOOKUP($C162,Carpetas!$C$5:$M$2666,4,FALSE)</f>
        <v>0</v>
      </c>
      <c r="J162" s="47">
        <v>45372</v>
      </c>
      <c r="K162" s="72" t="str">
        <f>VLOOKUP($C162,Carpetas!$C$5:$M$2666,5,FALSE)</f>
        <v>Rio Branco</v>
      </c>
      <c r="L162" s="32"/>
      <c r="M162" s="48">
        <f>J162+1+1</f>
        <v>45374</v>
      </c>
      <c r="N162" s="26">
        <f t="shared" si="6"/>
        <v>9</v>
      </c>
      <c r="O162" s="27">
        <v>1600</v>
      </c>
      <c r="P162" s="27"/>
      <c r="Q162" s="27"/>
      <c r="R162" s="27"/>
      <c r="S162" s="27"/>
      <c r="T162" s="27"/>
      <c r="U162" s="27">
        <v>6793</v>
      </c>
      <c r="V162" s="27" t="s">
        <v>614</v>
      </c>
      <c r="W162" s="27" t="s">
        <v>615</v>
      </c>
      <c r="X162" s="73"/>
      <c r="Y162" s="73" t="e">
        <f>VLOOKUP(X162,Choferes!$B$2:$C$500,2,FALSE)</f>
        <v>#N/A</v>
      </c>
      <c r="Z162" s="73" t="s">
        <v>616</v>
      </c>
    </row>
    <row r="163" spans="1:26" hidden="1" x14ac:dyDescent="0.25">
      <c r="A163" s="33">
        <v>11</v>
      </c>
      <c r="B163" s="71" t="s">
        <v>29</v>
      </c>
      <c r="C163" s="39" t="s">
        <v>617</v>
      </c>
      <c r="D163" s="50" t="s">
        <v>38</v>
      </c>
      <c r="E163" s="47">
        <v>45365</v>
      </c>
      <c r="F163" s="31" t="str">
        <f>VLOOKUP($C163,Carpetas!$C$5:$M$2666,2,FALSE)</f>
        <v>BRE008</v>
      </c>
      <c r="G163" s="23" t="str">
        <f>VLOOKUP($C163,Carpetas!$C$5:$M$2666,10,FALSE)</f>
        <v>148.52.18</v>
      </c>
      <c r="H163" s="27" t="str">
        <f>VLOOKUP($C163,Carpetas!$C$5:$M$2666,6,FALSE)</f>
        <v>Silvio</v>
      </c>
      <c r="I163" s="220">
        <f>VLOOKUP($C163,Carpetas!$C$5:$M$2666,4,FALSE)</f>
        <v>0</v>
      </c>
      <c r="J163" s="47">
        <v>45373</v>
      </c>
      <c r="K163" s="72" t="str">
        <f>VLOOKUP($C163,Carpetas!$C$5:$M$2666,5,FALSE)</f>
        <v>Rio Branco</v>
      </c>
      <c r="L163" s="32"/>
      <c r="M163" s="48">
        <f>J163+1</f>
        <v>45374</v>
      </c>
      <c r="N163" s="26">
        <f t="shared" si="6"/>
        <v>9</v>
      </c>
      <c r="O163" s="27">
        <v>840</v>
      </c>
      <c r="P163" s="27"/>
      <c r="Q163" s="27"/>
      <c r="R163" s="27"/>
      <c r="S163" s="27"/>
      <c r="T163" s="27"/>
      <c r="U163" s="27">
        <v>6800</v>
      </c>
      <c r="V163" s="27" t="s">
        <v>618</v>
      </c>
      <c r="W163" s="27" t="s">
        <v>619</v>
      </c>
      <c r="X163" s="73"/>
      <c r="Y163" s="73" t="e">
        <f>VLOOKUP(X163,Choferes!$B$2:$C$500,2,FALSE)</f>
        <v>#N/A</v>
      </c>
      <c r="Z163" s="73" t="s">
        <v>620</v>
      </c>
    </row>
    <row r="164" spans="1:26" hidden="1" x14ac:dyDescent="0.25">
      <c r="A164" s="33">
        <v>12</v>
      </c>
      <c r="B164" s="71" t="s">
        <v>29</v>
      </c>
      <c r="C164" s="39" t="s">
        <v>585</v>
      </c>
      <c r="D164" s="50" t="s">
        <v>183</v>
      </c>
      <c r="E164" s="47">
        <v>45370</v>
      </c>
      <c r="F164" s="31" t="str">
        <f>VLOOKUP($C164,Carpetas!$C$5:$M$2666,2,FALSE)</f>
        <v>PYB059</v>
      </c>
      <c r="G164" s="23" t="str">
        <f>VLOOKUP($C164,Carpetas!$C$5:$M$2666,10,FALSE)</f>
        <v>148.73.49</v>
      </c>
      <c r="H164" s="27">
        <f>VLOOKUP($C164,Carpetas!$C$5:$M$2666,6,FALSE)</f>
        <v>0</v>
      </c>
      <c r="I164" s="220"/>
      <c r="J164" s="47">
        <f>E164+3</f>
        <v>45373</v>
      </c>
      <c r="K164" s="72" t="str">
        <f>VLOOKUP($C164,Carpetas!$C$5:$M$2666,5,FALSE)</f>
        <v>Salto</v>
      </c>
      <c r="L164" s="32"/>
      <c r="M164" s="48">
        <f>J164+1</f>
        <v>45374</v>
      </c>
      <c r="N164" s="26">
        <f t="shared" si="6"/>
        <v>4</v>
      </c>
      <c r="O164" s="27">
        <v>980</v>
      </c>
      <c r="P164" s="27">
        <v>981</v>
      </c>
      <c r="Q164" s="27"/>
      <c r="R164" s="27"/>
      <c r="S164" s="27" t="s">
        <v>621</v>
      </c>
      <c r="T164" s="27"/>
      <c r="U164" s="27"/>
      <c r="V164" s="27" t="s">
        <v>622</v>
      </c>
      <c r="W164" s="27"/>
      <c r="X164" s="73"/>
      <c r="Y164" s="73" t="e">
        <f>VLOOKUP(X164,Choferes!$B$2:$C$500,2,FALSE)</f>
        <v>#N/A</v>
      </c>
      <c r="Z164" s="73" t="s">
        <v>623</v>
      </c>
    </row>
    <row r="165" spans="1:26" hidden="1" x14ac:dyDescent="0.25">
      <c r="A165" s="33">
        <v>12</v>
      </c>
      <c r="B165" s="71" t="s">
        <v>29</v>
      </c>
      <c r="C165" s="39" t="s">
        <v>624</v>
      </c>
      <c r="D165" s="50" t="s">
        <v>48</v>
      </c>
      <c r="E165" s="47">
        <v>45371</v>
      </c>
      <c r="F165" s="31" t="str">
        <f>VLOOKUP($C165,Carpetas!$C$5:$M$2666,2,FALSE)</f>
        <v>PYB060</v>
      </c>
      <c r="G165" s="23" t="str">
        <f>VLOOKUP($C165,Carpetas!$C$5:$M$2666,10,FALSE)</f>
        <v>148,73,50</v>
      </c>
      <c r="H165" s="27">
        <f>VLOOKUP($C165,Carpetas!$C$5:$M$2666,6,FALSE)</f>
        <v>0</v>
      </c>
      <c r="I165" s="220"/>
      <c r="J165" s="47">
        <f>E165+3</f>
        <v>45374</v>
      </c>
      <c r="K165" s="72" t="str">
        <f>VLOOKUP($C165,Carpetas!$C$5:$M$2666,5,FALSE)</f>
        <v>Salto</v>
      </c>
      <c r="L165" s="32"/>
      <c r="M165" s="48">
        <f>J165+1</f>
        <v>45375</v>
      </c>
      <c r="N165" s="26">
        <f t="shared" si="6"/>
        <v>4</v>
      </c>
      <c r="O165" s="27">
        <v>930</v>
      </c>
      <c r="P165" s="27">
        <v>936</v>
      </c>
      <c r="Q165" s="27"/>
      <c r="R165" s="27"/>
      <c r="S165" s="27" t="s">
        <v>625</v>
      </c>
      <c r="T165" s="27"/>
      <c r="U165" s="27"/>
      <c r="V165" s="27" t="s">
        <v>626</v>
      </c>
      <c r="W165" s="27"/>
      <c r="X165" s="73"/>
      <c r="Y165" s="73" t="e">
        <f>VLOOKUP(X165,Choferes!$B$2:$C$500,2,FALSE)</f>
        <v>#N/A</v>
      </c>
      <c r="Z165" s="73" t="s">
        <v>627</v>
      </c>
    </row>
    <row r="166" spans="1:26" hidden="1" x14ac:dyDescent="0.25">
      <c r="A166" s="33">
        <v>12</v>
      </c>
      <c r="B166" s="71" t="s">
        <v>29</v>
      </c>
      <c r="C166" s="39" t="s">
        <v>597</v>
      </c>
      <c r="D166" s="50" t="s">
        <v>102</v>
      </c>
      <c r="E166" s="47">
        <v>45371</v>
      </c>
      <c r="F166" s="31" t="str">
        <f>VLOOKUP($C166,Carpetas!$C$5:$M$2666,2,FALSE)</f>
        <v>PYB061</v>
      </c>
      <c r="G166" s="23" t="str">
        <f>VLOOKUP($C166,Carpetas!$C$5:$M$2666,10,FALSE)</f>
        <v>148,73,48</v>
      </c>
      <c r="H166" s="27">
        <f>VLOOKUP($C166,Carpetas!$C$5:$M$2666,6,FALSE)</f>
        <v>0</v>
      </c>
      <c r="I166" s="220"/>
      <c r="J166" s="47">
        <v>45373</v>
      </c>
      <c r="K166" s="72" t="str">
        <f>VLOOKUP($C166,Carpetas!$C$5:$M$2666,5,FALSE)</f>
        <v>Salto</v>
      </c>
      <c r="L166" s="32"/>
      <c r="M166" s="48">
        <f>J166+3</f>
        <v>45376</v>
      </c>
      <c r="N166" s="26">
        <f t="shared" si="6"/>
        <v>5</v>
      </c>
      <c r="O166" s="27">
        <v>980</v>
      </c>
      <c r="P166" s="27">
        <v>980</v>
      </c>
      <c r="Q166" s="27"/>
      <c r="R166" s="27"/>
      <c r="S166" s="27" t="s">
        <v>628</v>
      </c>
      <c r="T166" s="27"/>
      <c r="U166" s="27"/>
      <c r="V166" s="27" t="s">
        <v>629</v>
      </c>
      <c r="W166" s="27" t="s">
        <v>630</v>
      </c>
      <c r="X166" s="73"/>
      <c r="Y166" s="73" t="e">
        <f>VLOOKUP(X166,Choferes!$B$2:$C$500,2,FALSE)</f>
        <v>#N/A</v>
      </c>
      <c r="Z166" s="73" t="s">
        <v>631</v>
      </c>
    </row>
    <row r="167" spans="1:26" hidden="1" x14ac:dyDescent="0.25">
      <c r="A167" s="33">
        <v>12</v>
      </c>
      <c r="B167" s="71" t="s">
        <v>29</v>
      </c>
      <c r="C167" s="39" t="s">
        <v>632</v>
      </c>
      <c r="D167" s="50" t="s">
        <v>48</v>
      </c>
      <c r="E167" s="47">
        <v>45372</v>
      </c>
      <c r="F167" s="31" t="str">
        <f>VLOOKUP($C167,Carpetas!$C$5:$M$2666,2,FALSE)</f>
        <v>PYB060</v>
      </c>
      <c r="G167" s="23" t="str">
        <f>VLOOKUP($C167,Carpetas!$C$5:$M$2666,10,FALSE)</f>
        <v>148,73,50</v>
      </c>
      <c r="H167" s="27">
        <f>VLOOKUP($C167,Carpetas!$C$5:$M$2666,6,FALSE)</f>
        <v>0</v>
      </c>
      <c r="I167" s="220"/>
      <c r="J167" s="47">
        <f>E167+3</f>
        <v>45375</v>
      </c>
      <c r="K167" s="72" t="str">
        <f>VLOOKUP($C167,Carpetas!$C$5:$M$2666,5,FALSE)</f>
        <v>Salto</v>
      </c>
      <c r="L167" s="32"/>
      <c r="M167" s="48">
        <f>J167+1</f>
        <v>45376</v>
      </c>
      <c r="N167" s="26">
        <f t="shared" si="6"/>
        <v>4</v>
      </c>
      <c r="O167" s="27">
        <v>930</v>
      </c>
      <c r="P167" s="27">
        <v>933</v>
      </c>
      <c r="Q167" s="27"/>
      <c r="R167" s="27"/>
      <c r="S167" s="27" t="s">
        <v>633</v>
      </c>
      <c r="T167" s="27"/>
      <c r="U167" s="27"/>
      <c r="V167" s="27"/>
      <c r="W167" s="27"/>
      <c r="X167" s="73"/>
      <c r="Y167" s="73" t="e">
        <f>VLOOKUP(X167,Choferes!$B$2:$C$500,2,FALSE)</f>
        <v>#N/A</v>
      </c>
      <c r="Z167" s="73" t="s">
        <v>634</v>
      </c>
    </row>
    <row r="168" spans="1:26" hidden="1" x14ac:dyDescent="0.25">
      <c r="A168" s="33">
        <v>12</v>
      </c>
      <c r="B168" s="71" t="s">
        <v>29</v>
      </c>
      <c r="C168" s="39" t="s">
        <v>497</v>
      </c>
      <c r="D168" s="50" t="s">
        <v>110</v>
      </c>
      <c r="E168" s="47">
        <v>45371</v>
      </c>
      <c r="F168" s="31" t="str">
        <f>VLOOKUP($C168,Carpetas!$C$5:$M$2666,2,FALSE)</f>
        <v>BRB009</v>
      </c>
      <c r="G168" s="23" t="str">
        <f>VLOOKUP($C168,Carpetas!$C$5:$M$2666,10,FALSE)</f>
        <v>148,63,71</v>
      </c>
      <c r="H168" s="27" t="str">
        <f>VLOOKUP($C168,Carpetas!$C$5:$M$2666,6,FALSE)</f>
        <v>Silvio</v>
      </c>
      <c r="I168" s="220"/>
      <c r="J168" s="47">
        <f>E168+2</f>
        <v>45373</v>
      </c>
      <c r="K168" s="72" t="str">
        <f>VLOOKUP($C168,Carpetas!$C$5:$M$2666,5,FALSE)</f>
        <v>Rio Branco</v>
      </c>
      <c r="L168" s="32"/>
      <c r="M168" s="48">
        <f>J168+1+3</f>
        <v>45377</v>
      </c>
      <c r="N168" s="26">
        <f t="shared" si="6"/>
        <v>6</v>
      </c>
      <c r="O168" s="27">
        <v>918</v>
      </c>
      <c r="P168" s="27">
        <v>919</v>
      </c>
      <c r="Q168" s="27"/>
      <c r="R168" s="27"/>
      <c r="S168" s="27" t="s">
        <v>635</v>
      </c>
      <c r="T168" s="27"/>
      <c r="U168" s="27">
        <v>6786</v>
      </c>
      <c r="V168" s="27" t="s">
        <v>636</v>
      </c>
      <c r="W168" s="27" t="s">
        <v>637</v>
      </c>
      <c r="X168" s="73"/>
      <c r="Y168" s="73" t="e">
        <f>VLOOKUP(X168,Choferes!$B$2:$C$500,2,FALSE)</f>
        <v>#N/A</v>
      </c>
      <c r="Z168" s="73" t="s">
        <v>638</v>
      </c>
    </row>
    <row r="169" spans="1:26" ht="30" hidden="1" x14ac:dyDescent="0.25">
      <c r="A169" s="33">
        <v>12</v>
      </c>
      <c r="B169" s="71" t="s">
        <v>29</v>
      </c>
      <c r="C169" s="39" t="s">
        <v>604</v>
      </c>
      <c r="D169" s="50" t="s">
        <v>78</v>
      </c>
      <c r="E169" s="47">
        <v>45372</v>
      </c>
      <c r="F169" s="31" t="str">
        <f>VLOOKUP($C169,Carpetas!$C$5:$M$2666,2,FALSE)</f>
        <v>BRB011</v>
      </c>
      <c r="G169" s="23" t="str">
        <f>VLOOKUP($C169,Carpetas!$C$5:$M$2666,10,FALSE)</f>
        <v>148,74,91</v>
      </c>
      <c r="H169" s="27" t="str">
        <f>VLOOKUP($C169,Carpetas!$C$5:$M$2666,6,FALSE)</f>
        <v>Zanini</v>
      </c>
      <c r="I169" s="220"/>
      <c r="J169" s="47">
        <f>E169+1</f>
        <v>45373</v>
      </c>
      <c r="K169" s="72" t="str">
        <f>VLOOKUP($C169,Carpetas!$C$5:$M$2666,5,FALSE)</f>
        <v>Rio Branco</v>
      </c>
      <c r="L169" s="32"/>
      <c r="M169" s="48">
        <f>J169+4</f>
        <v>45377</v>
      </c>
      <c r="N169" s="26">
        <f t="shared" si="6"/>
        <v>5</v>
      </c>
      <c r="O169" s="27">
        <v>900</v>
      </c>
      <c r="P169" s="27">
        <v>901</v>
      </c>
      <c r="Q169" s="27"/>
      <c r="R169" s="27"/>
      <c r="S169" s="27" t="s">
        <v>639</v>
      </c>
      <c r="T169" s="27"/>
      <c r="U169" s="27">
        <v>4307</v>
      </c>
      <c r="V169" s="27" t="s">
        <v>292</v>
      </c>
      <c r="W169" s="27" t="s">
        <v>293</v>
      </c>
      <c r="X169" s="73"/>
      <c r="Y169" s="73" t="e">
        <f>VLOOKUP(X169,Choferes!$B$2:$C$500,2,FALSE)</f>
        <v>#N/A</v>
      </c>
      <c r="Z169" s="73" t="s">
        <v>640</v>
      </c>
    </row>
    <row r="170" spans="1:26" hidden="1" x14ac:dyDescent="0.25">
      <c r="A170" s="33">
        <v>12</v>
      </c>
      <c r="B170" s="71" t="s">
        <v>29</v>
      </c>
      <c r="C170" s="39" t="s">
        <v>641</v>
      </c>
      <c r="D170" s="50" t="s">
        <v>31</v>
      </c>
      <c r="E170" s="47">
        <v>45372</v>
      </c>
      <c r="F170" s="31" t="str">
        <f>VLOOKUP($C170,Carpetas!$C$5:$M$2666,2,FALSE)</f>
        <v>BRB012</v>
      </c>
      <c r="G170" s="23" t="str">
        <f>VLOOKUP($C170,Carpetas!$C$5:$M$2666,10,FALSE)</f>
        <v>148,75,26</v>
      </c>
      <c r="H170" s="27" t="str">
        <f>VLOOKUP($C170,Carpetas!$C$5:$M$2666,6,FALSE)</f>
        <v>Silvio</v>
      </c>
      <c r="I170" s="220"/>
      <c r="J170" s="47">
        <f>E170+1</f>
        <v>45373</v>
      </c>
      <c r="K170" s="72" t="str">
        <f>VLOOKUP($C170,Carpetas!$C$5:$M$2666,5,FALSE)</f>
        <v>Rio Branco</v>
      </c>
      <c r="L170" s="32"/>
      <c r="M170" s="48">
        <f>J170+4</f>
        <v>45377</v>
      </c>
      <c r="N170" s="26">
        <f t="shared" si="6"/>
        <v>5</v>
      </c>
      <c r="O170" s="27">
        <v>918</v>
      </c>
      <c r="P170" s="27">
        <v>918</v>
      </c>
      <c r="Q170" s="27"/>
      <c r="R170" s="27"/>
      <c r="S170" s="27" t="s">
        <v>642</v>
      </c>
      <c r="T170" s="27"/>
      <c r="U170" s="27">
        <v>6804</v>
      </c>
      <c r="V170" s="27" t="s">
        <v>643</v>
      </c>
      <c r="W170" s="27" t="s">
        <v>644</v>
      </c>
      <c r="X170" s="73"/>
      <c r="Y170" s="73" t="e">
        <f>VLOOKUP(X170,Choferes!$B$2:$C$500,2,FALSE)</f>
        <v>#N/A</v>
      </c>
      <c r="Z170" s="73" t="s">
        <v>645</v>
      </c>
    </row>
    <row r="171" spans="1:26" hidden="1" x14ac:dyDescent="0.25">
      <c r="A171" s="33">
        <v>12</v>
      </c>
      <c r="B171" s="71" t="s">
        <v>29</v>
      </c>
      <c r="C171" s="39" t="s">
        <v>646</v>
      </c>
      <c r="D171" s="50" t="s">
        <v>48</v>
      </c>
      <c r="E171" s="47">
        <v>45373</v>
      </c>
      <c r="F171" s="31" t="str">
        <f>VLOOKUP($C171,Carpetas!$C$5:$M$2666,2,FALSE)</f>
        <v>PYB062</v>
      </c>
      <c r="G171" s="23" t="str">
        <f>VLOOKUP($C171,Carpetas!$C$5:$M$2666,10,FALSE)</f>
        <v>148.77.17</v>
      </c>
      <c r="H171" s="27">
        <f>VLOOKUP($C171,Carpetas!$C$5:$M$2666,6,FALSE)</f>
        <v>0</v>
      </c>
      <c r="I171" s="220"/>
      <c r="J171" s="47">
        <f>E171+3</f>
        <v>45376</v>
      </c>
      <c r="K171" s="72" t="str">
        <f>VLOOKUP($C171,Carpetas!$C$5:$M$2666,5,FALSE)</f>
        <v>Salto</v>
      </c>
      <c r="L171" s="32"/>
      <c r="M171" s="48">
        <f>J171+1</f>
        <v>45377</v>
      </c>
      <c r="N171" s="26">
        <f t="shared" si="6"/>
        <v>4</v>
      </c>
      <c r="O171" s="27">
        <v>930</v>
      </c>
      <c r="P171" s="27">
        <v>936</v>
      </c>
      <c r="Q171" s="27"/>
      <c r="R171" s="27"/>
      <c r="S171" s="27" t="s">
        <v>647</v>
      </c>
      <c r="T171" s="27"/>
      <c r="U171" s="27"/>
      <c r="V171" s="27" t="s">
        <v>648</v>
      </c>
      <c r="W171" s="27"/>
      <c r="X171" s="73"/>
      <c r="Y171" s="73" t="e">
        <f>VLOOKUP(X171,Choferes!$B$2:$C$500,2,FALSE)</f>
        <v>#N/A</v>
      </c>
      <c r="Z171" s="73" t="s">
        <v>649</v>
      </c>
    </row>
    <row r="172" spans="1:26" hidden="1" x14ac:dyDescent="0.25">
      <c r="A172" s="33">
        <v>13</v>
      </c>
      <c r="B172" s="71" t="s">
        <v>29</v>
      </c>
      <c r="C172" s="39" t="s">
        <v>650</v>
      </c>
      <c r="D172" s="50" t="s">
        <v>102</v>
      </c>
      <c r="E172" s="47">
        <v>45374</v>
      </c>
      <c r="F172" s="31" t="str">
        <f>VLOOKUP($C172,Carpetas!$C$5:$M$2666,2,FALSE)</f>
        <v>PYB065</v>
      </c>
      <c r="G172" s="23" t="str">
        <f>VLOOKUP($C172,Carpetas!$C$5:$M$2666,10,FALSE)</f>
        <v>148,78,34</v>
      </c>
      <c r="H172" s="27">
        <f>VLOOKUP($C172,Carpetas!$C$5:$M$2666,6,FALSE)</f>
        <v>0</v>
      </c>
      <c r="I172" s="220"/>
      <c r="J172" s="47">
        <f>E172+3</f>
        <v>45377</v>
      </c>
      <c r="K172" s="72" t="str">
        <f>VLOOKUP($C172,Carpetas!$C$5:$M$2666,5,FALSE)</f>
        <v>Salto</v>
      </c>
      <c r="L172" s="32"/>
      <c r="M172" s="48">
        <f>J172+1</f>
        <v>45378</v>
      </c>
      <c r="N172" s="26">
        <f t="shared" si="6"/>
        <v>4</v>
      </c>
      <c r="O172" s="27">
        <v>980</v>
      </c>
      <c r="P172" s="27">
        <v>982</v>
      </c>
      <c r="Q172" s="27"/>
      <c r="R172" s="27"/>
      <c r="S172" s="27" t="s">
        <v>651</v>
      </c>
      <c r="T172" s="27"/>
      <c r="U172" s="27"/>
      <c r="V172" s="27" t="s">
        <v>161</v>
      </c>
      <c r="W172" s="27" t="s">
        <v>162</v>
      </c>
      <c r="X172" s="73"/>
      <c r="Y172" s="73" t="e">
        <f>VLOOKUP(X172,Choferes!$B$2:$C$500,2,FALSE)</f>
        <v>#N/A</v>
      </c>
      <c r="Z172" s="73" t="s">
        <v>652</v>
      </c>
    </row>
    <row r="173" spans="1:26" hidden="1" x14ac:dyDescent="0.25">
      <c r="A173" s="33">
        <v>13</v>
      </c>
      <c r="B173" s="71" t="s">
        <v>29</v>
      </c>
      <c r="C173" s="39" t="s">
        <v>653</v>
      </c>
      <c r="D173" s="50" t="s">
        <v>183</v>
      </c>
      <c r="E173" s="47">
        <v>45374</v>
      </c>
      <c r="F173" s="31" t="str">
        <f>VLOOKUP($C173,Carpetas!$C$5:$M$2666,2,FALSE)</f>
        <v>PYB064</v>
      </c>
      <c r="G173" s="23" t="str">
        <f>VLOOKUP($C173,Carpetas!$C$5:$M$2666,10,FALSE)</f>
        <v>148,78,40</v>
      </c>
      <c r="H173" s="27">
        <f>VLOOKUP($C173,Carpetas!$C$5:$M$2666,6,FALSE)</f>
        <v>0</v>
      </c>
      <c r="I173" s="220"/>
      <c r="J173" s="47">
        <f>E173+3</f>
        <v>45377</v>
      </c>
      <c r="K173" s="72" t="str">
        <f>VLOOKUP($C173,Carpetas!$C$5:$M$2666,5,FALSE)</f>
        <v>Salto</v>
      </c>
      <c r="L173" s="32"/>
      <c r="M173" s="48">
        <f>J173+1</f>
        <v>45378</v>
      </c>
      <c r="N173" s="26">
        <f t="shared" si="6"/>
        <v>4</v>
      </c>
      <c r="O173" s="27">
        <v>980</v>
      </c>
      <c r="P173" s="27">
        <v>979</v>
      </c>
      <c r="Q173" s="27"/>
      <c r="R173" s="27"/>
      <c r="S173" s="27" t="s">
        <v>654</v>
      </c>
      <c r="T173" s="27"/>
      <c r="U173" s="27"/>
      <c r="V173" s="27" t="s">
        <v>655</v>
      </c>
      <c r="W173" s="27" t="s">
        <v>656</v>
      </c>
      <c r="X173" s="73"/>
      <c r="Y173" s="73" t="e">
        <f>VLOOKUP(X173,Choferes!$B$2:$C$500,2,FALSE)</f>
        <v>#N/A</v>
      </c>
      <c r="Z173" s="73" t="s">
        <v>657</v>
      </c>
    </row>
    <row r="174" spans="1:26" hidden="1" x14ac:dyDescent="0.25">
      <c r="A174" s="33">
        <v>12</v>
      </c>
      <c r="B174" s="71" t="s">
        <v>29</v>
      </c>
      <c r="C174" s="39" t="s">
        <v>658</v>
      </c>
      <c r="D174" s="50" t="s">
        <v>121</v>
      </c>
      <c r="E174" s="47">
        <v>45375</v>
      </c>
      <c r="F174" s="31" t="str">
        <f>VLOOKUP($C174,Carpetas!$C$5:$M$2666,2,FALSE)</f>
        <v>PYB063</v>
      </c>
      <c r="G174" s="23" t="str">
        <f>VLOOKUP($C174,Carpetas!$C$5:$M$2666,10,FALSE)</f>
        <v>148,76,29</v>
      </c>
      <c r="H174" s="27">
        <f>VLOOKUP($C174,Carpetas!$C$5:$M$2666,6,FALSE)</f>
        <v>0</v>
      </c>
      <c r="I174" s="220"/>
      <c r="J174" s="47">
        <v>45377</v>
      </c>
      <c r="K174" s="72" t="str">
        <f>VLOOKUP($C174,Carpetas!$C$5:$M$2666,5,FALSE)</f>
        <v>Salto</v>
      </c>
      <c r="L174" s="32"/>
      <c r="M174" s="48">
        <f>J174+1</f>
        <v>45378</v>
      </c>
      <c r="N174" s="26">
        <f t="shared" si="6"/>
        <v>3</v>
      </c>
      <c r="O174" s="27">
        <v>980</v>
      </c>
      <c r="P174" s="27"/>
      <c r="Q174" s="27"/>
      <c r="R174" s="27"/>
      <c r="S174" s="27"/>
      <c r="T174" s="27"/>
      <c r="U174" s="27"/>
      <c r="V174" s="27"/>
      <c r="W174" s="27"/>
      <c r="X174" s="73"/>
      <c r="Y174" s="73" t="e">
        <f>VLOOKUP(X174,Choferes!$B$2:$C$500,2,FALSE)</f>
        <v>#N/A</v>
      </c>
      <c r="Z174" s="73"/>
    </row>
    <row r="175" spans="1:26" hidden="1" x14ac:dyDescent="0.25">
      <c r="A175" s="33">
        <v>12</v>
      </c>
      <c r="B175" s="71" t="s">
        <v>298</v>
      </c>
      <c r="C175" s="39" t="s">
        <v>299</v>
      </c>
      <c r="D175" s="50" t="s">
        <v>121</v>
      </c>
      <c r="E175" s="47">
        <v>45374</v>
      </c>
      <c r="F175" s="31" t="str">
        <f>VLOOKUP($C175,Carpetas!$C$5:$M$2666,2,FALSE)</f>
        <v>BRB</v>
      </c>
      <c r="G175" s="23" t="e">
        <f>VLOOKUP($C175,Carpetas!$C$5:$M$2666,9,FALSE)</f>
        <v>#REF!</v>
      </c>
      <c r="H175" s="27" t="str">
        <f>VLOOKUP($C175,Carpetas!$C$5:$M$2666,5,FALSE)</f>
        <v>xx</v>
      </c>
      <c r="I175" s="220"/>
      <c r="J175" s="47">
        <f>E175+3</f>
        <v>45377</v>
      </c>
      <c r="K175" s="72">
        <f>VLOOKUP($C175,Carpetas!$C$5:$M$2666,4,FALSE)</f>
        <v>0</v>
      </c>
      <c r="L175" s="32"/>
      <c r="M175" s="48">
        <f>J175+1</f>
        <v>45378</v>
      </c>
      <c r="N175" s="26">
        <f t="shared" si="6"/>
        <v>4</v>
      </c>
      <c r="O175" s="27">
        <v>980</v>
      </c>
      <c r="P175" s="27"/>
      <c r="Q175" s="27"/>
      <c r="R175" s="27"/>
      <c r="S175" s="27"/>
      <c r="T175" s="27"/>
      <c r="U175" s="27"/>
      <c r="V175" s="27"/>
      <c r="W175" s="27"/>
      <c r="X175" s="73"/>
      <c r="Y175" s="73" t="e">
        <f>VLOOKUP(X175,Choferes!$B$2:$C$500,2,FALSE)</f>
        <v>#N/A</v>
      </c>
      <c r="Z175" s="73"/>
    </row>
    <row r="176" spans="1:26" hidden="1" x14ac:dyDescent="0.25">
      <c r="A176" s="33">
        <v>11</v>
      </c>
      <c r="B176" s="71" t="s">
        <v>29</v>
      </c>
      <c r="C176" s="39" t="s">
        <v>659</v>
      </c>
      <c r="D176" s="50" t="s">
        <v>63</v>
      </c>
      <c r="E176" s="47">
        <v>45366</v>
      </c>
      <c r="F176" s="31" t="str">
        <f>VLOOKUP($C176,Carpetas!$C$5:$M$2666,2,FALSE)</f>
        <v>BRA010</v>
      </c>
      <c r="G176" s="23">
        <f>VLOOKUP($C176,Carpetas!$C$5:$M$2666,10,FALSE)</f>
        <v>0</v>
      </c>
      <c r="H176" s="27" t="str">
        <f>VLOOKUP($C176,Carpetas!$C$5:$M$2666,6,FALSE)</f>
        <v>Silvio</v>
      </c>
      <c r="I176" s="220"/>
      <c r="J176" s="47">
        <f>E176+10</f>
        <v>45376</v>
      </c>
      <c r="K176" s="72" t="str">
        <f>VLOOKUP($C176,Carpetas!$C$5:$M$2666,5,FALSE)</f>
        <v>Rio Branco</v>
      </c>
      <c r="L176" s="32"/>
      <c r="M176" s="48">
        <f>J176+1+2</f>
        <v>45379</v>
      </c>
      <c r="N176" s="26">
        <f t="shared" si="6"/>
        <v>13</v>
      </c>
      <c r="O176" s="27">
        <v>1104</v>
      </c>
      <c r="P176" s="27">
        <v>1104</v>
      </c>
      <c r="Q176" s="27"/>
      <c r="R176" s="27"/>
      <c r="S176" s="27" t="s">
        <v>660</v>
      </c>
      <c r="T176" s="27"/>
      <c r="U176" s="27">
        <v>6795</v>
      </c>
      <c r="V176" s="27" t="s">
        <v>661</v>
      </c>
      <c r="W176" s="27" t="s">
        <v>662</v>
      </c>
      <c r="X176" s="73"/>
      <c r="Y176" s="73" t="e">
        <f>VLOOKUP(X176,Choferes!$B$2:$C$500,2,FALSE)</f>
        <v>#N/A</v>
      </c>
      <c r="Z176" s="73" t="s">
        <v>663</v>
      </c>
    </row>
    <row r="177" spans="1:26" hidden="1" x14ac:dyDescent="0.25">
      <c r="A177" s="33">
        <v>12</v>
      </c>
      <c r="B177" s="71" t="s">
        <v>29</v>
      </c>
      <c r="C177" s="39" t="s">
        <v>641</v>
      </c>
      <c r="D177" s="50" t="s">
        <v>249</v>
      </c>
      <c r="E177" s="47">
        <v>45373</v>
      </c>
      <c r="F177" s="31" t="str">
        <f>VLOOKUP($C177,Carpetas!$C$5:$M$2666,2,FALSE)</f>
        <v>BRB012</v>
      </c>
      <c r="G177" s="23" t="str">
        <f>VLOOKUP($C177,Carpetas!$C$5:$M$2666,10,FALSE)</f>
        <v>148,75,26</v>
      </c>
      <c r="H177" s="27" t="str">
        <f>VLOOKUP($C177,Carpetas!$C$5:$M$2666,6,FALSE)</f>
        <v>Silvio</v>
      </c>
      <c r="I177" s="220"/>
      <c r="J177" s="47">
        <f>E177+3</f>
        <v>45376</v>
      </c>
      <c r="K177" s="72" t="str">
        <f>VLOOKUP($C177,Carpetas!$C$5:$M$2666,5,FALSE)</f>
        <v>Rio Branco</v>
      </c>
      <c r="L177" s="32"/>
      <c r="M177" s="48">
        <f>J177+1+2</f>
        <v>45379</v>
      </c>
      <c r="N177" s="26">
        <f t="shared" si="6"/>
        <v>6</v>
      </c>
      <c r="O177" s="27">
        <v>918</v>
      </c>
      <c r="P177" s="27">
        <v>919</v>
      </c>
      <c r="Q177" s="27"/>
      <c r="R177" s="27"/>
      <c r="S177" s="27" t="s">
        <v>664</v>
      </c>
      <c r="T177" s="27"/>
      <c r="U177" s="27">
        <v>6805</v>
      </c>
      <c r="V177" s="27" t="s">
        <v>665</v>
      </c>
      <c r="W177" s="27" t="s">
        <v>666</v>
      </c>
      <c r="X177" s="73"/>
      <c r="Y177" s="73" t="e">
        <f>VLOOKUP(X177,Choferes!$B$2:$C$500,2,FALSE)</f>
        <v>#N/A</v>
      </c>
      <c r="Z177" s="73" t="s">
        <v>667</v>
      </c>
    </row>
    <row r="178" spans="1:26" hidden="1" x14ac:dyDescent="0.25">
      <c r="A178" s="33">
        <v>13</v>
      </c>
      <c r="B178" s="71" t="s">
        <v>29</v>
      </c>
      <c r="C178" s="39" t="s">
        <v>604</v>
      </c>
      <c r="D178" s="50" t="s">
        <v>78</v>
      </c>
      <c r="E178" s="47">
        <v>45374</v>
      </c>
      <c r="F178" s="31" t="str">
        <f>VLOOKUP($C178,Carpetas!$C$5:$M$2666,2,FALSE)</f>
        <v>BRB011</v>
      </c>
      <c r="G178" s="23" t="str">
        <f>VLOOKUP($C178,Carpetas!$C$5:$M$2666,10,FALSE)</f>
        <v>148,74,91</v>
      </c>
      <c r="H178" s="27" t="str">
        <f>VLOOKUP($C178,Carpetas!$C$5:$M$2666,6,FALSE)</f>
        <v>Zanini</v>
      </c>
      <c r="I178" s="220"/>
      <c r="J178" s="47">
        <f>E178+2</f>
        <v>45376</v>
      </c>
      <c r="K178" s="72" t="str">
        <f>VLOOKUP($C178,Carpetas!$C$5:$M$2666,5,FALSE)</f>
        <v>Rio Branco</v>
      </c>
      <c r="L178" s="32"/>
      <c r="M178" s="48">
        <f>J178+1+2</f>
        <v>45379</v>
      </c>
      <c r="N178" s="26">
        <f t="shared" si="6"/>
        <v>5</v>
      </c>
      <c r="O178" s="27">
        <v>900</v>
      </c>
      <c r="P178" s="27">
        <v>901</v>
      </c>
      <c r="Q178" s="27"/>
      <c r="R178" s="27"/>
      <c r="S178" s="27" t="s">
        <v>668</v>
      </c>
      <c r="T178" s="27"/>
      <c r="U178" s="27">
        <v>4308</v>
      </c>
      <c r="V178" s="27" t="s">
        <v>669</v>
      </c>
      <c r="W178" s="27" t="s">
        <v>670</v>
      </c>
      <c r="X178" s="73"/>
      <c r="Y178" s="73" t="e">
        <f>VLOOKUP(X178,Choferes!$B$2:$C$500,2,FALSE)</f>
        <v>#N/A</v>
      </c>
      <c r="Z178" s="73" t="s">
        <v>671</v>
      </c>
    </row>
    <row r="179" spans="1:26" hidden="1" x14ac:dyDescent="0.25">
      <c r="A179" s="33">
        <v>13</v>
      </c>
      <c r="B179" s="71" t="s">
        <v>29</v>
      </c>
      <c r="C179" s="39" t="s">
        <v>604</v>
      </c>
      <c r="D179" s="50" t="s">
        <v>78</v>
      </c>
      <c r="E179" s="47">
        <v>45374</v>
      </c>
      <c r="F179" s="31" t="str">
        <f>VLOOKUP($C179,Carpetas!$C$5:$M$2666,2,FALSE)</f>
        <v>BRB011</v>
      </c>
      <c r="G179" s="23" t="str">
        <f>VLOOKUP($C179,Carpetas!$C$5:$M$2666,10,FALSE)</f>
        <v>148,74,91</v>
      </c>
      <c r="H179" s="27" t="str">
        <f>VLOOKUP($C179,Carpetas!$C$5:$M$2666,6,FALSE)</f>
        <v>Zanini</v>
      </c>
      <c r="I179" s="220"/>
      <c r="J179" s="47">
        <f>E179+2</f>
        <v>45376</v>
      </c>
      <c r="K179" s="72" t="str">
        <f>VLOOKUP($C179,Carpetas!$C$5:$M$2666,5,FALSE)</f>
        <v>Rio Branco</v>
      </c>
      <c r="L179" s="32"/>
      <c r="M179" s="48">
        <f>J179+1+2</f>
        <v>45379</v>
      </c>
      <c r="N179" s="26">
        <f t="shared" si="6"/>
        <v>5</v>
      </c>
      <c r="O179" s="27">
        <v>900</v>
      </c>
      <c r="P179" s="27">
        <v>901</v>
      </c>
      <c r="Q179" s="27"/>
      <c r="R179" s="27"/>
      <c r="S179" s="27" t="s">
        <v>672</v>
      </c>
      <c r="T179" s="27"/>
      <c r="U179" s="27">
        <v>4309</v>
      </c>
      <c r="V179" s="27" t="s">
        <v>673</v>
      </c>
      <c r="W179" s="27" t="s">
        <v>674</v>
      </c>
      <c r="X179" s="73"/>
      <c r="Y179" s="73" t="e">
        <f>VLOOKUP(X179,Choferes!$B$2:$C$500,2,FALSE)</f>
        <v>#N/A</v>
      </c>
      <c r="Z179" s="73" t="s">
        <v>675</v>
      </c>
    </row>
    <row r="180" spans="1:26" hidden="1" x14ac:dyDescent="0.25">
      <c r="A180" s="33">
        <v>13</v>
      </c>
      <c r="B180" s="71" t="s">
        <v>29</v>
      </c>
      <c r="C180" s="39" t="s">
        <v>641</v>
      </c>
      <c r="D180" s="50" t="s">
        <v>87</v>
      </c>
      <c r="E180" s="47">
        <v>45375</v>
      </c>
      <c r="F180" s="31" t="str">
        <f>VLOOKUP($C180,Carpetas!$C$5:$M$2666,2,FALSE)</f>
        <v>BRB012</v>
      </c>
      <c r="G180" s="23" t="str">
        <f>VLOOKUP($C180,Carpetas!$C$5:$M$2666,10,FALSE)</f>
        <v>148,75,26</v>
      </c>
      <c r="H180" s="27" t="str">
        <f>VLOOKUP($C180,Carpetas!$C$5:$M$2666,6,FALSE)</f>
        <v>Silvio</v>
      </c>
      <c r="I180" s="220"/>
      <c r="J180" s="47">
        <f>E180+1</f>
        <v>45376</v>
      </c>
      <c r="K180" s="72" t="str">
        <f>VLOOKUP($C180,Carpetas!$C$5:$M$2666,5,FALSE)</f>
        <v>Rio Branco</v>
      </c>
      <c r="L180" s="32"/>
      <c r="M180" s="48">
        <f>J180+1+2</f>
        <v>45379</v>
      </c>
      <c r="N180" s="26">
        <f t="shared" si="6"/>
        <v>4</v>
      </c>
      <c r="O180" s="27">
        <v>918</v>
      </c>
      <c r="P180" s="27">
        <v>918</v>
      </c>
      <c r="Q180" s="27"/>
      <c r="R180" s="27"/>
      <c r="S180" s="27" t="s">
        <v>676</v>
      </c>
      <c r="T180" s="27"/>
      <c r="U180" s="27">
        <v>6806</v>
      </c>
      <c r="V180" s="27" t="s">
        <v>677</v>
      </c>
      <c r="W180" s="27" t="s">
        <v>678</v>
      </c>
      <c r="X180" s="73"/>
      <c r="Y180" s="73" t="e">
        <f>VLOOKUP(X180,Choferes!$B$2:$C$500,2,FALSE)</f>
        <v>#N/A</v>
      </c>
      <c r="Z180" s="73" t="s">
        <v>679</v>
      </c>
    </row>
    <row r="181" spans="1:26" hidden="1" x14ac:dyDescent="0.25">
      <c r="A181" s="33">
        <v>13</v>
      </c>
      <c r="B181" s="71" t="s">
        <v>29</v>
      </c>
      <c r="C181" s="39" t="s">
        <v>653</v>
      </c>
      <c r="D181" s="50" t="s">
        <v>183</v>
      </c>
      <c r="E181" s="47">
        <v>45374</v>
      </c>
      <c r="F181" s="31" t="str">
        <f>VLOOKUP($C181,Carpetas!$C$5:$M$2666,2,FALSE)</f>
        <v>PYB064</v>
      </c>
      <c r="G181" s="23" t="str">
        <f>VLOOKUP($C181,Carpetas!$C$5:$M$2666,10,FALSE)</f>
        <v>148,78,40</v>
      </c>
      <c r="H181" s="27">
        <f>VLOOKUP($C181,Carpetas!$C$5:$M$2666,6,FALSE)</f>
        <v>0</v>
      </c>
      <c r="I181" s="220"/>
      <c r="J181" s="47">
        <f>E181+3</f>
        <v>45377</v>
      </c>
      <c r="K181" s="72" t="str">
        <f>VLOOKUP($C181,Carpetas!$C$5:$M$2666,5,FALSE)</f>
        <v>Salto</v>
      </c>
      <c r="L181" s="32"/>
      <c r="M181" s="48">
        <f>J181+1+1</f>
        <v>45379</v>
      </c>
      <c r="N181" s="26">
        <f t="shared" si="6"/>
        <v>5</v>
      </c>
      <c r="O181" s="27">
        <v>980</v>
      </c>
      <c r="P181" s="27">
        <v>980</v>
      </c>
      <c r="Q181" s="27"/>
      <c r="R181" s="27"/>
      <c r="S181" s="27" t="s">
        <v>680</v>
      </c>
      <c r="T181" s="27"/>
      <c r="U181" s="27"/>
      <c r="V181" s="27" t="s">
        <v>681</v>
      </c>
      <c r="W181" s="27"/>
      <c r="X181" s="73"/>
      <c r="Y181" s="73" t="e">
        <f>VLOOKUP(X181,Choferes!$B$2:$C$500,2,FALSE)</f>
        <v>#N/A</v>
      </c>
      <c r="Z181" s="73" t="s">
        <v>682</v>
      </c>
    </row>
    <row r="182" spans="1:26" hidden="1" x14ac:dyDescent="0.25">
      <c r="A182" s="33">
        <v>13</v>
      </c>
      <c r="B182" s="71" t="s">
        <v>29</v>
      </c>
      <c r="C182" s="39" t="s">
        <v>650</v>
      </c>
      <c r="D182" s="50" t="s">
        <v>102</v>
      </c>
      <c r="E182" s="47">
        <v>45375</v>
      </c>
      <c r="F182" s="31" t="str">
        <f>VLOOKUP($C182,Carpetas!$C$5:$M$2666,2,FALSE)</f>
        <v>PYB065</v>
      </c>
      <c r="G182" s="23" t="str">
        <f>VLOOKUP($C182,Carpetas!$C$5:$M$2666,10,FALSE)</f>
        <v>148,78,34</v>
      </c>
      <c r="H182" s="27">
        <f>VLOOKUP($C182,Carpetas!$C$5:$M$2666,6,FALSE)</f>
        <v>0</v>
      </c>
      <c r="I182" s="220"/>
      <c r="J182" s="47">
        <v>45377</v>
      </c>
      <c r="K182" s="72" t="str">
        <f>VLOOKUP($C182,Carpetas!$C$5:$M$2666,5,FALSE)</f>
        <v>Salto</v>
      </c>
      <c r="L182" s="32"/>
      <c r="M182" s="48">
        <f>J182+1+1</f>
        <v>45379</v>
      </c>
      <c r="N182" s="26">
        <f t="shared" si="6"/>
        <v>4</v>
      </c>
      <c r="O182" s="27">
        <v>980</v>
      </c>
      <c r="P182" s="27">
        <v>981</v>
      </c>
      <c r="Q182" s="27"/>
      <c r="R182" s="27"/>
      <c r="S182" s="27" t="s">
        <v>683</v>
      </c>
      <c r="T182" s="27"/>
      <c r="U182" s="27"/>
      <c r="V182" s="27" t="s">
        <v>288</v>
      </c>
      <c r="W182" s="27"/>
      <c r="X182" s="73"/>
      <c r="Y182" s="73" t="e">
        <f>VLOOKUP(X182,Choferes!$B$2:$C$500,2,FALSE)</f>
        <v>#N/A</v>
      </c>
      <c r="Z182" s="73" t="s">
        <v>684</v>
      </c>
    </row>
    <row r="183" spans="1:26" hidden="1" x14ac:dyDescent="0.25">
      <c r="A183" s="33">
        <v>13</v>
      </c>
      <c r="B183" s="71" t="s">
        <v>29</v>
      </c>
      <c r="C183" s="39" t="s">
        <v>685</v>
      </c>
      <c r="D183" s="50" t="s">
        <v>78</v>
      </c>
      <c r="E183" s="47">
        <v>45376</v>
      </c>
      <c r="F183" s="31" t="str">
        <f>VLOOKUP($C183,Carpetas!$C$5:$M$2666,2,FALSE)</f>
        <v>BRB013</v>
      </c>
      <c r="G183" s="23" t="str">
        <f>VLOOKUP($C183,Carpetas!$C$5:$M$2666,10,FALSE)</f>
        <v>148,78,66</v>
      </c>
      <c r="H183" s="27" t="str">
        <f>VLOOKUP($C183,Carpetas!$C$5:$M$2666,6,FALSE)</f>
        <v>Zanini</v>
      </c>
      <c r="I183" s="220"/>
      <c r="J183" s="47">
        <v>45377</v>
      </c>
      <c r="K183" s="72" t="str">
        <f>VLOOKUP($C183,Carpetas!$C$5:$M$2666,5,FALSE)</f>
        <v>Rio Branco</v>
      </c>
      <c r="L183" s="32"/>
      <c r="M183" s="48">
        <f>J183+1+1</f>
        <v>45379</v>
      </c>
      <c r="N183" s="26">
        <f t="shared" si="6"/>
        <v>3</v>
      </c>
      <c r="O183" s="27">
        <v>900</v>
      </c>
      <c r="P183" s="27">
        <v>901</v>
      </c>
      <c r="Q183" s="27"/>
      <c r="R183" s="27"/>
      <c r="S183" s="27" t="s">
        <v>686</v>
      </c>
      <c r="T183" s="27"/>
      <c r="U183" s="27">
        <v>4310</v>
      </c>
      <c r="V183" s="27" t="s">
        <v>687</v>
      </c>
      <c r="W183" s="27" t="s">
        <v>688</v>
      </c>
      <c r="X183" s="73"/>
      <c r="Y183" s="73" t="e">
        <f>VLOOKUP(X183,Choferes!$B$2:$C$500,2,FALSE)</f>
        <v>#N/A</v>
      </c>
      <c r="Z183" s="73" t="s">
        <v>671</v>
      </c>
    </row>
    <row r="184" spans="1:26" ht="30" hidden="1" x14ac:dyDescent="0.25">
      <c r="A184" s="33">
        <v>13</v>
      </c>
      <c r="B184" s="71" t="s">
        <v>29</v>
      </c>
      <c r="C184" s="39" t="s">
        <v>685</v>
      </c>
      <c r="D184" s="50" t="s">
        <v>78</v>
      </c>
      <c r="E184" s="47">
        <v>45376</v>
      </c>
      <c r="F184" s="31" t="str">
        <f>VLOOKUP($C184,Carpetas!$C$5:$M$2666,2,FALSE)</f>
        <v>BRB013</v>
      </c>
      <c r="G184" s="23" t="str">
        <f>VLOOKUP($C184,Carpetas!$C$5:$M$2666,10,FALSE)</f>
        <v>148,78,66</v>
      </c>
      <c r="H184" s="27" t="str">
        <f>VLOOKUP($C184,Carpetas!$C$5:$M$2666,6,FALSE)</f>
        <v>Zanini</v>
      </c>
      <c r="I184" s="220"/>
      <c r="J184" s="47">
        <v>45377</v>
      </c>
      <c r="K184" s="72" t="str">
        <f>VLOOKUP($C184,Carpetas!$C$5:$M$2666,5,FALSE)</f>
        <v>Rio Branco</v>
      </c>
      <c r="L184" s="32"/>
      <c r="M184" s="48">
        <f>J184+1+1</f>
        <v>45379</v>
      </c>
      <c r="N184" s="26">
        <f t="shared" si="6"/>
        <v>3</v>
      </c>
      <c r="O184" s="27">
        <v>900</v>
      </c>
      <c r="P184" s="27">
        <v>901</v>
      </c>
      <c r="Q184" s="27"/>
      <c r="R184" s="27"/>
      <c r="S184" s="27" t="s">
        <v>689</v>
      </c>
      <c r="T184" s="27"/>
      <c r="U184" s="27">
        <v>4311</v>
      </c>
      <c r="V184" s="27" t="s">
        <v>206</v>
      </c>
      <c r="W184" s="27" t="s">
        <v>207</v>
      </c>
      <c r="X184" s="73"/>
      <c r="Y184" s="73" t="e">
        <f>VLOOKUP(X184,Choferes!$B$2:$C$500,2,FALSE)</f>
        <v>#N/A</v>
      </c>
      <c r="Z184" s="73" t="s">
        <v>690</v>
      </c>
    </row>
    <row r="185" spans="1:26" hidden="1" x14ac:dyDescent="0.25">
      <c r="A185" s="33">
        <v>12</v>
      </c>
      <c r="B185" s="71" t="s">
        <v>29</v>
      </c>
      <c r="C185" s="39" t="s">
        <v>691</v>
      </c>
      <c r="D185" s="50" t="s">
        <v>63</v>
      </c>
      <c r="E185" s="47">
        <v>45373</v>
      </c>
      <c r="F185" s="31" t="str">
        <f>VLOOKUP($C185,Carpetas!$C$5:$M$2666,2,FALSE)</f>
        <v>BRA011</v>
      </c>
      <c r="G185" s="23">
        <f>VLOOKUP($C185,Carpetas!$C$5:$M$2666,10,FALSE)</f>
        <v>0</v>
      </c>
      <c r="H185" s="27" t="str">
        <f>VLOOKUP($C185,Carpetas!$C$5:$M$2666,6,FALSE)</f>
        <v>Silvio</v>
      </c>
      <c r="I185" s="220"/>
      <c r="J185" s="47">
        <f>E185+5</f>
        <v>45378</v>
      </c>
      <c r="K185" s="72" t="str">
        <f>VLOOKUP($C185,Carpetas!$C$5:$M$2666,5,FALSE)</f>
        <v>Rio Branco</v>
      </c>
      <c r="L185" s="32"/>
      <c r="M185" s="48">
        <f>J185+1</f>
        <v>45379</v>
      </c>
      <c r="N185" s="26">
        <f t="shared" si="6"/>
        <v>6</v>
      </c>
      <c r="O185" s="27">
        <v>1104</v>
      </c>
      <c r="P185" s="27"/>
      <c r="Q185" s="27"/>
      <c r="R185" s="27"/>
      <c r="S185" s="27"/>
      <c r="T185" s="27"/>
      <c r="U185" s="27">
        <v>6810</v>
      </c>
      <c r="V185" s="27" t="s">
        <v>692</v>
      </c>
      <c r="W185" s="27" t="s">
        <v>693</v>
      </c>
      <c r="X185" s="73"/>
      <c r="Y185" s="73" t="e">
        <f>VLOOKUP(X185,Choferes!$B$2:$C$500,2,FALSE)</f>
        <v>#N/A</v>
      </c>
      <c r="Z185" s="73"/>
    </row>
    <row r="186" spans="1:26" hidden="1" x14ac:dyDescent="0.25">
      <c r="A186" s="33">
        <v>13</v>
      </c>
      <c r="B186" s="71" t="s">
        <v>29</v>
      </c>
      <c r="C186" s="39" t="s">
        <v>694</v>
      </c>
      <c r="D186" s="50" t="s">
        <v>42</v>
      </c>
      <c r="E186" s="47">
        <v>45374</v>
      </c>
      <c r="F186" s="31" t="str">
        <f>VLOOKUP($C186,Carpetas!$C$5:$M$2666,2,FALSE)</f>
        <v>PYB066</v>
      </c>
      <c r="G186" s="23" t="str">
        <f>VLOOKUP($C186,Carpetas!$C$5:$M$2666,10,FALSE)</f>
        <v>148,75,95</v>
      </c>
      <c r="H186" s="27">
        <f>VLOOKUP($C186,Carpetas!$C$5:$M$2666,6,FALSE)</f>
        <v>0</v>
      </c>
      <c r="I186" s="220"/>
      <c r="J186" s="47">
        <v>45378</v>
      </c>
      <c r="K186" s="72" t="str">
        <f>VLOOKUP($C186,Carpetas!$C$5:$M$2666,5,FALSE)</f>
        <v>Salto</v>
      </c>
      <c r="L186" s="32"/>
      <c r="M186" s="48">
        <f>J186+1</f>
        <v>45379</v>
      </c>
      <c r="N186" s="26">
        <f t="shared" si="6"/>
        <v>5</v>
      </c>
      <c r="O186" s="27">
        <v>972</v>
      </c>
      <c r="P186" s="27">
        <v>976</v>
      </c>
      <c r="Q186" s="27"/>
      <c r="R186" s="27"/>
      <c r="S186" s="27" t="s">
        <v>695</v>
      </c>
      <c r="T186" s="27"/>
      <c r="U186" s="27"/>
      <c r="V186" s="27" t="s">
        <v>128</v>
      </c>
      <c r="W186" s="27"/>
      <c r="X186" s="73"/>
      <c r="Y186" s="73" t="e">
        <f>VLOOKUP(X186,Choferes!$B$2:$C$500,2,FALSE)</f>
        <v>#N/A</v>
      </c>
      <c r="Z186" s="73" t="s">
        <v>696</v>
      </c>
    </row>
    <row r="187" spans="1:26" hidden="1" x14ac:dyDescent="0.25">
      <c r="A187" s="33">
        <v>13</v>
      </c>
      <c r="B187" s="71" t="s">
        <v>29</v>
      </c>
      <c r="C187" s="39" t="s">
        <v>653</v>
      </c>
      <c r="D187" s="50" t="s">
        <v>183</v>
      </c>
      <c r="E187" s="47">
        <v>45375</v>
      </c>
      <c r="F187" s="31" t="str">
        <f>VLOOKUP($C187,Carpetas!$C$5:$M$2666,2,FALSE)</f>
        <v>PYB064</v>
      </c>
      <c r="G187" s="23" t="str">
        <f>VLOOKUP($C187,Carpetas!$C$5:$M$2666,10,FALSE)</f>
        <v>148,78,40</v>
      </c>
      <c r="H187" s="27">
        <f>VLOOKUP($C187,Carpetas!$C$5:$M$2666,6,FALSE)</f>
        <v>0</v>
      </c>
      <c r="I187" s="220"/>
      <c r="J187" s="47">
        <f>E187+3</f>
        <v>45378</v>
      </c>
      <c r="K187" s="72" t="str">
        <f>VLOOKUP($C187,Carpetas!$C$5:$M$2666,5,FALSE)</f>
        <v>Salto</v>
      </c>
      <c r="L187" s="32"/>
      <c r="M187" s="48">
        <f>J187+1</f>
        <v>45379</v>
      </c>
      <c r="N187" s="26">
        <f t="shared" si="6"/>
        <v>4</v>
      </c>
      <c r="O187" s="27">
        <v>980</v>
      </c>
      <c r="P187" s="27">
        <v>980</v>
      </c>
      <c r="Q187" s="27"/>
      <c r="R187" s="27"/>
      <c r="S187" s="27" t="s">
        <v>697</v>
      </c>
      <c r="T187" s="27"/>
      <c r="U187" s="27"/>
      <c r="V187" s="27" t="s">
        <v>315</v>
      </c>
      <c r="W187" s="27" t="s">
        <v>316</v>
      </c>
      <c r="X187" s="73"/>
      <c r="Y187" s="73" t="e">
        <f>VLOOKUP(X187,Choferes!$B$2:$C$500,2,FALSE)</f>
        <v>#N/A</v>
      </c>
      <c r="Z187" s="73" t="s">
        <v>698</v>
      </c>
    </row>
    <row r="188" spans="1:26" hidden="1" x14ac:dyDescent="0.25">
      <c r="A188" s="33">
        <v>13</v>
      </c>
      <c r="B188" s="71" t="s">
        <v>29</v>
      </c>
      <c r="C188" s="39" t="s">
        <v>653</v>
      </c>
      <c r="D188" s="50" t="s">
        <v>183</v>
      </c>
      <c r="E188" s="47">
        <v>45375</v>
      </c>
      <c r="F188" s="31" t="str">
        <f>VLOOKUP($C188,Carpetas!$C$5:$M$2666,2,FALSE)</f>
        <v>PYB064</v>
      </c>
      <c r="G188" s="23" t="str">
        <f>VLOOKUP($C188,Carpetas!$C$5:$M$2666,10,FALSE)</f>
        <v>148,78,40</v>
      </c>
      <c r="H188" s="27">
        <f>VLOOKUP($C188,Carpetas!$C$5:$M$2666,6,FALSE)</f>
        <v>0</v>
      </c>
      <c r="I188" s="220"/>
      <c r="J188" s="47">
        <f>E188+3</f>
        <v>45378</v>
      </c>
      <c r="K188" s="72" t="str">
        <f>VLOOKUP($C188,Carpetas!$C$5:$M$2666,5,FALSE)</f>
        <v>Salto</v>
      </c>
      <c r="L188" s="32"/>
      <c r="M188" s="48">
        <f>J188+1</f>
        <v>45379</v>
      </c>
      <c r="N188" s="26">
        <f t="shared" si="6"/>
        <v>4</v>
      </c>
      <c r="O188" s="27">
        <v>980</v>
      </c>
      <c r="P188" s="27">
        <v>981</v>
      </c>
      <c r="Q188" s="27"/>
      <c r="R188" s="27"/>
      <c r="S188" s="27" t="s">
        <v>699</v>
      </c>
      <c r="T188" s="27"/>
      <c r="U188" s="27"/>
      <c r="V188" s="27" t="s">
        <v>700</v>
      </c>
      <c r="W188" s="27"/>
      <c r="X188" s="73"/>
      <c r="Y188" s="73" t="e">
        <f>VLOOKUP(X188,Choferes!$B$2:$C$500,2,FALSE)</f>
        <v>#N/A</v>
      </c>
      <c r="Z188" s="73" t="s">
        <v>701</v>
      </c>
    </row>
    <row r="189" spans="1:26" hidden="1" x14ac:dyDescent="0.25">
      <c r="A189" s="33">
        <v>13</v>
      </c>
      <c r="B189" s="71" t="s">
        <v>29</v>
      </c>
      <c r="C189" s="39" t="s">
        <v>702</v>
      </c>
      <c r="D189" s="50" t="s">
        <v>48</v>
      </c>
      <c r="E189" s="47">
        <v>45375</v>
      </c>
      <c r="F189" s="31" t="str">
        <f>VLOOKUP($C189,Carpetas!$C$5:$M$2666,2,FALSE)</f>
        <v>PYB067</v>
      </c>
      <c r="G189" s="23" t="str">
        <f>VLOOKUP($C189,Carpetas!$C$5:$M$2666,10,FALSE)</f>
        <v>148,78,84</v>
      </c>
      <c r="H189" s="27">
        <f>VLOOKUP($C189,Carpetas!$C$5:$M$2666,6,FALSE)</f>
        <v>0</v>
      </c>
      <c r="I189" s="220"/>
      <c r="J189" s="47">
        <f>E189+3</f>
        <v>45378</v>
      </c>
      <c r="K189" s="72" t="str">
        <f>VLOOKUP($C189,Carpetas!$C$5:$M$2666,5,FALSE)</f>
        <v>Salto</v>
      </c>
      <c r="L189" s="32"/>
      <c r="M189" s="48">
        <f>J189+1</f>
        <v>45379</v>
      </c>
      <c r="N189" s="26">
        <f t="shared" si="6"/>
        <v>4</v>
      </c>
      <c r="O189" s="27">
        <v>930</v>
      </c>
      <c r="P189" s="27">
        <v>931</v>
      </c>
      <c r="Q189" s="27"/>
      <c r="R189" s="27"/>
      <c r="S189" s="27" t="s">
        <v>703</v>
      </c>
      <c r="T189" s="27"/>
      <c r="U189" s="27"/>
      <c r="V189" s="27" t="s">
        <v>704</v>
      </c>
      <c r="W189" s="27"/>
      <c r="X189" s="73"/>
      <c r="Y189" s="73" t="e">
        <f>VLOOKUP(X189,Choferes!$B$2:$C$500,2,FALSE)</f>
        <v>#N/A</v>
      </c>
      <c r="Z189" s="73" t="s">
        <v>705</v>
      </c>
    </row>
    <row r="190" spans="1:26" hidden="1" x14ac:dyDescent="0.25">
      <c r="A190" s="33">
        <v>13</v>
      </c>
      <c r="B190" s="71" t="s">
        <v>29</v>
      </c>
      <c r="C190" s="39" t="s">
        <v>702</v>
      </c>
      <c r="D190" s="50" t="s">
        <v>48</v>
      </c>
      <c r="E190" s="47">
        <v>45376</v>
      </c>
      <c r="F190" s="31" t="str">
        <f>VLOOKUP($C190,Carpetas!$C$5:$M$2666,2,FALSE)</f>
        <v>PYB067</v>
      </c>
      <c r="G190" s="23" t="str">
        <f>VLOOKUP($C190,Carpetas!$C$5:$M$2666,10,FALSE)</f>
        <v>148,78,84</v>
      </c>
      <c r="H190" s="27">
        <f>VLOOKUP($C190,Carpetas!$C$5:$M$2666,6,FALSE)</f>
        <v>0</v>
      </c>
      <c r="I190" s="220"/>
      <c r="J190" s="47">
        <f>E190+3</f>
        <v>45379</v>
      </c>
      <c r="K190" s="72" t="str">
        <f>VLOOKUP($C190,Carpetas!$C$5:$M$2666,5,FALSE)</f>
        <v>Salto</v>
      </c>
      <c r="L190" s="32"/>
      <c r="M190" s="48">
        <v>45381</v>
      </c>
      <c r="N190" s="26">
        <f t="shared" si="6"/>
        <v>5</v>
      </c>
      <c r="O190" s="27">
        <v>930</v>
      </c>
      <c r="P190" s="27">
        <v>933</v>
      </c>
      <c r="Q190" s="27"/>
      <c r="R190" s="27"/>
      <c r="S190" s="27" t="s">
        <v>706</v>
      </c>
      <c r="T190" s="27"/>
      <c r="U190" s="27"/>
      <c r="V190" s="27" t="s">
        <v>74</v>
      </c>
      <c r="W190" s="27" t="s">
        <v>75</v>
      </c>
      <c r="X190" s="73"/>
      <c r="Y190" s="73" t="e">
        <f>VLOOKUP(X190,Choferes!$B$2:$C$500,2,FALSE)</f>
        <v>#N/A</v>
      </c>
      <c r="Z190" s="73" t="s">
        <v>707</v>
      </c>
    </row>
    <row r="191" spans="1:26" hidden="1" x14ac:dyDescent="0.25">
      <c r="A191" s="33">
        <v>13</v>
      </c>
      <c r="B191" s="71" t="s">
        <v>29</v>
      </c>
      <c r="C191" s="39" t="s">
        <v>641</v>
      </c>
      <c r="D191" s="50" t="s">
        <v>31</v>
      </c>
      <c r="E191" s="47">
        <v>45381</v>
      </c>
      <c r="F191" s="31" t="str">
        <f>VLOOKUP($C191,Carpetas!$C$5:$M$2666,2,FALSE)</f>
        <v>BRB012</v>
      </c>
      <c r="G191" s="23" t="str">
        <f>VLOOKUP($C191,Carpetas!$C$5:$M$2666,10,FALSE)</f>
        <v>148,75,26</v>
      </c>
      <c r="H191" s="27" t="str">
        <f>VLOOKUP($C191,Carpetas!$C$5:$M$2666,6,FALSE)</f>
        <v>Silvio</v>
      </c>
      <c r="I191" s="220"/>
      <c r="J191" s="47">
        <f>E191+2</f>
        <v>45383</v>
      </c>
      <c r="K191" s="72" t="str">
        <f>VLOOKUP($C191,Carpetas!$C$5:$M$2666,5,FALSE)</f>
        <v>Rio Branco</v>
      </c>
      <c r="L191" s="32"/>
      <c r="M191" s="48">
        <f t="shared" ref="M191:M196" si="7">J191+1</f>
        <v>45384</v>
      </c>
      <c r="N191" s="26">
        <f t="shared" si="6"/>
        <v>3</v>
      </c>
      <c r="O191" s="27">
        <v>918</v>
      </c>
      <c r="P191" s="27">
        <v>918</v>
      </c>
      <c r="Q191" s="27"/>
      <c r="R191" s="27"/>
      <c r="S191" s="27" t="s">
        <v>708</v>
      </c>
      <c r="T191" s="27"/>
      <c r="U191" s="27">
        <v>6807</v>
      </c>
      <c r="V191" s="27" t="s">
        <v>709</v>
      </c>
      <c r="W191" s="27" t="s">
        <v>710</v>
      </c>
      <c r="X191" s="73"/>
      <c r="Y191" s="73" t="e">
        <f>VLOOKUP(X191,Choferes!$B$2:$C$500,2,FALSE)</f>
        <v>#N/A</v>
      </c>
      <c r="Z191" s="73" t="s">
        <v>711</v>
      </c>
    </row>
    <row r="192" spans="1:26" hidden="1" x14ac:dyDescent="0.25">
      <c r="A192" s="33">
        <v>14</v>
      </c>
      <c r="B192" s="71" t="s">
        <v>29</v>
      </c>
      <c r="C192" s="39" t="s">
        <v>712</v>
      </c>
      <c r="D192" s="50" t="s">
        <v>183</v>
      </c>
      <c r="E192" s="47">
        <v>45383</v>
      </c>
      <c r="F192" s="31" t="str">
        <f>VLOOKUP($C192,Carpetas!$C$5:$M$2666,2,FALSE)</f>
        <v>PYB068</v>
      </c>
      <c r="G192" s="23" t="str">
        <f>VLOOKUP($C192,Carpetas!$C$5:$M$2666,10,FALSE)</f>
        <v>148,80,79</v>
      </c>
      <c r="H192" s="27">
        <f>VLOOKUP($C192,Carpetas!$C$5:$M$2666,6,FALSE)</f>
        <v>0</v>
      </c>
      <c r="I192" s="220"/>
      <c r="J192" s="47">
        <f>E192+3</f>
        <v>45386</v>
      </c>
      <c r="K192" s="72" t="str">
        <f>VLOOKUP($C192,Carpetas!$C$5:$M$2666,5,FALSE)</f>
        <v>Salto</v>
      </c>
      <c r="L192" s="32"/>
      <c r="M192" s="48">
        <f t="shared" si="7"/>
        <v>45387</v>
      </c>
      <c r="N192" s="26">
        <f t="shared" si="6"/>
        <v>4</v>
      </c>
      <c r="O192" s="27">
        <v>980</v>
      </c>
      <c r="P192" s="27">
        <v>980</v>
      </c>
      <c r="Q192" s="27"/>
      <c r="R192" s="27"/>
      <c r="S192" s="27" t="s">
        <v>713</v>
      </c>
      <c r="T192" s="27"/>
      <c r="U192" s="27"/>
      <c r="V192" s="27" t="s">
        <v>714</v>
      </c>
      <c r="W192" s="27" t="s">
        <v>715</v>
      </c>
      <c r="X192" s="73"/>
      <c r="Y192" s="73" t="e">
        <f>VLOOKUP(X192,Choferes!$B$2:$C$500,2,FALSE)</f>
        <v>#N/A</v>
      </c>
      <c r="Z192" s="73" t="s">
        <v>716</v>
      </c>
    </row>
    <row r="193" spans="1:26" hidden="1" x14ac:dyDescent="0.25">
      <c r="A193" s="33">
        <v>14</v>
      </c>
      <c r="B193" s="71" t="s">
        <v>29</v>
      </c>
      <c r="C193" s="39" t="s">
        <v>717</v>
      </c>
      <c r="D193" s="50" t="s">
        <v>121</v>
      </c>
      <c r="E193" s="47">
        <v>45383</v>
      </c>
      <c r="F193" s="31" t="str">
        <f>VLOOKUP($C193,Carpetas!$C$5:$M$2666,2,FALSE)</f>
        <v>PYB070</v>
      </c>
      <c r="G193" s="23" t="str">
        <f>VLOOKUP($C193,Carpetas!$C$5:$M$2666,10,FALSE)</f>
        <v>148,79,48</v>
      </c>
      <c r="H193" s="27">
        <f>VLOOKUP($C193,Carpetas!$C$5:$M$2666,6,FALSE)</f>
        <v>0</v>
      </c>
      <c r="I193" s="220"/>
      <c r="J193" s="47">
        <f>E193+3</f>
        <v>45386</v>
      </c>
      <c r="K193" s="72" t="str">
        <f>VLOOKUP($C193,Carpetas!$C$5:$M$2666,5,FALSE)</f>
        <v>Salto</v>
      </c>
      <c r="L193" s="32"/>
      <c r="M193" s="48">
        <f t="shared" si="7"/>
        <v>45387</v>
      </c>
      <c r="N193" s="26">
        <f t="shared" si="6"/>
        <v>4</v>
      </c>
      <c r="O193" s="27">
        <v>980</v>
      </c>
      <c r="P193" s="27">
        <v>993</v>
      </c>
      <c r="Q193" s="27"/>
      <c r="R193" s="27"/>
      <c r="S193" s="27" t="s">
        <v>718</v>
      </c>
      <c r="T193" s="27"/>
      <c r="U193" s="27"/>
      <c r="V193" s="27" t="s">
        <v>44</v>
      </c>
      <c r="W193" s="27" t="s">
        <v>45</v>
      </c>
      <c r="X193" s="73"/>
      <c r="Y193" s="73" t="e">
        <f>VLOOKUP(X193,Choferes!$B$2:$C$500,2,FALSE)</f>
        <v>#N/A</v>
      </c>
      <c r="Z193" s="73" t="s">
        <v>719</v>
      </c>
    </row>
    <row r="194" spans="1:26" hidden="1" x14ac:dyDescent="0.25">
      <c r="A194" s="33">
        <v>14</v>
      </c>
      <c r="B194" s="71" t="s">
        <v>29</v>
      </c>
      <c r="C194" s="39" t="s">
        <v>720</v>
      </c>
      <c r="D194" s="50" t="s">
        <v>249</v>
      </c>
      <c r="E194" s="47">
        <v>45384</v>
      </c>
      <c r="F194" s="31" t="str">
        <f>VLOOKUP($C194,Carpetas!$C$5:$M$2666,2,FALSE)</f>
        <v>BRB014</v>
      </c>
      <c r="G194" s="23" t="str">
        <f>VLOOKUP($C194,Carpetas!$C$5:$M$2666,10,FALSE)</f>
        <v>148,82,44</v>
      </c>
      <c r="H194" s="27" t="str">
        <f>VLOOKUP($C194,Carpetas!$C$5:$M$2666,6,FALSE)</f>
        <v>Silvio</v>
      </c>
      <c r="I194" s="220"/>
      <c r="J194" s="47">
        <f>E194+2</f>
        <v>45386</v>
      </c>
      <c r="K194" s="72" t="str">
        <f>VLOOKUP($C194,Carpetas!$C$5:$M$2666,5,FALSE)</f>
        <v>Rio Branco</v>
      </c>
      <c r="L194" s="32"/>
      <c r="M194" s="48">
        <f t="shared" si="7"/>
        <v>45387</v>
      </c>
      <c r="N194" s="26">
        <f t="shared" si="6"/>
        <v>3</v>
      </c>
      <c r="O194" s="27">
        <v>918</v>
      </c>
      <c r="P194" s="27">
        <v>918</v>
      </c>
      <c r="Q194" s="27"/>
      <c r="R194" s="27"/>
      <c r="S194" s="27"/>
      <c r="T194" s="27"/>
      <c r="U194" s="27">
        <v>6827</v>
      </c>
      <c r="V194" s="27" t="s">
        <v>721</v>
      </c>
      <c r="W194" s="27" t="s">
        <v>722</v>
      </c>
      <c r="X194" s="73"/>
      <c r="Y194" s="73" t="e">
        <f>VLOOKUP(X194,Choferes!$B$2:$C$500,2,FALSE)</f>
        <v>#N/A</v>
      </c>
      <c r="Z194" s="73" t="s">
        <v>723</v>
      </c>
    </row>
    <row r="195" spans="1:26" hidden="1" x14ac:dyDescent="0.25">
      <c r="A195" s="33">
        <v>14</v>
      </c>
      <c r="B195" s="71" t="s">
        <v>29</v>
      </c>
      <c r="C195" s="39" t="s">
        <v>712</v>
      </c>
      <c r="D195" s="50" t="s">
        <v>183</v>
      </c>
      <c r="E195" s="47">
        <v>45384</v>
      </c>
      <c r="F195" s="31" t="str">
        <f>VLOOKUP($C195,Carpetas!$C$5:$M$2666,2,FALSE)</f>
        <v>PYB068</v>
      </c>
      <c r="G195" s="23" t="str">
        <f>VLOOKUP($C195,Carpetas!$C$5:$M$2666,10,FALSE)</f>
        <v>148,80,79</v>
      </c>
      <c r="H195" s="27">
        <f>VLOOKUP($C195,Carpetas!$C$5:$M$2666,6,FALSE)</f>
        <v>0</v>
      </c>
      <c r="I195" s="220"/>
      <c r="J195" s="47">
        <v>45386</v>
      </c>
      <c r="K195" s="72" t="str">
        <f>VLOOKUP($C195,Carpetas!$C$5:$M$2666,5,FALSE)</f>
        <v>Salto</v>
      </c>
      <c r="L195" s="32"/>
      <c r="M195" s="48">
        <f t="shared" si="7"/>
        <v>45387</v>
      </c>
      <c r="N195" s="26">
        <f t="shared" si="6"/>
        <v>3</v>
      </c>
      <c r="O195" s="27">
        <v>980</v>
      </c>
      <c r="P195" s="27">
        <v>982</v>
      </c>
      <c r="Q195" s="27"/>
      <c r="R195" s="27"/>
      <c r="S195" s="27" t="s">
        <v>724</v>
      </c>
      <c r="T195" s="27"/>
      <c r="U195" s="27"/>
      <c r="V195" s="27" t="s">
        <v>725</v>
      </c>
      <c r="W195" s="27" t="s">
        <v>726</v>
      </c>
      <c r="X195" s="73"/>
      <c r="Y195" s="73" t="e">
        <f>VLOOKUP(X195,Choferes!$B$2:$C$500,2,FALSE)</f>
        <v>#N/A</v>
      </c>
      <c r="Z195" s="73" t="s">
        <v>727</v>
      </c>
    </row>
    <row r="196" spans="1:26" hidden="1" x14ac:dyDescent="0.25">
      <c r="A196" s="33">
        <v>14</v>
      </c>
      <c r="B196" s="71" t="s">
        <v>29</v>
      </c>
      <c r="C196" s="39" t="s">
        <v>728</v>
      </c>
      <c r="D196" s="50" t="s">
        <v>102</v>
      </c>
      <c r="E196" s="47">
        <v>45384</v>
      </c>
      <c r="F196" s="31" t="str">
        <f>VLOOKUP($C196,Carpetas!$C$5:$M$2666,2,FALSE)</f>
        <v>PYB071</v>
      </c>
      <c r="G196" s="23">
        <f>VLOOKUP($C196,Carpetas!$C$5:$M$2666,10,FALSE)</f>
        <v>0</v>
      </c>
      <c r="H196" s="27">
        <f>VLOOKUP($C196,Carpetas!$C$5:$M$2666,6,FALSE)</f>
        <v>0</v>
      </c>
      <c r="I196" s="220"/>
      <c r="J196" s="47">
        <v>45386</v>
      </c>
      <c r="K196" s="72" t="str">
        <f>VLOOKUP($C196,Carpetas!$C$5:$M$2666,5,FALSE)</f>
        <v>Salto</v>
      </c>
      <c r="L196" s="32"/>
      <c r="M196" s="48">
        <f t="shared" si="7"/>
        <v>45387</v>
      </c>
      <c r="N196" s="26">
        <f t="shared" si="6"/>
        <v>3</v>
      </c>
      <c r="O196" s="27">
        <v>980</v>
      </c>
      <c r="P196" s="27">
        <v>981</v>
      </c>
      <c r="Q196" s="27"/>
      <c r="R196" s="27"/>
      <c r="S196" s="27" t="s">
        <v>729</v>
      </c>
      <c r="T196" s="27"/>
      <c r="U196" s="27"/>
      <c r="V196" s="27" t="s">
        <v>156</v>
      </c>
      <c r="W196" s="27" t="s">
        <v>157</v>
      </c>
      <c r="X196" s="73"/>
      <c r="Y196" s="73" t="e">
        <f>VLOOKUP(X196,Choferes!$B$2:$C$500,2,FALSE)</f>
        <v>#N/A</v>
      </c>
      <c r="Z196" s="73" t="s">
        <v>730</v>
      </c>
    </row>
    <row r="197" spans="1:26" ht="30" hidden="1" x14ac:dyDescent="0.25">
      <c r="A197" s="33">
        <v>14</v>
      </c>
      <c r="B197" s="71" t="s">
        <v>29</v>
      </c>
      <c r="C197" s="39" t="s">
        <v>685</v>
      </c>
      <c r="D197" s="50" t="s">
        <v>78</v>
      </c>
      <c r="E197" s="47">
        <v>45383</v>
      </c>
      <c r="F197" s="31" t="str">
        <f>VLOOKUP($C197,Carpetas!$C$5:$M$2666,2,FALSE)</f>
        <v>BRB013</v>
      </c>
      <c r="G197" s="23" t="str">
        <f>VLOOKUP($C197,Carpetas!$C$5:$M$2666,10,FALSE)</f>
        <v>148,78,66</v>
      </c>
      <c r="H197" s="27" t="str">
        <f>VLOOKUP($C197,Carpetas!$C$5:$M$2666,6,FALSE)</f>
        <v>Zanini</v>
      </c>
      <c r="I197" s="220"/>
      <c r="J197" s="47">
        <v>45385</v>
      </c>
      <c r="K197" s="72" t="str">
        <f>VLOOKUP($C197,Carpetas!$C$5:$M$2666,5,FALSE)</f>
        <v>Rio Branco</v>
      </c>
      <c r="L197" s="32"/>
      <c r="M197" s="48">
        <f>J197+1+2</f>
        <v>45388</v>
      </c>
      <c r="N197" s="26">
        <f t="shared" ref="N197:N260" si="8">IF(E197&lt;&gt;"",M197-E197,"-")</f>
        <v>5</v>
      </c>
      <c r="O197" s="27">
        <v>900</v>
      </c>
      <c r="P197" s="27">
        <v>900</v>
      </c>
      <c r="Q197" s="27"/>
      <c r="R197" s="27"/>
      <c r="S197" s="27" t="s">
        <v>731</v>
      </c>
      <c r="T197" s="27"/>
      <c r="U197" s="27">
        <v>4327</v>
      </c>
      <c r="V197" s="27" t="s">
        <v>732</v>
      </c>
      <c r="W197" s="27" t="s">
        <v>733</v>
      </c>
      <c r="X197" s="73"/>
      <c r="Y197" s="73" t="e">
        <f>VLOOKUP(X197,Choferes!$B$2:$C$500,2,FALSE)</f>
        <v>#N/A</v>
      </c>
      <c r="Z197" s="73" t="s">
        <v>734</v>
      </c>
    </row>
    <row r="198" spans="1:26" hidden="1" x14ac:dyDescent="0.25">
      <c r="A198" s="33">
        <v>14</v>
      </c>
      <c r="B198" s="71" t="s">
        <v>29</v>
      </c>
      <c r="C198" s="39" t="s">
        <v>720</v>
      </c>
      <c r="D198" s="50" t="s">
        <v>31</v>
      </c>
      <c r="E198" s="47">
        <v>45384</v>
      </c>
      <c r="F198" s="31" t="str">
        <f>VLOOKUP($C198,Carpetas!$C$5:$M$2666,2,FALSE)</f>
        <v>BRB014</v>
      </c>
      <c r="G198" s="23" t="str">
        <f>VLOOKUP($C198,Carpetas!$C$5:$M$2666,10,FALSE)</f>
        <v>148,82,44</v>
      </c>
      <c r="H198" s="27" t="str">
        <f>VLOOKUP($C198,Carpetas!$C$5:$M$2666,6,FALSE)</f>
        <v>Silvio</v>
      </c>
      <c r="I198" s="220"/>
      <c r="J198" s="47">
        <v>45385</v>
      </c>
      <c r="K198" s="72" t="str">
        <f>VLOOKUP($C198,Carpetas!$C$5:$M$2666,5,FALSE)</f>
        <v>Rio Branco</v>
      </c>
      <c r="L198" s="32"/>
      <c r="M198" s="48">
        <f>J198+1+2</f>
        <v>45388</v>
      </c>
      <c r="N198" s="26">
        <f t="shared" si="8"/>
        <v>4</v>
      </c>
      <c r="O198" s="27">
        <v>918</v>
      </c>
      <c r="P198" s="27">
        <v>918</v>
      </c>
      <c r="Q198" s="27"/>
      <c r="R198" s="27"/>
      <c r="S198" s="27" t="s">
        <v>735</v>
      </c>
      <c r="T198" s="27"/>
      <c r="U198" s="27">
        <v>6828</v>
      </c>
      <c r="V198" s="27" t="s">
        <v>64</v>
      </c>
      <c r="W198" s="27" t="s">
        <v>65</v>
      </c>
      <c r="X198" s="73"/>
      <c r="Y198" s="73" t="e">
        <f>VLOOKUP(X198,Choferes!$B$2:$C$500,2,FALSE)</f>
        <v>#N/A</v>
      </c>
      <c r="Z198" s="73" t="s">
        <v>736</v>
      </c>
    </row>
    <row r="199" spans="1:26" hidden="1" x14ac:dyDescent="0.25">
      <c r="A199" s="33">
        <v>13</v>
      </c>
      <c r="B199" s="71" t="s">
        <v>29</v>
      </c>
      <c r="C199" s="39" t="s">
        <v>737</v>
      </c>
      <c r="D199" s="50" t="s">
        <v>63</v>
      </c>
      <c r="E199" s="47">
        <v>45378</v>
      </c>
      <c r="F199" s="31" t="str">
        <f>VLOOKUP($C199,Carpetas!$C$5:$M$2666,2,FALSE)</f>
        <v>BRA012</v>
      </c>
      <c r="G199" s="23">
        <f>VLOOKUP($C199,Carpetas!$C$5:$M$2666,10,FALSE)</f>
        <v>0</v>
      </c>
      <c r="H199" s="27" t="str">
        <f>VLOOKUP($C199,Carpetas!$C$5:$M$2666,6,FALSE)</f>
        <v>Silvio</v>
      </c>
      <c r="I199" s="220"/>
      <c r="J199" s="47">
        <v>45386</v>
      </c>
      <c r="K199" s="72" t="str">
        <f>VLOOKUP($C199,Carpetas!$C$5:$M$2666,5,FALSE)</f>
        <v>Rio Branco</v>
      </c>
      <c r="L199" s="32"/>
      <c r="M199" s="48">
        <f>J199+1+1</f>
        <v>45388</v>
      </c>
      <c r="N199" s="26">
        <f t="shared" si="8"/>
        <v>10</v>
      </c>
      <c r="O199" s="27">
        <v>1104</v>
      </c>
      <c r="P199" s="27">
        <v>1104</v>
      </c>
      <c r="Q199" s="27"/>
      <c r="R199" s="27"/>
      <c r="S199" s="27" t="s">
        <v>262</v>
      </c>
      <c r="T199" s="27"/>
      <c r="U199" s="27">
        <v>6819</v>
      </c>
      <c r="V199" s="27" t="s">
        <v>738</v>
      </c>
      <c r="W199" s="27" t="s">
        <v>739</v>
      </c>
      <c r="X199" s="73"/>
      <c r="Y199" s="73" t="e">
        <f>VLOOKUP(X199,Choferes!$B$2:$C$500,2,FALSE)</f>
        <v>#N/A</v>
      </c>
      <c r="Z199" s="73" t="s">
        <v>740</v>
      </c>
    </row>
    <row r="200" spans="1:26" hidden="1" x14ac:dyDescent="0.25">
      <c r="A200" s="33">
        <v>14</v>
      </c>
      <c r="B200" s="71" t="s">
        <v>29</v>
      </c>
      <c r="C200" s="39" t="s">
        <v>685</v>
      </c>
      <c r="D200" s="50" t="s">
        <v>78</v>
      </c>
      <c r="E200" s="47">
        <v>45384</v>
      </c>
      <c r="F200" s="31" t="str">
        <f>VLOOKUP($C200,Carpetas!$C$5:$M$2666,2,FALSE)</f>
        <v>BRB013</v>
      </c>
      <c r="G200" s="23" t="str">
        <f>VLOOKUP($C200,Carpetas!$C$5:$M$2666,10,FALSE)</f>
        <v>148,78,66</v>
      </c>
      <c r="H200" s="27" t="str">
        <f>VLOOKUP($C200,Carpetas!$C$5:$M$2666,6,FALSE)</f>
        <v>Zanini</v>
      </c>
      <c r="I200" s="220"/>
      <c r="J200" s="47">
        <v>45387</v>
      </c>
      <c r="K200" s="72" t="str">
        <f>VLOOKUP($C200,Carpetas!$C$5:$M$2666,5,FALSE)</f>
        <v>Rio Branco</v>
      </c>
      <c r="L200" s="32"/>
      <c r="M200" s="48">
        <f>J200+1</f>
        <v>45388</v>
      </c>
      <c r="N200" s="26">
        <f t="shared" si="8"/>
        <v>4</v>
      </c>
      <c r="O200" s="27">
        <v>900</v>
      </c>
      <c r="P200" s="27">
        <v>900</v>
      </c>
      <c r="Q200" s="27"/>
      <c r="R200" s="27"/>
      <c r="S200" s="27" t="s">
        <v>741</v>
      </c>
      <c r="T200" s="27"/>
      <c r="U200" s="27">
        <v>4331</v>
      </c>
      <c r="V200" s="27" t="s">
        <v>395</v>
      </c>
      <c r="W200" s="27" t="s">
        <v>396</v>
      </c>
      <c r="X200" s="73"/>
      <c r="Y200" s="73" t="e">
        <f>VLOOKUP(X200,Choferes!$B$2:$C$500,2,FALSE)</f>
        <v>#N/A</v>
      </c>
      <c r="Z200" s="73" t="s">
        <v>742</v>
      </c>
    </row>
    <row r="201" spans="1:26" hidden="1" x14ac:dyDescent="0.25">
      <c r="A201" s="33">
        <v>14</v>
      </c>
      <c r="B201" s="71" t="s">
        <v>29</v>
      </c>
      <c r="C201" s="39" t="s">
        <v>712</v>
      </c>
      <c r="D201" s="50" t="s">
        <v>183</v>
      </c>
      <c r="E201" s="47">
        <v>45385</v>
      </c>
      <c r="F201" s="31" t="str">
        <f>VLOOKUP($C201,Carpetas!$C$5:$M$2666,2,FALSE)</f>
        <v>PYB068</v>
      </c>
      <c r="G201" s="23" t="str">
        <f>VLOOKUP($C201,Carpetas!$C$5:$M$2666,10,FALSE)</f>
        <v>148,80,79</v>
      </c>
      <c r="H201" s="27">
        <f>VLOOKUP($C201,Carpetas!$C$5:$M$2666,6,FALSE)</f>
        <v>0</v>
      </c>
      <c r="I201" s="220"/>
      <c r="J201" s="47">
        <v>45387</v>
      </c>
      <c r="K201" s="72" t="str">
        <f>VLOOKUP($C201,Carpetas!$C$5:$M$2666,5,FALSE)</f>
        <v>Salto</v>
      </c>
      <c r="L201" s="32"/>
      <c r="M201" s="48">
        <f>J201+1</f>
        <v>45388</v>
      </c>
      <c r="N201" s="26">
        <f t="shared" si="8"/>
        <v>3</v>
      </c>
      <c r="O201" s="27">
        <v>980</v>
      </c>
      <c r="P201" s="27">
        <v>982</v>
      </c>
      <c r="Q201" s="27"/>
      <c r="R201" s="27"/>
      <c r="S201" s="27" t="s">
        <v>743</v>
      </c>
      <c r="T201" s="27"/>
      <c r="U201" s="27"/>
      <c r="V201" s="27" t="s">
        <v>478</v>
      </c>
      <c r="W201" s="27" t="s">
        <v>479</v>
      </c>
      <c r="X201" s="73"/>
      <c r="Y201" s="73" t="e">
        <f>VLOOKUP(X201,Choferes!$B$2:$C$500,2,FALSE)</f>
        <v>#N/A</v>
      </c>
      <c r="Z201" s="73" t="s">
        <v>744</v>
      </c>
    </row>
    <row r="202" spans="1:26" hidden="1" x14ac:dyDescent="0.25">
      <c r="A202" s="33">
        <v>14</v>
      </c>
      <c r="B202" s="71" t="s">
        <v>29</v>
      </c>
      <c r="C202" s="39" t="s">
        <v>745</v>
      </c>
      <c r="D202" s="50" t="s">
        <v>48</v>
      </c>
      <c r="E202" s="47">
        <v>45385</v>
      </c>
      <c r="F202" s="31" t="str">
        <f>VLOOKUP($C202,Carpetas!$C$5:$M$2666,2,FALSE)</f>
        <v>PYB069</v>
      </c>
      <c r="G202" s="23" t="str">
        <f>VLOOKUP($C202,Carpetas!$C$5:$M$2666,10,FALSE)</f>
        <v>148,80,78</v>
      </c>
      <c r="H202" s="27">
        <f>VLOOKUP($C202,Carpetas!$C$5:$M$2666,6,FALSE)</f>
        <v>0</v>
      </c>
      <c r="I202" s="220"/>
      <c r="J202" s="47">
        <v>45387</v>
      </c>
      <c r="K202" s="72" t="str">
        <f>VLOOKUP($C202,Carpetas!$C$5:$M$2666,5,FALSE)</f>
        <v>Salto</v>
      </c>
      <c r="L202" s="32"/>
      <c r="M202" s="48">
        <v>45390</v>
      </c>
      <c r="N202" s="26">
        <f t="shared" si="8"/>
        <v>5</v>
      </c>
      <c r="O202" s="27">
        <v>930</v>
      </c>
      <c r="P202" s="27"/>
      <c r="Q202" s="27"/>
      <c r="R202" s="27"/>
      <c r="S202" s="27"/>
      <c r="T202" s="27"/>
      <c r="U202" s="27"/>
      <c r="V202" s="27"/>
      <c r="W202" s="27"/>
      <c r="X202" s="73"/>
      <c r="Y202" s="73" t="e">
        <f>VLOOKUP(X202,Choferes!$B$2:$C$500,2,FALSE)</f>
        <v>#N/A</v>
      </c>
      <c r="Z202" s="73" t="s">
        <v>746</v>
      </c>
    </row>
    <row r="203" spans="1:26" hidden="1" x14ac:dyDescent="0.25">
      <c r="A203" s="33">
        <v>14</v>
      </c>
      <c r="B203" s="71" t="s">
        <v>29</v>
      </c>
      <c r="C203" s="39" t="s">
        <v>745</v>
      </c>
      <c r="D203" s="50" t="s">
        <v>48</v>
      </c>
      <c r="E203" s="47">
        <v>45384</v>
      </c>
      <c r="F203" s="31" t="str">
        <f>VLOOKUP($C203,Carpetas!$C$5:$M$2666,2,FALSE)</f>
        <v>PYB069</v>
      </c>
      <c r="G203" s="23" t="str">
        <f>VLOOKUP($C203,Carpetas!$C$5:$M$2666,10,FALSE)</f>
        <v>148,80,78</v>
      </c>
      <c r="H203" s="27">
        <f>VLOOKUP($C203,Carpetas!$C$5:$M$2666,6,FALSE)</f>
        <v>0</v>
      </c>
      <c r="I203" s="220"/>
      <c r="J203" s="47">
        <v>45388</v>
      </c>
      <c r="K203" s="72" t="str">
        <f>VLOOKUP($C203,Carpetas!$C$5:$M$2666,5,FALSE)</f>
        <v>Salto</v>
      </c>
      <c r="L203" s="32"/>
      <c r="M203" s="48">
        <v>45390</v>
      </c>
      <c r="N203" s="26">
        <f t="shared" si="8"/>
        <v>6</v>
      </c>
      <c r="O203" s="27">
        <v>930</v>
      </c>
      <c r="P203" s="27"/>
      <c r="Q203" s="27"/>
      <c r="R203" s="27"/>
      <c r="S203" s="27"/>
      <c r="T203" s="27"/>
      <c r="U203" s="27"/>
      <c r="V203" s="27"/>
      <c r="W203" s="27"/>
      <c r="X203" s="73"/>
      <c r="Y203" s="73" t="e">
        <f>VLOOKUP(X203,Choferes!$B$2:$C$500,2,FALSE)</f>
        <v>#N/A</v>
      </c>
      <c r="Z203" s="73" t="s">
        <v>746</v>
      </c>
    </row>
    <row r="204" spans="1:26" hidden="1" x14ac:dyDescent="0.25">
      <c r="A204" s="33">
        <v>14</v>
      </c>
      <c r="B204" s="71" t="s">
        <v>29</v>
      </c>
      <c r="C204" s="39" t="s">
        <v>720</v>
      </c>
      <c r="D204" s="50" t="s">
        <v>747</v>
      </c>
      <c r="E204" s="47">
        <v>45386</v>
      </c>
      <c r="F204" s="31" t="str">
        <f>VLOOKUP($C204,Carpetas!$C$5:$M$2666,2,FALSE)</f>
        <v>BRB014</v>
      </c>
      <c r="G204" s="23" t="str">
        <f>VLOOKUP($C204,Carpetas!$C$5:$M$2666,10,FALSE)</f>
        <v>148,82,44</v>
      </c>
      <c r="H204" s="27" t="str">
        <f>VLOOKUP($C204,Carpetas!$C$5:$M$2666,6,FALSE)</f>
        <v>Silvio</v>
      </c>
      <c r="I204" s="220"/>
      <c r="J204" s="47">
        <f>E204+2</f>
        <v>45388</v>
      </c>
      <c r="K204" s="72" t="str">
        <f>VLOOKUP($C204,Carpetas!$C$5:$M$2666,5,FALSE)</f>
        <v>Rio Branco</v>
      </c>
      <c r="L204" s="32"/>
      <c r="M204" s="48">
        <f>J204+1+1</f>
        <v>45390</v>
      </c>
      <c r="N204" s="26">
        <f t="shared" si="8"/>
        <v>4</v>
      </c>
      <c r="O204" s="27">
        <v>900</v>
      </c>
      <c r="P204" s="27">
        <v>919</v>
      </c>
      <c r="Q204" s="27"/>
      <c r="R204" s="27"/>
      <c r="S204" s="27" t="s">
        <v>748</v>
      </c>
      <c r="T204" s="27"/>
      <c r="U204" s="27">
        <v>6829</v>
      </c>
      <c r="V204" s="27" t="s">
        <v>749</v>
      </c>
      <c r="W204" s="27" t="s">
        <v>750</v>
      </c>
      <c r="X204" s="73"/>
      <c r="Y204" s="73" t="e">
        <f>VLOOKUP(X204,Choferes!$B$2:$C$500,2,FALSE)</f>
        <v>#N/A</v>
      </c>
      <c r="Z204" s="73" t="s">
        <v>751</v>
      </c>
    </row>
    <row r="205" spans="1:26" hidden="1" x14ac:dyDescent="0.25">
      <c r="A205" s="33">
        <v>15</v>
      </c>
      <c r="B205" s="71" t="s">
        <v>29</v>
      </c>
      <c r="C205" s="39" t="s">
        <v>752</v>
      </c>
      <c r="D205" s="50" t="s">
        <v>121</v>
      </c>
      <c r="E205" s="47">
        <v>45389</v>
      </c>
      <c r="F205" s="31" t="str">
        <f>VLOOKUP($C205,Carpetas!$C$5:$M$2666,2,FALSE)</f>
        <v>PYB072</v>
      </c>
      <c r="G205" s="23">
        <f>VLOOKUP($C205,Carpetas!$C$5:$M$2666,10,FALSE)</f>
        <v>0</v>
      </c>
      <c r="H205" s="27">
        <f>VLOOKUP($C205,Carpetas!$C$5:$M$2666,6,FALSE)</f>
        <v>0</v>
      </c>
      <c r="I205" s="220"/>
      <c r="J205" s="47">
        <v>45391</v>
      </c>
      <c r="K205" s="72" t="str">
        <f>VLOOKUP($C205,Carpetas!$C$5:$M$2666,5,FALSE)</f>
        <v>Salto</v>
      </c>
      <c r="L205" s="32"/>
      <c r="M205" s="48">
        <f>J205+1</f>
        <v>45392</v>
      </c>
      <c r="N205" s="26">
        <f t="shared" si="8"/>
        <v>3</v>
      </c>
      <c r="O205" s="27">
        <v>980</v>
      </c>
      <c r="P205" s="27">
        <v>980</v>
      </c>
      <c r="Q205" s="27"/>
      <c r="R205" s="27"/>
      <c r="S205" s="27" t="s">
        <v>753</v>
      </c>
      <c r="T205" s="27"/>
      <c r="U205" s="27"/>
      <c r="V205" s="27" t="s">
        <v>754</v>
      </c>
      <c r="W205" s="27" t="s">
        <v>755</v>
      </c>
      <c r="X205" s="73"/>
      <c r="Y205" s="73" t="e">
        <f>VLOOKUP(X205,Choferes!$B$2:$C$500,2,FALSE)</f>
        <v>#N/A</v>
      </c>
      <c r="Z205" s="73" t="s">
        <v>756</v>
      </c>
    </row>
    <row r="206" spans="1:26" ht="30" hidden="1" x14ac:dyDescent="0.25">
      <c r="A206" s="33">
        <v>14</v>
      </c>
      <c r="B206" s="71" t="s">
        <v>29</v>
      </c>
      <c r="C206" s="39" t="s">
        <v>757</v>
      </c>
      <c r="D206" s="50" t="s">
        <v>78</v>
      </c>
      <c r="E206" s="47">
        <v>45386</v>
      </c>
      <c r="F206" s="31" t="str">
        <f>VLOOKUP($C206,Carpetas!$C$5:$M$2666,2,FALSE)</f>
        <v>BRB015</v>
      </c>
      <c r="G206" s="23" t="str">
        <f>VLOOKUP($C206,Carpetas!$C$5:$M$2666,10,FALSE)</f>
        <v>148,84,13</v>
      </c>
      <c r="H206" s="27" t="str">
        <f>VLOOKUP($C206,Carpetas!$C$5:$M$2666,6,FALSE)</f>
        <v>Zanini</v>
      </c>
      <c r="I206" s="220"/>
      <c r="J206" s="47">
        <f>E206+4</f>
        <v>45390</v>
      </c>
      <c r="K206" s="72" t="str">
        <f>VLOOKUP($C206,Carpetas!$C$5:$M$2666,5,FALSE)</f>
        <v>Rio Branco</v>
      </c>
      <c r="L206" s="32"/>
      <c r="M206" s="48">
        <v>45393</v>
      </c>
      <c r="N206" s="26">
        <f t="shared" si="8"/>
        <v>7</v>
      </c>
      <c r="O206" s="27">
        <v>900</v>
      </c>
      <c r="P206" s="27">
        <v>901</v>
      </c>
      <c r="Q206" s="27"/>
      <c r="R206" s="27"/>
      <c r="S206" s="27" t="s">
        <v>758</v>
      </c>
      <c r="T206" s="27"/>
      <c r="U206" s="27">
        <v>4335</v>
      </c>
      <c r="V206" s="27" t="s">
        <v>759</v>
      </c>
      <c r="W206" s="27" t="s">
        <v>760</v>
      </c>
      <c r="X206" s="73"/>
      <c r="Y206" s="73" t="e">
        <f>VLOOKUP(X206,Choferes!$B$2:$C$500,2,FALSE)</f>
        <v>#N/A</v>
      </c>
      <c r="Z206" s="73" t="s">
        <v>761</v>
      </c>
    </row>
    <row r="207" spans="1:26" hidden="1" x14ac:dyDescent="0.25">
      <c r="A207" s="33">
        <v>14</v>
      </c>
      <c r="B207" s="71" t="s">
        <v>29</v>
      </c>
      <c r="C207" s="39" t="s">
        <v>720</v>
      </c>
      <c r="D207" s="50" t="s">
        <v>31</v>
      </c>
      <c r="E207" s="47">
        <v>45387</v>
      </c>
      <c r="F207" s="31" t="str">
        <f>VLOOKUP($C207,Carpetas!$C$5:$M$2666,2,FALSE)</f>
        <v>BRB014</v>
      </c>
      <c r="G207" s="23" t="str">
        <f>VLOOKUP($C207,Carpetas!$C$5:$M$2666,10,FALSE)</f>
        <v>148,82,44</v>
      </c>
      <c r="H207" s="27" t="str">
        <f>VLOOKUP($C207,Carpetas!$C$5:$M$2666,6,FALSE)</f>
        <v>Silvio</v>
      </c>
      <c r="I207" s="220"/>
      <c r="J207" s="47">
        <f>E207+3</f>
        <v>45390</v>
      </c>
      <c r="K207" s="72" t="str">
        <f>VLOOKUP($C207,Carpetas!$C$5:$M$2666,5,FALSE)</f>
        <v>Rio Branco</v>
      </c>
      <c r="L207" s="32"/>
      <c r="M207" s="48">
        <v>45393</v>
      </c>
      <c r="N207" s="26">
        <f t="shared" si="8"/>
        <v>6</v>
      </c>
      <c r="O207" s="27">
        <v>918</v>
      </c>
      <c r="P207" s="27">
        <v>919</v>
      </c>
      <c r="Q207" s="27"/>
      <c r="R207" s="27"/>
      <c r="S207" s="27" t="s">
        <v>762</v>
      </c>
      <c r="T207" s="27"/>
      <c r="U207" s="27">
        <v>6830</v>
      </c>
      <c r="V207" s="27" t="s">
        <v>321</v>
      </c>
      <c r="W207" s="27" t="s">
        <v>322</v>
      </c>
      <c r="X207" s="73"/>
      <c r="Y207" s="73" t="e">
        <f>VLOOKUP(X207,Choferes!$B$2:$C$500,2,FALSE)</f>
        <v>#N/A</v>
      </c>
      <c r="Z207" s="73" t="s">
        <v>763</v>
      </c>
    </row>
    <row r="208" spans="1:26" hidden="1" x14ac:dyDescent="0.25">
      <c r="A208" s="33">
        <v>14</v>
      </c>
      <c r="B208" s="71" t="s">
        <v>29</v>
      </c>
      <c r="C208" s="39" t="s">
        <v>757</v>
      </c>
      <c r="D208" s="50" t="s">
        <v>764</v>
      </c>
      <c r="E208" s="47">
        <v>45387</v>
      </c>
      <c r="F208" s="31" t="str">
        <f>VLOOKUP($C208,Carpetas!$C$5:$M$2666,2,FALSE)</f>
        <v>BRB015</v>
      </c>
      <c r="G208" s="23" t="str">
        <f>VLOOKUP($C208,Carpetas!$C$5:$M$2666,10,FALSE)</f>
        <v>148,84,13</v>
      </c>
      <c r="H208" s="27" t="str">
        <f>VLOOKUP($C208,Carpetas!$C$5:$M$2666,6,FALSE)</f>
        <v>Zanini</v>
      </c>
      <c r="I208" s="220"/>
      <c r="J208" s="47">
        <f>E208+3</f>
        <v>45390</v>
      </c>
      <c r="K208" s="72" t="str">
        <f>VLOOKUP($C208,Carpetas!$C$5:$M$2666,5,FALSE)</f>
        <v>Rio Branco</v>
      </c>
      <c r="L208" s="32"/>
      <c r="M208" s="48">
        <v>45393</v>
      </c>
      <c r="N208" s="26">
        <f t="shared" si="8"/>
        <v>6</v>
      </c>
      <c r="O208" s="27">
        <v>900</v>
      </c>
      <c r="P208" s="27">
        <v>900</v>
      </c>
      <c r="Q208" s="27"/>
      <c r="R208" s="27"/>
      <c r="S208" s="27" t="s">
        <v>765</v>
      </c>
      <c r="T208" s="27"/>
      <c r="U208" s="27">
        <v>4336</v>
      </c>
      <c r="V208" s="27" t="s">
        <v>448</v>
      </c>
      <c r="W208" s="27" t="s">
        <v>449</v>
      </c>
      <c r="X208" s="73"/>
      <c r="Y208" s="73" t="e">
        <f>VLOOKUP(X208,Choferes!$B$2:$C$500,2,FALSE)</f>
        <v>#N/A</v>
      </c>
      <c r="Z208" s="73" t="s">
        <v>766</v>
      </c>
    </row>
    <row r="209" spans="1:26" ht="30" hidden="1" x14ac:dyDescent="0.25">
      <c r="A209" s="33">
        <v>14</v>
      </c>
      <c r="B209" s="71" t="s">
        <v>29</v>
      </c>
      <c r="C209" s="39" t="s">
        <v>757</v>
      </c>
      <c r="D209" s="50" t="s">
        <v>78</v>
      </c>
      <c r="E209" s="47">
        <v>45387</v>
      </c>
      <c r="F209" s="31" t="str">
        <f>VLOOKUP($C209,Carpetas!$C$5:$M$2666,2,FALSE)</f>
        <v>BRB015</v>
      </c>
      <c r="G209" s="23" t="str">
        <f>VLOOKUP($C209,Carpetas!$C$5:$M$2666,10,FALSE)</f>
        <v>148,84,13</v>
      </c>
      <c r="H209" s="27" t="str">
        <f>VLOOKUP($C209,Carpetas!$C$5:$M$2666,6,FALSE)</f>
        <v>Zanini</v>
      </c>
      <c r="I209" s="220"/>
      <c r="J209" s="47">
        <f>E209+3</f>
        <v>45390</v>
      </c>
      <c r="K209" s="72" t="str">
        <f>VLOOKUP($C209,Carpetas!$C$5:$M$2666,5,FALSE)</f>
        <v>Rio Branco</v>
      </c>
      <c r="L209" s="32"/>
      <c r="M209" s="48">
        <v>45393</v>
      </c>
      <c r="N209" s="26">
        <f t="shared" si="8"/>
        <v>6</v>
      </c>
      <c r="O209" s="27">
        <v>900</v>
      </c>
      <c r="P209" s="27">
        <v>901</v>
      </c>
      <c r="Q209" s="27"/>
      <c r="R209" s="27"/>
      <c r="S209" s="27" t="s">
        <v>767</v>
      </c>
      <c r="T209" s="27"/>
      <c r="U209" s="27">
        <v>4334</v>
      </c>
      <c r="V209" s="27" t="s">
        <v>89</v>
      </c>
      <c r="W209" s="27" t="s">
        <v>90</v>
      </c>
      <c r="X209" s="73"/>
      <c r="Y209" s="73" t="e">
        <f>VLOOKUP(X209,Choferes!$B$2:$C$500,2,FALSE)</f>
        <v>#N/A</v>
      </c>
      <c r="Z209" s="73" t="s">
        <v>761</v>
      </c>
    </row>
    <row r="210" spans="1:26" hidden="1" x14ac:dyDescent="0.25">
      <c r="A210" s="33">
        <v>14</v>
      </c>
      <c r="B210" s="71" t="s">
        <v>29</v>
      </c>
      <c r="C210" s="39" t="s">
        <v>720</v>
      </c>
      <c r="D210" s="50" t="s">
        <v>110</v>
      </c>
      <c r="E210" s="47">
        <v>45388</v>
      </c>
      <c r="F210" s="31" t="str">
        <f>VLOOKUP($C210,Carpetas!$C$5:$M$2666,2,FALSE)</f>
        <v>BRB014</v>
      </c>
      <c r="G210" s="23" t="str">
        <f>VLOOKUP($C210,Carpetas!$C$5:$M$2666,10,FALSE)</f>
        <v>148,82,44</v>
      </c>
      <c r="H210" s="27" t="str">
        <f>VLOOKUP($C210,Carpetas!$C$5:$M$2666,6,FALSE)</f>
        <v>Silvio</v>
      </c>
      <c r="I210" s="220"/>
      <c r="J210" s="47">
        <v>45390</v>
      </c>
      <c r="K210" s="72" t="str">
        <f>VLOOKUP($C210,Carpetas!$C$5:$M$2666,5,FALSE)</f>
        <v>Rio Branco</v>
      </c>
      <c r="L210" s="32"/>
      <c r="M210" s="48">
        <v>45393</v>
      </c>
      <c r="N210" s="26">
        <f t="shared" si="8"/>
        <v>5</v>
      </c>
      <c r="O210" s="27">
        <v>918</v>
      </c>
      <c r="P210" s="27">
        <v>919</v>
      </c>
      <c r="Q210" s="27"/>
      <c r="R210" s="27"/>
      <c r="S210" s="27" t="s">
        <v>768</v>
      </c>
      <c r="T210" s="27"/>
      <c r="U210" s="27">
        <v>6831</v>
      </c>
      <c r="V210" s="27" t="s">
        <v>549</v>
      </c>
      <c r="W210" s="27" t="s">
        <v>550</v>
      </c>
      <c r="X210" s="73"/>
      <c r="Y210" s="73" t="e">
        <f>VLOOKUP(X210,Choferes!$B$2:$C$500,2,FALSE)</f>
        <v>#N/A</v>
      </c>
      <c r="Z210" s="73" t="s">
        <v>769</v>
      </c>
    </row>
    <row r="211" spans="1:26" hidden="1" x14ac:dyDescent="0.25">
      <c r="A211" s="33">
        <v>15</v>
      </c>
      <c r="B211" s="71" t="s">
        <v>29</v>
      </c>
      <c r="C211" s="39" t="s">
        <v>770</v>
      </c>
      <c r="D211" s="50" t="s">
        <v>42</v>
      </c>
      <c r="E211" s="47">
        <v>45390</v>
      </c>
      <c r="F211" s="31" t="str">
        <f>VLOOKUP($C211,Carpetas!$C$5:$M$2666,2,FALSE)</f>
        <v>PYB073</v>
      </c>
      <c r="G211" s="23">
        <f>VLOOKUP($C211,Carpetas!$C$5:$M$2666,10,FALSE)</f>
        <v>0</v>
      </c>
      <c r="H211" s="27">
        <f>VLOOKUP($C211,Carpetas!$C$5:$M$2666,6,FALSE)</f>
        <v>0</v>
      </c>
      <c r="I211" s="220"/>
      <c r="J211" s="47">
        <v>45392</v>
      </c>
      <c r="K211" s="72" t="str">
        <f>VLOOKUP($C211,Carpetas!$C$5:$M$2666,5,FALSE)</f>
        <v>Salto</v>
      </c>
      <c r="L211" s="32"/>
      <c r="M211" s="48">
        <f>J211+1</f>
        <v>45393</v>
      </c>
      <c r="N211" s="26">
        <f t="shared" si="8"/>
        <v>3</v>
      </c>
      <c r="O211" s="27">
        <v>980</v>
      </c>
      <c r="P211" s="27">
        <v>972</v>
      </c>
      <c r="Q211" s="27"/>
      <c r="R211" s="27"/>
      <c r="S211" s="27" t="s">
        <v>771</v>
      </c>
      <c r="T211" s="27"/>
      <c r="U211" s="27"/>
      <c r="V211" s="27" t="s">
        <v>406</v>
      </c>
      <c r="W211" s="27" t="s">
        <v>509</v>
      </c>
      <c r="X211" s="73"/>
      <c r="Y211" s="73" t="e">
        <f>VLOOKUP(X211,Choferes!$B$2:$C$500,2,FALSE)</f>
        <v>#N/A</v>
      </c>
      <c r="Z211" s="73" t="s">
        <v>772</v>
      </c>
    </row>
    <row r="212" spans="1:26" hidden="1" x14ac:dyDescent="0.25">
      <c r="A212" s="33">
        <v>15</v>
      </c>
      <c r="B212" s="71" t="s">
        <v>29</v>
      </c>
      <c r="C212" s="39" t="s">
        <v>773</v>
      </c>
      <c r="D212" s="50" t="s">
        <v>102</v>
      </c>
      <c r="E212" s="47">
        <v>45390</v>
      </c>
      <c r="F212" s="31" t="str">
        <f>VLOOKUP($C212,Carpetas!$C$5:$M$2666,2,FALSE)</f>
        <v>PYB075</v>
      </c>
      <c r="G212" s="23" t="str">
        <f>VLOOKUP($C212,Carpetas!$C$5:$M$2666,10,FALSE)</f>
        <v>148,86,92</v>
      </c>
      <c r="H212" s="27">
        <f>VLOOKUP($C212,Carpetas!$C$5:$M$2666,6,FALSE)</f>
        <v>0</v>
      </c>
      <c r="I212" s="220"/>
      <c r="J212" s="47">
        <f>E212+3</f>
        <v>45393</v>
      </c>
      <c r="K212" s="72" t="str">
        <f>VLOOKUP($C212,Carpetas!$C$5:$M$2666,5,FALSE)</f>
        <v>Salto</v>
      </c>
      <c r="L212" s="32"/>
      <c r="M212" s="48">
        <f>J212+1</f>
        <v>45394</v>
      </c>
      <c r="N212" s="26">
        <f t="shared" si="8"/>
        <v>4</v>
      </c>
      <c r="O212" s="27">
        <v>980</v>
      </c>
      <c r="P212" s="27">
        <v>981</v>
      </c>
      <c r="Q212" s="27"/>
      <c r="R212" s="27"/>
      <c r="S212" s="27" t="s">
        <v>774</v>
      </c>
      <c r="T212" s="27"/>
      <c r="U212" s="27"/>
      <c r="V212" s="27" t="s">
        <v>237</v>
      </c>
      <c r="W212" s="27" t="s">
        <v>775</v>
      </c>
      <c r="X212" s="73"/>
      <c r="Y212" s="73" t="e">
        <f>VLOOKUP(X212,Choferes!$B$2:$C$500,2,FALSE)</f>
        <v>#N/A</v>
      </c>
      <c r="Z212" s="73" t="s">
        <v>776</v>
      </c>
    </row>
    <row r="213" spans="1:26" hidden="1" x14ac:dyDescent="0.25">
      <c r="A213" s="33">
        <v>15</v>
      </c>
      <c r="B213" s="71" t="s">
        <v>29</v>
      </c>
      <c r="C213" s="39" t="s">
        <v>773</v>
      </c>
      <c r="D213" s="50" t="s">
        <v>102</v>
      </c>
      <c r="E213" s="47">
        <v>45390</v>
      </c>
      <c r="F213" s="31" t="str">
        <f>VLOOKUP($C213,Carpetas!$C$5:$M$2666,2,FALSE)</f>
        <v>PYB075</v>
      </c>
      <c r="G213" s="23" t="str">
        <f>VLOOKUP($C213,Carpetas!$C$5:$M$2666,10,FALSE)</f>
        <v>148,86,92</v>
      </c>
      <c r="H213" s="27">
        <f>VLOOKUP($C213,Carpetas!$C$5:$M$2666,6,FALSE)</f>
        <v>0</v>
      </c>
      <c r="I213" s="220"/>
      <c r="J213" s="47">
        <f>E213+3</f>
        <v>45393</v>
      </c>
      <c r="K213" s="72" t="str">
        <f>VLOOKUP($C213,Carpetas!$C$5:$M$2666,5,FALSE)</f>
        <v>Salto</v>
      </c>
      <c r="L213" s="32"/>
      <c r="M213" s="48">
        <f>J213+1</f>
        <v>45394</v>
      </c>
      <c r="N213" s="26">
        <f t="shared" si="8"/>
        <v>4</v>
      </c>
      <c r="O213" s="27">
        <v>980</v>
      </c>
      <c r="P213" s="27">
        <v>980</v>
      </c>
      <c r="Q213" s="27"/>
      <c r="R213" s="27"/>
      <c r="S213" s="27" t="s">
        <v>777</v>
      </c>
      <c r="T213" s="27"/>
      <c r="U213" s="27"/>
      <c r="V213" s="27" t="s">
        <v>161</v>
      </c>
      <c r="W213" s="27"/>
      <c r="X213" s="73"/>
      <c r="Y213" s="73" t="e">
        <f>VLOOKUP(X213,Choferes!$B$2:$C$500,2,FALSE)</f>
        <v>#N/A</v>
      </c>
      <c r="Z213" s="73" t="s">
        <v>778</v>
      </c>
    </row>
    <row r="214" spans="1:26" hidden="1" x14ac:dyDescent="0.25">
      <c r="A214" s="33">
        <v>15</v>
      </c>
      <c r="B214" s="71" t="s">
        <v>29</v>
      </c>
      <c r="C214" s="39" t="s">
        <v>779</v>
      </c>
      <c r="D214" s="50" t="s">
        <v>48</v>
      </c>
      <c r="E214" s="47">
        <v>45391</v>
      </c>
      <c r="F214" s="31" t="str">
        <f>VLOOKUP($C214,Carpetas!$C$5:$M$2666,2,FALSE)</f>
        <v>PYB074</v>
      </c>
      <c r="G214" s="23" t="str">
        <f>VLOOKUP($C214,Carpetas!$C$5:$M$2666,10,FALSE)</f>
        <v>148,86,95</v>
      </c>
      <c r="H214" s="27">
        <f>VLOOKUP($C214,Carpetas!$C$5:$M$2666,6,FALSE)</f>
        <v>0</v>
      </c>
      <c r="I214" s="220"/>
      <c r="J214" s="47">
        <v>45393</v>
      </c>
      <c r="K214" s="72" t="str">
        <f>VLOOKUP($C214,Carpetas!$C$5:$M$2666,5,FALSE)</f>
        <v>Salto</v>
      </c>
      <c r="L214" s="32"/>
      <c r="M214" s="48">
        <f>J214+1</f>
        <v>45394</v>
      </c>
      <c r="N214" s="26">
        <f t="shared" si="8"/>
        <v>3</v>
      </c>
      <c r="O214" s="27">
        <v>930</v>
      </c>
      <c r="P214" s="27">
        <v>931</v>
      </c>
      <c r="Q214" s="27"/>
      <c r="R214" s="27"/>
      <c r="S214" s="27" t="s">
        <v>780</v>
      </c>
      <c r="T214" s="27"/>
      <c r="U214" s="27"/>
      <c r="V214" s="27" t="s">
        <v>166</v>
      </c>
      <c r="W214" s="27" t="s">
        <v>460</v>
      </c>
      <c r="X214" s="73"/>
      <c r="Y214" s="73" t="e">
        <f>VLOOKUP(X214,Choferes!$B$2:$C$500,2,FALSE)</f>
        <v>#N/A</v>
      </c>
      <c r="Z214" s="73" t="s">
        <v>781</v>
      </c>
    </row>
    <row r="215" spans="1:26" hidden="1" x14ac:dyDescent="0.25">
      <c r="A215" s="33">
        <v>15</v>
      </c>
      <c r="B215" s="71" t="s">
        <v>29</v>
      </c>
      <c r="C215" s="39" t="s">
        <v>779</v>
      </c>
      <c r="D215" s="50" t="s">
        <v>48</v>
      </c>
      <c r="E215" s="47">
        <v>45392</v>
      </c>
      <c r="F215" s="31" t="str">
        <f>VLOOKUP($C215,Carpetas!$C$5:$M$2666,2,FALSE)</f>
        <v>PYB074</v>
      </c>
      <c r="G215" s="23" t="str">
        <f>VLOOKUP($C215,Carpetas!$C$5:$M$2666,10,FALSE)</f>
        <v>148,86,95</v>
      </c>
      <c r="H215" s="27">
        <f>VLOOKUP($C215,Carpetas!$C$5:$M$2666,6,FALSE)</f>
        <v>0</v>
      </c>
      <c r="I215" s="220"/>
      <c r="J215" s="47">
        <v>45393</v>
      </c>
      <c r="K215" s="72" t="str">
        <f>VLOOKUP($C215,Carpetas!$C$5:$M$2666,5,FALSE)</f>
        <v>Salto</v>
      </c>
      <c r="L215" s="32"/>
      <c r="M215" s="48">
        <f>J215+1</f>
        <v>45394</v>
      </c>
      <c r="N215" s="26">
        <f t="shared" si="8"/>
        <v>2</v>
      </c>
      <c r="O215" s="27">
        <v>930</v>
      </c>
      <c r="P215" s="27">
        <v>931</v>
      </c>
      <c r="Q215" s="27"/>
      <c r="R215" s="27"/>
      <c r="S215" s="27" t="s">
        <v>782</v>
      </c>
      <c r="T215" s="27"/>
      <c r="U215" s="27"/>
      <c r="V215" s="27" t="s">
        <v>400</v>
      </c>
      <c r="W215" s="27" t="s">
        <v>70</v>
      </c>
      <c r="X215" s="73"/>
      <c r="Y215" s="73" t="e">
        <f>VLOOKUP(X215,Choferes!$B$2:$C$500,2,FALSE)</f>
        <v>#N/A</v>
      </c>
      <c r="Z215" s="73" t="s">
        <v>783</v>
      </c>
    </row>
    <row r="216" spans="1:26" hidden="1" x14ac:dyDescent="0.25">
      <c r="A216" s="33">
        <v>15</v>
      </c>
      <c r="B216" s="71" t="s">
        <v>29</v>
      </c>
      <c r="C216" s="39" t="s">
        <v>757</v>
      </c>
      <c r="D216" s="50" t="s">
        <v>78</v>
      </c>
      <c r="E216" s="47">
        <v>45390</v>
      </c>
      <c r="F216" s="31" t="str">
        <f>VLOOKUP($C216,Carpetas!$C$5:$M$2666,2,FALSE)</f>
        <v>BRB015</v>
      </c>
      <c r="G216" s="23" t="str">
        <f>VLOOKUP($C216,Carpetas!$C$5:$M$2666,10,FALSE)</f>
        <v>148,84,13</v>
      </c>
      <c r="H216" s="27" t="str">
        <f>VLOOKUP($C216,Carpetas!$C$5:$M$2666,6,FALSE)</f>
        <v>Zanini</v>
      </c>
      <c r="I216" s="220"/>
      <c r="J216" s="47">
        <f>E216+2</f>
        <v>45392</v>
      </c>
      <c r="K216" s="72" t="str">
        <f>VLOOKUP($C216,Carpetas!$C$5:$M$2666,5,FALSE)</f>
        <v>Rio Branco</v>
      </c>
      <c r="L216" s="32"/>
      <c r="M216" s="48">
        <f>J216+1+2</f>
        <v>45395</v>
      </c>
      <c r="N216" s="26">
        <f t="shared" si="8"/>
        <v>5</v>
      </c>
      <c r="O216" s="27">
        <v>900</v>
      </c>
      <c r="P216" s="27">
        <v>900</v>
      </c>
      <c r="Q216" s="27"/>
      <c r="R216" s="27"/>
      <c r="S216" s="27" t="s">
        <v>784</v>
      </c>
      <c r="T216" s="27"/>
      <c r="U216" s="27">
        <v>4344</v>
      </c>
      <c r="V216" s="27" t="s">
        <v>349</v>
      </c>
      <c r="W216" s="27" t="s">
        <v>350</v>
      </c>
      <c r="X216" s="73"/>
      <c r="Y216" s="73" t="e">
        <f>VLOOKUP(X216,Choferes!$B$2:$C$500,2,FALSE)</f>
        <v>#N/A</v>
      </c>
      <c r="Z216" s="73" t="s">
        <v>785</v>
      </c>
    </row>
    <row r="217" spans="1:26" ht="30" hidden="1" x14ac:dyDescent="0.25">
      <c r="A217" s="33">
        <v>14</v>
      </c>
      <c r="B217" s="71" t="s">
        <v>29</v>
      </c>
      <c r="C217" s="39" t="s">
        <v>786</v>
      </c>
      <c r="D217" s="50" t="s">
        <v>63</v>
      </c>
      <c r="E217" s="47">
        <v>45386</v>
      </c>
      <c r="F217" s="31" t="str">
        <f>VLOOKUP($C217,Carpetas!$C$5:$M$2666,2,FALSE)</f>
        <v>BRA013</v>
      </c>
      <c r="G217" s="23">
        <f>VLOOKUP($C217,Carpetas!$C$5:$M$2666,10,FALSE)</f>
        <v>0</v>
      </c>
      <c r="H217" s="27" t="str">
        <f>VLOOKUP($C217,Carpetas!$C$5:$M$2666,6,FALSE)</f>
        <v>Silvio</v>
      </c>
      <c r="I217" s="220"/>
      <c r="J217" s="47">
        <v>45393</v>
      </c>
      <c r="K217" s="72" t="str">
        <f>VLOOKUP($C217,Carpetas!$C$5:$M$2666,5,FALSE)</f>
        <v>Rio Branco</v>
      </c>
      <c r="L217" s="32"/>
      <c r="M217" s="48">
        <f>J217+1+1</f>
        <v>45395</v>
      </c>
      <c r="N217" s="26">
        <f t="shared" si="8"/>
        <v>9</v>
      </c>
      <c r="O217" s="27">
        <v>1104</v>
      </c>
      <c r="P217" s="27"/>
      <c r="Q217" s="27"/>
      <c r="R217" s="27"/>
      <c r="S217" s="27">
        <v>1103</v>
      </c>
      <c r="T217" s="27"/>
      <c r="U217" s="27">
        <v>6833</v>
      </c>
      <c r="V217" s="27" t="s">
        <v>132</v>
      </c>
      <c r="W217" s="27" t="s">
        <v>133</v>
      </c>
      <c r="X217" s="73"/>
      <c r="Y217" s="73" t="e">
        <f>VLOOKUP(X217,Choferes!$B$2:$C$500,2,FALSE)</f>
        <v>#N/A</v>
      </c>
      <c r="Z217" s="73" t="s">
        <v>787</v>
      </c>
    </row>
    <row r="218" spans="1:26" hidden="1" x14ac:dyDescent="0.25">
      <c r="A218" s="33">
        <v>15</v>
      </c>
      <c r="B218" s="71" t="s">
        <v>29</v>
      </c>
      <c r="C218" s="39" t="s">
        <v>720</v>
      </c>
      <c r="D218" s="50" t="s">
        <v>110</v>
      </c>
      <c r="E218" s="47">
        <v>45391</v>
      </c>
      <c r="F218" s="31" t="str">
        <f>VLOOKUP($C218,Carpetas!$C$5:$M$2666,2,FALSE)</f>
        <v>BRB014</v>
      </c>
      <c r="G218" s="23" t="str">
        <f>VLOOKUP($C218,Carpetas!$C$5:$M$2666,10,FALSE)</f>
        <v>148,82,44</v>
      </c>
      <c r="H218" s="27" t="str">
        <f>VLOOKUP($C218,Carpetas!$C$5:$M$2666,6,FALSE)</f>
        <v>Silvio</v>
      </c>
      <c r="I218" s="220"/>
      <c r="J218" s="47">
        <f>E218+2</f>
        <v>45393</v>
      </c>
      <c r="K218" s="72" t="str">
        <f>VLOOKUP($C218,Carpetas!$C$5:$M$2666,5,FALSE)</f>
        <v>Rio Branco</v>
      </c>
      <c r="L218" s="32"/>
      <c r="M218" s="48">
        <f>J218+1+1</f>
        <v>45395</v>
      </c>
      <c r="N218" s="26">
        <f t="shared" si="8"/>
        <v>4</v>
      </c>
      <c r="O218" s="27">
        <v>918</v>
      </c>
      <c r="P218" s="27">
        <v>919</v>
      </c>
      <c r="Q218" s="27"/>
      <c r="R218" s="27"/>
      <c r="S218" s="27" t="s">
        <v>788</v>
      </c>
      <c r="T218" s="27"/>
      <c r="U218" s="27">
        <v>6832</v>
      </c>
      <c r="V218" s="27" t="s">
        <v>661</v>
      </c>
      <c r="W218" s="27" t="s">
        <v>662</v>
      </c>
      <c r="X218" s="73"/>
      <c r="Y218" s="73" t="e">
        <f>VLOOKUP(X218,Choferes!$B$2:$C$500,2,FALSE)</f>
        <v>#N/A</v>
      </c>
      <c r="Z218" s="73" t="s">
        <v>789</v>
      </c>
    </row>
    <row r="219" spans="1:26" ht="30" hidden="1" x14ac:dyDescent="0.25">
      <c r="A219" s="33">
        <v>15</v>
      </c>
      <c r="B219" s="71" t="s">
        <v>29</v>
      </c>
      <c r="C219" s="39" t="s">
        <v>790</v>
      </c>
      <c r="D219" s="50" t="s">
        <v>78</v>
      </c>
      <c r="E219" s="47">
        <v>45392</v>
      </c>
      <c r="F219" s="31" t="str">
        <f>VLOOKUP($C219,Carpetas!$C$5:$M$2666,2,FALSE)</f>
        <v>BRB017</v>
      </c>
      <c r="G219" s="23" t="str">
        <f>VLOOKUP($C219,Carpetas!$C$5:$M$2666,10,FALSE)</f>
        <v>148,91,83</v>
      </c>
      <c r="H219" s="27" t="str">
        <f>VLOOKUP($C219,Carpetas!$C$5:$M$2666,6,FALSE)</f>
        <v>Zanini</v>
      </c>
      <c r="I219" s="220"/>
      <c r="J219" s="47">
        <v>45393</v>
      </c>
      <c r="K219" s="72" t="str">
        <f>VLOOKUP($C219,Carpetas!$C$5:$M$2666,5,FALSE)</f>
        <v>Rio Branco</v>
      </c>
      <c r="L219" s="32"/>
      <c r="M219" s="48">
        <f>J219+1+1</f>
        <v>45395</v>
      </c>
      <c r="N219" s="26">
        <f t="shared" si="8"/>
        <v>3</v>
      </c>
      <c r="O219" s="27">
        <v>900</v>
      </c>
      <c r="P219" s="27">
        <v>901</v>
      </c>
      <c r="Q219" s="27"/>
      <c r="R219" s="27"/>
      <c r="S219" s="27" t="s">
        <v>791</v>
      </c>
      <c r="T219" s="27"/>
      <c r="U219" s="27">
        <v>4347</v>
      </c>
      <c r="V219" s="27" t="s">
        <v>792</v>
      </c>
      <c r="W219" s="27" t="s">
        <v>793</v>
      </c>
      <c r="X219" s="73"/>
      <c r="Y219" s="73" t="e">
        <f>VLOOKUP(X219,Choferes!$B$2:$C$500,2,FALSE)</f>
        <v>#N/A</v>
      </c>
      <c r="Z219" s="73" t="s">
        <v>794</v>
      </c>
    </row>
    <row r="220" spans="1:26" hidden="1" x14ac:dyDescent="0.25">
      <c r="A220" s="33">
        <v>15</v>
      </c>
      <c r="B220" s="71" t="s">
        <v>29</v>
      </c>
      <c r="C220" s="39" t="s">
        <v>795</v>
      </c>
      <c r="D220" s="50" t="s">
        <v>764</v>
      </c>
      <c r="E220" s="47">
        <v>45391</v>
      </c>
      <c r="F220" s="31" t="str">
        <f>VLOOKUP($C220,Carpetas!$C$5:$M$2666,2,FALSE)</f>
        <v>BRB016</v>
      </c>
      <c r="G220" s="23" t="str">
        <f>VLOOKUP($C220,Carpetas!$C$5:$M$2666,10,FALSE)</f>
        <v>148,89,74</v>
      </c>
      <c r="H220" s="27" t="str">
        <f>VLOOKUP($C220,Carpetas!$C$5:$M$2666,6,FALSE)</f>
        <v>Silvio</v>
      </c>
      <c r="I220" s="220"/>
      <c r="J220" s="47">
        <f>E220+3</f>
        <v>45394</v>
      </c>
      <c r="K220" s="72" t="str">
        <f>VLOOKUP($C220,Carpetas!$C$5:$M$2666,5,FALSE)</f>
        <v>Rio Branco</v>
      </c>
      <c r="L220" s="32"/>
      <c r="M220" s="48">
        <f t="shared" ref="M220:M229" si="9">J220+1</f>
        <v>45395</v>
      </c>
      <c r="N220" s="26">
        <f t="shared" si="8"/>
        <v>4</v>
      </c>
      <c r="O220" s="27">
        <v>918</v>
      </c>
      <c r="P220" s="27">
        <v>918</v>
      </c>
      <c r="Q220" s="27"/>
      <c r="R220" s="27"/>
      <c r="S220" s="27" t="s">
        <v>796</v>
      </c>
      <c r="T220" s="27"/>
      <c r="U220" s="27">
        <v>6843</v>
      </c>
      <c r="V220" s="27" t="s">
        <v>363</v>
      </c>
      <c r="W220" s="27" t="s">
        <v>797</v>
      </c>
      <c r="X220" s="73"/>
      <c r="Y220" s="73" t="e">
        <f>VLOOKUP(X220,Choferes!$B$2:$C$500,2,FALSE)</f>
        <v>#N/A</v>
      </c>
      <c r="Z220" s="73" t="s">
        <v>798</v>
      </c>
    </row>
    <row r="221" spans="1:26" hidden="1" x14ac:dyDescent="0.25">
      <c r="A221" s="33">
        <v>15</v>
      </c>
      <c r="B221" s="71" t="s">
        <v>29</v>
      </c>
      <c r="C221" s="39" t="s">
        <v>795</v>
      </c>
      <c r="D221" s="50" t="s">
        <v>747</v>
      </c>
      <c r="E221" s="47">
        <v>45392</v>
      </c>
      <c r="F221" s="31" t="str">
        <f>VLOOKUP($C221,Carpetas!$C$5:$M$2666,2,FALSE)</f>
        <v>BRB016</v>
      </c>
      <c r="G221" s="23" t="str">
        <f>VLOOKUP($C221,Carpetas!$C$5:$M$2666,10,FALSE)</f>
        <v>148,89,74</v>
      </c>
      <c r="H221" s="27" t="str">
        <f>VLOOKUP($C221,Carpetas!$C$5:$M$2666,6,FALSE)</f>
        <v>Silvio</v>
      </c>
      <c r="I221" s="220"/>
      <c r="J221" s="47">
        <f>E221+2</f>
        <v>45394</v>
      </c>
      <c r="K221" s="72" t="str">
        <f>VLOOKUP($C221,Carpetas!$C$5:$M$2666,5,FALSE)</f>
        <v>Rio Branco</v>
      </c>
      <c r="L221" s="32"/>
      <c r="M221" s="48">
        <f t="shared" si="9"/>
        <v>45395</v>
      </c>
      <c r="N221" s="26">
        <f t="shared" si="8"/>
        <v>3</v>
      </c>
      <c r="O221" s="27">
        <v>918</v>
      </c>
      <c r="P221" s="27">
        <v>919</v>
      </c>
      <c r="Q221" s="27"/>
      <c r="R221" s="27"/>
      <c r="S221" s="27" t="s">
        <v>799</v>
      </c>
      <c r="T221" s="27"/>
      <c r="U221" s="27">
        <v>6844</v>
      </c>
      <c r="V221" s="27" t="s">
        <v>800</v>
      </c>
      <c r="W221" s="27" t="s">
        <v>801</v>
      </c>
      <c r="X221" s="73"/>
      <c r="Y221" s="73" t="e">
        <f>VLOOKUP(X221,Choferes!$B$2:$C$500,2,FALSE)</f>
        <v>#N/A</v>
      </c>
      <c r="Z221" s="73" t="s">
        <v>802</v>
      </c>
    </row>
    <row r="222" spans="1:26" hidden="1" x14ac:dyDescent="0.25">
      <c r="A222" s="33">
        <v>15</v>
      </c>
      <c r="B222" s="71" t="s">
        <v>29</v>
      </c>
      <c r="C222" s="39" t="s">
        <v>795</v>
      </c>
      <c r="D222" s="50" t="s">
        <v>803</v>
      </c>
      <c r="E222" s="47">
        <v>45393</v>
      </c>
      <c r="F222" s="31" t="str">
        <f>VLOOKUP($C222,Carpetas!$C$5:$M$2666,2,FALSE)</f>
        <v>BRB016</v>
      </c>
      <c r="G222" s="23" t="str">
        <f>VLOOKUP($C222,Carpetas!$C$5:$M$2666,10,FALSE)</f>
        <v>148,89,74</v>
      </c>
      <c r="H222" s="27" t="str">
        <f>VLOOKUP($C222,Carpetas!$C$5:$M$2666,6,FALSE)</f>
        <v>Silvio</v>
      </c>
      <c r="I222" s="220"/>
      <c r="J222" s="47">
        <f>E222+1</f>
        <v>45394</v>
      </c>
      <c r="K222" s="72" t="str">
        <f>VLOOKUP($C222,Carpetas!$C$5:$M$2666,5,FALSE)</f>
        <v>Rio Branco</v>
      </c>
      <c r="L222" s="32"/>
      <c r="M222" s="48">
        <f t="shared" si="9"/>
        <v>45395</v>
      </c>
      <c r="N222" s="26">
        <f t="shared" si="8"/>
        <v>2</v>
      </c>
      <c r="O222" s="27">
        <v>918</v>
      </c>
      <c r="P222" s="27">
        <v>918</v>
      </c>
      <c r="Q222" s="27"/>
      <c r="R222" s="27"/>
      <c r="S222" s="27" t="s">
        <v>804</v>
      </c>
      <c r="T222" s="27"/>
      <c r="U222" s="27">
        <v>6845</v>
      </c>
      <c r="V222" s="27" t="s">
        <v>805</v>
      </c>
      <c r="W222" s="27" t="s">
        <v>806</v>
      </c>
      <c r="X222" s="73"/>
      <c r="Y222" s="73" t="e">
        <f>VLOOKUP(X222,Choferes!$B$2:$C$500,2,FALSE)</f>
        <v>#N/A</v>
      </c>
      <c r="Z222" s="73" t="s">
        <v>807</v>
      </c>
    </row>
    <row r="223" spans="1:26" ht="30" hidden="1" x14ac:dyDescent="0.25">
      <c r="A223" s="33">
        <v>15</v>
      </c>
      <c r="B223" s="71" t="s">
        <v>29</v>
      </c>
      <c r="C223" s="39" t="s">
        <v>790</v>
      </c>
      <c r="D223" s="50" t="s">
        <v>78</v>
      </c>
      <c r="E223" s="47">
        <v>45393</v>
      </c>
      <c r="F223" s="31" t="str">
        <f>VLOOKUP($C223,Carpetas!$C$5:$M$2666,2,FALSE)</f>
        <v>BRB017</v>
      </c>
      <c r="G223" s="23" t="str">
        <f>VLOOKUP($C223,Carpetas!$C$5:$M$2666,10,FALSE)</f>
        <v>148,91,83</v>
      </c>
      <c r="H223" s="27" t="str">
        <f>VLOOKUP($C223,Carpetas!$C$5:$M$2666,6,FALSE)</f>
        <v>Zanini</v>
      </c>
      <c r="I223" s="220"/>
      <c r="J223" s="47">
        <f>E223+4</f>
        <v>45397</v>
      </c>
      <c r="K223" s="72" t="str">
        <f>VLOOKUP($C223,Carpetas!$C$5:$M$2666,5,FALSE)</f>
        <v>Rio Branco</v>
      </c>
      <c r="L223" s="32"/>
      <c r="M223" s="48">
        <f t="shared" si="9"/>
        <v>45398</v>
      </c>
      <c r="N223" s="26">
        <f t="shared" si="8"/>
        <v>5</v>
      </c>
      <c r="O223" s="27">
        <v>900</v>
      </c>
      <c r="P223" s="27">
        <v>901</v>
      </c>
      <c r="Q223" s="27"/>
      <c r="R223" s="27"/>
      <c r="S223" s="27" t="s">
        <v>808</v>
      </c>
      <c r="T223" s="27"/>
      <c r="U223" s="27">
        <v>4351</v>
      </c>
      <c r="V223" s="27" t="s">
        <v>809</v>
      </c>
      <c r="W223" s="27" t="s">
        <v>810</v>
      </c>
      <c r="X223" s="73"/>
      <c r="Y223" s="73" t="e">
        <f>VLOOKUP(X223,Choferes!$B$2:$C$500,2,FALSE)</f>
        <v>#N/A</v>
      </c>
      <c r="Z223" s="73" t="s">
        <v>811</v>
      </c>
    </row>
    <row r="224" spans="1:26" hidden="1" x14ac:dyDescent="0.25">
      <c r="A224" s="33">
        <v>15</v>
      </c>
      <c r="B224" s="71" t="s">
        <v>29</v>
      </c>
      <c r="C224" s="39" t="s">
        <v>795</v>
      </c>
      <c r="D224" s="50" t="s">
        <v>249</v>
      </c>
      <c r="E224" s="47">
        <v>45394</v>
      </c>
      <c r="F224" s="31" t="str">
        <f>VLOOKUP($C224,Carpetas!$C$5:$M$2666,2,FALSE)</f>
        <v>BRB016</v>
      </c>
      <c r="G224" s="23" t="str">
        <f>VLOOKUP($C224,Carpetas!$C$5:$M$2666,10,FALSE)</f>
        <v>148,89,74</v>
      </c>
      <c r="H224" s="27" t="str">
        <f>VLOOKUP($C224,Carpetas!$C$5:$M$2666,6,FALSE)</f>
        <v>Silvio</v>
      </c>
      <c r="I224" s="220"/>
      <c r="J224" s="47">
        <f>E224+3</f>
        <v>45397</v>
      </c>
      <c r="K224" s="72" t="str">
        <f>VLOOKUP($C224,Carpetas!$C$5:$M$2666,5,FALSE)</f>
        <v>Rio Branco</v>
      </c>
      <c r="L224" s="32"/>
      <c r="M224" s="48">
        <f t="shared" si="9"/>
        <v>45398</v>
      </c>
      <c r="N224" s="26">
        <f t="shared" si="8"/>
        <v>4</v>
      </c>
      <c r="O224" s="27">
        <v>918</v>
      </c>
      <c r="P224" s="27">
        <v>919</v>
      </c>
      <c r="Q224" s="27"/>
      <c r="R224" s="27"/>
      <c r="S224" s="27" t="s">
        <v>812</v>
      </c>
      <c r="T224" s="27"/>
      <c r="U224" s="27">
        <v>6846</v>
      </c>
      <c r="V224" s="27" t="s">
        <v>813</v>
      </c>
      <c r="W224" s="27" t="s">
        <v>814</v>
      </c>
      <c r="X224" s="73"/>
      <c r="Y224" s="73" t="e">
        <f>VLOOKUP(X224,Choferes!$B$2:$C$500,2,FALSE)</f>
        <v>#N/A</v>
      </c>
      <c r="Z224" s="73" t="s">
        <v>815</v>
      </c>
    </row>
    <row r="225" spans="1:26" hidden="1" x14ac:dyDescent="0.25">
      <c r="A225" s="33">
        <v>15</v>
      </c>
      <c r="B225" s="71" t="s">
        <v>29</v>
      </c>
      <c r="C225" s="39" t="s">
        <v>795</v>
      </c>
      <c r="D225" s="50" t="s">
        <v>747</v>
      </c>
      <c r="E225" s="47">
        <v>45394</v>
      </c>
      <c r="F225" s="31" t="str">
        <f>VLOOKUP($C225,Carpetas!$C$5:$M$2666,2,FALSE)</f>
        <v>BRB016</v>
      </c>
      <c r="G225" s="23" t="str">
        <f>VLOOKUP($C225,Carpetas!$C$5:$M$2666,10,FALSE)</f>
        <v>148,89,74</v>
      </c>
      <c r="H225" s="27" t="str">
        <f>VLOOKUP($C225,Carpetas!$C$5:$M$2666,6,FALSE)</f>
        <v>Silvio</v>
      </c>
      <c r="I225" s="220"/>
      <c r="J225" s="47">
        <f>E225+3</f>
        <v>45397</v>
      </c>
      <c r="K225" s="72" t="str">
        <f>VLOOKUP($C225,Carpetas!$C$5:$M$2666,5,FALSE)</f>
        <v>Rio Branco</v>
      </c>
      <c r="L225" s="32"/>
      <c r="M225" s="48">
        <f t="shared" si="9"/>
        <v>45398</v>
      </c>
      <c r="N225" s="26">
        <f t="shared" si="8"/>
        <v>4</v>
      </c>
      <c r="O225" s="27">
        <v>918</v>
      </c>
      <c r="P225" s="27">
        <v>919</v>
      </c>
      <c r="Q225" s="27"/>
      <c r="R225" s="27"/>
      <c r="S225" s="27" t="s">
        <v>816</v>
      </c>
      <c r="T225" s="27"/>
      <c r="U225" s="27">
        <v>6847</v>
      </c>
      <c r="V225" s="27" t="s">
        <v>817</v>
      </c>
      <c r="W225" s="27" t="s">
        <v>818</v>
      </c>
      <c r="X225" s="73"/>
      <c r="Y225" s="73" t="e">
        <f>VLOOKUP(X225,Choferes!$B$2:$C$500,2,FALSE)</f>
        <v>#N/A</v>
      </c>
      <c r="Z225" s="73" t="s">
        <v>819</v>
      </c>
    </row>
    <row r="226" spans="1:26" hidden="1" x14ac:dyDescent="0.25">
      <c r="A226" s="33">
        <v>15</v>
      </c>
      <c r="B226" s="71" t="s">
        <v>29</v>
      </c>
      <c r="C226" s="39" t="s">
        <v>790</v>
      </c>
      <c r="D226" s="50" t="s">
        <v>78</v>
      </c>
      <c r="E226" s="47">
        <v>45394</v>
      </c>
      <c r="F226" s="31" t="str">
        <f>VLOOKUP($C226,Carpetas!$C$5:$M$2666,2,FALSE)</f>
        <v>BRB017</v>
      </c>
      <c r="G226" s="23" t="str">
        <f>VLOOKUP($C226,Carpetas!$C$5:$M$2666,10,FALSE)</f>
        <v>148,91,83</v>
      </c>
      <c r="H226" s="27" t="str">
        <f>VLOOKUP($C226,Carpetas!$C$5:$M$2666,6,FALSE)</f>
        <v>Zanini</v>
      </c>
      <c r="I226" s="220"/>
      <c r="J226" s="47">
        <f>E226+3</f>
        <v>45397</v>
      </c>
      <c r="K226" s="72" t="str">
        <f>VLOOKUP($C226,Carpetas!$C$5:$M$2666,5,FALSE)</f>
        <v>Rio Branco</v>
      </c>
      <c r="L226" s="32"/>
      <c r="M226" s="48">
        <f t="shared" si="9"/>
        <v>45398</v>
      </c>
      <c r="N226" s="26">
        <f t="shared" si="8"/>
        <v>4</v>
      </c>
      <c r="O226" s="27">
        <v>900</v>
      </c>
      <c r="P226" s="27">
        <v>900</v>
      </c>
      <c r="Q226" s="27"/>
      <c r="R226" s="27"/>
      <c r="S226" s="27" t="s">
        <v>820</v>
      </c>
      <c r="T226" s="27"/>
      <c r="U226" s="27">
        <v>4357</v>
      </c>
      <c r="V226" s="27" t="s">
        <v>821</v>
      </c>
      <c r="W226" s="27" t="s">
        <v>822</v>
      </c>
      <c r="X226" s="73"/>
      <c r="Y226" s="73" t="e">
        <f>VLOOKUP(X226,Choferes!$B$2:$C$500,2,FALSE)</f>
        <v>#N/A</v>
      </c>
      <c r="Z226" s="73" t="s">
        <v>823</v>
      </c>
    </row>
    <row r="227" spans="1:26" hidden="1" x14ac:dyDescent="0.25">
      <c r="A227" s="33">
        <v>15</v>
      </c>
      <c r="B227" s="71" t="s">
        <v>29</v>
      </c>
      <c r="C227" s="39" t="s">
        <v>824</v>
      </c>
      <c r="D227" s="50" t="s">
        <v>764</v>
      </c>
      <c r="E227" s="47">
        <v>45394</v>
      </c>
      <c r="F227" s="31" t="str">
        <f>VLOOKUP($C227,Carpetas!$C$5:$M$2666,2,FALSE)</f>
        <v>BRB018</v>
      </c>
      <c r="G227" s="23" t="str">
        <f>VLOOKUP($C227,Carpetas!$C$5:$M$2666,10,FALSE)</f>
        <v>148,91,91</v>
      </c>
      <c r="H227" s="27" t="str">
        <f>VLOOKUP($C227,Carpetas!$C$5:$M$2666,6,FALSE)</f>
        <v>FG</v>
      </c>
      <c r="I227" s="220"/>
      <c r="J227" s="47">
        <f>E227+3</f>
        <v>45397</v>
      </c>
      <c r="K227" s="72" t="str">
        <f>VLOOKUP($C227,Carpetas!$C$5:$M$2666,5,FALSE)</f>
        <v>Rio Branco</v>
      </c>
      <c r="L227" s="32"/>
      <c r="M227" s="48">
        <f t="shared" si="9"/>
        <v>45398</v>
      </c>
      <c r="N227" s="26">
        <f t="shared" si="8"/>
        <v>4</v>
      </c>
      <c r="O227" s="27">
        <v>1008</v>
      </c>
      <c r="P227" s="27">
        <v>1008</v>
      </c>
      <c r="Q227" s="27"/>
      <c r="R227" s="27"/>
      <c r="S227" s="27" t="s">
        <v>825</v>
      </c>
      <c r="T227" s="27"/>
      <c r="U227" s="27">
        <v>58</v>
      </c>
      <c r="V227" s="27" t="s">
        <v>826</v>
      </c>
      <c r="W227" s="27" t="s">
        <v>827</v>
      </c>
      <c r="X227" s="73"/>
      <c r="Y227" s="73" t="e">
        <f>VLOOKUP(X227,Choferes!$B$2:$C$500,2,FALSE)</f>
        <v>#N/A</v>
      </c>
      <c r="Z227" s="73" t="s">
        <v>828</v>
      </c>
    </row>
    <row r="228" spans="1:26" hidden="1" x14ac:dyDescent="0.25">
      <c r="A228" s="33">
        <v>15</v>
      </c>
      <c r="B228" s="71" t="s">
        <v>29</v>
      </c>
      <c r="C228" s="39" t="s">
        <v>824</v>
      </c>
      <c r="D228" s="50" t="s">
        <v>31</v>
      </c>
      <c r="E228" s="47">
        <v>45394</v>
      </c>
      <c r="F228" s="31" t="str">
        <f>VLOOKUP($C228,Carpetas!$C$5:$M$2666,2,FALSE)</f>
        <v>BRB018</v>
      </c>
      <c r="G228" s="23" t="str">
        <f>VLOOKUP($C228,Carpetas!$C$5:$M$2666,10,FALSE)</f>
        <v>148,91,91</v>
      </c>
      <c r="H228" s="27" t="str">
        <f>VLOOKUP($C228,Carpetas!$C$5:$M$2666,6,FALSE)</f>
        <v>FG</v>
      </c>
      <c r="I228" s="220"/>
      <c r="J228" s="47">
        <f>E228+3</f>
        <v>45397</v>
      </c>
      <c r="K228" s="72" t="str">
        <f>VLOOKUP($C228,Carpetas!$C$5:$M$2666,5,FALSE)</f>
        <v>Rio Branco</v>
      </c>
      <c r="L228" s="32"/>
      <c r="M228" s="48">
        <f t="shared" si="9"/>
        <v>45398</v>
      </c>
      <c r="N228" s="26">
        <f t="shared" si="8"/>
        <v>4</v>
      </c>
      <c r="O228" s="27">
        <v>1008</v>
      </c>
      <c r="P228" s="27">
        <v>1008</v>
      </c>
      <c r="Q228" s="27"/>
      <c r="R228" s="27"/>
      <c r="S228" s="27" t="s">
        <v>829</v>
      </c>
      <c r="T228" s="27"/>
      <c r="U228" s="27">
        <v>57</v>
      </c>
      <c r="V228" s="27" t="s">
        <v>830</v>
      </c>
      <c r="W228" s="27" t="s">
        <v>831</v>
      </c>
      <c r="X228" s="73"/>
      <c r="Y228" s="73" t="e">
        <f>VLOOKUP(X228,Choferes!$B$2:$C$500,2,FALSE)</f>
        <v>#N/A</v>
      </c>
      <c r="Z228" s="73" t="s">
        <v>832</v>
      </c>
    </row>
    <row r="229" spans="1:26" hidden="1" x14ac:dyDescent="0.25">
      <c r="A229" s="33">
        <v>16</v>
      </c>
      <c r="B229" s="71" t="s">
        <v>29</v>
      </c>
      <c r="C229" s="39" t="s">
        <v>833</v>
      </c>
      <c r="D229" s="50" t="s">
        <v>48</v>
      </c>
      <c r="E229" s="47">
        <v>45397</v>
      </c>
      <c r="F229" s="31" t="str">
        <f>VLOOKUP($C229,Carpetas!$C$5:$M$2666,2,FALSE)</f>
        <v>PYB076</v>
      </c>
      <c r="G229" s="23">
        <f>VLOOKUP($C229,Carpetas!$C$5:$M$2666,10,FALSE)</f>
        <v>0</v>
      </c>
      <c r="H229" s="27">
        <f>VLOOKUP($C229,Carpetas!$C$5:$M$2666,6,FALSE)</f>
        <v>0</v>
      </c>
      <c r="I229" s="220"/>
      <c r="J229" s="47">
        <v>45400</v>
      </c>
      <c r="K229" s="72" t="str">
        <f>VLOOKUP($C229,Carpetas!$C$5:$M$2666,5,FALSE)</f>
        <v>Salto</v>
      </c>
      <c r="L229" s="32"/>
      <c r="M229" s="48">
        <f t="shared" si="9"/>
        <v>45401</v>
      </c>
      <c r="N229" s="26">
        <f t="shared" si="8"/>
        <v>4</v>
      </c>
      <c r="O229" s="27">
        <v>930</v>
      </c>
      <c r="P229" s="27"/>
      <c r="Q229" s="27"/>
      <c r="R229" s="27"/>
      <c r="S229" s="27" t="s">
        <v>834</v>
      </c>
      <c r="T229" s="27"/>
      <c r="U229" s="27"/>
      <c r="V229" s="27" t="s">
        <v>98</v>
      </c>
      <c r="W229" s="27" t="s">
        <v>835</v>
      </c>
      <c r="X229" s="73"/>
      <c r="Y229" s="73" t="e">
        <f>VLOOKUP(X229,Choferes!$B$2:$C$500,2,FALSE)</f>
        <v>#N/A</v>
      </c>
      <c r="Z229" s="73" t="s">
        <v>836</v>
      </c>
    </row>
    <row r="230" spans="1:26" hidden="1" x14ac:dyDescent="0.25">
      <c r="A230" s="33">
        <v>16</v>
      </c>
      <c r="B230" s="71" t="s">
        <v>29</v>
      </c>
      <c r="C230" s="39" t="s">
        <v>795</v>
      </c>
      <c r="D230" s="50" t="s">
        <v>110</v>
      </c>
      <c r="E230" s="47">
        <v>45398</v>
      </c>
      <c r="F230" s="31" t="str">
        <f>VLOOKUP($C230,Carpetas!$C$5:$M$2666,2,FALSE)</f>
        <v>BRB016</v>
      </c>
      <c r="G230" s="23" t="str">
        <f>VLOOKUP($C230,Carpetas!$C$5:$M$2666,10,FALSE)</f>
        <v>148,89,74</v>
      </c>
      <c r="H230" s="27" t="str">
        <f>VLOOKUP($C230,Carpetas!$C$5:$M$2666,6,FALSE)</f>
        <v>Silvio</v>
      </c>
      <c r="I230" s="220"/>
      <c r="J230" s="47">
        <f>E230+1</f>
        <v>45399</v>
      </c>
      <c r="K230" s="72" t="str">
        <f>VLOOKUP($C230,Carpetas!$C$5:$M$2666,5,FALSE)</f>
        <v>Rio Branco</v>
      </c>
      <c r="L230" s="32"/>
      <c r="M230" s="48">
        <f>J230+1+1+1</f>
        <v>45402</v>
      </c>
      <c r="N230" s="26">
        <f t="shared" si="8"/>
        <v>4</v>
      </c>
      <c r="O230" s="27">
        <v>918</v>
      </c>
      <c r="P230" s="27">
        <v>919</v>
      </c>
      <c r="Q230" s="27"/>
      <c r="R230" s="27"/>
      <c r="S230" s="27" t="s">
        <v>837</v>
      </c>
      <c r="T230" s="27"/>
      <c r="U230" s="27">
        <v>6846</v>
      </c>
      <c r="V230" s="27" t="s">
        <v>838</v>
      </c>
      <c r="W230" s="27" t="s">
        <v>839</v>
      </c>
      <c r="X230" s="73"/>
      <c r="Y230" s="73" t="e">
        <f>VLOOKUP(X230,Choferes!$B$2:$C$500,2,FALSE)</f>
        <v>#N/A</v>
      </c>
      <c r="Z230" s="73" t="s">
        <v>840</v>
      </c>
    </row>
    <row r="231" spans="1:26" hidden="1" x14ac:dyDescent="0.25">
      <c r="A231" s="33">
        <v>16</v>
      </c>
      <c r="B231" s="71" t="s">
        <v>29</v>
      </c>
      <c r="C231" s="39" t="s">
        <v>790</v>
      </c>
      <c r="D231" s="50" t="s">
        <v>78</v>
      </c>
      <c r="E231" s="47">
        <v>45397</v>
      </c>
      <c r="F231" s="31" t="str">
        <f>VLOOKUP($C231,Carpetas!$C$5:$M$2666,2,FALSE)</f>
        <v>BRB017</v>
      </c>
      <c r="G231" s="23" t="str">
        <f>VLOOKUP($C231,Carpetas!$C$5:$M$2666,10,FALSE)</f>
        <v>148,91,83</v>
      </c>
      <c r="H231" s="27" t="str">
        <f>VLOOKUP($C231,Carpetas!$C$5:$M$2666,6,FALSE)</f>
        <v>Zanini</v>
      </c>
      <c r="I231" s="220"/>
      <c r="J231" s="47">
        <v>45400</v>
      </c>
      <c r="K231" s="72" t="str">
        <f>VLOOKUP($C231,Carpetas!$C$5:$M$2666,5,FALSE)</f>
        <v>Rio Branco</v>
      </c>
      <c r="L231" s="32"/>
      <c r="M231" s="48">
        <v>45402</v>
      </c>
      <c r="N231" s="26">
        <f t="shared" si="8"/>
        <v>5</v>
      </c>
      <c r="O231" s="27">
        <v>900</v>
      </c>
      <c r="P231" s="27">
        <v>901</v>
      </c>
      <c r="Q231" s="27"/>
      <c r="R231" s="27"/>
      <c r="S231" s="27" t="s">
        <v>841</v>
      </c>
      <c r="T231" s="27"/>
      <c r="U231" s="27">
        <v>4361</v>
      </c>
      <c r="V231" s="27" t="s">
        <v>842</v>
      </c>
      <c r="W231" s="27" t="s">
        <v>843</v>
      </c>
      <c r="X231" s="73"/>
      <c r="Y231" s="73" t="e">
        <f>VLOOKUP(X231,Choferes!$B$2:$C$500,2,FALSE)</f>
        <v>#N/A</v>
      </c>
      <c r="Z231" s="73" t="s">
        <v>844</v>
      </c>
    </row>
    <row r="232" spans="1:26" hidden="1" x14ac:dyDescent="0.25">
      <c r="A232" s="33">
        <v>16</v>
      </c>
      <c r="B232" s="71" t="s">
        <v>29</v>
      </c>
      <c r="C232" s="39" t="s">
        <v>824</v>
      </c>
      <c r="D232" s="50" t="s">
        <v>31</v>
      </c>
      <c r="E232" s="47">
        <v>45398</v>
      </c>
      <c r="F232" s="31" t="str">
        <f>VLOOKUP($C232,Carpetas!$C$5:$M$2666,2,FALSE)</f>
        <v>BRB018</v>
      </c>
      <c r="G232" s="23" t="str">
        <f>VLOOKUP($C232,Carpetas!$C$5:$M$2666,10,FALSE)</f>
        <v>148,91,91</v>
      </c>
      <c r="H232" s="27" t="str">
        <f>VLOOKUP($C232,Carpetas!$C$5:$M$2666,6,FALSE)</f>
        <v>FG</v>
      </c>
      <c r="I232" s="220"/>
      <c r="J232" s="47">
        <v>45400</v>
      </c>
      <c r="K232" s="72" t="str">
        <f>VLOOKUP($C232,Carpetas!$C$5:$M$2666,5,FALSE)</f>
        <v>Rio Branco</v>
      </c>
      <c r="L232" s="32"/>
      <c r="M232" s="48">
        <v>45402</v>
      </c>
      <c r="N232" s="26">
        <f t="shared" si="8"/>
        <v>4</v>
      </c>
      <c r="O232" s="27">
        <v>1008</v>
      </c>
      <c r="P232" s="27">
        <v>1009</v>
      </c>
      <c r="Q232" s="27"/>
      <c r="R232" s="27"/>
      <c r="S232" s="27" t="s">
        <v>845</v>
      </c>
      <c r="T232" s="27"/>
      <c r="U232" s="27">
        <v>59</v>
      </c>
      <c r="V232" s="27" t="s">
        <v>846</v>
      </c>
      <c r="W232" s="27" t="s">
        <v>847</v>
      </c>
      <c r="X232" s="73"/>
      <c r="Y232" s="73" t="e">
        <f>VLOOKUP(X232,Choferes!$B$2:$C$500,2,FALSE)</f>
        <v>#N/A</v>
      </c>
      <c r="Z232" s="73" t="s">
        <v>848</v>
      </c>
    </row>
    <row r="233" spans="1:26" hidden="1" x14ac:dyDescent="0.25">
      <c r="A233" s="33">
        <v>16</v>
      </c>
      <c r="B233" s="71" t="s">
        <v>29</v>
      </c>
      <c r="C233" s="39" t="s">
        <v>849</v>
      </c>
      <c r="D233" s="50" t="s">
        <v>78</v>
      </c>
      <c r="E233" s="47">
        <v>45398</v>
      </c>
      <c r="F233" s="31" t="str">
        <f>VLOOKUP($C233,Carpetas!$C$5:$M$2666,2,FALSE)</f>
        <v>BRB019</v>
      </c>
      <c r="G233" s="23" t="str">
        <f>VLOOKUP($C233,Carpetas!$C$5:$M$2666,10,FALSE)</f>
        <v>148,96,18</v>
      </c>
      <c r="H233" s="27" t="str">
        <f>VLOOKUP($C233,Carpetas!$C$5:$M$2666,6,FALSE)</f>
        <v>Silvio Abierto</v>
      </c>
      <c r="I233" s="220"/>
      <c r="J233" s="47">
        <f>E233+2</f>
        <v>45400</v>
      </c>
      <c r="K233" s="72" t="str">
        <f>VLOOKUP($C233,Carpetas!$C$5:$M$2666,5,FALSE)</f>
        <v>Rio Branco</v>
      </c>
      <c r="L233" s="32"/>
      <c r="M233" s="48">
        <f>J233+1+1</f>
        <v>45402</v>
      </c>
      <c r="N233" s="26">
        <f t="shared" si="8"/>
        <v>4</v>
      </c>
      <c r="O233" s="27">
        <v>1008</v>
      </c>
      <c r="P233" s="27">
        <v>1008</v>
      </c>
      <c r="Q233" s="27"/>
      <c r="R233" s="27"/>
      <c r="S233" s="27" t="s">
        <v>850</v>
      </c>
      <c r="T233" s="27"/>
      <c r="U233" s="27">
        <v>6853</v>
      </c>
      <c r="V233" s="27" t="s">
        <v>851</v>
      </c>
      <c r="W233" s="27" t="s">
        <v>852</v>
      </c>
      <c r="X233" s="73"/>
      <c r="Y233" s="73" t="e">
        <f>VLOOKUP(X233,Choferes!$B$2:$C$500,2,FALSE)</f>
        <v>#N/A</v>
      </c>
      <c r="Z233" s="73" t="s">
        <v>853</v>
      </c>
    </row>
    <row r="234" spans="1:26" hidden="1" x14ac:dyDescent="0.25">
      <c r="A234" s="33">
        <v>16</v>
      </c>
      <c r="B234" s="71" t="s">
        <v>29</v>
      </c>
      <c r="C234" s="39" t="s">
        <v>854</v>
      </c>
      <c r="D234" s="50" t="s">
        <v>747</v>
      </c>
      <c r="E234" s="47">
        <v>45399</v>
      </c>
      <c r="F234" s="31" t="str">
        <f>VLOOKUP($C234,Carpetas!$C$5:$M$2666,2,FALSE)</f>
        <v>BRB020</v>
      </c>
      <c r="G234" s="23" t="str">
        <f>VLOOKUP($C234,Carpetas!$C$5:$M$2666,10,FALSE)</f>
        <v>148,96,19</v>
      </c>
      <c r="H234" s="27" t="str">
        <f>VLOOKUP($C234,Carpetas!$C$5:$M$2666,6,FALSE)</f>
        <v>Silvio</v>
      </c>
      <c r="I234" s="220"/>
      <c r="J234" s="47">
        <f>E234+1</f>
        <v>45400</v>
      </c>
      <c r="K234" s="72" t="str">
        <f>VLOOKUP($C234,Carpetas!$C$5:$M$2666,5,FALSE)</f>
        <v>Rio Branco</v>
      </c>
      <c r="L234" s="32"/>
      <c r="M234" s="48">
        <f>J234+1+1</f>
        <v>45402</v>
      </c>
      <c r="N234" s="26">
        <f t="shared" si="8"/>
        <v>3</v>
      </c>
      <c r="O234" s="27">
        <v>918</v>
      </c>
      <c r="P234" s="27">
        <v>919</v>
      </c>
      <c r="Q234" s="27"/>
      <c r="R234" s="27"/>
      <c r="S234" s="27" t="s">
        <v>855</v>
      </c>
      <c r="T234" s="27"/>
      <c r="U234" s="27">
        <v>6859</v>
      </c>
      <c r="V234" s="27" t="s">
        <v>856</v>
      </c>
      <c r="W234" s="27" t="s">
        <v>857</v>
      </c>
      <c r="X234" s="73"/>
      <c r="Y234" s="73" t="e">
        <f>VLOOKUP(X234,Choferes!$B$2:$C$500,2,FALSE)</f>
        <v>#N/A</v>
      </c>
      <c r="Z234" s="73" t="s">
        <v>844</v>
      </c>
    </row>
    <row r="235" spans="1:26" hidden="1" x14ac:dyDescent="0.25">
      <c r="A235" s="33">
        <v>16</v>
      </c>
      <c r="B235" s="71" t="s">
        <v>29</v>
      </c>
      <c r="C235" s="39" t="s">
        <v>858</v>
      </c>
      <c r="D235" s="50" t="s">
        <v>102</v>
      </c>
      <c r="E235" s="47">
        <v>45397</v>
      </c>
      <c r="F235" s="31" t="str">
        <f>VLOOKUP($C235,Carpetas!$C$5:$M$2666,2,FALSE)</f>
        <v>PYB077</v>
      </c>
      <c r="G235" s="23">
        <f>VLOOKUP($C235,Carpetas!$C$5:$M$2666,10,FALSE)</f>
        <v>0</v>
      </c>
      <c r="H235" s="27">
        <f>VLOOKUP($C235,Carpetas!$C$5:$M$2666,6,FALSE)</f>
        <v>0</v>
      </c>
      <c r="I235" s="220"/>
      <c r="J235" s="47">
        <f>E235+4</f>
        <v>45401</v>
      </c>
      <c r="K235" s="72" t="str">
        <f>VLOOKUP($C235,Carpetas!$C$5:$M$2666,5,FALSE)</f>
        <v>Salto</v>
      </c>
      <c r="L235" s="32"/>
      <c r="M235" s="48">
        <f>J235+1</f>
        <v>45402</v>
      </c>
      <c r="N235" s="26">
        <f t="shared" si="8"/>
        <v>5</v>
      </c>
      <c r="O235" s="27">
        <v>980</v>
      </c>
      <c r="P235" s="27">
        <v>980</v>
      </c>
      <c r="Q235" s="27"/>
      <c r="R235" s="27"/>
      <c r="S235" s="27" t="s">
        <v>859</v>
      </c>
      <c r="T235" s="27"/>
      <c r="U235" s="27"/>
      <c r="V235" s="27"/>
      <c r="W235" s="27"/>
      <c r="X235" s="73"/>
      <c r="Y235" s="73" t="e">
        <f>VLOOKUP(X235,Choferes!$B$2:$C$500,2,FALSE)</f>
        <v>#N/A</v>
      </c>
      <c r="Z235" s="73" t="s">
        <v>860</v>
      </c>
    </row>
    <row r="236" spans="1:26" hidden="1" x14ac:dyDescent="0.25">
      <c r="A236" s="33">
        <v>16</v>
      </c>
      <c r="B236" s="71" t="s">
        <v>29</v>
      </c>
      <c r="C236" s="39" t="s">
        <v>858</v>
      </c>
      <c r="D236" s="50" t="s">
        <v>102</v>
      </c>
      <c r="E236" s="47">
        <v>45398</v>
      </c>
      <c r="F236" s="31" t="str">
        <f>VLOOKUP($C236,Carpetas!$C$5:$M$2666,2,FALSE)</f>
        <v>PYB077</v>
      </c>
      <c r="G236" s="23">
        <f>VLOOKUP($C236,Carpetas!$C$5:$M$2666,10,FALSE)</f>
        <v>0</v>
      </c>
      <c r="H236" s="27">
        <f>VLOOKUP($C236,Carpetas!$C$5:$M$2666,6,FALSE)</f>
        <v>0</v>
      </c>
      <c r="I236" s="220"/>
      <c r="J236" s="47">
        <v>45401</v>
      </c>
      <c r="K236" s="72" t="str">
        <f>VLOOKUP($C236,Carpetas!$C$5:$M$2666,5,FALSE)</f>
        <v>Salto</v>
      </c>
      <c r="L236" s="32"/>
      <c r="M236" s="48">
        <f>J236+1</f>
        <v>45402</v>
      </c>
      <c r="N236" s="26">
        <f t="shared" si="8"/>
        <v>4</v>
      </c>
      <c r="O236" s="27">
        <v>980</v>
      </c>
      <c r="P236" s="27">
        <v>980</v>
      </c>
      <c r="Q236" s="27"/>
      <c r="R236" s="27"/>
      <c r="S236" s="27" t="s">
        <v>861</v>
      </c>
      <c r="T236" s="27"/>
      <c r="U236" s="27"/>
      <c r="V236" s="27"/>
      <c r="W236" s="27"/>
      <c r="X236" s="73"/>
      <c r="Y236" s="73" t="e">
        <f>VLOOKUP(X236,Choferes!$B$2:$C$500,2,FALSE)</f>
        <v>#N/A</v>
      </c>
      <c r="Z236" s="73" t="s">
        <v>860</v>
      </c>
    </row>
    <row r="237" spans="1:26" hidden="1" x14ac:dyDescent="0.25">
      <c r="A237" s="33">
        <v>16</v>
      </c>
      <c r="B237" s="71" t="s">
        <v>29</v>
      </c>
      <c r="C237" s="39" t="s">
        <v>824</v>
      </c>
      <c r="D237" s="50" t="s">
        <v>764</v>
      </c>
      <c r="E237" s="47">
        <v>45400</v>
      </c>
      <c r="F237" s="31" t="str">
        <f>VLOOKUP($C237,Carpetas!$C$5:$M$2666,2,FALSE)</f>
        <v>BRB018</v>
      </c>
      <c r="G237" s="23" t="str">
        <f>VLOOKUP($C237,Carpetas!$C$5:$M$2666,10,FALSE)</f>
        <v>148,91,91</v>
      </c>
      <c r="H237" s="27" t="str">
        <f>VLOOKUP($C237,Carpetas!$C$5:$M$2666,6,FALSE)</f>
        <v>FG</v>
      </c>
      <c r="I237" s="220"/>
      <c r="J237" s="47">
        <f>E237+1</f>
        <v>45401</v>
      </c>
      <c r="K237" s="72" t="str">
        <f>VLOOKUP($C237,Carpetas!$C$5:$M$2666,5,FALSE)</f>
        <v>Rio Branco</v>
      </c>
      <c r="L237" s="32"/>
      <c r="M237" s="48">
        <f>J237+1</f>
        <v>45402</v>
      </c>
      <c r="N237" s="26">
        <f t="shared" si="8"/>
        <v>2</v>
      </c>
      <c r="O237" s="27">
        <v>1008</v>
      </c>
      <c r="P237" s="27">
        <v>1008</v>
      </c>
      <c r="Q237" s="27"/>
      <c r="R237" s="27"/>
      <c r="S237" s="27" t="s">
        <v>862</v>
      </c>
      <c r="T237" s="27"/>
      <c r="U237" s="27">
        <v>63</v>
      </c>
      <c r="V237" s="27" t="s">
        <v>863</v>
      </c>
      <c r="W237" s="27" t="s">
        <v>864</v>
      </c>
      <c r="X237" s="73"/>
      <c r="Y237" s="73" t="e">
        <f>VLOOKUP(X237,Choferes!$B$2:$C$500,2,FALSE)</f>
        <v>#N/A</v>
      </c>
      <c r="Z237" s="73" t="s">
        <v>840</v>
      </c>
    </row>
    <row r="238" spans="1:26" hidden="1" x14ac:dyDescent="0.25">
      <c r="A238" s="33">
        <v>16</v>
      </c>
      <c r="B238" s="71" t="s">
        <v>29</v>
      </c>
      <c r="C238" s="39" t="s">
        <v>790</v>
      </c>
      <c r="D238" s="50" t="s">
        <v>78</v>
      </c>
      <c r="E238" s="47">
        <v>45399</v>
      </c>
      <c r="F238" s="31" t="str">
        <f>VLOOKUP($C238,Carpetas!$C$5:$M$2666,2,FALSE)</f>
        <v>BRB017</v>
      </c>
      <c r="G238" s="23" t="str">
        <f>VLOOKUP($C238,Carpetas!$C$5:$M$2666,10,FALSE)</f>
        <v>148,91,83</v>
      </c>
      <c r="H238" s="27" t="str">
        <f>VLOOKUP($C238,Carpetas!$C$5:$M$2666,6,FALSE)</f>
        <v>Zanini</v>
      </c>
      <c r="I238" s="220"/>
      <c r="J238" s="47">
        <f>E238+2</f>
        <v>45401</v>
      </c>
      <c r="K238" s="72" t="str">
        <f>VLOOKUP($C238,Carpetas!$C$5:$M$2666,5,FALSE)</f>
        <v>Rio Branco</v>
      </c>
      <c r="L238" s="32"/>
      <c r="M238" s="48">
        <f>J238+4</f>
        <v>45405</v>
      </c>
      <c r="N238" s="26">
        <f t="shared" si="8"/>
        <v>6</v>
      </c>
      <c r="O238" s="27">
        <v>900</v>
      </c>
      <c r="P238" s="27">
        <v>900</v>
      </c>
      <c r="Q238" s="27"/>
      <c r="R238" s="27"/>
      <c r="S238" s="27" t="s">
        <v>865</v>
      </c>
      <c r="T238" s="27"/>
      <c r="U238" s="27">
        <v>4365</v>
      </c>
      <c r="V238" s="27" t="s">
        <v>866</v>
      </c>
      <c r="W238" s="27" t="s">
        <v>867</v>
      </c>
      <c r="X238" s="73"/>
      <c r="Y238" s="73" t="e">
        <f>VLOOKUP(X238,Choferes!$B$2:$C$500,2,FALSE)</f>
        <v>#N/A</v>
      </c>
      <c r="Z238" s="73" t="s">
        <v>868</v>
      </c>
    </row>
    <row r="239" spans="1:26" hidden="1" x14ac:dyDescent="0.25">
      <c r="A239" s="33">
        <v>16</v>
      </c>
      <c r="B239" s="71" t="s">
        <v>29</v>
      </c>
      <c r="C239" s="39" t="s">
        <v>854</v>
      </c>
      <c r="D239" s="50" t="s">
        <v>249</v>
      </c>
      <c r="E239" s="47">
        <v>45399</v>
      </c>
      <c r="F239" s="31" t="str">
        <f>VLOOKUP($C239,Carpetas!$C$5:$M$2666,2,FALSE)</f>
        <v>BRB020</v>
      </c>
      <c r="G239" s="23" t="str">
        <f>VLOOKUP($C239,Carpetas!$C$5:$M$2666,10,FALSE)</f>
        <v>148,96,19</v>
      </c>
      <c r="H239" s="27" t="str">
        <f>VLOOKUP($C239,Carpetas!$C$5:$M$2666,6,FALSE)</f>
        <v>Silvio</v>
      </c>
      <c r="I239" s="220"/>
      <c r="J239" s="47">
        <f>E239+2</f>
        <v>45401</v>
      </c>
      <c r="K239" s="72" t="str">
        <f>VLOOKUP($C239,Carpetas!$C$5:$M$2666,5,FALSE)</f>
        <v>Rio Branco</v>
      </c>
      <c r="L239" s="32"/>
      <c r="M239" s="48">
        <f>J239+4</f>
        <v>45405</v>
      </c>
      <c r="N239" s="26">
        <f t="shared" si="8"/>
        <v>6</v>
      </c>
      <c r="O239" s="27">
        <v>918</v>
      </c>
      <c r="P239" s="27">
        <v>919</v>
      </c>
      <c r="Q239" s="27"/>
      <c r="R239" s="27"/>
      <c r="S239" s="27" t="s">
        <v>869</v>
      </c>
      <c r="T239" s="27"/>
      <c r="U239" s="27">
        <v>6860</v>
      </c>
      <c r="V239" s="27" t="s">
        <v>64</v>
      </c>
      <c r="W239" s="27" t="s">
        <v>65</v>
      </c>
      <c r="X239" s="73"/>
      <c r="Y239" s="73" t="e">
        <f>VLOOKUP(X239,Choferes!$B$2:$C$500,2,FALSE)</f>
        <v>#N/A</v>
      </c>
      <c r="Z239" s="73" t="s">
        <v>870</v>
      </c>
    </row>
    <row r="240" spans="1:26" hidden="1" x14ac:dyDescent="0.25">
      <c r="A240" s="33">
        <v>16</v>
      </c>
      <c r="B240" s="71" t="s">
        <v>29</v>
      </c>
      <c r="C240" s="39" t="s">
        <v>871</v>
      </c>
      <c r="D240" s="50" t="s">
        <v>764</v>
      </c>
      <c r="E240" s="47">
        <v>45401</v>
      </c>
      <c r="F240" s="31" t="str">
        <f>VLOOKUP($C240,Carpetas!$C$5:$M$2666,2,FALSE)</f>
        <v>BRE034</v>
      </c>
      <c r="G240" s="23">
        <f>VLOOKUP($C240,Carpetas!$C$5:$M$2666,10,FALSE)</f>
        <v>0</v>
      </c>
      <c r="H240" s="27" t="str">
        <f>VLOOKUP($C240,Carpetas!$C$5:$M$2666,6,FALSE)</f>
        <v>Marvel</v>
      </c>
      <c r="I240" s="220"/>
      <c r="J240" s="47">
        <f>E240+3</f>
        <v>45404</v>
      </c>
      <c r="K240" s="72" t="str">
        <f>VLOOKUP($C240,Carpetas!$C$5:$M$2666,5,FALSE)</f>
        <v>Rio Branco</v>
      </c>
      <c r="L240" s="32"/>
      <c r="M240" s="48">
        <f>J240+1</f>
        <v>45405</v>
      </c>
      <c r="N240" s="26">
        <f t="shared" si="8"/>
        <v>4</v>
      </c>
      <c r="O240" s="27">
        <v>1008</v>
      </c>
      <c r="P240" s="27">
        <v>1008</v>
      </c>
      <c r="Q240" s="27"/>
      <c r="R240" s="27"/>
      <c r="S240" s="27" t="s">
        <v>872</v>
      </c>
      <c r="T240" s="27"/>
      <c r="U240" s="27">
        <v>65</v>
      </c>
      <c r="V240" s="27" t="s">
        <v>873</v>
      </c>
      <c r="W240" s="27" t="s">
        <v>874</v>
      </c>
      <c r="X240" s="73"/>
      <c r="Y240" s="73" t="e">
        <f>VLOOKUP(X240,Choferes!$B$2:$C$500,2,FALSE)</f>
        <v>#N/A</v>
      </c>
      <c r="Z240" s="73" t="s">
        <v>875</v>
      </c>
    </row>
    <row r="241" spans="1:26" hidden="1" x14ac:dyDescent="0.25">
      <c r="A241" s="33">
        <v>16</v>
      </c>
      <c r="B241" s="71" t="s">
        <v>29</v>
      </c>
      <c r="C241" s="39" t="s">
        <v>849</v>
      </c>
      <c r="D241" s="50" t="s">
        <v>803</v>
      </c>
      <c r="E241" s="47">
        <v>45400</v>
      </c>
      <c r="F241" s="31" t="str">
        <f>VLOOKUP($C241,Carpetas!$C$5:$M$2666,2,FALSE)</f>
        <v>BRB019</v>
      </c>
      <c r="G241" s="23" t="str">
        <f>VLOOKUP($C241,Carpetas!$C$5:$M$2666,10,FALSE)</f>
        <v>148,96,18</v>
      </c>
      <c r="H241" s="27" t="str">
        <f>VLOOKUP($C241,Carpetas!$C$5:$M$2666,6,FALSE)</f>
        <v>Silvio Abierto</v>
      </c>
      <c r="I241" s="220"/>
      <c r="J241" s="47">
        <f>E241+4</f>
        <v>45404</v>
      </c>
      <c r="K241" s="72" t="str">
        <f>VLOOKUP($C241,Carpetas!$C$5:$M$2666,5,FALSE)</f>
        <v>Rio Branco</v>
      </c>
      <c r="L241" s="32"/>
      <c r="M241" s="48">
        <f>J241+1+1</f>
        <v>45406</v>
      </c>
      <c r="N241" s="26">
        <f t="shared" si="8"/>
        <v>6</v>
      </c>
      <c r="O241" s="27">
        <v>1008</v>
      </c>
      <c r="P241" s="27">
        <v>1008</v>
      </c>
      <c r="Q241" s="27"/>
      <c r="R241" s="27"/>
      <c r="S241" s="27" t="s">
        <v>876</v>
      </c>
      <c r="T241" s="27"/>
      <c r="U241" s="27">
        <v>6855</v>
      </c>
      <c r="V241" s="27" t="s">
        <v>877</v>
      </c>
      <c r="W241" s="27" t="s">
        <v>878</v>
      </c>
      <c r="X241" s="73"/>
      <c r="Y241" s="73" t="e">
        <f>VLOOKUP(X241,Choferes!$B$2:$C$500,2,FALSE)</f>
        <v>#N/A</v>
      </c>
      <c r="Z241" s="73" t="s">
        <v>879</v>
      </c>
    </row>
    <row r="242" spans="1:26" ht="30" hidden="1" x14ac:dyDescent="0.25">
      <c r="A242" s="33">
        <v>16</v>
      </c>
      <c r="B242" s="71" t="s">
        <v>29</v>
      </c>
      <c r="C242" s="39" t="s">
        <v>849</v>
      </c>
      <c r="D242" s="50" t="s">
        <v>880</v>
      </c>
      <c r="E242" s="47">
        <v>45400</v>
      </c>
      <c r="F242" s="31" t="str">
        <f>VLOOKUP($C242,Carpetas!$C$5:$M$2666,2,FALSE)</f>
        <v>BRB019</v>
      </c>
      <c r="G242" s="23" t="str">
        <f>VLOOKUP($C242,Carpetas!$C$5:$M$2666,10,FALSE)</f>
        <v>148,96,18</v>
      </c>
      <c r="H242" s="27" t="str">
        <f>VLOOKUP($C242,Carpetas!$C$5:$M$2666,6,FALSE)</f>
        <v>Silvio Abierto</v>
      </c>
      <c r="I242" s="220"/>
      <c r="J242" s="47">
        <f>E242+4</f>
        <v>45404</v>
      </c>
      <c r="K242" s="72" t="str">
        <f>VLOOKUP($C242,Carpetas!$C$5:$M$2666,5,FALSE)</f>
        <v>Rio Branco</v>
      </c>
      <c r="L242" s="32"/>
      <c r="M242" s="48">
        <f>J242+1+1</f>
        <v>45406</v>
      </c>
      <c r="N242" s="26">
        <f t="shared" si="8"/>
        <v>6</v>
      </c>
      <c r="O242" s="27">
        <v>1008</v>
      </c>
      <c r="P242" s="27">
        <v>1008</v>
      </c>
      <c r="Q242" s="27"/>
      <c r="R242" s="27"/>
      <c r="S242" s="27" t="s">
        <v>881</v>
      </c>
      <c r="T242" s="27"/>
      <c r="U242" s="27">
        <v>6854</v>
      </c>
      <c r="V242" s="27" t="s">
        <v>882</v>
      </c>
      <c r="W242" s="27" t="s">
        <v>883</v>
      </c>
      <c r="X242" s="73"/>
      <c r="Y242" s="73" t="e">
        <f>VLOOKUP(X242,Choferes!$B$2:$C$500,2,FALSE)</f>
        <v>#N/A</v>
      </c>
      <c r="Z242" s="73" t="s">
        <v>884</v>
      </c>
    </row>
    <row r="243" spans="1:26" hidden="1" x14ac:dyDescent="0.25">
      <c r="A243" s="33">
        <v>17</v>
      </c>
      <c r="B243" s="71" t="s">
        <v>29</v>
      </c>
      <c r="C243" s="39" t="s">
        <v>885</v>
      </c>
      <c r="D243" s="50" t="s">
        <v>121</v>
      </c>
      <c r="E243" s="47">
        <v>45402</v>
      </c>
      <c r="F243" s="31" t="str">
        <f>VLOOKUP($C243,Carpetas!$C$5:$M$2666,2,FALSE)</f>
        <v>PYB078</v>
      </c>
      <c r="G243" s="23" t="str">
        <f>VLOOKUP($C243,Carpetas!$C$5:$M$2666,10,FALSE)</f>
        <v>148,99,38</v>
      </c>
      <c r="H243" s="27">
        <f>VLOOKUP($C243,Carpetas!$C$5:$M$2666,6,FALSE)</f>
        <v>0</v>
      </c>
      <c r="I243" s="220"/>
      <c r="J243" s="47">
        <v>45405</v>
      </c>
      <c r="K243" s="72" t="str">
        <f>VLOOKUP($C243,Carpetas!$C$5:$M$2666,5,FALSE)</f>
        <v>Salto</v>
      </c>
      <c r="L243" s="32"/>
      <c r="M243" s="48">
        <f>J243+1</f>
        <v>45406</v>
      </c>
      <c r="N243" s="26">
        <f t="shared" si="8"/>
        <v>4</v>
      </c>
      <c r="O243" s="27">
        <v>980</v>
      </c>
      <c r="P243" s="27">
        <v>980</v>
      </c>
      <c r="Q243" s="27"/>
      <c r="R243" s="27"/>
      <c r="S243" s="27" t="s">
        <v>886</v>
      </c>
      <c r="T243" s="27"/>
      <c r="U243" s="27"/>
      <c r="V243" s="27" t="s">
        <v>887</v>
      </c>
      <c r="W243" s="27"/>
      <c r="X243" s="73"/>
      <c r="Y243" s="73" t="e">
        <f>VLOOKUP(X243,Choferes!$B$2:$C$500,2,FALSE)</f>
        <v>#N/A</v>
      </c>
      <c r="Z243" s="73" t="s">
        <v>888</v>
      </c>
    </row>
    <row r="244" spans="1:26" hidden="1" x14ac:dyDescent="0.25">
      <c r="A244" s="33">
        <v>16</v>
      </c>
      <c r="B244" s="71" t="s">
        <v>298</v>
      </c>
      <c r="C244" s="39"/>
      <c r="D244" s="50" t="s">
        <v>249</v>
      </c>
      <c r="E244" s="47">
        <v>45401</v>
      </c>
      <c r="F244" s="31" t="e">
        <f>VLOOKUP($C244,Carpetas!$C$5:$M$2666,2,FALSE)</f>
        <v>#N/A</v>
      </c>
      <c r="G244" s="23" t="e">
        <f>VLOOKUP($C244,Carpetas!$C$5:$M$2666,9,FALSE)</f>
        <v>#N/A</v>
      </c>
      <c r="H244" s="27" t="e">
        <f>VLOOKUP($C244,Carpetas!$C$5:$M$2666,5,FALSE)</f>
        <v>#N/A</v>
      </c>
      <c r="I244" s="220"/>
      <c r="J244" s="47">
        <f>E244+4</f>
        <v>45405</v>
      </c>
      <c r="K244" s="72" t="e">
        <f>VLOOKUP($C244,Carpetas!$C$5:$M$2666,4,FALSE)</f>
        <v>#N/A</v>
      </c>
      <c r="L244" s="32"/>
      <c r="M244" s="48">
        <f>J244+1</f>
        <v>45406</v>
      </c>
      <c r="N244" s="26">
        <f t="shared" si="8"/>
        <v>5</v>
      </c>
      <c r="O244" s="27">
        <v>918</v>
      </c>
      <c r="P244" s="27"/>
      <c r="Q244" s="27"/>
      <c r="R244" s="27"/>
      <c r="S244" s="27"/>
      <c r="T244" s="27"/>
      <c r="U244" s="27"/>
      <c r="V244" s="27"/>
      <c r="W244" s="27"/>
      <c r="X244" s="73"/>
      <c r="Y244" s="73" t="e">
        <f>VLOOKUP(X244,Choferes!$B$2:$C$500,2,FALSE)</f>
        <v>#N/A</v>
      </c>
      <c r="Z244" s="73"/>
    </row>
    <row r="245" spans="1:26" hidden="1" x14ac:dyDescent="0.25">
      <c r="A245" s="33">
        <v>16</v>
      </c>
      <c r="B245" s="71" t="s">
        <v>29</v>
      </c>
      <c r="C245" s="39" t="s">
        <v>854</v>
      </c>
      <c r="D245" s="50" t="s">
        <v>803</v>
      </c>
      <c r="E245" s="47">
        <v>45400</v>
      </c>
      <c r="F245" s="31" t="str">
        <f>VLOOKUP($C245,Carpetas!$C$5:$M$2666,2,FALSE)</f>
        <v>BRB020</v>
      </c>
      <c r="G245" s="23" t="str">
        <f>VLOOKUP($C245,Carpetas!$C$5:$M$2666,10,FALSE)</f>
        <v>148,96,19</v>
      </c>
      <c r="H245" s="27" t="str">
        <f>VLOOKUP($C245,Carpetas!$C$5:$M$2666,6,FALSE)</f>
        <v>Silvio</v>
      </c>
      <c r="I245" s="220"/>
      <c r="J245" s="47">
        <f>E245+4</f>
        <v>45404</v>
      </c>
      <c r="K245" s="72" t="str">
        <f>VLOOKUP($C245,Carpetas!$C$5:$M$2666,5,FALSE)</f>
        <v>Rio Branco</v>
      </c>
      <c r="L245" s="32"/>
      <c r="M245" s="48">
        <f>J245+1+2</f>
        <v>45407</v>
      </c>
      <c r="N245" s="26">
        <f t="shared" si="8"/>
        <v>7</v>
      </c>
      <c r="O245" s="27">
        <v>918</v>
      </c>
      <c r="P245" s="27">
        <v>918</v>
      </c>
      <c r="Q245" s="27"/>
      <c r="R245" s="27"/>
      <c r="S245" s="27" t="s">
        <v>889</v>
      </c>
      <c r="T245" s="27"/>
      <c r="U245" s="27">
        <v>6861</v>
      </c>
      <c r="V245" s="27" t="s">
        <v>643</v>
      </c>
      <c r="W245" s="27" t="s">
        <v>644</v>
      </c>
      <c r="X245" s="73"/>
      <c r="Y245" s="73" t="e">
        <f>VLOOKUP(X245,Choferes!$B$2:$C$500,2,FALSE)</f>
        <v>#N/A</v>
      </c>
      <c r="Z245" s="73" t="s">
        <v>890</v>
      </c>
    </row>
    <row r="246" spans="1:26" hidden="1" x14ac:dyDescent="0.25">
      <c r="A246" s="33">
        <v>16</v>
      </c>
      <c r="B246" s="71" t="s">
        <v>29</v>
      </c>
      <c r="C246" s="39" t="s">
        <v>790</v>
      </c>
      <c r="D246" s="50" t="s">
        <v>78</v>
      </c>
      <c r="E246" s="47">
        <v>45401</v>
      </c>
      <c r="F246" s="31" t="str">
        <f>VLOOKUP($C246,Carpetas!$C$5:$M$2666,2,FALSE)</f>
        <v>BRB017</v>
      </c>
      <c r="G246" s="23" t="str">
        <f>VLOOKUP($C246,Carpetas!$C$5:$M$2666,10,FALSE)</f>
        <v>148,91,83</v>
      </c>
      <c r="H246" s="27" t="str">
        <f>VLOOKUP($C246,Carpetas!$C$5:$M$2666,6,FALSE)</f>
        <v>Zanini</v>
      </c>
      <c r="I246" s="220"/>
      <c r="J246" s="47">
        <f>E246+3</f>
        <v>45404</v>
      </c>
      <c r="K246" s="72" t="str">
        <f>VLOOKUP($C246,Carpetas!$C$5:$M$2666,5,FALSE)</f>
        <v>Rio Branco</v>
      </c>
      <c r="L246" s="32"/>
      <c r="M246" s="48">
        <f>J246+1+2</f>
        <v>45407</v>
      </c>
      <c r="N246" s="26">
        <f t="shared" si="8"/>
        <v>6</v>
      </c>
      <c r="O246" s="27">
        <v>900</v>
      </c>
      <c r="P246" s="27"/>
      <c r="Q246" s="27"/>
      <c r="R246" s="27"/>
      <c r="S246" s="27" t="s">
        <v>891</v>
      </c>
      <c r="T246" s="27"/>
      <c r="U246" s="27">
        <v>4368</v>
      </c>
      <c r="V246" s="27" t="s">
        <v>395</v>
      </c>
      <c r="W246" s="27" t="s">
        <v>396</v>
      </c>
      <c r="X246" s="73"/>
      <c r="Y246" s="73" t="e">
        <f>VLOOKUP(X246,Choferes!$B$2:$C$500,2,FALSE)</f>
        <v>#N/A</v>
      </c>
      <c r="Z246" s="73" t="s">
        <v>892</v>
      </c>
    </row>
    <row r="247" spans="1:26" hidden="1" x14ac:dyDescent="0.25">
      <c r="A247" s="33">
        <v>16</v>
      </c>
      <c r="B247" s="71" t="s">
        <v>29</v>
      </c>
      <c r="C247" s="39" t="s">
        <v>893</v>
      </c>
      <c r="D247" s="50" t="s">
        <v>78</v>
      </c>
      <c r="E247" s="47">
        <v>45401</v>
      </c>
      <c r="F247" s="31" t="str">
        <f>VLOOKUP($C247,Carpetas!$C$5:$M$2666,2,FALSE)</f>
        <v>BRB021</v>
      </c>
      <c r="G247" s="23" t="str">
        <f>VLOOKUP($C247,Carpetas!$C$5:$M$2666,10,FALSE)</f>
        <v>148,96,20</v>
      </c>
      <c r="H247" s="27" t="str">
        <f>VLOOKUP($C247,Carpetas!$C$5:$M$2666,6,FALSE)</f>
        <v>Zanini</v>
      </c>
      <c r="I247" s="220"/>
      <c r="J247" s="47">
        <f>E247+3</f>
        <v>45404</v>
      </c>
      <c r="K247" s="72" t="str">
        <f>VLOOKUP($C247,Carpetas!$C$5:$M$2666,5,FALSE)</f>
        <v>Rio Branco</v>
      </c>
      <c r="L247" s="32"/>
      <c r="M247" s="48">
        <f>J247+1+2</f>
        <v>45407</v>
      </c>
      <c r="N247" s="26">
        <f t="shared" si="8"/>
        <v>6</v>
      </c>
      <c r="O247" s="27">
        <v>900</v>
      </c>
      <c r="P247" s="27">
        <v>901</v>
      </c>
      <c r="Q247" s="27"/>
      <c r="R247" s="27"/>
      <c r="S247" s="27" t="s">
        <v>894</v>
      </c>
      <c r="T247" s="27"/>
      <c r="U247" s="27">
        <v>4372</v>
      </c>
      <c r="V247" s="27" t="s">
        <v>895</v>
      </c>
      <c r="W247" s="27" t="s">
        <v>896</v>
      </c>
      <c r="X247" s="73"/>
      <c r="Y247" s="73" t="e">
        <f>VLOOKUP(X247,Choferes!$B$2:$C$500,2,FALSE)</f>
        <v>#N/A</v>
      </c>
      <c r="Z247" s="73" t="s">
        <v>897</v>
      </c>
    </row>
    <row r="248" spans="1:26" hidden="1" x14ac:dyDescent="0.25">
      <c r="A248" s="33">
        <v>17</v>
      </c>
      <c r="B248" s="71" t="s">
        <v>29</v>
      </c>
      <c r="C248" s="39" t="s">
        <v>898</v>
      </c>
      <c r="D248" s="50" t="s">
        <v>102</v>
      </c>
      <c r="E248" s="47">
        <v>45404</v>
      </c>
      <c r="F248" s="31" t="str">
        <f>VLOOKUP($C248,Carpetas!$C$5:$M$2666,2,FALSE)</f>
        <v>PYB079</v>
      </c>
      <c r="G248" s="23">
        <f>VLOOKUP($C248,Carpetas!$C$5:$M$2666,10,FALSE)</f>
        <v>0</v>
      </c>
      <c r="H248" s="27">
        <f>VLOOKUP($C248,Carpetas!$C$5:$M$2666,6,FALSE)</f>
        <v>0</v>
      </c>
      <c r="I248" s="220"/>
      <c r="J248" s="47">
        <v>45406</v>
      </c>
      <c r="K248" s="72" t="str">
        <f>VLOOKUP($C248,Carpetas!$C$5:$M$2666,5,FALSE)</f>
        <v>Salto</v>
      </c>
      <c r="L248" s="32"/>
      <c r="M248" s="48">
        <f>J248+1</f>
        <v>45407</v>
      </c>
      <c r="N248" s="26">
        <f t="shared" si="8"/>
        <v>3</v>
      </c>
      <c r="O248" s="27">
        <v>980</v>
      </c>
      <c r="P248" s="27">
        <v>981</v>
      </c>
      <c r="Q248" s="27"/>
      <c r="R248" s="27"/>
      <c r="S248" s="27" t="s">
        <v>899</v>
      </c>
      <c r="T248" s="27"/>
      <c r="U248" s="27"/>
      <c r="V248" s="27" t="s">
        <v>156</v>
      </c>
      <c r="W248" s="27" t="s">
        <v>157</v>
      </c>
      <c r="X248" s="73"/>
      <c r="Y248" s="73" t="e">
        <f>VLOOKUP(X248,Choferes!$B$2:$C$500,2,FALSE)</f>
        <v>#N/A</v>
      </c>
      <c r="Z248" s="73" t="s">
        <v>900</v>
      </c>
    </row>
    <row r="249" spans="1:26" hidden="1" x14ac:dyDescent="0.25">
      <c r="A249" s="33">
        <v>17</v>
      </c>
      <c r="B249" s="71" t="s">
        <v>29</v>
      </c>
      <c r="C249" s="39" t="s">
        <v>901</v>
      </c>
      <c r="D249" s="50" t="s">
        <v>48</v>
      </c>
      <c r="E249" s="47">
        <v>45405</v>
      </c>
      <c r="F249" s="31" t="str">
        <f>VLOOKUP($C249,Carpetas!$C$5:$M$2666,2,FALSE)</f>
        <v xml:space="preserve">PYB080 </v>
      </c>
      <c r="G249" s="23" t="str">
        <f>VLOOKUP($C249,Carpetas!$C$5:$M$2666,10,FALSE)</f>
        <v>149,01,22</v>
      </c>
      <c r="H249" s="27">
        <f>VLOOKUP($C249,Carpetas!$C$5:$M$2666,6,FALSE)</f>
        <v>0</v>
      </c>
      <c r="I249" s="220"/>
      <c r="J249" s="47">
        <v>45407</v>
      </c>
      <c r="K249" s="72" t="str">
        <f>VLOOKUP($C249,Carpetas!$C$5:$M$2666,5,FALSE)</f>
        <v>Salto</v>
      </c>
      <c r="L249" s="32"/>
      <c r="M249" s="48">
        <f>J249+1</f>
        <v>45408</v>
      </c>
      <c r="N249" s="26">
        <f t="shared" si="8"/>
        <v>3</v>
      </c>
      <c r="O249" s="27">
        <v>930</v>
      </c>
      <c r="P249" s="27">
        <v>931</v>
      </c>
      <c r="Q249" s="27"/>
      <c r="R249" s="27"/>
      <c r="S249" s="27" t="s">
        <v>902</v>
      </c>
      <c r="T249" s="27"/>
      <c r="U249" s="27"/>
      <c r="V249" s="27"/>
      <c r="W249" s="27"/>
      <c r="X249" s="73"/>
      <c r="Y249" s="73" t="e">
        <f>VLOOKUP(X249,Choferes!$B$2:$C$500,2,FALSE)</f>
        <v>#N/A</v>
      </c>
      <c r="Z249" s="73" t="s">
        <v>903</v>
      </c>
    </row>
    <row r="250" spans="1:26" hidden="1" x14ac:dyDescent="0.25">
      <c r="A250" s="33">
        <v>17</v>
      </c>
      <c r="B250" s="71" t="s">
        <v>29</v>
      </c>
      <c r="C250" s="39" t="s">
        <v>871</v>
      </c>
      <c r="D250" s="50" t="s">
        <v>803</v>
      </c>
      <c r="E250" s="47">
        <v>45406</v>
      </c>
      <c r="F250" s="31" t="str">
        <f>VLOOKUP($C250,Carpetas!$C$5:$M$2666,2,FALSE)</f>
        <v>BRE034</v>
      </c>
      <c r="G250" s="23">
        <f>VLOOKUP($C250,Carpetas!$C$5:$M$2666,10,FALSE)</f>
        <v>0</v>
      </c>
      <c r="H250" s="27" t="str">
        <f>VLOOKUP($C250,Carpetas!$C$5:$M$2666,6,FALSE)</f>
        <v>Marvel</v>
      </c>
      <c r="I250" s="220"/>
      <c r="J250" s="47">
        <v>45407</v>
      </c>
      <c r="K250" s="72" t="str">
        <f>VLOOKUP($C250,Carpetas!$C$5:$M$2666,5,FALSE)</f>
        <v>Rio Branco</v>
      </c>
      <c r="L250" s="32"/>
      <c r="M250" s="48">
        <f>J250+1</f>
        <v>45408</v>
      </c>
      <c r="N250" s="26">
        <f t="shared" si="8"/>
        <v>2</v>
      </c>
      <c r="O250" s="27">
        <v>1008</v>
      </c>
      <c r="P250" s="27">
        <v>1009</v>
      </c>
      <c r="Q250" s="27"/>
      <c r="R250" s="27"/>
      <c r="S250" s="27" t="s">
        <v>904</v>
      </c>
      <c r="T250" s="27"/>
      <c r="U250" s="27">
        <v>69</v>
      </c>
      <c r="V250" s="27" t="s">
        <v>905</v>
      </c>
      <c r="W250" s="27" t="s">
        <v>906</v>
      </c>
      <c r="X250" s="73"/>
      <c r="Y250" s="73" t="e">
        <f>VLOOKUP(X250,Choferes!$B$2:$C$500,2,FALSE)</f>
        <v>#N/A</v>
      </c>
      <c r="Z250" s="73" t="s">
        <v>907</v>
      </c>
    </row>
    <row r="251" spans="1:26" hidden="1" x14ac:dyDescent="0.25">
      <c r="A251" s="33">
        <v>17</v>
      </c>
      <c r="B251" s="71" t="s">
        <v>29</v>
      </c>
      <c r="C251" s="39" t="s">
        <v>893</v>
      </c>
      <c r="D251" s="50" t="s">
        <v>78</v>
      </c>
      <c r="E251" s="47">
        <v>45405</v>
      </c>
      <c r="F251" s="31" t="str">
        <f>VLOOKUP($C251,Carpetas!$C$5:$M$2666,2,FALSE)</f>
        <v>BRB021</v>
      </c>
      <c r="G251" s="23" t="str">
        <f>VLOOKUP($C251,Carpetas!$C$5:$M$2666,10,FALSE)</f>
        <v>148,96,20</v>
      </c>
      <c r="H251" s="27" t="str">
        <f>VLOOKUP($C251,Carpetas!$C$5:$M$2666,6,FALSE)</f>
        <v>Zanini</v>
      </c>
      <c r="I251" s="220"/>
      <c r="J251" s="47">
        <v>45406</v>
      </c>
      <c r="K251" s="72" t="str">
        <f>VLOOKUP($C251,Carpetas!$C$5:$M$2666,5,FALSE)</f>
        <v>Rio Branco</v>
      </c>
      <c r="L251" s="32"/>
      <c r="M251" s="48">
        <f>J251+1+1+1</f>
        <v>45409</v>
      </c>
      <c r="N251" s="26">
        <f t="shared" si="8"/>
        <v>4</v>
      </c>
      <c r="O251" s="27">
        <v>900</v>
      </c>
      <c r="P251" s="27">
        <v>900</v>
      </c>
      <c r="Q251" s="27"/>
      <c r="R251" s="27"/>
      <c r="S251" s="27" t="s">
        <v>908</v>
      </c>
      <c r="T251" s="27"/>
      <c r="U251" s="27">
        <v>4374</v>
      </c>
      <c r="V251" s="27" t="s">
        <v>349</v>
      </c>
      <c r="W251" s="27" t="s">
        <v>350</v>
      </c>
      <c r="X251" s="73"/>
      <c r="Y251" s="73" t="e">
        <f>VLOOKUP(X251,Choferes!$B$2:$C$500,2,FALSE)</f>
        <v>#N/A</v>
      </c>
      <c r="Z251" s="73" t="s">
        <v>909</v>
      </c>
    </row>
    <row r="252" spans="1:26" hidden="1" x14ac:dyDescent="0.25">
      <c r="A252" s="33">
        <v>17</v>
      </c>
      <c r="B252" s="71" t="s">
        <v>29</v>
      </c>
      <c r="C252" s="39" t="s">
        <v>871</v>
      </c>
      <c r="D252" s="50" t="s">
        <v>764</v>
      </c>
      <c r="E252" s="47">
        <v>45405</v>
      </c>
      <c r="F252" s="31" t="str">
        <f>VLOOKUP($C252,Carpetas!$C$5:$M$2666,2,FALSE)</f>
        <v>BRE034</v>
      </c>
      <c r="G252" s="23">
        <f>VLOOKUP($C252,Carpetas!$C$5:$M$2666,10,FALSE)</f>
        <v>0</v>
      </c>
      <c r="H252" s="27" t="str">
        <f>VLOOKUP($C252,Carpetas!$C$5:$M$2666,6,FALSE)</f>
        <v>Marvel</v>
      </c>
      <c r="I252" s="220"/>
      <c r="J252" s="47">
        <v>45406</v>
      </c>
      <c r="K252" s="72" t="str">
        <f>VLOOKUP($C252,Carpetas!$C$5:$M$2666,5,FALSE)</f>
        <v>Rio Branco</v>
      </c>
      <c r="L252" s="32"/>
      <c r="M252" s="48">
        <f>J252+1+2</f>
        <v>45409</v>
      </c>
      <c r="N252" s="26">
        <f t="shared" si="8"/>
        <v>4</v>
      </c>
      <c r="O252" s="27">
        <v>1008</v>
      </c>
      <c r="P252" s="27">
        <v>1008</v>
      </c>
      <c r="Q252" s="27"/>
      <c r="R252" s="27"/>
      <c r="S252" s="27" t="s">
        <v>910</v>
      </c>
      <c r="T252" s="27"/>
      <c r="U252" s="27">
        <v>70</v>
      </c>
      <c r="V252" s="27" t="s">
        <v>911</v>
      </c>
      <c r="W252" s="27" t="s">
        <v>912</v>
      </c>
      <c r="X252" s="73"/>
      <c r="Y252" s="73" t="e">
        <f>VLOOKUP(X252,Choferes!$B$2:$C$500,2,FALSE)</f>
        <v>#N/A</v>
      </c>
      <c r="Z252" s="73" t="s">
        <v>913</v>
      </c>
    </row>
    <row r="253" spans="1:26" hidden="1" x14ac:dyDescent="0.25">
      <c r="A253" s="33">
        <v>17</v>
      </c>
      <c r="B253" s="71" t="s">
        <v>29</v>
      </c>
      <c r="C253" s="39" t="s">
        <v>854</v>
      </c>
      <c r="D253" s="50" t="s">
        <v>110</v>
      </c>
      <c r="E253" s="47">
        <v>45406</v>
      </c>
      <c r="F253" s="31" t="str">
        <f>VLOOKUP($C253,Carpetas!$C$5:$M$2666,2,FALSE)</f>
        <v>BRB020</v>
      </c>
      <c r="G253" s="23" t="str">
        <f>VLOOKUP($C253,Carpetas!$C$5:$M$2666,10,FALSE)</f>
        <v>148,96,19</v>
      </c>
      <c r="H253" s="27" t="str">
        <f>VLOOKUP($C253,Carpetas!$C$5:$M$2666,6,FALSE)</f>
        <v>Silvio</v>
      </c>
      <c r="I253" s="220"/>
      <c r="J253" s="47">
        <v>45407</v>
      </c>
      <c r="K253" s="72" t="str">
        <f>VLOOKUP($C253,Carpetas!$C$5:$M$2666,5,FALSE)</f>
        <v>Rio Branco</v>
      </c>
      <c r="L253" s="32"/>
      <c r="M253" s="48">
        <f>J253+1+1</f>
        <v>45409</v>
      </c>
      <c r="N253" s="26">
        <f t="shared" si="8"/>
        <v>3</v>
      </c>
      <c r="O253" s="27">
        <v>918</v>
      </c>
      <c r="P253" s="27">
        <v>919</v>
      </c>
      <c r="Q253" s="27"/>
      <c r="R253" s="27"/>
      <c r="S253" s="27" t="s">
        <v>914</v>
      </c>
      <c r="T253" s="27"/>
      <c r="U253" s="27">
        <v>6862</v>
      </c>
      <c r="V253" s="27" t="s">
        <v>549</v>
      </c>
      <c r="W253" s="27" t="s">
        <v>550</v>
      </c>
      <c r="X253" s="73"/>
      <c r="Y253" s="73" t="e">
        <f>VLOOKUP(X253,Choferes!$B$2:$C$500,2,FALSE)</f>
        <v>#N/A</v>
      </c>
      <c r="Z253" s="73" t="s">
        <v>915</v>
      </c>
    </row>
    <row r="254" spans="1:26" hidden="1" x14ac:dyDescent="0.25">
      <c r="A254" s="33">
        <v>17</v>
      </c>
      <c r="B254" s="71" t="s">
        <v>29</v>
      </c>
      <c r="C254" s="39" t="s">
        <v>893</v>
      </c>
      <c r="D254" s="50" t="s">
        <v>78</v>
      </c>
      <c r="E254" s="47">
        <v>45406</v>
      </c>
      <c r="F254" s="31" t="str">
        <f>VLOOKUP($C254,Carpetas!$C$5:$M$2666,2,FALSE)</f>
        <v>BRB021</v>
      </c>
      <c r="G254" s="23" t="str">
        <f>VLOOKUP($C254,Carpetas!$C$5:$M$2666,10,FALSE)</f>
        <v>148,96,20</v>
      </c>
      <c r="H254" s="27" t="str">
        <f>VLOOKUP($C254,Carpetas!$C$5:$M$2666,6,FALSE)</f>
        <v>Zanini</v>
      </c>
      <c r="I254" s="220"/>
      <c r="J254" s="47">
        <v>45407</v>
      </c>
      <c r="K254" s="72" t="str">
        <f>VLOOKUP($C254,Carpetas!$C$5:$M$2666,5,FALSE)</f>
        <v>Rio Branco</v>
      </c>
      <c r="L254" s="32"/>
      <c r="M254" s="48">
        <f>J254+1+1</f>
        <v>45409</v>
      </c>
      <c r="N254" s="26">
        <f t="shared" si="8"/>
        <v>3</v>
      </c>
      <c r="O254" s="27">
        <v>900</v>
      </c>
      <c r="P254" s="27">
        <v>901</v>
      </c>
      <c r="Q254" s="27"/>
      <c r="R254" s="27"/>
      <c r="S254" s="27" t="s">
        <v>916</v>
      </c>
      <c r="T254" s="27"/>
      <c r="U254" s="27">
        <v>4387</v>
      </c>
      <c r="V254" s="27" t="s">
        <v>917</v>
      </c>
      <c r="W254" s="27" t="s">
        <v>918</v>
      </c>
      <c r="X254" s="73"/>
      <c r="Y254" s="73" t="e">
        <f>VLOOKUP(X254,Choferes!$B$2:$C$500,2,FALSE)</f>
        <v>#N/A</v>
      </c>
      <c r="Z254" s="73" t="s">
        <v>919</v>
      </c>
    </row>
    <row r="255" spans="1:26" hidden="1" x14ac:dyDescent="0.25">
      <c r="A255" s="33">
        <v>17</v>
      </c>
      <c r="B255" s="71" t="s">
        <v>29</v>
      </c>
      <c r="C255" s="39" t="s">
        <v>871</v>
      </c>
      <c r="D255" s="50" t="s">
        <v>880</v>
      </c>
      <c r="E255" s="47">
        <v>45406</v>
      </c>
      <c r="F255" s="31" t="str">
        <f>VLOOKUP($C255,Carpetas!$C$5:$M$2666,2,FALSE)</f>
        <v>BRE034</v>
      </c>
      <c r="G255" s="23">
        <f>VLOOKUP($C255,Carpetas!$C$5:$M$2666,10,FALSE)</f>
        <v>0</v>
      </c>
      <c r="H255" s="27" t="str">
        <f>VLOOKUP($C255,Carpetas!$C$5:$M$2666,6,FALSE)</f>
        <v>Marvel</v>
      </c>
      <c r="I255" s="220"/>
      <c r="J255" s="47">
        <v>45407</v>
      </c>
      <c r="K255" s="72" t="str">
        <f>VLOOKUP($C255,Carpetas!$C$5:$M$2666,5,FALSE)</f>
        <v>Rio Branco</v>
      </c>
      <c r="L255" s="32"/>
      <c r="M255" s="48">
        <f>J255+1+1</f>
        <v>45409</v>
      </c>
      <c r="N255" s="26">
        <f t="shared" si="8"/>
        <v>3</v>
      </c>
      <c r="O255" s="27">
        <v>1008</v>
      </c>
      <c r="P255" s="27"/>
      <c r="Q255" s="27"/>
      <c r="R255" s="27"/>
      <c r="S255" s="27" t="s">
        <v>920</v>
      </c>
      <c r="T255" s="27"/>
      <c r="U255" s="27">
        <v>73</v>
      </c>
      <c r="V255" s="27" t="s">
        <v>921</v>
      </c>
      <c r="W255" s="27" t="s">
        <v>922</v>
      </c>
      <c r="X255" s="73"/>
      <c r="Y255" s="73" t="e">
        <f>VLOOKUP(X255,Choferes!$B$2:$C$500,2,FALSE)</f>
        <v>#N/A</v>
      </c>
      <c r="Z255" s="73" t="s">
        <v>923</v>
      </c>
    </row>
    <row r="256" spans="1:26" hidden="1" x14ac:dyDescent="0.25">
      <c r="A256" s="33">
        <v>17</v>
      </c>
      <c r="B256" s="71" t="s">
        <v>29</v>
      </c>
      <c r="C256" s="39" t="s">
        <v>924</v>
      </c>
      <c r="D256" s="50" t="s">
        <v>183</v>
      </c>
      <c r="E256" s="47">
        <v>45404</v>
      </c>
      <c r="F256" s="31" t="str">
        <f>VLOOKUP($C256,Carpetas!$C$5:$M$2666,2,FALSE)</f>
        <v>PYB081</v>
      </c>
      <c r="G256" s="23" t="str">
        <f>VLOOKUP($C256,Carpetas!$C$5:$M$2666,10,FALSE)</f>
        <v>149,00,62</v>
      </c>
      <c r="H256" s="27">
        <f>VLOOKUP($C256,Carpetas!$C$5:$M$2666,6,FALSE)</f>
        <v>0</v>
      </c>
      <c r="I256" s="220"/>
      <c r="J256" s="47">
        <v>45408</v>
      </c>
      <c r="K256" s="72" t="str">
        <f>VLOOKUP($C256,Carpetas!$C$5:$M$2666,5,FALSE)</f>
        <v>Salto</v>
      </c>
      <c r="L256" s="32"/>
      <c r="M256" s="48">
        <f>J256+1</f>
        <v>45409</v>
      </c>
      <c r="N256" s="26">
        <f t="shared" si="8"/>
        <v>5</v>
      </c>
      <c r="O256" s="27">
        <v>980</v>
      </c>
      <c r="P256" s="27">
        <v>982</v>
      </c>
      <c r="Q256" s="27"/>
      <c r="R256" s="27"/>
      <c r="S256" s="27" t="s">
        <v>925</v>
      </c>
      <c r="T256" s="27"/>
      <c r="U256" s="27"/>
      <c r="V256" s="27" t="s">
        <v>315</v>
      </c>
      <c r="W256" s="27" t="s">
        <v>316</v>
      </c>
      <c r="X256" s="73"/>
      <c r="Y256" s="73" t="e">
        <f>VLOOKUP(X256,Choferes!$B$2:$C$500,2,FALSE)</f>
        <v>#N/A</v>
      </c>
      <c r="Z256" s="73" t="s">
        <v>926</v>
      </c>
    </row>
    <row r="257" spans="1:26" hidden="1" x14ac:dyDescent="0.25">
      <c r="A257" s="33">
        <v>17</v>
      </c>
      <c r="B257" s="71" t="s">
        <v>29</v>
      </c>
      <c r="C257" s="39" t="s">
        <v>849</v>
      </c>
      <c r="D257" s="50" t="s">
        <v>747</v>
      </c>
      <c r="E257" s="47">
        <v>45405</v>
      </c>
      <c r="F257" s="31" t="str">
        <f>VLOOKUP($C257,Carpetas!$C$5:$M$2666,2,FALSE)</f>
        <v>BRB019</v>
      </c>
      <c r="G257" s="23" t="str">
        <f>VLOOKUP($C257,Carpetas!$C$5:$M$2666,10,FALSE)</f>
        <v>148,96,18</v>
      </c>
      <c r="H257" s="27" t="str">
        <f>VLOOKUP($C257,Carpetas!$C$5:$M$2666,6,FALSE)</f>
        <v>Silvio Abierto</v>
      </c>
      <c r="I257" s="220"/>
      <c r="J257" s="47">
        <f>E257+4</f>
        <v>45409</v>
      </c>
      <c r="K257" s="72" t="str">
        <f>VLOOKUP($C257,Carpetas!$C$5:$M$2666,5,FALSE)</f>
        <v>Rio Branco</v>
      </c>
      <c r="L257" s="32"/>
      <c r="M257" s="48">
        <v>45411</v>
      </c>
      <c r="N257" s="26">
        <f t="shared" si="8"/>
        <v>6</v>
      </c>
      <c r="O257" s="27">
        <v>1008</v>
      </c>
      <c r="P257" s="27">
        <v>1008</v>
      </c>
      <c r="Q257" s="27"/>
      <c r="R257" s="27"/>
      <c r="S257" s="27" t="s">
        <v>927</v>
      </c>
      <c r="T257" s="27"/>
      <c r="U257" s="27">
        <v>6856</v>
      </c>
      <c r="V257" s="27" t="s">
        <v>928</v>
      </c>
      <c r="W257" s="27" t="s">
        <v>929</v>
      </c>
      <c r="X257" s="73"/>
      <c r="Y257" s="73" t="e">
        <f>VLOOKUP(X257,Choferes!$B$2:$C$500,2,FALSE)</f>
        <v>#N/A</v>
      </c>
      <c r="Z257" s="73" t="s">
        <v>930</v>
      </c>
    </row>
    <row r="258" spans="1:26" hidden="1" x14ac:dyDescent="0.25">
      <c r="A258" s="33">
        <v>17</v>
      </c>
      <c r="B258" s="71" t="s">
        <v>29</v>
      </c>
      <c r="C258" s="39" t="s">
        <v>898</v>
      </c>
      <c r="D258" s="50" t="s">
        <v>102</v>
      </c>
      <c r="E258" s="47">
        <v>45405</v>
      </c>
      <c r="F258" s="31" t="str">
        <f>VLOOKUP($C258,Carpetas!$C$5:$M$2666,2,FALSE)</f>
        <v>PYB079</v>
      </c>
      <c r="G258" s="23">
        <f>VLOOKUP($C258,Carpetas!$C$5:$M$2666,10,FALSE)</f>
        <v>0</v>
      </c>
      <c r="H258" s="27">
        <f>VLOOKUP($C258,Carpetas!$C$5:$M$2666,6,FALSE)</f>
        <v>0</v>
      </c>
      <c r="I258" s="220"/>
      <c r="J258" s="47">
        <v>45409</v>
      </c>
      <c r="K258" s="72" t="str">
        <f>VLOOKUP($C258,Carpetas!$C$5:$M$2666,5,FALSE)</f>
        <v>Salto</v>
      </c>
      <c r="L258" s="32"/>
      <c r="M258" s="48">
        <v>45411</v>
      </c>
      <c r="N258" s="26">
        <f t="shared" si="8"/>
        <v>6</v>
      </c>
      <c r="O258" s="27">
        <v>980</v>
      </c>
      <c r="P258" s="27">
        <v>980</v>
      </c>
      <c r="Q258" s="27"/>
      <c r="R258" s="27"/>
      <c r="S258" s="27" t="s">
        <v>931</v>
      </c>
      <c r="T258" s="27"/>
      <c r="U258" s="27"/>
      <c r="V258" s="27" t="s">
        <v>932</v>
      </c>
      <c r="W258" s="27" t="s">
        <v>933</v>
      </c>
      <c r="X258" s="73"/>
      <c r="Y258" s="73" t="e">
        <f>VLOOKUP(X258,Choferes!$B$2:$C$500,2,FALSE)</f>
        <v>#N/A</v>
      </c>
      <c r="Z258" s="73" t="s">
        <v>934</v>
      </c>
    </row>
    <row r="259" spans="1:26" hidden="1" x14ac:dyDescent="0.25">
      <c r="A259" s="33">
        <v>17</v>
      </c>
      <c r="B259" s="71" t="s">
        <v>29</v>
      </c>
      <c r="C259" s="39" t="s">
        <v>893</v>
      </c>
      <c r="D259" s="50" t="s">
        <v>78</v>
      </c>
      <c r="E259" s="47">
        <v>45407</v>
      </c>
      <c r="F259" s="31" t="str">
        <f>VLOOKUP($C259,Carpetas!$C$5:$M$2666,2,FALSE)</f>
        <v>BRB021</v>
      </c>
      <c r="G259" s="23" t="str">
        <f>VLOOKUP($C259,Carpetas!$C$5:$M$2666,10,FALSE)</f>
        <v>148,96,20</v>
      </c>
      <c r="H259" s="27" t="str">
        <f>VLOOKUP($C259,Carpetas!$C$5:$M$2666,6,FALSE)</f>
        <v>Zanini</v>
      </c>
      <c r="I259" s="220"/>
      <c r="J259" s="47">
        <v>45408</v>
      </c>
      <c r="K259" s="72" t="str">
        <f>VLOOKUP($C259,Carpetas!$C$5:$M$2666,5,FALSE)</f>
        <v>Rio Branco</v>
      </c>
      <c r="L259" s="32"/>
      <c r="M259" s="48">
        <v>45412</v>
      </c>
      <c r="N259" s="26">
        <f t="shared" si="8"/>
        <v>5</v>
      </c>
      <c r="O259" s="27">
        <v>900</v>
      </c>
      <c r="P259" s="27">
        <v>901</v>
      </c>
      <c r="Q259" s="27"/>
      <c r="R259" s="27"/>
      <c r="S259" s="27" t="s">
        <v>935</v>
      </c>
      <c r="T259" s="27"/>
      <c r="U259" s="27">
        <v>4390</v>
      </c>
      <c r="V259" s="27" t="s">
        <v>936</v>
      </c>
      <c r="W259" s="27" t="s">
        <v>937</v>
      </c>
      <c r="X259" s="73"/>
      <c r="Y259" s="73" t="e">
        <f>VLOOKUP(X259,Choferes!$B$2:$C$500,2,FALSE)</f>
        <v>#N/A</v>
      </c>
      <c r="Z259" s="73" t="s">
        <v>938</v>
      </c>
    </row>
    <row r="260" spans="1:26" hidden="1" x14ac:dyDescent="0.25">
      <c r="A260" s="33">
        <v>17</v>
      </c>
      <c r="B260" s="71" t="s">
        <v>29</v>
      </c>
      <c r="C260" s="39" t="s">
        <v>901</v>
      </c>
      <c r="D260" s="50" t="s">
        <v>48</v>
      </c>
      <c r="E260" s="47">
        <v>45406</v>
      </c>
      <c r="F260" s="31" t="str">
        <f>VLOOKUP($C260,Carpetas!$C$5:$M$2666,2,FALSE)</f>
        <v xml:space="preserve">PYB080 </v>
      </c>
      <c r="G260" s="23" t="str">
        <f>VLOOKUP($C260,Carpetas!$C$5:$M$2666,10,FALSE)</f>
        <v>149,01,22</v>
      </c>
      <c r="H260" s="27">
        <f>VLOOKUP($C260,Carpetas!$C$5:$M$2666,6,FALSE)</f>
        <v>0</v>
      </c>
      <c r="I260" s="220"/>
      <c r="J260" s="47">
        <v>45411</v>
      </c>
      <c r="K260" s="72" t="str">
        <f>VLOOKUP($C260,Carpetas!$C$5:$M$2666,5,FALSE)</f>
        <v>Salto</v>
      </c>
      <c r="L260" s="32"/>
      <c r="M260" s="48">
        <f>J260+1</f>
        <v>45412</v>
      </c>
      <c r="N260" s="26">
        <f t="shared" si="8"/>
        <v>6</v>
      </c>
      <c r="O260" s="27">
        <v>930</v>
      </c>
      <c r="P260" s="27">
        <v>931</v>
      </c>
      <c r="Q260" s="27"/>
      <c r="R260" s="27"/>
      <c r="S260" s="27" t="s">
        <v>939</v>
      </c>
      <c r="T260" s="27"/>
      <c r="U260" s="27"/>
      <c r="V260" s="27" t="s">
        <v>400</v>
      </c>
      <c r="W260" s="27" t="s">
        <v>940</v>
      </c>
      <c r="X260" s="73"/>
      <c r="Y260" s="73" t="e">
        <f>VLOOKUP(X260,Choferes!$B$2:$C$500,2,FALSE)</f>
        <v>#N/A</v>
      </c>
      <c r="Z260" s="73" t="s">
        <v>941</v>
      </c>
    </row>
    <row r="261" spans="1:26" hidden="1" x14ac:dyDescent="0.25">
      <c r="A261" s="33">
        <v>17</v>
      </c>
      <c r="B261" s="71" t="s">
        <v>29</v>
      </c>
      <c r="C261" s="39" t="s">
        <v>871</v>
      </c>
      <c r="D261" s="50" t="s">
        <v>803</v>
      </c>
      <c r="E261" s="47">
        <v>45408</v>
      </c>
      <c r="F261" s="31" t="str">
        <f>VLOOKUP($C261,Carpetas!$C$5:$M$2666,2,FALSE)</f>
        <v>BRE034</v>
      </c>
      <c r="G261" s="23">
        <f>VLOOKUP($C261,Carpetas!$C$5:$M$2666,10,FALSE)</f>
        <v>0</v>
      </c>
      <c r="H261" s="27" t="str">
        <f>VLOOKUP($C261,Carpetas!$C$5:$M$2666,6,FALSE)</f>
        <v>Marvel</v>
      </c>
      <c r="I261" s="220"/>
      <c r="J261" s="47">
        <v>45411</v>
      </c>
      <c r="K261" s="72" t="str">
        <f>VLOOKUP($C261,Carpetas!$C$5:$M$2666,5,FALSE)</f>
        <v>Rio Branco</v>
      </c>
      <c r="L261" s="32"/>
      <c r="M261" s="48">
        <v>45414</v>
      </c>
      <c r="N261" s="26">
        <f t="shared" ref="N261:N324" si="10">IF(E261&lt;&gt;"",M261-E261,"-")</f>
        <v>6</v>
      </c>
      <c r="O261" s="27">
        <v>1008</v>
      </c>
      <c r="P261" s="27">
        <v>1009</v>
      </c>
      <c r="Q261" s="27"/>
      <c r="R261" s="27"/>
      <c r="S261" s="27" t="s">
        <v>942</v>
      </c>
      <c r="T261" s="27"/>
      <c r="U261" s="27">
        <v>75</v>
      </c>
      <c r="V261" s="27" t="s">
        <v>943</v>
      </c>
      <c r="W261" s="27" t="s">
        <v>944</v>
      </c>
      <c r="X261" s="73"/>
      <c r="Y261" s="73" t="e">
        <f>VLOOKUP(X261,Choferes!$B$2:$C$500,2,FALSE)</f>
        <v>#N/A</v>
      </c>
      <c r="Z261" s="73" t="s">
        <v>945</v>
      </c>
    </row>
    <row r="262" spans="1:26" ht="30" hidden="1" x14ac:dyDescent="0.25">
      <c r="A262" s="33">
        <v>17</v>
      </c>
      <c r="B262" s="71" t="s">
        <v>29</v>
      </c>
      <c r="C262" s="39" t="s">
        <v>946</v>
      </c>
      <c r="D262" s="50" t="s">
        <v>42</v>
      </c>
      <c r="E262" s="47">
        <v>45409</v>
      </c>
      <c r="F262" s="31" t="str">
        <f>VLOOKUP($C262,Carpetas!$C$5:$M$2666,2,FALSE)</f>
        <v>PYB082</v>
      </c>
      <c r="G262" s="23" t="str">
        <f>VLOOKUP($C262,Carpetas!$C$5:$M$2666,10,FALSE)</f>
        <v>149,01,23</v>
      </c>
      <c r="H262" s="27">
        <f>VLOOKUP($C262,Carpetas!$C$5:$M$2666,6,FALSE)</f>
        <v>0</v>
      </c>
      <c r="I262" s="220"/>
      <c r="J262" s="47">
        <v>45412</v>
      </c>
      <c r="K262" s="72" t="str">
        <f>VLOOKUP($C262,Carpetas!$C$5:$M$2666,5,FALSE)</f>
        <v>Salto</v>
      </c>
      <c r="L262" s="32"/>
      <c r="M262" s="48">
        <v>45414</v>
      </c>
      <c r="N262" s="26">
        <f t="shared" si="10"/>
        <v>5</v>
      </c>
      <c r="O262" s="27">
        <v>980</v>
      </c>
      <c r="P262" s="27">
        <v>972</v>
      </c>
      <c r="Q262" s="27"/>
      <c r="R262" s="27"/>
      <c r="S262" s="27" t="s">
        <v>947</v>
      </c>
      <c r="T262" s="27"/>
      <c r="U262" s="27"/>
      <c r="V262" s="27" t="s">
        <v>419</v>
      </c>
      <c r="W262" s="27"/>
      <c r="X262" s="73"/>
      <c r="Y262" s="73" t="e">
        <f>VLOOKUP(X262,Choferes!$B$2:$C$500,2,FALSE)</f>
        <v>#N/A</v>
      </c>
      <c r="Z262" s="73" t="s">
        <v>948</v>
      </c>
    </row>
    <row r="263" spans="1:26" hidden="1" x14ac:dyDescent="0.25">
      <c r="A263" s="33">
        <v>17</v>
      </c>
      <c r="B263" s="71" t="s">
        <v>29</v>
      </c>
      <c r="C263" s="39" t="s">
        <v>854</v>
      </c>
      <c r="D263" s="50" t="s">
        <v>249</v>
      </c>
      <c r="E263" s="47">
        <v>45408</v>
      </c>
      <c r="F263" s="31" t="str">
        <f>VLOOKUP($C263,Carpetas!$C$5:$M$2666,2,FALSE)</f>
        <v>BRB020</v>
      </c>
      <c r="G263" s="23" t="str">
        <f>VLOOKUP($C263,Carpetas!$C$5:$M$2666,10,FALSE)</f>
        <v>148,96,19</v>
      </c>
      <c r="H263" s="27" t="str">
        <f>VLOOKUP($C263,Carpetas!$C$5:$M$2666,6,FALSE)</f>
        <v>Silvio</v>
      </c>
      <c r="I263" s="220"/>
      <c r="J263" s="47">
        <f>E263+3</f>
        <v>45411</v>
      </c>
      <c r="K263" s="72" t="str">
        <f>VLOOKUP($C263,Carpetas!$C$5:$M$2666,5,FALSE)</f>
        <v>Rio Branco</v>
      </c>
      <c r="L263" s="32"/>
      <c r="M263" s="48">
        <v>45415</v>
      </c>
      <c r="N263" s="26">
        <f t="shared" si="10"/>
        <v>7</v>
      </c>
      <c r="O263" s="27">
        <v>918</v>
      </c>
      <c r="P263" s="27">
        <v>919</v>
      </c>
      <c r="Q263" s="27"/>
      <c r="R263" s="27"/>
      <c r="S263" s="27" t="s">
        <v>949</v>
      </c>
      <c r="T263" s="27"/>
      <c r="U263" s="27">
        <v>6863</v>
      </c>
      <c r="V263" s="27" t="s">
        <v>494</v>
      </c>
      <c r="W263" s="27" t="s">
        <v>495</v>
      </c>
      <c r="X263" s="73"/>
      <c r="Y263" s="73" t="e">
        <f>VLOOKUP(X263,Choferes!$B$2:$C$500,2,FALSE)</f>
        <v>#N/A</v>
      </c>
      <c r="Z263" s="73" t="s">
        <v>950</v>
      </c>
    </row>
    <row r="264" spans="1:26" hidden="1" x14ac:dyDescent="0.25">
      <c r="A264" s="33">
        <v>17</v>
      </c>
      <c r="B264" s="71" t="s">
        <v>29</v>
      </c>
      <c r="C264" s="39" t="s">
        <v>893</v>
      </c>
      <c r="D264" s="50" t="s">
        <v>78</v>
      </c>
      <c r="E264" s="47">
        <v>45408</v>
      </c>
      <c r="F264" s="31" t="str">
        <f>VLOOKUP($C264,Carpetas!$C$5:$M$2666,2,FALSE)</f>
        <v>BRB021</v>
      </c>
      <c r="G264" s="23" t="str">
        <f>VLOOKUP($C264,Carpetas!$C$5:$M$2666,10,FALSE)</f>
        <v>148,96,20</v>
      </c>
      <c r="H264" s="27" t="str">
        <f>VLOOKUP($C264,Carpetas!$C$5:$M$2666,6,FALSE)</f>
        <v>Zanini</v>
      </c>
      <c r="I264" s="220"/>
      <c r="J264" s="47">
        <f>E264+3</f>
        <v>45411</v>
      </c>
      <c r="K264" s="72" t="str">
        <f>VLOOKUP($C264,Carpetas!$C$5:$M$2666,5,FALSE)</f>
        <v>Rio Branco</v>
      </c>
      <c r="L264" s="32"/>
      <c r="M264" s="48">
        <v>45415</v>
      </c>
      <c r="N264" s="26">
        <f t="shared" si="10"/>
        <v>7</v>
      </c>
      <c r="O264" s="27">
        <v>900</v>
      </c>
      <c r="P264" s="27">
        <v>901</v>
      </c>
      <c r="Q264" s="27"/>
      <c r="R264" s="27"/>
      <c r="S264" s="27" t="s">
        <v>951</v>
      </c>
      <c r="T264" s="27"/>
      <c r="U264" s="27">
        <v>4391</v>
      </c>
      <c r="V264" s="27" t="s">
        <v>792</v>
      </c>
      <c r="W264" s="27" t="s">
        <v>793</v>
      </c>
      <c r="X264" s="73"/>
      <c r="Y264" s="73" t="e">
        <f>VLOOKUP(X264,Choferes!$B$2:$C$500,2,FALSE)</f>
        <v>#N/A</v>
      </c>
      <c r="Z264" s="73" t="s">
        <v>952</v>
      </c>
    </row>
    <row r="265" spans="1:26" hidden="1" x14ac:dyDescent="0.25">
      <c r="A265" s="33">
        <v>17</v>
      </c>
      <c r="B265" s="71" t="s">
        <v>29</v>
      </c>
      <c r="C265" s="39" t="s">
        <v>854</v>
      </c>
      <c r="D265" s="50" t="s">
        <v>953</v>
      </c>
      <c r="E265" s="47">
        <v>45409</v>
      </c>
      <c r="F265" s="31" t="str">
        <f>VLOOKUP($C265,Carpetas!$C$5:$M$2666,2,FALSE)</f>
        <v>BRB020</v>
      </c>
      <c r="G265" s="23" t="str">
        <f>VLOOKUP($C265,Carpetas!$C$5:$M$2666,10,FALSE)</f>
        <v>148,96,19</v>
      </c>
      <c r="H265" s="27" t="str">
        <f>VLOOKUP($C265,Carpetas!$C$5:$M$2666,6,FALSE)</f>
        <v>Silvio</v>
      </c>
      <c r="I265" s="220"/>
      <c r="J265" s="47">
        <v>45412</v>
      </c>
      <c r="K265" s="72" t="str">
        <f>VLOOKUP($C265,Carpetas!$C$5:$M$2666,5,FALSE)</f>
        <v>Rio Branco</v>
      </c>
      <c r="L265" s="32"/>
      <c r="M265" s="48">
        <v>45415</v>
      </c>
      <c r="N265" s="26">
        <f t="shared" si="10"/>
        <v>6</v>
      </c>
      <c r="O265" s="27">
        <v>918</v>
      </c>
      <c r="P265" s="27"/>
      <c r="Q265" s="27"/>
      <c r="R265" s="27"/>
      <c r="S265" s="27"/>
      <c r="T265" s="27"/>
      <c r="U265" s="27">
        <v>6864</v>
      </c>
      <c r="V265" s="27" t="s">
        <v>954</v>
      </c>
      <c r="W265" s="27" t="s">
        <v>955</v>
      </c>
      <c r="X265" s="73"/>
      <c r="Y265" s="73" t="e">
        <f>VLOOKUP(X265,Choferes!$B$2:$C$500,2,FALSE)</f>
        <v>#N/A</v>
      </c>
      <c r="Z265" s="73" t="s">
        <v>956</v>
      </c>
    </row>
    <row r="266" spans="1:26" hidden="1" x14ac:dyDescent="0.25">
      <c r="A266" s="33">
        <v>18</v>
      </c>
      <c r="B266" s="71" t="s">
        <v>29</v>
      </c>
      <c r="C266" s="39" t="s">
        <v>957</v>
      </c>
      <c r="D266" s="50" t="s">
        <v>78</v>
      </c>
      <c r="E266" s="47">
        <v>45411</v>
      </c>
      <c r="F266" s="31" t="str">
        <f>VLOOKUP($C266,Carpetas!$C$5:$M$2666,2,FALSE)</f>
        <v>BRB023</v>
      </c>
      <c r="G266" s="23" t="str">
        <f>VLOOKUP($C266,Carpetas!$C$5:$M$2666,10,FALSE)</f>
        <v>149,08,28</v>
      </c>
      <c r="H266" s="27" t="str">
        <f>VLOOKUP($C266,Carpetas!$C$5:$M$2666,6,FALSE)</f>
        <v>Zanini</v>
      </c>
      <c r="I266" s="220"/>
      <c r="J266" s="47">
        <v>45414</v>
      </c>
      <c r="K266" s="72" t="str">
        <f>VLOOKUP($C266,Carpetas!$C$5:$M$2666,5,FALSE)</f>
        <v>Rio Branco</v>
      </c>
      <c r="L266" s="32"/>
      <c r="M266" s="48">
        <f t="shared" ref="M266:M273" si="11">J266+1</f>
        <v>45415</v>
      </c>
      <c r="N266" s="26">
        <f t="shared" si="10"/>
        <v>4</v>
      </c>
      <c r="O266" s="27">
        <v>900</v>
      </c>
      <c r="P266" s="27">
        <v>901</v>
      </c>
      <c r="Q266" s="27"/>
      <c r="R266" s="27"/>
      <c r="S266" s="27" t="s">
        <v>958</v>
      </c>
      <c r="T266" s="27"/>
      <c r="U266" s="27">
        <v>4403</v>
      </c>
      <c r="V266" s="27" t="s">
        <v>959</v>
      </c>
      <c r="W266" s="27" t="s">
        <v>960</v>
      </c>
      <c r="X266" s="73"/>
      <c r="Y266" s="73" t="e">
        <f>VLOOKUP(X266,Choferes!$B$2:$C$500,2,FALSE)</f>
        <v>#N/A</v>
      </c>
      <c r="Z266" s="73" t="s">
        <v>961</v>
      </c>
    </row>
    <row r="267" spans="1:26" hidden="1" x14ac:dyDescent="0.25">
      <c r="A267" s="33">
        <v>18</v>
      </c>
      <c r="B267" s="71" t="s">
        <v>29</v>
      </c>
      <c r="C267" s="39" t="s">
        <v>962</v>
      </c>
      <c r="D267" s="50" t="s">
        <v>102</v>
      </c>
      <c r="E267" s="47">
        <v>45411</v>
      </c>
      <c r="F267" s="31" t="str">
        <f>VLOOKUP($C267,Carpetas!$C$5:$M$2666,2,FALSE)</f>
        <v>PYB084</v>
      </c>
      <c r="G267" s="23" t="str">
        <f>VLOOKUP($C267,Carpetas!$C$5:$M$2666,10,FALSE)</f>
        <v>149,07,33</v>
      </c>
      <c r="H267" s="27">
        <f>VLOOKUP($C267,Carpetas!$C$5:$M$2666,6,FALSE)</f>
        <v>0</v>
      </c>
      <c r="I267" s="220"/>
      <c r="J267" s="47">
        <v>45414</v>
      </c>
      <c r="K267" s="72" t="str">
        <f>VLOOKUP($C267,Carpetas!$C$5:$M$2666,5,FALSE)</f>
        <v>Salto</v>
      </c>
      <c r="L267" s="32"/>
      <c r="M267" s="48">
        <f t="shared" si="11"/>
        <v>45415</v>
      </c>
      <c r="N267" s="26">
        <f t="shared" si="10"/>
        <v>4</v>
      </c>
      <c r="O267" s="27">
        <v>980</v>
      </c>
      <c r="P267" s="27">
        <v>980</v>
      </c>
      <c r="Q267" s="27"/>
      <c r="R267" s="27"/>
      <c r="S267" s="27" t="s">
        <v>899</v>
      </c>
      <c r="T267" s="27"/>
      <c r="U267" s="27"/>
      <c r="V267" s="27" t="s">
        <v>963</v>
      </c>
      <c r="W267" s="27" t="s">
        <v>964</v>
      </c>
      <c r="X267" s="73"/>
      <c r="Y267" s="73" t="e">
        <f>VLOOKUP(X267,Choferes!$B$2:$C$500,2,FALSE)</f>
        <v>#N/A</v>
      </c>
      <c r="Z267" s="73" t="s">
        <v>965</v>
      </c>
    </row>
    <row r="268" spans="1:26" hidden="1" x14ac:dyDescent="0.25">
      <c r="A268" s="33">
        <v>18</v>
      </c>
      <c r="B268" s="71" t="s">
        <v>29</v>
      </c>
      <c r="C268" s="39" t="s">
        <v>871</v>
      </c>
      <c r="D268" s="50" t="s">
        <v>803</v>
      </c>
      <c r="E268" s="47">
        <v>45412</v>
      </c>
      <c r="F268" s="31" t="str">
        <f>VLOOKUP($C268,Carpetas!$C$5:$M$2666,2,FALSE)</f>
        <v>BRE034</v>
      </c>
      <c r="G268" s="23">
        <f>VLOOKUP($C268,Carpetas!$C$5:$M$2666,10,FALSE)</f>
        <v>0</v>
      </c>
      <c r="H268" s="27" t="str">
        <f>VLOOKUP($C268,Carpetas!$C$5:$M$2666,6,FALSE)</f>
        <v>Marvel</v>
      </c>
      <c r="I268" s="220"/>
      <c r="J268" s="47">
        <v>45414</v>
      </c>
      <c r="K268" s="72" t="str">
        <f>VLOOKUP($C268,Carpetas!$C$5:$M$2666,5,FALSE)</f>
        <v>Rio Branco</v>
      </c>
      <c r="L268" s="32"/>
      <c r="M268" s="48">
        <f t="shared" si="11"/>
        <v>45415</v>
      </c>
      <c r="N268" s="26">
        <f t="shared" si="10"/>
        <v>3</v>
      </c>
      <c r="O268" s="27">
        <v>1008</v>
      </c>
      <c r="P268" s="27">
        <v>972</v>
      </c>
      <c r="Q268" s="27"/>
      <c r="R268" s="27"/>
      <c r="S268" s="27" t="s">
        <v>966</v>
      </c>
      <c r="T268" s="27"/>
      <c r="U268" s="27">
        <v>82</v>
      </c>
      <c r="V268" s="27" t="s">
        <v>967</v>
      </c>
      <c r="W268" s="27" t="s">
        <v>827</v>
      </c>
      <c r="X268" s="73"/>
      <c r="Y268" s="73" t="e">
        <f>VLOOKUP(X268,Choferes!$B$2:$C$500,2,FALSE)</f>
        <v>#N/A</v>
      </c>
      <c r="Z268" s="73" t="s">
        <v>968</v>
      </c>
    </row>
    <row r="269" spans="1:26" hidden="1" x14ac:dyDescent="0.25">
      <c r="A269" s="33">
        <v>18</v>
      </c>
      <c r="B269" s="71" t="s">
        <v>29</v>
      </c>
      <c r="C269" s="39" t="s">
        <v>969</v>
      </c>
      <c r="D269" s="50" t="s">
        <v>880</v>
      </c>
      <c r="E269" s="47">
        <v>45412</v>
      </c>
      <c r="F269" s="31" t="str">
        <f>VLOOKUP($C269,Carpetas!$C$5:$M$2666,2,FALSE)</f>
        <v>BRB024</v>
      </c>
      <c r="G269" s="23" t="str">
        <f>VLOOKUP($C269,Carpetas!$C$5:$M$2666,10,FALSE)</f>
        <v>149,08,74</v>
      </c>
      <c r="H269" s="27" t="str">
        <f>VLOOKUP($C269,Carpetas!$C$5:$M$2666,6,FALSE)</f>
        <v>FG</v>
      </c>
      <c r="I269" s="220"/>
      <c r="J269" s="47">
        <v>45414</v>
      </c>
      <c r="K269" s="72" t="str">
        <f>VLOOKUP($C269,Carpetas!$C$5:$M$2666,5,FALSE)</f>
        <v>Rio Branco</v>
      </c>
      <c r="L269" s="32"/>
      <c r="M269" s="48">
        <f t="shared" si="11"/>
        <v>45415</v>
      </c>
      <c r="N269" s="26">
        <f t="shared" si="10"/>
        <v>3</v>
      </c>
      <c r="O269" s="27">
        <v>990</v>
      </c>
      <c r="P269" s="27">
        <v>990</v>
      </c>
      <c r="Q269" s="27"/>
      <c r="R269" s="27"/>
      <c r="S269" s="27" t="s">
        <v>970</v>
      </c>
      <c r="T269" s="27"/>
      <c r="U269" s="27">
        <v>85</v>
      </c>
      <c r="V269" s="27" t="s">
        <v>921</v>
      </c>
      <c r="W269" s="27" t="s">
        <v>922</v>
      </c>
      <c r="X269" s="73"/>
      <c r="Y269" s="73" t="e">
        <f>VLOOKUP(X269,Choferes!$B$2:$C$500,2,FALSE)</f>
        <v>#N/A</v>
      </c>
      <c r="Z269" s="73" t="s">
        <v>971</v>
      </c>
    </row>
    <row r="270" spans="1:26" hidden="1" x14ac:dyDescent="0.25">
      <c r="A270" s="33">
        <v>18</v>
      </c>
      <c r="B270" s="71" t="s">
        <v>29</v>
      </c>
      <c r="C270" s="39" t="s">
        <v>972</v>
      </c>
      <c r="D270" s="50" t="s">
        <v>48</v>
      </c>
      <c r="E270" s="47">
        <v>45412</v>
      </c>
      <c r="F270" s="31" t="str">
        <f>VLOOKUP($C270,Carpetas!$C$5:$M$2666,2,FALSE)</f>
        <v>PYB083</v>
      </c>
      <c r="G270" s="23" t="str">
        <f>VLOOKUP($C270,Carpetas!$C$5:$M$2666,10,FALSE)</f>
        <v>149,07,34</v>
      </c>
      <c r="H270" s="27">
        <f>VLOOKUP($C270,Carpetas!$C$5:$M$2666,6,FALSE)</f>
        <v>0</v>
      </c>
      <c r="I270" s="220"/>
      <c r="J270" s="47">
        <v>45414</v>
      </c>
      <c r="K270" s="72" t="str">
        <f>VLOOKUP($C270,Carpetas!$C$5:$M$2666,5,FALSE)</f>
        <v>Salto</v>
      </c>
      <c r="L270" s="32"/>
      <c r="M270" s="48">
        <f t="shared" si="11"/>
        <v>45415</v>
      </c>
      <c r="N270" s="26">
        <f t="shared" si="10"/>
        <v>3</v>
      </c>
      <c r="O270" s="27">
        <v>930</v>
      </c>
      <c r="P270" s="27">
        <v>932</v>
      </c>
      <c r="Q270" s="27"/>
      <c r="R270" s="27"/>
      <c r="S270" s="27" t="s">
        <v>973</v>
      </c>
      <c r="T270" s="27"/>
      <c r="U270" s="27"/>
      <c r="V270" s="27"/>
      <c r="W270" s="27"/>
      <c r="X270" s="73"/>
      <c r="Y270" s="73" t="e">
        <f>VLOOKUP(X270,Choferes!$B$2:$C$500,2,FALSE)</f>
        <v>#N/A</v>
      </c>
      <c r="Z270" s="73" t="s">
        <v>974</v>
      </c>
    </row>
    <row r="271" spans="1:26" hidden="1" x14ac:dyDescent="0.25">
      <c r="A271" s="33">
        <v>18</v>
      </c>
      <c r="B271" s="71" t="s">
        <v>29</v>
      </c>
      <c r="C271" s="39" t="s">
        <v>969</v>
      </c>
      <c r="D271" s="50" t="s">
        <v>803</v>
      </c>
      <c r="E271" s="47">
        <v>45413</v>
      </c>
      <c r="F271" s="31" t="str">
        <f>VLOOKUP($C271,Carpetas!$C$5:$M$2666,2,FALSE)</f>
        <v>BRB024</v>
      </c>
      <c r="G271" s="23" t="str">
        <f>VLOOKUP($C271,Carpetas!$C$5:$M$2666,10,FALSE)</f>
        <v>149,08,74</v>
      </c>
      <c r="H271" s="27" t="str">
        <f>VLOOKUP($C271,Carpetas!$C$5:$M$2666,6,FALSE)</f>
        <v>FG</v>
      </c>
      <c r="I271" s="220"/>
      <c r="J271" s="47">
        <v>45415</v>
      </c>
      <c r="K271" s="72" t="str">
        <f>VLOOKUP($C271,Carpetas!$C$5:$M$2666,5,FALSE)</f>
        <v>Rio Branco</v>
      </c>
      <c r="L271" s="32"/>
      <c r="M271" s="48">
        <f t="shared" si="11"/>
        <v>45416</v>
      </c>
      <c r="N271" s="26">
        <f t="shared" si="10"/>
        <v>3</v>
      </c>
      <c r="O271" s="27">
        <v>990</v>
      </c>
      <c r="P271" s="27">
        <v>973</v>
      </c>
      <c r="Q271" s="27"/>
      <c r="R271" s="27"/>
      <c r="S271" s="27" t="s">
        <v>975</v>
      </c>
      <c r="T271" s="27"/>
      <c r="U271" s="27">
        <v>86</v>
      </c>
      <c r="V271" s="27" t="s">
        <v>976</v>
      </c>
      <c r="W271" s="27" t="s">
        <v>977</v>
      </c>
      <c r="X271" s="73"/>
      <c r="Y271" s="73" t="e">
        <f>VLOOKUP(X271,Choferes!$B$2:$C$500,2,FALSE)</f>
        <v>#N/A</v>
      </c>
      <c r="Z271" s="73" t="s">
        <v>978</v>
      </c>
    </row>
    <row r="272" spans="1:26" hidden="1" x14ac:dyDescent="0.25">
      <c r="A272" s="33">
        <v>18</v>
      </c>
      <c r="B272" s="71" t="s">
        <v>29</v>
      </c>
      <c r="C272" s="39" t="s">
        <v>969</v>
      </c>
      <c r="D272" s="50" t="s">
        <v>764</v>
      </c>
      <c r="E272" s="47">
        <v>45414</v>
      </c>
      <c r="F272" s="31" t="str">
        <f>VLOOKUP($C272,Carpetas!$C$5:$M$2666,2,FALSE)</f>
        <v>BRB024</v>
      </c>
      <c r="G272" s="23" t="str">
        <f>VLOOKUP($C272,Carpetas!$C$5:$M$2666,10,FALSE)</f>
        <v>149,08,74</v>
      </c>
      <c r="H272" s="27" t="str">
        <f>VLOOKUP($C272,Carpetas!$C$5:$M$2666,6,FALSE)</f>
        <v>FG</v>
      </c>
      <c r="I272" s="220"/>
      <c r="J272" s="47">
        <v>45415</v>
      </c>
      <c r="K272" s="72" t="str">
        <f>VLOOKUP($C272,Carpetas!$C$5:$M$2666,5,FALSE)</f>
        <v>Rio Branco</v>
      </c>
      <c r="L272" s="32"/>
      <c r="M272" s="48">
        <f t="shared" si="11"/>
        <v>45416</v>
      </c>
      <c r="N272" s="26">
        <f t="shared" si="10"/>
        <v>2</v>
      </c>
      <c r="O272" s="27">
        <v>990</v>
      </c>
      <c r="P272" s="27">
        <v>990</v>
      </c>
      <c r="Q272" s="27"/>
      <c r="R272" s="27"/>
      <c r="S272" s="27" t="s">
        <v>979</v>
      </c>
      <c r="T272" s="27"/>
      <c r="U272" s="27">
        <v>84</v>
      </c>
      <c r="V272" s="27" t="s">
        <v>905</v>
      </c>
      <c r="W272" s="27" t="s">
        <v>906</v>
      </c>
      <c r="X272" s="73"/>
      <c r="Y272" s="73" t="e">
        <f>VLOOKUP(X272,Choferes!$B$2:$C$500,2,FALSE)</f>
        <v>#N/A</v>
      </c>
      <c r="Z272" s="73" t="s">
        <v>980</v>
      </c>
    </row>
    <row r="273" spans="1:26" hidden="1" x14ac:dyDescent="0.25">
      <c r="A273" s="33">
        <v>17</v>
      </c>
      <c r="B273" s="71" t="s">
        <v>298</v>
      </c>
      <c r="C273" s="39" t="s">
        <v>299</v>
      </c>
      <c r="D273" s="50" t="s">
        <v>38</v>
      </c>
      <c r="E273" s="47">
        <v>45404</v>
      </c>
      <c r="F273" s="31" t="str">
        <f>VLOOKUP($C273,Carpetas!$C$5:$M$2666,2,FALSE)</f>
        <v>BRB</v>
      </c>
      <c r="G273" s="23" t="str">
        <f>VLOOKUP($C273,Carpetas!$C$5:$M$2666,10,FALSE)</f>
        <v>xx</v>
      </c>
      <c r="H273" s="27" t="str">
        <f>VLOOKUP($C273,Carpetas!$C$5:$M$2666,5,FALSE)</f>
        <v>xx</v>
      </c>
      <c r="I273" s="220">
        <f>VLOOKUP($C273,Carpetas!$C$5:$M$2666,4,FALSE)</f>
        <v>0</v>
      </c>
      <c r="J273" s="47">
        <v>45417</v>
      </c>
      <c r="K273" s="72" t="str">
        <f>VLOOKUP($C273,Carpetas!$C$5:$M$2666,5,FALSE)</f>
        <v>xx</v>
      </c>
      <c r="L273" s="32"/>
      <c r="M273" s="48">
        <f t="shared" si="11"/>
        <v>45418</v>
      </c>
      <c r="N273" s="26">
        <f t="shared" si="10"/>
        <v>14</v>
      </c>
      <c r="O273" s="27"/>
      <c r="P273" s="27"/>
      <c r="Q273" s="27"/>
      <c r="R273" s="27"/>
      <c r="S273" s="27"/>
      <c r="T273" s="27"/>
      <c r="U273" s="27"/>
      <c r="V273" s="27"/>
      <c r="W273" s="27"/>
      <c r="X273" s="73"/>
      <c r="Y273" s="73" t="e">
        <f>VLOOKUP(X273,Choferes!$B$2:$C$500,2,FALSE)</f>
        <v>#N/A</v>
      </c>
      <c r="Z273" s="73"/>
    </row>
    <row r="274" spans="1:26" hidden="1" x14ac:dyDescent="0.25">
      <c r="A274" s="33">
        <v>18</v>
      </c>
      <c r="B274" s="71" t="s">
        <v>29</v>
      </c>
      <c r="C274" s="39" t="s">
        <v>981</v>
      </c>
      <c r="D274" s="50" t="s">
        <v>78</v>
      </c>
      <c r="E274" s="47">
        <v>45413</v>
      </c>
      <c r="F274" s="31" t="str">
        <f>VLOOKUP($C274,Carpetas!$C$5:$M$2666,2,FALSE)</f>
        <v>BRB025</v>
      </c>
      <c r="G274" s="23" t="str">
        <f>VLOOKUP($C274,Carpetas!$C$5:$M$2666,10,FALSE)</f>
        <v>148,08,76</v>
      </c>
      <c r="H274" s="27" t="str">
        <f>VLOOKUP($C274,Carpetas!$C$5:$M$2666,6,FALSE)</f>
        <v>Amaro</v>
      </c>
      <c r="I274" s="220"/>
      <c r="J274" s="47">
        <f>E274+3</f>
        <v>45416</v>
      </c>
      <c r="K274" s="72" t="str">
        <f>VLOOKUP($C274,Carpetas!$C$5:$M$2666,5,FALSE)</f>
        <v>Rio Branco</v>
      </c>
      <c r="L274" s="32"/>
      <c r="M274" s="48">
        <v>45420</v>
      </c>
      <c r="N274" s="26">
        <f t="shared" si="10"/>
        <v>7</v>
      </c>
      <c r="O274" s="27">
        <v>990</v>
      </c>
      <c r="P274" s="27">
        <v>990</v>
      </c>
      <c r="Q274" s="27"/>
      <c r="R274" s="27"/>
      <c r="S274" s="27" t="s">
        <v>982</v>
      </c>
      <c r="T274" s="27"/>
      <c r="U274" s="27">
        <v>3811</v>
      </c>
      <c r="V274" s="27" t="s">
        <v>983</v>
      </c>
      <c r="W274" s="27" t="s">
        <v>984</v>
      </c>
      <c r="X274" s="73"/>
      <c r="Y274" s="73" t="e">
        <f>VLOOKUP(X274,Choferes!$B$2:$C$500,2,FALSE)</f>
        <v>#N/A</v>
      </c>
      <c r="Z274" s="73" t="s">
        <v>985</v>
      </c>
    </row>
    <row r="275" spans="1:26" hidden="1" x14ac:dyDescent="0.25">
      <c r="A275" s="33">
        <v>18</v>
      </c>
      <c r="B275" s="71" t="s">
        <v>29</v>
      </c>
      <c r="C275" s="39" t="s">
        <v>969</v>
      </c>
      <c r="D275" s="50" t="s">
        <v>110</v>
      </c>
      <c r="E275" s="47">
        <v>45416</v>
      </c>
      <c r="F275" s="31" t="str">
        <f>VLOOKUP($C275,Carpetas!$C$5:$M$2666,2,FALSE)</f>
        <v>BRB024</v>
      </c>
      <c r="G275" s="23" t="str">
        <f>VLOOKUP($C275,Carpetas!$C$5:$M$2666,10,FALSE)</f>
        <v>149,08,74</v>
      </c>
      <c r="H275" s="27" t="str">
        <f>VLOOKUP($C275,Carpetas!$C$5:$M$2666,6,FALSE)</f>
        <v>FG</v>
      </c>
      <c r="I275" s="220"/>
      <c r="J275" s="47">
        <f>E275+3</f>
        <v>45419</v>
      </c>
      <c r="K275" s="72" t="str">
        <f>VLOOKUP($C275,Carpetas!$C$5:$M$2666,5,FALSE)</f>
        <v>Rio Branco</v>
      </c>
      <c r="L275" s="32"/>
      <c r="M275" s="48">
        <f>J275+1</f>
        <v>45420</v>
      </c>
      <c r="N275" s="26">
        <f t="shared" si="10"/>
        <v>4</v>
      </c>
      <c r="O275" s="27">
        <v>990</v>
      </c>
      <c r="P275" s="27">
        <v>990</v>
      </c>
      <c r="Q275" s="27"/>
      <c r="R275" s="27"/>
      <c r="S275" s="27" t="s">
        <v>986</v>
      </c>
      <c r="T275" s="27"/>
      <c r="U275" s="27">
        <v>88</v>
      </c>
      <c r="V275" s="27" t="s">
        <v>987</v>
      </c>
      <c r="W275" s="27" t="s">
        <v>988</v>
      </c>
      <c r="X275" s="73"/>
      <c r="Y275" s="73" t="e">
        <f>VLOOKUP(X275,Choferes!$B$2:$C$500,2,FALSE)</f>
        <v>#N/A</v>
      </c>
      <c r="Z275" s="73" t="s">
        <v>989</v>
      </c>
    </row>
    <row r="276" spans="1:26" hidden="1" x14ac:dyDescent="0.25">
      <c r="A276" s="33">
        <v>19</v>
      </c>
      <c r="B276" s="71" t="s">
        <v>29</v>
      </c>
      <c r="C276" s="39" t="s">
        <v>990</v>
      </c>
      <c r="D276" s="50" t="s">
        <v>102</v>
      </c>
      <c r="E276" s="47">
        <v>45417</v>
      </c>
      <c r="F276" s="31" t="str">
        <f>VLOOKUP($C276,Carpetas!$C$5:$M$2666,2,FALSE)</f>
        <v>PYB085</v>
      </c>
      <c r="G276" s="23" t="str">
        <f>VLOOKUP($C276,Carpetas!$C$5:$M$2666,10,FALSE)</f>
        <v>149,13,38</v>
      </c>
      <c r="H276" s="27">
        <f>VLOOKUP($C276,Carpetas!$C$5:$M$2666,6,FALSE)</f>
        <v>0</v>
      </c>
      <c r="I276" s="220"/>
      <c r="J276" s="47">
        <v>45419</v>
      </c>
      <c r="K276" s="72" t="str">
        <f>VLOOKUP($C276,Carpetas!$C$5:$M$2666,5,FALSE)</f>
        <v>Salto</v>
      </c>
      <c r="L276" s="32"/>
      <c r="M276" s="48">
        <f>J276+1</f>
        <v>45420</v>
      </c>
      <c r="N276" s="26">
        <f t="shared" si="10"/>
        <v>3</v>
      </c>
      <c r="O276" s="27">
        <v>980</v>
      </c>
      <c r="P276" s="27">
        <v>981</v>
      </c>
      <c r="Q276" s="27"/>
      <c r="R276" s="27"/>
      <c r="S276" s="27" t="s">
        <v>931</v>
      </c>
      <c r="T276" s="27"/>
      <c r="U276" s="27"/>
      <c r="V276" s="27" t="s">
        <v>288</v>
      </c>
      <c r="W276" s="27" t="s">
        <v>289</v>
      </c>
      <c r="X276" s="73"/>
      <c r="Y276" s="73" t="e">
        <f>VLOOKUP(X276,Choferes!$B$2:$C$500,2,FALSE)</f>
        <v>#N/A</v>
      </c>
      <c r="Z276" s="73" t="s">
        <v>991</v>
      </c>
    </row>
    <row r="277" spans="1:26" hidden="1" x14ac:dyDescent="0.25">
      <c r="A277" s="33">
        <v>17</v>
      </c>
      <c r="B277" s="71" t="s">
        <v>29</v>
      </c>
      <c r="C277" s="39" t="s">
        <v>992</v>
      </c>
      <c r="D277" s="50" t="s">
        <v>38</v>
      </c>
      <c r="E277" s="47">
        <v>45407</v>
      </c>
      <c r="F277" s="31" t="str">
        <f>VLOOKUP($C277,Carpetas!$C$5:$M$2666,2,FALSE)</f>
        <v>BRE010</v>
      </c>
      <c r="G277" s="23" t="str">
        <f>VLOOKUP($C277,Carpetas!$C$5:$M$2666,10,FALSE)</f>
        <v>148.82.38</v>
      </c>
      <c r="H277" s="27" t="str">
        <f>VLOOKUP($C277,Carpetas!$C$5:$M$2666,6,FALSE)</f>
        <v>Silvio</v>
      </c>
      <c r="I277" s="220">
        <f>VLOOKUP($C277,Carpetas!$C$5:$M$2666,4,FALSE)</f>
        <v>0</v>
      </c>
      <c r="J277" s="47">
        <v>45416</v>
      </c>
      <c r="K277" s="72" t="str">
        <f>VLOOKUP($C277,Carpetas!$C$5:$M$2666,5,FALSE)</f>
        <v>Rio Branco</v>
      </c>
      <c r="L277" s="32"/>
      <c r="M277" s="48">
        <v>45421</v>
      </c>
      <c r="N277" s="26">
        <f t="shared" si="10"/>
        <v>14</v>
      </c>
      <c r="O277" s="27">
        <v>1620</v>
      </c>
      <c r="P277" s="27"/>
      <c r="Q277" s="27"/>
      <c r="R277" s="27"/>
      <c r="S277" s="27"/>
      <c r="T277" s="27"/>
      <c r="U277" s="27">
        <v>6875</v>
      </c>
      <c r="V277" s="27" t="s">
        <v>993</v>
      </c>
      <c r="W277" s="27" t="s">
        <v>994</v>
      </c>
      <c r="X277" s="73"/>
      <c r="Y277" s="73" t="e">
        <f>VLOOKUP(X277,Choferes!$B$2:$C$500,2,FALSE)</f>
        <v>#N/A</v>
      </c>
      <c r="Z277" s="73"/>
    </row>
    <row r="278" spans="1:26" hidden="1" x14ac:dyDescent="0.25">
      <c r="A278" s="33">
        <v>18</v>
      </c>
      <c r="B278" s="71" t="s">
        <v>29</v>
      </c>
      <c r="C278" s="39" t="s">
        <v>981</v>
      </c>
      <c r="D278" s="50" t="s">
        <v>747</v>
      </c>
      <c r="E278" s="47">
        <v>45412</v>
      </c>
      <c r="F278" s="31" t="str">
        <f>VLOOKUP($C278,Carpetas!$C$5:$M$2666,2,FALSE)</f>
        <v>BRB025</v>
      </c>
      <c r="G278" s="23" t="str">
        <f>VLOOKUP($C278,Carpetas!$C$5:$M$2666,10,FALSE)</f>
        <v>148,08,76</v>
      </c>
      <c r="H278" s="27" t="str">
        <f>VLOOKUP($C278,Carpetas!$C$5:$M$2666,6,FALSE)</f>
        <v>Amaro</v>
      </c>
      <c r="I278" s="220"/>
      <c r="J278" s="47">
        <v>45417</v>
      </c>
      <c r="K278" s="72" t="str">
        <f>VLOOKUP($C278,Carpetas!$C$5:$M$2666,5,FALSE)</f>
        <v>Rio Branco</v>
      </c>
      <c r="L278" s="32"/>
      <c r="M278" s="48">
        <v>45421</v>
      </c>
      <c r="N278" s="26">
        <f t="shared" si="10"/>
        <v>9</v>
      </c>
      <c r="O278" s="27">
        <v>990</v>
      </c>
      <c r="P278" s="27">
        <v>972</v>
      </c>
      <c r="Q278" s="27"/>
      <c r="R278" s="27"/>
      <c r="S278" s="27" t="s">
        <v>995</v>
      </c>
      <c r="T278" s="27"/>
      <c r="U278" s="27">
        <v>3812</v>
      </c>
      <c r="V278" s="27" t="s">
        <v>996</v>
      </c>
      <c r="W278" s="27" t="s">
        <v>997</v>
      </c>
      <c r="X278" s="73"/>
      <c r="Y278" s="73" t="e">
        <f>VLOOKUP(X278,Choferes!$B$2:$C$500,2,FALSE)</f>
        <v>#N/A</v>
      </c>
      <c r="Z278" s="73" t="s">
        <v>998</v>
      </c>
    </row>
    <row r="279" spans="1:26" hidden="1" x14ac:dyDescent="0.25">
      <c r="A279" s="33">
        <v>18</v>
      </c>
      <c r="B279" s="71" t="s">
        <v>29</v>
      </c>
      <c r="C279" s="39" t="s">
        <v>981</v>
      </c>
      <c r="D279" s="50" t="s">
        <v>258</v>
      </c>
      <c r="E279" s="47">
        <v>45414</v>
      </c>
      <c r="F279" s="31" t="str">
        <f>VLOOKUP($C279,Carpetas!$C$5:$M$2666,2,FALSE)</f>
        <v>BRB025</v>
      </c>
      <c r="G279" s="23" t="str">
        <f>VLOOKUP($C279,Carpetas!$C$5:$M$2666,10,FALSE)</f>
        <v>148,08,76</v>
      </c>
      <c r="H279" s="27" t="str">
        <f>VLOOKUP($C279,Carpetas!$C$5:$M$2666,6,FALSE)</f>
        <v>Amaro</v>
      </c>
      <c r="I279" s="220"/>
      <c r="J279" s="47">
        <f>E279+3</f>
        <v>45417</v>
      </c>
      <c r="K279" s="72" t="str">
        <f>VLOOKUP($C279,Carpetas!$C$5:$M$2666,5,FALSE)</f>
        <v>Rio Branco</v>
      </c>
      <c r="L279" s="32"/>
      <c r="M279" s="48">
        <v>45421</v>
      </c>
      <c r="N279" s="26">
        <f t="shared" si="10"/>
        <v>7</v>
      </c>
      <c r="O279" s="27">
        <v>990</v>
      </c>
      <c r="P279" s="27">
        <v>1009</v>
      </c>
      <c r="Q279" s="27"/>
      <c r="R279" s="27"/>
      <c r="S279" s="27" t="s">
        <v>999</v>
      </c>
      <c r="T279" s="27"/>
      <c r="U279" s="27">
        <v>3813</v>
      </c>
      <c r="V279" s="27" t="s">
        <v>1000</v>
      </c>
      <c r="W279" s="27" t="s">
        <v>1001</v>
      </c>
      <c r="X279" s="73"/>
      <c r="Y279" s="73" t="e">
        <f>VLOOKUP(X279,Choferes!$B$2:$C$500,2,FALSE)</f>
        <v>#N/A</v>
      </c>
      <c r="Z279" s="73" t="s">
        <v>1002</v>
      </c>
    </row>
    <row r="280" spans="1:26" ht="30" hidden="1" x14ac:dyDescent="0.25">
      <c r="A280" s="33">
        <v>19</v>
      </c>
      <c r="B280" s="71" t="s">
        <v>29</v>
      </c>
      <c r="C280" s="39" t="s">
        <v>990</v>
      </c>
      <c r="D280" s="50" t="s">
        <v>102</v>
      </c>
      <c r="E280" s="47">
        <v>45418</v>
      </c>
      <c r="F280" s="31" t="str">
        <f>VLOOKUP($C280,Carpetas!$C$5:$M$2666,2,FALSE)</f>
        <v>PYB085</v>
      </c>
      <c r="G280" s="23" t="str">
        <f>VLOOKUP($C280,Carpetas!$C$5:$M$2666,10,FALSE)</f>
        <v>149,13,38</v>
      </c>
      <c r="H280" s="27">
        <f>VLOOKUP($C280,Carpetas!$C$5:$M$2666,6,FALSE)</f>
        <v>0</v>
      </c>
      <c r="I280" s="220"/>
      <c r="J280" s="47">
        <v>45420</v>
      </c>
      <c r="K280" s="72" t="str">
        <f>VLOOKUP($C280,Carpetas!$C$5:$M$2666,5,FALSE)</f>
        <v>Salto</v>
      </c>
      <c r="L280" s="32"/>
      <c r="M280" s="48">
        <f>J280+1</f>
        <v>45421</v>
      </c>
      <c r="N280" s="26">
        <f t="shared" si="10"/>
        <v>3</v>
      </c>
      <c r="O280" s="27">
        <v>980</v>
      </c>
      <c r="P280" s="27">
        <v>980</v>
      </c>
      <c r="Q280" s="27"/>
      <c r="R280" s="27"/>
      <c r="S280" s="27" t="s">
        <v>1003</v>
      </c>
      <c r="T280" s="27"/>
      <c r="U280" s="27"/>
      <c r="V280" s="27" t="s">
        <v>1004</v>
      </c>
      <c r="W280" s="27"/>
      <c r="X280" s="73"/>
      <c r="Y280" s="73" t="e">
        <f>VLOOKUP(X280,Choferes!$B$2:$C$500,2,FALSE)</f>
        <v>#N/A</v>
      </c>
      <c r="Z280" s="73" t="s">
        <v>1005</v>
      </c>
    </row>
    <row r="281" spans="1:26" hidden="1" x14ac:dyDescent="0.25">
      <c r="A281" s="33">
        <v>18</v>
      </c>
      <c r="B281" s="71" t="s">
        <v>29</v>
      </c>
      <c r="C281" s="39" t="s">
        <v>1006</v>
      </c>
      <c r="D281" s="50" t="s">
        <v>249</v>
      </c>
      <c r="E281" s="47">
        <v>45415</v>
      </c>
      <c r="F281" s="31" t="str">
        <f>VLOOKUP($C281,Carpetas!$C$5:$M$2666,2,FALSE)</f>
        <v>BRB026</v>
      </c>
      <c r="G281" s="23" t="str">
        <f>VLOOKUP($C281,Carpetas!$C$5:$M$2666,10,FALSE)</f>
        <v>149,12,48</v>
      </c>
      <c r="H281" s="27" t="str">
        <f>VLOOKUP($C281,Carpetas!$C$5:$M$2666,6,FALSE)</f>
        <v>Silvio</v>
      </c>
      <c r="I281" s="220"/>
      <c r="J281" s="47">
        <f>E281+3</f>
        <v>45418</v>
      </c>
      <c r="K281" s="72" t="str">
        <f>VLOOKUP($C281,Carpetas!$C$5:$M$2666,5,FALSE)</f>
        <v>Rio Branco</v>
      </c>
      <c r="L281" s="32"/>
      <c r="M281" s="48">
        <v>45423</v>
      </c>
      <c r="N281" s="26">
        <f t="shared" si="10"/>
        <v>8</v>
      </c>
      <c r="O281" s="27">
        <v>918</v>
      </c>
      <c r="P281" s="27">
        <v>918</v>
      </c>
      <c r="Q281" s="27"/>
      <c r="R281" s="27"/>
      <c r="S281" s="27" t="s">
        <v>1007</v>
      </c>
      <c r="T281" s="27"/>
      <c r="U281" s="27">
        <v>6889</v>
      </c>
      <c r="V281" s="27" t="s">
        <v>856</v>
      </c>
      <c r="W281" s="27" t="s">
        <v>857</v>
      </c>
      <c r="X281" s="73"/>
      <c r="Y281" s="73" t="e">
        <f>VLOOKUP(X281,Choferes!$B$2:$C$500,2,FALSE)</f>
        <v>#N/A</v>
      </c>
      <c r="Z281" s="73" t="s">
        <v>1008</v>
      </c>
    </row>
    <row r="282" spans="1:26" hidden="1" x14ac:dyDescent="0.25">
      <c r="A282" s="33">
        <v>19</v>
      </c>
      <c r="B282" s="71" t="s">
        <v>29</v>
      </c>
      <c r="C282" s="39" t="s">
        <v>1009</v>
      </c>
      <c r="D282" s="50" t="s">
        <v>121</v>
      </c>
      <c r="E282" s="47">
        <v>45418</v>
      </c>
      <c r="F282" s="31" t="str">
        <f>VLOOKUP($C282,Carpetas!$C$5:$M$2666,2,FALSE)</f>
        <v>PYB088</v>
      </c>
      <c r="G282" s="23" t="str">
        <f>VLOOKUP($C282,Carpetas!$C$5:$M$2666,10,FALSE)</f>
        <v>149.13.96</v>
      </c>
      <c r="H282" s="27">
        <f>VLOOKUP($C282,Carpetas!$C$5:$M$2666,6,FALSE)</f>
        <v>0</v>
      </c>
      <c r="I282" s="220"/>
      <c r="J282" s="47">
        <f>E282+4</f>
        <v>45422</v>
      </c>
      <c r="K282" s="72" t="str">
        <f>VLOOKUP($C282,Carpetas!$C$5:$M$2666,5,FALSE)</f>
        <v>Salto</v>
      </c>
      <c r="L282" s="32"/>
      <c r="M282" s="48">
        <f>J282+1</f>
        <v>45423</v>
      </c>
      <c r="N282" s="26">
        <f t="shared" si="10"/>
        <v>5</v>
      </c>
      <c r="O282" s="27">
        <v>980</v>
      </c>
      <c r="P282" s="27">
        <v>982</v>
      </c>
      <c r="Q282" s="27"/>
      <c r="R282" s="27"/>
      <c r="S282" s="27" t="s">
        <v>1010</v>
      </c>
      <c r="T282" s="27"/>
      <c r="U282" s="27"/>
      <c r="V282" s="27" t="s">
        <v>1011</v>
      </c>
      <c r="W282" s="27" t="s">
        <v>1012</v>
      </c>
      <c r="X282" s="73"/>
      <c r="Y282" s="73" t="e">
        <f>VLOOKUP(X282,Choferes!$B$2:$C$500,2,FALSE)</f>
        <v>#N/A</v>
      </c>
      <c r="Z282" s="73" t="s">
        <v>1013</v>
      </c>
    </row>
    <row r="283" spans="1:26" hidden="1" x14ac:dyDescent="0.25">
      <c r="A283" s="33">
        <v>19</v>
      </c>
      <c r="B283" s="71" t="s">
        <v>29</v>
      </c>
      <c r="C283" s="39" t="s">
        <v>1014</v>
      </c>
      <c r="D283" s="50" t="s">
        <v>183</v>
      </c>
      <c r="E283" s="47">
        <v>45418</v>
      </c>
      <c r="F283" s="31" t="str">
        <f>VLOOKUP($C283,Carpetas!$C$5:$M$2666,2,FALSE)</f>
        <v>PYB087</v>
      </c>
      <c r="G283" s="23" t="str">
        <f>VLOOKUP($C283,Carpetas!$C$5:$M$2666,10,FALSE)</f>
        <v>149,14,37</v>
      </c>
      <c r="H283" s="27">
        <f>VLOOKUP($C283,Carpetas!$C$5:$M$2666,6,FALSE)</f>
        <v>0</v>
      </c>
      <c r="I283" s="220"/>
      <c r="J283" s="47">
        <f>E283+4</f>
        <v>45422</v>
      </c>
      <c r="K283" s="72" t="str">
        <f>VLOOKUP($C283,Carpetas!$C$5:$M$2666,5,FALSE)</f>
        <v>Salto</v>
      </c>
      <c r="L283" s="32"/>
      <c r="M283" s="48">
        <f>J283+1</f>
        <v>45423</v>
      </c>
      <c r="N283" s="26">
        <f t="shared" si="10"/>
        <v>5</v>
      </c>
      <c r="O283" s="27">
        <v>980</v>
      </c>
      <c r="P283" s="27">
        <v>982</v>
      </c>
      <c r="Q283" s="27"/>
      <c r="R283" s="27"/>
      <c r="S283" s="27" t="s">
        <v>1015</v>
      </c>
      <c r="T283" s="27"/>
      <c r="U283" s="27"/>
      <c r="V283" s="27" t="s">
        <v>1016</v>
      </c>
      <c r="W283" s="27" t="s">
        <v>1017</v>
      </c>
      <c r="X283" s="73"/>
      <c r="Y283" s="73" t="e">
        <f>VLOOKUP(X283,Choferes!$B$2:$C$500,2,FALSE)</f>
        <v>#N/A</v>
      </c>
      <c r="Z283" s="73" t="s">
        <v>1018</v>
      </c>
    </row>
    <row r="284" spans="1:26" hidden="1" x14ac:dyDescent="0.25">
      <c r="A284" s="33">
        <v>19</v>
      </c>
      <c r="B284" s="71" t="s">
        <v>29</v>
      </c>
      <c r="C284" s="39" t="s">
        <v>1019</v>
      </c>
      <c r="D284" s="50" t="s">
        <v>48</v>
      </c>
      <c r="E284" s="47">
        <v>45419</v>
      </c>
      <c r="F284" s="31" t="str">
        <f>VLOOKUP($C284,Carpetas!$C$5:$M$2666,2,FALSE)</f>
        <v>PYB086</v>
      </c>
      <c r="G284" s="23" t="str">
        <f>VLOOKUP($C284,Carpetas!$C$5:$M$2666,10,FALSE)</f>
        <v>149,15,06</v>
      </c>
      <c r="H284" s="27">
        <f>VLOOKUP($C284,Carpetas!$C$5:$M$2666,6,FALSE)</f>
        <v>0</v>
      </c>
      <c r="I284" s="220"/>
      <c r="J284" s="47">
        <v>45422</v>
      </c>
      <c r="K284" s="72" t="str">
        <f>VLOOKUP($C284,Carpetas!$C$5:$M$2666,5,FALSE)</f>
        <v>Salto</v>
      </c>
      <c r="L284" s="32"/>
      <c r="M284" s="48">
        <f>J284+1</f>
        <v>45423</v>
      </c>
      <c r="N284" s="26">
        <f t="shared" si="10"/>
        <v>4</v>
      </c>
      <c r="O284" s="27">
        <v>930</v>
      </c>
      <c r="P284" s="27">
        <v>931</v>
      </c>
      <c r="Q284" s="27"/>
      <c r="R284" s="27"/>
      <c r="S284" s="27" t="s">
        <v>1020</v>
      </c>
      <c r="T284" s="27"/>
      <c r="U284" s="27"/>
      <c r="V284" s="27" t="s">
        <v>400</v>
      </c>
      <c r="W284" s="27" t="s">
        <v>1021</v>
      </c>
      <c r="X284" s="73"/>
      <c r="Y284" s="73" t="e">
        <f>VLOOKUP(X284,Choferes!$B$2:$C$500,2,FALSE)</f>
        <v>#N/A</v>
      </c>
      <c r="Z284" s="73" t="s">
        <v>1022</v>
      </c>
    </row>
    <row r="285" spans="1:26" hidden="1" x14ac:dyDescent="0.25">
      <c r="A285" s="33">
        <v>19</v>
      </c>
      <c r="B285" s="71" t="s">
        <v>29</v>
      </c>
      <c r="C285" s="39" t="s">
        <v>1006</v>
      </c>
      <c r="D285" s="50" t="s">
        <v>747</v>
      </c>
      <c r="E285" s="47">
        <v>45419</v>
      </c>
      <c r="F285" s="31" t="str">
        <f>VLOOKUP($C285,Carpetas!$C$5:$M$2666,2,FALSE)</f>
        <v>BRB026</v>
      </c>
      <c r="G285" s="23" t="str">
        <f>VLOOKUP($C285,Carpetas!$C$5:$M$2666,10,FALSE)</f>
        <v>149,12,48</v>
      </c>
      <c r="H285" s="27" t="str">
        <f>VLOOKUP($C285,Carpetas!$C$5:$M$2666,6,FALSE)</f>
        <v>Silvio</v>
      </c>
      <c r="I285" s="220"/>
      <c r="J285" s="47">
        <v>45422</v>
      </c>
      <c r="K285" s="72" t="str">
        <f>VLOOKUP($C285,Carpetas!$C$5:$M$2666,5,FALSE)</f>
        <v>Rio Branco</v>
      </c>
      <c r="L285" s="32"/>
      <c r="M285" s="48">
        <f>J285+1</f>
        <v>45423</v>
      </c>
      <c r="N285" s="26">
        <f t="shared" si="10"/>
        <v>4</v>
      </c>
      <c r="O285" s="27">
        <v>918</v>
      </c>
      <c r="P285" s="27">
        <v>919</v>
      </c>
      <c r="Q285" s="27"/>
      <c r="R285" s="27"/>
      <c r="S285" s="27" t="s">
        <v>1023</v>
      </c>
      <c r="T285" s="27"/>
      <c r="U285" s="27">
        <v>6890</v>
      </c>
      <c r="V285" s="27" t="s">
        <v>749</v>
      </c>
      <c r="W285" s="27" t="s">
        <v>750</v>
      </c>
      <c r="X285" s="73"/>
      <c r="Y285" s="73" t="e">
        <f>VLOOKUP(X285,Choferes!$B$2:$C$500,2,FALSE)</f>
        <v>#N/A</v>
      </c>
      <c r="Z285" s="73" t="s">
        <v>1024</v>
      </c>
    </row>
    <row r="286" spans="1:26" hidden="1" x14ac:dyDescent="0.25">
      <c r="A286" s="33">
        <v>19</v>
      </c>
      <c r="B286" s="71" t="s">
        <v>29</v>
      </c>
      <c r="C286" s="39" t="s">
        <v>1014</v>
      </c>
      <c r="D286" s="50" t="s">
        <v>183</v>
      </c>
      <c r="E286" s="47">
        <v>45419</v>
      </c>
      <c r="F286" s="31" t="str">
        <f>VLOOKUP($C286,Carpetas!$C$5:$M$2666,2,FALSE)</f>
        <v>PYB087</v>
      </c>
      <c r="G286" s="23" t="str">
        <f>VLOOKUP($C286,Carpetas!$C$5:$M$2666,10,FALSE)</f>
        <v>149,14,37</v>
      </c>
      <c r="H286" s="27">
        <f>VLOOKUP($C286,Carpetas!$C$5:$M$2666,6,FALSE)</f>
        <v>0</v>
      </c>
      <c r="I286" s="220"/>
      <c r="J286" s="47">
        <v>45422</v>
      </c>
      <c r="K286" s="72" t="str">
        <f>VLOOKUP($C286,Carpetas!$C$5:$M$2666,5,FALSE)</f>
        <v>Salto</v>
      </c>
      <c r="L286" s="32"/>
      <c r="M286" s="48">
        <f>J286+1</f>
        <v>45423</v>
      </c>
      <c r="N286" s="26">
        <f t="shared" si="10"/>
        <v>4</v>
      </c>
      <c r="O286" s="27">
        <v>980</v>
      </c>
      <c r="P286" s="27">
        <v>981</v>
      </c>
      <c r="Q286" s="27"/>
      <c r="R286" s="27"/>
      <c r="S286" s="27" t="s">
        <v>1025</v>
      </c>
      <c r="T286" s="27"/>
      <c r="U286" s="27"/>
      <c r="V286" s="27" t="s">
        <v>1026</v>
      </c>
      <c r="W286" s="27" t="s">
        <v>1027</v>
      </c>
      <c r="X286" s="73"/>
      <c r="Y286" s="73" t="e">
        <f>VLOOKUP(X286,Choferes!$B$2:$C$500,2,FALSE)</f>
        <v>#N/A</v>
      </c>
      <c r="Z286" s="73" t="s">
        <v>1028</v>
      </c>
    </row>
    <row r="287" spans="1:26" hidden="1" x14ac:dyDescent="0.25">
      <c r="A287" s="33">
        <v>19</v>
      </c>
      <c r="B287" s="71" t="s">
        <v>29</v>
      </c>
      <c r="C287" s="39" t="s">
        <v>1029</v>
      </c>
      <c r="D287" s="50" t="s">
        <v>102</v>
      </c>
      <c r="E287" s="47">
        <v>45420</v>
      </c>
      <c r="F287" s="31" t="str">
        <f>VLOOKUP($C287,Carpetas!$C$5:$M$2666,2,FALSE)</f>
        <v>PYB089</v>
      </c>
      <c r="G287" s="23">
        <f>VLOOKUP($C287,Carpetas!$C$5:$M$2666,10,FALSE)</f>
        <v>0</v>
      </c>
      <c r="H287" s="27">
        <f>VLOOKUP($C287,Carpetas!$C$5:$M$2666,6,FALSE)</f>
        <v>0</v>
      </c>
      <c r="I287" s="220"/>
      <c r="J287" s="47">
        <v>45422</v>
      </c>
      <c r="K287" s="72" t="str">
        <f>VLOOKUP($C287,Carpetas!$C$5:$M$2666,5,FALSE)</f>
        <v>Salto</v>
      </c>
      <c r="L287" s="32"/>
      <c r="M287" s="48">
        <v>45423</v>
      </c>
      <c r="N287" s="26">
        <f t="shared" si="10"/>
        <v>3</v>
      </c>
      <c r="O287" s="27">
        <v>980</v>
      </c>
      <c r="P287" s="27">
        <v>980</v>
      </c>
      <c r="Q287" s="27"/>
      <c r="R287" s="27"/>
      <c r="S287" s="27" t="s">
        <v>1030</v>
      </c>
      <c r="T287" s="27"/>
      <c r="U287" s="27"/>
      <c r="V287" s="27" t="s">
        <v>237</v>
      </c>
      <c r="W287" s="27" t="s">
        <v>387</v>
      </c>
      <c r="X287" s="73"/>
      <c r="Y287" s="73" t="e">
        <f>VLOOKUP(X287,Choferes!$B$2:$C$500,2,FALSE)</f>
        <v>#N/A</v>
      </c>
      <c r="Z287" s="73" t="s">
        <v>1031</v>
      </c>
    </row>
    <row r="288" spans="1:26" hidden="1" x14ac:dyDescent="0.25">
      <c r="A288" s="33">
        <v>19</v>
      </c>
      <c r="B288" s="71" t="s">
        <v>29</v>
      </c>
      <c r="C288" s="39" t="s">
        <v>1006</v>
      </c>
      <c r="D288" s="50" t="s">
        <v>880</v>
      </c>
      <c r="E288" s="47">
        <v>45420</v>
      </c>
      <c r="F288" s="31" t="str">
        <f>VLOOKUP($C288,Carpetas!$C$5:$M$2666,2,FALSE)</f>
        <v>BRB026</v>
      </c>
      <c r="G288" s="23" t="str">
        <f>VLOOKUP($C288,Carpetas!$C$5:$M$2666,10,FALSE)</f>
        <v>149,12,48</v>
      </c>
      <c r="H288" s="27" t="str">
        <f>VLOOKUP($C288,Carpetas!$C$5:$M$2666,6,FALSE)</f>
        <v>Silvio</v>
      </c>
      <c r="I288" s="220"/>
      <c r="J288" s="47">
        <f t="shared" ref="J288:J293" si="12">E288+4</f>
        <v>45424</v>
      </c>
      <c r="K288" s="72" t="str">
        <f>VLOOKUP($C288,Carpetas!$C$5:$M$2666,5,FALSE)</f>
        <v>Rio Branco</v>
      </c>
      <c r="L288" s="32"/>
      <c r="M288" s="48">
        <v>45423</v>
      </c>
      <c r="N288" s="26">
        <f t="shared" si="10"/>
        <v>3</v>
      </c>
      <c r="O288" s="27">
        <v>918</v>
      </c>
      <c r="P288" s="27">
        <v>918</v>
      </c>
      <c r="Q288" s="27"/>
      <c r="R288" s="27"/>
      <c r="S288" s="27" t="s">
        <v>1032</v>
      </c>
      <c r="T288" s="27"/>
      <c r="U288" s="27">
        <v>6891</v>
      </c>
      <c r="V288" s="27" t="s">
        <v>1033</v>
      </c>
      <c r="W288" s="27" t="s">
        <v>1034</v>
      </c>
      <c r="X288" s="73"/>
      <c r="Y288" s="73" t="e">
        <f>VLOOKUP(X288,Choferes!$B$2:$C$500,2,FALSE)</f>
        <v>#N/A</v>
      </c>
      <c r="Z288" s="73" t="s">
        <v>1008</v>
      </c>
    </row>
    <row r="289" spans="1:26" hidden="1" x14ac:dyDescent="0.25">
      <c r="A289" s="33">
        <v>19</v>
      </c>
      <c r="B289" s="71" t="s">
        <v>29</v>
      </c>
      <c r="C289" s="39" t="s">
        <v>969</v>
      </c>
      <c r="D289" s="50" t="s">
        <v>953</v>
      </c>
      <c r="E289" s="47">
        <v>45420</v>
      </c>
      <c r="F289" s="31" t="str">
        <f>VLOOKUP($C289,Carpetas!$C$5:$M$2666,2,FALSE)</f>
        <v>BRB024</v>
      </c>
      <c r="G289" s="23" t="str">
        <f>VLOOKUP($C289,Carpetas!$C$5:$M$2666,10,FALSE)</f>
        <v>149,08,74</v>
      </c>
      <c r="H289" s="27" t="str">
        <f>VLOOKUP($C289,Carpetas!$C$5:$M$2666,6,FALSE)</f>
        <v>FG</v>
      </c>
      <c r="I289" s="220"/>
      <c r="J289" s="47">
        <f t="shared" si="12"/>
        <v>45424</v>
      </c>
      <c r="K289" s="72" t="str">
        <f>VLOOKUP($C289,Carpetas!$C$5:$M$2666,5,FALSE)</f>
        <v>Rio Branco</v>
      </c>
      <c r="L289" s="32"/>
      <c r="M289" s="48">
        <f t="shared" ref="M289:M295" si="13">J289+1</f>
        <v>45425</v>
      </c>
      <c r="N289" s="26">
        <f t="shared" si="10"/>
        <v>5</v>
      </c>
      <c r="O289" s="27">
        <v>990</v>
      </c>
      <c r="P289" s="27">
        <v>990</v>
      </c>
      <c r="Q289" s="27"/>
      <c r="R289" s="27"/>
      <c r="S289" s="27" t="s">
        <v>1035</v>
      </c>
      <c r="T289" s="27"/>
      <c r="U289" s="27">
        <v>94</v>
      </c>
      <c r="V289" s="27" t="s">
        <v>1036</v>
      </c>
      <c r="W289" s="27" t="s">
        <v>944</v>
      </c>
      <c r="X289" s="73"/>
      <c r="Y289" s="73" t="e">
        <f>VLOOKUP(X289,Choferes!$B$2:$C$500,2,FALSE)</f>
        <v>#N/A</v>
      </c>
      <c r="Z289" s="73" t="s">
        <v>1037</v>
      </c>
    </row>
    <row r="290" spans="1:26" hidden="1" x14ac:dyDescent="0.25">
      <c r="A290" s="33">
        <v>19</v>
      </c>
      <c r="B290" s="71" t="s">
        <v>298</v>
      </c>
      <c r="C290" s="39" t="s">
        <v>299</v>
      </c>
      <c r="D290" s="50" t="s">
        <v>78</v>
      </c>
      <c r="E290" s="47">
        <v>45420</v>
      </c>
      <c r="F290" s="31" t="str">
        <f>VLOOKUP($C290,Carpetas!$C$5:$M$2666,2,FALSE)</f>
        <v>BRB</v>
      </c>
      <c r="G290" s="23" t="e">
        <f>VLOOKUP($C290,Carpetas!$C$5:$M$2666,9,FALSE)</f>
        <v>#REF!</v>
      </c>
      <c r="H290" s="27" t="str">
        <f>VLOOKUP($C290,Carpetas!$C$5:$M$2666,5,FALSE)</f>
        <v>xx</v>
      </c>
      <c r="I290" s="220"/>
      <c r="J290" s="47">
        <f t="shared" si="12"/>
        <v>45424</v>
      </c>
      <c r="K290" s="72">
        <f>VLOOKUP($C290,Carpetas!$C$5:$M$2666,4,FALSE)</f>
        <v>0</v>
      </c>
      <c r="L290" s="32"/>
      <c r="M290" s="48">
        <f t="shared" si="13"/>
        <v>45425</v>
      </c>
      <c r="N290" s="26">
        <f t="shared" si="10"/>
        <v>5</v>
      </c>
      <c r="O290" s="27">
        <v>900</v>
      </c>
      <c r="P290" s="27"/>
      <c r="Q290" s="27"/>
      <c r="R290" s="27"/>
      <c r="S290" s="27"/>
      <c r="T290" s="27"/>
      <c r="U290" s="27"/>
      <c r="V290" s="27"/>
      <c r="W290" s="27"/>
      <c r="X290" s="73"/>
      <c r="Y290" s="73" t="e">
        <f>VLOOKUP(X290,Choferes!$B$2:$C$500,2,FALSE)</f>
        <v>#N/A</v>
      </c>
      <c r="Z290" s="73"/>
    </row>
    <row r="291" spans="1:26" hidden="1" x14ac:dyDescent="0.25">
      <c r="A291" s="33">
        <v>19</v>
      </c>
      <c r="B291" s="71" t="s">
        <v>29</v>
      </c>
      <c r="C291" s="39" t="s">
        <v>1019</v>
      </c>
      <c r="D291" s="50" t="s">
        <v>48</v>
      </c>
      <c r="E291" s="47">
        <v>45420</v>
      </c>
      <c r="F291" s="31" t="str">
        <f>VLOOKUP($C291,Carpetas!$C$5:$M$2666,2,FALSE)</f>
        <v>PYB086</v>
      </c>
      <c r="G291" s="23" t="str">
        <f>VLOOKUP($C291,Carpetas!$C$5:$M$2666,10,FALSE)</f>
        <v>149,15,06</v>
      </c>
      <c r="H291" s="27">
        <f>VLOOKUP($C291,Carpetas!$C$5:$M$2666,6,FALSE)</f>
        <v>0</v>
      </c>
      <c r="I291" s="220"/>
      <c r="J291" s="47">
        <f t="shared" si="12"/>
        <v>45424</v>
      </c>
      <c r="K291" s="72" t="str">
        <f>VLOOKUP($C291,Carpetas!$C$5:$M$2666,5,FALSE)</f>
        <v>Salto</v>
      </c>
      <c r="L291" s="32"/>
      <c r="M291" s="48">
        <f t="shared" si="13"/>
        <v>45425</v>
      </c>
      <c r="N291" s="26">
        <f t="shared" si="10"/>
        <v>5</v>
      </c>
      <c r="O291" s="27">
        <v>930</v>
      </c>
      <c r="P291" s="27">
        <v>931</v>
      </c>
      <c r="Q291" s="27"/>
      <c r="R291" s="27"/>
      <c r="S291" s="27" t="s">
        <v>1020</v>
      </c>
      <c r="T291" s="27"/>
      <c r="U291" s="27"/>
      <c r="V291" s="27" t="s">
        <v>1038</v>
      </c>
      <c r="W291" s="27" t="s">
        <v>167</v>
      </c>
      <c r="X291" s="73"/>
      <c r="Y291" s="73" t="e">
        <f>VLOOKUP(X291,Choferes!$B$2:$C$500,2,FALSE)</f>
        <v>#N/A</v>
      </c>
      <c r="Z291" s="73" t="s">
        <v>1022</v>
      </c>
    </row>
    <row r="292" spans="1:26" hidden="1" x14ac:dyDescent="0.25">
      <c r="A292" s="33">
        <v>19</v>
      </c>
      <c r="B292" s="71" t="s">
        <v>29</v>
      </c>
      <c r="C292" s="39" t="s">
        <v>969</v>
      </c>
      <c r="D292" s="50" t="s">
        <v>764</v>
      </c>
      <c r="E292" s="47">
        <v>45421</v>
      </c>
      <c r="F292" s="31" t="str">
        <f>VLOOKUP($C292,Carpetas!$C$5:$M$2666,2,FALSE)</f>
        <v>BRB024</v>
      </c>
      <c r="G292" s="23" t="str">
        <f>VLOOKUP($C292,Carpetas!$C$5:$M$2666,10,FALSE)</f>
        <v>149,08,74</v>
      </c>
      <c r="H292" s="27" t="str">
        <f>VLOOKUP($C292,Carpetas!$C$5:$M$2666,6,FALSE)</f>
        <v>FG</v>
      </c>
      <c r="I292" s="220"/>
      <c r="J292" s="47">
        <f t="shared" si="12"/>
        <v>45425</v>
      </c>
      <c r="K292" s="72" t="str">
        <f>VLOOKUP($C292,Carpetas!$C$5:$M$2666,5,FALSE)</f>
        <v>Rio Branco</v>
      </c>
      <c r="L292" s="32"/>
      <c r="M292" s="48">
        <f t="shared" si="13"/>
        <v>45426</v>
      </c>
      <c r="N292" s="26">
        <f t="shared" si="10"/>
        <v>5</v>
      </c>
      <c r="O292" s="27">
        <v>990</v>
      </c>
      <c r="P292" s="27">
        <v>990</v>
      </c>
      <c r="Q292" s="27"/>
      <c r="R292" s="27"/>
      <c r="S292" s="27" t="s">
        <v>1039</v>
      </c>
      <c r="T292" s="27"/>
      <c r="U292" s="27">
        <v>91</v>
      </c>
      <c r="V292" s="27" t="s">
        <v>921</v>
      </c>
      <c r="W292" s="27" t="s">
        <v>922</v>
      </c>
      <c r="X292" s="73"/>
      <c r="Y292" s="73" t="e">
        <f>VLOOKUP(X292,Choferes!$B$2:$C$500,2,FALSE)</f>
        <v>#N/A</v>
      </c>
      <c r="Z292" s="73" t="s">
        <v>1037</v>
      </c>
    </row>
    <row r="293" spans="1:26" hidden="1" x14ac:dyDescent="0.25">
      <c r="A293" s="33">
        <v>19</v>
      </c>
      <c r="B293" s="71" t="s">
        <v>29</v>
      </c>
      <c r="C293" s="39" t="s">
        <v>1040</v>
      </c>
      <c r="D293" s="50" t="s">
        <v>803</v>
      </c>
      <c r="E293" s="47">
        <v>45421</v>
      </c>
      <c r="F293" s="31" t="str">
        <f>VLOOKUP($C293,Carpetas!$C$5:$M$2666,2,FALSE)</f>
        <v>BRB027</v>
      </c>
      <c r="G293" s="23" t="str">
        <f>VLOOKUP($C293,Carpetas!$C$5:$M$2666,10,FALSE)</f>
        <v>149,21,06</v>
      </c>
      <c r="H293" s="27" t="str">
        <f>VLOOKUP($C293,Carpetas!$C$5:$M$2666,6,FALSE)</f>
        <v>FG</v>
      </c>
      <c r="I293" s="220"/>
      <c r="J293" s="47">
        <f t="shared" si="12"/>
        <v>45425</v>
      </c>
      <c r="K293" s="72" t="str">
        <f>VLOOKUP($C293,Carpetas!$C$5:$M$2666,5,FALSE)</f>
        <v>Rio Branco</v>
      </c>
      <c r="L293" s="32"/>
      <c r="M293" s="48">
        <f t="shared" si="13"/>
        <v>45426</v>
      </c>
      <c r="N293" s="26">
        <f t="shared" si="10"/>
        <v>5</v>
      </c>
      <c r="O293" s="27">
        <v>990</v>
      </c>
      <c r="P293" s="27">
        <v>972</v>
      </c>
      <c r="Q293" s="27"/>
      <c r="R293" s="27"/>
      <c r="S293" s="27" t="s">
        <v>1041</v>
      </c>
      <c r="T293" s="27"/>
      <c r="U293" s="27">
        <v>97</v>
      </c>
      <c r="V293" s="27" t="s">
        <v>1042</v>
      </c>
      <c r="W293" s="27" t="s">
        <v>906</v>
      </c>
      <c r="X293" s="73"/>
      <c r="Y293" s="73" t="e">
        <f>VLOOKUP(X293,Choferes!$B$2:$C$500,2,FALSE)</f>
        <v>#N/A</v>
      </c>
      <c r="Z293" s="73" t="s">
        <v>1043</v>
      </c>
    </row>
    <row r="294" spans="1:26" hidden="1" x14ac:dyDescent="0.25">
      <c r="A294" s="33">
        <v>19</v>
      </c>
      <c r="B294" s="71" t="s">
        <v>29</v>
      </c>
      <c r="C294" s="39" t="s">
        <v>1040</v>
      </c>
      <c r="D294" s="50" t="s">
        <v>803</v>
      </c>
      <c r="E294" s="47">
        <v>45422</v>
      </c>
      <c r="F294" s="31" t="str">
        <f>VLOOKUP($C294,Carpetas!$C$5:$M$2666,2,FALSE)</f>
        <v>BRB027</v>
      </c>
      <c r="G294" s="23" t="str">
        <f>VLOOKUP($C294,Carpetas!$C$5:$M$2666,10,FALSE)</f>
        <v>149,21,06</v>
      </c>
      <c r="H294" s="27" t="str">
        <f>VLOOKUP($C294,Carpetas!$C$5:$M$2666,6,FALSE)</f>
        <v>FG</v>
      </c>
      <c r="I294" s="220"/>
      <c r="J294" s="47">
        <v>45425</v>
      </c>
      <c r="K294" s="72" t="str">
        <f>VLOOKUP($C294,Carpetas!$C$5:$M$2666,5,FALSE)</f>
        <v>Rio Branco</v>
      </c>
      <c r="L294" s="32"/>
      <c r="M294" s="48">
        <f t="shared" si="13"/>
        <v>45426</v>
      </c>
      <c r="N294" s="26">
        <f t="shared" si="10"/>
        <v>4</v>
      </c>
      <c r="O294" s="27">
        <v>990</v>
      </c>
      <c r="P294" s="27">
        <v>972</v>
      </c>
      <c r="Q294" s="27"/>
      <c r="R294" s="27"/>
      <c r="S294" s="27" t="s">
        <v>1044</v>
      </c>
      <c r="T294" s="27"/>
      <c r="U294" s="27">
        <v>98</v>
      </c>
      <c r="V294" s="27" t="s">
        <v>1045</v>
      </c>
      <c r="W294" s="27" t="s">
        <v>977</v>
      </c>
      <c r="X294" s="73"/>
      <c r="Y294" s="73" t="e">
        <f>VLOOKUP(X294,Choferes!$B$2:$C$500,2,FALSE)</f>
        <v>#N/A</v>
      </c>
      <c r="Z294" s="73" t="s">
        <v>1043</v>
      </c>
    </row>
    <row r="295" spans="1:26" hidden="1" x14ac:dyDescent="0.25">
      <c r="A295" s="33">
        <v>19</v>
      </c>
      <c r="B295" s="71" t="s">
        <v>29</v>
      </c>
      <c r="C295" s="39" t="s">
        <v>1040</v>
      </c>
      <c r="D295" s="50" t="s">
        <v>803</v>
      </c>
      <c r="E295" s="47">
        <v>45422</v>
      </c>
      <c r="F295" s="31" t="str">
        <f>VLOOKUP($C295,Carpetas!$C$5:$M$2666,2,FALSE)</f>
        <v>BRB027</v>
      </c>
      <c r="G295" s="23" t="str">
        <f>VLOOKUP($C295,Carpetas!$C$5:$M$2666,10,FALSE)</f>
        <v>149,21,06</v>
      </c>
      <c r="H295" s="27" t="str">
        <f>VLOOKUP($C295,Carpetas!$C$5:$M$2666,6,FALSE)</f>
        <v>FG</v>
      </c>
      <c r="I295" s="220"/>
      <c r="J295" s="47">
        <v>45425</v>
      </c>
      <c r="K295" s="72" t="str">
        <f>VLOOKUP($C295,Carpetas!$C$5:$M$2666,5,FALSE)</f>
        <v>Rio Branco</v>
      </c>
      <c r="L295" s="32"/>
      <c r="M295" s="48">
        <f t="shared" si="13"/>
        <v>45426</v>
      </c>
      <c r="N295" s="26">
        <f t="shared" si="10"/>
        <v>4</v>
      </c>
      <c r="O295" s="27">
        <v>990</v>
      </c>
      <c r="P295" s="27">
        <v>972</v>
      </c>
      <c r="Q295" s="27"/>
      <c r="R295" s="27"/>
      <c r="S295" s="27" t="s">
        <v>1046</v>
      </c>
      <c r="T295" s="27"/>
      <c r="U295" s="27">
        <v>99</v>
      </c>
      <c r="V295" s="27" t="s">
        <v>1047</v>
      </c>
      <c r="W295" s="27" t="s">
        <v>1048</v>
      </c>
      <c r="X295" s="73"/>
      <c r="Y295" s="73" t="e">
        <f>VLOOKUP(X295,Choferes!$B$2:$C$500,2,FALSE)</f>
        <v>#N/A</v>
      </c>
      <c r="Z295" s="73" t="s">
        <v>1043</v>
      </c>
    </row>
    <row r="296" spans="1:26" hidden="1" x14ac:dyDescent="0.25">
      <c r="A296" s="33">
        <v>19</v>
      </c>
      <c r="B296" s="71" t="s">
        <v>29</v>
      </c>
      <c r="C296" s="39" t="s">
        <v>1006</v>
      </c>
      <c r="D296" s="50" t="s">
        <v>110</v>
      </c>
      <c r="E296" s="47">
        <v>45420</v>
      </c>
      <c r="F296" s="31" t="str">
        <f>VLOOKUP($C296,Carpetas!$C$5:$M$2666,2,FALSE)</f>
        <v>BRB026</v>
      </c>
      <c r="G296" s="23" t="str">
        <f>VLOOKUP($C296,Carpetas!$C$5:$M$2666,10,FALSE)</f>
        <v>149,12,48</v>
      </c>
      <c r="H296" s="27" t="str">
        <f>VLOOKUP($C296,Carpetas!$C$5:$M$2666,6,FALSE)</f>
        <v>Silvio</v>
      </c>
      <c r="I296" s="220"/>
      <c r="J296" s="47">
        <f>E296+4</f>
        <v>45424</v>
      </c>
      <c r="K296" s="72" t="str">
        <f>VLOOKUP($C296,Carpetas!$C$5:$M$2666,5,FALSE)</f>
        <v>Rio Branco</v>
      </c>
      <c r="L296" s="32"/>
      <c r="M296" s="48">
        <v>45427</v>
      </c>
      <c r="N296" s="26">
        <f t="shared" si="10"/>
        <v>7</v>
      </c>
      <c r="O296" s="27">
        <v>918</v>
      </c>
      <c r="P296" s="27">
        <v>919</v>
      </c>
      <c r="Q296" s="27"/>
      <c r="R296" s="27"/>
      <c r="S296" s="27" t="s">
        <v>1049</v>
      </c>
      <c r="T296" s="27"/>
      <c r="U296" s="27">
        <v>6892</v>
      </c>
      <c r="V296" s="27" t="s">
        <v>280</v>
      </c>
      <c r="W296" s="27" t="s">
        <v>281</v>
      </c>
      <c r="X296" s="73"/>
      <c r="Y296" s="73" t="e">
        <f>VLOOKUP(X296,Choferes!$B$2:$C$500,2,FALSE)</f>
        <v>#N/A</v>
      </c>
      <c r="Z296" s="73" t="s">
        <v>1050</v>
      </c>
    </row>
    <row r="297" spans="1:26" hidden="1" x14ac:dyDescent="0.25">
      <c r="A297" s="33">
        <v>19</v>
      </c>
      <c r="B297" s="71" t="s">
        <v>29</v>
      </c>
      <c r="C297" s="39" t="s">
        <v>957</v>
      </c>
      <c r="D297" s="50" t="s">
        <v>78</v>
      </c>
      <c r="E297" s="47">
        <v>45421</v>
      </c>
      <c r="F297" s="31" t="str">
        <f>VLOOKUP($C297,Carpetas!$C$5:$M$2666,2,FALSE)</f>
        <v>BRB023</v>
      </c>
      <c r="G297" s="23" t="str">
        <f>VLOOKUP($C297,Carpetas!$C$5:$M$2666,10,FALSE)</f>
        <v>149,08,28</v>
      </c>
      <c r="H297" s="27" t="str">
        <f>VLOOKUP($C297,Carpetas!$C$5:$M$2666,6,FALSE)</f>
        <v>Zanini</v>
      </c>
      <c r="I297" s="220"/>
      <c r="J297" s="47">
        <f>E297+4</f>
        <v>45425</v>
      </c>
      <c r="K297" s="72" t="str">
        <f>VLOOKUP($C297,Carpetas!$C$5:$M$2666,5,FALSE)</f>
        <v>Rio Branco</v>
      </c>
      <c r="L297" s="32"/>
      <c r="M297" s="48">
        <v>45427</v>
      </c>
      <c r="N297" s="26">
        <f t="shared" si="10"/>
        <v>6</v>
      </c>
      <c r="O297" s="27">
        <v>900</v>
      </c>
      <c r="P297" s="27">
        <v>901</v>
      </c>
      <c r="Q297" s="27"/>
      <c r="R297" s="27"/>
      <c r="S297" s="27" t="s">
        <v>1051</v>
      </c>
      <c r="T297" s="27"/>
      <c r="U297" s="27">
        <v>4423</v>
      </c>
      <c r="V297" s="27" t="s">
        <v>206</v>
      </c>
      <c r="W297" s="27" t="s">
        <v>207</v>
      </c>
      <c r="X297" s="73"/>
      <c r="Y297" s="73" t="e">
        <f>VLOOKUP(X297,Choferes!$B$2:$C$500,2,FALSE)</f>
        <v>#N/A</v>
      </c>
      <c r="Z297" s="73" t="s">
        <v>1052</v>
      </c>
    </row>
    <row r="298" spans="1:26" hidden="1" x14ac:dyDescent="0.25">
      <c r="A298" s="33">
        <v>19</v>
      </c>
      <c r="B298" s="71" t="s">
        <v>29</v>
      </c>
      <c r="C298" s="39" t="s">
        <v>957</v>
      </c>
      <c r="D298" s="50" t="s">
        <v>747</v>
      </c>
      <c r="E298" s="47">
        <v>45422</v>
      </c>
      <c r="F298" s="31" t="str">
        <f>VLOOKUP($C298,Carpetas!$C$5:$M$2666,2,FALSE)</f>
        <v>BRB023</v>
      </c>
      <c r="G298" s="23" t="str">
        <f>VLOOKUP($C298,Carpetas!$C$5:$M$2666,10,FALSE)</f>
        <v>149,08,28</v>
      </c>
      <c r="H298" s="27" t="str">
        <f>VLOOKUP($C298,Carpetas!$C$5:$M$2666,6,FALSE)</f>
        <v>Zanini</v>
      </c>
      <c r="I298" s="220"/>
      <c r="J298" s="47">
        <v>45425</v>
      </c>
      <c r="K298" s="72" t="str">
        <f>VLOOKUP($C298,Carpetas!$C$5:$M$2666,5,FALSE)</f>
        <v>Rio Branco</v>
      </c>
      <c r="L298" s="32"/>
      <c r="M298" s="48">
        <v>45427</v>
      </c>
      <c r="N298" s="26">
        <f t="shared" si="10"/>
        <v>5</v>
      </c>
      <c r="O298" s="27">
        <v>900</v>
      </c>
      <c r="P298" s="27">
        <v>901</v>
      </c>
      <c r="Q298" s="27"/>
      <c r="R298" s="27"/>
      <c r="S298" s="27" t="s">
        <v>1053</v>
      </c>
      <c r="T298" s="27"/>
      <c r="U298" s="27">
        <v>4424</v>
      </c>
      <c r="V298" s="27" t="s">
        <v>1054</v>
      </c>
      <c r="W298" s="27" t="s">
        <v>1055</v>
      </c>
      <c r="X298" s="73"/>
      <c r="Y298" s="73" t="e">
        <f>VLOOKUP(X298,Choferes!$B$2:$C$500,2,FALSE)</f>
        <v>#N/A</v>
      </c>
      <c r="Z298" s="73" t="s">
        <v>1052</v>
      </c>
    </row>
    <row r="299" spans="1:26" hidden="1" x14ac:dyDescent="0.25">
      <c r="A299" s="33">
        <v>19</v>
      </c>
      <c r="B299" s="71" t="s">
        <v>29</v>
      </c>
      <c r="C299" s="39" t="s">
        <v>1056</v>
      </c>
      <c r="D299" s="50" t="s">
        <v>121</v>
      </c>
      <c r="E299" s="47">
        <v>45423</v>
      </c>
      <c r="F299" s="31" t="str">
        <f>VLOOKUP($C299,Carpetas!$C$5:$M$2666,2,FALSE)</f>
        <v>PYB090</v>
      </c>
      <c r="G299" s="23">
        <f>VLOOKUP($C299,Carpetas!$C$5:$M$2666,10,FALSE)</f>
        <v>0</v>
      </c>
      <c r="H299" s="27">
        <f>VLOOKUP($C299,Carpetas!$C$5:$M$2666,6,FALSE)</f>
        <v>0</v>
      </c>
      <c r="I299" s="220"/>
      <c r="J299" s="47">
        <f>E299+3</f>
        <v>45426</v>
      </c>
      <c r="K299" s="72" t="str">
        <f>VLOOKUP($C299,Carpetas!$C$5:$M$2666,5,FALSE)</f>
        <v>Salto</v>
      </c>
      <c r="L299" s="32"/>
      <c r="M299" s="48">
        <f>J299+1</f>
        <v>45427</v>
      </c>
      <c r="N299" s="26">
        <f t="shared" si="10"/>
        <v>4</v>
      </c>
      <c r="O299" s="27">
        <v>990</v>
      </c>
      <c r="P299" s="27">
        <v>986</v>
      </c>
      <c r="Q299" s="27"/>
      <c r="R299" s="27"/>
      <c r="S299" s="27" t="s">
        <v>1057</v>
      </c>
      <c r="T299" s="27"/>
      <c r="U299" s="27"/>
      <c r="V299" s="27" t="s">
        <v>1058</v>
      </c>
      <c r="W299" s="27"/>
      <c r="X299" s="73"/>
      <c r="Y299" s="73" t="e">
        <f>VLOOKUP(X299,Choferes!$B$2:$C$500,2,FALSE)</f>
        <v>#N/A</v>
      </c>
      <c r="Z299" s="73" t="s">
        <v>1059</v>
      </c>
    </row>
    <row r="300" spans="1:26" hidden="1" x14ac:dyDescent="0.25">
      <c r="A300" s="33">
        <v>20</v>
      </c>
      <c r="B300" s="71" t="s">
        <v>29</v>
      </c>
      <c r="C300" s="39" t="s">
        <v>1060</v>
      </c>
      <c r="D300" s="50" t="s">
        <v>102</v>
      </c>
      <c r="E300" s="47">
        <v>45423</v>
      </c>
      <c r="F300" s="31" t="str">
        <f>VLOOKUP($C300,Carpetas!$C$5:$M$2666,2,FALSE)</f>
        <v>PYB093</v>
      </c>
      <c r="G300" s="23">
        <f>VLOOKUP($C300,Carpetas!$C$5:$M$2666,10,FALSE)</f>
        <v>0</v>
      </c>
      <c r="H300" s="27">
        <f>VLOOKUP($C300,Carpetas!$C$5:$M$2666,6,FALSE)</f>
        <v>0</v>
      </c>
      <c r="I300" s="220"/>
      <c r="J300" s="47">
        <v>45426</v>
      </c>
      <c r="K300" s="72" t="str">
        <f>VLOOKUP($C300,Carpetas!$C$5:$M$2666,5,FALSE)</f>
        <v>Salto</v>
      </c>
      <c r="L300" s="32"/>
      <c r="M300" s="48">
        <f>J300+1</f>
        <v>45427</v>
      </c>
      <c r="N300" s="26">
        <f t="shared" si="10"/>
        <v>4</v>
      </c>
      <c r="O300" s="27">
        <v>980</v>
      </c>
      <c r="P300" s="27">
        <v>981</v>
      </c>
      <c r="Q300" s="27"/>
      <c r="R300" s="27"/>
      <c r="S300" s="27" t="s">
        <v>1061</v>
      </c>
      <c r="T300" s="27"/>
      <c r="U300" s="27"/>
      <c r="V300" s="27" t="s">
        <v>156</v>
      </c>
      <c r="W300" s="27" t="s">
        <v>1062</v>
      </c>
      <c r="X300" s="73"/>
      <c r="Y300" s="73" t="e">
        <f>VLOOKUP(X300,Choferes!$B$2:$C$500,2,FALSE)</f>
        <v>#N/A</v>
      </c>
      <c r="Z300" s="73" t="s">
        <v>1063</v>
      </c>
    </row>
    <row r="301" spans="1:26" hidden="1" x14ac:dyDescent="0.25">
      <c r="A301" s="33">
        <v>20</v>
      </c>
      <c r="B301" s="71" t="s">
        <v>29</v>
      </c>
      <c r="C301" s="39" t="s">
        <v>1064</v>
      </c>
      <c r="D301" s="50" t="s">
        <v>48</v>
      </c>
      <c r="E301" s="47">
        <v>45425</v>
      </c>
      <c r="F301" s="31" t="str">
        <f>VLOOKUP($C301,Carpetas!$C$5:$M$2666,2,FALSE)</f>
        <v>PYB094</v>
      </c>
      <c r="G301" s="23">
        <f>VLOOKUP($C301,Carpetas!$C$5:$M$2666,10,FALSE)</f>
        <v>0</v>
      </c>
      <c r="H301" s="27">
        <f>VLOOKUP($C301,Carpetas!$C$5:$M$2666,6,FALSE)</f>
        <v>0</v>
      </c>
      <c r="I301" s="220"/>
      <c r="J301" s="47">
        <v>45427</v>
      </c>
      <c r="K301" s="72" t="str">
        <f>VLOOKUP($C301,Carpetas!$C$5:$M$2666,5,FALSE)</f>
        <v>Salto</v>
      </c>
      <c r="L301" s="32"/>
      <c r="M301" s="48">
        <f>J301+1</f>
        <v>45428</v>
      </c>
      <c r="N301" s="26">
        <f t="shared" si="10"/>
        <v>3</v>
      </c>
      <c r="O301" s="27">
        <v>930</v>
      </c>
      <c r="P301" s="27">
        <v>930</v>
      </c>
      <c r="Q301" s="27"/>
      <c r="R301" s="27"/>
      <c r="S301" s="27" t="s">
        <v>1065</v>
      </c>
      <c r="T301" s="27"/>
      <c r="U301" s="27"/>
      <c r="V301" s="27"/>
      <c r="W301" s="27"/>
      <c r="X301" s="73"/>
      <c r="Y301" s="73" t="e">
        <f>VLOOKUP(X301,Choferes!$B$2:$C$500,2,FALSE)</f>
        <v>#N/A</v>
      </c>
      <c r="Z301" s="73" t="s">
        <v>1066</v>
      </c>
    </row>
    <row r="302" spans="1:26" hidden="1" x14ac:dyDescent="0.25">
      <c r="A302" s="33">
        <v>20</v>
      </c>
      <c r="B302" s="71" t="s">
        <v>29</v>
      </c>
      <c r="C302" s="39" t="s">
        <v>1067</v>
      </c>
      <c r="D302" s="50" t="s">
        <v>183</v>
      </c>
      <c r="E302" s="47">
        <v>45424</v>
      </c>
      <c r="F302" s="31" t="str">
        <f>VLOOKUP($C302,Carpetas!$C$5:$M$2666,2,FALSE)</f>
        <v>PYB091</v>
      </c>
      <c r="G302" s="23">
        <f>VLOOKUP($C302,Carpetas!$C$5:$M$2666,10,FALSE)</f>
        <v>0</v>
      </c>
      <c r="H302" s="27">
        <f>VLOOKUP($C302,Carpetas!$C$5:$M$2666,6,FALSE)</f>
        <v>0</v>
      </c>
      <c r="I302" s="220"/>
      <c r="J302" s="47">
        <v>45427</v>
      </c>
      <c r="K302" s="72" t="str">
        <f>VLOOKUP($C302,Carpetas!$C$5:$M$2666,5,FALSE)</f>
        <v>Salto</v>
      </c>
      <c r="L302" s="32"/>
      <c r="M302" s="48">
        <f>J302+1+1</f>
        <v>45429</v>
      </c>
      <c r="N302" s="26">
        <f t="shared" si="10"/>
        <v>5</v>
      </c>
      <c r="O302" s="27">
        <v>980</v>
      </c>
      <c r="P302" s="27">
        <v>980</v>
      </c>
      <c r="Q302" s="27"/>
      <c r="R302" s="27"/>
      <c r="S302" s="27" t="s">
        <v>1068</v>
      </c>
      <c r="T302" s="27"/>
      <c r="U302" s="27"/>
      <c r="V302" s="27" t="s">
        <v>1069</v>
      </c>
      <c r="W302" s="27" t="s">
        <v>1070</v>
      </c>
      <c r="X302" s="73"/>
      <c r="Y302" s="73" t="e">
        <f>VLOOKUP(X302,Choferes!$B$2:$C$500,2,FALSE)</f>
        <v>#N/A</v>
      </c>
      <c r="Z302" s="73" t="s">
        <v>1071</v>
      </c>
    </row>
    <row r="303" spans="1:26" hidden="1" x14ac:dyDescent="0.25">
      <c r="A303" s="33">
        <v>20</v>
      </c>
      <c r="B303" s="71" t="s">
        <v>29</v>
      </c>
      <c r="C303" s="39" t="s">
        <v>1067</v>
      </c>
      <c r="D303" s="50" t="s">
        <v>183</v>
      </c>
      <c r="E303" s="47">
        <v>45425</v>
      </c>
      <c r="F303" s="31" t="str">
        <f>VLOOKUP($C303,Carpetas!$C$5:$M$2666,2,FALSE)</f>
        <v>PYB091</v>
      </c>
      <c r="G303" s="23">
        <f>VLOOKUP($C303,Carpetas!$C$5:$M$2666,10,FALSE)</f>
        <v>0</v>
      </c>
      <c r="H303" s="27">
        <f>VLOOKUP($C303,Carpetas!$C$5:$M$2666,6,FALSE)</f>
        <v>0</v>
      </c>
      <c r="I303" s="220"/>
      <c r="J303" s="47">
        <v>45427</v>
      </c>
      <c r="K303" s="72" t="str">
        <f>VLOOKUP($C303,Carpetas!$C$5:$M$2666,5,FALSE)</f>
        <v>Salto</v>
      </c>
      <c r="L303" s="32"/>
      <c r="M303" s="48">
        <f>J303+1+1</f>
        <v>45429</v>
      </c>
      <c r="N303" s="26">
        <f t="shared" si="10"/>
        <v>4</v>
      </c>
      <c r="O303" s="27">
        <v>980</v>
      </c>
      <c r="P303" s="27">
        <v>980</v>
      </c>
      <c r="Q303" s="27"/>
      <c r="R303" s="27"/>
      <c r="S303" s="27" t="s">
        <v>1072</v>
      </c>
      <c r="T303" s="27"/>
      <c r="U303" s="27"/>
      <c r="V303" s="27" t="s">
        <v>1073</v>
      </c>
      <c r="W303" s="27" t="s">
        <v>1074</v>
      </c>
      <c r="X303" s="73"/>
      <c r="Y303" s="73" t="e">
        <f>VLOOKUP(X303,Choferes!$B$2:$C$500,2,FALSE)</f>
        <v>#N/A</v>
      </c>
      <c r="Z303" s="73" t="s">
        <v>1071</v>
      </c>
    </row>
    <row r="304" spans="1:26" hidden="1" x14ac:dyDescent="0.25">
      <c r="A304" s="33">
        <v>20</v>
      </c>
      <c r="B304" s="71" t="s">
        <v>29</v>
      </c>
      <c r="C304" s="39" t="s">
        <v>1064</v>
      </c>
      <c r="D304" s="50" t="s">
        <v>48</v>
      </c>
      <c r="E304" s="47">
        <v>45426</v>
      </c>
      <c r="F304" s="31" t="str">
        <f>VLOOKUP($C304,Carpetas!$C$5:$M$2666,2,FALSE)</f>
        <v>PYB094</v>
      </c>
      <c r="G304" s="23">
        <f>VLOOKUP($C304,Carpetas!$C$5:$M$2666,10,FALSE)</f>
        <v>0</v>
      </c>
      <c r="H304" s="27">
        <f>VLOOKUP($C304,Carpetas!$C$5:$M$2666,6,FALSE)</f>
        <v>0</v>
      </c>
      <c r="I304" s="220"/>
      <c r="J304" s="47">
        <v>45428</v>
      </c>
      <c r="K304" s="72" t="str">
        <f>VLOOKUP($C304,Carpetas!$C$5:$M$2666,5,FALSE)</f>
        <v>Salto</v>
      </c>
      <c r="L304" s="32"/>
      <c r="M304" s="48">
        <f>J304+1</f>
        <v>45429</v>
      </c>
      <c r="N304" s="26">
        <f t="shared" si="10"/>
        <v>3</v>
      </c>
      <c r="O304" s="27">
        <v>918</v>
      </c>
      <c r="P304" s="27">
        <v>933</v>
      </c>
      <c r="Q304" s="27"/>
      <c r="R304" s="27"/>
      <c r="S304" s="27" t="s">
        <v>1075</v>
      </c>
      <c r="T304" s="27"/>
      <c r="U304" s="27"/>
      <c r="V304" s="27" t="s">
        <v>69</v>
      </c>
      <c r="W304" s="27" t="s">
        <v>835</v>
      </c>
      <c r="X304" s="73"/>
      <c r="Y304" s="73" t="e">
        <f>VLOOKUP(X304,Choferes!$B$2:$C$500,2,FALSE)</f>
        <v>#N/A</v>
      </c>
      <c r="Z304" s="73" t="s">
        <v>1076</v>
      </c>
    </row>
    <row r="305" spans="1:26" ht="30" hidden="1" x14ac:dyDescent="0.25">
      <c r="A305" s="33">
        <v>20</v>
      </c>
      <c r="B305" s="71" t="s">
        <v>29</v>
      </c>
      <c r="C305" s="39" t="s">
        <v>1040</v>
      </c>
      <c r="D305" s="50" t="s">
        <v>803</v>
      </c>
      <c r="E305" s="47">
        <v>45425</v>
      </c>
      <c r="F305" s="31" t="str">
        <f>VLOOKUP($C305,Carpetas!$C$5:$M$2666,2,FALSE)</f>
        <v>BRB027</v>
      </c>
      <c r="G305" s="23" t="str">
        <f>VLOOKUP($C305,Carpetas!$C$5:$M$2666,10,FALSE)</f>
        <v>149,21,06</v>
      </c>
      <c r="H305" s="27" t="str">
        <f>VLOOKUP($C305,Carpetas!$C$5:$M$2666,6,FALSE)</f>
        <v>FG</v>
      </c>
      <c r="I305" s="220"/>
      <c r="J305" s="47">
        <v>45428</v>
      </c>
      <c r="K305" s="72" t="str">
        <f>VLOOKUP($C305,Carpetas!$C$5:$M$2666,5,FALSE)</f>
        <v>Rio Branco</v>
      </c>
      <c r="L305" s="32"/>
      <c r="M305" s="48">
        <f>J305+1+1</f>
        <v>45430</v>
      </c>
      <c r="N305" s="26">
        <f t="shared" si="10"/>
        <v>5</v>
      </c>
      <c r="O305" s="27">
        <v>990</v>
      </c>
      <c r="P305" s="27">
        <v>990</v>
      </c>
      <c r="Q305" s="27"/>
      <c r="R305" s="27"/>
      <c r="S305" s="27" t="s">
        <v>1077</v>
      </c>
      <c r="T305" s="27"/>
      <c r="U305" s="27">
        <v>103</v>
      </c>
      <c r="V305" s="27" t="s">
        <v>873</v>
      </c>
      <c r="W305" s="27" t="s">
        <v>874</v>
      </c>
      <c r="X305" s="73"/>
      <c r="Y305" s="73" t="e">
        <f>VLOOKUP(X305,Choferes!$B$2:$C$500,2,FALSE)</f>
        <v>#N/A</v>
      </c>
      <c r="Z305" s="73" t="s">
        <v>1078</v>
      </c>
    </row>
    <row r="306" spans="1:26" ht="30" hidden="1" x14ac:dyDescent="0.25">
      <c r="A306" s="33">
        <v>20</v>
      </c>
      <c r="B306" s="71" t="s">
        <v>29</v>
      </c>
      <c r="C306" s="39" t="s">
        <v>981</v>
      </c>
      <c r="D306" s="50" t="s">
        <v>110</v>
      </c>
      <c r="E306" s="47">
        <v>45427</v>
      </c>
      <c r="F306" s="31" t="str">
        <f>VLOOKUP($C306,Carpetas!$C$5:$M$2666,2,FALSE)</f>
        <v>BRB025</v>
      </c>
      <c r="G306" s="23" t="str">
        <f>VLOOKUP($C306,Carpetas!$C$5:$M$2666,10,FALSE)</f>
        <v>148,08,76</v>
      </c>
      <c r="H306" s="27" t="str">
        <f>VLOOKUP($C306,Carpetas!$C$5:$M$2666,6,FALSE)</f>
        <v>Amaro</v>
      </c>
      <c r="I306" s="220"/>
      <c r="J306" s="47">
        <v>45428</v>
      </c>
      <c r="K306" s="72" t="str">
        <f>VLOOKUP($C306,Carpetas!$C$5:$M$2666,5,FALSE)</f>
        <v>Rio Branco</v>
      </c>
      <c r="L306" s="32"/>
      <c r="M306" s="48">
        <f>J306+1+1</f>
        <v>45430</v>
      </c>
      <c r="N306" s="26">
        <f t="shared" si="10"/>
        <v>3</v>
      </c>
      <c r="O306" s="27">
        <v>990</v>
      </c>
      <c r="P306" s="27">
        <v>990</v>
      </c>
      <c r="Q306" s="27"/>
      <c r="R306" s="27"/>
      <c r="S306" s="27" t="s">
        <v>1079</v>
      </c>
      <c r="T306" s="27"/>
      <c r="U306" s="27">
        <v>3865</v>
      </c>
      <c r="V306" s="27" t="s">
        <v>1080</v>
      </c>
      <c r="W306" s="27" t="s">
        <v>1081</v>
      </c>
      <c r="X306" s="73"/>
      <c r="Y306" s="73" t="e">
        <f>VLOOKUP(X306,Choferes!$B$2:$C$500,2,FALSE)</f>
        <v>#N/A</v>
      </c>
      <c r="Z306" s="73" t="s">
        <v>1082</v>
      </c>
    </row>
    <row r="307" spans="1:26" hidden="1" x14ac:dyDescent="0.25">
      <c r="A307" s="33">
        <v>20</v>
      </c>
      <c r="B307" s="71" t="s">
        <v>29</v>
      </c>
      <c r="C307" s="39" t="s">
        <v>1083</v>
      </c>
      <c r="D307" s="50" t="s">
        <v>121</v>
      </c>
      <c r="E307" s="47">
        <v>45425</v>
      </c>
      <c r="F307" s="31" t="str">
        <f>VLOOKUP($C307,Carpetas!$C$5:$M$2666,2,FALSE)</f>
        <v>PYB092</v>
      </c>
      <c r="G307" s="23">
        <f>VLOOKUP($C307,Carpetas!$C$5:$M$2666,10,FALSE)</f>
        <v>0</v>
      </c>
      <c r="H307" s="27">
        <f>VLOOKUP($C307,Carpetas!$C$5:$M$2666,6,FALSE)</f>
        <v>0</v>
      </c>
      <c r="I307" s="220"/>
      <c r="J307" s="47">
        <f>E307+4</f>
        <v>45429</v>
      </c>
      <c r="K307" s="72" t="str">
        <f>VLOOKUP($C307,Carpetas!$C$5:$M$2666,5,FALSE)</f>
        <v>Salto</v>
      </c>
      <c r="L307" s="32"/>
      <c r="M307" s="48">
        <f t="shared" ref="M307:M312" si="14">J307+1</f>
        <v>45430</v>
      </c>
      <c r="N307" s="26">
        <f t="shared" si="10"/>
        <v>5</v>
      </c>
      <c r="O307" s="27">
        <v>990</v>
      </c>
      <c r="P307" s="27"/>
      <c r="Q307" s="27"/>
      <c r="R307" s="27"/>
      <c r="S307" s="27"/>
      <c r="T307" s="27"/>
      <c r="U307" s="27"/>
      <c r="V307" s="27"/>
      <c r="W307" s="27"/>
      <c r="X307" s="73"/>
      <c r="Y307" s="73" t="e">
        <f>VLOOKUP(X307,Choferes!$B$2:$C$500,2,FALSE)</f>
        <v>#N/A</v>
      </c>
      <c r="Z307" s="73"/>
    </row>
    <row r="308" spans="1:26" hidden="1" x14ac:dyDescent="0.25">
      <c r="A308" s="33">
        <v>20</v>
      </c>
      <c r="B308" s="71" t="s">
        <v>29</v>
      </c>
      <c r="C308" s="39" t="s">
        <v>1067</v>
      </c>
      <c r="D308" s="50" t="s">
        <v>183</v>
      </c>
      <c r="E308" s="47">
        <v>45425</v>
      </c>
      <c r="F308" s="31" t="str">
        <f>VLOOKUP($C308,Carpetas!$C$5:$M$2666,2,FALSE)</f>
        <v>PYB091</v>
      </c>
      <c r="G308" s="23">
        <f>VLOOKUP($C308,Carpetas!$C$5:$M$2666,10,FALSE)</f>
        <v>0</v>
      </c>
      <c r="H308" s="27">
        <f>VLOOKUP($C308,Carpetas!$C$5:$M$2666,6,FALSE)</f>
        <v>0</v>
      </c>
      <c r="I308" s="220"/>
      <c r="J308" s="47">
        <f>E308+4</f>
        <v>45429</v>
      </c>
      <c r="K308" s="72" t="str">
        <f>VLOOKUP($C308,Carpetas!$C$5:$M$2666,5,FALSE)</f>
        <v>Salto</v>
      </c>
      <c r="L308" s="32"/>
      <c r="M308" s="48">
        <f t="shared" si="14"/>
        <v>45430</v>
      </c>
      <c r="N308" s="26">
        <f t="shared" si="10"/>
        <v>5</v>
      </c>
      <c r="O308" s="27">
        <v>980</v>
      </c>
      <c r="P308" s="27">
        <v>980</v>
      </c>
      <c r="Q308" s="27"/>
      <c r="R308" s="27"/>
      <c r="S308" s="27" t="s">
        <v>1084</v>
      </c>
      <c r="T308" s="27"/>
      <c r="U308" s="27"/>
      <c r="V308" s="27" t="s">
        <v>1085</v>
      </c>
      <c r="W308" s="27" t="s">
        <v>1086</v>
      </c>
      <c r="X308" s="73"/>
      <c r="Y308" s="73" t="e">
        <f>VLOOKUP(X308,Choferes!$B$2:$C$500,2,FALSE)</f>
        <v>#N/A</v>
      </c>
      <c r="Z308" s="73" t="s">
        <v>1087</v>
      </c>
    </row>
    <row r="309" spans="1:26" hidden="1" x14ac:dyDescent="0.25">
      <c r="A309" s="33">
        <v>20</v>
      </c>
      <c r="B309" s="71" t="s">
        <v>29</v>
      </c>
      <c r="C309" s="39" t="s">
        <v>1060</v>
      </c>
      <c r="D309" s="50" t="s">
        <v>102</v>
      </c>
      <c r="E309" s="47">
        <v>45426</v>
      </c>
      <c r="F309" s="31" t="str">
        <f>VLOOKUP($C309,Carpetas!$C$5:$M$2666,2,FALSE)</f>
        <v>PYB093</v>
      </c>
      <c r="G309" s="23">
        <f>VLOOKUP($C309,Carpetas!$C$5:$M$2666,10,FALSE)</f>
        <v>0</v>
      </c>
      <c r="H309" s="27">
        <f>VLOOKUP($C309,Carpetas!$C$5:$M$2666,6,FALSE)</f>
        <v>0</v>
      </c>
      <c r="I309" s="220"/>
      <c r="J309" s="47">
        <v>45429</v>
      </c>
      <c r="K309" s="72" t="str">
        <f>VLOOKUP($C309,Carpetas!$C$5:$M$2666,5,FALSE)</f>
        <v>Salto</v>
      </c>
      <c r="L309" s="32"/>
      <c r="M309" s="48">
        <f t="shared" si="14"/>
        <v>45430</v>
      </c>
      <c r="N309" s="26">
        <f t="shared" si="10"/>
        <v>4</v>
      </c>
      <c r="O309" s="27">
        <v>980</v>
      </c>
      <c r="P309" s="27">
        <v>980</v>
      </c>
      <c r="Q309" s="27"/>
      <c r="R309" s="27"/>
      <c r="S309" s="27" t="s">
        <v>1088</v>
      </c>
      <c r="T309" s="27"/>
      <c r="U309" s="27"/>
      <c r="V309" s="27" t="s">
        <v>1089</v>
      </c>
      <c r="W309" s="27"/>
      <c r="X309" s="73"/>
      <c r="Y309" s="73" t="e">
        <f>VLOOKUP(X309,Choferes!$B$2:$C$500,2,FALSE)</f>
        <v>#N/A</v>
      </c>
      <c r="Z309" s="73" t="s">
        <v>1090</v>
      </c>
    </row>
    <row r="310" spans="1:26" hidden="1" x14ac:dyDescent="0.25">
      <c r="A310" s="33">
        <v>20</v>
      </c>
      <c r="B310" s="71" t="s">
        <v>29</v>
      </c>
      <c r="C310" s="39" t="s">
        <v>1040</v>
      </c>
      <c r="D310" s="50" t="s">
        <v>803</v>
      </c>
      <c r="E310" s="47">
        <v>45427</v>
      </c>
      <c r="F310" s="31" t="str">
        <f>VLOOKUP($C310,Carpetas!$C$5:$M$2666,2,FALSE)</f>
        <v>BRB027</v>
      </c>
      <c r="G310" s="23" t="str">
        <f>VLOOKUP($C310,Carpetas!$C$5:$M$2666,10,FALSE)</f>
        <v>149,21,06</v>
      </c>
      <c r="H310" s="27" t="str">
        <f>VLOOKUP($C310,Carpetas!$C$5:$M$2666,6,FALSE)</f>
        <v>FG</v>
      </c>
      <c r="I310" s="220"/>
      <c r="J310" s="47">
        <v>45429</v>
      </c>
      <c r="K310" s="72" t="str">
        <f>VLOOKUP($C310,Carpetas!$C$5:$M$2666,5,FALSE)</f>
        <v>Rio Branco</v>
      </c>
      <c r="L310" s="32"/>
      <c r="M310" s="48">
        <f t="shared" si="14"/>
        <v>45430</v>
      </c>
      <c r="N310" s="26">
        <f t="shared" si="10"/>
        <v>3</v>
      </c>
      <c r="O310" s="27">
        <v>990</v>
      </c>
      <c r="P310" s="27">
        <v>918</v>
      </c>
      <c r="Q310" s="27"/>
      <c r="R310" s="27"/>
      <c r="S310" s="27" t="s">
        <v>1091</v>
      </c>
      <c r="T310" s="27"/>
      <c r="U310" s="27">
        <v>105</v>
      </c>
      <c r="V310" s="27" t="s">
        <v>1092</v>
      </c>
      <c r="W310" s="27" t="s">
        <v>1093</v>
      </c>
      <c r="X310" s="73"/>
      <c r="Y310" s="73" t="e">
        <f>VLOOKUP(X310,Choferes!$B$2:$C$500,2,FALSE)</f>
        <v>#N/A</v>
      </c>
      <c r="Z310" s="73" t="s">
        <v>1094</v>
      </c>
    </row>
    <row r="311" spans="1:26" hidden="1" x14ac:dyDescent="0.25">
      <c r="A311" s="33">
        <v>20</v>
      </c>
      <c r="B311" s="71" t="s">
        <v>29</v>
      </c>
      <c r="C311" s="39" t="s">
        <v>1060</v>
      </c>
      <c r="D311" s="50" t="s">
        <v>102</v>
      </c>
      <c r="E311" s="47">
        <v>45427</v>
      </c>
      <c r="F311" s="31" t="str">
        <f>VLOOKUP($C311,Carpetas!$C$5:$M$2666,2,FALSE)</f>
        <v>PYB093</v>
      </c>
      <c r="G311" s="23">
        <f>VLOOKUP($C311,Carpetas!$C$5:$M$2666,10,FALSE)</f>
        <v>0</v>
      </c>
      <c r="H311" s="27">
        <f>VLOOKUP($C311,Carpetas!$C$5:$M$2666,6,FALSE)</f>
        <v>0</v>
      </c>
      <c r="I311" s="220"/>
      <c r="J311" s="47">
        <v>45429</v>
      </c>
      <c r="K311" s="72" t="str">
        <f>VLOOKUP($C311,Carpetas!$C$5:$M$2666,5,FALSE)</f>
        <v>Salto</v>
      </c>
      <c r="L311" s="32"/>
      <c r="M311" s="48">
        <f t="shared" si="14"/>
        <v>45430</v>
      </c>
      <c r="N311" s="26">
        <f t="shared" si="10"/>
        <v>3</v>
      </c>
      <c r="O311" s="27">
        <v>980</v>
      </c>
      <c r="P311" s="27">
        <v>980</v>
      </c>
      <c r="Q311" s="27"/>
      <c r="R311" s="27"/>
      <c r="S311" s="27" t="s">
        <v>1095</v>
      </c>
      <c r="T311" s="27"/>
      <c r="U311" s="27"/>
      <c r="V311" s="27" t="s">
        <v>490</v>
      </c>
      <c r="W311" s="27"/>
      <c r="X311" s="73"/>
      <c r="Y311" s="73" t="e">
        <f>VLOOKUP(X311,Choferes!$B$2:$C$500,2,FALSE)</f>
        <v>#N/A</v>
      </c>
      <c r="Z311" s="73" t="s">
        <v>1090</v>
      </c>
    </row>
    <row r="312" spans="1:26" ht="30" hidden="1" x14ac:dyDescent="0.25">
      <c r="A312" s="33">
        <v>20</v>
      </c>
      <c r="B312" s="71" t="s">
        <v>29</v>
      </c>
      <c r="C312" s="39" t="s">
        <v>1096</v>
      </c>
      <c r="D312" s="50" t="s">
        <v>42</v>
      </c>
      <c r="E312" s="47">
        <v>45425</v>
      </c>
      <c r="F312" s="31" t="str">
        <f>VLOOKUP($C312,Carpetas!$C$5:$M$2666,2,FALSE)</f>
        <v>PYB095</v>
      </c>
      <c r="G312" s="23">
        <f>VLOOKUP($C312,Carpetas!$C$5:$M$2666,10,FALSE)</f>
        <v>0</v>
      </c>
      <c r="H312" s="27">
        <f>VLOOKUP($C312,Carpetas!$C$5:$M$2666,6,FALSE)</f>
        <v>0</v>
      </c>
      <c r="I312" s="220"/>
      <c r="J312" s="47">
        <v>45430</v>
      </c>
      <c r="K312" s="72" t="str">
        <f>VLOOKUP($C312,Carpetas!$C$5:$M$2666,5,FALSE)</f>
        <v>Salto</v>
      </c>
      <c r="L312" s="32"/>
      <c r="M312" s="48">
        <f t="shared" si="14"/>
        <v>45431</v>
      </c>
      <c r="N312" s="26">
        <f t="shared" si="10"/>
        <v>6</v>
      </c>
      <c r="O312" s="27">
        <v>980</v>
      </c>
      <c r="P312" s="27">
        <v>972</v>
      </c>
      <c r="Q312" s="27"/>
      <c r="R312" s="27"/>
      <c r="S312" s="27" t="s">
        <v>1097</v>
      </c>
      <c r="T312" s="27"/>
      <c r="U312" s="27"/>
      <c r="V312" s="27" t="s">
        <v>128</v>
      </c>
      <c r="W312" s="27"/>
      <c r="X312" s="73"/>
      <c r="Y312" s="73" t="e">
        <f>VLOOKUP(X312,Choferes!$B$2:$C$500,2,FALSE)</f>
        <v>#N/A</v>
      </c>
      <c r="Z312" s="73" t="s">
        <v>1098</v>
      </c>
    </row>
    <row r="313" spans="1:26" hidden="1" x14ac:dyDescent="0.25">
      <c r="A313" s="33">
        <v>20</v>
      </c>
      <c r="B313" s="71" t="s">
        <v>29</v>
      </c>
      <c r="C313" s="39" t="s">
        <v>957</v>
      </c>
      <c r="D313" s="50" t="s">
        <v>880</v>
      </c>
      <c r="E313" s="47">
        <v>45427</v>
      </c>
      <c r="F313" s="31" t="str">
        <f>VLOOKUP($C313,Carpetas!$C$5:$M$2666,2,FALSE)</f>
        <v>BRB023</v>
      </c>
      <c r="G313" s="23" t="str">
        <f>VLOOKUP($C313,Carpetas!$C$5:$M$2666,10,FALSE)</f>
        <v>149,08,28</v>
      </c>
      <c r="H313" s="27" t="str">
        <f>VLOOKUP($C313,Carpetas!$C$5:$M$2666,6,FALSE)</f>
        <v>Zanini</v>
      </c>
      <c r="I313" s="220"/>
      <c r="J313" s="47">
        <f>E313+4</f>
        <v>45431</v>
      </c>
      <c r="K313" s="72" t="str">
        <f>VLOOKUP($C313,Carpetas!$C$5:$M$2666,5,FALSE)</f>
        <v>Rio Branco</v>
      </c>
      <c r="L313" s="32"/>
      <c r="M313" s="48">
        <v>45433</v>
      </c>
      <c r="N313" s="26">
        <f t="shared" si="10"/>
        <v>6</v>
      </c>
      <c r="O313" s="27">
        <v>900</v>
      </c>
      <c r="P313" s="27">
        <v>900</v>
      </c>
      <c r="Q313" s="27"/>
      <c r="R313" s="27"/>
      <c r="S313" s="27" t="s">
        <v>1099</v>
      </c>
      <c r="T313" s="27"/>
      <c r="U313" s="27">
        <v>4434</v>
      </c>
      <c r="V313" s="27" t="s">
        <v>349</v>
      </c>
      <c r="W313" s="27" t="s">
        <v>350</v>
      </c>
      <c r="X313" s="73"/>
      <c r="Y313" s="73" t="e">
        <f>VLOOKUP(X313,Choferes!$B$2:$C$500,2,FALSE)</f>
        <v>#N/A</v>
      </c>
      <c r="Z313" s="73" t="s">
        <v>1100</v>
      </c>
    </row>
    <row r="314" spans="1:26" hidden="1" x14ac:dyDescent="0.25">
      <c r="A314" s="33">
        <v>20</v>
      </c>
      <c r="B314" s="71" t="s">
        <v>29</v>
      </c>
      <c r="C314" s="39" t="s">
        <v>1040</v>
      </c>
      <c r="D314" s="50" t="s">
        <v>764</v>
      </c>
      <c r="E314" s="47">
        <v>45429</v>
      </c>
      <c r="F314" s="31" t="str">
        <f>VLOOKUP($C314,Carpetas!$C$5:$M$2666,2,FALSE)</f>
        <v>BRB027</v>
      </c>
      <c r="G314" s="23" t="str">
        <f>VLOOKUP($C314,Carpetas!$C$5:$M$2666,10,FALSE)</f>
        <v>149,21,06</v>
      </c>
      <c r="H314" s="27" t="str">
        <f>VLOOKUP($C314,Carpetas!$C$5:$M$2666,6,FALSE)</f>
        <v>FG</v>
      </c>
      <c r="I314" s="220"/>
      <c r="J314" s="47">
        <f>E314+4</f>
        <v>45433</v>
      </c>
      <c r="K314" s="72" t="str">
        <f>VLOOKUP($C314,Carpetas!$C$5:$M$2666,5,FALSE)</f>
        <v>Rio Branco</v>
      </c>
      <c r="L314" s="32"/>
      <c r="M314" s="48">
        <f>J314+1</f>
        <v>45434</v>
      </c>
      <c r="N314" s="26">
        <f t="shared" si="10"/>
        <v>5</v>
      </c>
      <c r="O314" s="27">
        <v>990</v>
      </c>
      <c r="P314" s="27">
        <v>990</v>
      </c>
      <c r="Q314" s="27"/>
      <c r="R314" s="27"/>
      <c r="S314" s="27" t="s">
        <v>1101</v>
      </c>
      <c r="T314" s="27"/>
      <c r="U314" s="27">
        <v>109</v>
      </c>
      <c r="V314" s="27" t="s">
        <v>846</v>
      </c>
      <c r="W314" s="27" t="s">
        <v>847</v>
      </c>
      <c r="X314" s="73"/>
      <c r="Y314" s="73" t="e">
        <f>VLOOKUP(X314,Choferes!$B$2:$C$500,2,FALSE)</f>
        <v>#N/A</v>
      </c>
      <c r="Z314" s="73" t="s">
        <v>1102</v>
      </c>
    </row>
    <row r="315" spans="1:26" hidden="1" x14ac:dyDescent="0.25">
      <c r="A315" s="33">
        <v>20</v>
      </c>
      <c r="B315" s="71" t="s">
        <v>29</v>
      </c>
      <c r="C315" s="39" t="s">
        <v>1103</v>
      </c>
      <c r="D315" s="50" t="s">
        <v>953</v>
      </c>
      <c r="E315" s="47">
        <v>45430</v>
      </c>
      <c r="F315" s="31" t="str">
        <f>VLOOKUP($C315,Carpetas!$C$5:$M$2666,2,FALSE)</f>
        <v>BRB028</v>
      </c>
      <c r="G315" s="23" t="str">
        <f>VLOOKUP($C315,Carpetas!$C$5:$M$2666,10,FALSE)</f>
        <v>149,21,04</v>
      </c>
      <c r="H315" s="27" t="str">
        <f>VLOOKUP($C315,Carpetas!$C$5:$M$2666,6,FALSE)</f>
        <v xml:space="preserve">Silvio </v>
      </c>
      <c r="I315" s="220"/>
      <c r="J315" s="47">
        <f>E315+4</f>
        <v>45434</v>
      </c>
      <c r="K315" s="72" t="str">
        <f>VLOOKUP($C315,Carpetas!$C$5:$M$2666,5,FALSE)</f>
        <v>Rio Branco</v>
      </c>
      <c r="L315" s="32"/>
      <c r="M315" s="48">
        <f>J315+1</f>
        <v>45435</v>
      </c>
      <c r="N315" s="26">
        <f t="shared" si="10"/>
        <v>5</v>
      </c>
      <c r="O315" s="27">
        <v>918</v>
      </c>
      <c r="P315" s="27">
        <v>918</v>
      </c>
      <c r="Q315" s="27"/>
      <c r="R315" s="27"/>
      <c r="S315" s="27" t="s">
        <v>1104</v>
      </c>
      <c r="T315" s="27"/>
      <c r="U315" s="27">
        <v>6913</v>
      </c>
      <c r="V315" s="27" t="s">
        <v>1105</v>
      </c>
      <c r="W315" s="27" t="s">
        <v>1106</v>
      </c>
      <c r="X315" s="73"/>
      <c r="Y315" s="73" t="e">
        <f>VLOOKUP(X315,Choferes!$B$2:$C$500,2,FALSE)</f>
        <v>#N/A</v>
      </c>
      <c r="Z315" s="73" t="s">
        <v>1107</v>
      </c>
    </row>
    <row r="316" spans="1:26" hidden="1" x14ac:dyDescent="0.25">
      <c r="A316" s="33">
        <v>20</v>
      </c>
      <c r="B316" s="71" t="s">
        <v>29</v>
      </c>
      <c r="C316" s="39" t="s">
        <v>1083</v>
      </c>
      <c r="D316" s="50" t="s">
        <v>121</v>
      </c>
      <c r="E316" s="47">
        <v>45430</v>
      </c>
      <c r="F316" s="31" t="str">
        <f>VLOOKUP($C316,Carpetas!$C$5:$M$2666,2,FALSE)</f>
        <v>PYB092</v>
      </c>
      <c r="G316" s="23">
        <f>VLOOKUP($C316,Carpetas!$C$5:$M$2666,10,FALSE)</f>
        <v>0</v>
      </c>
      <c r="H316" s="27">
        <f>VLOOKUP($C316,Carpetas!$C$5:$M$2666,6,FALSE)</f>
        <v>0</v>
      </c>
      <c r="I316" s="220"/>
      <c r="J316" s="47">
        <f>E316+4</f>
        <v>45434</v>
      </c>
      <c r="K316" s="72" t="str">
        <f>VLOOKUP($C316,Carpetas!$C$5:$M$2666,5,FALSE)</f>
        <v>Salto</v>
      </c>
      <c r="L316" s="32"/>
      <c r="M316" s="48">
        <f>J316+1</f>
        <v>45435</v>
      </c>
      <c r="N316" s="26">
        <f t="shared" si="10"/>
        <v>5</v>
      </c>
      <c r="O316" s="27">
        <v>980</v>
      </c>
      <c r="P316" s="27">
        <v>987</v>
      </c>
      <c r="Q316" s="27"/>
      <c r="R316" s="27"/>
      <c r="S316" s="27" t="s">
        <v>1108</v>
      </c>
      <c r="T316" s="27"/>
      <c r="U316" s="27"/>
      <c r="V316" s="27" t="s">
        <v>1012</v>
      </c>
      <c r="W316" s="27" t="s">
        <v>1109</v>
      </c>
      <c r="X316" s="73"/>
      <c r="Y316" s="73" t="e">
        <f>VLOOKUP(X316,Choferes!$B$2:$C$500,2,FALSE)</f>
        <v>#N/A</v>
      </c>
      <c r="Z316" s="73" t="s">
        <v>1110</v>
      </c>
    </row>
    <row r="317" spans="1:26" hidden="1" x14ac:dyDescent="0.25">
      <c r="A317" s="33">
        <v>21</v>
      </c>
      <c r="B317" s="71" t="s">
        <v>29</v>
      </c>
      <c r="C317" s="39" t="s">
        <v>1111</v>
      </c>
      <c r="D317" s="50" t="s">
        <v>102</v>
      </c>
      <c r="E317" s="47">
        <v>45431</v>
      </c>
      <c r="F317" s="31" t="str">
        <f>VLOOKUP($C317,Carpetas!$C$5:$M$2666,2,FALSE)</f>
        <v>PYB096</v>
      </c>
      <c r="G317" s="23">
        <f>VLOOKUP($C317,Carpetas!$C$5:$M$2666,10,FALSE)</f>
        <v>0</v>
      </c>
      <c r="H317" s="27">
        <f>VLOOKUP($C317,Carpetas!$C$5:$M$2666,6,FALSE)</f>
        <v>0</v>
      </c>
      <c r="I317" s="220"/>
      <c r="J317" s="47">
        <v>45434</v>
      </c>
      <c r="K317" s="72" t="str">
        <f>VLOOKUP($C317,Carpetas!$C$5:$M$2666,5,FALSE)</f>
        <v>Salto</v>
      </c>
      <c r="L317" s="32"/>
      <c r="M317" s="48">
        <f>J317+1</f>
        <v>45435</v>
      </c>
      <c r="N317" s="26">
        <f t="shared" si="10"/>
        <v>4</v>
      </c>
      <c r="O317" s="27">
        <v>980</v>
      </c>
      <c r="P317" s="27">
        <v>981</v>
      </c>
      <c r="Q317" s="27"/>
      <c r="R317" s="27"/>
      <c r="S317" s="27" t="s">
        <v>1112</v>
      </c>
      <c r="T317" s="27"/>
      <c r="U317" s="27"/>
      <c r="V317" s="27" t="s">
        <v>1113</v>
      </c>
      <c r="W317" s="27"/>
      <c r="X317" s="73"/>
      <c r="Y317" s="73" t="e">
        <f>VLOOKUP(X317,Choferes!$B$2:$C$500,2,FALSE)</f>
        <v>#N/A</v>
      </c>
      <c r="Z317" s="73" t="s">
        <v>1114</v>
      </c>
    </row>
    <row r="318" spans="1:26" ht="30" hidden="1" x14ac:dyDescent="0.25">
      <c r="A318" s="33">
        <v>21</v>
      </c>
      <c r="B318" s="71" t="s">
        <v>29</v>
      </c>
      <c r="C318" s="39" t="s">
        <v>981</v>
      </c>
      <c r="D318" s="50" t="s">
        <v>747</v>
      </c>
      <c r="E318" s="47">
        <v>45432</v>
      </c>
      <c r="F318" s="31" t="str">
        <f>VLOOKUP($C318,Carpetas!$C$5:$M$2666,2,FALSE)</f>
        <v>BRB025</v>
      </c>
      <c r="G318" s="23" t="str">
        <f>VLOOKUP($C318,Carpetas!$C$5:$M$2666,10,FALSE)</f>
        <v>148,08,76</v>
      </c>
      <c r="H318" s="27" t="str">
        <f>VLOOKUP($C318,Carpetas!$C$5:$M$2666,6,FALSE)</f>
        <v>Amaro</v>
      </c>
      <c r="I318" s="220"/>
      <c r="J318" s="47">
        <v>45434</v>
      </c>
      <c r="K318" s="72" t="str">
        <f>VLOOKUP($C318,Carpetas!$C$5:$M$2666,5,FALSE)</f>
        <v>Rio Branco</v>
      </c>
      <c r="L318" s="32"/>
      <c r="M318" s="48">
        <v>45436</v>
      </c>
      <c r="N318" s="26">
        <f t="shared" si="10"/>
        <v>4</v>
      </c>
      <c r="O318" s="27">
        <v>990</v>
      </c>
      <c r="P318" s="27">
        <v>991</v>
      </c>
      <c r="Q318" s="27"/>
      <c r="R318" s="27"/>
      <c r="S318" s="27" t="s">
        <v>1115</v>
      </c>
      <c r="T318" s="27"/>
      <c r="U318" s="27">
        <v>3912</v>
      </c>
      <c r="V318" s="27" t="s">
        <v>1116</v>
      </c>
      <c r="W318" s="27" t="s">
        <v>1117</v>
      </c>
      <c r="X318" s="73"/>
      <c r="Y318" s="73" t="e">
        <f>VLOOKUP(X318,Choferes!$B$2:$C$500,2,FALSE)</f>
        <v>#N/A</v>
      </c>
      <c r="Z318" s="73" t="s">
        <v>1118</v>
      </c>
    </row>
    <row r="319" spans="1:26" hidden="1" x14ac:dyDescent="0.25">
      <c r="A319" s="33">
        <v>21</v>
      </c>
      <c r="B319" s="71" t="s">
        <v>29</v>
      </c>
      <c r="C319" s="39" t="s">
        <v>1111</v>
      </c>
      <c r="D319" s="50" t="s">
        <v>102</v>
      </c>
      <c r="E319" s="47">
        <v>45432</v>
      </c>
      <c r="F319" s="31" t="str">
        <f>VLOOKUP($C319,Carpetas!$C$5:$M$2666,2,FALSE)</f>
        <v>PYB096</v>
      </c>
      <c r="G319" s="23">
        <f>VLOOKUP($C319,Carpetas!$C$5:$M$2666,10,FALSE)</f>
        <v>0</v>
      </c>
      <c r="H319" s="27">
        <f>VLOOKUP($C319,Carpetas!$C$5:$M$2666,6,FALSE)</f>
        <v>0</v>
      </c>
      <c r="I319" s="220"/>
      <c r="J319" s="47">
        <v>45435</v>
      </c>
      <c r="K319" s="72" t="str">
        <f>VLOOKUP($C319,Carpetas!$C$5:$M$2666,5,FALSE)</f>
        <v>Salto</v>
      </c>
      <c r="L319" s="32"/>
      <c r="M319" s="48">
        <f>J319+1</f>
        <v>45436</v>
      </c>
      <c r="N319" s="26">
        <f t="shared" si="10"/>
        <v>4</v>
      </c>
      <c r="O319" s="27">
        <v>980</v>
      </c>
      <c r="P319" s="27">
        <v>980</v>
      </c>
      <c r="Q319" s="27"/>
      <c r="R319" s="27"/>
      <c r="S319" s="27" t="s">
        <v>1119</v>
      </c>
      <c r="T319" s="27"/>
      <c r="U319" s="27"/>
      <c r="V319" s="27" t="s">
        <v>272</v>
      </c>
      <c r="W319" s="27"/>
      <c r="X319" s="73"/>
      <c r="Y319" s="73" t="e">
        <f>VLOOKUP(X319,Choferes!$B$2:$C$500,2,FALSE)</f>
        <v>#N/A</v>
      </c>
      <c r="Z319" s="73" t="s">
        <v>1120</v>
      </c>
    </row>
    <row r="320" spans="1:26" hidden="1" x14ac:dyDescent="0.25">
      <c r="A320" s="33">
        <v>21</v>
      </c>
      <c r="B320" s="71" t="s">
        <v>29</v>
      </c>
      <c r="C320" s="39" t="s">
        <v>1121</v>
      </c>
      <c r="D320" s="50" t="s">
        <v>183</v>
      </c>
      <c r="E320" s="47">
        <v>45432</v>
      </c>
      <c r="F320" s="31" t="str">
        <f>VLOOKUP($C320,Carpetas!$C$5:$M$2666,2,FALSE)</f>
        <v>PYB097</v>
      </c>
      <c r="G320" s="23">
        <f>VLOOKUP($C320,Carpetas!$C$5:$M$2666,10,FALSE)</f>
        <v>0</v>
      </c>
      <c r="H320" s="27">
        <f>VLOOKUP($C320,Carpetas!$C$5:$M$2666,6,FALSE)</f>
        <v>0</v>
      </c>
      <c r="I320" s="220"/>
      <c r="J320" s="47">
        <v>45435</v>
      </c>
      <c r="K320" s="72" t="str">
        <f>VLOOKUP($C320,Carpetas!$C$5:$M$2666,5,FALSE)</f>
        <v>Salto</v>
      </c>
      <c r="L320" s="32"/>
      <c r="M320" s="48">
        <f>J320+1</f>
        <v>45436</v>
      </c>
      <c r="N320" s="26">
        <f t="shared" si="10"/>
        <v>4</v>
      </c>
      <c r="O320" s="27">
        <v>980</v>
      </c>
      <c r="P320" s="27">
        <v>980</v>
      </c>
      <c r="Q320" s="27"/>
      <c r="R320" s="27"/>
      <c r="S320" s="27" t="s">
        <v>1084</v>
      </c>
      <c r="T320" s="27"/>
      <c r="U320" s="27"/>
      <c r="V320" s="27" t="s">
        <v>1122</v>
      </c>
      <c r="W320" s="27" t="s">
        <v>1123</v>
      </c>
      <c r="X320" s="73"/>
      <c r="Y320" s="73" t="e">
        <f>VLOOKUP(X320,Choferes!$B$2:$C$500,2,FALSE)</f>
        <v>#N/A</v>
      </c>
      <c r="Z320" s="73" t="s">
        <v>1124</v>
      </c>
    </row>
    <row r="321" spans="1:26" hidden="1" x14ac:dyDescent="0.25">
      <c r="A321" s="33">
        <v>21</v>
      </c>
      <c r="B321" s="71" t="s">
        <v>29</v>
      </c>
      <c r="C321" s="39" t="s">
        <v>849</v>
      </c>
      <c r="D321" s="50" t="s">
        <v>249</v>
      </c>
      <c r="E321" s="47">
        <v>45433</v>
      </c>
      <c r="F321" s="31" t="str">
        <f>VLOOKUP($C321,Carpetas!$C$5:$M$2666,2,FALSE)</f>
        <v>BRB019</v>
      </c>
      <c r="G321" s="23" t="str">
        <f>VLOOKUP($C321,Carpetas!$C$5:$M$2666,10,FALSE)</f>
        <v>148,96,18</v>
      </c>
      <c r="H321" s="27" t="str">
        <f>VLOOKUP($C321,Carpetas!$C$5:$M$2666,6,FALSE)</f>
        <v>Silvio Abierto</v>
      </c>
      <c r="I321" s="220"/>
      <c r="J321" s="47">
        <v>45435</v>
      </c>
      <c r="K321" s="72" t="str">
        <f>VLOOKUP($C321,Carpetas!$C$5:$M$2666,5,FALSE)</f>
        <v>Rio Branco</v>
      </c>
      <c r="L321" s="32"/>
      <c r="M321" s="48">
        <f>J321+1</f>
        <v>45436</v>
      </c>
      <c r="N321" s="26">
        <f t="shared" si="10"/>
        <v>3</v>
      </c>
      <c r="O321" s="27">
        <v>1008</v>
      </c>
      <c r="P321" s="27">
        <v>992</v>
      </c>
      <c r="Q321" s="27"/>
      <c r="R321" s="27"/>
      <c r="S321" s="27" t="s">
        <v>1125</v>
      </c>
      <c r="T321" s="27"/>
      <c r="U321" s="27">
        <v>6857</v>
      </c>
      <c r="V321" s="27" t="s">
        <v>1126</v>
      </c>
      <c r="W321" s="27" t="s">
        <v>1127</v>
      </c>
      <c r="X321" s="73"/>
      <c r="Y321" s="73" t="e">
        <f>VLOOKUP(X321,Choferes!$B$2:$C$500,2,FALSE)</f>
        <v>#N/A</v>
      </c>
      <c r="Z321" s="73" t="s">
        <v>1128</v>
      </c>
    </row>
    <row r="322" spans="1:26" hidden="1" x14ac:dyDescent="0.25">
      <c r="A322" s="33">
        <v>21</v>
      </c>
      <c r="B322" s="71" t="s">
        <v>29</v>
      </c>
      <c r="C322" s="39" t="s">
        <v>981</v>
      </c>
      <c r="D322" s="50" t="s">
        <v>78</v>
      </c>
      <c r="E322" s="47">
        <v>45433</v>
      </c>
      <c r="F322" s="31" t="str">
        <f>VLOOKUP($C322,Carpetas!$C$5:$M$2666,2,FALSE)</f>
        <v>BRB025</v>
      </c>
      <c r="G322" s="23" t="str">
        <f>VLOOKUP($C322,Carpetas!$C$5:$M$2666,10,FALSE)</f>
        <v>148,08,76</v>
      </c>
      <c r="H322" s="27" t="str">
        <f>VLOOKUP($C322,Carpetas!$C$5:$M$2666,6,FALSE)</f>
        <v>Amaro</v>
      </c>
      <c r="I322" s="220"/>
      <c r="J322" s="47">
        <v>45435</v>
      </c>
      <c r="K322" s="72" t="str">
        <f>VLOOKUP($C322,Carpetas!$C$5:$M$2666,5,FALSE)</f>
        <v>Rio Branco</v>
      </c>
      <c r="L322" s="32"/>
      <c r="M322" s="48">
        <f>J322+1</f>
        <v>45436</v>
      </c>
      <c r="N322" s="26">
        <f t="shared" si="10"/>
        <v>3</v>
      </c>
      <c r="O322" s="27">
        <v>990</v>
      </c>
      <c r="P322" s="27">
        <v>990</v>
      </c>
      <c r="Q322" s="27"/>
      <c r="R322" s="27"/>
      <c r="S322" s="27" t="s">
        <v>1051</v>
      </c>
      <c r="T322" s="27"/>
      <c r="U322" s="27">
        <v>3916</v>
      </c>
      <c r="V322" s="27" t="s">
        <v>1092</v>
      </c>
      <c r="W322" s="27" t="s">
        <v>1093</v>
      </c>
      <c r="X322" s="73"/>
      <c r="Y322" s="73" t="e">
        <f>VLOOKUP(X322,Choferes!$B$2:$C$500,2,FALSE)</f>
        <v>#N/A</v>
      </c>
      <c r="Z322" s="73" t="s">
        <v>1129</v>
      </c>
    </row>
    <row r="323" spans="1:26" hidden="1" x14ac:dyDescent="0.25">
      <c r="A323" s="33">
        <v>21</v>
      </c>
      <c r="B323" s="71" t="s">
        <v>29</v>
      </c>
      <c r="C323" s="39" t="s">
        <v>1130</v>
      </c>
      <c r="D323" s="50" t="s">
        <v>803</v>
      </c>
      <c r="E323" s="47">
        <v>45433</v>
      </c>
      <c r="F323" s="31" t="str">
        <f>VLOOKUP($C323,Carpetas!$C$5:$M$2666,2,FALSE)</f>
        <v>BRB029</v>
      </c>
      <c r="G323" s="23">
        <f>VLOOKUP($C323,Carpetas!$C$5:$M$2666,10,FALSE)</f>
        <v>1493027</v>
      </c>
      <c r="H323" s="27" t="str">
        <f>VLOOKUP($C323,Carpetas!$C$5:$M$2666,6,FALSE)</f>
        <v>FG</v>
      </c>
      <c r="I323" s="220"/>
      <c r="J323" s="47">
        <v>45435</v>
      </c>
      <c r="K323" s="72" t="str">
        <f>VLOOKUP($C323,Carpetas!$C$5:$M$2666,5,FALSE)</f>
        <v>Rio Branco</v>
      </c>
      <c r="L323" s="32"/>
      <c r="M323" s="48">
        <f>J323+1</f>
        <v>45436</v>
      </c>
      <c r="N323" s="26">
        <f t="shared" si="10"/>
        <v>3</v>
      </c>
      <c r="O323" s="27">
        <v>990</v>
      </c>
      <c r="P323" s="27">
        <v>990</v>
      </c>
      <c r="Q323" s="27"/>
      <c r="R323" s="27"/>
      <c r="S323" s="27"/>
      <c r="T323" s="27"/>
      <c r="U323" s="27">
        <v>113</v>
      </c>
      <c r="V323" s="27" t="s">
        <v>905</v>
      </c>
      <c r="W323" s="27" t="s">
        <v>906</v>
      </c>
      <c r="X323" s="73"/>
      <c r="Y323" s="73" t="e">
        <f>VLOOKUP(X323,Choferes!$B$2:$C$500,2,FALSE)</f>
        <v>#N/A</v>
      </c>
      <c r="Z323" s="73" t="s">
        <v>1129</v>
      </c>
    </row>
    <row r="324" spans="1:26" hidden="1" x14ac:dyDescent="0.25">
      <c r="A324" s="33">
        <v>21</v>
      </c>
      <c r="B324" s="71" t="s">
        <v>29</v>
      </c>
      <c r="C324" s="39" t="s">
        <v>1131</v>
      </c>
      <c r="D324" s="50" t="s">
        <v>38</v>
      </c>
      <c r="E324" s="47">
        <v>45428</v>
      </c>
      <c r="F324" s="31" t="str">
        <f>VLOOKUP($C324,Carpetas!$C$5:$M$2666,2,FALSE)</f>
        <v>BRE011</v>
      </c>
      <c r="G324" s="23" t="str">
        <f>VLOOKUP($C324,Carpetas!$C$5:$M$2666,10,FALSE)</f>
        <v>1491766)</v>
      </c>
      <c r="H324" s="27" t="str">
        <f>VLOOKUP($C324,Carpetas!$C$5:$M$2666,6,FALSE)</f>
        <v>Silvio</v>
      </c>
      <c r="I324" s="220">
        <f>VLOOKUP($C324,Carpetas!$C$5:$M$2666,4,FALSE)</f>
        <v>0</v>
      </c>
      <c r="J324" s="47">
        <v>45435</v>
      </c>
      <c r="K324" s="72" t="str">
        <f>VLOOKUP($C324,Carpetas!$C$5:$M$2666,5,FALSE)</f>
        <v>Rio Branco</v>
      </c>
      <c r="L324" s="32"/>
      <c r="M324" s="48">
        <f>J324+1+1</f>
        <v>45437</v>
      </c>
      <c r="N324" s="26">
        <f t="shared" si="10"/>
        <v>9</v>
      </c>
      <c r="O324" s="27">
        <v>1960</v>
      </c>
      <c r="P324" s="27"/>
      <c r="Q324" s="27"/>
      <c r="R324" s="27"/>
      <c r="S324" s="27"/>
      <c r="T324" s="27"/>
      <c r="U324" s="27">
        <v>6909</v>
      </c>
      <c r="V324" s="27" t="s">
        <v>1132</v>
      </c>
      <c r="W324" s="27" t="s">
        <v>1133</v>
      </c>
      <c r="X324" s="73"/>
      <c r="Y324" s="73" t="e">
        <f>VLOOKUP(X324,Choferes!$B$2:$C$500,2,FALSE)</f>
        <v>#N/A</v>
      </c>
      <c r="Z324" s="73" t="s">
        <v>1134</v>
      </c>
    </row>
    <row r="325" spans="1:26" ht="30" hidden="1" x14ac:dyDescent="0.25">
      <c r="A325" s="33">
        <v>21</v>
      </c>
      <c r="B325" s="71" t="s">
        <v>29</v>
      </c>
      <c r="C325" s="39" t="s">
        <v>1135</v>
      </c>
      <c r="D325" s="50" t="s">
        <v>63</v>
      </c>
      <c r="E325" s="47">
        <v>45429</v>
      </c>
      <c r="F325" s="31" t="str">
        <f>VLOOKUP($C325,Carpetas!$C$5:$M$2666,2,FALSE)</f>
        <v>BRA014</v>
      </c>
      <c r="G325" s="23">
        <f>VLOOKUP($C325,Carpetas!$C$5:$M$2666,10,FALSE)</f>
        <v>0</v>
      </c>
      <c r="H325" s="27" t="str">
        <f>VLOOKUP($C325,Carpetas!$C$5:$M$2666,6,FALSE)</f>
        <v>Silvio</v>
      </c>
      <c r="I325" s="220"/>
      <c r="J325" s="47">
        <v>45435</v>
      </c>
      <c r="K325" s="72" t="str">
        <f>VLOOKUP($C325,Carpetas!$C$5:$M$2666,5,FALSE)</f>
        <v>Rio Branco</v>
      </c>
      <c r="L325" s="32"/>
      <c r="M325" s="48">
        <f>J325+1+1</f>
        <v>45437</v>
      </c>
      <c r="N325" s="26">
        <f t="shared" ref="N325:N388" si="15">IF(E325&lt;&gt;"",M325-E325,"-")</f>
        <v>8</v>
      </c>
      <c r="O325" s="27">
        <v>1104</v>
      </c>
      <c r="P325" s="27">
        <v>1103</v>
      </c>
      <c r="Q325" s="27"/>
      <c r="R325" s="27"/>
      <c r="S325" s="27" t="s">
        <v>262</v>
      </c>
      <c r="T325" s="27"/>
      <c r="U325" s="27">
        <v>6912</v>
      </c>
      <c r="V325" s="27" t="s">
        <v>1136</v>
      </c>
      <c r="W325" s="27" t="s">
        <v>1137</v>
      </c>
      <c r="X325" s="73"/>
      <c r="Y325" s="73" t="e">
        <f>VLOOKUP(X325,Choferes!$B$2:$C$500,2,FALSE)</f>
        <v>#N/A</v>
      </c>
      <c r="Z325" s="73" t="s">
        <v>1138</v>
      </c>
    </row>
    <row r="326" spans="1:26" hidden="1" x14ac:dyDescent="0.25">
      <c r="A326" s="33">
        <v>21</v>
      </c>
      <c r="B326" s="71" t="s">
        <v>29</v>
      </c>
      <c r="C326" s="39" t="s">
        <v>1130</v>
      </c>
      <c r="D326" s="50" t="s">
        <v>880</v>
      </c>
      <c r="E326" s="47">
        <v>45434</v>
      </c>
      <c r="F326" s="31" t="str">
        <f>VLOOKUP($C326,Carpetas!$C$5:$M$2666,2,FALSE)</f>
        <v>BRB029</v>
      </c>
      <c r="G326" s="23">
        <f>VLOOKUP($C326,Carpetas!$C$5:$M$2666,10,FALSE)</f>
        <v>1493027</v>
      </c>
      <c r="H326" s="27" t="str">
        <f>VLOOKUP($C326,Carpetas!$C$5:$M$2666,6,FALSE)</f>
        <v>FG</v>
      </c>
      <c r="I326" s="220"/>
      <c r="J326" s="47">
        <v>45436</v>
      </c>
      <c r="K326" s="72" t="str">
        <f>VLOOKUP($C326,Carpetas!$C$5:$M$2666,5,FALSE)</f>
        <v>Rio Branco</v>
      </c>
      <c r="L326" s="32"/>
      <c r="M326" s="48">
        <f t="shared" ref="M326:M370" si="16">J326+1</f>
        <v>45437</v>
      </c>
      <c r="N326" s="26">
        <f t="shared" si="15"/>
        <v>3</v>
      </c>
      <c r="O326" s="27">
        <v>990</v>
      </c>
      <c r="P326" s="27">
        <v>990</v>
      </c>
      <c r="Q326" s="27"/>
      <c r="R326" s="27"/>
      <c r="S326" s="27" t="s">
        <v>1139</v>
      </c>
      <c r="T326" s="27"/>
      <c r="U326" s="27">
        <v>115</v>
      </c>
      <c r="V326" s="27" t="s">
        <v>873</v>
      </c>
      <c r="W326" s="27" t="s">
        <v>874</v>
      </c>
      <c r="X326" s="73"/>
      <c r="Y326" s="73" t="e">
        <f>VLOOKUP(X326,Choferes!$B$2:$C$500,2,FALSE)</f>
        <v>#N/A</v>
      </c>
      <c r="Z326" s="73" t="s">
        <v>1140</v>
      </c>
    </row>
    <row r="327" spans="1:26" ht="30" hidden="1" x14ac:dyDescent="0.25">
      <c r="A327" s="33">
        <v>21</v>
      </c>
      <c r="B327" s="71" t="s">
        <v>29</v>
      </c>
      <c r="C327" s="39" t="s">
        <v>1130</v>
      </c>
      <c r="D327" s="50" t="s">
        <v>803</v>
      </c>
      <c r="E327" s="47">
        <v>45434</v>
      </c>
      <c r="F327" s="31" t="str">
        <f>VLOOKUP($C327,Carpetas!$C$5:$M$2666,2,FALSE)</f>
        <v>BRB029</v>
      </c>
      <c r="G327" s="23">
        <f>VLOOKUP($C327,Carpetas!$C$5:$M$2666,10,FALSE)</f>
        <v>1493027</v>
      </c>
      <c r="H327" s="27" t="str">
        <f>VLOOKUP($C327,Carpetas!$C$5:$M$2666,6,FALSE)</f>
        <v>FG</v>
      </c>
      <c r="I327" s="220"/>
      <c r="J327" s="47">
        <f>E327+4</f>
        <v>45438</v>
      </c>
      <c r="K327" s="72" t="str">
        <f>VLOOKUP($C327,Carpetas!$C$5:$M$2666,5,FALSE)</f>
        <v>Rio Branco</v>
      </c>
      <c r="L327" s="32"/>
      <c r="M327" s="48">
        <f t="shared" si="16"/>
        <v>45439</v>
      </c>
      <c r="N327" s="26">
        <f t="shared" si="15"/>
        <v>5</v>
      </c>
      <c r="O327" s="27">
        <v>990</v>
      </c>
      <c r="P327" s="27">
        <v>990</v>
      </c>
      <c r="Q327" s="27"/>
      <c r="R327" s="27"/>
      <c r="S327" s="27" t="s">
        <v>1141</v>
      </c>
      <c r="T327" s="27"/>
      <c r="U327" s="27">
        <v>116</v>
      </c>
      <c r="V327" s="27" t="s">
        <v>830</v>
      </c>
      <c r="W327" s="27" t="s">
        <v>831</v>
      </c>
      <c r="X327" s="73"/>
      <c r="Y327" s="73" t="e">
        <f>VLOOKUP(X327,Choferes!$B$2:$C$500,2,FALSE)</f>
        <v>#N/A</v>
      </c>
      <c r="Z327" s="73" t="s">
        <v>1142</v>
      </c>
    </row>
    <row r="328" spans="1:26" ht="30" hidden="1" x14ac:dyDescent="0.25">
      <c r="A328" s="33">
        <v>21</v>
      </c>
      <c r="B328" s="71" t="s">
        <v>29</v>
      </c>
      <c r="C328" s="39" t="s">
        <v>1130</v>
      </c>
      <c r="D328" s="50" t="s">
        <v>803</v>
      </c>
      <c r="E328" s="47">
        <v>45436</v>
      </c>
      <c r="F328" s="31" t="str">
        <f>VLOOKUP($C328,Carpetas!$C$5:$M$2666,2,FALSE)</f>
        <v>BRB029</v>
      </c>
      <c r="G328" s="23">
        <f>VLOOKUP($C328,Carpetas!$C$5:$M$2666,10,FALSE)</f>
        <v>1493027</v>
      </c>
      <c r="H328" s="27" t="str">
        <f>VLOOKUP($C328,Carpetas!$C$5:$M$2666,6,FALSE)</f>
        <v>FG</v>
      </c>
      <c r="I328" s="220"/>
      <c r="J328" s="47">
        <v>45439</v>
      </c>
      <c r="K328" s="72" t="str">
        <f>VLOOKUP($C328,Carpetas!$C$5:$M$2666,5,FALSE)</f>
        <v>Rio Branco</v>
      </c>
      <c r="L328" s="32"/>
      <c r="M328" s="48">
        <f t="shared" si="16"/>
        <v>45440</v>
      </c>
      <c r="N328" s="26">
        <f t="shared" si="15"/>
        <v>4</v>
      </c>
      <c r="O328" s="27">
        <v>990</v>
      </c>
      <c r="P328" s="27">
        <v>990</v>
      </c>
      <c r="Q328" s="27"/>
      <c r="R328" s="27"/>
      <c r="S328" s="27" t="s">
        <v>1143</v>
      </c>
      <c r="T328" s="27"/>
      <c r="U328" s="27">
        <v>118</v>
      </c>
      <c r="V328" s="27" t="s">
        <v>1144</v>
      </c>
      <c r="W328" s="27" t="s">
        <v>1145</v>
      </c>
      <c r="X328" s="73"/>
      <c r="Y328" s="73" t="e">
        <f>VLOOKUP(X328,Choferes!$B$2:$C$500,2,FALSE)</f>
        <v>#N/A</v>
      </c>
      <c r="Z328" s="73" t="s">
        <v>1146</v>
      </c>
    </row>
    <row r="329" spans="1:26" hidden="1" x14ac:dyDescent="0.25">
      <c r="A329" s="33">
        <v>21</v>
      </c>
      <c r="B329" s="71" t="s">
        <v>29</v>
      </c>
      <c r="C329" s="39" t="s">
        <v>1130</v>
      </c>
      <c r="D329" s="50" t="s">
        <v>764</v>
      </c>
      <c r="E329" s="47">
        <v>45436</v>
      </c>
      <c r="F329" s="31" t="str">
        <f>VLOOKUP($C329,Carpetas!$C$5:$M$2666,2,FALSE)</f>
        <v>BRB029</v>
      </c>
      <c r="G329" s="23">
        <f>VLOOKUP($C329,Carpetas!$C$5:$M$2666,10,FALSE)</f>
        <v>1493027</v>
      </c>
      <c r="H329" s="27" t="str">
        <f>VLOOKUP($C329,Carpetas!$C$5:$M$2666,6,FALSE)</f>
        <v>FG</v>
      </c>
      <c r="I329" s="220"/>
      <c r="J329" s="47">
        <v>45439</v>
      </c>
      <c r="K329" s="72" t="str">
        <f>VLOOKUP($C329,Carpetas!$C$5:$M$2666,5,FALSE)</f>
        <v>Rio Branco</v>
      </c>
      <c r="L329" s="32"/>
      <c r="M329" s="48">
        <f t="shared" si="16"/>
        <v>45440</v>
      </c>
      <c r="N329" s="26">
        <f t="shared" si="15"/>
        <v>4</v>
      </c>
      <c r="O329" s="27">
        <v>990</v>
      </c>
      <c r="P329" s="27">
        <v>990</v>
      </c>
      <c r="Q329" s="27"/>
      <c r="R329" s="27"/>
      <c r="S329" s="27" t="s">
        <v>1147</v>
      </c>
      <c r="T329" s="27"/>
      <c r="U329" s="27">
        <v>119</v>
      </c>
      <c r="V329" s="27" t="s">
        <v>1148</v>
      </c>
      <c r="W329" s="27" t="s">
        <v>1149</v>
      </c>
      <c r="X329" s="73"/>
      <c r="Y329" s="73" t="e">
        <f>VLOOKUP(X329,Choferes!$B$2:$C$500,2,FALSE)</f>
        <v>#N/A</v>
      </c>
      <c r="Z329" s="73" t="s">
        <v>1150</v>
      </c>
    </row>
    <row r="330" spans="1:26" hidden="1" x14ac:dyDescent="0.25">
      <c r="A330" s="33">
        <v>22</v>
      </c>
      <c r="B330" s="71" t="s">
        <v>29</v>
      </c>
      <c r="C330" s="39" t="s">
        <v>1130</v>
      </c>
      <c r="D330" s="50" t="s">
        <v>764</v>
      </c>
      <c r="E330" s="47">
        <v>45437</v>
      </c>
      <c r="F330" s="31" t="str">
        <f>VLOOKUP($C330,Carpetas!$C$5:$M$2666,2,FALSE)</f>
        <v>BRB029</v>
      </c>
      <c r="G330" s="23">
        <f>VLOOKUP($C330,Carpetas!$C$5:$M$2666,10,FALSE)</f>
        <v>1493027</v>
      </c>
      <c r="H330" s="27" t="str">
        <f>VLOOKUP($C330,Carpetas!$C$5:$M$2666,6,FALSE)</f>
        <v>FG</v>
      </c>
      <c r="I330" s="220"/>
      <c r="J330" s="47">
        <v>45439</v>
      </c>
      <c r="K330" s="72" t="str">
        <f>VLOOKUP($C330,Carpetas!$C$5:$M$2666,5,FALSE)</f>
        <v>Rio Branco</v>
      </c>
      <c r="L330" s="32"/>
      <c r="M330" s="48">
        <f t="shared" si="16"/>
        <v>45440</v>
      </c>
      <c r="N330" s="26">
        <f t="shared" si="15"/>
        <v>3</v>
      </c>
      <c r="O330" s="27">
        <v>990</v>
      </c>
      <c r="P330" s="27">
        <v>990</v>
      </c>
      <c r="Q330" s="27"/>
      <c r="R330" s="27"/>
      <c r="S330" s="27" t="s">
        <v>1151</v>
      </c>
      <c r="T330" s="27"/>
      <c r="U330" s="27">
        <v>121</v>
      </c>
      <c r="V330" s="27" t="s">
        <v>976</v>
      </c>
      <c r="W330" s="27" t="s">
        <v>827</v>
      </c>
      <c r="X330" s="73"/>
      <c r="Y330" s="73" t="e">
        <f>VLOOKUP(X330,Choferes!$B$2:$C$500,2,FALSE)</f>
        <v>#N/A</v>
      </c>
      <c r="Z330" s="73" t="s">
        <v>1150</v>
      </c>
    </row>
    <row r="331" spans="1:26" ht="30" hidden="1" x14ac:dyDescent="0.25">
      <c r="A331" s="33">
        <v>22</v>
      </c>
      <c r="B331" s="71" t="s">
        <v>29</v>
      </c>
      <c r="C331" s="39" t="s">
        <v>1152</v>
      </c>
      <c r="D331" s="50" t="s">
        <v>803</v>
      </c>
      <c r="E331" s="47">
        <v>45437</v>
      </c>
      <c r="F331" s="31" t="str">
        <f>VLOOKUP($C331,Carpetas!$C$5:$M$2666,2,FALSE)</f>
        <v>BRB031</v>
      </c>
      <c r="G331" s="23" t="str">
        <f>VLOOKUP($C331,Carpetas!$C$5:$M$2666,10,FALSE)</f>
        <v>149,32,84</v>
      </c>
      <c r="H331" s="27" t="str">
        <f>VLOOKUP($C331,Carpetas!$C$5:$M$2666,6,FALSE)</f>
        <v>FG</v>
      </c>
      <c r="I331" s="220"/>
      <c r="J331" s="47">
        <v>45439</v>
      </c>
      <c r="K331" s="72" t="str">
        <f>VLOOKUP($C331,Carpetas!$C$5:$M$2666,5,FALSE)</f>
        <v>Rio Branco</v>
      </c>
      <c r="L331" s="32"/>
      <c r="M331" s="48">
        <f t="shared" si="16"/>
        <v>45440</v>
      </c>
      <c r="N331" s="26">
        <f t="shared" si="15"/>
        <v>3</v>
      </c>
      <c r="O331" s="27">
        <v>990</v>
      </c>
      <c r="P331" s="27">
        <v>990</v>
      </c>
      <c r="Q331" s="27"/>
      <c r="R331" s="27"/>
      <c r="S331" s="27" t="s">
        <v>1153</v>
      </c>
      <c r="T331" s="27"/>
      <c r="U331" s="27">
        <v>123</v>
      </c>
      <c r="V331" s="27" t="s">
        <v>921</v>
      </c>
      <c r="W331" s="27" t="s">
        <v>922</v>
      </c>
      <c r="X331" s="73"/>
      <c r="Y331" s="73" t="e">
        <f>VLOOKUP(X331,Choferes!$B$2:$C$500,2,FALSE)</f>
        <v>#N/A</v>
      </c>
      <c r="Z331" s="73" t="s">
        <v>1146</v>
      </c>
    </row>
    <row r="332" spans="1:26" hidden="1" x14ac:dyDescent="0.25">
      <c r="A332" s="33">
        <v>22</v>
      </c>
      <c r="B332" s="71" t="s">
        <v>29</v>
      </c>
      <c r="C332" s="39" t="s">
        <v>1154</v>
      </c>
      <c r="D332" s="50" t="s">
        <v>880</v>
      </c>
      <c r="E332" s="47">
        <v>45437</v>
      </c>
      <c r="F332" s="31" t="str">
        <f>VLOOKUP($C332,Carpetas!$C$5:$M$2666,2,FALSE)</f>
        <v>BRB032</v>
      </c>
      <c r="G332" s="23" t="str">
        <f>VLOOKUP($C332,Carpetas!$C$5:$M$2666,10,FALSE)</f>
        <v>149,32,85</v>
      </c>
      <c r="H332" s="27" t="str">
        <f>VLOOKUP($C332,Carpetas!$C$5:$M$2666,6,FALSE)</f>
        <v>Amaro</v>
      </c>
      <c r="I332" s="220"/>
      <c r="J332" s="47">
        <v>45439</v>
      </c>
      <c r="K332" s="72" t="str">
        <f>VLOOKUP($C332,Carpetas!$C$5:$M$2666,5,FALSE)</f>
        <v>Rio Branco</v>
      </c>
      <c r="L332" s="32"/>
      <c r="M332" s="48">
        <f t="shared" si="16"/>
        <v>45440</v>
      </c>
      <c r="N332" s="26">
        <f t="shared" si="15"/>
        <v>3</v>
      </c>
      <c r="O332" s="27">
        <v>990</v>
      </c>
      <c r="P332" s="27">
        <v>990</v>
      </c>
      <c r="Q332" s="27"/>
      <c r="R332" s="27"/>
      <c r="S332" s="27" t="s">
        <v>1139</v>
      </c>
      <c r="T332" s="27"/>
      <c r="U332" s="27">
        <v>3933</v>
      </c>
      <c r="V332" s="27" t="s">
        <v>1155</v>
      </c>
      <c r="W332" s="27" t="s">
        <v>1156</v>
      </c>
      <c r="X332" s="73"/>
      <c r="Y332" s="73" t="e">
        <f>VLOOKUP(X332,Choferes!$B$2:$C$500,2,FALSE)</f>
        <v>#N/A</v>
      </c>
      <c r="Z332" s="73" t="s">
        <v>1157</v>
      </c>
    </row>
    <row r="333" spans="1:26" hidden="1" x14ac:dyDescent="0.25">
      <c r="A333" s="33">
        <v>21</v>
      </c>
      <c r="B333" s="71" t="s">
        <v>29</v>
      </c>
      <c r="C333" s="39" t="s">
        <v>849</v>
      </c>
      <c r="D333" s="50" t="s">
        <v>1158</v>
      </c>
      <c r="E333" s="47">
        <v>45438</v>
      </c>
      <c r="F333" s="31" t="str">
        <f>VLOOKUP($C333,Carpetas!$C$5:$M$2666,2,FALSE)</f>
        <v>BRB019</v>
      </c>
      <c r="G333" s="23" t="str">
        <f>VLOOKUP($C333,Carpetas!$C$5:$M$2666,10,FALSE)</f>
        <v>148,96,18</v>
      </c>
      <c r="H333" s="27" t="str">
        <f>VLOOKUP($C333,Carpetas!$C$5:$M$2666,6,FALSE)</f>
        <v>Silvio Abierto</v>
      </c>
      <c r="I333" s="220"/>
      <c r="J333" s="47">
        <v>45439</v>
      </c>
      <c r="K333" s="72" t="str">
        <f>VLOOKUP($C333,Carpetas!$C$5:$M$2666,5,FALSE)</f>
        <v>Rio Branco</v>
      </c>
      <c r="L333" s="32"/>
      <c r="M333" s="48">
        <f t="shared" si="16"/>
        <v>45440</v>
      </c>
      <c r="N333" s="26">
        <f t="shared" si="15"/>
        <v>2</v>
      </c>
      <c r="O333" s="27">
        <v>1008</v>
      </c>
      <c r="P333" s="27">
        <v>990</v>
      </c>
      <c r="Q333" s="27"/>
      <c r="R333" s="27"/>
      <c r="S333" s="27" t="s">
        <v>1159</v>
      </c>
      <c r="T333" s="27"/>
      <c r="U333" s="27">
        <v>6858</v>
      </c>
      <c r="V333" s="27" t="s">
        <v>1160</v>
      </c>
      <c r="W333" s="27" t="s">
        <v>1161</v>
      </c>
      <c r="X333" s="73"/>
      <c r="Y333" s="73" t="e">
        <f>VLOOKUP(X333,Choferes!$B$2:$C$500,2,FALSE)</f>
        <v>#N/A</v>
      </c>
      <c r="Z333" s="73" t="s">
        <v>1162</v>
      </c>
    </row>
    <row r="334" spans="1:26" ht="30" hidden="1" x14ac:dyDescent="0.25">
      <c r="A334" s="33">
        <v>21</v>
      </c>
      <c r="B334" s="71" t="s">
        <v>29</v>
      </c>
      <c r="C334" s="39" t="s">
        <v>1152</v>
      </c>
      <c r="D334" s="50" t="s">
        <v>803</v>
      </c>
      <c r="E334" s="47">
        <v>45438</v>
      </c>
      <c r="F334" s="31" t="str">
        <f>VLOOKUP($C334,Carpetas!$C$5:$M$2666,2,FALSE)</f>
        <v>BRB031</v>
      </c>
      <c r="G334" s="23" t="str">
        <f>VLOOKUP($C334,Carpetas!$C$5:$M$2666,10,FALSE)</f>
        <v>149,32,84</v>
      </c>
      <c r="H334" s="27" t="str">
        <f>VLOOKUP($C334,Carpetas!$C$5:$M$2666,6,FALSE)</f>
        <v>FG</v>
      </c>
      <c r="I334" s="220"/>
      <c r="J334" s="47">
        <v>45439</v>
      </c>
      <c r="K334" s="72" t="str">
        <f>VLOOKUP($C334,Carpetas!$C$5:$M$2666,5,FALSE)</f>
        <v>Rio Branco</v>
      </c>
      <c r="L334" s="32"/>
      <c r="M334" s="48">
        <f t="shared" si="16"/>
        <v>45440</v>
      </c>
      <c r="N334" s="26">
        <f t="shared" si="15"/>
        <v>2</v>
      </c>
      <c r="O334" s="27">
        <v>990</v>
      </c>
      <c r="P334" s="27">
        <v>990</v>
      </c>
      <c r="Q334" s="27"/>
      <c r="R334" s="27"/>
      <c r="S334" s="27" t="s">
        <v>1163</v>
      </c>
      <c r="T334" s="27"/>
      <c r="U334" s="27">
        <v>124</v>
      </c>
      <c r="V334" s="27" t="s">
        <v>1164</v>
      </c>
      <c r="W334" s="27" t="s">
        <v>1165</v>
      </c>
      <c r="X334" s="73"/>
      <c r="Y334" s="73" t="e">
        <f>VLOOKUP(X334,Choferes!$B$2:$C$500,2,FALSE)</f>
        <v>#N/A</v>
      </c>
      <c r="Z334" s="73" t="s">
        <v>1146</v>
      </c>
    </row>
    <row r="335" spans="1:26" hidden="1" x14ac:dyDescent="0.25">
      <c r="A335" s="33">
        <v>21</v>
      </c>
      <c r="B335" s="71" t="s">
        <v>29</v>
      </c>
      <c r="C335" s="39" t="s">
        <v>1166</v>
      </c>
      <c r="D335" s="50" t="s">
        <v>1167</v>
      </c>
      <c r="E335" s="47">
        <v>45434</v>
      </c>
      <c r="F335" s="31" t="str">
        <f>VLOOKUP($C335,Carpetas!$C$5:$M$2666,2,FALSE)</f>
        <v>BRE012</v>
      </c>
      <c r="G335" s="23" t="str">
        <f>VLOOKUP($C335,Carpetas!$C$5:$M$2666,10,FALSE)</f>
        <v>1492867/1492868/1492870/1492869</v>
      </c>
      <c r="H335" s="27" t="str">
        <f>VLOOKUP($C335,Carpetas!$C$5:$M$2666,6,FALSE)</f>
        <v>Silvio</v>
      </c>
      <c r="I335" s="220">
        <f>VLOOKUP($C335,Carpetas!$C$5:$M$2666,4,FALSE)</f>
        <v>0</v>
      </c>
      <c r="J335" s="47">
        <v>45440</v>
      </c>
      <c r="K335" s="72" t="str">
        <f>VLOOKUP($C335,Carpetas!$C$5:$M$2666,5,FALSE)</f>
        <v>Chuy</v>
      </c>
      <c r="L335" s="32"/>
      <c r="M335" s="48">
        <f t="shared" si="16"/>
        <v>45441</v>
      </c>
      <c r="N335" s="26">
        <f t="shared" si="15"/>
        <v>7</v>
      </c>
      <c r="O335" s="27">
        <v>1658</v>
      </c>
      <c r="P335" s="27"/>
      <c r="Q335" s="27"/>
      <c r="R335" s="27"/>
      <c r="S335" s="27"/>
      <c r="T335" s="27"/>
      <c r="U335" s="27"/>
      <c r="V335" s="27"/>
      <c r="W335" s="27"/>
      <c r="X335" s="73"/>
      <c r="Y335" s="73" t="e">
        <f>VLOOKUP(X335,Choferes!$B$2:$C$500,2,FALSE)</f>
        <v>#N/A</v>
      </c>
      <c r="Z335" s="73" t="s">
        <v>1168</v>
      </c>
    </row>
    <row r="336" spans="1:26" ht="30" hidden="1" x14ac:dyDescent="0.25">
      <c r="A336" s="33">
        <v>22</v>
      </c>
      <c r="B336" s="71" t="s">
        <v>29</v>
      </c>
      <c r="C336" s="39" t="s">
        <v>1152</v>
      </c>
      <c r="D336" s="50" t="s">
        <v>764</v>
      </c>
      <c r="E336" s="47">
        <v>45439</v>
      </c>
      <c r="F336" s="31" t="str">
        <f>VLOOKUP($C336,Carpetas!$C$5:$M$2666,2,FALSE)</f>
        <v>BRB031</v>
      </c>
      <c r="G336" s="23" t="str">
        <f>VLOOKUP($C336,Carpetas!$C$5:$M$2666,10,FALSE)</f>
        <v>149,32,84</v>
      </c>
      <c r="H336" s="27" t="str">
        <f>VLOOKUP($C336,Carpetas!$C$5:$M$2666,6,FALSE)</f>
        <v>FG</v>
      </c>
      <c r="I336" s="220"/>
      <c r="J336" s="47">
        <v>45441</v>
      </c>
      <c r="K336" s="72" t="str">
        <f>VLOOKUP($C336,Carpetas!$C$5:$M$2666,5,FALSE)</f>
        <v>Rio Branco</v>
      </c>
      <c r="L336" s="32"/>
      <c r="M336" s="48">
        <f t="shared" si="16"/>
        <v>45442</v>
      </c>
      <c r="N336" s="26">
        <f t="shared" si="15"/>
        <v>3</v>
      </c>
      <c r="O336" s="27">
        <v>990</v>
      </c>
      <c r="P336" s="27">
        <v>990</v>
      </c>
      <c r="Q336" s="27"/>
      <c r="R336" s="27"/>
      <c r="S336" s="27" t="s">
        <v>1169</v>
      </c>
      <c r="T336" s="27"/>
      <c r="U336" s="27">
        <v>128</v>
      </c>
      <c r="V336" s="27" t="s">
        <v>846</v>
      </c>
      <c r="W336" s="27" t="s">
        <v>847</v>
      </c>
      <c r="X336" s="73"/>
      <c r="Y336" s="73" t="e">
        <f>VLOOKUP(X336,Choferes!$B$2:$C$500,2,FALSE)</f>
        <v>#N/A</v>
      </c>
      <c r="Z336" s="73" t="s">
        <v>1170</v>
      </c>
    </row>
    <row r="337" spans="1:26" hidden="1" x14ac:dyDescent="0.25">
      <c r="A337" s="33">
        <v>22</v>
      </c>
      <c r="B337" s="71" t="s">
        <v>29</v>
      </c>
      <c r="C337" s="39" t="s">
        <v>1152</v>
      </c>
      <c r="D337" s="50" t="s">
        <v>803</v>
      </c>
      <c r="E337" s="47">
        <v>45439</v>
      </c>
      <c r="F337" s="31" t="str">
        <f>VLOOKUP($C337,Carpetas!$C$5:$M$2666,2,FALSE)</f>
        <v>BRB031</v>
      </c>
      <c r="G337" s="23" t="str">
        <f>VLOOKUP($C337,Carpetas!$C$5:$M$2666,10,FALSE)</f>
        <v>149,32,84</v>
      </c>
      <c r="H337" s="27" t="str">
        <f>VLOOKUP($C337,Carpetas!$C$5:$M$2666,6,FALSE)</f>
        <v>FG</v>
      </c>
      <c r="I337" s="220"/>
      <c r="J337" s="47">
        <v>45441</v>
      </c>
      <c r="K337" s="72" t="str">
        <f>VLOOKUP($C337,Carpetas!$C$5:$M$2666,5,FALSE)</f>
        <v>Rio Branco</v>
      </c>
      <c r="L337" s="32"/>
      <c r="M337" s="48">
        <f t="shared" si="16"/>
        <v>45442</v>
      </c>
      <c r="N337" s="26">
        <f t="shared" si="15"/>
        <v>3</v>
      </c>
      <c r="O337" s="27">
        <v>990</v>
      </c>
      <c r="P337" s="27"/>
      <c r="Q337" s="27"/>
      <c r="R337" s="27"/>
      <c r="S337" s="27" t="s">
        <v>1171</v>
      </c>
      <c r="T337" s="27"/>
      <c r="U337" s="27">
        <v>126</v>
      </c>
      <c r="V337" s="27" t="s">
        <v>1172</v>
      </c>
      <c r="W337" s="27" t="s">
        <v>1173</v>
      </c>
      <c r="X337" s="73"/>
      <c r="Y337" s="73" t="e">
        <f>VLOOKUP(X337,Choferes!$B$2:$C$500,2,FALSE)</f>
        <v>#N/A</v>
      </c>
      <c r="Z337" s="73" t="s">
        <v>1174</v>
      </c>
    </row>
    <row r="338" spans="1:26" hidden="1" x14ac:dyDescent="0.25">
      <c r="A338" s="33">
        <v>22</v>
      </c>
      <c r="B338" s="71" t="s">
        <v>29</v>
      </c>
      <c r="C338" s="39" t="s">
        <v>1175</v>
      </c>
      <c r="D338" s="50" t="s">
        <v>747</v>
      </c>
      <c r="E338" s="47">
        <v>45439</v>
      </c>
      <c r="F338" s="31" t="str">
        <f>VLOOKUP($C338,Carpetas!$C$5:$M$2666,2,FALSE)</f>
        <v>BRB033</v>
      </c>
      <c r="G338" s="23" t="str">
        <f>VLOOKUP($C338,Carpetas!$C$5:$M$2666,10,FALSE)</f>
        <v>149,32,86</v>
      </c>
      <c r="H338" s="27" t="str">
        <f>VLOOKUP($C338,Carpetas!$C$5:$M$2666,6,FALSE)</f>
        <v>Brod</v>
      </c>
      <c r="I338" s="220"/>
      <c r="J338" s="47">
        <v>45441</v>
      </c>
      <c r="K338" s="72" t="str">
        <f>VLOOKUP($C338,Carpetas!$C$5:$M$2666,5,FALSE)</f>
        <v>Rio Branco</v>
      </c>
      <c r="L338" s="32"/>
      <c r="M338" s="48">
        <f t="shared" si="16"/>
        <v>45442</v>
      </c>
      <c r="N338" s="26">
        <f t="shared" si="15"/>
        <v>3</v>
      </c>
      <c r="O338" s="27">
        <v>990</v>
      </c>
      <c r="P338" s="27"/>
      <c r="Q338" s="27"/>
      <c r="R338" s="27"/>
      <c r="S338" s="27" t="s">
        <v>1115</v>
      </c>
      <c r="T338" s="27"/>
      <c r="U338" s="27">
        <v>2402</v>
      </c>
      <c r="V338" s="27" t="s">
        <v>1176</v>
      </c>
      <c r="W338" s="27" t="s">
        <v>1177</v>
      </c>
      <c r="X338" s="73"/>
      <c r="Y338" s="73" t="e">
        <f>VLOOKUP(X338,Choferes!$B$2:$C$500,2,FALSE)</f>
        <v>#N/A</v>
      </c>
      <c r="Z338" s="73" t="s">
        <v>1178</v>
      </c>
    </row>
    <row r="339" spans="1:26" hidden="1" x14ac:dyDescent="0.25">
      <c r="A339" s="33">
        <v>22</v>
      </c>
      <c r="B339" s="71" t="s">
        <v>29</v>
      </c>
      <c r="C339" s="39" t="s">
        <v>1179</v>
      </c>
      <c r="D339" s="50" t="s">
        <v>102</v>
      </c>
      <c r="E339" s="47">
        <v>45439</v>
      </c>
      <c r="F339" s="31" t="str">
        <f>VLOOKUP($C339,Carpetas!$C$5:$M$2666,2,FALSE)</f>
        <v>PYB099</v>
      </c>
      <c r="G339" s="23">
        <f>VLOOKUP($C339,Carpetas!$C$5:$M$2666,10,FALSE)</f>
        <v>0</v>
      </c>
      <c r="H339" s="27">
        <f>VLOOKUP($C339,Carpetas!$C$5:$M$2666,6,FALSE)</f>
        <v>0</v>
      </c>
      <c r="I339" s="220"/>
      <c r="J339" s="47">
        <v>45441</v>
      </c>
      <c r="K339" s="72" t="str">
        <f>VLOOKUP($C339,Carpetas!$C$5:$M$2666,5,FALSE)</f>
        <v>Salto</v>
      </c>
      <c r="L339" s="32"/>
      <c r="M339" s="48">
        <f t="shared" si="16"/>
        <v>45442</v>
      </c>
      <c r="N339" s="26">
        <f t="shared" si="15"/>
        <v>3</v>
      </c>
      <c r="O339" s="27">
        <v>980</v>
      </c>
      <c r="P339" s="27">
        <v>981</v>
      </c>
      <c r="Q339" s="27"/>
      <c r="R339" s="27"/>
      <c r="S339" s="27" t="s">
        <v>1180</v>
      </c>
      <c r="T339" s="27"/>
      <c r="U339" s="27"/>
      <c r="V339" s="27" t="s">
        <v>310</v>
      </c>
      <c r="W339" s="27" t="s">
        <v>311</v>
      </c>
      <c r="X339" s="73"/>
      <c r="Y339" s="73" t="e">
        <f>VLOOKUP(X339,Choferes!$B$2:$C$500,2,FALSE)</f>
        <v>#N/A</v>
      </c>
      <c r="Z339" s="73" t="s">
        <v>1181</v>
      </c>
    </row>
    <row r="340" spans="1:26" hidden="1" x14ac:dyDescent="0.25">
      <c r="A340" s="33">
        <v>22</v>
      </c>
      <c r="B340" s="71" t="s">
        <v>29</v>
      </c>
      <c r="C340" s="39" t="s">
        <v>1182</v>
      </c>
      <c r="D340" s="50" t="s">
        <v>121</v>
      </c>
      <c r="E340" s="47">
        <v>45439</v>
      </c>
      <c r="F340" s="31" t="str">
        <f>VLOOKUP($C340,Carpetas!$C$5:$M$2666,2,FALSE)</f>
        <v>PYB098</v>
      </c>
      <c r="G340" s="23">
        <f>VLOOKUP($C340,Carpetas!$C$5:$M$2666,10,FALSE)</f>
        <v>0</v>
      </c>
      <c r="H340" s="27">
        <f>VLOOKUP($C340,Carpetas!$C$5:$M$2666,6,FALSE)</f>
        <v>0</v>
      </c>
      <c r="I340" s="220"/>
      <c r="J340" s="47">
        <v>45441</v>
      </c>
      <c r="K340" s="72" t="str">
        <f>VLOOKUP($C340,Carpetas!$C$5:$M$2666,5,FALSE)</f>
        <v>Salto</v>
      </c>
      <c r="L340" s="32"/>
      <c r="M340" s="48">
        <f t="shared" si="16"/>
        <v>45442</v>
      </c>
      <c r="N340" s="26">
        <f t="shared" si="15"/>
        <v>3</v>
      </c>
      <c r="O340" s="27">
        <v>990</v>
      </c>
      <c r="P340" s="27">
        <v>983</v>
      </c>
      <c r="Q340" s="27"/>
      <c r="R340" s="27"/>
      <c r="S340" s="27" t="s">
        <v>1183</v>
      </c>
      <c r="T340" s="27"/>
      <c r="U340" s="27"/>
      <c r="V340" s="27" t="s">
        <v>1184</v>
      </c>
      <c r="W340" s="27" t="s">
        <v>1185</v>
      </c>
      <c r="X340" s="73"/>
      <c r="Y340" s="73" t="e">
        <f>VLOOKUP(X340,Choferes!$B$2:$C$500,2,FALSE)</f>
        <v>#N/A</v>
      </c>
      <c r="Z340" s="73" t="s">
        <v>1186</v>
      </c>
    </row>
    <row r="341" spans="1:26" ht="30" hidden="1" x14ac:dyDescent="0.25">
      <c r="A341" s="33">
        <v>22</v>
      </c>
      <c r="B341" s="71" t="s">
        <v>29</v>
      </c>
      <c r="C341" s="39" t="s">
        <v>1187</v>
      </c>
      <c r="D341" s="50" t="s">
        <v>48</v>
      </c>
      <c r="E341" s="47">
        <v>45440</v>
      </c>
      <c r="F341" s="31" t="str">
        <f>VLOOKUP($C341,Carpetas!$C$5:$M$2666,2,FALSE)</f>
        <v>PYB100</v>
      </c>
      <c r="G341" s="23">
        <f>VLOOKUP($C341,Carpetas!$C$5:$M$2666,10,FALSE)</f>
        <v>0</v>
      </c>
      <c r="H341" s="27">
        <f>VLOOKUP($C341,Carpetas!$C$5:$M$2666,6,FALSE)</f>
        <v>0</v>
      </c>
      <c r="I341" s="220"/>
      <c r="J341" s="47">
        <f>E341+4</f>
        <v>45444</v>
      </c>
      <c r="K341" s="72" t="str">
        <f>VLOOKUP($C341,Carpetas!$C$5:$M$2666,5,FALSE)</f>
        <v>Salto</v>
      </c>
      <c r="L341" s="32"/>
      <c r="M341" s="48">
        <f t="shared" si="16"/>
        <v>45445</v>
      </c>
      <c r="N341" s="26">
        <f t="shared" si="15"/>
        <v>5</v>
      </c>
      <c r="O341" s="27">
        <v>930</v>
      </c>
      <c r="P341" s="27">
        <v>931</v>
      </c>
      <c r="Q341" s="27"/>
      <c r="R341" s="27"/>
      <c r="S341" s="27" t="s">
        <v>1188</v>
      </c>
      <c r="T341" s="27"/>
      <c r="U341" s="27"/>
      <c r="V341" s="27" t="s">
        <v>69</v>
      </c>
      <c r="W341" s="27" t="s">
        <v>70</v>
      </c>
      <c r="X341" s="73"/>
      <c r="Y341" s="73" t="e">
        <f>VLOOKUP(X341,Choferes!$B$2:$C$500,2,FALSE)</f>
        <v>#N/A</v>
      </c>
      <c r="Z341" s="73" t="s">
        <v>1189</v>
      </c>
    </row>
    <row r="342" spans="1:26" ht="30" hidden="1" x14ac:dyDescent="0.25">
      <c r="A342" s="33">
        <v>22</v>
      </c>
      <c r="B342" s="71" t="s">
        <v>29</v>
      </c>
      <c r="C342" s="39" t="s">
        <v>1187</v>
      </c>
      <c r="D342" s="50" t="s">
        <v>48</v>
      </c>
      <c r="E342" s="47">
        <v>45440</v>
      </c>
      <c r="F342" s="31" t="str">
        <f>VLOOKUP($C342,Carpetas!$C$5:$M$2666,2,FALSE)</f>
        <v>PYB100</v>
      </c>
      <c r="G342" s="23">
        <f>VLOOKUP($C342,Carpetas!$C$5:$M$2666,10,FALSE)</f>
        <v>0</v>
      </c>
      <c r="H342" s="27">
        <f>VLOOKUP($C342,Carpetas!$C$5:$M$2666,6,FALSE)</f>
        <v>0</v>
      </c>
      <c r="I342" s="220"/>
      <c r="J342" s="47">
        <f>E342+4</f>
        <v>45444</v>
      </c>
      <c r="K342" s="72" t="str">
        <f>VLOOKUP($C342,Carpetas!$C$5:$M$2666,5,FALSE)</f>
        <v>Salto</v>
      </c>
      <c r="L342" s="32"/>
      <c r="M342" s="48">
        <f t="shared" si="16"/>
        <v>45445</v>
      </c>
      <c r="N342" s="26">
        <f t="shared" si="15"/>
        <v>5</v>
      </c>
      <c r="O342" s="27">
        <v>930</v>
      </c>
      <c r="P342" s="27">
        <v>930</v>
      </c>
      <c r="Q342" s="27"/>
      <c r="R342" s="27"/>
      <c r="S342" s="27" t="s">
        <v>1190</v>
      </c>
      <c r="T342" s="27"/>
      <c r="U342" s="27"/>
      <c r="V342" s="27" t="s">
        <v>98</v>
      </c>
      <c r="W342" s="27" t="s">
        <v>167</v>
      </c>
      <c r="X342" s="73"/>
      <c r="Y342" s="73" t="e">
        <f>VLOOKUP(X342,Choferes!$B$2:$C$500,2,FALSE)</f>
        <v>#N/A</v>
      </c>
      <c r="Z342" s="73" t="s">
        <v>1191</v>
      </c>
    </row>
    <row r="343" spans="1:26" ht="30" hidden="1" x14ac:dyDescent="0.25">
      <c r="A343" s="33">
        <v>22</v>
      </c>
      <c r="B343" s="71" t="s">
        <v>29</v>
      </c>
      <c r="C343" s="39" t="s">
        <v>1179</v>
      </c>
      <c r="D343" s="50" t="s">
        <v>102</v>
      </c>
      <c r="E343" s="47">
        <v>45441</v>
      </c>
      <c r="F343" s="31" t="str">
        <f>VLOOKUP($C343,Carpetas!$C$5:$M$2666,2,FALSE)</f>
        <v>PYB099</v>
      </c>
      <c r="G343" s="23">
        <f>VLOOKUP($C343,Carpetas!$C$5:$M$2666,10,FALSE)</f>
        <v>0</v>
      </c>
      <c r="H343" s="27">
        <f>VLOOKUP($C343,Carpetas!$C$5:$M$2666,6,FALSE)</f>
        <v>0</v>
      </c>
      <c r="I343" s="220"/>
      <c r="J343" s="47">
        <f>E343+4</f>
        <v>45445</v>
      </c>
      <c r="K343" s="72" t="str">
        <f>VLOOKUP($C343,Carpetas!$C$5:$M$2666,5,FALSE)</f>
        <v>Salto</v>
      </c>
      <c r="L343" s="32"/>
      <c r="M343" s="48">
        <f t="shared" si="16"/>
        <v>45446</v>
      </c>
      <c r="N343" s="26">
        <f t="shared" si="15"/>
        <v>5</v>
      </c>
      <c r="O343" s="27">
        <v>980</v>
      </c>
      <c r="P343" s="27">
        <v>980</v>
      </c>
      <c r="Q343" s="27"/>
      <c r="R343" s="27"/>
      <c r="S343" s="27" t="s">
        <v>1192</v>
      </c>
      <c r="T343" s="27"/>
      <c r="U343" s="27"/>
      <c r="V343" s="27" t="s">
        <v>1193</v>
      </c>
      <c r="W343" s="27" t="s">
        <v>1194</v>
      </c>
      <c r="X343" s="73"/>
      <c r="Y343" s="73" t="e">
        <f>VLOOKUP(X343,Choferes!$B$2:$C$500,2,FALSE)</f>
        <v>#N/A</v>
      </c>
      <c r="Z343" s="73" t="s">
        <v>1195</v>
      </c>
    </row>
    <row r="344" spans="1:26" hidden="1" x14ac:dyDescent="0.25">
      <c r="A344" s="33">
        <v>22</v>
      </c>
      <c r="B344" s="71" t="s">
        <v>29</v>
      </c>
      <c r="C344" s="39" t="s">
        <v>1152</v>
      </c>
      <c r="D344" s="50" t="s">
        <v>803</v>
      </c>
      <c r="E344" s="47">
        <v>45443</v>
      </c>
      <c r="F344" s="31" t="str">
        <f>VLOOKUP($C344,Carpetas!$C$5:$M$2666,2,FALSE)</f>
        <v>BRB031</v>
      </c>
      <c r="G344" s="23" t="str">
        <f>VLOOKUP($C344,Carpetas!$C$5:$M$2666,10,FALSE)</f>
        <v>149,32,84</v>
      </c>
      <c r="H344" s="27" t="str">
        <f>VLOOKUP($C344,Carpetas!$C$5:$M$2666,6,FALSE)</f>
        <v>FG</v>
      </c>
      <c r="I344" s="220"/>
      <c r="J344" s="47">
        <v>45446</v>
      </c>
      <c r="K344" s="72" t="str">
        <f>VLOOKUP($C344,Carpetas!$C$5:$M$2666,5,FALSE)</f>
        <v>Rio Branco</v>
      </c>
      <c r="L344" s="32"/>
      <c r="M344" s="48">
        <f t="shared" si="16"/>
        <v>45447</v>
      </c>
      <c r="N344" s="26">
        <f t="shared" si="15"/>
        <v>4</v>
      </c>
      <c r="O344" s="27">
        <v>990</v>
      </c>
      <c r="P344" s="27">
        <v>990</v>
      </c>
      <c r="Q344" s="27"/>
      <c r="R344" s="27"/>
      <c r="S344" s="27" t="s">
        <v>1196</v>
      </c>
      <c r="T344" s="27"/>
      <c r="U344" s="27">
        <v>133</v>
      </c>
      <c r="V344" s="27" t="s">
        <v>976</v>
      </c>
      <c r="W344" s="27" t="s">
        <v>827</v>
      </c>
      <c r="X344" s="73"/>
      <c r="Y344" s="73" t="e">
        <f>VLOOKUP(X344,Choferes!$B$2:$C$500,2,FALSE)</f>
        <v>#N/A</v>
      </c>
      <c r="Z344" s="73" t="s">
        <v>1197</v>
      </c>
    </row>
    <row r="345" spans="1:26" hidden="1" x14ac:dyDescent="0.25">
      <c r="A345" s="33">
        <v>22</v>
      </c>
      <c r="B345" s="71" t="s">
        <v>29</v>
      </c>
      <c r="C345" s="39" t="s">
        <v>1152</v>
      </c>
      <c r="D345" s="50" t="s">
        <v>764</v>
      </c>
      <c r="E345" s="47">
        <v>45444</v>
      </c>
      <c r="F345" s="31" t="str">
        <f>VLOOKUP($C345,Carpetas!$C$5:$M$2666,2,FALSE)</f>
        <v>BRB031</v>
      </c>
      <c r="G345" s="23" t="str">
        <f>VLOOKUP($C345,Carpetas!$C$5:$M$2666,10,FALSE)</f>
        <v>149,32,84</v>
      </c>
      <c r="H345" s="27" t="str">
        <f>VLOOKUP($C345,Carpetas!$C$5:$M$2666,6,FALSE)</f>
        <v>FG</v>
      </c>
      <c r="I345" s="220"/>
      <c r="J345" s="47">
        <v>45446</v>
      </c>
      <c r="K345" s="72" t="str">
        <f>VLOOKUP($C345,Carpetas!$C$5:$M$2666,5,FALSE)</f>
        <v>Rio Branco</v>
      </c>
      <c r="L345" s="32"/>
      <c r="M345" s="48">
        <f t="shared" si="16"/>
        <v>45447</v>
      </c>
      <c r="N345" s="26">
        <f t="shared" si="15"/>
        <v>3</v>
      </c>
      <c r="O345" s="27">
        <v>990</v>
      </c>
      <c r="P345" s="27">
        <v>990</v>
      </c>
      <c r="Q345" s="27"/>
      <c r="R345" s="27"/>
      <c r="S345" s="27" t="s">
        <v>1198</v>
      </c>
      <c r="T345" s="27"/>
      <c r="U345" s="27">
        <v>131</v>
      </c>
      <c r="V345" s="27" t="s">
        <v>921</v>
      </c>
      <c r="W345" s="27" t="s">
        <v>922</v>
      </c>
      <c r="X345" s="73"/>
      <c r="Y345" s="73" t="e">
        <f>VLOOKUP(X345,Choferes!$B$2:$C$500,2,FALSE)</f>
        <v>#N/A</v>
      </c>
      <c r="Z345" s="73" t="s">
        <v>1199</v>
      </c>
    </row>
    <row r="346" spans="1:26" ht="30" hidden="1" x14ac:dyDescent="0.25">
      <c r="A346" s="33">
        <v>23</v>
      </c>
      <c r="B346" s="71" t="s">
        <v>29</v>
      </c>
      <c r="C346" s="39" t="s">
        <v>1200</v>
      </c>
      <c r="D346" s="50" t="s">
        <v>183</v>
      </c>
      <c r="E346" s="47">
        <v>45444</v>
      </c>
      <c r="F346" s="31" t="str">
        <f>VLOOKUP($C346,Carpetas!$C$5:$M$2666,2,FALSE)</f>
        <v>PYB102</v>
      </c>
      <c r="G346" s="23">
        <f>VLOOKUP($C346,Carpetas!$C$5:$M$2666,10,FALSE)</f>
        <v>0</v>
      </c>
      <c r="H346" s="27">
        <f>VLOOKUP($C346,Carpetas!$C$5:$M$2666,6,FALSE)</f>
        <v>0</v>
      </c>
      <c r="I346" s="220"/>
      <c r="J346" s="47">
        <v>45447</v>
      </c>
      <c r="K346" s="72" t="str">
        <f>VLOOKUP($C346,Carpetas!$C$5:$M$2666,5,FALSE)</f>
        <v>Salto</v>
      </c>
      <c r="L346" s="32"/>
      <c r="M346" s="48">
        <f t="shared" si="16"/>
        <v>45448</v>
      </c>
      <c r="N346" s="26">
        <f t="shared" si="15"/>
        <v>4</v>
      </c>
      <c r="O346" s="27">
        <v>980</v>
      </c>
      <c r="P346" s="27">
        <v>982</v>
      </c>
      <c r="Q346" s="27"/>
      <c r="R346" s="27"/>
      <c r="S346" s="27" t="s">
        <v>1201</v>
      </c>
      <c r="T346" s="27"/>
      <c r="U346" s="27"/>
      <c r="V346" s="27" t="s">
        <v>1202</v>
      </c>
      <c r="W346" s="27" t="s">
        <v>1203</v>
      </c>
      <c r="X346" s="73"/>
      <c r="Y346" s="73" t="e">
        <f>VLOOKUP(X346,Choferes!$B$2:$C$500,2,FALSE)</f>
        <v>#N/A</v>
      </c>
      <c r="Z346" s="73" t="s">
        <v>1204</v>
      </c>
    </row>
    <row r="347" spans="1:26" hidden="1" x14ac:dyDescent="0.25">
      <c r="A347" s="33">
        <v>22</v>
      </c>
      <c r="B347" s="71" t="s">
        <v>29</v>
      </c>
      <c r="C347" s="39" t="s">
        <v>1103</v>
      </c>
      <c r="D347" s="50" t="s">
        <v>249</v>
      </c>
      <c r="E347" s="47">
        <v>45444</v>
      </c>
      <c r="F347" s="31" t="str">
        <f>VLOOKUP($C347,Carpetas!$C$5:$M$2666,2,FALSE)</f>
        <v>BRB028</v>
      </c>
      <c r="G347" s="23" t="str">
        <f>VLOOKUP($C347,Carpetas!$C$5:$M$2666,10,FALSE)</f>
        <v>149,21,04</v>
      </c>
      <c r="H347" s="27" t="str">
        <f>VLOOKUP($C347,Carpetas!$C$5:$M$2666,6,FALSE)</f>
        <v xml:space="preserve">Silvio </v>
      </c>
      <c r="I347" s="220"/>
      <c r="J347" s="47">
        <f>E347+4</f>
        <v>45448</v>
      </c>
      <c r="K347" s="72" t="str">
        <f>VLOOKUP($C347,Carpetas!$C$5:$M$2666,5,FALSE)</f>
        <v>Rio Branco</v>
      </c>
      <c r="L347" s="32"/>
      <c r="M347" s="48">
        <f t="shared" si="16"/>
        <v>45449</v>
      </c>
      <c r="N347" s="26">
        <f t="shared" si="15"/>
        <v>5</v>
      </c>
      <c r="O347" s="27">
        <v>918</v>
      </c>
      <c r="P347" s="27">
        <v>919</v>
      </c>
      <c r="Q347" s="27"/>
      <c r="R347" s="27"/>
      <c r="S347" s="27" t="s">
        <v>1125</v>
      </c>
      <c r="T347" s="27"/>
      <c r="U347" s="27">
        <v>6915</v>
      </c>
      <c r="V347" s="27" t="s">
        <v>1205</v>
      </c>
      <c r="W347" s="27" t="s">
        <v>801</v>
      </c>
      <c r="X347" s="73"/>
      <c r="Y347" s="73" t="e">
        <f>VLOOKUP(X347,Choferes!$B$2:$C$500,2,FALSE)</f>
        <v>#N/A</v>
      </c>
      <c r="Z347" s="73" t="s">
        <v>1206</v>
      </c>
    </row>
    <row r="348" spans="1:26" hidden="1" x14ac:dyDescent="0.25">
      <c r="A348" s="33">
        <v>22</v>
      </c>
      <c r="B348" s="71" t="s">
        <v>29</v>
      </c>
      <c r="C348" s="39" t="s">
        <v>1103</v>
      </c>
      <c r="D348" s="50" t="s">
        <v>803</v>
      </c>
      <c r="E348" s="47">
        <v>45444</v>
      </c>
      <c r="F348" s="31" t="str">
        <f>VLOOKUP($C348,Carpetas!$C$5:$M$2666,2,FALSE)</f>
        <v>BRB028</v>
      </c>
      <c r="G348" s="23" t="str">
        <f>VLOOKUP($C348,Carpetas!$C$5:$M$2666,10,FALSE)</f>
        <v>149,21,04</v>
      </c>
      <c r="H348" s="27" t="str">
        <f>VLOOKUP($C348,Carpetas!$C$5:$M$2666,6,FALSE)</f>
        <v xml:space="preserve">Silvio </v>
      </c>
      <c r="I348" s="220"/>
      <c r="J348" s="47">
        <f>E348+4</f>
        <v>45448</v>
      </c>
      <c r="K348" s="72" t="str">
        <f>VLOOKUP($C348,Carpetas!$C$5:$M$2666,5,FALSE)</f>
        <v>Rio Branco</v>
      </c>
      <c r="L348" s="32"/>
      <c r="M348" s="48">
        <f t="shared" si="16"/>
        <v>45449</v>
      </c>
      <c r="N348" s="26">
        <f t="shared" si="15"/>
        <v>5</v>
      </c>
      <c r="O348" s="27">
        <v>918</v>
      </c>
      <c r="P348" s="27">
        <v>882</v>
      </c>
      <c r="Q348" s="27"/>
      <c r="R348" s="27"/>
      <c r="S348" s="27" t="s">
        <v>1207</v>
      </c>
      <c r="T348" s="27"/>
      <c r="U348" s="27">
        <v>6914</v>
      </c>
      <c r="V348" s="27" t="s">
        <v>363</v>
      </c>
      <c r="W348" s="27" t="s">
        <v>364</v>
      </c>
      <c r="X348" s="73"/>
      <c r="Y348" s="73" t="e">
        <f>VLOOKUP(X348,Choferes!$B$2:$C$500,2,FALSE)</f>
        <v>#N/A</v>
      </c>
      <c r="Z348" s="73" t="s">
        <v>1208</v>
      </c>
    </row>
    <row r="349" spans="1:26" hidden="1" x14ac:dyDescent="0.25">
      <c r="A349" s="33">
        <v>22</v>
      </c>
      <c r="B349" s="71" t="s">
        <v>29</v>
      </c>
      <c r="C349" s="39" t="s">
        <v>1209</v>
      </c>
      <c r="D349" s="50" t="s">
        <v>78</v>
      </c>
      <c r="E349" s="47">
        <v>45444</v>
      </c>
      <c r="F349" s="31" t="str">
        <f>VLOOKUP($C349,Carpetas!$C$5:$M$2666,2,FALSE)</f>
        <v>BRB030</v>
      </c>
      <c r="G349" s="23" t="str">
        <f>VLOOKUP($C349,Carpetas!$C$5:$M$2666,10,FALSE)</f>
        <v>149,32,83</v>
      </c>
      <c r="H349" s="27" t="str">
        <f>VLOOKUP($C349,Carpetas!$C$5:$M$2666,6,FALSE)</f>
        <v>Zanini</v>
      </c>
      <c r="I349" s="220"/>
      <c r="J349" s="47">
        <f>E349+4</f>
        <v>45448</v>
      </c>
      <c r="K349" s="72" t="str">
        <f>VLOOKUP($C349,Carpetas!$C$5:$M$2666,5,FALSE)</f>
        <v>Rio Branco</v>
      </c>
      <c r="L349" s="32"/>
      <c r="M349" s="48">
        <f t="shared" si="16"/>
        <v>45449</v>
      </c>
      <c r="N349" s="26">
        <f t="shared" si="15"/>
        <v>5</v>
      </c>
      <c r="O349" s="27">
        <v>900</v>
      </c>
      <c r="P349" s="27">
        <v>901</v>
      </c>
      <c r="Q349" s="27"/>
      <c r="R349" s="27"/>
      <c r="S349" s="27" t="s">
        <v>1210</v>
      </c>
      <c r="T349" s="27"/>
      <c r="U349" s="27">
        <v>4470</v>
      </c>
      <c r="V349" s="27" t="s">
        <v>371</v>
      </c>
      <c r="W349" s="27" t="s">
        <v>372</v>
      </c>
      <c r="X349" s="73"/>
      <c r="Y349" s="73" t="e">
        <f>VLOOKUP(X349,Choferes!$B$2:$C$500,2,FALSE)</f>
        <v>#N/A</v>
      </c>
      <c r="Z349" s="73" t="s">
        <v>1211</v>
      </c>
    </row>
    <row r="350" spans="1:26" hidden="1" x14ac:dyDescent="0.25">
      <c r="A350" s="33">
        <v>22</v>
      </c>
      <c r="B350" s="71" t="s">
        <v>29</v>
      </c>
      <c r="C350" s="39" t="s">
        <v>1154</v>
      </c>
      <c r="D350" s="50" t="s">
        <v>953</v>
      </c>
      <c r="E350" s="47">
        <v>45444</v>
      </c>
      <c r="F350" s="31" t="str">
        <f>VLOOKUP($C350,Carpetas!$C$5:$M$2666,2,FALSE)</f>
        <v>BRB032</v>
      </c>
      <c r="G350" s="23" t="str">
        <f>VLOOKUP($C350,Carpetas!$C$5:$M$2666,10,FALSE)</f>
        <v>149,32,85</v>
      </c>
      <c r="H350" s="27" t="str">
        <f>VLOOKUP($C350,Carpetas!$C$5:$M$2666,6,FALSE)</f>
        <v>Amaro</v>
      </c>
      <c r="I350" s="220"/>
      <c r="J350" s="47">
        <f>E350+4</f>
        <v>45448</v>
      </c>
      <c r="K350" s="72" t="str">
        <f>VLOOKUP($C350,Carpetas!$C$5:$M$2666,5,FALSE)</f>
        <v>Rio Branco</v>
      </c>
      <c r="L350" s="32"/>
      <c r="M350" s="48">
        <f t="shared" si="16"/>
        <v>45449</v>
      </c>
      <c r="N350" s="26">
        <f t="shared" si="15"/>
        <v>5</v>
      </c>
      <c r="O350" s="27">
        <v>990</v>
      </c>
      <c r="P350" s="27">
        <v>990</v>
      </c>
      <c r="Q350" s="27"/>
      <c r="R350" s="27"/>
      <c r="S350" s="27" t="s">
        <v>1212</v>
      </c>
      <c r="T350" s="27"/>
      <c r="U350" s="27">
        <v>3977</v>
      </c>
      <c r="V350" s="27" t="s">
        <v>1155</v>
      </c>
      <c r="W350" s="27" t="s">
        <v>1213</v>
      </c>
      <c r="X350" s="73"/>
      <c r="Y350" s="73" t="e">
        <f>VLOOKUP(X350,Choferes!$B$2:$C$500,2,FALSE)</f>
        <v>#N/A</v>
      </c>
      <c r="Z350" s="73" t="s">
        <v>1214</v>
      </c>
    </row>
    <row r="351" spans="1:26" hidden="1" x14ac:dyDescent="0.25">
      <c r="A351" s="33">
        <v>22</v>
      </c>
      <c r="B351" s="71" t="s">
        <v>29</v>
      </c>
      <c r="C351" s="39" t="s">
        <v>1215</v>
      </c>
      <c r="D351" s="50" t="s">
        <v>121</v>
      </c>
      <c r="E351" s="47">
        <v>45444</v>
      </c>
      <c r="F351" s="31" t="str">
        <f>VLOOKUP($C351,Carpetas!$C$5:$M$2666,2,FALSE)</f>
        <v>PYB101</v>
      </c>
      <c r="G351" s="23">
        <f>VLOOKUP($C351,Carpetas!$C$5:$M$2666,10,FALSE)</f>
        <v>0</v>
      </c>
      <c r="H351" s="27">
        <f>VLOOKUP($C351,Carpetas!$C$5:$M$2666,6,FALSE)</f>
        <v>0</v>
      </c>
      <c r="I351" s="220"/>
      <c r="J351" s="47">
        <f>E351+4</f>
        <v>45448</v>
      </c>
      <c r="K351" s="72" t="str">
        <f>VLOOKUP($C351,Carpetas!$C$5:$M$2666,5,FALSE)</f>
        <v>Salto</v>
      </c>
      <c r="L351" s="32"/>
      <c r="M351" s="48">
        <f t="shared" si="16"/>
        <v>45449</v>
      </c>
      <c r="N351" s="26">
        <f t="shared" si="15"/>
        <v>5</v>
      </c>
      <c r="O351" s="27">
        <v>990</v>
      </c>
      <c r="P351" s="27">
        <v>984</v>
      </c>
      <c r="Q351" s="27"/>
      <c r="R351" s="27"/>
      <c r="S351" s="27" t="s">
        <v>1216</v>
      </c>
      <c r="T351" s="27"/>
      <c r="U351" s="27"/>
      <c r="V351" s="27" t="s">
        <v>601</v>
      </c>
      <c r="W351" s="27" t="s">
        <v>602</v>
      </c>
      <c r="X351" s="73"/>
      <c r="Y351" s="73" t="e">
        <f>VLOOKUP(X351,Choferes!$B$2:$C$500,2,FALSE)</f>
        <v>#N/A</v>
      </c>
      <c r="Z351" s="73" t="s">
        <v>1217</v>
      </c>
    </row>
    <row r="352" spans="1:26" ht="30" hidden="1" x14ac:dyDescent="0.25">
      <c r="A352" s="33">
        <v>23</v>
      </c>
      <c r="B352" s="71" t="s">
        <v>29</v>
      </c>
      <c r="C352" s="39" t="s">
        <v>1218</v>
      </c>
      <c r="D352" s="50" t="s">
        <v>803</v>
      </c>
      <c r="E352" s="47">
        <v>45446</v>
      </c>
      <c r="F352" s="31" t="str">
        <f>VLOOKUP($C352,Carpetas!$C$5:$M$2666,2,FALSE)</f>
        <v>BRB034</v>
      </c>
      <c r="G352" s="23" t="str">
        <f>VLOOKUP($C352,Carpetas!$C$5:$M$2666,10,FALSE)</f>
        <v>149,39,16</v>
      </c>
      <c r="H352" s="27" t="str">
        <f>VLOOKUP($C352,Carpetas!$C$5:$M$2666,6,FALSE)</f>
        <v>FG</v>
      </c>
      <c r="I352" s="220"/>
      <c r="J352" s="47">
        <v>45448</v>
      </c>
      <c r="K352" s="72" t="str">
        <f>VLOOKUP($C352,Carpetas!$C$5:$M$2666,5,FALSE)</f>
        <v>Rio Branco</v>
      </c>
      <c r="L352" s="32"/>
      <c r="M352" s="48">
        <f t="shared" si="16"/>
        <v>45449</v>
      </c>
      <c r="N352" s="26">
        <f t="shared" si="15"/>
        <v>3</v>
      </c>
      <c r="O352" s="27">
        <v>990</v>
      </c>
      <c r="P352" s="27">
        <v>990</v>
      </c>
      <c r="Q352" s="27"/>
      <c r="R352" s="27"/>
      <c r="S352" s="27" t="s">
        <v>1219</v>
      </c>
      <c r="T352" s="27"/>
      <c r="U352" s="27">
        <v>135</v>
      </c>
      <c r="V352" s="27" t="s">
        <v>846</v>
      </c>
      <c r="W352" s="27" t="s">
        <v>847</v>
      </c>
      <c r="X352" s="73"/>
      <c r="Y352" s="73" t="e">
        <f>VLOOKUP(X352,Choferes!$B$2:$C$500,2,FALSE)</f>
        <v>#N/A</v>
      </c>
      <c r="Z352" s="73" t="s">
        <v>1220</v>
      </c>
    </row>
    <row r="353" spans="1:26" hidden="1" x14ac:dyDescent="0.25">
      <c r="A353" s="33">
        <v>23</v>
      </c>
      <c r="B353" s="71" t="s">
        <v>29</v>
      </c>
      <c r="C353" s="39" t="s">
        <v>1221</v>
      </c>
      <c r="D353" s="50" t="s">
        <v>102</v>
      </c>
      <c r="E353" s="47">
        <v>45446</v>
      </c>
      <c r="F353" s="31" t="str">
        <f>VLOOKUP($C353,Carpetas!$C$5:$M$2666,2,FALSE)</f>
        <v>PYB104</v>
      </c>
      <c r="G353" s="23">
        <f>VLOOKUP($C353,Carpetas!$C$5:$M$2666,10,FALSE)</f>
        <v>0</v>
      </c>
      <c r="H353" s="27">
        <f>VLOOKUP($C353,Carpetas!$C$5:$M$2666,6,FALSE)</f>
        <v>0</v>
      </c>
      <c r="I353" s="220"/>
      <c r="J353" s="47">
        <v>45448</v>
      </c>
      <c r="K353" s="72" t="str">
        <f>VLOOKUP($C353,Carpetas!$C$5:$M$2666,5,FALSE)</f>
        <v>Salto</v>
      </c>
      <c r="L353" s="32"/>
      <c r="M353" s="48">
        <f t="shared" si="16"/>
        <v>45449</v>
      </c>
      <c r="N353" s="26">
        <f t="shared" si="15"/>
        <v>3</v>
      </c>
      <c r="O353" s="27">
        <v>980</v>
      </c>
      <c r="P353" s="27">
        <v>981</v>
      </c>
      <c r="Q353" s="27"/>
      <c r="R353" s="27"/>
      <c r="S353" s="27" t="s">
        <v>1222</v>
      </c>
      <c r="T353" s="27"/>
      <c r="U353" s="27"/>
      <c r="V353" s="27" t="s">
        <v>156</v>
      </c>
      <c r="W353" s="27" t="s">
        <v>157</v>
      </c>
      <c r="X353" s="73"/>
      <c r="Y353" s="73" t="e">
        <f>VLOOKUP(X353,Choferes!$B$2:$C$500,2,FALSE)</f>
        <v>#N/A</v>
      </c>
      <c r="Z353" s="73" t="s">
        <v>1223</v>
      </c>
    </row>
    <row r="354" spans="1:26" hidden="1" x14ac:dyDescent="0.25">
      <c r="A354" s="33">
        <v>22</v>
      </c>
      <c r="B354" s="71" t="s">
        <v>29</v>
      </c>
      <c r="C354" s="39" t="s">
        <v>1175</v>
      </c>
      <c r="D354" s="50" t="s">
        <v>880</v>
      </c>
      <c r="E354" s="47">
        <v>45444</v>
      </c>
      <c r="F354" s="31" t="str">
        <f>VLOOKUP($C354,Carpetas!$C$5:$M$2666,2,FALSE)</f>
        <v>BRB033</v>
      </c>
      <c r="G354" s="23" t="str">
        <f>VLOOKUP($C354,Carpetas!$C$5:$M$2666,10,FALSE)</f>
        <v>149,32,86</v>
      </c>
      <c r="H354" s="27" t="str">
        <f>VLOOKUP($C354,Carpetas!$C$5:$M$2666,6,FALSE)</f>
        <v>Brod</v>
      </c>
      <c r="I354" s="220"/>
      <c r="J354" s="47">
        <v>45449</v>
      </c>
      <c r="K354" s="72" t="str">
        <f>VLOOKUP($C354,Carpetas!$C$5:$M$2666,5,FALSE)</f>
        <v>Rio Branco</v>
      </c>
      <c r="L354" s="32"/>
      <c r="M354" s="48">
        <f t="shared" si="16"/>
        <v>45450</v>
      </c>
      <c r="N354" s="26">
        <f t="shared" si="15"/>
        <v>6</v>
      </c>
      <c r="O354" s="27">
        <v>990</v>
      </c>
      <c r="P354" s="27">
        <v>990</v>
      </c>
      <c r="Q354" s="27"/>
      <c r="R354" s="27"/>
      <c r="S354" s="27" t="s">
        <v>1224</v>
      </c>
      <c r="T354" s="27"/>
      <c r="U354" s="27">
        <v>2448</v>
      </c>
      <c r="V354" s="27" t="s">
        <v>1176</v>
      </c>
      <c r="W354" s="27" t="s">
        <v>1225</v>
      </c>
      <c r="X354" s="73"/>
      <c r="Y354" s="73" t="e">
        <f>VLOOKUP(X354,Choferes!$B$2:$C$500,2,FALSE)</f>
        <v>#N/A</v>
      </c>
      <c r="Z354" s="73" t="s">
        <v>1226</v>
      </c>
    </row>
    <row r="355" spans="1:26" hidden="1" x14ac:dyDescent="0.25">
      <c r="A355" s="33">
        <v>23</v>
      </c>
      <c r="B355" s="71" t="s">
        <v>29</v>
      </c>
      <c r="C355" s="39" t="s">
        <v>1175</v>
      </c>
      <c r="D355" s="50" t="s">
        <v>747</v>
      </c>
      <c r="E355" s="47">
        <v>45446</v>
      </c>
      <c r="F355" s="31" t="str">
        <f>VLOOKUP($C355,Carpetas!$C$5:$M$2666,2,FALSE)</f>
        <v>BRB033</v>
      </c>
      <c r="G355" s="23" t="str">
        <f>VLOOKUP($C355,Carpetas!$C$5:$M$2666,10,FALSE)</f>
        <v>149,32,86</v>
      </c>
      <c r="H355" s="27" t="str">
        <f>VLOOKUP($C355,Carpetas!$C$5:$M$2666,6,FALSE)</f>
        <v>Brod</v>
      </c>
      <c r="I355" s="220"/>
      <c r="J355" s="47">
        <v>45449</v>
      </c>
      <c r="K355" s="72" t="str">
        <f>VLOOKUP($C355,Carpetas!$C$5:$M$2666,5,FALSE)</f>
        <v>Rio Branco</v>
      </c>
      <c r="L355" s="32"/>
      <c r="M355" s="48">
        <f t="shared" si="16"/>
        <v>45450</v>
      </c>
      <c r="N355" s="26">
        <f t="shared" si="15"/>
        <v>4</v>
      </c>
      <c r="O355" s="27">
        <v>990</v>
      </c>
      <c r="P355" s="27">
        <v>991</v>
      </c>
      <c r="Q355" s="27"/>
      <c r="R355" s="27"/>
      <c r="S355" s="27" t="s">
        <v>1227</v>
      </c>
      <c r="T355" s="27"/>
      <c r="U355" s="27">
        <v>2451</v>
      </c>
      <c r="V355" s="27" t="s">
        <v>1228</v>
      </c>
      <c r="W355" s="27" t="s">
        <v>1229</v>
      </c>
      <c r="X355" s="73"/>
      <c r="Y355" s="73" t="e">
        <f>VLOOKUP(X355,Choferes!$B$2:$C$500,2,FALSE)</f>
        <v>#N/A</v>
      </c>
      <c r="Z355" s="73" t="s">
        <v>1230</v>
      </c>
    </row>
    <row r="356" spans="1:26" hidden="1" x14ac:dyDescent="0.25">
      <c r="A356" s="33">
        <v>23</v>
      </c>
      <c r="B356" s="71" t="s">
        <v>29</v>
      </c>
      <c r="C356" s="39" t="s">
        <v>1231</v>
      </c>
      <c r="D356" s="50" t="s">
        <v>48</v>
      </c>
      <c r="E356" s="47">
        <v>45447</v>
      </c>
      <c r="F356" s="31" t="str">
        <f>VLOOKUP($C356,Carpetas!$C$5:$M$2666,2,FALSE)</f>
        <v>PYB103</v>
      </c>
      <c r="G356" s="23">
        <f>VLOOKUP($C356,Carpetas!$C$5:$M$2666,10,FALSE)</f>
        <v>0</v>
      </c>
      <c r="H356" s="27">
        <f>VLOOKUP($C356,Carpetas!$C$5:$M$2666,6,FALSE)</f>
        <v>0</v>
      </c>
      <c r="I356" s="220"/>
      <c r="J356" s="47">
        <v>45449</v>
      </c>
      <c r="K356" s="72" t="str">
        <f>VLOOKUP($C356,Carpetas!$C$5:$M$2666,5,FALSE)</f>
        <v>Salto</v>
      </c>
      <c r="L356" s="32"/>
      <c r="M356" s="48">
        <f t="shared" si="16"/>
        <v>45450</v>
      </c>
      <c r="N356" s="26">
        <f t="shared" si="15"/>
        <v>3</v>
      </c>
      <c r="O356" s="27">
        <v>930</v>
      </c>
      <c r="P356" s="27">
        <v>931</v>
      </c>
      <c r="Q356" s="27"/>
      <c r="R356" s="27"/>
      <c r="S356" s="27" t="s">
        <v>1065</v>
      </c>
      <c r="T356" s="27"/>
      <c r="U356" s="27">
        <v>1420</v>
      </c>
      <c r="V356" s="27" t="s">
        <v>360</v>
      </c>
      <c r="W356" s="27" t="s">
        <v>940</v>
      </c>
      <c r="X356" s="73"/>
      <c r="Y356" s="73" t="e">
        <f>VLOOKUP(X356,Choferes!$B$2:$C$500,2,FALSE)</f>
        <v>#N/A</v>
      </c>
      <c r="Z356" s="73" t="s">
        <v>1232</v>
      </c>
    </row>
    <row r="357" spans="1:26" ht="30" hidden="1" x14ac:dyDescent="0.25">
      <c r="A357" s="33">
        <v>23</v>
      </c>
      <c r="B357" s="71" t="s">
        <v>29</v>
      </c>
      <c r="C357" s="39" t="s">
        <v>1209</v>
      </c>
      <c r="D357" s="50" t="s">
        <v>78</v>
      </c>
      <c r="E357" s="47">
        <v>45448</v>
      </c>
      <c r="F357" s="31" t="str">
        <f>VLOOKUP($C357,Carpetas!$C$5:$M$2666,2,FALSE)</f>
        <v>BRB030</v>
      </c>
      <c r="G357" s="23" t="str">
        <f>VLOOKUP($C357,Carpetas!$C$5:$M$2666,10,FALSE)</f>
        <v>149,32,83</v>
      </c>
      <c r="H357" s="27" t="str">
        <f>VLOOKUP($C357,Carpetas!$C$5:$M$2666,6,FALSE)</f>
        <v>Zanini</v>
      </c>
      <c r="I357" s="220"/>
      <c r="J357" s="47">
        <v>45449</v>
      </c>
      <c r="K357" s="72" t="str">
        <f>VLOOKUP($C357,Carpetas!$C$5:$M$2666,5,FALSE)</f>
        <v>Rio Branco</v>
      </c>
      <c r="L357" s="32"/>
      <c r="M357" s="48">
        <f t="shared" si="16"/>
        <v>45450</v>
      </c>
      <c r="N357" s="26">
        <f t="shared" si="15"/>
        <v>2</v>
      </c>
      <c r="O357" s="27">
        <v>900</v>
      </c>
      <c r="P357" s="27">
        <v>901</v>
      </c>
      <c r="Q357" s="27"/>
      <c r="R357" s="27"/>
      <c r="S357" s="27" t="s">
        <v>1233</v>
      </c>
      <c r="T357" s="27"/>
      <c r="U357" s="27">
        <v>4474</v>
      </c>
      <c r="V357" s="27" t="s">
        <v>1234</v>
      </c>
      <c r="W357" s="27" t="s">
        <v>1235</v>
      </c>
      <c r="X357" s="73"/>
      <c r="Y357" s="73" t="e">
        <f>VLOOKUP(X357,Choferes!$B$2:$C$500,2,FALSE)</f>
        <v>#N/A</v>
      </c>
      <c r="Z357" s="73" t="s">
        <v>1236</v>
      </c>
    </row>
    <row r="358" spans="1:26" hidden="1" x14ac:dyDescent="0.25">
      <c r="A358" s="33">
        <v>23</v>
      </c>
      <c r="B358" s="71" t="s">
        <v>29</v>
      </c>
      <c r="C358" s="39" t="s">
        <v>1218</v>
      </c>
      <c r="D358" s="50" t="s">
        <v>764</v>
      </c>
      <c r="E358" s="47">
        <v>45448</v>
      </c>
      <c r="F358" s="31" t="str">
        <f>VLOOKUP($C358,Carpetas!$C$5:$M$2666,2,FALSE)</f>
        <v>BRB034</v>
      </c>
      <c r="G358" s="23" t="str">
        <f>VLOOKUP($C358,Carpetas!$C$5:$M$2666,10,FALSE)</f>
        <v>149,39,16</v>
      </c>
      <c r="H358" s="27" t="str">
        <f>VLOOKUP($C358,Carpetas!$C$5:$M$2666,6,FALSE)</f>
        <v>FG</v>
      </c>
      <c r="I358" s="220"/>
      <c r="J358" s="47">
        <v>45449</v>
      </c>
      <c r="K358" s="72" t="str">
        <f>VLOOKUP($C358,Carpetas!$C$5:$M$2666,5,FALSE)</f>
        <v>Rio Branco</v>
      </c>
      <c r="L358" s="32"/>
      <c r="M358" s="48">
        <f t="shared" si="16"/>
        <v>45450</v>
      </c>
      <c r="N358" s="26">
        <f t="shared" si="15"/>
        <v>2</v>
      </c>
      <c r="O358" s="27">
        <v>990</v>
      </c>
      <c r="P358" s="27">
        <v>990</v>
      </c>
      <c r="Q358" s="27"/>
      <c r="R358" s="27"/>
      <c r="S358" s="27" t="s">
        <v>1237</v>
      </c>
      <c r="T358" s="27"/>
      <c r="U358" s="27">
        <v>138</v>
      </c>
      <c r="V358" s="27" t="s">
        <v>905</v>
      </c>
      <c r="W358" s="27" t="s">
        <v>906</v>
      </c>
      <c r="X358" s="73"/>
      <c r="Y358" s="73" t="e">
        <f>VLOOKUP(X358,Choferes!$B$2:$C$500,2,FALSE)</f>
        <v>#N/A</v>
      </c>
      <c r="Z358" s="73" t="s">
        <v>1238</v>
      </c>
    </row>
    <row r="359" spans="1:26" hidden="1" x14ac:dyDescent="0.25">
      <c r="A359" s="33">
        <v>23</v>
      </c>
      <c r="B359" s="71" t="s">
        <v>29</v>
      </c>
      <c r="C359" s="39" t="s">
        <v>1103</v>
      </c>
      <c r="D359" s="50" t="s">
        <v>110</v>
      </c>
      <c r="E359" s="47">
        <v>45448</v>
      </c>
      <c r="F359" s="31" t="str">
        <f>VLOOKUP($C359,Carpetas!$C$5:$M$2666,2,FALSE)</f>
        <v>BRB028</v>
      </c>
      <c r="G359" s="23" t="str">
        <f>VLOOKUP($C359,Carpetas!$C$5:$M$2666,10,FALSE)</f>
        <v>149,21,04</v>
      </c>
      <c r="H359" s="27" t="str">
        <f>VLOOKUP($C359,Carpetas!$C$5:$M$2666,6,FALSE)</f>
        <v xml:space="preserve">Silvio </v>
      </c>
      <c r="I359" s="220"/>
      <c r="J359" s="47">
        <v>45450</v>
      </c>
      <c r="K359" s="72" t="str">
        <f>VLOOKUP($C359,Carpetas!$C$5:$M$2666,5,FALSE)</f>
        <v>Rio Branco</v>
      </c>
      <c r="L359" s="32"/>
      <c r="M359" s="48">
        <f t="shared" si="16"/>
        <v>45451</v>
      </c>
      <c r="N359" s="26">
        <f t="shared" si="15"/>
        <v>3</v>
      </c>
      <c r="O359" s="27">
        <v>918</v>
      </c>
      <c r="P359" s="27">
        <v>919</v>
      </c>
      <c r="Q359" s="27"/>
      <c r="R359" s="27"/>
      <c r="S359" s="27" t="s">
        <v>1239</v>
      </c>
      <c r="T359" s="27"/>
      <c r="U359" s="27">
        <v>6916</v>
      </c>
      <c r="V359" s="27" t="s">
        <v>321</v>
      </c>
      <c r="W359" s="27" t="s">
        <v>322</v>
      </c>
      <c r="X359" s="73"/>
      <c r="Y359" s="73" t="e">
        <f>VLOOKUP(X359,Choferes!$B$2:$C$500,2,FALSE)</f>
        <v>#N/A</v>
      </c>
      <c r="Z359" s="73" t="s">
        <v>1240</v>
      </c>
    </row>
    <row r="360" spans="1:26" hidden="1" x14ac:dyDescent="0.25">
      <c r="A360" s="33">
        <v>23</v>
      </c>
      <c r="B360" s="71" t="s">
        <v>29</v>
      </c>
      <c r="C360" s="39" t="s">
        <v>1218</v>
      </c>
      <c r="D360" s="50" t="s">
        <v>803</v>
      </c>
      <c r="E360" s="47">
        <v>45448</v>
      </c>
      <c r="F360" s="31" t="str">
        <f>VLOOKUP($C360,Carpetas!$C$5:$M$2666,2,FALSE)</f>
        <v>BRB034</v>
      </c>
      <c r="G360" s="23" t="str">
        <f>VLOOKUP($C360,Carpetas!$C$5:$M$2666,10,FALSE)</f>
        <v>149,39,16</v>
      </c>
      <c r="H360" s="27" t="str">
        <f>VLOOKUP($C360,Carpetas!$C$5:$M$2666,6,FALSE)</f>
        <v>FG</v>
      </c>
      <c r="I360" s="220"/>
      <c r="J360" s="47">
        <v>45450</v>
      </c>
      <c r="K360" s="72" t="str">
        <f>VLOOKUP($C360,Carpetas!$C$5:$M$2666,5,FALSE)</f>
        <v>Rio Branco</v>
      </c>
      <c r="L360" s="32"/>
      <c r="M360" s="48">
        <f t="shared" si="16"/>
        <v>45451</v>
      </c>
      <c r="N360" s="26">
        <f t="shared" si="15"/>
        <v>3</v>
      </c>
      <c r="O360" s="27">
        <v>990</v>
      </c>
      <c r="P360" s="27">
        <v>990</v>
      </c>
      <c r="Q360" s="27"/>
      <c r="R360" s="27"/>
      <c r="S360" s="27" t="s">
        <v>1241</v>
      </c>
      <c r="T360" s="27"/>
      <c r="U360" s="27">
        <v>140</v>
      </c>
      <c r="V360" s="27" t="s">
        <v>873</v>
      </c>
      <c r="W360" s="27" t="s">
        <v>874</v>
      </c>
      <c r="X360" s="73"/>
      <c r="Y360" s="73" t="e">
        <f>VLOOKUP(X360,Choferes!$B$2:$C$500,2,FALSE)</f>
        <v>#N/A</v>
      </c>
      <c r="Z360" s="73" t="s">
        <v>1242</v>
      </c>
    </row>
    <row r="361" spans="1:26" ht="30" hidden="1" x14ac:dyDescent="0.25">
      <c r="A361" s="33">
        <v>23</v>
      </c>
      <c r="B361" s="71" t="s">
        <v>29</v>
      </c>
      <c r="C361" s="39" t="s">
        <v>1154</v>
      </c>
      <c r="D361" s="50" t="s">
        <v>880</v>
      </c>
      <c r="E361" s="47">
        <v>45448</v>
      </c>
      <c r="F361" s="31" t="str">
        <f>VLOOKUP($C361,Carpetas!$C$5:$M$2666,2,FALSE)</f>
        <v>BRB032</v>
      </c>
      <c r="G361" s="23" t="str">
        <f>VLOOKUP($C361,Carpetas!$C$5:$M$2666,10,FALSE)</f>
        <v>149,32,85</v>
      </c>
      <c r="H361" s="27" t="str">
        <f>VLOOKUP($C361,Carpetas!$C$5:$M$2666,6,FALSE)</f>
        <v>Amaro</v>
      </c>
      <c r="I361" s="220"/>
      <c r="J361" s="47">
        <v>45450</v>
      </c>
      <c r="K361" s="72" t="str">
        <f>VLOOKUP($C361,Carpetas!$C$5:$M$2666,5,FALSE)</f>
        <v>Rio Branco</v>
      </c>
      <c r="L361" s="32"/>
      <c r="M361" s="48">
        <f t="shared" si="16"/>
        <v>45451</v>
      </c>
      <c r="N361" s="26">
        <f t="shared" si="15"/>
        <v>3</v>
      </c>
      <c r="O361" s="27">
        <v>990</v>
      </c>
      <c r="P361" s="27">
        <v>990</v>
      </c>
      <c r="Q361" s="27"/>
      <c r="R361" s="27"/>
      <c r="S361" s="27" t="s">
        <v>1243</v>
      </c>
      <c r="T361" s="27"/>
      <c r="U361" s="27">
        <v>3999</v>
      </c>
      <c r="V361" s="27" t="s">
        <v>1244</v>
      </c>
      <c r="W361" s="27" t="s">
        <v>1245</v>
      </c>
      <c r="X361" s="73"/>
      <c r="Y361" s="73" t="e">
        <f>VLOOKUP(X361,Choferes!$B$2:$C$500,2,FALSE)</f>
        <v>#N/A</v>
      </c>
      <c r="Z361" s="73" t="s">
        <v>1246</v>
      </c>
    </row>
    <row r="362" spans="1:26" hidden="1" x14ac:dyDescent="0.25">
      <c r="A362" s="33">
        <v>23</v>
      </c>
      <c r="B362" s="71" t="s">
        <v>298</v>
      </c>
      <c r="C362" s="39" t="s">
        <v>299</v>
      </c>
      <c r="D362" s="50" t="s">
        <v>249</v>
      </c>
      <c r="E362" s="47">
        <v>45448</v>
      </c>
      <c r="F362" s="31" t="str">
        <f>VLOOKUP($C362,Carpetas!$C$5:$M$2666,2,FALSE)</f>
        <v>BRB</v>
      </c>
      <c r="G362" s="23" t="e">
        <f>VLOOKUP($C362,Carpetas!$C$5:$M$2666,9,FALSE)</f>
        <v>#REF!</v>
      </c>
      <c r="H362" s="27" t="str">
        <f>VLOOKUP($C362,Carpetas!$C$5:$M$2666,5,FALSE)</f>
        <v>xx</v>
      </c>
      <c r="I362" s="220"/>
      <c r="J362" s="47">
        <f>E362+4</f>
        <v>45452</v>
      </c>
      <c r="K362" s="72">
        <f>VLOOKUP($C362,Carpetas!$C$5:$M$2666,4,FALSE)</f>
        <v>0</v>
      </c>
      <c r="L362" s="32"/>
      <c r="M362" s="48">
        <f t="shared" si="16"/>
        <v>45453</v>
      </c>
      <c r="N362" s="26">
        <f t="shared" si="15"/>
        <v>5</v>
      </c>
      <c r="O362" s="27">
        <v>918</v>
      </c>
      <c r="P362" s="27"/>
      <c r="Q362" s="27"/>
      <c r="R362" s="27"/>
      <c r="S362" s="27"/>
      <c r="T362" s="27"/>
      <c r="U362" s="27"/>
      <c r="V362" s="27"/>
      <c r="W362" s="27"/>
      <c r="X362" s="73"/>
      <c r="Y362" s="73" t="e">
        <f>VLOOKUP(X362,Choferes!$B$2:$C$500,2,FALSE)</f>
        <v>#N/A</v>
      </c>
      <c r="Z362" s="73"/>
    </row>
    <row r="363" spans="1:26" hidden="1" x14ac:dyDescent="0.25">
      <c r="A363" s="33">
        <v>23</v>
      </c>
      <c r="B363" s="71" t="s">
        <v>29</v>
      </c>
      <c r="C363" s="39" t="s">
        <v>1209</v>
      </c>
      <c r="D363" s="50" t="s">
        <v>78</v>
      </c>
      <c r="E363" s="47">
        <v>45449</v>
      </c>
      <c r="F363" s="31" t="str">
        <f>VLOOKUP($C363,Carpetas!$C$5:$M$2666,2,FALSE)</f>
        <v>BRB030</v>
      </c>
      <c r="G363" s="23" t="str">
        <f>VLOOKUP($C363,Carpetas!$C$5:$M$2666,10,FALSE)</f>
        <v>149,32,83</v>
      </c>
      <c r="H363" s="27" t="str">
        <f>VLOOKUP($C363,Carpetas!$C$5:$M$2666,6,FALSE)</f>
        <v>Zanini</v>
      </c>
      <c r="I363" s="220"/>
      <c r="J363" s="47">
        <v>45453</v>
      </c>
      <c r="K363" s="72" t="str">
        <f>VLOOKUP($C363,Carpetas!$C$5:$M$2666,5,FALSE)</f>
        <v>Rio Branco</v>
      </c>
      <c r="L363" s="32"/>
      <c r="M363" s="48">
        <f t="shared" si="16"/>
        <v>45454</v>
      </c>
      <c r="N363" s="26">
        <f t="shared" si="15"/>
        <v>5</v>
      </c>
      <c r="O363" s="27">
        <v>900</v>
      </c>
      <c r="P363" s="27">
        <v>901</v>
      </c>
      <c r="Q363" s="27"/>
      <c r="R363" s="27"/>
      <c r="S363" s="27" t="s">
        <v>1247</v>
      </c>
      <c r="T363" s="27"/>
      <c r="U363" s="27">
        <v>4480</v>
      </c>
      <c r="V363" s="27" t="s">
        <v>732</v>
      </c>
      <c r="W363" s="27" t="s">
        <v>733</v>
      </c>
      <c r="X363" s="73"/>
      <c r="Y363" s="73" t="e">
        <f>VLOOKUP(X363,Choferes!$B$2:$C$500,2,FALSE)</f>
        <v>#N/A</v>
      </c>
      <c r="Z363" s="73" t="s">
        <v>1248</v>
      </c>
    </row>
    <row r="364" spans="1:26" hidden="1" x14ac:dyDescent="0.25">
      <c r="A364" s="33">
        <v>23</v>
      </c>
      <c r="B364" s="71" t="s">
        <v>29</v>
      </c>
      <c r="C364" s="39" t="s">
        <v>1249</v>
      </c>
      <c r="D364" s="50" t="s">
        <v>803</v>
      </c>
      <c r="E364" s="47">
        <v>45449</v>
      </c>
      <c r="F364" s="31" t="str">
        <f>VLOOKUP($C364,Carpetas!$C$5:$M$2666,2,FALSE)</f>
        <v>BRB035</v>
      </c>
      <c r="G364" s="23" t="str">
        <f>VLOOKUP($C364,Carpetas!$C$5:$M$2666,10,FALSE)</f>
        <v>149,39,17</v>
      </c>
      <c r="H364" s="27" t="str">
        <f>VLOOKUP($C364,Carpetas!$C$5:$M$2666,6,FALSE)</f>
        <v>Silvio</v>
      </c>
      <c r="I364" s="220"/>
      <c r="J364" s="47">
        <f>E364+4</f>
        <v>45453</v>
      </c>
      <c r="K364" s="72" t="str">
        <f>VLOOKUP($C364,Carpetas!$C$5:$M$2666,5,FALSE)</f>
        <v>Rio Branco</v>
      </c>
      <c r="L364" s="32"/>
      <c r="M364" s="48">
        <f t="shared" si="16"/>
        <v>45454</v>
      </c>
      <c r="N364" s="26">
        <f t="shared" si="15"/>
        <v>5</v>
      </c>
      <c r="O364" s="27">
        <v>918</v>
      </c>
      <c r="P364" s="27">
        <v>918</v>
      </c>
      <c r="Q364" s="27"/>
      <c r="R364" s="27"/>
      <c r="S364" s="27" t="s">
        <v>1250</v>
      </c>
      <c r="T364" s="27"/>
      <c r="U364" s="27">
        <v>6943</v>
      </c>
      <c r="V364" s="27" t="s">
        <v>643</v>
      </c>
      <c r="W364" s="27" t="s">
        <v>644</v>
      </c>
      <c r="X364" s="73"/>
      <c r="Y364" s="73" t="e">
        <f>VLOOKUP(X364,Choferes!$B$2:$C$500,2,FALSE)</f>
        <v>#N/A</v>
      </c>
      <c r="Z364" s="73" t="s">
        <v>1251</v>
      </c>
    </row>
    <row r="365" spans="1:26" ht="30" hidden="1" x14ac:dyDescent="0.25">
      <c r="A365" s="33">
        <v>23</v>
      </c>
      <c r="B365" s="71" t="s">
        <v>29</v>
      </c>
      <c r="C365" s="39" t="s">
        <v>1249</v>
      </c>
      <c r="D365" s="50" t="s">
        <v>803</v>
      </c>
      <c r="E365" s="47">
        <v>45450</v>
      </c>
      <c r="F365" s="31" t="str">
        <f>VLOOKUP($C365,Carpetas!$C$5:$M$2666,2,FALSE)</f>
        <v>BRB035</v>
      </c>
      <c r="G365" s="23" t="str">
        <f>VLOOKUP($C365,Carpetas!$C$5:$M$2666,10,FALSE)</f>
        <v>149,39,17</v>
      </c>
      <c r="H365" s="27" t="str">
        <f>VLOOKUP($C365,Carpetas!$C$5:$M$2666,6,FALSE)</f>
        <v>Silvio</v>
      </c>
      <c r="I365" s="220"/>
      <c r="J365" s="47">
        <v>45453</v>
      </c>
      <c r="K365" s="72" t="str">
        <f>VLOOKUP($C365,Carpetas!$C$5:$M$2666,5,FALSE)</f>
        <v>Rio Branco</v>
      </c>
      <c r="L365" s="32"/>
      <c r="M365" s="48">
        <f t="shared" si="16"/>
        <v>45454</v>
      </c>
      <c r="N365" s="26">
        <f t="shared" si="15"/>
        <v>4</v>
      </c>
      <c r="O365" s="27">
        <v>918</v>
      </c>
      <c r="P365" s="27">
        <v>918</v>
      </c>
      <c r="Q365" s="27"/>
      <c r="R365" s="27"/>
      <c r="S365" s="27" t="s">
        <v>1252</v>
      </c>
      <c r="T365" s="27"/>
      <c r="U365" s="27">
        <v>6944</v>
      </c>
      <c r="V365" s="27" t="s">
        <v>1253</v>
      </c>
      <c r="W365" s="27" t="s">
        <v>1254</v>
      </c>
      <c r="X365" s="73"/>
      <c r="Y365" s="73" t="e">
        <f>VLOOKUP(X365,Choferes!$B$2:$C$500,2,FALSE)</f>
        <v>#N/A</v>
      </c>
      <c r="Z365" s="73" t="s">
        <v>1255</v>
      </c>
    </row>
    <row r="366" spans="1:26" hidden="1" x14ac:dyDescent="0.25">
      <c r="A366" s="33">
        <v>23</v>
      </c>
      <c r="B366" s="71" t="s">
        <v>29</v>
      </c>
      <c r="C366" s="39" t="s">
        <v>1218</v>
      </c>
      <c r="D366" s="50" t="s">
        <v>764</v>
      </c>
      <c r="E366" s="47">
        <v>45450</v>
      </c>
      <c r="F366" s="31" t="str">
        <f>VLOOKUP($C366,Carpetas!$C$5:$M$2666,2,FALSE)</f>
        <v>BRB034</v>
      </c>
      <c r="G366" s="23" t="str">
        <f>VLOOKUP($C366,Carpetas!$C$5:$M$2666,10,FALSE)</f>
        <v>149,39,16</v>
      </c>
      <c r="H366" s="27" t="str">
        <f>VLOOKUP($C366,Carpetas!$C$5:$M$2666,6,FALSE)</f>
        <v>FG</v>
      </c>
      <c r="I366" s="220"/>
      <c r="J366" s="47">
        <v>45453</v>
      </c>
      <c r="K366" s="72" t="str">
        <f>VLOOKUP($C366,Carpetas!$C$5:$M$2666,5,FALSE)</f>
        <v>Rio Branco</v>
      </c>
      <c r="L366" s="32"/>
      <c r="M366" s="48">
        <f t="shared" si="16"/>
        <v>45454</v>
      </c>
      <c r="N366" s="26">
        <f t="shared" si="15"/>
        <v>4</v>
      </c>
      <c r="O366" s="27">
        <v>990</v>
      </c>
      <c r="P366" s="27">
        <v>990</v>
      </c>
      <c r="Q366" s="27"/>
      <c r="R366" s="27"/>
      <c r="S366" s="27" t="s">
        <v>1256</v>
      </c>
      <c r="T366" s="27"/>
      <c r="U366" s="27">
        <v>145</v>
      </c>
      <c r="V366" s="27" t="s">
        <v>1257</v>
      </c>
      <c r="W366" s="27" t="s">
        <v>1258</v>
      </c>
      <c r="X366" s="73"/>
      <c r="Y366" s="73" t="e">
        <f>VLOOKUP(X366,Choferes!$B$2:$C$500,2,FALSE)</f>
        <v>#N/A</v>
      </c>
      <c r="Z366" s="73" t="s">
        <v>1259</v>
      </c>
    </row>
    <row r="367" spans="1:26" ht="45" hidden="1" x14ac:dyDescent="0.25">
      <c r="A367" s="33">
        <v>23</v>
      </c>
      <c r="B367" s="71" t="s">
        <v>29</v>
      </c>
      <c r="C367" s="39" t="s">
        <v>1154</v>
      </c>
      <c r="D367" s="50" t="s">
        <v>880</v>
      </c>
      <c r="E367" s="47">
        <v>45450</v>
      </c>
      <c r="F367" s="31" t="str">
        <f>VLOOKUP($C367,Carpetas!$C$5:$M$2666,2,FALSE)</f>
        <v>BRB032</v>
      </c>
      <c r="G367" s="23" t="str">
        <f>VLOOKUP($C367,Carpetas!$C$5:$M$2666,10,FALSE)</f>
        <v>149,32,85</v>
      </c>
      <c r="H367" s="27" t="str">
        <f>VLOOKUP($C367,Carpetas!$C$5:$M$2666,6,FALSE)</f>
        <v>Amaro</v>
      </c>
      <c r="I367" s="220"/>
      <c r="J367" s="47">
        <v>45453</v>
      </c>
      <c r="K367" s="72" t="str">
        <f>VLOOKUP($C367,Carpetas!$C$5:$M$2666,5,FALSE)</f>
        <v>Rio Branco</v>
      </c>
      <c r="L367" s="32"/>
      <c r="M367" s="48">
        <f t="shared" si="16"/>
        <v>45454</v>
      </c>
      <c r="N367" s="26">
        <f t="shared" si="15"/>
        <v>4</v>
      </c>
      <c r="O367" s="27">
        <v>990</v>
      </c>
      <c r="P367" s="27">
        <v>990</v>
      </c>
      <c r="Q367" s="27"/>
      <c r="R367" s="27"/>
      <c r="S367" s="27" t="s">
        <v>1260</v>
      </c>
      <c r="T367" s="27"/>
      <c r="U367" s="27">
        <v>4020</v>
      </c>
      <c r="V367" s="27" t="s">
        <v>1092</v>
      </c>
      <c r="W367" s="27" t="s">
        <v>1093</v>
      </c>
      <c r="X367" s="73"/>
      <c r="Y367" s="73" t="e">
        <f>VLOOKUP(X367,Choferes!$B$2:$C$500,2,FALSE)</f>
        <v>#N/A</v>
      </c>
      <c r="Z367" s="73" t="s">
        <v>1261</v>
      </c>
    </row>
    <row r="368" spans="1:26" hidden="1" x14ac:dyDescent="0.25">
      <c r="A368" s="33">
        <v>23</v>
      </c>
      <c r="B368" s="71" t="s">
        <v>29</v>
      </c>
      <c r="C368" s="39" t="s">
        <v>1218</v>
      </c>
      <c r="D368" s="50" t="s">
        <v>953</v>
      </c>
      <c r="E368" s="47">
        <v>45450</v>
      </c>
      <c r="F368" s="31" t="str">
        <f>VLOOKUP($C368,Carpetas!$C$5:$M$2666,2,FALSE)</f>
        <v>BRB034</v>
      </c>
      <c r="G368" s="23" t="str">
        <f>VLOOKUP($C368,Carpetas!$C$5:$M$2666,10,FALSE)</f>
        <v>149,39,16</v>
      </c>
      <c r="H368" s="27" t="str">
        <f>VLOOKUP($C368,Carpetas!$C$5:$M$2666,6,FALSE)</f>
        <v>FG</v>
      </c>
      <c r="I368" s="220"/>
      <c r="J368" s="47">
        <v>45453</v>
      </c>
      <c r="K368" s="72" t="str">
        <f>VLOOKUP($C368,Carpetas!$C$5:$M$2666,5,FALSE)</f>
        <v>Rio Branco</v>
      </c>
      <c r="L368" s="32"/>
      <c r="M368" s="48">
        <f t="shared" si="16"/>
        <v>45454</v>
      </c>
      <c r="N368" s="26">
        <f t="shared" si="15"/>
        <v>4</v>
      </c>
      <c r="O368" s="27">
        <v>990</v>
      </c>
      <c r="P368" s="27">
        <v>990</v>
      </c>
      <c r="Q368" s="27"/>
      <c r="R368" s="27"/>
      <c r="S368" s="27" t="s">
        <v>1262</v>
      </c>
      <c r="T368" s="27"/>
      <c r="U368" s="27">
        <v>141</v>
      </c>
      <c r="V368" s="27" t="s">
        <v>921</v>
      </c>
      <c r="W368" s="27" t="s">
        <v>922</v>
      </c>
      <c r="X368" s="73"/>
      <c r="Y368" s="73" t="e">
        <f>VLOOKUP(X368,Choferes!$B$2:$C$500,2,FALSE)</f>
        <v>#N/A</v>
      </c>
      <c r="Z368" s="73" t="s">
        <v>1263</v>
      </c>
    </row>
    <row r="369" spans="1:26" hidden="1" x14ac:dyDescent="0.25">
      <c r="A369" s="33">
        <v>23</v>
      </c>
      <c r="B369" s="71" t="s">
        <v>29</v>
      </c>
      <c r="C369" s="39" t="s">
        <v>1218</v>
      </c>
      <c r="D369" s="50" t="s">
        <v>953</v>
      </c>
      <c r="E369" s="47">
        <v>45451</v>
      </c>
      <c r="F369" s="31" t="str">
        <f>VLOOKUP($C369,Carpetas!$C$5:$M$2666,2,FALSE)</f>
        <v>BRB034</v>
      </c>
      <c r="G369" s="23" t="str">
        <f>VLOOKUP($C369,Carpetas!$C$5:$M$2666,10,FALSE)</f>
        <v>149,39,16</v>
      </c>
      <c r="H369" s="27" t="str">
        <f>VLOOKUP($C369,Carpetas!$C$5:$M$2666,6,FALSE)</f>
        <v>FG</v>
      </c>
      <c r="I369" s="220"/>
      <c r="J369" s="47">
        <v>45453</v>
      </c>
      <c r="K369" s="72" t="str">
        <f>VLOOKUP($C369,Carpetas!$C$5:$M$2666,5,FALSE)</f>
        <v>Rio Branco</v>
      </c>
      <c r="L369" s="32"/>
      <c r="M369" s="48">
        <f t="shared" si="16"/>
        <v>45454</v>
      </c>
      <c r="N369" s="26">
        <f t="shared" si="15"/>
        <v>3</v>
      </c>
      <c r="O369" s="27">
        <v>990</v>
      </c>
      <c r="P369" s="27">
        <v>990</v>
      </c>
      <c r="Q369" s="27"/>
      <c r="R369" s="27"/>
      <c r="S369" s="27" t="s">
        <v>1264</v>
      </c>
      <c r="T369" s="27"/>
      <c r="U369" s="27">
        <v>147</v>
      </c>
      <c r="V369" s="27" t="s">
        <v>1265</v>
      </c>
      <c r="W369" s="27" t="s">
        <v>1266</v>
      </c>
      <c r="X369" s="73"/>
      <c r="Y369" s="73" t="e">
        <f>VLOOKUP(X369,Choferes!$B$2:$C$500,2,FALSE)</f>
        <v>#N/A</v>
      </c>
      <c r="Z369" s="73" t="s">
        <v>1263</v>
      </c>
    </row>
    <row r="370" spans="1:26" ht="30" hidden="1" x14ac:dyDescent="0.25">
      <c r="A370" s="33">
        <v>23</v>
      </c>
      <c r="B370" s="71" t="s">
        <v>29</v>
      </c>
      <c r="C370" s="39" t="s">
        <v>1267</v>
      </c>
      <c r="D370" s="50" t="s">
        <v>102</v>
      </c>
      <c r="E370" s="47">
        <v>45451</v>
      </c>
      <c r="F370" s="31" t="str">
        <f>VLOOKUP($C370,Carpetas!$C$5:$M$2666,2,FALSE)</f>
        <v>PYB107</v>
      </c>
      <c r="G370" s="23">
        <f>VLOOKUP($C370,Carpetas!$C$5:$M$2666,10,FALSE)</f>
        <v>0</v>
      </c>
      <c r="H370" s="27">
        <f>VLOOKUP($C370,Carpetas!$C$5:$M$2666,6,FALSE)</f>
        <v>0</v>
      </c>
      <c r="I370" s="220"/>
      <c r="J370" s="47">
        <v>45454</v>
      </c>
      <c r="K370" s="72" t="str">
        <f>VLOOKUP($C370,Carpetas!$C$5:$M$2666,5,FALSE)</f>
        <v>Salto</v>
      </c>
      <c r="L370" s="32"/>
      <c r="M370" s="48">
        <f t="shared" si="16"/>
        <v>45455</v>
      </c>
      <c r="N370" s="26">
        <f t="shared" si="15"/>
        <v>4</v>
      </c>
      <c r="O370" s="27">
        <v>980</v>
      </c>
      <c r="P370" s="27">
        <v>980</v>
      </c>
      <c r="Q370" s="27"/>
      <c r="R370" s="27"/>
      <c r="S370" s="27" t="s">
        <v>1268</v>
      </c>
      <c r="T370" s="27"/>
      <c r="U370" s="27"/>
      <c r="V370" s="27" t="s">
        <v>161</v>
      </c>
      <c r="W370" s="27" t="s">
        <v>162</v>
      </c>
      <c r="X370" s="73"/>
      <c r="Y370" s="73" t="e">
        <f>VLOOKUP(X370,Choferes!$B$2:$C$500,2,FALSE)</f>
        <v>#N/A</v>
      </c>
      <c r="Z370" s="73" t="s">
        <v>1269</v>
      </c>
    </row>
    <row r="371" spans="1:26" hidden="1" x14ac:dyDescent="0.25">
      <c r="A371" s="33">
        <v>24</v>
      </c>
      <c r="B371" s="71" t="s">
        <v>29</v>
      </c>
      <c r="C371" s="39" t="s">
        <v>1270</v>
      </c>
      <c r="D371" s="50" t="s">
        <v>38</v>
      </c>
      <c r="E371" s="47">
        <v>45450</v>
      </c>
      <c r="F371" s="31" t="str">
        <f>VLOOKUP($C371,Carpetas!$C$5:$M$2666,2,FALSE)</f>
        <v>BRE013</v>
      </c>
      <c r="G371" s="23" t="str">
        <f>VLOOKUP($C371,Carpetas!$C$5:$M$2666,10,FALSE)</f>
        <v>149,35,57</v>
      </c>
      <c r="H371" s="27" t="str">
        <f>VLOOKUP($C371,Carpetas!$C$5:$M$2666,6,FALSE)</f>
        <v>Silvio</v>
      </c>
      <c r="I371" s="220">
        <f>VLOOKUP($C371,Carpetas!$C$5:$M$2666,4,FALSE)</f>
        <v>0</v>
      </c>
      <c r="J371" s="47">
        <v>45454</v>
      </c>
      <c r="K371" s="72" t="str">
        <f>VLOOKUP($C371,Carpetas!$C$5:$M$2666,5,FALSE)</f>
        <v>Rio Branco</v>
      </c>
      <c r="L371" s="32"/>
      <c r="M371" s="48">
        <f>J371+1+1</f>
        <v>45456</v>
      </c>
      <c r="N371" s="26">
        <f t="shared" si="15"/>
        <v>6</v>
      </c>
      <c r="O371" s="27">
        <v>25000</v>
      </c>
      <c r="P371" s="27"/>
      <c r="Q371" s="27"/>
      <c r="R371" s="27"/>
      <c r="S371" s="27"/>
      <c r="T371" s="27"/>
      <c r="U371" s="27">
        <v>61</v>
      </c>
      <c r="V371" s="27" t="s">
        <v>1271</v>
      </c>
      <c r="W371" s="27" t="s">
        <v>1272</v>
      </c>
      <c r="X371" s="73"/>
      <c r="Y371" s="73" t="e">
        <f>VLOOKUP(X371,Choferes!$B$2:$C$500,2,FALSE)</f>
        <v>#N/A</v>
      </c>
      <c r="Z371" s="73" t="s">
        <v>1273</v>
      </c>
    </row>
    <row r="372" spans="1:26" hidden="1" x14ac:dyDescent="0.25">
      <c r="A372" s="33">
        <v>24</v>
      </c>
      <c r="B372" s="71" t="s">
        <v>29</v>
      </c>
      <c r="C372" s="39" t="s">
        <v>1274</v>
      </c>
      <c r="D372" s="50" t="s">
        <v>183</v>
      </c>
      <c r="E372" s="47">
        <v>45451</v>
      </c>
      <c r="F372" s="31" t="str">
        <f>VLOOKUP($C372,Carpetas!$C$5:$M$2666,2,FALSE)</f>
        <v>PYB109</v>
      </c>
      <c r="G372" s="23">
        <f>VLOOKUP($C372,Carpetas!$C$5:$M$2666,10,FALSE)</f>
        <v>0</v>
      </c>
      <c r="H372" s="27">
        <f>VLOOKUP($C372,Carpetas!$C$5:$M$2666,6,FALSE)</f>
        <v>0</v>
      </c>
      <c r="I372" s="220"/>
      <c r="J372" s="47">
        <f>E372+4</f>
        <v>45455</v>
      </c>
      <c r="K372" s="72" t="str">
        <f>VLOOKUP($C372,Carpetas!$C$5:$M$2666,5,FALSE)</f>
        <v>Salto</v>
      </c>
      <c r="L372" s="32"/>
      <c r="M372" s="48">
        <f t="shared" ref="M372:M382" si="17">J372+1</f>
        <v>45456</v>
      </c>
      <c r="N372" s="26">
        <f t="shared" si="15"/>
        <v>5</v>
      </c>
      <c r="O372" s="27">
        <v>990</v>
      </c>
      <c r="P372" s="27">
        <v>980</v>
      </c>
      <c r="Q372" s="27"/>
      <c r="R372" s="27"/>
      <c r="S372" s="27" t="s">
        <v>1275</v>
      </c>
      <c r="T372" s="27"/>
      <c r="U372" s="27"/>
      <c r="V372" s="27" t="s">
        <v>1276</v>
      </c>
      <c r="W372" s="27" t="s">
        <v>1277</v>
      </c>
      <c r="X372" s="73"/>
      <c r="Y372" s="73" t="e">
        <f>VLOOKUP(X372,Choferes!$B$2:$C$500,2,FALSE)</f>
        <v>#N/A</v>
      </c>
      <c r="Z372" s="73" t="s">
        <v>1278</v>
      </c>
    </row>
    <row r="373" spans="1:26" hidden="1" x14ac:dyDescent="0.25">
      <c r="A373" s="33">
        <v>24</v>
      </c>
      <c r="B373" s="71" t="s">
        <v>29</v>
      </c>
      <c r="C373" s="39" t="s">
        <v>1209</v>
      </c>
      <c r="D373" s="50" t="s">
        <v>747</v>
      </c>
      <c r="E373" s="47">
        <v>45453</v>
      </c>
      <c r="F373" s="31" t="str">
        <f>VLOOKUP($C373,Carpetas!$C$5:$M$2666,2,FALSE)</f>
        <v>BRB030</v>
      </c>
      <c r="G373" s="23" t="str">
        <f>VLOOKUP($C373,Carpetas!$C$5:$M$2666,10,FALSE)</f>
        <v>149,32,83</v>
      </c>
      <c r="H373" s="27" t="str">
        <f>VLOOKUP($C373,Carpetas!$C$5:$M$2666,6,FALSE)</f>
        <v>Zanini</v>
      </c>
      <c r="I373" s="220"/>
      <c r="J373" s="47">
        <f>E373+2</f>
        <v>45455</v>
      </c>
      <c r="K373" s="72" t="str">
        <f>VLOOKUP($C373,Carpetas!$C$5:$M$2666,5,FALSE)</f>
        <v>Rio Branco</v>
      </c>
      <c r="L373" s="32"/>
      <c r="M373" s="48">
        <f t="shared" si="17"/>
        <v>45456</v>
      </c>
      <c r="N373" s="26">
        <f t="shared" si="15"/>
        <v>3</v>
      </c>
      <c r="O373" s="27">
        <v>900</v>
      </c>
      <c r="P373" s="27">
        <v>901</v>
      </c>
      <c r="Q373" s="27"/>
      <c r="R373" s="27"/>
      <c r="S373" s="27" t="s">
        <v>1279</v>
      </c>
      <c r="T373" s="27"/>
      <c r="U373" s="27">
        <v>4486</v>
      </c>
      <c r="V373" s="27" t="s">
        <v>1280</v>
      </c>
      <c r="W373" s="27" t="s">
        <v>1281</v>
      </c>
      <c r="X373" s="73"/>
      <c r="Y373" s="73" t="e">
        <f>VLOOKUP(X373,Choferes!$B$2:$C$500,2,FALSE)</f>
        <v>#N/A</v>
      </c>
      <c r="Z373" s="73" t="s">
        <v>1282</v>
      </c>
    </row>
    <row r="374" spans="1:26" ht="30" hidden="1" x14ac:dyDescent="0.25">
      <c r="A374" s="33">
        <v>24</v>
      </c>
      <c r="B374" s="71" t="s">
        <v>29</v>
      </c>
      <c r="C374" s="39" t="s">
        <v>1283</v>
      </c>
      <c r="D374" s="50" t="s">
        <v>38</v>
      </c>
      <c r="E374" s="47">
        <v>45454</v>
      </c>
      <c r="F374" s="31" t="str">
        <f>VLOOKUP($C374,Carpetas!$C$5:$M$2666,2,FALSE)</f>
        <v>BRE014</v>
      </c>
      <c r="G374" s="23" t="str">
        <f>VLOOKUP($C374,Carpetas!$C$5:$M$2666,10,FALSE)</f>
        <v>1494116/1494504</v>
      </c>
      <c r="H374" s="27" t="str">
        <f>VLOOKUP($C374,Carpetas!$C$5:$M$2666,6,FALSE)</f>
        <v>Zanini</v>
      </c>
      <c r="I374" s="220">
        <f>VLOOKUP($C374,Carpetas!$C$5:$M$2666,4,FALSE)</f>
        <v>0</v>
      </c>
      <c r="J374" s="47">
        <v>45455</v>
      </c>
      <c r="K374" s="72" t="str">
        <f>VLOOKUP($C374,Carpetas!$C$5:$M$2666,5,FALSE)</f>
        <v>Rio Branco</v>
      </c>
      <c r="L374" s="32"/>
      <c r="M374" s="48">
        <f t="shared" si="17"/>
        <v>45456</v>
      </c>
      <c r="N374" s="26">
        <f t="shared" si="15"/>
        <v>2</v>
      </c>
      <c r="O374" s="27">
        <v>1240</v>
      </c>
      <c r="P374" s="27">
        <v>361</v>
      </c>
      <c r="Q374" s="27"/>
      <c r="R374" s="27"/>
      <c r="S374" s="27" t="s">
        <v>1284</v>
      </c>
      <c r="T374" s="27"/>
      <c r="U374" s="27">
        <v>4487</v>
      </c>
      <c r="V374" s="27" t="s">
        <v>1285</v>
      </c>
      <c r="W374" s="27" t="s">
        <v>1286</v>
      </c>
      <c r="X374" s="73"/>
      <c r="Y374" s="73" t="e">
        <f>VLOOKUP(X374,Choferes!$B$2:$C$500,2,FALSE)</f>
        <v>#N/A</v>
      </c>
      <c r="Z374" s="73" t="s">
        <v>1287</v>
      </c>
    </row>
    <row r="375" spans="1:26" hidden="1" x14ac:dyDescent="0.25">
      <c r="A375" s="33">
        <v>24</v>
      </c>
      <c r="B375" s="71" t="s">
        <v>29</v>
      </c>
      <c r="C375" s="39" t="s">
        <v>1288</v>
      </c>
      <c r="D375" s="50" t="s">
        <v>803</v>
      </c>
      <c r="E375" s="47">
        <v>45453</v>
      </c>
      <c r="F375" s="31" t="str">
        <f>VLOOKUP($C375,Carpetas!$C$5:$M$2666,2,FALSE)</f>
        <v>BRB036</v>
      </c>
      <c r="G375" s="23" t="str">
        <f>VLOOKUP($C375,Carpetas!$C$5:$M$2666,10,FALSE)</f>
        <v>149,42,02</v>
      </c>
      <c r="H375" s="27" t="str">
        <f>VLOOKUP($C375,Carpetas!$C$5:$M$2666,6,FALSE)</f>
        <v>FG</v>
      </c>
      <c r="I375" s="220"/>
      <c r="J375" s="47">
        <f>E375+2+1</f>
        <v>45456</v>
      </c>
      <c r="K375" s="72" t="str">
        <f>VLOOKUP($C375,Carpetas!$C$5:$M$2666,5,FALSE)</f>
        <v>Rio Branco</v>
      </c>
      <c r="L375" s="32"/>
      <c r="M375" s="48">
        <f t="shared" si="17"/>
        <v>45457</v>
      </c>
      <c r="N375" s="26">
        <f t="shared" si="15"/>
        <v>4</v>
      </c>
      <c r="O375" s="27">
        <v>990</v>
      </c>
      <c r="P375" s="27">
        <v>990</v>
      </c>
      <c r="Q375" s="27"/>
      <c r="R375" s="27"/>
      <c r="S375" s="27" t="s">
        <v>1289</v>
      </c>
      <c r="T375" s="27"/>
      <c r="U375" s="27">
        <v>149</v>
      </c>
      <c r="V375" s="27" t="s">
        <v>1164</v>
      </c>
      <c r="W375" s="27" t="s">
        <v>1165</v>
      </c>
      <c r="X375" s="73"/>
      <c r="Y375" s="73" t="e">
        <f>VLOOKUP(X375,Choferes!$B$2:$C$500,2,FALSE)</f>
        <v>#N/A</v>
      </c>
      <c r="Z375" s="73" t="s">
        <v>1290</v>
      </c>
    </row>
    <row r="376" spans="1:26" hidden="1" x14ac:dyDescent="0.25">
      <c r="A376" s="33">
        <v>24</v>
      </c>
      <c r="B376" s="71" t="s">
        <v>29</v>
      </c>
      <c r="C376" s="39" t="s">
        <v>1249</v>
      </c>
      <c r="D376" s="50" t="s">
        <v>1158</v>
      </c>
      <c r="E376" s="47">
        <v>45454</v>
      </c>
      <c r="F376" s="31" t="str">
        <f>VLOOKUP($C376,Carpetas!$C$5:$M$2666,2,FALSE)</f>
        <v>BRB035</v>
      </c>
      <c r="G376" s="23" t="str">
        <f>VLOOKUP($C376,Carpetas!$C$5:$M$2666,10,FALSE)</f>
        <v>149,39,17</v>
      </c>
      <c r="H376" s="27" t="str">
        <f>VLOOKUP($C376,Carpetas!$C$5:$M$2666,6,FALSE)</f>
        <v>Silvio</v>
      </c>
      <c r="I376" s="220"/>
      <c r="J376" s="47">
        <f>E376+2</f>
        <v>45456</v>
      </c>
      <c r="K376" s="72" t="str">
        <f>VLOOKUP($C376,Carpetas!$C$5:$M$2666,5,FALSE)</f>
        <v>Rio Branco</v>
      </c>
      <c r="L376" s="32"/>
      <c r="M376" s="48">
        <f t="shared" si="17"/>
        <v>45457</v>
      </c>
      <c r="N376" s="26">
        <f t="shared" si="15"/>
        <v>3</v>
      </c>
      <c r="O376" s="27">
        <v>918</v>
      </c>
      <c r="P376" s="27">
        <v>919</v>
      </c>
      <c r="Q376" s="27"/>
      <c r="R376" s="27"/>
      <c r="S376" s="27" t="s">
        <v>1291</v>
      </c>
      <c r="T376" s="27"/>
      <c r="U376" s="27">
        <v>6945</v>
      </c>
      <c r="V376" s="27" t="s">
        <v>1292</v>
      </c>
      <c r="W376" s="27" t="s">
        <v>1293</v>
      </c>
      <c r="X376" s="73"/>
      <c r="Y376" s="73" t="e">
        <f>VLOOKUP(X376,Choferes!$B$2:$C$500,2,FALSE)</f>
        <v>#N/A</v>
      </c>
      <c r="Z376" s="73" t="s">
        <v>1294</v>
      </c>
    </row>
    <row r="377" spans="1:26" hidden="1" x14ac:dyDescent="0.25">
      <c r="A377" s="33">
        <v>24</v>
      </c>
      <c r="B377" s="71" t="s">
        <v>29</v>
      </c>
      <c r="C377" s="39" t="s">
        <v>1288</v>
      </c>
      <c r="D377" s="50" t="s">
        <v>803</v>
      </c>
      <c r="E377" s="47">
        <v>45454</v>
      </c>
      <c r="F377" s="31" t="str">
        <f>VLOOKUP($C377,Carpetas!$C$5:$M$2666,2,FALSE)</f>
        <v>BRB036</v>
      </c>
      <c r="G377" s="23" t="str">
        <f>VLOOKUP($C377,Carpetas!$C$5:$M$2666,10,FALSE)</f>
        <v>149,42,02</v>
      </c>
      <c r="H377" s="27" t="str">
        <f>VLOOKUP($C377,Carpetas!$C$5:$M$2666,6,FALSE)</f>
        <v>FG</v>
      </c>
      <c r="I377" s="220"/>
      <c r="J377" s="47">
        <f>E377+2</f>
        <v>45456</v>
      </c>
      <c r="K377" s="72" t="str">
        <f>VLOOKUP($C377,Carpetas!$C$5:$M$2666,5,FALSE)</f>
        <v>Rio Branco</v>
      </c>
      <c r="L377" s="32"/>
      <c r="M377" s="48">
        <f t="shared" si="17"/>
        <v>45457</v>
      </c>
      <c r="N377" s="26">
        <f t="shared" si="15"/>
        <v>3</v>
      </c>
      <c r="O377" s="27">
        <v>990</v>
      </c>
      <c r="P377" s="27">
        <v>990</v>
      </c>
      <c r="Q377" s="27"/>
      <c r="R377" s="27"/>
      <c r="S377" s="27" t="s">
        <v>1295</v>
      </c>
      <c r="T377" s="27"/>
      <c r="U377" s="27">
        <v>151</v>
      </c>
      <c r="V377" s="27" t="s">
        <v>873</v>
      </c>
      <c r="W377" s="27" t="s">
        <v>874</v>
      </c>
      <c r="X377" s="73"/>
      <c r="Y377" s="73" t="e">
        <f>VLOOKUP(X377,Choferes!$B$2:$C$500,2,FALSE)</f>
        <v>#N/A</v>
      </c>
      <c r="Z377" s="73" t="s">
        <v>1296</v>
      </c>
    </row>
    <row r="378" spans="1:26" hidden="1" x14ac:dyDescent="0.25">
      <c r="A378" s="33">
        <v>24</v>
      </c>
      <c r="B378" s="71" t="s">
        <v>298</v>
      </c>
      <c r="C378" s="39" t="s">
        <v>299</v>
      </c>
      <c r="D378" s="50" t="s">
        <v>183</v>
      </c>
      <c r="E378" s="47">
        <v>45452</v>
      </c>
      <c r="F378" s="31" t="str">
        <f>VLOOKUP($C378,Carpetas!$C$5:$M$2666,2,FALSE)</f>
        <v>BRB</v>
      </c>
      <c r="G378" s="23" t="e">
        <f>VLOOKUP($C378,Carpetas!$C$5:$M$2666,9,FALSE)</f>
        <v>#REF!</v>
      </c>
      <c r="H378" s="27" t="str">
        <f>VLOOKUP($C378,Carpetas!$C$5:$M$2666,5,FALSE)</f>
        <v>xx</v>
      </c>
      <c r="I378" s="220"/>
      <c r="J378" s="47">
        <f>E378+4</f>
        <v>45456</v>
      </c>
      <c r="K378" s="72">
        <f>VLOOKUP($C378,Carpetas!$C$5:$M$2666,4,FALSE)</f>
        <v>0</v>
      </c>
      <c r="L378" s="32"/>
      <c r="M378" s="48">
        <f t="shared" si="17"/>
        <v>45457</v>
      </c>
      <c r="N378" s="26">
        <f t="shared" si="15"/>
        <v>5</v>
      </c>
      <c r="O378" s="27">
        <v>990</v>
      </c>
      <c r="P378" s="27"/>
      <c r="Q378" s="27"/>
      <c r="R378" s="27"/>
      <c r="S378" s="27"/>
      <c r="T378" s="27"/>
      <c r="U378" s="27"/>
      <c r="V378" s="27"/>
      <c r="W378" s="27"/>
      <c r="X378" s="73"/>
      <c r="Y378" s="73" t="e">
        <f>VLOOKUP(X378,Choferes!$B$2:$C$500,2,FALSE)</f>
        <v>#N/A</v>
      </c>
      <c r="Z378" s="73"/>
    </row>
    <row r="379" spans="1:26" hidden="1" x14ac:dyDescent="0.25">
      <c r="A379" s="33">
        <v>24</v>
      </c>
      <c r="B379" s="71" t="s">
        <v>29</v>
      </c>
      <c r="C379" s="39" t="s">
        <v>1297</v>
      </c>
      <c r="D379" s="50" t="s">
        <v>110</v>
      </c>
      <c r="E379" s="47">
        <v>45455</v>
      </c>
      <c r="F379" s="31" t="str">
        <f>VLOOKUP($C379,Carpetas!$C$5:$M$2666,2,FALSE)</f>
        <v>BRB037</v>
      </c>
      <c r="G379" s="23" t="str">
        <f>VLOOKUP($C379,Carpetas!$C$5:$M$2666,10,FALSE)</f>
        <v>149,45,77</v>
      </c>
      <c r="H379" s="27" t="str">
        <f>VLOOKUP($C379,Carpetas!$C$5:$M$2666,6,FALSE)</f>
        <v>Zanini</v>
      </c>
      <c r="I379" s="220"/>
      <c r="J379" s="47">
        <v>45456</v>
      </c>
      <c r="K379" s="72" t="str">
        <f>VLOOKUP($C379,Carpetas!$C$5:$M$2666,5,FALSE)</f>
        <v>Rio Branco</v>
      </c>
      <c r="L379" s="32"/>
      <c r="M379" s="48">
        <f t="shared" si="17"/>
        <v>45457</v>
      </c>
      <c r="N379" s="26">
        <f t="shared" si="15"/>
        <v>2</v>
      </c>
      <c r="O379" s="27">
        <v>918</v>
      </c>
      <c r="P379" s="27">
        <v>918</v>
      </c>
      <c r="Q379" s="27"/>
      <c r="R379" s="27"/>
      <c r="S379" s="27" t="s">
        <v>1298</v>
      </c>
      <c r="T379" s="27"/>
      <c r="U379" s="27">
        <v>4488</v>
      </c>
      <c r="V379" s="27" t="s">
        <v>395</v>
      </c>
      <c r="W379" s="27" t="s">
        <v>396</v>
      </c>
      <c r="X379" s="73"/>
      <c r="Y379" s="73" t="e">
        <f>VLOOKUP(X379,Choferes!$B$2:$C$500,2,FALSE)</f>
        <v>#N/A</v>
      </c>
      <c r="Z379" s="73" t="s">
        <v>1299</v>
      </c>
    </row>
    <row r="380" spans="1:26" hidden="1" x14ac:dyDescent="0.25">
      <c r="A380" s="33">
        <v>24</v>
      </c>
      <c r="B380" s="71" t="s">
        <v>29</v>
      </c>
      <c r="C380" s="39" t="s">
        <v>1154</v>
      </c>
      <c r="D380" s="50" t="s">
        <v>78</v>
      </c>
      <c r="E380" s="47">
        <v>45455</v>
      </c>
      <c r="F380" s="31" t="str">
        <f>VLOOKUP($C380,Carpetas!$C$5:$M$2666,2,FALSE)</f>
        <v>BRB032</v>
      </c>
      <c r="G380" s="23" t="str">
        <f>VLOOKUP($C380,Carpetas!$C$5:$M$2666,10,FALSE)</f>
        <v>149,32,85</v>
      </c>
      <c r="H380" s="27" t="str">
        <f>VLOOKUP($C380,Carpetas!$C$5:$M$2666,6,FALSE)</f>
        <v>Amaro</v>
      </c>
      <c r="I380" s="220"/>
      <c r="J380" s="47">
        <v>45456</v>
      </c>
      <c r="K380" s="72" t="str">
        <f>VLOOKUP($C380,Carpetas!$C$5:$M$2666,5,FALSE)</f>
        <v>Rio Branco</v>
      </c>
      <c r="L380" s="32"/>
      <c r="M380" s="48">
        <f t="shared" si="17"/>
        <v>45457</v>
      </c>
      <c r="N380" s="26">
        <f t="shared" si="15"/>
        <v>2</v>
      </c>
      <c r="O380" s="27">
        <v>990</v>
      </c>
      <c r="P380" s="27">
        <v>991</v>
      </c>
      <c r="Q380" s="27"/>
      <c r="R380" s="27"/>
      <c r="S380" s="27" t="s">
        <v>1300</v>
      </c>
      <c r="T380" s="27"/>
      <c r="U380" s="27">
        <v>4036</v>
      </c>
      <c r="V380" s="27" t="s">
        <v>1301</v>
      </c>
      <c r="W380" s="27" t="s">
        <v>1302</v>
      </c>
      <c r="X380" s="73"/>
      <c r="Y380" s="73" t="e">
        <f>VLOOKUP(X380,Choferes!$B$2:$C$500,2,FALSE)</f>
        <v>#N/A</v>
      </c>
      <c r="Z380" s="73" t="s">
        <v>1303</v>
      </c>
    </row>
    <row r="381" spans="1:26" hidden="1" x14ac:dyDescent="0.25">
      <c r="A381" s="33">
        <v>24</v>
      </c>
      <c r="B381" s="71" t="s">
        <v>29</v>
      </c>
      <c r="C381" s="39" t="s">
        <v>1297</v>
      </c>
      <c r="D381" s="50" t="s">
        <v>880</v>
      </c>
      <c r="E381" s="47">
        <v>45455</v>
      </c>
      <c r="F381" s="31" t="str">
        <f>VLOOKUP($C381,Carpetas!$C$5:$M$2666,2,FALSE)</f>
        <v>BRB037</v>
      </c>
      <c r="G381" s="23" t="str">
        <f>VLOOKUP($C381,Carpetas!$C$5:$M$2666,10,FALSE)</f>
        <v>149,45,77</v>
      </c>
      <c r="H381" s="27" t="str">
        <f>VLOOKUP($C381,Carpetas!$C$5:$M$2666,6,FALSE)</f>
        <v>Zanini</v>
      </c>
      <c r="I381" s="220"/>
      <c r="J381" s="47">
        <f>E381+1</f>
        <v>45456</v>
      </c>
      <c r="K381" s="72" t="str">
        <f>VLOOKUP($C381,Carpetas!$C$5:$M$2666,5,FALSE)</f>
        <v>Rio Branco</v>
      </c>
      <c r="L381" s="32"/>
      <c r="M381" s="48">
        <f t="shared" si="17"/>
        <v>45457</v>
      </c>
      <c r="N381" s="26">
        <f t="shared" si="15"/>
        <v>2</v>
      </c>
      <c r="O381" s="27">
        <v>918</v>
      </c>
      <c r="P381" s="27">
        <v>918</v>
      </c>
      <c r="Q381" s="27"/>
      <c r="R381" s="27"/>
      <c r="S381" s="27" t="s">
        <v>1304</v>
      </c>
      <c r="T381" s="27"/>
      <c r="U381" s="27">
        <v>4489</v>
      </c>
      <c r="V381" s="27" t="s">
        <v>895</v>
      </c>
      <c r="W381" s="27" t="s">
        <v>896</v>
      </c>
      <c r="X381" s="73"/>
      <c r="Y381" s="73" t="e">
        <f>VLOOKUP(X381,Choferes!$B$2:$C$500,2,FALSE)</f>
        <v>#N/A</v>
      </c>
      <c r="Z381" s="73" t="s">
        <v>1305</v>
      </c>
    </row>
    <row r="382" spans="1:26" hidden="1" x14ac:dyDescent="0.25">
      <c r="A382" s="33">
        <v>24</v>
      </c>
      <c r="B382" s="71" t="s">
        <v>29</v>
      </c>
      <c r="C382" s="39" t="s">
        <v>1249</v>
      </c>
      <c r="D382" s="50" t="s">
        <v>249</v>
      </c>
      <c r="E382" s="47">
        <v>45455</v>
      </c>
      <c r="F382" s="31" t="str">
        <f>VLOOKUP($C382,Carpetas!$C$5:$M$2666,2,FALSE)</f>
        <v>BRB035</v>
      </c>
      <c r="G382" s="23" t="str">
        <f>VLOOKUP($C382,Carpetas!$C$5:$M$2666,10,FALSE)</f>
        <v>149,39,17</v>
      </c>
      <c r="H382" s="27" t="str">
        <f>VLOOKUP($C382,Carpetas!$C$5:$M$2666,6,FALSE)</f>
        <v>Silvio</v>
      </c>
      <c r="I382" s="220"/>
      <c r="J382" s="47">
        <f>E382+1</f>
        <v>45456</v>
      </c>
      <c r="K382" s="72" t="str">
        <f>VLOOKUP($C382,Carpetas!$C$5:$M$2666,5,FALSE)</f>
        <v>Rio Branco</v>
      </c>
      <c r="L382" s="32"/>
      <c r="M382" s="48">
        <f t="shared" si="17"/>
        <v>45457</v>
      </c>
      <c r="N382" s="26">
        <f t="shared" si="15"/>
        <v>2</v>
      </c>
      <c r="O382" s="27">
        <v>918</v>
      </c>
      <c r="P382" s="27">
        <v>919</v>
      </c>
      <c r="Q382" s="27"/>
      <c r="R382" s="27"/>
      <c r="S382" s="27" t="s">
        <v>1306</v>
      </c>
      <c r="T382" s="27"/>
      <c r="U382" s="27">
        <v>6946</v>
      </c>
      <c r="V382" s="27" t="s">
        <v>251</v>
      </c>
      <c r="W382" s="27" t="s">
        <v>252</v>
      </c>
      <c r="X382" s="73"/>
      <c r="Y382" s="73" t="e">
        <f>VLOOKUP(X382,Choferes!$B$2:$C$500,2,FALSE)</f>
        <v>#N/A</v>
      </c>
      <c r="Z382" s="73" t="s">
        <v>1294</v>
      </c>
    </row>
    <row r="383" spans="1:26" hidden="1" x14ac:dyDescent="0.25">
      <c r="A383" s="33">
        <v>24</v>
      </c>
      <c r="B383" s="71" t="s">
        <v>29</v>
      </c>
      <c r="C383" s="39" t="s">
        <v>1307</v>
      </c>
      <c r="D383" s="50" t="s">
        <v>121</v>
      </c>
      <c r="E383" s="47">
        <v>45452</v>
      </c>
      <c r="F383" s="31" t="str">
        <f>VLOOKUP($C383,Carpetas!$C$5:$M$2666,2,FALSE)</f>
        <v>PYB106</v>
      </c>
      <c r="G383" s="23">
        <f>VLOOKUP($C383,Carpetas!$C$5:$M$2666,10,FALSE)</f>
        <v>0</v>
      </c>
      <c r="H383" s="27">
        <f>VLOOKUP($C383,Carpetas!$C$5:$M$2666,6,FALSE)</f>
        <v>0</v>
      </c>
      <c r="I383" s="220"/>
      <c r="J383" s="47">
        <f>E383+4</f>
        <v>45456</v>
      </c>
      <c r="K383" s="72" t="str">
        <f>VLOOKUP($C383,Carpetas!$C$5:$M$2666,5,FALSE)</f>
        <v>Salto</v>
      </c>
      <c r="L383" s="32"/>
      <c r="M383" s="48">
        <f>J383+1+1</f>
        <v>45458</v>
      </c>
      <c r="N383" s="26">
        <f t="shared" si="15"/>
        <v>6</v>
      </c>
      <c r="O383" s="27">
        <v>980</v>
      </c>
      <c r="P383" s="27">
        <v>981</v>
      </c>
      <c r="Q383" s="27"/>
      <c r="R383" s="27"/>
      <c r="S383" s="27" t="s">
        <v>1308</v>
      </c>
      <c r="T383" s="27"/>
      <c r="U383" s="27"/>
      <c r="V383" s="27" t="s">
        <v>1309</v>
      </c>
      <c r="W383" s="27" t="s">
        <v>1310</v>
      </c>
      <c r="X383" s="73"/>
      <c r="Y383" s="73" t="e">
        <f>VLOOKUP(X383,Choferes!$B$2:$C$500,2,FALSE)</f>
        <v>#N/A</v>
      </c>
      <c r="Z383" s="73" t="s">
        <v>1311</v>
      </c>
    </row>
    <row r="384" spans="1:26" hidden="1" x14ac:dyDescent="0.25">
      <c r="A384" s="33">
        <v>24</v>
      </c>
      <c r="B384" s="71" t="s">
        <v>29</v>
      </c>
      <c r="C384" s="39" t="s">
        <v>1312</v>
      </c>
      <c r="D384" s="50" t="s">
        <v>48</v>
      </c>
      <c r="E384" s="47">
        <v>45453</v>
      </c>
      <c r="F384" s="31" t="str">
        <f>VLOOKUP($C384,Carpetas!$C$5:$M$2666,2,FALSE)</f>
        <v>PYB108</v>
      </c>
      <c r="G384" s="23">
        <f>VLOOKUP($C384,Carpetas!$C$5:$M$2666,10,FALSE)</f>
        <v>0</v>
      </c>
      <c r="H384" s="27">
        <f>VLOOKUP($C384,Carpetas!$C$5:$M$2666,6,FALSE)</f>
        <v>0</v>
      </c>
      <c r="I384" s="220"/>
      <c r="J384" s="47">
        <v>45456</v>
      </c>
      <c r="K384" s="72" t="str">
        <f>VLOOKUP($C384,Carpetas!$C$5:$M$2666,5,FALSE)</f>
        <v>Salto</v>
      </c>
      <c r="L384" s="32"/>
      <c r="M384" s="48">
        <f>J384+1+1</f>
        <v>45458</v>
      </c>
      <c r="N384" s="26">
        <f t="shared" si="15"/>
        <v>5</v>
      </c>
      <c r="O384" s="27">
        <v>930</v>
      </c>
      <c r="P384" s="27">
        <v>931</v>
      </c>
      <c r="Q384" s="27"/>
      <c r="R384" s="27"/>
      <c r="S384" s="27" t="s">
        <v>1313</v>
      </c>
      <c r="T384" s="27"/>
      <c r="U384" s="27"/>
      <c r="V384" s="27" t="s">
        <v>69</v>
      </c>
      <c r="W384" s="27" t="s">
        <v>835</v>
      </c>
      <c r="X384" s="73"/>
      <c r="Y384" s="73" t="e">
        <f>VLOOKUP(X384,Choferes!$B$2:$C$500,2,FALSE)</f>
        <v>#N/A</v>
      </c>
      <c r="Z384" s="73" t="s">
        <v>1314</v>
      </c>
    </row>
    <row r="385" spans="1:26" hidden="1" x14ac:dyDescent="0.25">
      <c r="A385" s="33">
        <v>24</v>
      </c>
      <c r="B385" s="71" t="s">
        <v>29</v>
      </c>
      <c r="C385" s="39" t="s">
        <v>1312</v>
      </c>
      <c r="D385" s="50" t="s">
        <v>48</v>
      </c>
      <c r="E385" s="47">
        <v>45454</v>
      </c>
      <c r="F385" s="31" t="str">
        <f>VLOOKUP($C385,Carpetas!$C$5:$M$2666,2,FALSE)</f>
        <v>PYB108</v>
      </c>
      <c r="G385" s="23">
        <f>VLOOKUP($C385,Carpetas!$C$5:$M$2666,10,FALSE)</f>
        <v>0</v>
      </c>
      <c r="H385" s="27">
        <f>VLOOKUP($C385,Carpetas!$C$5:$M$2666,6,FALSE)</f>
        <v>0</v>
      </c>
      <c r="I385" s="220"/>
      <c r="J385" s="47">
        <v>45456</v>
      </c>
      <c r="K385" s="72" t="str">
        <f>VLOOKUP($C385,Carpetas!$C$5:$M$2666,5,FALSE)</f>
        <v>Salto</v>
      </c>
      <c r="L385" s="32"/>
      <c r="M385" s="48">
        <f>J385+1+1</f>
        <v>45458</v>
      </c>
      <c r="N385" s="26">
        <f t="shared" si="15"/>
        <v>4</v>
      </c>
      <c r="O385" s="27">
        <v>930</v>
      </c>
      <c r="P385" s="27">
        <v>931</v>
      </c>
      <c r="Q385" s="27"/>
      <c r="R385" s="27"/>
      <c r="S385" s="27" t="s">
        <v>1315</v>
      </c>
      <c r="T385" s="27"/>
      <c r="U385" s="27"/>
      <c r="V385" s="27" t="s">
        <v>98</v>
      </c>
      <c r="W385" s="27" t="s">
        <v>167</v>
      </c>
      <c r="X385" s="73"/>
      <c r="Y385" s="73" t="e">
        <f>VLOOKUP(X385,Choferes!$B$2:$C$500,2,FALSE)</f>
        <v>#N/A</v>
      </c>
      <c r="Z385" s="73" t="s">
        <v>1316</v>
      </c>
    </row>
    <row r="386" spans="1:26" hidden="1" x14ac:dyDescent="0.25">
      <c r="A386" s="33">
        <v>24</v>
      </c>
      <c r="B386" s="71" t="s">
        <v>29</v>
      </c>
      <c r="C386" s="39" t="s">
        <v>1288</v>
      </c>
      <c r="D386" s="50" t="s">
        <v>764</v>
      </c>
      <c r="E386" s="47">
        <v>45363</v>
      </c>
      <c r="F386" s="31" t="str">
        <f>VLOOKUP($C386,Carpetas!$C$5:$M$2666,2,FALSE)</f>
        <v>BRB036</v>
      </c>
      <c r="G386" s="23" t="str">
        <f>VLOOKUP($C386,Carpetas!$C$5:$M$2666,10,FALSE)</f>
        <v>149,42,02</v>
      </c>
      <c r="H386" s="27" t="str">
        <f>VLOOKUP($C386,Carpetas!$C$5:$M$2666,6,FALSE)</f>
        <v>FG</v>
      </c>
      <c r="I386" s="220"/>
      <c r="J386" s="47">
        <v>45457</v>
      </c>
      <c r="K386" s="72" t="str">
        <f>VLOOKUP($C386,Carpetas!$C$5:$M$2666,5,FALSE)</f>
        <v>Rio Branco</v>
      </c>
      <c r="L386" s="32"/>
      <c r="M386" s="48">
        <f>J386+1</f>
        <v>45458</v>
      </c>
      <c r="N386" s="26">
        <f t="shared" si="15"/>
        <v>95</v>
      </c>
      <c r="O386" s="27">
        <v>990</v>
      </c>
      <c r="P386" s="27">
        <v>990</v>
      </c>
      <c r="Q386" s="27"/>
      <c r="R386" s="27"/>
      <c r="S386" s="27" t="s">
        <v>1317</v>
      </c>
      <c r="T386" s="27"/>
      <c r="U386" s="27">
        <v>152</v>
      </c>
      <c r="V386" s="27" t="s">
        <v>905</v>
      </c>
      <c r="W386" s="27" t="s">
        <v>906</v>
      </c>
      <c r="X386" s="73"/>
      <c r="Y386" s="73" t="e">
        <f>VLOOKUP(X386,Choferes!$B$2:$C$500,2,FALSE)</f>
        <v>#N/A</v>
      </c>
      <c r="Z386" s="73" t="s">
        <v>1318</v>
      </c>
    </row>
    <row r="387" spans="1:26" hidden="1" x14ac:dyDescent="0.25">
      <c r="A387" s="33">
        <v>24</v>
      </c>
      <c r="B387" s="71" t="s">
        <v>29</v>
      </c>
      <c r="C387" s="39" t="s">
        <v>1267</v>
      </c>
      <c r="D387" s="50" t="s">
        <v>102</v>
      </c>
      <c r="E387" s="47">
        <v>45452</v>
      </c>
      <c r="F387" s="31" t="str">
        <f>VLOOKUP($C387,Carpetas!$C$5:$M$2666,2,FALSE)</f>
        <v>PYB107</v>
      </c>
      <c r="G387" s="23">
        <f>VLOOKUP($C387,Carpetas!$C$5:$M$2666,10,FALSE)</f>
        <v>0</v>
      </c>
      <c r="H387" s="27">
        <f>VLOOKUP($C387,Carpetas!$C$5:$M$2666,6,FALSE)</f>
        <v>0</v>
      </c>
      <c r="I387" s="220"/>
      <c r="J387" s="47">
        <v>45457</v>
      </c>
      <c r="K387" s="72" t="str">
        <f>VLOOKUP($C387,Carpetas!$C$5:$M$2666,5,FALSE)</f>
        <v>Salto</v>
      </c>
      <c r="L387" s="32"/>
      <c r="M387" s="48">
        <f>J387+1</f>
        <v>45458</v>
      </c>
      <c r="N387" s="26">
        <f t="shared" si="15"/>
        <v>6</v>
      </c>
      <c r="O387" s="27">
        <v>990</v>
      </c>
      <c r="P387" s="27">
        <v>981</v>
      </c>
      <c r="Q387" s="27"/>
      <c r="R387" s="27"/>
      <c r="S387" s="27" t="s">
        <v>1319</v>
      </c>
      <c r="T387" s="27"/>
      <c r="U387" s="27"/>
      <c r="V387" s="27" t="s">
        <v>288</v>
      </c>
      <c r="W387" s="27" t="s">
        <v>289</v>
      </c>
      <c r="X387" s="73"/>
      <c r="Y387" s="73" t="e">
        <f>VLOOKUP(X387,Choferes!$B$2:$C$500,2,FALSE)</f>
        <v>#N/A</v>
      </c>
      <c r="Z387" s="73" t="s">
        <v>1311</v>
      </c>
    </row>
    <row r="388" spans="1:26" hidden="1" x14ac:dyDescent="0.25">
      <c r="A388" s="33">
        <v>24</v>
      </c>
      <c r="B388" s="71" t="s">
        <v>29</v>
      </c>
      <c r="C388" s="39" t="s">
        <v>1288</v>
      </c>
      <c r="D388" s="50" t="s">
        <v>803</v>
      </c>
      <c r="E388" s="47">
        <v>45455</v>
      </c>
      <c r="F388" s="31" t="str">
        <f>VLOOKUP($C388,Carpetas!$C$5:$M$2666,2,FALSE)</f>
        <v>BRB036</v>
      </c>
      <c r="G388" s="23" t="str">
        <f>VLOOKUP($C388,Carpetas!$C$5:$M$2666,10,FALSE)</f>
        <v>149,42,02</v>
      </c>
      <c r="H388" s="27" t="str">
        <f>VLOOKUP($C388,Carpetas!$C$5:$M$2666,6,FALSE)</f>
        <v>FG</v>
      </c>
      <c r="I388" s="220"/>
      <c r="J388" s="47">
        <v>45457</v>
      </c>
      <c r="K388" s="72" t="str">
        <f>VLOOKUP($C388,Carpetas!$C$5:$M$2666,5,FALSE)</f>
        <v>Rio Branco</v>
      </c>
      <c r="L388" s="32"/>
      <c r="M388" s="48">
        <f>J388+1</f>
        <v>45458</v>
      </c>
      <c r="N388" s="26">
        <f t="shared" si="15"/>
        <v>3</v>
      </c>
      <c r="O388" s="27">
        <v>990</v>
      </c>
      <c r="P388" s="27">
        <v>990</v>
      </c>
      <c r="Q388" s="27"/>
      <c r="R388" s="27"/>
      <c r="S388" s="27" t="s">
        <v>1320</v>
      </c>
      <c r="T388" s="27"/>
      <c r="U388" s="27">
        <v>153</v>
      </c>
      <c r="V388" s="27" t="s">
        <v>1321</v>
      </c>
      <c r="W388" s="27" t="s">
        <v>1322</v>
      </c>
      <c r="X388" s="73"/>
      <c r="Y388" s="73" t="e">
        <f>VLOOKUP(X388,Choferes!$B$2:$C$500,2,FALSE)</f>
        <v>#N/A</v>
      </c>
      <c r="Z388" s="73" t="s">
        <v>1323</v>
      </c>
    </row>
    <row r="389" spans="1:26" hidden="1" x14ac:dyDescent="0.25">
      <c r="A389" s="33">
        <v>24</v>
      </c>
      <c r="B389" s="71" t="s">
        <v>29</v>
      </c>
      <c r="C389" s="39" t="s">
        <v>1312</v>
      </c>
      <c r="D389" s="50" t="s">
        <v>48</v>
      </c>
      <c r="E389" s="47">
        <v>45455</v>
      </c>
      <c r="F389" s="31" t="str">
        <f>VLOOKUP($C389,Carpetas!$C$5:$M$2666,2,FALSE)</f>
        <v>PYB108</v>
      </c>
      <c r="G389" s="23">
        <f>VLOOKUP($C389,Carpetas!$C$5:$M$2666,10,FALSE)</f>
        <v>0</v>
      </c>
      <c r="H389" s="27">
        <f>VLOOKUP($C389,Carpetas!$C$5:$M$2666,6,FALSE)</f>
        <v>0</v>
      </c>
      <c r="I389" s="220"/>
      <c r="J389" s="47">
        <v>45457</v>
      </c>
      <c r="K389" s="72" t="str">
        <f>VLOOKUP($C389,Carpetas!$C$5:$M$2666,5,FALSE)</f>
        <v>Salto</v>
      </c>
      <c r="L389" s="32"/>
      <c r="M389" s="48">
        <f>J389+1</f>
        <v>45458</v>
      </c>
      <c r="N389" s="26">
        <f t="shared" ref="N389:N452" si="18">IF(E389&lt;&gt;"",M389-E389,"-")</f>
        <v>3</v>
      </c>
      <c r="O389" s="27">
        <v>930</v>
      </c>
      <c r="P389" s="27">
        <v>933</v>
      </c>
      <c r="Q389" s="27"/>
      <c r="R389" s="27"/>
      <c r="S389" s="27" t="s">
        <v>1324</v>
      </c>
      <c r="T389" s="27"/>
      <c r="U389" s="27"/>
      <c r="V389" s="27" t="s">
        <v>400</v>
      </c>
      <c r="W389" s="27" t="s">
        <v>460</v>
      </c>
      <c r="X389" s="73"/>
      <c r="Y389" s="73" t="e">
        <f>VLOOKUP(X389,Choferes!$B$2:$C$500,2,FALSE)</f>
        <v>#N/A</v>
      </c>
      <c r="Z389" s="73" t="s">
        <v>1325</v>
      </c>
    </row>
    <row r="390" spans="1:26" hidden="1" x14ac:dyDescent="0.25">
      <c r="A390" s="33">
        <v>24</v>
      </c>
      <c r="B390" s="71" t="s">
        <v>29</v>
      </c>
      <c r="C390" s="39" t="s">
        <v>1154</v>
      </c>
      <c r="D390" s="50" t="s">
        <v>78</v>
      </c>
      <c r="E390" s="47">
        <v>45456</v>
      </c>
      <c r="F390" s="31" t="str">
        <f>VLOOKUP($C390,Carpetas!$C$5:$M$2666,2,FALSE)</f>
        <v>BRB032</v>
      </c>
      <c r="G390" s="23" t="str">
        <f>VLOOKUP($C390,Carpetas!$C$5:$M$2666,10,FALSE)</f>
        <v>149,32,85</v>
      </c>
      <c r="H390" s="27" t="str">
        <f>VLOOKUP($C390,Carpetas!$C$5:$M$2666,6,FALSE)</f>
        <v>Amaro</v>
      </c>
      <c r="I390" s="220"/>
      <c r="J390" s="47">
        <v>45457</v>
      </c>
      <c r="K390" s="72" t="str">
        <f>VLOOKUP($C390,Carpetas!$C$5:$M$2666,5,FALSE)</f>
        <v>Rio Branco</v>
      </c>
      <c r="L390" s="32"/>
      <c r="M390" s="48">
        <f>J390+1</f>
        <v>45458</v>
      </c>
      <c r="N390" s="26">
        <f t="shared" si="18"/>
        <v>2</v>
      </c>
      <c r="O390" s="27">
        <v>990</v>
      </c>
      <c r="P390" s="27">
        <v>991</v>
      </c>
      <c r="Q390" s="27"/>
      <c r="R390" s="27"/>
      <c r="S390" s="27" t="s">
        <v>1326</v>
      </c>
      <c r="T390" s="27"/>
      <c r="U390" s="27">
        <v>4049</v>
      </c>
      <c r="V390" s="27" t="s">
        <v>943</v>
      </c>
      <c r="W390" s="27" t="s">
        <v>944</v>
      </c>
      <c r="X390" s="73"/>
      <c r="Y390" s="73" t="e">
        <f>VLOOKUP(X390,Choferes!$B$2:$C$500,2,FALSE)</f>
        <v>#N/A</v>
      </c>
      <c r="Z390" s="73" t="s">
        <v>1327</v>
      </c>
    </row>
    <row r="391" spans="1:26" ht="30" hidden="1" x14ac:dyDescent="0.25">
      <c r="A391" s="33">
        <v>22</v>
      </c>
      <c r="B391" s="71" t="s">
        <v>29</v>
      </c>
      <c r="C391" s="39" t="s">
        <v>1328</v>
      </c>
      <c r="D391" s="50" t="s">
        <v>63</v>
      </c>
      <c r="E391" s="47">
        <v>45447</v>
      </c>
      <c r="F391" s="31" t="str">
        <f>VLOOKUP($C391,Carpetas!$C$5:$M$2666,2,FALSE)</f>
        <v>BRA015</v>
      </c>
      <c r="G391" s="23" t="str">
        <f>VLOOKUP($C391,Carpetas!$C$5:$M$2666,10,FALSE)</f>
        <v>149,35,52</v>
      </c>
      <c r="H391" s="27" t="str">
        <f>VLOOKUP($C391,Carpetas!$C$5:$M$2666,6,FALSE)</f>
        <v>Silvio</v>
      </c>
      <c r="I391" s="220"/>
      <c r="J391" s="47">
        <f>E391+10</f>
        <v>45457</v>
      </c>
      <c r="K391" s="72" t="str">
        <f>VLOOKUP($C391,Carpetas!$C$5:$M$2666,5,FALSE)</f>
        <v>Rio Branco</v>
      </c>
      <c r="L391" s="32"/>
      <c r="M391" s="48">
        <f>J391+1+1</f>
        <v>45459</v>
      </c>
      <c r="N391" s="26">
        <f t="shared" si="18"/>
        <v>12</v>
      </c>
      <c r="O391" s="27">
        <v>1104</v>
      </c>
      <c r="P391" s="27">
        <v>1104</v>
      </c>
      <c r="Q391" s="27"/>
      <c r="R391" s="27"/>
      <c r="S391" s="27" t="s">
        <v>262</v>
      </c>
      <c r="T391" s="27"/>
      <c r="U391" s="27">
        <v>6934</v>
      </c>
      <c r="V391" s="27" t="s">
        <v>1205</v>
      </c>
      <c r="W391" s="27" t="s">
        <v>801</v>
      </c>
      <c r="X391" s="73"/>
      <c r="Y391" s="73" t="e">
        <f>VLOOKUP(X391,Choferes!$B$2:$C$500,2,FALSE)</f>
        <v>#N/A</v>
      </c>
      <c r="Z391" s="73" t="s">
        <v>1329</v>
      </c>
    </row>
    <row r="392" spans="1:26" hidden="1" x14ac:dyDescent="0.25">
      <c r="A392" s="33">
        <v>24</v>
      </c>
      <c r="B392" s="71" t="s">
        <v>298</v>
      </c>
      <c r="C392" s="39" t="s">
        <v>299</v>
      </c>
      <c r="D392" s="50" t="s">
        <v>880</v>
      </c>
      <c r="E392" s="47">
        <v>45457</v>
      </c>
      <c r="F392" s="31" t="str">
        <f>VLOOKUP($C392,Carpetas!$C$5:$M$2666,2,FALSE)</f>
        <v>BRB</v>
      </c>
      <c r="G392" s="23" t="e">
        <f>VLOOKUP($C392,Carpetas!$C$5:$M$2666,9,FALSE)</f>
        <v>#REF!</v>
      </c>
      <c r="H392" s="27" t="str">
        <f>VLOOKUP($C392,Carpetas!$C$5:$M$2666,5,FALSE)</f>
        <v>xx</v>
      </c>
      <c r="I392" s="220"/>
      <c r="J392" s="47">
        <f>E392+2</f>
        <v>45459</v>
      </c>
      <c r="K392" s="72">
        <f>VLOOKUP($C392,Carpetas!$C$5:$M$2666,4,FALSE)</f>
        <v>0</v>
      </c>
      <c r="L392" s="32"/>
      <c r="M392" s="48">
        <f>J392+1</f>
        <v>45460</v>
      </c>
      <c r="N392" s="26">
        <f t="shared" si="18"/>
        <v>3</v>
      </c>
      <c r="O392" s="27">
        <v>900</v>
      </c>
      <c r="P392" s="27"/>
      <c r="Q392" s="27"/>
      <c r="R392" s="27"/>
      <c r="S392" s="27"/>
      <c r="T392" s="27"/>
      <c r="U392" s="27"/>
      <c r="V392" s="27"/>
      <c r="W392" s="27"/>
      <c r="X392" s="73"/>
      <c r="Y392" s="73" t="e">
        <f>VLOOKUP(X392,Choferes!$B$2:$C$500,2,FALSE)</f>
        <v>#N/A</v>
      </c>
      <c r="Z392" s="73"/>
    </row>
    <row r="393" spans="1:26" ht="30" hidden="1" x14ac:dyDescent="0.25">
      <c r="A393" s="33">
        <v>24</v>
      </c>
      <c r="B393" s="71" t="s">
        <v>29</v>
      </c>
      <c r="C393" s="39" t="s">
        <v>1330</v>
      </c>
      <c r="D393" s="50" t="s">
        <v>42</v>
      </c>
      <c r="E393" s="47">
        <v>45453</v>
      </c>
      <c r="F393" s="31" t="str">
        <f>VLOOKUP($C393,Carpetas!$C$5:$M$2666,2,FALSE)</f>
        <v>PYB105</v>
      </c>
      <c r="G393" s="23">
        <f>VLOOKUP($C393,Carpetas!$C$5:$M$2666,10,FALSE)</f>
        <v>0</v>
      </c>
      <c r="H393" s="27">
        <f>VLOOKUP($C393,Carpetas!$C$5:$M$2666,6,FALSE)</f>
        <v>0</v>
      </c>
      <c r="I393" s="220"/>
      <c r="J393" s="47">
        <v>45456</v>
      </c>
      <c r="K393" s="72" t="str">
        <f>VLOOKUP($C393,Carpetas!$C$5:$M$2666,5,FALSE)</f>
        <v>Salto</v>
      </c>
      <c r="L393" s="32"/>
      <c r="M393" s="48">
        <f>J393+1+1+3</f>
        <v>45461</v>
      </c>
      <c r="N393" s="26">
        <f t="shared" si="18"/>
        <v>8</v>
      </c>
      <c r="O393" s="27">
        <v>980</v>
      </c>
      <c r="P393" s="27">
        <v>972</v>
      </c>
      <c r="Q393" s="27"/>
      <c r="R393" s="27"/>
      <c r="S393" s="27" t="s">
        <v>1331</v>
      </c>
      <c r="T393" s="27"/>
      <c r="U393" s="27"/>
      <c r="V393" s="27" t="s">
        <v>1332</v>
      </c>
      <c r="W393" s="27" t="s">
        <v>1333</v>
      </c>
      <c r="X393" s="73"/>
      <c r="Y393" s="73" t="e">
        <f>VLOOKUP(X393,Choferes!$B$2:$C$500,2,FALSE)</f>
        <v>#N/A</v>
      </c>
      <c r="Z393" s="73" t="s">
        <v>1334</v>
      </c>
    </row>
    <row r="394" spans="1:26" hidden="1" x14ac:dyDescent="0.25">
      <c r="A394" s="33">
        <v>24</v>
      </c>
      <c r="B394" s="71" t="s">
        <v>29</v>
      </c>
      <c r="C394" s="39" t="s">
        <v>1288</v>
      </c>
      <c r="D394" s="50" t="s">
        <v>803</v>
      </c>
      <c r="E394" s="47">
        <v>45456</v>
      </c>
      <c r="F394" s="31" t="str">
        <f>VLOOKUP($C394,Carpetas!$C$5:$M$2666,2,FALSE)</f>
        <v>BRB036</v>
      </c>
      <c r="G394" s="23" t="str">
        <f>VLOOKUP($C394,Carpetas!$C$5:$M$2666,10,FALSE)</f>
        <v>149,42,02</v>
      </c>
      <c r="H394" s="27" t="str">
        <f>VLOOKUP($C394,Carpetas!$C$5:$M$2666,6,FALSE)</f>
        <v>FG</v>
      </c>
      <c r="I394" s="220"/>
      <c r="J394" s="47">
        <v>45460</v>
      </c>
      <c r="K394" s="72" t="str">
        <f>VLOOKUP($C394,Carpetas!$C$5:$M$2666,5,FALSE)</f>
        <v>Rio Branco</v>
      </c>
      <c r="L394" s="32"/>
      <c r="M394" s="48">
        <f t="shared" ref="M394:M404" si="19">J394+1</f>
        <v>45461</v>
      </c>
      <c r="N394" s="26">
        <f t="shared" si="18"/>
        <v>5</v>
      </c>
      <c r="O394" s="27">
        <v>990</v>
      </c>
      <c r="P394" s="27">
        <v>990</v>
      </c>
      <c r="Q394" s="27"/>
      <c r="R394" s="27"/>
      <c r="S394" s="27" t="s">
        <v>1335</v>
      </c>
      <c r="T394" s="27"/>
      <c r="U394" s="27">
        <v>155</v>
      </c>
      <c r="V394" s="27" t="s">
        <v>921</v>
      </c>
      <c r="W394" s="27" t="s">
        <v>922</v>
      </c>
      <c r="X394" s="73"/>
      <c r="Y394" s="73" t="e">
        <f>VLOOKUP(X394,Choferes!$B$2:$C$500,2,FALSE)</f>
        <v>#N/A</v>
      </c>
      <c r="Z394" s="73" t="s">
        <v>1336</v>
      </c>
    </row>
    <row r="395" spans="1:26" hidden="1" x14ac:dyDescent="0.25">
      <c r="A395" s="33">
        <v>24</v>
      </c>
      <c r="B395" s="71" t="s">
        <v>29</v>
      </c>
      <c r="C395" s="39" t="s">
        <v>1288</v>
      </c>
      <c r="D395" s="50" t="s">
        <v>803</v>
      </c>
      <c r="E395" s="47">
        <v>45457</v>
      </c>
      <c r="F395" s="31" t="str">
        <f>VLOOKUP($C395,Carpetas!$C$5:$M$2666,2,FALSE)</f>
        <v>BRB036</v>
      </c>
      <c r="G395" s="23" t="str">
        <f>VLOOKUP($C395,Carpetas!$C$5:$M$2666,10,FALSE)</f>
        <v>149,42,02</v>
      </c>
      <c r="H395" s="27" t="str">
        <f>VLOOKUP($C395,Carpetas!$C$5:$M$2666,6,FALSE)</f>
        <v>FG</v>
      </c>
      <c r="I395" s="220"/>
      <c r="J395" s="47">
        <v>45460</v>
      </c>
      <c r="K395" s="72" t="str">
        <f>VLOOKUP($C395,Carpetas!$C$5:$M$2666,5,FALSE)</f>
        <v>Rio Branco</v>
      </c>
      <c r="L395" s="32"/>
      <c r="M395" s="48">
        <f t="shared" si="19"/>
        <v>45461</v>
      </c>
      <c r="N395" s="26">
        <f t="shared" si="18"/>
        <v>4</v>
      </c>
      <c r="O395" s="27">
        <v>990</v>
      </c>
      <c r="P395" s="27">
        <v>990</v>
      </c>
      <c r="Q395" s="27"/>
      <c r="R395" s="27"/>
      <c r="S395" s="27" t="s">
        <v>1337</v>
      </c>
      <c r="T395" s="27"/>
      <c r="U395" s="27">
        <v>157</v>
      </c>
      <c r="V395" s="27" t="s">
        <v>826</v>
      </c>
      <c r="W395" s="27" t="s">
        <v>827</v>
      </c>
      <c r="X395" s="73"/>
      <c r="Y395" s="73" t="e">
        <f>VLOOKUP(X395,Choferes!$B$2:$C$500,2,FALSE)</f>
        <v>#N/A</v>
      </c>
      <c r="Z395" s="73" t="s">
        <v>1338</v>
      </c>
    </row>
    <row r="396" spans="1:26" hidden="1" x14ac:dyDescent="0.25">
      <c r="A396" s="33">
        <v>24</v>
      </c>
      <c r="B396" s="71" t="s">
        <v>29</v>
      </c>
      <c r="C396" s="39" t="s">
        <v>1339</v>
      </c>
      <c r="D396" s="50" t="s">
        <v>764</v>
      </c>
      <c r="E396" s="47">
        <v>45457</v>
      </c>
      <c r="F396" s="31" t="str">
        <f>VLOOKUP($C396,Carpetas!$C$5:$M$2666,2,FALSE)</f>
        <v>BRB038</v>
      </c>
      <c r="G396" s="23" t="str">
        <f>VLOOKUP($C396,Carpetas!$C$5:$M$2666,10,FALSE)</f>
        <v>149,48,54</v>
      </c>
      <c r="H396" s="27" t="str">
        <f>VLOOKUP($C396,Carpetas!$C$5:$M$2666,6,FALSE)</f>
        <v>FG</v>
      </c>
      <c r="I396" s="220"/>
      <c r="J396" s="47">
        <v>45460</v>
      </c>
      <c r="K396" s="72" t="str">
        <f>VLOOKUP($C396,Carpetas!$C$5:$M$2666,5,FALSE)</f>
        <v>Rio Branco</v>
      </c>
      <c r="L396" s="32"/>
      <c r="M396" s="48">
        <f t="shared" si="19"/>
        <v>45461</v>
      </c>
      <c r="N396" s="26">
        <f t="shared" si="18"/>
        <v>4</v>
      </c>
      <c r="O396" s="27">
        <v>990</v>
      </c>
      <c r="P396" s="27">
        <v>990</v>
      </c>
      <c r="Q396" s="27"/>
      <c r="R396" s="27"/>
      <c r="S396" s="27" t="s">
        <v>1340</v>
      </c>
      <c r="T396" s="27"/>
      <c r="U396" s="27">
        <v>159</v>
      </c>
      <c r="V396" s="27" t="s">
        <v>1047</v>
      </c>
      <c r="W396" s="27" t="s">
        <v>1048</v>
      </c>
      <c r="X396" s="73"/>
      <c r="Y396" s="73" t="e">
        <f>VLOOKUP(X396,Choferes!$B$2:$C$500,2,FALSE)</f>
        <v>#N/A</v>
      </c>
      <c r="Z396" s="73" t="s">
        <v>1341</v>
      </c>
    </row>
    <row r="397" spans="1:26" hidden="1" x14ac:dyDescent="0.25">
      <c r="A397" s="33">
        <v>24</v>
      </c>
      <c r="B397" s="71" t="s">
        <v>29</v>
      </c>
      <c r="C397" s="39" t="s">
        <v>1249</v>
      </c>
      <c r="D397" s="50" t="s">
        <v>953</v>
      </c>
      <c r="E397" s="47">
        <v>45458</v>
      </c>
      <c r="F397" s="31" t="str">
        <f>VLOOKUP($C397,Carpetas!$C$5:$M$2666,2,FALSE)</f>
        <v>BRB035</v>
      </c>
      <c r="G397" s="23" t="str">
        <f>VLOOKUP($C397,Carpetas!$C$5:$M$2666,10,FALSE)</f>
        <v>149,39,17</v>
      </c>
      <c r="H397" s="27" t="str">
        <f>VLOOKUP($C397,Carpetas!$C$5:$M$2666,6,FALSE)</f>
        <v>Silvio</v>
      </c>
      <c r="I397" s="220"/>
      <c r="J397" s="47">
        <v>45460</v>
      </c>
      <c r="K397" s="72" t="str">
        <f>VLOOKUP($C397,Carpetas!$C$5:$M$2666,5,FALSE)</f>
        <v>Rio Branco</v>
      </c>
      <c r="L397" s="32"/>
      <c r="M397" s="48">
        <f t="shared" si="19"/>
        <v>45461</v>
      </c>
      <c r="N397" s="26">
        <f t="shared" si="18"/>
        <v>3</v>
      </c>
      <c r="O397" s="27">
        <v>918</v>
      </c>
      <c r="P397" s="27">
        <v>918</v>
      </c>
      <c r="Q397" s="27"/>
      <c r="R397" s="27"/>
      <c r="S397" s="27" t="s">
        <v>1342</v>
      </c>
      <c r="T397" s="27"/>
      <c r="U397" s="27">
        <v>6951</v>
      </c>
      <c r="V397" s="27" t="s">
        <v>709</v>
      </c>
      <c r="W397" s="27" t="s">
        <v>710</v>
      </c>
      <c r="X397" s="73"/>
      <c r="Y397" s="73" t="e">
        <f>VLOOKUP(X397,Choferes!$B$2:$C$500,2,FALSE)</f>
        <v>#N/A</v>
      </c>
      <c r="Z397" s="73" t="s">
        <v>1343</v>
      </c>
    </row>
    <row r="398" spans="1:26" hidden="1" x14ac:dyDescent="0.25">
      <c r="A398" s="33">
        <v>24</v>
      </c>
      <c r="B398" s="71" t="s">
        <v>29</v>
      </c>
      <c r="C398" s="39" t="s">
        <v>1249</v>
      </c>
      <c r="D398" s="50" t="s">
        <v>803</v>
      </c>
      <c r="E398" s="47">
        <v>45458</v>
      </c>
      <c r="F398" s="31" t="str">
        <f>VLOOKUP($C398,Carpetas!$C$5:$M$2666,2,FALSE)</f>
        <v>BRB035</v>
      </c>
      <c r="G398" s="23" t="str">
        <f>VLOOKUP($C398,Carpetas!$C$5:$M$2666,10,FALSE)</f>
        <v>149,39,17</v>
      </c>
      <c r="H398" s="27" t="str">
        <f>VLOOKUP($C398,Carpetas!$C$5:$M$2666,6,FALSE)</f>
        <v>Silvio</v>
      </c>
      <c r="I398" s="220"/>
      <c r="J398" s="47">
        <v>45460</v>
      </c>
      <c r="K398" s="72" t="str">
        <f>VLOOKUP($C398,Carpetas!$C$5:$M$2666,5,FALSE)</f>
        <v>Rio Branco</v>
      </c>
      <c r="L398" s="32"/>
      <c r="M398" s="48">
        <f t="shared" si="19"/>
        <v>45461</v>
      </c>
      <c r="N398" s="26">
        <f t="shared" si="18"/>
        <v>3</v>
      </c>
      <c r="O398" s="27">
        <v>918</v>
      </c>
      <c r="P398" s="27">
        <v>918</v>
      </c>
      <c r="Q398" s="27"/>
      <c r="R398" s="27"/>
      <c r="S398" s="27" t="s">
        <v>1344</v>
      </c>
      <c r="T398" s="27"/>
      <c r="U398" s="27">
        <v>6952</v>
      </c>
      <c r="V398" s="27" t="s">
        <v>1205</v>
      </c>
      <c r="W398" s="27" t="s">
        <v>801</v>
      </c>
      <c r="X398" s="73"/>
      <c r="Y398" s="73" t="e">
        <f>VLOOKUP(X398,Choferes!$B$2:$C$500,2,FALSE)</f>
        <v>#N/A</v>
      </c>
      <c r="Z398" s="73" t="s">
        <v>1343</v>
      </c>
    </row>
    <row r="399" spans="1:26" hidden="1" x14ac:dyDescent="0.25">
      <c r="A399" s="33">
        <v>24</v>
      </c>
      <c r="B399" s="71" t="s">
        <v>29</v>
      </c>
      <c r="C399" s="39" t="s">
        <v>1307</v>
      </c>
      <c r="D399" s="50" t="s">
        <v>121</v>
      </c>
      <c r="E399" s="47">
        <v>45457</v>
      </c>
      <c r="F399" s="31" t="str">
        <f>VLOOKUP($C399,Carpetas!$C$5:$M$2666,2,FALSE)</f>
        <v>PYB106</v>
      </c>
      <c r="G399" s="23">
        <f>VLOOKUP($C399,Carpetas!$C$5:$M$2666,10,FALSE)</f>
        <v>0</v>
      </c>
      <c r="H399" s="27">
        <f>VLOOKUP($C399,Carpetas!$C$5:$M$2666,6,FALSE)</f>
        <v>0</v>
      </c>
      <c r="I399" s="220"/>
      <c r="J399" s="47">
        <f>E399+4</f>
        <v>45461</v>
      </c>
      <c r="K399" s="72" t="str">
        <f>VLOOKUP($C399,Carpetas!$C$5:$M$2666,5,FALSE)</f>
        <v>Salto</v>
      </c>
      <c r="L399" s="32"/>
      <c r="M399" s="48">
        <f t="shared" si="19"/>
        <v>45462</v>
      </c>
      <c r="N399" s="26">
        <f t="shared" si="18"/>
        <v>5</v>
      </c>
      <c r="O399" s="27">
        <v>980</v>
      </c>
      <c r="P399" s="27">
        <v>983</v>
      </c>
      <c r="Q399" s="27"/>
      <c r="R399" s="27"/>
      <c r="S399" s="27" t="s">
        <v>1345</v>
      </c>
      <c r="T399" s="27"/>
      <c r="U399" s="27"/>
      <c r="V399" s="27" t="s">
        <v>1346</v>
      </c>
      <c r="W399" s="27" t="s">
        <v>1011</v>
      </c>
      <c r="X399" s="73"/>
      <c r="Y399" s="73" t="e">
        <f>VLOOKUP(X399,Choferes!$B$2:$C$500,2,FALSE)</f>
        <v>#N/A</v>
      </c>
      <c r="Z399" s="73" t="s">
        <v>1347</v>
      </c>
    </row>
    <row r="400" spans="1:26" hidden="1" x14ac:dyDescent="0.25">
      <c r="A400" s="33">
        <v>24</v>
      </c>
      <c r="B400" s="71" t="s">
        <v>29</v>
      </c>
      <c r="C400" s="39" t="s">
        <v>1175</v>
      </c>
      <c r="D400" s="50" t="s">
        <v>747</v>
      </c>
      <c r="E400" s="47">
        <v>45458</v>
      </c>
      <c r="F400" s="31" t="str">
        <f>VLOOKUP($C400,Carpetas!$C$5:$M$2666,2,FALSE)</f>
        <v>BRB033</v>
      </c>
      <c r="G400" s="23" t="str">
        <f>VLOOKUP($C400,Carpetas!$C$5:$M$2666,10,FALSE)</f>
        <v>149,32,86</v>
      </c>
      <c r="H400" s="27" t="str">
        <f>VLOOKUP($C400,Carpetas!$C$5:$M$2666,6,FALSE)</f>
        <v>Brod</v>
      </c>
      <c r="I400" s="220"/>
      <c r="J400" s="47">
        <v>45461</v>
      </c>
      <c r="K400" s="72" t="str">
        <f>VLOOKUP($C400,Carpetas!$C$5:$M$2666,5,FALSE)</f>
        <v>Rio Branco</v>
      </c>
      <c r="L400" s="32"/>
      <c r="M400" s="48">
        <f t="shared" si="19"/>
        <v>45462</v>
      </c>
      <c r="N400" s="26">
        <f t="shared" si="18"/>
        <v>4</v>
      </c>
      <c r="O400" s="27">
        <v>990</v>
      </c>
      <c r="P400" s="27">
        <v>990</v>
      </c>
      <c r="Q400" s="27"/>
      <c r="R400" s="27"/>
      <c r="S400" s="27" t="s">
        <v>1348</v>
      </c>
      <c r="T400" s="27"/>
      <c r="U400" s="27">
        <v>2511</v>
      </c>
      <c r="V400" s="27" t="s">
        <v>1176</v>
      </c>
      <c r="W400" s="27" t="s">
        <v>1349</v>
      </c>
      <c r="X400" s="73"/>
      <c r="Y400" s="73" t="e">
        <f>VLOOKUP(X400,Choferes!$B$2:$C$500,2,FALSE)</f>
        <v>#N/A</v>
      </c>
      <c r="Z400" s="73" t="s">
        <v>1350</v>
      </c>
    </row>
    <row r="401" spans="1:26" hidden="1" x14ac:dyDescent="0.25">
      <c r="A401" s="33">
        <v>24</v>
      </c>
      <c r="B401" s="71" t="s">
        <v>29</v>
      </c>
      <c r="C401" s="39" t="s">
        <v>1351</v>
      </c>
      <c r="D401" s="50" t="s">
        <v>48</v>
      </c>
      <c r="E401" s="47">
        <v>45458</v>
      </c>
      <c r="F401" s="31" t="str">
        <f>VLOOKUP($C401,Carpetas!$C$5:$M$2666,2,FALSE)</f>
        <v>PYB110</v>
      </c>
      <c r="G401" s="23">
        <f>VLOOKUP($C401,Carpetas!$C$5:$M$2666,10,FALSE)</f>
        <v>0</v>
      </c>
      <c r="H401" s="27">
        <f>VLOOKUP($C401,Carpetas!$C$5:$M$2666,6,FALSE)</f>
        <v>0</v>
      </c>
      <c r="I401" s="220"/>
      <c r="J401" s="47">
        <v>45462</v>
      </c>
      <c r="K401" s="72" t="str">
        <f>VLOOKUP($C401,Carpetas!$C$5:$M$2666,5,FALSE)</f>
        <v>Salto</v>
      </c>
      <c r="L401" s="32"/>
      <c r="M401" s="48">
        <f t="shared" si="19"/>
        <v>45463</v>
      </c>
      <c r="N401" s="26">
        <f t="shared" si="18"/>
        <v>5</v>
      </c>
      <c r="O401" s="27">
        <v>930</v>
      </c>
      <c r="P401" s="27">
        <v>930</v>
      </c>
      <c r="Q401" s="27"/>
      <c r="R401" s="27"/>
      <c r="S401" s="27" t="s">
        <v>1352</v>
      </c>
      <c r="T401" s="27"/>
      <c r="U401" s="27"/>
      <c r="V401" s="27" t="s">
        <v>360</v>
      </c>
      <c r="W401" s="27" t="s">
        <v>99</v>
      </c>
      <c r="X401" s="73"/>
      <c r="Y401" s="73" t="e">
        <f>VLOOKUP(X401,Choferes!$B$2:$C$500,2,FALSE)</f>
        <v>#N/A</v>
      </c>
      <c r="Z401" s="73" t="s">
        <v>1353</v>
      </c>
    </row>
    <row r="402" spans="1:26" hidden="1" x14ac:dyDescent="0.25">
      <c r="A402" s="33">
        <v>25</v>
      </c>
      <c r="B402" s="71" t="s">
        <v>29</v>
      </c>
      <c r="C402" s="39" t="s">
        <v>1297</v>
      </c>
      <c r="D402" s="50" t="s">
        <v>747</v>
      </c>
      <c r="E402" s="47">
        <v>45460</v>
      </c>
      <c r="F402" s="31" t="str">
        <f>VLOOKUP($C402,Carpetas!$C$5:$M$2666,2,FALSE)</f>
        <v>BRB037</v>
      </c>
      <c r="G402" s="23" t="str">
        <f>VLOOKUP($C402,Carpetas!$C$5:$M$2666,10,FALSE)</f>
        <v>149,45,77</v>
      </c>
      <c r="H402" s="27" t="str">
        <f>VLOOKUP($C402,Carpetas!$C$5:$M$2666,6,FALSE)</f>
        <v>Zanini</v>
      </c>
      <c r="I402" s="220"/>
      <c r="J402" s="47">
        <f t="shared" ref="J402:J407" si="20">E402+2</f>
        <v>45462</v>
      </c>
      <c r="K402" s="72" t="str">
        <f>VLOOKUP($C402,Carpetas!$C$5:$M$2666,5,FALSE)</f>
        <v>Rio Branco</v>
      </c>
      <c r="L402" s="32"/>
      <c r="M402" s="48">
        <f t="shared" si="19"/>
        <v>45463</v>
      </c>
      <c r="N402" s="26">
        <f t="shared" si="18"/>
        <v>3</v>
      </c>
      <c r="O402" s="27">
        <v>918</v>
      </c>
      <c r="P402" s="27"/>
      <c r="Q402" s="27"/>
      <c r="R402" s="27"/>
      <c r="S402" s="27" t="s">
        <v>1354</v>
      </c>
      <c r="T402" s="27"/>
      <c r="U402" s="27">
        <v>4506</v>
      </c>
      <c r="V402" s="27" t="s">
        <v>917</v>
      </c>
      <c r="W402" s="27" t="s">
        <v>918</v>
      </c>
      <c r="X402" s="73"/>
      <c r="Y402" s="73" t="e">
        <f>VLOOKUP(X402,Choferes!$B$2:$C$500,2,FALSE)</f>
        <v>#N/A</v>
      </c>
      <c r="Z402" s="73" t="s">
        <v>1355</v>
      </c>
    </row>
    <row r="403" spans="1:26" hidden="1" x14ac:dyDescent="0.25">
      <c r="A403" s="33">
        <v>25</v>
      </c>
      <c r="B403" s="71" t="s">
        <v>29</v>
      </c>
      <c r="C403" s="39" t="s">
        <v>1356</v>
      </c>
      <c r="D403" s="50" t="s">
        <v>102</v>
      </c>
      <c r="E403" s="47">
        <v>45460</v>
      </c>
      <c r="F403" s="31" t="str">
        <f>VLOOKUP($C403,Carpetas!$C$5:$M$2666,2,FALSE)</f>
        <v>PYB111</v>
      </c>
      <c r="G403" s="23">
        <f>VLOOKUP($C403,Carpetas!$C$5:$M$2666,10,FALSE)</f>
        <v>0</v>
      </c>
      <c r="H403" s="27">
        <f>VLOOKUP($C403,Carpetas!$C$5:$M$2666,6,FALSE)</f>
        <v>0</v>
      </c>
      <c r="I403" s="220"/>
      <c r="J403" s="47">
        <f t="shared" si="20"/>
        <v>45462</v>
      </c>
      <c r="K403" s="72" t="str">
        <f>VLOOKUP($C403,Carpetas!$C$5:$M$2666,5,FALSE)</f>
        <v>Salto</v>
      </c>
      <c r="L403" s="32"/>
      <c r="M403" s="48">
        <f t="shared" si="19"/>
        <v>45463</v>
      </c>
      <c r="N403" s="26">
        <f t="shared" si="18"/>
        <v>3</v>
      </c>
      <c r="O403" s="27">
        <v>980</v>
      </c>
      <c r="P403" s="27">
        <v>980</v>
      </c>
      <c r="Q403" s="27"/>
      <c r="R403" s="27"/>
      <c r="S403" s="27" t="s">
        <v>1357</v>
      </c>
      <c r="T403" s="27"/>
      <c r="U403" s="27"/>
      <c r="V403" s="27" t="s">
        <v>272</v>
      </c>
      <c r="W403" s="27" t="s">
        <v>273</v>
      </c>
      <c r="X403" s="73"/>
      <c r="Y403" s="73" t="e">
        <f>VLOOKUP(X403,Choferes!$B$2:$C$500,2,FALSE)</f>
        <v>#N/A</v>
      </c>
      <c r="Z403" s="73" t="s">
        <v>1358</v>
      </c>
    </row>
    <row r="404" spans="1:26" hidden="1" x14ac:dyDescent="0.25">
      <c r="A404" s="33">
        <v>24</v>
      </c>
      <c r="B404" s="71" t="s">
        <v>298</v>
      </c>
      <c r="C404" s="39" t="s">
        <v>299</v>
      </c>
      <c r="D404" s="50" t="s">
        <v>121</v>
      </c>
      <c r="E404" s="47">
        <v>45460</v>
      </c>
      <c r="F404" s="31" t="str">
        <f>VLOOKUP($C404,Carpetas!$C$5:$M$2666,2,FALSE)</f>
        <v>BRB</v>
      </c>
      <c r="G404" s="23" t="e">
        <f>VLOOKUP($C404,Carpetas!$C$5:$M$2666,9,FALSE)</f>
        <v>#REF!</v>
      </c>
      <c r="H404" s="27" t="str">
        <f>VLOOKUP($C404,Carpetas!$C$5:$M$2666,5,FALSE)</f>
        <v>xx</v>
      </c>
      <c r="I404" s="220"/>
      <c r="J404" s="47">
        <f t="shared" si="20"/>
        <v>45462</v>
      </c>
      <c r="K404" s="72">
        <f>VLOOKUP($C404,Carpetas!$C$5:$M$2666,4,FALSE)</f>
        <v>0</v>
      </c>
      <c r="L404" s="32"/>
      <c r="M404" s="48">
        <f t="shared" si="19"/>
        <v>45463</v>
      </c>
      <c r="N404" s="26">
        <f t="shared" si="18"/>
        <v>3</v>
      </c>
      <c r="O404" s="27">
        <v>980</v>
      </c>
      <c r="P404" s="27"/>
      <c r="Q404" s="27"/>
      <c r="R404" s="27"/>
      <c r="S404" s="27"/>
      <c r="T404" s="27"/>
      <c r="U404" s="27"/>
      <c r="V404" s="27"/>
      <c r="W404" s="27"/>
      <c r="X404" s="73"/>
      <c r="Y404" s="73" t="e">
        <f>VLOOKUP(X404,Choferes!$B$2:$C$500,2,FALSE)</f>
        <v>#N/A</v>
      </c>
      <c r="Z404" s="73"/>
    </row>
    <row r="405" spans="1:26" ht="30" hidden="1" x14ac:dyDescent="0.25">
      <c r="A405" s="33">
        <v>25</v>
      </c>
      <c r="B405" s="71" t="s">
        <v>29</v>
      </c>
      <c r="C405" s="39" t="s">
        <v>1359</v>
      </c>
      <c r="D405" s="50" t="s">
        <v>953</v>
      </c>
      <c r="E405" s="47">
        <v>45460</v>
      </c>
      <c r="F405" s="31" t="str">
        <f>VLOOKUP($C405,Carpetas!$C$5:$M$2666,2,FALSE)</f>
        <v>BRB039</v>
      </c>
      <c r="G405" s="23" t="str">
        <f>VLOOKUP($C405,Carpetas!$C$5:$M$2666,10,FALSE)</f>
        <v>149,50,28</v>
      </c>
      <c r="H405" s="27" t="str">
        <f>VLOOKUP($C405,Carpetas!$C$5:$M$2666,6,FALSE)</f>
        <v xml:space="preserve">Silvio </v>
      </c>
      <c r="I405" s="220"/>
      <c r="J405" s="47">
        <f t="shared" si="20"/>
        <v>45462</v>
      </c>
      <c r="K405" s="72" t="str">
        <f>VLOOKUP($C405,Carpetas!$C$5:$M$2666,5,FALSE)</f>
        <v>Rio Branco</v>
      </c>
      <c r="L405" s="32"/>
      <c r="M405" s="48">
        <f>J405+1+1</f>
        <v>45464</v>
      </c>
      <c r="N405" s="26">
        <f t="shared" si="18"/>
        <v>4</v>
      </c>
      <c r="O405" s="27">
        <v>918</v>
      </c>
      <c r="P405" s="27">
        <v>919</v>
      </c>
      <c r="Q405" s="27"/>
      <c r="R405" s="27"/>
      <c r="S405" s="27" t="s">
        <v>1360</v>
      </c>
      <c r="T405" s="27"/>
      <c r="U405" s="27">
        <v>6956</v>
      </c>
      <c r="V405" s="27" t="s">
        <v>494</v>
      </c>
      <c r="W405" s="27" t="s">
        <v>495</v>
      </c>
      <c r="X405" s="73"/>
      <c r="Y405" s="73" t="e">
        <f>VLOOKUP(X405,Choferes!$B$2:$C$500,2,FALSE)</f>
        <v>#N/A</v>
      </c>
      <c r="Z405" s="73" t="s">
        <v>1361</v>
      </c>
    </row>
    <row r="406" spans="1:26" ht="30" hidden="1" x14ac:dyDescent="0.25">
      <c r="A406" s="33">
        <v>25</v>
      </c>
      <c r="B406" s="71" t="s">
        <v>29</v>
      </c>
      <c r="C406" s="39" t="s">
        <v>1339</v>
      </c>
      <c r="D406" s="50" t="s">
        <v>110</v>
      </c>
      <c r="E406" s="47">
        <v>45460</v>
      </c>
      <c r="F406" s="31" t="str">
        <f>VLOOKUP($C406,Carpetas!$C$5:$M$2666,2,FALSE)</f>
        <v>BRB038</v>
      </c>
      <c r="G406" s="23" t="str">
        <f>VLOOKUP($C406,Carpetas!$C$5:$M$2666,10,FALSE)</f>
        <v>149,48,54</v>
      </c>
      <c r="H406" s="27" t="str">
        <f>VLOOKUP($C406,Carpetas!$C$5:$M$2666,6,FALSE)</f>
        <v>FG</v>
      </c>
      <c r="I406" s="220"/>
      <c r="J406" s="47">
        <f t="shared" si="20"/>
        <v>45462</v>
      </c>
      <c r="K406" s="72" t="str">
        <f>VLOOKUP($C406,Carpetas!$C$5:$M$2666,5,FALSE)</f>
        <v>Rio Branco</v>
      </c>
      <c r="L406" s="32"/>
      <c r="M406" s="48">
        <f>J406+1+1</f>
        <v>45464</v>
      </c>
      <c r="N406" s="26">
        <f t="shared" si="18"/>
        <v>4</v>
      </c>
      <c r="O406" s="27">
        <v>990</v>
      </c>
      <c r="P406" s="27">
        <v>990</v>
      </c>
      <c r="Q406" s="27"/>
      <c r="R406" s="27"/>
      <c r="S406" s="27" t="s">
        <v>1362</v>
      </c>
      <c r="T406" s="27"/>
      <c r="U406" s="27">
        <v>166</v>
      </c>
      <c r="V406" s="27" t="s">
        <v>1363</v>
      </c>
      <c r="W406" s="27" t="s">
        <v>1364</v>
      </c>
      <c r="X406" s="73"/>
      <c r="Y406" s="73" t="e">
        <f>VLOOKUP(X406,Choferes!$B$2:$C$500,2,FALSE)</f>
        <v>#N/A</v>
      </c>
      <c r="Z406" s="73" t="s">
        <v>1365</v>
      </c>
    </row>
    <row r="407" spans="1:26" hidden="1" x14ac:dyDescent="0.25">
      <c r="A407" s="33">
        <v>25</v>
      </c>
      <c r="B407" s="71" t="s">
        <v>29</v>
      </c>
      <c r="C407" s="39" t="s">
        <v>1339</v>
      </c>
      <c r="D407" s="50" t="s">
        <v>803</v>
      </c>
      <c r="E407" s="47">
        <v>45461</v>
      </c>
      <c r="F407" s="31" t="str">
        <f>VLOOKUP($C407,Carpetas!$C$5:$M$2666,2,FALSE)</f>
        <v>BRB038</v>
      </c>
      <c r="G407" s="23" t="str">
        <f>VLOOKUP($C407,Carpetas!$C$5:$M$2666,10,FALSE)</f>
        <v>149,48,54</v>
      </c>
      <c r="H407" s="27" t="str">
        <f>VLOOKUP($C407,Carpetas!$C$5:$M$2666,6,FALSE)</f>
        <v>FG</v>
      </c>
      <c r="I407" s="220"/>
      <c r="J407" s="47">
        <f t="shared" si="20"/>
        <v>45463</v>
      </c>
      <c r="K407" s="72" t="str">
        <f>VLOOKUP($C407,Carpetas!$C$5:$M$2666,5,FALSE)</f>
        <v>Rio Branco</v>
      </c>
      <c r="L407" s="32"/>
      <c r="M407" s="48">
        <f t="shared" ref="M407:M418" si="21">J407+1</f>
        <v>45464</v>
      </c>
      <c r="N407" s="26">
        <f t="shared" si="18"/>
        <v>3</v>
      </c>
      <c r="O407" s="27">
        <v>990</v>
      </c>
      <c r="P407" s="27">
        <v>990</v>
      </c>
      <c r="Q407" s="27"/>
      <c r="R407" s="27"/>
      <c r="S407" s="27" t="s">
        <v>1366</v>
      </c>
      <c r="T407" s="27"/>
      <c r="U407" s="27">
        <v>162</v>
      </c>
      <c r="V407" s="27" t="s">
        <v>1367</v>
      </c>
      <c r="W407" s="27" t="s">
        <v>1368</v>
      </c>
      <c r="X407" s="73"/>
      <c r="Y407" s="73" t="e">
        <f>VLOOKUP(X407,Choferes!$B$2:$C$500,2,FALSE)</f>
        <v>#N/A</v>
      </c>
      <c r="Z407" s="73" t="s">
        <v>1369</v>
      </c>
    </row>
    <row r="408" spans="1:26" hidden="1" x14ac:dyDescent="0.25">
      <c r="A408" s="33">
        <v>25</v>
      </c>
      <c r="B408" s="71" t="s">
        <v>29</v>
      </c>
      <c r="C408" s="39" t="s">
        <v>1339</v>
      </c>
      <c r="D408" s="50" t="s">
        <v>803</v>
      </c>
      <c r="E408" s="47">
        <v>45462</v>
      </c>
      <c r="F408" s="31" t="str">
        <f>VLOOKUP($C408,Carpetas!$C$5:$M$2666,2,FALSE)</f>
        <v>BRB038</v>
      </c>
      <c r="G408" s="23" t="str">
        <f>VLOOKUP($C408,Carpetas!$C$5:$M$2666,10,FALSE)</f>
        <v>149,48,54</v>
      </c>
      <c r="H408" s="27" t="str">
        <f>VLOOKUP($C408,Carpetas!$C$5:$M$2666,6,FALSE)</f>
        <v>FG</v>
      </c>
      <c r="I408" s="220"/>
      <c r="J408" s="47">
        <v>45463</v>
      </c>
      <c r="K408" s="72" t="str">
        <f>VLOOKUP($C408,Carpetas!$C$5:$M$2666,5,FALSE)</f>
        <v>Rio Branco</v>
      </c>
      <c r="L408" s="32"/>
      <c r="M408" s="48">
        <f t="shared" si="21"/>
        <v>45464</v>
      </c>
      <c r="N408" s="26">
        <f t="shared" si="18"/>
        <v>2</v>
      </c>
      <c r="O408" s="27">
        <v>990</v>
      </c>
      <c r="P408" s="27">
        <v>990</v>
      </c>
      <c r="Q408" s="27"/>
      <c r="R408" s="27"/>
      <c r="S408" s="27" t="s">
        <v>1370</v>
      </c>
      <c r="T408" s="27"/>
      <c r="U408" s="27">
        <v>164</v>
      </c>
      <c r="V408" s="27" t="s">
        <v>1371</v>
      </c>
      <c r="W408" s="27" t="s">
        <v>1372</v>
      </c>
      <c r="X408" s="73"/>
      <c r="Y408" s="73" t="e">
        <f>VLOOKUP(X408,Choferes!$B$2:$C$500,2,FALSE)</f>
        <v>#N/A</v>
      </c>
      <c r="Z408" s="73" t="s">
        <v>1369</v>
      </c>
    </row>
    <row r="409" spans="1:26" ht="30" hidden="1" x14ac:dyDescent="0.25">
      <c r="A409" s="33">
        <v>25</v>
      </c>
      <c r="B409" s="71" t="s">
        <v>29</v>
      </c>
      <c r="C409" s="39" t="s">
        <v>1339</v>
      </c>
      <c r="D409" s="50" t="s">
        <v>764</v>
      </c>
      <c r="E409" s="47">
        <v>45462</v>
      </c>
      <c r="F409" s="31" t="str">
        <f>VLOOKUP($C409,Carpetas!$C$5:$M$2666,2,FALSE)</f>
        <v>BRB038</v>
      </c>
      <c r="G409" s="23" t="str">
        <f>VLOOKUP($C409,Carpetas!$C$5:$M$2666,10,FALSE)</f>
        <v>149,48,54</v>
      </c>
      <c r="H409" s="27" t="str">
        <f>VLOOKUP($C409,Carpetas!$C$5:$M$2666,6,FALSE)</f>
        <v>FG</v>
      </c>
      <c r="I409" s="220"/>
      <c r="J409" s="47">
        <v>45463</v>
      </c>
      <c r="K409" s="72" t="str">
        <f>VLOOKUP($C409,Carpetas!$C$5:$M$2666,5,FALSE)</f>
        <v>Rio Branco</v>
      </c>
      <c r="L409" s="32"/>
      <c r="M409" s="48">
        <f t="shared" si="21"/>
        <v>45464</v>
      </c>
      <c r="N409" s="26">
        <f t="shared" si="18"/>
        <v>2</v>
      </c>
      <c r="O409" s="27">
        <v>990</v>
      </c>
      <c r="P409" s="27">
        <v>990</v>
      </c>
      <c r="Q409" s="27"/>
      <c r="R409" s="27"/>
      <c r="S409" s="27" t="s">
        <v>1373</v>
      </c>
      <c r="T409" s="27"/>
      <c r="U409" s="27">
        <v>169</v>
      </c>
      <c r="V409" s="27" t="s">
        <v>873</v>
      </c>
      <c r="W409" s="27" t="s">
        <v>874</v>
      </c>
      <c r="X409" s="73"/>
      <c r="Y409" s="73" t="e">
        <f>VLOOKUP(X409,Choferes!$B$2:$C$500,2,FALSE)</f>
        <v>#N/A</v>
      </c>
      <c r="Z409" s="73" t="s">
        <v>1374</v>
      </c>
    </row>
    <row r="410" spans="1:26" hidden="1" x14ac:dyDescent="0.25">
      <c r="A410" s="33">
        <v>25</v>
      </c>
      <c r="B410" s="71" t="s">
        <v>29</v>
      </c>
      <c r="C410" s="39" t="s">
        <v>1339</v>
      </c>
      <c r="D410" s="50" t="s">
        <v>803</v>
      </c>
      <c r="E410" s="47">
        <v>45462</v>
      </c>
      <c r="F410" s="31" t="str">
        <f>VLOOKUP($C410,Carpetas!$C$5:$M$2666,2,FALSE)</f>
        <v>BRB038</v>
      </c>
      <c r="G410" s="23" t="str">
        <f>VLOOKUP($C410,Carpetas!$C$5:$M$2666,10,FALSE)</f>
        <v>149,48,54</v>
      </c>
      <c r="H410" s="27" t="str">
        <f>VLOOKUP($C410,Carpetas!$C$5:$M$2666,6,FALSE)</f>
        <v>FG</v>
      </c>
      <c r="I410" s="220"/>
      <c r="J410" s="47">
        <v>45463</v>
      </c>
      <c r="K410" s="72" t="str">
        <f>VLOOKUP($C410,Carpetas!$C$5:$M$2666,5,FALSE)</f>
        <v>Rio Branco</v>
      </c>
      <c r="L410" s="32"/>
      <c r="M410" s="48">
        <f t="shared" si="21"/>
        <v>45464</v>
      </c>
      <c r="N410" s="26">
        <f t="shared" si="18"/>
        <v>2</v>
      </c>
      <c r="O410" s="27">
        <v>990</v>
      </c>
      <c r="P410" s="27">
        <v>990</v>
      </c>
      <c r="Q410" s="27"/>
      <c r="R410" s="27"/>
      <c r="S410" s="27" t="s">
        <v>1375</v>
      </c>
      <c r="T410" s="27"/>
      <c r="U410" s="27">
        <v>170</v>
      </c>
      <c r="V410" s="27" t="s">
        <v>1164</v>
      </c>
      <c r="W410" s="27" t="s">
        <v>1165</v>
      </c>
      <c r="X410" s="73"/>
      <c r="Y410" s="73" t="e">
        <f>VLOOKUP(X410,Choferes!$B$2:$C$500,2,FALSE)</f>
        <v>#N/A</v>
      </c>
      <c r="Z410" s="73" t="s">
        <v>1369</v>
      </c>
    </row>
    <row r="411" spans="1:26" hidden="1" x14ac:dyDescent="0.25">
      <c r="A411" s="33">
        <v>25</v>
      </c>
      <c r="B411" s="71" t="s">
        <v>29</v>
      </c>
      <c r="C411" s="39" t="s">
        <v>1376</v>
      </c>
      <c r="D411" s="50" t="s">
        <v>38</v>
      </c>
      <c r="E411" s="47">
        <v>45460</v>
      </c>
      <c r="F411" s="31" t="str">
        <f>VLOOKUP($C411,Carpetas!$C$5:$M$2666,2,FALSE)</f>
        <v>BRE015</v>
      </c>
      <c r="G411" s="23" t="str">
        <f>VLOOKUP($C411,Carpetas!$C$5:$M$2666,10,FALSE)</f>
        <v>1494116/1494504</v>
      </c>
      <c r="H411" s="27">
        <f>VLOOKUP($C411,Carpetas!$C$5:$M$2666,6,FALSE)</f>
        <v>0</v>
      </c>
      <c r="I411" s="220">
        <f>VLOOKUP($C411,Carpetas!$C$5:$M$2666,4,FALSE)</f>
        <v>0</v>
      </c>
      <c r="J411" s="47">
        <v>45464</v>
      </c>
      <c r="K411" s="72" t="str">
        <f>VLOOKUP($C411,Carpetas!$C$5:$M$2666,5,FALSE)</f>
        <v>Rio Branco</v>
      </c>
      <c r="L411" s="32"/>
      <c r="M411" s="48">
        <f t="shared" si="21"/>
        <v>45465</v>
      </c>
      <c r="N411" s="26">
        <f t="shared" si="18"/>
        <v>5</v>
      </c>
      <c r="O411" s="27">
        <v>25000</v>
      </c>
      <c r="P411" s="27"/>
      <c r="Q411" s="27"/>
      <c r="R411" s="27"/>
      <c r="S411" s="27"/>
      <c r="T411" s="27"/>
      <c r="U411" s="27"/>
      <c r="V411" s="27"/>
      <c r="W411" s="27"/>
      <c r="X411" s="73"/>
      <c r="Y411" s="73" t="e">
        <f>VLOOKUP(X411,Choferes!$B$2:$C$500,2,FALSE)</f>
        <v>#N/A</v>
      </c>
      <c r="Z411" s="73"/>
    </row>
    <row r="412" spans="1:26" hidden="1" x14ac:dyDescent="0.25">
      <c r="A412" s="33">
        <v>25</v>
      </c>
      <c r="B412" s="71" t="s">
        <v>29</v>
      </c>
      <c r="C412" s="39" t="s">
        <v>1351</v>
      </c>
      <c r="D412" s="50" t="s">
        <v>48</v>
      </c>
      <c r="E412" s="47">
        <v>45460</v>
      </c>
      <c r="F412" s="31" t="str">
        <f>VLOOKUP($C412,Carpetas!$C$5:$M$2666,2,FALSE)</f>
        <v>PYB110</v>
      </c>
      <c r="G412" s="23">
        <f>VLOOKUP($C412,Carpetas!$C$5:$M$2666,10,FALSE)</f>
        <v>0</v>
      </c>
      <c r="H412" s="27">
        <f>VLOOKUP($C412,Carpetas!$C$5:$M$2666,6,FALSE)</f>
        <v>0</v>
      </c>
      <c r="I412" s="220"/>
      <c r="J412" s="47">
        <v>45464</v>
      </c>
      <c r="K412" s="72" t="str">
        <f>VLOOKUP($C412,Carpetas!$C$5:$M$2666,5,FALSE)</f>
        <v>Salto</v>
      </c>
      <c r="L412" s="32"/>
      <c r="M412" s="48">
        <f t="shared" si="21"/>
        <v>45465</v>
      </c>
      <c r="N412" s="26">
        <f t="shared" si="18"/>
        <v>5</v>
      </c>
      <c r="O412" s="27">
        <v>930</v>
      </c>
      <c r="P412" s="27"/>
      <c r="Q412" s="27"/>
      <c r="R412" s="27"/>
      <c r="S412" s="27" t="s">
        <v>1377</v>
      </c>
      <c r="T412" s="27"/>
      <c r="U412" s="27"/>
      <c r="V412" s="27" t="s">
        <v>93</v>
      </c>
      <c r="W412" s="27" t="s">
        <v>1378</v>
      </c>
      <c r="X412" s="73"/>
      <c r="Y412" s="73" t="e">
        <f>VLOOKUP(X412,Choferes!$B$2:$C$500,2,FALSE)</f>
        <v>#N/A</v>
      </c>
      <c r="Z412" s="73" t="s">
        <v>1379</v>
      </c>
    </row>
    <row r="413" spans="1:26" hidden="1" x14ac:dyDescent="0.25">
      <c r="A413" s="33">
        <v>25</v>
      </c>
      <c r="B413" s="71" t="s">
        <v>29</v>
      </c>
      <c r="C413" s="39" t="s">
        <v>1380</v>
      </c>
      <c r="D413" s="50" t="s">
        <v>78</v>
      </c>
      <c r="E413" s="47">
        <v>45461</v>
      </c>
      <c r="F413" s="31" t="str">
        <f>VLOOKUP($C413,Carpetas!$C$5:$M$2666,2,FALSE)</f>
        <v>BRB040</v>
      </c>
      <c r="G413" s="23" t="str">
        <f>VLOOKUP($C413,Carpetas!$C$5:$M$2666,10,FALSE)</f>
        <v>149,50,94</v>
      </c>
      <c r="H413" s="27" t="str">
        <f>VLOOKUP($C413,Carpetas!$C$5:$M$2666,6,FALSE)</f>
        <v>Amaro</v>
      </c>
      <c r="I413" s="220"/>
      <c r="J413" s="47">
        <v>45464</v>
      </c>
      <c r="K413" s="72" t="str">
        <f>VLOOKUP($C413,Carpetas!$C$5:$M$2666,5,FALSE)</f>
        <v>Rio Branco</v>
      </c>
      <c r="L413" s="32"/>
      <c r="M413" s="48">
        <f t="shared" si="21"/>
        <v>45465</v>
      </c>
      <c r="N413" s="26">
        <f t="shared" si="18"/>
        <v>4</v>
      </c>
      <c r="O413" s="27">
        <v>990</v>
      </c>
      <c r="P413" s="27"/>
      <c r="Q413" s="27"/>
      <c r="R413" s="27"/>
      <c r="S413" s="27" t="s">
        <v>1381</v>
      </c>
      <c r="T413" s="27"/>
      <c r="U413" s="27">
        <v>4068</v>
      </c>
      <c r="V413" s="27" t="s">
        <v>1382</v>
      </c>
      <c r="W413" s="27" t="s">
        <v>1383</v>
      </c>
      <c r="X413" s="73"/>
      <c r="Y413" s="73" t="e">
        <f>VLOOKUP(X413,Choferes!$B$2:$C$500,2,FALSE)</f>
        <v>#N/A</v>
      </c>
      <c r="Z413" s="73" t="s">
        <v>1384</v>
      </c>
    </row>
    <row r="414" spans="1:26" ht="30" hidden="1" x14ac:dyDescent="0.25">
      <c r="A414" s="33">
        <v>25</v>
      </c>
      <c r="B414" s="71" t="s">
        <v>29</v>
      </c>
      <c r="C414" s="39" t="s">
        <v>1297</v>
      </c>
      <c r="D414" s="50" t="s">
        <v>880</v>
      </c>
      <c r="E414" s="47">
        <v>45462</v>
      </c>
      <c r="F414" s="31" t="str">
        <f>VLOOKUP($C414,Carpetas!$C$5:$M$2666,2,FALSE)</f>
        <v>BRB037</v>
      </c>
      <c r="G414" s="23" t="str">
        <f>VLOOKUP($C414,Carpetas!$C$5:$M$2666,10,FALSE)</f>
        <v>149,45,77</v>
      </c>
      <c r="H414" s="27" t="str">
        <f>VLOOKUP($C414,Carpetas!$C$5:$M$2666,6,FALSE)</f>
        <v>Zanini</v>
      </c>
      <c r="I414" s="220"/>
      <c r="J414" s="47">
        <f>E414+2</f>
        <v>45464</v>
      </c>
      <c r="K414" s="72" t="str">
        <f>VLOOKUP($C414,Carpetas!$C$5:$M$2666,5,FALSE)</f>
        <v>Rio Branco</v>
      </c>
      <c r="L414" s="32"/>
      <c r="M414" s="48">
        <f t="shared" si="21"/>
        <v>45465</v>
      </c>
      <c r="N414" s="26">
        <f t="shared" si="18"/>
        <v>3</v>
      </c>
      <c r="O414" s="27">
        <v>918</v>
      </c>
      <c r="P414" s="27">
        <v>918</v>
      </c>
      <c r="Q414" s="27"/>
      <c r="R414" s="27"/>
      <c r="S414" s="27" t="s">
        <v>1385</v>
      </c>
      <c r="T414" s="27"/>
      <c r="U414" s="27">
        <v>4511</v>
      </c>
      <c r="V414" s="27" t="s">
        <v>1386</v>
      </c>
      <c r="W414" s="27" t="s">
        <v>1387</v>
      </c>
      <c r="X414" s="73"/>
      <c r="Y414" s="73" t="e">
        <f>VLOOKUP(X414,Choferes!$B$2:$C$500,2,FALSE)</f>
        <v>#N/A</v>
      </c>
      <c r="Z414" s="73" t="s">
        <v>1388</v>
      </c>
    </row>
    <row r="415" spans="1:26" ht="30" hidden="1" x14ac:dyDescent="0.25">
      <c r="A415" s="33">
        <v>25</v>
      </c>
      <c r="B415" s="71" t="s">
        <v>29</v>
      </c>
      <c r="C415" s="39" t="s">
        <v>1380</v>
      </c>
      <c r="D415" s="50" t="s">
        <v>78</v>
      </c>
      <c r="E415" s="47">
        <v>45463</v>
      </c>
      <c r="F415" s="31" t="str">
        <f>VLOOKUP($C415,Carpetas!$C$5:$M$2666,2,FALSE)</f>
        <v>BRB040</v>
      </c>
      <c r="G415" s="23" t="str">
        <f>VLOOKUP($C415,Carpetas!$C$5:$M$2666,10,FALSE)</f>
        <v>149,50,94</v>
      </c>
      <c r="H415" s="27" t="str">
        <f>VLOOKUP($C415,Carpetas!$C$5:$M$2666,6,FALSE)</f>
        <v>Amaro</v>
      </c>
      <c r="I415" s="220"/>
      <c r="J415" s="47">
        <v>45464</v>
      </c>
      <c r="K415" s="72" t="str">
        <f>VLOOKUP($C415,Carpetas!$C$5:$M$2666,5,FALSE)</f>
        <v>Rio Branco</v>
      </c>
      <c r="L415" s="32"/>
      <c r="M415" s="48">
        <f t="shared" si="21"/>
        <v>45465</v>
      </c>
      <c r="N415" s="26">
        <f t="shared" si="18"/>
        <v>2</v>
      </c>
      <c r="O415" s="27">
        <v>990</v>
      </c>
      <c r="P415" s="27">
        <v>991</v>
      </c>
      <c r="Q415" s="27"/>
      <c r="R415" s="27"/>
      <c r="S415" s="27" t="s">
        <v>1389</v>
      </c>
      <c r="T415" s="27"/>
      <c r="U415" s="27">
        <v>4072</v>
      </c>
      <c r="V415" s="27" t="s">
        <v>1301</v>
      </c>
      <c r="W415" s="27" t="s">
        <v>1302</v>
      </c>
      <c r="X415" s="73"/>
      <c r="Y415" s="73" t="e">
        <f>VLOOKUP(X415,Choferes!$B$2:$C$500,2,FALSE)</f>
        <v>#N/A</v>
      </c>
      <c r="Z415" s="73" t="s">
        <v>1390</v>
      </c>
    </row>
    <row r="416" spans="1:26" hidden="1" x14ac:dyDescent="0.25">
      <c r="A416" s="33">
        <v>24</v>
      </c>
      <c r="B416" s="71" t="s">
        <v>298</v>
      </c>
      <c r="C416" s="39" t="s">
        <v>299</v>
      </c>
      <c r="D416" s="50" t="s">
        <v>42</v>
      </c>
      <c r="E416" s="47">
        <v>45464</v>
      </c>
      <c r="F416" s="31" t="str">
        <f>VLOOKUP($C416,Carpetas!$C$5:$M$2666,2,FALSE)</f>
        <v>BRB</v>
      </c>
      <c r="G416" s="23" t="e">
        <f>VLOOKUP($C416,Carpetas!$C$5:$M$2666,9,FALSE)</f>
        <v>#REF!</v>
      </c>
      <c r="H416" s="27" t="str">
        <f>VLOOKUP($C416,Carpetas!$C$5:$M$2666,5,FALSE)</f>
        <v>xx</v>
      </c>
      <c r="I416" s="220"/>
      <c r="J416" s="47">
        <f>E416+2</f>
        <v>45466</v>
      </c>
      <c r="K416" s="72">
        <f>VLOOKUP($C416,Carpetas!$C$5:$M$2666,4,FALSE)</f>
        <v>0</v>
      </c>
      <c r="L416" s="32"/>
      <c r="M416" s="48">
        <f t="shared" si="21"/>
        <v>45467</v>
      </c>
      <c r="N416" s="26">
        <f t="shared" si="18"/>
        <v>3</v>
      </c>
      <c r="O416" s="27">
        <v>972</v>
      </c>
      <c r="P416" s="27"/>
      <c r="Q416" s="27"/>
      <c r="R416" s="27"/>
      <c r="S416" s="27"/>
      <c r="T416" s="27"/>
      <c r="U416" s="27"/>
      <c r="V416" s="27"/>
      <c r="W416" s="27"/>
      <c r="X416" s="73"/>
      <c r="Y416" s="73" t="e">
        <f>VLOOKUP(X416,Choferes!$B$2:$C$500,2,FALSE)</f>
        <v>#N/A</v>
      </c>
      <c r="Z416" s="73"/>
    </row>
    <row r="417" spans="1:26" hidden="1" x14ac:dyDescent="0.25">
      <c r="A417" s="33">
        <v>24</v>
      </c>
      <c r="B417" s="71" t="s">
        <v>298</v>
      </c>
      <c r="C417" s="39" t="s">
        <v>299</v>
      </c>
      <c r="D417" s="50" t="s">
        <v>121</v>
      </c>
      <c r="E417" s="47">
        <v>45464</v>
      </c>
      <c r="F417" s="31" t="str">
        <f>VLOOKUP($C417,Carpetas!$C$5:$M$2666,2,FALSE)</f>
        <v>BRB</v>
      </c>
      <c r="G417" s="23" t="e">
        <f>VLOOKUP($C417,Carpetas!$C$5:$M$2666,9,FALSE)</f>
        <v>#REF!</v>
      </c>
      <c r="H417" s="27" t="str">
        <f>VLOOKUP($C417,Carpetas!$C$5:$M$2666,5,FALSE)</f>
        <v>xx</v>
      </c>
      <c r="I417" s="220"/>
      <c r="J417" s="47">
        <f>E417+2</f>
        <v>45466</v>
      </c>
      <c r="K417" s="72">
        <f>VLOOKUP($C417,Carpetas!$C$5:$M$2666,4,FALSE)</f>
        <v>0</v>
      </c>
      <c r="L417" s="32"/>
      <c r="M417" s="48">
        <f t="shared" si="21"/>
        <v>45467</v>
      </c>
      <c r="N417" s="26">
        <f t="shared" si="18"/>
        <v>3</v>
      </c>
      <c r="O417" s="27">
        <v>980</v>
      </c>
      <c r="P417" s="27"/>
      <c r="Q417" s="27"/>
      <c r="R417" s="27"/>
      <c r="S417" s="27"/>
      <c r="T417" s="27"/>
      <c r="U417" s="27"/>
      <c r="V417" s="27"/>
      <c r="W417" s="27"/>
      <c r="X417" s="73"/>
      <c r="Y417" s="73" t="e">
        <f>VLOOKUP(X417,Choferes!$B$2:$C$500,2,FALSE)</f>
        <v>#N/A</v>
      </c>
      <c r="Z417" s="73"/>
    </row>
    <row r="418" spans="1:26" hidden="1" x14ac:dyDescent="0.25">
      <c r="A418" s="33">
        <v>24</v>
      </c>
      <c r="B418" s="71" t="s">
        <v>298</v>
      </c>
      <c r="C418" s="39" t="s">
        <v>299</v>
      </c>
      <c r="D418" s="50" t="s">
        <v>38</v>
      </c>
      <c r="E418" s="47">
        <v>45464</v>
      </c>
      <c r="F418" s="31" t="str">
        <f>VLOOKUP($C418,Carpetas!$C$5:$M$2666,2,FALSE)</f>
        <v>BRB</v>
      </c>
      <c r="G418" s="23" t="str">
        <f>VLOOKUP($C418,Carpetas!$C$5:$M$2666,10,FALSE)</f>
        <v>xx</v>
      </c>
      <c r="H418" s="27" t="str">
        <f>VLOOKUP($C418,Carpetas!$C$5:$M$2666,5,FALSE)</f>
        <v>xx</v>
      </c>
      <c r="I418" s="220">
        <f>VLOOKUP($C418,Carpetas!$C$5:$M$2666,4,FALSE)</f>
        <v>0</v>
      </c>
      <c r="J418" s="47">
        <f>E418+2</f>
        <v>45466</v>
      </c>
      <c r="K418" s="72" t="str">
        <f>VLOOKUP($C418,Carpetas!$C$5:$M$2666,5,FALSE)</f>
        <v>xx</v>
      </c>
      <c r="L418" s="32"/>
      <c r="M418" s="48">
        <f t="shared" si="21"/>
        <v>45467</v>
      </c>
      <c r="N418" s="26">
        <f t="shared" si="18"/>
        <v>3</v>
      </c>
      <c r="O418" s="27">
        <v>25000</v>
      </c>
      <c r="P418" s="27"/>
      <c r="Q418" s="27"/>
      <c r="R418" s="27"/>
      <c r="S418" s="27"/>
      <c r="T418" s="27"/>
      <c r="U418" s="27"/>
      <c r="V418" s="27"/>
      <c r="W418" s="27"/>
      <c r="X418" s="73"/>
      <c r="Y418" s="73" t="e">
        <f>VLOOKUP(X418,Choferes!$B$2:$C$500,2,FALSE)</f>
        <v>#N/A</v>
      </c>
      <c r="Z418" s="73"/>
    </row>
    <row r="419" spans="1:26" hidden="1" x14ac:dyDescent="0.25">
      <c r="A419" s="33">
        <v>25</v>
      </c>
      <c r="B419" s="71" t="s">
        <v>29</v>
      </c>
      <c r="C419" s="39" t="s">
        <v>1356</v>
      </c>
      <c r="D419" s="50" t="s">
        <v>102</v>
      </c>
      <c r="E419" s="47">
        <v>45461</v>
      </c>
      <c r="F419" s="31" t="str">
        <f>VLOOKUP($C419,Carpetas!$C$5:$M$2666,2,FALSE)</f>
        <v>PYB111</v>
      </c>
      <c r="G419" s="23">
        <f>VLOOKUP($C419,Carpetas!$C$5:$M$2666,10,FALSE)</f>
        <v>0</v>
      </c>
      <c r="H419" s="27">
        <f>VLOOKUP($C419,Carpetas!$C$5:$M$2666,6,FALSE)</f>
        <v>0</v>
      </c>
      <c r="I419" s="220"/>
      <c r="J419" s="47">
        <v>45467</v>
      </c>
      <c r="K419" s="72" t="str">
        <f>VLOOKUP($C419,Carpetas!$C$5:$M$2666,5,FALSE)</f>
        <v>Salto</v>
      </c>
      <c r="L419" s="32"/>
      <c r="M419" s="48">
        <v>45467</v>
      </c>
      <c r="N419" s="26">
        <f t="shared" si="18"/>
        <v>6</v>
      </c>
      <c r="O419" s="27">
        <v>980</v>
      </c>
      <c r="P419" s="27">
        <v>981</v>
      </c>
      <c r="Q419" s="27"/>
      <c r="R419" s="27"/>
      <c r="S419" s="27" t="s">
        <v>1391</v>
      </c>
      <c r="T419" s="27"/>
      <c r="U419" s="27"/>
      <c r="V419" s="27" t="s">
        <v>1392</v>
      </c>
      <c r="W419" s="27" t="s">
        <v>1393</v>
      </c>
      <c r="X419" s="73"/>
      <c r="Y419" s="73" t="e">
        <f>VLOOKUP(X419,Choferes!$B$2:$C$500,2,FALSE)</f>
        <v>#N/A</v>
      </c>
      <c r="Z419" s="73" t="s">
        <v>1394</v>
      </c>
    </row>
    <row r="420" spans="1:26" hidden="1" x14ac:dyDescent="0.25">
      <c r="A420" s="33">
        <v>25</v>
      </c>
      <c r="B420" s="71" t="s">
        <v>29</v>
      </c>
      <c r="C420" s="39" t="s">
        <v>1339</v>
      </c>
      <c r="D420" s="50" t="s">
        <v>110</v>
      </c>
      <c r="E420" s="47">
        <v>45463</v>
      </c>
      <c r="F420" s="31" t="str">
        <f>VLOOKUP($C420,Carpetas!$C$5:$M$2666,2,FALSE)</f>
        <v>BRB038</v>
      </c>
      <c r="G420" s="23" t="str">
        <f>VLOOKUP($C420,Carpetas!$C$5:$M$2666,10,FALSE)</f>
        <v>149,48,54</v>
      </c>
      <c r="H420" s="27" t="str">
        <f>VLOOKUP($C420,Carpetas!$C$5:$M$2666,6,FALSE)</f>
        <v>FG</v>
      </c>
      <c r="I420" s="220"/>
      <c r="J420" s="47">
        <v>45467</v>
      </c>
      <c r="K420" s="72" t="str">
        <f>VLOOKUP($C420,Carpetas!$C$5:$M$2666,5,FALSE)</f>
        <v>Rio Branco</v>
      </c>
      <c r="L420" s="32"/>
      <c r="M420" s="48">
        <f t="shared" ref="M420:M426" si="22">J420+1</f>
        <v>45468</v>
      </c>
      <c r="N420" s="26">
        <f t="shared" si="18"/>
        <v>5</v>
      </c>
      <c r="O420" s="27">
        <v>990</v>
      </c>
      <c r="P420" s="27">
        <v>990</v>
      </c>
      <c r="Q420" s="27"/>
      <c r="R420" s="27"/>
      <c r="S420" s="27" t="s">
        <v>1395</v>
      </c>
      <c r="T420" s="27"/>
      <c r="U420" s="27">
        <v>172</v>
      </c>
      <c r="V420" s="27" t="s">
        <v>1396</v>
      </c>
      <c r="W420" s="27" t="s">
        <v>922</v>
      </c>
      <c r="X420" s="73" t="s">
        <v>1397</v>
      </c>
      <c r="Y420" s="73" t="str">
        <f>VLOOKUP(X420,Choferes!$B$2:$C$500,2,FALSE)</f>
        <v>+5551996322594</v>
      </c>
      <c r="Z420" s="73" t="s">
        <v>1398</v>
      </c>
    </row>
    <row r="421" spans="1:26" ht="30" hidden="1" x14ac:dyDescent="0.25">
      <c r="A421" s="33">
        <v>25</v>
      </c>
      <c r="B421" s="71" t="s">
        <v>29</v>
      </c>
      <c r="C421" s="39" t="s">
        <v>1297</v>
      </c>
      <c r="D421" s="50" t="s">
        <v>880</v>
      </c>
      <c r="E421" s="47">
        <v>45464</v>
      </c>
      <c r="F421" s="31" t="str">
        <f>VLOOKUP($C421,Carpetas!$C$5:$M$2666,2,FALSE)</f>
        <v>BRB037</v>
      </c>
      <c r="G421" s="23" t="str">
        <f>VLOOKUP($C421,Carpetas!$C$5:$M$2666,10,FALSE)</f>
        <v>149,45,77</v>
      </c>
      <c r="H421" s="27" t="str">
        <f>VLOOKUP($C421,Carpetas!$C$5:$M$2666,6,FALSE)</f>
        <v>Zanini</v>
      </c>
      <c r="I421" s="220"/>
      <c r="J421" s="47">
        <v>45467</v>
      </c>
      <c r="K421" s="72" t="str">
        <f>VLOOKUP($C421,Carpetas!$C$5:$M$2666,5,FALSE)</f>
        <v>Rio Branco</v>
      </c>
      <c r="L421" s="32"/>
      <c r="M421" s="48">
        <f t="shared" si="22"/>
        <v>45468</v>
      </c>
      <c r="N421" s="26">
        <f t="shared" si="18"/>
        <v>4</v>
      </c>
      <c r="O421" s="27">
        <v>918</v>
      </c>
      <c r="P421" s="27">
        <v>918</v>
      </c>
      <c r="Q421" s="27"/>
      <c r="R421" s="27"/>
      <c r="S421" s="27" t="s">
        <v>1399</v>
      </c>
      <c r="T421" s="27"/>
      <c r="U421" s="27">
        <v>4516</v>
      </c>
      <c r="V421" s="27" t="s">
        <v>89</v>
      </c>
      <c r="W421" s="27" t="s">
        <v>90</v>
      </c>
      <c r="X421" s="73" t="s">
        <v>229</v>
      </c>
      <c r="Y421" s="73" t="str">
        <f>VLOOKUP(X421,Choferes!$B$2:$C$500,2,FALSE)</f>
        <v>+5555996886269</v>
      </c>
      <c r="Z421" s="73" t="s">
        <v>1400</v>
      </c>
    </row>
    <row r="422" spans="1:26" hidden="1" x14ac:dyDescent="0.25">
      <c r="A422" s="33">
        <v>25</v>
      </c>
      <c r="B422" s="71" t="s">
        <v>29</v>
      </c>
      <c r="C422" s="39" t="s">
        <v>1297</v>
      </c>
      <c r="D422" s="50" t="s">
        <v>747</v>
      </c>
      <c r="E422" s="47">
        <v>45464</v>
      </c>
      <c r="F422" s="31" t="str">
        <f>VLOOKUP($C422,Carpetas!$C$5:$M$2666,2,FALSE)</f>
        <v>BRB037</v>
      </c>
      <c r="G422" s="23" t="str">
        <f>VLOOKUP($C422,Carpetas!$C$5:$M$2666,10,FALSE)</f>
        <v>149,45,77</v>
      </c>
      <c r="H422" s="27" t="str">
        <f>VLOOKUP($C422,Carpetas!$C$5:$M$2666,6,FALSE)</f>
        <v>Zanini</v>
      </c>
      <c r="I422" s="220"/>
      <c r="J422" s="47">
        <v>45467</v>
      </c>
      <c r="K422" s="72" t="str">
        <f>VLOOKUP($C422,Carpetas!$C$5:$M$2666,5,FALSE)</f>
        <v>Rio Branco</v>
      </c>
      <c r="L422" s="32"/>
      <c r="M422" s="48">
        <f t="shared" si="22"/>
        <v>45468</v>
      </c>
      <c r="N422" s="26">
        <f t="shared" si="18"/>
        <v>4</v>
      </c>
      <c r="O422" s="27">
        <v>918</v>
      </c>
      <c r="P422" s="27">
        <v>919</v>
      </c>
      <c r="Q422" s="27"/>
      <c r="R422" s="27"/>
      <c r="S422" s="27" t="s">
        <v>1401</v>
      </c>
      <c r="T422" s="27"/>
      <c r="U422" s="27">
        <v>4517</v>
      </c>
      <c r="V422" s="27" t="s">
        <v>1402</v>
      </c>
      <c r="W422" s="27" t="s">
        <v>1403</v>
      </c>
      <c r="X422" s="73" t="s">
        <v>1404</v>
      </c>
      <c r="Y422" s="73" t="str">
        <f>VLOOKUP(X422,Choferes!$B$2:$C$500,2,FALSE)</f>
        <v>+5549988460494</v>
      </c>
      <c r="Z422" s="73" t="s">
        <v>1405</v>
      </c>
    </row>
    <row r="423" spans="1:26" hidden="1" x14ac:dyDescent="0.25">
      <c r="A423" s="33">
        <v>25</v>
      </c>
      <c r="B423" s="71" t="s">
        <v>29</v>
      </c>
      <c r="C423" s="39" t="s">
        <v>1339</v>
      </c>
      <c r="D423" s="50" t="s">
        <v>764</v>
      </c>
      <c r="E423" s="47">
        <v>45464</v>
      </c>
      <c r="F423" s="31" t="str">
        <f>VLOOKUP($C423,Carpetas!$C$5:$M$2666,2,FALSE)</f>
        <v>BRB038</v>
      </c>
      <c r="G423" s="23" t="str">
        <f>VLOOKUP($C423,Carpetas!$C$5:$M$2666,10,FALSE)</f>
        <v>149,48,54</v>
      </c>
      <c r="H423" s="27" t="str">
        <f>VLOOKUP($C423,Carpetas!$C$5:$M$2666,6,FALSE)</f>
        <v>FG</v>
      </c>
      <c r="I423" s="220"/>
      <c r="J423" s="47">
        <v>45467</v>
      </c>
      <c r="K423" s="72" t="str">
        <f>VLOOKUP($C423,Carpetas!$C$5:$M$2666,5,FALSE)</f>
        <v>Rio Branco</v>
      </c>
      <c r="L423" s="32"/>
      <c r="M423" s="48">
        <f t="shared" si="22"/>
        <v>45468</v>
      </c>
      <c r="N423" s="26">
        <f t="shared" si="18"/>
        <v>4</v>
      </c>
      <c r="O423" s="27">
        <v>990</v>
      </c>
      <c r="P423" s="27">
        <v>990</v>
      </c>
      <c r="Q423" s="27"/>
      <c r="R423" s="27"/>
      <c r="S423" s="27" t="s">
        <v>1406</v>
      </c>
      <c r="T423" s="27"/>
      <c r="U423" s="27">
        <v>173</v>
      </c>
      <c r="V423" s="27" t="s">
        <v>1407</v>
      </c>
      <c r="W423" s="27" t="s">
        <v>1408</v>
      </c>
      <c r="X423" s="73" t="s">
        <v>1409</v>
      </c>
      <c r="Y423" s="73" t="str">
        <f>VLOOKUP(X423,Choferes!$B$2:$C$500,2,FALSE)</f>
        <v>+5553991154670</v>
      </c>
      <c r="Z423" s="73" t="s">
        <v>1410</v>
      </c>
    </row>
    <row r="424" spans="1:26" hidden="1" x14ac:dyDescent="0.25">
      <c r="A424" s="33">
        <v>25</v>
      </c>
      <c r="B424" s="71" t="s">
        <v>29</v>
      </c>
      <c r="C424" s="39" t="s">
        <v>1339</v>
      </c>
      <c r="D424" s="50" t="s">
        <v>803</v>
      </c>
      <c r="E424" s="47">
        <v>45464</v>
      </c>
      <c r="F424" s="31" t="str">
        <f>VLOOKUP($C424,Carpetas!$C$5:$M$2666,2,FALSE)</f>
        <v>BRB038</v>
      </c>
      <c r="G424" s="23" t="str">
        <f>VLOOKUP($C424,Carpetas!$C$5:$M$2666,10,FALSE)</f>
        <v>149,48,54</v>
      </c>
      <c r="H424" s="27" t="str">
        <f>VLOOKUP($C424,Carpetas!$C$5:$M$2666,6,FALSE)</f>
        <v>FG</v>
      </c>
      <c r="I424" s="220"/>
      <c r="J424" s="47">
        <v>45467</v>
      </c>
      <c r="K424" s="72" t="str">
        <f>VLOOKUP($C424,Carpetas!$C$5:$M$2666,5,FALSE)</f>
        <v>Rio Branco</v>
      </c>
      <c r="L424" s="32"/>
      <c r="M424" s="48">
        <f t="shared" si="22"/>
        <v>45468</v>
      </c>
      <c r="N424" s="26">
        <f t="shared" si="18"/>
        <v>4</v>
      </c>
      <c r="O424" s="27">
        <v>990</v>
      </c>
      <c r="P424" s="27">
        <v>990</v>
      </c>
      <c r="Q424" s="27"/>
      <c r="R424" s="27"/>
      <c r="S424" s="27" t="s">
        <v>1411</v>
      </c>
      <c r="T424" s="27"/>
      <c r="U424" s="27">
        <v>179</v>
      </c>
      <c r="V424" s="27" t="s">
        <v>1045</v>
      </c>
      <c r="W424" s="27" t="s">
        <v>1412</v>
      </c>
      <c r="X424" s="73" t="s">
        <v>1413</v>
      </c>
      <c r="Y424" s="73" t="str">
        <f>VLOOKUP(X424,Choferes!$B$2:$C$500,2,FALSE)</f>
        <v>+59899406679</v>
      </c>
      <c r="Z424" s="73" t="s">
        <v>1414</v>
      </c>
    </row>
    <row r="425" spans="1:26" hidden="1" x14ac:dyDescent="0.25">
      <c r="A425" s="33">
        <v>25</v>
      </c>
      <c r="B425" s="71" t="s">
        <v>29</v>
      </c>
      <c r="C425" s="39" t="s">
        <v>1359</v>
      </c>
      <c r="D425" s="50" t="s">
        <v>249</v>
      </c>
      <c r="E425" s="47">
        <v>45464</v>
      </c>
      <c r="F425" s="31" t="str">
        <f>VLOOKUP($C425,Carpetas!$C$5:$M$2666,2,FALSE)</f>
        <v>BRB039</v>
      </c>
      <c r="G425" s="23" t="str">
        <f>VLOOKUP($C425,Carpetas!$C$5:$M$2666,10,FALSE)</f>
        <v>149,50,28</v>
      </c>
      <c r="H425" s="27" t="str">
        <f>VLOOKUP($C425,Carpetas!$C$5:$M$2666,6,FALSE)</f>
        <v xml:space="preserve">Silvio </v>
      </c>
      <c r="I425" s="220"/>
      <c r="J425" s="47">
        <v>45467</v>
      </c>
      <c r="K425" s="72" t="str">
        <f>VLOOKUP($C425,Carpetas!$C$5:$M$2666,5,FALSE)</f>
        <v>Rio Branco</v>
      </c>
      <c r="L425" s="32"/>
      <c r="M425" s="48">
        <f t="shared" si="22"/>
        <v>45468</v>
      </c>
      <c r="N425" s="26">
        <f t="shared" si="18"/>
        <v>4</v>
      </c>
      <c r="O425" s="27">
        <v>918</v>
      </c>
      <c r="P425" s="27">
        <v>918</v>
      </c>
      <c r="Q425" s="27"/>
      <c r="R425" s="27"/>
      <c r="S425" s="27" t="s">
        <v>1415</v>
      </c>
      <c r="T425" s="27"/>
      <c r="U425" s="27">
        <v>6957</v>
      </c>
      <c r="V425" s="27" t="s">
        <v>64</v>
      </c>
      <c r="W425" s="27" t="s">
        <v>65</v>
      </c>
      <c r="X425" s="73" t="s">
        <v>66</v>
      </c>
      <c r="Y425" s="73" t="str">
        <f>VLOOKUP(X425,Choferes!$B$2:$C$500,2,FALSE)</f>
        <v>+5555996711696</v>
      </c>
      <c r="Z425" s="73" t="s">
        <v>1416</v>
      </c>
    </row>
    <row r="426" spans="1:26" hidden="1" x14ac:dyDescent="0.25">
      <c r="A426" s="33">
        <v>25</v>
      </c>
      <c r="B426" s="71" t="s">
        <v>29</v>
      </c>
      <c r="C426" s="39" t="s">
        <v>1359</v>
      </c>
      <c r="D426" s="50" t="s">
        <v>953</v>
      </c>
      <c r="E426" s="47">
        <v>45465</v>
      </c>
      <c r="F426" s="31" t="str">
        <f>VLOOKUP($C426,Carpetas!$C$5:$M$2666,2,FALSE)</f>
        <v>BRB039</v>
      </c>
      <c r="G426" s="23" t="str">
        <f>VLOOKUP($C426,Carpetas!$C$5:$M$2666,10,FALSE)</f>
        <v>149,50,28</v>
      </c>
      <c r="H426" s="27" t="str">
        <f>VLOOKUP($C426,Carpetas!$C$5:$M$2666,6,FALSE)</f>
        <v xml:space="preserve">Silvio </v>
      </c>
      <c r="I426" s="220"/>
      <c r="J426" s="47">
        <v>45467</v>
      </c>
      <c r="K426" s="72" t="str">
        <f>VLOOKUP($C426,Carpetas!$C$5:$M$2666,5,FALSE)</f>
        <v>Rio Branco</v>
      </c>
      <c r="L426" s="32"/>
      <c r="M426" s="48">
        <f t="shared" si="22"/>
        <v>45468</v>
      </c>
      <c r="N426" s="26">
        <f t="shared" si="18"/>
        <v>3</v>
      </c>
      <c r="O426" s="27">
        <v>918</v>
      </c>
      <c r="P426" s="27">
        <v>919</v>
      </c>
      <c r="Q426" s="27"/>
      <c r="R426" s="27"/>
      <c r="S426" s="27" t="s">
        <v>1417</v>
      </c>
      <c r="T426" s="27"/>
      <c r="U426" s="27">
        <v>6958</v>
      </c>
      <c r="V426" s="27" t="s">
        <v>721</v>
      </c>
      <c r="W426" s="27" t="s">
        <v>722</v>
      </c>
      <c r="X426" s="73" t="s">
        <v>1418</v>
      </c>
      <c r="Y426" s="73" t="str">
        <f>VLOOKUP(X426,Choferes!$B$2:$C$500,2,FALSE)</f>
        <v>+5541998209759</v>
      </c>
      <c r="Z426" s="73" t="s">
        <v>1419</v>
      </c>
    </row>
    <row r="427" spans="1:26" hidden="1" x14ac:dyDescent="0.25">
      <c r="A427" s="33">
        <v>25</v>
      </c>
      <c r="B427" s="71" t="s">
        <v>29</v>
      </c>
      <c r="C427" s="39" t="s">
        <v>1359</v>
      </c>
      <c r="D427" s="50" t="s">
        <v>953</v>
      </c>
      <c r="E427" s="47">
        <v>45465</v>
      </c>
      <c r="F427" s="31" t="str">
        <f>VLOOKUP($C427,Carpetas!$C$5:$M$2666,2,FALSE)</f>
        <v>BRB039</v>
      </c>
      <c r="G427" s="23" t="str">
        <f>VLOOKUP($C427,Carpetas!$C$5:$M$2666,10,FALSE)</f>
        <v>149,50,28</v>
      </c>
      <c r="H427" s="27" t="str">
        <f>VLOOKUP($C427,Carpetas!$C$5:$M$2666,6,FALSE)</f>
        <v xml:space="preserve">Silvio </v>
      </c>
      <c r="I427" s="220"/>
      <c r="J427" s="47">
        <v>45467</v>
      </c>
      <c r="K427" s="72" t="str">
        <f>VLOOKUP($C427,Carpetas!$C$5:$M$2666,5,FALSE)</f>
        <v>Rio Branco</v>
      </c>
      <c r="L427" s="32"/>
      <c r="M427" s="48">
        <f>J427+1+1</f>
        <v>45469</v>
      </c>
      <c r="N427" s="26">
        <f t="shared" si="18"/>
        <v>4</v>
      </c>
      <c r="O427" s="27">
        <v>918</v>
      </c>
      <c r="P427" s="27">
        <v>919</v>
      </c>
      <c r="Q427" s="27"/>
      <c r="R427" s="27"/>
      <c r="S427" s="27" t="s">
        <v>1420</v>
      </c>
      <c r="T427" s="27"/>
      <c r="U427" s="27">
        <v>6959</v>
      </c>
      <c r="V427" s="27" t="s">
        <v>618</v>
      </c>
      <c r="W427" s="27" t="s">
        <v>619</v>
      </c>
      <c r="X427" s="73" t="s">
        <v>1421</v>
      </c>
      <c r="Y427" s="73" t="str">
        <f>VLOOKUP(X427,Choferes!$B$2:$C$500,2,FALSE)</f>
        <v>+5547991222760</v>
      </c>
      <c r="Z427" s="73" t="s">
        <v>1419</v>
      </c>
    </row>
    <row r="428" spans="1:26" ht="30" hidden="1" x14ac:dyDescent="0.25">
      <c r="A428" s="33">
        <v>26</v>
      </c>
      <c r="B428" s="71" t="s">
        <v>29</v>
      </c>
      <c r="C428" s="39" t="s">
        <v>1339</v>
      </c>
      <c r="D428" s="50" t="s">
        <v>747</v>
      </c>
      <c r="E428" s="47">
        <v>45467</v>
      </c>
      <c r="F428" s="31" t="str">
        <f>VLOOKUP($C428,Carpetas!$C$5:$M$2666,2,FALSE)</f>
        <v>BRB038</v>
      </c>
      <c r="G428" s="23" t="str">
        <f>VLOOKUP($C428,Carpetas!$C$5:$M$2666,10,FALSE)</f>
        <v>149,48,54</v>
      </c>
      <c r="H428" s="27" t="str">
        <f>VLOOKUP($C428,Carpetas!$C$5:$M$2666,6,FALSE)</f>
        <v>FG</v>
      </c>
      <c r="I428" s="220"/>
      <c r="J428" s="47">
        <v>45468</v>
      </c>
      <c r="K428" s="72" t="str">
        <f>VLOOKUP($C428,Carpetas!$C$5:$M$2666,5,FALSE)</f>
        <v>Rio Branco</v>
      </c>
      <c r="L428" s="32"/>
      <c r="M428" s="48">
        <f t="shared" ref="M428:M443" si="23">J428+1</f>
        <v>45469</v>
      </c>
      <c r="N428" s="26">
        <f t="shared" si="18"/>
        <v>2</v>
      </c>
      <c r="O428" s="27">
        <v>990</v>
      </c>
      <c r="P428" s="27">
        <v>991</v>
      </c>
      <c r="Q428" s="27"/>
      <c r="R428" s="27"/>
      <c r="S428" s="27" t="s">
        <v>1422</v>
      </c>
      <c r="T428" s="27"/>
      <c r="U428" s="27">
        <v>183</v>
      </c>
      <c r="V428" s="27" t="s">
        <v>943</v>
      </c>
      <c r="W428" s="27" t="s">
        <v>944</v>
      </c>
      <c r="X428" s="73"/>
      <c r="Y428" s="73" t="e">
        <f>VLOOKUP(X428,Choferes!$B$2:$C$500,2,FALSE)</f>
        <v>#N/A</v>
      </c>
      <c r="Z428" s="73" t="s">
        <v>1423</v>
      </c>
    </row>
    <row r="429" spans="1:26" ht="30" hidden="1" x14ac:dyDescent="0.25">
      <c r="A429" s="33">
        <v>26</v>
      </c>
      <c r="B429" s="71" t="s">
        <v>29</v>
      </c>
      <c r="C429" s="39" t="s">
        <v>1424</v>
      </c>
      <c r="D429" s="50" t="s">
        <v>102</v>
      </c>
      <c r="E429" s="47">
        <v>45466</v>
      </c>
      <c r="F429" s="31" t="str">
        <f>VLOOKUP($C429,Carpetas!$C$5:$M$2666,2,FALSE)</f>
        <v>PYB113</v>
      </c>
      <c r="G429" s="23">
        <f>VLOOKUP($C429,Carpetas!$C$5:$M$2666,10,FALSE)</f>
        <v>0</v>
      </c>
      <c r="H429" s="27">
        <f>VLOOKUP($C429,Carpetas!$C$5:$M$2666,6,FALSE)</f>
        <v>0</v>
      </c>
      <c r="I429" s="220"/>
      <c r="J429" s="47">
        <f>E429+3</f>
        <v>45469</v>
      </c>
      <c r="K429" s="72" t="str">
        <f>VLOOKUP($C429,Carpetas!$C$5:$M$2666,5,FALSE)</f>
        <v>Salto</v>
      </c>
      <c r="L429" s="32"/>
      <c r="M429" s="48">
        <f t="shared" si="23"/>
        <v>45470</v>
      </c>
      <c r="N429" s="26">
        <f t="shared" si="18"/>
        <v>4</v>
      </c>
      <c r="O429" s="27">
        <v>980</v>
      </c>
      <c r="P429" s="27">
        <v>980</v>
      </c>
      <c r="Q429" s="27"/>
      <c r="R429" s="27"/>
      <c r="S429" s="27" t="s">
        <v>1425</v>
      </c>
      <c r="T429" s="27"/>
      <c r="U429" s="27"/>
      <c r="V429" s="27" t="s">
        <v>490</v>
      </c>
      <c r="W429" s="27" t="s">
        <v>491</v>
      </c>
      <c r="X429" s="73"/>
      <c r="Y429" s="73" t="e">
        <f>VLOOKUP(X429,Choferes!$B$2:$C$500,2,FALSE)</f>
        <v>#N/A</v>
      </c>
      <c r="Z429" s="73" t="s">
        <v>1426</v>
      </c>
    </row>
    <row r="430" spans="1:26" hidden="1" x14ac:dyDescent="0.25">
      <c r="A430" s="33">
        <v>25</v>
      </c>
      <c r="B430" s="71" t="s">
        <v>29</v>
      </c>
      <c r="C430" s="39" t="s">
        <v>1427</v>
      </c>
      <c r="D430" s="50" t="s">
        <v>38</v>
      </c>
      <c r="E430" s="47">
        <v>45464</v>
      </c>
      <c r="F430" s="31" t="str">
        <f>VLOOKUP($C430,Carpetas!$C$5:$M$2666,2,FALSE)</f>
        <v>BRE016</v>
      </c>
      <c r="G430" s="23">
        <f>VLOOKUP($C430,Carpetas!$C$5:$M$2666,10,FALSE)</f>
        <v>0</v>
      </c>
      <c r="H430" s="27">
        <f>VLOOKUP($C430,Carpetas!$C$5:$M$2666,6,FALSE)</f>
        <v>0</v>
      </c>
      <c r="I430" s="220">
        <f>VLOOKUP($C430,Carpetas!$C$5:$M$2666,4,FALSE)</f>
        <v>0</v>
      </c>
      <c r="J430" s="47">
        <v>45470</v>
      </c>
      <c r="K430" s="72" t="str">
        <f>VLOOKUP($C430,Carpetas!$C$5:$M$2666,5,FALSE)</f>
        <v>Rio Branco</v>
      </c>
      <c r="L430" s="32"/>
      <c r="M430" s="48">
        <f t="shared" si="23"/>
        <v>45471</v>
      </c>
      <c r="N430" s="26">
        <f t="shared" si="18"/>
        <v>7</v>
      </c>
      <c r="O430" s="27">
        <v>1440</v>
      </c>
      <c r="P430" s="27"/>
      <c r="Q430" s="27"/>
      <c r="R430" s="27"/>
      <c r="S430" s="27"/>
      <c r="T430" s="27"/>
      <c r="U430" s="27"/>
      <c r="V430" s="27"/>
      <c r="W430" s="27"/>
      <c r="X430" s="73"/>
      <c r="Y430" s="73" t="e">
        <f>VLOOKUP(X430,Choferes!$B$2:$C$500,2,FALSE)</f>
        <v>#N/A</v>
      </c>
      <c r="Z430" s="73"/>
    </row>
    <row r="431" spans="1:26" ht="30" hidden="1" x14ac:dyDescent="0.25">
      <c r="A431" s="33">
        <v>26</v>
      </c>
      <c r="B431" s="71" t="s">
        <v>29</v>
      </c>
      <c r="C431" s="39" t="s">
        <v>1428</v>
      </c>
      <c r="D431" s="50" t="s">
        <v>78</v>
      </c>
      <c r="E431" s="47">
        <v>45468</v>
      </c>
      <c r="F431" s="31" t="str">
        <f>VLOOKUP($C431,Carpetas!$C$5:$M$2666,2,FALSE)</f>
        <v>BRB041</v>
      </c>
      <c r="G431" s="23" t="str">
        <f>VLOOKUP($C431,Carpetas!$C$5:$M$2666,10,FALSE)</f>
        <v>149,56,99</v>
      </c>
      <c r="H431" s="27" t="str">
        <f>VLOOKUP($C431,Carpetas!$C$5:$M$2666,6,FALSE)</f>
        <v>FG</v>
      </c>
      <c r="I431" s="220"/>
      <c r="J431" s="47">
        <v>45470</v>
      </c>
      <c r="K431" s="72" t="str">
        <f>VLOOKUP($C431,Carpetas!$C$5:$M$2666,5,FALSE)</f>
        <v>Rio Branco</v>
      </c>
      <c r="L431" s="32"/>
      <c r="M431" s="48">
        <f t="shared" si="23"/>
        <v>45471</v>
      </c>
      <c r="N431" s="26">
        <f t="shared" si="18"/>
        <v>3</v>
      </c>
      <c r="O431" s="27">
        <v>990</v>
      </c>
      <c r="P431" s="27">
        <v>990</v>
      </c>
      <c r="Q431" s="27"/>
      <c r="R431" s="27"/>
      <c r="S431" s="27" t="s">
        <v>1429</v>
      </c>
      <c r="T431" s="27"/>
      <c r="U431" s="27"/>
      <c r="V431" s="27" t="s">
        <v>1430</v>
      </c>
      <c r="W431" s="27"/>
      <c r="X431" s="73"/>
      <c r="Y431" s="73" t="e">
        <f>VLOOKUP(X431,Choferes!$B$2:$C$500,2,FALSE)</f>
        <v>#N/A</v>
      </c>
      <c r="Z431" s="73" t="s">
        <v>1431</v>
      </c>
    </row>
    <row r="432" spans="1:26" hidden="1" x14ac:dyDescent="0.25">
      <c r="A432" s="33">
        <v>26</v>
      </c>
      <c r="B432" s="71" t="s">
        <v>29</v>
      </c>
      <c r="C432" s="39" t="s">
        <v>1359</v>
      </c>
      <c r="D432" s="50" t="s">
        <v>764</v>
      </c>
      <c r="E432" s="47">
        <v>45469</v>
      </c>
      <c r="F432" s="31" t="str">
        <f>VLOOKUP($C432,Carpetas!$C$5:$M$2666,2,FALSE)</f>
        <v>BRB039</v>
      </c>
      <c r="G432" s="23" t="str">
        <f>VLOOKUP($C432,Carpetas!$C$5:$M$2666,10,FALSE)</f>
        <v>149,50,28</v>
      </c>
      <c r="H432" s="27" t="str">
        <f>VLOOKUP($C432,Carpetas!$C$5:$M$2666,6,FALSE)</f>
        <v xml:space="preserve">Silvio </v>
      </c>
      <c r="I432" s="220"/>
      <c r="J432" s="47">
        <v>45470</v>
      </c>
      <c r="K432" s="72" t="str">
        <f>VLOOKUP($C432,Carpetas!$C$5:$M$2666,5,FALSE)</f>
        <v>Rio Branco</v>
      </c>
      <c r="L432" s="32"/>
      <c r="M432" s="48">
        <f t="shared" si="23"/>
        <v>45471</v>
      </c>
      <c r="N432" s="26">
        <f t="shared" si="18"/>
        <v>2</v>
      </c>
      <c r="O432" s="27">
        <v>918</v>
      </c>
      <c r="P432" s="27">
        <v>918</v>
      </c>
      <c r="Q432" s="27"/>
      <c r="R432" s="27"/>
      <c r="S432" s="27" t="s">
        <v>1432</v>
      </c>
      <c r="T432" s="27"/>
      <c r="U432" s="27"/>
      <c r="V432" s="27" t="s">
        <v>1433</v>
      </c>
      <c r="W432" s="27" t="s">
        <v>1434</v>
      </c>
      <c r="X432" s="73"/>
      <c r="Y432" s="73" t="e">
        <f>VLOOKUP(X432,Choferes!$B$2:$C$500,2,FALSE)</f>
        <v>#N/A</v>
      </c>
      <c r="Z432" s="73" t="s">
        <v>1435</v>
      </c>
    </row>
    <row r="433" spans="1:26" hidden="1" x14ac:dyDescent="0.25">
      <c r="A433" s="33">
        <v>26</v>
      </c>
      <c r="B433" s="71" t="s">
        <v>29</v>
      </c>
      <c r="C433" s="39" t="s">
        <v>1359</v>
      </c>
      <c r="D433" s="50" t="s">
        <v>953</v>
      </c>
      <c r="E433" s="47">
        <v>45469</v>
      </c>
      <c r="F433" s="31" t="str">
        <f>VLOOKUP($C433,Carpetas!$C$5:$M$2666,2,FALSE)</f>
        <v>BRB039</v>
      </c>
      <c r="G433" s="23" t="str">
        <f>VLOOKUP($C433,Carpetas!$C$5:$M$2666,10,FALSE)</f>
        <v>149,50,28</v>
      </c>
      <c r="H433" s="27" t="str">
        <f>VLOOKUP($C433,Carpetas!$C$5:$M$2666,6,FALSE)</f>
        <v xml:space="preserve">Silvio </v>
      </c>
      <c r="I433" s="220"/>
      <c r="J433" s="47">
        <v>45470</v>
      </c>
      <c r="K433" s="72" t="str">
        <f>VLOOKUP($C433,Carpetas!$C$5:$M$2666,5,FALSE)</f>
        <v>Rio Branco</v>
      </c>
      <c r="L433" s="32"/>
      <c r="M433" s="48">
        <f t="shared" si="23"/>
        <v>45471</v>
      </c>
      <c r="N433" s="26">
        <f t="shared" si="18"/>
        <v>2</v>
      </c>
      <c r="O433" s="27">
        <v>918</v>
      </c>
      <c r="P433" s="27">
        <v>919</v>
      </c>
      <c r="Q433" s="27"/>
      <c r="R433" s="27"/>
      <c r="S433" s="27" t="s">
        <v>1436</v>
      </c>
      <c r="T433" s="27"/>
      <c r="U433" s="27">
        <v>59821</v>
      </c>
      <c r="V433" s="27" t="s">
        <v>1437</v>
      </c>
      <c r="W433" s="27" t="s">
        <v>1438</v>
      </c>
      <c r="X433" s="73"/>
      <c r="Y433" s="73" t="e">
        <f>VLOOKUP(X433,Choferes!$B$2:$C$500,2,FALSE)</f>
        <v>#N/A</v>
      </c>
      <c r="Z433" s="73" t="s">
        <v>1439</v>
      </c>
    </row>
    <row r="434" spans="1:26" hidden="1" x14ac:dyDescent="0.25">
      <c r="A434" s="33">
        <v>26</v>
      </c>
      <c r="B434" s="71" t="s">
        <v>29</v>
      </c>
      <c r="C434" s="39" t="s">
        <v>1440</v>
      </c>
      <c r="D434" s="50" t="s">
        <v>880</v>
      </c>
      <c r="E434" s="47">
        <v>45469</v>
      </c>
      <c r="F434" s="31" t="str">
        <f>VLOOKUP($C434,Carpetas!$C$5:$M$2666,2,FALSE)</f>
        <v>BRB042</v>
      </c>
      <c r="G434" s="23" t="str">
        <f>VLOOKUP($C434,Carpetas!$C$5:$M$2666,10,FALSE)</f>
        <v>149,56,97</v>
      </c>
      <c r="H434" s="27" t="str">
        <f>VLOOKUP($C434,Carpetas!$C$5:$M$2666,6,FALSE)</f>
        <v>Zanini</v>
      </c>
      <c r="I434" s="220"/>
      <c r="J434" s="47">
        <v>45470</v>
      </c>
      <c r="K434" s="72" t="str">
        <f>VLOOKUP($C434,Carpetas!$C$5:$M$2666,5,FALSE)</f>
        <v>Rio Branco</v>
      </c>
      <c r="L434" s="32"/>
      <c r="M434" s="48">
        <f t="shared" si="23"/>
        <v>45471</v>
      </c>
      <c r="N434" s="26">
        <f t="shared" si="18"/>
        <v>2</v>
      </c>
      <c r="O434" s="27">
        <v>918</v>
      </c>
      <c r="P434" s="27">
        <v>918</v>
      </c>
      <c r="Q434" s="27"/>
      <c r="R434" s="27"/>
      <c r="S434" s="27"/>
      <c r="T434" s="27"/>
      <c r="U434" s="27">
        <v>4531</v>
      </c>
      <c r="V434" s="27" t="s">
        <v>1441</v>
      </c>
      <c r="W434" s="27" t="s">
        <v>1442</v>
      </c>
      <c r="X434" s="73"/>
      <c r="Y434" s="73" t="e">
        <f>VLOOKUP(X434,Choferes!$B$2:$C$500,2,FALSE)</f>
        <v>#N/A</v>
      </c>
      <c r="Z434" s="73" t="s">
        <v>1443</v>
      </c>
    </row>
    <row r="435" spans="1:26" ht="30" hidden="1" x14ac:dyDescent="0.25">
      <c r="A435" s="33">
        <v>25</v>
      </c>
      <c r="B435" s="71" t="s">
        <v>29</v>
      </c>
      <c r="C435" s="39" t="s">
        <v>1444</v>
      </c>
      <c r="D435" s="50" t="s">
        <v>63</v>
      </c>
      <c r="E435" s="47">
        <v>45463</v>
      </c>
      <c r="F435" s="31" t="str">
        <f>VLOOKUP($C435,Carpetas!$C$5:$M$2666,2,FALSE)</f>
        <v>BRA016</v>
      </c>
      <c r="G435" s="23" t="str">
        <f>VLOOKUP($C435,Carpetas!$C$5:$M$2666,10,FALSE)</f>
        <v>149,51,70</v>
      </c>
      <c r="H435" s="27" t="str">
        <f>VLOOKUP($C435,Carpetas!$C$5:$M$2666,6,FALSE)</f>
        <v>Silvio</v>
      </c>
      <c r="I435" s="220"/>
      <c r="J435" s="47">
        <v>45471</v>
      </c>
      <c r="K435" s="72" t="str">
        <f>VLOOKUP($C435,Carpetas!$C$5:$M$2666,5,FALSE)</f>
        <v>Rio Branco</v>
      </c>
      <c r="L435" s="32"/>
      <c r="M435" s="48">
        <f t="shared" si="23"/>
        <v>45472</v>
      </c>
      <c r="N435" s="26">
        <f t="shared" si="18"/>
        <v>9</v>
      </c>
      <c r="O435" s="27">
        <v>1104</v>
      </c>
      <c r="P435" s="27">
        <v>1104</v>
      </c>
      <c r="Q435" s="27"/>
      <c r="R435" s="27"/>
      <c r="S435" s="27"/>
      <c r="T435" s="27"/>
      <c r="U435" s="27">
        <v>6963</v>
      </c>
      <c r="V435" s="27" t="s">
        <v>1445</v>
      </c>
      <c r="W435" s="27" t="s">
        <v>1446</v>
      </c>
      <c r="X435" s="73"/>
      <c r="Y435" s="73" t="e">
        <f>VLOOKUP(X435,Choferes!$B$2:$C$500,2,FALSE)</f>
        <v>#N/A</v>
      </c>
      <c r="Z435" s="73" t="s">
        <v>1447</v>
      </c>
    </row>
    <row r="436" spans="1:26" ht="30" hidden="1" x14ac:dyDescent="0.25">
      <c r="A436" s="33">
        <v>25</v>
      </c>
      <c r="B436" s="71" t="s">
        <v>29</v>
      </c>
      <c r="C436" s="39" t="s">
        <v>1448</v>
      </c>
      <c r="D436" s="50" t="s">
        <v>63</v>
      </c>
      <c r="E436" s="47">
        <v>45463</v>
      </c>
      <c r="F436" s="31" t="str">
        <f>VLOOKUP($C436,Carpetas!$C$5:$M$2666,2,FALSE)</f>
        <v>BRA016</v>
      </c>
      <c r="G436" s="23" t="str">
        <f>VLOOKUP($C436,Carpetas!$C$5:$M$2666,10,FALSE)</f>
        <v>149,57,86</v>
      </c>
      <c r="H436" s="27" t="str">
        <f>VLOOKUP($C436,Carpetas!$C$5:$M$2666,6,FALSE)</f>
        <v>Silvio</v>
      </c>
      <c r="I436" s="220"/>
      <c r="J436" s="47">
        <v>45471</v>
      </c>
      <c r="K436" s="72" t="str">
        <f>VLOOKUP($C436,Carpetas!$C$5:$M$2666,5,FALSE)</f>
        <v>Rio Branco</v>
      </c>
      <c r="L436" s="32"/>
      <c r="M436" s="48">
        <f t="shared" si="23"/>
        <v>45472</v>
      </c>
      <c r="N436" s="26">
        <f t="shared" si="18"/>
        <v>9</v>
      </c>
      <c r="O436" s="27">
        <v>1104</v>
      </c>
      <c r="P436" s="27">
        <v>1103</v>
      </c>
      <c r="Q436" s="27"/>
      <c r="R436" s="27"/>
      <c r="S436" s="27"/>
      <c r="T436" s="27"/>
      <c r="U436" s="27">
        <v>6968</v>
      </c>
      <c r="V436" s="27" t="s">
        <v>1449</v>
      </c>
      <c r="W436" s="27" t="s">
        <v>1450</v>
      </c>
      <c r="X436" s="73"/>
      <c r="Y436" s="73" t="e">
        <f>VLOOKUP(X436,Choferes!$B$2:$C$500,2,FALSE)</f>
        <v>#N/A</v>
      </c>
      <c r="Z436" s="73" t="s">
        <v>1451</v>
      </c>
    </row>
    <row r="437" spans="1:26" ht="30" hidden="1" x14ac:dyDescent="0.25">
      <c r="A437" s="33">
        <v>26</v>
      </c>
      <c r="B437" s="71" t="s">
        <v>29</v>
      </c>
      <c r="C437" s="39" t="s">
        <v>1424</v>
      </c>
      <c r="D437" s="50" t="s">
        <v>102</v>
      </c>
      <c r="E437" s="47">
        <v>45467</v>
      </c>
      <c r="F437" s="31" t="str">
        <f>VLOOKUP($C437,Carpetas!$C$5:$M$2666,2,FALSE)</f>
        <v>PYB113</v>
      </c>
      <c r="G437" s="23">
        <f>VLOOKUP($C437,Carpetas!$C$5:$M$2666,10,FALSE)</f>
        <v>0</v>
      </c>
      <c r="H437" s="27">
        <f>VLOOKUP($C437,Carpetas!$C$5:$M$2666,6,FALSE)</f>
        <v>0</v>
      </c>
      <c r="I437" s="220"/>
      <c r="J437" s="47">
        <v>45471</v>
      </c>
      <c r="K437" s="72" t="str">
        <f>VLOOKUP($C437,Carpetas!$C$5:$M$2666,5,FALSE)</f>
        <v>Salto</v>
      </c>
      <c r="L437" s="32"/>
      <c r="M437" s="48">
        <f t="shared" si="23"/>
        <v>45472</v>
      </c>
      <c r="N437" s="26">
        <f t="shared" si="18"/>
        <v>5</v>
      </c>
      <c r="O437" s="27">
        <v>980</v>
      </c>
      <c r="P437" s="27">
        <v>981</v>
      </c>
      <c r="Q437" s="27"/>
      <c r="R437" s="27"/>
      <c r="S437" s="27" t="s">
        <v>1452</v>
      </c>
      <c r="T437" s="27"/>
      <c r="U437" s="27"/>
      <c r="V437" s="27" t="s">
        <v>156</v>
      </c>
      <c r="W437" s="27" t="s">
        <v>157</v>
      </c>
      <c r="X437" s="73"/>
      <c r="Y437" s="73" t="e">
        <f>VLOOKUP(X437,Choferes!$B$2:$C$500,2,FALSE)</f>
        <v>#N/A</v>
      </c>
      <c r="Z437" s="73" t="s">
        <v>1453</v>
      </c>
    </row>
    <row r="438" spans="1:26" ht="30" hidden="1" x14ac:dyDescent="0.25">
      <c r="A438" s="33">
        <v>26</v>
      </c>
      <c r="B438" s="71" t="s">
        <v>29</v>
      </c>
      <c r="C438" s="39" t="s">
        <v>1454</v>
      </c>
      <c r="D438" s="50" t="s">
        <v>48</v>
      </c>
      <c r="E438" s="47">
        <v>45468</v>
      </c>
      <c r="F438" s="31" t="str">
        <f>VLOOKUP($C438,Carpetas!$C$5:$M$2666,2,FALSE)</f>
        <v>PYB112</v>
      </c>
      <c r="G438" s="23">
        <f>VLOOKUP($C438,Carpetas!$C$5:$M$2666,10,FALSE)</f>
        <v>0</v>
      </c>
      <c r="H438" s="27">
        <f>VLOOKUP($C438,Carpetas!$C$5:$M$2666,6,FALSE)</f>
        <v>0</v>
      </c>
      <c r="I438" s="220"/>
      <c r="J438" s="47">
        <f>E438+3</f>
        <v>45471</v>
      </c>
      <c r="K438" s="72" t="str">
        <f>VLOOKUP($C438,Carpetas!$C$5:$M$2666,5,FALSE)</f>
        <v>Salto</v>
      </c>
      <c r="L438" s="32"/>
      <c r="M438" s="48">
        <f t="shared" si="23"/>
        <v>45472</v>
      </c>
      <c r="N438" s="26">
        <f t="shared" si="18"/>
        <v>4</v>
      </c>
      <c r="O438" s="27">
        <v>930</v>
      </c>
      <c r="P438" s="27">
        <v>930</v>
      </c>
      <c r="Q438" s="27"/>
      <c r="R438" s="27"/>
      <c r="S438" s="27" t="s">
        <v>1455</v>
      </c>
      <c r="T438" s="27"/>
      <c r="U438" s="27"/>
      <c r="V438" s="27" t="s">
        <v>69</v>
      </c>
      <c r="W438" s="27" t="s">
        <v>70</v>
      </c>
      <c r="X438" s="73"/>
      <c r="Y438" s="73" t="e">
        <f>VLOOKUP(X438,Choferes!$B$2:$C$500,2,FALSE)</f>
        <v>#N/A</v>
      </c>
      <c r="Z438" s="73" t="s">
        <v>1456</v>
      </c>
    </row>
    <row r="439" spans="1:26" ht="30" hidden="1" x14ac:dyDescent="0.25">
      <c r="A439" s="33">
        <v>26</v>
      </c>
      <c r="B439" s="71" t="s">
        <v>29</v>
      </c>
      <c r="C439" s="39" t="s">
        <v>1428</v>
      </c>
      <c r="D439" s="50" t="s">
        <v>78</v>
      </c>
      <c r="E439" s="47">
        <v>45469</v>
      </c>
      <c r="F439" s="31" t="str">
        <f>VLOOKUP($C439,Carpetas!$C$5:$M$2666,2,FALSE)</f>
        <v>BRB041</v>
      </c>
      <c r="G439" s="23" t="str">
        <f>VLOOKUP($C439,Carpetas!$C$5:$M$2666,10,FALSE)</f>
        <v>149,56,99</v>
      </c>
      <c r="H439" s="27" t="str">
        <f>VLOOKUP($C439,Carpetas!$C$5:$M$2666,6,FALSE)</f>
        <v>FG</v>
      </c>
      <c r="I439" s="220"/>
      <c r="J439" s="47">
        <v>45471</v>
      </c>
      <c r="K439" s="72" t="str">
        <f>VLOOKUP($C439,Carpetas!$C$5:$M$2666,5,FALSE)</f>
        <v>Rio Branco</v>
      </c>
      <c r="L439" s="32"/>
      <c r="M439" s="48">
        <f t="shared" si="23"/>
        <v>45472</v>
      </c>
      <c r="N439" s="26">
        <f t="shared" si="18"/>
        <v>3</v>
      </c>
      <c r="O439" s="27">
        <v>990</v>
      </c>
      <c r="P439" s="27">
        <v>991</v>
      </c>
      <c r="Q439" s="27"/>
      <c r="R439" s="27"/>
      <c r="S439" s="27" t="s">
        <v>1457</v>
      </c>
      <c r="T439" s="27"/>
      <c r="U439" s="27">
        <v>189</v>
      </c>
      <c r="V439" s="27" t="s">
        <v>1092</v>
      </c>
      <c r="W439" s="27" t="s">
        <v>1093</v>
      </c>
      <c r="X439" s="73"/>
      <c r="Y439" s="73" t="e">
        <f>VLOOKUP(X439,Choferes!$B$2:$C$500,2,FALSE)</f>
        <v>#N/A</v>
      </c>
      <c r="Z439" s="73" t="s">
        <v>1458</v>
      </c>
    </row>
    <row r="440" spans="1:26" ht="30" hidden="1" x14ac:dyDescent="0.25">
      <c r="A440" s="33">
        <v>26</v>
      </c>
      <c r="B440" s="71" t="s">
        <v>29</v>
      </c>
      <c r="C440" s="39" t="s">
        <v>1428</v>
      </c>
      <c r="D440" s="50" t="s">
        <v>803</v>
      </c>
      <c r="E440" s="47">
        <v>45469</v>
      </c>
      <c r="F440" s="31" t="str">
        <f>VLOOKUP($C440,Carpetas!$C$5:$M$2666,2,FALSE)</f>
        <v>BRB041</v>
      </c>
      <c r="G440" s="23" t="str">
        <f>VLOOKUP($C440,Carpetas!$C$5:$M$2666,10,FALSE)</f>
        <v>149,56,99</v>
      </c>
      <c r="H440" s="27" t="str">
        <f>VLOOKUP($C440,Carpetas!$C$5:$M$2666,6,FALSE)</f>
        <v>FG</v>
      </c>
      <c r="I440" s="220"/>
      <c r="J440" s="47">
        <v>45471</v>
      </c>
      <c r="K440" s="72" t="str">
        <f>VLOOKUP($C440,Carpetas!$C$5:$M$2666,5,FALSE)</f>
        <v>Rio Branco</v>
      </c>
      <c r="L440" s="32"/>
      <c r="M440" s="48">
        <f t="shared" si="23"/>
        <v>45472</v>
      </c>
      <c r="N440" s="26">
        <f t="shared" si="18"/>
        <v>3</v>
      </c>
      <c r="O440" s="27">
        <v>990</v>
      </c>
      <c r="P440" s="27">
        <v>990</v>
      </c>
      <c r="Q440" s="27"/>
      <c r="R440" s="27"/>
      <c r="S440" s="27" t="s">
        <v>1459</v>
      </c>
      <c r="T440" s="27"/>
      <c r="U440" s="27">
        <v>190</v>
      </c>
      <c r="V440" s="27" t="s">
        <v>1042</v>
      </c>
      <c r="W440" s="27" t="s">
        <v>1165</v>
      </c>
      <c r="X440" s="73"/>
      <c r="Y440" s="73" t="e">
        <f>VLOOKUP(X440,Choferes!$B$2:$C$500,2,FALSE)</f>
        <v>#N/A</v>
      </c>
      <c r="Z440" s="73" t="s">
        <v>1460</v>
      </c>
    </row>
    <row r="441" spans="1:26" ht="30" hidden="1" x14ac:dyDescent="0.25">
      <c r="A441" s="33">
        <v>26</v>
      </c>
      <c r="B441" s="71" t="s">
        <v>29</v>
      </c>
      <c r="C441" s="39" t="s">
        <v>1428</v>
      </c>
      <c r="D441" s="50" t="s">
        <v>953</v>
      </c>
      <c r="E441" s="47">
        <v>45470</v>
      </c>
      <c r="F441" s="31" t="str">
        <f>VLOOKUP($C441,Carpetas!$C$5:$M$2666,2,FALSE)</f>
        <v>BRB041</v>
      </c>
      <c r="G441" s="23" t="str">
        <f>VLOOKUP($C441,Carpetas!$C$5:$M$2666,10,FALSE)</f>
        <v>149,56,99</v>
      </c>
      <c r="H441" s="27" t="str">
        <f>VLOOKUP($C441,Carpetas!$C$5:$M$2666,6,FALSE)</f>
        <v>FG</v>
      </c>
      <c r="I441" s="220"/>
      <c r="J441" s="47">
        <v>45474</v>
      </c>
      <c r="K441" s="72" t="str">
        <f>VLOOKUP($C441,Carpetas!$C$5:$M$2666,5,FALSE)</f>
        <v>Rio Branco</v>
      </c>
      <c r="L441" s="32"/>
      <c r="M441" s="48">
        <f t="shared" si="23"/>
        <v>45475</v>
      </c>
      <c r="N441" s="26">
        <f t="shared" si="18"/>
        <v>5</v>
      </c>
      <c r="O441" s="27">
        <v>990</v>
      </c>
      <c r="P441" s="27">
        <v>990</v>
      </c>
      <c r="Q441" s="27"/>
      <c r="R441" s="27"/>
      <c r="S441" s="27" t="s">
        <v>1461</v>
      </c>
      <c r="T441" s="27"/>
      <c r="U441" s="27">
        <v>197</v>
      </c>
      <c r="V441" s="27" t="s">
        <v>1047</v>
      </c>
      <c r="W441" s="27" t="s">
        <v>1048</v>
      </c>
      <c r="X441" s="73" t="s">
        <v>1462</v>
      </c>
      <c r="Y441" s="73" t="str">
        <f>VLOOKUP(X441,Choferes!$B$2:$C$500,2,FALSE)</f>
        <v>+5553997081676</v>
      </c>
      <c r="Z441" s="73" t="s">
        <v>1463</v>
      </c>
    </row>
    <row r="442" spans="1:26" ht="30" hidden="1" x14ac:dyDescent="0.25">
      <c r="A442" s="33">
        <v>26</v>
      </c>
      <c r="B442" s="71" t="s">
        <v>29</v>
      </c>
      <c r="C442" s="39" t="s">
        <v>1428</v>
      </c>
      <c r="D442" s="50" t="s">
        <v>249</v>
      </c>
      <c r="E442" s="47">
        <v>45471</v>
      </c>
      <c r="F442" s="31" t="str">
        <f>VLOOKUP($C442,Carpetas!$C$5:$M$2666,2,FALSE)</f>
        <v>BRB041</v>
      </c>
      <c r="G442" s="23" t="str">
        <f>VLOOKUP($C442,Carpetas!$C$5:$M$2666,10,FALSE)</f>
        <v>149,56,99</v>
      </c>
      <c r="H442" s="27" t="str">
        <f>VLOOKUP($C442,Carpetas!$C$5:$M$2666,6,FALSE)</f>
        <v>FG</v>
      </c>
      <c r="I442" s="220"/>
      <c r="J442" s="47">
        <f>E442+3</f>
        <v>45474</v>
      </c>
      <c r="K442" s="72" t="str">
        <f>VLOOKUP($C442,Carpetas!$C$5:$M$2666,5,FALSE)</f>
        <v>Rio Branco</v>
      </c>
      <c r="L442" s="32"/>
      <c r="M442" s="48">
        <f t="shared" si="23"/>
        <v>45475</v>
      </c>
      <c r="N442" s="26">
        <f t="shared" si="18"/>
        <v>4</v>
      </c>
      <c r="O442" s="27">
        <v>990</v>
      </c>
      <c r="P442" s="27">
        <v>990</v>
      </c>
      <c r="Q442" s="27"/>
      <c r="R442" s="27"/>
      <c r="S442" s="27" t="s">
        <v>1464</v>
      </c>
      <c r="T442" s="27"/>
      <c r="U442" s="27">
        <v>195</v>
      </c>
      <c r="V442" s="27" t="s">
        <v>826</v>
      </c>
      <c r="W442" s="27" t="s">
        <v>827</v>
      </c>
      <c r="X442" s="73" t="s">
        <v>1465</v>
      </c>
      <c r="Y442" s="73" t="str">
        <f>VLOOKUP(X442,Choferes!$B$2:$C$500,2,FALSE)</f>
        <v>+59893339027</v>
      </c>
      <c r="Z442" s="73" t="s">
        <v>1466</v>
      </c>
    </row>
    <row r="443" spans="1:26" ht="30" hidden="1" x14ac:dyDescent="0.25">
      <c r="A443" s="33">
        <v>26</v>
      </c>
      <c r="B443" s="71" t="s">
        <v>29</v>
      </c>
      <c r="C443" s="39" t="s">
        <v>1428</v>
      </c>
      <c r="D443" s="50" t="s">
        <v>764</v>
      </c>
      <c r="E443" s="47">
        <v>45471</v>
      </c>
      <c r="F443" s="31" t="str">
        <f>VLOOKUP($C443,Carpetas!$C$5:$M$2666,2,FALSE)</f>
        <v>BRB041</v>
      </c>
      <c r="G443" s="23" t="str">
        <f>VLOOKUP($C443,Carpetas!$C$5:$M$2666,10,FALSE)</f>
        <v>149,56,99</v>
      </c>
      <c r="H443" s="27" t="str">
        <f>VLOOKUP($C443,Carpetas!$C$5:$M$2666,6,FALSE)</f>
        <v>FG</v>
      </c>
      <c r="I443" s="220"/>
      <c r="J443" s="47">
        <f>E443+3</f>
        <v>45474</v>
      </c>
      <c r="K443" s="72" t="str">
        <f>VLOOKUP($C443,Carpetas!$C$5:$M$2666,5,FALSE)</f>
        <v>Rio Branco</v>
      </c>
      <c r="L443" s="32"/>
      <c r="M443" s="48">
        <f t="shared" si="23"/>
        <v>45475</v>
      </c>
      <c r="N443" s="26">
        <f t="shared" si="18"/>
        <v>4</v>
      </c>
      <c r="O443" s="27">
        <v>990</v>
      </c>
      <c r="P443" s="27">
        <v>990</v>
      </c>
      <c r="Q443" s="27"/>
      <c r="R443" s="27"/>
      <c r="S443" s="27" t="s">
        <v>1467</v>
      </c>
      <c r="T443" s="27"/>
      <c r="U443" s="27">
        <v>196</v>
      </c>
      <c r="V443" s="27" t="s">
        <v>943</v>
      </c>
      <c r="W443" s="27" t="s">
        <v>944</v>
      </c>
      <c r="X443" s="73" t="s">
        <v>1468</v>
      </c>
      <c r="Y443" s="73" t="str">
        <f>VLOOKUP(X443,Choferes!$B$2:$C$500,2,FALSE)</f>
        <v>+5553984274141</v>
      </c>
      <c r="Z443" s="73" t="s">
        <v>1469</v>
      </c>
    </row>
    <row r="444" spans="1:26" hidden="1" x14ac:dyDescent="0.25">
      <c r="A444" s="33">
        <v>26</v>
      </c>
      <c r="B444" s="71" t="s">
        <v>29</v>
      </c>
      <c r="C444" s="39" t="s">
        <v>1470</v>
      </c>
      <c r="D444" s="50" t="s">
        <v>110</v>
      </c>
      <c r="E444" s="47">
        <v>45472</v>
      </c>
      <c r="F444" s="31" t="str">
        <f>VLOOKUP($C444,Carpetas!$C$5:$M$2666,2,FALSE)</f>
        <v>BRB043</v>
      </c>
      <c r="G444" s="23" t="str">
        <f>VLOOKUP($C444,Carpetas!$C$5:$M$2666,10,FALSE)</f>
        <v>149,60,67</v>
      </c>
      <c r="H444" s="27" t="str">
        <f>VLOOKUP($C444,Carpetas!$C$5:$M$2666,6,FALSE)</f>
        <v xml:space="preserve">Silvio </v>
      </c>
      <c r="I444" s="220"/>
      <c r="J444" s="47">
        <f>E444+3</f>
        <v>45475</v>
      </c>
      <c r="K444" s="72" t="str">
        <f>VLOOKUP($C444,Carpetas!$C$5:$M$2666,5,FALSE)</f>
        <v>Rio Branco</v>
      </c>
      <c r="L444" s="32"/>
      <c r="M444" s="48">
        <v>45475</v>
      </c>
      <c r="N444" s="26">
        <f t="shared" si="18"/>
        <v>3</v>
      </c>
      <c r="O444" s="27">
        <v>918</v>
      </c>
      <c r="P444" s="27">
        <v>919</v>
      </c>
      <c r="Q444" s="27"/>
      <c r="R444" s="27"/>
      <c r="S444" s="27" t="s">
        <v>1471</v>
      </c>
      <c r="T444" s="27"/>
      <c r="U444" s="27">
        <v>6988</v>
      </c>
      <c r="V444" s="27" t="s">
        <v>661</v>
      </c>
      <c r="W444" s="27" t="s">
        <v>1472</v>
      </c>
      <c r="X444" s="73" t="s">
        <v>1473</v>
      </c>
      <c r="Y444" s="73" t="str">
        <f>VLOOKUP(X444,Choferes!$B$2:$C$500,2,FALSE)</f>
        <v>+5549988315170</v>
      </c>
      <c r="Z444" s="73" t="s">
        <v>1474</v>
      </c>
    </row>
    <row r="445" spans="1:26" ht="30" hidden="1" x14ac:dyDescent="0.25">
      <c r="A445" s="33">
        <v>26</v>
      </c>
      <c r="B445" s="71" t="s">
        <v>29</v>
      </c>
      <c r="C445" s="39" t="s">
        <v>1440</v>
      </c>
      <c r="D445" s="50" t="s">
        <v>747</v>
      </c>
      <c r="E445" s="47">
        <v>45472</v>
      </c>
      <c r="F445" s="31" t="str">
        <f>VLOOKUP($C445,Carpetas!$C$5:$M$2666,2,FALSE)</f>
        <v>BRB042</v>
      </c>
      <c r="G445" s="23" t="str">
        <f>VLOOKUP($C445,Carpetas!$C$5:$M$2666,10,FALSE)</f>
        <v>149,56,97</v>
      </c>
      <c r="H445" s="27" t="str">
        <f>VLOOKUP($C445,Carpetas!$C$5:$M$2666,6,FALSE)</f>
        <v>Zanini</v>
      </c>
      <c r="I445" s="220"/>
      <c r="J445" s="47">
        <f>E445+3</f>
        <v>45475</v>
      </c>
      <c r="K445" s="72" t="str">
        <f>VLOOKUP($C445,Carpetas!$C$5:$M$2666,5,FALSE)</f>
        <v>Rio Branco</v>
      </c>
      <c r="L445" s="32"/>
      <c r="M445" s="48">
        <f>J445+1</f>
        <v>45476</v>
      </c>
      <c r="N445" s="26">
        <f t="shared" si="18"/>
        <v>4</v>
      </c>
      <c r="O445" s="27">
        <v>918</v>
      </c>
      <c r="P445" s="27">
        <v>919</v>
      </c>
      <c r="Q445" s="27"/>
      <c r="R445" s="27"/>
      <c r="S445" s="27" t="s">
        <v>1475</v>
      </c>
      <c r="T445" s="27"/>
      <c r="U445" s="27">
        <v>4538</v>
      </c>
      <c r="V445" s="27" t="s">
        <v>147</v>
      </c>
      <c r="W445" s="27" t="s">
        <v>148</v>
      </c>
      <c r="X445" s="73" t="s">
        <v>1476</v>
      </c>
      <c r="Y445" s="73" t="str">
        <f>VLOOKUP(X445,Choferes!$B$2:$C$500,2,FALSE)</f>
        <v>+5548992106401</v>
      </c>
      <c r="Z445" s="73" t="s">
        <v>1477</v>
      </c>
    </row>
    <row r="446" spans="1:26" ht="30" hidden="1" x14ac:dyDescent="0.25">
      <c r="A446" s="33">
        <v>26</v>
      </c>
      <c r="B446" s="71" t="s">
        <v>29</v>
      </c>
      <c r="C446" s="39" t="s">
        <v>1380</v>
      </c>
      <c r="D446" s="50" t="s">
        <v>1158</v>
      </c>
      <c r="E446" s="47">
        <v>45472</v>
      </c>
      <c r="F446" s="31" t="str">
        <f>VLOOKUP($C446,Carpetas!$C$5:$M$2666,2,FALSE)</f>
        <v>BRB040</v>
      </c>
      <c r="G446" s="23" t="str">
        <f>VLOOKUP($C446,Carpetas!$C$5:$M$2666,10,FALSE)</f>
        <v>149,50,94</v>
      </c>
      <c r="H446" s="27" t="str">
        <f>VLOOKUP($C446,Carpetas!$C$5:$M$2666,6,FALSE)</f>
        <v>Amaro</v>
      </c>
      <c r="I446" s="220"/>
      <c r="J446" s="47">
        <f>E446+3</f>
        <v>45475</v>
      </c>
      <c r="K446" s="72" t="str">
        <f>VLOOKUP($C446,Carpetas!$C$5:$M$2666,5,FALSE)</f>
        <v>Rio Branco</v>
      </c>
      <c r="L446" s="32"/>
      <c r="M446" s="48">
        <f>J446+1</f>
        <v>45476</v>
      </c>
      <c r="N446" s="26">
        <f t="shared" si="18"/>
        <v>4</v>
      </c>
      <c r="O446" s="27">
        <v>990</v>
      </c>
      <c r="P446" s="27">
        <v>990</v>
      </c>
      <c r="Q446" s="27"/>
      <c r="R446" s="27"/>
      <c r="S446" s="27" t="s">
        <v>1478</v>
      </c>
      <c r="T446" s="27"/>
      <c r="U446" s="27">
        <v>24125</v>
      </c>
      <c r="V446" s="27" t="s">
        <v>1479</v>
      </c>
      <c r="W446" s="27" t="s">
        <v>1480</v>
      </c>
      <c r="X446" s="73" t="s">
        <v>1481</v>
      </c>
      <c r="Y446" s="73" t="str">
        <f>VLOOKUP(X446,Choferes!$B$2:$C$500,2,FALSE)</f>
        <v>+5553999016543</v>
      </c>
      <c r="Z446" s="73" t="s">
        <v>1482</v>
      </c>
    </row>
    <row r="447" spans="1:26" hidden="1" x14ac:dyDescent="0.25">
      <c r="A447" s="33">
        <v>26</v>
      </c>
      <c r="B447" s="71" t="s">
        <v>29</v>
      </c>
      <c r="C447" s="39" t="s">
        <v>1483</v>
      </c>
      <c r="D447" s="50" t="s">
        <v>38</v>
      </c>
      <c r="E447" s="47">
        <v>45470</v>
      </c>
      <c r="F447" s="31" t="str">
        <f>VLOOKUP($C447,Carpetas!$C$5:$M$2666,2,FALSE)</f>
        <v>BRE018</v>
      </c>
      <c r="G447" s="23">
        <f>VLOOKUP($C447,Carpetas!$C$5:$M$2666,10,FALSE)</f>
        <v>0</v>
      </c>
      <c r="H447" s="27">
        <f>VLOOKUP($C447,Carpetas!$C$5:$M$2666,6,FALSE)</f>
        <v>0</v>
      </c>
      <c r="I447" s="220">
        <f>VLOOKUP($C447,Carpetas!$C$5:$M$2666,4,FALSE)</f>
        <v>0</v>
      </c>
      <c r="J447" s="47">
        <v>45475</v>
      </c>
      <c r="K447" s="72" t="str">
        <f>VLOOKUP($C447,Carpetas!$C$5:$M$2666,5,FALSE)</f>
        <v>Chuy</v>
      </c>
      <c r="L447" s="32"/>
      <c r="M447" s="48">
        <f>J447+1+1</f>
        <v>45477</v>
      </c>
      <c r="N447" s="26">
        <f t="shared" si="18"/>
        <v>7</v>
      </c>
      <c r="O447" s="27">
        <v>1158</v>
      </c>
      <c r="P447" s="27"/>
      <c r="Q447" s="27"/>
      <c r="R447" s="27"/>
      <c r="S447" s="27"/>
      <c r="T447" s="27"/>
      <c r="U447" s="27"/>
      <c r="V447" s="27"/>
      <c r="W447" s="27"/>
      <c r="X447" s="73"/>
      <c r="Y447" s="73" t="e">
        <f>VLOOKUP(X447,Choferes!$B$2:$C$500,2,FALSE)</f>
        <v>#N/A</v>
      </c>
      <c r="Z447" s="73"/>
    </row>
    <row r="448" spans="1:26" hidden="1" x14ac:dyDescent="0.25">
      <c r="A448" s="33">
        <v>27</v>
      </c>
      <c r="B448" s="71" t="s">
        <v>29</v>
      </c>
      <c r="C448" s="39" t="s">
        <v>1484</v>
      </c>
      <c r="D448" s="50" t="s">
        <v>102</v>
      </c>
      <c r="E448" s="47">
        <v>45474</v>
      </c>
      <c r="F448" s="31" t="str">
        <f>VLOOKUP($C448,Carpetas!$C$5:$M$2666,2,FALSE)</f>
        <v>PYB114</v>
      </c>
      <c r="G448" s="23">
        <f>VLOOKUP($C448,Carpetas!$C$5:$M$2666,10,FALSE)</f>
        <v>0</v>
      </c>
      <c r="H448" s="27">
        <f>VLOOKUP($C448,Carpetas!$C$5:$M$2666,6,FALSE)</f>
        <v>0</v>
      </c>
      <c r="I448" s="220"/>
      <c r="J448" s="47">
        <v>45476</v>
      </c>
      <c r="K448" s="72" t="str">
        <f>VLOOKUP($C448,Carpetas!$C$5:$M$2666,5,FALSE)</f>
        <v>Salto</v>
      </c>
      <c r="L448" s="32"/>
      <c r="M448" s="48">
        <f>J448+1</f>
        <v>45477</v>
      </c>
      <c r="N448" s="26">
        <f t="shared" si="18"/>
        <v>3</v>
      </c>
      <c r="O448" s="27">
        <v>980</v>
      </c>
      <c r="P448" s="27">
        <v>980</v>
      </c>
      <c r="Q448" s="27"/>
      <c r="R448" s="27"/>
      <c r="S448" s="27" t="s">
        <v>1485</v>
      </c>
      <c r="T448" s="27"/>
      <c r="U448" s="27"/>
      <c r="V448" s="27" t="s">
        <v>288</v>
      </c>
      <c r="W448" s="27" t="s">
        <v>289</v>
      </c>
      <c r="X448" s="73"/>
      <c r="Y448" s="73" t="e">
        <f>VLOOKUP(X448,Choferes!$B$2:$C$500,2,FALSE)</f>
        <v>#N/A</v>
      </c>
      <c r="Z448" s="73" t="s">
        <v>1486</v>
      </c>
    </row>
    <row r="449" spans="1:26" hidden="1" x14ac:dyDescent="0.25">
      <c r="A449" s="33">
        <v>27</v>
      </c>
      <c r="B449" s="71" t="s">
        <v>29</v>
      </c>
      <c r="C449" s="39" t="s">
        <v>1487</v>
      </c>
      <c r="D449" s="50" t="s">
        <v>38</v>
      </c>
      <c r="E449" s="47">
        <v>45474</v>
      </c>
      <c r="F449" s="31" t="str">
        <f>VLOOKUP($C449,Carpetas!$C$5:$M$2666,2,FALSE)</f>
        <v>BRE017</v>
      </c>
      <c r="G449" s="23">
        <f>VLOOKUP($C449,Carpetas!$C$5:$M$2666,10,FALSE)</f>
        <v>0</v>
      </c>
      <c r="H449" s="27">
        <f>VLOOKUP($C449,Carpetas!$C$5:$M$2666,6,FALSE)</f>
        <v>0</v>
      </c>
      <c r="I449" s="220">
        <f>VLOOKUP($C449,Carpetas!$C$5:$M$2666,4,FALSE)</f>
        <v>0</v>
      </c>
      <c r="J449" s="47">
        <v>45476</v>
      </c>
      <c r="K449" s="72" t="str">
        <f>VLOOKUP($C449,Carpetas!$C$5:$M$2666,5,FALSE)</f>
        <v>Rio Branco</v>
      </c>
      <c r="L449" s="32"/>
      <c r="M449" s="48">
        <f>J449+1+1</f>
        <v>45478</v>
      </c>
      <c r="N449" s="26">
        <f t="shared" si="18"/>
        <v>4</v>
      </c>
      <c r="O449" s="27">
        <v>1540</v>
      </c>
      <c r="P449" s="27"/>
      <c r="Q449" s="27"/>
      <c r="R449" s="27"/>
      <c r="S449" s="27"/>
      <c r="T449" s="27"/>
      <c r="U449" s="27">
        <v>6979</v>
      </c>
      <c r="V449" s="27" t="s">
        <v>470</v>
      </c>
      <c r="W449" s="27" t="s">
        <v>471</v>
      </c>
      <c r="X449" s="73"/>
      <c r="Y449" s="73" t="e">
        <f>VLOOKUP(X449,Choferes!$B$2:$C$500,2,FALSE)</f>
        <v>#N/A</v>
      </c>
      <c r="Z449" s="73"/>
    </row>
    <row r="450" spans="1:26" hidden="1" x14ac:dyDescent="0.25">
      <c r="A450" s="33">
        <v>27</v>
      </c>
      <c r="B450" s="71" t="s">
        <v>29</v>
      </c>
      <c r="C450" s="39" t="s">
        <v>1428</v>
      </c>
      <c r="D450" s="50" t="s">
        <v>747</v>
      </c>
      <c r="E450" s="47">
        <v>45475</v>
      </c>
      <c r="F450" s="31" t="str">
        <f>VLOOKUP($C450,Carpetas!$C$5:$M$2666,2,FALSE)</f>
        <v>BRB041</v>
      </c>
      <c r="G450" s="23" t="str">
        <f>VLOOKUP($C450,Carpetas!$C$5:$M$2666,10,FALSE)</f>
        <v>149,56,99</v>
      </c>
      <c r="H450" s="27" t="str">
        <f>VLOOKUP($C450,Carpetas!$C$5:$M$2666,6,FALSE)</f>
        <v>FG</v>
      </c>
      <c r="I450" s="220"/>
      <c r="J450" s="47">
        <f>E450+2</f>
        <v>45477</v>
      </c>
      <c r="K450" s="72" t="str">
        <f>VLOOKUP($C450,Carpetas!$C$5:$M$2666,5,FALSE)</f>
        <v>Rio Branco</v>
      </c>
      <c r="L450" s="32"/>
      <c r="M450" s="48">
        <f>J450+1</f>
        <v>45478</v>
      </c>
      <c r="N450" s="26">
        <f t="shared" si="18"/>
        <v>3</v>
      </c>
      <c r="O450" s="27">
        <v>990</v>
      </c>
      <c r="P450" s="27">
        <v>991</v>
      </c>
      <c r="Q450" s="27"/>
      <c r="R450" s="27"/>
      <c r="S450" s="27" t="s">
        <v>1488</v>
      </c>
      <c r="T450" s="27"/>
      <c r="U450" s="27">
        <v>200</v>
      </c>
      <c r="V450" s="27" t="s">
        <v>1371</v>
      </c>
      <c r="W450" s="27" t="s">
        <v>1372</v>
      </c>
      <c r="X450" s="73" t="s">
        <v>1489</v>
      </c>
      <c r="Y450" s="73" t="str">
        <f>VLOOKUP(X450,Choferes!$B$2:$C$500,2,FALSE)</f>
        <v>+5553984039582</v>
      </c>
      <c r="Z450" s="73" t="s">
        <v>1490</v>
      </c>
    </row>
    <row r="451" spans="1:26" ht="30" hidden="1" x14ac:dyDescent="0.25">
      <c r="A451" s="33">
        <v>27</v>
      </c>
      <c r="B451" s="71" t="s">
        <v>29</v>
      </c>
      <c r="C451" s="39" t="s">
        <v>1484</v>
      </c>
      <c r="D451" s="50" t="s">
        <v>102</v>
      </c>
      <c r="E451" s="47">
        <v>45475</v>
      </c>
      <c r="F451" s="31" t="str">
        <f>VLOOKUP($C451,Carpetas!$C$5:$M$2666,2,FALSE)</f>
        <v>PYB114</v>
      </c>
      <c r="G451" s="23">
        <f>VLOOKUP($C451,Carpetas!$C$5:$M$2666,10,FALSE)</f>
        <v>0</v>
      </c>
      <c r="H451" s="27">
        <f>VLOOKUP($C451,Carpetas!$C$5:$M$2666,6,FALSE)</f>
        <v>0</v>
      </c>
      <c r="I451" s="220"/>
      <c r="J451" s="47">
        <v>45477</v>
      </c>
      <c r="K451" s="72" t="str">
        <f>VLOOKUP($C451,Carpetas!$C$5:$M$2666,5,FALSE)</f>
        <v>Salto</v>
      </c>
      <c r="L451" s="32"/>
      <c r="M451" s="48">
        <f>J451+1</f>
        <v>45478</v>
      </c>
      <c r="N451" s="26">
        <f t="shared" si="18"/>
        <v>3</v>
      </c>
      <c r="O451" s="27">
        <v>980</v>
      </c>
      <c r="P451" s="27">
        <v>981</v>
      </c>
      <c r="Q451" s="27"/>
      <c r="R451" s="27"/>
      <c r="S451" s="27"/>
      <c r="T451" s="27"/>
      <c r="U451" s="27"/>
      <c r="V451" s="27" t="s">
        <v>1491</v>
      </c>
      <c r="W451" s="27" t="s">
        <v>1492</v>
      </c>
      <c r="X451" s="73"/>
      <c r="Y451" s="73" t="e">
        <f>VLOOKUP(X451,Choferes!$B$2:$C$500,2,FALSE)</f>
        <v>#N/A</v>
      </c>
      <c r="Z451" s="73" t="s">
        <v>1493</v>
      </c>
    </row>
    <row r="452" spans="1:26" hidden="1" x14ac:dyDescent="0.25">
      <c r="A452" s="33">
        <v>27</v>
      </c>
      <c r="B452" s="71" t="s">
        <v>29</v>
      </c>
      <c r="C452" s="39" t="s">
        <v>1428</v>
      </c>
      <c r="D452" s="50" t="s">
        <v>78</v>
      </c>
      <c r="E452" s="47">
        <v>45476</v>
      </c>
      <c r="F452" s="31" t="str">
        <f>VLOOKUP($C452,Carpetas!$C$5:$M$2666,2,FALSE)</f>
        <v>BRB041</v>
      </c>
      <c r="G452" s="23" t="str">
        <f>VLOOKUP($C452,Carpetas!$C$5:$M$2666,10,FALSE)</f>
        <v>149,56,99</v>
      </c>
      <c r="H452" s="27" t="str">
        <f>VLOOKUP($C452,Carpetas!$C$5:$M$2666,6,FALSE)</f>
        <v>FG</v>
      </c>
      <c r="I452" s="220"/>
      <c r="J452" s="47">
        <v>45477</v>
      </c>
      <c r="K452" s="72" t="str">
        <f>VLOOKUP($C452,Carpetas!$C$5:$M$2666,5,FALSE)</f>
        <v>Rio Branco</v>
      </c>
      <c r="L452" s="32"/>
      <c r="M452" s="48">
        <f>J452+1</f>
        <v>45478</v>
      </c>
      <c r="N452" s="26">
        <f t="shared" si="18"/>
        <v>2</v>
      </c>
      <c r="O452" s="27">
        <v>990</v>
      </c>
      <c r="P452" s="27">
        <v>991</v>
      </c>
      <c r="Q452" s="27"/>
      <c r="R452" s="27"/>
      <c r="S452" s="27" t="s">
        <v>1494</v>
      </c>
      <c r="T452" s="27"/>
      <c r="U452" s="27">
        <v>203</v>
      </c>
      <c r="V452" s="27" t="s">
        <v>873</v>
      </c>
      <c r="W452" s="27" t="s">
        <v>874</v>
      </c>
      <c r="X452" s="73" t="s">
        <v>1495</v>
      </c>
      <c r="Y452" s="73" t="str">
        <f>VLOOKUP(X452,Choferes!$B$2:$C$500,2,FALSE)</f>
        <v>+5553984382803</v>
      </c>
      <c r="Z452" s="73" t="s">
        <v>1490</v>
      </c>
    </row>
    <row r="453" spans="1:26" ht="30" hidden="1" x14ac:dyDescent="0.25">
      <c r="A453" s="33">
        <v>27</v>
      </c>
      <c r="B453" s="71" t="s">
        <v>29</v>
      </c>
      <c r="C453" s="39" t="s">
        <v>1496</v>
      </c>
      <c r="D453" s="50" t="s">
        <v>48</v>
      </c>
      <c r="E453" s="47">
        <v>45474</v>
      </c>
      <c r="F453" s="31" t="str">
        <f>VLOOKUP($C453,Carpetas!$C$5:$M$2666,2,FALSE)</f>
        <v>PYB115</v>
      </c>
      <c r="G453" s="23">
        <f>VLOOKUP($C453,Carpetas!$C$5:$M$2666,10,FALSE)</f>
        <v>0</v>
      </c>
      <c r="H453" s="27">
        <f>VLOOKUP($C453,Carpetas!$C$5:$M$2666,6,FALSE)</f>
        <v>0</v>
      </c>
      <c r="I453" s="220"/>
      <c r="J453" s="47">
        <f>E453+3</f>
        <v>45477</v>
      </c>
      <c r="K453" s="72" t="str">
        <f>VLOOKUP($C453,Carpetas!$C$5:$M$2666,5,FALSE)</f>
        <v>Salto</v>
      </c>
      <c r="L453" s="32"/>
      <c r="M453" s="48">
        <f>J453+1+1</f>
        <v>45479</v>
      </c>
      <c r="N453" s="26">
        <f t="shared" ref="N453:N516" si="24">IF(E453&lt;&gt;"",M453-E453,"-")</f>
        <v>5</v>
      </c>
      <c r="O453" s="27">
        <v>930</v>
      </c>
      <c r="P453" s="27">
        <v>930</v>
      </c>
      <c r="Q453" s="27"/>
      <c r="R453" s="27"/>
      <c r="S453" s="27" t="s">
        <v>1497</v>
      </c>
      <c r="T453" s="27"/>
      <c r="U453" s="27"/>
      <c r="V453" s="27" t="s">
        <v>98</v>
      </c>
      <c r="W453" s="27" t="s">
        <v>167</v>
      </c>
      <c r="X453" s="73"/>
      <c r="Y453" s="73" t="e">
        <f>VLOOKUP(X453,Choferes!$B$2:$C$500,2,FALSE)</f>
        <v>#N/A</v>
      </c>
      <c r="Z453" s="73" t="s">
        <v>1498</v>
      </c>
    </row>
    <row r="454" spans="1:26" ht="30" hidden="1" x14ac:dyDescent="0.25">
      <c r="A454" s="33">
        <v>27</v>
      </c>
      <c r="B454" s="71" t="s">
        <v>29</v>
      </c>
      <c r="C454" s="39" t="s">
        <v>1470</v>
      </c>
      <c r="D454" s="50" t="s">
        <v>110</v>
      </c>
      <c r="E454" s="47">
        <v>45476</v>
      </c>
      <c r="F454" s="31" t="str">
        <f>VLOOKUP($C454,Carpetas!$C$5:$M$2666,2,FALSE)</f>
        <v>BRB043</v>
      </c>
      <c r="G454" s="23" t="str">
        <f>VLOOKUP($C454,Carpetas!$C$5:$M$2666,10,FALSE)</f>
        <v>149,60,67</v>
      </c>
      <c r="H454" s="27" t="str">
        <f>VLOOKUP($C454,Carpetas!$C$5:$M$2666,6,FALSE)</f>
        <v xml:space="preserve">Silvio </v>
      </c>
      <c r="I454" s="220"/>
      <c r="J454" s="47">
        <f t="shared" ref="J454:J463" si="25">E454+2</f>
        <v>45478</v>
      </c>
      <c r="K454" s="72" t="str">
        <f>VLOOKUP($C454,Carpetas!$C$5:$M$2666,5,FALSE)</f>
        <v>Rio Branco</v>
      </c>
      <c r="L454" s="32"/>
      <c r="M454" s="48">
        <f>J454+1</f>
        <v>45479</v>
      </c>
      <c r="N454" s="26">
        <f t="shared" si="24"/>
        <v>3</v>
      </c>
      <c r="O454" s="27">
        <v>918</v>
      </c>
      <c r="P454" s="27">
        <v>919</v>
      </c>
      <c r="Q454" s="27"/>
      <c r="R454" s="27"/>
      <c r="S454" s="27" t="s">
        <v>1499</v>
      </c>
      <c r="T454" s="27"/>
      <c r="U454" s="27">
        <v>6989</v>
      </c>
      <c r="V454" s="27" t="s">
        <v>251</v>
      </c>
      <c r="W454" s="27" t="s">
        <v>252</v>
      </c>
      <c r="X454" s="73" t="s">
        <v>1500</v>
      </c>
      <c r="Y454" s="73" t="str">
        <f>VLOOKUP(X454,Choferes!$B$2:$C$500,2,FALSE)</f>
        <v>+5555997133031</v>
      </c>
      <c r="Z454" s="73" t="s">
        <v>1501</v>
      </c>
    </row>
    <row r="455" spans="1:26" ht="30" hidden="1" x14ac:dyDescent="0.25">
      <c r="A455" s="33">
        <v>27</v>
      </c>
      <c r="B455" s="71" t="s">
        <v>29</v>
      </c>
      <c r="C455" s="39" t="s">
        <v>1440</v>
      </c>
      <c r="D455" s="50" t="s">
        <v>880</v>
      </c>
      <c r="E455" s="47">
        <v>45476</v>
      </c>
      <c r="F455" s="31" t="str">
        <f>VLOOKUP($C455,Carpetas!$C$5:$M$2666,2,FALSE)</f>
        <v>BRB042</v>
      </c>
      <c r="G455" s="23" t="str">
        <f>VLOOKUP($C455,Carpetas!$C$5:$M$2666,10,FALSE)</f>
        <v>149,56,97</v>
      </c>
      <c r="H455" s="27" t="str">
        <f>VLOOKUP($C455,Carpetas!$C$5:$M$2666,6,FALSE)</f>
        <v>Zanini</v>
      </c>
      <c r="I455" s="220"/>
      <c r="J455" s="47">
        <f t="shared" si="25"/>
        <v>45478</v>
      </c>
      <c r="K455" s="72" t="str">
        <f>VLOOKUP($C455,Carpetas!$C$5:$M$2666,5,FALSE)</f>
        <v>Rio Branco</v>
      </c>
      <c r="L455" s="32"/>
      <c r="M455" s="48">
        <f>J455+1</f>
        <v>45479</v>
      </c>
      <c r="N455" s="26">
        <f t="shared" si="24"/>
        <v>3</v>
      </c>
      <c r="O455" s="27">
        <v>918</v>
      </c>
      <c r="P455" s="27">
        <v>918</v>
      </c>
      <c r="Q455" s="27"/>
      <c r="R455" s="27"/>
      <c r="S455" s="27"/>
      <c r="T455" s="27"/>
      <c r="U455" s="27">
        <v>4556</v>
      </c>
      <c r="V455" s="27" t="s">
        <v>89</v>
      </c>
      <c r="W455" s="27" t="s">
        <v>90</v>
      </c>
      <c r="X455" s="73" t="s">
        <v>229</v>
      </c>
      <c r="Y455" s="73" t="str">
        <f>VLOOKUP(X455,Choferes!$B$2:$C$500,2,FALSE)</f>
        <v>+5555996886269</v>
      </c>
      <c r="Z455" s="73" t="s">
        <v>1502</v>
      </c>
    </row>
    <row r="456" spans="1:26" hidden="1" x14ac:dyDescent="0.25">
      <c r="A456" s="33">
        <v>27</v>
      </c>
      <c r="B456" s="71" t="s">
        <v>29</v>
      </c>
      <c r="C456" s="39" t="s">
        <v>1380</v>
      </c>
      <c r="D456" s="50" t="s">
        <v>953</v>
      </c>
      <c r="E456" s="47">
        <v>45477</v>
      </c>
      <c r="F456" s="31" t="str">
        <f>VLOOKUP($C456,Carpetas!$C$5:$M$2666,2,FALSE)</f>
        <v>BRB040</v>
      </c>
      <c r="G456" s="23" t="str">
        <f>VLOOKUP($C456,Carpetas!$C$5:$M$2666,10,FALSE)</f>
        <v>149,50,94</v>
      </c>
      <c r="H456" s="27" t="str">
        <f>VLOOKUP($C456,Carpetas!$C$5:$M$2666,6,FALSE)</f>
        <v>Amaro</v>
      </c>
      <c r="I456" s="220"/>
      <c r="J456" s="47">
        <f t="shared" si="25"/>
        <v>45479</v>
      </c>
      <c r="K456" s="72" t="str">
        <f>VLOOKUP($C456,Carpetas!$C$5:$M$2666,5,FALSE)</f>
        <v>Rio Branco</v>
      </c>
      <c r="L456" s="32"/>
      <c r="M456" s="48">
        <v>45482</v>
      </c>
      <c r="N456" s="26">
        <f t="shared" si="24"/>
        <v>5</v>
      </c>
      <c r="O456" s="27">
        <v>990</v>
      </c>
      <c r="P456" s="27">
        <v>990</v>
      </c>
      <c r="Q456" s="27"/>
      <c r="R456" s="27"/>
      <c r="S456" s="27" t="s">
        <v>1503</v>
      </c>
      <c r="T456" s="27"/>
      <c r="U456" s="27">
        <v>24165</v>
      </c>
      <c r="V456" s="27" t="s">
        <v>1504</v>
      </c>
      <c r="W456" s="27" t="s">
        <v>1505</v>
      </c>
      <c r="X456" s="73" t="s">
        <v>1506</v>
      </c>
      <c r="Y456" s="73" t="str">
        <f>VLOOKUP(X456,Choferes!$B$2:$C$500,2,FALSE)</f>
        <v>+5553991871138</v>
      </c>
      <c r="Z456" s="73" t="s">
        <v>1507</v>
      </c>
    </row>
    <row r="457" spans="1:26" ht="30" hidden="1" x14ac:dyDescent="0.25">
      <c r="A457" s="33">
        <v>27</v>
      </c>
      <c r="B457" s="71" t="s">
        <v>29</v>
      </c>
      <c r="C457" s="39" t="s">
        <v>1470</v>
      </c>
      <c r="D457" s="50" t="s">
        <v>249</v>
      </c>
      <c r="E457" s="47">
        <v>45478</v>
      </c>
      <c r="F457" s="31" t="str">
        <f>VLOOKUP($C457,Carpetas!$C$5:$M$2666,2,FALSE)</f>
        <v>BRB043</v>
      </c>
      <c r="G457" s="23" t="str">
        <f>VLOOKUP($C457,Carpetas!$C$5:$M$2666,10,FALSE)</f>
        <v>149,60,67</v>
      </c>
      <c r="H457" s="27" t="str">
        <f>VLOOKUP($C457,Carpetas!$C$5:$M$2666,6,FALSE)</f>
        <v xml:space="preserve">Silvio </v>
      </c>
      <c r="I457" s="220"/>
      <c r="J457" s="47">
        <f t="shared" si="25"/>
        <v>45480</v>
      </c>
      <c r="K457" s="72" t="str">
        <f>VLOOKUP($C457,Carpetas!$C$5:$M$2666,5,FALSE)</f>
        <v>Rio Branco</v>
      </c>
      <c r="L457" s="32"/>
      <c r="M457" s="48">
        <v>45482</v>
      </c>
      <c r="N457" s="26">
        <f t="shared" si="24"/>
        <v>4</v>
      </c>
      <c r="O457" s="27">
        <v>918</v>
      </c>
      <c r="P457" s="27">
        <v>919</v>
      </c>
      <c r="Q457" s="27"/>
      <c r="R457" s="27"/>
      <c r="S457" s="27" t="s">
        <v>1508</v>
      </c>
      <c r="T457" s="27"/>
      <c r="U457" s="27">
        <v>6990</v>
      </c>
      <c r="V457" s="27" t="s">
        <v>954</v>
      </c>
      <c r="W457" s="27" t="s">
        <v>955</v>
      </c>
      <c r="X457" s="73" t="s">
        <v>1509</v>
      </c>
      <c r="Y457" s="73" t="str">
        <f>VLOOKUP(X457,Choferes!$B$2:$C$500,2,FALSE)</f>
        <v>+5555991250624</v>
      </c>
      <c r="Z457" s="73" t="s">
        <v>1510</v>
      </c>
    </row>
    <row r="458" spans="1:26" hidden="1" x14ac:dyDescent="0.25">
      <c r="A458" s="33">
        <v>27</v>
      </c>
      <c r="B458" s="71" t="s">
        <v>29</v>
      </c>
      <c r="C458" s="39" t="s">
        <v>1440</v>
      </c>
      <c r="D458" s="50" t="s">
        <v>747</v>
      </c>
      <c r="E458" s="47">
        <v>45478</v>
      </c>
      <c r="F458" s="31" t="str">
        <f>VLOOKUP($C458,Carpetas!$C$5:$M$2666,2,FALSE)</f>
        <v>BRB042</v>
      </c>
      <c r="G458" s="23" t="str">
        <f>VLOOKUP($C458,Carpetas!$C$5:$M$2666,10,FALSE)</f>
        <v>149,56,97</v>
      </c>
      <c r="H458" s="27" t="str">
        <f>VLOOKUP($C458,Carpetas!$C$5:$M$2666,6,FALSE)</f>
        <v>Zanini</v>
      </c>
      <c r="I458" s="220"/>
      <c r="J458" s="47">
        <f t="shared" si="25"/>
        <v>45480</v>
      </c>
      <c r="K458" s="72" t="str">
        <f>VLOOKUP($C458,Carpetas!$C$5:$M$2666,5,FALSE)</f>
        <v>Rio Branco</v>
      </c>
      <c r="L458" s="32"/>
      <c r="M458" s="48">
        <v>45482</v>
      </c>
      <c r="N458" s="26">
        <f t="shared" si="24"/>
        <v>4</v>
      </c>
      <c r="O458" s="27">
        <v>918</v>
      </c>
      <c r="P458" s="27">
        <v>919</v>
      </c>
      <c r="Q458" s="27"/>
      <c r="R458" s="27"/>
      <c r="S458" s="27" t="s">
        <v>1511</v>
      </c>
      <c r="T458" s="27"/>
      <c r="U458" s="27">
        <v>4557</v>
      </c>
      <c r="V458" s="27" t="s">
        <v>1402</v>
      </c>
      <c r="W458" s="27" t="s">
        <v>1403</v>
      </c>
      <c r="X458" s="73" t="s">
        <v>1404</v>
      </c>
      <c r="Y458" s="73" t="str">
        <f>VLOOKUP(X458,Choferes!$B$2:$C$500,2,FALSE)</f>
        <v>+5549988460494</v>
      </c>
      <c r="Z458" s="73" t="s">
        <v>1512</v>
      </c>
    </row>
    <row r="459" spans="1:26" hidden="1" x14ac:dyDescent="0.25">
      <c r="A459" s="33">
        <v>27</v>
      </c>
      <c r="B459" s="71" t="s">
        <v>29</v>
      </c>
      <c r="C459" s="39" t="s">
        <v>1428</v>
      </c>
      <c r="D459" s="50" t="s">
        <v>803</v>
      </c>
      <c r="E459" s="47">
        <v>45478</v>
      </c>
      <c r="F459" s="31" t="str">
        <f>VLOOKUP($C459,Carpetas!$C$5:$M$2666,2,FALSE)</f>
        <v>BRB041</v>
      </c>
      <c r="G459" s="23" t="str">
        <f>VLOOKUP($C459,Carpetas!$C$5:$M$2666,10,FALSE)</f>
        <v>149,56,99</v>
      </c>
      <c r="H459" s="27" t="str">
        <f>VLOOKUP($C459,Carpetas!$C$5:$M$2666,6,FALSE)</f>
        <v>FG</v>
      </c>
      <c r="I459" s="220"/>
      <c r="J459" s="47">
        <f t="shared" si="25"/>
        <v>45480</v>
      </c>
      <c r="K459" s="72" t="str">
        <f>VLOOKUP($C459,Carpetas!$C$5:$M$2666,5,FALSE)</f>
        <v>Rio Branco</v>
      </c>
      <c r="L459" s="32"/>
      <c r="M459" s="48">
        <v>45482</v>
      </c>
      <c r="N459" s="26">
        <f t="shared" si="24"/>
        <v>4</v>
      </c>
      <c r="O459" s="27">
        <v>990</v>
      </c>
      <c r="P459" s="27">
        <v>990</v>
      </c>
      <c r="Q459" s="27"/>
      <c r="R459" s="27"/>
      <c r="S459" s="27" t="s">
        <v>1513</v>
      </c>
      <c r="T459" s="27"/>
      <c r="U459" s="27">
        <v>209</v>
      </c>
      <c r="V459" s="27" t="s">
        <v>943</v>
      </c>
      <c r="W459" s="27" t="s">
        <v>944</v>
      </c>
      <c r="X459" s="73" t="s">
        <v>1468</v>
      </c>
      <c r="Y459" s="73" t="str">
        <f>VLOOKUP(X459,Choferes!$B$2:$C$500,2,FALSE)</f>
        <v>+5553984274141</v>
      </c>
      <c r="Z459" s="73" t="s">
        <v>1507</v>
      </c>
    </row>
    <row r="460" spans="1:26" hidden="1" x14ac:dyDescent="0.25">
      <c r="A460" s="33">
        <v>27</v>
      </c>
      <c r="B460" s="71" t="s">
        <v>29</v>
      </c>
      <c r="C460" s="39" t="s">
        <v>1428</v>
      </c>
      <c r="D460" s="50" t="s">
        <v>764</v>
      </c>
      <c r="E460" s="47">
        <v>45478</v>
      </c>
      <c r="F460" s="31" t="str">
        <f>VLOOKUP($C460,Carpetas!$C$5:$M$2666,2,FALSE)</f>
        <v>BRB041</v>
      </c>
      <c r="G460" s="23" t="str">
        <f>VLOOKUP($C460,Carpetas!$C$5:$M$2666,10,FALSE)</f>
        <v>149,56,99</v>
      </c>
      <c r="H460" s="27" t="str">
        <f>VLOOKUP($C460,Carpetas!$C$5:$M$2666,6,FALSE)</f>
        <v>FG</v>
      </c>
      <c r="I460" s="220"/>
      <c r="J460" s="47">
        <f t="shared" si="25"/>
        <v>45480</v>
      </c>
      <c r="K460" s="72" t="str">
        <f>VLOOKUP($C460,Carpetas!$C$5:$M$2666,5,FALSE)</f>
        <v>Rio Branco</v>
      </c>
      <c r="L460" s="32"/>
      <c r="M460" s="48">
        <v>45482</v>
      </c>
      <c r="N460" s="26">
        <f t="shared" si="24"/>
        <v>4</v>
      </c>
      <c r="O460" s="27">
        <v>990</v>
      </c>
      <c r="P460" s="27">
        <v>990</v>
      </c>
      <c r="Q460" s="27"/>
      <c r="R460" s="27"/>
      <c r="S460" s="27" t="s">
        <v>1514</v>
      </c>
      <c r="T460" s="27"/>
      <c r="U460" s="27">
        <v>210</v>
      </c>
      <c r="V460" s="27" t="s">
        <v>826</v>
      </c>
      <c r="W460" s="27" t="s">
        <v>827</v>
      </c>
      <c r="X460" s="73" t="s">
        <v>1465</v>
      </c>
      <c r="Y460" s="73" t="str">
        <f>VLOOKUP(X460,Choferes!$B$2:$C$500,2,FALSE)</f>
        <v>+59893339027</v>
      </c>
      <c r="Z460" s="73" t="s">
        <v>1515</v>
      </c>
    </row>
    <row r="461" spans="1:26" hidden="1" x14ac:dyDescent="0.25">
      <c r="A461" s="33">
        <v>27</v>
      </c>
      <c r="B461" s="71" t="s">
        <v>29</v>
      </c>
      <c r="C461" s="39" t="s">
        <v>1516</v>
      </c>
      <c r="D461" s="50" t="s">
        <v>764</v>
      </c>
      <c r="E461" s="47">
        <v>45479</v>
      </c>
      <c r="F461" s="31" t="str">
        <f>VLOOKUP($C461,Carpetas!$C$5:$M$2666,2,FALSE)</f>
        <v>BRB044</v>
      </c>
      <c r="G461" s="23" t="str">
        <f>VLOOKUP($C461,Carpetas!$C$5:$M$2666,10,FALSE)</f>
        <v>149,66,97</v>
      </c>
      <c r="H461" s="27" t="str">
        <f>VLOOKUP($C461,Carpetas!$C$5:$M$2666,6,FALSE)</f>
        <v>FG</v>
      </c>
      <c r="I461" s="220"/>
      <c r="J461" s="47">
        <f t="shared" si="25"/>
        <v>45481</v>
      </c>
      <c r="K461" s="72" t="str">
        <f>VLOOKUP($C461,Carpetas!$C$5:$M$2666,5,FALSE)</f>
        <v>Rio Branco</v>
      </c>
      <c r="L461" s="32"/>
      <c r="M461" s="48">
        <f>J461+1</f>
        <v>45482</v>
      </c>
      <c r="N461" s="26">
        <f t="shared" si="24"/>
        <v>3</v>
      </c>
      <c r="O461" s="27">
        <v>990</v>
      </c>
      <c r="P461" s="27">
        <v>990</v>
      </c>
      <c r="Q461" s="27"/>
      <c r="R461" s="27"/>
      <c r="S461" s="27" t="s">
        <v>1517</v>
      </c>
      <c r="T461" s="27"/>
      <c r="U461" s="27">
        <v>212</v>
      </c>
      <c r="V461" s="27" t="s">
        <v>1518</v>
      </c>
      <c r="W461" s="27" t="s">
        <v>1519</v>
      </c>
      <c r="X461" s="73" t="s">
        <v>1520</v>
      </c>
      <c r="Y461" s="73" t="str">
        <f>VLOOKUP(X461,Choferes!$B$2:$C$500,2,FALSE)</f>
        <v>+5553999595710</v>
      </c>
      <c r="Z461" s="73" t="s">
        <v>1521</v>
      </c>
    </row>
    <row r="462" spans="1:26" hidden="1" x14ac:dyDescent="0.25">
      <c r="A462" s="33">
        <v>27</v>
      </c>
      <c r="B462" s="71" t="s">
        <v>29</v>
      </c>
      <c r="C462" s="39" t="s">
        <v>1516</v>
      </c>
      <c r="D462" s="50" t="s">
        <v>78</v>
      </c>
      <c r="E462" s="47">
        <v>45479</v>
      </c>
      <c r="F462" s="31" t="str">
        <f>VLOOKUP($C462,Carpetas!$C$5:$M$2666,2,FALSE)</f>
        <v>BRB044</v>
      </c>
      <c r="G462" s="23" t="str">
        <f>VLOOKUP($C462,Carpetas!$C$5:$M$2666,10,FALSE)</f>
        <v>149,66,97</v>
      </c>
      <c r="H462" s="27" t="str">
        <f>VLOOKUP($C462,Carpetas!$C$5:$M$2666,6,FALSE)</f>
        <v>FG</v>
      </c>
      <c r="I462" s="220"/>
      <c r="J462" s="47">
        <f t="shared" si="25"/>
        <v>45481</v>
      </c>
      <c r="K462" s="72" t="str">
        <f>VLOOKUP($C462,Carpetas!$C$5:$M$2666,5,FALSE)</f>
        <v>Rio Branco</v>
      </c>
      <c r="L462" s="32"/>
      <c r="M462" s="48">
        <f>J462+1</f>
        <v>45482</v>
      </c>
      <c r="N462" s="26">
        <f t="shared" si="24"/>
        <v>3</v>
      </c>
      <c r="O462" s="27">
        <v>990</v>
      </c>
      <c r="P462" s="27">
        <v>990</v>
      </c>
      <c r="Q462" s="27"/>
      <c r="R462" s="27"/>
      <c r="S462" s="27" t="s">
        <v>1522</v>
      </c>
      <c r="T462" s="27"/>
      <c r="U462" s="27">
        <v>211</v>
      </c>
      <c r="V462" s="27" t="s">
        <v>921</v>
      </c>
      <c r="W462" s="27" t="s">
        <v>1523</v>
      </c>
      <c r="X462" s="73" t="s">
        <v>1397</v>
      </c>
      <c r="Y462" s="73" t="str">
        <f>VLOOKUP(X462,Choferes!$B$2:$C$500,2,FALSE)</f>
        <v>+5551996322594</v>
      </c>
      <c r="Z462" s="73" t="s">
        <v>1515</v>
      </c>
    </row>
    <row r="463" spans="1:26" hidden="1" x14ac:dyDescent="0.25">
      <c r="A463" s="33">
        <v>27</v>
      </c>
      <c r="B463" s="71" t="s">
        <v>29</v>
      </c>
      <c r="C463" s="39" t="s">
        <v>1380</v>
      </c>
      <c r="D463" s="50" t="s">
        <v>953</v>
      </c>
      <c r="E463" s="47">
        <v>45479</v>
      </c>
      <c r="F463" s="31" t="str">
        <f>VLOOKUP($C463,Carpetas!$C$5:$M$2666,2,FALSE)</f>
        <v>BRB040</v>
      </c>
      <c r="G463" s="23" t="str">
        <f>VLOOKUP($C463,Carpetas!$C$5:$M$2666,10,FALSE)</f>
        <v>149,50,94</v>
      </c>
      <c r="H463" s="27" t="str">
        <f>VLOOKUP($C463,Carpetas!$C$5:$M$2666,6,FALSE)</f>
        <v>Amaro</v>
      </c>
      <c r="I463" s="220"/>
      <c r="J463" s="47">
        <f t="shared" si="25"/>
        <v>45481</v>
      </c>
      <c r="K463" s="72" t="str">
        <f>VLOOKUP($C463,Carpetas!$C$5:$M$2666,5,FALSE)</f>
        <v>Rio Branco</v>
      </c>
      <c r="L463" s="32"/>
      <c r="M463" s="48">
        <f>J463+1</f>
        <v>45482</v>
      </c>
      <c r="N463" s="26">
        <f t="shared" si="24"/>
        <v>3</v>
      </c>
      <c r="O463" s="27">
        <v>990</v>
      </c>
      <c r="P463" s="27">
        <v>991</v>
      </c>
      <c r="Q463" s="27"/>
      <c r="R463" s="27"/>
      <c r="S463" s="27" t="s">
        <v>1524</v>
      </c>
      <c r="T463" s="27"/>
      <c r="U463" s="27">
        <v>24172</v>
      </c>
      <c r="V463" s="27" t="s">
        <v>1116</v>
      </c>
      <c r="W463" s="27" t="s">
        <v>1525</v>
      </c>
      <c r="X463" s="73" t="s">
        <v>1526</v>
      </c>
      <c r="Y463" s="73" t="str">
        <f>VLOOKUP(X463,Choferes!$B$2:$C$500,2,FALSE)</f>
        <v>+5551981746186</v>
      </c>
      <c r="Z463" s="73" t="s">
        <v>1527</v>
      </c>
    </row>
    <row r="464" spans="1:26" hidden="1" x14ac:dyDescent="0.25">
      <c r="A464" s="33">
        <v>28</v>
      </c>
      <c r="B464" s="71" t="s">
        <v>29</v>
      </c>
      <c r="C464" s="39" t="s">
        <v>1470</v>
      </c>
      <c r="D464" s="50" t="s">
        <v>803</v>
      </c>
      <c r="E464" s="47">
        <v>45482</v>
      </c>
      <c r="F464" s="31" t="str">
        <f>VLOOKUP($C464,Carpetas!$C$5:$M$2666,2,FALSE)</f>
        <v>BRB043</v>
      </c>
      <c r="G464" s="23" t="str">
        <f>VLOOKUP($C464,Carpetas!$C$5:$M$2666,10,FALSE)</f>
        <v>149,60,67</v>
      </c>
      <c r="H464" s="27" t="str">
        <f>VLOOKUP($C464,Carpetas!$C$5:$M$2666,6,FALSE)</f>
        <v xml:space="preserve">Silvio </v>
      </c>
      <c r="I464" s="220"/>
      <c r="J464" s="47">
        <v>45483</v>
      </c>
      <c r="K464" s="72" t="str">
        <f>VLOOKUP($C464,Carpetas!$C$5:$M$2666,5,FALSE)</f>
        <v>Rio Branco</v>
      </c>
      <c r="L464" s="32"/>
      <c r="M464" s="48">
        <f>J464+1</f>
        <v>45484</v>
      </c>
      <c r="N464" s="26">
        <f t="shared" si="24"/>
        <v>2</v>
      </c>
      <c r="O464" s="27">
        <v>918</v>
      </c>
      <c r="P464" s="27"/>
      <c r="Q464" s="27"/>
      <c r="R464" s="27"/>
      <c r="S464" s="27" t="s">
        <v>1528</v>
      </c>
      <c r="T464" s="27"/>
      <c r="U464" s="27">
        <v>6991</v>
      </c>
      <c r="V464" s="27" t="s">
        <v>280</v>
      </c>
      <c r="W464" s="27" t="s">
        <v>281</v>
      </c>
      <c r="X464" s="73" t="s">
        <v>1529</v>
      </c>
      <c r="Y464" s="73" t="str">
        <f>VLOOKUP(X464,Choferes!$B$2:$C$500,2,FALSE)</f>
        <v>+5555981257673</v>
      </c>
      <c r="Z464" s="73" t="s">
        <v>1530</v>
      </c>
    </row>
    <row r="465" spans="1:26" hidden="1" x14ac:dyDescent="0.25">
      <c r="A465" s="33">
        <v>28</v>
      </c>
      <c r="B465" s="71" t="s">
        <v>29</v>
      </c>
      <c r="C465" s="39" t="s">
        <v>1380</v>
      </c>
      <c r="D465" s="50" t="s">
        <v>747</v>
      </c>
      <c r="E465" s="47">
        <v>45482</v>
      </c>
      <c r="F465" s="31" t="str">
        <f>VLOOKUP($C465,Carpetas!$C$5:$M$2666,2,FALSE)</f>
        <v>BRB040</v>
      </c>
      <c r="G465" s="23" t="str">
        <f>VLOOKUP($C465,Carpetas!$C$5:$M$2666,10,FALSE)</f>
        <v>149,50,94</v>
      </c>
      <c r="H465" s="27" t="str">
        <f>VLOOKUP($C465,Carpetas!$C$5:$M$2666,6,FALSE)</f>
        <v>Amaro</v>
      </c>
      <c r="I465" s="220"/>
      <c r="J465" s="47">
        <v>45483</v>
      </c>
      <c r="K465" s="72" t="str">
        <f>VLOOKUP($C465,Carpetas!$C$5:$M$2666,5,FALSE)</f>
        <v>Rio Branco</v>
      </c>
      <c r="L465" s="32"/>
      <c r="M465" s="48">
        <f>J465+1</f>
        <v>45484</v>
      </c>
      <c r="N465" s="26">
        <f t="shared" si="24"/>
        <v>2</v>
      </c>
      <c r="O465" s="27">
        <v>990</v>
      </c>
      <c r="P465" s="27">
        <v>991</v>
      </c>
      <c r="Q465" s="27"/>
      <c r="R465" s="27"/>
      <c r="S465" s="27" t="s">
        <v>1531</v>
      </c>
      <c r="T465" s="27"/>
      <c r="U465" s="27">
        <v>24186</v>
      </c>
      <c r="V465" s="27" t="s">
        <v>1532</v>
      </c>
      <c r="W465" s="27" t="s">
        <v>1533</v>
      </c>
      <c r="X465" s="73" t="s">
        <v>1534</v>
      </c>
      <c r="Y465" s="73" t="str">
        <f>VLOOKUP(X465,Choferes!$B$2:$C$500,2,FALSE)</f>
        <v>+5553999520871</v>
      </c>
      <c r="Z465" s="73" t="s">
        <v>1535</v>
      </c>
    </row>
    <row r="466" spans="1:26" hidden="1" x14ac:dyDescent="0.25">
      <c r="A466" s="33">
        <v>27</v>
      </c>
      <c r="B466" s="71" t="s">
        <v>29</v>
      </c>
      <c r="C466" s="39" t="s">
        <v>1536</v>
      </c>
      <c r="D466" s="50" t="s">
        <v>63</v>
      </c>
      <c r="E466" s="47">
        <v>45475</v>
      </c>
      <c r="F466" s="31" t="str">
        <f>VLOOKUP($C466,Carpetas!$C$5:$M$2666,2,FALSE)</f>
        <v>BRA017</v>
      </c>
      <c r="G466" s="23" t="str">
        <f>VLOOKUP($C466,Carpetas!$C$5:$M$2666,10,FALSE)</f>
        <v>149,57,16</v>
      </c>
      <c r="H466" s="27" t="str">
        <f>VLOOKUP($C466,Carpetas!$C$5:$M$2666,6,FALSE)</f>
        <v>Marvel</v>
      </c>
      <c r="I466" s="220"/>
      <c r="J466" s="47">
        <v>45482</v>
      </c>
      <c r="K466" s="72" t="str">
        <f>VLOOKUP($C466,Carpetas!$C$5:$M$2666,5,FALSE)</f>
        <v>Rio Branco</v>
      </c>
      <c r="L466" s="32"/>
      <c r="M466" s="48">
        <f>J466+1+2</f>
        <v>45485</v>
      </c>
      <c r="N466" s="26">
        <f t="shared" si="24"/>
        <v>10</v>
      </c>
      <c r="O466" s="27">
        <v>1104</v>
      </c>
      <c r="P466" s="27">
        <v>1104</v>
      </c>
      <c r="Q466" s="27"/>
      <c r="R466" s="27"/>
      <c r="S466" s="27" t="s">
        <v>262</v>
      </c>
      <c r="T466" s="27"/>
      <c r="U466" s="27"/>
      <c r="V466" s="27" t="s">
        <v>1537</v>
      </c>
      <c r="W466" s="27"/>
      <c r="X466" s="73"/>
      <c r="Y466" s="73" t="e">
        <f>VLOOKUP(X466,Choferes!$B$2:$C$500,2,FALSE)</f>
        <v>#N/A</v>
      </c>
      <c r="Z466" s="73" t="s">
        <v>1538</v>
      </c>
    </row>
    <row r="467" spans="1:26" hidden="1" x14ac:dyDescent="0.25">
      <c r="A467" s="33">
        <v>28</v>
      </c>
      <c r="B467" s="71" t="s">
        <v>29</v>
      </c>
      <c r="C467" s="39" t="s">
        <v>1539</v>
      </c>
      <c r="D467" s="50" t="s">
        <v>38</v>
      </c>
      <c r="E467" s="47">
        <v>45479</v>
      </c>
      <c r="F467" s="31" t="str">
        <f>VLOOKUP($C467,Carpetas!$C$5:$M$2666,2,FALSE)</f>
        <v>BRE019</v>
      </c>
      <c r="G467" s="23">
        <f>VLOOKUP($C467,Carpetas!$C$5:$M$2666,10,FALSE)</f>
        <v>0</v>
      </c>
      <c r="H467" s="27">
        <f>VLOOKUP($C467,Carpetas!$C$5:$M$2666,6,FALSE)</f>
        <v>0</v>
      </c>
      <c r="I467" s="220">
        <f>VLOOKUP($C467,Carpetas!$C$5:$M$2666,4,FALSE)</f>
        <v>0</v>
      </c>
      <c r="J467" s="47">
        <v>45483</v>
      </c>
      <c r="K467" s="72" t="str">
        <f>VLOOKUP($C467,Carpetas!$C$5:$M$2666,5,FALSE)</f>
        <v>Rio Branco</v>
      </c>
      <c r="L467" s="32"/>
      <c r="M467" s="48">
        <f>J467+1+1</f>
        <v>45485</v>
      </c>
      <c r="N467" s="26">
        <f t="shared" si="24"/>
        <v>6</v>
      </c>
      <c r="O467" s="27">
        <v>2520</v>
      </c>
      <c r="P467" s="27"/>
      <c r="Q467" s="27"/>
      <c r="R467" s="27"/>
      <c r="S467" s="27"/>
      <c r="T467" s="27"/>
      <c r="U467" s="27">
        <v>6996</v>
      </c>
      <c r="V467" s="27" t="s">
        <v>1540</v>
      </c>
      <c r="W467" s="27" t="s">
        <v>1541</v>
      </c>
      <c r="X467" s="73" t="s">
        <v>1542</v>
      </c>
      <c r="Y467" s="73" t="str">
        <f>VLOOKUP(X467,Choferes!$B$2:$C$500,2,FALSE)</f>
        <v>+5549999158753</v>
      </c>
      <c r="Z467" s="73"/>
    </row>
    <row r="468" spans="1:26" ht="30" hidden="1" x14ac:dyDescent="0.25">
      <c r="A468" s="33">
        <v>27</v>
      </c>
      <c r="B468" s="71" t="s">
        <v>29</v>
      </c>
      <c r="C468" s="39" t="s">
        <v>1543</v>
      </c>
      <c r="D468" s="50" t="s">
        <v>63</v>
      </c>
      <c r="E468" s="47">
        <v>45478</v>
      </c>
      <c r="F468" s="31" t="str">
        <f>VLOOKUP($C468,Carpetas!$C$5:$M$2666,2,FALSE)</f>
        <v>BRA018</v>
      </c>
      <c r="G468" s="23">
        <f>VLOOKUP($C468,Carpetas!$C$5:$M$2666,10,FALSE)</f>
        <v>0</v>
      </c>
      <c r="H468" s="27" t="str">
        <f>VLOOKUP($C468,Carpetas!$C$5:$M$2666,6,FALSE)</f>
        <v>Marvel</v>
      </c>
      <c r="I468" s="220"/>
      <c r="J468" s="47">
        <v>45484</v>
      </c>
      <c r="K468" s="72" t="str">
        <f>VLOOKUP($C468,Carpetas!$C$5:$M$2666,5,FALSE)</f>
        <v>Rio Branco</v>
      </c>
      <c r="L468" s="32"/>
      <c r="M468" s="48">
        <f>J468+1</f>
        <v>45485</v>
      </c>
      <c r="N468" s="26">
        <f t="shared" si="24"/>
        <v>7</v>
      </c>
      <c r="O468" s="27">
        <v>1104</v>
      </c>
      <c r="P468" s="27">
        <v>1103</v>
      </c>
      <c r="Q468" s="27"/>
      <c r="R468" s="27"/>
      <c r="S468" s="27" t="s">
        <v>262</v>
      </c>
      <c r="T468" s="27"/>
      <c r="U468" s="27"/>
      <c r="V468" s="27" t="s">
        <v>1544</v>
      </c>
      <c r="W468" s="27" t="s">
        <v>1545</v>
      </c>
      <c r="X468" s="73"/>
      <c r="Y468" s="73" t="e">
        <f>VLOOKUP(X468,Choferes!$B$2:$C$500,2,FALSE)</f>
        <v>#N/A</v>
      </c>
      <c r="Z468" s="73" t="s">
        <v>1546</v>
      </c>
    </row>
    <row r="469" spans="1:26" hidden="1" x14ac:dyDescent="0.25">
      <c r="A469" s="33">
        <v>28</v>
      </c>
      <c r="B469" s="71" t="s">
        <v>29</v>
      </c>
      <c r="C469" s="39" t="s">
        <v>1516</v>
      </c>
      <c r="D469" s="50" t="s">
        <v>764</v>
      </c>
      <c r="E469" s="47">
        <v>45482</v>
      </c>
      <c r="F469" s="31" t="str">
        <f>VLOOKUP($C469,Carpetas!$C$5:$M$2666,2,FALSE)</f>
        <v>BRB044</v>
      </c>
      <c r="G469" s="23" t="str">
        <f>VLOOKUP($C469,Carpetas!$C$5:$M$2666,10,FALSE)</f>
        <v>149,66,97</v>
      </c>
      <c r="H469" s="27" t="str">
        <f>VLOOKUP($C469,Carpetas!$C$5:$M$2666,6,FALSE)</f>
        <v>FG</v>
      </c>
      <c r="I469" s="220"/>
      <c r="J469" s="47">
        <f>E469+2</f>
        <v>45484</v>
      </c>
      <c r="K469" s="72" t="str">
        <f>VLOOKUP($C469,Carpetas!$C$5:$M$2666,5,FALSE)</f>
        <v>Rio Branco</v>
      </c>
      <c r="L469" s="32"/>
      <c r="M469" s="48">
        <f>J469+1</f>
        <v>45485</v>
      </c>
      <c r="N469" s="26">
        <f t="shared" si="24"/>
        <v>3</v>
      </c>
      <c r="O469" s="27">
        <v>990</v>
      </c>
      <c r="P469" s="27">
        <v>990</v>
      </c>
      <c r="Q469" s="27"/>
      <c r="R469" s="27"/>
      <c r="S469" s="27" t="s">
        <v>1547</v>
      </c>
      <c r="T469" s="27"/>
      <c r="U469" s="27">
        <v>218</v>
      </c>
      <c r="V469" s="27" t="s">
        <v>846</v>
      </c>
      <c r="W469" s="27" t="s">
        <v>847</v>
      </c>
      <c r="X469" s="73"/>
      <c r="Y469" s="73" t="e">
        <f>VLOOKUP(X469,Choferes!$B$2:$C$500,2,FALSE)</f>
        <v>#N/A</v>
      </c>
      <c r="Z469" s="73" t="s">
        <v>1548</v>
      </c>
    </row>
    <row r="470" spans="1:26" hidden="1" x14ac:dyDescent="0.25">
      <c r="A470" s="33">
        <v>28</v>
      </c>
      <c r="B470" s="71" t="s">
        <v>29</v>
      </c>
      <c r="C470" s="39" t="s">
        <v>1549</v>
      </c>
      <c r="D470" s="50" t="s">
        <v>48</v>
      </c>
      <c r="E470" s="47">
        <v>45482</v>
      </c>
      <c r="F470" s="31" t="str">
        <f>VLOOKUP($C470,Carpetas!$C$5:$M$2666,2,FALSE)</f>
        <v>PYB116</v>
      </c>
      <c r="G470" s="23">
        <f>VLOOKUP($C470,Carpetas!$C$5:$M$2666,10,FALSE)</f>
        <v>0</v>
      </c>
      <c r="H470" s="27">
        <f>VLOOKUP($C470,Carpetas!$C$5:$M$2666,6,FALSE)</f>
        <v>0</v>
      </c>
      <c r="I470" s="220"/>
      <c r="J470" s="47">
        <v>45484</v>
      </c>
      <c r="K470" s="72" t="str">
        <f>VLOOKUP($C470,Carpetas!$C$5:$M$2666,5,FALSE)</f>
        <v>Salto</v>
      </c>
      <c r="L470" s="32"/>
      <c r="M470" s="48">
        <f>J470+1</f>
        <v>45485</v>
      </c>
      <c r="N470" s="26">
        <f t="shared" si="24"/>
        <v>3</v>
      </c>
      <c r="O470" s="27">
        <v>930</v>
      </c>
      <c r="P470" s="27">
        <v>932</v>
      </c>
      <c r="Q470" s="27"/>
      <c r="R470" s="27"/>
      <c r="S470" s="27" t="s">
        <v>1550</v>
      </c>
      <c r="T470" s="27"/>
      <c r="U470" s="27"/>
      <c r="V470" s="27" t="s">
        <v>357</v>
      </c>
      <c r="W470" s="27" t="s">
        <v>225</v>
      </c>
      <c r="X470" s="73"/>
      <c r="Y470" s="73" t="e">
        <f>VLOOKUP(X470,Choferes!$B$2:$C$500,2,FALSE)</f>
        <v>#N/A</v>
      </c>
      <c r="Z470" s="73" t="s">
        <v>1551</v>
      </c>
    </row>
    <row r="471" spans="1:26" hidden="1" x14ac:dyDescent="0.25">
      <c r="A471" s="33">
        <v>28</v>
      </c>
      <c r="B471" s="71" t="s">
        <v>29</v>
      </c>
      <c r="C471" s="39" t="s">
        <v>1470</v>
      </c>
      <c r="D471" s="50" t="s">
        <v>110</v>
      </c>
      <c r="E471" s="47">
        <v>45483</v>
      </c>
      <c r="F471" s="31" t="str">
        <f>VLOOKUP($C471,Carpetas!$C$5:$M$2666,2,FALSE)</f>
        <v>BRB043</v>
      </c>
      <c r="G471" s="23" t="str">
        <f>VLOOKUP($C471,Carpetas!$C$5:$M$2666,10,FALSE)</f>
        <v>149,60,67</v>
      </c>
      <c r="H471" s="27" t="str">
        <f>VLOOKUP($C471,Carpetas!$C$5:$M$2666,6,FALSE)</f>
        <v xml:space="preserve">Silvio </v>
      </c>
      <c r="I471" s="220"/>
      <c r="J471" s="47">
        <v>45484</v>
      </c>
      <c r="K471" s="72" t="str">
        <f>VLOOKUP($C471,Carpetas!$C$5:$M$2666,5,FALSE)</f>
        <v>Rio Branco</v>
      </c>
      <c r="L471" s="32"/>
      <c r="M471" s="48">
        <f>J471+1</f>
        <v>45485</v>
      </c>
      <c r="N471" s="26">
        <f t="shared" si="24"/>
        <v>2</v>
      </c>
      <c r="O471" s="27">
        <v>918</v>
      </c>
      <c r="P471" s="27">
        <v>919</v>
      </c>
      <c r="Q471" s="27"/>
      <c r="R471" s="27"/>
      <c r="S471" s="27" t="s">
        <v>1552</v>
      </c>
      <c r="T471" s="27"/>
      <c r="U471" s="27">
        <v>6992</v>
      </c>
      <c r="V471" s="27" t="s">
        <v>1553</v>
      </c>
      <c r="W471" s="27" t="s">
        <v>1554</v>
      </c>
      <c r="X471" s="73"/>
      <c r="Y471" s="73" t="e">
        <f>VLOOKUP(X471,Choferes!$B$2:$C$500,2,FALSE)</f>
        <v>#N/A</v>
      </c>
      <c r="Z471" s="73" t="s">
        <v>1555</v>
      </c>
    </row>
    <row r="472" spans="1:26" hidden="1" x14ac:dyDescent="0.25">
      <c r="A472" s="33">
        <v>28</v>
      </c>
      <c r="B472" s="71" t="s">
        <v>29</v>
      </c>
      <c r="C472" s="39" t="s">
        <v>1440</v>
      </c>
      <c r="D472" s="50" t="s">
        <v>803</v>
      </c>
      <c r="E472" s="47">
        <v>45483</v>
      </c>
      <c r="F472" s="31" t="str">
        <f>VLOOKUP($C472,Carpetas!$C$5:$M$2666,2,FALSE)</f>
        <v>BRB042</v>
      </c>
      <c r="G472" s="23" t="str">
        <f>VLOOKUP($C472,Carpetas!$C$5:$M$2666,10,FALSE)</f>
        <v>149,56,97</v>
      </c>
      <c r="H472" s="27" t="str">
        <f>VLOOKUP($C472,Carpetas!$C$5:$M$2666,6,FALSE)</f>
        <v>Zanini</v>
      </c>
      <c r="I472" s="220"/>
      <c r="J472" s="47">
        <v>45484</v>
      </c>
      <c r="K472" s="72" t="str">
        <f>VLOOKUP($C472,Carpetas!$C$5:$M$2666,5,FALSE)</f>
        <v>Rio Branco</v>
      </c>
      <c r="L472" s="32"/>
      <c r="M472" s="48">
        <f>J472+1</f>
        <v>45485</v>
      </c>
      <c r="N472" s="26">
        <f t="shared" si="24"/>
        <v>2</v>
      </c>
      <c r="O472" s="27">
        <v>918</v>
      </c>
      <c r="P472" s="27">
        <v>918</v>
      </c>
      <c r="Q472" s="27"/>
      <c r="R472" s="27"/>
      <c r="S472" s="27" t="s">
        <v>1556</v>
      </c>
      <c r="T472" s="27"/>
      <c r="U472" s="27">
        <v>4567</v>
      </c>
      <c r="V472" s="27" t="s">
        <v>1557</v>
      </c>
      <c r="W472" s="27" t="s">
        <v>1558</v>
      </c>
      <c r="X472" s="73"/>
      <c r="Y472" s="73" t="e">
        <f>VLOOKUP(X472,Choferes!$B$2:$C$500,2,FALSE)</f>
        <v>#N/A</v>
      </c>
      <c r="Z472" s="73" t="s">
        <v>1559</v>
      </c>
    </row>
    <row r="473" spans="1:26" hidden="1" x14ac:dyDescent="0.25">
      <c r="A473" s="33">
        <v>28</v>
      </c>
      <c r="B473" s="71" t="s">
        <v>29</v>
      </c>
      <c r="C473" s="39" t="s">
        <v>1560</v>
      </c>
      <c r="D473" s="50" t="s">
        <v>102</v>
      </c>
      <c r="E473" s="47">
        <v>45482</v>
      </c>
      <c r="F473" s="31" t="str">
        <f>VLOOKUP($C473,Carpetas!$C$5:$M$2666,2,FALSE)</f>
        <v>PYB117</v>
      </c>
      <c r="G473" s="23">
        <f>VLOOKUP($C473,Carpetas!$C$5:$M$2666,10,FALSE)</f>
        <v>0</v>
      </c>
      <c r="H473" s="27">
        <f>VLOOKUP($C473,Carpetas!$C$5:$M$2666,6,FALSE)</f>
        <v>0</v>
      </c>
      <c r="I473" s="220"/>
      <c r="J473" s="47">
        <v>45484</v>
      </c>
      <c r="K473" s="72" t="str">
        <f>VLOOKUP($C473,Carpetas!$C$5:$M$2666,5,FALSE)</f>
        <v>Salto</v>
      </c>
      <c r="L473" s="32"/>
      <c r="M473" s="48">
        <v>45486</v>
      </c>
      <c r="N473" s="26">
        <f t="shared" si="24"/>
        <v>4</v>
      </c>
      <c r="O473" s="27">
        <v>980</v>
      </c>
      <c r="P473" s="27">
        <v>980</v>
      </c>
      <c r="Q473" s="27"/>
      <c r="R473" s="27"/>
      <c r="S473" s="27" t="s">
        <v>1561</v>
      </c>
      <c r="T473" s="27"/>
      <c r="U473" s="27"/>
      <c r="V473" s="27" t="s">
        <v>272</v>
      </c>
      <c r="W473" s="27" t="s">
        <v>273</v>
      </c>
      <c r="X473" s="73"/>
      <c r="Y473" s="73" t="e">
        <f>VLOOKUP(X473,Choferes!$B$2:$C$500,2,FALSE)</f>
        <v>#N/A</v>
      </c>
      <c r="Z473" s="73" t="s">
        <v>1562</v>
      </c>
    </row>
    <row r="474" spans="1:26" hidden="1" x14ac:dyDescent="0.25">
      <c r="A474" s="33">
        <v>28</v>
      </c>
      <c r="B474" s="71" t="s">
        <v>29</v>
      </c>
      <c r="C474" s="39" t="s">
        <v>1516</v>
      </c>
      <c r="D474" s="50" t="s">
        <v>78</v>
      </c>
      <c r="E474" s="47">
        <v>45483</v>
      </c>
      <c r="F474" s="31" t="str">
        <f>VLOOKUP($C474,Carpetas!$C$5:$M$2666,2,FALSE)</f>
        <v>BRB044</v>
      </c>
      <c r="G474" s="23" t="str">
        <f>VLOOKUP($C474,Carpetas!$C$5:$M$2666,10,FALSE)</f>
        <v>149,66,97</v>
      </c>
      <c r="H474" s="27" t="str">
        <f>VLOOKUP($C474,Carpetas!$C$5:$M$2666,6,FALSE)</f>
        <v>FG</v>
      </c>
      <c r="I474" s="220"/>
      <c r="J474" s="47">
        <v>45484</v>
      </c>
      <c r="K474" s="72" t="str">
        <f>VLOOKUP($C474,Carpetas!$C$5:$M$2666,5,FALSE)</f>
        <v>Rio Branco</v>
      </c>
      <c r="L474" s="32"/>
      <c r="M474" s="48">
        <v>45486</v>
      </c>
      <c r="N474" s="26">
        <f t="shared" si="24"/>
        <v>3</v>
      </c>
      <c r="O474" s="27">
        <v>990</v>
      </c>
      <c r="P474" s="27"/>
      <c r="Q474" s="27"/>
      <c r="R474" s="27"/>
      <c r="S474" s="27" t="s">
        <v>1563</v>
      </c>
      <c r="T474" s="27"/>
      <c r="U474" s="27">
        <v>216</v>
      </c>
      <c r="V474" s="27" t="s">
        <v>1371</v>
      </c>
      <c r="W474" s="27" t="s">
        <v>1372</v>
      </c>
      <c r="X474" s="73" t="s">
        <v>1489</v>
      </c>
      <c r="Y474" s="73" t="str">
        <f>VLOOKUP(X474,Choferes!$B$2:$C$500,2,FALSE)</f>
        <v>+5553984039582</v>
      </c>
      <c r="Z474" s="73" t="s">
        <v>1564</v>
      </c>
    </row>
    <row r="475" spans="1:26" hidden="1" x14ac:dyDescent="0.25">
      <c r="A475" s="33">
        <v>28</v>
      </c>
      <c r="B475" s="71" t="s">
        <v>29</v>
      </c>
      <c r="C475" s="39" t="s">
        <v>1560</v>
      </c>
      <c r="D475" s="50" t="s">
        <v>102</v>
      </c>
      <c r="E475" s="47">
        <v>45482</v>
      </c>
      <c r="F475" s="31" t="str">
        <f>VLOOKUP($C475,Carpetas!$C$5:$M$2666,2,FALSE)</f>
        <v>PYB117</v>
      </c>
      <c r="G475" s="23">
        <f>VLOOKUP($C475,Carpetas!$C$5:$M$2666,10,FALSE)</f>
        <v>0</v>
      </c>
      <c r="H475" s="27">
        <f>VLOOKUP($C475,Carpetas!$C$5:$M$2666,6,FALSE)</f>
        <v>0</v>
      </c>
      <c r="I475" s="220"/>
      <c r="J475" s="47">
        <f>E475+3</f>
        <v>45485</v>
      </c>
      <c r="K475" s="72" t="str">
        <f>VLOOKUP($C475,Carpetas!$C$5:$M$2666,5,FALSE)</f>
        <v>Salto</v>
      </c>
      <c r="L475" s="32"/>
      <c r="M475" s="48">
        <f>J475+1</f>
        <v>45486</v>
      </c>
      <c r="N475" s="26">
        <f t="shared" si="24"/>
        <v>4</v>
      </c>
      <c r="O475" s="27">
        <v>980</v>
      </c>
      <c r="P475" s="27">
        <v>980</v>
      </c>
      <c r="Q475" s="27"/>
      <c r="R475" s="27"/>
      <c r="S475" s="27" t="s">
        <v>1565</v>
      </c>
      <c r="T475" s="27"/>
      <c r="U475" s="27"/>
      <c r="V475" s="27" t="s">
        <v>156</v>
      </c>
      <c r="W475" s="27" t="s">
        <v>157</v>
      </c>
      <c r="X475" s="73"/>
      <c r="Y475" s="73" t="e">
        <f>VLOOKUP(X475,Choferes!$B$2:$C$500,2,FALSE)</f>
        <v>#N/A</v>
      </c>
      <c r="Z475" s="73" t="s">
        <v>1562</v>
      </c>
    </row>
    <row r="476" spans="1:26" hidden="1" x14ac:dyDescent="0.25">
      <c r="A476" s="33">
        <v>28</v>
      </c>
      <c r="B476" s="71" t="s">
        <v>29</v>
      </c>
      <c r="C476" s="39" t="s">
        <v>1440</v>
      </c>
      <c r="D476" s="50" t="s">
        <v>880</v>
      </c>
      <c r="E476" s="47">
        <v>45483</v>
      </c>
      <c r="F476" s="31" t="str">
        <f>VLOOKUP($C476,Carpetas!$C$5:$M$2666,2,FALSE)</f>
        <v>BRB042</v>
      </c>
      <c r="G476" s="23" t="str">
        <f>VLOOKUP($C476,Carpetas!$C$5:$M$2666,10,FALSE)</f>
        <v>149,56,97</v>
      </c>
      <c r="H476" s="27" t="str">
        <f>VLOOKUP($C476,Carpetas!$C$5:$M$2666,6,FALSE)</f>
        <v>Zanini</v>
      </c>
      <c r="I476" s="220"/>
      <c r="J476" s="47">
        <v>45485</v>
      </c>
      <c r="K476" s="72" t="str">
        <f>VLOOKUP($C476,Carpetas!$C$5:$M$2666,5,FALSE)</f>
        <v>Rio Branco</v>
      </c>
      <c r="L476" s="32"/>
      <c r="M476" s="48">
        <f>J476+1</f>
        <v>45486</v>
      </c>
      <c r="N476" s="26">
        <f t="shared" si="24"/>
        <v>3</v>
      </c>
      <c r="O476" s="27">
        <v>918</v>
      </c>
      <c r="P476" s="27">
        <v>918</v>
      </c>
      <c r="Q476" s="27"/>
      <c r="R476" s="27"/>
      <c r="S476" s="27" t="s">
        <v>1566</v>
      </c>
      <c r="T476" s="27"/>
      <c r="U476" s="27">
        <v>4566</v>
      </c>
      <c r="V476" s="27" t="s">
        <v>371</v>
      </c>
      <c r="W476" s="27" t="s">
        <v>372</v>
      </c>
      <c r="X476" s="73" t="s">
        <v>1567</v>
      </c>
      <c r="Y476" s="73" t="str">
        <f>VLOOKUP(X476,Choferes!$B$2:$C$500,2,FALSE)</f>
        <v>+5541987757575</v>
      </c>
      <c r="Z476" s="73" t="s">
        <v>1568</v>
      </c>
    </row>
    <row r="477" spans="1:26" hidden="1" x14ac:dyDescent="0.25">
      <c r="A477" s="33">
        <v>28</v>
      </c>
      <c r="B477" s="71" t="s">
        <v>29</v>
      </c>
      <c r="C477" s="39" t="s">
        <v>1569</v>
      </c>
      <c r="D477" s="50" t="s">
        <v>747</v>
      </c>
      <c r="E477" s="47">
        <v>45485</v>
      </c>
      <c r="F477" s="31" t="str">
        <f>VLOOKUP($C477,Carpetas!$C$5:$M$2666,2,FALSE)</f>
        <v>BRB045</v>
      </c>
      <c r="G477" s="23" t="str">
        <f>VLOOKUP($C477,Carpetas!$C$5:$M$2666,10,FALSE)</f>
        <v>149,71,45</v>
      </c>
      <c r="H477" s="27" t="str">
        <f>VLOOKUP($C477,Carpetas!$C$5:$M$2666,6,FALSE)</f>
        <v>Amaro</v>
      </c>
      <c r="I477" s="220"/>
      <c r="J477" s="47">
        <f>E477+2</f>
        <v>45487</v>
      </c>
      <c r="K477" s="72" t="str">
        <f>VLOOKUP($C477,Carpetas!$C$5:$M$2666,5,FALSE)</f>
        <v>Rio Branco</v>
      </c>
      <c r="L477" s="32"/>
      <c r="M477" s="48">
        <f>J477+1</f>
        <v>45488</v>
      </c>
      <c r="N477" s="26">
        <f t="shared" si="24"/>
        <v>3</v>
      </c>
      <c r="O477" s="27">
        <v>990</v>
      </c>
      <c r="P477" s="27">
        <v>991</v>
      </c>
      <c r="Q477" s="27"/>
      <c r="R477" s="27"/>
      <c r="S477" s="27" t="s">
        <v>1570</v>
      </c>
      <c r="T477" s="27"/>
      <c r="U477" s="27">
        <v>24214</v>
      </c>
      <c r="V477" s="27" t="s">
        <v>1571</v>
      </c>
      <c r="W477" s="27" t="s">
        <v>1572</v>
      </c>
      <c r="X477" s="73" t="s">
        <v>1573</v>
      </c>
      <c r="Y477" s="73" t="str">
        <f>VLOOKUP(X477,Choferes!$B$2:$C$500,2,FALSE)</f>
        <v>+5553999669289</v>
      </c>
      <c r="Z477" s="73" t="s">
        <v>1574</v>
      </c>
    </row>
    <row r="478" spans="1:26" hidden="1" x14ac:dyDescent="0.25">
      <c r="A478" s="33">
        <v>28</v>
      </c>
      <c r="B478" s="71" t="s">
        <v>29</v>
      </c>
      <c r="C478" s="39" t="s">
        <v>1516</v>
      </c>
      <c r="D478" s="50" t="s">
        <v>78</v>
      </c>
      <c r="E478" s="47">
        <v>45485</v>
      </c>
      <c r="F478" s="31" t="str">
        <f>VLOOKUP($C478,Carpetas!$C$5:$M$2666,2,FALSE)</f>
        <v>BRB044</v>
      </c>
      <c r="G478" s="23" t="str">
        <f>VLOOKUP($C478,Carpetas!$C$5:$M$2666,10,FALSE)</f>
        <v>149,66,97</v>
      </c>
      <c r="H478" s="27" t="str">
        <f>VLOOKUP($C478,Carpetas!$C$5:$M$2666,6,FALSE)</f>
        <v>FG</v>
      </c>
      <c r="I478" s="220"/>
      <c r="J478" s="47">
        <f>E478+2</f>
        <v>45487</v>
      </c>
      <c r="K478" s="72" t="str">
        <f>VLOOKUP($C478,Carpetas!$C$5:$M$2666,5,FALSE)</f>
        <v>Rio Branco</v>
      </c>
      <c r="L478" s="32"/>
      <c r="M478" s="48">
        <v>45489</v>
      </c>
      <c r="N478" s="26">
        <f t="shared" si="24"/>
        <v>4</v>
      </c>
      <c r="O478" s="27">
        <v>990</v>
      </c>
      <c r="P478" s="27">
        <v>991</v>
      </c>
      <c r="Q478" s="27"/>
      <c r="R478" s="27"/>
      <c r="S478" s="27" t="s">
        <v>1575</v>
      </c>
      <c r="T478" s="27"/>
      <c r="U478" s="27">
        <v>221</v>
      </c>
      <c r="V478" s="27" t="s">
        <v>905</v>
      </c>
      <c r="W478" s="27" t="s">
        <v>906</v>
      </c>
      <c r="X478" s="73" t="s">
        <v>1576</v>
      </c>
      <c r="Y478" s="73" t="str">
        <f>VLOOKUP(X478,Choferes!$B$2:$C$500,2,FALSE)</f>
        <v>+55119971489722</v>
      </c>
      <c r="Z478" s="73" t="s">
        <v>1577</v>
      </c>
    </row>
    <row r="479" spans="1:26" hidden="1" x14ac:dyDescent="0.25">
      <c r="A479" s="33">
        <v>28</v>
      </c>
      <c r="B479" s="71" t="s">
        <v>29</v>
      </c>
      <c r="C479" s="39" t="s">
        <v>1516</v>
      </c>
      <c r="D479" s="50" t="s">
        <v>953</v>
      </c>
      <c r="E479" s="47">
        <v>45483</v>
      </c>
      <c r="F479" s="31" t="str">
        <f>VLOOKUP($C479,Carpetas!$C$5:$M$2666,2,FALSE)</f>
        <v>BRB044</v>
      </c>
      <c r="G479" s="23" t="str">
        <f>VLOOKUP($C479,Carpetas!$C$5:$M$2666,10,FALSE)</f>
        <v>149,66,97</v>
      </c>
      <c r="H479" s="27" t="str">
        <f>VLOOKUP($C479,Carpetas!$C$5:$M$2666,6,FALSE)</f>
        <v>FG</v>
      </c>
      <c r="I479" s="220"/>
      <c r="J479" s="47">
        <v>45488</v>
      </c>
      <c r="K479" s="72" t="str">
        <f>VLOOKUP($C479,Carpetas!$C$5:$M$2666,5,FALSE)</f>
        <v>Rio Branco</v>
      </c>
      <c r="L479" s="32"/>
      <c r="M479" s="48">
        <f>J479+1</f>
        <v>45489</v>
      </c>
      <c r="N479" s="26">
        <f t="shared" si="24"/>
        <v>6</v>
      </c>
      <c r="O479" s="27">
        <v>990</v>
      </c>
      <c r="P479" s="27">
        <v>991</v>
      </c>
      <c r="Q479" s="27"/>
      <c r="R479" s="27"/>
      <c r="S479" s="27" t="s">
        <v>1578</v>
      </c>
      <c r="T479" s="27"/>
      <c r="U479" s="27">
        <v>219</v>
      </c>
      <c r="V479" s="27" t="s">
        <v>943</v>
      </c>
      <c r="W479" s="27" t="s">
        <v>944</v>
      </c>
      <c r="X479" s="73" t="s">
        <v>1468</v>
      </c>
      <c r="Y479" s="73" t="str">
        <f>VLOOKUP(X479,Choferes!$B$2:$C$500,2,FALSE)</f>
        <v>+5553984274141</v>
      </c>
      <c r="Z479" s="73" t="s">
        <v>1579</v>
      </c>
    </row>
    <row r="480" spans="1:26" hidden="1" x14ac:dyDescent="0.25">
      <c r="A480" s="33">
        <v>28</v>
      </c>
      <c r="B480" s="71" t="s">
        <v>29</v>
      </c>
      <c r="C480" s="39" t="s">
        <v>1516</v>
      </c>
      <c r="D480" s="50" t="s">
        <v>764</v>
      </c>
      <c r="E480" s="47">
        <v>45485</v>
      </c>
      <c r="F480" s="31" t="str">
        <f>VLOOKUP($C480,Carpetas!$C$5:$M$2666,2,FALSE)</f>
        <v>BRB044</v>
      </c>
      <c r="G480" s="23" t="str">
        <f>VLOOKUP($C480,Carpetas!$C$5:$M$2666,10,FALSE)</f>
        <v>149,66,97</v>
      </c>
      <c r="H480" s="27" t="str">
        <f>VLOOKUP($C480,Carpetas!$C$5:$M$2666,6,FALSE)</f>
        <v>FG</v>
      </c>
      <c r="I480" s="220"/>
      <c r="J480" s="47">
        <v>45488</v>
      </c>
      <c r="K480" s="72" t="str">
        <f>VLOOKUP($C480,Carpetas!$C$5:$M$2666,5,FALSE)</f>
        <v>Rio Branco</v>
      </c>
      <c r="L480" s="32"/>
      <c r="M480" s="48">
        <f>J480+1</f>
        <v>45489</v>
      </c>
      <c r="N480" s="26">
        <f t="shared" si="24"/>
        <v>4</v>
      </c>
      <c r="O480" s="27">
        <v>990</v>
      </c>
      <c r="P480" s="27">
        <v>990</v>
      </c>
      <c r="Q480" s="27"/>
      <c r="R480" s="27"/>
      <c r="S480" s="27" t="s">
        <v>1580</v>
      </c>
      <c r="T480" s="27"/>
      <c r="U480" s="27">
        <v>224</v>
      </c>
      <c r="V480" s="27" t="s">
        <v>921</v>
      </c>
      <c r="W480" s="27" t="s">
        <v>1165</v>
      </c>
      <c r="X480" s="73" t="s">
        <v>1397</v>
      </c>
      <c r="Y480" s="73" t="str">
        <f>VLOOKUP(X480,Choferes!$B$2:$C$500,2,FALSE)</f>
        <v>+5551996322594</v>
      </c>
      <c r="Z480" s="73" t="s">
        <v>1581</v>
      </c>
    </row>
    <row r="481" spans="1:26" hidden="1" x14ac:dyDescent="0.25">
      <c r="A481" s="33">
        <v>28</v>
      </c>
      <c r="B481" s="71" t="s">
        <v>29</v>
      </c>
      <c r="C481" s="39" t="s">
        <v>1470</v>
      </c>
      <c r="D481" s="50" t="s">
        <v>803</v>
      </c>
      <c r="E481" s="47">
        <v>45486</v>
      </c>
      <c r="F481" s="31" t="str">
        <f>VLOOKUP($C481,Carpetas!$C$5:$M$2666,2,FALSE)</f>
        <v>BRB043</v>
      </c>
      <c r="G481" s="23" t="str">
        <f>VLOOKUP($C481,Carpetas!$C$5:$M$2666,10,FALSE)</f>
        <v>149,60,67</v>
      </c>
      <c r="H481" s="27" t="str">
        <f>VLOOKUP($C481,Carpetas!$C$5:$M$2666,6,FALSE)</f>
        <v xml:space="preserve">Silvio </v>
      </c>
      <c r="I481" s="220"/>
      <c r="J481" s="47">
        <f>E481+2</f>
        <v>45488</v>
      </c>
      <c r="K481" s="72" t="str">
        <f>VLOOKUP($C481,Carpetas!$C$5:$M$2666,5,FALSE)</f>
        <v>Rio Branco</v>
      </c>
      <c r="L481" s="32"/>
      <c r="M481" s="48">
        <f>J481+1</f>
        <v>45489</v>
      </c>
      <c r="N481" s="26">
        <f t="shared" si="24"/>
        <v>3</v>
      </c>
      <c r="O481" s="27">
        <v>918</v>
      </c>
      <c r="P481" s="27">
        <v>918</v>
      </c>
      <c r="Q481" s="27"/>
      <c r="R481" s="27"/>
      <c r="S481" s="27" t="s">
        <v>1582</v>
      </c>
      <c r="T481" s="27"/>
      <c r="U481" s="27">
        <v>6993</v>
      </c>
      <c r="V481" s="27" t="s">
        <v>363</v>
      </c>
      <c r="W481" s="27" t="s">
        <v>364</v>
      </c>
      <c r="X481" s="73" t="s">
        <v>1583</v>
      </c>
      <c r="Y481" s="73" t="str">
        <f>VLOOKUP(X481,Choferes!$B$2:$C$500,2,FALSE)</f>
        <v>+5547999229927</v>
      </c>
      <c r="Z481" s="73" t="s">
        <v>1584</v>
      </c>
    </row>
    <row r="482" spans="1:26" hidden="1" x14ac:dyDescent="0.25">
      <c r="A482" s="33">
        <v>28</v>
      </c>
      <c r="B482" s="71" t="s">
        <v>29</v>
      </c>
      <c r="C482" s="39" t="s">
        <v>1516</v>
      </c>
      <c r="D482" s="50" t="s">
        <v>953</v>
      </c>
      <c r="E482" s="47">
        <v>45486</v>
      </c>
      <c r="F482" s="31" t="str">
        <f>VLOOKUP($C482,Carpetas!$C$5:$M$2666,2,FALSE)</f>
        <v>BRB044</v>
      </c>
      <c r="G482" s="23" t="str">
        <f>VLOOKUP($C482,Carpetas!$C$5:$M$2666,10,FALSE)</f>
        <v>149,66,97</v>
      </c>
      <c r="H482" s="27" t="str">
        <f>VLOOKUP($C482,Carpetas!$C$5:$M$2666,6,FALSE)</f>
        <v>FG</v>
      </c>
      <c r="I482" s="220"/>
      <c r="J482" s="47">
        <f>E482+2</f>
        <v>45488</v>
      </c>
      <c r="K482" s="72" t="str">
        <f>VLOOKUP($C482,Carpetas!$C$5:$M$2666,5,FALSE)</f>
        <v>Rio Branco</v>
      </c>
      <c r="L482" s="32"/>
      <c r="M482" s="48">
        <f>J482+1</f>
        <v>45489</v>
      </c>
      <c r="N482" s="26">
        <f t="shared" si="24"/>
        <v>3</v>
      </c>
      <c r="O482" s="27">
        <v>990</v>
      </c>
      <c r="P482" s="27">
        <v>990</v>
      </c>
      <c r="Q482" s="27"/>
      <c r="R482" s="27"/>
      <c r="S482" s="27" t="s">
        <v>1585</v>
      </c>
      <c r="T482" s="27"/>
      <c r="U482" s="27">
        <v>225</v>
      </c>
      <c r="V482" s="27" t="s">
        <v>826</v>
      </c>
      <c r="W482" s="27" t="s">
        <v>827</v>
      </c>
      <c r="X482" s="73" t="s">
        <v>1465</v>
      </c>
      <c r="Y482" s="73" t="str">
        <f>VLOOKUP(X482,Choferes!$B$2:$C$500,2,FALSE)</f>
        <v>+59893339027</v>
      </c>
      <c r="Z482" s="73" t="s">
        <v>1586</v>
      </c>
    </row>
    <row r="483" spans="1:26" hidden="1" x14ac:dyDescent="0.25">
      <c r="A483" s="33">
        <v>29</v>
      </c>
      <c r="B483" s="71" t="s">
        <v>29</v>
      </c>
      <c r="C483" s="39" t="s">
        <v>1587</v>
      </c>
      <c r="D483" s="50" t="s">
        <v>38</v>
      </c>
      <c r="E483" s="47">
        <v>45486</v>
      </c>
      <c r="F483" s="31" t="str">
        <f>VLOOKUP($C483,Carpetas!$C$5:$M$2666,2,FALSE)</f>
        <v>BRE020</v>
      </c>
      <c r="G483" s="23">
        <f>VLOOKUP($C483,Carpetas!$C$5:$M$2666,10,FALSE)</f>
        <v>0</v>
      </c>
      <c r="H483" s="27">
        <f>VLOOKUP($C483,Carpetas!$C$5:$M$2666,6,FALSE)</f>
        <v>0</v>
      </c>
      <c r="I483" s="220">
        <f>VLOOKUP($C483,Carpetas!$C$5:$M$2666,4,FALSE)</f>
        <v>0</v>
      </c>
      <c r="J483" s="47">
        <v>45489</v>
      </c>
      <c r="K483" s="72" t="str">
        <f>VLOOKUP($C483,Carpetas!$C$5:$M$2666,5,FALSE)</f>
        <v>Chuy</v>
      </c>
      <c r="L483" s="32"/>
      <c r="M483" s="48">
        <f>J483+1</f>
        <v>45490</v>
      </c>
      <c r="N483" s="26">
        <f t="shared" si="24"/>
        <v>4</v>
      </c>
      <c r="O483" s="27">
        <v>1384</v>
      </c>
      <c r="P483" s="27"/>
      <c r="Q483" s="27"/>
      <c r="R483" s="27"/>
      <c r="S483" s="27"/>
      <c r="T483" s="27"/>
      <c r="U483" s="27"/>
      <c r="V483" s="27"/>
      <c r="W483" s="27"/>
      <c r="X483" s="73"/>
      <c r="Y483" s="73" t="e">
        <f>VLOOKUP(X483,Choferes!$B$2:$C$500,2,FALSE)</f>
        <v>#N/A</v>
      </c>
      <c r="Z483" s="73"/>
    </row>
    <row r="484" spans="1:26" hidden="1" x14ac:dyDescent="0.25">
      <c r="A484" s="33">
        <v>29</v>
      </c>
      <c r="B484" s="71" t="s">
        <v>29</v>
      </c>
      <c r="C484" s="39" t="s">
        <v>1516</v>
      </c>
      <c r="D484" s="50" t="s">
        <v>747</v>
      </c>
      <c r="E484" s="47">
        <v>45488</v>
      </c>
      <c r="F484" s="31" t="str">
        <f>VLOOKUP($C484,Carpetas!$C$5:$M$2666,2,FALSE)</f>
        <v>BRB044</v>
      </c>
      <c r="G484" s="23" t="str">
        <f>VLOOKUP($C484,Carpetas!$C$5:$M$2666,10,FALSE)</f>
        <v>149,66,97</v>
      </c>
      <c r="H484" s="27" t="str">
        <f>VLOOKUP($C484,Carpetas!$C$5:$M$2666,6,FALSE)</f>
        <v>FG</v>
      </c>
      <c r="I484" s="220"/>
      <c r="J484" s="47">
        <f>E484+2</f>
        <v>45490</v>
      </c>
      <c r="K484" s="72" t="str">
        <f>VLOOKUP($C484,Carpetas!$C$5:$M$2666,5,FALSE)</f>
        <v>Rio Branco</v>
      </c>
      <c r="L484" s="32"/>
      <c r="M484" s="48">
        <v>45490</v>
      </c>
      <c r="N484" s="26">
        <f t="shared" si="24"/>
        <v>2</v>
      </c>
      <c r="O484" s="27">
        <v>990</v>
      </c>
      <c r="P484" s="27">
        <v>955</v>
      </c>
      <c r="Q484" s="27"/>
      <c r="R484" s="27"/>
      <c r="S484" s="27" t="s">
        <v>1588</v>
      </c>
      <c r="T484" s="27"/>
      <c r="U484" s="27">
        <v>227</v>
      </c>
      <c r="V484" s="27" t="s">
        <v>1148</v>
      </c>
      <c r="W484" s="27" t="s">
        <v>1149</v>
      </c>
      <c r="X484" s="73" t="s">
        <v>1589</v>
      </c>
      <c r="Y484" s="73" t="str">
        <f>VLOOKUP(X484,Choferes!$B$2:$C$500,2,FALSE)</f>
        <v>+5551998970570</v>
      </c>
      <c r="Z484" s="73" t="s">
        <v>1590</v>
      </c>
    </row>
    <row r="485" spans="1:26" hidden="1" x14ac:dyDescent="0.25">
      <c r="A485" s="33">
        <v>28</v>
      </c>
      <c r="B485" s="71" t="s">
        <v>29</v>
      </c>
      <c r="C485" s="39" t="s">
        <v>1591</v>
      </c>
      <c r="D485" s="50" t="s">
        <v>121</v>
      </c>
      <c r="E485" s="47">
        <v>45487</v>
      </c>
      <c r="F485" s="31" t="str">
        <f>VLOOKUP($C485,Carpetas!$C$5:$M$2666,2,FALSE)</f>
        <v>PYB118</v>
      </c>
      <c r="G485" s="23">
        <f>VLOOKUP($C485,Carpetas!$C$5:$M$2666,10,FALSE)</f>
        <v>0</v>
      </c>
      <c r="H485" s="27">
        <f>VLOOKUP($C485,Carpetas!$C$5:$M$2666,6,FALSE)</f>
        <v>0</v>
      </c>
      <c r="I485" s="220"/>
      <c r="J485" s="47">
        <v>45489</v>
      </c>
      <c r="K485" s="72" t="str">
        <f>VLOOKUP($C485,Carpetas!$C$5:$M$2666,5,FALSE)</f>
        <v>Salto</v>
      </c>
      <c r="L485" s="32"/>
      <c r="M485" s="48">
        <v>45492</v>
      </c>
      <c r="N485" s="26">
        <f t="shared" si="24"/>
        <v>5</v>
      </c>
      <c r="O485" s="27">
        <v>980</v>
      </c>
      <c r="P485" s="27">
        <v>982</v>
      </c>
      <c r="Q485" s="27"/>
      <c r="R485" s="27"/>
      <c r="S485" s="27" t="s">
        <v>1592</v>
      </c>
      <c r="T485" s="27"/>
      <c r="U485" s="27"/>
      <c r="V485" s="27" t="s">
        <v>1346</v>
      </c>
      <c r="W485" s="27" t="s">
        <v>1011</v>
      </c>
      <c r="X485" s="73"/>
      <c r="Y485" s="73" t="e">
        <f>VLOOKUP(X485,Choferes!$B$2:$C$500,2,FALSE)</f>
        <v>#N/A</v>
      </c>
      <c r="Z485" s="73" t="s">
        <v>1593</v>
      </c>
    </row>
    <row r="486" spans="1:26" hidden="1" x14ac:dyDescent="0.25">
      <c r="A486" s="33">
        <v>29</v>
      </c>
      <c r="B486" s="71" t="s">
        <v>29</v>
      </c>
      <c r="C486" s="39" t="s">
        <v>1594</v>
      </c>
      <c r="D486" s="50" t="s">
        <v>803</v>
      </c>
      <c r="E486" s="47">
        <v>45488</v>
      </c>
      <c r="F486" s="31" t="str">
        <f>VLOOKUP($C486,Carpetas!$C$5:$M$2666,2,FALSE)</f>
        <v>BRB046</v>
      </c>
      <c r="G486" s="23" t="str">
        <f>VLOOKUP($C486,Carpetas!$C$5:$M$2666,10,FALSE)</f>
        <v>149,72,02</v>
      </c>
      <c r="H486" s="27" t="str">
        <f>VLOOKUP($C486,Carpetas!$C$5:$M$2666,6,FALSE)</f>
        <v xml:space="preserve">Silvio </v>
      </c>
      <c r="I486" s="220"/>
      <c r="J486" s="47">
        <f>E486+2</f>
        <v>45490</v>
      </c>
      <c r="K486" s="72" t="str">
        <f>VLOOKUP($C486,Carpetas!$C$5:$M$2666,5,FALSE)</f>
        <v>Rio Branco</v>
      </c>
      <c r="L486" s="32"/>
      <c r="M486" s="48">
        <v>45492</v>
      </c>
      <c r="N486" s="26">
        <f t="shared" si="24"/>
        <v>4</v>
      </c>
      <c r="O486" s="27">
        <v>918</v>
      </c>
      <c r="P486" s="27">
        <v>918</v>
      </c>
      <c r="Q486" s="27"/>
      <c r="R486" s="27"/>
      <c r="S486" s="27" t="s">
        <v>1595</v>
      </c>
      <c r="T486" s="27"/>
      <c r="U486" s="27">
        <v>7023</v>
      </c>
      <c r="V486" s="27" t="s">
        <v>1596</v>
      </c>
      <c r="W486" s="27" t="s">
        <v>1597</v>
      </c>
      <c r="X486" s="73" t="s">
        <v>1598</v>
      </c>
      <c r="Y486" s="73" t="str">
        <f>VLOOKUP(X486,Choferes!$B$2:$C$500,2,FALSE)</f>
        <v>+5549999193862</v>
      </c>
      <c r="Z486" s="73" t="s">
        <v>1599</v>
      </c>
    </row>
    <row r="487" spans="1:26" hidden="1" x14ac:dyDescent="0.25">
      <c r="A487" s="33">
        <v>28</v>
      </c>
      <c r="B487" s="71" t="s">
        <v>29</v>
      </c>
      <c r="C487" s="39" t="s">
        <v>1591</v>
      </c>
      <c r="D487" s="50" t="s">
        <v>121</v>
      </c>
      <c r="E487" s="47">
        <v>45488</v>
      </c>
      <c r="F487" s="31" t="str">
        <f>VLOOKUP($C487,Carpetas!$C$5:$M$2666,2,FALSE)</f>
        <v>PYB118</v>
      </c>
      <c r="G487" s="23">
        <f>VLOOKUP($C487,Carpetas!$C$5:$M$2666,10,FALSE)</f>
        <v>0</v>
      </c>
      <c r="H487" s="27">
        <f>VLOOKUP($C487,Carpetas!$C$5:$M$2666,6,FALSE)</f>
        <v>0</v>
      </c>
      <c r="I487" s="220"/>
      <c r="J487" s="47">
        <v>45490</v>
      </c>
      <c r="K487" s="72" t="str">
        <f>VLOOKUP($C487,Carpetas!$C$5:$M$2666,5,FALSE)</f>
        <v>Salto</v>
      </c>
      <c r="L487" s="32"/>
      <c r="M487" s="48">
        <v>45492</v>
      </c>
      <c r="N487" s="26">
        <f t="shared" si="24"/>
        <v>4</v>
      </c>
      <c r="O487" s="27">
        <v>980</v>
      </c>
      <c r="P487" s="27">
        <v>982</v>
      </c>
      <c r="Q487" s="27"/>
      <c r="R487" s="27"/>
      <c r="S487" s="27" t="s">
        <v>1600</v>
      </c>
      <c r="T487" s="27"/>
      <c r="U487" s="27"/>
      <c r="V487" s="27" t="s">
        <v>1601</v>
      </c>
      <c r="W487" s="27" t="s">
        <v>1602</v>
      </c>
      <c r="X487" s="73"/>
      <c r="Y487" s="73" t="e">
        <f>VLOOKUP(X487,Choferes!$B$2:$C$500,2,FALSE)</f>
        <v>#N/A</v>
      </c>
      <c r="Z487" s="73" t="s">
        <v>1593</v>
      </c>
    </row>
    <row r="488" spans="1:26" hidden="1" x14ac:dyDescent="0.25">
      <c r="A488" s="33">
        <v>29</v>
      </c>
      <c r="B488" s="71" t="s">
        <v>29</v>
      </c>
      <c r="C488" s="39" t="s">
        <v>1603</v>
      </c>
      <c r="D488" s="50" t="s">
        <v>102</v>
      </c>
      <c r="E488" s="47">
        <v>45488</v>
      </c>
      <c r="F488" s="31" t="str">
        <f>VLOOKUP($C488,Carpetas!$C$5:$M$2666,2,FALSE)</f>
        <v>PYB120</v>
      </c>
      <c r="G488" s="23">
        <f>VLOOKUP($C488,Carpetas!$C$5:$M$2666,10,FALSE)</f>
        <v>0</v>
      </c>
      <c r="H488" s="27">
        <f>VLOOKUP($C488,Carpetas!$C$5:$M$2666,6,FALSE)</f>
        <v>0</v>
      </c>
      <c r="I488" s="220"/>
      <c r="J488" s="47">
        <v>45491</v>
      </c>
      <c r="K488" s="72" t="str">
        <f>VLOOKUP($C488,Carpetas!$C$5:$M$2666,5,FALSE)</f>
        <v>Salto</v>
      </c>
      <c r="L488" s="32"/>
      <c r="M488" s="48">
        <f>J488+1</f>
        <v>45492</v>
      </c>
      <c r="N488" s="26">
        <f t="shared" si="24"/>
        <v>4</v>
      </c>
      <c r="O488" s="27">
        <v>980</v>
      </c>
      <c r="P488" s="27">
        <v>981</v>
      </c>
      <c r="Q488" s="27"/>
      <c r="R488" s="27"/>
      <c r="S488" s="27" t="s">
        <v>1604</v>
      </c>
      <c r="T488" s="27"/>
      <c r="U488" s="27"/>
      <c r="V488" s="27" t="s">
        <v>161</v>
      </c>
      <c r="W488" s="27" t="s">
        <v>162</v>
      </c>
      <c r="X488" s="73"/>
      <c r="Y488" s="73" t="e">
        <f>VLOOKUP(X488,Choferes!$B$2:$C$500,2,FALSE)</f>
        <v>#N/A</v>
      </c>
      <c r="Z488" s="73" t="s">
        <v>1605</v>
      </c>
    </row>
    <row r="489" spans="1:26" hidden="1" x14ac:dyDescent="0.25">
      <c r="A489" s="33">
        <v>29</v>
      </c>
      <c r="B489" s="71" t="s">
        <v>29</v>
      </c>
      <c r="C489" s="39" t="s">
        <v>1606</v>
      </c>
      <c r="D489" s="50" t="s">
        <v>48</v>
      </c>
      <c r="E489" s="47">
        <v>45488</v>
      </c>
      <c r="F489" s="31" t="str">
        <f>VLOOKUP($C489,Carpetas!$C$5:$M$2666,2,FALSE)</f>
        <v>PYB119</v>
      </c>
      <c r="G489" s="23">
        <f>VLOOKUP($C489,Carpetas!$C$5:$M$2666,10,FALSE)</f>
        <v>0</v>
      </c>
      <c r="H489" s="27">
        <f>VLOOKUP($C489,Carpetas!$C$5:$M$2666,6,FALSE)</f>
        <v>0</v>
      </c>
      <c r="I489" s="220"/>
      <c r="J489" s="47">
        <v>45491</v>
      </c>
      <c r="K489" s="72" t="str">
        <f>VLOOKUP($C489,Carpetas!$C$5:$M$2666,5,FALSE)</f>
        <v>Salto</v>
      </c>
      <c r="L489" s="32"/>
      <c r="M489" s="48">
        <v>45493</v>
      </c>
      <c r="N489" s="26">
        <f t="shared" si="24"/>
        <v>5</v>
      </c>
      <c r="O489" s="27">
        <v>930</v>
      </c>
      <c r="P489" s="27">
        <v>930</v>
      </c>
      <c r="Q489" s="27"/>
      <c r="R489" s="27"/>
      <c r="S489" s="27" t="s">
        <v>1607</v>
      </c>
      <c r="T489" s="27"/>
      <c r="U489" s="27"/>
      <c r="V489" s="27" t="s">
        <v>69</v>
      </c>
      <c r="W489" s="27" t="s">
        <v>70</v>
      </c>
      <c r="X489" s="73"/>
      <c r="Y489" s="73" t="e">
        <f>VLOOKUP(X489,Choferes!$B$2:$C$500,2,FALSE)</f>
        <v>#N/A</v>
      </c>
      <c r="Z489" s="73" t="s">
        <v>1608</v>
      </c>
    </row>
    <row r="490" spans="1:26" hidden="1" x14ac:dyDescent="0.25">
      <c r="A490" s="33">
        <v>29</v>
      </c>
      <c r="B490" s="71" t="s">
        <v>29</v>
      </c>
      <c r="C490" s="39" t="s">
        <v>1603</v>
      </c>
      <c r="D490" s="50" t="s">
        <v>102</v>
      </c>
      <c r="E490" s="47">
        <v>45489</v>
      </c>
      <c r="F490" s="31" t="str">
        <f>VLOOKUP($C490,Carpetas!$C$5:$M$2666,2,FALSE)</f>
        <v>PYB120</v>
      </c>
      <c r="G490" s="23">
        <f>VLOOKUP($C490,Carpetas!$C$5:$M$2666,10,FALSE)</f>
        <v>0</v>
      </c>
      <c r="H490" s="27">
        <f>VLOOKUP($C490,Carpetas!$C$5:$M$2666,6,FALSE)</f>
        <v>0</v>
      </c>
      <c r="I490" s="220"/>
      <c r="J490" s="47">
        <f t="shared" ref="J490:J495" si="26">E490+2</f>
        <v>45491</v>
      </c>
      <c r="K490" s="72" t="str">
        <f>VLOOKUP($C490,Carpetas!$C$5:$M$2666,5,FALSE)</f>
        <v>Salto</v>
      </c>
      <c r="L490" s="32"/>
      <c r="M490" s="48">
        <v>45493</v>
      </c>
      <c r="N490" s="26">
        <f t="shared" si="24"/>
        <v>4</v>
      </c>
      <c r="O490" s="27">
        <v>980</v>
      </c>
      <c r="P490" s="27">
        <v>980</v>
      </c>
      <c r="Q490" s="27"/>
      <c r="R490" s="27"/>
      <c r="S490" s="27" t="s">
        <v>1609</v>
      </c>
      <c r="T490" s="27"/>
      <c r="U490" s="27"/>
      <c r="V490" s="27" t="s">
        <v>288</v>
      </c>
      <c r="W490" s="27" t="s">
        <v>289</v>
      </c>
      <c r="X490" s="73"/>
      <c r="Y490" s="73" t="e">
        <f>VLOOKUP(X490,Choferes!$B$2:$C$500,2,FALSE)</f>
        <v>#N/A</v>
      </c>
      <c r="Z490" s="73" t="s">
        <v>1610</v>
      </c>
    </row>
    <row r="491" spans="1:26" hidden="1" x14ac:dyDescent="0.25">
      <c r="A491" s="33">
        <v>29</v>
      </c>
      <c r="B491" s="71" t="s">
        <v>29</v>
      </c>
      <c r="C491" s="39" t="s">
        <v>1611</v>
      </c>
      <c r="D491" s="50" t="s">
        <v>803</v>
      </c>
      <c r="E491" s="47">
        <v>45490</v>
      </c>
      <c r="F491" s="31" t="str">
        <f>VLOOKUP($C491,Carpetas!$C$5:$M$2666,2,FALSE)</f>
        <v>BRB048</v>
      </c>
      <c r="G491" s="23" t="str">
        <f>VLOOKUP($C491,Carpetas!$C$5:$M$2666,10,FALSE)</f>
        <v>149,75,56</v>
      </c>
      <c r="H491" s="27" t="str">
        <f>VLOOKUP($C491,Carpetas!$C$5:$M$2666,6,FALSE)</f>
        <v>Zanini</v>
      </c>
      <c r="I491" s="220"/>
      <c r="J491" s="47">
        <f t="shared" si="26"/>
        <v>45492</v>
      </c>
      <c r="K491" s="72" t="str">
        <f>VLOOKUP($C491,Carpetas!$C$5:$M$2666,5,FALSE)</f>
        <v>Rio Branco</v>
      </c>
      <c r="L491" s="32"/>
      <c r="M491" s="48">
        <f>J491+1</f>
        <v>45493</v>
      </c>
      <c r="N491" s="26">
        <f t="shared" si="24"/>
        <v>3</v>
      </c>
      <c r="O491" s="27">
        <v>918</v>
      </c>
      <c r="P491" s="27">
        <v>918</v>
      </c>
      <c r="Q491" s="27"/>
      <c r="R491" s="27"/>
      <c r="S491" s="27" t="s">
        <v>1612</v>
      </c>
      <c r="T491" s="27"/>
      <c r="U491" s="27">
        <v>4585</v>
      </c>
      <c r="V491" s="27" t="s">
        <v>395</v>
      </c>
      <c r="W491" s="27" t="s">
        <v>396</v>
      </c>
      <c r="X491" s="73" t="s">
        <v>1613</v>
      </c>
      <c r="Y491" s="73" t="str">
        <f>VLOOKUP(X491,Choferes!$B$2:$C$500,2,FALSE)</f>
        <v>+5547988461729</v>
      </c>
      <c r="Z491" s="73" t="s">
        <v>1614</v>
      </c>
    </row>
    <row r="492" spans="1:26" ht="30" hidden="1" x14ac:dyDescent="0.25">
      <c r="A492" s="33">
        <v>29</v>
      </c>
      <c r="B492" s="71" t="s">
        <v>29</v>
      </c>
      <c r="C492" s="39" t="s">
        <v>1615</v>
      </c>
      <c r="D492" s="50" t="s">
        <v>764</v>
      </c>
      <c r="E492" s="47">
        <v>45490</v>
      </c>
      <c r="F492" s="31" t="str">
        <f>VLOOKUP($C492,Carpetas!$C$5:$M$2666,2,FALSE)</f>
        <v>BRB047</v>
      </c>
      <c r="G492" s="23" t="str">
        <f>VLOOKUP($C492,Carpetas!$C$5:$M$2666,10,FALSE)</f>
        <v>149,75,58</v>
      </c>
      <c r="H492" s="27" t="str">
        <f>VLOOKUP($C492,Carpetas!$C$5:$M$2666,6,FALSE)</f>
        <v>FG</v>
      </c>
      <c r="I492" s="220"/>
      <c r="J492" s="47">
        <f t="shared" si="26"/>
        <v>45492</v>
      </c>
      <c r="K492" s="72" t="str">
        <f>VLOOKUP($C492,Carpetas!$C$5:$M$2666,5,FALSE)</f>
        <v>Rio Branco</v>
      </c>
      <c r="L492" s="32"/>
      <c r="M492" s="48">
        <f>J492+1</f>
        <v>45493</v>
      </c>
      <c r="N492" s="26">
        <f t="shared" si="24"/>
        <v>3</v>
      </c>
      <c r="O492" s="27">
        <v>990</v>
      </c>
      <c r="P492" s="27">
        <v>1026</v>
      </c>
      <c r="Q492" s="27"/>
      <c r="R492" s="27"/>
      <c r="S492" s="27" t="s">
        <v>1616</v>
      </c>
      <c r="T492" s="27"/>
      <c r="U492" s="27">
        <v>231</v>
      </c>
      <c r="V492" s="27" t="s">
        <v>1617</v>
      </c>
      <c r="W492" s="27" t="s">
        <v>1618</v>
      </c>
      <c r="X492" s="73" t="s">
        <v>1619</v>
      </c>
      <c r="Y492" s="73" t="str">
        <f>VLOOKUP(X492,Choferes!$B$2:$C$500,2,FALSE)</f>
        <v>+5553984318842</v>
      </c>
      <c r="Z492" s="73" t="s">
        <v>1620</v>
      </c>
    </row>
    <row r="493" spans="1:26" ht="30" hidden="1" x14ac:dyDescent="0.25">
      <c r="A493" s="33">
        <v>29</v>
      </c>
      <c r="B493" s="71" t="s">
        <v>29</v>
      </c>
      <c r="C493" s="39" t="s">
        <v>1615</v>
      </c>
      <c r="D493" s="50" t="s">
        <v>258</v>
      </c>
      <c r="E493" s="47">
        <v>45490</v>
      </c>
      <c r="F493" s="31" t="str">
        <f>VLOOKUP($C493,Carpetas!$C$5:$M$2666,2,FALSE)</f>
        <v>BRB047</v>
      </c>
      <c r="G493" s="23" t="str">
        <f>VLOOKUP($C493,Carpetas!$C$5:$M$2666,10,FALSE)</f>
        <v>149,75,58</v>
      </c>
      <c r="H493" s="27" t="str">
        <f>VLOOKUP($C493,Carpetas!$C$5:$M$2666,6,FALSE)</f>
        <v>FG</v>
      </c>
      <c r="I493" s="220"/>
      <c r="J493" s="47">
        <f t="shared" si="26"/>
        <v>45492</v>
      </c>
      <c r="K493" s="72" t="str">
        <f>VLOOKUP($C493,Carpetas!$C$5:$M$2666,5,FALSE)</f>
        <v>Rio Branco</v>
      </c>
      <c r="L493" s="32"/>
      <c r="M493" s="48">
        <f>J493+1</f>
        <v>45493</v>
      </c>
      <c r="N493" s="26">
        <f t="shared" si="24"/>
        <v>3</v>
      </c>
      <c r="O493" s="27">
        <v>990</v>
      </c>
      <c r="P493" s="27">
        <v>1008</v>
      </c>
      <c r="Q493" s="27"/>
      <c r="R493" s="27"/>
      <c r="S493" s="27" t="s">
        <v>1621</v>
      </c>
      <c r="T493" s="27"/>
      <c r="U493" s="27">
        <v>232</v>
      </c>
      <c r="V493" s="27" t="s">
        <v>1042</v>
      </c>
      <c r="W493" s="27" t="s">
        <v>1622</v>
      </c>
      <c r="X493" s="73" t="s">
        <v>1623</v>
      </c>
      <c r="Y493" s="73" t="str">
        <f>VLOOKUP(X493,Choferes!$B$2:$C$500,2,FALSE)</f>
        <v>+5553991254560</v>
      </c>
      <c r="Z493" s="73" t="s">
        <v>1624</v>
      </c>
    </row>
    <row r="494" spans="1:26" hidden="1" x14ac:dyDescent="0.25">
      <c r="A494" s="33">
        <v>29</v>
      </c>
      <c r="B494" s="71" t="s">
        <v>29</v>
      </c>
      <c r="C494" s="39" t="s">
        <v>1615</v>
      </c>
      <c r="D494" s="50" t="s">
        <v>110</v>
      </c>
      <c r="E494" s="47">
        <v>45490</v>
      </c>
      <c r="F494" s="31" t="str">
        <f>VLOOKUP($C494,Carpetas!$C$5:$M$2666,2,FALSE)</f>
        <v>BRB047</v>
      </c>
      <c r="G494" s="23" t="str">
        <f>VLOOKUP($C494,Carpetas!$C$5:$M$2666,10,FALSE)</f>
        <v>149,75,58</v>
      </c>
      <c r="H494" s="27" t="str">
        <f>VLOOKUP($C494,Carpetas!$C$5:$M$2666,6,FALSE)</f>
        <v>FG</v>
      </c>
      <c r="I494" s="220"/>
      <c r="J494" s="47">
        <f t="shared" si="26"/>
        <v>45492</v>
      </c>
      <c r="K494" s="72" t="str">
        <f>VLOOKUP($C494,Carpetas!$C$5:$M$2666,5,FALSE)</f>
        <v>Rio Branco</v>
      </c>
      <c r="L494" s="32"/>
      <c r="M494" s="48">
        <f>J494+1</f>
        <v>45493</v>
      </c>
      <c r="N494" s="26">
        <f t="shared" si="24"/>
        <v>3</v>
      </c>
      <c r="O494" s="27">
        <v>990</v>
      </c>
      <c r="P494" s="27">
        <v>972</v>
      </c>
      <c r="Q494" s="27"/>
      <c r="R494" s="27"/>
      <c r="S494" s="27" t="s">
        <v>1625</v>
      </c>
      <c r="T494" s="27"/>
      <c r="U494" s="27">
        <v>230</v>
      </c>
      <c r="V494" s="27" t="s">
        <v>1626</v>
      </c>
      <c r="W494" s="27" t="s">
        <v>1627</v>
      </c>
      <c r="X494" s="73" t="s">
        <v>1489</v>
      </c>
      <c r="Y494" s="73" t="str">
        <f>VLOOKUP(X494,Choferes!$B$2:$C$500,2,FALSE)</f>
        <v>+5553984039582</v>
      </c>
      <c r="Z494" s="73" t="s">
        <v>1628</v>
      </c>
    </row>
    <row r="495" spans="1:26" hidden="1" x14ac:dyDescent="0.25">
      <c r="A495" s="33">
        <v>29</v>
      </c>
      <c r="B495" s="71" t="s">
        <v>29</v>
      </c>
      <c r="C495" s="39" t="s">
        <v>1615</v>
      </c>
      <c r="D495" s="50" t="s">
        <v>258</v>
      </c>
      <c r="E495" s="47">
        <v>45492</v>
      </c>
      <c r="F495" s="31" t="str">
        <f>VLOOKUP($C495,Carpetas!$C$5:$M$2666,2,FALSE)</f>
        <v>BRB047</v>
      </c>
      <c r="G495" s="23" t="str">
        <f>VLOOKUP($C495,Carpetas!$C$5:$M$2666,10,FALSE)</f>
        <v>149,75,58</v>
      </c>
      <c r="H495" s="27" t="str">
        <f>VLOOKUP($C495,Carpetas!$C$5:$M$2666,6,FALSE)</f>
        <v>FG</v>
      </c>
      <c r="I495" s="220"/>
      <c r="J495" s="47">
        <f t="shared" si="26"/>
        <v>45494</v>
      </c>
      <c r="K495" s="72" t="str">
        <f>VLOOKUP($C495,Carpetas!$C$5:$M$2666,5,FALSE)</f>
        <v>Rio Branco</v>
      </c>
      <c r="L495" s="32"/>
      <c r="M495" s="48">
        <v>45496</v>
      </c>
      <c r="N495" s="26">
        <f t="shared" si="24"/>
        <v>4</v>
      </c>
      <c r="O495" s="27">
        <v>990</v>
      </c>
      <c r="P495" s="27">
        <v>990</v>
      </c>
      <c r="Q495" s="27"/>
      <c r="R495" s="27"/>
      <c r="S495" s="27" t="s">
        <v>1629</v>
      </c>
      <c r="T495" s="27"/>
      <c r="U495" s="27">
        <v>236</v>
      </c>
      <c r="V495" s="27" t="s">
        <v>1630</v>
      </c>
      <c r="W495" s="27" t="s">
        <v>1631</v>
      </c>
      <c r="X495" s="73" t="s">
        <v>1397</v>
      </c>
      <c r="Y495" s="73" t="str">
        <f>VLOOKUP(X495,Choferes!$B$2:$C$500,2,FALSE)</f>
        <v>+5551996322594</v>
      </c>
      <c r="Z495" s="73" t="s">
        <v>1632</v>
      </c>
    </row>
    <row r="496" spans="1:26" ht="30" hidden="1" x14ac:dyDescent="0.25">
      <c r="A496" s="33">
        <v>29</v>
      </c>
      <c r="B496" s="71" t="s">
        <v>29</v>
      </c>
      <c r="C496" s="39" t="s">
        <v>1594</v>
      </c>
      <c r="D496" s="50" t="s">
        <v>249</v>
      </c>
      <c r="E496" s="47">
        <v>45492</v>
      </c>
      <c r="F496" s="31" t="str">
        <f>VLOOKUP($C496,Carpetas!$C$5:$M$2666,2,FALSE)</f>
        <v>BRB046</v>
      </c>
      <c r="G496" s="23" t="str">
        <f>VLOOKUP($C496,Carpetas!$C$5:$M$2666,10,FALSE)</f>
        <v>149,72,02</v>
      </c>
      <c r="H496" s="27" t="str">
        <f>VLOOKUP($C496,Carpetas!$C$5:$M$2666,6,FALSE)</f>
        <v xml:space="preserve">Silvio </v>
      </c>
      <c r="I496" s="220"/>
      <c r="J496" s="47">
        <v>45495</v>
      </c>
      <c r="K496" s="72" t="str">
        <f>VLOOKUP($C496,Carpetas!$C$5:$M$2666,5,FALSE)</f>
        <v>Rio Branco</v>
      </c>
      <c r="L496" s="32"/>
      <c r="M496" s="48">
        <f>J496+1</f>
        <v>45496</v>
      </c>
      <c r="N496" s="26">
        <f t="shared" si="24"/>
        <v>4</v>
      </c>
      <c r="O496" s="27">
        <v>918</v>
      </c>
      <c r="P496" s="27">
        <v>919</v>
      </c>
      <c r="Q496" s="27"/>
      <c r="R496" s="27"/>
      <c r="S496" s="27" t="s">
        <v>1633</v>
      </c>
      <c r="T496" s="27"/>
      <c r="U496" s="27">
        <v>7024</v>
      </c>
      <c r="V496" s="27" t="s">
        <v>251</v>
      </c>
      <c r="W496" s="27" t="s">
        <v>710</v>
      </c>
      <c r="X496" s="73"/>
      <c r="Y496" s="73" t="e">
        <f>VLOOKUP(X496,Choferes!$B$2:$C$500,2,FALSE)</f>
        <v>#N/A</v>
      </c>
      <c r="Z496" s="73" t="s">
        <v>1634</v>
      </c>
    </row>
    <row r="497" spans="1:26" hidden="1" x14ac:dyDescent="0.25">
      <c r="A497" s="33">
        <v>29</v>
      </c>
      <c r="B497" s="71" t="s">
        <v>29</v>
      </c>
      <c r="C497" s="39" t="s">
        <v>1615</v>
      </c>
      <c r="D497" s="50" t="s">
        <v>764</v>
      </c>
      <c r="E497" s="47">
        <v>45492</v>
      </c>
      <c r="F497" s="31" t="str">
        <f>VLOOKUP($C497,Carpetas!$C$5:$M$2666,2,FALSE)</f>
        <v>BRB047</v>
      </c>
      <c r="G497" s="23" t="str">
        <f>VLOOKUP($C497,Carpetas!$C$5:$M$2666,10,FALSE)</f>
        <v>149,75,58</v>
      </c>
      <c r="H497" s="27" t="str">
        <f>VLOOKUP($C497,Carpetas!$C$5:$M$2666,6,FALSE)</f>
        <v>FG</v>
      </c>
      <c r="I497" s="220"/>
      <c r="J497" s="47">
        <v>45495</v>
      </c>
      <c r="K497" s="72" t="str">
        <f>VLOOKUP($C497,Carpetas!$C$5:$M$2666,5,FALSE)</f>
        <v>Rio Branco</v>
      </c>
      <c r="L497" s="32"/>
      <c r="M497" s="48">
        <f>J497+1</f>
        <v>45496</v>
      </c>
      <c r="N497" s="26">
        <f t="shared" si="24"/>
        <v>4</v>
      </c>
      <c r="O497" s="27">
        <v>990</v>
      </c>
      <c r="P497" s="27">
        <v>990</v>
      </c>
      <c r="Q497" s="27"/>
      <c r="R497" s="27"/>
      <c r="S497" s="27" t="s">
        <v>1635</v>
      </c>
      <c r="T497" s="27"/>
      <c r="U497" s="27">
        <v>234</v>
      </c>
      <c r="V497" s="27" t="s">
        <v>1636</v>
      </c>
      <c r="W497" s="27" t="s">
        <v>1637</v>
      </c>
      <c r="X497" s="73" t="s">
        <v>1413</v>
      </c>
      <c r="Y497" s="73" t="str">
        <f>VLOOKUP(X497,Choferes!$B$2:$C$500,2,FALSE)</f>
        <v>+59899406679</v>
      </c>
      <c r="Z497" s="73" t="s">
        <v>1638</v>
      </c>
    </row>
    <row r="498" spans="1:26" hidden="1" x14ac:dyDescent="0.25">
      <c r="A498" s="33">
        <v>29</v>
      </c>
      <c r="B498" s="71" t="s">
        <v>29</v>
      </c>
      <c r="C498" s="39" t="s">
        <v>1611</v>
      </c>
      <c r="D498" s="50" t="s">
        <v>880</v>
      </c>
      <c r="E498" s="47">
        <v>45493</v>
      </c>
      <c r="F498" s="31" t="str">
        <f>VLOOKUP($C498,Carpetas!$C$5:$M$2666,2,FALSE)</f>
        <v>BRB048</v>
      </c>
      <c r="G498" s="23" t="str">
        <f>VLOOKUP($C498,Carpetas!$C$5:$M$2666,10,FALSE)</f>
        <v>149,75,56</v>
      </c>
      <c r="H498" s="27" t="str">
        <f>VLOOKUP($C498,Carpetas!$C$5:$M$2666,6,FALSE)</f>
        <v>Zanini</v>
      </c>
      <c r="I498" s="220"/>
      <c r="J498" s="47">
        <v>45495</v>
      </c>
      <c r="K498" s="72" t="str">
        <f>VLOOKUP($C498,Carpetas!$C$5:$M$2666,5,FALSE)</f>
        <v>Rio Branco</v>
      </c>
      <c r="L498" s="32"/>
      <c r="M498" s="48">
        <f>J498+1</f>
        <v>45496</v>
      </c>
      <c r="N498" s="26">
        <f t="shared" si="24"/>
        <v>3</v>
      </c>
      <c r="O498" s="27">
        <v>918</v>
      </c>
      <c r="P498" s="27">
        <v>918</v>
      </c>
      <c r="Q498" s="27"/>
      <c r="R498" s="27"/>
      <c r="S498" s="27" t="s">
        <v>1639</v>
      </c>
      <c r="T498" s="27"/>
      <c r="U498" s="27">
        <v>4596</v>
      </c>
      <c r="V498" s="27" t="s">
        <v>1640</v>
      </c>
      <c r="W498" s="27" t="s">
        <v>1641</v>
      </c>
      <c r="X498" s="73" t="s">
        <v>1642</v>
      </c>
      <c r="Y498" s="73" t="str">
        <f>VLOOKUP(X498,Choferes!$B$2:$C$500,2,FALSE)</f>
        <v>+5542999600411</v>
      </c>
      <c r="Z498" s="73" t="s">
        <v>1643</v>
      </c>
    </row>
    <row r="499" spans="1:26" hidden="1" x14ac:dyDescent="0.25">
      <c r="A499" s="33">
        <v>29</v>
      </c>
      <c r="B499" s="71" t="s">
        <v>29</v>
      </c>
      <c r="C499" s="39" t="s">
        <v>1615</v>
      </c>
      <c r="D499" s="50" t="s">
        <v>953</v>
      </c>
      <c r="E499" s="47">
        <v>45493</v>
      </c>
      <c r="F499" s="31" t="str">
        <f>VLOOKUP($C499,Carpetas!$C$5:$M$2666,2,FALSE)</f>
        <v>BRB047</v>
      </c>
      <c r="G499" s="23" t="str">
        <f>VLOOKUP($C499,Carpetas!$C$5:$M$2666,10,FALSE)</f>
        <v>149,75,58</v>
      </c>
      <c r="H499" s="27" t="str">
        <f>VLOOKUP($C499,Carpetas!$C$5:$M$2666,6,FALSE)</f>
        <v>FG</v>
      </c>
      <c r="I499" s="220"/>
      <c r="J499" s="47">
        <f>E499+2</f>
        <v>45495</v>
      </c>
      <c r="K499" s="72" t="str">
        <f>VLOOKUP($C499,Carpetas!$C$5:$M$2666,5,FALSE)</f>
        <v>Rio Branco</v>
      </c>
      <c r="L499" s="32"/>
      <c r="M499" s="48">
        <f>J499+1</f>
        <v>45496</v>
      </c>
      <c r="N499" s="26">
        <f t="shared" si="24"/>
        <v>3</v>
      </c>
      <c r="O499" s="27">
        <v>990</v>
      </c>
      <c r="P499" s="27">
        <v>990</v>
      </c>
      <c r="Q499" s="27"/>
      <c r="R499" s="27"/>
      <c r="S499" s="27" t="s">
        <v>1644</v>
      </c>
      <c r="T499" s="27"/>
      <c r="U499" s="27">
        <v>237</v>
      </c>
      <c r="V499" s="27" t="s">
        <v>1645</v>
      </c>
      <c r="W499" s="27" t="s">
        <v>1646</v>
      </c>
      <c r="X499" s="73" t="s">
        <v>1576</v>
      </c>
      <c r="Y499" s="73" t="str">
        <f>VLOOKUP(X499,Choferes!$B$2:$C$500,2,FALSE)</f>
        <v>+55119971489722</v>
      </c>
      <c r="Z499" s="73" t="s">
        <v>1647</v>
      </c>
    </row>
    <row r="500" spans="1:26" hidden="1" x14ac:dyDescent="0.25">
      <c r="A500" s="33">
        <v>29</v>
      </c>
      <c r="B500" s="71" t="s">
        <v>29</v>
      </c>
      <c r="C500" s="39" t="s">
        <v>1569</v>
      </c>
      <c r="D500" s="50" t="s">
        <v>803</v>
      </c>
      <c r="E500" s="47">
        <v>45493</v>
      </c>
      <c r="F500" s="31" t="str">
        <f>VLOOKUP($C500,Carpetas!$C$5:$M$2666,2,FALSE)</f>
        <v>BRB045</v>
      </c>
      <c r="G500" s="23" t="str">
        <f>VLOOKUP($C500,Carpetas!$C$5:$M$2666,10,FALSE)</f>
        <v>149,71,45</v>
      </c>
      <c r="H500" s="27" t="str">
        <f>VLOOKUP($C500,Carpetas!$C$5:$M$2666,6,FALSE)</f>
        <v>Amaro</v>
      </c>
      <c r="I500" s="220"/>
      <c r="J500" s="47">
        <f>E500+2</f>
        <v>45495</v>
      </c>
      <c r="K500" s="72" t="str">
        <f>VLOOKUP($C500,Carpetas!$C$5:$M$2666,5,FALSE)</f>
        <v>Rio Branco</v>
      </c>
      <c r="L500" s="32"/>
      <c r="M500" s="48">
        <f>J500+1</f>
        <v>45496</v>
      </c>
      <c r="N500" s="26">
        <f t="shared" si="24"/>
        <v>3</v>
      </c>
      <c r="O500" s="27">
        <v>990</v>
      </c>
      <c r="P500" s="27">
        <v>990</v>
      </c>
      <c r="Q500" s="27"/>
      <c r="R500" s="27"/>
      <c r="S500" s="27" t="s">
        <v>1648</v>
      </c>
      <c r="T500" s="27"/>
      <c r="U500" s="27">
        <v>24245</v>
      </c>
      <c r="V500" s="27" t="s">
        <v>1649</v>
      </c>
      <c r="W500" s="27" t="s">
        <v>1650</v>
      </c>
      <c r="X500" s="73"/>
      <c r="Y500" s="73" t="e">
        <f>VLOOKUP(X500,Choferes!$B$2:$C$500,2,FALSE)</f>
        <v>#N/A</v>
      </c>
      <c r="Z500" s="73" t="s">
        <v>1651</v>
      </c>
    </row>
    <row r="501" spans="1:26" ht="30" hidden="1" x14ac:dyDescent="0.25">
      <c r="A501" s="33">
        <v>28</v>
      </c>
      <c r="B501" s="71" t="s">
        <v>29</v>
      </c>
      <c r="C501" s="39" t="s">
        <v>1652</v>
      </c>
      <c r="D501" s="50" t="s">
        <v>63</v>
      </c>
      <c r="E501" s="47">
        <v>45484</v>
      </c>
      <c r="F501" s="31" t="str">
        <f>VLOOKUP($C501,Carpetas!$C$5:$M$2666,2,FALSE)</f>
        <v>BRA019</v>
      </c>
      <c r="G501" s="23">
        <f>VLOOKUP($C501,Carpetas!$C$5:$M$2666,10,FALSE)</f>
        <v>0</v>
      </c>
      <c r="H501" s="27" t="str">
        <f>VLOOKUP($C501,Carpetas!$C$5:$M$2666,6,FALSE)</f>
        <v xml:space="preserve">Silvio </v>
      </c>
      <c r="I501" s="220"/>
      <c r="J501" s="47">
        <f>E501+10</f>
        <v>45494</v>
      </c>
      <c r="K501" s="72" t="str">
        <f>VLOOKUP($C501,Carpetas!$C$5:$M$2666,5,FALSE)</f>
        <v>Rio Branco</v>
      </c>
      <c r="L501" s="32"/>
      <c r="M501" s="48">
        <v>45497</v>
      </c>
      <c r="N501" s="26">
        <f t="shared" si="24"/>
        <v>13</v>
      </c>
      <c r="O501" s="27">
        <v>1104</v>
      </c>
      <c r="P501" s="27">
        <v>1104</v>
      </c>
      <c r="Q501" s="27"/>
      <c r="R501" s="27"/>
      <c r="S501" s="27"/>
      <c r="T501" s="27"/>
      <c r="U501" s="27">
        <v>7011</v>
      </c>
      <c r="V501" s="27" t="s">
        <v>1653</v>
      </c>
      <c r="W501" s="27" t="s">
        <v>1654</v>
      </c>
      <c r="X501" s="73"/>
      <c r="Y501" s="73" t="e">
        <f>VLOOKUP(X501,Choferes!$B$2:$C$500,2,FALSE)</f>
        <v>#N/A</v>
      </c>
      <c r="Z501" s="73" t="s">
        <v>1655</v>
      </c>
    </row>
    <row r="502" spans="1:26" hidden="1" x14ac:dyDescent="0.25">
      <c r="A502" s="33">
        <v>29</v>
      </c>
      <c r="B502" s="71" t="s">
        <v>29</v>
      </c>
      <c r="C502" s="39" t="s">
        <v>1569</v>
      </c>
      <c r="D502" s="50" t="s">
        <v>747</v>
      </c>
      <c r="E502" s="47">
        <v>45492</v>
      </c>
      <c r="F502" s="31" t="str">
        <f>VLOOKUP($C502,Carpetas!$C$5:$M$2666,2,FALSE)</f>
        <v>BRB045</v>
      </c>
      <c r="G502" s="23" t="str">
        <f>VLOOKUP($C502,Carpetas!$C$5:$M$2666,10,FALSE)</f>
        <v>149,71,45</v>
      </c>
      <c r="H502" s="27" t="str">
        <f>VLOOKUP($C502,Carpetas!$C$5:$M$2666,6,FALSE)</f>
        <v>Amaro</v>
      </c>
      <c r="I502" s="220"/>
      <c r="J502" s="47">
        <v>45495</v>
      </c>
      <c r="K502" s="72" t="str">
        <f>VLOOKUP($C502,Carpetas!$C$5:$M$2666,5,FALSE)</f>
        <v>Rio Branco</v>
      </c>
      <c r="L502" s="32"/>
      <c r="M502" s="48">
        <v>45497</v>
      </c>
      <c r="N502" s="26">
        <f t="shared" si="24"/>
        <v>5</v>
      </c>
      <c r="O502" s="27">
        <v>990</v>
      </c>
      <c r="P502" s="27">
        <v>991</v>
      </c>
      <c r="Q502" s="27"/>
      <c r="R502" s="27"/>
      <c r="S502" s="27" t="s">
        <v>1656</v>
      </c>
      <c r="T502" s="27"/>
      <c r="U502" s="27">
        <v>24243</v>
      </c>
      <c r="V502" s="27" t="s">
        <v>1657</v>
      </c>
      <c r="W502" s="27" t="s">
        <v>1658</v>
      </c>
      <c r="X502" s="73" t="s">
        <v>1468</v>
      </c>
      <c r="Y502" s="73" t="str">
        <f>VLOOKUP(X502,Choferes!$B$2:$C$500,2,FALSE)</f>
        <v>+5553984274141</v>
      </c>
      <c r="Z502" s="73" t="s">
        <v>1659</v>
      </c>
    </row>
    <row r="503" spans="1:26" hidden="1" x14ac:dyDescent="0.25">
      <c r="A503" s="33">
        <v>30</v>
      </c>
      <c r="B503" s="71" t="s">
        <v>29</v>
      </c>
      <c r="C503" s="39" t="s">
        <v>1611</v>
      </c>
      <c r="D503" s="50" t="s">
        <v>747</v>
      </c>
      <c r="E503" s="47">
        <v>45495</v>
      </c>
      <c r="F503" s="31" t="str">
        <f>VLOOKUP($C503,Carpetas!$C$5:$M$2666,2,FALSE)</f>
        <v>BRB048</v>
      </c>
      <c r="G503" s="23" t="str">
        <f>VLOOKUP($C503,Carpetas!$C$5:$M$2666,10,FALSE)</f>
        <v>149,75,56</v>
      </c>
      <c r="H503" s="27" t="str">
        <f>VLOOKUP($C503,Carpetas!$C$5:$M$2666,6,FALSE)</f>
        <v>Zanini</v>
      </c>
      <c r="I503" s="220"/>
      <c r="J503" s="47">
        <f>E503+2</f>
        <v>45497</v>
      </c>
      <c r="K503" s="72" t="str">
        <f>VLOOKUP($C503,Carpetas!$C$5:$M$2666,5,FALSE)</f>
        <v>Rio Branco</v>
      </c>
      <c r="L503" s="32"/>
      <c r="M503" s="48">
        <f t="shared" ref="M503:M509" si="27">J503+1</f>
        <v>45498</v>
      </c>
      <c r="N503" s="26">
        <f t="shared" si="24"/>
        <v>3</v>
      </c>
      <c r="O503" s="27">
        <v>918</v>
      </c>
      <c r="P503" s="27">
        <v>919</v>
      </c>
      <c r="Q503" s="27"/>
      <c r="R503" s="27"/>
      <c r="S503" s="27" t="s">
        <v>1660</v>
      </c>
      <c r="T503" s="27"/>
      <c r="U503" s="27">
        <v>4599</v>
      </c>
      <c r="V503" s="27" t="s">
        <v>142</v>
      </c>
      <c r="W503" s="27" t="s">
        <v>143</v>
      </c>
      <c r="X503" s="73" t="s">
        <v>114</v>
      </c>
      <c r="Y503" s="73" t="str">
        <f>VLOOKUP(X503,Choferes!$B$2:$C$500,2,FALSE)</f>
        <v>+5542998101794</v>
      </c>
      <c r="Z503" s="73" t="s">
        <v>1661</v>
      </c>
    </row>
    <row r="504" spans="1:26" hidden="1" x14ac:dyDescent="0.25">
      <c r="A504" s="33">
        <v>30</v>
      </c>
      <c r="B504" s="71" t="s">
        <v>29</v>
      </c>
      <c r="C504" s="39" t="s">
        <v>1594</v>
      </c>
      <c r="D504" s="50" t="s">
        <v>110</v>
      </c>
      <c r="E504" s="47">
        <v>45496</v>
      </c>
      <c r="F504" s="31" t="str">
        <f>VLOOKUP($C504,Carpetas!$C$5:$M$2666,2,FALSE)</f>
        <v>BRB046</v>
      </c>
      <c r="G504" s="23" t="str">
        <f>VLOOKUP($C504,Carpetas!$C$5:$M$2666,10,FALSE)</f>
        <v>149,72,02</v>
      </c>
      <c r="H504" s="27" t="str">
        <f>VLOOKUP($C504,Carpetas!$C$5:$M$2666,6,FALSE)</f>
        <v xml:space="preserve">Silvio </v>
      </c>
      <c r="I504" s="220"/>
      <c r="J504" s="47">
        <v>45497</v>
      </c>
      <c r="K504" s="72" t="str">
        <f>VLOOKUP($C504,Carpetas!$C$5:$M$2666,5,FALSE)</f>
        <v>Rio Branco</v>
      </c>
      <c r="L504" s="32"/>
      <c r="M504" s="48">
        <f t="shared" si="27"/>
        <v>45498</v>
      </c>
      <c r="N504" s="26">
        <f t="shared" si="24"/>
        <v>2</v>
      </c>
      <c r="O504" s="27">
        <v>918</v>
      </c>
      <c r="P504" s="27">
        <v>918</v>
      </c>
      <c r="Q504" s="27"/>
      <c r="R504" s="27"/>
      <c r="S504" s="27" t="s">
        <v>1662</v>
      </c>
      <c r="T504" s="27"/>
      <c r="U504" s="27">
        <v>7025</v>
      </c>
      <c r="V504" s="27" t="s">
        <v>1663</v>
      </c>
      <c r="W504" s="27" t="s">
        <v>252</v>
      </c>
      <c r="X504" s="73" t="s">
        <v>1500</v>
      </c>
      <c r="Y504" s="73" t="str">
        <f>VLOOKUP(X504,Choferes!$B$2:$C$500,2,FALSE)</f>
        <v>+5555997133031</v>
      </c>
      <c r="Z504" s="73" t="s">
        <v>1664</v>
      </c>
    </row>
    <row r="505" spans="1:26" hidden="1" x14ac:dyDescent="0.25">
      <c r="A505" s="33">
        <v>30</v>
      </c>
      <c r="B505" s="71" t="s">
        <v>29</v>
      </c>
      <c r="C505" s="39" t="s">
        <v>1665</v>
      </c>
      <c r="D505" s="50" t="s">
        <v>121</v>
      </c>
      <c r="E505" s="47">
        <v>45496</v>
      </c>
      <c r="F505" s="31" t="str">
        <f>VLOOKUP($C505,Carpetas!$C$5:$M$2666,2,FALSE)</f>
        <v>PYB121</v>
      </c>
      <c r="G505" s="23">
        <f>VLOOKUP($C505,Carpetas!$C$5:$M$2666,10,FALSE)</f>
        <v>0</v>
      </c>
      <c r="H505" s="27">
        <f>VLOOKUP($C505,Carpetas!$C$5:$M$2666,6,FALSE)</f>
        <v>0</v>
      </c>
      <c r="I505" s="220"/>
      <c r="J505" s="47">
        <v>45497</v>
      </c>
      <c r="K505" s="72" t="str">
        <f>VLOOKUP($C505,Carpetas!$C$5:$M$2666,5,FALSE)</f>
        <v>Salto</v>
      </c>
      <c r="L505" s="32"/>
      <c r="M505" s="48">
        <f t="shared" si="27"/>
        <v>45498</v>
      </c>
      <c r="N505" s="26">
        <f t="shared" si="24"/>
        <v>2</v>
      </c>
      <c r="O505" s="27">
        <v>980</v>
      </c>
      <c r="P505" s="27">
        <v>982</v>
      </c>
      <c r="Q505" s="27"/>
      <c r="R505" s="27"/>
      <c r="S505" s="27" t="s">
        <v>1666</v>
      </c>
      <c r="T505" s="27"/>
      <c r="U505" s="27"/>
      <c r="V505" s="27" t="s">
        <v>1012</v>
      </c>
      <c r="W505" s="27" t="s">
        <v>1109</v>
      </c>
      <c r="X505" s="73"/>
      <c r="Y505" s="73" t="e">
        <f>VLOOKUP(X505,Choferes!$B$2:$C$500,2,FALSE)</f>
        <v>#N/A</v>
      </c>
      <c r="Z505" s="73" t="s">
        <v>1667</v>
      </c>
    </row>
    <row r="506" spans="1:26" hidden="1" x14ac:dyDescent="0.25">
      <c r="A506" s="33">
        <v>30</v>
      </c>
      <c r="B506" s="71" t="s">
        <v>29</v>
      </c>
      <c r="C506" s="39" t="s">
        <v>1615</v>
      </c>
      <c r="D506" s="50" t="s">
        <v>803</v>
      </c>
      <c r="E506" s="47">
        <v>45495</v>
      </c>
      <c r="F506" s="31" t="str">
        <f>VLOOKUP($C506,Carpetas!$C$5:$M$2666,2,FALSE)</f>
        <v>BRB047</v>
      </c>
      <c r="G506" s="23" t="str">
        <f>VLOOKUP($C506,Carpetas!$C$5:$M$2666,10,FALSE)</f>
        <v>149,75,58</v>
      </c>
      <c r="H506" s="27" t="str">
        <f>VLOOKUP($C506,Carpetas!$C$5:$M$2666,6,FALSE)</f>
        <v>FG</v>
      </c>
      <c r="I506" s="220"/>
      <c r="J506" s="47">
        <v>45498</v>
      </c>
      <c r="K506" s="72" t="str">
        <f>VLOOKUP($C506,Carpetas!$C$5:$M$2666,5,FALSE)</f>
        <v>Rio Branco</v>
      </c>
      <c r="L506" s="32"/>
      <c r="M506" s="48">
        <f t="shared" si="27"/>
        <v>45499</v>
      </c>
      <c r="N506" s="26">
        <f t="shared" si="24"/>
        <v>4</v>
      </c>
      <c r="O506" s="27">
        <v>990</v>
      </c>
      <c r="P506" s="27"/>
      <c r="Q506" s="27"/>
      <c r="R506" s="27"/>
      <c r="S506" s="27" t="s">
        <v>1668</v>
      </c>
      <c r="T506" s="27"/>
      <c r="U506" s="27">
        <v>239</v>
      </c>
      <c r="V506" s="27" t="s">
        <v>1430</v>
      </c>
      <c r="W506" s="27" t="s">
        <v>1669</v>
      </c>
      <c r="X506" s="73"/>
      <c r="Y506" s="73" t="e">
        <f>VLOOKUP(X506,Choferes!$B$2:$C$500,2,FALSE)</f>
        <v>#N/A</v>
      </c>
      <c r="Z506" s="73" t="s">
        <v>1670</v>
      </c>
    </row>
    <row r="507" spans="1:26" hidden="1" x14ac:dyDescent="0.25">
      <c r="A507" s="33">
        <v>30</v>
      </c>
      <c r="B507" s="71" t="s">
        <v>29</v>
      </c>
      <c r="C507" s="39" t="s">
        <v>1671</v>
      </c>
      <c r="D507" s="50" t="s">
        <v>102</v>
      </c>
      <c r="E507" s="47">
        <v>45495</v>
      </c>
      <c r="F507" s="31" t="str">
        <f>VLOOKUP($C507,Carpetas!$C$5:$M$2666,2,FALSE)</f>
        <v>PYB122</v>
      </c>
      <c r="G507" s="23">
        <f>VLOOKUP($C507,Carpetas!$C$5:$M$2666,10,FALSE)</f>
        <v>0</v>
      </c>
      <c r="H507" s="27">
        <f>VLOOKUP($C507,Carpetas!$C$5:$M$2666,6,FALSE)</f>
        <v>0</v>
      </c>
      <c r="I507" s="220"/>
      <c r="J507" s="47">
        <v>45498</v>
      </c>
      <c r="K507" s="72" t="str">
        <f>VLOOKUP($C507,Carpetas!$C$5:$M$2666,5,FALSE)</f>
        <v>Salto</v>
      </c>
      <c r="L507" s="32"/>
      <c r="M507" s="48">
        <f t="shared" si="27"/>
        <v>45499</v>
      </c>
      <c r="N507" s="26">
        <f t="shared" si="24"/>
        <v>4</v>
      </c>
      <c r="O507" s="27">
        <v>980</v>
      </c>
      <c r="P507" s="27">
        <v>981</v>
      </c>
      <c r="Q507" s="27"/>
      <c r="R507" s="27"/>
      <c r="S507" s="27" t="s">
        <v>1672</v>
      </c>
      <c r="T507" s="27"/>
      <c r="U507" s="27"/>
      <c r="V507" s="27" t="s">
        <v>1491</v>
      </c>
      <c r="W507" s="27" t="s">
        <v>1492</v>
      </c>
      <c r="X507" s="73"/>
      <c r="Y507" s="73" t="e">
        <f>VLOOKUP(X507,Choferes!$B$2:$C$500,2,FALSE)</f>
        <v>#N/A</v>
      </c>
      <c r="Z507" s="73" t="s">
        <v>1673</v>
      </c>
    </row>
    <row r="508" spans="1:26" hidden="1" x14ac:dyDescent="0.25">
      <c r="A508" s="33">
        <v>30</v>
      </c>
      <c r="B508" s="71" t="s">
        <v>29</v>
      </c>
      <c r="C508" s="39" t="s">
        <v>1615</v>
      </c>
      <c r="D508" s="50" t="s">
        <v>78</v>
      </c>
      <c r="E508" s="47">
        <v>45497</v>
      </c>
      <c r="F508" s="31" t="str">
        <f>VLOOKUP($C508,Carpetas!$C$5:$M$2666,2,FALSE)</f>
        <v>BRB047</v>
      </c>
      <c r="G508" s="23" t="str">
        <f>VLOOKUP($C508,Carpetas!$C$5:$M$2666,10,FALSE)</f>
        <v>149,75,58</v>
      </c>
      <c r="H508" s="27" t="str">
        <f>VLOOKUP($C508,Carpetas!$C$5:$M$2666,6,FALSE)</f>
        <v>FG</v>
      </c>
      <c r="I508" s="220"/>
      <c r="J508" s="47">
        <v>45498</v>
      </c>
      <c r="K508" s="72" t="str">
        <f>VLOOKUP($C508,Carpetas!$C$5:$M$2666,5,FALSE)</f>
        <v>Rio Branco</v>
      </c>
      <c r="L508" s="32"/>
      <c r="M508" s="48">
        <f t="shared" si="27"/>
        <v>45499</v>
      </c>
      <c r="N508" s="26">
        <f t="shared" si="24"/>
        <v>2</v>
      </c>
      <c r="O508" s="27">
        <v>990</v>
      </c>
      <c r="P508" s="27">
        <v>990</v>
      </c>
      <c r="Q508" s="27"/>
      <c r="R508" s="27"/>
      <c r="S508" s="27" t="s">
        <v>1674</v>
      </c>
      <c r="T508" s="27"/>
      <c r="U508" s="27">
        <v>242</v>
      </c>
      <c r="V508" s="27" t="s">
        <v>1042</v>
      </c>
      <c r="W508" s="27" t="s">
        <v>1622</v>
      </c>
      <c r="X508" s="73"/>
      <c r="Y508" s="73" t="e">
        <f>VLOOKUP(X508,Choferes!$B$2:$C$500,2,FALSE)</f>
        <v>#N/A</v>
      </c>
      <c r="Z508" s="73" t="s">
        <v>1675</v>
      </c>
    </row>
    <row r="509" spans="1:26" hidden="1" x14ac:dyDescent="0.25">
      <c r="A509" s="33">
        <v>30</v>
      </c>
      <c r="B509" s="71" t="s">
        <v>29</v>
      </c>
      <c r="C509" s="39" t="s">
        <v>1615</v>
      </c>
      <c r="D509" s="50" t="s">
        <v>803</v>
      </c>
      <c r="E509" s="47">
        <v>45497</v>
      </c>
      <c r="F509" s="31" t="str">
        <f>VLOOKUP($C509,Carpetas!$C$5:$M$2666,2,FALSE)</f>
        <v>BRB047</v>
      </c>
      <c r="G509" s="23" t="str">
        <f>VLOOKUP($C509,Carpetas!$C$5:$M$2666,10,FALSE)</f>
        <v>149,75,58</v>
      </c>
      <c r="H509" s="27" t="str">
        <f>VLOOKUP($C509,Carpetas!$C$5:$M$2666,6,FALSE)</f>
        <v>FG</v>
      </c>
      <c r="I509" s="220"/>
      <c r="J509" s="47">
        <v>45498</v>
      </c>
      <c r="K509" s="72" t="str">
        <f>VLOOKUP($C509,Carpetas!$C$5:$M$2666,5,FALSE)</f>
        <v>Rio Branco</v>
      </c>
      <c r="L509" s="32"/>
      <c r="M509" s="48">
        <f t="shared" si="27"/>
        <v>45499</v>
      </c>
      <c r="N509" s="26">
        <f t="shared" si="24"/>
        <v>2</v>
      </c>
      <c r="O509" s="27">
        <v>990</v>
      </c>
      <c r="P509" s="27">
        <v>990</v>
      </c>
      <c r="Q509" s="27"/>
      <c r="R509" s="27"/>
      <c r="S509" s="27" t="s">
        <v>1676</v>
      </c>
      <c r="T509" s="27"/>
      <c r="U509" s="27">
        <v>246</v>
      </c>
      <c r="V509" s="27" t="s">
        <v>1617</v>
      </c>
      <c r="W509" s="27" t="s">
        <v>1618</v>
      </c>
      <c r="X509" s="73"/>
      <c r="Y509" s="73" t="e">
        <f>VLOOKUP(X509,Choferes!$B$2:$C$500,2,FALSE)</f>
        <v>#N/A</v>
      </c>
      <c r="Z509" s="73" t="s">
        <v>1677</v>
      </c>
    </row>
    <row r="510" spans="1:26" ht="30" hidden="1" x14ac:dyDescent="0.25">
      <c r="A510" s="33">
        <v>30</v>
      </c>
      <c r="B510" s="71" t="s">
        <v>29</v>
      </c>
      <c r="C510" s="39" t="s">
        <v>1678</v>
      </c>
      <c r="D510" s="50" t="s">
        <v>764</v>
      </c>
      <c r="E510" s="47">
        <v>45497</v>
      </c>
      <c r="F510" s="31" t="str">
        <f>VLOOKUP($C510,Carpetas!$C$5:$M$2666,2,FALSE)</f>
        <v>BRC001</v>
      </c>
      <c r="G510" s="23" t="str">
        <f>VLOOKUP($C510,Carpetas!$C$5:$M$2666,10,FALSE)</f>
        <v>149,85,27</v>
      </c>
      <c r="H510" s="27" t="str">
        <f>VLOOKUP($C510,Carpetas!$C$5:$M$2666,6,FALSE)</f>
        <v>FG</v>
      </c>
      <c r="I510" s="220"/>
      <c r="J510" s="47">
        <v>45499</v>
      </c>
      <c r="K510" s="72" t="str">
        <f>VLOOKUP($C510,Carpetas!$C$5:$M$2666,5,FALSE)</f>
        <v>Rio Branco</v>
      </c>
      <c r="L510" s="32"/>
      <c r="M510" s="48">
        <v>45500</v>
      </c>
      <c r="N510" s="26">
        <f t="shared" si="24"/>
        <v>3</v>
      </c>
      <c r="O510" s="27">
        <v>990</v>
      </c>
      <c r="P510" s="27">
        <v>990</v>
      </c>
      <c r="Q510" s="27"/>
      <c r="R510" s="27"/>
      <c r="S510" s="27" t="s">
        <v>1679</v>
      </c>
      <c r="T510" s="27"/>
      <c r="U510" s="27"/>
      <c r="V510" s="27" t="s">
        <v>1680</v>
      </c>
      <c r="W510" s="27" t="s">
        <v>1681</v>
      </c>
      <c r="X510" s="73"/>
      <c r="Y510" s="73" t="e">
        <f>VLOOKUP(X510,Choferes!$B$2:$C$500,2,FALSE)</f>
        <v>#N/A</v>
      </c>
      <c r="Z510" s="73" t="s">
        <v>1682</v>
      </c>
    </row>
    <row r="511" spans="1:26" hidden="1" x14ac:dyDescent="0.25">
      <c r="A511" s="33">
        <v>30</v>
      </c>
      <c r="B511" s="71" t="s">
        <v>29</v>
      </c>
      <c r="C511" s="39" t="s">
        <v>1594</v>
      </c>
      <c r="D511" s="50" t="s">
        <v>953</v>
      </c>
      <c r="E511" s="47">
        <v>45497</v>
      </c>
      <c r="F511" s="31" t="str">
        <f>VLOOKUP($C511,Carpetas!$C$5:$M$2666,2,FALSE)</f>
        <v>BRB046</v>
      </c>
      <c r="G511" s="23" t="str">
        <f>VLOOKUP($C511,Carpetas!$C$5:$M$2666,10,FALSE)</f>
        <v>149,72,02</v>
      </c>
      <c r="H511" s="27" t="str">
        <f>VLOOKUP($C511,Carpetas!$C$5:$M$2666,6,FALSE)</f>
        <v xml:space="preserve">Silvio </v>
      </c>
      <c r="I511" s="220"/>
      <c r="J511" s="47">
        <f>E511+2</f>
        <v>45499</v>
      </c>
      <c r="K511" s="72" t="str">
        <f>VLOOKUP($C511,Carpetas!$C$5:$M$2666,5,FALSE)</f>
        <v>Rio Branco</v>
      </c>
      <c r="L511" s="32"/>
      <c r="M511" s="48">
        <f t="shared" ref="M511:M516" si="28">J511+1</f>
        <v>45500</v>
      </c>
      <c r="N511" s="26">
        <f t="shared" si="24"/>
        <v>3</v>
      </c>
      <c r="O511" s="27">
        <v>918</v>
      </c>
      <c r="P511" s="27">
        <v>918</v>
      </c>
      <c r="Q511" s="27"/>
      <c r="R511" s="27"/>
      <c r="S511" s="27" t="s">
        <v>1683</v>
      </c>
      <c r="T511" s="27"/>
      <c r="U511" s="27"/>
      <c r="V511" s="27" t="s">
        <v>1684</v>
      </c>
      <c r="W511" s="27"/>
      <c r="X511" s="73"/>
      <c r="Y511" s="73" t="e">
        <f>VLOOKUP(X511,Choferes!$B$2:$C$500,2,FALSE)</f>
        <v>#N/A</v>
      </c>
      <c r="Z511" s="73" t="s">
        <v>1685</v>
      </c>
    </row>
    <row r="512" spans="1:26" hidden="1" x14ac:dyDescent="0.25">
      <c r="A512" s="33">
        <v>30</v>
      </c>
      <c r="B512" s="71" t="s">
        <v>29</v>
      </c>
      <c r="C512" s="39" t="s">
        <v>1611</v>
      </c>
      <c r="D512" s="50" t="s">
        <v>880</v>
      </c>
      <c r="E512" s="47">
        <v>45497</v>
      </c>
      <c r="F512" s="31" t="str">
        <f>VLOOKUP($C512,Carpetas!$C$5:$M$2666,2,FALSE)</f>
        <v>BRB048</v>
      </c>
      <c r="G512" s="23" t="str">
        <f>VLOOKUP($C512,Carpetas!$C$5:$M$2666,10,FALSE)</f>
        <v>149,75,56</v>
      </c>
      <c r="H512" s="27" t="str">
        <f>VLOOKUP($C512,Carpetas!$C$5:$M$2666,6,FALSE)</f>
        <v>Zanini</v>
      </c>
      <c r="I512" s="220"/>
      <c r="J512" s="47">
        <f>E512+2</f>
        <v>45499</v>
      </c>
      <c r="K512" s="72" t="str">
        <f>VLOOKUP($C512,Carpetas!$C$5:$M$2666,5,FALSE)</f>
        <v>Rio Branco</v>
      </c>
      <c r="L512" s="32"/>
      <c r="M512" s="48">
        <f t="shared" si="28"/>
        <v>45500</v>
      </c>
      <c r="N512" s="26">
        <f t="shared" si="24"/>
        <v>3</v>
      </c>
      <c r="O512" s="27">
        <v>918</v>
      </c>
      <c r="P512" s="27">
        <v>918</v>
      </c>
      <c r="Q512" s="27"/>
      <c r="R512" s="27"/>
      <c r="S512" s="27" t="s">
        <v>1686</v>
      </c>
      <c r="T512" s="27"/>
      <c r="U512" s="27"/>
      <c r="V512" s="27" t="s">
        <v>1687</v>
      </c>
      <c r="W512" s="27"/>
      <c r="X512" s="73"/>
      <c r="Y512" s="73" t="e">
        <f>VLOOKUP(X512,Choferes!$B$2:$C$500,2,FALSE)</f>
        <v>#N/A</v>
      </c>
      <c r="Z512" s="73" t="s">
        <v>1685</v>
      </c>
    </row>
    <row r="513" spans="1:26" hidden="1" x14ac:dyDescent="0.25">
      <c r="A513" s="33">
        <v>30</v>
      </c>
      <c r="B513" s="71" t="s">
        <v>298</v>
      </c>
      <c r="C513" s="39" t="s">
        <v>299</v>
      </c>
      <c r="D513" s="50" t="s">
        <v>249</v>
      </c>
      <c r="E513" s="47">
        <v>45497</v>
      </c>
      <c r="F513" s="31" t="str">
        <f>VLOOKUP($C513,Carpetas!$C$5:$M$2666,2,FALSE)</f>
        <v>BRB</v>
      </c>
      <c r="G513" s="23" t="e">
        <f>VLOOKUP($C513,Carpetas!$C$5:$M$2666,9,FALSE)</f>
        <v>#REF!</v>
      </c>
      <c r="H513" s="27" t="str">
        <f>VLOOKUP($C513,Carpetas!$C$5:$M$2666,5,FALSE)</f>
        <v>xx</v>
      </c>
      <c r="I513" s="220"/>
      <c r="J513" s="47">
        <f>E513+2</f>
        <v>45499</v>
      </c>
      <c r="K513" s="72">
        <f>VLOOKUP($C513,Carpetas!$C$5:$M$2666,4,FALSE)</f>
        <v>0</v>
      </c>
      <c r="L513" s="32"/>
      <c r="M513" s="48">
        <f t="shared" si="28"/>
        <v>45500</v>
      </c>
      <c r="N513" s="26">
        <f t="shared" si="24"/>
        <v>3</v>
      </c>
      <c r="O513" s="27">
        <v>990</v>
      </c>
      <c r="P513" s="27"/>
      <c r="Q513" s="27"/>
      <c r="R513" s="27"/>
      <c r="S513" s="27"/>
      <c r="T513" s="27"/>
      <c r="U513" s="27"/>
      <c r="V513" s="27"/>
      <c r="W513" s="27"/>
      <c r="X513" s="73"/>
      <c r="Y513" s="73" t="e">
        <f>VLOOKUP(X513,Choferes!$B$2:$C$500,2,FALSE)</f>
        <v>#N/A</v>
      </c>
      <c r="Z513" s="73"/>
    </row>
    <row r="514" spans="1:26" hidden="1" x14ac:dyDescent="0.25">
      <c r="A514" s="33">
        <v>30</v>
      </c>
      <c r="B514" s="71" t="s">
        <v>29</v>
      </c>
      <c r="C514" s="39" t="s">
        <v>1665</v>
      </c>
      <c r="D514" s="50" t="s">
        <v>121</v>
      </c>
      <c r="E514" s="47">
        <v>45497</v>
      </c>
      <c r="F514" s="31" t="str">
        <f>VLOOKUP($C514,Carpetas!$C$5:$M$2666,2,FALSE)</f>
        <v>PYB121</v>
      </c>
      <c r="G514" s="23">
        <f>VLOOKUP($C514,Carpetas!$C$5:$M$2666,10,FALSE)</f>
        <v>0</v>
      </c>
      <c r="H514" s="27">
        <f>VLOOKUP($C514,Carpetas!$C$5:$M$2666,6,FALSE)</f>
        <v>0</v>
      </c>
      <c r="I514" s="220"/>
      <c r="J514" s="47">
        <f>E514+2</f>
        <v>45499</v>
      </c>
      <c r="K514" s="72" t="str">
        <f>VLOOKUP($C514,Carpetas!$C$5:$M$2666,5,FALSE)</f>
        <v>Salto</v>
      </c>
      <c r="L514" s="32"/>
      <c r="M514" s="48">
        <f t="shared" si="28"/>
        <v>45500</v>
      </c>
      <c r="N514" s="26">
        <f t="shared" si="24"/>
        <v>3</v>
      </c>
      <c r="O514" s="27">
        <v>980</v>
      </c>
      <c r="P514" s="27">
        <v>982</v>
      </c>
      <c r="Q514" s="27"/>
      <c r="R514" s="27"/>
      <c r="S514" s="27" t="s">
        <v>1688</v>
      </c>
      <c r="T514" s="27"/>
      <c r="U514" s="27"/>
      <c r="V514" s="27" t="s">
        <v>1016</v>
      </c>
      <c r="W514" s="27" t="s">
        <v>1017</v>
      </c>
      <c r="X514" s="73"/>
      <c r="Y514" s="73" t="e">
        <f>VLOOKUP(X514,Choferes!$B$2:$C$500,2,FALSE)</f>
        <v>#N/A</v>
      </c>
      <c r="Z514" s="73" t="s">
        <v>1689</v>
      </c>
    </row>
    <row r="515" spans="1:26" hidden="1" x14ac:dyDescent="0.25">
      <c r="A515" s="33">
        <v>30</v>
      </c>
      <c r="B515" s="71" t="s">
        <v>29</v>
      </c>
      <c r="C515" s="39" t="s">
        <v>1690</v>
      </c>
      <c r="D515" s="50" t="s">
        <v>78</v>
      </c>
      <c r="E515" s="47">
        <v>45499</v>
      </c>
      <c r="F515" s="31" t="str">
        <f>VLOOKUP($C515,Carpetas!$C$5:$M$2666,2,FALSE)</f>
        <v>BRB049</v>
      </c>
      <c r="G515" s="23" t="str">
        <f>VLOOKUP($C515,Carpetas!$C$5:$M$2666,10,FALSE)</f>
        <v>149.87.05</v>
      </c>
      <c r="H515" s="27" t="str">
        <f>VLOOKUP($C515,Carpetas!$C$5:$M$2666,6,FALSE)</f>
        <v>FG</v>
      </c>
      <c r="I515" s="220"/>
      <c r="J515" s="47">
        <v>45502</v>
      </c>
      <c r="K515" s="72" t="str">
        <f>VLOOKUP($C515,Carpetas!$C$5:$M$2666,5,FALSE)</f>
        <v>Rio Branco</v>
      </c>
      <c r="L515" s="32"/>
      <c r="M515" s="48">
        <f t="shared" si="28"/>
        <v>45503</v>
      </c>
      <c r="N515" s="26">
        <f t="shared" si="24"/>
        <v>4</v>
      </c>
      <c r="O515" s="27">
        <v>990</v>
      </c>
      <c r="P515" s="27">
        <v>990</v>
      </c>
      <c r="Q515" s="27"/>
      <c r="R515" s="27"/>
      <c r="S515" s="27" t="s">
        <v>1691</v>
      </c>
      <c r="T515" s="27"/>
      <c r="U515" s="27">
        <v>250</v>
      </c>
      <c r="V515" s="27" t="s">
        <v>1630</v>
      </c>
      <c r="W515" s="27" t="s">
        <v>1631</v>
      </c>
      <c r="X515" s="73" t="s">
        <v>1397</v>
      </c>
      <c r="Y515" s="73" t="str">
        <f>VLOOKUP(X515,Choferes!$B$2:$C$500,2,FALSE)</f>
        <v>+5551996322594</v>
      </c>
      <c r="Z515" s="73" t="s">
        <v>1692</v>
      </c>
    </row>
    <row r="516" spans="1:26" hidden="1" x14ac:dyDescent="0.25">
      <c r="A516" s="33">
        <v>30</v>
      </c>
      <c r="B516" s="71" t="s">
        <v>29</v>
      </c>
      <c r="C516" s="39" t="s">
        <v>1678</v>
      </c>
      <c r="D516" s="50" t="s">
        <v>1693</v>
      </c>
      <c r="E516" s="47">
        <v>45499</v>
      </c>
      <c r="F516" s="31" t="str">
        <f>VLOOKUP($C516,Carpetas!$C$5:$M$2666,2,FALSE)</f>
        <v>BRC001</v>
      </c>
      <c r="G516" s="23" t="str">
        <f>VLOOKUP($C516,Carpetas!$C$5:$M$2666,10,FALSE)</f>
        <v>149,85,27</v>
      </c>
      <c r="H516" s="27" t="str">
        <f>VLOOKUP($C516,Carpetas!$C$5:$M$2666,6,FALSE)</f>
        <v>FG</v>
      </c>
      <c r="I516" s="220"/>
      <c r="J516" s="47">
        <v>45502</v>
      </c>
      <c r="K516" s="72" t="str">
        <f>VLOOKUP($C516,Carpetas!$C$5:$M$2666,5,FALSE)</f>
        <v>Rio Branco</v>
      </c>
      <c r="L516" s="32"/>
      <c r="M516" s="48">
        <f t="shared" si="28"/>
        <v>45503</v>
      </c>
      <c r="N516" s="26">
        <f t="shared" si="24"/>
        <v>4</v>
      </c>
      <c r="O516" s="27">
        <v>990</v>
      </c>
      <c r="P516" s="27">
        <v>990</v>
      </c>
      <c r="Q516" s="27"/>
      <c r="R516" s="27"/>
      <c r="S516" s="27" t="s">
        <v>1694</v>
      </c>
      <c r="T516" s="27"/>
      <c r="U516" s="27">
        <v>249</v>
      </c>
      <c r="V516" s="27" t="s">
        <v>1645</v>
      </c>
      <c r="W516" s="27"/>
      <c r="X516" s="73"/>
      <c r="Y516" s="73" t="e">
        <f>VLOOKUP(X516,Choferes!$B$2:$C$500,2,FALSE)</f>
        <v>#N/A</v>
      </c>
      <c r="Z516" s="73"/>
    </row>
    <row r="517" spans="1:26" hidden="1" x14ac:dyDescent="0.25">
      <c r="A517" s="33">
        <v>30</v>
      </c>
      <c r="B517" s="71" t="s">
        <v>29</v>
      </c>
      <c r="C517" s="39" t="s">
        <v>1695</v>
      </c>
      <c r="D517" s="50" t="s">
        <v>803</v>
      </c>
      <c r="E517" s="47">
        <v>45499</v>
      </c>
      <c r="F517" s="31" t="str">
        <f>VLOOKUP($C517,Carpetas!$C$5:$M$2666,2,FALSE)</f>
        <v>BRB050</v>
      </c>
      <c r="G517" s="23" t="str">
        <f>VLOOKUP($C517,Carpetas!$C$5:$M$2666,10,FALSE)</f>
        <v>149.88.97</v>
      </c>
      <c r="H517" s="27" t="str">
        <f>VLOOKUP($C517,Carpetas!$C$5:$M$2666,6,FALSE)</f>
        <v>FG</v>
      </c>
      <c r="I517" s="220"/>
      <c r="J517" s="47">
        <v>45502</v>
      </c>
      <c r="K517" s="72" t="str">
        <f>VLOOKUP($C517,Carpetas!$C$5:$M$2666,5,FALSE)</f>
        <v>Rio Branco</v>
      </c>
      <c r="L517" s="32"/>
      <c r="M517" s="48">
        <f>J517+1+1</f>
        <v>45504</v>
      </c>
      <c r="N517" s="26">
        <f t="shared" ref="N517:N580" si="29">IF(E517&lt;&gt;"",M517-E517,"-")</f>
        <v>5</v>
      </c>
      <c r="O517" s="27">
        <v>900</v>
      </c>
      <c r="P517" s="27">
        <v>901</v>
      </c>
      <c r="Q517" s="27"/>
      <c r="R517" s="27"/>
      <c r="S517" s="27" t="s">
        <v>1696</v>
      </c>
      <c r="T517" s="27"/>
      <c r="U517" s="27">
        <v>253</v>
      </c>
      <c r="V517" s="27" t="s">
        <v>1697</v>
      </c>
      <c r="W517" s="27" t="s">
        <v>1698</v>
      </c>
      <c r="X517" s="73"/>
      <c r="Y517" s="73" t="e">
        <f>VLOOKUP(X517,Choferes!$B$2:$C$500,2,FALSE)</f>
        <v>#N/A</v>
      </c>
      <c r="Z517" s="73" t="s">
        <v>1699</v>
      </c>
    </row>
    <row r="518" spans="1:26" hidden="1" x14ac:dyDescent="0.25">
      <c r="A518" s="33">
        <v>30</v>
      </c>
      <c r="B518" s="71" t="s">
        <v>29</v>
      </c>
      <c r="C518" s="39" t="s">
        <v>1569</v>
      </c>
      <c r="D518" s="50" t="s">
        <v>747</v>
      </c>
      <c r="E518" s="47">
        <v>45500</v>
      </c>
      <c r="F518" s="31" t="str">
        <f>VLOOKUP($C518,Carpetas!$C$5:$M$2666,2,FALSE)</f>
        <v>BRB045</v>
      </c>
      <c r="G518" s="23" t="str">
        <f>VLOOKUP($C518,Carpetas!$C$5:$M$2666,10,FALSE)</f>
        <v>149,71,45</v>
      </c>
      <c r="H518" s="27" t="str">
        <f>VLOOKUP($C518,Carpetas!$C$5:$M$2666,6,FALSE)</f>
        <v>Amaro</v>
      </c>
      <c r="I518" s="220"/>
      <c r="J518" s="47">
        <f>E518+2</f>
        <v>45502</v>
      </c>
      <c r="K518" s="72" t="str">
        <f>VLOOKUP($C518,Carpetas!$C$5:$M$2666,5,FALSE)</f>
        <v>Rio Branco</v>
      </c>
      <c r="L518" s="32"/>
      <c r="M518" s="48">
        <f>J518+1+1</f>
        <v>45504</v>
      </c>
      <c r="N518" s="26">
        <f t="shared" si="29"/>
        <v>4</v>
      </c>
      <c r="O518" s="27">
        <v>990</v>
      </c>
      <c r="P518" s="27">
        <v>991</v>
      </c>
      <c r="Q518" s="27"/>
      <c r="R518" s="27"/>
      <c r="S518" s="27" t="s">
        <v>1700</v>
      </c>
      <c r="T518" s="27"/>
      <c r="U518" s="27">
        <v>24281</v>
      </c>
      <c r="V518" s="27" t="s">
        <v>1701</v>
      </c>
      <c r="W518" s="27" t="s">
        <v>1702</v>
      </c>
      <c r="X518" s="73"/>
      <c r="Y518" s="73" t="e">
        <f>VLOOKUP(X518,Choferes!$B$2:$C$500,2,FALSE)</f>
        <v>#N/A</v>
      </c>
      <c r="Z518" s="73" t="s">
        <v>1703</v>
      </c>
    </row>
    <row r="519" spans="1:26" hidden="1" x14ac:dyDescent="0.25">
      <c r="A519" s="33">
        <v>31</v>
      </c>
      <c r="B519" s="71" t="s">
        <v>29</v>
      </c>
      <c r="C519" s="39" t="s">
        <v>1611</v>
      </c>
      <c r="D519" s="50" t="s">
        <v>747</v>
      </c>
      <c r="E519" s="47">
        <v>45502</v>
      </c>
      <c r="F519" s="31" t="str">
        <f>VLOOKUP($C519,Carpetas!$C$5:$M$2666,2,FALSE)</f>
        <v>BRB048</v>
      </c>
      <c r="G519" s="23" t="str">
        <f>VLOOKUP($C519,Carpetas!$C$5:$M$2666,10,FALSE)</f>
        <v>149,75,56</v>
      </c>
      <c r="H519" s="27" t="str">
        <f>VLOOKUP($C519,Carpetas!$C$5:$M$2666,6,FALSE)</f>
        <v>Zanini</v>
      </c>
      <c r="I519" s="220"/>
      <c r="J519" s="47">
        <f>E519+2</f>
        <v>45504</v>
      </c>
      <c r="K519" s="72" t="str">
        <f>VLOOKUP($C519,Carpetas!$C$5:$M$2666,5,FALSE)</f>
        <v>Rio Branco</v>
      </c>
      <c r="L519" s="32"/>
      <c r="M519" s="48">
        <f>J519+1</f>
        <v>45505</v>
      </c>
      <c r="N519" s="26">
        <f t="shared" si="29"/>
        <v>3</v>
      </c>
      <c r="O519" s="27">
        <v>918</v>
      </c>
      <c r="P519" s="27">
        <v>919</v>
      </c>
      <c r="Q519" s="27"/>
      <c r="R519" s="27"/>
      <c r="S519" s="27" t="s">
        <v>2</v>
      </c>
      <c r="T519" s="27"/>
      <c r="U519" s="27">
        <v>4633</v>
      </c>
      <c r="V519" s="27" t="s">
        <v>1386</v>
      </c>
      <c r="W519" s="27" t="s">
        <v>1387</v>
      </c>
      <c r="X519" s="73" t="s">
        <v>1704</v>
      </c>
      <c r="Y519" s="73" t="str">
        <f>VLOOKUP(X519,Choferes!$B$2:$C$500,2,FALSE)</f>
        <v>+5542998003432</v>
      </c>
      <c r="Z519" s="73" t="s">
        <v>1705</v>
      </c>
    </row>
    <row r="520" spans="1:26" ht="30" hidden="1" x14ac:dyDescent="0.25">
      <c r="A520" s="33">
        <v>31</v>
      </c>
      <c r="B520" s="71" t="s">
        <v>29</v>
      </c>
      <c r="C520" s="39" t="s">
        <v>1706</v>
      </c>
      <c r="D520" s="50" t="s">
        <v>102</v>
      </c>
      <c r="E520" s="47">
        <v>45503</v>
      </c>
      <c r="F520" s="31" t="str">
        <f>VLOOKUP($C520,Carpetas!$C$5:$M$2666,2,FALSE)</f>
        <v>PYB123</v>
      </c>
      <c r="G520" s="23">
        <f>VLOOKUP($C520,Carpetas!$C$5:$M$2666,10,FALSE)</f>
        <v>0</v>
      </c>
      <c r="H520" s="27">
        <f>VLOOKUP($C520,Carpetas!$C$5:$M$2666,6,FALSE)</f>
        <v>0</v>
      </c>
      <c r="I520" s="220"/>
      <c r="J520" s="47">
        <f>E520+2</f>
        <v>45505</v>
      </c>
      <c r="K520" s="72" t="str">
        <f>VLOOKUP($C520,Carpetas!$C$5:$M$2666,5,FALSE)</f>
        <v>Salto</v>
      </c>
      <c r="L520" s="32"/>
      <c r="M520" s="48">
        <f>J520+1</f>
        <v>45506</v>
      </c>
      <c r="N520" s="26">
        <f t="shared" si="29"/>
        <v>3</v>
      </c>
      <c r="O520" s="27">
        <v>980</v>
      </c>
      <c r="P520" s="27">
        <v>981</v>
      </c>
      <c r="Q520" s="27"/>
      <c r="R520" s="27"/>
      <c r="S520" s="27" t="s">
        <v>1707</v>
      </c>
      <c r="T520" s="27"/>
      <c r="U520" s="27"/>
      <c r="V520" s="27" t="s">
        <v>156</v>
      </c>
      <c r="W520" s="27" t="s">
        <v>1708</v>
      </c>
      <c r="X520" s="73"/>
      <c r="Y520" s="73" t="e">
        <f>VLOOKUP(X520,Choferes!$B$2:$C$500,2,FALSE)</f>
        <v>#N/A</v>
      </c>
      <c r="Z520" s="73" t="s">
        <v>1709</v>
      </c>
    </row>
    <row r="521" spans="1:26" hidden="1" x14ac:dyDescent="0.25">
      <c r="A521" s="33">
        <v>31</v>
      </c>
      <c r="B521" s="71" t="s">
        <v>29</v>
      </c>
      <c r="C521" s="39" t="s">
        <v>1594</v>
      </c>
      <c r="D521" s="50" t="s">
        <v>880</v>
      </c>
      <c r="E521" s="47">
        <v>45504</v>
      </c>
      <c r="F521" s="31" t="str">
        <f>VLOOKUP($C521,Carpetas!$C$5:$M$2666,2,FALSE)</f>
        <v>BRB046</v>
      </c>
      <c r="G521" s="23" t="str">
        <f>VLOOKUP($C521,Carpetas!$C$5:$M$2666,10,FALSE)</f>
        <v>149,72,02</v>
      </c>
      <c r="H521" s="27" t="str">
        <f>VLOOKUP($C521,Carpetas!$C$5:$M$2666,6,FALSE)</f>
        <v xml:space="preserve">Silvio </v>
      </c>
      <c r="I521" s="220"/>
      <c r="J521" s="47">
        <v>45505</v>
      </c>
      <c r="K521" s="72" t="str">
        <f>VLOOKUP($C521,Carpetas!$C$5:$M$2666,5,FALSE)</f>
        <v>Rio Branco</v>
      </c>
      <c r="L521" s="32"/>
      <c r="M521" s="48">
        <f>J521+1</f>
        <v>45506</v>
      </c>
      <c r="N521" s="26">
        <f t="shared" si="29"/>
        <v>2</v>
      </c>
      <c r="O521" s="27">
        <v>918</v>
      </c>
      <c r="P521" s="27">
        <v>936</v>
      </c>
      <c r="Q521" s="27"/>
      <c r="R521" s="27"/>
      <c r="S521" s="27" t="s">
        <v>1710</v>
      </c>
      <c r="T521" s="27"/>
      <c r="U521" s="27">
        <v>7027</v>
      </c>
      <c r="V521" s="27" t="s">
        <v>665</v>
      </c>
      <c r="W521" s="27" t="s">
        <v>666</v>
      </c>
      <c r="X521" s="73" t="s">
        <v>1711</v>
      </c>
      <c r="Y521" s="73" t="str">
        <f>VLOOKUP(X521,Choferes!$B$2:$C$500,2,FALSE)</f>
        <v>+5547996185932</v>
      </c>
      <c r="Z521" s="73" t="s">
        <v>1712</v>
      </c>
    </row>
    <row r="522" spans="1:26" ht="30" hidden="1" x14ac:dyDescent="0.25">
      <c r="A522" s="33">
        <v>31</v>
      </c>
      <c r="B522" s="71" t="s">
        <v>29</v>
      </c>
      <c r="C522" s="39" t="s">
        <v>1569</v>
      </c>
      <c r="D522" s="50" t="s">
        <v>110</v>
      </c>
      <c r="E522" s="47">
        <v>45504</v>
      </c>
      <c r="F522" s="31" t="str">
        <f>VLOOKUP($C522,Carpetas!$C$5:$M$2666,2,FALSE)</f>
        <v>BRB045</v>
      </c>
      <c r="G522" s="23" t="str">
        <f>VLOOKUP($C522,Carpetas!$C$5:$M$2666,10,FALSE)</f>
        <v>149,71,45</v>
      </c>
      <c r="H522" s="27" t="str">
        <f>VLOOKUP($C522,Carpetas!$C$5:$M$2666,6,FALSE)</f>
        <v>Amaro</v>
      </c>
      <c r="I522" s="220"/>
      <c r="J522" s="47">
        <v>45505</v>
      </c>
      <c r="K522" s="72" t="str">
        <f>VLOOKUP($C522,Carpetas!$C$5:$M$2666,5,FALSE)</f>
        <v>Rio Branco</v>
      </c>
      <c r="L522" s="32"/>
      <c r="M522" s="48">
        <f>J522+1</f>
        <v>45506</v>
      </c>
      <c r="N522" s="26">
        <f t="shared" si="29"/>
        <v>2</v>
      </c>
      <c r="O522" s="27">
        <v>990</v>
      </c>
      <c r="P522" s="27">
        <v>990</v>
      </c>
      <c r="Q522" s="27"/>
      <c r="R522" s="27"/>
      <c r="S522" s="27" t="s">
        <v>1713</v>
      </c>
      <c r="T522" s="27"/>
      <c r="U522" s="27">
        <v>24328</v>
      </c>
      <c r="V522" s="27" t="s">
        <v>1617</v>
      </c>
      <c r="W522" s="27" t="s">
        <v>1618</v>
      </c>
      <c r="X522" s="73" t="s">
        <v>1619</v>
      </c>
      <c r="Y522" s="73" t="str">
        <f>VLOOKUP(X522,Choferes!$B$2:$C$500,2,FALSE)</f>
        <v>+5553984318842</v>
      </c>
      <c r="Z522" s="73" t="s">
        <v>1714</v>
      </c>
    </row>
    <row r="523" spans="1:26" hidden="1" x14ac:dyDescent="0.25">
      <c r="A523" s="33">
        <v>30</v>
      </c>
      <c r="B523" s="71" t="s">
        <v>29</v>
      </c>
      <c r="C523" s="39" t="s">
        <v>1715</v>
      </c>
      <c r="D523" s="50" t="s">
        <v>38</v>
      </c>
      <c r="E523" s="47">
        <v>45499</v>
      </c>
      <c r="F523" s="31" t="str">
        <f>VLOOKUP($C523,Carpetas!$C$5:$M$2666,2,FALSE)</f>
        <v>BRE021</v>
      </c>
      <c r="G523" s="23">
        <f>VLOOKUP($C523,Carpetas!$C$5:$M$2666,10,FALSE)</f>
        <v>0</v>
      </c>
      <c r="H523" s="27" t="str">
        <f>VLOOKUP($C523,Carpetas!$C$5:$M$2666,6,FALSE)</f>
        <v xml:space="preserve">Silvio </v>
      </c>
      <c r="I523" s="220">
        <f>VLOOKUP($C523,Carpetas!$C$5:$M$2666,4,FALSE)</f>
        <v>0</v>
      </c>
      <c r="J523" s="47">
        <v>45505</v>
      </c>
      <c r="K523" s="72" t="str">
        <f>VLOOKUP($C523,Carpetas!$C$5:$M$2666,5,FALSE)</f>
        <v>Chuy</v>
      </c>
      <c r="L523" s="32"/>
      <c r="M523" s="48">
        <f>J523+1+1</f>
        <v>45507</v>
      </c>
      <c r="N523" s="26">
        <f t="shared" si="29"/>
        <v>8</v>
      </c>
      <c r="O523" s="27">
        <f>300+195+140+648+200</f>
        <v>1483</v>
      </c>
      <c r="P523" s="27"/>
      <c r="Q523" s="27"/>
      <c r="R523" s="27"/>
      <c r="S523" s="27"/>
      <c r="T523" s="27"/>
      <c r="U523" s="27"/>
      <c r="V523" s="27"/>
      <c r="W523" s="27"/>
      <c r="X523" s="73"/>
      <c r="Y523" s="73" t="e">
        <f>VLOOKUP(X523,Choferes!$B$2:$C$500,2,FALSE)</f>
        <v>#N/A</v>
      </c>
      <c r="Z523" s="73" t="s">
        <v>620</v>
      </c>
    </row>
    <row r="524" spans="1:26" hidden="1" x14ac:dyDescent="0.25">
      <c r="A524" s="33">
        <v>30</v>
      </c>
      <c r="B524" s="71" t="s">
        <v>29</v>
      </c>
      <c r="C524" s="39" t="s">
        <v>1716</v>
      </c>
      <c r="D524" s="50" t="s">
        <v>38</v>
      </c>
      <c r="E524" s="47">
        <v>45499</v>
      </c>
      <c r="F524" s="31" t="str">
        <f>VLOOKUP($C524,Carpetas!$C$5:$M$2666,2,FALSE)</f>
        <v>BRE022</v>
      </c>
      <c r="G524" s="23">
        <f>VLOOKUP($C524,Carpetas!$C$5:$M$2666,10,FALSE)</f>
        <v>0</v>
      </c>
      <c r="H524" s="27" t="str">
        <f>VLOOKUP($C524,Carpetas!$C$5:$M$2666,6,FALSE)</f>
        <v xml:space="preserve">Silvio </v>
      </c>
      <c r="I524" s="220">
        <f>VLOOKUP($C524,Carpetas!$C$5:$M$2666,4,FALSE)</f>
        <v>0</v>
      </c>
      <c r="J524" s="47">
        <v>45506</v>
      </c>
      <c r="K524" s="72" t="str">
        <f>VLOOKUP($C524,Carpetas!$C$5:$M$2666,5,FALSE)</f>
        <v>Chuy</v>
      </c>
      <c r="L524" s="32"/>
      <c r="M524" s="48">
        <f t="shared" ref="M524:M529" si="30">J524+1</f>
        <v>45507</v>
      </c>
      <c r="N524" s="26">
        <f t="shared" si="29"/>
        <v>8</v>
      </c>
      <c r="O524" s="27">
        <v>1512</v>
      </c>
      <c r="P524" s="27"/>
      <c r="Q524" s="27"/>
      <c r="R524" s="27"/>
      <c r="S524" s="27"/>
      <c r="T524" s="27"/>
      <c r="U524" s="27"/>
      <c r="V524" s="27"/>
      <c r="W524" s="27"/>
      <c r="X524" s="73"/>
      <c r="Y524" s="73" t="e">
        <f>VLOOKUP(X524,Choferes!$B$2:$C$500,2,FALSE)</f>
        <v>#N/A</v>
      </c>
      <c r="Z524" s="73" t="s">
        <v>616</v>
      </c>
    </row>
    <row r="525" spans="1:26" hidden="1" x14ac:dyDescent="0.25">
      <c r="A525" s="33">
        <v>31</v>
      </c>
      <c r="B525" s="71" t="s">
        <v>29</v>
      </c>
      <c r="C525" s="39" t="s">
        <v>1717</v>
      </c>
      <c r="D525" s="50" t="s">
        <v>48</v>
      </c>
      <c r="E525" s="47">
        <v>45502</v>
      </c>
      <c r="F525" s="31" t="str">
        <f>VLOOKUP($C525,Carpetas!$C$5:$M$2666,2,FALSE)</f>
        <v>PYB124</v>
      </c>
      <c r="G525" s="23">
        <f>VLOOKUP($C525,Carpetas!$C$5:$M$2666,10,FALSE)</f>
        <v>0</v>
      </c>
      <c r="H525" s="27">
        <f>VLOOKUP($C525,Carpetas!$C$5:$M$2666,6,FALSE)</f>
        <v>0</v>
      </c>
      <c r="I525" s="220"/>
      <c r="J525" s="47">
        <v>45506</v>
      </c>
      <c r="K525" s="72" t="str">
        <f>VLOOKUP($C525,Carpetas!$C$5:$M$2666,5,FALSE)</f>
        <v>Salto</v>
      </c>
      <c r="L525" s="32"/>
      <c r="M525" s="48">
        <f t="shared" si="30"/>
        <v>45507</v>
      </c>
      <c r="N525" s="26">
        <f t="shared" si="29"/>
        <v>5</v>
      </c>
      <c r="O525" s="27">
        <v>930</v>
      </c>
      <c r="P525" s="27">
        <v>930</v>
      </c>
      <c r="Q525" s="27"/>
      <c r="R525" s="27"/>
      <c r="S525" s="27" t="s">
        <v>1718</v>
      </c>
      <c r="T525" s="27"/>
      <c r="U525" s="27"/>
      <c r="V525" s="27" t="s">
        <v>93</v>
      </c>
      <c r="W525" s="27" t="s">
        <v>1021</v>
      </c>
      <c r="X525" s="73"/>
      <c r="Y525" s="73" t="e">
        <f>VLOOKUP(X525,Choferes!$B$2:$C$500,2,FALSE)</f>
        <v>#N/A</v>
      </c>
      <c r="Z525" s="73" t="s">
        <v>1719</v>
      </c>
    </row>
    <row r="526" spans="1:26" hidden="1" x14ac:dyDescent="0.25">
      <c r="A526" s="33">
        <v>31</v>
      </c>
      <c r="B526" s="71" t="s">
        <v>29</v>
      </c>
      <c r="C526" s="39" t="s">
        <v>1717</v>
      </c>
      <c r="D526" s="50" t="s">
        <v>48</v>
      </c>
      <c r="E526" s="47">
        <v>45503</v>
      </c>
      <c r="F526" s="31" t="str">
        <f>VLOOKUP($C526,Carpetas!$C$5:$M$2666,2,FALSE)</f>
        <v>PYB124</v>
      </c>
      <c r="G526" s="23">
        <f>VLOOKUP($C526,Carpetas!$C$5:$M$2666,10,FALSE)</f>
        <v>0</v>
      </c>
      <c r="H526" s="27">
        <f>VLOOKUP($C526,Carpetas!$C$5:$M$2666,6,FALSE)</f>
        <v>0</v>
      </c>
      <c r="I526" s="220"/>
      <c r="J526" s="47">
        <v>45506</v>
      </c>
      <c r="K526" s="72" t="str">
        <f>VLOOKUP($C526,Carpetas!$C$5:$M$2666,5,FALSE)</f>
        <v>Salto</v>
      </c>
      <c r="L526" s="32"/>
      <c r="M526" s="48">
        <f t="shared" si="30"/>
        <v>45507</v>
      </c>
      <c r="N526" s="26">
        <f t="shared" si="29"/>
        <v>4</v>
      </c>
      <c r="O526" s="27">
        <v>930</v>
      </c>
      <c r="P526" s="27">
        <v>930</v>
      </c>
      <c r="Q526" s="27"/>
      <c r="R526" s="27"/>
      <c r="S526" s="27" t="s">
        <v>1720</v>
      </c>
      <c r="T526" s="27"/>
      <c r="U526" s="27"/>
      <c r="V526" s="27" t="s">
        <v>1038</v>
      </c>
      <c r="W526" s="27" t="s">
        <v>99</v>
      </c>
      <c r="X526" s="73"/>
      <c r="Y526" s="73" t="e">
        <f>VLOOKUP(X526,Choferes!$B$2:$C$500,2,FALSE)</f>
        <v>#N/A</v>
      </c>
      <c r="Z526" s="73" t="s">
        <v>1719</v>
      </c>
    </row>
    <row r="527" spans="1:26" hidden="1" x14ac:dyDescent="0.25">
      <c r="A527" s="33">
        <v>31</v>
      </c>
      <c r="B527" s="71" t="s">
        <v>29</v>
      </c>
      <c r="C527" s="39" t="s">
        <v>1690</v>
      </c>
      <c r="D527" s="50" t="s">
        <v>803</v>
      </c>
      <c r="E527" s="47">
        <v>45505</v>
      </c>
      <c r="F527" s="31" t="str">
        <f>VLOOKUP($C527,Carpetas!$C$5:$M$2666,2,FALSE)</f>
        <v>BRB049</v>
      </c>
      <c r="G527" s="23" t="str">
        <f>VLOOKUP($C527,Carpetas!$C$5:$M$2666,10,FALSE)</f>
        <v>149.87.05</v>
      </c>
      <c r="H527" s="27" t="str">
        <f>VLOOKUP($C527,Carpetas!$C$5:$M$2666,6,FALSE)</f>
        <v>FG</v>
      </c>
      <c r="I527" s="220"/>
      <c r="J527" s="47">
        <v>45506</v>
      </c>
      <c r="K527" s="72" t="str">
        <f>VLOOKUP($C527,Carpetas!$C$5:$M$2666,5,FALSE)</f>
        <v>Rio Branco</v>
      </c>
      <c r="L527" s="32"/>
      <c r="M527" s="48">
        <f t="shared" si="30"/>
        <v>45507</v>
      </c>
      <c r="N527" s="26">
        <f t="shared" si="29"/>
        <v>2</v>
      </c>
      <c r="O527" s="27">
        <v>990</v>
      </c>
      <c r="P527" s="27">
        <v>991</v>
      </c>
      <c r="Q527" s="27"/>
      <c r="R527" s="27"/>
      <c r="S527" s="27" t="s">
        <v>1721</v>
      </c>
      <c r="T527" s="27"/>
      <c r="U527" s="27">
        <v>251</v>
      </c>
      <c r="V527" s="27" t="s">
        <v>1722</v>
      </c>
      <c r="W527" s="27" t="s">
        <v>1723</v>
      </c>
      <c r="X527" s="73" t="s">
        <v>1495</v>
      </c>
      <c r="Y527" s="73" t="str">
        <f>VLOOKUP(X527,Choferes!$B$2:$C$500,2,FALSE)</f>
        <v>+5553984382803</v>
      </c>
      <c r="Z527" s="73" t="s">
        <v>1724</v>
      </c>
    </row>
    <row r="528" spans="1:26" hidden="1" x14ac:dyDescent="0.25">
      <c r="A528" s="33">
        <v>31</v>
      </c>
      <c r="B528" s="71" t="s">
        <v>298</v>
      </c>
      <c r="C528" s="39" t="s">
        <v>299</v>
      </c>
      <c r="D528" s="50" t="s">
        <v>78</v>
      </c>
      <c r="E528" s="47">
        <v>45505</v>
      </c>
      <c r="F528" s="31" t="str">
        <f>VLOOKUP($C528,Carpetas!$C$5:$M$2666,2,FALSE)</f>
        <v>BRB</v>
      </c>
      <c r="G528" s="23" t="e">
        <f>VLOOKUP($C528,Carpetas!$C$5:$M$2666,9,FALSE)</f>
        <v>#REF!</v>
      </c>
      <c r="H528" s="27" t="str">
        <f>VLOOKUP($C528,Carpetas!$C$5:$M$2666,5,FALSE)</f>
        <v>xx</v>
      </c>
      <c r="I528" s="220"/>
      <c r="J528" s="47">
        <f>E528+2</f>
        <v>45507</v>
      </c>
      <c r="K528" s="72">
        <f>VLOOKUP($C528,Carpetas!$C$5:$M$2666,4,FALSE)</f>
        <v>0</v>
      </c>
      <c r="L528" s="32"/>
      <c r="M528" s="48">
        <f t="shared" si="30"/>
        <v>45508</v>
      </c>
      <c r="N528" s="26">
        <f t="shared" si="29"/>
        <v>3</v>
      </c>
      <c r="O528" s="27">
        <v>990</v>
      </c>
      <c r="P528" s="27"/>
      <c r="Q528" s="27"/>
      <c r="R528" s="27"/>
      <c r="S528" s="27"/>
      <c r="T528" s="27"/>
      <c r="U528" s="27"/>
      <c r="V528" s="27"/>
      <c r="W528" s="27"/>
      <c r="X528" s="73"/>
      <c r="Y528" s="73" t="e">
        <f>VLOOKUP(X528,Choferes!$B$2:$C$500,2,FALSE)</f>
        <v>#N/A</v>
      </c>
      <c r="Z528" s="73"/>
    </row>
    <row r="529" spans="1:26" hidden="1" x14ac:dyDescent="0.25">
      <c r="A529" s="33">
        <v>31</v>
      </c>
      <c r="B529" s="71" t="s">
        <v>298</v>
      </c>
      <c r="C529" s="39" t="s">
        <v>299</v>
      </c>
      <c r="D529" s="50" t="s">
        <v>747</v>
      </c>
      <c r="E529" s="47">
        <v>45506</v>
      </c>
      <c r="F529" s="31" t="str">
        <f>VLOOKUP($C529,Carpetas!$C$5:$M$2666,2,FALSE)</f>
        <v>BRB</v>
      </c>
      <c r="G529" s="23" t="e">
        <f>VLOOKUP($C529,Carpetas!$C$5:$M$2666,9,FALSE)</f>
        <v>#REF!</v>
      </c>
      <c r="H529" s="27" t="str">
        <f>VLOOKUP($C529,Carpetas!$C$5:$M$2666,5,FALSE)</f>
        <v>xx</v>
      </c>
      <c r="I529" s="220"/>
      <c r="J529" s="47">
        <f>E529+2</f>
        <v>45508</v>
      </c>
      <c r="K529" s="72">
        <f>VLOOKUP($C529,Carpetas!$C$5:$M$2666,4,FALSE)</f>
        <v>0</v>
      </c>
      <c r="L529" s="32"/>
      <c r="M529" s="48">
        <f t="shared" si="30"/>
        <v>45509</v>
      </c>
      <c r="N529" s="26">
        <f t="shared" si="29"/>
        <v>3</v>
      </c>
      <c r="O529" s="27">
        <v>918</v>
      </c>
      <c r="P529" s="27"/>
      <c r="Q529" s="27"/>
      <c r="R529" s="27"/>
      <c r="S529" s="27"/>
      <c r="T529" s="27"/>
      <c r="U529" s="27"/>
      <c r="V529" s="27"/>
      <c r="W529" s="27"/>
      <c r="X529" s="73"/>
      <c r="Y529" s="73" t="e">
        <f>VLOOKUP(X529,Choferes!$B$2:$C$500,2,FALSE)</f>
        <v>#N/A</v>
      </c>
      <c r="Z529" s="73"/>
    </row>
    <row r="530" spans="1:26" hidden="1" x14ac:dyDescent="0.25">
      <c r="A530" s="33">
        <v>31</v>
      </c>
      <c r="B530" s="71" t="s">
        <v>29</v>
      </c>
      <c r="C530" s="39" t="s">
        <v>1678</v>
      </c>
      <c r="D530" s="50" t="s">
        <v>764</v>
      </c>
      <c r="E530" s="47">
        <v>45506</v>
      </c>
      <c r="F530" s="31" t="str">
        <f>VLOOKUP($C530,Carpetas!$C$5:$M$2666,2,FALSE)</f>
        <v>BRC001</v>
      </c>
      <c r="G530" s="23" t="str">
        <f>VLOOKUP($C530,Carpetas!$C$5:$M$2666,10,FALSE)</f>
        <v>149,85,27</v>
      </c>
      <c r="H530" s="27" t="str">
        <f>VLOOKUP($C530,Carpetas!$C$5:$M$2666,6,FALSE)</f>
        <v>FG</v>
      </c>
      <c r="I530" s="220"/>
      <c r="J530" s="47">
        <f>E530+2</f>
        <v>45508</v>
      </c>
      <c r="K530" s="72" t="str">
        <f>VLOOKUP($C530,Carpetas!$C$5:$M$2666,5,FALSE)</f>
        <v>Rio Branco</v>
      </c>
      <c r="L530" s="32"/>
      <c r="M530" s="48">
        <v>45510</v>
      </c>
      <c r="N530" s="26">
        <f t="shared" si="29"/>
        <v>4</v>
      </c>
      <c r="O530" s="27">
        <v>990</v>
      </c>
      <c r="P530" s="27">
        <v>990</v>
      </c>
      <c r="Q530" s="27"/>
      <c r="R530" s="27"/>
      <c r="S530" s="27" t="s">
        <v>1725</v>
      </c>
      <c r="T530" s="27"/>
      <c r="U530" s="27"/>
      <c r="V530" s="27" t="s">
        <v>1726</v>
      </c>
      <c r="W530" s="27" t="s">
        <v>1646</v>
      </c>
      <c r="X530" s="73"/>
      <c r="Y530" s="73" t="e">
        <f>VLOOKUP(X530,Choferes!$B$2:$C$500,2,FALSE)</f>
        <v>#N/A</v>
      </c>
      <c r="Z530" s="73" t="s">
        <v>1727</v>
      </c>
    </row>
    <row r="531" spans="1:26" hidden="1" x14ac:dyDescent="0.25">
      <c r="A531" s="33">
        <v>31</v>
      </c>
      <c r="B531" s="71" t="s">
        <v>29</v>
      </c>
      <c r="C531" s="39" t="s">
        <v>1690</v>
      </c>
      <c r="D531" s="50" t="s">
        <v>803</v>
      </c>
      <c r="E531" s="47">
        <v>45506</v>
      </c>
      <c r="F531" s="31" t="str">
        <f>VLOOKUP($C531,Carpetas!$C$5:$M$2666,2,FALSE)</f>
        <v>BRB049</v>
      </c>
      <c r="G531" s="23" t="str">
        <f>VLOOKUP($C531,Carpetas!$C$5:$M$2666,10,FALSE)</f>
        <v>149.87.05</v>
      </c>
      <c r="H531" s="27" t="str">
        <f>VLOOKUP($C531,Carpetas!$C$5:$M$2666,6,FALSE)</f>
        <v>FG</v>
      </c>
      <c r="I531" s="220"/>
      <c r="J531" s="47">
        <v>45509</v>
      </c>
      <c r="K531" s="72" t="str">
        <f>VLOOKUP($C531,Carpetas!$C$5:$M$2666,5,FALSE)</f>
        <v>Rio Branco</v>
      </c>
      <c r="L531" s="32"/>
      <c r="M531" s="48">
        <v>45510</v>
      </c>
      <c r="N531" s="26">
        <f t="shared" si="29"/>
        <v>4</v>
      </c>
      <c r="O531" s="27">
        <v>990</v>
      </c>
      <c r="P531" s="27">
        <v>990</v>
      </c>
      <c r="Q531" s="27"/>
      <c r="R531" s="27"/>
      <c r="S531" s="27" t="s">
        <v>1728</v>
      </c>
      <c r="T531" s="27"/>
      <c r="U531" s="27">
        <v>260</v>
      </c>
      <c r="V531" s="27" t="s">
        <v>1680</v>
      </c>
      <c r="W531" s="27" t="s">
        <v>1681</v>
      </c>
      <c r="X531" s="73" t="s">
        <v>1465</v>
      </c>
      <c r="Y531" s="73" t="str">
        <f>VLOOKUP(X531,Choferes!$B$2:$C$500,2,FALSE)</f>
        <v>+59893339027</v>
      </c>
      <c r="Z531" s="73" t="s">
        <v>1729</v>
      </c>
    </row>
    <row r="532" spans="1:26" hidden="1" x14ac:dyDescent="0.25">
      <c r="A532" s="33">
        <v>31</v>
      </c>
      <c r="B532" s="71" t="s">
        <v>29</v>
      </c>
      <c r="C532" s="39" t="s">
        <v>1594</v>
      </c>
      <c r="D532" s="50" t="s">
        <v>249</v>
      </c>
      <c r="E532" s="47">
        <v>45506</v>
      </c>
      <c r="F532" s="31" t="str">
        <f>VLOOKUP($C532,Carpetas!$C$5:$M$2666,2,FALSE)</f>
        <v>BRB046</v>
      </c>
      <c r="G532" s="23" t="str">
        <f>VLOOKUP($C532,Carpetas!$C$5:$M$2666,10,FALSE)</f>
        <v>149,72,02</v>
      </c>
      <c r="H532" s="27" t="str">
        <f>VLOOKUP($C532,Carpetas!$C$5:$M$2666,6,FALSE)</f>
        <v xml:space="preserve">Silvio </v>
      </c>
      <c r="I532" s="220"/>
      <c r="J532" s="47">
        <v>45509</v>
      </c>
      <c r="K532" s="72" t="str">
        <f>VLOOKUP($C532,Carpetas!$C$5:$M$2666,5,FALSE)</f>
        <v>Rio Branco</v>
      </c>
      <c r="L532" s="32"/>
      <c r="M532" s="48">
        <v>45510</v>
      </c>
      <c r="N532" s="26">
        <f t="shared" si="29"/>
        <v>4</v>
      </c>
      <c r="O532" s="27">
        <v>918</v>
      </c>
      <c r="P532" s="27"/>
      <c r="Q532" s="27"/>
      <c r="R532" s="27"/>
      <c r="S532" s="27" t="s">
        <v>1730</v>
      </c>
      <c r="T532" s="27"/>
      <c r="U532" s="27">
        <v>7028</v>
      </c>
      <c r="V532" s="27" t="s">
        <v>1731</v>
      </c>
      <c r="W532" s="27" t="s">
        <v>1732</v>
      </c>
      <c r="X532" s="73"/>
      <c r="Y532" s="73" t="e">
        <f>VLOOKUP(X532,Choferes!$B$2:$C$500,2,FALSE)</f>
        <v>#N/A</v>
      </c>
      <c r="Z532" s="73" t="s">
        <v>1733</v>
      </c>
    </row>
    <row r="533" spans="1:26" hidden="1" x14ac:dyDescent="0.25">
      <c r="A533" s="33">
        <v>31</v>
      </c>
      <c r="B533" s="71" t="s">
        <v>29</v>
      </c>
      <c r="C533" s="39" t="s">
        <v>1690</v>
      </c>
      <c r="D533" s="50" t="s">
        <v>78</v>
      </c>
      <c r="E533" s="47">
        <v>45506</v>
      </c>
      <c r="F533" s="31" t="str">
        <f>VLOOKUP($C533,Carpetas!$C$5:$M$2666,2,FALSE)</f>
        <v>BRB049</v>
      </c>
      <c r="G533" s="23" t="str">
        <f>VLOOKUP($C533,Carpetas!$C$5:$M$2666,10,FALSE)</f>
        <v>149.87.05</v>
      </c>
      <c r="H533" s="27" t="str">
        <f>VLOOKUP($C533,Carpetas!$C$5:$M$2666,6,FALSE)</f>
        <v>FG</v>
      </c>
      <c r="I533" s="220"/>
      <c r="J533" s="47">
        <v>45509</v>
      </c>
      <c r="K533" s="72" t="str">
        <f>VLOOKUP($C533,Carpetas!$C$5:$M$2666,5,FALSE)</f>
        <v>Rio Branco</v>
      </c>
      <c r="L533" s="32"/>
      <c r="M533" s="48">
        <v>45510</v>
      </c>
      <c r="N533" s="26">
        <f t="shared" si="29"/>
        <v>4</v>
      </c>
      <c r="O533" s="27">
        <v>990</v>
      </c>
      <c r="P533" s="27">
        <v>991</v>
      </c>
      <c r="Q533" s="27"/>
      <c r="R533" s="27"/>
      <c r="S533" s="27" t="s">
        <v>1734</v>
      </c>
      <c r="T533" s="27"/>
      <c r="U533" s="27">
        <v>262</v>
      </c>
      <c r="V533" s="27" t="s">
        <v>1735</v>
      </c>
      <c r="W533" s="27" t="s">
        <v>1736</v>
      </c>
      <c r="X533" s="73"/>
      <c r="Y533" s="73" t="e">
        <f>VLOOKUP(X533,Choferes!$B$2:$C$500,2,FALSE)</f>
        <v>#N/A</v>
      </c>
      <c r="Z533" s="73" t="s">
        <v>1737</v>
      </c>
    </row>
    <row r="534" spans="1:26" hidden="1" x14ac:dyDescent="0.25">
      <c r="A534" s="33">
        <v>31</v>
      </c>
      <c r="B534" s="71" t="s">
        <v>29</v>
      </c>
      <c r="C534" s="39" t="s">
        <v>1738</v>
      </c>
      <c r="D534" s="50" t="s">
        <v>747</v>
      </c>
      <c r="E534" s="47">
        <v>45506</v>
      </c>
      <c r="F534" s="31" t="str">
        <f>VLOOKUP($C534,Carpetas!$C$5:$M$2666,2,FALSE)</f>
        <v>BRB053</v>
      </c>
      <c r="G534" s="23" t="str">
        <f>VLOOKUP($C534,Carpetas!$C$5:$M$2666,10,FALSE)</f>
        <v>149,92,49</v>
      </c>
      <c r="H534" s="27" t="str">
        <f>VLOOKUP($C534,Carpetas!$C$5:$M$2666,6,FALSE)</f>
        <v xml:space="preserve">Silvio </v>
      </c>
      <c r="I534" s="220"/>
      <c r="J534" s="47">
        <v>45509</v>
      </c>
      <c r="K534" s="72" t="str">
        <f>VLOOKUP($C534,Carpetas!$C$5:$M$2666,5,FALSE)</f>
        <v>Rio Branco</v>
      </c>
      <c r="L534" s="32"/>
      <c r="M534" s="48">
        <v>45510</v>
      </c>
      <c r="N534" s="26">
        <f t="shared" si="29"/>
        <v>4</v>
      </c>
      <c r="O534" s="27">
        <v>918</v>
      </c>
      <c r="P534" s="27">
        <v>919</v>
      </c>
      <c r="Q534" s="27"/>
      <c r="R534" s="27"/>
      <c r="S534" s="27" t="s">
        <v>1739</v>
      </c>
      <c r="T534" s="27"/>
      <c r="U534" s="27">
        <v>7046</v>
      </c>
      <c r="V534" s="27" t="s">
        <v>1740</v>
      </c>
      <c r="W534" s="27" t="s">
        <v>1741</v>
      </c>
      <c r="X534" s="73"/>
      <c r="Y534" s="73" t="e">
        <f>VLOOKUP(X534,Choferes!$B$2:$C$500,2,FALSE)</f>
        <v>#N/A</v>
      </c>
      <c r="Z534" s="73" t="s">
        <v>1742</v>
      </c>
    </row>
    <row r="535" spans="1:26" hidden="1" x14ac:dyDescent="0.25">
      <c r="A535" s="33">
        <v>31</v>
      </c>
      <c r="B535" s="71" t="s">
        <v>29</v>
      </c>
      <c r="C535" s="39" t="s">
        <v>1738</v>
      </c>
      <c r="D535" s="50" t="s">
        <v>803</v>
      </c>
      <c r="E535" s="47">
        <v>45507</v>
      </c>
      <c r="F535" s="31" t="str">
        <f>VLOOKUP($C535,Carpetas!$C$5:$M$2666,2,FALSE)</f>
        <v>BRB053</v>
      </c>
      <c r="G535" s="23" t="str">
        <f>VLOOKUP($C535,Carpetas!$C$5:$M$2666,10,FALSE)</f>
        <v>149,92,49</v>
      </c>
      <c r="H535" s="27" t="str">
        <f>VLOOKUP($C535,Carpetas!$C$5:$M$2666,6,FALSE)</f>
        <v xml:space="preserve">Silvio </v>
      </c>
      <c r="I535" s="220"/>
      <c r="J535" s="47">
        <f>E535+2</f>
        <v>45509</v>
      </c>
      <c r="K535" s="72" t="str">
        <f>VLOOKUP($C535,Carpetas!$C$5:$M$2666,5,FALSE)</f>
        <v>Rio Branco</v>
      </c>
      <c r="L535" s="32"/>
      <c r="M535" s="48">
        <f>J535+1</f>
        <v>45510</v>
      </c>
      <c r="N535" s="26">
        <f t="shared" si="29"/>
        <v>3</v>
      </c>
      <c r="O535" s="27">
        <v>918</v>
      </c>
      <c r="P535" s="27">
        <v>918</v>
      </c>
      <c r="Q535" s="27"/>
      <c r="R535" s="27"/>
      <c r="S535" s="27" t="s">
        <v>1743</v>
      </c>
      <c r="T535" s="27"/>
      <c r="U535" s="27">
        <v>7047</v>
      </c>
      <c r="V535" s="27" t="s">
        <v>251</v>
      </c>
      <c r="W535" s="27" t="s">
        <v>710</v>
      </c>
      <c r="X535" s="73"/>
      <c r="Y535" s="73" t="e">
        <f>VLOOKUP(X535,Choferes!$B$2:$C$500,2,FALSE)</f>
        <v>#N/A</v>
      </c>
      <c r="Z535" s="73" t="s">
        <v>1744</v>
      </c>
    </row>
    <row r="536" spans="1:26" hidden="1" x14ac:dyDescent="0.25">
      <c r="A536" s="33">
        <v>31</v>
      </c>
      <c r="B536" s="71" t="s">
        <v>29</v>
      </c>
      <c r="C536" s="39" t="s">
        <v>1690</v>
      </c>
      <c r="D536" s="50" t="s">
        <v>953</v>
      </c>
      <c r="E536" s="47">
        <v>45507</v>
      </c>
      <c r="F536" s="31" t="str">
        <f>VLOOKUP($C536,Carpetas!$C$5:$M$2666,2,FALSE)</f>
        <v>BRB049</v>
      </c>
      <c r="G536" s="23" t="str">
        <f>VLOOKUP($C536,Carpetas!$C$5:$M$2666,10,FALSE)</f>
        <v>149.87.05</v>
      </c>
      <c r="H536" s="27" t="str">
        <f>VLOOKUP($C536,Carpetas!$C$5:$M$2666,6,FALSE)</f>
        <v>FG</v>
      </c>
      <c r="I536" s="220"/>
      <c r="J536" s="47">
        <f>E536+2</f>
        <v>45509</v>
      </c>
      <c r="K536" s="72" t="str">
        <f>VLOOKUP($C536,Carpetas!$C$5:$M$2666,5,FALSE)</f>
        <v>Rio Branco</v>
      </c>
      <c r="L536" s="32"/>
      <c r="M536" s="48">
        <f>J536+1</f>
        <v>45510</v>
      </c>
      <c r="N536" s="26">
        <f t="shared" si="29"/>
        <v>3</v>
      </c>
      <c r="O536" s="27">
        <v>990</v>
      </c>
      <c r="P536" s="27">
        <v>990</v>
      </c>
      <c r="Q536" s="27"/>
      <c r="R536" s="27"/>
      <c r="S536" s="27" t="s">
        <v>1745</v>
      </c>
      <c r="T536" s="27"/>
      <c r="U536" s="27">
        <v>263</v>
      </c>
      <c r="V536" s="27" t="s">
        <v>1645</v>
      </c>
      <c r="W536" s="27" t="s">
        <v>1637</v>
      </c>
      <c r="X536" s="73" t="s">
        <v>1397</v>
      </c>
      <c r="Y536" s="73" t="str">
        <f>VLOOKUP(X536,Choferes!$B$2:$C$500,2,FALSE)</f>
        <v>+5551996322594</v>
      </c>
      <c r="Z536" s="73" t="s">
        <v>1746</v>
      </c>
    </row>
    <row r="537" spans="1:26" hidden="1" x14ac:dyDescent="0.25">
      <c r="A537" s="33">
        <v>30</v>
      </c>
      <c r="B537" s="71" t="s">
        <v>29</v>
      </c>
      <c r="C537" s="39" t="s">
        <v>1747</v>
      </c>
      <c r="D537" s="50" t="s">
        <v>38</v>
      </c>
      <c r="E537" s="47">
        <v>45500</v>
      </c>
      <c r="F537" s="31" t="str">
        <f>VLOOKUP($C537,Carpetas!$C$5:$M$2666,2,FALSE)</f>
        <v>BRE023</v>
      </c>
      <c r="G537" s="23">
        <f>VLOOKUP($C537,Carpetas!$C$5:$M$2666,10,FALSE)</f>
        <v>0</v>
      </c>
      <c r="H537" s="27" t="str">
        <f>VLOOKUP($C537,Carpetas!$C$5:$M$2666,6,FALSE)</f>
        <v>Benini</v>
      </c>
      <c r="I537" s="220">
        <f>VLOOKUP($C537,Carpetas!$C$5:$M$2666,4,FALSE)</f>
        <v>0</v>
      </c>
      <c r="J537" s="47">
        <f>E537+10</f>
        <v>45510</v>
      </c>
      <c r="K537" s="72" t="str">
        <f>VLOOKUP($C537,Carpetas!$C$5:$M$2666,5,FALSE)</f>
        <v>Rio Branco</v>
      </c>
      <c r="L537" s="32"/>
      <c r="M537" s="48">
        <v>45511</v>
      </c>
      <c r="N537" s="26">
        <f t="shared" si="29"/>
        <v>11</v>
      </c>
      <c r="O537" s="27">
        <v>2520</v>
      </c>
      <c r="P537" s="27"/>
      <c r="Q537" s="27"/>
      <c r="R537" s="27"/>
      <c r="S537" s="27"/>
      <c r="T537" s="27"/>
      <c r="U537" s="27">
        <v>62</v>
      </c>
      <c r="V537" s="27" t="s">
        <v>1748</v>
      </c>
      <c r="W537" s="27" t="s">
        <v>1749</v>
      </c>
      <c r="X537" s="73"/>
      <c r="Y537" s="73" t="e">
        <f>VLOOKUP(X537,Choferes!$B$2:$C$500,2,FALSE)</f>
        <v>#N/A</v>
      </c>
      <c r="Z537" s="73" t="s">
        <v>1750</v>
      </c>
    </row>
    <row r="538" spans="1:26" hidden="1" x14ac:dyDescent="0.25">
      <c r="A538" s="33">
        <v>32</v>
      </c>
      <c r="B538" s="71" t="s">
        <v>29</v>
      </c>
      <c r="C538" s="39" t="s">
        <v>1751</v>
      </c>
      <c r="D538" s="50" t="s">
        <v>48</v>
      </c>
      <c r="E538" s="47">
        <v>45508</v>
      </c>
      <c r="F538" s="31" t="str">
        <f>VLOOKUP($C538,Carpetas!$C$5:$M$2666,2,FALSE)</f>
        <v>PYB125</v>
      </c>
      <c r="G538" s="23">
        <f>VLOOKUP($C538,Carpetas!$C$5:$M$2666,10,FALSE)</f>
        <v>0</v>
      </c>
      <c r="H538" s="27">
        <f>VLOOKUP($C538,Carpetas!$C$5:$M$2666,6,FALSE)</f>
        <v>0</v>
      </c>
      <c r="I538" s="220"/>
      <c r="J538" s="47">
        <f>E538+3</f>
        <v>45511</v>
      </c>
      <c r="K538" s="72" t="str">
        <f>VLOOKUP($C538,Carpetas!$C$5:$M$2666,5,FALSE)</f>
        <v>Salto</v>
      </c>
      <c r="L538" s="32"/>
      <c r="M538" s="48">
        <v>45511</v>
      </c>
      <c r="N538" s="26">
        <f t="shared" si="29"/>
        <v>3</v>
      </c>
      <c r="O538" s="27">
        <v>930</v>
      </c>
      <c r="P538" s="27">
        <v>930</v>
      </c>
      <c r="Q538" s="27"/>
      <c r="R538" s="27"/>
      <c r="S538" s="27" t="s">
        <v>1752</v>
      </c>
      <c r="T538" s="27"/>
      <c r="U538" s="27"/>
      <c r="V538" s="27" t="s">
        <v>357</v>
      </c>
      <c r="W538" s="27" t="s">
        <v>225</v>
      </c>
      <c r="X538" s="73"/>
      <c r="Y538" s="73" t="e">
        <f>VLOOKUP(X538,Choferes!$B$2:$C$500,2,FALSE)</f>
        <v>#N/A</v>
      </c>
      <c r="Z538" s="73" t="s">
        <v>1753</v>
      </c>
    </row>
    <row r="539" spans="1:26" hidden="1" x14ac:dyDescent="0.25">
      <c r="A539" s="33">
        <v>32</v>
      </c>
      <c r="B539" s="71" t="s">
        <v>29</v>
      </c>
      <c r="C539" s="39" t="s">
        <v>1751</v>
      </c>
      <c r="D539" s="50" t="s">
        <v>48</v>
      </c>
      <c r="E539" s="47">
        <v>45508</v>
      </c>
      <c r="F539" s="31" t="str">
        <f>VLOOKUP($C539,Carpetas!$C$5:$M$2666,2,FALSE)</f>
        <v>PYB125</v>
      </c>
      <c r="G539" s="23">
        <f>VLOOKUP($C539,Carpetas!$C$5:$M$2666,10,FALSE)</f>
        <v>0</v>
      </c>
      <c r="H539" s="27">
        <f>VLOOKUP($C539,Carpetas!$C$5:$M$2666,6,FALSE)</f>
        <v>0</v>
      </c>
      <c r="I539" s="220"/>
      <c r="J539" s="47">
        <f>E539+3</f>
        <v>45511</v>
      </c>
      <c r="K539" s="72" t="str">
        <f>VLOOKUP($C539,Carpetas!$C$5:$M$2666,5,FALSE)</f>
        <v>Salto</v>
      </c>
      <c r="L539" s="32"/>
      <c r="M539" s="48">
        <v>45511</v>
      </c>
      <c r="N539" s="26">
        <f t="shared" si="29"/>
        <v>3</v>
      </c>
      <c r="O539" s="27">
        <v>930</v>
      </c>
      <c r="P539" s="27">
        <v>930</v>
      </c>
      <c r="Q539" s="27"/>
      <c r="R539" s="27"/>
      <c r="S539" s="27" t="s">
        <v>1754</v>
      </c>
      <c r="T539" s="27"/>
      <c r="U539" s="27"/>
      <c r="V539" s="27" t="s">
        <v>69</v>
      </c>
      <c r="W539" s="27" t="s">
        <v>70</v>
      </c>
      <c r="X539" s="73"/>
      <c r="Y539" s="73" t="e">
        <f>VLOOKUP(X539,Choferes!$B$2:$C$500,2,FALSE)</f>
        <v>#N/A</v>
      </c>
      <c r="Z539" s="73" t="s">
        <v>1755</v>
      </c>
    </row>
    <row r="540" spans="1:26" hidden="1" x14ac:dyDescent="0.25">
      <c r="A540" s="33">
        <v>31</v>
      </c>
      <c r="B540" s="71" t="s">
        <v>29</v>
      </c>
      <c r="C540" s="39" t="s">
        <v>1756</v>
      </c>
      <c r="D540" s="50" t="s">
        <v>1757</v>
      </c>
      <c r="E540" s="47">
        <v>45504</v>
      </c>
      <c r="F540" s="31" t="str">
        <f>VLOOKUP($C540,Carpetas!$C$5:$M$2666,2,FALSE)</f>
        <v>BRB051</v>
      </c>
      <c r="G540" s="23" t="str">
        <f>VLOOKUP($C540,Carpetas!$C$5:$M$2666,10,FALSE)</f>
        <v>149,88,87</v>
      </c>
      <c r="H540" s="27" t="str">
        <f>VLOOKUP($C540,Carpetas!$C$5:$M$2666,6,FALSE)</f>
        <v xml:space="preserve">Silvio </v>
      </c>
      <c r="I540" s="220"/>
      <c r="J540" s="47">
        <f>E540+7</f>
        <v>45511</v>
      </c>
      <c r="K540" s="72" t="str">
        <f>VLOOKUP($C540,Carpetas!$C$5:$M$2666,5,FALSE)</f>
        <v>Rio Branco</v>
      </c>
      <c r="L540" s="32"/>
      <c r="M540" s="48">
        <f t="shared" ref="M540:M559" si="31">J540+1</f>
        <v>45512</v>
      </c>
      <c r="N540" s="26">
        <f t="shared" si="29"/>
        <v>8</v>
      </c>
      <c r="O540" s="27">
        <v>936</v>
      </c>
      <c r="P540" s="27"/>
      <c r="Q540" s="27"/>
      <c r="R540" s="27"/>
      <c r="S540" s="27" t="s">
        <v>1758</v>
      </c>
      <c r="T540" s="27"/>
      <c r="U540" s="27">
        <v>7042</v>
      </c>
      <c r="V540" s="27" t="s">
        <v>1759</v>
      </c>
      <c r="W540" s="27" t="s">
        <v>1760</v>
      </c>
      <c r="X540" s="73"/>
      <c r="Y540" s="73" t="e">
        <f>VLOOKUP(X540,Choferes!$B$2:$C$500,2,FALSE)</f>
        <v>#N/A</v>
      </c>
      <c r="Z540" s="73" t="s">
        <v>1761</v>
      </c>
    </row>
    <row r="541" spans="1:26" ht="30" hidden="1" x14ac:dyDescent="0.25">
      <c r="A541" s="33">
        <v>32</v>
      </c>
      <c r="B541" s="71" t="s">
        <v>29</v>
      </c>
      <c r="C541" s="39" t="s">
        <v>1611</v>
      </c>
      <c r="D541" s="50" t="s">
        <v>747</v>
      </c>
      <c r="E541" s="47">
        <v>45510</v>
      </c>
      <c r="F541" s="31" t="str">
        <f>VLOOKUP($C541,Carpetas!$C$5:$M$2666,2,FALSE)</f>
        <v>BRB048</v>
      </c>
      <c r="G541" s="23" t="str">
        <f>VLOOKUP($C541,Carpetas!$C$5:$M$2666,10,FALSE)</f>
        <v>149,75,56</v>
      </c>
      <c r="H541" s="27" t="str">
        <f>VLOOKUP($C541,Carpetas!$C$5:$M$2666,6,FALSE)</f>
        <v>Zanini</v>
      </c>
      <c r="I541" s="220"/>
      <c r="J541" s="47">
        <v>45511</v>
      </c>
      <c r="K541" s="72" t="str">
        <f>VLOOKUP($C541,Carpetas!$C$5:$M$2666,5,FALSE)</f>
        <v>Rio Branco</v>
      </c>
      <c r="L541" s="32"/>
      <c r="M541" s="48">
        <f t="shared" si="31"/>
        <v>45512</v>
      </c>
      <c r="N541" s="26">
        <f t="shared" si="29"/>
        <v>2</v>
      </c>
      <c r="O541" s="27">
        <v>918</v>
      </c>
      <c r="P541" s="27">
        <v>919</v>
      </c>
      <c r="Q541" s="27"/>
      <c r="R541" s="27"/>
      <c r="S541" s="27"/>
      <c r="T541" s="27"/>
      <c r="U541" s="27">
        <v>4639</v>
      </c>
      <c r="V541" s="27" t="s">
        <v>1762</v>
      </c>
      <c r="W541" s="27" t="s">
        <v>1763</v>
      </c>
      <c r="X541" s="73"/>
      <c r="Y541" s="73" t="e">
        <f>VLOOKUP(X541,Choferes!$B$2:$C$500,2,FALSE)</f>
        <v>#N/A</v>
      </c>
      <c r="Z541" s="73" t="s">
        <v>1764</v>
      </c>
    </row>
    <row r="542" spans="1:26" hidden="1" x14ac:dyDescent="0.25">
      <c r="A542" s="33">
        <v>32</v>
      </c>
      <c r="B542" s="71" t="s">
        <v>29</v>
      </c>
      <c r="C542" s="39" t="s">
        <v>1690</v>
      </c>
      <c r="D542" s="50" t="s">
        <v>803</v>
      </c>
      <c r="E542" s="47">
        <v>45511</v>
      </c>
      <c r="F542" s="31" t="str">
        <f>VLOOKUP($C542,Carpetas!$C$5:$M$2666,2,FALSE)</f>
        <v>BRB049</v>
      </c>
      <c r="G542" s="23" t="str">
        <f>VLOOKUP($C542,Carpetas!$C$5:$M$2666,10,FALSE)</f>
        <v>149.87.05</v>
      </c>
      <c r="H542" s="27" t="str">
        <f>VLOOKUP($C542,Carpetas!$C$5:$M$2666,6,FALSE)</f>
        <v>FG</v>
      </c>
      <c r="I542" s="220"/>
      <c r="J542" s="47">
        <v>45512</v>
      </c>
      <c r="K542" s="72" t="str">
        <f>VLOOKUP($C542,Carpetas!$C$5:$M$2666,5,FALSE)</f>
        <v>Rio Branco</v>
      </c>
      <c r="L542" s="32"/>
      <c r="M542" s="48">
        <f t="shared" si="31"/>
        <v>45513</v>
      </c>
      <c r="N542" s="26">
        <f t="shared" si="29"/>
        <v>2</v>
      </c>
      <c r="O542" s="27">
        <v>990</v>
      </c>
      <c r="P542" s="27">
        <v>990</v>
      </c>
      <c r="Q542" s="27"/>
      <c r="R542" s="27"/>
      <c r="S542" s="27" t="s">
        <v>1765</v>
      </c>
      <c r="T542" s="27"/>
      <c r="U542" s="27">
        <v>269</v>
      </c>
      <c r="V542" s="27" t="s">
        <v>1617</v>
      </c>
      <c r="W542" s="27" t="s">
        <v>1618</v>
      </c>
      <c r="X542" s="73" t="s">
        <v>1619</v>
      </c>
      <c r="Y542" s="73" t="str">
        <f>VLOOKUP(X542,Choferes!$B$2:$C$500,2,FALSE)</f>
        <v>+5553984318842</v>
      </c>
      <c r="Z542" s="73" t="s">
        <v>1766</v>
      </c>
    </row>
    <row r="543" spans="1:26" hidden="1" x14ac:dyDescent="0.25">
      <c r="A543" s="33">
        <v>32</v>
      </c>
      <c r="B543" s="71" t="s">
        <v>29</v>
      </c>
      <c r="C543" s="39" t="s">
        <v>1690</v>
      </c>
      <c r="D543" s="50" t="s">
        <v>78</v>
      </c>
      <c r="E543" s="47">
        <v>45511</v>
      </c>
      <c r="F543" s="31" t="str">
        <f>VLOOKUP($C543,Carpetas!$C$5:$M$2666,2,FALSE)</f>
        <v>BRB049</v>
      </c>
      <c r="G543" s="23" t="str">
        <f>VLOOKUP($C543,Carpetas!$C$5:$M$2666,10,FALSE)</f>
        <v>149.87.05</v>
      </c>
      <c r="H543" s="27" t="str">
        <f>VLOOKUP($C543,Carpetas!$C$5:$M$2666,6,FALSE)</f>
        <v>FG</v>
      </c>
      <c r="I543" s="220"/>
      <c r="J543" s="47">
        <v>45512</v>
      </c>
      <c r="K543" s="72" t="str">
        <f>VLOOKUP($C543,Carpetas!$C$5:$M$2666,5,FALSE)</f>
        <v>Rio Branco</v>
      </c>
      <c r="L543" s="32"/>
      <c r="M543" s="48">
        <f t="shared" si="31"/>
        <v>45513</v>
      </c>
      <c r="N543" s="26">
        <f t="shared" si="29"/>
        <v>2</v>
      </c>
      <c r="O543" s="27">
        <v>990</v>
      </c>
      <c r="P543" s="27">
        <v>990</v>
      </c>
      <c r="Q543" s="27"/>
      <c r="R543" s="27"/>
      <c r="S543" s="27" t="s">
        <v>1767</v>
      </c>
      <c r="T543" s="27"/>
      <c r="U543" s="27">
        <v>271</v>
      </c>
      <c r="V543" s="27" t="s">
        <v>1430</v>
      </c>
      <c r="W543" s="27" t="s">
        <v>1669</v>
      </c>
      <c r="X543" s="73"/>
      <c r="Y543" s="73" t="e">
        <f>VLOOKUP(X543,Choferes!$B$2:$C$500,2,FALSE)</f>
        <v>#N/A</v>
      </c>
      <c r="Z543" s="73" t="s">
        <v>1768</v>
      </c>
    </row>
    <row r="544" spans="1:26" ht="30" hidden="1" x14ac:dyDescent="0.25">
      <c r="A544" s="33">
        <v>32</v>
      </c>
      <c r="B544" s="71" t="s">
        <v>29</v>
      </c>
      <c r="C544" s="39" t="s">
        <v>1769</v>
      </c>
      <c r="D544" s="50" t="s">
        <v>1757</v>
      </c>
      <c r="E544" s="47">
        <v>45507</v>
      </c>
      <c r="F544" s="31" t="str">
        <f>VLOOKUP($C544,Carpetas!$C$5:$M$2666,2,FALSE)</f>
        <v>BRB052</v>
      </c>
      <c r="G544" s="23" t="str">
        <f>VLOOKUP($C544,Carpetas!$C$5:$M$2666,10,FALSE)</f>
        <v>149,90,07</v>
      </c>
      <c r="H544" s="27" t="str">
        <f>VLOOKUP($C544,Carpetas!$C$5:$M$2666,6,FALSE)</f>
        <v>Sergio Navas</v>
      </c>
      <c r="I544" s="220"/>
      <c r="J544" s="47">
        <f>E544+6</f>
        <v>45513</v>
      </c>
      <c r="K544" s="72" t="str">
        <f>VLOOKUP($C544,Carpetas!$C$5:$M$2666,5,FALSE)</f>
        <v>Rio Branco</v>
      </c>
      <c r="L544" s="32"/>
      <c r="M544" s="48">
        <f t="shared" si="31"/>
        <v>45514</v>
      </c>
      <c r="N544" s="26">
        <f t="shared" si="29"/>
        <v>7</v>
      </c>
      <c r="O544" s="27">
        <v>936</v>
      </c>
      <c r="P544" s="27">
        <v>938</v>
      </c>
      <c r="Q544" s="27"/>
      <c r="R544" s="27"/>
      <c r="S544" s="27" t="s">
        <v>1770</v>
      </c>
      <c r="T544" s="27"/>
      <c r="U544" s="27">
        <v>147</v>
      </c>
      <c r="V544" s="27" t="s">
        <v>1771</v>
      </c>
      <c r="W544" s="27" t="s">
        <v>1772</v>
      </c>
      <c r="X544" s="73"/>
      <c r="Y544" s="73" t="e">
        <f>VLOOKUP(X544,Choferes!$B$2:$C$500,2,FALSE)</f>
        <v>#N/A</v>
      </c>
      <c r="Z544" s="73" t="s">
        <v>1773</v>
      </c>
    </row>
    <row r="545" spans="1:26" hidden="1" x14ac:dyDescent="0.25">
      <c r="A545" s="33">
        <v>32</v>
      </c>
      <c r="B545" s="71" t="s">
        <v>29</v>
      </c>
      <c r="C545" s="39" t="s">
        <v>1774</v>
      </c>
      <c r="D545" s="50" t="s">
        <v>102</v>
      </c>
      <c r="E545" s="47">
        <v>45510</v>
      </c>
      <c r="F545" s="31" t="str">
        <f>VLOOKUP($C545,Carpetas!$C$5:$M$2666,2,FALSE)</f>
        <v>PYB126</v>
      </c>
      <c r="G545" s="23">
        <f>VLOOKUP($C545,Carpetas!$C$5:$M$2666,10,FALSE)</f>
        <v>0</v>
      </c>
      <c r="H545" s="27">
        <f>VLOOKUP($C545,Carpetas!$C$5:$M$2666,6,FALSE)</f>
        <v>0</v>
      </c>
      <c r="I545" s="220"/>
      <c r="J545" s="47">
        <f>E545+3</f>
        <v>45513</v>
      </c>
      <c r="K545" s="72" t="str">
        <f>VLOOKUP($C545,Carpetas!$C$5:$M$2666,5,FALSE)</f>
        <v>Salto</v>
      </c>
      <c r="L545" s="32"/>
      <c r="M545" s="48">
        <f t="shared" si="31"/>
        <v>45514</v>
      </c>
      <c r="N545" s="26">
        <f t="shared" si="29"/>
        <v>4</v>
      </c>
      <c r="O545" s="27">
        <v>980</v>
      </c>
      <c r="P545" s="27">
        <v>981</v>
      </c>
      <c r="Q545" s="27"/>
      <c r="R545" s="27"/>
      <c r="S545" s="27" t="s">
        <v>1775</v>
      </c>
      <c r="T545" s="27"/>
      <c r="U545" s="27"/>
      <c r="V545" s="27" t="s">
        <v>288</v>
      </c>
      <c r="W545" s="27" t="s">
        <v>289</v>
      </c>
      <c r="X545" s="73"/>
      <c r="Y545" s="73" t="e">
        <f>VLOOKUP(X545,Choferes!$B$2:$C$500,2,FALSE)</f>
        <v>#N/A</v>
      </c>
      <c r="Z545" s="73" t="s">
        <v>1776</v>
      </c>
    </row>
    <row r="546" spans="1:26" ht="30" hidden="1" x14ac:dyDescent="0.25">
      <c r="A546" s="33">
        <v>32</v>
      </c>
      <c r="B546" s="71" t="s">
        <v>29</v>
      </c>
      <c r="C546" s="39" t="s">
        <v>1777</v>
      </c>
      <c r="D546" s="50" t="s">
        <v>121</v>
      </c>
      <c r="E546" s="47">
        <v>45511</v>
      </c>
      <c r="F546" s="31" t="str">
        <f>VLOOKUP($C546,Carpetas!$C$5:$M$2666,2,FALSE)</f>
        <v>PYB127</v>
      </c>
      <c r="G546" s="23">
        <f>VLOOKUP($C546,Carpetas!$C$5:$M$2666,10,FALSE)</f>
        <v>0</v>
      </c>
      <c r="H546" s="27">
        <f>VLOOKUP($C546,Carpetas!$C$5:$M$2666,6,FALSE)</f>
        <v>0</v>
      </c>
      <c r="I546" s="220"/>
      <c r="J546" s="47">
        <v>45513</v>
      </c>
      <c r="K546" s="72" t="str">
        <f>VLOOKUP($C546,Carpetas!$C$5:$M$2666,5,FALSE)</f>
        <v>Salto</v>
      </c>
      <c r="L546" s="32"/>
      <c r="M546" s="48">
        <f t="shared" si="31"/>
        <v>45514</v>
      </c>
      <c r="N546" s="26">
        <f t="shared" si="29"/>
        <v>3</v>
      </c>
      <c r="O546" s="27">
        <v>980</v>
      </c>
      <c r="P546" s="27">
        <v>983</v>
      </c>
      <c r="Q546" s="27"/>
      <c r="R546" s="27"/>
      <c r="S546" s="27" t="s">
        <v>1778</v>
      </c>
      <c r="T546" s="27"/>
      <c r="U546" s="27"/>
      <c r="V546" s="27" t="s">
        <v>1016</v>
      </c>
      <c r="W546" s="27" t="s">
        <v>1017</v>
      </c>
      <c r="X546" s="73"/>
      <c r="Y546" s="73" t="e">
        <f>VLOOKUP(X546,Choferes!$B$2:$C$500,2,FALSE)</f>
        <v>#N/A</v>
      </c>
      <c r="Z546" s="73" t="s">
        <v>1779</v>
      </c>
    </row>
    <row r="547" spans="1:26" ht="30" hidden="1" x14ac:dyDescent="0.25">
      <c r="A547" s="33">
        <v>32</v>
      </c>
      <c r="B547" s="71" t="s">
        <v>29</v>
      </c>
      <c r="C547" s="39" t="s">
        <v>1780</v>
      </c>
      <c r="D547" s="50" t="s">
        <v>880</v>
      </c>
      <c r="E547" s="47">
        <v>45512</v>
      </c>
      <c r="F547" s="31" t="str">
        <f>VLOOKUP($C547,Carpetas!$C$5:$M$2666,2,FALSE)</f>
        <v>BRB054</v>
      </c>
      <c r="G547" s="23" t="str">
        <f>VLOOKUP($C547,Carpetas!$C$5:$M$2666,10,FALSE)</f>
        <v>149,96,96</v>
      </c>
      <c r="H547" s="27" t="str">
        <f>VLOOKUP($C547,Carpetas!$C$5:$M$2666,6,FALSE)</f>
        <v>Zanini</v>
      </c>
      <c r="I547" s="220"/>
      <c r="J547" s="47">
        <v>45513</v>
      </c>
      <c r="K547" s="72" t="str">
        <f>VLOOKUP($C547,Carpetas!$C$5:$M$2666,5,FALSE)</f>
        <v>Rio Branco</v>
      </c>
      <c r="L547" s="32"/>
      <c r="M547" s="48">
        <f t="shared" si="31"/>
        <v>45514</v>
      </c>
      <c r="N547" s="26">
        <f t="shared" si="29"/>
        <v>2</v>
      </c>
      <c r="O547" s="27">
        <v>918</v>
      </c>
      <c r="P547" s="27">
        <v>918</v>
      </c>
      <c r="Q547" s="27"/>
      <c r="R547" s="27"/>
      <c r="S547" s="27" t="s">
        <v>1781</v>
      </c>
      <c r="T547" s="27"/>
      <c r="U547" s="27">
        <v>4649</v>
      </c>
      <c r="V547" s="27" t="s">
        <v>792</v>
      </c>
      <c r="W547" s="27" t="s">
        <v>793</v>
      </c>
      <c r="X547" s="73" t="s">
        <v>1782</v>
      </c>
      <c r="Y547" s="73" t="str">
        <f>VLOOKUP(X547,Choferes!$B$2:$C$500,2,FALSE)</f>
        <v>+5555991021206</v>
      </c>
      <c r="Z547" s="73" t="s">
        <v>1783</v>
      </c>
    </row>
    <row r="548" spans="1:26" ht="30" hidden="1" x14ac:dyDescent="0.25">
      <c r="A548" s="33">
        <v>32</v>
      </c>
      <c r="B548" s="71" t="s">
        <v>29</v>
      </c>
      <c r="C548" s="39" t="s">
        <v>1690</v>
      </c>
      <c r="D548" s="50" t="s">
        <v>803</v>
      </c>
      <c r="E548" s="47">
        <v>45512</v>
      </c>
      <c r="F548" s="31" t="str">
        <f>VLOOKUP($C548,Carpetas!$C$5:$M$2666,2,FALSE)</f>
        <v>BRB049</v>
      </c>
      <c r="G548" s="23" t="str">
        <f>VLOOKUP($C548,Carpetas!$C$5:$M$2666,10,FALSE)</f>
        <v>149.87.05</v>
      </c>
      <c r="H548" s="27" t="str">
        <f>VLOOKUP($C548,Carpetas!$C$5:$M$2666,6,FALSE)</f>
        <v>FG</v>
      </c>
      <c r="I548" s="220"/>
      <c r="J548" s="47">
        <v>45513</v>
      </c>
      <c r="K548" s="72" t="str">
        <f>VLOOKUP($C548,Carpetas!$C$5:$M$2666,5,FALSE)</f>
        <v>Rio Branco</v>
      </c>
      <c r="L548" s="32"/>
      <c r="M548" s="48">
        <f t="shared" si="31"/>
        <v>45514</v>
      </c>
      <c r="N548" s="26">
        <f t="shared" si="29"/>
        <v>2</v>
      </c>
      <c r="O548" s="27">
        <v>990</v>
      </c>
      <c r="P548" s="27">
        <v>990</v>
      </c>
      <c r="Q548" s="27"/>
      <c r="R548" s="27"/>
      <c r="S548" s="27" t="s">
        <v>1784</v>
      </c>
      <c r="T548" s="27"/>
      <c r="U548" s="27">
        <v>272</v>
      </c>
      <c r="V548" s="27" t="s">
        <v>1649</v>
      </c>
      <c r="W548" s="27" t="s">
        <v>1650</v>
      </c>
      <c r="X548" s="73" t="s">
        <v>1462</v>
      </c>
      <c r="Y548" s="73" t="str">
        <f>VLOOKUP(X548,Choferes!$B$2:$C$500,2,FALSE)</f>
        <v>+5553997081676</v>
      </c>
      <c r="Z548" s="73" t="s">
        <v>1785</v>
      </c>
    </row>
    <row r="549" spans="1:26" ht="30" hidden="1" x14ac:dyDescent="0.25">
      <c r="A549" s="33">
        <v>32</v>
      </c>
      <c r="B549" s="71" t="s">
        <v>29</v>
      </c>
      <c r="C549" s="39" t="s">
        <v>1738</v>
      </c>
      <c r="D549" s="50" t="s">
        <v>110</v>
      </c>
      <c r="E549" s="47">
        <v>45512</v>
      </c>
      <c r="F549" s="31" t="str">
        <f>VLOOKUP($C549,Carpetas!$C$5:$M$2666,2,FALSE)</f>
        <v>BRB053</v>
      </c>
      <c r="G549" s="23" t="str">
        <f>VLOOKUP($C549,Carpetas!$C$5:$M$2666,10,FALSE)</f>
        <v>149,92,49</v>
      </c>
      <c r="H549" s="27" t="str">
        <f>VLOOKUP($C549,Carpetas!$C$5:$M$2666,6,FALSE)</f>
        <v xml:space="preserve">Silvio </v>
      </c>
      <c r="I549" s="220"/>
      <c r="J549" s="47">
        <v>45516</v>
      </c>
      <c r="K549" s="72" t="str">
        <f>VLOOKUP($C549,Carpetas!$C$5:$M$2666,5,FALSE)</f>
        <v>Rio Branco</v>
      </c>
      <c r="L549" s="32"/>
      <c r="M549" s="48">
        <f t="shared" si="31"/>
        <v>45517</v>
      </c>
      <c r="N549" s="26">
        <f t="shared" si="29"/>
        <v>5</v>
      </c>
      <c r="O549" s="27">
        <v>918</v>
      </c>
      <c r="P549" s="27" t="s">
        <v>1786</v>
      </c>
      <c r="Q549" s="27"/>
      <c r="R549" s="27"/>
      <c r="S549" s="27" t="s">
        <v>1786</v>
      </c>
      <c r="T549" s="27"/>
      <c r="U549" s="27">
        <v>7048</v>
      </c>
      <c r="V549" s="27" t="s">
        <v>1787</v>
      </c>
      <c r="W549" s="27" t="s">
        <v>1788</v>
      </c>
      <c r="X549" s="73" t="s">
        <v>1529</v>
      </c>
      <c r="Y549" s="73" t="str">
        <f>VLOOKUP(X549,Choferes!$B$2:$C$500,2,FALSE)</f>
        <v>+5555981257673</v>
      </c>
      <c r="Z549" s="73" t="s">
        <v>1789</v>
      </c>
    </row>
    <row r="550" spans="1:26" ht="45" hidden="1" x14ac:dyDescent="0.25">
      <c r="A550" s="33">
        <v>32</v>
      </c>
      <c r="B550" s="71" t="s">
        <v>29</v>
      </c>
      <c r="C550" s="39" t="s">
        <v>1738</v>
      </c>
      <c r="D550" s="50" t="s">
        <v>249</v>
      </c>
      <c r="E550" s="47">
        <v>45513</v>
      </c>
      <c r="F550" s="31" t="str">
        <f>VLOOKUP($C550,Carpetas!$C$5:$M$2666,2,FALSE)</f>
        <v>BRB053</v>
      </c>
      <c r="G550" s="23" t="str">
        <f>VLOOKUP($C550,Carpetas!$C$5:$M$2666,10,FALSE)</f>
        <v>149,92,49</v>
      </c>
      <c r="H550" s="27" t="str">
        <f>VLOOKUP($C550,Carpetas!$C$5:$M$2666,6,FALSE)</f>
        <v xml:space="preserve">Silvio </v>
      </c>
      <c r="I550" s="220"/>
      <c r="J550" s="47">
        <f>E550+3</f>
        <v>45516</v>
      </c>
      <c r="K550" s="72" t="str">
        <f>VLOOKUP($C550,Carpetas!$C$5:$M$2666,5,FALSE)</f>
        <v>Rio Branco</v>
      </c>
      <c r="L550" s="32"/>
      <c r="M550" s="48">
        <f t="shared" si="31"/>
        <v>45517</v>
      </c>
      <c r="N550" s="26">
        <f t="shared" si="29"/>
        <v>4</v>
      </c>
      <c r="O550" s="27">
        <v>918</v>
      </c>
      <c r="P550" s="27">
        <v>918</v>
      </c>
      <c r="Q550" s="27"/>
      <c r="R550" s="27"/>
      <c r="S550" s="27" t="s">
        <v>1790</v>
      </c>
      <c r="T550" s="27"/>
      <c r="U550" s="27">
        <v>7049</v>
      </c>
      <c r="V550" s="27" t="s">
        <v>1663</v>
      </c>
      <c r="W550" s="27" t="s">
        <v>252</v>
      </c>
      <c r="X550" s="73" t="s">
        <v>1500</v>
      </c>
      <c r="Y550" s="73" t="str">
        <f>VLOOKUP(X550,Choferes!$B$2:$C$500,2,FALSE)</f>
        <v>+5555997133031</v>
      </c>
      <c r="Z550" s="73" t="s">
        <v>1791</v>
      </c>
    </row>
    <row r="551" spans="1:26" hidden="1" x14ac:dyDescent="0.25">
      <c r="A551" s="33">
        <v>32</v>
      </c>
      <c r="B551" s="71" t="s">
        <v>29</v>
      </c>
      <c r="C551" s="39" t="s">
        <v>1780</v>
      </c>
      <c r="D551" s="50" t="s">
        <v>747</v>
      </c>
      <c r="E551" s="47">
        <v>45513</v>
      </c>
      <c r="F551" s="31" t="str">
        <f>VLOOKUP($C551,Carpetas!$C$5:$M$2666,2,FALSE)</f>
        <v>BRB054</v>
      </c>
      <c r="G551" s="23" t="str">
        <f>VLOOKUP($C551,Carpetas!$C$5:$M$2666,10,FALSE)</f>
        <v>149,96,96</v>
      </c>
      <c r="H551" s="27" t="str">
        <f>VLOOKUP($C551,Carpetas!$C$5:$M$2666,6,FALSE)</f>
        <v>Zanini</v>
      </c>
      <c r="I551" s="220"/>
      <c r="J551" s="47">
        <f>E551+3</f>
        <v>45516</v>
      </c>
      <c r="K551" s="72" t="str">
        <f>VLOOKUP($C551,Carpetas!$C$5:$M$2666,5,FALSE)</f>
        <v>Rio Branco</v>
      </c>
      <c r="L551" s="32"/>
      <c r="M551" s="48">
        <f t="shared" si="31"/>
        <v>45517</v>
      </c>
      <c r="N551" s="26">
        <f t="shared" si="29"/>
        <v>4</v>
      </c>
      <c r="O551" s="27">
        <v>918</v>
      </c>
      <c r="P551" s="27">
        <v>919</v>
      </c>
      <c r="Q551" s="27"/>
      <c r="R551" s="27"/>
      <c r="S551" s="27" t="s">
        <v>1792</v>
      </c>
      <c r="T551" s="27"/>
      <c r="U551" s="27">
        <v>4654</v>
      </c>
      <c r="V551" s="27" t="s">
        <v>687</v>
      </c>
      <c r="W551" s="27" t="s">
        <v>688</v>
      </c>
      <c r="X551" s="73" t="s">
        <v>1793</v>
      </c>
      <c r="Y551" s="73" t="str">
        <f>VLOOKUP(X551,Choferes!$B$2:$C$500,2,FALSE)</f>
        <v>+5555996189765</v>
      </c>
      <c r="Z551" s="73" t="s">
        <v>1794</v>
      </c>
    </row>
    <row r="552" spans="1:26" ht="30" hidden="1" x14ac:dyDescent="0.25">
      <c r="A552" s="33">
        <v>32</v>
      </c>
      <c r="B552" s="71" t="s">
        <v>29</v>
      </c>
      <c r="C552" s="39" t="s">
        <v>1690</v>
      </c>
      <c r="D552" s="50" t="s">
        <v>803</v>
      </c>
      <c r="E552" s="47">
        <v>45513</v>
      </c>
      <c r="F552" s="31" t="str">
        <f>VLOOKUP($C552,Carpetas!$C$5:$M$2666,2,FALSE)</f>
        <v>BRB049</v>
      </c>
      <c r="G552" s="23" t="str">
        <f>VLOOKUP($C552,Carpetas!$C$5:$M$2666,10,FALSE)</f>
        <v>149.87.05</v>
      </c>
      <c r="H552" s="27" t="str">
        <f>VLOOKUP($C552,Carpetas!$C$5:$M$2666,6,FALSE)</f>
        <v>FG</v>
      </c>
      <c r="I552" s="220"/>
      <c r="J552" s="47">
        <f>E552+3</f>
        <v>45516</v>
      </c>
      <c r="K552" s="72" t="str">
        <f>VLOOKUP($C552,Carpetas!$C$5:$M$2666,5,FALSE)</f>
        <v>Rio Branco</v>
      </c>
      <c r="L552" s="32"/>
      <c r="M552" s="48">
        <f t="shared" si="31"/>
        <v>45517</v>
      </c>
      <c r="N552" s="26">
        <f t="shared" si="29"/>
        <v>4</v>
      </c>
      <c r="O552" s="27">
        <v>990</v>
      </c>
      <c r="P552" s="27">
        <v>990</v>
      </c>
      <c r="Q552" s="27"/>
      <c r="R552" s="27"/>
      <c r="S552" s="27" t="s">
        <v>1795</v>
      </c>
      <c r="T552" s="27"/>
      <c r="U552" s="27">
        <v>275</v>
      </c>
      <c r="V552" s="27" t="s">
        <v>1636</v>
      </c>
      <c r="W552" s="27" t="s">
        <v>1637</v>
      </c>
      <c r="X552" s="73" t="s">
        <v>1413</v>
      </c>
      <c r="Y552" s="73" t="str">
        <f>VLOOKUP(X552,Choferes!$B$2:$C$500,2,FALSE)</f>
        <v>+59899406679</v>
      </c>
      <c r="Z552" s="73" t="s">
        <v>1796</v>
      </c>
    </row>
    <row r="553" spans="1:26" hidden="1" x14ac:dyDescent="0.25">
      <c r="A553" s="33">
        <v>32</v>
      </c>
      <c r="B553" s="71" t="s">
        <v>298</v>
      </c>
      <c r="C553" s="39" t="s">
        <v>299</v>
      </c>
      <c r="D553" s="50" t="s">
        <v>78</v>
      </c>
      <c r="E553" s="47">
        <v>45513</v>
      </c>
      <c r="F553" s="31" t="str">
        <f>VLOOKUP($C553,Carpetas!$C$5:$M$2666,2,FALSE)</f>
        <v>BRB</v>
      </c>
      <c r="G553" s="23" t="e">
        <f>VLOOKUP($C553,Carpetas!$C$5:$M$2666,9,FALSE)</f>
        <v>#REF!</v>
      </c>
      <c r="H553" s="27" t="str">
        <f>VLOOKUP($C553,Carpetas!$C$5:$M$2666,5,FALSE)</f>
        <v>xx</v>
      </c>
      <c r="I553" s="220"/>
      <c r="J553" s="47">
        <f>E553+3</f>
        <v>45516</v>
      </c>
      <c r="K553" s="72">
        <f>VLOOKUP($C553,Carpetas!$C$5:$M$2666,4,FALSE)</f>
        <v>0</v>
      </c>
      <c r="L553" s="32"/>
      <c r="M553" s="48">
        <f t="shared" si="31"/>
        <v>45517</v>
      </c>
      <c r="N553" s="26">
        <f t="shared" si="29"/>
        <v>4</v>
      </c>
      <c r="O553" s="27">
        <v>990</v>
      </c>
      <c r="P553" s="27"/>
      <c r="Q553" s="27"/>
      <c r="R553" s="27"/>
      <c r="S553" s="27"/>
      <c r="T553" s="27"/>
      <c r="U553" s="27"/>
      <c r="V553" s="27"/>
      <c r="W553" s="27"/>
      <c r="X553" s="73"/>
      <c r="Y553" s="73" t="e">
        <f>VLOOKUP(X553,Choferes!$B$2:$C$500,2,FALSE)</f>
        <v>#N/A</v>
      </c>
      <c r="Z553" s="73"/>
    </row>
    <row r="554" spans="1:26" hidden="1" x14ac:dyDescent="0.25">
      <c r="A554" s="33">
        <v>32</v>
      </c>
      <c r="B554" s="71" t="s">
        <v>29</v>
      </c>
      <c r="C554" s="39" t="s">
        <v>1678</v>
      </c>
      <c r="D554" s="50" t="s">
        <v>764</v>
      </c>
      <c r="E554" s="47">
        <v>45513</v>
      </c>
      <c r="F554" s="31" t="str">
        <f>VLOOKUP($C554,Carpetas!$C$5:$M$2666,2,FALSE)</f>
        <v>BRC001</v>
      </c>
      <c r="G554" s="23" t="str">
        <f>VLOOKUP($C554,Carpetas!$C$5:$M$2666,10,FALSE)</f>
        <v>149,85,27</v>
      </c>
      <c r="H554" s="27" t="str">
        <f>VLOOKUP($C554,Carpetas!$C$5:$M$2666,6,FALSE)</f>
        <v>FG</v>
      </c>
      <c r="I554" s="220"/>
      <c r="J554" s="47">
        <f>E554+3</f>
        <v>45516</v>
      </c>
      <c r="K554" s="72" t="str">
        <f>VLOOKUP($C554,Carpetas!$C$5:$M$2666,5,FALSE)</f>
        <v>Rio Branco</v>
      </c>
      <c r="L554" s="32"/>
      <c r="M554" s="48">
        <f t="shared" si="31"/>
        <v>45517</v>
      </c>
      <c r="N554" s="26">
        <f t="shared" si="29"/>
        <v>4</v>
      </c>
      <c r="O554" s="27">
        <v>990</v>
      </c>
      <c r="P554" s="27">
        <v>990</v>
      </c>
      <c r="Q554" s="27"/>
      <c r="R554" s="27"/>
      <c r="S554" s="27" t="s">
        <v>1797</v>
      </c>
      <c r="T554" s="27"/>
      <c r="U554" s="27"/>
      <c r="V554" s="27" t="s">
        <v>1726</v>
      </c>
      <c r="W554" s="27" t="s">
        <v>1646</v>
      </c>
      <c r="X554" s="73"/>
      <c r="Y554" s="73" t="e">
        <f>VLOOKUP(X554,Choferes!$B$2:$C$500,2,FALSE)</f>
        <v>#N/A</v>
      </c>
      <c r="Z554" s="73" t="s">
        <v>1798</v>
      </c>
    </row>
    <row r="555" spans="1:26" hidden="1" x14ac:dyDescent="0.25">
      <c r="A555" s="33">
        <v>32</v>
      </c>
      <c r="B555" s="71" t="s">
        <v>29</v>
      </c>
      <c r="C555" s="39" t="s">
        <v>1569</v>
      </c>
      <c r="D555" s="50" t="s">
        <v>953</v>
      </c>
      <c r="E555" s="47">
        <v>45514</v>
      </c>
      <c r="F555" s="31" t="str">
        <f>VLOOKUP($C555,Carpetas!$C$5:$M$2666,2,FALSE)</f>
        <v>BRB045</v>
      </c>
      <c r="G555" s="23" t="str">
        <f>VLOOKUP($C555,Carpetas!$C$5:$M$2666,10,FALSE)</f>
        <v>149,71,45</v>
      </c>
      <c r="H555" s="27" t="str">
        <f>VLOOKUP($C555,Carpetas!$C$5:$M$2666,6,FALSE)</f>
        <v>Amaro</v>
      </c>
      <c r="I555" s="220"/>
      <c r="J555" s="47">
        <v>45517</v>
      </c>
      <c r="K555" s="72" t="str">
        <f>VLOOKUP($C555,Carpetas!$C$5:$M$2666,5,FALSE)</f>
        <v>Rio Branco</v>
      </c>
      <c r="L555" s="32"/>
      <c r="M555" s="48">
        <f t="shared" si="31"/>
        <v>45518</v>
      </c>
      <c r="N555" s="26">
        <f t="shared" si="29"/>
        <v>4</v>
      </c>
      <c r="O555" s="27">
        <v>990</v>
      </c>
      <c r="P555" s="27">
        <v>990</v>
      </c>
      <c r="Q555" s="27"/>
      <c r="R555" s="27"/>
      <c r="S555" s="27" t="s">
        <v>1799</v>
      </c>
      <c r="T555" s="27"/>
      <c r="U555" s="27">
        <v>24402</v>
      </c>
      <c r="V555" s="27" t="s">
        <v>1800</v>
      </c>
      <c r="W555" s="27" t="s">
        <v>1801</v>
      </c>
      <c r="X555" s="73"/>
      <c r="Y555" s="73" t="e">
        <f>VLOOKUP(X555,Choferes!$B$2:$C$500,2,FALSE)</f>
        <v>#N/A</v>
      </c>
      <c r="Z555" s="73" t="s">
        <v>1802</v>
      </c>
    </row>
    <row r="556" spans="1:26" hidden="1" x14ac:dyDescent="0.25">
      <c r="A556" s="33">
        <v>33</v>
      </c>
      <c r="B556" s="71" t="s">
        <v>29</v>
      </c>
      <c r="C556" s="39" t="s">
        <v>1803</v>
      </c>
      <c r="D556" s="50" t="s">
        <v>121</v>
      </c>
      <c r="E556" s="47">
        <v>45515</v>
      </c>
      <c r="F556" s="31" t="str">
        <f>VLOOKUP($C556,Carpetas!$C$5:$M$2666,2,FALSE)</f>
        <v>PYB128</v>
      </c>
      <c r="G556" s="23" t="str">
        <f>VLOOKUP($C556,Carpetas!$C$5:$M$2666,10,FALSE)</f>
        <v>149,99,78</v>
      </c>
      <c r="H556" s="27">
        <f>VLOOKUP($C556,Carpetas!$C$5:$M$2666,6,FALSE)</f>
        <v>0</v>
      </c>
      <c r="I556" s="220"/>
      <c r="J556" s="47">
        <v>45517</v>
      </c>
      <c r="K556" s="72" t="str">
        <f>VLOOKUP($C556,Carpetas!$C$5:$M$2666,5,FALSE)</f>
        <v>Salto</v>
      </c>
      <c r="L556" s="32"/>
      <c r="M556" s="48">
        <f t="shared" si="31"/>
        <v>45518</v>
      </c>
      <c r="N556" s="26">
        <f t="shared" si="29"/>
        <v>3</v>
      </c>
      <c r="O556" s="27">
        <v>980</v>
      </c>
      <c r="P556" s="27">
        <v>982</v>
      </c>
      <c r="Q556" s="27"/>
      <c r="R556" s="27"/>
      <c r="S556" s="27" t="s">
        <v>1804</v>
      </c>
      <c r="T556" s="27"/>
      <c r="U556" s="27"/>
      <c r="V556" s="27" t="s">
        <v>1805</v>
      </c>
      <c r="W556" s="27" t="s">
        <v>1806</v>
      </c>
      <c r="X556" s="73"/>
      <c r="Y556" s="73" t="e">
        <f>VLOOKUP(X556,Choferes!$B$2:$C$500,2,FALSE)</f>
        <v>#N/A</v>
      </c>
      <c r="Z556" s="73" t="s">
        <v>1807</v>
      </c>
    </row>
    <row r="557" spans="1:26" ht="30" hidden="1" x14ac:dyDescent="0.25">
      <c r="A557" s="33">
        <v>33</v>
      </c>
      <c r="B557" s="71" t="s">
        <v>29</v>
      </c>
      <c r="C557" s="39" t="s">
        <v>1780</v>
      </c>
      <c r="D557" s="50" t="s">
        <v>747</v>
      </c>
      <c r="E557" s="47">
        <v>45516</v>
      </c>
      <c r="F557" s="31" t="str">
        <f>VLOOKUP($C557,Carpetas!$C$5:$M$2666,2,FALSE)</f>
        <v>BRB054</v>
      </c>
      <c r="G557" s="23" t="str">
        <f>VLOOKUP($C557,Carpetas!$C$5:$M$2666,10,FALSE)</f>
        <v>149,96,96</v>
      </c>
      <c r="H557" s="27" t="str">
        <f>VLOOKUP($C557,Carpetas!$C$5:$M$2666,6,FALSE)</f>
        <v>Zanini</v>
      </c>
      <c r="I557" s="220"/>
      <c r="J557" s="47">
        <v>45517</v>
      </c>
      <c r="K557" s="72" t="str">
        <f>VLOOKUP($C557,Carpetas!$C$5:$M$2666,5,FALSE)</f>
        <v>Rio Branco</v>
      </c>
      <c r="L557" s="32"/>
      <c r="M557" s="48">
        <f t="shared" si="31"/>
        <v>45518</v>
      </c>
      <c r="N557" s="26">
        <f t="shared" si="29"/>
        <v>2</v>
      </c>
      <c r="O557" s="27">
        <v>918</v>
      </c>
      <c r="P557" s="27">
        <v>919</v>
      </c>
      <c r="Q557" s="27"/>
      <c r="R557" s="27"/>
      <c r="S557" s="27" t="s">
        <v>1808</v>
      </c>
      <c r="T557" s="27"/>
      <c r="U557" s="27">
        <v>4655</v>
      </c>
      <c r="V557" s="27" t="s">
        <v>842</v>
      </c>
      <c r="W557" s="27" t="s">
        <v>843</v>
      </c>
      <c r="X557" s="73"/>
      <c r="Y557" s="73" t="e">
        <f>VLOOKUP(X557,Choferes!$B$2:$C$500,2,FALSE)</f>
        <v>#N/A</v>
      </c>
      <c r="Z557" s="73" t="s">
        <v>1809</v>
      </c>
    </row>
    <row r="558" spans="1:26" ht="30" hidden="1" x14ac:dyDescent="0.25">
      <c r="A558" s="33">
        <v>33</v>
      </c>
      <c r="B558" s="71" t="s">
        <v>29</v>
      </c>
      <c r="C558" s="39" t="s">
        <v>1810</v>
      </c>
      <c r="D558" s="50" t="s">
        <v>102</v>
      </c>
      <c r="E558" s="47">
        <v>45515</v>
      </c>
      <c r="F558" s="31" t="str">
        <f>VLOOKUP($C558,Carpetas!$C$5:$M$2666,2,FALSE)</f>
        <v>PYB130</v>
      </c>
      <c r="G558" s="23" t="str">
        <f>VLOOKUP($C558,Carpetas!$C$5:$M$2666,10,FALSE)</f>
        <v>149,99,92</v>
      </c>
      <c r="H558" s="27">
        <f>VLOOKUP($C558,Carpetas!$C$5:$M$2666,6,FALSE)</f>
        <v>0</v>
      </c>
      <c r="I558" s="220"/>
      <c r="J558" s="47">
        <v>45518</v>
      </c>
      <c r="K558" s="72" t="str">
        <f>VLOOKUP($C558,Carpetas!$C$5:$M$2666,5,FALSE)</f>
        <v>Salto</v>
      </c>
      <c r="L558" s="32"/>
      <c r="M558" s="48">
        <f t="shared" si="31"/>
        <v>45519</v>
      </c>
      <c r="N558" s="26">
        <f t="shared" si="29"/>
        <v>4</v>
      </c>
      <c r="O558" s="27">
        <v>980</v>
      </c>
      <c r="P558" s="27">
        <v>982</v>
      </c>
      <c r="Q558" s="27"/>
      <c r="R558" s="27"/>
      <c r="S558" s="27" t="s">
        <v>1811</v>
      </c>
      <c r="T558" s="27"/>
      <c r="U558" s="27"/>
      <c r="V558" s="27" t="s">
        <v>161</v>
      </c>
      <c r="W558" s="27" t="s">
        <v>162</v>
      </c>
      <c r="X558" s="73"/>
      <c r="Y558" s="73" t="e">
        <f>VLOOKUP(X558,Choferes!$B$2:$C$500,2,FALSE)</f>
        <v>#N/A</v>
      </c>
      <c r="Z558" s="73" t="s">
        <v>1812</v>
      </c>
    </row>
    <row r="559" spans="1:26" ht="30" hidden="1" x14ac:dyDescent="0.25">
      <c r="A559" s="33">
        <v>33</v>
      </c>
      <c r="B559" s="71" t="s">
        <v>29</v>
      </c>
      <c r="C559" s="39" t="s">
        <v>1813</v>
      </c>
      <c r="D559" s="50" t="s">
        <v>953</v>
      </c>
      <c r="E559" s="47">
        <v>45517</v>
      </c>
      <c r="F559" s="31" t="str">
        <f>VLOOKUP($C559,Carpetas!$C$5:$M$2666,2,FALSE)</f>
        <v>BRB058</v>
      </c>
      <c r="G559" s="23" t="str">
        <f>VLOOKUP($C559,Carpetas!$C$5:$M$2666,10,FALSE)</f>
        <v>150,01,69</v>
      </c>
      <c r="H559" s="27" t="str">
        <f>VLOOKUP($C559,Carpetas!$C$5:$M$2666,6,FALSE)</f>
        <v>Amaro</v>
      </c>
      <c r="I559" s="220"/>
      <c r="J559" s="47">
        <v>45518</v>
      </c>
      <c r="K559" s="72" t="str">
        <f>VLOOKUP($C559,Carpetas!$C$5:$M$2666,5,FALSE)</f>
        <v>Rio Branco</v>
      </c>
      <c r="L559" s="32"/>
      <c r="M559" s="48">
        <f t="shared" si="31"/>
        <v>45519</v>
      </c>
      <c r="N559" s="26">
        <f t="shared" si="29"/>
        <v>2</v>
      </c>
      <c r="O559" s="27">
        <v>990</v>
      </c>
      <c r="P559" s="27">
        <v>918</v>
      </c>
      <c r="Q559" s="27"/>
      <c r="R559" s="27"/>
      <c r="S559" s="27" t="s">
        <v>1814</v>
      </c>
      <c r="T559" s="27"/>
      <c r="U559" s="27">
        <v>24418</v>
      </c>
      <c r="V559" s="27" t="s">
        <v>1657</v>
      </c>
      <c r="W559" s="27" t="s">
        <v>1815</v>
      </c>
      <c r="X559" s="73" t="s">
        <v>1468</v>
      </c>
      <c r="Y559" s="73" t="str">
        <f>VLOOKUP(X559,Choferes!$B$2:$C$500,2,FALSE)</f>
        <v>+5553984274141</v>
      </c>
      <c r="Z559" s="73" t="s">
        <v>1816</v>
      </c>
    </row>
    <row r="560" spans="1:26" ht="45" hidden="1" x14ac:dyDescent="0.25">
      <c r="A560" s="33">
        <v>31</v>
      </c>
      <c r="B560" s="71" t="s">
        <v>29</v>
      </c>
      <c r="C560" s="39" t="s">
        <v>1817</v>
      </c>
      <c r="D560" s="50" t="s">
        <v>1757</v>
      </c>
      <c r="E560" s="47">
        <v>45514</v>
      </c>
      <c r="F560" s="31" t="str">
        <f>VLOOKUP($C560,Carpetas!$C$5:$M$2666,2,FALSE)</f>
        <v>BRB056</v>
      </c>
      <c r="G560" s="23" t="str">
        <f>VLOOKUP($C560,Carpetas!$C$5:$M$2666,10,FALSE)</f>
        <v>149,98,15</v>
      </c>
      <c r="H560" s="27" t="str">
        <f>VLOOKUP($C560,Carpetas!$C$5:$M$2666,6,FALSE)</f>
        <v xml:space="preserve">Silvio </v>
      </c>
      <c r="I560" s="220"/>
      <c r="J560" s="47">
        <v>45518</v>
      </c>
      <c r="K560" s="72" t="str">
        <f>VLOOKUP($C560,Carpetas!$C$5:$M$2666,5,FALSE)</f>
        <v>Rio Branco</v>
      </c>
      <c r="L560" s="32"/>
      <c r="M560" s="48">
        <f>J560+1+1</f>
        <v>45520</v>
      </c>
      <c r="N560" s="26">
        <f t="shared" si="29"/>
        <v>6</v>
      </c>
      <c r="O560" s="27">
        <v>936</v>
      </c>
      <c r="P560" s="27">
        <v>936</v>
      </c>
      <c r="Q560" s="27"/>
      <c r="R560" s="27"/>
      <c r="S560" s="27" t="s">
        <v>1818</v>
      </c>
      <c r="T560" s="27"/>
      <c r="U560" s="27">
        <v>7059</v>
      </c>
      <c r="V560" s="27" t="s">
        <v>1819</v>
      </c>
      <c r="W560" s="27" t="s">
        <v>1820</v>
      </c>
      <c r="X560" s="73" t="s">
        <v>1821</v>
      </c>
      <c r="Y560" s="73" t="str">
        <f>VLOOKUP(X560,Choferes!$B$2:$C$500,2,FALSE)</f>
        <v>+5549999520186</v>
      </c>
      <c r="Z560" s="73" t="s">
        <v>1822</v>
      </c>
    </row>
    <row r="561" spans="1:26" ht="30" hidden="1" x14ac:dyDescent="0.25">
      <c r="A561" s="33">
        <v>33</v>
      </c>
      <c r="B561" s="71" t="s">
        <v>29</v>
      </c>
      <c r="C561" s="39" t="s">
        <v>1823</v>
      </c>
      <c r="D561" s="50" t="s">
        <v>110</v>
      </c>
      <c r="E561" s="47">
        <v>45517</v>
      </c>
      <c r="F561" s="31" t="str">
        <f>VLOOKUP($C561,Carpetas!$C$5:$M$2666,2,FALSE)</f>
        <v>BRB057</v>
      </c>
      <c r="G561" s="23" t="str">
        <f>VLOOKUP($C561,Carpetas!$C$5:$M$2666,10,FALSE)</f>
        <v>150,01,65</v>
      </c>
      <c r="H561" s="27" t="str">
        <f>VLOOKUP($C561,Carpetas!$C$5:$M$2666,6,FALSE)</f>
        <v xml:space="preserve">Silvio </v>
      </c>
      <c r="I561" s="220"/>
      <c r="J561" s="47">
        <v>45518</v>
      </c>
      <c r="K561" s="72" t="str">
        <f>VLOOKUP($C561,Carpetas!$C$5:$M$2666,5,FALSE)</f>
        <v>Rio Branco</v>
      </c>
      <c r="L561" s="32"/>
      <c r="M561" s="48">
        <f>J561+1+1</f>
        <v>45520</v>
      </c>
      <c r="N561" s="26">
        <f t="shared" si="29"/>
        <v>3</v>
      </c>
      <c r="O561" s="27">
        <v>918</v>
      </c>
      <c r="P561" s="27">
        <v>919</v>
      </c>
      <c r="Q561" s="27"/>
      <c r="R561" s="27"/>
      <c r="S561" s="27" t="s">
        <v>1824</v>
      </c>
      <c r="T561" s="27"/>
      <c r="U561" s="27">
        <v>7067</v>
      </c>
      <c r="V561" s="27" t="s">
        <v>749</v>
      </c>
      <c r="W561" s="27" t="s">
        <v>750</v>
      </c>
      <c r="X561" s="73" t="s">
        <v>1825</v>
      </c>
      <c r="Y561" s="73" t="str">
        <f>VLOOKUP(X561,Choferes!$B$2:$C$500,2,FALSE)</f>
        <v>+5555997126993</v>
      </c>
      <c r="Z561" s="73" t="s">
        <v>1826</v>
      </c>
    </row>
    <row r="562" spans="1:26" ht="45" hidden="1" x14ac:dyDescent="0.25">
      <c r="A562" s="33">
        <v>33</v>
      </c>
      <c r="B562" s="71" t="s">
        <v>29</v>
      </c>
      <c r="C562" s="39" t="s">
        <v>1827</v>
      </c>
      <c r="D562" s="50" t="s">
        <v>48</v>
      </c>
      <c r="E562" s="47">
        <v>45514</v>
      </c>
      <c r="F562" s="31" t="str">
        <f>VLOOKUP($C562,Carpetas!$C$5:$M$2666,2,FALSE)</f>
        <v>PYB129</v>
      </c>
      <c r="G562" s="23" t="str">
        <f>VLOOKUP($C562,Carpetas!$C$5:$M$2666,10,FALSE)</f>
        <v>149,99,76</v>
      </c>
      <c r="H562" s="27">
        <f>VLOOKUP($C562,Carpetas!$C$5:$M$2666,6,FALSE)</f>
        <v>0</v>
      </c>
      <c r="I562" s="220"/>
      <c r="J562" s="47">
        <v>45519</v>
      </c>
      <c r="K562" s="72" t="str">
        <f>VLOOKUP($C562,Carpetas!$C$5:$M$2666,5,FALSE)</f>
        <v>Salto</v>
      </c>
      <c r="L562" s="32"/>
      <c r="M562" s="48">
        <f>J562+1</f>
        <v>45520</v>
      </c>
      <c r="N562" s="26">
        <f t="shared" si="29"/>
        <v>6</v>
      </c>
      <c r="O562" s="27">
        <v>930</v>
      </c>
      <c r="P562" s="27">
        <v>930</v>
      </c>
      <c r="Q562" s="27"/>
      <c r="R562" s="27"/>
      <c r="S562" s="27" t="s">
        <v>1828</v>
      </c>
      <c r="T562" s="27"/>
      <c r="U562" s="27"/>
      <c r="V562" s="27" t="s">
        <v>400</v>
      </c>
      <c r="W562" s="27" t="s">
        <v>940</v>
      </c>
      <c r="X562" s="73"/>
      <c r="Y562" s="73" t="e">
        <f>VLOOKUP(X562,Choferes!$B$2:$C$500,2,FALSE)</f>
        <v>#N/A</v>
      </c>
      <c r="Z562" s="73" t="s">
        <v>1829</v>
      </c>
    </row>
    <row r="563" spans="1:26" ht="30" hidden="1" x14ac:dyDescent="0.25">
      <c r="A563" s="33">
        <v>33</v>
      </c>
      <c r="B563" s="71" t="s">
        <v>29</v>
      </c>
      <c r="C563" s="39" t="s">
        <v>1810</v>
      </c>
      <c r="D563" s="50" t="s">
        <v>102</v>
      </c>
      <c r="E563" s="47">
        <v>45516</v>
      </c>
      <c r="F563" s="31" t="str">
        <f>VLOOKUP($C563,Carpetas!$C$5:$M$2666,2,FALSE)</f>
        <v>PYB130</v>
      </c>
      <c r="G563" s="23" t="str">
        <f>VLOOKUP($C563,Carpetas!$C$5:$M$2666,10,FALSE)</f>
        <v>149,99,92</v>
      </c>
      <c r="H563" s="27">
        <f>VLOOKUP($C563,Carpetas!$C$5:$M$2666,6,FALSE)</f>
        <v>0</v>
      </c>
      <c r="I563" s="220"/>
      <c r="J563" s="47">
        <v>45519</v>
      </c>
      <c r="K563" s="72" t="str">
        <f>VLOOKUP($C563,Carpetas!$C$5:$M$2666,5,FALSE)</f>
        <v>Salto</v>
      </c>
      <c r="L563" s="32"/>
      <c r="M563" s="48">
        <f>J563+1</f>
        <v>45520</v>
      </c>
      <c r="N563" s="26">
        <f t="shared" si="29"/>
        <v>4</v>
      </c>
      <c r="O563" s="27">
        <v>980</v>
      </c>
      <c r="P563" s="27">
        <v>981</v>
      </c>
      <c r="Q563" s="27"/>
      <c r="R563" s="27"/>
      <c r="S563" s="27" t="s">
        <v>1830</v>
      </c>
      <c r="T563" s="27"/>
      <c r="U563" s="27"/>
      <c r="V563" s="27" t="s">
        <v>156</v>
      </c>
      <c r="W563" s="27" t="s">
        <v>157</v>
      </c>
      <c r="X563" s="73"/>
      <c r="Y563" s="73" t="e">
        <f>VLOOKUP(X563,Choferes!$B$2:$C$500,2,FALSE)</f>
        <v>#N/A</v>
      </c>
      <c r="Z563" s="73" t="s">
        <v>1831</v>
      </c>
    </row>
    <row r="564" spans="1:26" hidden="1" x14ac:dyDescent="0.25">
      <c r="A564" s="33">
        <v>33</v>
      </c>
      <c r="B564" s="71" t="s">
        <v>298</v>
      </c>
      <c r="C564" s="39" t="s">
        <v>299</v>
      </c>
      <c r="D564" s="50" t="s">
        <v>48</v>
      </c>
      <c r="E564" s="47">
        <v>45515</v>
      </c>
      <c r="F564" s="31" t="str">
        <f>VLOOKUP($C564,Carpetas!$C$5:$M$2666,2,FALSE)</f>
        <v>BRB</v>
      </c>
      <c r="G564" s="23" t="e">
        <f>VLOOKUP($C564,Carpetas!$C$5:$M$2666,9,FALSE)</f>
        <v>#REF!</v>
      </c>
      <c r="H564" s="27" t="str">
        <f>VLOOKUP($C564,Carpetas!$C$5:$M$2666,5,FALSE)</f>
        <v>xx</v>
      </c>
      <c r="I564" s="220"/>
      <c r="J564" s="47">
        <f>E564+4</f>
        <v>45519</v>
      </c>
      <c r="K564" s="72">
        <f>VLOOKUP($C564,Carpetas!$C$5:$M$2666,4,FALSE)</f>
        <v>0</v>
      </c>
      <c r="L564" s="32"/>
      <c r="M564" s="48">
        <f>J564+1</f>
        <v>45520</v>
      </c>
      <c r="N564" s="26">
        <f t="shared" si="29"/>
        <v>5</v>
      </c>
      <c r="O564" s="27">
        <v>930</v>
      </c>
      <c r="P564" s="27"/>
      <c r="Q564" s="27"/>
      <c r="R564" s="27"/>
      <c r="S564" s="27"/>
      <c r="T564" s="27"/>
      <c r="U564" s="27"/>
      <c r="V564" s="27"/>
      <c r="W564" s="27"/>
      <c r="X564" s="73"/>
      <c r="Y564" s="73" t="e">
        <f>VLOOKUP(X564,Choferes!$B$2:$C$500,2,FALSE)</f>
        <v>#N/A</v>
      </c>
      <c r="Z564" s="73"/>
    </row>
    <row r="565" spans="1:26" ht="30" hidden="1" x14ac:dyDescent="0.25">
      <c r="A565" s="33">
        <v>33</v>
      </c>
      <c r="B565" s="71" t="s">
        <v>29</v>
      </c>
      <c r="C565" s="39" t="s">
        <v>1832</v>
      </c>
      <c r="D565" s="50" t="s">
        <v>803</v>
      </c>
      <c r="E565" s="47">
        <v>45518</v>
      </c>
      <c r="F565" s="31" t="str">
        <f>VLOOKUP($C565,Carpetas!$C$5:$M$2666,2,FALSE)</f>
        <v>BRB055</v>
      </c>
      <c r="G565" s="23" t="str">
        <f>VLOOKUP($C565,Carpetas!$C$5:$M$2666,10,FALSE)</f>
        <v>149,97,86</v>
      </c>
      <c r="H565" s="27" t="str">
        <f>VLOOKUP($C565,Carpetas!$C$5:$M$2666,6,FALSE)</f>
        <v>FG</v>
      </c>
      <c r="I565" s="220"/>
      <c r="J565" s="47">
        <v>45519</v>
      </c>
      <c r="K565" s="72" t="str">
        <f>VLOOKUP($C565,Carpetas!$C$5:$M$2666,5,FALSE)</f>
        <v>Rio Branco</v>
      </c>
      <c r="L565" s="32"/>
      <c r="M565" s="48">
        <f>J565+1</f>
        <v>45520</v>
      </c>
      <c r="N565" s="26">
        <f t="shared" si="29"/>
        <v>2</v>
      </c>
      <c r="O565" s="27">
        <v>990</v>
      </c>
      <c r="P565" s="27">
        <v>990</v>
      </c>
      <c r="Q565" s="27"/>
      <c r="R565" s="27"/>
      <c r="S565" s="27" t="s">
        <v>1833</v>
      </c>
      <c r="T565" s="27"/>
      <c r="U565" s="27">
        <v>283</v>
      </c>
      <c r="V565" s="27" t="s">
        <v>1042</v>
      </c>
      <c r="W565" s="27" t="s">
        <v>1622</v>
      </c>
      <c r="X565" s="73" t="s">
        <v>1623</v>
      </c>
      <c r="Y565" s="73" t="str">
        <f>VLOOKUP(X565,Choferes!$B$2:$C$500,2,FALSE)</f>
        <v>+5553991254560</v>
      </c>
      <c r="Z565" s="73" t="s">
        <v>1834</v>
      </c>
    </row>
    <row r="566" spans="1:26" ht="30" hidden="1" x14ac:dyDescent="0.25">
      <c r="A566" s="33">
        <v>33</v>
      </c>
      <c r="B566" s="71" t="s">
        <v>29</v>
      </c>
      <c r="C566" s="39" t="s">
        <v>1835</v>
      </c>
      <c r="D566" s="50" t="s">
        <v>764</v>
      </c>
      <c r="E566" s="47">
        <v>45518</v>
      </c>
      <c r="F566" s="31" t="str">
        <f>VLOOKUP($C566,Carpetas!$C$5:$M$2666,2,FALSE)</f>
        <v>BRC002</v>
      </c>
      <c r="G566" s="23" t="str">
        <f>VLOOKUP($C566,Carpetas!$C$5:$M$2666,10,FALSE)</f>
        <v>150,01,61</v>
      </c>
      <c r="H566" s="27" t="str">
        <f>VLOOKUP($C566,Carpetas!$C$5:$M$2666,6,FALSE)</f>
        <v>FG</v>
      </c>
      <c r="I566" s="220"/>
      <c r="J566" s="47">
        <v>45519</v>
      </c>
      <c r="K566" s="72" t="str">
        <f>VLOOKUP($C566,Carpetas!$C$5:$M$2666,5,FALSE)</f>
        <v>Rio Branco</v>
      </c>
      <c r="L566" s="32"/>
      <c r="M566" s="48">
        <f>J566+1+1</f>
        <v>45521</v>
      </c>
      <c r="N566" s="26">
        <f t="shared" si="29"/>
        <v>3</v>
      </c>
      <c r="O566" s="27">
        <v>990</v>
      </c>
      <c r="P566" s="27">
        <v>990</v>
      </c>
      <c r="Q566" s="27"/>
      <c r="R566" s="27"/>
      <c r="S566" s="27" t="s">
        <v>1836</v>
      </c>
      <c r="T566" s="27"/>
      <c r="U566" s="27"/>
      <c r="V566" s="27" t="s">
        <v>1649</v>
      </c>
      <c r="W566" s="27" t="s">
        <v>1650</v>
      </c>
      <c r="X566" s="73"/>
      <c r="Y566" s="73" t="e">
        <f>VLOOKUP(X566,Choferes!$B$2:$C$500,2,FALSE)</f>
        <v>#N/A</v>
      </c>
      <c r="Z566" s="73" t="s">
        <v>1837</v>
      </c>
    </row>
    <row r="567" spans="1:26" hidden="1" x14ac:dyDescent="0.25">
      <c r="A567" s="33">
        <v>33</v>
      </c>
      <c r="B567" s="71" t="s">
        <v>29</v>
      </c>
      <c r="C567" s="39" t="s">
        <v>1780</v>
      </c>
      <c r="D567" s="50" t="s">
        <v>880</v>
      </c>
      <c r="E567" s="47">
        <v>45518</v>
      </c>
      <c r="F567" s="31" t="str">
        <f>VLOOKUP($C567,Carpetas!$C$5:$M$2666,2,FALSE)</f>
        <v>BRB054</v>
      </c>
      <c r="G567" s="23" t="str">
        <f>VLOOKUP($C567,Carpetas!$C$5:$M$2666,10,FALSE)</f>
        <v>149,96,96</v>
      </c>
      <c r="H567" s="27" t="str">
        <f>VLOOKUP($C567,Carpetas!$C$5:$M$2666,6,FALSE)</f>
        <v>Zanini</v>
      </c>
      <c r="I567" s="220"/>
      <c r="J567" s="47">
        <v>45520</v>
      </c>
      <c r="K567" s="72" t="str">
        <f>VLOOKUP($C567,Carpetas!$C$5:$M$2666,5,FALSE)</f>
        <v>Rio Branco</v>
      </c>
      <c r="L567" s="32"/>
      <c r="M567" s="48">
        <f t="shared" ref="M567:M580" si="32">J567+1</f>
        <v>45521</v>
      </c>
      <c r="N567" s="26">
        <f t="shared" si="29"/>
        <v>3</v>
      </c>
      <c r="O567" s="27">
        <v>918</v>
      </c>
      <c r="P567" s="27">
        <v>918</v>
      </c>
      <c r="Q567" s="27"/>
      <c r="R567" s="27"/>
      <c r="S567" s="27" t="s">
        <v>1838</v>
      </c>
      <c r="T567" s="27"/>
      <c r="U567" s="27">
        <v>4669</v>
      </c>
      <c r="V567" s="27" t="s">
        <v>1839</v>
      </c>
      <c r="W567" s="27" t="s">
        <v>1840</v>
      </c>
      <c r="X567" s="73" t="s">
        <v>1841</v>
      </c>
      <c r="Y567" s="73" t="str">
        <f>VLOOKUP(X567,Choferes!$B$2:$C$500,2,FALSE)</f>
        <v>+5553999650828</v>
      </c>
      <c r="Z567" s="73" t="s">
        <v>1842</v>
      </c>
    </row>
    <row r="568" spans="1:26" ht="30" hidden="1" x14ac:dyDescent="0.25">
      <c r="A568" s="33">
        <v>33</v>
      </c>
      <c r="B568" s="71" t="s">
        <v>29</v>
      </c>
      <c r="C568" s="39" t="s">
        <v>1780</v>
      </c>
      <c r="D568" s="50" t="s">
        <v>747</v>
      </c>
      <c r="E568" s="47">
        <v>45519</v>
      </c>
      <c r="F568" s="31" t="str">
        <f>VLOOKUP($C568,Carpetas!$C$5:$M$2666,2,FALSE)</f>
        <v>BRB054</v>
      </c>
      <c r="G568" s="23" t="str">
        <f>VLOOKUP($C568,Carpetas!$C$5:$M$2666,10,FALSE)</f>
        <v>149,96,96</v>
      </c>
      <c r="H568" s="27" t="str">
        <f>VLOOKUP($C568,Carpetas!$C$5:$M$2666,6,FALSE)</f>
        <v>Zanini</v>
      </c>
      <c r="I568" s="220"/>
      <c r="J568" s="47">
        <v>45520</v>
      </c>
      <c r="K568" s="72" t="str">
        <f>VLOOKUP($C568,Carpetas!$C$5:$M$2666,5,FALSE)</f>
        <v>Rio Branco</v>
      </c>
      <c r="L568" s="32"/>
      <c r="M568" s="48">
        <f t="shared" si="32"/>
        <v>45521</v>
      </c>
      <c r="N568" s="26">
        <f t="shared" si="29"/>
        <v>2</v>
      </c>
      <c r="O568" s="27">
        <v>918</v>
      </c>
      <c r="P568" s="27">
        <v>919</v>
      </c>
      <c r="Q568" s="27"/>
      <c r="R568" s="27"/>
      <c r="S568" s="27" t="s">
        <v>1843</v>
      </c>
      <c r="T568" s="27"/>
      <c r="U568" s="27">
        <v>4671</v>
      </c>
      <c r="V568" s="27" t="s">
        <v>1762</v>
      </c>
      <c r="W568" s="27" t="s">
        <v>1763</v>
      </c>
      <c r="X568" s="73" t="s">
        <v>1844</v>
      </c>
      <c r="Y568" s="73" t="str">
        <f>VLOOKUP(X568,Choferes!$B$2:$C$500,2,FALSE)</f>
        <v>+5549988127179</v>
      </c>
      <c r="Z568" s="73" t="s">
        <v>1845</v>
      </c>
    </row>
    <row r="569" spans="1:26" ht="30" hidden="1" x14ac:dyDescent="0.25">
      <c r="A569" s="33">
        <v>33</v>
      </c>
      <c r="B569" s="71" t="s">
        <v>29</v>
      </c>
      <c r="C569" s="39" t="s">
        <v>1832</v>
      </c>
      <c r="D569" s="50" t="s">
        <v>803</v>
      </c>
      <c r="E569" s="47">
        <v>45519</v>
      </c>
      <c r="F569" s="31" t="str">
        <f>VLOOKUP($C569,Carpetas!$C$5:$M$2666,2,FALSE)</f>
        <v>BRB055</v>
      </c>
      <c r="G569" s="23" t="str">
        <f>VLOOKUP($C569,Carpetas!$C$5:$M$2666,10,FALSE)</f>
        <v>149,97,86</v>
      </c>
      <c r="H569" s="27" t="str">
        <f>VLOOKUP($C569,Carpetas!$C$5:$M$2666,6,FALSE)</f>
        <v>FG</v>
      </c>
      <c r="I569" s="220"/>
      <c r="J569" s="47">
        <f t="shared" ref="J569:J574" si="33">E569+3</f>
        <v>45522</v>
      </c>
      <c r="K569" s="72" t="str">
        <f>VLOOKUP($C569,Carpetas!$C$5:$M$2666,5,FALSE)</f>
        <v>Rio Branco</v>
      </c>
      <c r="L569" s="32"/>
      <c r="M569" s="48">
        <f t="shared" si="32"/>
        <v>45523</v>
      </c>
      <c r="N569" s="26">
        <f t="shared" si="29"/>
        <v>4</v>
      </c>
      <c r="O569" s="27">
        <v>990</v>
      </c>
      <c r="P569" s="27">
        <v>990</v>
      </c>
      <c r="Q569" s="27"/>
      <c r="R569" s="27"/>
      <c r="S569" s="27" t="s">
        <v>1846</v>
      </c>
      <c r="T569" s="27"/>
      <c r="U569" s="27">
        <v>288</v>
      </c>
      <c r="V569" s="27" t="s">
        <v>1636</v>
      </c>
      <c r="W569" s="27" t="s">
        <v>1637</v>
      </c>
      <c r="X569" s="73" t="s">
        <v>1413</v>
      </c>
      <c r="Y569" s="73" t="str">
        <f>VLOOKUP(X569,Choferes!$B$2:$C$500,2,FALSE)</f>
        <v>+59899406679</v>
      </c>
      <c r="Z569" s="73" t="s">
        <v>1847</v>
      </c>
    </row>
    <row r="570" spans="1:26" ht="30" hidden="1" x14ac:dyDescent="0.25">
      <c r="A570" s="33">
        <v>33</v>
      </c>
      <c r="B570" s="71" t="s">
        <v>29</v>
      </c>
      <c r="C570" s="39" t="s">
        <v>1823</v>
      </c>
      <c r="D570" s="50" t="s">
        <v>110</v>
      </c>
      <c r="E570" s="47">
        <v>45520</v>
      </c>
      <c r="F570" s="31" t="str">
        <f>VLOOKUP($C570,Carpetas!$C$5:$M$2666,2,FALSE)</f>
        <v>BRB057</v>
      </c>
      <c r="G570" s="23" t="str">
        <f>VLOOKUP($C570,Carpetas!$C$5:$M$2666,10,FALSE)</f>
        <v>150,01,65</v>
      </c>
      <c r="H570" s="27" t="str">
        <f>VLOOKUP($C570,Carpetas!$C$5:$M$2666,6,FALSE)</f>
        <v xml:space="preserve">Silvio </v>
      </c>
      <c r="I570" s="220"/>
      <c r="J570" s="47">
        <f t="shared" si="33"/>
        <v>45523</v>
      </c>
      <c r="K570" s="72" t="str">
        <f>VLOOKUP($C570,Carpetas!$C$5:$M$2666,5,FALSE)</f>
        <v>Rio Branco</v>
      </c>
      <c r="L570" s="32"/>
      <c r="M570" s="48">
        <f t="shared" si="32"/>
        <v>45524</v>
      </c>
      <c r="N570" s="26">
        <f t="shared" si="29"/>
        <v>4</v>
      </c>
      <c r="O570" s="27">
        <v>918</v>
      </c>
      <c r="P570" s="27">
        <v>919</v>
      </c>
      <c r="Q570" s="27"/>
      <c r="R570" s="27"/>
      <c r="S570" s="27" t="s">
        <v>1848</v>
      </c>
      <c r="T570" s="27"/>
      <c r="U570" s="27">
        <v>7068</v>
      </c>
      <c r="V570" s="27" t="s">
        <v>1849</v>
      </c>
      <c r="W570" s="27" t="s">
        <v>1850</v>
      </c>
      <c r="X570" s="73" t="s">
        <v>1851</v>
      </c>
      <c r="Y570" s="73" t="str">
        <f>VLOOKUP(X570,Choferes!$B$2:$C$500,2,FALSE)</f>
        <v>+5547999313501</v>
      </c>
      <c r="Z570" s="73" t="s">
        <v>1852</v>
      </c>
    </row>
    <row r="571" spans="1:26" customFormat="1" ht="30" hidden="1" x14ac:dyDescent="0.25">
      <c r="A571" s="33">
        <v>33</v>
      </c>
      <c r="B571" s="38" t="s">
        <v>29</v>
      </c>
      <c r="C571" s="39" t="s">
        <v>1832</v>
      </c>
      <c r="D571" s="50" t="s">
        <v>803</v>
      </c>
      <c r="E571" s="47">
        <v>45520</v>
      </c>
      <c r="F571" s="31" t="str">
        <f>VLOOKUP($C571,Carpetas!$C$5:$M$2666,2,FALSE)</f>
        <v>BRB055</v>
      </c>
      <c r="G571" s="23" t="str">
        <f>VLOOKUP($C571,Carpetas!$C$5:$M$2666,10,FALSE)</f>
        <v>149,97,86</v>
      </c>
      <c r="H571" s="27" t="str">
        <f>VLOOKUP($C571,Carpetas!$C$5:$M$2666,6,FALSE)</f>
        <v>FG</v>
      </c>
      <c r="I571" s="221"/>
      <c r="J571" s="47">
        <f t="shared" si="33"/>
        <v>45523</v>
      </c>
      <c r="K571" s="72" t="str">
        <f>VLOOKUP($C571,Carpetas!$C$5:$M$2666,5,FALSE)</f>
        <v>Rio Branco</v>
      </c>
      <c r="L571" s="32"/>
      <c r="M571" s="48">
        <f t="shared" si="32"/>
        <v>45524</v>
      </c>
      <c r="N571" s="26">
        <f t="shared" si="29"/>
        <v>4</v>
      </c>
      <c r="O571" s="27">
        <v>990</v>
      </c>
      <c r="P571" s="27">
        <v>990</v>
      </c>
      <c r="Q571" s="27"/>
      <c r="R571" s="27"/>
      <c r="S571" s="27" t="s">
        <v>1853</v>
      </c>
      <c r="T571" s="27"/>
      <c r="U571" s="27">
        <v>293</v>
      </c>
      <c r="V571" s="27" t="s">
        <v>1680</v>
      </c>
      <c r="W571" s="27" t="s">
        <v>1681</v>
      </c>
      <c r="X571" s="34"/>
      <c r="Y571" s="34" t="e">
        <f>VLOOKUP(X571,Choferes!$B$2:$C$500,2,FALSE)</f>
        <v>#N/A</v>
      </c>
      <c r="Z571" s="34" t="s">
        <v>1847</v>
      </c>
    </row>
    <row r="572" spans="1:26" customFormat="1" hidden="1" x14ac:dyDescent="0.25">
      <c r="A572" s="33">
        <v>33</v>
      </c>
      <c r="B572" s="38" t="s">
        <v>29</v>
      </c>
      <c r="C572" s="39" t="s">
        <v>1832</v>
      </c>
      <c r="D572" s="50" t="s">
        <v>249</v>
      </c>
      <c r="E572" s="47">
        <v>45520</v>
      </c>
      <c r="F572" s="31" t="str">
        <f>VLOOKUP($C572,Carpetas!$C$5:$M$2666,2,FALSE)</f>
        <v>BRB055</v>
      </c>
      <c r="G572" s="23" t="str">
        <f>VLOOKUP($C572,Carpetas!$C$5:$M$2666,10,FALSE)</f>
        <v>149,97,86</v>
      </c>
      <c r="H572" s="27" t="str">
        <f>VLOOKUP($C572,Carpetas!$C$5:$M$2666,6,FALSE)</f>
        <v>FG</v>
      </c>
      <c r="I572" s="220"/>
      <c r="J572" s="47">
        <f t="shared" si="33"/>
        <v>45523</v>
      </c>
      <c r="K572" s="72" t="str">
        <f>VLOOKUP($C572,Carpetas!$C$5:$M$2666,5,FALSE)</f>
        <v>Rio Branco</v>
      </c>
      <c r="L572" s="32"/>
      <c r="M572" s="48">
        <f t="shared" si="32"/>
        <v>45524</v>
      </c>
      <c r="N572" s="26">
        <f t="shared" si="29"/>
        <v>4</v>
      </c>
      <c r="O572" s="27">
        <v>990</v>
      </c>
      <c r="P572" s="27"/>
      <c r="Q572" s="27"/>
      <c r="R572" s="27"/>
      <c r="S572" s="27" t="s">
        <v>1854</v>
      </c>
      <c r="T572" s="27"/>
      <c r="U572" s="27">
        <v>292</v>
      </c>
      <c r="V572" s="27" t="s">
        <v>1726</v>
      </c>
      <c r="W572" s="27" t="s">
        <v>1646</v>
      </c>
      <c r="X572" s="34" t="s">
        <v>1576</v>
      </c>
      <c r="Y572" s="34" t="str">
        <f>VLOOKUP(X572,Choferes!$B$2:$C$500,2,FALSE)</f>
        <v>+55119971489722</v>
      </c>
      <c r="Z572" s="34"/>
    </row>
    <row r="573" spans="1:26" ht="30" hidden="1" x14ac:dyDescent="0.25">
      <c r="A573" s="33">
        <v>33</v>
      </c>
      <c r="B573" s="71" t="s">
        <v>29</v>
      </c>
      <c r="C573" s="39" t="s">
        <v>1835</v>
      </c>
      <c r="D573" s="50" t="s">
        <v>764</v>
      </c>
      <c r="E573" s="47">
        <v>45520</v>
      </c>
      <c r="F573" s="31" t="str">
        <f>VLOOKUP($C573,Carpetas!$C$5:$M$2666,2,FALSE)</f>
        <v>BRC002</v>
      </c>
      <c r="G573" s="23" t="str">
        <f>VLOOKUP($C573,Carpetas!$C$5:$M$2666,10,FALSE)</f>
        <v>150,01,61</v>
      </c>
      <c r="H573" s="27" t="str">
        <f>VLOOKUP($C573,Carpetas!$C$5:$M$2666,6,FALSE)</f>
        <v>FG</v>
      </c>
      <c r="I573" s="220"/>
      <c r="J573" s="47">
        <f t="shared" si="33"/>
        <v>45523</v>
      </c>
      <c r="K573" s="72" t="str">
        <f>VLOOKUP($C573,Carpetas!$C$5:$M$2666,5,FALSE)</f>
        <v>Rio Branco</v>
      </c>
      <c r="L573" s="32"/>
      <c r="M573" s="48">
        <f t="shared" si="32"/>
        <v>45524</v>
      </c>
      <c r="N573" s="26">
        <f t="shared" si="29"/>
        <v>4</v>
      </c>
      <c r="O573" s="27">
        <v>990</v>
      </c>
      <c r="P573" s="27">
        <v>990</v>
      </c>
      <c r="Q573" s="27"/>
      <c r="R573" s="27"/>
      <c r="S573" s="27" t="s">
        <v>1855</v>
      </c>
      <c r="T573" s="27"/>
      <c r="U573" s="27"/>
      <c r="V573" s="27" t="s">
        <v>1735</v>
      </c>
      <c r="W573" s="27"/>
      <c r="X573" s="73"/>
      <c r="Y573" s="73" t="e">
        <f>VLOOKUP(X573,Choferes!$B$2:$C$500,2,FALSE)</f>
        <v>#N/A</v>
      </c>
      <c r="Z573" s="73" t="s">
        <v>1856</v>
      </c>
    </row>
    <row r="574" spans="1:26" ht="30" hidden="1" x14ac:dyDescent="0.25">
      <c r="A574" s="33">
        <v>33</v>
      </c>
      <c r="B574" s="71" t="s">
        <v>29</v>
      </c>
      <c r="C574" s="39" t="s">
        <v>1813</v>
      </c>
      <c r="D574" s="50" t="s">
        <v>1158</v>
      </c>
      <c r="E574" s="47">
        <v>45521</v>
      </c>
      <c r="F574" s="31" t="str">
        <f>VLOOKUP($C574,Carpetas!$C$5:$M$2666,2,FALSE)</f>
        <v>BRB058</v>
      </c>
      <c r="G574" s="23" t="str">
        <f>VLOOKUP($C574,Carpetas!$C$5:$M$2666,10,FALSE)</f>
        <v>150,01,69</v>
      </c>
      <c r="H574" s="27" t="str">
        <f>VLOOKUP($C574,Carpetas!$C$5:$M$2666,6,FALSE)</f>
        <v>Amaro</v>
      </c>
      <c r="I574" s="220"/>
      <c r="J574" s="47">
        <f t="shared" si="33"/>
        <v>45524</v>
      </c>
      <c r="K574" s="72" t="str">
        <f>VLOOKUP($C574,Carpetas!$C$5:$M$2666,5,FALSE)</f>
        <v>Rio Branco</v>
      </c>
      <c r="L574" s="32"/>
      <c r="M574" s="48">
        <f t="shared" si="32"/>
        <v>45525</v>
      </c>
      <c r="N574" s="26">
        <f t="shared" si="29"/>
        <v>4</v>
      </c>
      <c r="O574" s="27">
        <v>990</v>
      </c>
      <c r="P574" s="27">
        <v>990</v>
      </c>
      <c r="Q574" s="27"/>
      <c r="R574" s="27"/>
      <c r="S574" s="27" t="s">
        <v>1857</v>
      </c>
      <c r="T574" s="27"/>
      <c r="U574" s="27">
        <v>24436</v>
      </c>
      <c r="V574" s="27" t="s">
        <v>1858</v>
      </c>
      <c r="W574" s="27" t="s">
        <v>1859</v>
      </c>
      <c r="X574" s="73"/>
      <c r="Y574" s="73" t="e">
        <f>VLOOKUP(X574,Choferes!$B$2:$C$500,2,FALSE)</f>
        <v>#N/A</v>
      </c>
      <c r="Z574" s="73" t="s">
        <v>1860</v>
      </c>
    </row>
    <row r="575" spans="1:26" ht="30" hidden="1" x14ac:dyDescent="0.25">
      <c r="A575" s="33">
        <v>34</v>
      </c>
      <c r="B575" s="71" t="s">
        <v>29</v>
      </c>
      <c r="C575" s="39" t="s">
        <v>1832</v>
      </c>
      <c r="D575" s="50" t="s">
        <v>1861</v>
      </c>
      <c r="E575" s="47">
        <v>45523</v>
      </c>
      <c r="F575" s="31" t="str">
        <f>VLOOKUP($C575,Carpetas!$C$5:$M$2666,2,FALSE)</f>
        <v>BRB055</v>
      </c>
      <c r="G575" s="23" t="str">
        <f>VLOOKUP($C575,Carpetas!$C$5:$M$2666,10,FALSE)</f>
        <v>149,97,86</v>
      </c>
      <c r="H575" s="27" t="str">
        <f>VLOOKUP($C575,Carpetas!$C$5:$M$2666,6,FALSE)</f>
        <v>FG</v>
      </c>
      <c r="I575" s="220"/>
      <c r="J575" s="47">
        <v>45525</v>
      </c>
      <c r="K575" s="72" t="str">
        <f>VLOOKUP($C575,Carpetas!$C$5:$M$2666,5,FALSE)</f>
        <v>Rio Branco</v>
      </c>
      <c r="L575" s="32"/>
      <c r="M575" s="48">
        <f t="shared" si="32"/>
        <v>45526</v>
      </c>
      <c r="N575" s="26">
        <f t="shared" si="29"/>
        <v>3</v>
      </c>
      <c r="O575" s="27">
        <v>990</v>
      </c>
      <c r="P575" s="27">
        <v>991</v>
      </c>
      <c r="Q575" s="27"/>
      <c r="R575" s="27"/>
      <c r="S575" s="27" t="s">
        <v>1862</v>
      </c>
      <c r="T575" s="27"/>
      <c r="U575" s="27">
        <v>295</v>
      </c>
      <c r="V575" s="27" t="s">
        <v>1863</v>
      </c>
      <c r="W575" s="27" t="s">
        <v>1864</v>
      </c>
      <c r="X575" s="73"/>
      <c r="Y575" s="73" t="e">
        <f>VLOOKUP(X575,Choferes!$B$2:$C$500,2,FALSE)</f>
        <v>#N/A</v>
      </c>
      <c r="Z575" s="73" t="s">
        <v>1865</v>
      </c>
    </row>
    <row r="576" spans="1:26" hidden="1" x14ac:dyDescent="0.25">
      <c r="A576" s="33">
        <v>34</v>
      </c>
      <c r="B576" s="71" t="s">
        <v>29</v>
      </c>
      <c r="C576" s="39" t="s">
        <v>1866</v>
      </c>
      <c r="D576" s="50" t="s">
        <v>38</v>
      </c>
      <c r="E576" s="47">
        <v>45520</v>
      </c>
      <c r="F576" s="31" t="str">
        <f>VLOOKUP($C576,Carpetas!$C$5:$M$2666,2,FALSE)</f>
        <v>BRE024</v>
      </c>
      <c r="G576" s="23">
        <f>VLOOKUP($C576,Carpetas!$C$5:$M$2666,10,FALSE)</f>
        <v>0</v>
      </c>
      <c r="H576" s="27">
        <f>VLOOKUP($C576,Carpetas!$C$5:$M$2666,6,FALSE)</f>
        <v>0</v>
      </c>
      <c r="I576" s="220">
        <f>VLOOKUP($C576,Carpetas!$C$5:$M$2666,4,FALSE)</f>
        <v>0</v>
      </c>
      <c r="J576" s="47">
        <v>45526</v>
      </c>
      <c r="K576" s="72" t="str">
        <f>VLOOKUP($C576,Carpetas!$C$5:$M$2666,5,FALSE)</f>
        <v>Rio Branco</v>
      </c>
      <c r="L576" s="32"/>
      <c r="M576" s="48">
        <f t="shared" si="32"/>
        <v>45527</v>
      </c>
      <c r="N576" s="26">
        <f t="shared" si="29"/>
        <v>7</v>
      </c>
      <c r="O576" s="27">
        <v>1459</v>
      </c>
      <c r="P576" s="27"/>
      <c r="Q576" s="27"/>
      <c r="R576" s="27"/>
      <c r="S576" s="27"/>
      <c r="T576" s="27"/>
      <c r="U576" s="27"/>
      <c r="V576" s="27"/>
      <c r="W576" s="27"/>
      <c r="X576" s="73"/>
      <c r="Y576" s="73" t="e">
        <f>VLOOKUP(X576,Choferes!$B$2:$C$500,2,FALSE)</f>
        <v>#N/A</v>
      </c>
      <c r="Z576" s="73" t="s">
        <v>1867</v>
      </c>
    </row>
    <row r="577" spans="1:26" ht="30" hidden="1" x14ac:dyDescent="0.25">
      <c r="A577" s="33">
        <v>34</v>
      </c>
      <c r="B577" s="71" t="s">
        <v>29</v>
      </c>
      <c r="C577" s="39" t="s">
        <v>1813</v>
      </c>
      <c r="D577" s="50" t="s">
        <v>1158</v>
      </c>
      <c r="E577" s="47">
        <v>45524</v>
      </c>
      <c r="F577" s="31" t="str">
        <f>VLOOKUP($C577,Carpetas!$C$5:$M$2666,2,FALSE)</f>
        <v>BRB058</v>
      </c>
      <c r="G577" s="23" t="str">
        <f>VLOOKUP($C577,Carpetas!$C$5:$M$2666,10,FALSE)</f>
        <v>150,01,69</v>
      </c>
      <c r="H577" s="27" t="str">
        <f>VLOOKUP($C577,Carpetas!$C$5:$M$2666,6,FALSE)</f>
        <v>Amaro</v>
      </c>
      <c r="I577" s="220"/>
      <c r="J577" s="47">
        <v>45526</v>
      </c>
      <c r="K577" s="72" t="str">
        <f>VLOOKUP($C577,Carpetas!$C$5:$M$2666,5,FALSE)</f>
        <v>Rio Branco</v>
      </c>
      <c r="L577" s="32"/>
      <c r="M577" s="48">
        <f t="shared" si="32"/>
        <v>45527</v>
      </c>
      <c r="N577" s="26">
        <f t="shared" si="29"/>
        <v>3</v>
      </c>
      <c r="O577" s="27">
        <v>990</v>
      </c>
      <c r="P577" s="27">
        <v>990</v>
      </c>
      <c r="Q577" s="27">
        <v>28</v>
      </c>
      <c r="R577" s="27">
        <v>26</v>
      </c>
      <c r="S577" s="27" t="s">
        <v>1868</v>
      </c>
      <c r="T577" s="27"/>
      <c r="U577" s="27">
        <v>24447</v>
      </c>
      <c r="V577" s="27" t="s">
        <v>1869</v>
      </c>
      <c r="W577" s="27" t="s">
        <v>1870</v>
      </c>
      <c r="X577" s="73"/>
      <c r="Y577" s="73" t="e">
        <f>VLOOKUP(X577,Choferes!$B$2:$C$500,2,FALSE)</f>
        <v>#N/A</v>
      </c>
      <c r="Z577" s="73" t="s">
        <v>1871</v>
      </c>
    </row>
    <row r="578" spans="1:26" hidden="1" x14ac:dyDescent="0.25">
      <c r="A578" s="33">
        <v>34</v>
      </c>
      <c r="B578" s="71" t="s">
        <v>29</v>
      </c>
      <c r="C578" s="39" t="s">
        <v>1832</v>
      </c>
      <c r="D578" s="50" t="s">
        <v>110</v>
      </c>
      <c r="E578" s="47">
        <v>45524</v>
      </c>
      <c r="F578" s="31" t="str">
        <f>VLOOKUP($C578,Carpetas!$C$5:$M$2666,2,FALSE)</f>
        <v>BRB055</v>
      </c>
      <c r="G578" s="23" t="str">
        <f>VLOOKUP($C578,Carpetas!$C$5:$M$2666,10,FALSE)</f>
        <v>149,97,86</v>
      </c>
      <c r="H578" s="27" t="str">
        <f>VLOOKUP($C578,Carpetas!$C$5:$M$2666,6,FALSE)</f>
        <v>FG</v>
      </c>
      <c r="I578" s="220"/>
      <c r="J578" s="47">
        <v>45526</v>
      </c>
      <c r="K578" s="72" t="str">
        <f>VLOOKUP($C578,Carpetas!$C$5:$M$2666,5,FALSE)</f>
        <v>Rio Branco</v>
      </c>
      <c r="L578" s="32"/>
      <c r="M578" s="48">
        <f t="shared" si="32"/>
        <v>45527</v>
      </c>
      <c r="N578" s="26">
        <f t="shared" si="29"/>
        <v>3</v>
      </c>
      <c r="O578" s="27">
        <v>990</v>
      </c>
      <c r="P578" s="27">
        <v>979</v>
      </c>
      <c r="Q578" s="27">
        <v>27</v>
      </c>
      <c r="R578" s="56" t="s">
        <v>1872</v>
      </c>
      <c r="S578" s="27" t="s">
        <v>1873</v>
      </c>
      <c r="T578" s="27"/>
      <c r="U578" s="27">
        <v>298</v>
      </c>
      <c r="V578" s="27" t="s">
        <v>1617</v>
      </c>
      <c r="W578" s="27" t="s">
        <v>1618</v>
      </c>
      <c r="X578" s="73" t="s">
        <v>1619</v>
      </c>
      <c r="Y578" s="73" t="str">
        <f>VLOOKUP(X578,Choferes!$B$2:$C$500,2,FALSE)</f>
        <v>+5553984318842</v>
      </c>
      <c r="Z578" s="73"/>
    </row>
    <row r="579" spans="1:26" hidden="1" x14ac:dyDescent="0.25">
      <c r="A579" s="33">
        <v>34</v>
      </c>
      <c r="B579" s="71" t="s">
        <v>29</v>
      </c>
      <c r="C579" s="39" t="s">
        <v>1827</v>
      </c>
      <c r="D579" s="50" t="s">
        <v>48</v>
      </c>
      <c r="E579" s="47">
        <v>45524</v>
      </c>
      <c r="F579" s="31" t="str">
        <f>VLOOKUP($C579,Carpetas!$C$5:$M$2666,2,FALSE)</f>
        <v>PYB129</v>
      </c>
      <c r="G579" s="23" t="str">
        <f>VLOOKUP($C579,Carpetas!$C$5:$M$2666,10,FALSE)</f>
        <v>149,99,76</v>
      </c>
      <c r="H579" s="27">
        <f>VLOOKUP($C579,Carpetas!$C$5:$M$2666,6,FALSE)</f>
        <v>0</v>
      </c>
      <c r="I579" s="220"/>
      <c r="J579" s="47">
        <v>45526</v>
      </c>
      <c r="K579" s="72" t="str">
        <f>VLOOKUP($C579,Carpetas!$C$5:$M$2666,5,FALSE)</f>
        <v>Salto</v>
      </c>
      <c r="L579" s="32"/>
      <c r="M579" s="48">
        <f t="shared" si="32"/>
        <v>45527</v>
      </c>
      <c r="N579" s="26">
        <f t="shared" si="29"/>
        <v>3</v>
      </c>
      <c r="O579" s="27">
        <v>930</v>
      </c>
      <c r="P579" s="27">
        <v>930</v>
      </c>
      <c r="Q579" s="27">
        <v>26</v>
      </c>
      <c r="R579" s="27">
        <v>26</v>
      </c>
      <c r="S579" s="27" t="s">
        <v>1874</v>
      </c>
      <c r="T579" s="27"/>
      <c r="U579" s="27"/>
      <c r="V579" s="27" t="s">
        <v>69</v>
      </c>
      <c r="W579" s="27" t="s">
        <v>70</v>
      </c>
      <c r="X579" s="73"/>
      <c r="Y579" s="73" t="e">
        <f>VLOOKUP(X579,Choferes!$B$2:$C$500,2,FALSE)</f>
        <v>#N/A</v>
      </c>
      <c r="Z579" s="73" t="s">
        <v>1875</v>
      </c>
    </row>
    <row r="580" spans="1:26" ht="45" hidden="1" x14ac:dyDescent="0.25">
      <c r="A580" s="33">
        <v>34</v>
      </c>
      <c r="B580" s="71" t="s">
        <v>29</v>
      </c>
      <c r="C580" s="39" t="s">
        <v>1832</v>
      </c>
      <c r="D580" s="50" t="s">
        <v>78</v>
      </c>
      <c r="E580" s="47">
        <v>45525</v>
      </c>
      <c r="F580" s="31" t="str">
        <f>VLOOKUP($C580,Carpetas!$C$5:$M$2666,2,FALSE)</f>
        <v>BRB055</v>
      </c>
      <c r="G580" s="23" t="str">
        <f>VLOOKUP($C580,Carpetas!$C$5:$M$2666,10,FALSE)</f>
        <v>149,97,86</v>
      </c>
      <c r="H580" s="27" t="str">
        <f>VLOOKUP($C580,Carpetas!$C$5:$M$2666,6,FALSE)</f>
        <v>FG</v>
      </c>
      <c r="I580" s="220"/>
      <c r="J580" s="47">
        <v>45526</v>
      </c>
      <c r="K580" s="72" t="str">
        <f>VLOOKUP($C580,Carpetas!$C$5:$M$2666,5,FALSE)</f>
        <v>Rio Branco</v>
      </c>
      <c r="L580" s="32"/>
      <c r="M580" s="48">
        <f t="shared" si="32"/>
        <v>45527</v>
      </c>
      <c r="N580" s="26">
        <f t="shared" si="29"/>
        <v>2</v>
      </c>
      <c r="O580" s="27">
        <v>990</v>
      </c>
      <c r="P580" s="27" t="s">
        <v>1876</v>
      </c>
      <c r="Q580" s="27"/>
      <c r="R580" s="27"/>
      <c r="S580" s="27" t="s">
        <v>1877</v>
      </c>
      <c r="T580" s="27"/>
      <c r="U580" s="27">
        <v>301</v>
      </c>
      <c r="V580" s="56" t="s">
        <v>1878</v>
      </c>
      <c r="W580" s="27" t="s">
        <v>1669</v>
      </c>
      <c r="X580" s="73"/>
      <c r="Y580" s="73" t="e">
        <f>VLOOKUP(X580,Choferes!$B$2:$C$500,2,FALSE)</f>
        <v>#N/A</v>
      </c>
      <c r="Z580" s="73" t="s">
        <v>1879</v>
      </c>
    </row>
    <row r="581" spans="1:26" hidden="1" x14ac:dyDescent="0.25">
      <c r="A581" s="33">
        <v>34</v>
      </c>
      <c r="B581" s="71" t="s">
        <v>29</v>
      </c>
      <c r="C581" s="39" t="s">
        <v>1880</v>
      </c>
      <c r="D581" s="50" t="s">
        <v>102</v>
      </c>
      <c r="E581" s="47">
        <v>45523</v>
      </c>
      <c r="F581" s="31" t="str">
        <f>VLOOKUP($C581,Carpetas!$C$5:$M$2666,2,FALSE)</f>
        <v>PYB131</v>
      </c>
      <c r="G581" s="23" t="str">
        <f>VLOOKUP($C581,Carpetas!$C$5:$M$2666,10,FALSE)</f>
        <v>150,07,88</v>
      </c>
      <c r="H581" s="27">
        <f>VLOOKUP($C581,Carpetas!$C$5:$M$2666,6,FALSE)</f>
        <v>0</v>
      </c>
      <c r="I581" s="220"/>
      <c r="J581" s="47">
        <v>45526</v>
      </c>
      <c r="K581" s="72" t="str">
        <f>VLOOKUP($C581,Carpetas!$C$5:$M$2666,5,FALSE)</f>
        <v>Salto</v>
      </c>
      <c r="L581" s="32"/>
      <c r="M581" s="48">
        <f>J581+1+1</f>
        <v>45528</v>
      </c>
      <c r="N581" s="26">
        <f t="shared" ref="N581:N644" si="34">IF(E581&lt;&gt;"",M581-E581,"-")</f>
        <v>5</v>
      </c>
      <c r="O581" s="27">
        <v>980</v>
      </c>
      <c r="P581" s="27">
        <v>980</v>
      </c>
      <c r="Q581" s="27">
        <v>28</v>
      </c>
      <c r="R581" s="27">
        <v>25.5</v>
      </c>
      <c r="S581" s="27" t="s">
        <v>1881</v>
      </c>
      <c r="T581" s="27"/>
      <c r="U581" s="27"/>
      <c r="V581" s="27" t="s">
        <v>490</v>
      </c>
      <c r="W581" s="27"/>
      <c r="X581" s="73"/>
      <c r="Y581" s="73" t="e">
        <f>VLOOKUP(X581,Choferes!$B$2:$C$500,2,FALSE)</f>
        <v>#N/A</v>
      </c>
      <c r="Z581" s="73"/>
    </row>
    <row r="582" spans="1:26" hidden="1" x14ac:dyDescent="0.25">
      <c r="A582" s="33">
        <v>34</v>
      </c>
      <c r="B582" s="38" t="s">
        <v>298</v>
      </c>
      <c r="C582" s="39" t="s">
        <v>299</v>
      </c>
      <c r="D582" s="50" t="s">
        <v>880</v>
      </c>
      <c r="E582" s="47">
        <v>45526</v>
      </c>
      <c r="F582" s="31" t="str">
        <f>VLOOKUP($C582,Carpetas!$C$5:$M$2666,2,FALSE)</f>
        <v>BRB</v>
      </c>
      <c r="G582" s="23" t="e">
        <f>VLOOKUP($C582,Carpetas!$C$5:$M$2666,9,FALSE)</f>
        <v>#REF!</v>
      </c>
      <c r="H582" s="24" t="str">
        <f>VLOOKUP($C582,Carpetas!$C$5:$M$2666,5,FALSE)</f>
        <v>xx</v>
      </c>
      <c r="I582" s="221"/>
      <c r="J582" s="47">
        <f>E582+3</f>
        <v>45529</v>
      </c>
      <c r="K582" s="25">
        <f>VLOOKUP($C582,Carpetas!$C$5:$M$2666,4,FALSE)</f>
        <v>0</v>
      </c>
      <c r="L582" s="32"/>
      <c r="M582" s="48">
        <f t="shared" ref="M582:M596" si="35">J582+1</f>
        <v>45530</v>
      </c>
      <c r="N582" s="26">
        <f t="shared" si="34"/>
        <v>4</v>
      </c>
      <c r="O582" s="27">
        <v>990</v>
      </c>
      <c r="P582" s="27"/>
      <c r="Q582" s="27"/>
      <c r="R582" s="27"/>
      <c r="S582" s="27"/>
      <c r="T582" s="27"/>
      <c r="U582" s="27"/>
      <c r="V582" s="27"/>
      <c r="W582" s="27"/>
      <c r="X582" s="34"/>
      <c r="Y582" s="34" t="e">
        <f>VLOOKUP(X582,Choferes!$B$2:$C$500,2,FALSE)</f>
        <v>#N/A</v>
      </c>
      <c r="Z582" s="34"/>
    </row>
    <row r="583" spans="1:26" hidden="1" x14ac:dyDescent="0.25">
      <c r="A583" s="33">
        <v>34</v>
      </c>
      <c r="B583" s="71" t="s">
        <v>29</v>
      </c>
      <c r="C583" s="39" t="s">
        <v>1882</v>
      </c>
      <c r="D583" s="50" t="s">
        <v>38</v>
      </c>
      <c r="E583" s="47">
        <v>45522</v>
      </c>
      <c r="F583" s="31" t="str">
        <f>VLOOKUP($C583,Carpetas!$C$5:$M$2666,2,FALSE)</f>
        <v>BRE025</v>
      </c>
      <c r="G583" s="23" t="str">
        <f>VLOOKUP($C583,Carpetas!$C$5:$M$2666,10,FALSE)</f>
        <v>150,07,56</v>
      </c>
      <c r="H583" s="27">
        <f>VLOOKUP($C583,Carpetas!$C$5:$M$2666,6,FALSE)</f>
        <v>0</v>
      </c>
      <c r="I583" s="220">
        <f>VLOOKUP($C583,Carpetas!$C$5:$M$2666,4,FALSE)</f>
        <v>0</v>
      </c>
      <c r="J583" s="47">
        <v>45530</v>
      </c>
      <c r="K583" s="72" t="str">
        <f>VLOOKUP($C583,Carpetas!$C$5:$M$2666,5,FALSE)</f>
        <v>Rio Branco</v>
      </c>
      <c r="L583" s="32"/>
      <c r="M583" s="48">
        <f t="shared" si="35"/>
        <v>45531</v>
      </c>
      <c r="N583" s="26">
        <f t="shared" si="34"/>
        <v>9</v>
      </c>
      <c r="O583" s="27">
        <v>25000</v>
      </c>
      <c r="P583" s="27"/>
      <c r="Q583" s="27"/>
      <c r="R583" s="27"/>
      <c r="S583" s="27"/>
      <c r="T583" s="27"/>
      <c r="U583" s="27">
        <v>63</v>
      </c>
      <c r="V583" s="27" t="s">
        <v>1883</v>
      </c>
      <c r="W583" s="27" t="s">
        <v>1884</v>
      </c>
      <c r="X583" s="73"/>
      <c r="Y583" s="73" t="e">
        <f>VLOOKUP(X583,Choferes!$B$2:$C$500,2,FALSE)</f>
        <v>#N/A</v>
      </c>
      <c r="Z583" s="73" t="s">
        <v>1885</v>
      </c>
    </row>
    <row r="584" spans="1:26" ht="30" hidden="1" x14ac:dyDescent="0.25">
      <c r="A584" s="33">
        <v>34</v>
      </c>
      <c r="B584" s="71" t="s">
        <v>29</v>
      </c>
      <c r="C584" s="39" t="s">
        <v>1886</v>
      </c>
      <c r="D584" s="50" t="s">
        <v>803</v>
      </c>
      <c r="E584" s="47">
        <v>45526</v>
      </c>
      <c r="F584" s="31" t="str">
        <f>VLOOKUP($C584,Carpetas!$C$5:$M$2666,2,FALSE)</f>
        <v>BRB059</v>
      </c>
      <c r="G584" s="23" t="str">
        <f>VLOOKUP($C584,Carpetas!$C$5:$M$2666,10,FALSE)</f>
        <v>150,11,54</v>
      </c>
      <c r="H584" s="27" t="str">
        <f>VLOOKUP($C584,Carpetas!$C$5:$M$2666,6,FALSE)</f>
        <v>FG</v>
      </c>
      <c r="I584" s="220"/>
      <c r="J584" s="47">
        <v>45530</v>
      </c>
      <c r="K584" s="72" t="str">
        <f>VLOOKUP($C584,Carpetas!$C$5:$M$2666,5,FALSE)</f>
        <v>Rio Branco</v>
      </c>
      <c r="L584" s="32"/>
      <c r="M584" s="48">
        <f t="shared" si="35"/>
        <v>45531</v>
      </c>
      <c r="N584" s="26">
        <f t="shared" si="34"/>
        <v>5</v>
      </c>
      <c r="O584" s="27">
        <v>990</v>
      </c>
      <c r="P584" s="27">
        <v>990</v>
      </c>
      <c r="Q584" s="27">
        <v>28</v>
      </c>
      <c r="R584" s="27">
        <v>23.8</v>
      </c>
      <c r="S584" s="27" t="s">
        <v>1887</v>
      </c>
      <c r="T584" s="27"/>
      <c r="U584" s="27">
        <v>306</v>
      </c>
      <c r="V584" s="27" t="s">
        <v>1726</v>
      </c>
      <c r="W584" s="27" t="s">
        <v>1646</v>
      </c>
      <c r="X584" s="73" t="s">
        <v>1576</v>
      </c>
      <c r="Y584" s="73" t="str">
        <f>VLOOKUP(X584,Choferes!$B$2:$C$500,2,FALSE)</f>
        <v>+55119971489722</v>
      </c>
      <c r="Z584" s="73" t="s">
        <v>1888</v>
      </c>
    </row>
    <row r="585" spans="1:26" customFormat="1" hidden="1" x14ac:dyDescent="0.25">
      <c r="A585" s="33">
        <v>34</v>
      </c>
      <c r="B585" s="71" t="s">
        <v>29</v>
      </c>
      <c r="C585" s="39" t="s">
        <v>1835</v>
      </c>
      <c r="D585" s="50" t="s">
        <v>764</v>
      </c>
      <c r="E585" s="47">
        <v>45527</v>
      </c>
      <c r="F585" s="31" t="str">
        <f>VLOOKUP($C585,Carpetas!$C$5:$M$2666,2,FALSE)</f>
        <v>BRC002</v>
      </c>
      <c r="G585" s="23" t="str">
        <f>VLOOKUP($C585,Carpetas!$C$5:$M$2666,10,FALSE)</f>
        <v>150,01,61</v>
      </c>
      <c r="H585" s="27" t="str">
        <f>VLOOKUP($C585,Carpetas!$C$5:$M$2666,6,FALSE)</f>
        <v>FG</v>
      </c>
      <c r="I585" s="220"/>
      <c r="J585" s="47">
        <f>E585+3</f>
        <v>45530</v>
      </c>
      <c r="K585" s="72" t="str">
        <f>VLOOKUP($C585,Carpetas!$C$5:$M$2666,5,FALSE)</f>
        <v>Rio Branco</v>
      </c>
      <c r="L585" s="32"/>
      <c r="M585" s="48">
        <f t="shared" si="35"/>
        <v>45531</v>
      </c>
      <c r="N585" s="26">
        <f t="shared" si="34"/>
        <v>4</v>
      </c>
      <c r="O585" s="27">
        <v>990</v>
      </c>
      <c r="P585" s="27">
        <v>990</v>
      </c>
      <c r="Q585" s="27">
        <v>28</v>
      </c>
      <c r="R585" s="27">
        <v>26</v>
      </c>
      <c r="S585" s="27" t="s">
        <v>1889</v>
      </c>
      <c r="T585" s="27"/>
      <c r="U585" s="27"/>
      <c r="V585" s="27" t="s">
        <v>1890</v>
      </c>
      <c r="W585" s="27" t="s">
        <v>1891</v>
      </c>
      <c r="X585" s="73"/>
      <c r="Y585" s="73" t="e">
        <f>VLOOKUP(X585,Choferes!$B$2:$C$500,2,FALSE)</f>
        <v>#N/A</v>
      </c>
      <c r="Z585" s="73" t="s">
        <v>1892</v>
      </c>
    </row>
    <row r="586" spans="1:26" hidden="1" x14ac:dyDescent="0.25">
      <c r="A586" s="33">
        <v>34</v>
      </c>
      <c r="B586" s="71" t="s">
        <v>29</v>
      </c>
      <c r="C586" s="39" t="s">
        <v>1893</v>
      </c>
      <c r="D586" s="50" t="s">
        <v>249</v>
      </c>
      <c r="E586" s="47">
        <v>45527</v>
      </c>
      <c r="F586" s="31" t="str">
        <f>VLOOKUP($C586,Carpetas!$C$5:$M$2666,2,FALSE)</f>
        <v>BRB060</v>
      </c>
      <c r="G586" s="23" t="str">
        <f>VLOOKUP($C586,Carpetas!$C$5:$M$2666,10,FALSE)</f>
        <v>150,11,53</v>
      </c>
      <c r="H586" s="27" t="str">
        <f>VLOOKUP($C586,Carpetas!$C$5:$M$2666,6,FALSE)</f>
        <v>Zanini</v>
      </c>
      <c r="I586" s="220"/>
      <c r="J586" s="47">
        <f>E586+3</f>
        <v>45530</v>
      </c>
      <c r="K586" s="72" t="str">
        <f>VLOOKUP($C586,Carpetas!$C$5:$M$2666,5,FALSE)</f>
        <v>Rio Branco</v>
      </c>
      <c r="L586" s="32"/>
      <c r="M586" s="48">
        <f t="shared" si="35"/>
        <v>45531</v>
      </c>
      <c r="N586" s="26">
        <f t="shared" si="34"/>
        <v>4</v>
      </c>
      <c r="O586" s="27">
        <v>918</v>
      </c>
      <c r="P586" s="27">
        <v>919</v>
      </c>
      <c r="Q586" s="27">
        <v>26</v>
      </c>
      <c r="R586" s="27">
        <v>23.9</v>
      </c>
      <c r="S586" s="27" t="s">
        <v>1894</v>
      </c>
      <c r="T586" s="27"/>
      <c r="U586" s="27">
        <v>4692</v>
      </c>
      <c r="V586" s="27" t="s">
        <v>151</v>
      </c>
      <c r="W586" s="27" t="s">
        <v>152</v>
      </c>
      <c r="X586" s="73" t="s">
        <v>1895</v>
      </c>
      <c r="Y586" s="73" t="str">
        <f>VLOOKUP(X586,Choferes!$B$2:$C$500,2,FALSE)</f>
        <v>+5547997081928</v>
      </c>
      <c r="Z586" s="73" t="s">
        <v>1896</v>
      </c>
    </row>
    <row r="587" spans="1:26" ht="30" hidden="1" x14ac:dyDescent="0.25">
      <c r="A587" s="33">
        <v>34</v>
      </c>
      <c r="B587" s="71" t="s">
        <v>29</v>
      </c>
      <c r="C587" s="39" t="s">
        <v>1893</v>
      </c>
      <c r="D587" s="50" t="s">
        <v>747</v>
      </c>
      <c r="E587" s="47">
        <v>45527</v>
      </c>
      <c r="F587" s="31" t="str">
        <f>VLOOKUP($C587,Carpetas!$C$5:$M$2666,2,FALSE)</f>
        <v>BRB060</v>
      </c>
      <c r="G587" s="23" t="str">
        <f>VLOOKUP($C587,Carpetas!$C$5:$M$2666,10,FALSE)</f>
        <v>150,11,53</v>
      </c>
      <c r="H587" s="27" t="str">
        <f>VLOOKUP($C587,Carpetas!$C$5:$M$2666,6,FALSE)</f>
        <v>Zanini</v>
      </c>
      <c r="I587" s="220"/>
      <c r="J587" s="47">
        <f>E587+3</f>
        <v>45530</v>
      </c>
      <c r="K587" s="72" t="str">
        <f>VLOOKUP($C587,Carpetas!$C$5:$M$2666,5,FALSE)</f>
        <v>Rio Branco</v>
      </c>
      <c r="L587" s="32"/>
      <c r="M587" s="48">
        <f t="shared" si="35"/>
        <v>45531</v>
      </c>
      <c r="N587" s="26">
        <f t="shared" si="34"/>
        <v>4</v>
      </c>
      <c r="O587" s="27">
        <v>918</v>
      </c>
      <c r="P587" s="27">
        <v>919</v>
      </c>
      <c r="Q587" s="27">
        <v>26</v>
      </c>
      <c r="R587" s="27">
        <v>25</v>
      </c>
      <c r="S587" s="27" t="s">
        <v>1897</v>
      </c>
      <c r="T587" s="27"/>
      <c r="U587" s="27">
        <v>4693</v>
      </c>
      <c r="V587" s="27" t="s">
        <v>1898</v>
      </c>
      <c r="W587" s="27" t="s">
        <v>1899</v>
      </c>
      <c r="X587" s="73" t="s">
        <v>1900</v>
      </c>
      <c r="Y587" s="73" t="str">
        <f>VLOOKUP(X587,Choferes!$B$2:$C$500,2,FALSE)</f>
        <v>+5542999737345</v>
      </c>
      <c r="Z587" s="73" t="s">
        <v>1901</v>
      </c>
    </row>
    <row r="588" spans="1:26" ht="30" hidden="1" x14ac:dyDescent="0.25">
      <c r="A588" s="33">
        <v>34</v>
      </c>
      <c r="B588" s="71" t="s">
        <v>29</v>
      </c>
      <c r="C588" s="39" t="s">
        <v>1886</v>
      </c>
      <c r="D588" s="50" t="s">
        <v>803</v>
      </c>
      <c r="E588" s="47">
        <v>45527</v>
      </c>
      <c r="F588" s="31" t="str">
        <f>VLOOKUP($C588,Carpetas!$C$5:$M$2666,2,FALSE)</f>
        <v>BRB059</v>
      </c>
      <c r="G588" s="23" t="str">
        <f>VLOOKUP($C588,Carpetas!$C$5:$M$2666,10,FALSE)</f>
        <v>150,11,54</v>
      </c>
      <c r="H588" s="27" t="str">
        <f>VLOOKUP($C588,Carpetas!$C$5:$M$2666,6,FALSE)</f>
        <v>FG</v>
      </c>
      <c r="I588" s="220"/>
      <c r="J588" s="47">
        <f>E588+3</f>
        <v>45530</v>
      </c>
      <c r="K588" s="72" t="str">
        <f>VLOOKUP($C588,Carpetas!$C$5:$M$2666,5,FALSE)</f>
        <v>Rio Branco</v>
      </c>
      <c r="L588" s="32"/>
      <c r="M588" s="48">
        <f t="shared" si="35"/>
        <v>45531</v>
      </c>
      <c r="N588" s="26">
        <f t="shared" si="34"/>
        <v>4</v>
      </c>
      <c r="O588" s="27">
        <v>990</v>
      </c>
      <c r="P588" s="27">
        <v>990</v>
      </c>
      <c r="Q588" s="27">
        <v>28</v>
      </c>
      <c r="R588" s="27">
        <v>25</v>
      </c>
      <c r="S588" s="27" t="s">
        <v>1902</v>
      </c>
      <c r="T588" s="27"/>
      <c r="U588" s="27">
        <v>307</v>
      </c>
      <c r="V588" s="27" t="s">
        <v>1735</v>
      </c>
      <c r="W588" s="27" t="s">
        <v>1736</v>
      </c>
      <c r="X588" s="73"/>
      <c r="Y588" s="73" t="e">
        <f>VLOOKUP(X588,Choferes!$B$2:$C$500,2,FALSE)</f>
        <v>#N/A</v>
      </c>
      <c r="Z588" s="73" t="s">
        <v>1903</v>
      </c>
    </row>
    <row r="589" spans="1:26" hidden="1" x14ac:dyDescent="0.25">
      <c r="A589" s="33">
        <v>34</v>
      </c>
      <c r="B589" s="71" t="s">
        <v>29</v>
      </c>
      <c r="C589" s="39" t="s">
        <v>1886</v>
      </c>
      <c r="D589" s="50" t="s">
        <v>110</v>
      </c>
      <c r="E589" s="47">
        <v>45527</v>
      </c>
      <c r="F589" s="31" t="str">
        <f>VLOOKUP($C589,Carpetas!$C$5:$M$2666,2,FALSE)</f>
        <v>BRB059</v>
      </c>
      <c r="G589" s="23" t="str">
        <f>VLOOKUP($C589,Carpetas!$C$5:$M$2666,10,FALSE)</f>
        <v>150,11,54</v>
      </c>
      <c r="H589" s="27" t="str">
        <f>VLOOKUP($C589,Carpetas!$C$5:$M$2666,6,FALSE)</f>
        <v>FG</v>
      </c>
      <c r="I589" s="220"/>
      <c r="J589" s="47">
        <f>E589+3</f>
        <v>45530</v>
      </c>
      <c r="K589" s="72" t="str">
        <f>VLOOKUP($C589,Carpetas!$C$5:$M$2666,5,FALSE)</f>
        <v>Rio Branco</v>
      </c>
      <c r="L589" s="32"/>
      <c r="M589" s="48">
        <f t="shared" si="35"/>
        <v>45531</v>
      </c>
      <c r="N589" s="26">
        <f t="shared" si="34"/>
        <v>4</v>
      </c>
      <c r="O589" s="27">
        <v>990</v>
      </c>
      <c r="P589" s="27">
        <v>990</v>
      </c>
      <c r="Q589" s="27">
        <v>28</v>
      </c>
      <c r="R589" s="27">
        <v>26.4</v>
      </c>
      <c r="S589" s="27" t="s">
        <v>1873</v>
      </c>
      <c r="T589" s="27"/>
      <c r="U589" s="27">
        <v>305</v>
      </c>
      <c r="V589" s="27" t="s">
        <v>1645</v>
      </c>
      <c r="W589" s="27" t="s">
        <v>1631</v>
      </c>
      <c r="X589" s="73" t="s">
        <v>1397</v>
      </c>
      <c r="Y589" s="73" t="str">
        <f>VLOOKUP(X589,Choferes!$B$2:$C$500,2,FALSE)</f>
        <v>+5551996322594</v>
      </c>
      <c r="Z589" s="73" t="s">
        <v>1904</v>
      </c>
    </row>
    <row r="590" spans="1:26" ht="30" hidden="1" x14ac:dyDescent="0.25">
      <c r="A590" s="33">
        <v>34</v>
      </c>
      <c r="B590" s="71" t="s">
        <v>29</v>
      </c>
      <c r="C590" s="39" t="s">
        <v>1813</v>
      </c>
      <c r="D590" s="50" t="s">
        <v>1158</v>
      </c>
      <c r="E590" s="47">
        <v>45528</v>
      </c>
      <c r="F590" s="31" t="str">
        <f>VLOOKUP($C590,Carpetas!$C$5:$M$2666,2,FALSE)</f>
        <v>BRB058</v>
      </c>
      <c r="G590" s="23" t="str">
        <f>VLOOKUP($C590,Carpetas!$C$5:$M$2666,10,FALSE)</f>
        <v>150,01,69</v>
      </c>
      <c r="H590" s="27" t="str">
        <f>VLOOKUP($C590,Carpetas!$C$5:$M$2666,6,FALSE)</f>
        <v>Amaro</v>
      </c>
      <c r="I590" s="220"/>
      <c r="J590" s="47">
        <v>45530</v>
      </c>
      <c r="K590" s="72" t="str">
        <f>VLOOKUP($C590,Carpetas!$C$5:$M$2666,5,FALSE)</f>
        <v>Rio Branco</v>
      </c>
      <c r="L590" s="32"/>
      <c r="M590" s="48">
        <f t="shared" si="35"/>
        <v>45531</v>
      </c>
      <c r="N590" s="26">
        <f t="shared" si="34"/>
        <v>3</v>
      </c>
      <c r="O590" s="27">
        <v>990</v>
      </c>
      <c r="P590" s="27">
        <v>990</v>
      </c>
      <c r="Q590" s="27">
        <v>28</v>
      </c>
      <c r="R590" s="27">
        <v>26.5</v>
      </c>
      <c r="S590" s="27" t="s">
        <v>1905</v>
      </c>
      <c r="T590" s="27"/>
      <c r="U590" s="27">
        <v>24465</v>
      </c>
      <c r="V590" s="27" t="s">
        <v>1906</v>
      </c>
      <c r="W590" s="27" t="s">
        <v>1907</v>
      </c>
      <c r="X590" s="73"/>
      <c r="Y590" s="73" t="e">
        <f>VLOOKUP(X590,Choferes!$B$2:$C$500,2,FALSE)</f>
        <v>#N/A</v>
      </c>
      <c r="Z590" s="73" t="s">
        <v>1908</v>
      </c>
    </row>
    <row r="591" spans="1:26" hidden="1" x14ac:dyDescent="0.25">
      <c r="A591" s="33">
        <v>34</v>
      </c>
      <c r="B591" s="71" t="s">
        <v>29</v>
      </c>
      <c r="C591" s="39" t="s">
        <v>1909</v>
      </c>
      <c r="D591" s="50" t="s">
        <v>1757</v>
      </c>
      <c r="E591" s="47">
        <v>45528</v>
      </c>
      <c r="F591" s="31" t="str">
        <f>VLOOKUP($C591,Carpetas!$C$5:$M$2666,2,FALSE)</f>
        <v>BRB061</v>
      </c>
      <c r="G591" s="23" t="str">
        <f>VLOOKUP($C591,Carpetas!$C$5:$M$2666,10,FALSE)</f>
        <v>150,13,59</v>
      </c>
      <c r="H591" s="27" t="str">
        <f>VLOOKUP($C591,Carpetas!$C$5:$M$2666,6,FALSE)</f>
        <v xml:space="preserve">Silvio </v>
      </c>
      <c r="I591" s="220"/>
      <c r="J591" s="47">
        <v>45531</v>
      </c>
      <c r="K591" s="72" t="str">
        <f>VLOOKUP($C591,Carpetas!$C$5:$M$2666,5,FALSE)</f>
        <v>Rio Branco</v>
      </c>
      <c r="L591" s="32"/>
      <c r="M591" s="48">
        <f t="shared" si="35"/>
        <v>45532</v>
      </c>
      <c r="N591" s="26">
        <f t="shared" si="34"/>
        <v>4</v>
      </c>
      <c r="O591" s="27">
        <v>936</v>
      </c>
      <c r="P591" s="27">
        <v>936</v>
      </c>
      <c r="Q591" s="27">
        <v>26</v>
      </c>
      <c r="R591" s="27">
        <v>24.5</v>
      </c>
      <c r="S591" s="27" t="s">
        <v>1910</v>
      </c>
      <c r="T591" s="27"/>
      <c r="U591" s="27">
        <v>7082</v>
      </c>
      <c r="V591" s="27" t="s">
        <v>1911</v>
      </c>
      <c r="W591" s="27" t="s">
        <v>1912</v>
      </c>
      <c r="X591" s="73" t="e">
        <f>VLOOKUP(#REF!,Choferes!$B$2:$C$500,2,FALSE)</f>
        <v>#REF!</v>
      </c>
      <c r="Y591" s="76"/>
      <c r="Z591" s="73" t="s">
        <v>1913</v>
      </c>
    </row>
    <row r="592" spans="1:26" hidden="1" x14ac:dyDescent="0.25">
      <c r="A592" s="33">
        <v>35</v>
      </c>
      <c r="B592" s="71" t="s">
        <v>29</v>
      </c>
      <c r="C592" s="39" t="s">
        <v>1823</v>
      </c>
      <c r="D592" s="50" t="s">
        <v>747</v>
      </c>
      <c r="E592" s="47">
        <v>45530</v>
      </c>
      <c r="F592" s="31" t="str">
        <f>VLOOKUP($C592,Carpetas!$C$5:$M$2666,2,FALSE)</f>
        <v>BRB057</v>
      </c>
      <c r="G592" s="23" t="str">
        <f>VLOOKUP($C592,Carpetas!$C$5:$M$2666,10,FALSE)</f>
        <v>150,01,65</v>
      </c>
      <c r="H592" s="27" t="str">
        <f>VLOOKUP($C592,Carpetas!$C$5:$M$2666,6,FALSE)</f>
        <v xml:space="preserve">Silvio </v>
      </c>
      <c r="I592" s="220"/>
      <c r="J592" s="47">
        <f>E592+2</f>
        <v>45532</v>
      </c>
      <c r="K592" s="72" t="str">
        <f>VLOOKUP($C592,Carpetas!$C$5:$M$2666,5,FALSE)</f>
        <v>Rio Branco</v>
      </c>
      <c r="L592" s="32"/>
      <c r="M592" s="48">
        <f t="shared" si="35"/>
        <v>45533</v>
      </c>
      <c r="N592" s="26">
        <f t="shared" si="34"/>
        <v>3</v>
      </c>
      <c r="O592" s="27">
        <v>918</v>
      </c>
      <c r="P592" s="27">
        <v>919</v>
      </c>
      <c r="Q592" s="27">
        <v>26</v>
      </c>
      <c r="R592" s="27">
        <v>25.1</v>
      </c>
      <c r="S592" s="27" t="s">
        <v>1914</v>
      </c>
      <c r="T592" s="27"/>
      <c r="U592" s="27">
        <v>7069</v>
      </c>
      <c r="V592" s="27" t="s">
        <v>665</v>
      </c>
      <c r="W592" s="27" t="s">
        <v>666</v>
      </c>
      <c r="X592" s="73" t="e">
        <f>VLOOKUP(#REF!,Choferes!$B$2:$C$500,2,FALSE)</f>
        <v>#REF!</v>
      </c>
      <c r="Z592" s="73" t="s">
        <v>1915</v>
      </c>
    </row>
    <row r="593" spans="1:26" hidden="1" x14ac:dyDescent="0.25">
      <c r="A593" s="33">
        <v>35</v>
      </c>
      <c r="B593" s="71" t="s">
        <v>29</v>
      </c>
      <c r="C593" s="39" t="s">
        <v>1916</v>
      </c>
      <c r="D593" s="50" t="s">
        <v>48</v>
      </c>
      <c r="E593" s="47">
        <v>45529</v>
      </c>
      <c r="F593" s="31" t="str">
        <f>VLOOKUP($C593,Carpetas!$C$5:$M$2666,2,FALSE)</f>
        <v>PYB132</v>
      </c>
      <c r="G593" s="23" t="str">
        <f>VLOOKUP($C593,Carpetas!$C$5:$M$2666,10,FALSE)</f>
        <v>150,13,87</v>
      </c>
      <c r="H593" s="27">
        <f>VLOOKUP($C593,Carpetas!$C$5:$M$2666,6,FALSE)</f>
        <v>0</v>
      </c>
      <c r="I593" s="220"/>
      <c r="J593" s="47">
        <v>45533</v>
      </c>
      <c r="K593" s="72" t="str">
        <f>VLOOKUP($C593,Carpetas!$C$5:$M$2666,5,FALSE)</f>
        <v>Salto</v>
      </c>
      <c r="L593" s="32"/>
      <c r="M593" s="48">
        <f t="shared" si="35"/>
        <v>45534</v>
      </c>
      <c r="N593" s="26">
        <f t="shared" si="34"/>
        <v>5</v>
      </c>
      <c r="O593" s="27">
        <v>930</v>
      </c>
      <c r="P593" s="27">
        <v>929</v>
      </c>
      <c r="Q593" s="27">
        <v>28</v>
      </c>
      <c r="R593" s="27">
        <v>26.4</v>
      </c>
      <c r="S593" s="27" t="s">
        <v>1917</v>
      </c>
      <c r="T593" s="27"/>
      <c r="U593" s="27"/>
      <c r="V593" s="27" t="s">
        <v>1918</v>
      </c>
      <c r="W593" s="27" t="s">
        <v>463</v>
      </c>
      <c r="X593" s="73"/>
      <c r="Y593" s="73" t="e">
        <f>VLOOKUP(X593,Choferes!$B$2:$C$500,2,FALSE)</f>
        <v>#N/A</v>
      </c>
      <c r="Z593" s="73" t="s">
        <v>1919</v>
      </c>
    </row>
    <row r="594" spans="1:26" hidden="1" x14ac:dyDescent="0.25">
      <c r="A594" s="33">
        <v>35</v>
      </c>
      <c r="B594" s="71" t="s">
        <v>29</v>
      </c>
      <c r="C594" s="39" t="s">
        <v>1893</v>
      </c>
      <c r="D594" s="50" t="s">
        <v>953</v>
      </c>
      <c r="E594" s="47">
        <v>45531</v>
      </c>
      <c r="F594" s="31" t="str">
        <f>VLOOKUP($C594,Carpetas!$C$5:$M$2666,2,FALSE)</f>
        <v>BRB060</v>
      </c>
      <c r="G594" s="23" t="str">
        <f>VLOOKUP($C594,Carpetas!$C$5:$M$2666,10,FALSE)</f>
        <v>150,11,53</v>
      </c>
      <c r="H594" s="27" t="str">
        <f>VLOOKUP($C594,Carpetas!$C$5:$M$2666,6,FALSE)</f>
        <v>Zanini</v>
      </c>
      <c r="I594" s="220"/>
      <c r="J594" s="47">
        <f>E594+2</f>
        <v>45533</v>
      </c>
      <c r="K594" s="72" t="str">
        <f>VLOOKUP($C594,Carpetas!$C$5:$M$2666,5,FALSE)</f>
        <v>Rio Branco</v>
      </c>
      <c r="L594" s="32"/>
      <c r="M594" s="48">
        <f t="shared" si="35"/>
        <v>45534</v>
      </c>
      <c r="N594" s="26">
        <f t="shared" si="34"/>
        <v>3</v>
      </c>
      <c r="O594" s="27">
        <v>918</v>
      </c>
      <c r="P594" s="27">
        <v>918</v>
      </c>
      <c r="Q594" s="27">
        <v>26</v>
      </c>
      <c r="R594" s="27">
        <v>26</v>
      </c>
      <c r="S594" s="27" t="s">
        <v>1920</v>
      </c>
      <c r="T594" s="27"/>
      <c r="U594" s="27">
        <v>4696</v>
      </c>
      <c r="V594" s="27" t="s">
        <v>1839</v>
      </c>
      <c r="W594" s="27" t="s">
        <v>1840</v>
      </c>
      <c r="X594" s="73" t="s">
        <v>1841</v>
      </c>
      <c r="Y594" s="73" t="str">
        <f>VLOOKUP(X594,Choferes!$B$2:$C$500,2,FALSE)</f>
        <v>+5553999650828</v>
      </c>
      <c r="Z594" s="73" t="s">
        <v>1921</v>
      </c>
    </row>
    <row r="595" spans="1:26" hidden="1" x14ac:dyDescent="0.25">
      <c r="A595" s="33">
        <v>35</v>
      </c>
      <c r="B595" s="71" t="s">
        <v>29</v>
      </c>
      <c r="C595" s="39" t="s">
        <v>1886</v>
      </c>
      <c r="D595" s="50" t="s">
        <v>110</v>
      </c>
      <c r="E595" s="47">
        <v>45532</v>
      </c>
      <c r="F595" s="31" t="str">
        <f>VLOOKUP($C595,Carpetas!$C$5:$M$2666,2,FALSE)</f>
        <v>BRB059</v>
      </c>
      <c r="G595" s="23" t="str">
        <f>VLOOKUP($C595,Carpetas!$C$5:$M$2666,10,FALSE)</f>
        <v>150,11,54</v>
      </c>
      <c r="H595" s="27" t="str">
        <f>VLOOKUP($C595,Carpetas!$C$5:$M$2666,6,FALSE)</f>
        <v>FG</v>
      </c>
      <c r="I595" s="220"/>
      <c r="J595" s="47">
        <v>45533</v>
      </c>
      <c r="K595" s="72" t="str">
        <f>VLOOKUP($C595,Carpetas!$C$5:$M$2666,5,FALSE)</f>
        <v>Rio Branco</v>
      </c>
      <c r="L595" s="32"/>
      <c r="M595" s="48">
        <f t="shared" si="35"/>
        <v>45534</v>
      </c>
      <c r="N595" s="26">
        <f t="shared" si="34"/>
        <v>2</v>
      </c>
      <c r="O595" s="27">
        <v>990</v>
      </c>
      <c r="P595" s="27">
        <v>965</v>
      </c>
      <c r="Q595" s="27">
        <v>28</v>
      </c>
      <c r="R595" s="27">
        <v>26.5</v>
      </c>
      <c r="S595" s="27" t="s">
        <v>1922</v>
      </c>
      <c r="T595" s="27"/>
      <c r="U595" s="27">
        <v>311</v>
      </c>
      <c r="V595" s="27" t="s">
        <v>1430</v>
      </c>
      <c r="W595" s="27" t="s">
        <v>1669</v>
      </c>
      <c r="X595" s="73" t="s">
        <v>1923</v>
      </c>
      <c r="Y595" s="73" t="str">
        <f>VLOOKUP(X595,Choferes!$B$2:$C$500,2,FALSE)</f>
        <v>+5553999049426</v>
      </c>
      <c r="Z595" s="73" t="s">
        <v>1924</v>
      </c>
    </row>
    <row r="596" spans="1:26" ht="30" hidden="1" x14ac:dyDescent="0.25">
      <c r="A596" s="33">
        <v>35</v>
      </c>
      <c r="B596" s="71" t="s">
        <v>29</v>
      </c>
      <c r="C596" s="39" t="s">
        <v>1823</v>
      </c>
      <c r="D596" s="50" t="s">
        <v>803</v>
      </c>
      <c r="E596" s="47">
        <v>45532</v>
      </c>
      <c r="F596" s="31" t="str">
        <f>VLOOKUP($C596,Carpetas!$C$5:$M$2666,2,FALSE)</f>
        <v>BRB057</v>
      </c>
      <c r="G596" s="23" t="str">
        <f>VLOOKUP($C596,Carpetas!$C$5:$M$2666,10,FALSE)</f>
        <v>150,01,65</v>
      </c>
      <c r="H596" s="27" t="str">
        <f>VLOOKUP($C596,Carpetas!$C$5:$M$2666,6,FALSE)</f>
        <v xml:space="preserve">Silvio </v>
      </c>
      <c r="I596" s="220"/>
      <c r="J596" s="47">
        <v>45533</v>
      </c>
      <c r="K596" s="72" t="str">
        <f>VLOOKUP($C596,Carpetas!$C$5:$M$2666,5,FALSE)</f>
        <v>Rio Branco</v>
      </c>
      <c r="L596" s="32"/>
      <c r="M596" s="48">
        <f t="shared" si="35"/>
        <v>45534</v>
      </c>
      <c r="N596" s="26">
        <f t="shared" si="34"/>
        <v>2</v>
      </c>
      <c r="O596" s="27">
        <v>918</v>
      </c>
      <c r="P596" s="27">
        <v>943</v>
      </c>
      <c r="Q596" s="27">
        <v>26</v>
      </c>
      <c r="R596" s="27">
        <v>24.5</v>
      </c>
      <c r="S596" s="27" t="s">
        <v>1925</v>
      </c>
      <c r="T596" s="27"/>
      <c r="U596" s="27">
        <v>7070</v>
      </c>
      <c r="V596" s="27" t="s">
        <v>1926</v>
      </c>
      <c r="W596" s="27" t="s">
        <v>1927</v>
      </c>
      <c r="X596" s="73" t="s">
        <v>1928</v>
      </c>
      <c r="Y596" s="73" t="str">
        <f>VLOOKUP(X596,Choferes!$B$2:$C$500,2,FALSE)</f>
        <v>+5542991159306</v>
      </c>
      <c r="Z596" s="73" t="s">
        <v>1929</v>
      </c>
    </row>
    <row r="597" spans="1:26" hidden="1" x14ac:dyDescent="0.25">
      <c r="A597" s="33">
        <v>35</v>
      </c>
      <c r="B597" s="71" t="s">
        <v>29</v>
      </c>
      <c r="C597" s="39" t="s">
        <v>1930</v>
      </c>
      <c r="D597" s="50" t="s">
        <v>102</v>
      </c>
      <c r="E597" s="47">
        <v>45530</v>
      </c>
      <c r="F597" s="31" t="str">
        <f>VLOOKUP($C597,Carpetas!$C$5:$M$2666,2,FALSE)</f>
        <v>PYB133</v>
      </c>
      <c r="G597" s="23" t="str">
        <f>VLOOKUP($C597,Carpetas!$C$5:$M$2666,10,FALSE)</f>
        <v>150,13,86</v>
      </c>
      <c r="H597" s="27">
        <f>VLOOKUP($C597,Carpetas!$C$5:$M$2666,6,FALSE)</f>
        <v>0</v>
      </c>
      <c r="I597" s="220"/>
      <c r="J597" s="47">
        <f>E597+3</f>
        <v>45533</v>
      </c>
      <c r="K597" s="72" t="str">
        <f>VLOOKUP($C597,Carpetas!$C$5:$M$2666,5,FALSE)</f>
        <v>Salto</v>
      </c>
      <c r="L597" s="32"/>
      <c r="M597" s="48">
        <f>J597+1+1</f>
        <v>45535</v>
      </c>
      <c r="N597" s="26">
        <f t="shared" si="34"/>
        <v>5</v>
      </c>
      <c r="O597" s="27">
        <v>980</v>
      </c>
      <c r="P597" s="27">
        <v>982</v>
      </c>
      <c r="Q597" s="27">
        <v>28</v>
      </c>
      <c r="R597" s="27">
        <v>26.4</v>
      </c>
      <c r="S597" s="27" t="s">
        <v>1931</v>
      </c>
      <c r="T597" s="27"/>
      <c r="U597" s="27"/>
      <c r="V597" s="27" t="s">
        <v>161</v>
      </c>
      <c r="W597" s="27" t="s">
        <v>162</v>
      </c>
      <c r="X597" s="73"/>
      <c r="Y597" s="73" t="e">
        <f>VLOOKUP(X597,Choferes!$B$2:$C$500,2,FALSE)</f>
        <v>#N/A</v>
      </c>
      <c r="Z597" s="73" t="s">
        <v>1932</v>
      </c>
    </row>
    <row r="598" spans="1:26" hidden="1" x14ac:dyDescent="0.25">
      <c r="A598" s="33">
        <v>35</v>
      </c>
      <c r="B598" s="71" t="s">
        <v>29</v>
      </c>
      <c r="C598" s="39" t="s">
        <v>1886</v>
      </c>
      <c r="D598" s="50" t="s">
        <v>110</v>
      </c>
      <c r="E598" s="47">
        <v>45534</v>
      </c>
      <c r="F598" s="31" t="str">
        <f>VLOOKUP($C598,Carpetas!$C$5:$M$2666,2,FALSE)</f>
        <v>BRB059</v>
      </c>
      <c r="G598" s="23" t="str">
        <f>VLOOKUP($C598,Carpetas!$C$5:$M$2666,10,FALSE)</f>
        <v>150,11,54</v>
      </c>
      <c r="H598" s="27" t="str">
        <f>VLOOKUP($C598,Carpetas!$C$5:$M$2666,6,FALSE)</f>
        <v>FG</v>
      </c>
      <c r="I598" s="220"/>
      <c r="J598" s="47">
        <v>45537</v>
      </c>
      <c r="K598" s="72" t="str">
        <f>VLOOKUP($C598,Carpetas!$C$5:$M$2666,5,FALSE)</f>
        <v>Rio Branco</v>
      </c>
      <c r="L598" s="32"/>
      <c r="M598" s="48">
        <f t="shared" ref="M598:M607" si="36">J598+1</f>
        <v>45538</v>
      </c>
      <c r="N598" s="26">
        <f t="shared" si="34"/>
        <v>4</v>
      </c>
      <c r="O598" s="27">
        <v>990</v>
      </c>
      <c r="P598" s="27">
        <v>991</v>
      </c>
      <c r="Q598" s="27">
        <v>28</v>
      </c>
      <c r="R598" s="27">
        <v>27.4</v>
      </c>
      <c r="S598" s="27" t="s">
        <v>1933</v>
      </c>
      <c r="T598" s="27"/>
      <c r="U598" s="27">
        <v>316</v>
      </c>
      <c r="V598" s="27" t="s">
        <v>1630</v>
      </c>
      <c r="W598" s="27" t="s">
        <v>1934</v>
      </c>
      <c r="X598" s="73" t="s">
        <v>1935</v>
      </c>
      <c r="Y598" s="73" t="str">
        <f>VLOOKUP(X598,Choferes!$B$2:$C$500,2,FALSE)</f>
        <v>+5554984377792</v>
      </c>
      <c r="Z598" s="73" t="s">
        <v>1936</v>
      </c>
    </row>
    <row r="599" spans="1:26" hidden="1" x14ac:dyDescent="0.25">
      <c r="A599" s="33">
        <v>35</v>
      </c>
      <c r="B599" s="71" t="s">
        <v>29</v>
      </c>
      <c r="C599" s="39" t="s">
        <v>1886</v>
      </c>
      <c r="D599" s="50" t="s">
        <v>803</v>
      </c>
      <c r="E599" s="47">
        <v>45534</v>
      </c>
      <c r="F599" s="31" t="str">
        <f>VLOOKUP($C599,Carpetas!$C$5:$M$2666,2,FALSE)</f>
        <v>BRB059</v>
      </c>
      <c r="G599" s="23" t="str">
        <f>VLOOKUP($C599,Carpetas!$C$5:$M$2666,10,FALSE)</f>
        <v>150,11,54</v>
      </c>
      <c r="H599" s="27" t="str">
        <f>VLOOKUP($C599,Carpetas!$C$5:$M$2666,6,FALSE)</f>
        <v>FG</v>
      </c>
      <c r="I599" s="220"/>
      <c r="J599" s="47">
        <v>45537</v>
      </c>
      <c r="K599" s="72" t="str">
        <f>VLOOKUP($C599,Carpetas!$C$5:$M$2666,5,FALSE)</f>
        <v>Rio Branco</v>
      </c>
      <c r="L599" s="32"/>
      <c r="M599" s="48">
        <f t="shared" si="36"/>
        <v>45538</v>
      </c>
      <c r="N599" s="26">
        <f t="shared" si="34"/>
        <v>4</v>
      </c>
      <c r="O599" s="27">
        <v>990</v>
      </c>
      <c r="P599" s="27">
        <v>990</v>
      </c>
      <c r="Q599" s="27">
        <v>28</v>
      </c>
      <c r="R599" s="27">
        <v>26.4</v>
      </c>
      <c r="S599" s="27" t="s">
        <v>1937</v>
      </c>
      <c r="T599" s="27"/>
      <c r="U599" s="27">
        <v>318</v>
      </c>
      <c r="V599" s="27" t="s">
        <v>1726</v>
      </c>
      <c r="W599" s="27" t="s">
        <v>1646</v>
      </c>
      <c r="X599" s="73" t="s">
        <v>1576</v>
      </c>
      <c r="Y599" s="73" t="str">
        <f>VLOOKUP(X599,Choferes!$B$2:$C$500,2,FALSE)</f>
        <v>+55119971489722</v>
      </c>
      <c r="Z599" s="73" t="s">
        <v>1938</v>
      </c>
    </row>
    <row r="600" spans="1:26" hidden="1" x14ac:dyDescent="0.25">
      <c r="A600" s="33">
        <v>35</v>
      </c>
      <c r="B600" s="71" t="s">
        <v>29</v>
      </c>
      <c r="C600" s="39" t="s">
        <v>1886</v>
      </c>
      <c r="D600" s="50" t="s">
        <v>747</v>
      </c>
      <c r="E600" s="47">
        <v>45534</v>
      </c>
      <c r="F600" s="31" t="str">
        <f>VLOOKUP($C600,Carpetas!$C$5:$M$2666,2,FALSE)</f>
        <v>BRB059</v>
      </c>
      <c r="G600" s="23" t="str">
        <f>VLOOKUP($C600,Carpetas!$C$5:$M$2666,10,FALSE)</f>
        <v>150,11,54</v>
      </c>
      <c r="H600" s="27" t="str">
        <f>VLOOKUP($C600,Carpetas!$C$5:$M$2666,6,FALSE)</f>
        <v>FG</v>
      </c>
      <c r="I600" s="220"/>
      <c r="J600" s="47">
        <v>45537</v>
      </c>
      <c r="K600" s="72" t="str">
        <f>VLOOKUP($C600,Carpetas!$C$5:$M$2666,5,FALSE)</f>
        <v>Rio Branco</v>
      </c>
      <c r="L600" s="32"/>
      <c r="M600" s="48">
        <f t="shared" si="36"/>
        <v>45538</v>
      </c>
      <c r="N600" s="26">
        <f t="shared" si="34"/>
        <v>4</v>
      </c>
      <c r="O600" s="27">
        <v>990</v>
      </c>
      <c r="P600" s="27">
        <v>990</v>
      </c>
      <c r="Q600" s="27">
        <v>28</v>
      </c>
      <c r="R600" s="27">
        <v>26.4</v>
      </c>
      <c r="S600" s="27" t="s">
        <v>1939</v>
      </c>
      <c r="T600" s="27"/>
      <c r="U600" s="27">
        <v>314</v>
      </c>
      <c r="V600" s="27" t="s">
        <v>1645</v>
      </c>
      <c r="W600" s="27" t="s">
        <v>1631</v>
      </c>
      <c r="X600" s="73" t="s">
        <v>1397</v>
      </c>
      <c r="Y600" s="73" t="str">
        <f>VLOOKUP(X600,Choferes!$B$2:$C$500,2,FALSE)</f>
        <v>+5551996322594</v>
      </c>
      <c r="Z600" s="73" t="s">
        <v>1940</v>
      </c>
    </row>
    <row r="601" spans="1:26" hidden="1" x14ac:dyDescent="0.25">
      <c r="A601" s="33">
        <v>35</v>
      </c>
      <c r="B601" s="71" t="s">
        <v>29</v>
      </c>
      <c r="C601" s="39" t="s">
        <v>1835</v>
      </c>
      <c r="D601" s="50" t="s">
        <v>764</v>
      </c>
      <c r="E601" s="47">
        <v>45534</v>
      </c>
      <c r="F601" s="31" t="str">
        <f>VLOOKUP($C601,Carpetas!$C$5:$M$2666,2,FALSE)</f>
        <v>BRC002</v>
      </c>
      <c r="G601" s="23" t="str">
        <f>VLOOKUP($C601,Carpetas!$C$5:$M$2666,10,FALSE)</f>
        <v>150,01,61</v>
      </c>
      <c r="H601" s="27" t="str">
        <f>VLOOKUP($C601,Carpetas!$C$5:$M$2666,6,FALSE)</f>
        <v>FG</v>
      </c>
      <c r="I601" s="220"/>
      <c r="J601" s="47">
        <v>45537</v>
      </c>
      <c r="K601" s="72" t="str">
        <f>VLOOKUP($C601,Carpetas!$C$5:$M$2666,5,FALSE)</f>
        <v>Rio Branco</v>
      </c>
      <c r="L601" s="32"/>
      <c r="M601" s="48">
        <f t="shared" si="36"/>
        <v>45538</v>
      </c>
      <c r="N601" s="26">
        <f t="shared" si="34"/>
        <v>4</v>
      </c>
      <c r="O601" s="27">
        <v>990</v>
      </c>
      <c r="P601" s="27">
        <v>990</v>
      </c>
      <c r="Q601" s="27">
        <v>28</v>
      </c>
      <c r="R601" s="27">
        <v>25.2</v>
      </c>
      <c r="S601" s="27" t="s">
        <v>1941</v>
      </c>
      <c r="T601" s="27"/>
      <c r="U601" s="27"/>
      <c r="V601" s="27" t="s">
        <v>1636</v>
      </c>
      <c r="W601" s="27" t="s">
        <v>1637</v>
      </c>
      <c r="X601" s="73"/>
      <c r="Y601" s="73" t="e">
        <f>VLOOKUP(X601,Choferes!$B$2:$C$500,2,FALSE)</f>
        <v>#N/A</v>
      </c>
      <c r="Z601" s="73" t="s">
        <v>1938</v>
      </c>
    </row>
    <row r="602" spans="1:26" hidden="1" x14ac:dyDescent="0.25">
      <c r="A602" s="33">
        <v>35</v>
      </c>
      <c r="B602" s="71" t="s">
        <v>29</v>
      </c>
      <c r="C602" s="39" t="s">
        <v>1942</v>
      </c>
      <c r="D602" s="50" t="s">
        <v>953</v>
      </c>
      <c r="E602" s="47">
        <v>45535</v>
      </c>
      <c r="F602" s="31" t="str">
        <f>VLOOKUP($C602,Carpetas!$C$5:$M$2666,2,FALSE)</f>
        <v>BRB062</v>
      </c>
      <c r="G602" s="23" t="str">
        <f>VLOOKUP($C602,Carpetas!$C$5:$M$2666,10,FALSE)</f>
        <v>150,18,70</v>
      </c>
      <c r="H602" s="27" t="str">
        <f>VLOOKUP($C602,Carpetas!$C$5:$M$2666,6,FALSE)</f>
        <v>Amaro</v>
      </c>
      <c r="I602" s="220"/>
      <c r="J602" s="47">
        <v>45537</v>
      </c>
      <c r="K602" s="72" t="str">
        <f>VLOOKUP($C602,Carpetas!$C$5:$M$2666,5,FALSE)</f>
        <v>Rio Branco</v>
      </c>
      <c r="L602" s="32"/>
      <c r="M602" s="48">
        <f t="shared" si="36"/>
        <v>45538</v>
      </c>
      <c r="N602" s="26">
        <f t="shared" si="34"/>
        <v>3</v>
      </c>
      <c r="O602" s="27">
        <v>990</v>
      </c>
      <c r="P602" s="27">
        <v>990</v>
      </c>
      <c r="Q602" s="27">
        <v>28</v>
      </c>
      <c r="R602" s="27">
        <v>26.8</v>
      </c>
      <c r="S602" s="27" t="s">
        <v>1943</v>
      </c>
      <c r="T602" s="27"/>
      <c r="U602" s="27">
        <v>24516</v>
      </c>
      <c r="V602" s="27" t="s">
        <v>1944</v>
      </c>
      <c r="W602" s="27" t="s">
        <v>1945</v>
      </c>
      <c r="X602" s="73" t="s">
        <v>1409</v>
      </c>
      <c r="Y602" s="73" t="str">
        <f>VLOOKUP(X602,Choferes!$B$2:$C$500,2,FALSE)</f>
        <v>+5553991154670</v>
      </c>
      <c r="Z602" s="73" t="s">
        <v>1946</v>
      </c>
    </row>
    <row r="603" spans="1:26" hidden="1" x14ac:dyDescent="0.25">
      <c r="A603" s="33">
        <v>36</v>
      </c>
      <c r="B603" s="71" t="s">
        <v>29</v>
      </c>
      <c r="C603" s="39" t="s">
        <v>1947</v>
      </c>
      <c r="D603" s="50" t="s">
        <v>121</v>
      </c>
      <c r="E603" s="47">
        <v>45535</v>
      </c>
      <c r="F603" s="31" t="str">
        <f>VLOOKUP($C603,Carpetas!$C$5:$M$2666,2,FALSE)</f>
        <v>PYB134</v>
      </c>
      <c r="G603" s="23" t="str">
        <f>VLOOKUP($C603,Carpetas!$C$5:$M$2666,10,FALSE)</f>
        <v>150,19,22</v>
      </c>
      <c r="H603" s="27">
        <f>VLOOKUP($C603,Carpetas!$C$5:$M$2666,6,FALSE)</f>
        <v>0</v>
      </c>
      <c r="I603" s="220"/>
      <c r="J603" s="47">
        <v>45538</v>
      </c>
      <c r="K603" s="72" t="str">
        <f>VLOOKUP($C603,Carpetas!$C$5:$M$2666,5,FALSE)</f>
        <v>Salto</v>
      </c>
      <c r="L603" s="32"/>
      <c r="M603" s="48">
        <f t="shared" si="36"/>
        <v>45539</v>
      </c>
      <c r="N603" s="26">
        <f t="shared" si="34"/>
        <v>4</v>
      </c>
      <c r="O603" s="27">
        <v>980</v>
      </c>
      <c r="P603" s="27">
        <v>982</v>
      </c>
      <c r="Q603" s="27">
        <v>28</v>
      </c>
      <c r="R603" s="27">
        <v>26.6</v>
      </c>
      <c r="S603" s="27" t="s">
        <v>1948</v>
      </c>
      <c r="T603" s="27"/>
      <c r="U603" s="27"/>
      <c r="V603" s="27" t="s">
        <v>1949</v>
      </c>
      <c r="W603" s="27" t="s">
        <v>1950</v>
      </c>
      <c r="X603" s="73"/>
      <c r="Y603" s="73" t="e">
        <f>VLOOKUP(X603,Choferes!$B$2:$C$500,2,FALSE)</f>
        <v>#N/A</v>
      </c>
      <c r="Z603" s="73" t="s">
        <v>1951</v>
      </c>
    </row>
    <row r="604" spans="1:26" hidden="1" x14ac:dyDescent="0.25">
      <c r="A604" s="33">
        <v>36</v>
      </c>
      <c r="B604" s="71" t="s">
        <v>29</v>
      </c>
      <c r="C604" s="39" t="s">
        <v>1952</v>
      </c>
      <c r="D604" s="50" t="s">
        <v>102</v>
      </c>
      <c r="E604" s="47">
        <v>45536</v>
      </c>
      <c r="F604" s="31" t="str">
        <f>VLOOKUP($C604,Carpetas!$C$5:$M$2666,2,FALSE)</f>
        <v>PYB136</v>
      </c>
      <c r="G604" s="23" t="str">
        <f>VLOOKUP($C604,Carpetas!$C$5:$M$2666,10,FALSE)</f>
        <v>150.19,24</v>
      </c>
      <c r="H604" s="27">
        <f>VLOOKUP($C604,Carpetas!$C$5:$M$2666,6,FALSE)</f>
        <v>0</v>
      </c>
      <c r="I604" s="220"/>
      <c r="J604" s="47">
        <v>45539</v>
      </c>
      <c r="K604" s="72" t="str">
        <f>VLOOKUP($C604,Carpetas!$C$5:$M$2666,5,FALSE)</f>
        <v>Salto</v>
      </c>
      <c r="L604" s="32"/>
      <c r="M604" s="48">
        <f t="shared" si="36"/>
        <v>45540</v>
      </c>
      <c r="N604" s="26">
        <f t="shared" si="34"/>
        <v>4</v>
      </c>
      <c r="O604" s="27">
        <v>980</v>
      </c>
      <c r="P604" s="27">
        <v>980</v>
      </c>
      <c r="Q604" s="27">
        <v>28</v>
      </c>
      <c r="R604" s="27">
        <v>26.1</v>
      </c>
      <c r="S604" s="27" t="s">
        <v>1953</v>
      </c>
      <c r="T604" s="27"/>
      <c r="U604" s="27"/>
      <c r="V604" s="27" t="s">
        <v>1491</v>
      </c>
      <c r="W604" s="27" t="s">
        <v>1492</v>
      </c>
      <c r="X604" s="73"/>
      <c r="Y604" s="73" t="e">
        <f>VLOOKUP(X604,Choferes!$B$2:$C$500,2,FALSE)</f>
        <v>#N/A</v>
      </c>
      <c r="Z604" s="73" t="s">
        <v>1954</v>
      </c>
    </row>
    <row r="605" spans="1:26" hidden="1" x14ac:dyDescent="0.25">
      <c r="A605" s="33">
        <v>36</v>
      </c>
      <c r="B605" s="71" t="s">
        <v>29</v>
      </c>
      <c r="C605" s="39" t="s">
        <v>1886</v>
      </c>
      <c r="D605" s="50" t="s">
        <v>747</v>
      </c>
      <c r="E605" s="47">
        <v>45537</v>
      </c>
      <c r="F605" s="31" t="str">
        <f>VLOOKUP($C605,Carpetas!$C$5:$M$2666,2,FALSE)</f>
        <v>BRB059</v>
      </c>
      <c r="G605" s="23" t="str">
        <f>VLOOKUP($C605,Carpetas!$C$5:$M$2666,10,FALSE)</f>
        <v>150,11,54</v>
      </c>
      <c r="H605" s="27" t="str">
        <f>VLOOKUP($C605,Carpetas!$C$5:$M$2666,6,FALSE)</f>
        <v>FG</v>
      </c>
      <c r="I605" s="220"/>
      <c r="J605" s="47">
        <f>E605+2</f>
        <v>45539</v>
      </c>
      <c r="K605" s="72" t="str">
        <f>VLOOKUP($C605,Carpetas!$C$5:$M$2666,5,FALSE)</f>
        <v>Rio Branco</v>
      </c>
      <c r="L605" s="32"/>
      <c r="M605" s="48">
        <f t="shared" si="36"/>
        <v>45540</v>
      </c>
      <c r="N605" s="26">
        <f t="shared" si="34"/>
        <v>3</v>
      </c>
      <c r="O605" s="27">
        <v>990</v>
      </c>
      <c r="P605" s="27">
        <v>991</v>
      </c>
      <c r="Q605" s="27">
        <v>28</v>
      </c>
      <c r="R605" s="27">
        <v>25.6</v>
      </c>
      <c r="S605" s="27" t="s">
        <v>1955</v>
      </c>
      <c r="T605" s="27"/>
      <c r="U605" s="27">
        <v>319</v>
      </c>
      <c r="V605" s="27" t="s">
        <v>1956</v>
      </c>
      <c r="W605" s="27" t="s">
        <v>1957</v>
      </c>
      <c r="X605" s="73" t="s">
        <v>1520</v>
      </c>
      <c r="Y605" s="73" t="str">
        <f>VLOOKUP(X605,Choferes!$B$2:$C$500,2,FALSE)</f>
        <v>+5553999595710</v>
      </c>
      <c r="Z605" s="73" t="s">
        <v>1958</v>
      </c>
    </row>
    <row r="606" spans="1:26" hidden="1" x14ac:dyDescent="0.25">
      <c r="A606" s="33">
        <v>36</v>
      </c>
      <c r="B606" s="71" t="s">
        <v>29</v>
      </c>
      <c r="C606" s="39" t="s">
        <v>1893</v>
      </c>
      <c r="D606" s="50" t="s">
        <v>953</v>
      </c>
      <c r="E606" s="47">
        <v>45538</v>
      </c>
      <c r="F606" s="31" t="str">
        <f>VLOOKUP($C606,Carpetas!$C$5:$M$2666,2,FALSE)</f>
        <v>BRB060</v>
      </c>
      <c r="G606" s="23" t="str">
        <f>VLOOKUP($C606,Carpetas!$C$5:$M$2666,10,FALSE)</f>
        <v>150,11,53</v>
      </c>
      <c r="H606" s="27" t="str">
        <f>VLOOKUP($C606,Carpetas!$C$5:$M$2666,6,FALSE)</f>
        <v>Zanini</v>
      </c>
      <c r="I606" s="220"/>
      <c r="J606" s="47">
        <v>45539</v>
      </c>
      <c r="K606" s="72" t="str">
        <f>VLOOKUP($C606,Carpetas!$C$5:$M$2666,5,FALSE)</f>
        <v>Rio Branco</v>
      </c>
      <c r="L606" s="32"/>
      <c r="M606" s="48">
        <f t="shared" si="36"/>
        <v>45540</v>
      </c>
      <c r="N606" s="26">
        <f t="shared" si="34"/>
        <v>2</v>
      </c>
      <c r="O606" s="27">
        <v>918</v>
      </c>
      <c r="P606" s="27">
        <v>918</v>
      </c>
      <c r="Q606" s="27">
        <v>26</v>
      </c>
      <c r="R606" s="27">
        <v>26.9</v>
      </c>
      <c r="S606" s="27" t="s">
        <v>1959</v>
      </c>
      <c r="T606" s="27"/>
      <c r="U606" s="27">
        <v>4707</v>
      </c>
      <c r="V606" s="27" t="s">
        <v>821</v>
      </c>
      <c r="W606" s="27" t="s">
        <v>822</v>
      </c>
      <c r="X606" s="73" t="s">
        <v>1960</v>
      </c>
      <c r="Y606" s="73" t="str">
        <f>VLOOKUP(X606,Choferes!$B$2:$C$500,2,FALSE)</f>
        <v>+5555999462209</v>
      </c>
      <c r="Z606" s="73"/>
    </row>
    <row r="607" spans="1:26" hidden="1" x14ac:dyDescent="0.25">
      <c r="A607" s="33">
        <v>36</v>
      </c>
      <c r="B607" s="71" t="s">
        <v>29</v>
      </c>
      <c r="C607" s="39" t="s">
        <v>1961</v>
      </c>
      <c r="D607" s="50" t="s">
        <v>747</v>
      </c>
      <c r="E607" s="47">
        <v>45538</v>
      </c>
      <c r="F607" s="31" t="str">
        <f>VLOOKUP($C607,Carpetas!$C$5:$M$2666,2,FALSE)</f>
        <v>BRB063</v>
      </c>
      <c r="G607" s="23" t="str">
        <f>VLOOKUP($C607,Carpetas!$C$5:$M$2666,10,FALSE)</f>
        <v>150,24,08</v>
      </c>
      <c r="H607" s="27" t="str">
        <f>VLOOKUP($C607,Carpetas!$C$5:$M$2666,6,FALSE)</f>
        <v xml:space="preserve">Silvio </v>
      </c>
      <c r="I607" s="220"/>
      <c r="J607" s="47">
        <v>45539</v>
      </c>
      <c r="K607" s="72" t="str">
        <f>VLOOKUP($C607,Carpetas!$C$5:$M$2666,5,FALSE)</f>
        <v>Rio Branco</v>
      </c>
      <c r="L607" s="32"/>
      <c r="M607" s="48">
        <f t="shared" si="36"/>
        <v>45540</v>
      </c>
      <c r="N607" s="26">
        <f t="shared" si="34"/>
        <v>2</v>
      </c>
      <c r="O607" s="27">
        <v>918</v>
      </c>
      <c r="P607" s="27">
        <v>919</v>
      </c>
      <c r="Q607" s="27">
        <v>26</v>
      </c>
      <c r="R607" s="27">
        <v>24</v>
      </c>
      <c r="S607" s="27" t="s">
        <v>1962</v>
      </c>
      <c r="T607" s="27"/>
      <c r="U607" s="27">
        <v>7094</v>
      </c>
      <c r="V607" s="27" t="s">
        <v>280</v>
      </c>
      <c r="W607" s="27" t="s">
        <v>281</v>
      </c>
      <c r="X607" s="73" t="s">
        <v>1529</v>
      </c>
      <c r="Y607" s="73" t="str">
        <f>VLOOKUP(X607,Choferes!$B$2:$C$500,2,FALSE)</f>
        <v>+5555981257673</v>
      </c>
      <c r="Z607" s="73" t="s">
        <v>1963</v>
      </c>
    </row>
    <row r="608" spans="1:26" hidden="1" x14ac:dyDescent="0.25">
      <c r="A608" s="33">
        <v>36</v>
      </c>
      <c r="B608" s="71" t="s">
        <v>29</v>
      </c>
      <c r="C608" s="39" t="s">
        <v>1964</v>
      </c>
      <c r="D608" s="50" t="s">
        <v>48</v>
      </c>
      <c r="E608" s="47">
        <v>45537</v>
      </c>
      <c r="F608" s="31" t="str">
        <f>VLOOKUP($C608,Carpetas!$C$5:$M$2666,2,FALSE)</f>
        <v>PYB135</v>
      </c>
      <c r="G608" s="23">
        <f>VLOOKUP($C608,Carpetas!$C$5:$M$2666,10,FALSE)</f>
        <v>0</v>
      </c>
      <c r="H608" s="27">
        <f>VLOOKUP($C608,Carpetas!$C$5:$M$2666,6,FALSE)</f>
        <v>0</v>
      </c>
      <c r="I608" s="220"/>
      <c r="J608" s="47">
        <v>45539</v>
      </c>
      <c r="K608" s="72" t="str">
        <f>VLOOKUP($C608,Carpetas!$C$5:$M$2666,5,FALSE)</f>
        <v>Salto</v>
      </c>
      <c r="L608" s="32"/>
      <c r="M608" s="48">
        <f>J608+1+1</f>
        <v>45541</v>
      </c>
      <c r="N608" s="26">
        <f t="shared" si="34"/>
        <v>4</v>
      </c>
      <c r="O608" s="27">
        <v>930</v>
      </c>
      <c r="P608" s="27">
        <v>929</v>
      </c>
      <c r="Q608" s="27">
        <v>28</v>
      </c>
      <c r="R608" s="27">
        <v>26.3</v>
      </c>
      <c r="S608" s="27" t="s">
        <v>1965</v>
      </c>
      <c r="T608" s="27"/>
      <c r="U608" s="27"/>
      <c r="V608" s="27" t="s">
        <v>1038</v>
      </c>
      <c r="W608" s="27" t="s">
        <v>167</v>
      </c>
      <c r="X608" s="73"/>
      <c r="Y608" s="73" t="e">
        <f>VLOOKUP(X608,Choferes!$B$2:$C$500,2,FALSE)</f>
        <v>#N/A</v>
      </c>
      <c r="Z608" s="73" t="s">
        <v>1966</v>
      </c>
    </row>
    <row r="609" spans="1:26" hidden="1" x14ac:dyDescent="0.25">
      <c r="A609" s="33">
        <v>36</v>
      </c>
      <c r="B609" s="71" t="s">
        <v>29</v>
      </c>
      <c r="C609" s="39" t="s">
        <v>1964</v>
      </c>
      <c r="D609" s="50" t="s">
        <v>48</v>
      </c>
      <c r="E609" s="47">
        <v>45536</v>
      </c>
      <c r="F609" s="31" t="str">
        <f>VLOOKUP($C609,Carpetas!$C$5:$M$2666,2,FALSE)</f>
        <v>PYB135</v>
      </c>
      <c r="G609" s="23">
        <f>VLOOKUP($C609,Carpetas!$C$5:$M$2666,10,FALSE)</f>
        <v>0</v>
      </c>
      <c r="H609" s="27">
        <f>VLOOKUP($C609,Carpetas!$C$5:$M$2666,6,FALSE)</f>
        <v>0</v>
      </c>
      <c r="I609" s="220"/>
      <c r="J609" s="47">
        <v>45540</v>
      </c>
      <c r="K609" s="72" t="str">
        <f>VLOOKUP($C609,Carpetas!$C$5:$M$2666,5,FALSE)</f>
        <v>Salto</v>
      </c>
      <c r="L609" s="32"/>
      <c r="M609" s="48">
        <f>J609+1</f>
        <v>45541</v>
      </c>
      <c r="N609" s="26">
        <f t="shared" si="34"/>
        <v>5</v>
      </c>
      <c r="O609" s="27">
        <v>930</v>
      </c>
      <c r="P609" s="27">
        <v>936</v>
      </c>
      <c r="Q609" s="27">
        <v>28</v>
      </c>
      <c r="R609" s="27">
        <v>26.2</v>
      </c>
      <c r="S609" s="27" t="s">
        <v>1967</v>
      </c>
      <c r="T609" s="27"/>
      <c r="U609" s="27"/>
      <c r="V609" s="27" t="s">
        <v>400</v>
      </c>
      <c r="W609" s="27" t="s">
        <v>94</v>
      </c>
      <c r="X609" s="73"/>
      <c r="Y609" s="73" t="e">
        <f>VLOOKUP(X609,Choferes!$B$2:$C$500,2,FALSE)</f>
        <v>#N/A</v>
      </c>
      <c r="Z609" s="73" t="s">
        <v>1968</v>
      </c>
    </row>
    <row r="610" spans="1:26" hidden="1" x14ac:dyDescent="0.25">
      <c r="A610" s="33">
        <v>36</v>
      </c>
      <c r="B610" s="71" t="s">
        <v>29</v>
      </c>
      <c r="C610" s="39" t="s">
        <v>1969</v>
      </c>
      <c r="D610" s="50" t="s">
        <v>764</v>
      </c>
      <c r="E610" s="47">
        <v>45537</v>
      </c>
      <c r="F610" s="31" t="str">
        <f>VLOOKUP($C610,Carpetas!$C$5:$M$2666,2,FALSE)</f>
        <v>BRC003</v>
      </c>
      <c r="G610" s="23" t="str">
        <f>VLOOKUP($C610,Carpetas!$C$5:$M$2666,10,FALSE)</f>
        <v>150,21,89</v>
      </c>
      <c r="H610" s="27" t="str">
        <f>VLOOKUP($C610,Carpetas!$C$5:$M$2666,6,FALSE)</f>
        <v>FG</v>
      </c>
      <c r="I610" s="220"/>
      <c r="J610" s="47">
        <v>45540</v>
      </c>
      <c r="K610" s="72" t="str">
        <f>VLOOKUP($C610,Carpetas!$C$5:$M$2666,5,FALSE)</f>
        <v>Rio Branco</v>
      </c>
      <c r="L610" s="32"/>
      <c r="M610" s="48">
        <f>J610+1</f>
        <v>45541</v>
      </c>
      <c r="N610" s="26">
        <f t="shared" si="34"/>
        <v>4</v>
      </c>
      <c r="O610" s="27">
        <v>990</v>
      </c>
      <c r="P610" s="27">
        <v>990</v>
      </c>
      <c r="Q610" s="27">
        <v>28</v>
      </c>
      <c r="R610" s="27">
        <v>25</v>
      </c>
      <c r="S610" s="27" t="s">
        <v>1970</v>
      </c>
      <c r="T610" s="27"/>
      <c r="U610" s="27"/>
      <c r="V610" s="27" t="s">
        <v>1626</v>
      </c>
      <c r="W610" s="27" t="s">
        <v>1627</v>
      </c>
      <c r="X610" s="73"/>
      <c r="Y610" s="73" t="e">
        <f>VLOOKUP(X610,Choferes!$B$2:$C$500,2,FALSE)</f>
        <v>#N/A</v>
      </c>
      <c r="Z610" s="73" t="s">
        <v>1971</v>
      </c>
    </row>
    <row r="611" spans="1:26" hidden="1" x14ac:dyDescent="0.25">
      <c r="A611" s="33">
        <v>36</v>
      </c>
      <c r="B611" s="71" t="s">
        <v>29</v>
      </c>
      <c r="C611" s="39" t="s">
        <v>1886</v>
      </c>
      <c r="D611" s="50" t="s">
        <v>110</v>
      </c>
      <c r="E611" s="47">
        <v>45538</v>
      </c>
      <c r="F611" s="31" t="str">
        <f>VLOOKUP($C611,Carpetas!$C$5:$M$2666,2,FALSE)</f>
        <v>BRB059</v>
      </c>
      <c r="G611" s="23" t="str">
        <f>VLOOKUP($C611,Carpetas!$C$5:$M$2666,10,FALSE)</f>
        <v>150,11,54</v>
      </c>
      <c r="H611" s="27" t="str">
        <f>VLOOKUP($C611,Carpetas!$C$5:$M$2666,6,FALSE)</f>
        <v>FG</v>
      </c>
      <c r="I611" s="220"/>
      <c r="J611" s="47">
        <f>E611+2</f>
        <v>45540</v>
      </c>
      <c r="K611" s="72" t="str">
        <f>VLOOKUP($C611,Carpetas!$C$5:$M$2666,5,FALSE)</f>
        <v>Rio Branco</v>
      </c>
      <c r="L611" s="32"/>
      <c r="M611" s="48">
        <f>J611+1</f>
        <v>45541</v>
      </c>
      <c r="N611" s="26">
        <f t="shared" si="34"/>
        <v>3</v>
      </c>
      <c r="O611" s="27">
        <v>990</v>
      </c>
      <c r="P611" s="27">
        <v>991</v>
      </c>
      <c r="Q611" s="27">
        <v>28</v>
      </c>
      <c r="R611" s="27">
        <v>25.8</v>
      </c>
      <c r="S611" s="27" t="s">
        <v>1972</v>
      </c>
      <c r="T611" s="27"/>
      <c r="U611" s="27">
        <v>324</v>
      </c>
      <c r="V611" s="27" t="s">
        <v>1649</v>
      </c>
      <c r="W611" s="27" t="s">
        <v>1650</v>
      </c>
      <c r="X611" s="73" t="s">
        <v>1462</v>
      </c>
      <c r="Y611" s="73" t="str">
        <f>VLOOKUP(X611,Choferes!$B$2:$C$500,2,FALSE)</f>
        <v>+5553997081676</v>
      </c>
      <c r="Z611" s="73" t="s">
        <v>1973</v>
      </c>
    </row>
    <row r="612" spans="1:26" hidden="1" x14ac:dyDescent="0.25">
      <c r="A612" s="33">
        <v>36</v>
      </c>
      <c r="B612" s="71" t="s">
        <v>29</v>
      </c>
      <c r="C612" s="39" t="s">
        <v>1974</v>
      </c>
      <c r="D612" s="50" t="s">
        <v>803</v>
      </c>
      <c r="E612" s="47">
        <v>45539</v>
      </c>
      <c r="F612" s="31" t="str">
        <f>VLOOKUP($C612,Carpetas!$C$5:$M$2666,2,FALSE)</f>
        <v>BRB065</v>
      </c>
      <c r="G612" s="23" t="str">
        <f>VLOOKUP($C612,Carpetas!$C$5:$M$2666,10,FALSE)</f>
        <v>150,24,06</v>
      </c>
      <c r="H612" s="27" t="str">
        <f>VLOOKUP($C612,Carpetas!$C$5:$M$2666,6,FALSE)</f>
        <v>FG</v>
      </c>
      <c r="I612" s="220"/>
      <c r="J612" s="47">
        <v>45540</v>
      </c>
      <c r="K612" s="72" t="str">
        <f>VLOOKUP($C612,Carpetas!$C$5:$M$2666,5,FALSE)</f>
        <v>Rio Branco</v>
      </c>
      <c r="L612" s="32"/>
      <c r="M612" s="48">
        <f>J612+1</f>
        <v>45541</v>
      </c>
      <c r="N612" s="26">
        <f t="shared" si="34"/>
        <v>2</v>
      </c>
      <c r="O612" s="27">
        <v>990</v>
      </c>
      <c r="P612" s="27">
        <v>990</v>
      </c>
      <c r="Q612" s="27">
        <v>28</v>
      </c>
      <c r="R612" s="27">
        <v>25</v>
      </c>
      <c r="S612" s="27" t="s">
        <v>1975</v>
      </c>
      <c r="T612" s="27"/>
      <c r="U612" s="27">
        <v>325</v>
      </c>
      <c r="V612" s="27" t="s">
        <v>1657</v>
      </c>
      <c r="W612" s="27" t="s">
        <v>1815</v>
      </c>
      <c r="X612" s="73" t="s">
        <v>1468</v>
      </c>
      <c r="Y612" s="73" t="str">
        <f>VLOOKUP(X612,Choferes!$B$2:$C$500,2,FALSE)</f>
        <v>+5553984274141</v>
      </c>
      <c r="Z612" s="73" t="s">
        <v>1976</v>
      </c>
    </row>
    <row r="613" spans="1:26" hidden="1" x14ac:dyDescent="0.25">
      <c r="A613" s="33">
        <v>36</v>
      </c>
      <c r="B613" s="71" t="s">
        <v>29</v>
      </c>
      <c r="C613" s="39" t="s">
        <v>1974</v>
      </c>
      <c r="D613" s="50" t="s">
        <v>880</v>
      </c>
      <c r="E613" s="47">
        <v>45539</v>
      </c>
      <c r="F613" s="31" t="str">
        <f>VLOOKUP($C613,Carpetas!$C$5:$M$2666,2,FALSE)</f>
        <v>BRB065</v>
      </c>
      <c r="G613" s="23" t="str">
        <f>VLOOKUP($C613,Carpetas!$C$5:$M$2666,10,FALSE)</f>
        <v>150,24,06</v>
      </c>
      <c r="H613" s="27" t="str">
        <f>VLOOKUP($C613,Carpetas!$C$5:$M$2666,6,FALSE)</f>
        <v>FG</v>
      </c>
      <c r="I613" s="220"/>
      <c r="J613" s="47">
        <v>45540</v>
      </c>
      <c r="K613" s="72" t="str">
        <f>VLOOKUP($C613,Carpetas!$C$5:$M$2666,5,FALSE)</f>
        <v>Rio Branco</v>
      </c>
      <c r="L613" s="32"/>
      <c r="M613" s="48">
        <f>J613+1</f>
        <v>45541</v>
      </c>
      <c r="N613" s="26">
        <f t="shared" si="34"/>
        <v>2</v>
      </c>
      <c r="O613" s="27">
        <v>990</v>
      </c>
      <c r="P613" s="27">
        <v>990</v>
      </c>
      <c r="Q613" s="27">
        <v>28</v>
      </c>
      <c r="R613" s="27">
        <v>25.9</v>
      </c>
      <c r="S613" s="27" t="s">
        <v>1977</v>
      </c>
      <c r="T613" s="27"/>
      <c r="U613" s="27">
        <v>326</v>
      </c>
      <c r="V613" s="27" t="s">
        <v>1430</v>
      </c>
      <c r="W613" s="27" t="s">
        <v>1669</v>
      </c>
      <c r="X613" s="73" t="s">
        <v>1923</v>
      </c>
      <c r="Y613" s="73" t="str">
        <f>VLOOKUP(X613,Choferes!$B$2:$C$500,2,FALSE)</f>
        <v>+5553999049426</v>
      </c>
      <c r="Z613" s="73" t="s">
        <v>1978</v>
      </c>
    </row>
    <row r="614" spans="1:26" hidden="1" x14ac:dyDescent="0.25">
      <c r="A614" s="33">
        <v>34</v>
      </c>
      <c r="B614" s="71" t="s">
        <v>29</v>
      </c>
      <c r="C614" s="39" t="s">
        <v>1979</v>
      </c>
      <c r="D614" s="50" t="s">
        <v>38</v>
      </c>
      <c r="E614" s="47">
        <v>45533</v>
      </c>
      <c r="F614" s="31" t="str">
        <f>VLOOKUP($C614,Carpetas!$C$5:$M$2666,2,FALSE)</f>
        <v>BRE026</v>
      </c>
      <c r="G614" s="23" t="str">
        <f>VLOOKUP($C614,Carpetas!$C$5:$M$2666,10,FALSE)</f>
        <v>1500660/1500659/1500661/1500662/1500665</v>
      </c>
      <c r="H614" s="27" t="str">
        <f>VLOOKUP($C614,Carpetas!$C$5:$M$2666,6,FALSE)</f>
        <v>Benini</v>
      </c>
      <c r="I614" s="220">
        <f>VLOOKUP($C614,Carpetas!$C$5:$M$2666,4,FALSE)</f>
        <v>0</v>
      </c>
      <c r="J614" s="47">
        <f>E614+7</f>
        <v>45540</v>
      </c>
      <c r="K614" s="72" t="str">
        <f>VLOOKUP($C614,Carpetas!$C$5:$M$2666,5,FALSE)</f>
        <v>Rio Branco</v>
      </c>
      <c r="L614" s="32"/>
      <c r="M614" s="48">
        <f>J614+1+1</f>
        <v>45542</v>
      </c>
      <c r="N614" s="26">
        <f t="shared" si="34"/>
        <v>9</v>
      </c>
      <c r="O614" s="27">
        <v>1430</v>
      </c>
      <c r="P614" s="27"/>
      <c r="Q614" s="27"/>
      <c r="R614" s="27"/>
      <c r="S614" s="27"/>
      <c r="T614" s="27"/>
      <c r="U614" s="27">
        <v>64</v>
      </c>
      <c r="V614" s="27" t="s">
        <v>1980</v>
      </c>
      <c r="W614" s="27" t="s">
        <v>1981</v>
      </c>
      <c r="X614" s="73"/>
      <c r="Y614" s="73" t="e">
        <f>VLOOKUP(X614,Choferes!$B$2:$C$500,2,FALSE)</f>
        <v>#N/A</v>
      </c>
      <c r="Z614" s="73" t="s">
        <v>1168</v>
      </c>
    </row>
    <row r="615" spans="1:26" hidden="1" x14ac:dyDescent="0.25">
      <c r="A615" s="33">
        <v>36</v>
      </c>
      <c r="B615" s="71" t="s">
        <v>29</v>
      </c>
      <c r="C615" s="39" t="s">
        <v>1952</v>
      </c>
      <c r="D615" s="50" t="s">
        <v>102</v>
      </c>
      <c r="E615" s="47">
        <v>45535</v>
      </c>
      <c r="F615" s="31" t="str">
        <f>VLOOKUP($C615,Carpetas!$C$5:$M$2666,2,FALSE)</f>
        <v>PYB136</v>
      </c>
      <c r="G615" s="23" t="str">
        <f>VLOOKUP($C615,Carpetas!$C$5:$M$2666,10,FALSE)</f>
        <v>150.19,24</v>
      </c>
      <c r="H615" s="27">
        <f>VLOOKUP($C615,Carpetas!$C$5:$M$2666,6,FALSE)</f>
        <v>0</v>
      </c>
      <c r="I615" s="220"/>
      <c r="J615" s="47">
        <v>45540</v>
      </c>
      <c r="K615" s="72" t="str">
        <f>VLOOKUP($C615,Carpetas!$C$5:$M$2666,5,FALSE)</f>
        <v>Salto</v>
      </c>
      <c r="L615" s="32"/>
      <c r="M615" s="48">
        <f>J615+1+1</f>
        <v>45542</v>
      </c>
      <c r="N615" s="26">
        <f t="shared" si="34"/>
        <v>7</v>
      </c>
      <c r="O615" s="27">
        <v>980</v>
      </c>
      <c r="P615" s="27">
        <v>980</v>
      </c>
      <c r="Q615" s="27">
        <v>28</v>
      </c>
      <c r="R615" s="27">
        <v>27.1</v>
      </c>
      <c r="S615" s="27" t="s">
        <v>1982</v>
      </c>
      <c r="T615" s="27"/>
      <c r="U615" s="27"/>
      <c r="V615" s="27" t="s">
        <v>490</v>
      </c>
      <c r="W615" s="27" t="s">
        <v>491</v>
      </c>
      <c r="X615" s="73"/>
      <c r="Y615" s="73" t="e">
        <f>VLOOKUP(X615,Choferes!$B$2:$C$500,2,FALSE)</f>
        <v>#N/A</v>
      </c>
      <c r="Z615" s="73" t="s">
        <v>1983</v>
      </c>
    </row>
    <row r="616" spans="1:26" hidden="1" x14ac:dyDescent="0.25">
      <c r="A616" s="33">
        <v>35</v>
      </c>
      <c r="B616" s="71" t="s">
        <v>29</v>
      </c>
      <c r="C616" s="39" t="s">
        <v>1909</v>
      </c>
      <c r="D616" s="50" t="s">
        <v>1757</v>
      </c>
      <c r="E616" s="47">
        <v>45535</v>
      </c>
      <c r="F616" s="31" t="str">
        <f>VLOOKUP($C616,Carpetas!$C$5:$M$2666,2,FALSE)</f>
        <v>BRB061</v>
      </c>
      <c r="G616" s="23" t="str">
        <f>VLOOKUP($C616,Carpetas!$C$5:$M$2666,10,FALSE)</f>
        <v>150,13,59</v>
      </c>
      <c r="H616" s="27" t="str">
        <f>VLOOKUP($C616,Carpetas!$C$5:$M$2666,6,FALSE)</f>
        <v xml:space="preserve">Silvio </v>
      </c>
      <c r="I616" s="220"/>
      <c r="J616" s="47">
        <v>45541</v>
      </c>
      <c r="K616" s="72" t="str">
        <f>VLOOKUP($C616,Carpetas!$C$5:$M$2666,5,FALSE)</f>
        <v>Rio Branco</v>
      </c>
      <c r="L616" s="32"/>
      <c r="M616" s="48">
        <f t="shared" ref="M616:M626" si="37">J616+1</f>
        <v>45542</v>
      </c>
      <c r="N616" s="26">
        <f t="shared" si="34"/>
        <v>7</v>
      </c>
      <c r="O616" s="27">
        <v>936</v>
      </c>
      <c r="P616" s="27">
        <v>936</v>
      </c>
      <c r="Q616" s="27">
        <v>26</v>
      </c>
      <c r="R616" s="27">
        <v>24.5</v>
      </c>
      <c r="S616" s="27" t="s">
        <v>1984</v>
      </c>
      <c r="T616" s="27"/>
      <c r="U616" s="27">
        <v>7090</v>
      </c>
      <c r="V616" s="27" t="s">
        <v>1985</v>
      </c>
      <c r="W616" s="27" t="s">
        <v>1986</v>
      </c>
      <c r="X616" s="73"/>
      <c r="Y616" s="73" t="e">
        <f>VLOOKUP(X616,Choferes!$B$2:$C$500,2,FALSE)</f>
        <v>#N/A</v>
      </c>
      <c r="Z616" s="73" t="s">
        <v>1987</v>
      </c>
    </row>
    <row r="617" spans="1:26" hidden="1" x14ac:dyDescent="0.25">
      <c r="A617" s="33">
        <v>36</v>
      </c>
      <c r="B617" s="71" t="s">
        <v>29</v>
      </c>
      <c r="C617" s="39" t="s">
        <v>1942</v>
      </c>
      <c r="D617" s="50" t="s">
        <v>78</v>
      </c>
      <c r="E617" s="47">
        <v>45539</v>
      </c>
      <c r="F617" s="31" t="str">
        <f>VLOOKUP($C617,Carpetas!$C$5:$M$2666,2,FALSE)</f>
        <v>BRB062</v>
      </c>
      <c r="G617" s="23" t="str">
        <f>VLOOKUP($C617,Carpetas!$C$5:$M$2666,10,FALSE)</f>
        <v>150,18,70</v>
      </c>
      <c r="H617" s="27" t="str">
        <f>VLOOKUP($C617,Carpetas!$C$5:$M$2666,6,FALSE)</f>
        <v>Amaro</v>
      </c>
      <c r="I617" s="220"/>
      <c r="J617" s="47">
        <f t="shared" ref="J617:J622" si="38">E617+2</f>
        <v>45541</v>
      </c>
      <c r="K617" s="72" t="str">
        <f>VLOOKUP($C617,Carpetas!$C$5:$M$2666,5,FALSE)</f>
        <v>Rio Branco</v>
      </c>
      <c r="L617" s="32"/>
      <c r="M617" s="48">
        <f t="shared" si="37"/>
        <v>45542</v>
      </c>
      <c r="N617" s="26">
        <f t="shared" si="34"/>
        <v>3</v>
      </c>
      <c r="O617" s="27">
        <v>990</v>
      </c>
      <c r="P617" s="27">
        <v>991</v>
      </c>
      <c r="Q617" s="27">
        <v>28</v>
      </c>
      <c r="R617" s="27">
        <v>25.5</v>
      </c>
      <c r="S617" s="27" t="s">
        <v>1988</v>
      </c>
      <c r="T617" s="27"/>
      <c r="U617" s="27">
        <v>24549</v>
      </c>
      <c r="V617" s="27" t="s">
        <v>1617</v>
      </c>
      <c r="W617" s="27" t="s">
        <v>1618</v>
      </c>
      <c r="X617" s="73" t="s">
        <v>1619</v>
      </c>
      <c r="Y617" s="73" t="str">
        <f>VLOOKUP(X617,Choferes!$B$2:$C$500,2,FALSE)</f>
        <v>+5553984318842</v>
      </c>
      <c r="Z617" s="73" t="s">
        <v>1989</v>
      </c>
    </row>
    <row r="618" spans="1:26" hidden="1" x14ac:dyDescent="0.25">
      <c r="A618" s="33">
        <v>36</v>
      </c>
      <c r="B618" s="71" t="s">
        <v>298</v>
      </c>
      <c r="C618" s="39" t="s">
        <v>299</v>
      </c>
      <c r="D618" s="50" t="s">
        <v>110</v>
      </c>
      <c r="E618" s="47">
        <v>45541</v>
      </c>
      <c r="F618" s="31" t="str">
        <f>VLOOKUP($C618,Carpetas!$C$5:$M$2666,2,FALSE)</f>
        <v>BRB</v>
      </c>
      <c r="G618" s="23" t="e">
        <f>VLOOKUP($C618,Carpetas!$C$5:$M$2666,9,FALSE)</f>
        <v>#REF!</v>
      </c>
      <c r="H618" s="27" t="str">
        <f>VLOOKUP($C618,Carpetas!$C$5:$M$2666,5,FALSE)</f>
        <v>xx</v>
      </c>
      <c r="I618" s="220"/>
      <c r="J618" s="47">
        <f t="shared" si="38"/>
        <v>45543</v>
      </c>
      <c r="K618" s="72">
        <f>VLOOKUP($C618,Carpetas!$C$5:$M$2666,4,FALSE)</f>
        <v>0</v>
      </c>
      <c r="L618" s="32"/>
      <c r="M618" s="48">
        <f t="shared" si="37"/>
        <v>45544</v>
      </c>
      <c r="N618" s="26">
        <f t="shared" si="34"/>
        <v>3</v>
      </c>
      <c r="O618" s="27">
        <v>990</v>
      </c>
      <c r="P618" s="27"/>
      <c r="Q618" s="27"/>
      <c r="R618" s="27"/>
      <c r="S618" s="27"/>
      <c r="T618" s="27"/>
      <c r="U618" s="27"/>
      <c r="V618" s="27"/>
      <c r="W618" s="27"/>
      <c r="X618" s="73"/>
      <c r="Y618" s="73" t="e">
        <f>VLOOKUP(X618,Choferes!$B$2:$C$500,2,FALSE)</f>
        <v>#N/A</v>
      </c>
      <c r="Z618" s="73"/>
    </row>
    <row r="619" spans="1:26" hidden="1" x14ac:dyDescent="0.25">
      <c r="A619" s="33">
        <v>36</v>
      </c>
      <c r="B619" s="71" t="s">
        <v>298</v>
      </c>
      <c r="C619" s="39" t="s">
        <v>299</v>
      </c>
      <c r="D619" s="50" t="s">
        <v>953</v>
      </c>
      <c r="E619" s="47">
        <v>45541</v>
      </c>
      <c r="F619" s="31" t="str">
        <f>VLOOKUP($C619,Carpetas!$C$5:$M$2666,2,FALSE)</f>
        <v>BRB</v>
      </c>
      <c r="G619" s="23" t="e">
        <f>VLOOKUP($C619,Carpetas!$C$5:$M$2666,9,FALSE)</f>
        <v>#REF!</v>
      </c>
      <c r="H619" s="27" t="str">
        <f>VLOOKUP($C619,Carpetas!$C$5:$M$2666,5,FALSE)</f>
        <v>xx</v>
      </c>
      <c r="I619" s="220"/>
      <c r="J619" s="47">
        <f t="shared" si="38"/>
        <v>45543</v>
      </c>
      <c r="K619" s="72">
        <f>VLOOKUP($C619,Carpetas!$C$5:$M$2666,4,FALSE)</f>
        <v>0</v>
      </c>
      <c r="L619" s="32"/>
      <c r="M619" s="48">
        <f t="shared" si="37"/>
        <v>45544</v>
      </c>
      <c r="N619" s="26">
        <f t="shared" si="34"/>
        <v>3</v>
      </c>
      <c r="O619" s="27">
        <v>990</v>
      </c>
      <c r="P619" s="27"/>
      <c r="Q619" s="27"/>
      <c r="R619" s="27"/>
      <c r="S619" s="27"/>
      <c r="T619" s="27"/>
      <c r="U619" s="27"/>
      <c r="V619" s="27"/>
      <c r="W619" s="27"/>
      <c r="X619" s="73"/>
      <c r="Y619" s="73" t="e">
        <f>VLOOKUP(X619,Choferes!$B$2:$C$500,2,FALSE)</f>
        <v>#N/A</v>
      </c>
      <c r="Z619" s="73"/>
    </row>
    <row r="620" spans="1:26" ht="30" hidden="1" x14ac:dyDescent="0.25">
      <c r="A620" s="33">
        <v>36</v>
      </c>
      <c r="B620" s="71" t="s">
        <v>29</v>
      </c>
      <c r="C620" s="39" t="s">
        <v>1942</v>
      </c>
      <c r="D620" s="50" t="s">
        <v>249</v>
      </c>
      <c r="E620" s="47">
        <v>45541</v>
      </c>
      <c r="F620" s="31" t="str">
        <f>VLOOKUP($C620,Carpetas!$C$5:$M$2666,2,FALSE)</f>
        <v>BRB062</v>
      </c>
      <c r="G620" s="23" t="str">
        <f>VLOOKUP($C620,Carpetas!$C$5:$M$2666,10,FALSE)</f>
        <v>150,18,70</v>
      </c>
      <c r="H620" s="27" t="str">
        <f>VLOOKUP($C620,Carpetas!$C$5:$M$2666,6,FALSE)</f>
        <v>Amaro</v>
      </c>
      <c r="I620" s="220"/>
      <c r="J620" s="47">
        <f t="shared" si="38"/>
        <v>45543</v>
      </c>
      <c r="K620" s="72" t="str">
        <f>VLOOKUP($C620,Carpetas!$C$5:$M$2666,5,FALSE)</f>
        <v>Rio Branco</v>
      </c>
      <c r="L620" s="32"/>
      <c r="M620" s="48">
        <f t="shared" si="37"/>
        <v>45544</v>
      </c>
      <c r="N620" s="26">
        <f t="shared" si="34"/>
        <v>3</v>
      </c>
      <c r="O620" s="27">
        <v>990</v>
      </c>
      <c r="P620" s="27">
        <v>991</v>
      </c>
      <c r="Q620" s="27">
        <v>28</v>
      </c>
      <c r="R620" s="27">
        <v>24.1</v>
      </c>
      <c r="S620" s="27" t="s">
        <v>1990</v>
      </c>
      <c r="T620" s="27"/>
      <c r="U620" s="27">
        <v>24574</v>
      </c>
      <c r="V620" s="27" t="s">
        <v>1991</v>
      </c>
      <c r="W620" s="27" t="s">
        <v>1992</v>
      </c>
      <c r="X620" s="73"/>
      <c r="Y620" s="73" t="e">
        <f>VLOOKUP(X620,Choferes!$B$2:$C$500,2,FALSE)</f>
        <v>#N/A</v>
      </c>
      <c r="Z620" s="73" t="s">
        <v>1993</v>
      </c>
    </row>
    <row r="621" spans="1:26" hidden="1" x14ac:dyDescent="0.25">
      <c r="A621" s="33">
        <v>36</v>
      </c>
      <c r="B621" s="71" t="s">
        <v>29</v>
      </c>
      <c r="C621" s="39" t="s">
        <v>1974</v>
      </c>
      <c r="D621" s="50" t="s">
        <v>747</v>
      </c>
      <c r="E621" s="47">
        <v>45541</v>
      </c>
      <c r="F621" s="31" t="str">
        <f>VLOOKUP($C621,Carpetas!$C$5:$M$2666,2,FALSE)</f>
        <v>BRB065</v>
      </c>
      <c r="G621" s="23" t="str">
        <f>VLOOKUP($C621,Carpetas!$C$5:$M$2666,10,FALSE)</f>
        <v>150,24,06</v>
      </c>
      <c r="H621" s="27" t="str">
        <f>VLOOKUP($C621,Carpetas!$C$5:$M$2666,6,FALSE)</f>
        <v>FG</v>
      </c>
      <c r="I621" s="220"/>
      <c r="J621" s="47">
        <f t="shared" si="38"/>
        <v>45543</v>
      </c>
      <c r="K621" s="72" t="str">
        <f>VLOOKUP($C621,Carpetas!$C$5:$M$2666,5,FALSE)</f>
        <v>Rio Branco</v>
      </c>
      <c r="L621" s="32"/>
      <c r="M621" s="48">
        <f t="shared" si="37"/>
        <v>45544</v>
      </c>
      <c r="N621" s="26">
        <f t="shared" si="34"/>
        <v>3</v>
      </c>
      <c r="O621" s="27">
        <v>990</v>
      </c>
      <c r="P621" s="27">
        <v>991</v>
      </c>
      <c r="Q621" s="27">
        <v>28</v>
      </c>
      <c r="R621" s="27">
        <v>26.1</v>
      </c>
      <c r="S621" s="27" t="s">
        <v>1994</v>
      </c>
      <c r="T621" s="27"/>
      <c r="U621" s="27">
        <v>328</v>
      </c>
      <c r="V621" s="27" t="s">
        <v>1726</v>
      </c>
      <c r="W621" s="27" t="s">
        <v>1646</v>
      </c>
      <c r="X621" s="73" t="s">
        <v>1576</v>
      </c>
      <c r="Y621" s="73" t="str">
        <f>VLOOKUP(X621,Choferes!$B$2:$C$500,2,FALSE)</f>
        <v>+55119971489722</v>
      </c>
      <c r="Z621" s="73" t="s">
        <v>1995</v>
      </c>
    </row>
    <row r="622" spans="1:26" hidden="1" x14ac:dyDescent="0.25">
      <c r="A622" s="33">
        <v>36</v>
      </c>
      <c r="B622" s="71" t="s">
        <v>29</v>
      </c>
      <c r="C622" s="39" t="s">
        <v>1969</v>
      </c>
      <c r="D622" s="50" t="s">
        <v>764</v>
      </c>
      <c r="E622" s="47">
        <v>45541</v>
      </c>
      <c r="F622" s="31" t="str">
        <f>VLOOKUP($C622,Carpetas!$C$5:$M$2666,2,FALSE)</f>
        <v>BRC003</v>
      </c>
      <c r="G622" s="23" t="str">
        <f>VLOOKUP($C622,Carpetas!$C$5:$M$2666,10,FALSE)</f>
        <v>150,21,89</v>
      </c>
      <c r="H622" s="27" t="str">
        <f>VLOOKUP($C622,Carpetas!$C$5:$M$2666,6,FALSE)</f>
        <v>FG</v>
      </c>
      <c r="I622" s="220"/>
      <c r="J622" s="47">
        <f t="shared" si="38"/>
        <v>45543</v>
      </c>
      <c r="K622" s="72" t="str">
        <f>VLOOKUP($C622,Carpetas!$C$5:$M$2666,5,FALSE)</f>
        <v>Rio Branco</v>
      </c>
      <c r="L622" s="32"/>
      <c r="M622" s="48">
        <f t="shared" si="37"/>
        <v>45544</v>
      </c>
      <c r="N622" s="26">
        <f t="shared" si="34"/>
        <v>3</v>
      </c>
      <c r="O622" s="27">
        <v>990</v>
      </c>
      <c r="P622" s="27">
        <v>990</v>
      </c>
      <c r="Q622" s="27">
        <v>28</v>
      </c>
      <c r="R622" s="27">
        <v>26.9</v>
      </c>
      <c r="S622" s="27" t="s">
        <v>1996</v>
      </c>
      <c r="T622" s="27"/>
      <c r="U622" s="27"/>
      <c r="V622" s="27" t="s">
        <v>1636</v>
      </c>
      <c r="W622" s="27" t="s">
        <v>1637</v>
      </c>
      <c r="X622" s="73"/>
      <c r="Y622" s="73" t="e">
        <f>VLOOKUP(X622,Choferes!$B$2:$C$500,2,FALSE)</f>
        <v>#N/A</v>
      </c>
      <c r="Z622" s="73" t="s">
        <v>1997</v>
      </c>
    </row>
    <row r="623" spans="1:26" hidden="1" x14ac:dyDescent="0.25">
      <c r="A623" s="33">
        <v>36</v>
      </c>
      <c r="B623" s="71" t="s">
        <v>29</v>
      </c>
      <c r="C623" s="39" t="s">
        <v>1998</v>
      </c>
      <c r="D623" s="50" t="s">
        <v>1757</v>
      </c>
      <c r="E623" s="47">
        <v>45541</v>
      </c>
      <c r="F623" s="31" t="str">
        <f>VLOOKUP($C623,Carpetas!$C$5:$M$2666,2,FALSE)</f>
        <v>BRB064</v>
      </c>
      <c r="G623" s="23" t="str">
        <f>VLOOKUP($C623,Carpetas!$C$5:$M$2666,10,FALSE)</f>
        <v>150,24,07</v>
      </c>
      <c r="H623" s="27" t="str">
        <f>VLOOKUP($C623,Carpetas!$C$5:$M$2666,6,FALSE)</f>
        <v>Dallog</v>
      </c>
      <c r="I623" s="220"/>
      <c r="J623" s="47">
        <v>45545</v>
      </c>
      <c r="K623" s="72" t="str">
        <f>VLOOKUP($C623,Carpetas!$C$5:$M$2666,5,FALSE)</f>
        <v>Rio Branco</v>
      </c>
      <c r="L623" s="32"/>
      <c r="M623" s="48">
        <f t="shared" si="37"/>
        <v>45546</v>
      </c>
      <c r="N623" s="26">
        <f t="shared" si="34"/>
        <v>5</v>
      </c>
      <c r="O623" s="27">
        <v>936</v>
      </c>
      <c r="P623" s="27">
        <v>936</v>
      </c>
      <c r="Q623" s="27">
        <v>26</v>
      </c>
      <c r="R623" s="27">
        <v>25.2</v>
      </c>
      <c r="S623" s="27" t="s">
        <v>1999</v>
      </c>
      <c r="T623" s="27"/>
      <c r="U623" s="27">
        <v>502</v>
      </c>
      <c r="V623" s="27" t="s">
        <v>2000</v>
      </c>
      <c r="W623" s="27" t="s">
        <v>2001</v>
      </c>
      <c r="X623" s="73"/>
      <c r="Y623" s="73" t="e">
        <f>VLOOKUP(X623,Choferes!$B$2:$C$500,2,FALSE)</f>
        <v>#N/A</v>
      </c>
      <c r="Z623" s="73" t="s">
        <v>2002</v>
      </c>
    </row>
    <row r="624" spans="1:26" hidden="1" x14ac:dyDescent="0.25">
      <c r="A624" s="33">
        <v>36</v>
      </c>
      <c r="B624" s="71" t="s">
        <v>29</v>
      </c>
      <c r="C624" s="39" t="s">
        <v>1998</v>
      </c>
      <c r="D624" s="50" t="s">
        <v>1757</v>
      </c>
      <c r="E624" s="47">
        <v>45539</v>
      </c>
      <c r="F624" s="31" t="str">
        <f>VLOOKUP($C624,Carpetas!$C$5:$M$2666,2,FALSE)</f>
        <v>BRB064</v>
      </c>
      <c r="G624" s="23" t="str">
        <f>VLOOKUP($C624,Carpetas!$C$5:$M$2666,10,FALSE)</f>
        <v>150,24,07</v>
      </c>
      <c r="H624" s="27" t="str">
        <f>VLOOKUP($C624,Carpetas!$C$5:$M$2666,6,FALSE)</f>
        <v>Dallog</v>
      </c>
      <c r="I624" s="220"/>
      <c r="J624" s="47">
        <f>E624+7</f>
        <v>45546</v>
      </c>
      <c r="K624" s="72" t="str">
        <f>VLOOKUP($C624,Carpetas!$C$5:$M$2666,5,FALSE)</f>
        <v>Rio Branco</v>
      </c>
      <c r="L624" s="32"/>
      <c r="M624" s="48">
        <f t="shared" si="37"/>
        <v>45547</v>
      </c>
      <c r="N624" s="26">
        <f t="shared" si="34"/>
        <v>8</v>
      </c>
      <c r="O624" s="27">
        <v>936</v>
      </c>
      <c r="P624" s="27">
        <v>936</v>
      </c>
      <c r="Q624" s="27">
        <v>26</v>
      </c>
      <c r="R624" s="27">
        <v>24.5</v>
      </c>
      <c r="S624" s="27" t="s">
        <v>2003</v>
      </c>
      <c r="T624" s="27"/>
      <c r="U624" s="27">
        <v>499</v>
      </c>
      <c r="V624" s="27" t="s">
        <v>2004</v>
      </c>
      <c r="W624" s="27" t="s">
        <v>2005</v>
      </c>
      <c r="X624" s="73"/>
      <c r="Y624" s="73" t="e">
        <f>VLOOKUP(X624,Choferes!$B$2:$C$500,2,FALSE)</f>
        <v>#N/A</v>
      </c>
      <c r="Z624" s="73" t="s">
        <v>2006</v>
      </c>
    </row>
    <row r="625" spans="1:26" hidden="1" x14ac:dyDescent="0.25">
      <c r="A625" s="33">
        <v>37</v>
      </c>
      <c r="B625" s="71" t="s">
        <v>29</v>
      </c>
      <c r="C625" s="39" t="s">
        <v>1942</v>
      </c>
      <c r="D625" s="50" t="s">
        <v>110</v>
      </c>
      <c r="E625" s="47">
        <v>45545</v>
      </c>
      <c r="F625" s="31" t="str">
        <f>VLOOKUP($C625,Carpetas!$C$5:$M$2666,2,FALSE)</f>
        <v>BRB062</v>
      </c>
      <c r="G625" s="23" t="str">
        <f>VLOOKUP($C625,Carpetas!$C$5:$M$2666,10,FALSE)</f>
        <v>150,18,70</v>
      </c>
      <c r="H625" s="27" t="str">
        <f>VLOOKUP($C625,Carpetas!$C$5:$M$2666,6,FALSE)</f>
        <v>Amaro</v>
      </c>
      <c r="I625" s="220"/>
      <c r="J625" s="47">
        <v>45546</v>
      </c>
      <c r="K625" s="72" t="str">
        <f>VLOOKUP($C625,Carpetas!$C$5:$M$2666,5,FALSE)</f>
        <v>Rio Branco</v>
      </c>
      <c r="L625" s="32"/>
      <c r="M625" s="48">
        <f t="shared" si="37"/>
        <v>45547</v>
      </c>
      <c r="N625" s="26">
        <f t="shared" si="34"/>
        <v>2</v>
      </c>
      <c r="O625" s="27">
        <v>990</v>
      </c>
      <c r="P625" s="27">
        <v>991</v>
      </c>
      <c r="Q625" s="27">
        <v>28</v>
      </c>
      <c r="R625" s="27">
        <v>27</v>
      </c>
      <c r="S625" s="27" t="s">
        <v>2007</v>
      </c>
      <c r="T625" s="27"/>
      <c r="U625" s="27">
        <v>24588</v>
      </c>
      <c r="V625" s="27" t="s">
        <v>1657</v>
      </c>
      <c r="W625" s="27" t="s">
        <v>1815</v>
      </c>
      <c r="X625" s="73" t="s">
        <v>1468</v>
      </c>
      <c r="Y625" s="73" t="str">
        <f>VLOOKUP(X625,Choferes!$B$2:$C$500,2,FALSE)</f>
        <v>+5553984274141</v>
      </c>
      <c r="Z625" s="73" t="s">
        <v>2008</v>
      </c>
    </row>
    <row r="626" spans="1:26" hidden="1" x14ac:dyDescent="0.25">
      <c r="A626" s="33">
        <v>37</v>
      </c>
      <c r="B626" s="71" t="s">
        <v>29</v>
      </c>
      <c r="C626" s="39" t="s">
        <v>1974</v>
      </c>
      <c r="D626" s="50" t="s">
        <v>747</v>
      </c>
      <c r="E626" s="47">
        <v>45546</v>
      </c>
      <c r="F626" s="31" t="str">
        <f>VLOOKUP($C626,Carpetas!$C$5:$M$2666,2,FALSE)</f>
        <v>BRB065</v>
      </c>
      <c r="G626" s="23" t="str">
        <f>VLOOKUP($C626,Carpetas!$C$5:$M$2666,10,FALSE)</f>
        <v>150,24,06</v>
      </c>
      <c r="H626" s="27" t="str">
        <f>VLOOKUP($C626,Carpetas!$C$5:$M$2666,6,FALSE)</f>
        <v>FG</v>
      </c>
      <c r="I626" s="220"/>
      <c r="J626" s="47">
        <v>45547</v>
      </c>
      <c r="K626" s="72" t="str">
        <f>VLOOKUP($C626,Carpetas!$C$5:$M$2666,5,FALSE)</f>
        <v>Rio Branco</v>
      </c>
      <c r="L626" s="32"/>
      <c r="M626" s="48">
        <f t="shared" si="37"/>
        <v>45548</v>
      </c>
      <c r="N626" s="26">
        <f t="shared" si="34"/>
        <v>2</v>
      </c>
      <c r="O626" s="27">
        <v>990</v>
      </c>
      <c r="P626" s="27">
        <v>990</v>
      </c>
      <c r="Q626" s="27">
        <v>28</v>
      </c>
      <c r="R626" s="27">
        <v>25.9</v>
      </c>
      <c r="S626" s="27" t="s">
        <v>2009</v>
      </c>
      <c r="T626" s="27"/>
      <c r="U626" s="27">
        <v>333</v>
      </c>
      <c r="V626" s="27" t="s">
        <v>1430</v>
      </c>
      <c r="W626" s="27" t="s">
        <v>1669</v>
      </c>
      <c r="X626" s="73" t="s">
        <v>1923</v>
      </c>
      <c r="Y626" s="73" t="str">
        <f>VLOOKUP(X626,Choferes!$B$2:$C$500,2,FALSE)</f>
        <v>+5553999049426</v>
      </c>
      <c r="Z626" s="73" t="s">
        <v>2010</v>
      </c>
    </row>
    <row r="627" spans="1:26" hidden="1" x14ac:dyDescent="0.25">
      <c r="A627" s="33">
        <v>35</v>
      </c>
      <c r="B627" s="71" t="s">
        <v>29</v>
      </c>
      <c r="C627" s="39" t="s">
        <v>2011</v>
      </c>
      <c r="D627" s="50" t="s">
        <v>38</v>
      </c>
      <c r="E627" s="47">
        <v>45540</v>
      </c>
      <c r="F627" s="31" t="str">
        <f>VLOOKUP($C627,Carpetas!$C$5:$M$2666,2,FALSE)</f>
        <v>BRE027</v>
      </c>
      <c r="G627" s="23" t="str">
        <f>VLOOKUP($C627,Carpetas!$C$5:$M$2666,10,FALSE)</f>
        <v>150.03.69</v>
      </c>
      <c r="H627" s="27" t="str">
        <f>VLOOKUP($C627,Carpetas!$C$5:$M$2666,6,FALSE)</f>
        <v xml:space="preserve">Silvio </v>
      </c>
      <c r="I627" s="220">
        <f>VLOOKUP($C627,Carpetas!$C$5:$M$2666,4,FALSE)</f>
        <v>0</v>
      </c>
      <c r="J627" s="47">
        <v>45547</v>
      </c>
      <c r="K627" s="72" t="str">
        <f>VLOOKUP($C627,Carpetas!$C$5:$M$2666,5,FALSE)</f>
        <v>Chuy</v>
      </c>
      <c r="L627" s="32"/>
      <c r="M627" s="48">
        <f>J627+1+1</f>
        <v>45549</v>
      </c>
      <c r="N627" s="26">
        <f t="shared" si="34"/>
        <v>9</v>
      </c>
      <c r="O627" s="27">
        <v>2079</v>
      </c>
      <c r="P627" s="27"/>
      <c r="Q627" s="27"/>
      <c r="R627" s="27"/>
      <c r="S627" s="27"/>
      <c r="T627" s="27"/>
      <c r="U627" s="27"/>
      <c r="V627" s="27"/>
      <c r="W627" s="27"/>
      <c r="X627" s="73"/>
      <c r="Y627" s="73" t="e">
        <f>VLOOKUP(X627,Choferes!$B$2:$C$500,2,FALSE)</f>
        <v>#N/A</v>
      </c>
      <c r="Z627" s="73" t="s">
        <v>616</v>
      </c>
    </row>
    <row r="628" spans="1:26" hidden="1" x14ac:dyDescent="0.25">
      <c r="A628" s="33">
        <v>37</v>
      </c>
      <c r="B628" s="71" t="s">
        <v>29</v>
      </c>
      <c r="C628" s="39" t="s">
        <v>2012</v>
      </c>
      <c r="D628" s="50" t="s">
        <v>102</v>
      </c>
      <c r="E628" s="47">
        <v>45544</v>
      </c>
      <c r="F628" s="31" t="str">
        <f>VLOOKUP($C628,Carpetas!$C$5:$M$2666,2,FALSE)</f>
        <v>PYB138</v>
      </c>
      <c r="G628" s="23" t="str">
        <f>VLOOKUP($C628,Carpetas!$C$5:$M$2666,10,FALSE)</f>
        <v>150,29,29</v>
      </c>
      <c r="H628" s="27">
        <f>VLOOKUP($C628,Carpetas!$C$5:$M$2666,6,FALSE)</f>
        <v>0</v>
      </c>
      <c r="I628" s="220"/>
      <c r="J628" s="47">
        <v>45547</v>
      </c>
      <c r="K628" s="72" t="str">
        <f>VLOOKUP($C628,Carpetas!$C$5:$M$2666,5,FALSE)</f>
        <v>Salto</v>
      </c>
      <c r="L628" s="32"/>
      <c r="M628" s="48">
        <f>J628+1+1</f>
        <v>45549</v>
      </c>
      <c r="N628" s="26">
        <f t="shared" si="34"/>
        <v>5</v>
      </c>
      <c r="O628" s="27">
        <v>980</v>
      </c>
      <c r="P628" s="27">
        <v>981</v>
      </c>
      <c r="Q628" s="27">
        <v>28</v>
      </c>
      <c r="R628" s="27">
        <v>26.4</v>
      </c>
      <c r="S628" s="27" t="s">
        <v>2013</v>
      </c>
      <c r="T628" s="27"/>
      <c r="U628" s="27"/>
      <c r="V628" s="27" t="s">
        <v>288</v>
      </c>
      <c r="W628" s="27" t="s">
        <v>289</v>
      </c>
      <c r="X628" s="73"/>
      <c r="Y628" s="73" t="e">
        <f>VLOOKUP(X628,Choferes!$B$2:$C$500,2,FALSE)</f>
        <v>#N/A</v>
      </c>
      <c r="Z628" s="73" t="s">
        <v>2014</v>
      </c>
    </row>
    <row r="629" spans="1:26" hidden="1" x14ac:dyDescent="0.25">
      <c r="A629" s="33">
        <v>37</v>
      </c>
      <c r="B629" s="71" t="s">
        <v>29</v>
      </c>
      <c r="C629" s="39" t="s">
        <v>2015</v>
      </c>
      <c r="D629" s="50" t="s">
        <v>48</v>
      </c>
      <c r="E629" s="47">
        <v>45544</v>
      </c>
      <c r="F629" s="31" t="str">
        <f>VLOOKUP($C629,Carpetas!$C$5:$M$2666,2,FALSE)</f>
        <v>PYB137</v>
      </c>
      <c r="G629" s="23" t="str">
        <f>VLOOKUP($C629,Carpetas!$C$5:$M$2666,10,FALSE)</f>
        <v>150,30,94</v>
      </c>
      <c r="H629" s="27">
        <f>VLOOKUP($C629,Carpetas!$C$5:$M$2666,6,FALSE)</f>
        <v>0</v>
      </c>
      <c r="I629" s="220"/>
      <c r="J629" s="47">
        <v>45547</v>
      </c>
      <c r="K629" s="72" t="str">
        <f>VLOOKUP($C629,Carpetas!$C$5:$M$2666,5,FALSE)</f>
        <v>Salto</v>
      </c>
      <c r="L629" s="32"/>
      <c r="M629" s="48">
        <f>J629+1+1</f>
        <v>45549</v>
      </c>
      <c r="N629" s="26">
        <f t="shared" si="34"/>
        <v>5</v>
      </c>
      <c r="O629" s="27">
        <v>930</v>
      </c>
      <c r="P629" s="27">
        <v>930</v>
      </c>
      <c r="Q629" s="27">
        <v>26</v>
      </c>
      <c r="R629" s="27">
        <v>26.9</v>
      </c>
      <c r="S629" s="27" t="s">
        <v>2016</v>
      </c>
      <c r="T629" s="27"/>
      <c r="U629" s="27"/>
      <c r="V629" s="27" t="s">
        <v>98</v>
      </c>
      <c r="W629" s="27" t="s">
        <v>1021</v>
      </c>
      <c r="X629" s="73"/>
      <c r="Y629" s="73" t="e">
        <f>VLOOKUP(X629,Choferes!$B$2:$C$500,2,FALSE)</f>
        <v>#N/A</v>
      </c>
      <c r="Z629" s="73" t="s">
        <v>2017</v>
      </c>
    </row>
    <row r="630" spans="1:26" hidden="1" x14ac:dyDescent="0.25">
      <c r="A630" s="33">
        <v>37</v>
      </c>
      <c r="B630" s="71" t="s">
        <v>29</v>
      </c>
      <c r="C630" s="39" t="s">
        <v>1961</v>
      </c>
      <c r="D630" s="50" t="s">
        <v>953</v>
      </c>
      <c r="E630" s="47">
        <v>45546</v>
      </c>
      <c r="F630" s="31" t="str">
        <f>VLOOKUP($C630,Carpetas!$C$5:$M$2666,2,FALSE)</f>
        <v>BRB063</v>
      </c>
      <c r="G630" s="23" t="str">
        <f>VLOOKUP($C630,Carpetas!$C$5:$M$2666,10,FALSE)</f>
        <v>150,24,08</v>
      </c>
      <c r="H630" s="27" t="str">
        <f>VLOOKUP($C630,Carpetas!$C$5:$M$2666,6,FALSE)</f>
        <v xml:space="preserve">Silvio </v>
      </c>
      <c r="I630" s="220"/>
      <c r="J630" s="47">
        <f>E630+2</f>
        <v>45548</v>
      </c>
      <c r="K630" s="72" t="str">
        <f>VLOOKUP($C630,Carpetas!$C$5:$M$2666,5,FALSE)</f>
        <v>Rio Branco</v>
      </c>
      <c r="L630" s="32"/>
      <c r="M630" s="48">
        <f t="shared" ref="M630:M656" si="39">J630+1</f>
        <v>45549</v>
      </c>
      <c r="N630" s="26">
        <f t="shared" si="34"/>
        <v>3</v>
      </c>
      <c r="O630" s="27">
        <v>918</v>
      </c>
      <c r="P630" s="27">
        <v>918</v>
      </c>
      <c r="Q630" s="27">
        <v>26</v>
      </c>
      <c r="R630" s="27">
        <v>27.3</v>
      </c>
      <c r="S630" s="27" t="s">
        <v>2018</v>
      </c>
      <c r="T630" s="27"/>
      <c r="U630" s="27">
        <v>7095</v>
      </c>
      <c r="V630" s="27" t="s">
        <v>452</v>
      </c>
      <c r="W630" s="27" t="s">
        <v>453</v>
      </c>
      <c r="X630" s="73"/>
      <c r="Y630" s="73" t="e">
        <f>VLOOKUP(X630,Choferes!$B$2:$C$500,2,FALSE)</f>
        <v>#N/A</v>
      </c>
      <c r="Z630" s="73" t="s">
        <v>2019</v>
      </c>
    </row>
    <row r="631" spans="1:26" hidden="1" x14ac:dyDescent="0.25">
      <c r="A631" s="33">
        <v>37</v>
      </c>
      <c r="B631" s="71" t="s">
        <v>29</v>
      </c>
      <c r="C631" s="39" t="s">
        <v>2015</v>
      </c>
      <c r="D631" s="50" t="s">
        <v>48</v>
      </c>
      <c r="E631" s="47">
        <v>45546</v>
      </c>
      <c r="F631" s="31" t="str">
        <f>VLOOKUP($C631,Carpetas!$C$5:$M$2666,2,FALSE)</f>
        <v>PYB137</v>
      </c>
      <c r="G631" s="23" t="str">
        <f>VLOOKUP($C631,Carpetas!$C$5:$M$2666,10,FALSE)</f>
        <v>150,30,94</v>
      </c>
      <c r="H631" s="27">
        <f>VLOOKUP($C631,Carpetas!$C$5:$M$2666,6,FALSE)</f>
        <v>0</v>
      </c>
      <c r="I631" s="220"/>
      <c r="J631" s="47">
        <v>45548</v>
      </c>
      <c r="K631" s="72" t="str">
        <f>VLOOKUP($C631,Carpetas!$C$5:$M$2666,5,FALSE)</f>
        <v>Salto</v>
      </c>
      <c r="L631" s="32"/>
      <c r="M631" s="48">
        <f t="shared" si="39"/>
        <v>45549</v>
      </c>
      <c r="N631" s="26">
        <f t="shared" si="34"/>
        <v>3</v>
      </c>
      <c r="O631" s="27">
        <v>930</v>
      </c>
      <c r="P631" s="27">
        <v>929</v>
      </c>
      <c r="Q631" s="27">
        <v>26</v>
      </c>
      <c r="R631" s="27">
        <v>27.5</v>
      </c>
      <c r="S631" s="27" t="s">
        <v>2020</v>
      </c>
      <c r="T631" s="27"/>
      <c r="U631" s="27"/>
      <c r="V631" s="27" t="s">
        <v>2021</v>
      </c>
      <c r="W631" s="27" t="s">
        <v>463</v>
      </c>
      <c r="X631" s="73"/>
      <c r="Y631" s="73" t="e">
        <f>VLOOKUP(X631,Choferes!$B$2:$C$500,2,FALSE)</f>
        <v>#N/A</v>
      </c>
      <c r="Z631" s="73" t="s">
        <v>2022</v>
      </c>
    </row>
    <row r="632" spans="1:26" hidden="1" x14ac:dyDescent="0.25">
      <c r="A632" s="33">
        <v>37</v>
      </c>
      <c r="B632" s="71" t="s">
        <v>29</v>
      </c>
      <c r="C632" s="39" t="s">
        <v>1974</v>
      </c>
      <c r="D632" s="50" t="s">
        <v>803</v>
      </c>
      <c r="E632" s="47">
        <v>45547</v>
      </c>
      <c r="F632" s="31" t="str">
        <f>VLOOKUP($C632,Carpetas!$C$5:$M$2666,2,FALSE)</f>
        <v>BRB065</v>
      </c>
      <c r="G632" s="23" t="str">
        <f>VLOOKUP($C632,Carpetas!$C$5:$M$2666,10,FALSE)</f>
        <v>150,24,06</v>
      </c>
      <c r="H632" s="27" t="str">
        <f>VLOOKUP($C632,Carpetas!$C$5:$M$2666,6,FALSE)</f>
        <v>FG</v>
      </c>
      <c r="I632" s="220"/>
      <c r="J632" s="47">
        <v>45548</v>
      </c>
      <c r="K632" s="72" t="str">
        <f>VLOOKUP($C632,Carpetas!$C$5:$M$2666,5,FALSE)</f>
        <v>Rio Branco</v>
      </c>
      <c r="L632" s="32"/>
      <c r="M632" s="48">
        <f t="shared" si="39"/>
        <v>45549</v>
      </c>
      <c r="N632" s="26">
        <f t="shared" si="34"/>
        <v>2</v>
      </c>
      <c r="O632" s="27">
        <v>990</v>
      </c>
      <c r="P632" s="27">
        <v>990</v>
      </c>
      <c r="Q632" s="27">
        <v>28</v>
      </c>
      <c r="R632" s="27">
        <v>25.3</v>
      </c>
      <c r="S632" s="27" t="s">
        <v>2023</v>
      </c>
      <c r="T632" s="27"/>
      <c r="U632" s="27">
        <v>336</v>
      </c>
      <c r="V632" s="27" t="s">
        <v>1042</v>
      </c>
      <c r="W632" s="27" t="s">
        <v>1622</v>
      </c>
      <c r="X632" s="73"/>
      <c r="Y632" s="73" t="e">
        <f>VLOOKUP(X632,Choferes!$B$2:$C$500,2,FALSE)</f>
        <v>#N/A</v>
      </c>
      <c r="Z632" s="73" t="s">
        <v>2024</v>
      </c>
    </row>
    <row r="633" spans="1:26" ht="30" hidden="1" x14ac:dyDescent="0.25">
      <c r="A633" s="33">
        <v>37</v>
      </c>
      <c r="B633" s="71" t="s">
        <v>29</v>
      </c>
      <c r="C633" s="39" t="s">
        <v>1974</v>
      </c>
      <c r="D633" s="50" t="s">
        <v>747</v>
      </c>
      <c r="E633" s="47">
        <v>45548</v>
      </c>
      <c r="F633" s="31" t="str">
        <f>VLOOKUP($C633,Carpetas!$C$5:$M$2666,2,FALSE)</f>
        <v>BRB065</v>
      </c>
      <c r="G633" s="23" t="str">
        <f>VLOOKUP($C633,Carpetas!$C$5:$M$2666,10,FALSE)</f>
        <v>150,24,06</v>
      </c>
      <c r="H633" s="27" t="str">
        <f>VLOOKUP($C633,Carpetas!$C$5:$M$2666,6,FALSE)</f>
        <v>FG</v>
      </c>
      <c r="I633" s="220"/>
      <c r="J633" s="47">
        <f t="shared" ref="J633:J639" si="40">E633+2</f>
        <v>45550</v>
      </c>
      <c r="K633" s="72" t="str">
        <f>VLOOKUP($C633,Carpetas!$C$5:$M$2666,5,FALSE)</f>
        <v>Rio Branco</v>
      </c>
      <c r="L633" s="32"/>
      <c r="M633" s="48">
        <f t="shared" si="39"/>
        <v>45551</v>
      </c>
      <c r="N633" s="26">
        <f t="shared" si="34"/>
        <v>3</v>
      </c>
      <c r="O633" s="27">
        <v>990</v>
      </c>
      <c r="P633" s="27">
        <v>991</v>
      </c>
      <c r="Q633" s="27">
        <v>28</v>
      </c>
      <c r="R633" s="27">
        <v>26</v>
      </c>
      <c r="S633" s="27" t="s">
        <v>2025</v>
      </c>
      <c r="T633" s="27"/>
      <c r="U633" s="27">
        <v>340</v>
      </c>
      <c r="V633" s="27" t="s">
        <v>1630</v>
      </c>
      <c r="W633" s="27" t="s">
        <v>1934</v>
      </c>
      <c r="X633" s="73"/>
      <c r="Y633" s="73" t="e">
        <f>VLOOKUP(X633,Choferes!$B$2:$C$500,2,FALSE)</f>
        <v>#N/A</v>
      </c>
      <c r="Z633" s="73" t="s">
        <v>2026</v>
      </c>
    </row>
    <row r="634" spans="1:26" hidden="1" x14ac:dyDescent="0.25">
      <c r="A634" s="33">
        <v>37</v>
      </c>
      <c r="B634" s="71" t="s">
        <v>29</v>
      </c>
      <c r="C634" s="39" t="s">
        <v>1974</v>
      </c>
      <c r="D634" s="50" t="s">
        <v>803</v>
      </c>
      <c r="E634" s="47">
        <v>45548</v>
      </c>
      <c r="F634" s="31" t="str">
        <f>VLOOKUP($C634,Carpetas!$C$5:$M$2666,2,FALSE)</f>
        <v>BRB065</v>
      </c>
      <c r="G634" s="23" t="str">
        <f>VLOOKUP($C634,Carpetas!$C$5:$M$2666,10,FALSE)</f>
        <v>150,24,06</v>
      </c>
      <c r="H634" s="27" t="str">
        <f>VLOOKUP($C634,Carpetas!$C$5:$M$2666,6,FALSE)</f>
        <v>FG</v>
      </c>
      <c r="I634" s="220"/>
      <c r="J634" s="47">
        <f t="shared" si="40"/>
        <v>45550</v>
      </c>
      <c r="K634" s="72" t="str">
        <f>VLOOKUP($C634,Carpetas!$C$5:$M$2666,5,FALSE)</f>
        <v>Rio Branco</v>
      </c>
      <c r="L634" s="32"/>
      <c r="M634" s="48">
        <f t="shared" si="39"/>
        <v>45551</v>
      </c>
      <c r="N634" s="26">
        <f t="shared" si="34"/>
        <v>3</v>
      </c>
      <c r="O634" s="27">
        <v>990</v>
      </c>
      <c r="P634" s="27">
        <v>990</v>
      </c>
      <c r="Q634" s="27">
        <v>28</v>
      </c>
      <c r="R634" s="27">
        <v>25.2</v>
      </c>
      <c r="S634" s="27" t="s">
        <v>2027</v>
      </c>
      <c r="T634" s="27"/>
      <c r="U634" s="27">
        <v>337</v>
      </c>
      <c r="V634" s="27" t="s">
        <v>1956</v>
      </c>
      <c r="W634" s="27" t="s">
        <v>1957</v>
      </c>
      <c r="X634" s="73"/>
      <c r="Y634" s="73" t="e">
        <f>VLOOKUP(X634,Choferes!$B$2:$C$500,2,FALSE)</f>
        <v>#N/A</v>
      </c>
      <c r="Z634" s="73" t="s">
        <v>2028</v>
      </c>
    </row>
    <row r="635" spans="1:26" hidden="1" x14ac:dyDescent="0.25">
      <c r="A635" s="33">
        <v>37</v>
      </c>
      <c r="B635" s="71" t="s">
        <v>29</v>
      </c>
      <c r="C635" s="39" t="s">
        <v>2029</v>
      </c>
      <c r="D635" s="50" t="s">
        <v>803</v>
      </c>
      <c r="E635" s="47">
        <v>45548</v>
      </c>
      <c r="F635" s="31" t="str">
        <f>VLOOKUP($C635,Carpetas!$C$5:$M$2666,2,FALSE)</f>
        <v>BRB067</v>
      </c>
      <c r="G635" s="23" t="str">
        <f>VLOOKUP($C635,Carpetas!$C$5:$M$2666,10,FALSE)</f>
        <v>150,35,36</v>
      </c>
      <c r="H635" s="27" t="str">
        <f>VLOOKUP($C635,Carpetas!$C$5:$M$2666,6,FALSE)</f>
        <v>Zanini</v>
      </c>
      <c r="I635" s="220"/>
      <c r="J635" s="47">
        <f t="shared" si="40"/>
        <v>45550</v>
      </c>
      <c r="K635" s="72" t="str">
        <f>VLOOKUP($C635,Carpetas!$C$5:$M$2666,5,FALSE)</f>
        <v>Rio Branco</v>
      </c>
      <c r="L635" s="32"/>
      <c r="M635" s="48">
        <f t="shared" si="39"/>
        <v>45551</v>
      </c>
      <c r="N635" s="26">
        <f t="shared" si="34"/>
        <v>3</v>
      </c>
      <c r="O635" s="27">
        <v>918</v>
      </c>
      <c r="P635" s="27">
        <v>918</v>
      </c>
      <c r="Q635" s="27">
        <v>26</v>
      </c>
      <c r="R635" s="27">
        <v>26.3</v>
      </c>
      <c r="S635" s="27" t="s">
        <v>2030</v>
      </c>
      <c r="T635" s="27"/>
      <c r="U635" s="27">
        <v>4738</v>
      </c>
      <c r="V635" s="27" t="s">
        <v>58</v>
      </c>
      <c r="W635" s="27" t="s">
        <v>59</v>
      </c>
      <c r="X635" s="73"/>
      <c r="Y635" s="73" t="e">
        <f>VLOOKUP(X635,Choferes!$B$2:$C$500,2,FALSE)</f>
        <v>#N/A</v>
      </c>
      <c r="Z635" s="73" t="s">
        <v>2031</v>
      </c>
    </row>
    <row r="636" spans="1:26" hidden="1" x14ac:dyDescent="0.25">
      <c r="A636" s="33">
        <v>37</v>
      </c>
      <c r="B636" s="71" t="s">
        <v>29</v>
      </c>
      <c r="C636" s="39" t="s">
        <v>1974</v>
      </c>
      <c r="D636" s="50" t="s">
        <v>78</v>
      </c>
      <c r="E636" s="47">
        <v>45548</v>
      </c>
      <c r="F636" s="31" t="str">
        <f>VLOOKUP($C636,Carpetas!$C$5:$M$2666,2,FALSE)</f>
        <v>BRB065</v>
      </c>
      <c r="G636" s="23" t="str">
        <f>VLOOKUP($C636,Carpetas!$C$5:$M$2666,10,FALSE)</f>
        <v>150,24,06</v>
      </c>
      <c r="H636" s="27" t="str">
        <f>VLOOKUP($C636,Carpetas!$C$5:$M$2666,6,FALSE)</f>
        <v>FG</v>
      </c>
      <c r="I636" s="220"/>
      <c r="J636" s="47">
        <f t="shared" si="40"/>
        <v>45550</v>
      </c>
      <c r="K636" s="72" t="str">
        <f>VLOOKUP($C636,Carpetas!$C$5:$M$2666,5,FALSE)</f>
        <v>Rio Branco</v>
      </c>
      <c r="L636" s="32"/>
      <c r="M636" s="48">
        <f t="shared" si="39"/>
        <v>45551</v>
      </c>
      <c r="N636" s="26">
        <f t="shared" si="34"/>
        <v>3</v>
      </c>
      <c r="O636" s="27">
        <v>990</v>
      </c>
      <c r="P636" s="27">
        <v>991</v>
      </c>
      <c r="Q636" s="27">
        <v>28</v>
      </c>
      <c r="R636" s="27">
        <v>26.5</v>
      </c>
      <c r="S636" s="27" t="s">
        <v>2032</v>
      </c>
      <c r="T636" s="27"/>
      <c r="U636" s="27">
        <v>339</v>
      </c>
      <c r="V636" s="27" t="s">
        <v>1726</v>
      </c>
      <c r="W636" s="27" t="s">
        <v>1646</v>
      </c>
      <c r="X636" s="73"/>
      <c r="Y636" s="73" t="e">
        <f>VLOOKUP(X636,Choferes!$B$2:$C$500,2,FALSE)</f>
        <v>#N/A</v>
      </c>
      <c r="Z636" s="73" t="s">
        <v>2033</v>
      </c>
    </row>
    <row r="637" spans="1:26" hidden="1" x14ac:dyDescent="0.25">
      <c r="A637" s="33">
        <v>37</v>
      </c>
      <c r="B637" s="71" t="s">
        <v>29</v>
      </c>
      <c r="C637" s="39" t="s">
        <v>1969</v>
      </c>
      <c r="D637" s="50" t="s">
        <v>764</v>
      </c>
      <c r="E637" s="47">
        <v>45548</v>
      </c>
      <c r="F637" s="31" t="str">
        <f>VLOOKUP($C637,Carpetas!$C$5:$M$2666,2,FALSE)</f>
        <v>BRC003</v>
      </c>
      <c r="G637" s="23" t="str">
        <f>VLOOKUP($C637,Carpetas!$C$5:$M$2666,10,FALSE)</f>
        <v>150,21,89</v>
      </c>
      <c r="H637" s="27" t="str">
        <f>VLOOKUP($C637,Carpetas!$C$5:$M$2666,6,FALSE)</f>
        <v>FG</v>
      </c>
      <c r="I637" s="220"/>
      <c r="J637" s="47">
        <f t="shared" si="40"/>
        <v>45550</v>
      </c>
      <c r="K637" s="72" t="str">
        <f>VLOOKUP($C637,Carpetas!$C$5:$M$2666,5,FALSE)</f>
        <v>Rio Branco</v>
      </c>
      <c r="L637" s="32"/>
      <c r="M637" s="48">
        <f t="shared" si="39"/>
        <v>45551</v>
      </c>
      <c r="N637" s="26">
        <f t="shared" si="34"/>
        <v>3</v>
      </c>
      <c r="O637" s="27">
        <v>990</v>
      </c>
      <c r="P637" s="27">
        <v>990</v>
      </c>
      <c r="Q637" s="27">
        <v>28</v>
      </c>
      <c r="R637" s="27">
        <v>26.2</v>
      </c>
      <c r="S637" s="27" t="s">
        <v>2034</v>
      </c>
      <c r="T637" s="27"/>
      <c r="U637" s="27"/>
      <c r="V637" s="27" t="s">
        <v>1636</v>
      </c>
      <c r="W637" s="27" t="s">
        <v>1637</v>
      </c>
      <c r="X637" s="73"/>
      <c r="Y637" s="73" t="e">
        <f>VLOOKUP(X637,Choferes!$B$2:$C$500,2,FALSE)</f>
        <v>#N/A</v>
      </c>
      <c r="Z637" s="73" t="s">
        <v>2035</v>
      </c>
    </row>
    <row r="638" spans="1:26" hidden="1" x14ac:dyDescent="0.25">
      <c r="A638" s="33">
        <v>37</v>
      </c>
      <c r="B638" s="71" t="s">
        <v>29</v>
      </c>
      <c r="C638" s="39" t="s">
        <v>1961</v>
      </c>
      <c r="D638" s="50" t="s">
        <v>110</v>
      </c>
      <c r="E638" s="47">
        <v>45548</v>
      </c>
      <c r="F638" s="31" t="str">
        <f>VLOOKUP($C638,Carpetas!$C$5:$M$2666,2,FALSE)</f>
        <v>BRB063</v>
      </c>
      <c r="G638" s="23" t="str">
        <f>VLOOKUP($C638,Carpetas!$C$5:$M$2666,10,FALSE)</f>
        <v>150,24,08</v>
      </c>
      <c r="H638" s="27" t="str">
        <f>VLOOKUP($C638,Carpetas!$C$5:$M$2666,6,FALSE)</f>
        <v xml:space="preserve">Silvio </v>
      </c>
      <c r="I638" s="220"/>
      <c r="J638" s="47">
        <f t="shared" si="40"/>
        <v>45550</v>
      </c>
      <c r="K638" s="72" t="str">
        <f>VLOOKUP($C638,Carpetas!$C$5:$M$2666,5,FALSE)</f>
        <v>Rio Branco</v>
      </c>
      <c r="L638" s="32"/>
      <c r="M638" s="48">
        <f t="shared" si="39"/>
        <v>45551</v>
      </c>
      <c r="N638" s="26">
        <f t="shared" si="34"/>
        <v>3</v>
      </c>
      <c r="O638" s="27">
        <v>918</v>
      </c>
      <c r="P638" s="27">
        <v>918</v>
      </c>
      <c r="Q638" s="27">
        <v>26</v>
      </c>
      <c r="R638" s="27">
        <v>26.7</v>
      </c>
      <c r="S638" s="27" t="s">
        <v>2036</v>
      </c>
      <c r="T638" s="27"/>
      <c r="U638" s="27">
        <v>7096</v>
      </c>
      <c r="V638" s="27" t="s">
        <v>280</v>
      </c>
      <c r="W638" s="27" t="s">
        <v>281</v>
      </c>
      <c r="X638" s="73"/>
      <c r="Y638" s="73" t="e">
        <f>VLOOKUP(X638,Choferes!$B$2:$C$500,2,FALSE)</f>
        <v>#N/A</v>
      </c>
      <c r="Z638" s="73" t="s">
        <v>2031</v>
      </c>
    </row>
    <row r="639" spans="1:26" hidden="1" x14ac:dyDescent="0.25">
      <c r="A639" s="33">
        <v>37</v>
      </c>
      <c r="B639" s="71" t="s">
        <v>29</v>
      </c>
      <c r="C639" s="39" t="s">
        <v>1974</v>
      </c>
      <c r="D639" s="50" t="s">
        <v>953</v>
      </c>
      <c r="E639" s="47">
        <v>45548</v>
      </c>
      <c r="F639" s="31" t="str">
        <f>VLOOKUP($C639,Carpetas!$C$5:$M$2666,2,FALSE)</f>
        <v>BRB065</v>
      </c>
      <c r="G639" s="23" t="str">
        <f>VLOOKUP($C639,Carpetas!$C$5:$M$2666,10,FALSE)</f>
        <v>150,24,06</v>
      </c>
      <c r="H639" s="27" t="str">
        <f>VLOOKUP($C639,Carpetas!$C$5:$M$2666,6,FALSE)</f>
        <v>FG</v>
      </c>
      <c r="I639" s="220"/>
      <c r="J639" s="47">
        <f t="shared" si="40"/>
        <v>45550</v>
      </c>
      <c r="K639" s="72" t="str">
        <f>VLOOKUP($C639,Carpetas!$C$5:$M$2666,5,FALSE)</f>
        <v>Rio Branco</v>
      </c>
      <c r="L639" s="32"/>
      <c r="M639" s="48">
        <f t="shared" si="39"/>
        <v>45551</v>
      </c>
      <c r="N639" s="26">
        <f t="shared" si="34"/>
        <v>3</v>
      </c>
      <c r="O639" s="27">
        <v>990</v>
      </c>
      <c r="P639" s="27">
        <v>990</v>
      </c>
      <c r="Q639" s="27">
        <v>28</v>
      </c>
      <c r="R639" s="27">
        <v>26</v>
      </c>
      <c r="S639" s="27" t="s">
        <v>2037</v>
      </c>
      <c r="T639" s="27"/>
      <c r="U639" s="27">
        <v>342</v>
      </c>
      <c r="V639" s="27" t="s">
        <v>1657</v>
      </c>
      <c r="W639" s="27" t="s">
        <v>1815</v>
      </c>
      <c r="X639" s="73"/>
      <c r="Y639" s="73" t="e">
        <f>VLOOKUP(X639,Choferes!$B$2:$C$500,2,FALSE)</f>
        <v>#N/A</v>
      </c>
      <c r="Z639" s="73" t="s">
        <v>2038</v>
      </c>
    </row>
    <row r="640" spans="1:26" hidden="1" x14ac:dyDescent="0.25">
      <c r="A640" s="33">
        <v>35</v>
      </c>
      <c r="B640" s="71" t="s">
        <v>29</v>
      </c>
      <c r="C640" s="39" t="s">
        <v>2039</v>
      </c>
      <c r="D640" s="50" t="s">
        <v>38</v>
      </c>
      <c r="E640" s="47">
        <v>45540</v>
      </c>
      <c r="F640" s="31" t="str">
        <f>VLOOKUP($C640,Carpetas!$C$5:$M$2666,2,FALSE)</f>
        <v>BRE028</v>
      </c>
      <c r="G640" s="23">
        <f>VLOOKUP($C640,Carpetas!$C$5:$M$2666,10,FALSE)</f>
        <v>0</v>
      </c>
      <c r="H640" s="27" t="str">
        <f>VLOOKUP($C640,Carpetas!$C$5:$M$2666,6,FALSE)</f>
        <v xml:space="preserve">Silvio </v>
      </c>
      <c r="I640" s="220">
        <f>VLOOKUP($C640,Carpetas!$C$5:$M$2666,4,FALSE)</f>
        <v>0</v>
      </c>
      <c r="J640" s="47">
        <v>45551</v>
      </c>
      <c r="K640" s="72" t="str">
        <f>VLOOKUP($C640,Carpetas!$C$5:$M$2666,5,FALSE)</f>
        <v>Rio Branco</v>
      </c>
      <c r="L640" s="32"/>
      <c r="M640" s="48">
        <f t="shared" si="39"/>
        <v>45552</v>
      </c>
      <c r="N640" s="26">
        <f t="shared" si="34"/>
        <v>12</v>
      </c>
      <c r="O640" s="27">
        <v>2520</v>
      </c>
      <c r="P640" s="27"/>
      <c r="Q640" s="27"/>
      <c r="R640" s="27"/>
      <c r="S640" s="27"/>
      <c r="T640" s="27"/>
      <c r="U640" s="27">
        <v>7106</v>
      </c>
      <c r="V640" s="27" t="s">
        <v>2040</v>
      </c>
      <c r="W640" s="27" t="s">
        <v>2041</v>
      </c>
      <c r="X640" s="73"/>
      <c r="Y640" s="73" t="e">
        <f>VLOOKUP(X640,Choferes!$B$2:$C$500,2,FALSE)</f>
        <v>#N/A</v>
      </c>
      <c r="Z640" s="73" t="s">
        <v>2042</v>
      </c>
    </row>
    <row r="641" spans="1:26" hidden="1" x14ac:dyDescent="0.25">
      <c r="A641" s="33">
        <v>37</v>
      </c>
      <c r="B641" s="71" t="s">
        <v>29</v>
      </c>
      <c r="C641" s="39" t="s">
        <v>2043</v>
      </c>
      <c r="D641" s="50" t="s">
        <v>38</v>
      </c>
      <c r="E641" s="47">
        <v>45545</v>
      </c>
      <c r="F641" s="31" t="str">
        <f>VLOOKUP($C641,Carpetas!$C$5:$M$2666,2,FALSE)</f>
        <v>BRE029</v>
      </c>
      <c r="G641" s="23" t="str">
        <f>VLOOKUP($C641,Carpetas!$C$5:$M$2666,10,FALSE)</f>
        <v>150.25.29</v>
      </c>
      <c r="H641" s="27" t="str">
        <f>VLOOKUP($C641,Carpetas!$C$5:$M$2666,6,FALSE)</f>
        <v>Marvel</v>
      </c>
      <c r="I641" s="220">
        <f>VLOOKUP($C641,Carpetas!$C$5:$M$2666,4,FALSE)</f>
        <v>0</v>
      </c>
      <c r="J641" s="47">
        <v>45551</v>
      </c>
      <c r="K641" s="72" t="str">
        <f>VLOOKUP($C641,Carpetas!$C$5:$M$2666,5,FALSE)</f>
        <v>Rio Branco</v>
      </c>
      <c r="L641" s="32"/>
      <c r="M641" s="48">
        <f t="shared" si="39"/>
        <v>45552</v>
      </c>
      <c r="N641" s="26">
        <f t="shared" si="34"/>
        <v>7</v>
      </c>
      <c r="O641" s="27">
        <v>25000</v>
      </c>
      <c r="P641" s="27"/>
      <c r="Q641" s="27"/>
      <c r="R641" s="27"/>
      <c r="S641" s="27"/>
      <c r="T641" s="27"/>
      <c r="U641" s="27">
        <v>10117</v>
      </c>
      <c r="V641" s="27" t="s">
        <v>2044</v>
      </c>
      <c r="W641" s="27" t="s">
        <v>2045</v>
      </c>
      <c r="X641" s="73"/>
      <c r="Y641" s="73" t="e">
        <f>VLOOKUP(X641,Choferes!$B$2:$C$500,2,FALSE)</f>
        <v>#N/A</v>
      </c>
      <c r="Z641" s="73" t="s">
        <v>2046</v>
      </c>
    </row>
    <row r="642" spans="1:26" hidden="1" x14ac:dyDescent="0.25">
      <c r="A642" s="33">
        <v>37</v>
      </c>
      <c r="B642" s="71" t="s">
        <v>29</v>
      </c>
      <c r="C642" s="39" t="s">
        <v>2047</v>
      </c>
      <c r="D642" s="50" t="s">
        <v>1757</v>
      </c>
      <c r="E642" s="47">
        <v>45548</v>
      </c>
      <c r="F642" s="31" t="str">
        <f>VLOOKUP($C642,Carpetas!$C$5:$M$2666,2,FALSE)</f>
        <v>BRB066</v>
      </c>
      <c r="G642" s="23" t="str">
        <f>VLOOKUP($C642,Carpetas!$C$5:$M$2666,10,FALSE)</f>
        <v>150,32,95</v>
      </c>
      <c r="H642" s="27" t="str">
        <f>VLOOKUP($C642,Carpetas!$C$5:$M$2666,6,FALSE)</f>
        <v>Marvel</v>
      </c>
      <c r="I642" s="220"/>
      <c r="J642" s="47">
        <v>45551</v>
      </c>
      <c r="K642" s="72" t="str">
        <f>VLOOKUP($C642,Carpetas!$C$5:$M$2666,5,FALSE)</f>
        <v>Rio Branco</v>
      </c>
      <c r="L642" s="32"/>
      <c r="M642" s="48">
        <f t="shared" si="39"/>
        <v>45552</v>
      </c>
      <c r="N642" s="26">
        <f t="shared" si="34"/>
        <v>4</v>
      </c>
      <c r="O642" s="27">
        <v>936</v>
      </c>
      <c r="P642" s="27">
        <v>936</v>
      </c>
      <c r="Q642" s="27">
        <v>26</v>
      </c>
      <c r="R642" s="27">
        <v>6.6</v>
      </c>
      <c r="S642" s="27" t="s">
        <v>2048</v>
      </c>
      <c r="T642" s="27"/>
      <c r="U642" s="27">
        <v>10118</v>
      </c>
      <c r="V642" s="27" t="s">
        <v>2049</v>
      </c>
      <c r="W642" s="27" t="s">
        <v>2050</v>
      </c>
      <c r="X642" s="73"/>
      <c r="Y642" s="73" t="e">
        <f>VLOOKUP(X642,Choferes!$B$2:$C$500,2,FALSE)</f>
        <v>#N/A</v>
      </c>
      <c r="Z642" s="73" t="s">
        <v>2051</v>
      </c>
    </row>
    <row r="643" spans="1:26" hidden="1" x14ac:dyDescent="0.25">
      <c r="A643" s="33">
        <v>37</v>
      </c>
      <c r="B643" s="71" t="s">
        <v>29</v>
      </c>
      <c r="C643" s="39" t="s">
        <v>1942</v>
      </c>
      <c r="D643" s="50" t="s">
        <v>249</v>
      </c>
      <c r="E643" s="47">
        <v>45548</v>
      </c>
      <c r="F643" s="31" t="str">
        <f>VLOOKUP($C643,Carpetas!$C$5:$M$2666,2,FALSE)</f>
        <v>BRB062</v>
      </c>
      <c r="G643" s="23" t="str">
        <f>VLOOKUP($C643,Carpetas!$C$5:$M$2666,10,FALSE)</f>
        <v>150,18,70</v>
      </c>
      <c r="H643" s="27" t="str">
        <f>VLOOKUP($C643,Carpetas!$C$5:$M$2666,6,FALSE)</f>
        <v>Amaro</v>
      </c>
      <c r="I643" s="220"/>
      <c r="J643" s="47">
        <v>45551</v>
      </c>
      <c r="K643" s="72" t="str">
        <f>VLOOKUP($C643,Carpetas!$C$5:$M$2666,5,FALSE)</f>
        <v>Rio Branco</v>
      </c>
      <c r="L643" s="32"/>
      <c r="M643" s="48">
        <f t="shared" si="39"/>
        <v>45552</v>
      </c>
      <c r="N643" s="26">
        <f t="shared" si="34"/>
        <v>4</v>
      </c>
      <c r="O643" s="27">
        <v>990</v>
      </c>
      <c r="P643" s="27">
        <v>990</v>
      </c>
      <c r="Q643" s="27">
        <v>28</v>
      </c>
      <c r="R643" s="27">
        <v>25.5</v>
      </c>
      <c r="S643" s="27" t="s">
        <v>2052</v>
      </c>
      <c r="T643" s="27"/>
      <c r="U643" s="27">
        <v>24574</v>
      </c>
      <c r="V643" s="27" t="s">
        <v>1991</v>
      </c>
      <c r="W643" s="27" t="s">
        <v>1992</v>
      </c>
      <c r="X643" s="73"/>
      <c r="Y643" s="73" t="e">
        <f>VLOOKUP(X643,Choferes!$B$2:$C$500,2,FALSE)</f>
        <v>#N/A</v>
      </c>
      <c r="Z643" s="73"/>
    </row>
    <row r="644" spans="1:26" hidden="1" x14ac:dyDescent="0.25">
      <c r="A644" s="33">
        <v>38</v>
      </c>
      <c r="B644" s="71" t="s">
        <v>29</v>
      </c>
      <c r="C644" s="39" t="s">
        <v>2053</v>
      </c>
      <c r="D644" s="50" t="s">
        <v>48</v>
      </c>
      <c r="E644" s="47">
        <v>45551</v>
      </c>
      <c r="F644" s="31" t="str">
        <f>VLOOKUP($C644,Carpetas!$C$5:$M$2666,2,FALSE)</f>
        <v>PYB139</v>
      </c>
      <c r="G644" s="23" t="str">
        <f>VLOOKUP($C644,Carpetas!$C$5:$M$2666,10,FALSE)</f>
        <v>150,35,91</v>
      </c>
      <c r="H644" s="27">
        <f>VLOOKUP($C644,Carpetas!$C$5:$M$2666,6,FALSE)</f>
        <v>0</v>
      </c>
      <c r="I644" s="220"/>
      <c r="J644" s="47">
        <f>E644+2</f>
        <v>45553</v>
      </c>
      <c r="K644" s="72" t="str">
        <f>VLOOKUP($C644,Carpetas!$C$5:$M$2666,5,FALSE)</f>
        <v>Salto</v>
      </c>
      <c r="L644" s="32"/>
      <c r="M644" s="48">
        <f t="shared" si="39"/>
        <v>45554</v>
      </c>
      <c r="N644" s="26">
        <f t="shared" si="34"/>
        <v>3</v>
      </c>
      <c r="O644" s="27">
        <v>930</v>
      </c>
      <c r="P644" s="27">
        <v>930</v>
      </c>
      <c r="Q644" s="27">
        <v>28</v>
      </c>
      <c r="R644" s="27">
        <v>25</v>
      </c>
      <c r="S644" s="27" t="s">
        <v>2054</v>
      </c>
      <c r="T644" s="27"/>
      <c r="U644" s="27"/>
      <c r="V644" s="27" t="s">
        <v>1038</v>
      </c>
      <c r="W644" s="27"/>
      <c r="X644" s="73"/>
      <c r="Y644" s="73" t="e">
        <f>VLOOKUP(X644,Choferes!$B$2:$C$500,2,FALSE)</f>
        <v>#N/A</v>
      </c>
      <c r="Z644" s="73" t="s">
        <v>2055</v>
      </c>
    </row>
    <row r="645" spans="1:26" hidden="1" x14ac:dyDescent="0.25">
      <c r="A645" s="33">
        <v>38</v>
      </c>
      <c r="B645" s="71" t="s">
        <v>29</v>
      </c>
      <c r="C645" s="39" t="s">
        <v>2056</v>
      </c>
      <c r="D645" s="50" t="s">
        <v>102</v>
      </c>
      <c r="E645" s="47">
        <v>45551</v>
      </c>
      <c r="F645" s="31" t="str">
        <f>VLOOKUP($C645,Carpetas!$C$5:$M$2666,2,FALSE)</f>
        <v>PYB140</v>
      </c>
      <c r="G645" s="23" t="str">
        <f>VLOOKUP($C645,Carpetas!$C$5:$M$2666,10,FALSE)</f>
        <v>150.35.92</v>
      </c>
      <c r="H645" s="27">
        <f>VLOOKUP($C645,Carpetas!$C$5:$M$2666,6,FALSE)</f>
        <v>0</v>
      </c>
      <c r="I645" s="220"/>
      <c r="J645" s="47">
        <f>E645+2</f>
        <v>45553</v>
      </c>
      <c r="K645" s="72" t="str">
        <f>VLOOKUP($C645,Carpetas!$C$5:$M$2666,5,FALSE)</f>
        <v>Salto</v>
      </c>
      <c r="L645" s="32"/>
      <c r="M645" s="48">
        <f t="shared" si="39"/>
        <v>45554</v>
      </c>
      <c r="N645" s="26">
        <f t="shared" ref="N645:N708" si="41">IF(E645&lt;&gt;"",M645-E645,"-")</f>
        <v>3</v>
      </c>
      <c r="O645" s="27">
        <v>980</v>
      </c>
      <c r="P645" s="27">
        <v>981</v>
      </c>
      <c r="Q645" s="27">
        <v>28</v>
      </c>
      <c r="R645" s="27">
        <v>26.2</v>
      </c>
      <c r="S645" s="27" t="s">
        <v>2057</v>
      </c>
      <c r="T645" s="27"/>
      <c r="U645" s="27"/>
      <c r="V645" s="27" t="s">
        <v>156</v>
      </c>
      <c r="W645" s="27" t="s">
        <v>157</v>
      </c>
      <c r="X645" s="73"/>
      <c r="Y645" s="73" t="e">
        <f>VLOOKUP(X645,Choferes!$B$2:$C$500,2,FALSE)</f>
        <v>#N/A</v>
      </c>
      <c r="Z645" s="73" t="s">
        <v>2058</v>
      </c>
    </row>
    <row r="646" spans="1:26" hidden="1" x14ac:dyDescent="0.25">
      <c r="A646" s="33">
        <v>37</v>
      </c>
      <c r="B646" s="71" t="s">
        <v>29</v>
      </c>
      <c r="C646" s="39" t="s">
        <v>2047</v>
      </c>
      <c r="D646" s="50" t="s">
        <v>1757</v>
      </c>
      <c r="E646" s="47">
        <v>45549</v>
      </c>
      <c r="F646" s="31" t="str">
        <f>VLOOKUP($C646,Carpetas!$C$5:$M$2666,2,FALSE)</f>
        <v>BRB066</v>
      </c>
      <c r="G646" s="23" t="str">
        <f>VLOOKUP($C646,Carpetas!$C$5:$M$2666,10,FALSE)</f>
        <v>150,32,95</v>
      </c>
      <c r="H646" s="27" t="str">
        <f>VLOOKUP($C646,Carpetas!$C$5:$M$2666,6,FALSE)</f>
        <v>Marvel</v>
      </c>
      <c r="I646" s="220"/>
      <c r="J646" s="47">
        <v>45554</v>
      </c>
      <c r="K646" s="72" t="str">
        <f>VLOOKUP($C646,Carpetas!$C$5:$M$2666,5,FALSE)</f>
        <v>Rio Branco</v>
      </c>
      <c r="L646" s="32"/>
      <c r="M646" s="48">
        <f t="shared" si="39"/>
        <v>45555</v>
      </c>
      <c r="N646" s="26">
        <f t="shared" si="41"/>
        <v>6</v>
      </c>
      <c r="O646" s="27">
        <v>936</v>
      </c>
      <c r="P646" s="27">
        <v>940</v>
      </c>
      <c r="Q646" s="27">
        <v>26</v>
      </c>
      <c r="R646" s="27">
        <v>25.7</v>
      </c>
      <c r="S646" s="27" t="s">
        <v>2059</v>
      </c>
      <c r="T646" s="27"/>
      <c r="U646" s="27">
        <v>10120</v>
      </c>
      <c r="V646" s="27" t="s">
        <v>2060</v>
      </c>
      <c r="W646" s="27" t="s">
        <v>2061</v>
      </c>
      <c r="X646" s="73"/>
      <c r="Y646" s="73" t="e">
        <f>VLOOKUP(X646,Choferes!$B$2:$C$500,2,FALSE)</f>
        <v>#N/A</v>
      </c>
      <c r="Z646" s="73" t="s">
        <v>2062</v>
      </c>
    </row>
    <row r="647" spans="1:26" hidden="1" x14ac:dyDescent="0.25">
      <c r="A647" s="33">
        <v>36</v>
      </c>
      <c r="B647" s="71" t="s">
        <v>29</v>
      </c>
      <c r="C647" s="39" t="s">
        <v>2047</v>
      </c>
      <c r="D647" s="50" t="s">
        <v>1757</v>
      </c>
      <c r="E647" s="47">
        <v>45549</v>
      </c>
      <c r="F647" s="31" t="str">
        <f>VLOOKUP($C647,Carpetas!$C$5:$M$2666,2,FALSE)</f>
        <v>BRB066</v>
      </c>
      <c r="G647" s="23" t="str">
        <f>VLOOKUP($C647,Carpetas!$C$5:$M$2666,10,FALSE)</f>
        <v>150,32,95</v>
      </c>
      <c r="H647" s="27" t="str">
        <f>VLOOKUP($C647,Carpetas!$C$5:$M$2666,6,FALSE)</f>
        <v>Marvel</v>
      </c>
      <c r="I647" s="220"/>
      <c r="J647" s="47">
        <v>45554</v>
      </c>
      <c r="K647" s="72" t="str">
        <f>VLOOKUP($C647,Carpetas!$C$5:$M$2666,5,FALSE)</f>
        <v>Rio Branco</v>
      </c>
      <c r="L647" s="32"/>
      <c r="M647" s="48">
        <f t="shared" si="39"/>
        <v>45555</v>
      </c>
      <c r="N647" s="26">
        <f t="shared" si="41"/>
        <v>6</v>
      </c>
      <c r="O647" s="27">
        <v>936</v>
      </c>
      <c r="P647" s="27">
        <v>936</v>
      </c>
      <c r="Q647" s="27">
        <v>26</v>
      </c>
      <c r="R647" s="27">
        <v>25.1</v>
      </c>
      <c r="S647" s="27" t="s">
        <v>2063</v>
      </c>
      <c r="T647" s="27"/>
      <c r="U647" s="27">
        <v>10121</v>
      </c>
      <c r="V647" s="27" t="s">
        <v>2064</v>
      </c>
      <c r="W647" s="27" t="s">
        <v>2065</v>
      </c>
      <c r="X647" s="73"/>
      <c r="Y647" s="73" t="e">
        <f>VLOOKUP(X647,Choferes!$B$2:$C$500,2,FALSE)</f>
        <v>#N/A</v>
      </c>
      <c r="Z647" s="73" t="s">
        <v>2066</v>
      </c>
    </row>
    <row r="648" spans="1:26" hidden="1" x14ac:dyDescent="0.25">
      <c r="A648" s="33">
        <v>37</v>
      </c>
      <c r="B648" s="71" t="s">
        <v>29</v>
      </c>
      <c r="C648" s="39" t="s">
        <v>2067</v>
      </c>
      <c r="D648" s="50" t="s">
        <v>38</v>
      </c>
      <c r="E648" s="47">
        <v>45552</v>
      </c>
      <c r="F648" s="31" t="str">
        <f>VLOOKUP($C648,Carpetas!$C$5:$M$2666,2,FALSE)</f>
        <v>BRE030</v>
      </c>
      <c r="G648" s="23" t="str">
        <f>VLOOKUP($C648,Carpetas!$C$5:$M$2666,10,FALSE)</f>
        <v>1503456/15034455/1503454/1503500</v>
      </c>
      <c r="H648" s="27" t="str">
        <f>VLOOKUP($C648,Carpetas!$C$5:$M$2666,6,FALSE)</f>
        <v xml:space="preserve">Silvio </v>
      </c>
      <c r="I648" s="220">
        <f>VLOOKUP($C648,Carpetas!$C$5:$M$2666,4,FALSE)</f>
        <v>0</v>
      </c>
      <c r="J648" s="47">
        <f>E648+2</f>
        <v>45554</v>
      </c>
      <c r="K648" s="72" t="str">
        <f>VLOOKUP($C648,Carpetas!$C$5:$M$2666,5,FALSE)</f>
        <v>Rio Branco</v>
      </c>
      <c r="L648" s="32"/>
      <c r="M648" s="48">
        <f t="shared" si="39"/>
        <v>45555</v>
      </c>
      <c r="N648" s="26">
        <f t="shared" si="41"/>
        <v>3</v>
      </c>
      <c r="O648" s="27">
        <f>300+250+260+210+296</f>
        <v>1316</v>
      </c>
      <c r="P648" s="27"/>
      <c r="Q648" s="27"/>
      <c r="R648" s="27"/>
      <c r="S648" s="27"/>
      <c r="T648" s="27"/>
      <c r="U648" s="27"/>
      <c r="V648" s="27"/>
      <c r="W648" s="27"/>
      <c r="X648" s="73"/>
      <c r="Y648" s="73" t="e">
        <f>VLOOKUP(X648,Choferes!$B$2:$C$500,2,FALSE)</f>
        <v>#N/A</v>
      </c>
      <c r="Z648" s="73" t="s">
        <v>1168</v>
      </c>
    </row>
    <row r="649" spans="1:26" hidden="1" x14ac:dyDescent="0.25">
      <c r="A649" s="33">
        <v>38</v>
      </c>
      <c r="B649" s="71" t="s">
        <v>29</v>
      </c>
      <c r="C649" s="39" t="s">
        <v>1961</v>
      </c>
      <c r="D649" s="50" t="s">
        <v>953</v>
      </c>
      <c r="E649" s="47">
        <v>45552</v>
      </c>
      <c r="F649" s="31" t="str">
        <f>VLOOKUP($C649,Carpetas!$C$5:$M$2666,2,FALSE)</f>
        <v>BRB063</v>
      </c>
      <c r="G649" s="23" t="str">
        <f>VLOOKUP($C649,Carpetas!$C$5:$M$2666,10,FALSE)</f>
        <v>150,24,08</v>
      </c>
      <c r="H649" s="27" t="str">
        <f>VLOOKUP($C649,Carpetas!$C$5:$M$2666,6,FALSE)</f>
        <v xml:space="preserve">Silvio </v>
      </c>
      <c r="I649" s="220"/>
      <c r="J649" s="47">
        <f>E649+2</f>
        <v>45554</v>
      </c>
      <c r="K649" s="72" t="str">
        <f>VLOOKUP($C649,Carpetas!$C$5:$M$2666,5,FALSE)</f>
        <v>Rio Branco</v>
      </c>
      <c r="L649" s="32"/>
      <c r="M649" s="48">
        <f t="shared" si="39"/>
        <v>45555</v>
      </c>
      <c r="N649" s="26">
        <f t="shared" si="41"/>
        <v>3</v>
      </c>
      <c r="O649" s="27">
        <v>918</v>
      </c>
      <c r="P649" s="27">
        <v>918</v>
      </c>
      <c r="Q649" s="27">
        <v>26</v>
      </c>
      <c r="R649" s="27">
        <v>27.1</v>
      </c>
      <c r="S649" s="27" t="s">
        <v>2068</v>
      </c>
      <c r="T649" s="27"/>
      <c r="U649" s="27">
        <v>7097</v>
      </c>
      <c r="V649" s="27" t="s">
        <v>1663</v>
      </c>
      <c r="W649" s="27" t="s">
        <v>252</v>
      </c>
      <c r="X649" s="73" t="s">
        <v>2069</v>
      </c>
      <c r="Y649" s="73" t="str">
        <f>VLOOKUP(X649,Choferes!$B$2:$C$500,2,FALSE)</f>
        <v>+5555984262559</v>
      </c>
      <c r="Z649" s="73" t="s">
        <v>2070</v>
      </c>
    </row>
    <row r="650" spans="1:26" hidden="1" x14ac:dyDescent="0.25">
      <c r="A650" s="33">
        <v>38</v>
      </c>
      <c r="B650" s="71" t="s">
        <v>29</v>
      </c>
      <c r="C650" s="39" t="s">
        <v>2071</v>
      </c>
      <c r="D650" s="50" t="s">
        <v>110</v>
      </c>
      <c r="E650" s="47">
        <v>45552</v>
      </c>
      <c r="F650" s="31" t="str">
        <f>VLOOKUP($C650,Carpetas!$C$5:$M$2666,2,FALSE)</f>
        <v>BRB068</v>
      </c>
      <c r="G650" s="23" t="str">
        <f>VLOOKUP($C650,Carpetas!$C$5:$M$2666,10,FALSE)</f>
        <v>150,24,08</v>
      </c>
      <c r="H650" s="27" t="str">
        <f>VLOOKUP($C650,Carpetas!$C$5:$M$2666,6,FALSE)</f>
        <v xml:space="preserve">Silvio </v>
      </c>
      <c r="I650" s="220"/>
      <c r="J650" s="47">
        <f>E650+2</f>
        <v>45554</v>
      </c>
      <c r="K650" s="72" t="str">
        <f>VLOOKUP($C650,Carpetas!$C$5:$M$2666,5,FALSE)</f>
        <v>Rio Branco</v>
      </c>
      <c r="L650" s="32"/>
      <c r="M650" s="48">
        <f t="shared" si="39"/>
        <v>45555</v>
      </c>
      <c r="N650" s="26">
        <f t="shared" si="41"/>
        <v>3</v>
      </c>
      <c r="O650" s="27">
        <v>918</v>
      </c>
      <c r="P650" s="27">
        <v>919</v>
      </c>
      <c r="Q650" s="27">
        <v>26</v>
      </c>
      <c r="R650" s="27">
        <v>27</v>
      </c>
      <c r="S650" s="27" t="s">
        <v>2072</v>
      </c>
      <c r="T650" s="27"/>
      <c r="U650" s="27">
        <v>7119</v>
      </c>
      <c r="V650" s="27" t="s">
        <v>2073</v>
      </c>
      <c r="W650" s="27" t="s">
        <v>322</v>
      </c>
      <c r="X650" s="73" t="s">
        <v>1500</v>
      </c>
      <c r="Y650" s="73" t="str">
        <f>VLOOKUP(X650,Choferes!$B$2:$C$500,2,FALSE)</f>
        <v>+5555997133031</v>
      </c>
      <c r="Z650" s="73" t="s">
        <v>2074</v>
      </c>
    </row>
    <row r="651" spans="1:26" hidden="1" x14ac:dyDescent="0.25">
      <c r="A651" s="33">
        <v>38</v>
      </c>
      <c r="B651" s="71" t="s">
        <v>298</v>
      </c>
      <c r="C651" s="39" t="s">
        <v>299</v>
      </c>
      <c r="D651" s="50" t="s">
        <v>880</v>
      </c>
      <c r="E651" s="47">
        <v>45553</v>
      </c>
      <c r="F651" s="31" t="str">
        <f>VLOOKUP($C651,Carpetas!$C$5:$M$2666,2,FALSE)</f>
        <v>BRB</v>
      </c>
      <c r="G651" s="23" t="e">
        <f>VLOOKUP($C651,Carpetas!$C$5:$M$2666,9,FALSE)</f>
        <v>#REF!</v>
      </c>
      <c r="H651" s="27" t="str">
        <f>VLOOKUP($C651,Carpetas!$C$5:$M$2666,5,FALSE)</f>
        <v>xx</v>
      </c>
      <c r="I651" s="220"/>
      <c r="J651" s="47">
        <f>E651+2</f>
        <v>45555</v>
      </c>
      <c r="K651" s="72">
        <f>VLOOKUP($C651,Carpetas!$C$5:$M$2666,4,FALSE)</f>
        <v>0</v>
      </c>
      <c r="L651" s="32"/>
      <c r="M651" s="48">
        <f t="shared" si="39"/>
        <v>45556</v>
      </c>
      <c r="N651" s="26">
        <f t="shared" si="41"/>
        <v>3</v>
      </c>
      <c r="O651" s="27">
        <v>918</v>
      </c>
      <c r="P651" s="27"/>
      <c r="Q651" s="27"/>
      <c r="R651" s="27"/>
      <c r="S651" s="27"/>
      <c r="T651" s="27"/>
      <c r="U651" s="27"/>
      <c r="V651" s="27"/>
      <c r="W651" s="27"/>
      <c r="X651" s="73"/>
      <c r="Y651" s="73" t="e">
        <f>VLOOKUP(X651,Choferes!$B$2:$C$500,2,FALSE)</f>
        <v>#N/A</v>
      </c>
      <c r="Z651" s="157"/>
    </row>
    <row r="652" spans="1:26" hidden="1" x14ac:dyDescent="0.25">
      <c r="A652" s="33">
        <v>38</v>
      </c>
      <c r="B652" s="71" t="s">
        <v>29</v>
      </c>
      <c r="C652" s="39" t="s">
        <v>2075</v>
      </c>
      <c r="D652" s="50" t="s">
        <v>953</v>
      </c>
      <c r="E652" s="47">
        <v>45554</v>
      </c>
      <c r="F652" s="31" t="str">
        <f>VLOOKUP($C652,Carpetas!$C$5:$M$2666,2,FALSE)</f>
        <v>BRB070</v>
      </c>
      <c r="G652" s="23" t="str">
        <f>VLOOKUP($C652,Carpetas!$C$5:$M$2666,10,FALSE)</f>
        <v>150,38,40</v>
      </c>
      <c r="H652" s="27" t="str">
        <f>VLOOKUP($C652,Carpetas!$C$5:$M$2666,6,FALSE)</f>
        <v>FG</v>
      </c>
      <c r="I652" s="220"/>
      <c r="J652" s="47">
        <v>45558</v>
      </c>
      <c r="K652" s="72" t="str">
        <f>VLOOKUP($C652,Carpetas!$C$5:$M$2666,5,FALSE)</f>
        <v>Rio Branco</v>
      </c>
      <c r="L652" s="32"/>
      <c r="M652" s="48">
        <f t="shared" si="39"/>
        <v>45559</v>
      </c>
      <c r="N652" s="26">
        <f t="shared" si="41"/>
        <v>5</v>
      </c>
      <c r="O652" s="27">
        <v>990</v>
      </c>
      <c r="P652" s="27">
        <v>990</v>
      </c>
      <c r="Q652" s="27">
        <v>28</v>
      </c>
      <c r="R652" s="27">
        <v>25.5</v>
      </c>
      <c r="S652" s="27" t="s">
        <v>2076</v>
      </c>
      <c r="T652" s="27"/>
      <c r="U652" s="27">
        <v>351</v>
      </c>
      <c r="V652" s="27" t="s">
        <v>1042</v>
      </c>
      <c r="W652" s="27" t="s">
        <v>1622</v>
      </c>
      <c r="X652" s="73" t="s">
        <v>1623</v>
      </c>
      <c r="Y652" s="73" t="str">
        <f>VLOOKUP(X652,Choferes!$B$2:$C$500,2,FALSE)</f>
        <v>+5553991254560</v>
      </c>
      <c r="Z652" s="216" t="s">
        <v>2077</v>
      </c>
    </row>
    <row r="653" spans="1:26" hidden="1" x14ac:dyDescent="0.25">
      <c r="A653" s="33">
        <v>38</v>
      </c>
      <c r="B653" s="71" t="s">
        <v>29</v>
      </c>
      <c r="C653" s="39" t="s">
        <v>2078</v>
      </c>
      <c r="D653" s="50" t="s">
        <v>249</v>
      </c>
      <c r="E653" s="47">
        <v>45556</v>
      </c>
      <c r="F653" s="31" t="str">
        <f>VLOOKUP($C653,Carpetas!$C$5:$M$2666,2,FALSE)</f>
        <v>BRB071</v>
      </c>
      <c r="G653" s="23" t="str">
        <f>VLOOKUP($C653,Carpetas!$C$5:$M$2666,10,FALSE)</f>
        <v>150,38,42</v>
      </c>
      <c r="H653" s="27" t="str">
        <f>VLOOKUP($C653,Carpetas!$C$5:$M$2666,6,FALSE)</f>
        <v>Amaro</v>
      </c>
      <c r="I653" s="220"/>
      <c r="J653" s="47">
        <f>E653+2</f>
        <v>45558</v>
      </c>
      <c r="K653" s="72" t="str">
        <f>VLOOKUP($C653,Carpetas!$C$5:$M$2666,5,FALSE)</f>
        <v>Rio Branco</v>
      </c>
      <c r="L653" s="32"/>
      <c r="M653" s="48">
        <f t="shared" si="39"/>
        <v>45559</v>
      </c>
      <c r="N653" s="26">
        <f t="shared" si="41"/>
        <v>3</v>
      </c>
      <c r="O653" s="27">
        <v>990</v>
      </c>
      <c r="P653" s="27">
        <v>990</v>
      </c>
      <c r="Q653" s="27">
        <v>28</v>
      </c>
      <c r="R653" s="27">
        <v>26</v>
      </c>
      <c r="S653" s="27" t="s">
        <v>2079</v>
      </c>
      <c r="T653" s="27"/>
      <c r="U653" s="27">
        <v>24654</v>
      </c>
      <c r="V653" s="27" t="s">
        <v>2080</v>
      </c>
      <c r="W653" s="27" t="s">
        <v>2081</v>
      </c>
      <c r="X653" s="73"/>
      <c r="Y653" s="73" t="e">
        <f>VLOOKUP(X653,Choferes!$B$2:$C$500,2,FALSE)</f>
        <v>#N/A</v>
      </c>
      <c r="Z653" s="73" t="s">
        <v>2082</v>
      </c>
    </row>
    <row r="654" spans="1:26" ht="30" hidden="1" x14ac:dyDescent="0.25">
      <c r="A654" s="33">
        <v>38</v>
      </c>
      <c r="B654" s="71" t="s">
        <v>29</v>
      </c>
      <c r="C654" s="39" t="s">
        <v>1969</v>
      </c>
      <c r="D654" s="50" t="s">
        <v>764</v>
      </c>
      <c r="E654" s="47">
        <v>45556</v>
      </c>
      <c r="F654" s="31" t="str">
        <f>VLOOKUP($C654,Carpetas!$C$5:$M$2666,2,FALSE)</f>
        <v>BRC003</v>
      </c>
      <c r="G654" s="23" t="str">
        <f>VLOOKUP($C654,Carpetas!$C$5:$M$2666,10,FALSE)</f>
        <v>150,21,89</v>
      </c>
      <c r="H654" s="27" t="str">
        <f>VLOOKUP($C654,Carpetas!$C$5:$M$2666,6,FALSE)</f>
        <v>FG</v>
      </c>
      <c r="I654" s="220"/>
      <c r="J654" s="47">
        <f>E654+2</f>
        <v>45558</v>
      </c>
      <c r="K654" s="72" t="str">
        <f>VLOOKUP($C654,Carpetas!$C$5:$M$2666,5,FALSE)</f>
        <v>Rio Branco</v>
      </c>
      <c r="L654" s="32"/>
      <c r="M654" s="48">
        <f t="shared" si="39"/>
        <v>45559</v>
      </c>
      <c r="N654" s="26">
        <f t="shared" si="41"/>
        <v>3</v>
      </c>
      <c r="O654" s="27">
        <v>990</v>
      </c>
      <c r="P654" s="27">
        <v>990</v>
      </c>
      <c r="Q654" s="27">
        <v>28</v>
      </c>
      <c r="R654" s="27">
        <v>25</v>
      </c>
      <c r="S654" s="27" t="s">
        <v>2083</v>
      </c>
      <c r="T654" s="27"/>
      <c r="U654" s="27"/>
      <c r="V654" s="27" t="s">
        <v>1645</v>
      </c>
      <c r="W654" s="27"/>
      <c r="X654" s="73"/>
      <c r="Y654" s="73" t="e">
        <f>VLOOKUP(X654,Choferes!$B$2:$C$500,2,FALSE)</f>
        <v>#N/A</v>
      </c>
      <c r="Z654" s="73" t="s">
        <v>2084</v>
      </c>
    </row>
    <row r="655" spans="1:26" hidden="1" x14ac:dyDescent="0.25">
      <c r="A655" s="33">
        <v>38</v>
      </c>
      <c r="B655" s="71" t="s">
        <v>29</v>
      </c>
      <c r="C655" s="39" t="s">
        <v>2071</v>
      </c>
      <c r="D655" s="50" t="s">
        <v>953</v>
      </c>
      <c r="E655" s="47">
        <v>45557</v>
      </c>
      <c r="F655" s="31" t="str">
        <f>VLOOKUP($C655,Carpetas!$C$5:$M$2666,2,FALSE)</f>
        <v>BRB068</v>
      </c>
      <c r="G655" s="23" t="str">
        <f>VLOOKUP($C655,Carpetas!$C$5:$M$2666,10,FALSE)</f>
        <v>150,24,08</v>
      </c>
      <c r="H655" s="27" t="str">
        <f>VLOOKUP($C655,Carpetas!$C$5:$M$2666,6,FALSE)</f>
        <v xml:space="preserve">Silvio </v>
      </c>
      <c r="I655" s="220"/>
      <c r="J655" s="47">
        <v>45558</v>
      </c>
      <c r="K655" s="72" t="str">
        <f>VLOOKUP($C655,Carpetas!$C$5:$M$2666,5,FALSE)</f>
        <v>Rio Branco</v>
      </c>
      <c r="L655" s="32"/>
      <c r="M655" s="48">
        <f t="shared" si="39"/>
        <v>45559</v>
      </c>
      <c r="N655" s="26">
        <f t="shared" si="41"/>
        <v>2</v>
      </c>
      <c r="O655" s="27">
        <v>918</v>
      </c>
      <c r="P655" s="27">
        <v>918</v>
      </c>
      <c r="Q655" s="27">
        <v>26</v>
      </c>
      <c r="R655" s="27">
        <v>25</v>
      </c>
      <c r="S655" s="27" t="s">
        <v>2085</v>
      </c>
      <c r="T655" s="27"/>
      <c r="U655" s="27">
        <v>7121</v>
      </c>
      <c r="V655" s="27" t="s">
        <v>2086</v>
      </c>
      <c r="W655" s="27" t="s">
        <v>2087</v>
      </c>
      <c r="X655" s="73" t="s">
        <v>1711</v>
      </c>
      <c r="Y655" s="73" t="str">
        <f>VLOOKUP(X655,Choferes!$B$2:$C$500,2,FALSE)</f>
        <v>+5547996185932</v>
      </c>
      <c r="Z655" s="73" t="s">
        <v>2088</v>
      </c>
    </row>
    <row r="656" spans="1:26" hidden="1" x14ac:dyDescent="0.25">
      <c r="A656" s="33">
        <v>38</v>
      </c>
      <c r="B656" s="71" t="s">
        <v>298</v>
      </c>
      <c r="C656" s="39" t="s">
        <v>299</v>
      </c>
      <c r="D656" s="50" t="s">
        <v>803</v>
      </c>
      <c r="E656" s="47">
        <v>45556</v>
      </c>
      <c r="F656" s="31" t="str">
        <f>VLOOKUP($C656,Carpetas!$C$5:$M$2666,2,FALSE)</f>
        <v>BRB</v>
      </c>
      <c r="G656" s="23" t="e">
        <f>VLOOKUP($C656,Carpetas!$C$5:$M$2666,9,FALSE)</f>
        <v>#REF!</v>
      </c>
      <c r="H656" s="27" t="str">
        <f>VLOOKUP($C656,Carpetas!$C$5:$M$2666,5,FALSE)</f>
        <v>xx</v>
      </c>
      <c r="I656" s="220"/>
      <c r="J656" s="47">
        <f>E656+2</f>
        <v>45558</v>
      </c>
      <c r="K656" s="72">
        <f>VLOOKUP($C656,Carpetas!$C$5:$M$2666,4,FALSE)</f>
        <v>0</v>
      </c>
      <c r="L656" s="32"/>
      <c r="M656" s="48">
        <f t="shared" si="39"/>
        <v>45559</v>
      </c>
      <c r="N656" s="26">
        <f t="shared" si="41"/>
        <v>3</v>
      </c>
      <c r="O656" s="27">
        <v>990</v>
      </c>
      <c r="P656" s="27"/>
      <c r="Q656" s="27"/>
      <c r="R656" s="27"/>
      <c r="S656" s="27"/>
      <c r="T656" s="27"/>
      <c r="U656" s="27"/>
      <c r="V656" s="27"/>
      <c r="W656" s="27"/>
      <c r="X656" s="73"/>
      <c r="Y656" s="73" t="e">
        <f>VLOOKUP(X656,Choferes!$B$2:$C$500,2,FALSE)</f>
        <v>#N/A</v>
      </c>
      <c r="Z656" s="73"/>
    </row>
    <row r="657" spans="1:26" hidden="1" x14ac:dyDescent="0.25">
      <c r="A657" s="33">
        <v>38</v>
      </c>
      <c r="B657" s="71" t="s">
        <v>29</v>
      </c>
      <c r="C657" s="39" t="s">
        <v>2029</v>
      </c>
      <c r="D657" s="50" t="s">
        <v>880</v>
      </c>
      <c r="E657" s="47">
        <v>45555</v>
      </c>
      <c r="F657" s="31" t="str">
        <f>VLOOKUP($C657,Carpetas!$C$5:$M$2666,2,FALSE)</f>
        <v>BRB067</v>
      </c>
      <c r="G657" s="23" t="str">
        <f>VLOOKUP($C657,Carpetas!$C$5:$M$2666,10,FALSE)</f>
        <v>150,35,36</v>
      </c>
      <c r="H657" s="27" t="str">
        <f>VLOOKUP($C657,Carpetas!$C$5:$M$2666,6,FALSE)</f>
        <v>Zanini</v>
      </c>
      <c r="I657" s="220"/>
      <c r="J657" s="47">
        <v>45558</v>
      </c>
      <c r="K657" s="72" t="str">
        <f>VLOOKUP($C657,Carpetas!$C$5:$M$2666,5,FALSE)</f>
        <v>Rio Branco</v>
      </c>
      <c r="L657" s="32"/>
      <c r="M657" s="48">
        <v>45560</v>
      </c>
      <c r="N657" s="26">
        <f t="shared" si="41"/>
        <v>5</v>
      </c>
      <c r="O657" s="27">
        <v>918</v>
      </c>
      <c r="P657" s="27">
        <v>918</v>
      </c>
      <c r="Q657" s="27">
        <v>26</v>
      </c>
      <c r="R657" s="27">
        <v>26</v>
      </c>
      <c r="S657" s="27" t="s">
        <v>2089</v>
      </c>
      <c r="T657" s="27"/>
      <c r="U657" s="27">
        <v>4746</v>
      </c>
      <c r="V657" s="27" t="s">
        <v>2090</v>
      </c>
      <c r="W657" s="27" t="s">
        <v>2091</v>
      </c>
      <c r="X657" s="73" t="s">
        <v>2092</v>
      </c>
      <c r="Y657" s="73" t="str">
        <f>VLOOKUP(X657,Choferes!$B$2:$C$500,2,FALSE)</f>
        <v>+5554981206200</v>
      </c>
      <c r="Z657" s="73" t="s">
        <v>2093</v>
      </c>
    </row>
    <row r="658" spans="1:26" ht="30" hidden="1" x14ac:dyDescent="0.25">
      <c r="A658" s="33">
        <v>38</v>
      </c>
      <c r="B658" s="71" t="s">
        <v>29</v>
      </c>
      <c r="C658" s="39" t="s">
        <v>2075</v>
      </c>
      <c r="D658" s="50" t="s">
        <v>747</v>
      </c>
      <c r="E658" s="47">
        <v>45556</v>
      </c>
      <c r="F658" s="31" t="str">
        <f>VLOOKUP($C658,Carpetas!$C$5:$M$2666,2,FALSE)</f>
        <v>BRB070</v>
      </c>
      <c r="G658" s="23" t="str">
        <f>VLOOKUP($C658,Carpetas!$C$5:$M$2666,10,FALSE)</f>
        <v>150,38,40</v>
      </c>
      <c r="H658" s="27" t="str">
        <f>VLOOKUP($C658,Carpetas!$C$5:$M$2666,6,FALSE)</f>
        <v>FG</v>
      </c>
      <c r="I658" s="220"/>
      <c r="J658" s="47">
        <f>E658+2</f>
        <v>45558</v>
      </c>
      <c r="K658" s="72" t="str">
        <f>VLOOKUP($C658,Carpetas!$C$5:$M$2666,5,FALSE)</f>
        <v>Rio Branco</v>
      </c>
      <c r="L658" s="32"/>
      <c r="M658" s="48">
        <v>45560</v>
      </c>
      <c r="N658" s="26">
        <f t="shared" si="41"/>
        <v>4</v>
      </c>
      <c r="O658" s="27">
        <v>990</v>
      </c>
      <c r="P658" s="27">
        <v>991</v>
      </c>
      <c r="Q658" s="27">
        <v>28</v>
      </c>
      <c r="R658" s="27">
        <v>26</v>
      </c>
      <c r="S658" s="27" t="s">
        <v>2094</v>
      </c>
      <c r="T658" s="27"/>
      <c r="U658" s="27">
        <v>349</v>
      </c>
      <c r="V658" s="27" t="s">
        <v>1636</v>
      </c>
      <c r="W658" s="27" t="s">
        <v>1637</v>
      </c>
      <c r="X658" s="73" t="s">
        <v>1413</v>
      </c>
      <c r="Y658" s="73" t="str">
        <f>VLOOKUP(X658,Choferes!$B$2:$C$500,2,FALSE)</f>
        <v>+59899406679</v>
      </c>
      <c r="Z658" s="73" t="s">
        <v>2095</v>
      </c>
    </row>
    <row r="659" spans="1:26" hidden="1" x14ac:dyDescent="0.25">
      <c r="A659" s="33">
        <v>38</v>
      </c>
      <c r="B659" s="71" t="s">
        <v>29</v>
      </c>
      <c r="C659" s="39" t="s">
        <v>2075</v>
      </c>
      <c r="D659" s="50" t="s">
        <v>78</v>
      </c>
      <c r="E659" s="47">
        <v>45556</v>
      </c>
      <c r="F659" s="31" t="str">
        <f>VLOOKUP($C659,Carpetas!$C$5:$M$2666,2,FALSE)</f>
        <v>BRB070</v>
      </c>
      <c r="G659" s="23" t="str">
        <f>VLOOKUP($C659,Carpetas!$C$5:$M$2666,10,FALSE)</f>
        <v>150,38,40</v>
      </c>
      <c r="H659" s="27" t="str">
        <f>VLOOKUP($C659,Carpetas!$C$5:$M$2666,6,FALSE)</f>
        <v>FG</v>
      </c>
      <c r="I659" s="220"/>
      <c r="J659" s="47">
        <f>E659+2</f>
        <v>45558</v>
      </c>
      <c r="K659" s="72" t="str">
        <f>VLOOKUP($C659,Carpetas!$C$5:$M$2666,5,FALSE)</f>
        <v>Rio Branco</v>
      </c>
      <c r="L659" s="32"/>
      <c r="M659" s="48">
        <v>45560</v>
      </c>
      <c r="N659" s="26">
        <f t="shared" si="41"/>
        <v>4</v>
      </c>
      <c r="O659" s="27">
        <v>990</v>
      </c>
      <c r="P659" s="27">
        <v>991</v>
      </c>
      <c r="Q659" s="27">
        <v>28</v>
      </c>
      <c r="R659" s="27">
        <v>25</v>
      </c>
      <c r="S659" s="27" t="s">
        <v>2096</v>
      </c>
      <c r="T659" s="27"/>
      <c r="U659" s="27">
        <v>350</v>
      </c>
      <c r="V659" s="27" t="s">
        <v>1630</v>
      </c>
      <c r="W659" s="27" t="s">
        <v>1934</v>
      </c>
      <c r="X659" s="73" t="s">
        <v>1935</v>
      </c>
      <c r="Y659" s="73" t="str">
        <f>VLOOKUP(X659,Choferes!$B$2:$C$500,2,FALSE)</f>
        <v>+5554984377792</v>
      </c>
      <c r="Z659" s="73" t="s">
        <v>2097</v>
      </c>
    </row>
    <row r="660" spans="1:26" hidden="1" x14ac:dyDescent="0.25">
      <c r="A660" s="33">
        <v>38</v>
      </c>
      <c r="B660" s="71" t="s">
        <v>29</v>
      </c>
      <c r="C660" s="39" t="s">
        <v>2071</v>
      </c>
      <c r="D660" s="50" t="s">
        <v>803</v>
      </c>
      <c r="E660" s="47">
        <v>45555</v>
      </c>
      <c r="F660" s="31" t="str">
        <f>VLOOKUP($C660,Carpetas!$C$5:$M$2666,2,FALSE)</f>
        <v>BRB068</v>
      </c>
      <c r="G660" s="23" t="str">
        <f>VLOOKUP($C660,Carpetas!$C$5:$M$2666,10,FALSE)</f>
        <v>150,24,08</v>
      </c>
      <c r="H660" s="27" t="str">
        <f>VLOOKUP($C660,Carpetas!$C$5:$M$2666,6,FALSE)</f>
        <v xml:space="preserve">Silvio </v>
      </c>
      <c r="I660" s="220"/>
      <c r="J660" s="47">
        <v>45559</v>
      </c>
      <c r="K660" s="72" t="str">
        <f>VLOOKUP($C660,Carpetas!$C$5:$M$2666,5,FALSE)</f>
        <v>Rio Branco</v>
      </c>
      <c r="L660" s="32"/>
      <c r="M660" s="48">
        <f>J660+1</f>
        <v>45560</v>
      </c>
      <c r="N660" s="26">
        <f t="shared" si="41"/>
        <v>5</v>
      </c>
      <c r="O660" s="27">
        <v>918</v>
      </c>
      <c r="P660" s="27">
        <v>918</v>
      </c>
      <c r="Q660" s="27">
        <v>26</v>
      </c>
      <c r="R660" s="27">
        <v>25</v>
      </c>
      <c r="S660" s="27" t="s">
        <v>2098</v>
      </c>
      <c r="T660" s="27"/>
      <c r="U660" s="27">
        <v>7120</v>
      </c>
      <c r="V660" s="27" t="s">
        <v>1105</v>
      </c>
      <c r="W660" s="27" t="s">
        <v>1106</v>
      </c>
      <c r="X660" s="73"/>
      <c r="Y660" s="73" t="e">
        <f>VLOOKUP(X660,Choferes!$B$2:$C$500,2,FALSE)</f>
        <v>#N/A</v>
      </c>
      <c r="Z660" s="73" t="s">
        <v>2099</v>
      </c>
    </row>
    <row r="661" spans="1:26" hidden="1" x14ac:dyDescent="0.25">
      <c r="A661" s="33">
        <v>39</v>
      </c>
      <c r="B661" s="71" t="s">
        <v>29</v>
      </c>
      <c r="C661" s="39" t="s">
        <v>2029</v>
      </c>
      <c r="D661" s="50" t="s">
        <v>880</v>
      </c>
      <c r="E661" s="47">
        <v>45560</v>
      </c>
      <c r="F661" s="31" t="str">
        <f>VLOOKUP($C661,Carpetas!$C$5:$M$2666,2,FALSE)</f>
        <v>BRB067</v>
      </c>
      <c r="G661" s="23" t="str">
        <f>VLOOKUP($C661,Carpetas!$C$5:$M$2666,10,FALSE)</f>
        <v>150,35,36</v>
      </c>
      <c r="H661" s="27" t="str">
        <f>VLOOKUP($C661,Carpetas!$C$5:$M$2666,6,FALSE)</f>
        <v>Zanini</v>
      </c>
      <c r="I661" s="220"/>
      <c r="J661" s="47">
        <f>E661+1</f>
        <v>45561</v>
      </c>
      <c r="K661" s="72" t="str">
        <f>VLOOKUP($C661,Carpetas!$C$5:$M$2666,5,FALSE)</f>
        <v>Rio Branco</v>
      </c>
      <c r="L661" s="32"/>
      <c r="M661" s="48">
        <v>45561</v>
      </c>
      <c r="N661" s="26">
        <f t="shared" si="41"/>
        <v>1</v>
      </c>
      <c r="O661" s="27">
        <v>918</v>
      </c>
      <c r="P661" s="27">
        <v>918</v>
      </c>
      <c r="Q661" s="27">
        <v>26</v>
      </c>
      <c r="R661" s="27">
        <v>25</v>
      </c>
      <c r="S661" s="27" t="s">
        <v>2100</v>
      </c>
      <c r="T661" s="27"/>
      <c r="U661" s="27">
        <v>4761</v>
      </c>
      <c r="V661" s="27" t="s">
        <v>2101</v>
      </c>
      <c r="W661" s="27" t="s">
        <v>2102</v>
      </c>
      <c r="X661" s="73" t="s">
        <v>2103</v>
      </c>
      <c r="Y661" s="73" t="str">
        <f>VLOOKUP(X661,Choferes!$B$2:$C$500,2,FALSE)</f>
        <v>+5555997356277</v>
      </c>
      <c r="Z661" s="73" t="s">
        <v>2104</v>
      </c>
    </row>
    <row r="662" spans="1:26" hidden="1" x14ac:dyDescent="0.25">
      <c r="A662" s="33">
        <v>37</v>
      </c>
      <c r="B662" s="71" t="s">
        <v>29</v>
      </c>
      <c r="C662" s="39" t="s">
        <v>2105</v>
      </c>
      <c r="D662" s="50" t="s">
        <v>38</v>
      </c>
      <c r="E662" s="47">
        <v>45552</v>
      </c>
      <c r="F662" s="31" t="str">
        <f>VLOOKUP($C662,Carpetas!$C$5:$M$2666,2,FALSE)</f>
        <v>BRE031</v>
      </c>
      <c r="G662" s="23">
        <f>VLOOKUP($C662,Carpetas!$C$5:$M$2666,10,FALSE)</f>
        <v>0</v>
      </c>
      <c r="H662" s="27" t="str">
        <f>VLOOKUP($C662,Carpetas!$C$5:$M$2666,6,FALSE)</f>
        <v>Marvel</v>
      </c>
      <c r="I662" s="220">
        <f>VLOOKUP($C662,Carpetas!$C$5:$M$2666,4,FALSE)</f>
        <v>0</v>
      </c>
      <c r="J662" s="47">
        <f>E662+6</f>
        <v>45558</v>
      </c>
      <c r="K662" s="72" t="str">
        <f>VLOOKUP($C662,Carpetas!$C$5:$M$2666,5,FALSE)</f>
        <v>Rio Branco</v>
      </c>
      <c r="L662" s="32"/>
      <c r="M662" s="48">
        <v>45562</v>
      </c>
      <c r="N662" s="26">
        <f t="shared" si="41"/>
        <v>10</v>
      </c>
      <c r="O662" s="27">
        <v>23700</v>
      </c>
      <c r="P662" s="27"/>
      <c r="Q662" s="27"/>
      <c r="R662" s="27"/>
      <c r="S662" s="27"/>
      <c r="T662" s="27"/>
      <c r="U662" s="27">
        <v>10127</v>
      </c>
      <c r="V662" s="27" t="s">
        <v>2106</v>
      </c>
      <c r="W662" s="27" t="s">
        <v>2107</v>
      </c>
      <c r="X662" s="73"/>
      <c r="Y662" s="73" t="e">
        <f>VLOOKUP(X662,Choferes!$B$2:$C$500,2,FALSE)</f>
        <v>#N/A</v>
      </c>
      <c r="Z662" s="73" t="s">
        <v>1273</v>
      </c>
    </row>
    <row r="663" spans="1:26" hidden="1" x14ac:dyDescent="0.25">
      <c r="A663" s="33">
        <v>38</v>
      </c>
      <c r="B663" s="71" t="s">
        <v>29</v>
      </c>
      <c r="C663" s="39" t="s">
        <v>2108</v>
      </c>
      <c r="D663" s="50" t="s">
        <v>1757</v>
      </c>
      <c r="E663" s="47">
        <v>45553</v>
      </c>
      <c r="F663" s="31" t="str">
        <f>VLOOKUP($C663,Carpetas!$C$5:$M$2666,2,FALSE)</f>
        <v>BRB069</v>
      </c>
      <c r="G663" s="23" t="str">
        <f>VLOOKUP($C663,Carpetas!$C$5:$M$2666,10,FALSE)</f>
        <v>150,39,99</v>
      </c>
      <c r="H663" s="27" t="str">
        <f>VLOOKUP($C663,Carpetas!$C$5:$M$2666,6,FALSE)</f>
        <v>Marvel</v>
      </c>
      <c r="I663" s="220"/>
      <c r="J663" s="47">
        <f>E663+7</f>
        <v>45560</v>
      </c>
      <c r="K663" s="72" t="str">
        <f>VLOOKUP($C663,Carpetas!$C$5:$M$2666,5,FALSE)</f>
        <v>Rio Branco</v>
      </c>
      <c r="L663" s="32"/>
      <c r="M663" s="48">
        <v>45562</v>
      </c>
      <c r="N663" s="26">
        <f t="shared" si="41"/>
        <v>9</v>
      </c>
      <c r="O663" s="27">
        <v>936</v>
      </c>
      <c r="P663" s="27">
        <v>936</v>
      </c>
      <c r="Q663" s="27">
        <v>26</v>
      </c>
      <c r="R663" s="27">
        <v>25.5</v>
      </c>
      <c r="S663" s="27" t="s">
        <v>2109</v>
      </c>
      <c r="T663" s="27"/>
      <c r="U663" s="27">
        <v>10145</v>
      </c>
      <c r="V663" s="27" t="s">
        <v>2110</v>
      </c>
      <c r="W663" s="27" t="s">
        <v>2111</v>
      </c>
      <c r="X663" s="73"/>
      <c r="Y663" s="73" t="e">
        <f>VLOOKUP(X663,Choferes!$B$2:$C$500,2,FALSE)</f>
        <v>#N/A</v>
      </c>
      <c r="Z663" s="73" t="s">
        <v>2112</v>
      </c>
    </row>
    <row r="664" spans="1:26" hidden="1" x14ac:dyDescent="0.25">
      <c r="A664" s="33">
        <v>39</v>
      </c>
      <c r="B664" s="71" t="s">
        <v>29</v>
      </c>
      <c r="C664" s="39" t="s">
        <v>2113</v>
      </c>
      <c r="D664" s="50" t="s">
        <v>102</v>
      </c>
      <c r="E664" s="47">
        <v>45558</v>
      </c>
      <c r="F664" s="31" t="str">
        <f>VLOOKUP($C664,Carpetas!$C$5:$M$2666,2,FALSE)</f>
        <v>PYB141</v>
      </c>
      <c r="G664" s="23" t="str">
        <f>VLOOKUP($C664,Carpetas!$C$5:$M$2666,10,FALSE)</f>
        <v>150,45,25</v>
      </c>
      <c r="H664" s="27">
        <f>VLOOKUP($C664,Carpetas!$C$5:$M$2666,6,FALSE)</f>
        <v>0</v>
      </c>
      <c r="I664" s="220"/>
      <c r="J664" s="47">
        <f>E664+2</f>
        <v>45560</v>
      </c>
      <c r="K664" s="72" t="str">
        <f>VLOOKUP($C664,Carpetas!$C$5:$M$2666,5,FALSE)</f>
        <v>Salto</v>
      </c>
      <c r="L664" s="32"/>
      <c r="M664" s="48">
        <v>45562</v>
      </c>
      <c r="N664" s="26">
        <f t="shared" si="41"/>
        <v>4</v>
      </c>
      <c r="O664" s="27">
        <v>980</v>
      </c>
      <c r="P664" s="27">
        <v>980</v>
      </c>
      <c r="Q664" s="27">
        <v>28</v>
      </c>
      <c r="R664" s="27">
        <v>26</v>
      </c>
      <c r="S664" s="27" t="s">
        <v>2114</v>
      </c>
      <c r="T664" s="27"/>
      <c r="U664" s="27" t="s">
        <v>272</v>
      </c>
      <c r="V664" s="27"/>
      <c r="W664" s="27"/>
      <c r="X664" s="73"/>
      <c r="Y664" s="73" t="e">
        <f>VLOOKUP(X664,Choferes!$B$2:$C$500,2,FALSE)</f>
        <v>#N/A</v>
      </c>
      <c r="Z664" s="73" t="s">
        <v>2115</v>
      </c>
    </row>
    <row r="665" spans="1:26" hidden="1" x14ac:dyDescent="0.25">
      <c r="A665" s="33">
        <v>39</v>
      </c>
      <c r="B665" s="71" t="s">
        <v>29</v>
      </c>
      <c r="C665" s="39" t="s">
        <v>2075</v>
      </c>
      <c r="D665" s="50" t="s">
        <v>110</v>
      </c>
      <c r="E665" s="47">
        <v>45559</v>
      </c>
      <c r="F665" s="31" t="str">
        <f>VLOOKUP($C665,Carpetas!$C$5:$M$2666,2,FALSE)</f>
        <v>BRB070</v>
      </c>
      <c r="G665" s="23" t="str">
        <f>VLOOKUP($C665,Carpetas!$C$5:$M$2666,10,FALSE)</f>
        <v>150,38,40</v>
      </c>
      <c r="H665" s="27" t="str">
        <f>VLOOKUP($C665,Carpetas!$C$5:$M$2666,6,FALSE)</f>
        <v>FG</v>
      </c>
      <c r="I665" s="220"/>
      <c r="J665" s="47">
        <f>E665+2</f>
        <v>45561</v>
      </c>
      <c r="K665" s="72" t="str">
        <f>VLOOKUP($C665,Carpetas!$C$5:$M$2666,5,FALSE)</f>
        <v>Rio Branco</v>
      </c>
      <c r="L665" s="32"/>
      <c r="M665" s="48">
        <f>J665+1</f>
        <v>45562</v>
      </c>
      <c r="N665" s="26">
        <f t="shared" si="41"/>
        <v>3</v>
      </c>
      <c r="O665" s="27">
        <v>990</v>
      </c>
      <c r="P665" s="27">
        <v>990</v>
      </c>
      <c r="Q665" s="27">
        <v>28</v>
      </c>
      <c r="R665" s="27">
        <v>26</v>
      </c>
      <c r="S665" s="27" t="s">
        <v>2116</v>
      </c>
      <c r="T665" s="27"/>
      <c r="U665" s="27">
        <v>352</v>
      </c>
      <c r="V665" s="27" t="s">
        <v>2117</v>
      </c>
      <c r="W665" s="27" t="s">
        <v>2118</v>
      </c>
      <c r="X665" s="73" t="s">
        <v>2119</v>
      </c>
      <c r="Y665" s="73" t="str">
        <f>VLOOKUP(X665,Choferes!$B$2:$C$500,2,FALSE)</f>
        <v>+5553981528085</v>
      </c>
      <c r="Z665" s="73" t="s">
        <v>2120</v>
      </c>
    </row>
    <row r="666" spans="1:26" hidden="1" x14ac:dyDescent="0.25">
      <c r="A666" s="33" t="s">
        <v>2121</v>
      </c>
      <c r="B666" s="71" t="s">
        <v>29</v>
      </c>
      <c r="C666" s="39" t="s">
        <v>2075</v>
      </c>
      <c r="D666" s="50" t="s">
        <v>953</v>
      </c>
      <c r="E666" s="47">
        <v>45559</v>
      </c>
      <c r="F666" s="31" t="str">
        <f>VLOOKUP($C666,Carpetas!$C$5:$M$2666,2,FALSE)</f>
        <v>BRB070</v>
      </c>
      <c r="G666" s="23" t="str">
        <f>VLOOKUP($C666,Carpetas!$C$5:$M$2666,10,FALSE)</f>
        <v>150,38,40</v>
      </c>
      <c r="H666" s="27" t="str">
        <f>VLOOKUP($C666,Carpetas!$C$5:$M$2666,6,FALSE)</f>
        <v>FG</v>
      </c>
      <c r="I666" s="220"/>
      <c r="J666" s="47">
        <f>E666+2</f>
        <v>45561</v>
      </c>
      <c r="K666" s="72" t="str">
        <f>VLOOKUP($C666,Carpetas!$C$5:$M$2666,5,FALSE)</f>
        <v>Rio Branco</v>
      </c>
      <c r="L666" s="32"/>
      <c r="M666" s="48">
        <f>J666+1</f>
        <v>45562</v>
      </c>
      <c r="N666" s="26">
        <f t="shared" si="41"/>
        <v>3</v>
      </c>
      <c r="O666" s="27">
        <v>990</v>
      </c>
      <c r="P666" s="27">
        <v>990</v>
      </c>
      <c r="Q666" s="27">
        <v>28</v>
      </c>
      <c r="R666" s="27">
        <v>25.5</v>
      </c>
      <c r="S666" s="27" t="s">
        <v>2122</v>
      </c>
      <c r="T666" s="27"/>
      <c r="U666" s="27">
        <v>354</v>
      </c>
      <c r="V666" s="27" t="s">
        <v>1617</v>
      </c>
      <c r="W666" s="27" t="s">
        <v>1618</v>
      </c>
      <c r="X666" s="73" t="s">
        <v>1619</v>
      </c>
      <c r="Y666" s="73" t="str">
        <f>VLOOKUP(X666,Choferes!$B$2:$C$500,2,FALSE)</f>
        <v>+5553984318842</v>
      </c>
      <c r="Z666" s="73" t="s">
        <v>2123</v>
      </c>
    </row>
    <row r="667" spans="1:26" hidden="1" x14ac:dyDescent="0.25">
      <c r="A667" s="33">
        <v>38</v>
      </c>
      <c r="B667" s="71" t="s">
        <v>29</v>
      </c>
      <c r="C667" s="39" t="s">
        <v>2108</v>
      </c>
      <c r="D667" s="50" t="s">
        <v>1757</v>
      </c>
      <c r="E667" s="47">
        <v>45556</v>
      </c>
      <c r="F667" s="31" t="str">
        <f>VLOOKUP($C667,Carpetas!$C$5:$M$2666,2,FALSE)</f>
        <v>BRB069</v>
      </c>
      <c r="G667" s="23" t="str">
        <f>VLOOKUP($C667,Carpetas!$C$5:$M$2666,10,FALSE)</f>
        <v>150,39,99</v>
      </c>
      <c r="H667" s="27" t="str">
        <f>VLOOKUP($C667,Carpetas!$C$5:$M$2666,6,FALSE)</f>
        <v>Marvel</v>
      </c>
      <c r="I667" s="220"/>
      <c r="J667" s="47">
        <v>45561</v>
      </c>
      <c r="K667" s="72" t="str">
        <f>VLOOKUP($C667,Carpetas!$C$5:$M$2666,5,FALSE)</f>
        <v>Rio Branco</v>
      </c>
      <c r="L667" s="32"/>
      <c r="M667" s="48">
        <v>45563</v>
      </c>
      <c r="N667" s="26">
        <f t="shared" si="41"/>
        <v>7</v>
      </c>
      <c r="O667" s="27">
        <v>936</v>
      </c>
      <c r="P667" s="27">
        <v>936</v>
      </c>
      <c r="Q667" s="27">
        <v>6</v>
      </c>
      <c r="R667" s="27">
        <v>25</v>
      </c>
      <c r="S667" s="27" t="s">
        <v>2124</v>
      </c>
      <c r="T667" s="27"/>
      <c r="U667" s="27">
        <v>10146</v>
      </c>
      <c r="V667" s="27" t="s">
        <v>2125</v>
      </c>
      <c r="W667" s="27" t="s">
        <v>2126</v>
      </c>
      <c r="X667" s="73"/>
      <c r="Y667" s="73" t="e">
        <f>VLOOKUP(X667,Choferes!$B$2:$C$500,2,FALSE)</f>
        <v>#N/A</v>
      </c>
      <c r="Z667" s="73" t="s">
        <v>2127</v>
      </c>
    </row>
    <row r="668" spans="1:26" hidden="1" x14ac:dyDescent="0.25">
      <c r="A668" s="33">
        <v>38</v>
      </c>
      <c r="B668" s="71" t="s">
        <v>29</v>
      </c>
      <c r="C668" s="39" t="s">
        <v>2108</v>
      </c>
      <c r="D668" s="50" t="s">
        <v>1757</v>
      </c>
      <c r="E668" s="47">
        <v>45557</v>
      </c>
      <c r="F668" s="31" t="str">
        <f>VLOOKUP($C668,Carpetas!$C$5:$M$2666,2,FALSE)</f>
        <v>BRB069</v>
      </c>
      <c r="G668" s="23" t="str">
        <f>VLOOKUP($C668,Carpetas!$C$5:$M$2666,10,FALSE)</f>
        <v>150,39,99</v>
      </c>
      <c r="H668" s="27" t="str">
        <f>VLOOKUP($C668,Carpetas!$C$5:$M$2666,6,FALSE)</f>
        <v>Marvel</v>
      </c>
      <c r="I668" s="220"/>
      <c r="J668" s="47">
        <f>E668+4</f>
        <v>45561</v>
      </c>
      <c r="K668" s="72" t="str">
        <f>VLOOKUP($C668,Carpetas!$C$5:$M$2666,5,FALSE)</f>
        <v>Rio Branco</v>
      </c>
      <c r="L668" s="32"/>
      <c r="M668" s="48">
        <v>45563</v>
      </c>
      <c r="N668" s="26">
        <f t="shared" si="41"/>
        <v>6</v>
      </c>
      <c r="O668" s="27">
        <v>936</v>
      </c>
      <c r="P668" s="27">
        <v>936</v>
      </c>
      <c r="Q668" s="27">
        <v>26</v>
      </c>
      <c r="R668" s="27">
        <v>25</v>
      </c>
      <c r="S668" s="27" t="s">
        <v>2128</v>
      </c>
      <c r="T668" s="27"/>
      <c r="U668" s="27">
        <v>10147</v>
      </c>
      <c r="V668" s="27" t="s">
        <v>2129</v>
      </c>
      <c r="W668" s="27" t="s">
        <v>2130</v>
      </c>
      <c r="X668" s="73"/>
      <c r="Y668" s="73" t="e">
        <f>VLOOKUP(X668,Choferes!$B$2:$C$500,2,FALSE)</f>
        <v>#N/A</v>
      </c>
      <c r="Z668" s="73" t="s">
        <v>2127</v>
      </c>
    </row>
    <row r="669" spans="1:26" hidden="1" x14ac:dyDescent="0.25">
      <c r="A669" s="33">
        <v>39</v>
      </c>
      <c r="B669" s="71" t="s">
        <v>29</v>
      </c>
      <c r="C669" s="39" t="s">
        <v>2075</v>
      </c>
      <c r="D669" s="50" t="s">
        <v>78</v>
      </c>
      <c r="E669" s="47">
        <v>45560</v>
      </c>
      <c r="F669" s="31" t="str">
        <f>VLOOKUP($C669,Carpetas!$C$5:$M$2666,2,FALSE)</f>
        <v>BRB070</v>
      </c>
      <c r="G669" s="23" t="str">
        <f>VLOOKUP($C669,Carpetas!$C$5:$M$2666,10,FALSE)</f>
        <v>150,38,40</v>
      </c>
      <c r="H669" s="27" t="str">
        <f>VLOOKUP($C669,Carpetas!$C$5:$M$2666,6,FALSE)</f>
        <v>FG</v>
      </c>
      <c r="I669" s="220"/>
      <c r="J669" s="47">
        <v>45562</v>
      </c>
      <c r="K669" s="72" t="str">
        <f>VLOOKUP($C669,Carpetas!$C$5:$M$2666,5,FALSE)</f>
        <v>Rio Branco</v>
      </c>
      <c r="L669" s="32"/>
      <c r="M669" s="48">
        <f t="shared" ref="M669:M676" si="42">J669+1</f>
        <v>45563</v>
      </c>
      <c r="N669" s="26">
        <f t="shared" si="41"/>
        <v>3</v>
      </c>
      <c r="O669" s="27">
        <v>990</v>
      </c>
      <c r="P669" s="27">
        <v>991</v>
      </c>
      <c r="Q669" s="27">
        <v>28</v>
      </c>
      <c r="R669" s="27">
        <v>25</v>
      </c>
      <c r="S669" s="27" t="s">
        <v>2131</v>
      </c>
      <c r="T669" s="27"/>
      <c r="U669" s="27">
        <v>355</v>
      </c>
      <c r="V669" s="27" t="s">
        <v>1430</v>
      </c>
      <c r="W669" s="27" t="s">
        <v>1669</v>
      </c>
      <c r="X669" s="73"/>
      <c r="Y669" s="73" t="e">
        <f>VLOOKUP(X669,Choferes!$B$2:$C$500,2,FALSE)</f>
        <v>#N/A</v>
      </c>
      <c r="Z669" s="73" t="s">
        <v>2132</v>
      </c>
    </row>
    <row r="670" spans="1:26" hidden="1" x14ac:dyDescent="0.25">
      <c r="A670" s="33">
        <v>39</v>
      </c>
      <c r="B670" s="71" t="s">
        <v>29</v>
      </c>
      <c r="C670" s="39" t="s">
        <v>2075</v>
      </c>
      <c r="D670" s="50" t="s">
        <v>747</v>
      </c>
      <c r="E670" s="47">
        <v>45560</v>
      </c>
      <c r="F670" s="31" t="str">
        <f>VLOOKUP($C670,Carpetas!$C$5:$M$2666,2,FALSE)</f>
        <v>BRB070</v>
      </c>
      <c r="G670" s="23" t="str">
        <f>VLOOKUP($C670,Carpetas!$C$5:$M$2666,10,FALSE)</f>
        <v>150,38,40</v>
      </c>
      <c r="H670" s="27" t="str">
        <f>VLOOKUP($C670,Carpetas!$C$5:$M$2666,6,FALSE)</f>
        <v>FG</v>
      </c>
      <c r="I670" s="220"/>
      <c r="J670" s="47">
        <v>45562</v>
      </c>
      <c r="K670" s="72" t="str">
        <f>VLOOKUP($C670,Carpetas!$C$5:$M$2666,5,FALSE)</f>
        <v>Rio Branco</v>
      </c>
      <c r="L670" s="32"/>
      <c r="M670" s="48">
        <f t="shared" si="42"/>
        <v>45563</v>
      </c>
      <c r="N670" s="26">
        <f t="shared" si="41"/>
        <v>3</v>
      </c>
      <c r="O670" s="27">
        <v>990</v>
      </c>
      <c r="P670" s="27">
        <v>991</v>
      </c>
      <c r="Q670" s="27">
        <v>28</v>
      </c>
      <c r="R670" s="27">
        <v>26</v>
      </c>
      <c r="S670" s="27" t="s">
        <v>2133</v>
      </c>
      <c r="T670" s="27"/>
      <c r="U670" s="27">
        <v>358</v>
      </c>
      <c r="V670" s="27" t="s">
        <v>1626</v>
      </c>
      <c r="W670" s="27" t="s">
        <v>1627</v>
      </c>
      <c r="X670" s="73"/>
      <c r="Y670" s="73" t="e">
        <f>VLOOKUP(X670,Choferes!$B$2:$C$500,2,FALSE)</f>
        <v>#N/A</v>
      </c>
      <c r="Z670" s="73" t="s">
        <v>2134</v>
      </c>
    </row>
    <row r="671" spans="1:26" hidden="1" x14ac:dyDescent="0.25">
      <c r="A671" s="33">
        <v>39</v>
      </c>
      <c r="B671" s="71" t="s">
        <v>29</v>
      </c>
      <c r="C671" s="39" t="s">
        <v>2078</v>
      </c>
      <c r="D671" s="50" t="s">
        <v>110</v>
      </c>
      <c r="E671" s="47">
        <v>45560</v>
      </c>
      <c r="F671" s="31" t="str">
        <f>VLOOKUP($C671,Carpetas!$C$5:$M$2666,2,FALSE)</f>
        <v>BRB071</v>
      </c>
      <c r="G671" s="23" t="str">
        <f>VLOOKUP($C671,Carpetas!$C$5:$M$2666,10,FALSE)</f>
        <v>150,38,42</v>
      </c>
      <c r="H671" s="27" t="str">
        <f>VLOOKUP($C671,Carpetas!$C$5:$M$2666,6,FALSE)</f>
        <v>Amaro</v>
      </c>
      <c r="I671" s="220"/>
      <c r="J671" s="47">
        <f>E671+2</f>
        <v>45562</v>
      </c>
      <c r="K671" s="72" t="str">
        <f>VLOOKUP($C671,Carpetas!$C$5:$M$2666,5,FALSE)</f>
        <v>Rio Branco</v>
      </c>
      <c r="L671" s="32"/>
      <c r="M671" s="48">
        <f t="shared" si="42"/>
        <v>45563</v>
      </c>
      <c r="N671" s="26">
        <f t="shared" si="41"/>
        <v>3</v>
      </c>
      <c r="O671" s="27">
        <v>990</v>
      </c>
      <c r="P671" s="27">
        <v>991</v>
      </c>
      <c r="Q671" s="27">
        <v>28</v>
      </c>
      <c r="R671" s="27">
        <v>24.5</v>
      </c>
      <c r="S671" s="27" t="s">
        <v>2135</v>
      </c>
      <c r="T671" s="27"/>
      <c r="U671" s="27">
        <v>24685</v>
      </c>
      <c r="V671" s="27" t="s">
        <v>2136</v>
      </c>
      <c r="W671" s="27" t="s">
        <v>2137</v>
      </c>
      <c r="X671" s="73"/>
      <c r="Y671" s="73" t="e">
        <f>VLOOKUP(X671,Choferes!$B$2:$C$500,2,FALSE)</f>
        <v>#N/A</v>
      </c>
      <c r="Z671" s="73" t="s">
        <v>2138</v>
      </c>
    </row>
    <row r="672" spans="1:26" hidden="1" x14ac:dyDescent="0.25">
      <c r="A672" s="33">
        <v>39</v>
      </c>
      <c r="B672" s="71" t="s">
        <v>29</v>
      </c>
      <c r="C672" s="39" t="s">
        <v>2113</v>
      </c>
      <c r="D672" s="50" t="s">
        <v>102</v>
      </c>
      <c r="E672" s="47">
        <v>45560</v>
      </c>
      <c r="F672" s="31" t="str">
        <f>VLOOKUP($C672,Carpetas!$C$5:$M$2666,2,FALSE)</f>
        <v>PYB141</v>
      </c>
      <c r="G672" s="23" t="str">
        <f>VLOOKUP($C672,Carpetas!$C$5:$M$2666,10,FALSE)</f>
        <v>150,45,25</v>
      </c>
      <c r="H672" s="27">
        <f>VLOOKUP($C672,Carpetas!$C$5:$M$2666,6,FALSE)</f>
        <v>0</v>
      </c>
      <c r="I672" s="220"/>
      <c r="J672" s="47">
        <f>E672+2</f>
        <v>45562</v>
      </c>
      <c r="K672" s="72" t="str">
        <f>VLOOKUP($C672,Carpetas!$C$5:$M$2666,5,FALSE)</f>
        <v>Salto</v>
      </c>
      <c r="L672" s="32"/>
      <c r="M672" s="48">
        <f t="shared" si="42"/>
        <v>45563</v>
      </c>
      <c r="N672" s="26">
        <f t="shared" si="41"/>
        <v>3</v>
      </c>
      <c r="O672" s="27">
        <v>980</v>
      </c>
      <c r="P672" s="27">
        <v>980</v>
      </c>
      <c r="Q672" s="27">
        <v>28</v>
      </c>
      <c r="R672" s="27">
        <v>25.5</v>
      </c>
      <c r="S672" s="27" t="s">
        <v>2139</v>
      </c>
      <c r="T672" s="27"/>
      <c r="U672" s="27"/>
      <c r="V672" s="27"/>
      <c r="W672" s="27"/>
      <c r="X672" s="73"/>
      <c r="Y672" s="73" t="e">
        <f>VLOOKUP(X672,Choferes!$B$2:$C$500,2,FALSE)</f>
        <v>#N/A</v>
      </c>
      <c r="Z672" s="73" t="s">
        <v>2140</v>
      </c>
    </row>
    <row r="673" spans="1:26" hidden="1" x14ac:dyDescent="0.25">
      <c r="A673" s="33">
        <v>39</v>
      </c>
      <c r="B673" s="71" t="s">
        <v>29</v>
      </c>
      <c r="C673" s="39" t="s">
        <v>2141</v>
      </c>
      <c r="D673" s="50" t="s">
        <v>48</v>
      </c>
      <c r="E673" s="47">
        <v>45560</v>
      </c>
      <c r="F673" s="31" t="str">
        <f>VLOOKUP($C673,Carpetas!$C$5:$M$2666,2,FALSE)</f>
        <v>PYB142</v>
      </c>
      <c r="G673" s="23" t="str">
        <f>VLOOKUP($C673,Carpetas!$C$5:$M$2666,10,FALSE)</f>
        <v>150.46.92</v>
      </c>
      <c r="H673" s="27">
        <f>VLOOKUP($C673,Carpetas!$C$5:$M$2666,6,FALSE)</f>
        <v>0</v>
      </c>
      <c r="I673" s="220"/>
      <c r="J673" s="47">
        <f>E673+2</f>
        <v>45562</v>
      </c>
      <c r="K673" s="72" t="str">
        <f>VLOOKUP($C673,Carpetas!$C$5:$M$2666,5,FALSE)</f>
        <v>Salto</v>
      </c>
      <c r="L673" s="32"/>
      <c r="M673" s="48">
        <f t="shared" si="42"/>
        <v>45563</v>
      </c>
      <c r="N673" s="26">
        <f t="shared" si="41"/>
        <v>3</v>
      </c>
      <c r="O673" s="27">
        <v>930</v>
      </c>
      <c r="P673" s="27">
        <v>930</v>
      </c>
      <c r="Q673" s="27">
        <v>26</v>
      </c>
      <c r="R673" s="27">
        <v>25</v>
      </c>
      <c r="S673" s="27" t="s">
        <v>2142</v>
      </c>
      <c r="T673" s="27"/>
      <c r="U673" s="27"/>
      <c r="V673" s="27"/>
      <c r="W673" s="27"/>
      <c r="X673" s="73"/>
      <c r="Y673" s="73" t="e">
        <f>VLOOKUP(X673,Choferes!$B$2:$C$500,2,FALSE)</f>
        <v>#N/A</v>
      </c>
      <c r="Z673" s="73" t="s">
        <v>2143</v>
      </c>
    </row>
    <row r="674" spans="1:26" hidden="1" x14ac:dyDescent="0.25">
      <c r="A674" s="33">
        <v>39</v>
      </c>
      <c r="B674" s="71" t="s">
        <v>29</v>
      </c>
      <c r="C674" s="39" t="s">
        <v>2075</v>
      </c>
      <c r="D674" s="50" t="s">
        <v>803</v>
      </c>
      <c r="E674" s="47">
        <v>45562</v>
      </c>
      <c r="F674" s="31" t="str">
        <f>VLOOKUP($C674,Carpetas!$C$5:$M$2666,2,FALSE)</f>
        <v>BRB070</v>
      </c>
      <c r="G674" s="23" t="str">
        <f>VLOOKUP($C674,Carpetas!$C$5:$M$2666,10,FALSE)</f>
        <v>150,38,40</v>
      </c>
      <c r="H674" s="27" t="str">
        <f>VLOOKUP($C674,Carpetas!$C$5:$M$2666,6,FALSE)</f>
        <v>FG</v>
      </c>
      <c r="I674" s="220"/>
      <c r="J674" s="47">
        <v>45565</v>
      </c>
      <c r="K674" s="72" t="str">
        <f>VLOOKUP($C674,Carpetas!$C$5:$M$2666,5,FALSE)</f>
        <v>Rio Branco</v>
      </c>
      <c r="L674" s="32"/>
      <c r="M674" s="48">
        <f t="shared" si="42"/>
        <v>45566</v>
      </c>
      <c r="N674" s="26">
        <f t="shared" si="41"/>
        <v>4</v>
      </c>
      <c r="O674" s="27">
        <v>990</v>
      </c>
      <c r="P674" s="27">
        <v>990</v>
      </c>
      <c r="Q674" s="27">
        <v>28</v>
      </c>
      <c r="R674" s="27">
        <v>25</v>
      </c>
      <c r="S674" s="27" t="s">
        <v>2144</v>
      </c>
      <c r="T674" s="27"/>
      <c r="U674" s="27">
        <v>361</v>
      </c>
      <c r="V674" s="27" t="s">
        <v>1042</v>
      </c>
      <c r="W674" s="27" t="s">
        <v>1622</v>
      </c>
      <c r="X674" s="73" t="s">
        <v>1623</v>
      </c>
      <c r="Y674" s="73" t="str">
        <f>VLOOKUP(X674,Choferes!$B$2:$C$500,2,FALSE)</f>
        <v>+5553991254560</v>
      </c>
      <c r="Z674" s="73" t="s">
        <v>2145</v>
      </c>
    </row>
    <row r="675" spans="1:26" hidden="1" x14ac:dyDescent="0.25">
      <c r="A675" s="33">
        <v>39</v>
      </c>
      <c r="B675" s="71" t="s">
        <v>29</v>
      </c>
      <c r="C675" s="39" t="s">
        <v>2146</v>
      </c>
      <c r="D675" s="50" t="s">
        <v>764</v>
      </c>
      <c r="E675" s="47">
        <v>45562</v>
      </c>
      <c r="F675" s="31" t="str">
        <f>VLOOKUP($C675,Carpetas!$C$5:$M$2666,2,FALSE)</f>
        <v>BRC004</v>
      </c>
      <c r="G675" s="23" t="str">
        <f>VLOOKUP($C675,Carpetas!$C$5:$M$2666,10,FALSE)</f>
        <v>150,48,78</v>
      </c>
      <c r="H675" s="27" t="str">
        <f>VLOOKUP($C675,Carpetas!$C$5:$M$2666,6,FALSE)</f>
        <v>FG</v>
      </c>
      <c r="I675" s="220"/>
      <c r="J675" s="47">
        <v>45565</v>
      </c>
      <c r="K675" s="72" t="str">
        <f>VLOOKUP($C675,Carpetas!$C$5:$M$2666,5,FALSE)</f>
        <v>Rio Branco</v>
      </c>
      <c r="L675" s="32"/>
      <c r="M675" s="48">
        <f t="shared" si="42"/>
        <v>45566</v>
      </c>
      <c r="N675" s="26">
        <f t="shared" si="41"/>
        <v>4</v>
      </c>
      <c r="O675" s="27">
        <v>990</v>
      </c>
      <c r="P675" s="27">
        <v>990</v>
      </c>
      <c r="Q675" s="27">
        <v>28</v>
      </c>
      <c r="R675" s="27">
        <v>25</v>
      </c>
      <c r="S675" s="27" t="s">
        <v>2147</v>
      </c>
      <c r="T675" s="27"/>
      <c r="U675" s="27"/>
      <c r="V675" s="27" t="s">
        <v>911</v>
      </c>
      <c r="W675" s="27"/>
      <c r="X675" s="73"/>
      <c r="Y675" s="73" t="e">
        <f>VLOOKUP(X675,Choferes!$B$2:$C$500,2,FALSE)</f>
        <v>#N/A</v>
      </c>
      <c r="Z675" s="73" t="s">
        <v>2145</v>
      </c>
    </row>
    <row r="676" spans="1:26" hidden="1" x14ac:dyDescent="0.25">
      <c r="A676" s="33">
        <v>39</v>
      </c>
      <c r="B676" s="71" t="s">
        <v>29</v>
      </c>
      <c r="C676" s="39" t="s">
        <v>2148</v>
      </c>
      <c r="D676" s="50" t="s">
        <v>38</v>
      </c>
      <c r="E676" s="47">
        <v>45558</v>
      </c>
      <c r="F676" s="31" t="str">
        <f>VLOOKUP($C676,Carpetas!$C$5:$M$2666,2,FALSE)</f>
        <v>BRE032</v>
      </c>
      <c r="G676" s="23">
        <f>VLOOKUP($C676,Carpetas!$C$5:$M$2666,10,FALSE)</f>
        <v>0</v>
      </c>
      <c r="H676" s="27" t="str">
        <f>VLOOKUP($C676,Carpetas!$C$5:$M$2666,6,FALSE)</f>
        <v>Marvel</v>
      </c>
      <c r="I676" s="220">
        <f>VLOOKUP($C676,Carpetas!$C$5:$M$2666,4,FALSE)</f>
        <v>0</v>
      </c>
      <c r="J676" s="47">
        <v>45566</v>
      </c>
      <c r="K676" s="72" t="str">
        <f>VLOOKUP($C676,Carpetas!$C$5:$M$2666,5,FALSE)</f>
        <v>Rio Branco</v>
      </c>
      <c r="L676" s="32"/>
      <c r="M676" s="48">
        <f t="shared" si="42"/>
        <v>45567</v>
      </c>
      <c r="N676" s="26">
        <f t="shared" si="41"/>
        <v>9</v>
      </c>
      <c r="O676" s="27">
        <v>24000</v>
      </c>
      <c r="P676" s="27"/>
      <c r="Q676" s="27"/>
      <c r="R676" s="27"/>
      <c r="S676" s="27"/>
      <c r="T676" s="27"/>
      <c r="U676" s="27">
        <v>10141</v>
      </c>
      <c r="V676" s="27" t="s">
        <v>2149</v>
      </c>
      <c r="W676" s="27" t="s">
        <v>2150</v>
      </c>
      <c r="X676" s="73"/>
      <c r="Y676" s="73" t="e">
        <f>VLOOKUP(X676,Choferes!$B$2:$C$500,2,FALSE)</f>
        <v>#N/A</v>
      </c>
      <c r="Z676" s="73" t="s">
        <v>1273</v>
      </c>
    </row>
    <row r="677" spans="1:26" hidden="1" x14ac:dyDescent="0.25">
      <c r="A677" s="33">
        <v>39</v>
      </c>
      <c r="B677" s="71" t="s">
        <v>29</v>
      </c>
      <c r="C677" s="39" t="s">
        <v>2151</v>
      </c>
      <c r="D677" s="50" t="s">
        <v>1757</v>
      </c>
      <c r="E677" s="47">
        <v>45560</v>
      </c>
      <c r="F677" s="31" t="str">
        <f>VLOOKUP($C677,Carpetas!$C$5:$M$2666,2,FALSE)</f>
        <v>BRB072</v>
      </c>
      <c r="G677" s="23" t="str">
        <f>VLOOKUP($C677,Carpetas!$C$5:$M$2666,10,FALSE)</f>
        <v>150,46,97</v>
      </c>
      <c r="H677" s="27" t="str">
        <f>VLOOKUP($C677,Carpetas!$C$5:$M$2666,6,FALSE)</f>
        <v>Marvel</v>
      </c>
      <c r="I677" s="220"/>
      <c r="J677" s="47">
        <v>45566</v>
      </c>
      <c r="K677" s="72" t="str">
        <f>VLOOKUP($C677,Carpetas!$C$5:$M$2666,5,FALSE)</f>
        <v>Rio Branco</v>
      </c>
      <c r="L677" s="32"/>
      <c r="M677" s="48">
        <f>J677+1+1</f>
        <v>45568</v>
      </c>
      <c r="N677" s="26">
        <f t="shared" si="41"/>
        <v>8</v>
      </c>
      <c r="O677" s="27">
        <v>936</v>
      </c>
      <c r="P677" s="27">
        <v>936</v>
      </c>
      <c r="Q677" s="27">
        <v>26</v>
      </c>
      <c r="R677" s="27">
        <v>25</v>
      </c>
      <c r="S677" s="27" t="s">
        <v>2152</v>
      </c>
      <c r="T677" s="27"/>
      <c r="U677" s="27">
        <v>10151</v>
      </c>
      <c r="V677" s="27" t="s">
        <v>2153</v>
      </c>
      <c r="W677" s="27" t="s">
        <v>2154</v>
      </c>
      <c r="X677" s="73"/>
      <c r="Y677" s="73" t="e">
        <f>VLOOKUP(X677,Choferes!$B$2:$C$500,2,FALSE)</f>
        <v>#N/A</v>
      </c>
      <c r="Z677" s="73" t="s">
        <v>2155</v>
      </c>
    </row>
    <row r="678" spans="1:26" hidden="1" x14ac:dyDescent="0.25">
      <c r="A678" s="33">
        <v>39</v>
      </c>
      <c r="B678" s="71" t="s">
        <v>29</v>
      </c>
      <c r="C678" s="39" t="s">
        <v>2151</v>
      </c>
      <c r="D678" s="50" t="s">
        <v>1757</v>
      </c>
      <c r="E678" s="47">
        <v>45561</v>
      </c>
      <c r="F678" s="31" t="str">
        <f>VLOOKUP($C678,Carpetas!$C$5:$M$2666,2,FALSE)</f>
        <v>BRB072</v>
      </c>
      <c r="G678" s="23" t="str">
        <f>VLOOKUP($C678,Carpetas!$C$5:$M$2666,10,FALSE)</f>
        <v>150,46,97</v>
      </c>
      <c r="H678" s="27" t="str">
        <f>VLOOKUP($C678,Carpetas!$C$5:$M$2666,6,FALSE)</f>
        <v>Marvel</v>
      </c>
      <c r="I678" s="220"/>
      <c r="J678" s="47">
        <v>45566</v>
      </c>
      <c r="K678" s="72" t="str">
        <f>VLOOKUP($C678,Carpetas!$C$5:$M$2666,5,FALSE)</f>
        <v>Rio Branco</v>
      </c>
      <c r="L678" s="32"/>
      <c r="M678" s="48">
        <v>45568</v>
      </c>
      <c r="N678" s="26">
        <f t="shared" si="41"/>
        <v>7</v>
      </c>
      <c r="O678" s="27">
        <v>936</v>
      </c>
      <c r="P678" s="27">
        <v>936</v>
      </c>
      <c r="Q678" s="27">
        <v>26</v>
      </c>
      <c r="R678" s="27">
        <v>25</v>
      </c>
      <c r="S678" s="27" t="s">
        <v>2156</v>
      </c>
      <c r="T678" s="27"/>
      <c r="U678" s="27">
        <v>10152</v>
      </c>
      <c r="V678" s="27" t="s">
        <v>2157</v>
      </c>
      <c r="W678" s="27" t="s">
        <v>2158</v>
      </c>
      <c r="X678" s="73"/>
      <c r="Y678" s="73" t="e">
        <f>VLOOKUP(X678,Choferes!$B$2:$C$500,2,FALSE)</f>
        <v>#N/A</v>
      </c>
      <c r="Z678" s="73" t="s">
        <v>2159</v>
      </c>
    </row>
    <row r="679" spans="1:26" hidden="1" x14ac:dyDescent="0.25">
      <c r="A679" s="33">
        <v>39</v>
      </c>
      <c r="B679" s="71" t="s">
        <v>29</v>
      </c>
      <c r="C679" s="39" t="s">
        <v>2151</v>
      </c>
      <c r="D679" s="50" t="s">
        <v>1757</v>
      </c>
      <c r="E679" s="47">
        <v>45561</v>
      </c>
      <c r="F679" s="31" t="str">
        <f>VLOOKUP($C679,Carpetas!$C$5:$M$2666,2,FALSE)</f>
        <v>BRB072</v>
      </c>
      <c r="G679" s="23" t="str">
        <f>VLOOKUP($C679,Carpetas!$C$5:$M$2666,10,FALSE)</f>
        <v>150,46,97</v>
      </c>
      <c r="H679" s="27" t="str">
        <f>VLOOKUP($C679,Carpetas!$C$5:$M$2666,6,FALSE)</f>
        <v>Marvel</v>
      </c>
      <c r="I679" s="220"/>
      <c r="J679" s="47">
        <v>45566</v>
      </c>
      <c r="K679" s="72" t="str">
        <f>VLOOKUP($C679,Carpetas!$C$5:$M$2666,5,FALSE)</f>
        <v>Rio Branco</v>
      </c>
      <c r="L679" s="32"/>
      <c r="M679" s="48">
        <f>J679+1+1</f>
        <v>45568</v>
      </c>
      <c r="N679" s="26">
        <f t="shared" si="41"/>
        <v>7</v>
      </c>
      <c r="O679" s="27">
        <v>936</v>
      </c>
      <c r="P679" s="27">
        <v>936</v>
      </c>
      <c r="Q679" s="27">
        <v>26</v>
      </c>
      <c r="R679" s="27">
        <v>25</v>
      </c>
      <c r="S679" s="27" t="s">
        <v>2160</v>
      </c>
      <c r="T679" s="27"/>
      <c r="U679" s="27">
        <v>10153</v>
      </c>
      <c r="V679" s="27" t="s">
        <v>2161</v>
      </c>
      <c r="W679" s="27" t="s">
        <v>2162</v>
      </c>
      <c r="X679" s="73"/>
      <c r="Y679" s="73" t="e">
        <f>VLOOKUP(X679,Choferes!$B$2:$C$500,2,FALSE)</f>
        <v>#N/A</v>
      </c>
      <c r="Z679" s="73" t="s">
        <v>2163</v>
      </c>
    </row>
    <row r="680" spans="1:26" hidden="1" x14ac:dyDescent="0.25">
      <c r="A680" s="33">
        <v>39</v>
      </c>
      <c r="B680" s="71" t="s">
        <v>29</v>
      </c>
      <c r="C680" s="39" t="s">
        <v>2164</v>
      </c>
      <c r="D680" s="50" t="s">
        <v>38</v>
      </c>
      <c r="E680" s="47">
        <v>45561</v>
      </c>
      <c r="F680" s="31" t="str">
        <f>VLOOKUP($C680,Carpetas!$C$5:$M$2666,2,FALSE)</f>
        <v>BRE033</v>
      </c>
      <c r="G680" s="23">
        <f>VLOOKUP($C680,Carpetas!$C$5:$M$2666,10,FALSE)</f>
        <v>0</v>
      </c>
      <c r="H680" s="27" t="str">
        <f>VLOOKUP($C680,Carpetas!$C$5:$M$2666,6,FALSE)</f>
        <v xml:space="preserve">Silvio </v>
      </c>
      <c r="I680" s="220">
        <f>VLOOKUP($C680,Carpetas!$C$5:$M$2666,4,FALSE)</f>
        <v>0</v>
      </c>
      <c r="J680" s="47">
        <v>45567</v>
      </c>
      <c r="K680" s="72" t="str">
        <f>VLOOKUP($C680,Carpetas!$C$5:$M$2666,5,FALSE)</f>
        <v>Rio Branco</v>
      </c>
      <c r="L680" s="32"/>
      <c r="M680" s="48">
        <f>J680+1</f>
        <v>45568</v>
      </c>
      <c r="N680" s="26">
        <f t="shared" si="41"/>
        <v>7</v>
      </c>
      <c r="O680" s="27">
        <v>1580</v>
      </c>
      <c r="P680" s="27"/>
      <c r="Q680" s="27"/>
      <c r="R680" s="27"/>
      <c r="S680" s="27"/>
      <c r="T680" s="27"/>
      <c r="U680" s="27">
        <v>7131</v>
      </c>
      <c r="V680" s="27" t="s">
        <v>1819</v>
      </c>
      <c r="W680" s="27" t="s">
        <v>1820</v>
      </c>
      <c r="X680" s="73" t="s">
        <v>1821</v>
      </c>
      <c r="Y680" s="73" t="str">
        <f>VLOOKUP(X680,Choferes!$B$2:$C$500,2,FALSE)</f>
        <v>+5549999520186</v>
      </c>
      <c r="Z680" s="73" t="s">
        <v>2165</v>
      </c>
    </row>
    <row r="681" spans="1:26" hidden="1" x14ac:dyDescent="0.25">
      <c r="A681" s="33">
        <v>40</v>
      </c>
      <c r="B681" s="71" t="s">
        <v>29</v>
      </c>
      <c r="C681" s="39" t="s">
        <v>2029</v>
      </c>
      <c r="D681" s="50" t="s">
        <v>110</v>
      </c>
      <c r="E681" s="47">
        <v>45566</v>
      </c>
      <c r="F681" s="31" t="str">
        <f>VLOOKUP($C681,Carpetas!$C$5:$M$2666,2,FALSE)</f>
        <v>BRB067</v>
      </c>
      <c r="G681" s="23" t="str">
        <f>VLOOKUP($C681,Carpetas!$C$5:$M$2666,10,FALSE)</f>
        <v>150,35,36</v>
      </c>
      <c r="H681" s="27" t="str">
        <f>VLOOKUP($C681,Carpetas!$C$5:$M$2666,6,FALSE)</f>
        <v>Zanini</v>
      </c>
      <c r="I681" s="220"/>
      <c r="J681" s="47">
        <v>45567</v>
      </c>
      <c r="K681" s="72" t="str">
        <f>VLOOKUP($C681,Carpetas!$C$5:$M$2666,5,FALSE)</f>
        <v>Rio Branco</v>
      </c>
      <c r="L681" s="32"/>
      <c r="M681" s="48">
        <f>J681+1+1</f>
        <v>45569</v>
      </c>
      <c r="N681" s="26">
        <f t="shared" si="41"/>
        <v>3</v>
      </c>
      <c r="O681" s="27">
        <v>918</v>
      </c>
      <c r="P681" s="27">
        <v>919</v>
      </c>
      <c r="Q681" s="27">
        <v>26</v>
      </c>
      <c r="R681" s="27">
        <v>25.5</v>
      </c>
      <c r="S681" s="27" t="s">
        <v>2166</v>
      </c>
      <c r="T681" s="27"/>
      <c r="U681" s="27">
        <v>4772</v>
      </c>
      <c r="V681" s="27" t="s">
        <v>2167</v>
      </c>
      <c r="W681" s="27" t="s">
        <v>2168</v>
      </c>
      <c r="X681" s="73" t="s">
        <v>2169</v>
      </c>
      <c r="Y681" s="73" t="str">
        <f>VLOOKUP(X681,Choferes!$B$2:$C$500,2,FALSE)</f>
        <v>+5542999247034</v>
      </c>
      <c r="Z681" s="73" t="s">
        <v>2170</v>
      </c>
    </row>
    <row r="682" spans="1:26" hidden="1" x14ac:dyDescent="0.25">
      <c r="A682" s="33">
        <v>39</v>
      </c>
      <c r="B682" s="71" t="s">
        <v>29</v>
      </c>
      <c r="C682" s="39" t="s">
        <v>2171</v>
      </c>
      <c r="D682" s="50" t="s">
        <v>1757</v>
      </c>
      <c r="E682" s="47">
        <v>45563</v>
      </c>
      <c r="F682" s="31" t="str">
        <f>VLOOKUP($C682,Carpetas!$C$5:$M$2666,2,FALSE)</f>
        <v>BRB073</v>
      </c>
      <c r="G682" s="23" t="str">
        <f>VLOOKUP($C682,Carpetas!$C$5:$M$2666,10,FALSE)</f>
        <v>150,50,02</v>
      </c>
      <c r="H682" s="27" t="str">
        <f>VLOOKUP($C682,Carpetas!$C$5:$M$2666,6,FALSE)</f>
        <v>Marvel</v>
      </c>
      <c r="I682" s="220"/>
      <c r="J682" s="47">
        <v>45568</v>
      </c>
      <c r="K682" s="72" t="str">
        <f>VLOOKUP($C682,Carpetas!$C$5:$M$2666,5,FALSE)</f>
        <v>Rio Branco</v>
      </c>
      <c r="L682" s="32"/>
      <c r="M682" s="48">
        <f t="shared" ref="M682:M687" si="43">J682+1</f>
        <v>45569</v>
      </c>
      <c r="N682" s="26">
        <f t="shared" si="41"/>
        <v>6</v>
      </c>
      <c r="O682" s="27">
        <v>936</v>
      </c>
      <c r="P682" s="27">
        <v>936</v>
      </c>
      <c r="Q682" s="27">
        <v>26</v>
      </c>
      <c r="R682" s="27">
        <v>25</v>
      </c>
      <c r="S682" s="27" t="s">
        <v>2172</v>
      </c>
      <c r="T682" s="27"/>
      <c r="U682" s="27">
        <v>10158</v>
      </c>
      <c r="V682" s="27" t="s">
        <v>2173</v>
      </c>
      <c r="W682" s="27" t="s">
        <v>2174</v>
      </c>
      <c r="X682" s="73"/>
      <c r="Y682" s="73" t="e">
        <f>VLOOKUP(X682,Choferes!$B$2:$C$500,2,FALSE)</f>
        <v>#N/A</v>
      </c>
      <c r="Z682" s="73" t="s">
        <v>2175</v>
      </c>
    </row>
    <row r="683" spans="1:26" hidden="1" x14ac:dyDescent="0.25">
      <c r="A683" s="33">
        <v>39</v>
      </c>
      <c r="B683" s="71" t="s">
        <v>29</v>
      </c>
      <c r="C683" s="39" t="s">
        <v>2171</v>
      </c>
      <c r="D683" s="50" t="s">
        <v>1757</v>
      </c>
      <c r="E683" s="47">
        <v>45564</v>
      </c>
      <c r="F683" s="31" t="str">
        <f>VLOOKUP($C683,Carpetas!$C$5:$M$2666,2,FALSE)</f>
        <v>BRB073</v>
      </c>
      <c r="G683" s="23" t="str">
        <f>VLOOKUP($C683,Carpetas!$C$5:$M$2666,10,FALSE)</f>
        <v>150,50,02</v>
      </c>
      <c r="H683" s="27" t="str">
        <f>VLOOKUP($C683,Carpetas!$C$5:$M$2666,6,FALSE)</f>
        <v>Marvel</v>
      </c>
      <c r="I683" s="220"/>
      <c r="J683" s="47">
        <v>45568</v>
      </c>
      <c r="K683" s="72" t="str">
        <f>VLOOKUP($C683,Carpetas!$C$5:$M$2666,5,FALSE)</f>
        <v>Rio Branco</v>
      </c>
      <c r="L683" s="32"/>
      <c r="M683" s="48">
        <f t="shared" si="43"/>
        <v>45569</v>
      </c>
      <c r="N683" s="26">
        <f t="shared" si="41"/>
        <v>5</v>
      </c>
      <c r="O683" s="27">
        <v>936</v>
      </c>
      <c r="P683" s="27">
        <v>936</v>
      </c>
      <c r="Q683" s="27">
        <v>26</v>
      </c>
      <c r="R683" s="27">
        <v>25</v>
      </c>
      <c r="S683" s="27" t="s">
        <v>2176</v>
      </c>
      <c r="T683" s="27"/>
      <c r="U683" s="27">
        <v>10159</v>
      </c>
      <c r="V683" s="27" t="s">
        <v>2177</v>
      </c>
      <c r="W683" s="27" t="s">
        <v>2178</v>
      </c>
      <c r="X683" s="73"/>
      <c r="Y683" s="73" t="e">
        <f>VLOOKUP(X683,Choferes!$B$2:$C$500,2,FALSE)</f>
        <v>#N/A</v>
      </c>
      <c r="Z683" s="73" t="s">
        <v>2179</v>
      </c>
    </row>
    <row r="684" spans="1:26" hidden="1" x14ac:dyDescent="0.25">
      <c r="A684" s="33">
        <v>40</v>
      </c>
      <c r="B684" s="71" t="s">
        <v>29</v>
      </c>
      <c r="C684" s="39" t="s">
        <v>2180</v>
      </c>
      <c r="D684" s="50" t="s">
        <v>48</v>
      </c>
      <c r="E684" s="47">
        <v>45565</v>
      </c>
      <c r="F684" s="31" t="str">
        <f>VLOOKUP($C684,Carpetas!$C$5:$M$2666,2,FALSE)</f>
        <v>PYB143</v>
      </c>
      <c r="G684" s="23" t="str">
        <f>VLOOKUP($C684,Carpetas!$C$5:$M$2666,10,FALSE)</f>
        <v>150.53.62</v>
      </c>
      <c r="H684" s="27">
        <f>VLOOKUP($C684,Carpetas!$C$5:$M$2666,6,FALSE)</f>
        <v>0</v>
      </c>
      <c r="I684" s="220"/>
      <c r="J684" s="47">
        <v>45568</v>
      </c>
      <c r="K684" s="72" t="str">
        <f>VLOOKUP($C684,Carpetas!$C$5:$M$2666,5,FALSE)</f>
        <v>Salto</v>
      </c>
      <c r="L684" s="32"/>
      <c r="M684" s="48">
        <f t="shared" si="43"/>
        <v>45569</v>
      </c>
      <c r="N684" s="26">
        <f t="shared" si="41"/>
        <v>4</v>
      </c>
      <c r="O684" s="27">
        <v>930</v>
      </c>
      <c r="P684" s="27">
        <v>930</v>
      </c>
      <c r="Q684" s="27">
        <v>26</v>
      </c>
      <c r="R684" s="27">
        <v>25.5</v>
      </c>
      <c r="S684" s="27" t="s">
        <v>2181</v>
      </c>
      <c r="T684" s="27"/>
      <c r="U684" s="27"/>
      <c r="V684" s="27" t="s">
        <v>69</v>
      </c>
      <c r="W684" s="27"/>
      <c r="X684" s="73"/>
      <c r="Y684" s="73" t="e">
        <f>VLOOKUP(X684,Choferes!$B$2:$C$500,2,FALSE)</f>
        <v>#N/A</v>
      </c>
      <c r="Z684" s="73" t="s">
        <v>2182</v>
      </c>
    </row>
    <row r="685" spans="1:26" hidden="1" x14ac:dyDescent="0.25">
      <c r="A685" s="33">
        <v>40</v>
      </c>
      <c r="B685" s="71" t="s">
        <v>29</v>
      </c>
      <c r="C685" s="39" t="s">
        <v>2071</v>
      </c>
      <c r="D685" s="50" t="s">
        <v>953</v>
      </c>
      <c r="E685" s="47">
        <v>45566</v>
      </c>
      <c r="F685" s="31" t="str">
        <f>VLOOKUP($C685,Carpetas!$C$5:$M$2666,2,FALSE)</f>
        <v>BRB068</v>
      </c>
      <c r="G685" s="23" t="str">
        <f>VLOOKUP($C685,Carpetas!$C$5:$M$2666,10,FALSE)</f>
        <v>150,24,08</v>
      </c>
      <c r="H685" s="27" t="str">
        <f>VLOOKUP($C685,Carpetas!$C$5:$M$2666,6,FALSE)</f>
        <v xml:space="preserve">Silvio </v>
      </c>
      <c r="I685" s="220"/>
      <c r="J685" s="47">
        <v>45568</v>
      </c>
      <c r="K685" s="72" t="str">
        <f>VLOOKUP($C685,Carpetas!$C$5:$M$2666,5,FALSE)</f>
        <v>Rio Branco</v>
      </c>
      <c r="L685" s="32"/>
      <c r="M685" s="48">
        <f t="shared" si="43"/>
        <v>45569</v>
      </c>
      <c r="N685" s="26">
        <f t="shared" si="41"/>
        <v>3</v>
      </c>
      <c r="O685" s="27">
        <v>918</v>
      </c>
      <c r="P685" s="27">
        <v>918</v>
      </c>
      <c r="Q685" s="27">
        <v>26</v>
      </c>
      <c r="R685" s="27">
        <v>25</v>
      </c>
      <c r="S685" s="27" t="s">
        <v>2183</v>
      </c>
      <c r="T685" s="27"/>
      <c r="U685" s="27">
        <v>7122</v>
      </c>
      <c r="V685" s="27" t="s">
        <v>813</v>
      </c>
      <c r="W685" s="27" t="s">
        <v>814</v>
      </c>
      <c r="X685" s="73" t="s">
        <v>2184</v>
      </c>
      <c r="Y685" s="73" t="str">
        <f>VLOOKUP(X685,Choferes!$B$2:$C$500,2,FALSE)</f>
        <v>+5546999068908</v>
      </c>
      <c r="Z685" s="73" t="s">
        <v>2185</v>
      </c>
    </row>
    <row r="686" spans="1:26" hidden="1" x14ac:dyDescent="0.25">
      <c r="A686" s="33">
        <v>40</v>
      </c>
      <c r="B686" s="71" t="s">
        <v>29</v>
      </c>
      <c r="C686" s="39" t="s">
        <v>2075</v>
      </c>
      <c r="D686" s="50" t="s">
        <v>803</v>
      </c>
      <c r="E686" s="47">
        <v>45566</v>
      </c>
      <c r="F686" s="31" t="str">
        <f>VLOOKUP($C686,Carpetas!$C$5:$M$2666,2,FALSE)</f>
        <v>BRB070</v>
      </c>
      <c r="G686" s="23" t="str">
        <f>VLOOKUP($C686,Carpetas!$C$5:$M$2666,10,FALSE)</f>
        <v>150,38,40</v>
      </c>
      <c r="H686" s="27" t="str">
        <f>VLOOKUP($C686,Carpetas!$C$5:$M$2666,6,FALSE)</f>
        <v>FG</v>
      </c>
      <c r="I686" s="220"/>
      <c r="J686" s="47">
        <v>45568</v>
      </c>
      <c r="K686" s="72" t="str">
        <f>VLOOKUP($C686,Carpetas!$C$5:$M$2666,5,FALSE)</f>
        <v>Rio Branco</v>
      </c>
      <c r="L686" s="32"/>
      <c r="M686" s="48">
        <f t="shared" si="43"/>
        <v>45569</v>
      </c>
      <c r="N686" s="26">
        <f t="shared" si="41"/>
        <v>3</v>
      </c>
      <c r="O686" s="27">
        <v>990</v>
      </c>
      <c r="P686" s="27">
        <v>990</v>
      </c>
      <c r="Q686" s="27">
        <v>28</v>
      </c>
      <c r="R686" s="27">
        <v>25</v>
      </c>
      <c r="S686" s="27" t="s">
        <v>2186</v>
      </c>
      <c r="T686" s="27"/>
      <c r="U686" s="27">
        <v>365</v>
      </c>
      <c r="V686" s="27" t="s">
        <v>1630</v>
      </c>
      <c r="W686" s="27" t="s">
        <v>1934</v>
      </c>
      <c r="X686" s="73" t="s">
        <v>1935</v>
      </c>
      <c r="Y686" s="73" t="str">
        <f>VLOOKUP(X686,Choferes!$B$2:$C$500,2,FALSE)</f>
        <v>+5554984377792</v>
      </c>
      <c r="Z686" s="73"/>
    </row>
    <row r="687" spans="1:26" hidden="1" x14ac:dyDescent="0.25">
      <c r="A687" s="33">
        <v>40</v>
      </c>
      <c r="B687" s="71" t="s">
        <v>29</v>
      </c>
      <c r="C687" s="39" t="s">
        <v>2187</v>
      </c>
      <c r="D687" s="50" t="s">
        <v>747</v>
      </c>
      <c r="E687" s="47">
        <v>45567</v>
      </c>
      <c r="F687" s="31" t="str">
        <f>VLOOKUP($C687,Carpetas!$C$5:$M$2666,2,FALSE)</f>
        <v>BRB076</v>
      </c>
      <c r="G687" s="23" t="str">
        <f>VLOOKUP($C687,Carpetas!$C$5:$M$2666,10,FALSE)</f>
        <v>150,54,77</v>
      </c>
      <c r="H687" s="27" t="str">
        <f>VLOOKUP($C687,Carpetas!$C$5:$M$2666,6,FALSE)</f>
        <v>FG</v>
      </c>
      <c r="I687" s="220"/>
      <c r="J687" s="47">
        <v>45568</v>
      </c>
      <c r="K687" s="72" t="str">
        <f>VLOOKUP($C687,Carpetas!$C$5:$M$2666,5,FALSE)</f>
        <v>Rio Branco</v>
      </c>
      <c r="L687" s="32"/>
      <c r="M687" s="48">
        <f t="shared" si="43"/>
        <v>45569</v>
      </c>
      <c r="N687" s="26">
        <f t="shared" si="41"/>
        <v>2</v>
      </c>
      <c r="O687" s="27">
        <v>990</v>
      </c>
      <c r="P687" s="27">
        <v>990</v>
      </c>
      <c r="Q687" s="27">
        <v>28</v>
      </c>
      <c r="R687" s="27">
        <v>25</v>
      </c>
      <c r="S687" s="27" t="s">
        <v>2188</v>
      </c>
      <c r="T687" s="27"/>
      <c r="U687" s="27">
        <v>371</v>
      </c>
      <c r="V687" s="27" t="s">
        <v>1430</v>
      </c>
      <c r="W687" s="27" t="s">
        <v>1669</v>
      </c>
      <c r="X687" s="73" t="s">
        <v>1923</v>
      </c>
      <c r="Y687" s="73" t="str">
        <f>VLOOKUP(X687,Choferes!$B$2:$C$500,2,FALSE)</f>
        <v>+5553999049426</v>
      </c>
      <c r="Z687" s="73" t="s">
        <v>2189</v>
      </c>
    </row>
    <row r="688" spans="1:26" hidden="1" x14ac:dyDescent="0.25">
      <c r="A688" s="33">
        <v>40</v>
      </c>
      <c r="B688" s="71" t="s">
        <v>29</v>
      </c>
      <c r="C688" s="39" t="s">
        <v>2190</v>
      </c>
      <c r="D688" s="50" t="s">
        <v>102</v>
      </c>
      <c r="E688" s="47">
        <v>45565</v>
      </c>
      <c r="F688" s="31" t="str">
        <f>VLOOKUP($C688,Carpetas!$C$5:$M$2666,2,FALSE)</f>
        <v>PYB144</v>
      </c>
      <c r="G688" s="23" t="str">
        <f>VLOOKUP($C688,Carpetas!$C$5:$M$2666,10,FALSE)</f>
        <v>xxxx</v>
      </c>
      <c r="H688" s="27">
        <f>VLOOKUP($C688,Carpetas!$C$5:$M$2666,6,FALSE)</f>
        <v>0</v>
      </c>
      <c r="I688" s="220"/>
      <c r="J688" s="47">
        <f>E688+3</f>
        <v>45568</v>
      </c>
      <c r="K688" s="72" t="str">
        <f>VLOOKUP($C688,Carpetas!$C$5:$M$2666,5,FALSE)</f>
        <v>Salto</v>
      </c>
      <c r="L688" s="32"/>
      <c r="M688" s="48">
        <f>J688+1+1</f>
        <v>45570</v>
      </c>
      <c r="N688" s="26">
        <f t="shared" si="41"/>
        <v>5</v>
      </c>
      <c r="O688" s="27">
        <v>980</v>
      </c>
      <c r="P688" s="27">
        <v>980</v>
      </c>
      <c r="Q688" s="27">
        <v>28</v>
      </c>
      <c r="R688" s="27">
        <v>25.5</v>
      </c>
      <c r="S688" s="27" t="s">
        <v>2191</v>
      </c>
      <c r="T688" s="27"/>
      <c r="U688" s="27"/>
      <c r="V688" s="27"/>
      <c r="W688" s="27"/>
      <c r="X688" s="73"/>
      <c r="Y688" s="73" t="e">
        <f>VLOOKUP(X688,Choferes!$B$2:$C$500,2,FALSE)</f>
        <v>#N/A</v>
      </c>
      <c r="Z688" s="73" t="s">
        <v>2192</v>
      </c>
    </row>
    <row r="689" spans="1:26" hidden="1" x14ac:dyDescent="0.25">
      <c r="A689" s="33">
        <v>40</v>
      </c>
      <c r="B689" s="71" t="s">
        <v>29</v>
      </c>
      <c r="C689" s="39" t="s">
        <v>2190</v>
      </c>
      <c r="D689" s="50" t="s">
        <v>102</v>
      </c>
      <c r="E689" s="47">
        <v>45566</v>
      </c>
      <c r="F689" s="31" t="str">
        <f>VLOOKUP($C689,Carpetas!$C$5:$M$2666,2,FALSE)</f>
        <v>PYB144</v>
      </c>
      <c r="G689" s="23" t="str">
        <f>VLOOKUP($C689,Carpetas!$C$5:$M$2666,10,FALSE)</f>
        <v>xxxx</v>
      </c>
      <c r="H689" s="27">
        <f>VLOOKUP($C689,Carpetas!$C$5:$M$2666,6,FALSE)</f>
        <v>0</v>
      </c>
      <c r="I689" s="220"/>
      <c r="J689" s="47">
        <v>45568</v>
      </c>
      <c r="K689" s="72" t="str">
        <f>VLOOKUP($C689,Carpetas!$C$5:$M$2666,5,FALSE)</f>
        <v>Salto</v>
      </c>
      <c r="L689" s="32"/>
      <c r="M689" s="48">
        <f>J689+1+1</f>
        <v>45570</v>
      </c>
      <c r="N689" s="26">
        <f t="shared" si="41"/>
        <v>4</v>
      </c>
      <c r="O689" s="27">
        <v>980</v>
      </c>
      <c r="P689" s="27">
        <v>980</v>
      </c>
      <c r="Q689" s="27">
        <v>28</v>
      </c>
      <c r="R689" s="27">
        <v>25.5</v>
      </c>
      <c r="S689" s="27" t="s">
        <v>2193</v>
      </c>
      <c r="T689" s="27"/>
      <c r="U689" s="27"/>
      <c r="V689" s="27"/>
      <c r="W689" s="27"/>
      <c r="X689" s="73"/>
      <c r="Y689" s="73" t="e">
        <f>VLOOKUP(X689,Choferes!$B$2:$C$500,2,FALSE)</f>
        <v>#N/A</v>
      </c>
      <c r="Z689" s="73" t="s">
        <v>2192</v>
      </c>
    </row>
    <row r="690" spans="1:26" hidden="1" x14ac:dyDescent="0.25">
      <c r="A690" s="33">
        <v>39</v>
      </c>
      <c r="B690" s="71" t="s">
        <v>29</v>
      </c>
      <c r="C690" s="39" t="s">
        <v>2171</v>
      </c>
      <c r="D690" s="50" t="s">
        <v>1757</v>
      </c>
      <c r="E690" s="47">
        <v>45564</v>
      </c>
      <c r="F690" s="31" t="str">
        <f>VLOOKUP($C690,Carpetas!$C$5:$M$2666,2,FALSE)</f>
        <v>BRB073</v>
      </c>
      <c r="G690" s="23" t="str">
        <f>VLOOKUP($C690,Carpetas!$C$5:$M$2666,10,FALSE)</f>
        <v>150,50,02</v>
      </c>
      <c r="H690" s="27" t="str">
        <f>VLOOKUP($C690,Carpetas!$C$5:$M$2666,6,FALSE)</f>
        <v>Marvel</v>
      </c>
      <c r="I690" s="220"/>
      <c r="J690" s="47">
        <f>E690+7</f>
        <v>45571</v>
      </c>
      <c r="K690" s="72" t="str">
        <f>VLOOKUP($C690,Carpetas!$C$5:$M$2666,5,FALSE)</f>
        <v>Rio Branco</v>
      </c>
      <c r="L690" s="32"/>
      <c r="M690" s="48">
        <v>45570</v>
      </c>
      <c r="N690" s="26">
        <f t="shared" si="41"/>
        <v>6</v>
      </c>
      <c r="O690" s="27">
        <v>936</v>
      </c>
      <c r="P690" s="27">
        <v>936</v>
      </c>
      <c r="Q690" s="27">
        <v>26</v>
      </c>
      <c r="R690" s="27">
        <v>25</v>
      </c>
      <c r="S690" s="27" t="s">
        <v>2194</v>
      </c>
      <c r="T690" s="27"/>
      <c r="U690" s="27">
        <v>10160</v>
      </c>
      <c r="V690" s="27" t="s">
        <v>2195</v>
      </c>
      <c r="W690" s="27" t="s">
        <v>2196</v>
      </c>
      <c r="X690" s="73"/>
      <c r="Y690" s="73" t="e">
        <f>VLOOKUP(X690,Choferes!$B$2:$C$500,2,FALSE)</f>
        <v>#N/A</v>
      </c>
      <c r="Z690" s="73" t="s">
        <v>2197</v>
      </c>
    </row>
    <row r="691" spans="1:26" hidden="1" x14ac:dyDescent="0.25">
      <c r="A691" s="33">
        <v>40</v>
      </c>
      <c r="B691" s="71" t="s">
        <v>29</v>
      </c>
      <c r="C691" s="39" t="s">
        <v>2187</v>
      </c>
      <c r="D691" s="50" t="s">
        <v>880</v>
      </c>
      <c r="E691" s="47">
        <v>45567</v>
      </c>
      <c r="F691" s="31" t="str">
        <f>VLOOKUP($C691,Carpetas!$C$5:$M$2666,2,FALSE)</f>
        <v>BRB076</v>
      </c>
      <c r="G691" s="23" t="str">
        <f>VLOOKUP($C691,Carpetas!$C$5:$M$2666,10,FALSE)</f>
        <v>150,54,77</v>
      </c>
      <c r="H691" s="27" t="str">
        <f>VLOOKUP($C691,Carpetas!$C$5:$M$2666,6,FALSE)</f>
        <v>FG</v>
      </c>
      <c r="I691" s="220"/>
      <c r="J691" s="47">
        <f>E691+3</f>
        <v>45570</v>
      </c>
      <c r="K691" s="72" t="str">
        <f>VLOOKUP($C691,Carpetas!$C$5:$M$2666,5,FALSE)</f>
        <v>Rio Branco</v>
      </c>
      <c r="L691" s="32"/>
      <c r="M691" s="48">
        <f>J691+1</f>
        <v>45571</v>
      </c>
      <c r="N691" s="26">
        <f t="shared" si="41"/>
        <v>4</v>
      </c>
      <c r="O691" s="27">
        <v>990</v>
      </c>
      <c r="P691" s="27">
        <v>990</v>
      </c>
      <c r="Q691" s="27">
        <v>28</v>
      </c>
      <c r="R691" s="27">
        <v>25.5</v>
      </c>
      <c r="S691" s="27" t="s">
        <v>2100</v>
      </c>
      <c r="T691" s="27"/>
      <c r="U691" s="27">
        <v>373</v>
      </c>
      <c r="V691" s="27" t="s">
        <v>1626</v>
      </c>
      <c r="W691" s="27" t="s">
        <v>1627</v>
      </c>
      <c r="X691" s="73" t="s">
        <v>1489</v>
      </c>
      <c r="Y691" s="73" t="str">
        <f>VLOOKUP(X691,Choferes!$B$2:$C$500,2,FALSE)</f>
        <v>+5553984039582</v>
      </c>
      <c r="Z691" s="73" t="s">
        <v>2198</v>
      </c>
    </row>
    <row r="692" spans="1:26" hidden="1" x14ac:dyDescent="0.25">
      <c r="A692" s="33">
        <v>40</v>
      </c>
      <c r="B692" s="71" t="s">
        <v>29</v>
      </c>
      <c r="C692" s="39" t="s">
        <v>2180</v>
      </c>
      <c r="D692" s="50" t="s">
        <v>48</v>
      </c>
      <c r="E692" s="47">
        <v>45565</v>
      </c>
      <c r="F692" s="31" t="str">
        <f>VLOOKUP($C692,Carpetas!$C$5:$M$2666,2,FALSE)</f>
        <v>PYB143</v>
      </c>
      <c r="G692" s="23" t="str">
        <f>VLOOKUP($C692,Carpetas!$C$5:$M$2666,10,FALSE)</f>
        <v>150.53.62</v>
      </c>
      <c r="H692" s="27">
        <f>VLOOKUP($C692,Carpetas!$C$5:$M$2666,6,FALSE)</f>
        <v>0</v>
      </c>
      <c r="I692" s="220"/>
      <c r="J692" s="47">
        <v>45569</v>
      </c>
      <c r="K692" s="72" t="str">
        <f>VLOOKUP($C692,Carpetas!$C$5:$M$2666,5,FALSE)</f>
        <v>Salto</v>
      </c>
      <c r="L692" s="32"/>
      <c r="M692" s="48">
        <v>45572</v>
      </c>
      <c r="N692" s="26">
        <f t="shared" si="41"/>
        <v>7</v>
      </c>
      <c r="O692" s="27">
        <v>930</v>
      </c>
      <c r="P692" s="27">
        <v>930</v>
      </c>
      <c r="Q692" s="27">
        <v>28</v>
      </c>
      <c r="R692" s="27">
        <v>26</v>
      </c>
      <c r="S692" s="27" t="s">
        <v>2199</v>
      </c>
      <c r="T692" s="27"/>
      <c r="U692" s="27"/>
      <c r="V692" s="27" t="s">
        <v>360</v>
      </c>
      <c r="W692" s="27"/>
      <c r="X692" s="73"/>
      <c r="Y692" s="73" t="e">
        <f>VLOOKUP(X692,Choferes!$B$2:$C$500,2,FALSE)</f>
        <v>#N/A</v>
      </c>
      <c r="Z692" s="73" t="s">
        <v>2200</v>
      </c>
    </row>
    <row r="693" spans="1:26" ht="30" hidden="1" x14ac:dyDescent="0.25">
      <c r="A693" s="33">
        <v>40</v>
      </c>
      <c r="B693" s="71" t="s">
        <v>29</v>
      </c>
      <c r="C693" s="39" t="s">
        <v>2201</v>
      </c>
      <c r="D693" s="50" t="s">
        <v>2202</v>
      </c>
      <c r="E693" s="47">
        <v>45568</v>
      </c>
      <c r="F693" s="31" t="str">
        <f>VLOOKUP($C693,Carpetas!$C$5:$M$2666,2,FALSE)</f>
        <v>BRB075</v>
      </c>
      <c r="G693" s="23">
        <f>VLOOKUP($C693,Carpetas!$C$5:$M$2666,10,FALSE)</f>
        <v>1505480</v>
      </c>
      <c r="H693" s="27" t="str">
        <f>VLOOKUP($C693,Carpetas!$C$5:$M$2666,6,FALSE)</f>
        <v>Zanini</v>
      </c>
      <c r="I693" s="220"/>
      <c r="J693" s="47">
        <f t="shared" ref="J693:J700" si="44">E693+3</f>
        <v>45571</v>
      </c>
      <c r="K693" s="72" t="str">
        <f>VLOOKUP($C693,Carpetas!$C$5:$M$2666,5,FALSE)</f>
        <v>Rio Branco</v>
      </c>
      <c r="L693" s="32"/>
      <c r="M693" s="48">
        <f t="shared" ref="M693:M700" si="45">J693+1</f>
        <v>45572</v>
      </c>
      <c r="N693" s="26">
        <f t="shared" si="41"/>
        <v>4</v>
      </c>
      <c r="O693" s="27">
        <v>918</v>
      </c>
      <c r="P693" s="27">
        <v>918</v>
      </c>
      <c r="Q693" s="27">
        <v>26</v>
      </c>
      <c r="R693" s="27">
        <v>25</v>
      </c>
      <c r="S693" s="27" t="s">
        <v>2203</v>
      </c>
      <c r="T693" s="27"/>
      <c r="U693" s="27"/>
      <c r="V693" s="27" t="s">
        <v>2204</v>
      </c>
      <c r="W693" s="27" t="s">
        <v>2205</v>
      </c>
      <c r="X693" s="73"/>
      <c r="Y693" s="73" t="e">
        <f>VLOOKUP(X693,Choferes!$B$2:$C$500,2,FALSE)</f>
        <v>#N/A</v>
      </c>
      <c r="Z693" s="73" t="s">
        <v>2206</v>
      </c>
    </row>
    <row r="694" spans="1:26" ht="30" hidden="1" x14ac:dyDescent="0.25">
      <c r="A694" s="33">
        <v>40</v>
      </c>
      <c r="B694" s="71" t="s">
        <v>29</v>
      </c>
      <c r="C694" s="39" t="s">
        <v>2187</v>
      </c>
      <c r="D694" s="50" t="s">
        <v>78</v>
      </c>
      <c r="E694" s="47">
        <v>45569</v>
      </c>
      <c r="F694" s="31" t="str">
        <f>VLOOKUP($C694,Carpetas!$C$5:$M$2666,2,FALSE)</f>
        <v>BRB076</v>
      </c>
      <c r="G694" s="23" t="str">
        <f>VLOOKUP($C694,Carpetas!$C$5:$M$2666,10,FALSE)</f>
        <v>150,54,77</v>
      </c>
      <c r="H694" s="27" t="str">
        <f>VLOOKUP($C694,Carpetas!$C$5:$M$2666,6,FALSE)</f>
        <v>FG</v>
      </c>
      <c r="I694" s="220"/>
      <c r="J694" s="47">
        <f t="shared" si="44"/>
        <v>45572</v>
      </c>
      <c r="K694" s="72" t="str">
        <f>VLOOKUP($C694,Carpetas!$C$5:$M$2666,5,FALSE)</f>
        <v>Rio Branco</v>
      </c>
      <c r="L694" s="32"/>
      <c r="M694" s="48">
        <f t="shared" si="45"/>
        <v>45573</v>
      </c>
      <c r="N694" s="26">
        <f t="shared" si="41"/>
        <v>4</v>
      </c>
      <c r="O694" s="27">
        <v>990</v>
      </c>
      <c r="P694" s="27">
        <v>990</v>
      </c>
      <c r="Q694" s="27">
        <v>28</v>
      </c>
      <c r="R694" s="27"/>
      <c r="S694" s="27" t="s">
        <v>2207</v>
      </c>
      <c r="T694" s="27"/>
      <c r="U694" s="27"/>
      <c r="V694" s="27" t="s">
        <v>1726</v>
      </c>
      <c r="W694" s="27" t="s">
        <v>1646</v>
      </c>
      <c r="X694" s="73"/>
      <c r="Y694" s="73" t="e">
        <f>VLOOKUP(X694,Choferes!$B$2:$C$500,2,FALSE)</f>
        <v>#N/A</v>
      </c>
      <c r="Z694" s="73" t="s">
        <v>2208</v>
      </c>
    </row>
    <row r="695" spans="1:26" ht="30" hidden="1" x14ac:dyDescent="0.25">
      <c r="A695" s="33">
        <v>40</v>
      </c>
      <c r="B695" s="71" t="s">
        <v>29</v>
      </c>
      <c r="C695" s="39" t="s">
        <v>2187</v>
      </c>
      <c r="D695" s="50" t="s">
        <v>803</v>
      </c>
      <c r="E695" s="47">
        <v>45569</v>
      </c>
      <c r="F695" s="31" t="str">
        <f>VLOOKUP($C695,Carpetas!$C$5:$M$2666,2,FALSE)</f>
        <v>BRB076</v>
      </c>
      <c r="G695" s="23" t="str">
        <f>VLOOKUP($C695,Carpetas!$C$5:$M$2666,10,FALSE)</f>
        <v>150,54,77</v>
      </c>
      <c r="H695" s="27" t="str">
        <f>VLOOKUP($C695,Carpetas!$C$5:$M$2666,6,FALSE)</f>
        <v>FG</v>
      </c>
      <c r="I695" s="220"/>
      <c r="J695" s="47">
        <f t="shared" si="44"/>
        <v>45572</v>
      </c>
      <c r="K695" s="72" t="str">
        <f>VLOOKUP($C695,Carpetas!$C$5:$M$2666,5,FALSE)</f>
        <v>Rio Branco</v>
      </c>
      <c r="L695" s="32"/>
      <c r="M695" s="48">
        <f t="shared" si="45"/>
        <v>45573</v>
      </c>
      <c r="N695" s="26">
        <f t="shared" si="41"/>
        <v>4</v>
      </c>
      <c r="O695" s="27">
        <v>990</v>
      </c>
      <c r="P695" s="27">
        <v>990</v>
      </c>
      <c r="Q695" s="27">
        <v>28</v>
      </c>
      <c r="R695" s="27">
        <v>24</v>
      </c>
      <c r="S695" s="27" t="s">
        <v>2209</v>
      </c>
      <c r="T695" s="27"/>
      <c r="U695" s="27"/>
      <c r="V695" s="27" t="s">
        <v>911</v>
      </c>
      <c r="W695" s="27"/>
      <c r="X695" s="73"/>
      <c r="Y695" s="73" t="e">
        <f>VLOOKUP(X695,Choferes!$B$2:$C$500,2,FALSE)</f>
        <v>#N/A</v>
      </c>
      <c r="Z695" s="73" t="s">
        <v>2210</v>
      </c>
    </row>
    <row r="696" spans="1:26" hidden="1" x14ac:dyDescent="0.25">
      <c r="A696" s="33">
        <v>40</v>
      </c>
      <c r="B696" s="71" t="s">
        <v>29</v>
      </c>
      <c r="C696" s="39" t="s">
        <v>2078</v>
      </c>
      <c r="D696" s="50" t="s">
        <v>249</v>
      </c>
      <c r="E696" s="47">
        <v>45569</v>
      </c>
      <c r="F696" s="31" t="str">
        <f>VLOOKUP($C696,Carpetas!$C$5:$M$2666,2,FALSE)</f>
        <v>BRB071</v>
      </c>
      <c r="G696" s="23" t="str">
        <f>VLOOKUP($C696,Carpetas!$C$5:$M$2666,10,FALSE)</f>
        <v>150,38,42</v>
      </c>
      <c r="H696" s="27" t="str">
        <f>VLOOKUP($C696,Carpetas!$C$5:$M$2666,6,FALSE)</f>
        <v>Amaro</v>
      </c>
      <c r="I696" s="220"/>
      <c r="J696" s="47">
        <f t="shared" si="44"/>
        <v>45572</v>
      </c>
      <c r="K696" s="72" t="str">
        <f>VLOOKUP($C696,Carpetas!$C$5:$M$2666,5,FALSE)</f>
        <v>Rio Branco</v>
      </c>
      <c r="L696" s="32"/>
      <c r="M696" s="48">
        <f t="shared" si="45"/>
        <v>45573</v>
      </c>
      <c r="N696" s="26">
        <f t="shared" si="41"/>
        <v>4</v>
      </c>
      <c r="O696" s="27">
        <v>990</v>
      </c>
      <c r="P696" s="27">
        <v>990</v>
      </c>
      <c r="Q696" s="27"/>
      <c r="R696" s="27" t="s">
        <v>2209</v>
      </c>
      <c r="S696" s="27" t="s">
        <v>2209</v>
      </c>
      <c r="T696" s="27"/>
      <c r="U696" s="27"/>
      <c r="V696" s="27" t="s">
        <v>911</v>
      </c>
      <c r="W696" s="27" t="s">
        <v>912</v>
      </c>
      <c r="X696" s="73"/>
      <c r="Y696" s="73" t="e">
        <f>VLOOKUP(X696,Choferes!$B$2:$C$500,2,FALSE)</f>
        <v>#N/A</v>
      </c>
      <c r="Z696" s="73" t="s">
        <v>2211</v>
      </c>
    </row>
    <row r="697" spans="1:26" ht="30" hidden="1" x14ac:dyDescent="0.25">
      <c r="A697" s="33">
        <v>40</v>
      </c>
      <c r="B697" s="71" t="s">
        <v>29</v>
      </c>
      <c r="C697" s="39" t="s">
        <v>2078</v>
      </c>
      <c r="D697" s="50" t="s">
        <v>747</v>
      </c>
      <c r="E697" s="47">
        <v>45569</v>
      </c>
      <c r="F697" s="31" t="str">
        <f>VLOOKUP($C697,Carpetas!$C$5:$M$2666,2,FALSE)</f>
        <v>BRB071</v>
      </c>
      <c r="G697" s="23" t="str">
        <f>VLOOKUP($C697,Carpetas!$C$5:$M$2666,10,FALSE)</f>
        <v>150,38,42</v>
      </c>
      <c r="H697" s="27" t="str">
        <f>VLOOKUP($C697,Carpetas!$C$5:$M$2666,6,FALSE)</f>
        <v>Amaro</v>
      </c>
      <c r="I697" s="220"/>
      <c r="J697" s="47">
        <f t="shared" si="44"/>
        <v>45572</v>
      </c>
      <c r="K697" s="72" t="str">
        <f>VLOOKUP($C697,Carpetas!$C$5:$M$2666,5,FALSE)</f>
        <v>Rio Branco</v>
      </c>
      <c r="L697" s="32"/>
      <c r="M697" s="48">
        <f t="shared" si="45"/>
        <v>45573</v>
      </c>
      <c r="N697" s="26">
        <f t="shared" si="41"/>
        <v>4</v>
      </c>
      <c r="O697" s="27">
        <v>990</v>
      </c>
      <c r="P697" s="27">
        <v>990</v>
      </c>
      <c r="Q697" s="27">
        <v>28</v>
      </c>
      <c r="R697" s="27">
        <v>25</v>
      </c>
      <c r="S697" s="27" t="s">
        <v>2212</v>
      </c>
      <c r="T697" s="27"/>
      <c r="U697" s="27"/>
      <c r="V697" s="27" t="s">
        <v>1991</v>
      </c>
      <c r="W697" s="27"/>
      <c r="X697" s="73"/>
      <c r="Y697" s="73" t="e">
        <f>VLOOKUP(X697,Choferes!$B$2:$C$500,2,FALSE)</f>
        <v>#N/A</v>
      </c>
      <c r="Z697" s="73" t="s">
        <v>2213</v>
      </c>
    </row>
    <row r="698" spans="1:26" hidden="1" x14ac:dyDescent="0.25">
      <c r="A698" s="33">
        <v>40</v>
      </c>
      <c r="B698" s="71" t="s">
        <v>29</v>
      </c>
      <c r="C698" s="39" t="s">
        <v>2146</v>
      </c>
      <c r="D698" s="50" t="s">
        <v>764</v>
      </c>
      <c r="E698" s="47">
        <v>45569</v>
      </c>
      <c r="F698" s="31" t="str">
        <f>VLOOKUP($C698,Carpetas!$C$5:$M$2666,2,FALSE)</f>
        <v>BRC004</v>
      </c>
      <c r="G698" s="23" t="str">
        <f>VLOOKUP($C698,Carpetas!$C$5:$M$2666,10,FALSE)</f>
        <v>150,48,78</v>
      </c>
      <c r="H698" s="27" t="str">
        <f>VLOOKUP($C698,Carpetas!$C$5:$M$2666,6,FALSE)</f>
        <v>FG</v>
      </c>
      <c r="I698" s="220"/>
      <c r="J698" s="47">
        <f t="shared" si="44"/>
        <v>45572</v>
      </c>
      <c r="K698" s="72" t="str">
        <f>VLOOKUP($C698,Carpetas!$C$5:$M$2666,5,FALSE)</f>
        <v>Rio Branco</v>
      </c>
      <c r="L698" s="32"/>
      <c r="M698" s="48">
        <f t="shared" si="45"/>
        <v>45573</v>
      </c>
      <c r="N698" s="26">
        <f t="shared" si="41"/>
        <v>4</v>
      </c>
      <c r="O698" s="27">
        <v>990</v>
      </c>
      <c r="P698" s="27">
        <v>990</v>
      </c>
      <c r="Q698" s="27"/>
      <c r="R698" s="27"/>
      <c r="S698" s="27" t="s">
        <v>2214</v>
      </c>
      <c r="T698" s="27"/>
      <c r="U698" s="27"/>
      <c r="V698" s="27" t="s">
        <v>1042</v>
      </c>
      <c r="W698" s="27" t="s">
        <v>1622</v>
      </c>
      <c r="X698" s="73"/>
      <c r="Y698" s="73" t="e">
        <f>VLOOKUP(X698,Choferes!$B$2:$C$500,2,FALSE)</f>
        <v>#N/A</v>
      </c>
      <c r="Z698" s="73"/>
    </row>
    <row r="699" spans="1:26" hidden="1" x14ac:dyDescent="0.25">
      <c r="A699" s="33">
        <v>40</v>
      </c>
      <c r="B699" s="71" t="s">
        <v>29</v>
      </c>
      <c r="C699" s="39" t="s">
        <v>2215</v>
      </c>
      <c r="D699" s="50" t="s">
        <v>953</v>
      </c>
      <c r="E699" s="47">
        <v>45570</v>
      </c>
      <c r="F699" s="31" t="str">
        <f>VLOOKUP($C699,Carpetas!$C$5:$M$2666,2,FALSE)</f>
        <v>BRB077</v>
      </c>
      <c r="G699" s="23">
        <f>VLOOKUP($C699,Carpetas!$C$5:$M$2666,10,FALSE)</f>
        <v>1505478</v>
      </c>
      <c r="H699" s="27" t="str">
        <f>VLOOKUP($C699,Carpetas!$C$5:$M$2666,6,FALSE)</f>
        <v xml:space="preserve">Silvio </v>
      </c>
      <c r="I699" s="220"/>
      <c r="J699" s="47">
        <f t="shared" si="44"/>
        <v>45573</v>
      </c>
      <c r="K699" s="72" t="str">
        <f>VLOOKUP($C699,Carpetas!$C$5:$M$2666,5,FALSE)</f>
        <v>Rio Branco</v>
      </c>
      <c r="L699" s="32"/>
      <c r="M699" s="48">
        <f t="shared" si="45"/>
        <v>45574</v>
      </c>
      <c r="N699" s="26">
        <f t="shared" si="41"/>
        <v>4</v>
      </c>
      <c r="O699" s="27">
        <v>918</v>
      </c>
      <c r="P699" s="27">
        <v>918</v>
      </c>
      <c r="Q699" s="27">
        <v>26</v>
      </c>
      <c r="R699" s="27">
        <v>25.5</v>
      </c>
      <c r="S699" s="27" t="s">
        <v>2216</v>
      </c>
      <c r="T699" s="27"/>
      <c r="U699" s="27"/>
      <c r="V699" s="27" t="s">
        <v>1991</v>
      </c>
      <c r="W699" s="27"/>
      <c r="X699" s="73"/>
      <c r="Y699" s="73" t="e">
        <f>VLOOKUP(X699,Choferes!$B$2:$C$500,2,FALSE)</f>
        <v>#N/A</v>
      </c>
      <c r="Z699" s="73" t="s">
        <v>2217</v>
      </c>
    </row>
    <row r="700" spans="1:26" hidden="1" x14ac:dyDescent="0.25">
      <c r="A700" s="33">
        <v>41</v>
      </c>
      <c r="B700" s="71" t="s">
        <v>29</v>
      </c>
      <c r="C700" s="39" t="s">
        <v>2218</v>
      </c>
      <c r="D700" s="50" t="s">
        <v>48</v>
      </c>
      <c r="E700" s="47">
        <v>45570</v>
      </c>
      <c r="F700" s="31" t="str">
        <f>VLOOKUP($C700,Carpetas!$C$5:$M$2666,2,FALSE)</f>
        <v>PYB145</v>
      </c>
      <c r="G700" s="23" t="str">
        <f>VLOOKUP($C700,Carpetas!$C$5:$M$2666,10,FALSE)</f>
        <v>xxxx</v>
      </c>
      <c r="H700" s="27">
        <f>VLOOKUP($C700,Carpetas!$C$5:$M$2666,6,FALSE)</f>
        <v>0</v>
      </c>
      <c r="I700" s="220"/>
      <c r="J700" s="47">
        <f t="shared" si="44"/>
        <v>45573</v>
      </c>
      <c r="K700" s="72" t="str">
        <f>VLOOKUP($C700,Carpetas!$C$5:$M$2666,5,FALSE)</f>
        <v>Salto</v>
      </c>
      <c r="L700" s="32"/>
      <c r="M700" s="48">
        <f t="shared" si="45"/>
        <v>45574</v>
      </c>
      <c r="N700" s="26">
        <f t="shared" si="41"/>
        <v>4</v>
      </c>
      <c r="O700" s="27">
        <v>930</v>
      </c>
      <c r="P700" s="27">
        <v>930</v>
      </c>
      <c r="Q700" s="27">
        <v>28</v>
      </c>
      <c r="R700" s="27"/>
      <c r="S700" s="27" t="s">
        <v>2219</v>
      </c>
      <c r="T700" s="27"/>
      <c r="U700" s="27"/>
      <c r="V700" s="27" t="s">
        <v>98</v>
      </c>
      <c r="W700" s="27" t="s">
        <v>167</v>
      </c>
      <c r="X700" s="73"/>
      <c r="Y700" s="73" t="e">
        <f>VLOOKUP(X700,Choferes!$B$2:$C$500,2,FALSE)</f>
        <v>#N/A</v>
      </c>
      <c r="Z700" s="73" t="s">
        <v>2220</v>
      </c>
    </row>
    <row r="701" spans="1:26" hidden="1" x14ac:dyDescent="0.25">
      <c r="A701" s="33">
        <v>40</v>
      </c>
      <c r="B701" s="71" t="s">
        <v>29</v>
      </c>
      <c r="C701" s="39" t="s">
        <v>2221</v>
      </c>
      <c r="D701" s="50" t="s">
        <v>1757</v>
      </c>
      <c r="E701" s="47">
        <v>45566</v>
      </c>
      <c r="F701" s="31" t="str">
        <f>VLOOKUP($C701,Carpetas!$C$5:$M$2666,2,FALSE)</f>
        <v>BRB074</v>
      </c>
      <c r="G701" s="23">
        <f>VLOOKUP($C701,Carpetas!$C$5:$M$2666,10,FALSE)</f>
        <v>1505241</v>
      </c>
      <c r="H701" s="27" t="str">
        <f>VLOOKUP($C701,Carpetas!$C$5:$M$2666,6,FALSE)</f>
        <v>Marvel</v>
      </c>
      <c r="I701" s="220"/>
      <c r="J701" s="47">
        <f>E701+5</f>
        <v>45571</v>
      </c>
      <c r="K701" s="72" t="str">
        <f>VLOOKUP($C701,Carpetas!$C$5:$M$2666,5,FALSE)</f>
        <v>Rio Branco</v>
      </c>
      <c r="L701" s="32"/>
      <c r="M701" s="48">
        <v>45575</v>
      </c>
      <c r="N701" s="26">
        <f t="shared" si="41"/>
        <v>9</v>
      </c>
      <c r="O701" s="27">
        <v>936</v>
      </c>
      <c r="P701" s="27">
        <v>936</v>
      </c>
      <c r="Q701" s="27">
        <v>26</v>
      </c>
      <c r="R701" s="27">
        <v>224.5</v>
      </c>
      <c r="S701" s="27" t="s">
        <v>2222</v>
      </c>
      <c r="T701" s="27"/>
      <c r="U701" s="27">
        <v>10180</v>
      </c>
      <c r="V701" s="27" t="s">
        <v>2223</v>
      </c>
      <c r="W701" s="27" t="s">
        <v>2224</v>
      </c>
      <c r="X701" s="73"/>
      <c r="Y701" s="73" t="e">
        <f>VLOOKUP(X701,Choferes!$B$2:$C$500,2,FALSE)</f>
        <v>#N/A</v>
      </c>
      <c r="Z701" s="73" t="s">
        <v>2225</v>
      </c>
    </row>
    <row r="702" spans="1:26" hidden="1" x14ac:dyDescent="0.25">
      <c r="A702" s="33">
        <v>40</v>
      </c>
      <c r="B702" s="71" t="s">
        <v>29</v>
      </c>
      <c r="C702" s="39" t="s">
        <v>2221</v>
      </c>
      <c r="D702" s="50" t="s">
        <v>1757</v>
      </c>
      <c r="E702" s="47">
        <v>45567</v>
      </c>
      <c r="F702" s="31" t="str">
        <f>VLOOKUP($C702,Carpetas!$C$5:$M$2666,2,FALSE)</f>
        <v>BRB074</v>
      </c>
      <c r="G702" s="23">
        <f>VLOOKUP($C702,Carpetas!$C$5:$M$2666,10,FALSE)</f>
        <v>1505241</v>
      </c>
      <c r="H702" s="27" t="str">
        <f>VLOOKUP($C702,Carpetas!$C$5:$M$2666,6,FALSE)</f>
        <v>Marvel</v>
      </c>
      <c r="I702" s="220"/>
      <c r="J702" s="47">
        <f>E702+5</f>
        <v>45572</v>
      </c>
      <c r="K702" s="72" t="str">
        <f>VLOOKUP($C702,Carpetas!$C$5:$M$2666,5,FALSE)</f>
        <v>Rio Branco</v>
      </c>
      <c r="L702" s="32"/>
      <c r="M702" s="48">
        <v>45575</v>
      </c>
      <c r="N702" s="26">
        <f t="shared" si="41"/>
        <v>8</v>
      </c>
      <c r="O702" s="27">
        <v>936</v>
      </c>
      <c r="P702" s="27">
        <v>936</v>
      </c>
      <c r="Q702" s="27">
        <v>26</v>
      </c>
      <c r="R702" s="27">
        <v>25.5</v>
      </c>
      <c r="S702" s="27" t="s">
        <v>2226</v>
      </c>
      <c r="T702" s="27"/>
      <c r="U702" s="27">
        <v>10181</v>
      </c>
      <c r="V702" s="27" t="s">
        <v>2227</v>
      </c>
      <c r="W702" s="27" t="s">
        <v>2228</v>
      </c>
      <c r="X702" s="73"/>
      <c r="Y702" s="73" t="e">
        <f>VLOOKUP(X702,Choferes!$B$2:$C$500,2,FALSE)</f>
        <v>#N/A</v>
      </c>
      <c r="Z702" s="73" t="s">
        <v>2225</v>
      </c>
    </row>
    <row r="703" spans="1:26" hidden="1" x14ac:dyDescent="0.25">
      <c r="A703" s="33">
        <v>40</v>
      </c>
      <c r="B703" s="71" t="s">
        <v>29</v>
      </c>
      <c r="C703" s="39" t="s">
        <v>2221</v>
      </c>
      <c r="D703" s="50" t="s">
        <v>1757</v>
      </c>
      <c r="E703" s="47">
        <v>45568</v>
      </c>
      <c r="F703" s="31" t="str">
        <f>VLOOKUP($C703,Carpetas!$C$5:$M$2666,2,FALSE)</f>
        <v>BRB074</v>
      </c>
      <c r="G703" s="23">
        <f>VLOOKUP($C703,Carpetas!$C$5:$M$2666,10,FALSE)</f>
        <v>1505241</v>
      </c>
      <c r="H703" s="27" t="str">
        <f>VLOOKUP($C703,Carpetas!$C$5:$M$2666,6,FALSE)</f>
        <v>Marvel</v>
      </c>
      <c r="I703" s="220"/>
      <c r="J703" s="47">
        <f>E703+5</f>
        <v>45573</v>
      </c>
      <c r="K703" s="72" t="str">
        <f>VLOOKUP($C703,Carpetas!$C$5:$M$2666,5,FALSE)</f>
        <v>Rio Branco</v>
      </c>
      <c r="L703" s="32"/>
      <c r="M703" s="48">
        <v>45575</v>
      </c>
      <c r="N703" s="26">
        <f t="shared" si="41"/>
        <v>7</v>
      </c>
      <c r="O703" s="27">
        <v>936</v>
      </c>
      <c r="P703" s="27">
        <v>936</v>
      </c>
      <c r="Q703" s="27">
        <v>26</v>
      </c>
      <c r="R703" s="27">
        <v>25.5</v>
      </c>
      <c r="S703" s="27" t="s">
        <v>2229</v>
      </c>
      <c r="T703" s="27"/>
      <c r="U703" s="27">
        <v>10182</v>
      </c>
      <c r="V703" s="27" t="s">
        <v>2230</v>
      </c>
      <c r="W703" s="27" t="s">
        <v>2231</v>
      </c>
      <c r="X703" s="73"/>
      <c r="Y703" s="73" t="e">
        <f>VLOOKUP(X703,Choferes!$B$2:$C$500,2,FALSE)</f>
        <v>#N/A</v>
      </c>
      <c r="Z703" s="73" t="s">
        <v>2225</v>
      </c>
    </row>
    <row r="704" spans="1:26" hidden="1" x14ac:dyDescent="0.25">
      <c r="A704" s="33">
        <v>40</v>
      </c>
      <c r="B704" s="71" t="s">
        <v>29</v>
      </c>
      <c r="C704" s="39" t="s">
        <v>2221</v>
      </c>
      <c r="D704" s="50" t="s">
        <v>1757</v>
      </c>
      <c r="E704" s="47">
        <v>45569</v>
      </c>
      <c r="F704" s="31" t="str">
        <f>VLOOKUP($C704,Carpetas!$C$5:$M$2666,2,FALSE)</f>
        <v>BRB074</v>
      </c>
      <c r="G704" s="23">
        <f>VLOOKUP($C704,Carpetas!$C$5:$M$2666,10,FALSE)</f>
        <v>1505241</v>
      </c>
      <c r="H704" s="27" t="str">
        <f>VLOOKUP($C704,Carpetas!$C$5:$M$2666,6,FALSE)</f>
        <v>Marvel</v>
      </c>
      <c r="I704" s="220"/>
      <c r="J704" s="47">
        <f>E704+5</f>
        <v>45574</v>
      </c>
      <c r="K704" s="72" t="str">
        <f>VLOOKUP($C704,Carpetas!$C$5:$M$2666,5,FALSE)</f>
        <v>Rio Branco</v>
      </c>
      <c r="L704" s="32"/>
      <c r="M704" s="48">
        <f>J704+1</f>
        <v>45575</v>
      </c>
      <c r="N704" s="26">
        <f t="shared" si="41"/>
        <v>6</v>
      </c>
      <c r="O704" s="27">
        <v>936</v>
      </c>
      <c r="P704" s="27">
        <v>936</v>
      </c>
      <c r="Q704" s="27">
        <v>26</v>
      </c>
      <c r="R704" s="27">
        <v>25</v>
      </c>
      <c r="S704" s="27" t="s">
        <v>2232</v>
      </c>
      <c r="T704" s="27"/>
      <c r="U704" s="27">
        <v>10184</v>
      </c>
      <c r="V704" s="27" t="s">
        <v>2233</v>
      </c>
      <c r="W704" s="27" t="s">
        <v>2234</v>
      </c>
      <c r="X704" s="73"/>
      <c r="Y704" s="73" t="e">
        <f>VLOOKUP(X704,Choferes!$B$2:$C$500,2,FALSE)</f>
        <v>#N/A</v>
      </c>
      <c r="Z704" s="73" t="s">
        <v>2235</v>
      </c>
    </row>
    <row r="705" spans="1:26" hidden="1" x14ac:dyDescent="0.25">
      <c r="A705" s="33">
        <v>41</v>
      </c>
      <c r="B705" s="71" t="s">
        <v>29</v>
      </c>
      <c r="C705" s="39" t="s">
        <v>2218</v>
      </c>
      <c r="D705" s="50" t="s">
        <v>48</v>
      </c>
      <c r="E705" s="47">
        <v>45571</v>
      </c>
      <c r="F705" s="31" t="str">
        <f>VLOOKUP($C705,Carpetas!$C$5:$M$2666,2,FALSE)</f>
        <v>PYB145</v>
      </c>
      <c r="G705" s="23" t="str">
        <f>VLOOKUP($C705,Carpetas!$C$5:$M$2666,10,FALSE)</f>
        <v>xxxx</v>
      </c>
      <c r="H705" s="27">
        <f>VLOOKUP($C705,Carpetas!$C$5:$M$2666,6,FALSE)</f>
        <v>0</v>
      </c>
      <c r="I705" s="220"/>
      <c r="J705" s="47">
        <f>E705+3</f>
        <v>45574</v>
      </c>
      <c r="K705" s="72" t="str">
        <f>VLOOKUP($C705,Carpetas!$C$5:$M$2666,5,FALSE)</f>
        <v>Salto</v>
      </c>
      <c r="L705" s="32"/>
      <c r="M705" s="48">
        <f>J705+1</f>
        <v>45575</v>
      </c>
      <c r="N705" s="26">
        <f t="shared" si="41"/>
        <v>4</v>
      </c>
      <c r="O705" s="27">
        <v>930</v>
      </c>
      <c r="P705" s="27">
        <v>930</v>
      </c>
      <c r="Q705" s="27">
        <v>28</v>
      </c>
      <c r="R705" s="27">
        <v>28</v>
      </c>
      <c r="S705" s="27" t="s">
        <v>2219</v>
      </c>
      <c r="T705" s="27"/>
      <c r="U705" s="27"/>
      <c r="V705" s="27" t="s">
        <v>93</v>
      </c>
      <c r="W705" s="27" t="s">
        <v>940</v>
      </c>
      <c r="X705" s="73"/>
      <c r="Y705" s="73" t="e">
        <f>VLOOKUP(X705,Choferes!$B$2:$C$500,2,FALSE)</f>
        <v>#N/A</v>
      </c>
      <c r="Z705" s="73" t="s">
        <v>2236</v>
      </c>
    </row>
    <row r="706" spans="1:26" hidden="1" x14ac:dyDescent="0.25">
      <c r="A706" s="33">
        <v>41</v>
      </c>
      <c r="B706" s="71" t="s">
        <v>29</v>
      </c>
      <c r="C706" s="39" t="s">
        <v>2187</v>
      </c>
      <c r="D706" s="50" t="s">
        <v>747</v>
      </c>
      <c r="E706" s="47">
        <v>45572</v>
      </c>
      <c r="F706" s="31" t="str">
        <f>VLOOKUP($C706,Carpetas!$C$5:$M$2666,2,FALSE)</f>
        <v>BRB076</v>
      </c>
      <c r="G706" s="23" t="str">
        <f>VLOOKUP($C706,Carpetas!$C$5:$M$2666,10,FALSE)</f>
        <v>150,54,77</v>
      </c>
      <c r="H706" s="27" t="str">
        <f>VLOOKUP($C706,Carpetas!$C$5:$M$2666,6,FALSE)</f>
        <v>FG</v>
      </c>
      <c r="I706" s="220"/>
      <c r="J706" s="47">
        <f>E706+2</f>
        <v>45574</v>
      </c>
      <c r="K706" s="72" t="str">
        <f>VLOOKUP($C706,Carpetas!$C$5:$M$2666,5,FALSE)</f>
        <v>Rio Branco</v>
      </c>
      <c r="L706" s="32"/>
      <c r="M706" s="48">
        <f>J706+1</f>
        <v>45575</v>
      </c>
      <c r="N706" s="26">
        <f t="shared" si="41"/>
        <v>3</v>
      </c>
      <c r="O706" s="27">
        <v>990</v>
      </c>
      <c r="P706" s="27">
        <v>990</v>
      </c>
      <c r="Q706" s="27">
        <v>28</v>
      </c>
      <c r="R706" s="27">
        <v>25</v>
      </c>
      <c r="S706" s="27" t="s">
        <v>2237</v>
      </c>
      <c r="T706" s="27"/>
      <c r="U706" s="27">
        <v>380</v>
      </c>
      <c r="V706" s="27" t="s">
        <v>1532</v>
      </c>
      <c r="W706" s="27" t="s">
        <v>1533</v>
      </c>
      <c r="X706" s="73"/>
      <c r="Y706" s="73" t="e">
        <f>VLOOKUP(X706,Choferes!$B$2:$C$500,2,FALSE)</f>
        <v>#N/A</v>
      </c>
      <c r="Z706" s="73" t="s">
        <v>2238</v>
      </c>
    </row>
    <row r="707" spans="1:26" hidden="1" x14ac:dyDescent="0.25">
      <c r="A707" s="33">
        <v>41</v>
      </c>
      <c r="B707" s="71" t="s">
        <v>29</v>
      </c>
      <c r="C707" s="39" t="s">
        <v>2215</v>
      </c>
      <c r="D707" s="50" t="s">
        <v>953</v>
      </c>
      <c r="E707" s="47">
        <v>45573</v>
      </c>
      <c r="F707" s="31" t="str">
        <f>VLOOKUP($C707,Carpetas!$C$5:$M$2666,2,FALSE)</f>
        <v>BRB077</v>
      </c>
      <c r="G707" s="23">
        <f>VLOOKUP($C707,Carpetas!$C$5:$M$2666,10,FALSE)</f>
        <v>1505478</v>
      </c>
      <c r="H707" s="27" t="str">
        <f>VLOOKUP($C707,Carpetas!$C$5:$M$2666,6,FALSE)</f>
        <v xml:space="preserve">Silvio </v>
      </c>
      <c r="I707" s="220"/>
      <c r="J707" s="47">
        <f>E707+1</f>
        <v>45574</v>
      </c>
      <c r="K707" s="72" t="str">
        <f>VLOOKUP($C707,Carpetas!$C$5:$M$2666,5,FALSE)</f>
        <v>Rio Branco</v>
      </c>
      <c r="L707" s="32"/>
      <c r="M707" s="48">
        <f>J707+1</f>
        <v>45575</v>
      </c>
      <c r="N707" s="26">
        <f t="shared" si="41"/>
        <v>2</v>
      </c>
      <c r="O707" s="27">
        <v>918</v>
      </c>
      <c r="P707" s="27">
        <v>918</v>
      </c>
      <c r="Q707" s="27">
        <v>26</v>
      </c>
      <c r="R707" s="27">
        <v>25.5</v>
      </c>
      <c r="S707" s="27" t="s">
        <v>2239</v>
      </c>
      <c r="T707" s="27"/>
      <c r="U707" s="27">
        <v>7139</v>
      </c>
      <c r="V707" s="27" t="s">
        <v>749</v>
      </c>
      <c r="W707" s="27" t="s">
        <v>750</v>
      </c>
      <c r="X707" s="73"/>
      <c r="Y707" s="73" t="e">
        <f>VLOOKUP(X707,Choferes!$B$2:$C$500,2,FALSE)</f>
        <v>#N/A</v>
      </c>
      <c r="Z707" s="73" t="s">
        <v>2240</v>
      </c>
    </row>
    <row r="708" spans="1:26" hidden="1" x14ac:dyDescent="0.25">
      <c r="A708" s="33">
        <v>41</v>
      </c>
      <c r="B708" s="71" t="s">
        <v>29</v>
      </c>
      <c r="C708" s="39" t="s">
        <v>2201</v>
      </c>
      <c r="D708" s="50" t="s">
        <v>110</v>
      </c>
      <c r="E708" s="47">
        <v>45573</v>
      </c>
      <c r="F708" s="31" t="str">
        <f>VLOOKUP($C708,Carpetas!$C$5:$M$2666,2,FALSE)</f>
        <v>BRB075</v>
      </c>
      <c r="G708" s="23">
        <f>VLOOKUP($C708,Carpetas!$C$5:$M$2666,10,FALSE)</f>
        <v>1505480</v>
      </c>
      <c r="H708" s="27" t="str">
        <f>VLOOKUP($C708,Carpetas!$C$5:$M$2666,6,FALSE)</f>
        <v>Zanini</v>
      </c>
      <c r="I708" s="220"/>
      <c r="J708" s="47">
        <f>E708+1</f>
        <v>45574</v>
      </c>
      <c r="K708" s="72" t="str">
        <f>VLOOKUP($C708,Carpetas!$C$5:$M$2666,5,FALSE)</f>
        <v>Rio Branco</v>
      </c>
      <c r="L708" s="32"/>
      <c r="M708" s="48">
        <f>J708+1</f>
        <v>45575</v>
      </c>
      <c r="N708" s="26">
        <f t="shared" si="41"/>
        <v>2</v>
      </c>
      <c r="O708" s="27">
        <v>918</v>
      </c>
      <c r="P708" s="27">
        <v>918</v>
      </c>
      <c r="Q708" s="27">
        <v>26</v>
      </c>
      <c r="R708" s="27">
        <v>25.5</v>
      </c>
      <c r="S708" s="27" t="s">
        <v>2241</v>
      </c>
      <c r="T708" s="27"/>
      <c r="U708" s="27">
        <v>4785</v>
      </c>
      <c r="V708" s="27" t="s">
        <v>2242</v>
      </c>
      <c r="W708" s="27" t="s">
        <v>2243</v>
      </c>
      <c r="X708" s="73"/>
      <c r="Y708" s="73" t="e">
        <f>VLOOKUP(X708,Choferes!$B$2:$C$500,2,FALSE)</f>
        <v>#N/A</v>
      </c>
      <c r="Z708" s="73" t="s">
        <v>2244</v>
      </c>
    </row>
    <row r="709" spans="1:26" hidden="1" x14ac:dyDescent="0.25">
      <c r="A709" s="33">
        <v>40</v>
      </c>
      <c r="B709" s="71" t="s">
        <v>29</v>
      </c>
      <c r="C709" s="39" t="s">
        <v>2245</v>
      </c>
      <c r="D709" s="50" t="s">
        <v>38</v>
      </c>
      <c r="E709" s="47">
        <v>45566</v>
      </c>
      <c r="F709" s="31" t="str">
        <f>VLOOKUP($C709,Carpetas!$C$5:$M$2666,2,FALSE)</f>
        <v>BRE035</v>
      </c>
      <c r="G709" s="23" t="str">
        <f>VLOOKUP($C709,Carpetas!$C$5:$M$2666,10,FALSE)</f>
        <v>1504761,1504757,1504755,1504758</v>
      </c>
      <c r="H709" s="27" t="str">
        <f>VLOOKUP($C709,Carpetas!$C$5:$M$2666,6,FALSE)</f>
        <v xml:space="preserve">Silvio </v>
      </c>
      <c r="I709" s="220">
        <f>VLOOKUP($C709,Carpetas!$C$5:$M$2666,4,FALSE)</f>
        <v>0</v>
      </c>
      <c r="J709" s="47">
        <v>45574</v>
      </c>
      <c r="K709" s="72" t="str">
        <f>VLOOKUP($C709,Carpetas!$C$5:$M$2666,5,FALSE)</f>
        <v>Chuy</v>
      </c>
      <c r="L709" s="32"/>
      <c r="M709" s="48">
        <v>45576</v>
      </c>
      <c r="N709" s="26">
        <f t="shared" ref="N709:N772" si="46">IF(E709&lt;&gt;"",M709-E709,"-")</f>
        <v>10</v>
      </c>
      <c r="O709" s="27">
        <v>1468</v>
      </c>
      <c r="P709" s="27"/>
      <c r="Q709" s="27"/>
      <c r="R709" s="27"/>
      <c r="S709" s="27"/>
      <c r="T709" s="27"/>
      <c r="U709" s="27"/>
      <c r="V709" s="27"/>
      <c r="W709" s="27"/>
      <c r="X709" s="73"/>
      <c r="Y709" s="73" t="e">
        <f>VLOOKUP(X709,Choferes!$B$2:$C$500,2,FALSE)</f>
        <v>#N/A</v>
      </c>
      <c r="Z709" s="73" t="s">
        <v>2246</v>
      </c>
    </row>
    <row r="710" spans="1:26" hidden="1" x14ac:dyDescent="0.25">
      <c r="A710" s="33">
        <v>40</v>
      </c>
      <c r="B710" s="71" t="s">
        <v>29</v>
      </c>
      <c r="C710" s="39" t="s">
        <v>2221</v>
      </c>
      <c r="D710" s="50" t="s">
        <v>1757</v>
      </c>
      <c r="E710" s="47">
        <v>45570</v>
      </c>
      <c r="F710" s="31" t="str">
        <f>VLOOKUP($C710,Carpetas!$C$5:$M$2666,2,FALSE)</f>
        <v>BRB074</v>
      </c>
      <c r="G710" s="23">
        <f>VLOOKUP($C710,Carpetas!$C$5:$M$2666,10,FALSE)</f>
        <v>1505241</v>
      </c>
      <c r="H710" s="27" t="str">
        <f>VLOOKUP($C710,Carpetas!$C$5:$M$2666,6,FALSE)</f>
        <v>Marvel</v>
      </c>
      <c r="I710" s="220"/>
      <c r="J710" s="47">
        <f>E710+5</f>
        <v>45575</v>
      </c>
      <c r="K710" s="72" t="str">
        <f>VLOOKUP($C710,Carpetas!$C$5:$M$2666,5,FALSE)</f>
        <v>Rio Branco</v>
      </c>
      <c r="L710" s="32"/>
      <c r="M710" s="48">
        <f t="shared" ref="M710:M727" si="47">J710+1</f>
        <v>45576</v>
      </c>
      <c r="N710" s="26">
        <f t="shared" si="46"/>
        <v>6</v>
      </c>
      <c r="O710" s="27">
        <v>936</v>
      </c>
      <c r="P710" s="27">
        <v>936</v>
      </c>
      <c r="Q710" s="27">
        <v>28</v>
      </c>
      <c r="R710" s="27">
        <v>25</v>
      </c>
      <c r="S710" s="27" t="s">
        <v>2247</v>
      </c>
      <c r="T710" s="27"/>
      <c r="U710" s="27">
        <v>10183</v>
      </c>
      <c r="V710" s="27" t="s">
        <v>2248</v>
      </c>
      <c r="W710" s="27" t="s">
        <v>2249</v>
      </c>
      <c r="X710" s="73"/>
      <c r="Y710" s="73" t="e">
        <f>VLOOKUP(X710,Choferes!$B$2:$C$500,2,FALSE)</f>
        <v>#N/A</v>
      </c>
      <c r="Z710" s="73" t="s">
        <v>2250</v>
      </c>
    </row>
    <row r="711" spans="1:26" hidden="1" x14ac:dyDescent="0.25">
      <c r="A711" s="33">
        <v>41</v>
      </c>
      <c r="B711" s="71" t="s">
        <v>29</v>
      </c>
      <c r="C711" s="39" t="s">
        <v>2251</v>
      </c>
      <c r="D711" s="50" t="s">
        <v>102</v>
      </c>
      <c r="E711" s="47">
        <v>45572</v>
      </c>
      <c r="F711" s="31" t="str">
        <f>VLOOKUP($C711,Carpetas!$C$5:$M$2666,2,FALSE)</f>
        <v>PYB146</v>
      </c>
      <c r="G711" s="23" t="str">
        <f>VLOOKUP($C711,Carpetas!$C$5:$M$2666,10,FALSE)</f>
        <v>xxxx</v>
      </c>
      <c r="H711" s="27">
        <f>VLOOKUP($C711,Carpetas!$C$5:$M$2666,6,FALSE)</f>
        <v>0</v>
      </c>
      <c r="I711" s="220"/>
      <c r="J711" s="47">
        <f>E711+3</f>
        <v>45575</v>
      </c>
      <c r="K711" s="72" t="str">
        <f>VLOOKUP($C711,Carpetas!$C$5:$M$2666,5,FALSE)</f>
        <v>Salto</v>
      </c>
      <c r="L711" s="32"/>
      <c r="M711" s="48">
        <f t="shared" si="47"/>
        <v>45576</v>
      </c>
      <c r="N711" s="26">
        <f t="shared" si="46"/>
        <v>4</v>
      </c>
      <c r="O711" s="27">
        <v>980</v>
      </c>
      <c r="P711" s="27">
        <v>982</v>
      </c>
      <c r="Q711" s="27">
        <v>28</v>
      </c>
      <c r="R711" s="27">
        <v>26</v>
      </c>
      <c r="S711" s="27" t="s">
        <v>2252</v>
      </c>
      <c r="T711" s="27"/>
      <c r="U711" s="27"/>
      <c r="V711" s="27" t="s">
        <v>161</v>
      </c>
      <c r="W711" s="27"/>
      <c r="X711" s="73"/>
      <c r="Y711" s="73" t="e">
        <f>VLOOKUP(X711,Choferes!$B$2:$C$500,2,FALSE)</f>
        <v>#N/A</v>
      </c>
      <c r="Z711" s="73" t="s">
        <v>2253</v>
      </c>
    </row>
    <row r="712" spans="1:26" hidden="1" x14ac:dyDescent="0.25">
      <c r="A712" s="33">
        <v>41</v>
      </c>
      <c r="B712" s="71" t="s">
        <v>29</v>
      </c>
      <c r="C712" s="39" t="s">
        <v>2251</v>
      </c>
      <c r="D712" s="50" t="s">
        <v>102</v>
      </c>
      <c r="E712" s="47">
        <v>45572</v>
      </c>
      <c r="F712" s="31" t="str">
        <f>VLOOKUP($C712,Carpetas!$C$5:$M$2666,2,FALSE)</f>
        <v>PYB146</v>
      </c>
      <c r="G712" s="23" t="str">
        <f>VLOOKUP($C712,Carpetas!$C$5:$M$2666,10,FALSE)</f>
        <v>xxxx</v>
      </c>
      <c r="H712" s="27">
        <f>VLOOKUP($C712,Carpetas!$C$5:$M$2666,6,FALSE)</f>
        <v>0</v>
      </c>
      <c r="I712" s="220"/>
      <c r="J712" s="47">
        <f>E712+3</f>
        <v>45575</v>
      </c>
      <c r="K712" s="72" t="str">
        <f>VLOOKUP($C712,Carpetas!$C$5:$M$2666,5,FALSE)</f>
        <v>Salto</v>
      </c>
      <c r="L712" s="32"/>
      <c r="M712" s="48">
        <f t="shared" si="47"/>
        <v>45576</v>
      </c>
      <c r="N712" s="26">
        <f t="shared" si="46"/>
        <v>4</v>
      </c>
      <c r="O712" s="27">
        <v>980</v>
      </c>
      <c r="P712" s="27">
        <v>980</v>
      </c>
      <c r="Q712" s="27">
        <v>28</v>
      </c>
      <c r="R712" s="27">
        <v>27</v>
      </c>
      <c r="S712" s="27" t="s">
        <v>2254</v>
      </c>
      <c r="T712" s="27"/>
      <c r="U712" s="27"/>
      <c r="V712" s="27" t="s">
        <v>2255</v>
      </c>
      <c r="W712" s="27"/>
      <c r="X712" s="73"/>
      <c r="Y712" s="73" t="e">
        <f>VLOOKUP(X712,Choferes!$B$2:$C$500,2,FALSE)</f>
        <v>#N/A</v>
      </c>
      <c r="Z712" s="73" t="s">
        <v>2256</v>
      </c>
    </row>
    <row r="713" spans="1:26" hidden="1" x14ac:dyDescent="0.25">
      <c r="A713" s="33">
        <v>41</v>
      </c>
      <c r="B713" s="71" t="s">
        <v>29</v>
      </c>
      <c r="C713" s="39" t="s">
        <v>2201</v>
      </c>
      <c r="D713" s="50" t="s">
        <v>2202</v>
      </c>
      <c r="E713" s="47">
        <v>45574</v>
      </c>
      <c r="F713" s="31" t="str">
        <f>VLOOKUP($C713,Carpetas!$C$5:$M$2666,2,FALSE)</f>
        <v>BRB075</v>
      </c>
      <c r="G713" s="23">
        <f>VLOOKUP($C713,Carpetas!$C$5:$M$2666,10,FALSE)</f>
        <v>1505480</v>
      </c>
      <c r="H713" s="27" t="str">
        <f>VLOOKUP($C713,Carpetas!$C$5:$M$2666,6,FALSE)</f>
        <v>Zanini</v>
      </c>
      <c r="I713" s="220"/>
      <c r="J713" s="47">
        <f>E713+2</f>
        <v>45576</v>
      </c>
      <c r="K713" s="72" t="str">
        <f>VLOOKUP($C713,Carpetas!$C$5:$M$2666,5,FALSE)</f>
        <v>Rio Branco</v>
      </c>
      <c r="L713" s="32"/>
      <c r="M713" s="48">
        <f t="shared" si="47"/>
        <v>45577</v>
      </c>
      <c r="N713" s="26">
        <f t="shared" si="46"/>
        <v>3</v>
      </c>
      <c r="O713" s="27">
        <v>918</v>
      </c>
      <c r="P713" s="27">
        <v>9191</v>
      </c>
      <c r="Q713" s="27">
        <v>26</v>
      </c>
      <c r="R713" s="27">
        <v>25.5</v>
      </c>
      <c r="S713" s="27" t="s">
        <v>2257</v>
      </c>
      <c r="T713" s="27"/>
      <c r="U713" s="27">
        <v>4787</v>
      </c>
      <c r="V713" s="27" t="s">
        <v>58</v>
      </c>
      <c r="W713" s="27" t="s">
        <v>59</v>
      </c>
      <c r="X713" s="73"/>
      <c r="Y713" s="73" t="e">
        <f>VLOOKUP(X713,Choferes!$B$2:$C$500,2,FALSE)</f>
        <v>#N/A</v>
      </c>
      <c r="Z713" s="73" t="s">
        <v>2258</v>
      </c>
    </row>
    <row r="714" spans="1:26" hidden="1" x14ac:dyDescent="0.25">
      <c r="A714" s="33">
        <v>41</v>
      </c>
      <c r="B714" s="71" t="s">
        <v>29</v>
      </c>
      <c r="C714" s="39" t="s">
        <v>2187</v>
      </c>
      <c r="D714" s="50" t="s">
        <v>803</v>
      </c>
      <c r="E714" s="47">
        <v>45574</v>
      </c>
      <c r="F714" s="31" t="str">
        <f>VLOOKUP($C714,Carpetas!$C$5:$M$2666,2,FALSE)</f>
        <v>BRB076</v>
      </c>
      <c r="G714" s="23" t="str">
        <f>VLOOKUP($C714,Carpetas!$C$5:$M$2666,10,FALSE)</f>
        <v>150,54,77</v>
      </c>
      <c r="H714" s="27" t="str">
        <f>VLOOKUP($C714,Carpetas!$C$5:$M$2666,6,FALSE)</f>
        <v>FG</v>
      </c>
      <c r="I714" s="220"/>
      <c r="J714" s="47">
        <f>E714+2</f>
        <v>45576</v>
      </c>
      <c r="K714" s="72" t="str">
        <f>VLOOKUP($C714,Carpetas!$C$5:$M$2666,5,FALSE)</f>
        <v>Rio Branco</v>
      </c>
      <c r="L714" s="32"/>
      <c r="M714" s="48">
        <f t="shared" si="47"/>
        <v>45577</v>
      </c>
      <c r="N714" s="26">
        <f t="shared" si="46"/>
        <v>3</v>
      </c>
      <c r="O714" s="27">
        <v>990</v>
      </c>
      <c r="P714" s="27">
        <v>990</v>
      </c>
      <c r="Q714" s="27">
        <v>28</v>
      </c>
      <c r="R714" s="27">
        <v>25</v>
      </c>
      <c r="S714" s="27" t="s">
        <v>2259</v>
      </c>
      <c r="T714" s="27"/>
      <c r="U714" s="27">
        <v>385</v>
      </c>
      <c r="V714" s="27" t="s">
        <v>1430</v>
      </c>
      <c r="W714" s="27" t="s">
        <v>1669</v>
      </c>
      <c r="X714" s="73"/>
      <c r="Y714" s="73" t="e">
        <f>VLOOKUP(X714,Choferes!$B$2:$C$500,2,FALSE)</f>
        <v>#N/A</v>
      </c>
      <c r="Z714" s="73" t="s">
        <v>2260</v>
      </c>
    </row>
    <row r="715" spans="1:26" hidden="1" x14ac:dyDescent="0.25">
      <c r="A715" s="33">
        <v>41</v>
      </c>
      <c r="B715" s="71" t="s">
        <v>29</v>
      </c>
      <c r="C715" s="39" t="s">
        <v>2187</v>
      </c>
      <c r="D715" s="50" t="s">
        <v>747</v>
      </c>
      <c r="E715" s="47">
        <v>45574</v>
      </c>
      <c r="F715" s="31" t="str">
        <f>VLOOKUP($C715,Carpetas!$C$5:$M$2666,2,FALSE)</f>
        <v>BRB076</v>
      </c>
      <c r="G715" s="23" t="str">
        <f>VLOOKUP($C715,Carpetas!$C$5:$M$2666,10,FALSE)</f>
        <v>150,54,77</v>
      </c>
      <c r="H715" s="27" t="str">
        <f>VLOOKUP($C715,Carpetas!$C$5:$M$2666,6,FALSE)</f>
        <v>FG</v>
      </c>
      <c r="I715" s="220"/>
      <c r="J715" s="47">
        <f>E715+2</f>
        <v>45576</v>
      </c>
      <c r="K715" s="72" t="str">
        <f>VLOOKUP($C715,Carpetas!$C$5:$M$2666,5,FALSE)</f>
        <v>Rio Branco</v>
      </c>
      <c r="L715" s="32"/>
      <c r="M715" s="48">
        <f t="shared" si="47"/>
        <v>45577</v>
      </c>
      <c r="N715" s="26">
        <f t="shared" si="46"/>
        <v>3</v>
      </c>
      <c r="O715" s="27">
        <v>990</v>
      </c>
      <c r="P715" s="27">
        <v>991</v>
      </c>
      <c r="Q715" s="27">
        <v>28</v>
      </c>
      <c r="R715" s="27">
        <v>25.5</v>
      </c>
      <c r="S715" s="27" t="s">
        <v>2261</v>
      </c>
      <c r="T715" s="27"/>
      <c r="U715" s="27">
        <v>384</v>
      </c>
      <c r="V715" s="27" t="s">
        <v>1722</v>
      </c>
      <c r="W715" s="27" t="s">
        <v>1723</v>
      </c>
      <c r="X715" s="73"/>
      <c r="Y715" s="73" t="e">
        <f>VLOOKUP(X715,Choferes!$B$2:$C$500,2,FALSE)</f>
        <v>#N/A</v>
      </c>
      <c r="Z715" s="73" t="s">
        <v>2262</v>
      </c>
    </row>
    <row r="716" spans="1:26" hidden="1" x14ac:dyDescent="0.25">
      <c r="A716" s="33">
        <v>41</v>
      </c>
      <c r="B716" s="71" t="s">
        <v>29</v>
      </c>
      <c r="C716" s="39" t="s">
        <v>2263</v>
      </c>
      <c r="D716" s="50" t="s">
        <v>1757</v>
      </c>
      <c r="E716" s="47">
        <v>45573</v>
      </c>
      <c r="F716" s="31" t="str">
        <f>VLOOKUP($C716,Carpetas!$C$5:$M$2666,2,FALSE)</f>
        <v>BRB078</v>
      </c>
      <c r="G716" s="23">
        <f>VLOOKUP($C716,Carpetas!$C$5:$M$2666,10,FALSE)</f>
        <v>1506124</v>
      </c>
      <c r="H716" s="27" t="str">
        <f>VLOOKUP($C716,Carpetas!$C$5:$M$2666,6,FALSE)</f>
        <v>Marvel</v>
      </c>
      <c r="I716" s="220"/>
      <c r="J716" s="47">
        <f>E716+5</f>
        <v>45578</v>
      </c>
      <c r="K716" s="72" t="str">
        <f>VLOOKUP($C716,Carpetas!$C$5:$M$2666,5,FALSE)</f>
        <v>Rio Branco</v>
      </c>
      <c r="L716" s="32"/>
      <c r="M716" s="48">
        <f t="shared" si="47"/>
        <v>45579</v>
      </c>
      <c r="N716" s="26">
        <f t="shared" si="46"/>
        <v>6</v>
      </c>
      <c r="O716" s="27">
        <v>936</v>
      </c>
      <c r="P716" s="27">
        <v>936</v>
      </c>
      <c r="Q716" s="27">
        <v>26</v>
      </c>
      <c r="R716" s="27">
        <v>25.5</v>
      </c>
      <c r="S716" s="27" t="s">
        <v>2264</v>
      </c>
      <c r="T716" s="27"/>
      <c r="U716" s="27">
        <v>10187</v>
      </c>
      <c r="V716" s="27" t="s">
        <v>2265</v>
      </c>
      <c r="W716" s="27" t="s">
        <v>2266</v>
      </c>
      <c r="X716" s="73"/>
      <c r="Y716" s="73" t="e">
        <f>VLOOKUP(X716,Choferes!$B$2:$C$500,2,FALSE)</f>
        <v>#N/A</v>
      </c>
      <c r="Z716" s="73" t="s">
        <v>2267</v>
      </c>
    </row>
    <row r="717" spans="1:26" hidden="1" x14ac:dyDescent="0.25">
      <c r="A717" s="33">
        <v>41</v>
      </c>
      <c r="B717" s="71" t="s">
        <v>29</v>
      </c>
      <c r="C717" s="39" t="s">
        <v>2215</v>
      </c>
      <c r="D717" s="50" t="s">
        <v>953</v>
      </c>
      <c r="E717" s="47">
        <v>45576</v>
      </c>
      <c r="F717" s="31" t="str">
        <f>VLOOKUP($C717,Carpetas!$C$5:$M$2666,2,FALSE)</f>
        <v>BRB077</v>
      </c>
      <c r="G717" s="23">
        <f>VLOOKUP($C717,Carpetas!$C$5:$M$2666,10,FALSE)</f>
        <v>1505478</v>
      </c>
      <c r="H717" s="27" t="str">
        <f>VLOOKUP($C717,Carpetas!$C$5:$M$2666,6,FALSE)</f>
        <v xml:space="preserve">Silvio </v>
      </c>
      <c r="I717" s="220"/>
      <c r="J717" s="47">
        <v>45579</v>
      </c>
      <c r="K717" s="72" t="str">
        <f>VLOOKUP($C717,Carpetas!$C$5:$M$2666,5,FALSE)</f>
        <v>Rio Branco</v>
      </c>
      <c r="L717" s="32"/>
      <c r="M717" s="48">
        <f t="shared" si="47"/>
        <v>45580</v>
      </c>
      <c r="N717" s="26">
        <f t="shared" si="46"/>
        <v>4</v>
      </c>
      <c r="O717" s="27">
        <v>918</v>
      </c>
      <c r="P717" s="27"/>
      <c r="Q717" s="27"/>
      <c r="R717" s="27"/>
      <c r="S717" s="27" t="s">
        <v>2268</v>
      </c>
      <c r="T717" s="27"/>
      <c r="U717" s="27">
        <v>7140</v>
      </c>
      <c r="V717" s="27" t="s">
        <v>251</v>
      </c>
      <c r="W717" s="27" t="s">
        <v>710</v>
      </c>
      <c r="X717" s="73"/>
      <c r="Y717" s="73" t="e">
        <f>VLOOKUP(X717,Choferes!$B$2:$C$500,2,FALSE)</f>
        <v>#N/A</v>
      </c>
      <c r="Z717" s="73" t="s">
        <v>2269</v>
      </c>
    </row>
    <row r="718" spans="1:26" hidden="1" x14ac:dyDescent="0.25">
      <c r="A718" s="33">
        <v>41</v>
      </c>
      <c r="B718" s="71" t="s">
        <v>29</v>
      </c>
      <c r="C718" s="39" t="s">
        <v>2187</v>
      </c>
      <c r="D718" s="50" t="s">
        <v>803</v>
      </c>
      <c r="E718" s="47">
        <v>45576</v>
      </c>
      <c r="F718" s="31" t="str">
        <f>VLOOKUP($C718,Carpetas!$C$5:$M$2666,2,FALSE)</f>
        <v>BRB076</v>
      </c>
      <c r="G718" s="23" t="str">
        <f>VLOOKUP($C718,Carpetas!$C$5:$M$2666,10,FALSE)</f>
        <v>150,54,77</v>
      </c>
      <c r="H718" s="27" t="str">
        <f>VLOOKUP($C718,Carpetas!$C$5:$M$2666,6,FALSE)</f>
        <v>FG</v>
      </c>
      <c r="I718" s="220"/>
      <c r="J718" s="47">
        <v>45579</v>
      </c>
      <c r="K718" s="72" t="str">
        <f>VLOOKUP($C718,Carpetas!$C$5:$M$2666,5,FALSE)</f>
        <v>Rio Branco</v>
      </c>
      <c r="L718" s="32"/>
      <c r="M718" s="48">
        <f t="shared" si="47"/>
        <v>45580</v>
      </c>
      <c r="N718" s="26">
        <f t="shared" si="46"/>
        <v>4</v>
      </c>
      <c r="O718" s="27">
        <v>990</v>
      </c>
      <c r="P718" s="27">
        <v>990</v>
      </c>
      <c r="Q718" s="27">
        <v>28</v>
      </c>
      <c r="R718" s="27">
        <v>24.5</v>
      </c>
      <c r="S718" s="27" t="s">
        <v>2270</v>
      </c>
      <c r="T718" s="27"/>
      <c r="U718" s="27">
        <v>393</v>
      </c>
      <c r="V718" s="27" t="s">
        <v>911</v>
      </c>
      <c r="W718" s="27" t="s">
        <v>912</v>
      </c>
      <c r="X718" s="73"/>
      <c r="Y718" s="73" t="e">
        <f>VLOOKUP(X718,Choferes!$B$2:$C$500,2,FALSE)</f>
        <v>#N/A</v>
      </c>
      <c r="Z718" s="73" t="s">
        <v>2271</v>
      </c>
    </row>
    <row r="719" spans="1:26" hidden="1" x14ac:dyDescent="0.25">
      <c r="A719" s="33">
        <v>41</v>
      </c>
      <c r="B719" s="71" t="s">
        <v>29</v>
      </c>
      <c r="C719" s="39" t="s">
        <v>2187</v>
      </c>
      <c r="D719" s="50" t="s">
        <v>78</v>
      </c>
      <c r="E719" s="47">
        <v>45576</v>
      </c>
      <c r="F719" s="31" t="str">
        <f>VLOOKUP($C719,Carpetas!$C$5:$M$2666,2,FALSE)</f>
        <v>BRB076</v>
      </c>
      <c r="G719" s="23" t="str">
        <f>VLOOKUP($C719,Carpetas!$C$5:$M$2666,10,FALSE)</f>
        <v>150,54,77</v>
      </c>
      <c r="H719" s="27" t="str">
        <f>VLOOKUP($C719,Carpetas!$C$5:$M$2666,6,FALSE)</f>
        <v>FG</v>
      </c>
      <c r="I719" s="220"/>
      <c r="J719" s="47">
        <v>45579</v>
      </c>
      <c r="K719" s="72" t="str">
        <f>VLOOKUP($C719,Carpetas!$C$5:$M$2666,5,FALSE)</f>
        <v>Rio Branco</v>
      </c>
      <c r="L719" s="32"/>
      <c r="M719" s="48">
        <f t="shared" si="47"/>
        <v>45580</v>
      </c>
      <c r="N719" s="26">
        <f t="shared" si="46"/>
        <v>4</v>
      </c>
      <c r="O719" s="27">
        <v>990</v>
      </c>
      <c r="P719" s="27">
        <v>990</v>
      </c>
      <c r="Q719" s="27">
        <v>28</v>
      </c>
      <c r="R719" s="27">
        <v>25.5</v>
      </c>
      <c r="S719" s="27" t="s">
        <v>2272</v>
      </c>
      <c r="T719" s="27"/>
      <c r="U719" s="27">
        <v>394</v>
      </c>
      <c r="V719" s="27" t="s">
        <v>1617</v>
      </c>
      <c r="W719" s="27" t="s">
        <v>1618</v>
      </c>
      <c r="X719" s="73"/>
      <c r="Y719" s="73" t="e">
        <f>VLOOKUP(X719,Choferes!$B$2:$C$500,2,FALSE)</f>
        <v>#N/A</v>
      </c>
      <c r="Z719" s="73" t="s">
        <v>2273</v>
      </c>
    </row>
    <row r="720" spans="1:26" hidden="1" x14ac:dyDescent="0.25">
      <c r="A720" s="33">
        <v>41</v>
      </c>
      <c r="B720" s="71" t="s">
        <v>29</v>
      </c>
      <c r="C720" s="39" t="s">
        <v>2274</v>
      </c>
      <c r="D720" s="50" t="s">
        <v>880</v>
      </c>
      <c r="E720" s="47">
        <v>45576</v>
      </c>
      <c r="F720" s="31" t="str">
        <f>VLOOKUP($C720,Carpetas!$C$5:$M$2666,2,FALSE)</f>
        <v>BRB080</v>
      </c>
      <c r="G720" s="23">
        <f>VLOOKUP($C720,Carpetas!$C$5:$M$2666,10,FALSE)</f>
        <v>1506902</v>
      </c>
      <c r="H720" s="27" t="str">
        <f>VLOOKUP($C720,Carpetas!$C$5:$M$2666,6,FALSE)</f>
        <v>FG</v>
      </c>
      <c r="I720" s="220"/>
      <c r="J720" s="47">
        <v>45579</v>
      </c>
      <c r="K720" s="72" t="str">
        <f>VLOOKUP($C720,Carpetas!$C$5:$M$2666,5,FALSE)</f>
        <v>Rio Branco</v>
      </c>
      <c r="L720" s="32"/>
      <c r="M720" s="48">
        <f t="shared" si="47"/>
        <v>45580</v>
      </c>
      <c r="N720" s="26">
        <f t="shared" si="46"/>
        <v>4</v>
      </c>
      <c r="O720" s="27">
        <v>990</v>
      </c>
      <c r="P720" s="27">
        <v>990</v>
      </c>
      <c r="Q720" s="27">
        <v>28</v>
      </c>
      <c r="R720" s="27">
        <v>25.5</v>
      </c>
      <c r="S720" s="27" t="s">
        <v>2275</v>
      </c>
      <c r="T720" s="27"/>
      <c r="U720" s="27">
        <v>396</v>
      </c>
      <c r="V720" s="27" t="s">
        <v>1726</v>
      </c>
      <c r="W720" s="27" t="s">
        <v>1646</v>
      </c>
      <c r="X720" s="73"/>
      <c r="Y720" s="73" t="e">
        <f>VLOOKUP(X720,Choferes!$B$2:$C$500,2,FALSE)</f>
        <v>#N/A</v>
      </c>
      <c r="Z720" s="73" t="s">
        <v>2271</v>
      </c>
    </row>
    <row r="721" spans="1:26" ht="30" hidden="1" x14ac:dyDescent="0.25">
      <c r="A721" s="33">
        <v>41</v>
      </c>
      <c r="B721" s="71" t="s">
        <v>29</v>
      </c>
      <c r="C721" s="39" t="s">
        <v>2276</v>
      </c>
      <c r="D721" s="50" t="s">
        <v>249</v>
      </c>
      <c r="E721" s="47">
        <v>45576</v>
      </c>
      <c r="F721" s="31" t="str">
        <f>VLOOKUP($C721,Carpetas!$C$5:$M$2666,2,FALSE)</f>
        <v>BRB079</v>
      </c>
      <c r="G721" s="23">
        <f>VLOOKUP($C721,Carpetas!$C$5:$M$2666,10,FALSE)</f>
        <v>1505482</v>
      </c>
      <c r="H721" s="27" t="str">
        <f>VLOOKUP($C721,Carpetas!$C$5:$M$2666,6,FALSE)</f>
        <v>Amaro</v>
      </c>
      <c r="I721" s="220"/>
      <c r="J721" s="47">
        <v>45579</v>
      </c>
      <c r="K721" s="72" t="str">
        <f>VLOOKUP($C721,Carpetas!$C$5:$M$2666,5,FALSE)</f>
        <v>Rio Branco</v>
      </c>
      <c r="L721" s="32"/>
      <c r="M721" s="48">
        <f t="shared" si="47"/>
        <v>45580</v>
      </c>
      <c r="N721" s="26">
        <f t="shared" si="46"/>
        <v>4</v>
      </c>
      <c r="O721" s="27">
        <v>990</v>
      </c>
      <c r="P721" s="27"/>
      <c r="Q721" s="27"/>
      <c r="R721" s="27"/>
      <c r="S721" s="27" t="s">
        <v>2277</v>
      </c>
      <c r="T721" s="27"/>
      <c r="U721" s="27">
        <v>24812</v>
      </c>
      <c r="V721" s="27" t="s">
        <v>2117</v>
      </c>
      <c r="W721" s="27" t="s">
        <v>2118</v>
      </c>
      <c r="X721" s="73"/>
      <c r="Y721" s="73" t="e">
        <f>VLOOKUP(X721,Choferes!$B$2:$C$500,2,FALSE)</f>
        <v>#N/A</v>
      </c>
      <c r="Z721" s="73" t="s">
        <v>2278</v>
      </c>
    </row>
    <row r="722" spans="1:26" hidden="1" x14ac:dyDescent="0.25">
      <c r="A722" s="33">
        <v>41</v>
      </c>
      <c r="B722" s="71" t="s">
        <v>29</v>
      </c>
      <c r="C722" s="39" t="s">
        <v>2146</v>
      </c>
      <c r="D722" s="50" t="s">
        <v>764</v>
      </c>
      <c r="E722" s="47">
        <v>45576</v>
      </c>
      <c r="F722" s="31" t="str">
        <f>VLOOKUP($C722,Carpetas!$C$5:$M$2666,2,FALSE)</f>
        <v>BRC004</v>
      </c>
      <c r="G722" s="23" t="str">
        <f>VLOOKUP($C722,Carpetas!$C$5:$M$2666,10,FALSE)</f>
        <v>150,48,78</v>
      </c>
      <c r="H722" s="27" t="str">
        <f>VLOOKUP($C722,Carpetas!$C$5:$M$2666,6,FALSE)</f>
        <v>FG</v>
      </c>
      <c r="I722" s="220"/>
      <c r="J722" s="47">
        <v>45579</v>
      </c>
      <c r="K722" s="72" t="str">
        <f>VLOOKUP($C722,Carpetas!$C$5:$M$2666,5,FALSE)</f>
        <v>Rio Branco</v>
      </c>
      <c r="L722" s="32"/>
      <c r="M722" s="48">
        <f t="shared" si="47"/>
        <v>45580</v>
      </c>
      <c r="N722" s="26">
        <f t="shared" si="46"/>
        <v>4</v>
      </c>
      <c r="O722" s="27">
        <v>990</v>
      </c>
      <c r="P722" s="27">
        <v>990</v>
      </c>
      <c r="Q722" s="27">
        <v>28</v>
      </c>
      <c r="R722" s="27">
        <v>25.2</v>
      </c>
      <c r="S722" s="27" t="s">
        <v>2279</v>
      </c>
      <c r="T722" s="27"/>
      <c r="U722" s="27"/>
      <c r="V722" s="27" t="s">
        <v>1735</v>
      </c>
      <c r="W722" s="27"/>
      <c r="X722" s="73"/>
      <c r="Y722" s="73" t="e">
        <f>VLOOKUP(X722,Choferes!$B$2:$C$500,2,FALSE)</f>
        <v>#N/A</v>
      </c>
      <c r="Z722" s="73" t="s">
        <v>2280</v>
      </c>
    </row>
    <row r="723" spans="1:26" hidden="1" x14ac:dyDescent="0.25">
      <c r="A723" s="33">
        <v>41</v>
      </c>
      <c r="B723" s="71" t="s">
        <v>29</v>
      </c>
      <c r="C723" s="39" t="s">
        <v>2274</v>
      </c>
      <c r="D723" s="50" t="s">
        <v>747</v>
      </c>
      <c r="E723" s="47">
        <v>45576</v>
      </c>
      <c r="F723" s="31" t="str">
        <f>VLOOKUP($C723,Carpetas!$C$5:$M$2666,2,FALSE)</f>
        <v>BRB080</v>
      </c>
      <c r="G723" s="23">
        <f>VLOOKUP($C723,Carpetas!$C$5:$M$2666,10,FALSE)</f>
        <v>1506902</v>
      </c>
      <c r="H723" s="27" t="str">
        <f>VLOOKUP($C723,Carpetas!$C$5:$M$2666,6,FALSE)</f>
        <v>FG</v>
      </c>
      <c r="I723" s="220"/>
      <c r="J723" s="47">
        <v>45579</v>
      </c>
      <c r="K723" s="72" t="str">
        <f>VLOOKUP($C723,Carpetas!$C$5:$M$2666,5,FALSE)</f>
        <v>Rio Branco</v>
      </c>
      <c r="L723" s="32"/>
      <c r="M723" s="48">
        <f t="shared" si="47"/>
        <v>45580</v>
      </c>
      <c r="N723" s="26">
        <f t="shared" si="46"/>
        <v>4</v>
      </c>
      <c r="O723" s="27">
        <v>990</v>
      </c>
      <c r="P723" s="27">
        <v>991</v>
      </c>
      <c r="Q723" s="27">
        <v>28</v>
      </c>
      <c r="R723" s="27">
        <v>25</v>
      </c>
      <c r="S723" s="27" t="s">
        <v>2281</v>
      </c>
      <c r="T723" s="27"/>
      <c r="U723" s="27">
        <v>397</v>
      </c>
      <c r="V723" s="27" t="s">
        <v>2282</v>
      </c>
      <c r="W723" s="27" t="s">
        <v>2283</v>
      </c>
      <c r="X723" s="73"/>
      <c r="Y723" s="73" t="e">
        <f>VLOOKUP(X723,Choferes!$B$2:$C$500,2,FALSE)</f>
        <v>#N/A</v>
      </c>
      <c r="Z723" s="73" t="s">
        <v>2284</v>
      </c>
    </row>
    <row r="724" spans="1:26" hidden="1" x14ac:dyDescent="0.25">
      <c r="A724" s="33">
        <v>41</v>
      </c>
      <c r="B724" s="71" t="s">
        <v>29</v>
      </c>
      <c r="C724" s="39" t="s">
        <v>2263</v>
      </c>
      <c r="D724" s="50" t="s">
        <v>1757</v>
      </c>
      <c r="E724" s="47">
        <v>45574</v>
      </c>
      <c r="F724" s="31" t="str">
        <f>VLOOKUP($C724,Carpetas!$C$5:$M$2666,2,FALSE)</f>
        <v>BRB078</v>
      </c>
      <c r="G724" s="23">
        <f>VLOOKUP($C724,Carpetas!$C$5:$M$2666,10,FALSE)</f>
        <v>1506124</v>
      </c>
      <c r="H724" s="27" t="str">
        <f>VLOOKUP($C724,Carpetas!$C$5:$M$2666,6,FALSE)</f>
        <v>Marvel</v>
      </c>
      <c r="I724" s="220"/>
      <c r="J724" s="47">
        <v>45580</v>
      </c>
      <c r="K724" s="72" t="str">
        <f>VLOOKUP($C724,Carpetas!$C$5:$M$2666,5,FALSE)</f>
        <v>Rio Branco</v>
      </c>
      <c r="L724" s="32"/>
      <c r="M724" s="48">
        <f t="shared" si="47"/>
        <v>45581</v>
      </c>
      <c r="N724" s="26">
        <f t="shared" si="46"/>
        <v>7</v>
      </c>
      <c r="O724" s="27">
        <v>936</v>
      </c>
      <c r="P724" s="27">
        <v>936</v>
      </c>
      <c r="Q724" s="27">
        <v>26</v>
      </c>
      <c r="R724" s="27">
        <v>25.7</v>
      </c>
      <c r="S724" s="27" t="s">
        <v>2285</v>
      </c>
      <c r="T724" s="27"/>
      <c r="U724" s="27"/>
      <c r="V724" s="27" t="s">
        <v>2286</v>
      </c>
      <c r="W724" s="27"/>
      <c r="X724" s="73"/>
      <c r="Y724" s="73" t="e">
        <f>VLOOKUP(X724,Choferes!$B$2:$C$500,2,FALSE)</f>
        <v>#N/A</v>
      </c>
      <c r="Z724" s="73" t="s">
        <v>2287</v>
      </c>
    </row>
    <row r="725" spans="1:26" hidden="1" x14ac:dyDescent="0.25">
      <c r="A725" s="33">
        <v>41</v>
      </c>
      <c r="B725" s="71" t="s">
        <v>29</v>
      </c>
      <c r="C725" s="39" t="s">
        <v>2263</v>
      </c>
      <c r="D725" s="50" t="s">
        <v>1757</v>
      </c>
      <c r="E725" s="47">
        <v>45575</v>
      </c>
      <c r="F725" s="31" t="str">
        <f>VLOOKUP($C725,Carpetas!$C$5:$M$2666,2,FALSE)</f>
        <v>BRB078</v>
      </c>
      <c r="G725" s="23">
        <f>VLOOKUP($C725,Carpetas!$C$5:$M$2666,10,FALSE)</f>
        <v>1506124</v>
      </c>
      <c r="H725" s="27" t="str">
        <f>VLOOKUP($C725,Carpetas!$C$5:$M$2666,6,FALSE)</f>
        <v>Marvel</v>
      </c>
      <c r="I725" s="220"/>
      <c r="J725" s="47">
        <f>E725+5</f>
        <v>45580</v>
      </c>
      <c r="K725" s="72" t="str">
        <f>VLOOKUP($C725,Carpetas!$C$5:$M$2666,5,FALSE)</f>
        <v>Rio Branco</v>
      </c>
      <c r="L725" s="32"/>
      <c r="M725" s="48">
        <f t="shared" si="47"/>
        <v>45581</v>
      </c>
      <c r="N725" s="26">
        <f t="shared" si="46"/>
        <v>6</v>
      </c>
      <c r="O725" s="27">
        <v>936</v>
      </c>
      <c r="P725" s="27">
        <v>936</v>
      </c>
      <c r="Q725" s="27">
        <v>26</v>
      </c>
      <c r="R725" s="27">
        <v>25.9</v>
      </c>
      <c r="S725" s="27" t="s">
        <v>2288</v>
      </c>
      <c r="T725" s="27"/>
      <c r="U725" s="27"/>
      <c r="V725" s="27" t="s">
        <v>2289</v>
      </c>
      <c r="W725" s="27"/>
      <c r="X725" s="73"/>
      <c r="Y725" s="73" t="e">
        <f>VLOOKUP(X725,Choferes!$B$2:$C$500,2,FALSE)</f>
        <v>#N/A</v>
      </c>
      <c r="Z725" s="73" t="s">
        <v>2290</v>
      </c>
    </row>
    <row r="726" spans="1:26" hidden="1" x14ac:dyDescent="0.25">
      <c r="A726" s="33">
        <v>41</v>
      </c>
      <c r="B726" s="71" t="s">
        <v>29</v>
      </c>
      <c r="C726" s="39" t="s">
        <v>2263</v>
      </c>
      <c r="D726" s="50" t="s">
        <v>1757</v>
      </c>
      <c r="E726" s="47">
        <v>45576</v>
      </c>
      <c r="F726" s="31" t="str">
        <f>VLOOKUP($C726,Carpetas!$C$5:$M$2666,2,FALSE)</f>
        <v>BRB078</v>
      </c>
      <c r="G726" s="23">
        <f>VLOOKUP($C726,Carpetas!$C$5:$M$2666,10,FALSE)</f>
        <v>1506124</v>
      </c>
      <c r="H726" s="27" t="str">
        <f>VLOOKUP($C726,Carpetas!$C$5:$M$2666,6,FALSE)</f>
        <v>Marvel</v>
      </c>
      <c r="I726" s="220"/>
      <c r="J726" s="47">
        <v>45580</v>
      </c>
      <c r="K726" s="72" t="str">
        <f>VLOOKUP($C726,Carpetas!$C$5:$M$2666,5,FALSE)</f>
        <v>Rio Branco</v>
      </c>
      <c r="L726" s="32"/>
      <c r="M726" s="48">
        <f t="shared" si="47"/>
        <v>45581</v>
      </c>
      <c r="N726" s="26">
        <f t="shared" si="46"/>
        <v>5</v>
      </c>
      <c r="O726" s="27">
        <v>936</v>
      </c>
      <c r="P726" s="27">
        <v>936</v>
      </c>
      <c r="Q726" s="27">
        <v>26</v>
      </c>
      <c r="R726" s="27">
        <v>25.2</v>
      </c>
      <c r="S726" s="27" t="s">
        <v>2291</v>
      </c>
      <c r="T726" s="27"/>
      <c r="U726" s="27"/>
      <c r="V726" s="27" t="s">
        <v>2292</v>
      </c>
      <c r="W726" s="27" t="s">
        <v>2293</v>
      </c>
      <c r="X726" s="73"/>
      <c r="Y726" s="73" t="e">
        <f>VLOOKUP(X726,Choferes!$B$2:$C$500,2,FALSE)</f>
        <v>#N/A</v>
      </c>
      <c r="Z726" s="73" t="s">
        <v>2294</v>
      </c>
    </row>
    <row r="727" spans="1:26" hidden="1" x14ac:dyDescent="0.25">
      <c r="A727" s="33">
        <v>41</v>
      </c>
      <c r="B727" s="71" t="s">
        <v>29</v>
      </c>
      <c r="C727" s="39" t="s">
        <v>2295</v>
      </c>
      <c r="D727" s="50" t="s">
        <v>1757</v>
      </c>
      <c r="E727" s="47">
        <v>45577</v>
      </c>
      <c r="F727" s="31" t="str">
        <f>VLOOKUP($C727,Carpetas!$C$5:$M$2666,2,FALSE)</f>
        <v>BRB081</v>
      </c>
      <c r="G727" s="23">
        <f>VLOOKUP($C727,Carpetas!$C$5:$M$2666,10,FALSE)</f>
        <v>1506699</v>
      </c>
      <c r="H727" s="27" t="str">
        <f>VLOOKUP($C727,Carpetas!$C$5:$M$2666,6,FALSE)</f>
        <v>Marvel</v>
      </c>
      <c r="I727" s="220"/>
      <c r="J727" s="47">
        <v>45580</v>
      </c>
      <c r="K727" s="72" t="str">
        <f>VLOOKUP($C727,Carpetas!$C$5:$M$2666,5,FALSE)</f>
        <v>Rio Branco</v>
      </c>
      <c r="L727" s="32"/>
      <c r="M727" s="48">
        <f t="shared" si="47"/>
        <v>45581</v>
      </c>
      <c r="N727" s="26">
        <f t="shared" si="46"/>
        <v>4</v>
      </c>
      <c r="O727" s="27">
        <v>936</v>
      </c>
      <c r="P727" s="27">
        <v>936</v>
      </c>
      <c r="Q727" s="27">
        <v>26</v>
      </c>
      <c r="R727" s="27"/>
      <c r="S727" s="27" t="s">
        <v>2296</v>
      </c>
      <c r="T727" s="27"/>
      <c r="U727" s="27"/>
      <c r="V727" s="27" t="s">
        <v>2297</v>
      </c>
      <c r="W727" s="27" t="s">
        <v>2298</v>
      </c>
      <c r="X727" s="73"/>
      <c r="Y727" s="73" t="e">
        <f>VLOOKUP(X727,Choferes!$B$2:$C$500,2,FALSE)</f>
        <v>#N/A</v>
      </c>
      <c r="Z727" s="73" t="s">
        <v>2299</v>
      </c>
    </row>
    <row r="728" spans="1:26" hidden="1" x14ac:dyDescent="0.25">
      <c r="A728" s="33">
        <v>40</v>
      </c>
      <c r="B728" s="71" t="s">
        <v>29</v>
      </c>
      <c r="C728" s="39" t="s">
        <v>871</v>
      </c>
      <c r="D728" s="50" t="s">
        <v>38</v>
      </c>
      <c r="E728" s="47">
        <v>45574</v>
      </c>
      <c r="F728" s="31" t="str">
        <f>VLOOKUP($C728,Carpetas!$C$5:$M$2666,2,FALSE)</f>
        <v>BRE034</v>
      </c>
      <c r="G728" s="23">
        <f>VLOOKUP($C728,Carpetas!$C$5:$M$2666,10,FALSE)</f>
        <v>0</v>
      </c>
      <c r="H728" s="27" t="str">
        <f>VLOOKUP($C728,Carpetas!$C$5:$M$2666,6,FALSE)</f>
        <v>Marvel</v>
      </c>
      <c r="I728" s="220">
        <f>VLOOKUP($C728,Carpetas!$C$5:$M$2666,4,FALSE)</f>
        <v>0</v>
      </c>
      <c r="J728" s="47">
        <v>45580</v>
      </c>
      <c r="K728" s="72" t="str">
        <f>VLOOKUP($C728,Carpetas!$C$5:$M$2666,5,FALSE)</f>
        <v>Rio Branco</v>
      </c>
      <c r="L728" s="32"/>
      <c r="M728" s="48">
        <f>J728+1+1</f>
        <v>45582</v>
      </c>
      <c r="N728" s="26">
        <f t="shared" si="46"/>
        <v>8</v>
      </c>
      <c r="O728" s="27">
        <v>24000</v>
      </c>
      <c r="P728" s="27"/>
      <c r="Q728" s="27"/>
      <c r="R728" s="27"/>
      <c r="S728" s="27"/>
      <c r="T728" s="27"/>
      <c r="U728" s="27">
        <v>10170</v>
      </c>
      <c r="V728" s="27" t="s">
        <v>2300</v>
      </c>
      <c r="W728" s="27" t="s">
        <v>2301</v>
      </c>
      <c r="X728" s="73"/>
      <c r="Y728" s="73" t="e">
        <f>VLOOKUP(X728,Choferes!$B$2:$C$500,2,FALSE)</f>
        <v>#N/A</v>
      </c>
      <c r="Z728" s="73" t="s">
        <v>2302</v>
      </c>
    </row>
    <row r="729" spans="1:26" hidden="1" x14ac:dyDescent="0.25">
      <c r="A729" s="33">
        <v>41</v>
      </c>
      <c r="B729" s="71" t="s">
        <v>29</v>
      </c>
      <c r="C729" s="39" t="s">
        <v>2295</v>
      </c>
      <c r="D729" s="50" t="s">
        <v>1757</v>
      </c>
      <c r="E729" s="47">
        <v>45575</v>
      </c>
      <c r="F729" s="31" t="str">
        <f>VLOOKUP($C729,Carpetas!$C$5:$M$2666,2,FALSE)</f>
        <v>BRB081</v>
      </c>
      <c r="G729" s="23">
        <f>VLOOKUP($C729,Carpetas!$C$5:$M$2666,10,FALSE)</f>
        <v>1506699</v>
      </c>
      <c r="H729" s="27" t="str">
        <f>VLOOKUP($C729,Carpetas!$C$5:$M$2666,6,FALSE)</f>
        <v>Marvel</v>
      </c>
      <c r="I729" s="220"/>
      <c r="J729" s="47">
        <v>45581</v>
      </c>
      <c r="K729" s="72" t="str">
        <f>VLOOKUP($C729,Carpetas!$C$5:$M$2666,5,FALSE)</f>
        <v>Rio Branco</v>
      </c>
      <c r="L729" s="32"/>
      <c r="M729" s="48">
        <f>J729+1</f>
        <v>45582</v>
      </c>
      <c r="N729" s="26">
        <f t="shared" si="46"/>
        <v>7</v>
      </c>
      <c r="O729" s="27">
        <v>936</v>
      </c>
      <c r="P729" s="27">
        <v>936</v>
      </c>
      <c r="Q729" s="27">
        <v>26</v>
      </c>
      <c r="R729" s="27">
        <v>25</v>
      </c>
      <c r="S729" s="27" t="s">
        <v>2303</v>
      </c>
      <c r="T729" s="27"/>
      <c r="U729" s="27">
        <v>10204</v>
      </c>
      <c r="V729" s="27" t="s">
        <v>2304</v>
      </c>
      <c r="W729" s="27" t="s">
        <v>2305</v>
      </c>
      <c r="X729" s="73"/>
      <c r="Y729" s="73" t="e">
        <f>VLOOKUP(X729,Choferes!$B$2:$C$500,2,FALSE)</f>
        <v>#N/A</v>
      </c>
      <c r="Z729" s="73" t="s">
        <v>2306</v>
      </c>
    </row>
    <row r="730" spans="1:26" hidden="1" x14ac:dyDescent="0.25">
      <c r="A730" s="33">
        <v>41</v>
      </c>
      <c r="B730" s="71" t="s">
        <v>29</v>
      </c>
      <c r="C730" s="39" t="s">
        <v>2295</v>
      </c>
      <c r="D730" s="50" t="s">
        <v>1757</v>
      </c>
      <c r="E730" s="47">
        <v>45576</v>
      </c>
      <c r="F730" s="31" t="str">
        <f>VLOOKUP($C730,Carpetas!$C$5:$M$2666,2,FALSE)</f>
        <v>BRB081</v>
      </c>
      <c r="G730" s="23">
        <f>VLOOKUP($C730,Carpetas!$C$5:$M$2666,10,FALSE)</f>
        <v>1506699</v>
      </c>
      <c r="H730" s="27" t="str">
        <f>VLOOKUP($C730,Carpetas!$C$5:$M$2666,6,FALSE)</f>
        <v>Marvel</v>
      </c>
      <c r="I730" s="220"/>
      <c r="J730" s="47">
        <v>45581</v>
      </c>
      <c r="K730" s="72" t="str">
        <f>VLOOKUP($C730,Carpetas!$C$5:$M$2666,5,FALSE)</f>
        <v>Rio Branco</v>
      </c>
      <c r="L730" s="32"/>
      <c r="M730" s="48">
        <f>J730+1</f>
        <v>45582</v>
      </c>
      <c r="N730" s="26">
        <f t="shared" si="46"/>
        <v>6</v>
      </c>
      <c r="O730" s="27">
        <v>936</v>
      </c>
      <c r="P730" s="27">
        <v>936</v>
      </c>
      <c r="Q730" s="27">
        <v>26</v>
      </c>
      <c r="R730" s="27">
        <v>25</v>
      </c>
      <c r="S730" s="27" t="s">
        <v>2307</v>
      </c>
      <c r="T730" s="27"/>
      <c r="U730" s="27">
        <v>10206</v>
      </c>
      <c r="V730" s="27" t="s">
        <v>2308</v>
      </c>
      <c r="W730" s="27" t="s">
        <v>2309</v>
      </c>
      <c r="X730" s="73"/>
      <c r="Y730" s="73" t="e">
        <f>VLOOKUP(X730,Choferes!$B$2:$C$500,2,FALSE)</f>
        <v>#N/A</v>
      </c>
      <c r="Z730" s="73" t="s">
        <v>2310</v>
      </c>
    </row>
    <row r="731" spans="1:26" hidden="1" x14ac:dyDescent="0.25">
      <c r="A731" s="33">
        <v>42</v>
      </c>
      <c r="B731" s="71" t="s">
        <v>29</v>
      </c>
      <c r="C731" s="39" t="s">
        <v>2311</v>
      </c>
      <c r="D731" s="50" t="s">
        <v>48</v>
      </c>
      <c r="E731" s="47">
        <v>45578</v>
      </c>
      <c r="F731" s="31" t="str">
        <f>VLOOKUP($C731,Carpetas!$C$5:$M$2666,2,FALSE)</f>
        <v>PYB147</v>
      </c>
      <c r="G731" s="23" t="str">
        <f>VLOOKUP($C731,Carpetas!$C$5:$M$2666,10,FALSE)</f>
        <v>150,70,59</v>
      </c>
      <c r="H731" s="27">
        <f>VLOOKUP($C731,Carpetas!$C$5:$M$2666,6,FALSE)</f>
        <v>0</v>
      </c>
      <c r="I731" s="220"/>
      <c r="J731" s="47">
        <v>45581</v>
      </c>
      <c r="K731" s="72" t="str">
        <f>VLOOKUP($C731,Carpetas!$C$5:$M$2666,5,FALSE)</f>
        <v>Salto</v>
      </c>
      <c r="L731" s="32"/>
      <c r="M731" s="48">
        <f>J731+1</f>
        <v>45582</v>
      </c>
      <c r="N731" s="26">
        <f t="shared" si="46"/>
        <v>4</v>
      </c>
      <c r="O731" s="27">
        <v>930</v>
      </c>
      <c r="P731" s="27">
        <v>930</v>
      </c>
      <c r="Q731" s="27">
        <v>28</v>
      </c>
      <c r="R731" s="27">
        <v>26.5</v>
      </c>
      <c r="S731" s="27" t="s">
        <v>2219</v>
      </c>
      <c r="T731" s="27"/>
      <c r="U731" s="27"/>
      <c r="V731" s="27" t="s">
        <v>69</v>
      </c>
      <c r="W731" s="27" t="s">
        <v>1021</v>
      </c>
      <c r="X731" s="73"/>
      <c r="Y731" s="73" t="e">
        <f>VLOOKUP(X731,Choferes!$B$2:$C$500,2,FALSE)</f>
        <v>#N/A</v>
      </c>
      <c r="Z731" s="73" t="s">
        <v>2312</v>
      </c>
    </row>
    <row r="732" spans="1:26" hidden="1" x14ac:dyDescent="0.25">
      <c r="A732" s="33">
        <v>40</v>
      </c>
      <c r="B732" s="71" t="s">
        <v>29</v>
      </c>
      <c r="C732" s="39" t="s">
        <v>2313</v>
      </c>
      <c r="D732" s="50" t="s">
        <v>38</v>
      </c>
      <c r="E732" s="47">
        <v>45576</v>
      </c>
      <c r="F732" s="31" t="str">
        <f>VLOOKUP($C732,Carpetas!$C$5:$M$2666,2,FALSE)</f>
        <v>BRE036</v>
      </c>
      <c r="G732" s="23" t="str">
        <f>VLOOKUP($C732,Carpetas!$C$5:$M$2666,10,FALSE)</f>
        <v>150,66,41</v>
      </c>
      <c r="H732" s="27" t="str">
        <f>VLOOKUP($C732,Carpetas!$C$5:$M$2666,6,FALSE)</f>
        <v>Marvel</v>
      </c>
      <c r="I732" s="220">
        <f>VLOOKUP($C732,Carpetas!$C$5:$M$2666,4,FALSE)</f>
        <v>0</v>
      </c>
      <c r="J732" s="47">
        <v>45581</v>
      </c>
      <c r="K732" s="72" t="str">
        <f>VLOOKUP($C732,Carpetas!$C$5:$M$2666,5,FALSE)</f>
        <v>Rio Branco</v>
      </c>
      <c r="L732" s="32"/>
      <c r="M732" s="48">
        <f>J732+1+1</f>
        <v>45583</v>
      </c>
      <c r="N732" s="26">
        <f t="shared" si="46"/>
        <v>7</v>
      </c>
      <c r="O732" s="27">
        <v>1370</v>
      </c>
      <c r="P732" s="27"/>
      <c r="Q732" s="27"/>
      <c r="R732" s="27"/>
      <c r="S732" s="27"/>
      <c r="T732" s="27"/>
      <c r="U732" s="27">
        <v>10197</v>
      </c>
      <c r="V732" s="27" t="s">
        <v>2314</v>
      </c>
      <c r="W732" s="27" t="s">
        <v>2315</v>
      </c>
      <c r="X732" s="73"/>
      <c r="Y732" s="73" t="e">
        <f>VLOOKUP(X732,Choferes!$B$2:$C$500,2,FALSE)</f>
        <v>#N/A</v>
      </c>
      <c r="Z732" s="73" t="s">
        <v>2316</v>
      </c>
    </row>
    <row r="733" spans="1:26" hidden="1" x14ac:dyDescent="0.25">
      <c r="A733" s="33">
        <v>41</v>
      </c>
      <c r="B733" s="71" t="s">
        <v>29</v>
      </c>
      <c r="C733" s="39" t="s">
        <v>2295</v>
      </c>
      <c r="D733" s="50" t="s">
        <v>1757</v>
      </c>
      <c r="E733" s="47">
        <v>45576</v>
      </c>
      <c r="F733" s="31" t="str">
        <f>VLOOKUP($C733,Carpetas!$C$5:$M$2666,2,FALSE)</f>
        <v>BRB081</v>
      </c>
      <c r="G733" s="23">
        <f>VLOOKUP($C733,Carpetas!$C$5:$M$2666,10,FALSE)</f>
        <v>1506699</v>
      </c>
      <c r="H733" s="27" t="str">
        <f>VLOOKUP($C733,Carpetas!$C$5:$M$2666,6,FALSE)</f>
        <v>Marvel</v>
      </c>
      <c r="I733" s="220"/>
      <c r="J733" s="47">
        <v>45582</v>
      </c>
      <c r="K733" s="72" t="str">
        <f>VLOOKUP($C733,Carpetas!$C$5:$M$2666,5,FALSE)</f>
        <v>Rio Branco</v>
      </c>
      <c r="L733" s="32"/>
      <c r="M733" s="48">
        <f t="shared" ref="M733:M748" si="48">J733+1</f>
        <v>45583</v>
      </c>
      <c r="N733" s="26">
        <f t="shared" si="46"/>
        <v>7</v>
      </c>
      <c r="O733" s="27">
        <v>936</v>
      </c>
      <c r="P733" s="27">
        <v>936</v>
      </c>
      <c r="Q733" s="27">
        <v>26</v>
      </c>
      <c r="R733" s="27">
        <v>26.5</v>
      </c>
      <c r="S733" s="27" t="s">
        <v>2317</v>
      </c>
      <c r="T733" s="27"/>
      <c r="U733" s="27">
        <v>10203</v>
      </c>
      <c r="V733" s="27" t="s">
        <v>2318</v>
      </c>
      <c r="W733" s="27" t="s">
        <v>2319</v>
      </c>
      <c r="X733" s="73"/>
      <c r="Y733" s="73" t="e">
        <f>VLOOKUP(X733,Choferes!$B$2:$C$500,2,FALSE)</f>
        <v>#N/A</v>
      </c>
      <c r="Z733" s="73" t="s">
        <v>2320</v>
      </c>
    </row>
    <row r="734" spans="1:26" hidden="1" x14ac:dyDescent="0.25">
      <c r="A734" s="33">
        <v>41</v>
      </c>
      <c r="B734" s="71" t="s">
        <v>29</v>
      </c>
      <c r="C734" s="39" t="s">
        <v>2295</v>
      </c>
      <c r="D734" s="50" t="s">
        <v>1757</v>
      </c>
      <c r="E734" s="47">
        <v>45577</v>
      </c>
      <c r="F734" s="31" t="str">
        <f>VLOOKUP($C734,Carpetas!$C$5:$M$2666,2,FALSE)</f>
        <v>BRB081</v>
      </c>
      <c r="G734" s="23">
        <f>VLOOKUP($C734,Carpetas!$C$5:$M$2666,10,FALSE)</f>
        <v>1506699</v>
      </c>
      <c r="H734" s="27" t="str">
        <f>VLOOKUP($C734,Carpetas!$C$5:$M$2666,6,FALSE)</f>
        <v>Marvel</v>
      </c>
      <c r="I734" s="220"/>
      <c r="J734" s="47">
        <v>45582</v>
      </c>
      <c r="K734" s="72" t="str">
        <f>VLOOKUP($C734,Carpetas!$C$5:$M$2666,5,FALSE)</f>
        <v>Rio Branco</v>
      </c>
      <c r="L734" s="32"/>
      <c r="M734" s="48">
        <f t="shared" si="48"/>
        <v>45583</v>
      </c>
      <c r="N734" s="26">
        <f t="shared" si="46"/>
        <v>6</v>
      </c>
      <c r="O734" s="27">
        <v>936</v>
      </c>
      <c r="P734" s="27">
        <v>936</v>
      </c>
      <c r="Q734" s="27">
        <v>26</v>
      </c>
      <c r="R734" s="27">
        <v>26.5</v>
      </c>
      <c r="S734" s="27" t="s">
        <v>2321</v>
      </c>
      <c r="T734" s="27"/>
      <c r="U734" s="27">
        <v>10205</v>
      </c>
      <c r="V734" s="27" t="s">
        <v>2322</v>
      </c>
      <c r="W734" s="27" t="s">
        <v>2323</v>
      </c>
      <c r="X734" s="73"/>
      <c r="Y734" s="73" t="e">
        <f>VLOOKUP(X734,Choferes!$B$2:$C$500,2,FALSE)</f>
        <v>#N/A</v>
      </c>
      <c r="Z734" s="73" t="s">
        <v>2324</v>
      </c>
    </row>
    <row r="735" spans="1:26" hidden="1" x14ac:dyDescent="0.25">
      <c r="A735" s="33">
        <v>42</v>
      </c>
      <c r="B735" s="71" t="s">
        <v>29</v>
      </c>
      <c r="C735" s="39" t="s">
        <v>2325</v>
      </c>
      <c r="D735" s="50" t="s">
        <v>102</v>
      </c>
      <c r="E735" s="47">
        <v>45579</v>
      </c>
      <c r="F735" s="31" t="str">
        <f>VLOOKUP($C735,Carpetas!$C$5:$M$2666,2,FALSE)</f>
        <v>PYB149</v>
      </c>
      <c r="G735" s="23" t="str">
        <f>VLOOKUP($C735,Carpetas!$C$5:$M$2666,10,FALSE)</f>
        <v>150.70.60</v>
      </c>
      <c r="H735" s="27">
        <f>VLOOKUP($C735,Carpetas!$C$5:$M$2666,6,FALSE)</f>
        <v>0</v>
      </c>
      <c r="I735" s="220"/>
      <c r="J735" s="47">
        <v>45582</v>
      </c>
      <c r="K735" s="72" t="str">
        <f>VLOOKUP($C735,Carpetas!$C$5:$M$2666,5,FALSE)</f>
        <v>Salto</v>
      </c>
      <c r="L735" s="32"/>
      <c r="M735" s="48">
        <f t="shared" si="48"/>
        <v>45583</v>
      </c>
      <c r="N735" s="26">
        <f t="shared" si="46"/>
        <v>4</v>
      </c>
      <c r="O735" s="27">
        <v>980</v>
      </c>
      <c r="P735" s="27">
        <v>981</v>
      </c>
      <c r="Q735" s="27">
        <v>28</v>
      </c>
      <c r="R735" s="27">
        <v>27</v>
      </c>
      <c r="S735" s="27" t="s">
        <v>2326</v>
      </c>
      <c r="T735" s="27"/>
      <c r="U735" s="27"/>
      <c r="V735" s="27" t="s">
        <v>288</v>
      </c>
      <c r="W735" s="27" t="s">
        <v>289</v>
      </c>
      <c r="X735" s="73"/>
      <c r="Y735" s="73" t="e">
        <f>VLOOKUP(X735,Choferes!$B$2:$C$500,2,FALSE)</f>
        <v>#N/A</v>
      </c>
      <c r="Z735" s="120" t="s">
        <v>2327</v>
      </c>
    </row>
    <row r="736" spans="1:26" hidden="1" x14ac:dyDescent="0.25">
      <c r="A736" s="33">
        <v>42</v>
      </c>
      <c r="B736" s="71" t="s">
        <v>29</v>
      </c>
      <c r="C736" s="39" t="s">
        <v>2328</v>
      </c>
      <c r="D736" s="50" t="s">
        <v>121</v>
      </c>
      <c r="E736" s="47">
        <v>45579</v>
      </c>
      <c r="F736" s="31" t="str">
        <f>VLOOKUP($C736,Carpetas!$C$5:$M$2666,2,FALSE)</f>
        <v>PYB148</v>
      </c>
      <c r="G736" s="23" t="str">
        <f>VLOOKUP($C736,Carpetas!$C$5:$M$2666,10,FALSE)</f>
        <v>150,70,58</v>
      </c>
      <c r="H736" s="27">
        <f>VLOOKUP($C736,Carpetas!$C$5:$M$2666,6,FALSE)</f>
        <v>0</v>
      </c>
      <c r="I736" s="220"/>
      <c r="J736" s="47">
        <v>45582</v>
      </c>
      <c r="K736" s="72" t="str">
        <f>VLOOKUP($C736,Carpetas!$C$5:$M$2666,5,FALSE)</f>
        <v>Salto</v>
      </c>
      <c r="L736" s="32"/>
      <c r="M736" s="48">
        <f t="shared" si="48"/>
        <v>45583</v>
      </c>
      <c r="N736" s="26">
        <f t="shared" si="46"/>
        <v>4</v>
      </c>
      <c r="O736" s="27">
        <v>980</v>
      </c>
      <c r="P736" s="27">
        <v>977</v>
      </c>
      <c r="Q736" s="27">
        <v>28</v>
      </c>
      <c r="R736" s="27">
        <v>27</v>
      </c>
      <c r="S736" s="27" t="s">
        <v>2329</v>
      </c>
      <c r="T736" s="27"/>
      <c r="U736" s="27"/>
      <c r="V736" s="27" t="s">
        <v>2330</v>
      </c>
      <c r="W736" s="27" t="s">
        <v>2331</v>
      </c>
      <c r="X736" s="73"/>
      <c r="Y736" s="73" t="e">
        <f>VLOOKUP(X736,Choferes!$B$2:$C$500,2,FALSE)</f>
        <v>#N/A</v>
      </c>
      <c r="Z736" s="73" t="s">
        <v>2332</v>
      </c>
    </row>
    <row r="737" spans="1:26" hidden="1" x14ac:dyDescent="0.25">
      <c r="A737" s="33">
        <v>42</v>
      </c>
      <c r="B737" s="71" t="s">
        <v>29</v>
      </c>
      <c r="C737" s="39" t="s">
        <v>2215</v>
      </c>
      <c r="D737" s="50" t="s">
        <v>953</v>
      </c>
      <c r="E737" s="47">
        <v>45580</v>
      </c>
      <c r="F737" s="31" t="str">
        <f>VLOOKUP($C737,Carpetas!$C$5:$M$2666,2,FALSE)</f>
        <v>BRB077</v>
      </c>
      <c r="G737" s="23">
        <f>VLOOKUP($C737,Carpetas!$C$5:$M$2666,10,FALSE)</f>
        <v>1505478</v>
      </c>
      <c r="H737" s="27" t="str">
        <f>VLOOKUP($C737,Carpetas!$C$5:$M$2666,6,FALSE)</f>
        <v xml:space="preserve">Silvio </v>
      </c>
      <c r="I737" s="220"/>
      <c r="J737" s="47">
        <v>45582</v>
      </c>
      <c r="K737" s="72" t="str">
        <f>VLOOKUP($C737,Carpetas!$C$5:$M$2666,5,FALSE)</f>
        <v>Rio Branco</v>
      </c>
      <c r="L737" s="32"/>
      <c r="M737" s="48">
        <f t="shared" si="48"/>
        <v>45583</v>
      </c>
      <c r="N737" s="26">
        <f t="shared" si="46"/>
        <v>3</v>
      </c>
      <c r="O737" s="27">
        <v>918</v>
      </c>
      <c r="P737" s="27">
        <v>918</v>
      </c>
      <c r="Q737" s="27">
        <v>26</v>
      </c>
      <c r="R737" s="27">
        <v>26.5</v>
      </c>
      <c r="S737" s="27" t="s">
        <v>2333</v>
      </c>
      <c r="T737" s="27"/>
      <c r="U737" s="27">
        <v>7141</v>
      </c>
      <c r="V737" s="27" t="s">
        <v>280</v>
      </c>
      <c r="W737" s="27" t="s">
        <v>281</v>
      </c>
      <c r="X737" s="73" t="s">
        <v>1529</v>
      </c>
      <c r="Y737" s="73" t="str">
        <f>VLOOKUP(X737,Choferes!$B$2:$C$500,2,FALSE)</f>
        <v>+5555981257673</v>
      </c>
      <c r="Z737" s="73" t="s">
        <v>2334</v>
      </c>
    </row>
    <row r="738" spans="1:26" hidden="1" x14ac:dyDescent="0.25">
      <c r="A738" s="33">
        <v>42</v>
      </c>
      <c r="B738" s="71" t="s">
        <v>29</v>
      </c>
      <c r="C738" s="39" t="s">
        <v>2274</v>
      </c>
      <c r="D738" s="50" t="s">
        <v>2202</v>
      </c>
      <c r="E738" s="47">
        <v>45580</v>
      </c>
      <c r="F738" s="31" t="str">
        <f>VLOOKUP($C738,Carpetas!$C$5:$M$2666,2,FALSE)</f>
        <v>BRB080</v>
      </c>
      <c r="G738" s="23">
        <f>VLOOKUP($C738,Carpetas!$C$5:$M$2666,10,FALSE)</f>
        <v>1506902</v>
      </c>
      <c r="H738" s="27" t="str">
        <f>VLOOKUP($C738,Carpetas!$C$5:$M$2666,6,FALSE)</f>
        <v>FG</v>
      </c>
      <c r="I738" s="220"/>
      <c r="J738" s="47">
        <v>45582</v>
      </c>
      <c r="K738" s="72" t="str">
        <f>VLOOKUP($C738,Carpetas!$C$5:$M$2666,5,FALSE)</f>
        <v>Rio Branco</v>
      </c>
      <c r="L738" s="32"/>
      <c r="M738" s="48">
        <f t="shared" si="48"/>
        <v>45583</v>
      </c>
      <c r="N738" s="26">
        <f t="shared" si="46"/>
        <v>3</v>
      </c>
      <c r="O738" s="27">
        <v>990</v>
      </c>
      <c r="P738" s="27">
        <v>990</v>
      </c>
      <c r="Q738" s="27">
        <v>28</v>
      </c>
      <c r="R738" s="27">
        <v>24.4</v>
      </c>
      <c r="S738" s="27" t="s">
        <v>2335</v>
      </c>
      <c r="T738" s="27"/>
      <c r="U738" s="27">
        <v>398</v>
      </c>
      <c r="V738" s="27" t="s">
        <v>1735</v>
      </c>
      <c r="W738" s="27" t="s">
        <v>1637</v>
      </c>
      <c r="X738" s="73" t="s">
        <v>2336</v>
      </c>
      <c r="Y738" s="73" t="str">
        <f>VLOOKUP(X738,Choferes!$B$2:$C$500,2,FALSE)</f>
        <v>+5553984414060</v>
      </c>
      <c r="Z738" s="73" t="s">
        <v>2337</v>
      </c>
    </row>
    <row r="739" spans="1:26" customFormat="1" hidden="1" x14ac:dyDescent="0.25">
      <c r="A739" s="147">
        <v>42</v>
      </c>
      <c r="B739" s="148" t="s">
        <v>29</v>
      </c>
      <c r="C739" s="149" t="s">
        <v>2276</v>
      </c>
      <c r="D739" s="150" t="s">
        <v>2202</v>
      </c>
      <c r="E739" s="151">
        <v>45581</v>
      </c>
      <c r="F739" s="152" t="str">
        <f>VLOOKUP($C739,Carpetas!$C$5:$M$2666,2,FALSE)</f>
        <v>BRB079</v>
      </c>
      <c r="G739" s="23">
        <f>VLOOKUP($C739,Carpetas!$C$5:$M$2666,10,FALSE)</f>
        <v>1505482</v>
      </c>
      <c r="H739" s="27" t="str">
        <f>VLOOKUP($C739,Carpetas!$C$5:$M$2666,6,FALSE)</f>
        <v>Amaro</v>
      </c>
      <c r="I739" s="153"/>
      <c r="J739" s="151">
        <v>45582</v>
      </c>
      <c r="K739" s="72" t="str">
        <f>VLOOKUP($C739,Carpetas!$C$5:$M$2666,5,FALSE)</f>
        <v>Rio Branco</v>
      </c>
      <c r="L739" s="154"/>
      <c r="M739" s="155">
        <f t="shared" si="48"/>
        <v>45583</v>
      </c>
      <c r="N739" s="156">
        <f t="shared" si="46"/>
        <v>2</v>
      </c>
      <c r="O739" s="153">
        <v>990</v>
      </c>
      <c r="P739" s="153">
        <v>991</v>
      </c>
      <c r="Q739" s="153">
        <v>28</v>
      </c>
      <c r="R739" s="153">
        <v>26</v>
      </c>
      <c r="S739" s="153" t="s">
        <v>2338</v>
      </c>
      <c r="T739" s="153"/>
      <c r="U739" s="153">
        <v>24835</v>
      </c>
      <c r="V739" s="153" t="s">
        <v>2339</v>
      </c>
      <c r="W739" s="153" t="s">
        <v>2340</v>
      </c>
      <c r="X739" s="157"/>
      <c r="Y739" s="157" t="e">
        <f>VLOOKUP(X739,Choferes!$B$2:$C$500,2,FALSE)</f>
        <v>#N/A</v>
      </c>
      <c r="Z739" s="157" t="s">
        <v>2341</v>
      </c>
    </row>
    <row r="740" spans="1:26" customFormat="1" hidden="1" x14ac:dyDescent="0.25">
      <c r="A740" s="147">
        <v>40</v>
      </c>
      <c r="B740" s="148" t="s">
        <v>29</v>
      </c>
      <c r="C740" s="149" t="s">
        <v>2342</v>
      </c>
      <c r="D740" s="150" t="s">
        <v>38</v>
      </c>
      <c r="E740" s="151">
        <v>45569</v>
      </c>
      <c r="F740" s="152" t="str">
        <f>VLOOKUP($C740,Carpetas!$C$5:$M$2666,2,FALSE)</f>
        <v>BRE039</v>
      </c>
      <c r="G740" s="23" t="str">
        <f>VLOOKUP($C740,Carpetas!$C$5:$M$2666,10,FALSE)</f>
        <v>150,50,52</v>
      </c>
      <c r="H740" s="27" t="str">
        <f>VLOOKUP($C740,Carpetas!$C$5:$M$2666,6,FALSE)</f>
        <v>Benini</v>
      </c>
      <c r="I740" s="220">
        <f>VLOOKUP($C740,Carpetas!$C$5:$M$2666,4,FALSE)</f>
        <v>0</v>
      </c>
      <c r="J740" s="151">
        <v>45583</v>
      </c>
      <c r="K740" s="72" t="str">
        <f>VLOOKUP($C740,Carpetas!$C$5:$M$2666,5,FALSE)</f>
        <v>Rio Branco</v>
      </c>
      <c r="L740" s="154"/>
      <c r="M740" s="155">
        <f t="shared" si="48"/>
        <v>45584</v>
      </c>
      <c r="N740" s="156">
        <f t="shared" si="46"/>
        <v>15</v>
      </c>
      <c r="O740" s="153">
        <v>2520</v>
      </c>
      <c r="P740" s="153"/>
      <c r="Q740" s="153"/>
      <c r="R740" s="153"/>
      <c r="S740" s="153"/>
      <c r="T740" s="153"/>
      <c r="U740" s="153">
        <v>67</v>
      </c>
      <c r="V740" s="153" t="s">
        <v>2343</v>
      </c>
      <c r="W740" s="153" t="s">
        <v>2344</v>
      </c>
      <c r="X740" s="157"/>
      <c r="Y740" s="157" t="e">
        <f>VLOOKUP(X740,Choferes!$B$2:$C$500,2,FALSE)</f>
        <v>#N/A</v>
      </c>
      <c r="Z740" s="157" t="s">
        <v>2345</v>
      </c>
    </row>
    <row r="741" spans="1:26" hidden="1" x14ac:dyDescent="0.25">
      <c r="A741" s="33">
        <v>40</v>
      </c>
      <c r="B741" s="71" t="s">
        <v>29</v>
      </c>
      <c r="C741" s="39" t="s">
        <v>2346</v>
      </c>
      <c r="D741" s="50" t="s">
        <v>38</v>
      </c>
      <c r="E741" s="47">
        <v>45576</v>
      </c>
      <c r="F741" s="31" t="str">
        <f>VLOOKUP($C741,Carpetas!$C$5:$M$2666,2,FALSE)</f>
        <v>BRE037</v>
      </c>
      <c r="G741" s="23">
        <f>VLOOKUP($C741,Carpetas!$C$5:$M$2666,10,FALSE)</f>
        <v>0</v>
      </c>
      <c r="H741" s="27" t="str">
        <f>VLOOKUP($C741,Carpetas!$C$5:$M$2666,6,FALSE)</f>
        <v xml:space="preserve">Silvio </v>
      </c>
      <c r="I741" s="220">
        <f>VLOOKUP($C741,Carpetas!$C$5:$M$2666,4,FALSE)</f>
        <v>0</v>
      </c>
      <c r="J741" s="47">
        <v>45583</v>
      </c>
      <c r="K741" s="72" t="str">
        <f>VLOOKUP($C741,Carpetas!$C$5:$M$2666,5,FALSE)</f>
        <v>Chuy</v>
      </c>
      <c r="L741" s="32"/>
      <c r="M741" s="48">
        <f t="shared" si="48"/>
        <v>45584</v>
      </c>
      <c r="N741" s="26">
        <f t="shared" si="46"/>
        <v>8</v>
      </c>
      <c r="O741" s="27">
        <v>2023</v>
      </c>
      <c r="P741" s="27"/>
      <c r="Q741" s="27"/>
      <c r="R741" s="27"/>
      <c r="S741" s="27"/>
      <c r="T741" s="27"/>
      <c r="U741" s="27"/>
      <c r="V741" s="27"/>
      <c r="W741" s="27"/>
      <c r="X741" s="73"/>
      <c r="Y741" s="73" t="e">
        <f>VLOOKUP(X741,Choferes!$B$2:$C$500,2,FALSE)</f>
        <v>#N/A</v>
      </c>
      <c r="Z741" s="73" t="s">
        <v>2347</v>
      </c>
    </row>
    <row r="742" spans="1:26" hidden="1" x14ac:dyDescent="0.25">
      <c r="A742" s="33">
        <v>40</v>
      </c>
      <c r="B742" s="71" t="s">
        <v>29</v>
      </c>
      <c r="C742" s="39" t="s">
        <v>2348</v>
      </c>
      <c r="D742" s="50" t="s">
        <v>38</v>
      </c>
      <c r="E742" s="47">
        <v>45576</v>
      </c>
      <c r="F742" s="31" t="str">
        <f>VLOOKUP($C742,Carpetas!$C$5:$M$2666,2,FALSE)</f>
        <v>BRE038</v>
      </c>
      <c r="G742" s="23" t="str">
        <f>VLOOKUP($C742,Carpetas!$C$5:$M$2666,10,FALSE)</f>
        <v>150.67.25</v>
      </c>
      <c r="H742" s="27" t="str">
        <f>VLOOKUP($C742,Carpetas!$C$5:$M$2666,6,FALSE)</f>
        <v>Marvel</v>
      </c>
      <c r="I742" s="220">
        <f>VLOOKUP($C742,Carpetas!$C$5:$M$2666,4,FALSE)</f>
        <v>0</v>
      </c>
      <c r="J742" s="47">
        <v>45583</v>
      </c>
      <c r="K742" s="72" t="str">
        <f>VLOOKUP($C742,Carpetas!$C$5:$M$2666,5,FALSE)</f>
        <v>Rio Branco</v>
      </c>
      <c r="L742" s="32"/>
      <c r="M742" s="48">
        <f t="shared" si="48"/>
        <v>45584</v>
      </c>
      <c r="N742" s="26">
        <f t="shared" si="46"/>
        <v>8</v>
      </c>
      <c r="O742" s="27">
        <v>1370</v>
      </c>
      <c r="P742" s="27"/>
      <c r="Q742" s="27"/>
      <c r="R742" s="27"/>
      <c r="S742" s="27"/>
      <c r="T742" s="27"/>
      <c r="U742" s="27">
        <v>10200</v>
      </c>
      <c r="V742" s="27" t="s">
        <v>2349</v>
      </c>
      <c r="W742" s="27" t="s">
        <v>2350</v>
      </c>
      <c r="X742" s="73"/>
      <c r="Y742" s="73" t="e">
        <f>VLOOKUP(X742,Choferes!$B$2:$C$500,2,FALSE)</f>
        <v>#N/A</v>
      </c>
      <c r="Z742" s="73" t="s">
        <v>2351</v>
      </c>
    </row>
    <row r="743" spans="1:26" hidden="1" x14ac:dyDescent="0.25">
      <c r="A743" s="33">
        <v>42</v>
      </c>
      <c r="B743" s="71" t="s">
        <v>29</v>
      </c>
      <c r="C743" s="39" t="s">
        <v>2352</v>
      </c>
      <c r="D743" s="50" t="s">
        <v>110</v>
      </c>
      <c r="E743" s="47">
        <v>45581</v>
      </c>
      <c r="F743" s="31" t="str">
        <f>VLOOKUP($C743,Carpetas!$C$5:$M$2666,2,FALSE)</f>
        <v>BRB083</v>
      </c>
      <c r="G743" s="23" t="str">
        <f>VLOOKUP($C743,Carpetas!$C$5:$M$2666,10,FALSE)</f>
        <v>150,73,37</v>
      </c>
      <c r="H743" s="27" t="str">
        <f>VLOOKUP($C743,Carpetas!$C$5:$M$2666,6,FALSE)</f>
        <v xml:space="preserve">Silvio </v>
      </c>
      <c r="I743" s="220"/>
      <c r="J743" s="47">
        <v>45583</v>
      </c>
      <c r="K743" s="72" t="str">
        <f>VLOOKUP($C743,Carpetas!$C$5:$M$2666,5,FALSE)</f>
        <v>Rio Branco</v>
      </c>
      <c r="L743" s="32"/>
      <c r="M743" s="48">
        <f t="shared" si="48"/>
        <v>45584</v>
      </c>
      <c r="N743" s="26">
        <f t="shared" si="46"/>
        <v>3</v>
      </c>
      <c r="O743" s="27">
        <v>918</v>
      </c>
      <c r="P743" s="27">
        <v>919</v>
      </c>
      <c r="Q743" s="27">
        <v>26</v>
      </c>
      <c r="R743" s="27">
        <v>26</v>
      </c>
      <c r="S743" s="27" t="s">
        <v>2353</v>
      </c>
      <c r="T743" s="27"/>
      <c r="U743" s="27">
        <v>7158</v>
      </c>
      <c r="V743" s="27" t="s">
        <v>721</v>
      </c>
      <c r="W743" s="27" t="s">
        <v>722</v>
      </c>
      <c r="X743" s="73"/>
      <c r="Y743" s="73" t="e">
        <f>VLOOKUP(X743,Choferes!$B$2:$C$500,2,FALSE)</f>
        <v>#N/A</v>
      </c>
      <c r="Z743" s="73" t="s">
        <v>2354</v>
      </c>
    </row>
    <row r="744" spans="1:26" hidden="1" x14ac:dyDescent="0.25">
      <c r="A744" s="33">
        <v>42</v>
      </c>
      <c r="B744" s="71" t="s">
        <v>29</v>
      </c>
      <c r="C744" s="39" t="s">
        <v>2311</v>
      </c>
      <c r="D744" s="50" t="s">
        <v>48</v>
      </c>
      <c r="E744" s="47">
        <v>45581</v>
      </c>
      <c r="F744" s="31" t="str">
        <f>VLOOKUP($C744,Carpetas!$C$5:$M$2666,2,FALSE)</f>
        <v>PYB147</v>
      </c>
      <c r="G744" s="23" t="str">
        <f>VLOOKUP($C744,Carpetas!$C$5:$M$2666,10,FALSE)</f>
        <v>150,70,59</v>
      </c>
      <c r="H744" s="27">
        <f>VLOOKUP($C744,Carpetas!$C$5:$M$2666,6,FALSE)</f>
        <v>0</v>
      </c>
      <c r="I744" s="220"/>
      <c r="J744" s="47">
        <v>45583</v>
      </c>
      <c r="K744" s="72" t="str">
        <f>VLOOKUP($C744,Carpetas!$C$5:$M$2666,5,FALSE)</f>
        <v>Salto</v>
      </c>
      <c r="L744" s="32"/>
      <c r="M744" s="48">
        <f t="shared" si="48"/>
        <v>45584</v>
      </c>
      <c r="N744" s="26">
        <f t="shared" si="46"/>
        <v>3</v>
      </c>
      <c r="O744" s="27">
        <v>930</v>
      </c>
      <c r="P744" s="27">
        <v>930</v>
      </c>
      <c r="Q744" s="27">
        <v>28</v>
      </c>
      <c r="R744" s="27">
        <v>26</v>
      </c>
      <c r="S744" s="27" t="s">
        <v>2355</v>
      </c>
      <c r="T744" s="27"/>
      <c r="U744" s="27"/>
      <c r="V744" s="27" t="s">
        <v>400</v>
      </c>
      <c r="W744" s="27" t="s">
        <v>835</v>
      </c>
      <c r="X744" s="73"/>
      <c r="Y744" s="73" t="e">
        <f>VLOOKUP(X744,Choferes!$B$2:$C$500,2,FALSE)</f>
        <v>#N/A</v>
      </c>
      <c r="Z744" s="73" t="s">
        <v>2356</v>
      </c>
    </row>
    <row r="745" spans="1:26" hidden="1" x14ac:dyDescent="0.25">
      <c r="A745" s="33">
        <v>40</v>
      </c>
      <c r="B745" s="71" t="s">
        <v>29</v>
      </c>
      <c r="C745" s="39" t="s">
        <v>2357</v>
      </c>
      <c r="D745" s="50" t="s">
        <v>38</v>
      </c>
      <c r="E745" s="47">
        <v>45572</v>
      </c>
      <c r="F745" s="31" t="str">
        <f>VLOOKUP($C745,Carpetas!$C$5:$M$2666,2,FALSE)</f>
        <v>BRE040</v>
      </c>
      <c r="G745" s="23">
        <f>VLOOKUP($C745,Carpetas!$C$5:$M$2666,10,FALSE)</f>
        <v>0</v>
      </c>
      <c r="H745" s="27" t="str">
        <f>VLOOKUP($C745,Carpetas!$C$5:$M$2666,6,FALSE)</f>
        <v>Benini</v>
      </c>
      <c r="I745" s="220">
        <f>VLOOKUP($C745,Carpetas!$C$5:$M$2666,4,FALSE)</f>
        <v>0</v>
      </c>
      <c r="J745" s="47">
        <v>45586</v>
      </c>
      <c r="K745" s="72" t="str">
        <f>VLOOKUP($C745,Carpetas!$C$5:$M$2666,5,FALSE)</f>
        <v>Rio Branco</v>
      </c>
      <c r="L745" s="32"/>
      <c r="M745" s="48">
        <f t="shared" si="48"/>
        <v>45587</v>
      </c>
      <c r="N745" s="26">
        <f t="shared" si="46"/>
        <v>15</v>
      </c>
      <c r="O745" s="27">
        <v>25000</v>
      </c>
      <c r="P745" s="27"/>
      <c r="Q745" s="27"/>
      <c r="R745" s="27"/>
      <c r="S745" s="27"/>
      <c r="T745" s="27"/>
      <c r="U745" s="27">
        <v>10214</v>
      </c>
      <c r="V745" s="27" t="s">
        <v>2358</v>
      </c>
      <c r="W745" s="27" t="s">
        <v>2359</v>
      </c>
      <c r="X745" s="73"/>
      <c r="Y745" s="73" t="e">
        <f>VLOOKUP(X745,Choferes!$B$2:$C$500,2,FALSE)</f>
        <v>#N/A</v>
      </c>
      <c r="Z745" s="73" t="s">
        <v>2302</v>
      </c>
    </row>
    <row r="746" spans="1:26" hidden="1" x14ac:dyDescent="0.25">
      <c r="A746" s="33">
        <v>42</v>
      </c>
      <c r="B746" s="71" t="s">
        <v>298</v>
      </c>
      <c r="C746" s="39" t="s">
        <v>299</v>
      </c>
      <c r="D746" s="50" t="s">
        <v>803</v>
      </c>
      <c r="E746" s="47">
        <v>45581</v>
      </c>
      <c r="F746" s="31" t="str">
        <f>VLOOKUP($C746,Carpetas!$C$5:$M$2666,2,FALSE)</f>
        <v>BRB</v>
      </c>
      <c r="G746" s="23" t="e">
        <f>VLOOKUP($C746,Carpetas!$C$5:$M$2666,9,FALSE)</f>
        <v>#REF!</v>
      </c>
      <c r="H746" s="27" t="str">
        <f>VLOOKUP($C746,Carpetas!$C$5:$M$2666,5,FALSE)</f>
        <v>xx</v>
      </c>
      <c r="I746" s="220"/>
      <c r="J746" s="47">
        <f>E746+5</f>
        <v>45586</v>
      </c>
      <c r="K746" s="72">
        <f>VLOOKUP($C746,Carpetas!$C$5:$M$2666,4,FALSE)</f>
        <v>0</v>
      </c>
      <c r="L746" s="32"/>
      <c r="M746" s="48">
        <f t="shared" si="48"/>
        <v>45587</v>
      </c>
      <c r="N746" s="26">
        <f t="shared" si="46"/>
        <v>6</v>
      </c>
      <c r="O746" s="27">
        <v>990</v>
      </c>
      <c r="P746" s="27"/>
      <c r="Q746" s="27"/>
      <c r="R746" s="27"/>
      <c r="S746" s="27"/>
      <c r="T746" s="27"/>
      <c r="U746" s="27"/>
      <c r="V746" s="27"/>
      <c r="W746" s="27"/>
      <c r="X746" s="73"/>
      <c r="Y746" s="73" t="e">
        <f>VLOOKUP(X746,Choferes!$B$2:$C$500,2,FALSE)</f>
        <v>#N/A</v>
      </c>
      <c r="Z746" s="73"/>
    </row>
    <row r="747" spans="1:26" hidden="1" x14ac:dyDescent="0.25">
      <c r="A747" s="33">
        <v>42</v>
      </c>
      <c r="B747" s="71" t="s">
        <v>29</v>
      </c>
      <c r="C747" s="39" t="s">
        <v>2360</v>
      </c>
      <c r="D747" s="50" t="s">
        <v>1757</v>
      </c>
      <c r="E747" s="47">
        <v>45580</v>
      </c>
      <c r="F747" s="31" t="str">
        <f>VLOOKUP($C747,Carpetas!$C$5:$M$2666,2,FALSE)</f>
        <v>BRB082</v>
      </c>
      <c r="G747" s="23" t="str">
        <f>VLOOKUP($C747,Carpetas!$C$5:$M$2666,10,FALSE)</f>
        <v>150,70,99</v>
      </c>
      <c r="H747" s="27" t="str">
        <f>VLOOKUP($C747,Carpetas!$C$5:$M$2666,6,FALSE)</f>
        <v>Marvel</v>
      </c>
      <c r="I747" s="220"/>
      <c r="J747" s="47">
        <v>45586</v>
      </c>
      <c r="K747" s="72" t="str">
        <f>VLOOKUP($C747,Carpetas!$C$5:$M$2666,5,FALSE)</f>
        <v>Rio Branco</v>
      </c>
      <c r="L747" s="32"/>
      <c r="M747" s="48">
        <f t="shared" si="48"/>
        <v>45587</v>
      </c>
      <c r="N747" s="26">
        <f t="shared" si="46"/>
        <v>7</v>
      </c>
      <c r="O747" s="27">
        <v>936</v>
      </c>
      <c r="P747" s="27">
        <v>936</v>
      </c>
      <c r="Q747" s="27">
        <v>26</v>
      </c>
      <c r="R747" s="27">
        <v>25</v>
      </c>
      <c r="S747" s="27" t="s">
        <v>2361</v>
      </c>
      <c r="T747" s="27"/>
      <c r="U747" s="27">
        <v>10216</v>
      </c>
      <c r="V747" s="27" t="s">
        <v>2362</v>
      </c>
      <c r="W747" s="27" t="s">
        <v>2363</v>
      </c>
      <c r="X747" s="73"/>
      <c r="Y747" s="73" t="e">
        <f>VLOOKUP(X747,Choferes!$B$2:$C$500,2,FALSE)</f>
        <v>#N/A</v>
      </c>
      <c r="Z747" s="73" t="s">
        <v>2364</v>
      </c>
    </row>
    <row r="748" spans="1:26" ht="45" hidden="1" x14ac:dyDescent="0.25">
      <c r="A748" s="33">
        <v>42</v>
      </c>
      <c r="B748" s="71" t="s">
        <v>29</v>
      </c>
      <c r="C748" s="39" t="s">
        <v>2274</v>
      </c>
      <c r="D748" s="50" t="s">
        <v>249</v>
      </c>
      <c r="E748" s="47">
        <v>45583</v>
      </c>
      <c r="F748" s="31" t="str">
        <f>VLOOKUP($C748,Carpetas!$C$5:$M$2666,2,FALSE)</f>
        <v>BRB080</v>
      </c>
      <c r="G748" s="23">
        <f>VLOOKUP($C748,Carpetas!$C$5:$M$2666,10,FALSE)</f>
        <v>1506902</v>
      </c>
      <c r="H748" s="27" t="str">
        <f>VLOOKUP($C748,Carpetas!$C$5:$M$2666,6,FALSE)</f>
        <v>FG</v>
      </c>
      <c r="I748" s="220"/>
      <c r="J748" s="47">
        <v>45586</v>
      </c>
      <c r="K748" s="72" t="str">
        <f>VLOOKUP($C748,Carpetas!$C$5:$M$2666,5,FALSE)</f>
        <v>Rio Branco</v>
      </c>
      <c r="L748" s="32"/>
      <c r="M748" s="48">
        <f t="shared" si="48"/>
        <v>45587</v>
      </c>
      <c r="N748" s="26">
        <f t="shared" si="46"/>
        <v>4</v>
      </c>
      <c r="O748" s="27">
        <v>990</v>
      </c>
      <c r="P748" s="27">
        <v>991</v>
      </c>
      <c r="Q748" s="27">
        <v>28</v>
      </c>
      <c r="R748" s="27">
        <v>25.5</v>
      </c>
      <c r="S748" s="27" t="s">
        <v>2277</v>
      </c>
      <c r="T748" s="27"/>
      <c r="U748" s="27">
        <v>409</v>
      </c>
      <c r="V748" s="27" t="s">
        <v>1726</v>
      </c>
      <c r="W748" s="27" t="s">
        <v>1646</v>
      </c>
      <c r="X748" s="73"/>
      <c r="Y748" s="73" t="e">
        <f>VLOOKUP(X748,Choferes!$B$2:$C$500,2,FALSE)</f>
        <v>#N/A</v>
      </c>
      <c r="Z748" s="73" t="s">
        <v>2365</v>
      </c>
    </row>
    <row r="749" spans="1:26" hidden="1" x14ac:dyDescent="0.25">
      <c r="A749" s="33">
        <v>42</v>
      </c>
      <c r="B749" s="71" t="s">
        <v>29</v>
      </c>
      <c r="C749" s="39" t="s">
        <v>2360</v>
      </c>
      <c r="D749" s="50" t="s">
        <v>1757</v>
      </c>
      <c r="E749" s="47">
        <v>45581</v>
      </c>
      <c r="F749" s="31" t="str">
        <f>VLOOKUP($C749,Carpetas!$C$5:$M$2666,2,FALSE)</f>
        <v>BRB082</v>
      </c>
      <c r="G749" s="23" t="str">
        <f>VLOOKUP($C749,Carpetas!$C$5:$M$2666,10,FALSE)</f>
        <v>150,70,99</v>
      </c>
      <c r="H749" s="27" t="str">
        <f>VLOOKUP($C749,Carpetas!$C$5:$M$2666,6,FALSE)</f>
        <v>Marvel</v>
      </c>
      <c r="I749" s="220"/>
      <c r="J749" s="47">
        <f>E749+5</f>
        <v>45586</v>
      </c>
      <c r="K749" s="72" t="str">
        <f>VLOOKUP($C749,Carpetas!$C$5:$M$2666,5,FALSE)</f>
        <v>Rio Branco</v>
      </c>
      <c r="L749" s="32"/>
      <c r="M749" s="48">
        <f>J749+1+1</f>
        <v>45588</v>
      </c>
      <c r="N749" s="26">
        <f t="shared" si="46"/>
        <v>7</v>
      </c>
      <c r="O749" s="27">
        <v>936</v>
      </c>
      <c r="P749" s="27">
        <v>936</v>
      </c>
      <c r="Q749" s="27">
        <v>26</v>
      </c>
      <c r="R749" s="27">
        <v>25.5</v>
      </c>
      <c r="S749" s="27" t="s">
        <v>2366</v>
      </c>
      <c r="T749" s="27"/>
      <c r="U749" s="27">
        <v>10217</v>
      </c>
      <c r="V749" s="27" t="s">
        <v>2367</v>
      </c>
      <c r="W749" s="27" t="s">
        <v>2368</v>
      </c>
      <c r="X749" s="73"/>
      <c r="Y749" s="73" t="e">
        <f>VLOOKUP(X749,Choferes!$B$2:$C$500,2,FALSE)</f>
        <v>#N/A</v>
      </c>
      <c r="Z749" s="73" t="s">
        <v>2369</v>
      </c>
    </row>
    <row r="750" spans="1:26" hidden="1" x14ac:dyDescent="0.25">
      <c r="A750" s="33">
        <v>42</v>
      </c>
      <c r="B750" s="71" t="s">
        <v>29</v>
      </c>
      <c r="C750" s="39" t="s">
        <v>2360</v>
      </c>
      <c r="D750" s="50" t="s">
        <v>1757</v>
      </c>
      <c r="E750" s="47">
        <v>45581</v>
      </c>
      <c r="F750" s="31" t="str">
        <f>VLOOKUP($C750,Carpetas!$C$5:$M$2666,2,FALSE)</f>
        <v>BRB082</v>
      </c>
      <c r="G750" s="23" t="str">
        <f>VLOOKUP($C750,Carpetas!$C$5:$M$2666,10,FALSE)</f>
        <v>150,70,99</v>
      </c>
      <c r="H750" s="27" t="str">
        <f>VLOOKUP($C750,Carpetas!$C$5:$M$2666,6,FALSE)</f>
        <v>Marvel</v>
      </c>
      <c r="I750" s="220"/>
      <c r="J750" s="47">
        <f>E750+5</f>
        <v>45586</v>
      </c>
      <c r="K750" s="72" t="str">
        <f>VLOOKUP($C750,Carpetas!$C$5:$M$2666,5,FALSE)</f>
        <v>Rio Branco</v>
      </c>
      <c r="L750" s="32"/>
      <c r="M750" s="48">
        <f>J750+1+1</f>
        <v>45588</v>
      </c>
      <c r="N750" s="26">
        <f t="shared" si="46"/>
        <v>7</v>
      </c>
      <c r="O750" s="27">
        <v>936</v>
      </c>
      <c r="P750" s="27">
        <v>936</v>
      </c>
      <c r="Q750" s="27">
        <v>26</v>
      </c>
      <c r="R750" s="27">
        <v>25.5</v>
      </c>
      <c r="S750" s="27" t="s">
        <v>2370</v>
      </c>
      <c r="T750" s="27"/>
      <c r="U750" s="27">
        <v>10218</v>
      </c>
      <c r="V750" s="27" t="s">
        <v>2371</v>
      </c>
      <c r="W750" s="27" t="s">
        <v>2372</v>
      </c>
      <c r="X750" s="73"/>
      <c r="Y750" s="73" t="e">
        <f>VLOOKUP(X750,Choferes!$B$2:$C$500,2,FALSE)</f>
        <v>#N/A</v>
      </c>
      <c r="Z750" s="73" t="s">
        <v>2373</v>
      </c>
    </row>
    <row r="751" spans="1:26" hidden="1" x14ac:dyDescent="0.25">
      <c r="A751" s="33">
        <v>42</v>
      </c>
      <c r="B751" s="71" t="s">
        <v>29</v>
      </c>
      <c r="C751" s="39" t="s">
        <v>2146</v>
      </c>
      <c r="D751" s="50" t="s">
        <v>764</v>
      </c>
      <c r="E751" s="47">
        <v>45583</v>
      </c>
      <c r="F751" s="31" t="str">
        <f>VLOOKUP($C751,Carpetas!$C$5:$M$2666,2,FALSE)</f>
        <v>BRC004</v>
      </c>
      <c r="G751" s="23" t="str">
        <f>VLOOKUP($C751,Carpetas!$C$5:$M$2666,10,FALSE)</f>
        <v>150,48,78</v>
      </c>
      <c r="H751" s="27" t="str">
        <f>VLOOKUP($C751,Carpetas!$C$5:$M$2666,6,FALSE)</f>
        <v>FG</v>
      </c>
      <c r="I751" s="220"/>
      <c r="J751" s="47">
        <v>45586</v>
      </c>
      <c r="K751" s="72" t="str">
        <f>VLOOKUP($C751,Carpetas!$C$5:$M$2666,5,FALSE)</f>
        <v>Rio Branco</v>
      </c>
      <c r="L751" s="32"/>
      <c r="M751" s="48">
        <v>45588</v>
      </c>
      <c r="N751" s="26">
        <f t="shared" si="46"/>
        <v>5</v>
      </c>
      <c r="O751" s="27">
        <v>990</v>
      </c>
      <c r="P751" s="27">
        <v>1026</v>
      </c>
      <c r="Q751" s="27">
        <v>29</v>
      </c>
      <c r="R751" s="27">
        <v>24.7</v>
      </c>
      <c r="S751" s="27" t="s">
        <v>2374</v>
      </c>
      <c r="T751" s="27"/>
      <c r="U751" s="27"/>
      <c r="V751" s="27" t="s">
        <v>911</v>
      </c>
      <c r="W751" s="27" t="s">
        <v>1622</v>
      </c>
      <c r="X751" s="73"/>
      <c r="Y751" s="73" t="e">
        <f>VLOOKUP(X751,Choferes!$B$2:$C$500,2,FALSE)</f>
        <v>#N/A</v>
      </c>
      <c r="Z751" s="73" t="s">
        <v>2375</v>
      </c>
    </row>
    <row r="752" spans="1:26" hidden="1" x14ac:dyDescent="0.25">
      <c r="A752" s="33">
        <v>42</v>
      </c>
      <c r="B752" s="71" t="s">
        <v>29</v>
      </c>
      <c r="C752" s="39" t="s">
        <v>2360</v>
      </c>
      <c r="D752" s="50" t="s">
        <v>1757</v>
      </c>
      <c r="E752" s="47">
        <v>45582</v>
      </c>
      <c r="F752" s="31" t="str">
        <f>VLOOKUP($C752,Carpetas!$C$5:$M$2666,2,FALSE)</f>
        <v>BRB082</v>
      </c>
      <c r="G752" s="23" t="str">
        <f>VLOOKUP($C752,Carpetas!$C$5:$M$2666,10,FALSE)</f>
        <v>150,70,99</v>
      </c>
      <c r="H752" s="27" t="str">
        <f>VLOOKUP($C752,Carpetas!$C$5:$M$2666,6,FALSE)</f>
        <v>Marvel</v>
      </c>
      <c r="I752" s="220"/>
      <c r="J752" s="47">
        <f>E752+5</f>
        <v>45587</v>
      </c>
      <c r="K752" s="72" t="str">
        <f>VLOOKUP($C752,Carpetas!$C$5:$M$2666,5,FALSE)</f>
        <v>Rio Branco</v>
      </c>
      <c r="L752" s="32"/>
      <c r="M752" s="48">
        <f t="shared" ref="M752:M762" si="49">J752+1</f>
        <v>45588</v>
      </c>
      <c r="N752" s="26">
        <f t="shared" si="46"/>
        <v>6</v>
      </c>
      <c r="O752" s="27">
        <v>936</v>
      </c>
      <c r="P752" s="27">
        <v>936</v>
      </c>
      <c r="Q752" s="27">
        <v>26</v>
      </c>
      <c r="R752" s="27">
        <v>25.5</v>
      </c>
      <c r="S752" s="27" t="s">
        <v>2376</v>
      </c>
      <c r="T752" s="27"/>
      <c r="U752" s="27">
        <v>10219</v>
      </c>
      <c r="V752" s="27" t="s">
        <v>2377</v>
      </c>
      <c r="W752" s="27" t="s">
        <v>2378</v>
      </c>
      <c r="X752" s="73"/>
      <c r="Y752" s="73" t="e">
        <f>VLOOKUP(X752,Choferes!$B$2:$C$500,2,FALSE)</f>
        <v>#N/A</v>
      </c>
      <c r="Z752" s="73" t="s">
        <v>2373</v>
      </c>
    </row>
    <row r="753" spans="1:26" hidden="1" x14ac:dyDescent="0.25">
      <c r="A753" s="33">
        <v>42</v>
      </c>
      <c r="B753" s="71" t="s">
        <v>29</v>
      </c>
      <c r="C753" s="39" t="s">
        <v>2263</v>
      </c>
      <c r="D753" s="50" t="s">
        <v>1757</v>
      </c>
      <c r="E753" s="47">
        <v>45583</v>
      </c>
      <c r="F753" s="31" t="str">
        <f>VLOOKUP($C753,Carpetas!$C$5:$M$2666,2,FALSE)</f>
        <v>BRB078</v>
      </c>
      <c r="G753" s="23">
        <f>VLOOKUP($C753,Carpetas!$C$5:$M$2666,10,FALSE)</f>
        <v>1506124</v>
      </c>
      <c r="H753" s="27" t="str">
        <f>VLOOKUP($C753,Carpetas!$C$5:$M$2666,6,FALSE)</f>
        <v>Marvel</v>
      </c>
      <c r="I753" s="220"/>
      <c r="J753" s="47">
        <v>45587</v>
      </c>
      <c r="K753" s="72" t="str">
        <f>VLOOKUP($C753,Carpetas!$C$5:$M$2666,5,FALSE)</f>
        <v>Rio Branco</v>
      </c>
      <c r="L753" s="32"/>
      <c r="M753" s="48">
        <f t="shared" si="49"/>
        <v>45588</v>
      </c>
      <c r="N753" s="26">
        <f t="shared" si="46"/>
        <v>5</v>
      </c>
      <c r="O753" s="27">
        <v>936</v>
      </c>
      <c r="P753" s="27">
        <v>936</v>
      </c>
      <c r="Q753" s="27">
        <v>26</v>
      </c>
      <c r="R753" s="27">
        <v>25.5</v>
      </c>
      <c r="S753" s="27" t="s">
        <v>2379</v>
      </c>
      <c r="T753" s="27"/>
      <c r="U753" s="27">
        <v>10191</v>
      </c>
      <c r="V753" s="27" t="s">
        <v>2380</v>
      </c>
      <c r="W753" s="27" t="s">
        <v>2381</v>
      </c>
      <c r="X753" s="73"/>
      <c r="Y753" s="73" t="e">
        <f>VLOOKUP(X753,Choferes!$B$2:$C$500,2,FALSE)</f>
        <v>#N/A</v>
      </c>
      <c r="Z753" s="73" t="s">
        <v>2369</v>
      </c>
    </row>
    <row r="754" spans="1:26" hidden="1" x14ac:dyDescent="0.25">
      <c r="A754" s="33">
        <v>42</v>
      </c>
      <c r="B754" s="71" t="s">
        <v>29</v>
      </c>
      <c r="C754" s="39" t="s">
        <v>2360</v>
      </c>
      <c r="D754" s="50" t="s">
        <v>1757</v>
      </c>
      <c r="E754" s="47">
        <v>45583</v>
      </c>
      <c r="F754" s="31" t="str">
        <f>VLOOKUP($C754,Carpetas!$C$5:$M$2666,2,FALSE)</f>
        <v>BRB082</v>
      </c>
      <c r="G754" s="23" t="str">
        <f>VLOOKUP($C754,Carpetas!$C$5:$M$2666,10,FALSE)</f>
        <v>150,70,99</v>
      </c>
      <c r="H754" s="27" t="str">
        <f>VLOOKUP($C754,Carpetas!$C$5:$M$2666,6,FALSE)</f>
        <v>Marvel</v>
      </c>
      <c r="I754" s="220"/>
      <c r="J754" s="47">
        <v>45587</v>
      </c>
      <c r="K754" s="72" t="str">
        <f>VLOOKUP($C754,Carpetas!$C$5:$M$2666,5,FALSE)</f>
        <v>Rio Branco</v>
      </c>
      <c r="L754" s="32"/>
      <c r="M754" s="48">
        <f t="shared" si="49"/>
        <v>45588</v>
      </c>
      <c r="N754" s="26">
        <f t="shared" si="46"/>
        <v>5</v>
      </c>
      <c r="O754" s="27">
        <v>936</v>
      </c>
      <c r="P754" s="27">
        <v>936</v>
      </c>
      <c r="Q754" s="27">
        <v>26</v>
      </c>
      <c r="R754" s="27">
        <v>24</v>
      </c>
      <c r="S754" s="27" t="s">
        <v>2382</v>
      </c>
      <c r="T754" s="27"/>
      <c r="U754" s="27">
        <v>10220</v>
      </c>
      <c r="V754" s="27" t="s">
        <v>2383</v>
      </c>
      <c r="W754" s="27" t="s">
        <v>2384</v>
      </c>
      <c r="X754" s="73"/>
      <c r="Y754" s="73" t="e">
        <f>VLOOKUP(X754,Choferes!$B$2:$C$500,2,FALSE)</f>
        <v>#N/A</v>
      </c>
      <c r="Z754" s="73" t="s">
        <v>2373</v>
      </c>
    </row>
    <row r="755" spans="1:26" hidden="1" x14ac:dyDescent="0.25">
      <c r="A755" s="33">
        <v>42</v>
      </c>
      <c r="B755" s="71" t="s">
        <v>29</v>
      </c>
      <c r="C755" s="39" t="s">
        <v>2360</v>
      </c>
      <c r="D755" s="50" t="s">
        <v>1757</v>
      </c>
      <c r="E755" s="47">
        <v>45583</v>
      </c>
      <c r="F755" s="31" t="str">
        <f>VLOOKUP($C755,Carpetas!$C$5:$M$2666,2,FALSE)</f>
        <v>BRB082</v>
      </c>
      <c r="G755" s="23" t="str">
        <f>VLOOKUP($C755,Carpetas!$C$5:$M$2666,10,FALSE)</f>
        <v>150,70,99</v>
      </c>
      <c r="H755" s="27" t="str">
        <f>VLOOKUP($C755,Carpetas!$C$5:$M$2666,6,FALSE)</f>
        <v>Marvel</v>
      </c>
      <c r="I755" s="220"/>
      <c r="J755" s="47">
        <v>45587</v>
      </c>
      <c r="K755" s="72" t="str">
        <f>VLOOKUP($C755,Carpetas!$C$5:$M$2666,5,FALSE)</f>
        <v>Rio Branco</v>
      </c>
      <c r="L755" s="32"/>
      <c r="M755" s="48">
        <f t="shared" si="49"/>
        <v>45588</v>
      </c>
      <c r="N755" s="26">
        <f t="shared" si="46"/>
        <v>5</v>
      </c>
      <c r="O755" s="27">
        <v>936</v>
      </c>
      <c r="P755" s="27">
        <v>936</v>
      </c>
      <c r="Q755" s="27">
        <v>26</v>
      </c>
      <c r="R755" s="27">
        <v>25.5</v>
      </c>
      <c r="S755" s="27" t="s">
        <v>2385</v>
      </c>
      <c r="T755" s="27"/>
      <c r="U755" s="27">
        <v>10221</v>
      </c>
      <c r="V755" s="27" t="s">
        <v>2386</v>
      </c>
      <c r="W755" s="27" t="s">
        <v>2387</v>
      </c>
      <c r="X755" s="73"/>
      <c r="Y755" s="73" t="e">
        <f>VLOOKUP(X755,Choferes!$B$2:$C$500,2,FALSE)</f>
        <v>#N/A</v>
      </c>
      <c r="Z755" s="73" t="s">
        <v>2373</v>
      </c>
    </row>
    <row r="756" spans="1:26" hidden="1" x14ac:dyDescent="0.25">
      <c r="A756" s="33">
        <v>42</v>
      </c>
      <c r="B756" s="71" t="s">
        <v>29</v>
      </c>
      <c r="C756" s="39" t="s">
        <v>2388</v>
      </c>
      <c r="D756" s="50" t="s">
        <v>1757</v>
      </c>
      <c r="E756" s="47">
        <v>45583</v>
      </c>
      <c r="F756" s="31" t="str">
        <f>VLOOKUP($C756,Carpetas!$C$5:$M$2666,2,FALSE)</f>
        <v>BRB084</v>
      </c>
      <c r="G756" s="23" t="str">
        <f>VLOOKUP($C756,Carpetas!$C$5:$M$2666,10,FALSE)</f>
        <v>150,75,06</v>
      </c>
      <c r="H756" s="27" t="str">
        <f>VLOOKUP($C756,Carpetas!$C$5:$M$2666,6,FALSE)</f>
        <v>Marvel</v>
      </c>
      <c r="I756" s="220"/>
      <c r="J756" s="47">
        <f>E756+5</f>
        <v>45588</v>
      </c>
      <c r="K756" s="72" t="str">
        <f>VLOOKUP($C756,Carpetas!$C$5:$M$2666,5,FALSE)</f>
        <v>Rio Branco</v>
      </c>
      <c r="L756" s="32"/>
      <c r="M756" s="48">
        <f t="shared" si="49"/>
        <v>45589</v>
      </c>
      <c r="N756" s="26">
        <f t="shared" si="46"/>
        <v>6</v>
      </c>
      <c r="O756" s="27">
        <v>936</v>
      </c>
      <c r="P756" s="27">
        <v>936</v>
      </c>
      <c r="Q756" s="27">
        <v>26</v>
      </c>
      <c r="R756" s="27">
        <v>25</v>
      </c>
      <c r="S756" s="27" t="s">
        <v>2389</v>
      </c>
      <c r="T756" s="27"/>
      <c r="U756" s="27">
        <v>10239</v>
      </c>
      <c r="V756" s="27" t="s">
        <v>2390</v>
      </c>
      <c r="W756" s="27" t="s">
        <v>2391</v>
      </c>
      <c r="X756" s="73"/>
      <c r="Y756" s="73" t="e">
        <f>VLOOKUP(X756,Choferes!$B$2:$C$500,2,FALSE)</f>
        <v>#N/A</v>
      </c>
      <c r="Z756" s="73" t="s">
        <v>2392</v>
      </c>
    </row>
    <row r="757" spans="1:26" hidden="1" x14ac:dyDescent="0.25">
      <c r="A757" s="33">
        <v>42</v>
      </c>
      <c r="B757" s="71" t="s">
        <v>29</v>
      </c>
      <c r="C757" s="39" t="s">
        <v>2201</v>
      </c>
      <c r="D757" s="50" t="s">
        <v>747</v>
      </c>
      <c r="E757" s="47">
        <v>45584</v>
      </c>
      <c r="F757" s="31" t="str">
        <f>VLOOKUP($C757,Carpetas!$C$5:$M$2666,2,FALSE)</f>
        <v>BRB075</v>
      </c>
      <c r="G757" s="23">
        <f>VLOOKUP($C757,Carpetas!$C$5:$M$2666,10,FALSE)</f>
        <v>1505480</v>
      </c>
      <c r="H757" s="27" t="str">
        <f>VLOOKUP($C757,Carpetas!$C$5:$M$2666,6,FALSE)</f>
        <v>Zanini</v>
      </c>
      <c r="I757" s="220"/>
      <c r="J757" s="47">
        <f>E757+4</f>
        <v>45588</v>
      </c>
      <c r="K757" s="72" t="str">
        <f>VLOOKUP($C757,Carpetas!$C$5:$M$2666,5,FALSE)</f>
        <v>Rio Branco</v>
      </c>
      <c r="L757" s="32"/>
      <c r="M757" s="48">
        <f t="shared" si="49"/>
        <v>45589</v>
      </c>
      <c r="N757" s="26">
        <f t="shared" si="46"/>
        <v>5</v>
      </c>
      <c r="O757" s="27">
        <v>918</v>
      </c>
      <c r="P757" s="27">
        <v>919</v>
      </c>
      <c r="Q757" s="27">
        <v>26</v>
      </c>
      <c r="R757" s="27">
        <v>26.5</v>
      </c>
      <c r="S757" s="27" t="s">
        <v>2393</v>
      </c>
      <c r="T757" s="27"/>
      <c r="U757" s="27">
        <v>4812</v>
      </c>
      <c r="V757" s="27" t="s">
        <v>2394</v>
      </c>
      <c r="W757" s="27" t="s">
        <v>2395</v>
      </c>
      <c r="X757" s="73"/>
      <c r="Y757" s="73" t="e">
        <f>VLOOKUP(X757,Choferes!$B$2:$C$500,2,FALSE)</f>
        <v>#N/A</v>
      </c>
      <c r="Z757" s="73" t="s">
        <v>2396</v>
      </c>
    </row>
    <row r="758" spans="1:26" hidden="1" x14ac:dyDescent="0.25">
      <c r="A758" s="33">
        <v>42</v>
      </c>
      <c r="B758" s="71" t="s">
        <v>298</v>
      </c>
      <c r="C758" s="39" t="s">
        <v>299</v>
      </c>
      <c r="D758" s="50" t="s">
        <v>78</v>
      </c>
      <c r="E758" s="47">
        <v>45583</v>
      </c>
      <c r="F758" s="31" t="str">
        <f>VLOOKUP($C758,Carpetas!$C$5:$M$2666,2,FALSE)</f>
        <v>BRB</v>
      </c>
      <c r="G758" s="23" t="e">
        <f>VLOOKUP($C758,Carpetas!$C$5:$M$2666,9,FALSE)</f>
        <v>#REF!</v>
      </c>
      <c r="H758" s="27" t="str">
        <f>VLOOKUP($C758,Carpetas!$C$5:$M$2666,5,FALSE)</f>
        <v>xx</v>
      </c>
      <c r="I758" s="220"/>
      <c r="J758" s="47">
        <f>E758+5</f>
        <v>45588</v>
      </c>
      <c r="K758" s="72">
        <f>VLOOKUP($C758,Carpetas!$C$5:$M$2666,4,FALSE)</f>
        <v>0</v>
      </c>
      <c r="L758" s="32"/>
      <c r="M758" s="48">
        <f t="shared" si="49"/>
        <v>45589</v>
      </c>
      <c r="N758" s="26">
        <f t="shared" si="46"/>
        <v>6</v>
      </c>
      <c r="O758" s="27">
        <v>990</v>
      </c>
      <c r="P758" s="27"/>
      <c r="Q758" s="27"/>
      <c r="R758" s="27"/>
      <c r="S758" s="27"/>
      <c r="T758" s="27"/>
      <c r="U758" s="27"/>
      <c r="V758" s="27"/>
      <c r="W758" s="27"/>
      <c r="X758" s="73"/>
      <c r="Y758" s="73" t="e">
        <f>VLOOKUP(X758,Choferes!$B$2:$C$500,2,FALSE)</f>
        <v>#N/A</v>
      </c>
      <c r="Z758" s="73"/>
    </row>
    <row r="759" spans="1:26" hidden="1" x14ac:dyDescent="0.25">
      <c r="A759" s="33">
        <v>42</v>
      </c>
      <c r="B759" s="71" t="s">
        <v>298</v>
      </c>
      <c r="C759" s="39" t="s">
        <v>299</v>
      </c>
      <c r="D759" s="50" t="s">
        <v>803</v>
      </c>
      <c r="E759" s="47">
        <v>45583</v>
      </c>
      <c r="F759" s="31" t="str">
        <f>VLOOKUP($C759,Carpetas!$C$5:$M$2666,2,FALSE)</f>
        <v>BRB</v>
      </c>
      <c r="G759" s="23" t="e">
        <f>VLOOKUP($C759,Carpetas!$C$5:$M$2666,9,FALSE)</f>
        <v>#REF!</v>
      </c>
      <c r="H759" s="27" t="str">
        <f>VLOOKUP($C759,Carpetas!$C$5:$M$2666,5,FALSE)</f>
        <v>xx</v>
      </c>
      <c r="I759" s="220"/>
      <c r="J759" s="47">
        <f>E759+5</f>
        <v>45588</v>
      </c>
      <c r="K759" s="72">
        <f>VLOOKUP($C759,Carpetas!$C$5:$M$2666,4,FALSE)</f>
        <v>0</v>
      </c>
      <c r="L759" s="32"/>
      <c r="M759" s="48">
        <f t="shared" si="49"/>
        <v>45589</v>
      </c>
      <c r="N759" s="26">
        <f t="shared" si="46"/>
        <v>6</v>
      </c>
      <c r="O759" s="27">
        <v>990</v>
      </c>
      <c r="P759" s="27"/>
      <c r="Q759" s="27"/>
      <c r="R759" s="27"/>
      <c r="S759" s="27"/>
      <c r="T759" s="27"/>
      <c r="U759" s="27"/>
      <c r="V759" s="27"/>
      <c r="W759" s="27"/>
      <c r="X759" s="73"/>
      <c r="Y759" s="73" t="e">
        <f>VLOOKUP(X759,Choferes!$B$2:$C$500,2,FALSE)</f>
        <v>#N/A</v>
      </c>
      <c r="Z759" s="73"/>
    </row>
    <row r="760" spans="1:26" hidden="1" x14ac:dyDescent="0.25">
      <c r="A760" s="33">
        <v>42</v>
      </c>
      <c r="B760" s="71" t="s">
        <v>298</v>
      </c>
      <c r="C760" s="39" t="s">
        <v>299</v>
      </c>
      <c r="D760" s="50" t="s">
        <v>747</v>
      </c>
      <c r="E760" s="47">
        <v>45583</v>
      </c>
      <c r="F760" s="31" t="str">
        <f>VLOOKUP($C760,Carpetas!$C$5:$M$2666,2,FALSE)</f>
        <v>BRB</v>
      </c>
      <c r="G760" s="23" t="e">
        <f>VLOOKUP($C760,Carpetas!$C$5:$M$2666,9,FALSE)</f>
        <v>#REF!</v>
      </c>
      <c r="H760" s="27" t="str">
        <f>VLOOKUP($C760,Carpetas!$C$5:$M$2666,5,FALSE)</f>
        <v>xx</v>
      </c>
      <c r="I760" s="220"/>
      <c r="J760" s="47">
        <f>E760+5</f>
        <v>45588</v>
      </c>
      <c r="K760" s="72">
        <f>VLOOKUP($C760,Carpetas!$C$5:$M$2666,4,FALSE)</f>
        <v>0</v>
      </c>
      <c r="L760" s="32"/>
      <c r="M760" s="48">
        <f t="shared" si="49"/>
        <v>45589</v>
      </c>
      <c r="N760" s="26">
        <f t="shared" si="46"/>
        <v>6</v>
      </c>
      <c r="O760" s="27">
        <v>990</v>
      </c>
      <c r="P760" s="27"/>
      <c r="Q760" s="27"/>
      <c r="R760" s="27"/>
      <c r="S760" s="27"/>
      <c r="T760" s="27"/>
      <c r="U760" s="27"/>
      <c r="V760" s="27"/>
      <c r="W760" s="27"/>
      <c r="X760" s="73"/>
      <c r="Y760" s="73" t="e">
        <f>VLOOKUP(X760,Choferes!$B$2:$C$500,2,FALSE)</f>
        <v>#N/A</v>
      </c>
      <c r="Z760" s="73"/>
    </row>
    <row r="761" spans="1:26" hidden="1" x14ac:dyDescent="0.25">
      <c r="A761" s="33">
        <v>42</v>
      </c>
      <c r="B761" s="71" t="s">
        <v>29</v>
      </c>
      <c r="C761" s="39" t="s">
        <v>2388</v>
      </c>
      <c r="D761" s="50" t="s">
        <v>1757</v>
      </c>
      <c r="E761" s="47">
        <v>45584</v>
      </c>
      <c r="F761" s="31" t="str">
        <f>VLOOKUP($C761,Carpetas!$C$5:$M$2666,2,FALSE)</f>
        <v>BRB084</v>
      </c>
      <c r="G761" s="23" t="str">
        <f>VLOOKUP($C761,Carpetas!$C$5:$M$2666,10,FALSE)</f>
        <v>150,75,06</v>
      </c>
      <c r="H761" s="27" t="str">
        <f>VLOOKUP($C761,Carpetas!$C$5:$M$2666,6,FALSE)</f>
        <v>Marvel</v>
      </c>
      <c r="I761" s="220"/>
      <c r="J761" s="47">
        <f>E761+5</f>
        <v>45589</v>
      </c>
      <c r="K761" s="72" t="str">
        <f>VLOOKUP($C761,Carpetas!$C$5:$M$2666,5,FALSE)</f>
        <v>Rio Branco</v>
      </c>
      <c r="L761" s="32"/>
      <c r="M761" s="48">
        <f t="shared" si="49"/>
        <v>45590</v>
      </c>
      <c r="N761" s="26">
        <f t="shared" si="46"/>
        <v>6</v>
      </c>
      <c r="O761" s="27">
        <v>936</v>
      </c>
      <c r="P761" s="27" t="s">
        <v>2397</v>
      </c>
      <c r="Q761" s="27">
        <v>26</v>
      </c>
      <c r="R761" s="27">
        <v>25</v>
      </c>
      <c r="S761" s="27" t="s">
        <v>2398</v>
      </c>
      <c r="T761" s="27"/>
      <c r="U761" s="27">
        <v>10240</v>
      </c>
      <c r="V761" s="27" t="s">
        <v>2399</v>
      </c>
      <c r="W761" s="27" t="s">
        <v>2400</v>
      </c>
      <c r="X761" s="73"/>
      <c r="Y761" s="73" t="e">
        <f>VLOOKUP(X761,Choferes!$B$2:$C$500,2,FALSE)</f>
        <v>#N/A</v>
      </c>
      <c r="Z761" s="73" t="s">
        <v>2401</v>
      </c>
    </row>
    <row r="762" spans="1:26" hidden="1" x14ac:dyDescent="0.25">
      <c r="A762" s="33">
        <v>43</v>
      </c>
      <c r="B762" s="71" t="s">
        <v>29</v>
      </c>
      <c r="C762" s="39" t="s">
        <v>2352</v>
      </c>
      <c r="D762" s="50" t="s">
        <v>953</v>
      </c>
      <c r="E762" s="47">
        <v>45587</v>
      </c>
      <c r="F762" s="31" t="str">
        <f>VLOOKUP($C762,Carpetas!$C$5:$M$2666,2,FALSE)</f>
        <v>BRB083</v>
      </c>
      <c r="G762" s="23" t="str">
        <f>VLOOKUP($C762,Carpetas!$C$5:$M$2666,10,FALSE)</f>
        <v>150,73,37</v>
      </c>
      <c r="H762" s="27" t="str">
        <f>VLOOKUP($C762,Carpetas!$C$5:$M$2666,6,FALSE)</f>
        <v xml:space="preserve">Silvio </v>
      </c>
      <c r="I762" s="220"/>
      <c r="J762" s="47">
        <f>E762+2</f>
        <v>45589</v>
      </c>
      <c r="K762" s="72" t="str">
        <f>VLOOKUP($C762,Carpetas!$C$5:$M$2666,5,FALSE)</f>
        <v>Rio Branco</v>
      </c>
      <c r="L762" s="32"/>
      <c r="M762" s="48">
        <f t="shared" si="49"/>
        <v>45590</v>
      </c>
      <c r="N762" s="26">
        <f t="shared" si="46"/>
        <v>3</v>
      </c>
      <c r="O762" s="27">
        <v>918</v>
      </c>
      <c r="P762" s="27">
        <v>918</v>
      </c>
      <c r="Q762" s="27">
        <v>26</v>
      </c>
      <c r="R762" s="27">
        <v>26</v>
      </c>
      <c r="S762" s="27" t="s">
        <v>2393</v>
      </c>
      <c r="T762" s="27"/>
      <c r="U762" s="27">
        <v>7159</v>
      </c>
      <c r="V762" s="27" t="s">
        <v>1292</v>
      </c>
      <c r="W762" s="27" t="s">
        <v>1293</v>
      </c>
      <c r="X762" s="73"/>
      <c r="Y762" s="73" t="e">
        <f>VLOOKUP(X762,Choferes!$B$2:$C$500,2,FALSE)</f>
        <v>#N/A</v>
      </c>
      <c r="Z762" s="73" t="s">
        <v>2402</v>
      </c>
    </row>
    <row r="763" spans="1:26" hidden="1" x14ac:dyDescent="0.25">
      <c r="A763" s="33">
        <v>42</v>
      </c>
      <c r="B763" s="71" t="s">
        <v>29</v>
      </c>
      <c r="C763" s="39" t="s">
        <v>2388</v>
      </c>
      <c r="D763" s="50" t="s">
        <v>1757</v>
      </c>
      <c r="E763" s="47">
        <v>45585</v>
      </c>
      <c r="F763" s="31" t="str">
        <f>VLOOKUP($C763,Carpetas!$C$5:$M$2666,2,FALSE)</f>
        <v>BRB084</v>
      </c>
      <c r="G763" s="23" t="str">
        <f>VLOOKUP($C763,Carpetas!$C$5:$M$2666,10,FALSE)</f>
        <v>150,75,06</v>
      </c>
      <c r="H763" s="27" t="str">
        <f>VLOOKUP($C763,Carpetas!$C$5:$M$2666,6,FALSE)</f>
        <v>Marvel</v>
      </c>
      <c r="I763" s="220"/>
      <c r="J763" s="47">
        <v>45589</v>
      </c>
      <c r="K763" s="72" t="str">
        <f>VLOOKUP($C763,Carpetas!$C$5:$M$2666,5,FALSE)</f>
        <v>Rio Branco</v>
      </c>
      <c r="L763" s="32"/>
      <c r="M763" s="48">
        <f>J763+1+1</f>
        <v>45591</v>
      </c>
      <c r="N763" s="26">
        <f t="shared" si="46"/>
        <v>6</v>
      </c>
      <c r="O763" s="27">
        <v>936</v>
      </c>
      <c r="P763" s="27"/>
      <c r="Q763" s="27">
        <v>26</v>
      </c>
      <c r="R763" s="27">
        <v>26</v>
      </c>
      <c r="S763" s="27" t="s">
        <v>2403</v>
      </c>
      <c r="T763" s="27"/>
      <c r="U763" s="27">
        <v>10238</v>
      </c>
      <c r="V763" s="27" t="s">
        <v>2404</v>
      </c>
      <c r="W763" s="27" t="s">
        <v>2405</v>
      </c>
      <c r="X763" s="73"/>
      <c r="Y763" s="73" t="e">
        <f>VLOOKUP(X763,Choferes!$B$2:$C$500,2,FALSE)</f>
        <v>#N/A</v>
      </c>
      <c r="Z763" s="73" t="s">
        <v>2406</v>
      </c>
    </row>
    <row r="764" spans="1:26" hidden="1" x14ac:dyDescent="0.25">
      <c r="A764" s="33">
        <v>43</v>
      </c>
      <c r="B764" s="71" t="s">
        <v>298</v>
      </c>
      <c r="C764" s="39" t="s">
        <v>299</v>
      </c>
      <c r="D764" s="50" t="s">
        <v>38</v>
      </c>
      <c r="E764" s="47">
        <v>45587</v>
      </c>
      <c r="F764" s="31" t="str">
        <f>VLOOKUP($C764,Carpetas!$C$5:$M$2666,2,FALSE)</f>
        <v>BRB</v>
      </c>
      <c r="G764" s="23" t="str">
        <f>VLOOKUP($C764,Carpetas!$C$5:$M$2666,10,FALSE)</f>
        <v>xx</v>
      </c>
      <c r="H764" s="27" t="str">
        <f>VLOOKUP($C764,Carpetas!$C$5:$M$2666,5,FALSE)</f>
        <v>xx</v>
      </c>
      <c r="I764" s="220">
        <f>VLOOKUP($C764,Carpetas!$C$5:$M$2666,4,FALSE)</f>
        <v>0</v>
      </c>
      <c r="J764" s="47">
        <f>E764+5</f>
        <v>45592</v>
      </c>
      <c r="K764" s="72" t="str">
        <f>VLOOKUP($C764,Carpetas!$C$5:$M$2666,5,FALSE)</f>
        <v>xx</v>
      </c>
      <c r="L764" s="32"/>
      <c r="M764" s="48">
        <f>J764+1</f>
        <v>45593</v>
      </c>
      <c r="N764" s="26">
        <f t="shared" si="46"/>
        <v>6</v>
      </c>
      <c r="O764" s="27">
        <v>25000</v>
      </c>
      <c r="P764" s="27"/>
      <c r="Q764" s="27"/>
      <c r="R764" s="27"/>
      <c r="S764" s="27"/>
      <c r="T764" s="27"/>
      <c r="U764" s="27"/>
      <c r="V764" s="27"/>
      <c r="W764" s="27"/>
      <c r="X764" s="73"/>
      <c r="Y764" s="73" t="e">
        <f>VLOOKUP(X764,Choferes!$B$2:$C$500,2,FALSE)</f>
        <v>#N/A</v>
      </c>
      <c r="Z764" s="73"/>
    </row>
    <row r="765" spans="1:26" hidden="1" x14ac:dyDescent="0.25">
      <c r="A765" s="33">
        <v>42</v>
      </c>
      <c r="B765" s="71" t="s">
        <v>298</v>
      </c>
      <c r="C765" s="39" t="s">
        <v>2407</v>
      </c>
      <c r="D765" s="50" t="s">
        <v>38</v>
      </c>
      <c r="E765" s="47">
        <v>45586</v>
      </c>
      <c r="F765" s="31" t="str">
        <f>VLOOKUP($C765,Carpetas!$C$5:$M$2666,2,FALSE)</f>
        <v>BRE043</v>
      </c>
      <c r="G765" s="23">
        <f>VLOOKUP($C765,Carpetas!$C$5:$M$2666,10,FALSE)</f>
        <v>0</v>
      </c>
      <c r="H765" s="27" t="str">
        <f>VLOOKUP($C765,Carpetas!$C$5:$M$2666,5,FALSE)</f>
        <v>Rio Branco</v>
      </c>
      <c r="I765" s="220">
        <f>VLOOKUP($C765,Carpetas!$C$5:$M$2666,4,FALSE)</f>
        <v>0</v>
      </c>
      <c r="J765" s="47">
        <v>45590</v>
      </c>
      <c r="K765" s="72" t="str">
        <f>VLOOKUP($C765,Carpetas!$C$5:$M$2666,5,FALSE)</f>
        <v>Rio Branco</v>
      </c>
      <c r="L765" s="32"/>
      <c r="M765" s="48">
        <v>45594</v>
      </c>
      <c r="N765" s="26">
        <f t="shared" si="46"/>
        <v>8</v>
      </c>
      <c r="O765" s="27">
        <v>1290</v>
      </c>
      <c r="P765" s="27"/>
      <c r="Q765" s="27"/>
      <c r="R765" s="27"/>
      <c r="S765" s="27"/>
      <c r="T765" s="27"/>
      <c r="U765" s="27"/>
      <c r="V765" s="27"/>
      <c r="W765" s="27"/>
      <c r="X765" s="73"/>
      <c r="Y765" s="73" t="e">
        <f>VLOOKUP(X765,Choferes!$B$2:$C$500,2,FALSE)</f>
        <v>#N/A</v>
      </c>
      <c r="Z765" s="73" t="s">
        <v>2408</v>
      </c>
    </row>
    <row r="766" spans="1:26" hidden="1" x14ac:dyDescent="0.25">
      <c r="A766" s="33">
        <v>43</v>
      </c>
      <c r="B766" s="71" t="s">
        <v>29</v>
      </c>
      <c r="C766" s="39" t="s">
        <v>2409</v>
      </c>
      <c r="D766" s="50" t="s">
        <v>110</v>
      </c>
      <c r="E766" s="47">
        <v>45590</v>
      </c>
      <c r="F766" s="31" t="str">
        <f>VLOOKUP($C766,Carpetas!$C$5:$M$2666,2,FALSE)</f>
        <v>BRB086</v>
      </c>
      <c r="G766" s="23" t="str">
        <f>VLOOKUP($C766,Carpetas!$C$5:$M$2666,10,FALSE)</f>
        <v>150.82.57</v>
      </c>
      <c r="H766" s="27" t="str">
        <f>VLOOKUP($C766,Carpetas!$C$5:$M$2666,6,FALSE)</f>
        <v>Zanini</v>
      </c>
      <c r="I766" s="220"/>
      <c r="J766" s="47">
        <v>45594</v>
      </c>
      <c r="K766" s="72" t="str">
        <f>VLOOKUP($C766,Carpetas!$C$5:$M$2666,5,FALSE)</f>
        <v>Rio Branco</v>
      </c>
      <c r="L766" s="32"/>
      <c r="M766" s="48">
        <f>J766+1</f>
        <v>45595</v>
      </c>
      <c r="N766" s="26">
        <f t="shared" si="46"/>
        <v>5</v>
      </c>
      <c r="O766" s="27">
        <v>918</v>
      </c>
      <c r="P766" s="27">
        <v>919</v>
      </c>
      <c r="Q766" s="27">
        <v>26</v>
      </c>
      <c r="R766" s="27">
        <v>26.6</v>
      </c>
      <c r="S766" s="27" t="s">
        <v>2410</v>
      </c>
      <c r="T766" s="27"/>
      <c r="U766" s="27">
        <v>4826</v>
      </c>
      <c r="V766" s="27" t="s">
        <v>2411</v>
      </c>
      <c r="W766" s="27" t="s">
        <v>2412</v>
      </c>
      <c r="X766" s="73"/>
      <c r="Y766" s="73" t="e">
        <f>VLOOKUP(X766,Choferes!$B$2:$C$500,2,FALSE)</f>
        <v>#N/A</v>
      </c>
      <c r="Z766" s="73" t="s">
        <v>2413</v>
      </c>
    </row>
    <row r="767" spans="1:26" hidden="1" x14ac:dyDescent="0.25">
      <c r="A767" s="33">
        <v>42</v>
      </c>
      <c r="B767" s="71" t="s">
        <v>298</v>
      </c>
      <c r="C767" s="39" t="s">
        <v>299</v>
      </c>
      <c r="D767" s="50" t="s">
        <v>38</v>
      </c>
      <c r="E767" s="47">
        <v>45586</v>
      </c>
      <c r="F767" s="31" t="str">
        <f>VLOOKUP($C767,Carpetas!$C$5:$M$2666,2,FALSE)</f>
        <v>BRB</v>
      </c>
      <c r="G767" s="23" t="str">
        <f>VLOOKUP($C767,Carpetas!$C$5:$M$2666,10,FALSE)</f>
        <v>xx</v>
      </c>
      <c r="H767" s="27" t="str">
        <f>VLOOKUP($C767,Carpetas!$C$5:$M$2666,5,FALSE)</f>
        <v>xx</v>
      </c>
      <c r="I767" s="220">
        <f>VLOOKUP($C767,Carpetas!$C$5:$M$2666,4,FALSE)</f>
        <v>0</v>
      </c>
      <c r="J767" s="47">
        <v>45594</v>
      </c>
      <c r="K767" s="72" t="str">
        <f>VLOOKUP($C767,Carpetas!$C$5:$M$2666,5,FALSE)</f>
        <v>xx</v>
      </c>
      <c r="L767" s="32"/>
      <c r="M767" s="48">
        <f>J767+1</f>
        <v>45595</v>
      </c>
      <c r="N767" s="26">
        <f t="shared" si="46"/>
        <v>9</v>
      </c>
      <c r="O767" s="27">
        <v>25000</v>
      </c>
      <c r="P767" s="27"/>
      <c r="Q767" s="27"/>
      <c r="R767" s="27"/>
      <c r="S767" s="27"/>
      <c r="T767" s="27"/>
      <c r="U767" s="27"/>
      <c r="V767" s="27"/>
      <c r="W767" s="27"/>
      <c r="X767" s="73"/>
      <c r="Y767" s="73" t="e">
        <f>VLOOKUP(X767,Choferes!$B$2:$C$500,2,FALSE)</f>
        <v>#N/A</v>
      </c>
      <c r="Z767" s="73"/>
    </row>
    <row r="768" spans="1:26" hidden="1" x14ac:dyDescent="0.25">
      <c r="A768" s="33">
        <v>42</v>
      </c>
      <c r="B768" s="71" t="s">
        <v>29</v>
      </c>
      <c r="C768" s="39" t="s">
        <v>2388</v>
      </c>
      <c r="D768" s="50" t="s">
        <v>1757</v>
      </c>
      <c r="E768" s="47">
        <v>45585</v>
      </c>
      <c r="F768" s="31" t="str">
        <f>VLOOKUP($C768,Carpetas!$C$5:$M$2666,2,FALSE)</f>
        <v>BRB084</v>
      </c>
      <c r="G768" s="23" t="str">
        <f>VLOOKUP($C768,Carpetas!$C$5:$M$2666,10,FALSE)</f>
        <v>150,75,06</v>
      </c>
      <c r="H768" s="27" t="str">
        <f>VLOOKUP($C768,Carpetas!$C$5:$M$2666,6,FALSE)</f>
        <v>Marvel</v>
      </c>
      <c r="I768" s="220"/>
      <c r="J768" s="47">
        <v>45594</v>
      </c>
      <c r="K768" s="72" t="str">
        <f>VLOOKUP($C768,Carpetas!$C$5:$M$2666,5,FALSE)</f>
        <v>Rio Branco</v>
      </c>
      <c r="L768" s="32"/>
      <c r="M768" s="48">
        <v>45596</v>
      </c>
      <c r="N768" s="26">
        <f t="shared" si="46"/>
        <v>11</v>
      </c>
      <c r="O768" s="27">
        <v>936</v>
      </c>
      <c r="P768" s="27">
        <v>936</v>
      </c>
      <c r="Q768" s="27">
        <v>26</v>
      </c>
      <c r="R768" s="27">
        <v>25</v>
      </c>
      <c r="S768" s="27" t="s">
        <v>2414</v>
      </c>
      <c r="T768" s="27"/>
      <c r="U768" s="27"/>
      <c r="V768" s="27" t="s">
        <v>2415</v>
      </c>
      <c r="W768" s="27" t="s">
        <v>2416</v>
      </c>
      <c r="X768" s="73"/>
      <c r="Y768" s="73" t="e">
        <f>VLOOKUP(X768,Choferes!$B$2:$C$500,2,FALSE)</f>
        <v>#N/A</v>
      </c>
      <c r="Z768" s="73" t="s">
        <v>2310</v>
      </c>
    </row>
    <row r="769" spans="1:26" hidden="1" x14ac:dyDescent="0.25">
      <c r="A769" s="33">
        <v>42</v>
      </c>
      <c r="B769" s="71" t="s">
        <v>29</v>
      </c>
      <c r="C769" s="39" t="s">
        <v>2417</v>
      </c>
      <c r="D769" s="50" t="s">
        <v>38</v>
      </c>
      <c r="E769" s="47">
        <v>45589</v>
      </c>
      <c r="F769" s="31" t="str">
        <f>VLOOKUP($C769,Carpetas!$C$5:$M$2666,2,FALSE)</f>
        <v>BRE041</v>
      </c>
      <c r="G769" s="23" t="str">
        <f>VLOOKUP($C769,Carpetas!$C$5:$M$2666,10,FALSE)</f>
        <v>150.80.39</v>
      </c>
      <c r="H769" s="27" t="str">
        <f>VLOOKUP($C769,Carpetas!$C$5:$M$2666,6,FALSE)</f>
        <v>Marvel</v>
      </c>
      <c r="I769" s="220">
        <f>VLOOKUP($C769,Carpetas!$C$5:$M$2666,4,FALSE)</f>
        <v>0</v>
      </c>
      <c r="J769" s="47">
        <f>E769+5</f>
        <v>45594</v>
      </c>
      <c r="K769" s="72" t="str">
        <f>VLOOKUP($C769,Carpetas!$C$5:$M$2666,5,FALSE)</f>
        <v>Rio Branco</v>
      </c>
      <c r="L769" s="32"/>
      <c r="M769" s="48">
        <v>45596</v>
      </c>
      <c r="N769" s="26">
        <f t="shared" si="46"/>
        <v>7</v>
      </c>
      <c r="O769" s="27">
        <v>1388</v>
      </c>
      <c r="P769" s="27"/>
      <c r="Q769" s="27"/>
      <c r="R769" s="27"/>
      <c r="S769" s="27"/>
      <c r="T769" s="27"/>
      <c r="U769" s="27"/>
      <c r="V769" s="27"/>
      <c r="W769" s="27"/>
      <c r="X769" s="73"/>
      <c r="Y769" s="73" t="e">
        <f>VLOOKUP(X769,Choferes!$B$2:$C$500,2,FALSE)</f>
        <v>#N/A</v>
      </c>
      <c r="Z769" s="73" t="s">
        <v>2418</v>
      </c>
    </row>
    <row r="770" spans="1:26" hidden="1" x14ac:dyDescent="0.25">
      <c r="A770" s="33">
        <v>43</v>
      </c>
      <c r="B770" s="71" t="s">
        <v>29</v>
      </c>
      <c r="C770" s="39" t="s">
        <v>2409</v>
      </c>
      <c r="D770" s="50" t="s">
        <v>2202</v>
      </c>
      <c r="E770" s="47">
        <v>45590</v>
      </c>
      <c r="F770" s="31" t="str">
        <f>VLOOKUP($C770,Carpetas!$C$5:$M$2666,2,FALSE)</f>
        <v>BRB086</v>
      </c>
      <c r="G770" s="23" t="str">
        <f>VLOOKUP($C770,Carpetas!$C$5:$M$2666,10,FALSE)</f>
        <v>150.82.57</v>
      </c>
      <c r="H770" s="27" t="str">
        <f>VLOOKUP($C770,Carpetas!$C$5:$M$2666,6,FALSE)</f>
        <v>Zanini</v>
      </c>
      <c r="I770" s="220"/>
      <c r="J770" s="47">
        <v>45594</v>
      </c>
      <c r="K770" s="72" t="str">
        <f>VLOOKUP($C770,Carpetas!$C$5:$M$2666,5,FALSE)</f>
        <v>Rio Branco</v>
      </c>
      <c r="L770" s="32"/>
      <c r="M770" s="48">
        <v>45596</v>
      </c>
      <c r="N770" s="26">
        <f t="shared" si="46"/>
        <v>6</v>
      </c>
      <c r="O770" s="27">
        <v>918</v>
      </c>
      <c r="P770" s="27">
        <v>918</v>
      </c>
      <c r="Q770" s="27">
        <v>26</v>
      </c>
      <c r="R770" s="27">
        <v>25.5</v>
      </c>
      <c r="S770" s="27" t="s">
        <v>2419</v>
      </c>
      <c r="T770" s="27"/>
      <c r="U770" s="27">
        <v>4825</v>
      </c>
      <c r="V770" s="27" t="s">
        <v>2420</v>
      </c>
      <c r="W770" s="27" t="s">
        <v>350</v>
      </c>
      <c r="X770" s="73"/>
      <c r="Y770" s="73" t="e">
        <f>VLOOKUP(X770,Choferes!$B$2:$C$500,2,FALSE)</f>
        <v>#N/A</v>
      </c>
      <c r="Z770" s="73" t="s">
        <v>2421</v>
      </c>
    </row>
    <row r="771" spans="1:26" hidden="1" x14ac:dyDescent="0.25">
      <c r="A771" s="33">
        <v>43</v>
      </c>
      <c r="B771" s="71" t="s">
        <v>29</v>
      </c>
      <c r="C771" s="39" t="s">
        <v>2409</v>
      </c>
      <c r="D771" s="50" t="s">
        <v>747</v>
      </c>
      <c r="E771" s="47">
        <v>45590</v>
      </c>
      <c r="F771" s="31" t="str">
        <f>VLOOKUP($C771,Carpetas!$C$5:$M$2666,2,FALSE)</f>
        <v>BRB086</v>
      </c>
      <c r="G771" s="23" t="str">
        <f>VLOOKUP($C771,Carpetas!$C$5:$M$2666,10,FALSE)</f>
        <v>150.82.57</v>
      </c>
      <c r="H771" s="27" t="str">
        <f>VLOOKUP($C771,Carpetas!$C$5:$M$2666,6,FALSE)</f>
        <v>Zanini</v>
      </c>
      <c r="I771" s="220"/>
      <c r="J771" s="47">
        <f>E771+5</f>
        <v>45595</v>
      </c>
      <c r="K771" s="72" t="str">
        <f>VLOOKUP($C771,Carpetas!$C$5:$M$2666,5,FALSE)</f>
        <v>Rio Branco</v>
      </c>
      <c r="L771" s="32"/>
      <c r="M771" s="48">
        <f>J771+1</f>
        <v>45596</v>
      </c>
      <c r="N771" s="26">
        <f t="shared" si="46"/>
        <v>6</v>
      </c>
      <c r="O771" s="27">
        <v>918</v>
      </c>
      <c r="P771" s="27">
        <v>919</v>
      </c>
      <c r="Q771" s="27">
        <v>26</v>
      </c>
      <c r="R771" s="27">
        <v>25</v>
      </c>
      <c r="S771" s="27" t="s">
        <v>2422</v>
      </c>
      <c r="T771" s="27"/>
      <c r="U771" s="27">
        <v>4830</v>
      </c>
      <c r="V771" s="27" t="s">
        <v>2423</v>
      </c>
      <c r="W771" s="27" t="s">
        <v>148</v>
      </c>
      <c r="X771" s="73"/>
      <c r="Y771" s="73" t="e">
        <f>VLOOKUP(X771,Choferes!$B$2:$C$500,2,FALSE)</f>
        <v>#N/A</v>
      </c>
      <c r="Z771" s="73" t="s">
        <v>2424</v>
      </c>
    </row>
    <row r="772" spans="1:26" hidden="1" x14ac:dyDescent="0.25">
      <c r="A772" s="33">
        <v>43</v>
      </c>
      <c r="B772" s="71" t="s">
        <v>298</v>
      </c>
      <c r="C772" s="39" t="s">
        <v>299</v>
      </c>
      <c r="D772" s="50" t="s">
        <v>38</v>
      </c>
      <c r="E772" s="47">
        <v>45590</v>
      </c>
      <c r="F772" s="31" t="str">
        <f>VLOOKUP($C772,Carpetas!$C$5:$M$2666,2,FALSE)</f>
        <v>BRB</v>
      </c>
      <c r="G772" s="23" t="str">
        <f>VLOOKUP($C772,Carpetas!$C$5:$M$2666,10,FALSE)</f>
        <v>xx</v>
      </c>
      <c r="H772" s="27" t="str">
        <f>VLOOKUP($C772,Carpetas!$C$5:$M$2666,5,FALSE)</f>
        <v>xx</v>
      </c>
      <c r="I772" s="220">
        <f>VLOOKUP($C772,Carpetas!$C$5:$M$2666,4,FALSE)</f>
        <v>0</v>
      </c>
      <c r="J772" s="47">
        <f>E772+5</f>
        <v>45595</v>
      </c>
      <c r="K772" s="72" t="str">
        <f>VLOOKUP($C772,Carpetas!$C$5:$M$2666,5,FALSE)</f>
        <v>xx</v>
      </c>
      <c r="L772" s="32"/>
      <c r="M772" s="48">
        <f>J772+1</f>
        <v>45596</v>
      </c>
      <c r="N772" s="26">
        <f t="shared" si="46"/>
        <v>6</v>
      </c>
      <c r="O772" s="27">
        <v>25000</v>
      </c>
      <c r="P772" s="27"/>
      <c r="Q772" s="27"/>
      <c r="R772" s="27"/>
      <c r="S772" s="27"/>
      <c r="T772" s="27"/>
      <c r="U772" s="27"/>
      <c r="V772" s="27"/>
      <c r="W772" s="27"/>
      <c r="X772" s="73"/>
      <c r="Y772" s="73" t="e">
        <f>VLOOKUP(X772,Choferes!$B$2:$C$500,2,FALSE)</f>
        <v>#N/A</v>
      </c>
      <c r="Z772" s="73"/>
    </row>
    <row r="773" spans="1:26" hidden="1" x14ac:dyDescent="0.25">
      <c r="A773" s="33">
        <v>44</v>
      </c>
      <c r="B773" s="71" t="s">
        <v>29</v>
      </c>
      <c r="C773" s="39" t="s">
        <v>2425</v>
      </c>
      <c r="D773" s="50" t="s">
        <v>38</v>
      </c>
      <c r="E773" s="47">
        <v>45588</v>
      </c>
      <c r="F773" s="31" t="str">
        <f>VLOOKUP($C773,Carpetas!$C$5:$M$2666,2,FALSE)</f>
        <v>BRE044</v>
      </c>
      <c r="G773" s="23">
        <f>VLOOKUP($C773,Carpetas!$C$5:$M$2666,10,FALSE)</f>
        <v>0</v>
      </c>
      <c r="H773" s="27" t="str">
        <f>VLOOKUP($C773,Carpetas!$C$5:$M$2666,6,FALSE)</f>
        <v xml:space="preserve">Silvio </v>
      </c>
      <c r="I773" s="220">
        <f>VLOOKUP($C773,Carpetas!$C$5:$M$2666,4,FALSE)</f>
        <v>0</v>
      </c>
      <c r="J773" s="47">
        <v>45594</v>
      </c>
      <c r="K773" s="72" t="str">
        <f>VLOOKUP($C773,Carpetas!$C$5:$M$2666,5,FALSE)</f>
        <v>Chuy</v>
      </c>
      <c r="L773" s="32"/>
      <c r="M773" s="48">
        <f>J773+1+2</f>
        <v>45597</v>
      </c>
      <c r="N773" s="26">
        <f t="shared" ref="N773:N836" si="50">IF(E773&lt;&gt;"",M773-E773,"-")</f>
        <v>9</v>
      </c>
      <c r="O773" s="27">
        <v>1176</v>
      </c>
      <c r="P773" s="27"/>
      <c r="Q773" s="27"/>
      <c r="R773" s="27"/>
      <c r="S773" s="27"/>
      <c r="T773" s="27"/>
      <c r="U773" s="27"/>
      <c r="V773" s="27"/>
      <c r="W773" s="27"/>
      <c r="X773" s="73"/>
      <c r="Y773" s="73" t="e">
        <f>VLOOKUP(X773,Choferes!$B$2:$C$500,2,FALSE)</f>
        <v>#N/A</v>
      </c>
      <c r="Z773" s="73" t="s">
        <v>2426</v>
      </c>
    </row>
    <row r="774" spans="1:26" hidden="1" x14ac:dyDescent="0.25">
      <c r="A774" s="33">
        <v>43</v>
      </c>
      <c r="B774" s="71" t="s">
        <v>29</v>
      </c>
      <c r="C774" s="39" t="s">
        <v>2427</v>
      </c>
      <c r="D774" s="50" t="s">
        <v>1757</v>
      </c>
      <c r="E774" s="47">
        <v>45587</v>
      </c>
      <c r="F774" s="31" t="str">
        <f>VLOOKUP($C774,Carpetas!$C$5:$M$2666,2,FALSE)</f>
        <v>BRB085</v>
      </c>
      <c r="G774" s="23">
        <f>VLOOKUP($C774,Carpetas!$C$5:$M$2666,10,FALSE)</f>
        <v>1508258</v>
      </c>
      <c r="H774" s="27" t="str">
        <f>VLOOKUP($C774,Carpetas!$C$5:$M$2666,6,FALSE)</f>
        <v>Marvel</v>
      </c>
      <c r="I774" s="220"/>
      <c r="J774" s="47">
        <v>45595</v>
      </c>
      <c r="K774" s="72" t="str">
        <f>VLOOKUP($C774,Carpetas!$C$5:$M$2666,5,FALSE)</f>
        <v>Rio Branco</v>
      </c>
      <c r="L774" s="32"/>
      <c r="M774" s="48">
        <v>45597</v>
      </c>
      <c r="N774" s="26">
        <f t="shared" si="50"/>
        <v>10</v>
      </c>
      <c r="O774" s="27">
        <v>936</v>
      </c>
      <c r="P774" s="27">
        <v>936</v>
      </c>
      <c r="Q774" s="27">
        <v>26</v>
      </c>
      <c r="R774" s="27">
        <v>25.2</v>
      </c>
      <c r="S774" s="27" t="s">
        <v>2428</v>
      </c>
      <c r="T774" s="27"/>
      <c r="U774" s="27">
        <v>10263</v>
      </c>
      <c r="V774" s="27" t="s">
        <v>2429</v>
      </c>
      <c r="W774" s="27" t="s">
        <v>2430</v>
      </c>
      <c r="X774" s="73"/>
      <c r="Y774" s="73" t="e">
        <f>VLOOKUP(X774,Choferes!$B$2:$C$500,2,FALSE)</f>
        <v>#N/A</v>
      </c>
      <c r="Z774" s="73" t="s">
        <v>2431</v>
      </c>
    </row>
    <row r="775" spans="1:26" hidden="1" x14ac:dyDescent="0.25">
      <c r="A775" s="33">
        <v>43</v>
      </c>
      <c r="B775" s="71" t="s">
        <v>29</v>
      </c>
      <c r="C775" s="39" t="s">
        <v>2427</v>
      </c>
      <c r="D775" s="50" t="s">
        <v>1757</v>
      </c>
      <c r="E775" s="47">
        <v>45588</v>
      </c>
      <c r="F775" s="31" t="str">
        <f>VLOOKUP($C775,Carpetas!$C$5:$M$2666,2,FALSE)</f>
        <v>BRB085</v>
      </c>
      <c r="G775" s="23">
        <f>VLOOKUP($C775,Carpetas!$C$5:$M$2666,10,FALSE)</f>
        <v>1508258</v>
      </c>
      <c r="H775" s="27" t="str">
        <f>VLOOKUP($C775,Carpetas!$C$5:$M$2666,6,FALSE)</f>
        <v>Marvel</v>
      </c>
      <c r="I775" s="220"/>
      <c r="J775" s="47">
        <v>45595</v>
      </c>
      <c r="K775" s="72" t="str">
        <f>VLOOKUP($C775,Carpetas!$C$5:$M$2666,5,FALSE)</f>
        <v>Rio Branco</v>
      </c>
      <c r="L775" s="32"/>
      <c r="M775" s="48">
        <v>45597</v>
      </c>
      <c r="N775" s="26">
        <f t="shared" si="50"/>
        <v>9</v>
      </c>
      <c r="O775" s="27">
        <v>936</v>
      </c>
      <c r="P775" s="27">
        <v>936</v>
      </c>
      <c r="Q775" s="27">
        <v>26</v>
      </c>
      <c r="R775" s="27">
        <v>25</v>
      </c>
      <c r="S775" s="27" t="s">
        <v>2432</v>
      </c>
      <c r="T775" s="27"/>
      <c r="U775" s="27">
        <v>10264</v>
      </c>
      <c r="V775" s="27" t="s">
        <v>2433</v>
      </c>
      <c r="W775" s="27" t="s">
        <v>2434</v>
      </c>
      <c r="X775" s="73"/>
      <c r="Y775" s="73" t="e">
        <f>VLOOKUP(X775,Choferes!$B$2:$C$500,2,FALSE)</f>
        <v>#N/A</v>
      </c>
      <c r="Z775" s="73" t="s">
        <v>2435</v>
      </c>
    </row>
    <row r="776" spans="1:26" hidden="1" x14ac:dyDescent="0.25">
      <c r="A776" s="33">
        <v>44</v>
      </c>
      <c r="B776" s="71" t="s">
        <v>29</v>
      </c>
      <c r="C776" s="39" t="s">
        <v>2409</v>
      </c>
      <c r="D776" s="50" t="s">
        <v>747</v>
      </c>
      <c r="E776" s="47">
        <v>45593</v>
      </c>
      <c r="F776" s="31" t="str">
        <f>VLOOKUP($C776,Carpetas!$C$5:$M$2666,2,FALSE)</f>
        <v>BRB086</v>
      </c>
      <c r="G776" s="23" t="str">
        <f>VLOOKUP($C776,Carpetas!$C$5:$M$2666,10,FALSE)</f>
        <v>150.82.57</v>
      </c>
      <c r="H776" s="27" t="str">
        <f>VLOOKUP($C776,Carpetas!$C$5:$M$2666,6,FALSE)</f>
        <v>Zanini</v>
      </c>
      <c r="I776" s="220"/>
      <c r="J776" s="47">
        <v>45596</v>
      </c>
      <c r="K776" s="72" t="str">
        <f>VLOOKUP($C776,Carpetas!$C$5:$M$2666,5,FALSE)</f>
        <v>Rio Branco</v>
      </c>
      <c r="L776" s="32"/>
      <c r="M776" s="48">
        <f>J776+1</f>
        <v>45597</v>
      </c>
      <c r="N776" s="26">
        <f t="shared" si="50"/>
        <v>4</v>
      </c>
      <c r="O776" s="27">
        <v>918</v>
      </c>
      <c r="P776" s="27">
        <v>919</v>
      </c>
      <c r="Q776" s="27">
        <v>26</v>
      </c>
      <c r="R776" s="27">
        <v>24</v>
      </c>
      <c r="S776" s="27" t="s">
        <v>2436</v>
      </c>
      <c r="T776" s="27"/>
      <c r="U776" s="27">
        <v>4831</v>
      </c>
      <c r="V776" s="27" t="s">
        <v>687</v>
      </c>
      <c r="W776" s="27" t="s">
        <v>688</v>
      </c>
      <c r="X776" s="73"/>
      <c r="Y776" s="73" t="e">
        <f>VLOOKUP(X776,Choferes!$B$2:$C$500,2,FALSE)</f>
        <v>#N/A</v>
      </c>
      <c r="Z776" s="73" t="s">
        <v>2437</v>
      </c>
    </row>
    <row r="777" spans="1:26" ht="30" hidden="1" x14ac:dyDescent="0.25">
      <c r="A777" s="33">
        <v>43</v>
      </c>
      <c r="B777" s="71" t="s">
        <v>29</v>
      </c>
      <c r="C777" s="39" t="s">
        <v>2352</v>
      </c>
      <c r="D777" s="50" t="s">
        <v>249</v>
      </c>
      <c r="E777" s="47">
        <v>45594</v>
      </c>
      <c r="F777" s="31" t="str">
        <f>VLOOKUP($C777,Carpetas!$C$5:$M$2666,2,FALSE)</f>
        <v>BRB083</v>
      </c>
      <c r="G777" s="23" t="str">
        <f>VLOOKUP($C777,Carpetas!$C$5:$M$2666,10,FALSE)</f>
        <v>150,73,37</v>
      </c>
      <c r="H777" s="27" t="str">
        <f>VLOOKUP($C777,Carpetas!$C$5:$M$2666,6,FALSE)</f>
        <v xml:space="preserve">Silvio </v>
      </c>
      <c r="I777" s="220"/>
      <c r="J777" s="47">
        <v>45596</v>
      </c>
      <c r="K777" s="72" t="str">
        <f>VLOOKUP($C777,Carpetas!$C$5:$M$2666,5,FALSE)</f>
        <v>Rio Branco</v>
      </c>
      <c r="L777" s="32"/>
      <c r="M777" s="48">
        <v>45597</v>
      </c>
      <c r="N777" s="26">
        <f t="shared" si="50"/>
        <v>3</v>
      </c>
      <c r="O777" s="27">
        <v>918</v>
      </c>
      <c r="P777" s="27">
        <v>919</v>
      </c>
      <c r="Q777" s="27">
        <v>26</v>
      </c>
      <c r="R777" s="27">
        <v>26</v>
      </c>
      <c r="S777" s="27" t="s">
        <v>2438</v>
      </c>
      <c r="T777" s="27"/>
      <c r="U777" s="27">
        <v>7160</v>
      </c>
      <c r="V777" s="27" t="s">
        <v>1596</v>
      </c>
      <c r="W777" s="27" t="s">
        <v>2439</v>
      </c>
      <c r="X777" s="73"/>
      <c r="Y777" s="73" t="e">
        <f>VLOOKUP(X777,Choferes!$B$2:$C$500,2,FALSE)</f>
        <v>#N/A</v>
      </c>
      <c r="Z777" s="73" t="s">
        <v>2440</v>
      </c>
    </row>
    <row r="778" spans="1:26" hidden="1" x14ac:dyDescent="0.25">
      <c r="A778" s="33">
        <v>44</v>
      </c>
      <c r="B778" s="71" t="s">
        <v>29</v>
      </c>
      <c r="C778" s="39" t="s">
        <v>2274</v>
      </c>
      <c r="D778" s="50" t="s">
        <v>953</v>
      </c>
      <c r="E778" s="47">
        <v>45594</v>
      </c>
      <c r="F778" s="31" t="str">
        <f>VLOOKUP($C778,Carpetas!$C$5:$M$2666,2,FALSE)</f>
        <v>BRB080</v>
      </c>
      <c r="G778" s="23">
        <f>VLOOKUP($C778,Carpetas!$C$5:$M$2666,10,FALSE)</f>
        <v>1506902</v>
      </c>
      <c r="H778" s="27" t="str">
        <f>VLOOKUP($C778,Carpetas!$C$5:$M$2666,6,FALSE)</f>
        <v>FG</v>
      </c>
      <c r="I778" s="220"/>
      <c r="J778" s="47">
        <f>E778+2</f>
        <v>45596</v>
      </c>
      <c r="K778" s="72" t="str">
        <f>VLOOKUP($C778,Carpetas!$C$5:$M$2666,5,FALSE)</f>
        <v>Rio Branco</v>
      </c>
      <c r="L778" s="32"/>
      <c r="M778" s="48">
        <f>J778+1</f>
        <v>45597</v>
      </c>
      <c r="N778" s="26">
        <f t="shared" si="50"/>
        <v>3</v>
      </c>
      <c r="O778" s="27">
        <v>990</v>
      </c>
      <c r="P778" s="27">
        <v>990</v>
      </c>
      <c r="Q778" s="27">
        <v>28</v>
      </c>
      <c r="R778" s="27">
        <v>25.5</v>
      </c>
      <c r="S778" s="27" t="s">
        <v>2441</v>
      </c>
      <c r="T778" s="27"/>
      <c r="U778" s="27">
        <v>424</v>
      </c>
      <c r="V778" s="27" t="s">
        <v>911</v>
      </c>
      <c r="W778" s="27" t="s">
        <v>1622</v>
      </c>
      <c r="X778" s="73"/>
      <c r="Y778" s="73" t="e">
        <f>VLOOKUP(X778,Choferes!$B$2:$C$500,2,FALSE)</f>
        <v>#N/A</v>
      </c>
      <c r="Z778" s="73" t="s">
        <v>2442</v>
      </c>
    </row>
    <row r="779" spans="1:26" ht="30" hidden="1" x14ac:dyDescent="0.25">
      <c r="A779" s="33">
        <v>43</v>
      </c>
      <c r="B779" s="71" t="s">
        <v>29</v>
      </c>
      <c r="C779" s="39" t="s">
        <v>2427</v>
      </c>
      <c r="D779" s="50" t="s">
        <v>1757</v>
      </c>
      <c r="E779" s="47">
        <v>45589</v>
      </c>
      <c r="F779" s="31" t="str">
        <f>VLOOKUP($C779,Carpetas!$C$5:$M$2666,2,FALSE)</f>
        <v>BRB085</v>
      </c>
      <c r="G779" s="23">
        <f>VLOOKUP($C779,Carpetas!$C$5:$M$2666,10,FALSE)</f>
        <v>1508258</v>
      </c>
      <c r="H779" s="27" t="str">
        <f>VLOOKUP($C779,Carpetas!$C$5:$M$2666,6,FALSE)</f>
        <v>Marvel</v>
      </c>
      <c r="I779" s="220"/>
      <c r="J779" s="47">
        <v>45597</v>
      </c>
      <c r="K779" s="72" t="str">
        <f>VLOOKUP($C779,Carpetas!$C$5:$M$2666,5,FALSE)</f>
        <v>Rio Branco</v>
      </c>
      <c r="L779" s="32"/>
      <c r="M779" s="48">
        <f>J779+1</f>
        <v>45598</v>
      </c>
      <c r="N779" s="26">
        <f t="shared" si="50"/>
        <v>9</v>
      </c>
      <c r="O779" s="27">
        <v>936</v>
      </c>
      <c r="P779" s="27">
        <v>936</v>
      </c>
      <c r="Q779" s="27">
        <v>26</v>
      </c>
      <c r="R779" s="27">
        <v>25</v>
      </c>
      <c r="S779" s="27" t="s">
        <v>2443</v>
      </c>
      <c r="T779" s="27"/>
      <c r="U779" s="27">
        <v>10265</v>
      </c>
      <c r="V779" s="27" t="s">
        <v>2444</v>
      </c>
      <c r="W779" s="27" t="s">
        <v>2445</v>
      </c>
      <c r="X779" s="73"/>
      <c r="Y779" s="73" t="e">
        <f>VLOOKUP(X779,Choferes!$B$2:$C$500,2,FALSE)</f>
        <v>#N/A</v>
      </c>
      <c r="Z779" s="73" t="s">
        <v>2446</v>
      </c>
    </row>
    <row r="780" spans="1:26" hidden="1" x14ac:dyDescent="0.25">
      <c r="A780" s="33">
        <v>44</v>
      </c>
      <c r="B780" s="71" t="s">
        <v>29</v>
      </c>
      <c r="C780" s="39" t="s">
        <v>2352</v>
      </c>
      <c r="D780" s="50" t="s">
        <v>110</v>
      </c>
      <c r="E780" s="47">
        <v>45594</v>
      </c>
      <c r="F780" s="31" t="str">
        <f>VLOOKUP($C780,Carpetas!$C$5:$M$2666,2,FALSE)</f>
        <v>BRB083</v>
      </c>
      <c r="G780" s="23" t="str">
        <f>VLOOKUP($C780,Carpetas!$C$5:$M$2666,10,FALSE)</f>
        <v>150,73,37</v>
      </c>
      <c r="H780" s="27" t="str">
        <f>VLOOKUP($C780,Carpetas!$C$5:$M$2666,6,FALSE)</f>
        <v xml:space="preserve">Silvio </v>
      </c>
      <c r="I780" s="220"/>
      <c r="J780" s="47">
        <f>E780+3</f>
        <v>45597</v>
      </c>
      <c r="K780" s="72" t="str">
        <f>VLOOKUP($C780,Carpetas!$C$5:$M$2666,5,FALSE)</f>
        <v>Rio Branco</v>
      </c>
      <c r="L780" s="32"/>
      <c r="M780" s="48">
        <f>J780+1</f>
        <v>45598</v>
      </c>
      <c r="N780" s="26">
        <f t="shared" si="50"/>
        <v>4</v>
      </c>
      <c r="O780" s="27">
        <v>918</v>
      </c>
      <c r="P780" s="27">
        <v>919</v>
      </c>
      <c r="Q780" s="27">
        <v>26</v>
      </c>
      <c r="R780" s="27">
        <v>26.7</v>
      </c>
      <c r="S780" s="27" t="s">
        <v>2447</v>
      </c>
      <c r="T780" s="27"/>
      <c r="U780" s="27">
        <v>7161</v>
      </c>
      <c r="V780" s="27" t="s">
        <v>2448</v>
      </c>
      <c r="W780" s="27" t="s">
        <v>2449</v>
      </c>
      <c r="X780" s="73"/>
      <c r="Y780" s="73" t="e">
        <f>VLOOKUP(X780,Choferes!$B$2:$C$500,2,FALSE)</f>
        <v>#N/A</v>
      </c>
      <c r="Z780" s="73" t="s">
        <v>2450</v>
      </c>
    </row>
    <row r="781" spans="1:26" ht="30" hidden="1" x14ac:dyDescent="0.25">
      <c r="A781" s="33">
        <v>44</v>
      </c>
      <c r="B781" s="71" t="s">
        <v>29</v>
      </c>
      <c r="C781" s="39" t="s">
        <v>2274</v>
      </c>
      <c r="D781" s="50" t="s">
        <v>803</v>
      </c>
      <c r="E781" s="47">
        <v>45594</v>
      </c>
      <c r="F781" s="31" t="str">
        <f>VLOOKUP($C781,Carpetas!$C$5:$M$2666,2,FALSE)</f>
        <v>BRB080</v>
      </c>
      <c r="G781" s="23">
        <f>VLOOKUP($C781,Carpetas!$C$5:$M$2666,10,FALSE)</f>
        <v>1506902</v>
      </c>
      <c r="H781" s="27" t="str">
        <f>VLOOKUP($C781,Carpetas!$C$5:$M$2666,6,FALSE)</f>
        <v>FG</v>
      </c>
      <c r="I781" s="220"/>
      <c r="J781" s="47">
        <f>E781+3</f>
        <v>45597</v>
      </c>
      <c r="K781" s="72" t="str">
        <f>VLOOKUP($C781,Carpetas!$C$5:$M$2666,5,FALSE)</f>
        <v>Rio Branco</v>
      </c>
      <c r="L781" s="32"/>
      <c r="M781" s="48">
        <f>J781+1+1</f>
        <v>45599</v>
      </c>
      <c r="N781" s="26">
        <f t="shared" si="50"/>
        <v>5</v>
      </c>
      <c r="O781" s="27">
        <v>990</v>
      </c>
      <c r="P781" s="27">
        <v>990</v>
      </c>
      <c r="Q781" s="27">
        <v>28</v>
      </c>
      <c r="R781" s="27">
        <v>23</v>
      </c>
      <c r="S781" s="27" t="s">
        <v>2451</v>
      </c>
      <c r="T781" s="27"/>
      <c r="U781" s="27">
        <v>423</v>
      </c>
      <c r="V781" s="27" t="s">
        <v>1735</v>
      </c>
      <c r="W781" s="27" t="s">
        <v>912</v>
      </c>
      <c r="X781" s="73"/>
      <c r="Y781" s="73" t="e">
        <f>VLOOKUP(X781,Choferes!$B$2:$C$500,2,FALSE)</f>
        <v>#N/A</v>
      </c>
      <c r="Z781" s="73" t="s">
        <v>2452</v>
      </c>
    </row>
    <row r="782" spans="1:26" hidden="1" x14ac:dyDescent="0.25">
      <c r="A782" s="33">
        <v>44</v>
      </c>
      <c r="B782" s="71" t="s">
        <v>29</v>
      </c>
      <c r="C782" s="39" t="s">
        <v>2453</v>
      </c>
      <c r="D782" s="106" t="s">
        <v>38</v>
      </c>
      <c r="E782" s="47">
        <v>45594</v>
      </c>
      <c r="F782" s="31" t="str">
        <f>VLOOKUP($C782,Carpetas!$C$5:$M$2666,2,FALSE)</f>
        <v>BRE042</v>
      </c>
      <c r="G782" s="23" t="str">
        <f>VLOOKUP($C782,Carpetas!$C$5:$M$2666,10,FALSE)</f>
        <v>150,80,40</v>
      </c>
      <c r="H782" s="27" t="str">
        <f>VLOOKUP($C782,Carpetas!$C$5:$M$2666,6,FALSE)</f>
        <v>Marvel</v>
      </c>
      <c r="I782" s="220">
        <f>VLOOKUP($C782,Carpetas!$C$5:$M$2666,4,FALSE)</f>
        <v>0</v>
      </c>
      <c r="J782" s="47">
        <v>45597</v>
      </c>
      <c r="K782" s="72" t="str">
        <f>VLOOKUP($C782,Carpetas!$C$5:$M$2666,5,FALSE)</f>
        <v>Rio Branco</v>
      </c>
      <c r="L782" s="32"/>
      <c r="M782" s="48">
        <v>45600</v>
      </c>
      <c r="N782" s="26">
        <f t="shared" si="50"/>
        <v>6</v>
      </c>
      <c r="O782" s="27">
        <v>1388</v>
      </c>
      <c r="P782" s="27"/>
      <c r="Q782" s="27"/>
      <c r="R782" s="27"/>
      <c r="S782" s="27"/>
      <c r="T782" s="27"/>
      <c r="U782" s="27">
        <v>10268</v>
      </c>
      <c r="V782" s="27" t="s">
        <v>2454</v>
      </c>
      <c r="W782" s="27" t="s">
        <v>2455</v>
      </c>
      <c r="X782" s="73"/>
      <c r="Y782" s="73" t="e">
        <f>VLOOKUP(X782,Choferes!$B$2:$C$500,2,FALSE)</f>
        <v>#N/A</v>
      </c>
      <c r="Z782" s="73" t="s">
        <v>2456</v>
      </c>
    </row>
    <row r="783" spans="1:26" hidden="1" x14ac:dyDescent="0.25">
      <c r="A783" s="33">
        <v>44</v>
      </c>
      <c r="B783" s="71" t="s">
        <v>29</v>
      </c>
      <c r="C783" s="39" t="s">
        <v>2457</v>
      </c>
      <c r="D783" s="50" t="s">
        <v>249</v>
      </c>
      <c r="E783" s="47">
        <v>45594</v>
      </c>
      <c r="F783" s="31" t="str">
        <f>VLOOKUP($C783,Carpetas!$C$5:$M$2666,2,FALSE)</f>
        <v>BRB087</v>
      </c>
      <c r="G783" s="23" t="str">
        <f>VLOOKUP($C783,Carpetas!$C$5:$M$2666,10,FALSE)</f>
        <v>150,88,69</v>
      </c>
      <c r="H783" s="27" t="str">
        <f>VLOOKUP($C783,Carpetas!$C$5:$M$2666,6,FALSE)</f>
        <v xml:space="preserve">Silvio </v>
      </c>
      <c r="I783" s="220"/>
      <c r="J783" s="47">
        <v>45600</v>
      </c>
      <c r="K783" s="72" t="str">
        <f>VLOOKUP($C783,Carpetas!$C$5:$M$2666,5,FALSE)</f>
        <v>Rio Branco</v>
      </c>
      <c r="L783" s="32"/>
      <c r="M783" s="48">
        <f t="shared" ref="M783:M790" si="51">J783+1</f>
        <v>45601</v>
      </c>
      <c r="N783" s="26">
        <f t="shared" si="50"/>
        <v>7</v>
      </c>
      <c r="O783" s="27">
        <v>918</v>
      </c>
      <c r="P783" s="27">
        <v>918</v>
      </c>
      <c r="Q783" s="27">
        <v>26</v>
      </c>
      <c r="R783" s="27">
        <v>25.6</v>
      </c>
      <c r="S783" s="27" t="s">
        <v>2458</v>
      </c>
      <c r="T783" s="27"/>
      <c r="U783" s="27">
        <v>7184</v>
      </c>
      <c r="V783" s="27" t="s">
        <v>2459</v>
      </c>
      <c r="W783" s="27" t="s">
        <v>2460</v>
      </c>
      <c r="X783" s="73"/>
      <c r="Y783" s="73" t="e">
        <f>VLOOKUP(X783,Choferes!$B$2:$C$500,2,FALSE)</f>
        <v>#N/A</v>
      </c>
      <c r="Z783" s="73" t="s">
        <v>2461</v>
      </c>
    </row>
    <row r="784" spans="1:26" hidden="1" x14ac:dyDescent="0.25">
      <c r="A784" s="33">
        <v>44</v>
      </c>
      <c r="B784" s="71" t="s">
        <v>29</v>
      </c>
      <c r="C784" s="39" t="s">
        <v>2274</v>
      </c>
      <c r="D784" s="50" t="s">
        <v>803</v>
      </c>
      <c r="E784" s="47">
        <v>45595</v>
      </c>
      <c r="F784" s="31" t="str">
        <f>VLOOKUP($C784,Carpetas!$C$5:$M$2666,2,FALSE)</f>
        <v>BRB080</v>
      </c>
      <c r="G784" s="23">
        <f>VLOOKUP($C784,Carpetas!$C$5:$M$2666,10,FALSE)</f>
        <v>1506902</v>
      </c>
      <c r="H784" s="27" t="str">
        <f>VLOOKUP($C784,Carpetas!$C$5:$M$2666,6,FALSE)</f>
        <v>FG</v>
      </c>
      <c r="I784" s="220"/>
      <c r="J784" s="47">
        <v>45600</v>
      </c>
      <c r="K784" s="72" t="str">
        <f>VLOOKUP($C784,Carpetas!$C$5:$M$2666,5,FALSE)</f>
        <v>Rio Branco</v>
      </c>
      <c r="L784" s="32"/>
      <c r="M784" s="48">
        <f t="shared" si="51"/>
        <v>45601</v>
      </c>
      <c r="N784" s="26">
        <f t="shared" si="50"/>
        <v>6</v>
      </c>
      <c r="O784" s="27">
        <v>990</v>
      </c>
      <c r="P784" s="27">
        <v>990</v>
      </c>
      <c r="Q784" s="27">
        <v>28</v>
      </c>
      <c r="R784" s="27">
        <v>26.9</v>
      </c>
      <c r="S784" s="27" t="s">
        <v>2462</v>
      </c>
      <c r="T784" s="27"/>
      <c r="U784" s="27">
        <v>426</v>
      </c>
      <c r="V784" s="27" t="s">
        <v>1722</v>
      </c>
      <c r="W784" s="27" t="s">
        <v>1723</v>
      </c>
      <c r="X784" s="73"/>
      <c r="Y784" s="73" t="e">
        <f>VLOOKUP(X784,Choferes!$B$2:$C$500,2,FALSE)</f>
        <v>#N/A</v>
      </c>
      <c r="Z784" s="73" t="s">
        <v>2463</v>
      </c>
    </row>
    <row r="785" spans="1:26" hidden="1" x14ac:dyDescent="0.25">
      <c r="A785" s="33">
        <v>44</v>
      </c>
      <c r="B785" s="71" t="s">
        <v>29</v>
      </c>
      <c r="C785" s="39" t="s">
        <v>2274</v>
      </c>
      <c r="D785" s="50" t="s">
        <v>953</v>
      </c>
      <c r="E785" s="47">
        <v>45597</v>
      </c>
      <c r="F785" s="31" t="str">
        <f>VLOOKUP($C785,Carpetas!$C$5:$M$2666,2,FALSE)</f>
        <v>BRB080</v>
      </c>
      <c r="G785" s="23">
        <f>VLOOKUP($C785,Carpetas!$C$5:$M$2666,10,FALSE)</f>
        <v>1506902</v>
      </c>
      <c r="H785" s="27" t="str">
        <f>VLOOKUP($C785,Carpetas!$C$5:$M$2666,6,FALSE)</f>
        <v>FG</v>
      </c>
      <c r="I785" s="220"/>
      <c r="J785" s="47">
        <v>45600</v>
      </c>
      <c r="K785" s="72" t="str">
        <f>VLOOKUP($C785,Carpetas!$C$5:$M$2666,5,FALSE)</f>
        <v>Rio Branco</v>
      </c>
      <c r="L785" s="32"/>
      <c r="M785" s="48">
        <f t="shared" si="51"/>
        <v>45601</v>
      </c>
      <c r="N785" s="26">
        <f t="shared" si="50"/>
        <v>4</v>
      </c>
      <c r="O785" s="27">
        <v>990</v>
      </c>
      <c r="P785" s="27">
        <v>990</v>
      </c>
      <c r="Q785" s="27">
        <v>27</v>
      </c>
      <c r="R785" s="27">
        <v>25</v>
      </c>
      <c r="S785" s="27" t="s">
        <v>2464</v>
      </c>
      <c r="T785" s="27"/>
      <c r="U785" s="27">
        <v>427</v>
      </c>
      <c r="V785" s="27" t="s">
        <v>1722</v>
      </c>
      <c r="W785" s="27" t="s">
        <v>1723</v>
      </c>
      <c r="X785" s="73"/>
      <c r="Y785" s="73" t="e">
        <f>VLOOKUP(X785,Choferes!$B$2:$C$500,2,FALSE)</f>
        <v>#N/A</v>
      </c>
      <c r="Z785" s="73" t="s">
        <v>2465</v>
      </c>
    </row>
    <row r="786" spans="1:26" hidden="1" x14ac:dyDescent="0.25">
      <c r="A786" s="33">
        <v>44</v>
      </c>
      <c r="B786" s="71" t="s">
        <v>29</v>
      </c>
      <c r="C786" s="39" t="s">
        <v>2466</v>
      </c>
      <c r="D786" s="50" t="s">
        <v>2202</v>
      </c>
      <c r="E786" s="47">
        <v>45597</v>
      </c>
      <c r="F786" s="31" t="str">
        <f>VLOOKUP($C786,Carpetas!$C$5:$M$2666,2,FALSE)</f>
        <v>BRB088</v>
      </c>
      <c r="G786" s="23" t="str">
        <f>VLOOKUP($C786,Carpetas!$C$5:$M$2666,10,FALSE)</f>
        <v>150,90,92</v>
      </c>
      <c r="H786" s="27" t="str">
        <f>VLOOKUP($C786,Carpetas!$C$5:$M$2666,6,FALSE)</f>
        <v>Zanini</v>
      </c>
      <c r="I786" s="220"/>
      <c r="J786" s="47">
        <v>45600</v>
      </c>
      <c r="K786" s="72" t="str">
        <f>VLOOKUP($C786,Carpetas!$C$5:$M$2666,5,FALSE)</f>
        <v>Rio Branco</v>
      </c>
      <c r="L786" s="32"/>
      <c r="M786" s="48">
        <f t="shared" si="51"/>
        <v>45601</v>
      </c>
      <c r="N786" s="26">
        <f t="shared" si="50"/>
        <v>4</v>
      </c>
      <c r="O786" s="27">
        <v>918</v>
      </c>
      <c r="P786" s="27">
        <v>918</v>
      </c>
      <c r="Q786" s="27">
        <v>26</v>
      </c>
      <c r="R786" s="27">
        <v>25</v>
      </c>
      <c r="S786" s="27" t="s">
        <v>2467</v>
      </c>
      <c r="T786" s="27"/>
      <c r="U786" s="27">
        <v>4836</v>
      </c>
      <c r="V786" s="27" t="s">
        <v>2468</v>
      </c>
      <c r="W786" s="27" t="s">
        <v>2469</v>
      </c>
      <c r="X786" s="73"/>
      <c r="Y786" s="73" t="e">
        <f>VLOOKUP(X786,Choferes!$B$2:$C$500,2,FALSE)</f>
        <v>#N/A</v>
      </c>
      <c r="Z786" s="73" t="s">
        <v>2470</v>
      </c>
    </row>
    <row r="787" spans="1:26" ht="30" hidden="1" x14ac:dyDescent="0.25">
      <c r="A787" s="33">
        <v>44</v>
      </c>
      <c r="B787" s="71" t="s">
        <v>29</v>
      </c>
      <c r="C787" s="39" t="s">
        <v>2457</v>
      </c>
      <c r="D787" s="50" t="s">
        <v>249</v>
      </c>
      <c r="E787" s="47">
        <v>45597</v>
      </c>
      <c r="F787" s="31" t="str">
        <f>VLOOKUP($C787,Carpetas!$C$5:$M$2666,2,FALSE)</f>
        <v>BRB087</v>
      </c>
      <c r="G787" s="23" t="str">
        <f>VLOOKUP($C787,Carpetas!$C$5:$M$2666,10,FALSE)</f>
        <v>150,88,69</v>
      </c>
      <c r="H787" s="27" t="str">
        <f>VLOOKUP($C787,Carpetas!$C$5:$M$2666,6,FALSE)</f>
        <v xml:space="preserve">Silvio </v>
      </c>
      <c r="I787" s="220"/>
      <c r="J787" s="47">
        <v>45600</v>
      </c>
      <c r="K787" s="72" t="str">
        <f>VLOOKUP($C787,Carpetas!$C$5:$M$2666,5,FALSE)</f>
        <v>Rio Branco</v>
      </c>
      <c r="L787" s="32"/>
      <c r="M787" s="48">
        <f t="shared" si="51"/>
        <v>45601</v>
      </c>
      <c r="N787" s="26">
        <f t="shared" si="50"/>
        <v>4</v>
      </c>
      <c r="O787" s="27">
        <v>918</v>
      </c>
      <c r="P787" s="27">
        <v>919</v>
      </c>
      <c r="Q787" s="27">
        <v>26</v>
      </c>
      <c r="R787" s="27">
        <v>25.6</v>
      </c>
      <c r="S787" s="27" t="s">
        <v>2471</v>
      </c>
      <c r="T787" s="27"/>
      <c r="U787" s="27">
        <v>7189</v>
      </c>
      <c r="V787" s="27" t="s">
        <v>2472</v>
      </c>
      <c r="W787" s="27" t="s">
        <v>1630</v>
      </c>
      <c r="X787" s="73"/>
      <c r="Y787" s="73" t="e">
        <f>VLOOKUP(X787,Choferes!$B$2:$C$500,2,FALSE)</f>
        <v>#N/A</v>
      </c>
      <c r="Z787" s="73" t="s">
        <v>2473</v>
      </c>
    </row>
    <row r="788" spans="1:26" hidden="1" x14ac:dyDescent="0.25">
      <c r="A788" s="33">
        <v>44</v>
      </c>
      <c r="B788" s="71" t="s">
        <v>29</v>
      </c>
      <c r="C788" s="39" t="s">
        <v>2466</v>
      </c>
      <c r="D788" s="50" t="s">
        <v>2474</v>
      </c>
      <c r="E788" s="47">
        <v>45597</v>
      </c>
      <c r="F788" s="31" t="str">
        <f>VLOOKUP($C788,Carpetas!$C$5:$M$2666,2,FALSE)</f>
        <v>BRB088</v>
      </c>
      <c r="G788" s="23" t="str">
        <f>VLOOKUP($C788,Carpetas!$C$5:$M$2666,10,FALSE)</f>
        <v>150,90,92</v>
      </c>
      <c r="H788" s="27" t="str">
        <f>VLOOKUP($C788,Carpetas!$C$5:$M$2666,6,FALSE)</f>
        <v>Zanini</v>
      </c>
      <c r="I788" s="220"/>
      <c r="J788" s="47">
        <v>45600</v>
      </c>
      <c r="K788" s="72" t="str">
        <f>VLOOKUP($C788,Carpetas!$C$5:$M$2666,5,FALSE)</f>
        <v>Rio Branco</v>
      </c>
      <c r="L788" s="32"/>
      <c r="M788" s="48">
        <f t="shared" si="51"/>
        <v>45601</v>
      </c>
      <c r="N788" s="26">
        <f t="shared" si="50"/>
        <v>4</v>
      </c>
      <c r="O788" s="27">
        <v>918</v>
      </c>
      <c r="P788" s="27">
        <v>918</v>
      </c>
      <c r="Q788" s="27">
        <v>26</v>
      </c>
      <c r="R788" s="27">
        <v>25</v>
      </c>
      <c r="S788" s="27" t="s">
        <v>2475</v>
      </c>
      <c r="T788" s="27"/>
      <c r="U788" s="27">
        <v>4840</v>
      </c>
      <c r="V788" s="27" t="s">
        <v>2476</v>
      </c>
      <c r="W788" s="27" t="s">
        <v>2477</v>
      </c>
      <c r="X788" s="73"/>
      <c r="Y788" s="73" t="e">
        <f>VLOOKUP(X788,Choferes!$B$2:$C$500,2,FALSE)</f>
        <v>#N/A</v>
      </c>
      <c r="Z788" s="73" t="s">
        <v>2470</v>
      </c>
    </row>
    <row r="789" spans="1:26" hidden="1" x14ac:dyDescent="0.25">
      <c r="A789" s="33">
        <v>44</v>
      </c>
      <c r="B789" s="71" t="s">
        <v>29</v>
      </c>
      <c r="C789" s="39" t="s">
        <v>2276</v>
      </c>
      <c r="D789" s="50" t="s">
        <v>747</v>
      </c>
      <c r="E789" s="47">
        <v>45597</v>
      </c>
      <c r="F789" s="31" t="str">
        <f>VLOOKUP($C789,Carpetas!$C$5:$M$2666,2,FALSE)</f>
        <v>BRB079</v>
      </c>
      <c r="G789" s="23">
        <f>VLOOKUP($C789,Carpetas!$C$5:$M$2666,10,FALSE)</f>
        <v>1505482</v>
      </c>
      <c r="H789" s="27" t="str">
        <f>VLOOKUP($C789,Carpetas!$C$5:$M$2666,6,FALSE)</f>
        <v>Amaro</v>
      </c>
      <c r="I789" s="220"/>
      <c r="J789" s="47">
        <v>45600</v>
      </c>
      <c r="K789" s="72" t="str">
        <f>VLOOKUP($C789,Carpetas!$C$5:$M$2666,5,FALSE)</f>
        <v>Rio Branco</v>
      </c>
      <c r="L789" s="32"/>
      <c r="M789" s="48">
        <f t="shared" si="51"/>
        <v>45601</v>
      </c>
      <c r="N789" s="26">
        <f t="shared" si="50"/>
        <v>4</v>
      </c>
      <c r="O789" s="27">
        <v>990</v>
      </c>
      <c r="P789" s="27">
        <v>990</v>
      </c>
      <c r="Q789" s="27">
        <v>27</v>
      </c>
      <c r="R789" s="27">
        <v>25</v>
      </c>
      <c r="S789" s="27" t="s">
        <v>2478</v>
      </c>
      <c r="T789" s="27"/>
      <c r="U789" s="27">
        <v>24932</v>
      </c>
      <c r="V789" s="27" t="s">
        <v>2117</v>
      </c>
      <c r="W789" s="27" t="s">
        <v>2118</v>
      </c>
      <c r="X789" s="73"/>
      <c r="Y789" s="73" t="e">
        <f>VLOOKUP(X789,Choferes!$B$2:$C$500,2,FALSE)</f>
        <v>#N/A</v>
      </c>
      <c r="Z789" s="73" t="s">
        <v>2465</v>
      </c>
    </row>
    <row r="790" spans="1:26" hidden="1" x14ac:dyDescent="0.25">
      <c r="A790" s="33">
        <v>45</v>
      </c>
      <c r="B790" s="71" t="s">
        <v>298</v>
      </c>
      <c r="C790" s="39" t="s">
        <v>299</v>
      </c>
      <c r="D790" s="50" t="s">
        <v>1757</v>
      </c>
      <c r="E790" s="47">
        <v>45597</v>
      </c>
      <c r="F790" s="31" t="str">
        <f>VLOOKUP($C790,Carpetas!$C$5:$M$2666,2,FALSE)</f>
        <v>BRB</v>
      </c>
      <c r="G790" s="23" t="e">
        <f>VLOOKUP($C790,Carpetas!$C$5:$M$2666,9,FALSE)</f>
        <v>#REF!</v>
      </c>
      <c r="H790" s="27" t="str">
        <f>VLOOKUP($C790,Carpetas!$C$5:$M$2666,5,FALSE)</f>
        <v>xx</v>
      </c>
      <c r="I790" s="220"/>
      <c r="J790" s="47">
        <v>45600</v>
      </c>
      <c r="K790" s="72">
        <f>VLOOKUP($C790,Carpetas!$C$5:$M$2666,4,FALSE)</f>
        <v>0</v>
      </c>
      <c r="L790" s="32"/>
      <c r="M790" s="48">
        <f t="shared" si="51"/>
        <v>45601</v>
      </c>
      <c r="N790" s="26">
        <f t="shared" si="50"/>
        <v>4</v>
      </c>
      <c r="O790" s="27">
        <v>990</v>
      </c>
      <c r="P790" s="27"/>
      <c r="Q790" s="27"/>
      <c r="R790" s="27"/>
      <c r="S790" s="27"/>
      <c r="T790" s="27"/>
      <c r="U790" s="27"/>
      <c r="V790" s="27"/>
      <c r="W790" s="27"/>
      <c r="X790" s="73"/>
      <c r="Y790" s="73" t="e">
        <f>VLOOKUP(X790,Choferes!$B$2:$C$500,2,FALSE)</f>
        <v>#N/A</v>
      </c>
      <c r="Z790" s="73"/>
    </row>
    <row r="791" spans="1:26" hidden="1" x14ac:dyDescent="0.25">
      <c r="A791" s="33">
        <v>44</v>
      </c>
      <c r="B791" s="71" t="s">
        <v>29</v>
      </c>
      <c r="C791" s="39" t="s">
        <v>2479</v>
      </c>
      <c r="D791" s="106" t="s">
        <v>2480</v>
      </c>
      <c r="E791" s="47">
        <v>45594</v>
      </c>
      <c r="F791" s="31" t="str">
        <f>VLOOKUP($C791,Carpetas!$C$5:$M$2666,2,FALSE)</f>
        <v>BRE045</v>
      </c>
      <c r="G791" s="23" t="str">
        <f>VLOOKUP($C791,Carpetas!$C$5:$M$2666,10,FALSE)</f>
        <v>1508039 1508589</v>
      </c>
      <c r="H791" s="27" t="str">
        <f>VLOOKUP($C791,Carpetas!$C$5:$M$2666,6,FALSE)</f>
        <v>Marvel</v>
      </c>
      <c r="I791" s="220"/>
      <c r="J791" s="47">
        <v>45600</v>
      </c>
      <c r="K791" s="72" t="str">
        <f>VLOOKUP($C791,Carpetas!$C$5:$M$2666,5,FALSE)</f>
        <v>Rio Branco</v>
      </c>
      <c r="L791" s="32"/>
      <c r="M791" s="48">
        <f>J791+1+1</f>
        <v>45602</v>
      </c>
      <c r="N791" s="26">
        <f t="shared" si="50"/>
        <v>8</v>
      </c>
      <c r="O791" s="27">
        <v>1344</v>
      </c>
      <c r="P791" s="27"/>
      <c r="Q791" s="27"/>
      <c r="R791" s="27"/>
      <c r="S791" s="27"/>
      <c r="T791" s="27"/>
      <c r="U791" s="27">
        <v>10278</v>
      </c>
      <c r="V791" s="27" t="s">
        <v>2481</v>
      </c>
      <c r="W791" s="27" t="s">
        <v>2482</v>
      </c>
      <c r="X791" s="73"/>
      <c r="Y791" s="73" t="e">
        <f>VLOOKUP(X791,Choferes!$B$2:$C$500,2,FALSE)</f>
        <v>#N/A</v>
      </c>
      <c r="Z791" s="73" t="s">
        <v>2483</v>
      </c>
    </row>
    <row r="792" spans="1:26" hidden="1" x14ac:dyDescent="0.25">
      <c r="A792" s="33">
        <v>44</v>
      </c>
      <c r="B792" s="71" t="s">
        <v>29</v>
      </c>
      <c r="C792" s="39" t="s">
        <v>2484</v>
      </c>
      <c r="D792" s="106" t="s">
        <v>2480</v>
      </c>
      <c r="E792" s="47">
        <v>45595</v>
      </c>
      <c r="F792" s="31" t="str">
        <f>VLOOKUP($C792,Carpetas!$C$5:$M$2666,2,FALSE)</f>
        <v>BRE046</v>
      </c>
      <c r="G792" s="23" t="str">
        <f>VLOOKUP($C792,Carpetas!$C$5:$M$2666,10,FALSE)</f>
        <v>1508779 1508853</v>
      </c>
      <c r="H792" s="27" t="str">
        <f>VLOOKUP($C792,Carpetas!$C$5:$M$2666,6,FALSE)</f>
        <v>Marvel</v>
      </c>
      <c r="I792" s="220"/>
      <c r="J792" s="47">
        <v>45600</v>
      </c>
      <c r="K792" s="72" t="str">
        <f>VLOOKUP($C792,Carpetas!$C$5:$M$2666,5,FALSE)</f>
        <v>Rio Branco</v>
      </c>
      <c r="L792" s="32"/>
      <c r="M792" s="48">
        <f>J792+1+1</f>
        <v>45602</v>
      </c>
      <c r="N792" s="26">
        <f t="shared" si="50"/>
        <v>7</v>
      </c>
      <c r="O792" s="27">
        <v>1110</v>
      </c>
      <c r="P792" s="27"/>
      <c r="Q792" s="27"/>
      <c r="R792" s="27"/>
      <c r="S792" s="27"/>
      <c r="T792" s="27"/>
      <c r="U792" s="27">
        <v>10279</v>
      </c>
      <c r="V792" s="27" t="s">
        <v>2485</v>
      </c>
      <c r="W792" s="27" t="s">
        <v>2486</v>
      </c>
      <c r="X792" s="73"/>
      <c r="Y792" s="73" t="e">
        <f>VLOOKUP(X792,Choferes!$B$2:$C$500,2,FALSE)</f>
        <v>#N/A</v>
      </c>
      <c r="Z792" s="73" t="s">
        <v>2487</v>
      </c>
    </row>
    <row r="793" spans="1:26" ht="30" hidden="1" x14ac:dyDescent="0.25">
      <c r="A793" s="33">
        <v>44</v>
      </c>
      <c r="B793" s="71" t="s">
        <v>29</v>
      </c>
      <c r="C793" s="39" t="s">
        <v>2276</v>
      </c>
      <c r="D793" s="50" t="s">
        <v>2474</v>
      </c>
      <c r="E793" s="47">
        <v>45597</v>
      </c>
      <c r="F793" s="31" t="str">
        <f>VLOOKUP($C793,Carpetas!$C$5:$M$2666,2,FALSE)</f>
        <v>BRB079</v>
      </c>
      <c r="G793" s="23">
        <f>VLOOKUP($C793,Carpetas!$C$5:$M$2666,10,FALSE)</f>
        <v>1505482</v>
      </c>
      <c r="H793" s="27" t="str">
        <f>VLOOKUP($C793,Carpetas!$C$5:$M$2666,6,FALSE)</f>
        <v>Amaro</v>
      </c>
      <c r="I793" s="220"/>
      <c r="J793" s="47">
        <v>45600</v>
      </c>
      <c r="K793" s="72" t="str">
        <f>VLOOKUP($C793,Carpetas!$C$5:$M$2666,5,FALSE)</f>
        <v>Rio Branco</v>
      </c>
      <c r="L793" s="32"/>
      <c r="M793" s="48">
        <f>J793+1+1</f>
        <v>45602</v>
      </c>
      <c r="N793" s="26">
        <f t="shared" si="50"/>
        <v>5</v>
      </c>
      <c r="O793" s="27">
        <v>990</v>
      </c>
      <c r="P793" s="27">
        <v>996</v>
      </c>
      <c r="Q793" s="27">
        <v>26</v>
      </c>
      <c r="R793" s="27">
        <v>25</v>
      </c>
      <c r="S793" s="27" t="s">
        <v>2488</v>
      </c>
      <c r="T793" s="27"/>
      <c r="U793" s="27">
        <v>24933</v>
      </c>
      <c r="V793" s="27" t="s">
        <v>2489</v>
      </c>
      <c r="W793" s="27" t="s">
        <v>2490</v>
      </c>
      <c r="X793" s="73"/>
      <c r="Y793" s="73" t="e">
        <f>VLOOKUP(X793,Choferes!$B$2:$C$500,2,FALSE)</f>
        <v>#N/A</v>
      </c>
      <c r="Z793" s="73" t="s">
        <v>2491</v>
      </c>
    </row>
    <row r="794" spans="1:26" hidden="1" x14ac:dyDescent="0.25">
      <c r="A794" s="33">
        <v>44</v>
      </c>
      <c r="B794" s="71" t="s">
        <v>29</v>
      </c>
      <c r="C794" s="39" t="s">
        <v>2492</v>
      </c>
      <c r="D794" s="50" t="s">
        <v>38</v>
      </c>
      <c r="E794" s="47">
        <v>45597</v>
      </c>
      <c r="F794" s="31" t="str">
        <f>VLOOKUP($C794,Carpetas!$C$5:$M$2666,2,FALSE)</f>
        <v>BRE047</v>
      </c>
      <c r="G794" s="23" t="str">
        <f>VLOOKUP($C794,Carpetas!$C$5:$M$2666,10,FALSE)</f>
        <v>8852 9017 9016 8589</v>
      </c>
      <c r="H794" s="27" t="str">
        <f>VLOOKUP($C794,Carpetas!$C$5:$M$2666,6,FALSE)</f>
        <v>Zanini</v>
      </c>
      <c r="I794" s="220">
        <f>VLOOKUP($C794,Carpetas!$C$5:$M$2666,4,FALSE)</f>
        <v>0</v>
      </c>
      <c r="J794" s="47">
        <v>45600</v>
      </c>
      <c r="K794" s="72" t="str">
        <f>VLOOKUP($C794,Carpetas!$C$5:$M$2666,5,FALSE)</f>
        <v>Rio Branco</v>
      </c>
      <c r="L794" s="32"/>
      <c r="M794" s="48">
        <f>J794+1+1</f>
        <v>45602</v>
      </c>
      <c r="N794" s="26">
        <f t="shared" si="50"/>
        <v>5</v>
      </c>
      <c r="O794" s="27">
        <v>1360</v>
      </c>
      <c r="P794" s="27"/>
      <c r="Q794" s="27"/>
      <c r="R794" s="27"/>
      <c r="S794" s="27"/>
      <c r="T794" s="27"/>
      <c r="U794" s="27">
        <v>4843</v>
      </c>
      <c r="V794" s="27" t="s">
        <v>2493</v>
      </c>
      <c r="W794" s="27" t="s">
        <v>2494</v>
      </c>
      <c r="X794" s="73"/>
      <c r="Y794" s="73" t="e">
        <f>VLOOKUP(X794,Choferes!$B$2:$C$500,2,FALSE)</f>
        <v>#N/A</v>
      </c>
      <c r="Z794" s="73" t="s">
        <v>2495</v>
      </c>
    </row>
    <row r="795" spans="1:26" ht="30" hidden="1" x14ac:dyDescent="0.25">
      <c r="A795" s="33">
        <v>44</v>
      </c>
      <c r="B795" s="71" t="s">
        <v>29</v>
      </c>
      <c r="C795" s="39" t="s">
        <v>2457</v>
      </c>
      <c r="D795" s="50" t="s">
        <v>2202</v>
      </c>
      <c r="E795" s="47">
        <v>45596</v>
      </c>
      <c r="F795" s="31" t="str">
        <f>VLOOKUP($C795,Carpetas!$C$5:$M$2666,2,FALSE)</f>
        <v>BRB087</v>
      </c>
      <c r="G795" s="23" t="str">
        <f>VLOOKUP($C795,Carpetas!$C$5:$M$2666,10,FALSE)</f>
        <v>150,88,69</v>
      </c>
      <c r="H795" s="27" t="str">
        <f>VLOOKUP($C795,Carpetas!$C$5:$M$2666,6,FALSE)</f>
        <v xml:space="preserve">Silvio </v>
      </c>
      <c r="I795" s="220"/>
      <c r="J795" s="47">
        <v>45602</v>
      </c>
      <c r="K795" s="72" t="str">
        <f>VLOOKUP($C795,Carpetas!$C$5:$M$2666,5,FALSE)</f>
        <v>Rio Branco</v>
      </c>
      <c r="L795" s="32"/>
      <c r="M795" s="48">
        <f>J795+1</f>
        <v>45603</v>
      </c>
      <c r="N795" s="26">
        <f t="shared" si="50"/>
        <v>7</v>
      </c>
      <c r="O795" s="27">
        <v>918</v>
      </c>
      <c r="P795" s="27">
        <v>25</v>
      </c>
      <c r="Q795" s="27">
        <v>26</v>
      </c>
      <c r="R795" s="27"/>
      <c r="S795" s="27" t="s">
        <v>2496</v>
      </c>
      <c r="T795" s="27"/>
      <c r="U795" s="27">
        <v>7191</v>
      </c>
      <c r="V795" s="27" t="s">
        <v>2497</v>
      </c>
      <c r="W795" s="27" t="s">
        <v>2498</v>
      </c>
      <c r="X795" s="73"/>
      <c r="Y795" s="73" t="e">
        <f>VLOOKUP(X795,Choferes!$B$2:$C$500,2,FALSE)</f>
        <v>#N/A</v>
      </c>
      <c r="Z795" s="73" t="s">
        <v>2499</v>
      </c>
    </row>
    <row r="796" spans="1:26" hidden="1" x14ac:dyDescent="0.25">
      <c r="A796" s="33">
        <v>45</v>
      </c>
      <c r="B796" s="71" t="s">
        <v>29</v>
      </c>
      <c r="C796" s="39" t="s">
        <v>2274</v>
      </c>
      <c r="D796" s="50" t="s">
        <v>747</v>
      </c>
      <c r="E796" s="47">
        <v>45600</v>
      </c>
      <c r="F796" s="31" t="str">
        <f>VLOOKUP($C796,Carpetas!$C$5:$M$2666,2,FALSE)</f>
        <v>BRB080</v>
      </c>
      <c r="G796" s="23">
        <f>VLOOKUP($C796,Carpetas!$C$5:$M$2666,10,FALSE)</f>
        <v>1506902</v>
      </c>
      <c r="H796" s="27" t="str">
        <f>VLOOKUP($C796,Carpetas!$C$5:$M$2666,6,FALSE)</f>
        <v>FG</v>
      </c>
      <c r="I796" s="220"/>
      <c r="J796" s="47">
        <v>45602</v>
      </c>
      <c r="K796" s="72" t="str">
        <f>VLOOKUP($C796,Carpetas!$C$5:$M$2666,5,FALSE)</f>
        <v>Rio Branco</v>
      </c>
      <c r="L796" s="32"/>
      <c r="M796" s="48">
        <f>J796+1</f>
        <v>45603</v>
      </c>
      <c r="N796" s="26">
        <f t="shared" si="50"/>
        <v>3</v>
      </c>
      <c r="O796" s="27">
        <v>990</v>
      </c>
      <c r="P796" s="27">
        <v>991</v>
      </c>
      <c r="Q796" s="27">
        <v>28</v>
      </c>
      <c r="R796" s="27">
        <v>25</v>
      </c>
      <c r="S796" s="27" t="s">
        <v>2500</v>
      </c>
      <c r="T796" s="27"/>
      <c r="U796" s="27">
        <v>430</v>
      </c>
      <c r="V796" s="27" t="s">
        <v>1726</v>
      </c>
      <c r="W796" s="27" t="s">
        <v>1646</v>
      </c>
      <c r="X796" s="73"/>
      <c r="Y796" s="73" t="e">
        <f>VLOOKUP(X796,Choferes!$B$2:$C$500,2,FALSE)</f>
        <v>#N/A</v>
      </c>
      <c r="Z796" s="73" t="s">
        <v>2501</v>
      </c>
    </row>
    <row r="797" spans="1:26" hidden="1" x14ac:dyDescent="0.25">
      <c r="A797" s="33">
        <v>44</v>
      </c>
      <c r="B797" s="71" t="s">
        <v>29</v>
      </c>
      <c r="C797" s="39" t="s">
        <v>2427</v>
      </c>
      <c r="D797" s="50" t="s">
        <v>1757</v>
      </c>
      <c r="E797" s="47">
        <v>45595</v>
      </c>
      <c r="F797" s="31" t="str">
        <f>VLOOKUP($C797,Carpetas!$C$5:$M$2666,2,FALSE)</f>
        <v>BRB085</v>
      </c>
      <c r="G797" s="23">
        <f>VLOOKUP($C797,Carpetas!$C$5:$M$2666,10,FALSE)</f>
        <v>1508258</v>
      </c>
      <c r="H797" s="27" t="str">
        <f>VLOOKUP($C797,Carpetas!$C$5:$M$2666,6,FALSE)</f>
        <v>Marvel</v>
      </c>
      <c r="I797" s="220"/>
      <c r="J797" s="47">
        <v>45603</v>
      </c>
      <c r="K797" s="72" t="str">
        <f>VLOOKUP($C797,Carpetas!$C$5:$M$2666,5,FALSE)</f>
        <v>Rio Branco</v>
      </c>
      <c r="L797" s="32"/>
      <c r="M797" s="48">
        <f>J797+1</f>
        <v>45604</v>
      </c>
      <c r="N797" s="26">
        <f t="shared" si="50"/>
        <v>9</v>
      </c>
      <c r="O797" s="27">
        <v>936</v>
      </c>
      <c r="P797" s="27">
        <v>936</v>
      </c>
      <c r="Q797" s="27">
        <v>26</v>
      </c>
      <c r="R797" s="27">
        <v>25</v>
      </c>
      <c r="S797" s="27" t="s">
        <v>2502</v>
      </c>
      <c r="T797" s="27"/>
      <c r="U797" s="27">
        <v>10266</v>
      </c>
      <c r="V797" s="27" t="s">
        <v>2503</v>
      </c>
      <c r="W797" s="27" t="s">
        <v>2504</v>
      </c>
      <c r="X797" s="73"/>
      <c r="Y797" s="73" t="e">
        <f>VLOOKUP(X797,Choferes!$B$2:$C$500,2,FALSE)</f>
        <v>#N/A</v>
      </c>
      <c r="Z797" s="73" t="s">
        <v>2505</v>
      </c>
    </row>
    <row r="798" spans="1:26" hidden="1" x14ac:dyDescent="0.25">
      <c r="A798" s="33">
        <v>45</v>
      </c>
      <c r="B798" s="71" t="s">
        <v>29</v>
      </c>
      <c r="C798" s="39" t="s">
        <v>2506</v>
      </c>
      <c r="D798" s="50" t="s">
        <v>38</v>
      </c>
      <c r="E798" s="47">
        <v>45601</v>
      </c>
      <c r="F798" s="31" t="str">
        <f>VLOOKUP($C798,Carpetas!$C$5:$M$2666,2,FALSE)</f>
        <v>BRE048</v>
      </c>
      <c r="G798" s="23" t="str">
        <f>VLOOKUP($C798,Carpetas!$C$5:$M$2666,10,FALSE)</f>
        <v>150,94,92</v>
      </c>
      <c r="H798" s="27" t="str">
        <f>VLOOKUP($C798,Carpetas!$C$5:$M$2666,6,FALSE)</f>
        <v>Dallog</v>
      </c>
      <c r="I798" s="220">
        <f>VLOOKUP($C798,Carpetas!$C$5:$M$2666,4,FALSE)</f>
        <v>0</v>
      </c>
      <c r="J798" s="47">
        <v>45603</v>
      </c>
      <c r="K798" s="72" t="str">
        <f>VLOOKUP($C798,Carpetas!$C$5:$M$2666,5,FALSE)</f>
        <v>Rio Branco</v>
      </c>
      <c r="L798" s="32"/>
      <c r="M798" s="48">
        <v>45604</v>
      </c>
      <c r="N798" s="26">
        <f t="shared" si="50"/>
        <v>3</v>
      </c>
      <c r="O798" s="27">
        <v>1350</v>
      </c>
      <c r="P798" s="27">
        <v>1354</v>
      </c>
      <c r="Q798" s="27"/>
      <c r="R798" s="27"/>
      <c r="S798" s="27"/>
      <c r="T798" s="27"/>
      <c r="U798" s="27">
        <v>518</v>
      </c>
      <c r="V798" s="27" t="s">
        <v>2507</v>
      </c>
      <c r="W798" s="27" t="s">
        <v>2508</v>
      </c>
      <c r="X798" s="73"/>
      <c r="Y798" s="73" t="e">
        <f>VLOOKUP(X798,Choferes!$B$2:$C$500,2,FALSE)</f>
        <v>#N/A</v>
      </c>
      <c r="Z798" s="73" t="s">
        <v>2316</v>
      </c>
    </row>
    <row r="799" spans="1:26" ht="30" hidden="1" x14ac:dyDescent="0.25">
      <c r="A799" s="33">
        <v>45</v>
      </c>
      <c r="B799" s="71" t="s">
        <v>29</v>
      </c>
      <c r="C799" s="39" t="s">
        <v>2509</v>
      </c>
      <c r="D799" s="50" t="s">
        <v>2202</v>
      </c>
      <c r="E799" s="47">
        <v>45602</v>
      </c>
      <c r="F799" s="31" t="str">
        <f>VLOOKUP($C799,Carpetas!$C$5:$M$2666,2,FALSE)</f>
        <v>BRB090</v>
      </c>
      <c r="G799" s="23" t="str">
        <f>VLOOKUP($C799,Carpetas!$C$5:$M$2666,10,FALSE)</f>
        <v>150,94,41</v>
      </c>
      <c r="H799" s="27" t="str">
        <f>VLOOKUP($C799,Carpetas!$C$5:$M$2666,6,FALSE)</f>
        <v xml:space="preserve">Silvio </v>
      </c>
      <c r="I799" s="220"/>
      <c r="J799" s="47">
        <v>45603</v>
      </c>
      <c r="K799" s="72" t="str">
        <f>VLOOKUP($C799,Carpetas!$C$5:$M$2666,5,FALSE)</f>
        <v>Rio Branco</v>
      </c>
      <c r="L799" s="32"/>
      <c r="M799" s="48">
        <f t="shared" ref="M799:M829" si="52">J799+1</f>
        <v>45604</v>
      </c>
      <c r="N799" s="26">
        <f t="shared" si="50"/>
        <v>2</v>
      </c>
      <c r="O799" s="27">
        <v>918</v>
      </c>
      <c r="P799" s="27">
        <v>919</v>
      </c>
      <c r="Q799" s="27">
        <v>26</v>
      </c>
      <c r="R799" s="27">
        <v>25</v>
      </c>
      <c r="S799" s="27" t="s">
        <v>2510</v>
      </c>
      <c r="T799" s="27"/>
      <c r="U799" s="27">
        <v>7194</v>
      </c>
      <c r="V799" s="27" t="s">
        <v>2511</v>
      </c>
      <c r="W799" s="27" t="s">
        <v>2512</v>
      </c>
      <c r="X799" s="73"/>
      <c r="Y799" s="73" t="e">
        <f>VLOOKUP(X799,Choferes!$B$2:$C$500,2,FALSE)</f>
        <v>#N/A</v>
      </c>
      <c r="Z799" s="73" t="s">
        <v>2513</v>
      </c>
    </row>
    <row r="800" spans="1:26" hidden="1" x14ac:dyDescent="0.25">
      <c r="A800" s="33">
        <v>45</v>
      </c>
      <c r="B800" s="71" t="s">
        <v>29</v>
      </c>
      <c r="C800" s="39" t="s">
        <v>2466</v>
      </c>
      <c r="D800" s="50" t="s">
        <v>110</v>
      </c>
      <c r="E800" s="47">
        <v>45601</v>
      </c>
      <c r="F800" s="31" t="str">
        <f>VLOOKUP($C800,Carpetas!$C$5:$M$2666,2,FALSE)</f>
        <v>BRB088</v>
      </c>
      <c r="G800" s="23" t="str">
        <f>VLOOKUP($C800,Carpetas!$C$5:$M$2666,10,FALSE)</f>
        <v>150,90,92</v>
      </c>
      <c r="H800" s="27" t="str">
        <f>VLOOKUP($C800,Carpetas!$C$5:$M$2666,6,FALSE)</f>
        <v>Zanini</v>
      </c>
      <c r="I800" s="220"/>
      <c r="J800" s="47">
        <v>45604</v>
      </c>
      <c r="K800" s="72" t="str">
        <f>VLOOKUP($C800,Carpetas!$C$5:$M$2666,5,FALSE)</f>
        <v>Rio Branco</v>
      </c>
      <c r="L800" s="32"/>
      <c r="M800" s="48">
        <f t="shared" si="52"/>
        <v>45605</v>
      </c>
      <c r="N800" s="26">
        <f t="shared" si="50"/>
        <v>4</v>
      </c>
      <c r="O800" s="27">
        <v>918</v>
      </c>
      <c r="P800" s="27">
        <v>919</v>
      </c>
      <c r="Q800" s="27">
        <v>26</v>
      </c>
      <c r="R800" s="27">
        <v>25.5</v>
      </c>
      <c r="S800" s="27" t="s">
        <v>2514</v>
      </c>
      <c r="T800" s="27"/>
      <c r="U800" s="27">
        <v>4850</v>
      </c>
      <c r="V800" s="27" t="s">
        <v>2515</v>
      </c>
      <c r="W800" s="27" t="s">
        <v>2516</v>
      </c>
      <c r="X800" s="73"/>
      <c r="Y800" s="73" t="e">
        <f>VLOOKUP(X800,Choferes!$B$2:$C$500,2,FALSE)</f>
        <v>#N/A</v>
      </c>
      <c r="Z800" s="73" t="s">
        <v>2517</v>
      </c>
    </row>
    <row r="801" spans="1:26" hidden="1" x14ac:dyDescent="0.25">
      <c r="A801" s="33">
        <v>45</v>
      </c>
      <c r="B801" s="71" t="s">
        <v>29</v>
      </c>
      <c r="C801" s="39" t="s">
        <v>2518</v>
      </c>
      <c r="D801" s="50" t="s">
        <v>803</v>
      </c>
      <c r="E801" s="47">
        <v>45602</v>
      </c>
      <c r="F801" s="31" t="str">
        <f>VLOOKUP($C801,Carpetas!$C$5:$M$2666,2,FALSE)</f>
        <v>BRB089</v>
      </c>
      <c r="G801" s="23" t="str">
        <f>VLOOKUP($C801,Carpetas!$C$5:$M$2666,10,FALSE)</f>
        <v>150,94,46</v>
      </c>
      <c r="H801" s="27" t="str">
        <f>VLOOKUP($C801,Carpetas!$C$5:$M$2666,6,FALSE)</f>
        <v>FG</v>
      </c>
      <c r="I801" s="220"/>
      <c r="J801" s="47">
        <v>45604</v>
      </c>
      <c r="K801" s="72" t="str">
        <f>VLOOKUP($C801,Carpetas!$C$5:$M$2666,5,FALSE)</f>
        <v>Rio Branco</v>
      </c>
      <c r="L801" s="32"/>
      <c r="M801" s="48">
        <f t="shared" si="52"/>
        <v>45605</v>
      </c>
      <c r="N801" s="26">
        <f t="shared" si="50"/>
        <v>3</v>
      </c>
      <c r="O801" s="27">
        <v>990</v>
      </c>
      <c r="P801" s="27">
        <v>990</v>
      </c>
      <c r="Q801" s="27">
        <v>28</v>
      </c>
      <c r="R801" s="27">
        <v>25.6</v>
      </c>
      <c r="S801" s="27" t="s">
        <v>2519</v>
      </c>
      <c r="T801" s="27"/>
      <c r="U801" s="27">
        <v>424</v>
      </c>
      <c r="V801" s="27" t="s">
        <v>1735</v>
      </c>
      <c r="W801" s="27" t="s">
        <v>912</v>
      </c>
      <c r="X801" s="73"/>
      <c r="Y801" s="73" t="e">
        <f>VLOOKUP(X801,Choferes!$B$2:$C$500,2,FALSE)</f>
        <v>#N/A</v>
      </c>
      <c r="Z801" s="73" t="s">
        <v>2520</v>
      </c>
    </row>
    <row r="802" spans="1:26" hidden="1" x14ac:dyDescent="0.25">
      <c r="A802" s="33">
        <v>45</v>
      </c>
      <c r="B802" s="71" t="s">
        <v>29</v>
      </c>
      <c r="C802" s="39" t="s">
        <v>2518</v>
      </c>
      <c r="D802" s="50" t="s">
        <v>953</v>
      </c>
      <c r="E802" s="47">
        <v>45602</v>
      </c>
      <c r="F802" s="31" t="str">
        <f>VLOOKUP($C802,Carpetas!$C$5:$M$2666,2,FALSE)</f>
        <v>BRB089</v>
      </c>
      <c r="G802" s="23" t="str">
        <f>VLOOKUP($C802,Carpetas!$C$5:$M$2666,10,FALSE)</f>
        <v>150,94,46</v>
      </c>
      <c r="H802" s="27" t="str">
        <f>VLOOKUP($C802,Carpetas!$C$5:$M$2666,6,FALSE)</f>
        <v>FG</v>
      </c>
      <c r="I802" s="220"/>
      <c r="J802" s="47">
        <v>45604</v>
      </c>
      <c r="K802" s="72" t="str">
        <f>VLOOKUP($C802,Carpetas!$C$5:$M$2666,5,FALSE)</f>
        <v>Rio Branco</v>
      </c>
      <c r="L802" s="32"/>
      <c r="M802" s="48">
        <f t="shared" si="52"/>
        <v>45605</v>
      </c>
      <c r="N802" s="26">
        <f t="shared" si="50"/>
        <v>3</v>
      </c>
      <c r="O802" s="27">
        <v>990</v>
      </c>
      <c r="P802" s="27">
        <v>990</v>
      </c>
      <c r="Q802" s="27">
        <v>28</v>
      </c>
      <c r="R802" s="27">
        <v>25.5</v>
      </c>
      <c r="S802" s="27" t="s">
        <v>2521</v>
      </c>
      <c r="T802" s="27"/>
      <c r="U802" s="27">
        <v>433</v>
      </c>
      <c r="V802" s="27" t="s">
        <v>911</v>
      </c>
      <c r="W802" s="27" t="s">
        <v>1622</v>
      </c>
      <c r="X802" s="73"/>
      <c r="Y802" s="73" t="e">
        <f>VLOOKUP(X802,Choferes!$B$2:$C$500,2,FALSE)</f>
        <v>#N/A</v>
      </c>
      <c r="Z802" s="73" t="s">
        <v>2522</v>
      </c>
    </row>
    <row r="803" spans="1:26" hidden="1" x14ac:dyDescent="0.25">
      <c r="A803" s="33">
        <v>45</v>
      </c>
      <c r="B803" s="71" t="s">
        <v>29</v>
      </c>
      <c r="C803" s="39" t="s">
        <v>2457</v>
      </c>
      <c r="D803" s="50" t="s">
        <v>249</v>
      </c>
      <c r="E803" s="47">
        <v>45602</v>
      </c>
      <c r="F803" s="31" t="str">
        <f>VLOOKUP($C803,Carpetas!$C$5:$M$2666,2,FALSE)</f>
        <v>BRB087</v>
      </c>
      <c r="G803" s="23" t="str">
        <f>VLOOKUP($C803,Carpetas!$C$5:$M$2666,10,FALSE)</f>
        <v>150,88,69</v>
      </c>
      <c r="H803" s="27" t="str">
        <f>VLOOKUP($C803,Carpetas!$C$5:$M$2666,6,FALSE)</f>
        <v xml:space="preserve">Silvio </v>
      </c>
      <c r="I803" s="220"/>
      <c r="J803" s="47">
        <v>45604</v>
      </c>
      <c r="K803" s="72" t="str">
        <f>VLOOKUP($C803,Carpetas!$C$5:$M$2666,5,FALSE)</f>
        <v>Rio Branco</v>
      </c>
      <c r="L803" s="32"/>
      <c r="M803" s="48">
        <f t="shared" si="52"/>
        <v>45605</v>
      </c>
      <c r="N803" s="26">
        <f t="shared" si="50"/>
        <v>3</v>
      </c>
      <c r="O803" s="27">
        <v>918</v>
      </c>
      <c r="P803" s="27">
        <v>919</v>
      </c>
      <c r="Q803" s="27">
        <v>26</v>
      </c>
      <c r="R803" s="27">
        <v>26</v>
      </c>
      <c r="S803" s="27" t="s">
        <v>2523</v>
      </c>
      <c r="T803" s="27"/>
      <c r="U803" s="27">
        <v>7193</v>
      </c>
      <c r="V803" s="27" t="s">
        <v>2524</v>
      </c>
      <c r="W803" s="27" t="s">
        <v>2525</v>
      </c>
      <c r="X803" s="73"/>
      <c r="Y803" s="73" t="e">
        <f>VLOOKUP(X803,Choferes!$B$2:$C$500,2,FALSE)</f>
        <v>#N/A</v>
      </c>
      <c r="Z803" s="73" t="s">
        <v>2526</v>
      </c>
    </row>
    <row r="804" spans="1:26" ht="30" hidden="1" x14ac:dyDescent="0.25">
      <c r="A804" s="33">
        <v>45</v>
      </c>
      <c r="B804" s="71" t="s">
        <v>29</v>
      </c>
      <c r="C804" s="39" t="s">
        <v>2466</v>
      </c>
      <c r="D804" s="50" t="s">
        <v>2474</v>
      </c>
      <c r="E804" s="47">
        <v>45602</v>
      </c>
      <c r="F804" s="31" t="str">
        <f>VLOOKUP($C804,Carpetas!$C$5:$M$2666,2,FALSE)</f>
        <v>BRB088</v>
      </c>
      <c r="G804" s="23" t="str">
        <f>VLOOKUP($C804,Carpetas!$C$5:$M$2666,10,FALSE)</f>
        <v>150,90,92</v>
      </c>
      <c r="H804" s="27" t="str">
        <f>VLOOKUP($C804,Carpetas!$C$5:$M$2666,6,FALSE)</f>
        <v>Zanini</v>
      </c>
      <c r="I804" s="220"/>
      <c r="J804" s="47">
        <v>45607</v>
      </c>
      <c r="K804" s="72" t="str">
        <f>VLOOKUP($C804,Carpetas!$C$5:$M$2666,5,FALSE)</f>
        <v>Rio Branco</v>
      </c>
      <c r="L804" s="32"/>
      <c r="M804" s="48">
        <f t="shared" si="52"/>
        <v>45608</v>
      </c>
      <c r="N804" s="26">
        <f t="shared" si="50"/>
        <v>6</v>
      </c>
      <c r="O804" s="27">
        <v>918</v>
      </c>
      <c r="P804" s="27">
        <v>918</v>
      </c>
      <c r="Q804" s="27">
        <v>26</v>
      </c>
      <c r="R804" s="27">
        <v>25</v>
      </c>
      <c r="S804" s="27" t="s">
        <v>2527</v>
      </c>
      <c r="T804" s="27"/>
      <c r="U804" s="27">
        <v>4851</v>
      </c>
      <c r="V804" s="27" t="s">
        <v>112</v>
      </c>
      <c r="W804" s="27" t="s">
        <v>113</v>
      </c>
      <c r="X804" s="73"/>
      <c r="Y804" s="73" t="e">
        <f>VLOOKUP(X804,Choferes!$B$2:$C$500,2,FALSE)</f>
        <v>#N/A</v>
      </c>
      <c r="Z804" s="73" t="s">
        <v>2528</v>
      </c>
    </row>
    <row r="805" spans="1:26" ht="30" hidden="1" x14ac:dyDescent="0.25">
      <c r="A805" s="33">
        <v>45</v>
      </c>
      <c r="B805" s="71" t="s">
        <v>29</v>
      </c>
      <c r="C805" s="39" t="s">
        <v>2509</v>
      </c>
      <c r="D805" s="50" t="s">
        <v>249</v>
      </c>
      <c r="E805" s="47">
        <v>45604</v>
      </c>
      <c r="F805" s="31" t="str">
        <f>VLOOKUP($C805,Carpetas!$C$5:$M$2666,2,FALSE)</f>
        <v>BRB090</v>
      </c>
      <c r="G805" s="23" t="str">
        <f>VLOOKUP($C805,Carpetas!$C$5:$M$2666,10,FALSE)</f>
        <v>150,94,41</v>
      </c>
      <c r="H805" s="27" t="str">
        <f>VLOOKUP($C805,Carpetas!$C$5:$M$2666,6,FALSE)</f>
        <v xml:space="preserve">Silvio </v>
      </c>
      <c r="I805" s="220"/>
      <c r="J805" s="47">
        <f t="shared" ref="J805:J811" si="53">E805+3</f>
        <v>45607</v>
      </c>
      <c r="K805" s="72" t="str">
        <f>VLOOKUP($C805,Carpetas!$C$5:$M$2666,5,FALSE)</f>
        <v>Rio Branco</v>
      </c>
      <c r="L805" s="32"/>
      <c r="M805" s="48">
        <f t="shared" si="52"/>
        <v>45608</v>
      </c>
      <c r="N805" s="26">
        <f t="shared" si="50"/>
        <v>4</v>
      </c>
      <c r="O805" s="27">
        <v>918</v>
      </c>
      <c r="P805" s="27">
        <v>918</v>
      </c>
      <c r="Q805" s="27">
        <v>26</v>
      </c>
      <c r="R805" s="27">
        <v>25.5</v>
      </c>
      <c r="S805" s="27" t="s">
        <v>2529</v>
      </c>
      <c r="T805" s="27"/>
      <c r="U805" s="27">
        <v>7196</v>
      </c>
      <c r="V805" s="27" t="s">
        <v>2530</v>
      </c>
      <c r="W805" s="27" t="s">
        <v>2531</v>
      </c>
      <c r="X805" s="73"/>
      <c r="Y805" s="73" t="e">
        <f>VLOOKUP(X805,Choferes!$B$2:$C$500,2,FALSE)</f>
        <v>#N/A</v>
      </c>
      <c r="Z805" s="73" t="s">
        <v>2532</v>
      </c>
    </row>
    <row r="806" spans="1:26" hidden="1" x14ac:dyDescent="0.25">
      <c r="A806" s="33">
        <v>45</v>
      </c>
      <c r="B806" s="71" t="s">
        <v>29</v>
      </c>
      <c r="C806" s="39" t="s">
        <v>2509</v>
      </c>
      <c r="D806" s="50" t="s">
        <v>2202</v>
      </c>
      <c r="E806" s="47">
        <v>45604</v>
      </c>
      <c r="F806" s="31" t="str">
        <f>VLOOKUP($C806,Carpetas!$C$5:$M$2666,2,FALSE)</f>
        <v>BRB090</v>
      </c>
      <c r="G806" s="23" t="str">
        <f>VLOOKUP($C806,Carpetas!$C$5:$M$2666,10,FALSE)</f>
        <v>150,94,41</v>
      </c>
      <c r="H806" s="27" t="str">
        <f>VLOOKUP($C806,Carpetas!$C$5:$M$2666,6,FALSE)</f>
        <v xml:space="preserve">Silvio </v>
      </c>
      <c r="I806" s="220"/>
      <c r="J806" s="47">
        <f t="shared" si="53"/>
        <v>45607</v>
      </c>
      <c r="K806" s="72" t="str">
        <f>VLOOKUP($C806,Carpetas!$C$5:$M$2666,5,FALSE)</f>
        <v>Rio Branco</v>
      </c>
      <c r="L806" s="32"/>
      <c r="M806" s="48">
        <f t="shared" si="52"/>
        <v>45608</v>
      </c>
      <c r="N806" s="26">
        <f t="shared" si="50"/>
        <v>4</v>
      </c>
      <c r="O806" s="27">
        <v>918</v>
      </c>
      <c r="P806" s="27">
        <v>918</v>
      </c>
      <c r="Q806" s="27">
        <v>26</v>
      </c>
      <c r="R806" s="27">
        <v>25.5</v>
      </c>
      <c r="S806" s="27" t="s">
        <v>2533</v>
      </c>
      <c r="T806" s="27"/>
      <c r="U806" s="27">
        <v>7195</v>
      </c>
      <c r="V806" s="27" t="s">
        <v>2534</v>
      </c>
      <c r="W806" s="27" t="s">
        <v>2535</v>
      </c>
      <c r="X806" s="73"/>
      <c r="Y806" s="73" t="e">
        <f>VLOOKUP(X806,Choferes!$B$2:$C$500,2,FALSE)</f>
        <v>#N/A</v>
      </c>
      <c r="Z806" s="73" t="s">
        <v>2536</v>
      </c>
    </row>
    <row r="807" spans="1:26" hidden="1" x14ac:dyDescent="0.25">
      <c r="A807" s="33">
        <v>45</v>
      </c>
      <c r="B807" s="71" t="s">
        <v>29</v>
      </c>
      <c r="C807" s="39" t="s">
        <v>2518</v>
      </c>
      <c r="D807" s="50" t="s">
        <v>803</v>
      </c>
      <c r="E807" s="47">
        <v>45604</v>
      </c>
      <c r="F807" s="31" t="str">
        <f>VLOOKUP($C807,Carpetas!$C$5:$M$2666,2,FALSE)</f>
        <v>BRB089</v>
      </c>
      <c r="G807" s="23" t="str">
        <f>VLOOKUP($C807,Carpetas!$C$5:$M$2666,10,FALSE)</f>
        <v>150,94,46</v>
      </c>
      <c r="H807" s="27" t="str">
        <f>VLOOKUP($C807,Carpetas!$C$5:$M$2666,6,FALSE)</f>
        <v>FG</v>
      </c>
      <c r="I807" s="220"/>
      <c r="J807" s="47">
        <f t="shared" si="53"/>
        <v>45607</v>
      </c>
      <c r="K807" s="72" t="str">
        <f>VLOOKUP($C807,Carpetas!$C$5:$M$2666,5,FALSE)</f>
        <v>Rio Branco</v>
      </c>
      <c r="L807" s="32"/>
      <c r="M807" s="48">
        <f t="shared" si="52"/>
        <v>45608</v>
      </c>
      <c r="N807" s="26">
        <f t="shared" si="50"/>
        <v>4</v>
      </c>
      <c r="O807" s="27">
        <v>990</v>
      </c>
      <c r="P807" s="27">
        <v>991</v>
      </c>
      <c r="Q807" s="27">
        <v>28</v>
      </c>
      <c r="R807" s="27">
        <v>25</v>
      </c>
      <c r="S807" s="27" t="s">
        <v>2537</v>
      </c>
      <c r="T807" s="27"/>
      <c r="U807" s="27">
        <v>435</v>
      </c>
      <c r="V807" s="27" t="s">
        <v>1626</v>
      </c>
      <c r="W807" s="27" t="s">
        <v>1627</v>
      </c>
      <c r="X807" s="73"/>
      <c r="Y807" s="73" t="e">
        <f>VLOOKUP(X807,Choferes!$B$2:$C$500,2,FALSE)</f>
        <v>#N/A</v>
      </c>
      <c r="Z807" s="73" t="s">
        <v>2538</v>
      </c>
    </row>
    <row r="808" spans="1:26" hidden="1" x14ac:dyDescent="0.25">
      <c r="A808" s="33">
        <v>45</v>
      </c>
      <c r="B808" s="71" t="s">
        <v>29</v>
      </c>
      <c r="C808" s="39" t="s">
        <v>2539</v>
      </c>
      <c r="D808" s="50" t="s">
        <v>2474</v>
      </c>
      <c r="E808" s="47">
        <v>45604</v>
      </c>
      <c r="F808" s="31" t="str">
        <f>VLOOKUP($C808,Carpetas!$C$5:$M$2666,2,FALSE)</f>
        <v>BRB091</v>
      </c>
      <c r="G808" s="23" t="str">
        <f>VLOOKUP($C808,Carpetas!$C$5:$M$2666,10,FALSE)</f>
        <v>150,94,43</v>
      </c>
      <c r="H808" s="27" t="str">
        <f>VLOOKUP($C808,Carpetas!$C$5:$M$2666,6,FALSE)</f>
        <v>Zanini</v>
      </c>
      <c r="I808" s="220"/>
      <c r="J808" s="47">
        <f t="shared" si="53"/>
        <v>45607</v>
      </c>
      <c r="K808" s="72" t="str">
        <f>VLOOKUP($C808,Carpetas!$C$5:$M$2666,5,FALSE)</f>
        <v>Rio Branco</v>
      </c>
      <c r="L808" s="32"/>
      <c r="M808" s="48">
        <f t="shared" si="52"/>
        <v>45608</v>
      </c>
      <c r="N808" s="26">
        <f t="shared" si="50"/>
        <v>4</v>
      </c>
      <c r="O808" s="27">
        <v>918</v>
      </c>
      <c r="P808" s="27">
        <v>918</v>
      </c>
      <c r="Q808" s="27">
        <v>26</v>
      </c>
      <c r="R808" s="27">
        <v>27</v>
      </c>
      <c r="S808" s="27" t="s">
        <v>2540</v>
      </c>
      <c r="T808" s="27"/>
      <c r="U808" s="27">
        <v>4856</v>
      </c>
      <c r="V808" s="27" t="s">
        <v>2090</v>
      </c>
      <c r="W808" s="27" t="s">
        <v>2091</v>
      </c>
      <c r="X808" s="73"/>
      <c r="Y808" s="73" t="e">
        <f>VLOOKUP(X808,Choferes!$B$2:$C$500,2,FALSE)</f>
        <v>#N/A</v>
      </c>
      <c r="Z808" s="73" t="s">
        <v>2541</v>
      </c>
    </row>
    <row r="809" spans="1:26" hidden="1" x14ac:dyDescent="0.25">
      <c r="A809" s="33">
        <v>45</v>
      </c>
      <c r="B809" s="71" t="s">
        <v>29</v>
      </c>
      <c r="C809" s="39" t="s">
        <v>2539</v>
      </c>
      <c r="D809" s="50" t="s">
        <v>78</v>
      </c>
      <c r="E809" s="47">
        <v>45604</v>
      </c>
      <c r="F809" s="31" t="str">
        <f>VLOOKUP($C809,Carpetas!$C$5:$M$2666,2,FALSE)</f>
        <v>BRB091</v>
      </c>
      <c r="G809" s="23" t="str">
        <f>VLOOKUP($C809,Carpetas!$C$5:$M$2666,10,FALSE)</f>
        <v>150,94,43</v>
      </c>
      <c r="H809" s="27" t="str">
        <f>VLOOKUP($C809,Carpetas!$C$5:$M$2666,6,FALSE)</f>
        <v>Zanini</v>
      </c>
      <c r="I809" s="220"/>
      <c r="J809" s="47">
        <f t="shared" si="53"/>
        <v>45607</v>
      </c>
      <c r="K809" s="72" t="str">
        <f>VLOOKUP($C809,Carpetas!$C$5:$M$2666,5,FALSE)</f>
        <v>Rio Branco</v>
      </c>
      <c r="L809" s="32"/>
      <c r="M809" s="48">
        <f t="shared" si="52"/>
        <v>45608</v>
      </c>
      <c r="N809" s="26">
        <f t="shared" si="50"/>
        <v>4</v>
      </c>
      <c r="O809" s="27">
        <v>918</v>
      </c>
      <c r="P809" s="27">
        <v>919</v>
      </c>
      <c r="Q809" s="27">
        <v>26</v>
      </c>
      <c r="R809" s="27">
        <v>25</v>
      </c>
      <c r="S809" s="27" t="s">
        <v>2542</v>
      </c>
      <c r="T809" s="27"/>
      <c r="U809" s="27">
        <v>4857</v>
      </c>
      <c r="V809" s="27" t="s">
        <v>917</v>
      </c>
      <c r="W809" s="27" t="s">
        <v>918</v>
      </c>
      <c r="X809" s="73"/>
      <c r="Y809" s="73" t="e">
        <f>VLOOKUP(X809,Choferes!$B$2:$C$500,2,FALSE)</f>
        <v>#N/A</v>
      </c>
      <c r="Z809" s="73" t="s">
        <v>2543</v>
      </c>
    </row>
    <row r="810" spans="1:26" ht="30" hidden="1" x14ac:dyDescent="0.25">
      <c r="A810" s="33">
        <v>45</v>
      </c>
      <c r="B810" s="71" t="s">
        <v>29</v>
      </c>
      <c r="C810" s="39" t="s">
        <v>2518</v>
      </c>
      <c r="D810" s="50" t="s">
        <v>953</v>
      </c>
      <c r="E810" s="47">
        <v>45604</v>
      </c>
      <c r="F810" s="31" t="str">
        <f>VLOOKUP($C810,Carpetas!$C$5:$M$2666,2,FALSE)</f>
        <v>BRB089</v>
      </c>
      <c r="G810" s="23" t="str">
        <f>VLOOKUP($C810,Carpetas!$C$5:$M$2666,10,FALSE)</f>
        <v>150,94,46</v>
      </c>
      <c r="H810" s="27" t="str">
        <f>VLOOKUP($C810,Carpetas!$C$5:$M$2666,6,FALSE)</f>
        <v>FG</v>
      </c>
      <c r="I810" s="220"/>
      <c r="J810" s="47">
        <f t="shared" si="53"/>
        <v>45607</v>
      </c>
      <c r="K810" s="72" t="str">
        <f>VLOOKUP($C810,Carpetas!$C$5:$M$2666,5,FALSE)</f>
        <v>Rio Branco</v>
      </c>
      <c r="L810" s="32"/>
      <c r="M810" s="48">
        <f t="shared" si="52"/>
        <v>45608</v>
      </c>
      <c r="N810" s="26">
        <f t="shared" si="50"/>
        <v>4</v>
      </c>
      <c r="O810" s="27">
        <v>990</v>
      </c>
      <c r="P810" s="27">
        <v>990</v>
      </c>
      <c r="Q810" s="27">
        <v>28</v>
      </c>
      <c r="R810" s="27">
        <v>25.5</v>
      </c>
      <c r="S810" s="27" t="s">
        <v>2544</v>
      </c>
      <c r="T810" s="27"/>
      <c r="U810" s="27">
        <v>440</v>
      </c>
      <c r="V810" s="27" t="s">
        <v>1722</v>
      </c>
      <c r="W810" s="27" t="s">
        <v>1723</v>
      </c>
      <c r="X810" s="73"/>
      <c r="Y810" s="73" t="e">
        <f>VLOOKUP(X810,Choferes!$B$2:$C$500,2,FALSE)</f>
        <v>#N/A</v>
      </c>
      <c r="Z810" s="73" t="s">
        <v>2545</v>
      </c>
    </row>
    <row r="811" spans="1:26" ht="30" hidden="1" x14ac:dyDescent="0.25">
      <c r="A811" s="33">
        <v>45</v>
      </c>
      <c r="B811" s="71" t="s">
        <v>29</v>
      </c>
      <c r="C811" s="39" t="s">
        <v>2546</v>
      </c>
      <c r="D811" s="50" t="s">
        <v>747</v>
      </c>
      <c r="E811" s="47">
        <v>45604</v>
      </c>
      <c r="F811" s="31" t="str">
        <f>VLOOKUP($C811,Carpetas!$C$5:$M$2666,2,FALSE)</f>
        <v>BRB092</v>
      </c>
      <c r="G811" s="23" t="str">
        <f>VLOOKUP($C811,Carpetas!$C$5:$M$2666,10,FALSE)</f>
        <v>150,94,44</v>
      </c>
      <c r="H811" s="27" t="str">
        <f>VLOOKUP($C811,Carpetas!$C$5:$M$2666,6,FALSE)</f>
        <v>Amaro</v>
      </c>
      <c r="I811" s="220"/>
      <c r="J811" s="47">
        <f t="shared" si="53"/>
        <v>45607</v>
      </c>
      <c r="K811" s="72" t="str">
        <f>VLOOKUP($C811,Carpetas!$C$5:$M$2666,5,FALSE)</f>
        <v>Rio Branco</v>
      </c>
      <c r="L811" s="32"/>
      <c r="M811" s="48">
        <f t="shared" si="52"/>
        <v>45608</v>
      </c>
      <c r="N811" s="26">
        <f t="shared" si="50"/>
        <v>4</v>
      </c>
      <c r="O811" s="27">
        <v>990</v>
      </c>
      <c r="P811" s="27">
        <v>991</v>
      </c>
      <c r="Q811" s="27">
        <v>28</v>
      </c>
      <c r="R811" s="27">
        <v>25</v>
      </c>
      <c r="S811" s="27" t="s">
        <v>2547</v>
      </c>
      <c r="T811" s="27"/>
      <c r="U811" s="27">
        <v>4987</v>
      </c>
      <c r="V811" s="27" t="s">
        <v>1944</v>
      </c>
      <c r="W811" s="27" t="s">
        <v>1992</v>
      </c>
      <c r="X811" s="73"/>
      <c r="Y811" s="73" t="e">
        <f>VLOOKUP(X811,Choferes!$B$2:$C$500,2,FALSE)</f>
        <v>#N/A</v>
      </c>
      <c r="Z811" s="73" t="s">
        <v>2548</v>
      </c>
    </row>
    <row r="812" spans="1:26" hidden="1" x14ac:dyDescent="0.25">
      <c r="A812" s="33">
        <v>45</v>
      </c>
      <c r="B812" s="71" t="s">
        <v>29</v>
      </c>
      <c r="C812" s="39" t="s">
        <v>2546</v>
      </c>
      <c r="D812" s="50" t="s">
        <v>953</v>
      </c>
      <c r="E812" s="47">
        <v>45605</v>
      </c>
      <c r="F812" s="31" t="str">
        <f>VLOOKUP($C812,Carpetas!$C$5:$M$2666,2,FALSE)</f>
        <v>BRB092</v>
      </c>
      <c r="G812" s="23" t="str">
        <f>VLOOKUP($C812,Carpetas!$C$5:$M$2666,10,FALSE)</f>
        <v>150,94,44</v>
      </c>
      <c r="H812" s="27" t="str">
        <f>VLOOKUP($C812,Carpetas!$C$5:$M$2666,6,FALSE)</f>
        <v>Amaro</v>
      </c>
      <c r="I812" s="220"/>
      <c r="J812" s="47">
        <v>45607</v>
      </c>
      <c r="K812" s="72" t="str">
        <f>VLOOKUP($C812,Carpetas!$C$5:$M$2666,5,FALSE)</f>
        <v>Rio Branco</v>
      </c>
      <c r="L812" s="32"/>
      <c r="M812" s="48">
        <f t="shared" si="52"/>
        <v>45608</v>
      </c>
      <c r="N812" s="26">
        <f t="shared" si="50"/>
        <v>3</v>
      </c>
      <c r="O812" s="27">
        <v>990</v>
      </c>
      <c r="P812" s="27">
        <v>991</v>
      </c>
      <c r="Q812" s="27">
        <v>28</v>
      </c>
      <c r="R812" s="27">
        <v>27</v>
      </c>
      <c r="S812" s="27" t="s">
        <v>2549</v>
      </c>
      <c r="T812" s="27"/>
      <c r="U812" s="27">
        <v>4988</v>
      </c>
      <c r="V812" s="27" t="s">
        <v>2550</v>
      </c>
      <c r="W812" s="27" t="s">
        <v>2551</v>
      </c>
      <c r="X812" s="73"/>
      <c r="Y812" s="73" t="e">
        <f>VLOOKUP(X812,Choferes!$B$2:$C$500,2,FALSE)</f>
        <v>#N/A</v>
      </c>
      <c r="Z812" s="73" t="s">
        <v>2552</v>
      </c>
    </row>
    <row r="813" spans="1:26" hidden="1" x14ac:dyDescent="0.25">
      <c r="A813" s="33">
        <v>45</v>
      </c>
      <c r="B813" s="71" t="s">
        <v>29</v>
      </c>
      <c r="C813" s="39" t="s">
        <v>2518</v>
      </c>
      <c r="D813" s="50" t="s">
        <v>747</v>
      </c>
      <c r="E813" s="47">
        <v>45605</v>
      </c>
      <c r="F813" s="31" t="str">
        <f>VLOOKUP($C813,Carpetas!$C$5:$M$2666,2,FALSE)</f>
        <v>BRB089</v>
      </c>
      <c r="G813" s="23" t="str">
        <f>VLOOKUP($C813,Carpetas!$C$5:$M$2666,10,FALSE)</f>
        <v>150,94,46</v>
      </c>
      <c r="H813" s="27" t="str">
        <f>VLOOKUP($C813,Carpetas!$C$5:$M$2666,6,FALSE)</f>
        <v>FG</v>
      </c>
      <c r="I813" s="220"/>
      <c r="J813" s="47">
        <v>45607</v>
      </c>
      <c r="K813" s="72" t="str">
        <f>VLOOKUP($C813,Carpetas!$C$5:$M$2666,5,FALSE)</f>
        <v>Rio Branco</v>
      </c>
      <c r="L813" s="32"/>
      <c r="M813" s="48">
        <f t="shared" si="52"/>
        <v>45608</v>
      </c>
      <c r="N813" s="26">
        <f t="shared" si="50"/>
        <v>3</v>
      </c>
      <c r="O813" s="27">
        <v>990</v>
      </c>
      <c r="P813" s="27">
        <v>991</v>
      </c>
      <c r="Q813" s="27">
        <v>28</v>
      </c>
      <c r="R813" s="27">
        <v>25.5</v>
      </c>
      <c r="S813" s="27" t="s">
        <v>2553</v>
      </c>
      <c r="T813" s="27"/>
      <c r="U813" s="27">
        <v>439</v>
      </c>
      <c r="V813" s="27" t="s">
        <v>1630</v>
      </c>
      <c r="W813" s="27" t="s">
        <v>1934</v>
      </c>
      <c r="X813" s="73"/>
      <c r="Y813" s="73" t="e">
        <f>VLOOKUP(X813,Choferes!$B$2:$C$500,2,FALSE)</f>
        <v>#N/A</v>
      </c>
      <c r="Z813" s="73" t="s">
        <v>2552</v>
      </c>
    </row>
    <row r="814" spans="1:26" ht="30" hidden="1" x14ac:dyDescent="0.25">
      <c r="A814" s="33">
        <v>45</v>
      </c>
      <c r="B814" s="71" t="s">
        <v>29</v>
      </c>
      <c r="C814" s="39" t="s">
        <v>2518</v>
      </c>
      <c r="D814" s="50" t="s">
        <v>803</v>
      </c>
      <c r="E814" s="47">
        <v>45605</v>
      </c>
      <c r="F814" s="31" t="str">
        <f>VLOOKUP($C814,Carpetas!$C$5:$M$2666,2,FALSE)</f>
        <v>BRB089</v>
      </c>
      <c r="G814" s="23" t="str">
        <f>VLOOKUP($C814,Carpetas!$C$5:$M$2666,10,FALSE)</f>
        <v>150,94,46</v>
      </c>
      <c r="H814" s="27" t="str">
        <f>VLOOKUP($C814,Carpetas!$C$5:$M$2666,6,FALSE)</f>
        <v>FG</v>
      </c>
      <c r="I814" s="220"/>
      <c r="J814" s="47">
        <v>45607</v>
      </c>
      <c r="K814" s="72" t="str">
        <f>VLOOKUP($C814,Carpetas!$C$5:$M$2666,5,FALSE)</f>
        <v>Rio Branco</v>
      </c>
      <c r="L814" s="32"/>
      <c r="M814" s="48">
        <f t="shared" si="52"/>
        <v>45608</v>
      </c>
      <c r="N814" s="26">
        <f t="shared" si="50"/>
        <v>3</v>
      </c>
      <c r="O814" s="27">
        <v>990</v>
      </c>
      <c r="P814" s="27">
        <v>972</v>
      </c>
      <c r="Q814" s="27">
        <v>27</v>
      </c>
      <c r="R814" s="27">
        <v>25</v>
      </c>
      <c r="S814" s="27" t="s">
        <v>2554</v>
      </c>
      <c r="T814" s="27"/>
      <c r="U814" s="27">
        <v>436</v>
      </c>
      <c r="V814" s="27" t="s">
        <v>1657</v>
      </c>
      <c r="W814" s="27" t="s">
        <v>1815</v>
      </c>
      <c r="X814" s="73"/>
      <c r="Y814" s="73" t="e">
        <f>VLOOKUP(X814,Choferes!$B$2:$C$500,2,FALSE)</f>
        <v>#N/A</v>
      </c>
      <c r="Z814" s="73" t="s">
        <v>2555</v>
      </c>
    </row>
    <row r="815" spans="1:26" hidden="1" x14ac:dyDescent="0.25">
      <c r="A815" s="33">
        <v>45</v>
      </c>
      <c r="B815" s="71" t="s">
        <v>29</v>
      </c>
      <c r="C815" s="39" t="s">
        <v>2518</v>
      </c>
      <c r="D815" s="50" t="s">
        <v>803</v>
      </c>
      <c r="E815" s="47">
        <v>45605</v>
      </c>
      <c r="F815" s="31" t="str">
        <f>VLOOKUP($C815,Carpetas!$C$5:$M$2666,2,FALSE)</f>
        <v>BRB089</v>
      </c>
      <c r="G815" s="23" t="str">
        <f>VLOOKUP($C815,Carpetas!$C$5:$M$2666,10,FALSE)</f>
        <v>150,94,46</v>
      </c>
      <c r="H815" s="27" t="str">
        <f>VLOOKUP($C815,Carpetas!$C$5:$M$2666,6,FALSE)</f>
        <v>FG</v>
      </c>
      <c r="I815" s="220"/>
      <c r="J815" s="47">
        <v>45607</v>
      </c>
      <c r="K815" s="72" t="str">
        <f>VLOOKUP($C815,Carpetas!$C$5:$M$2666,5,FALSE)</f>
        <v>Rio Branco</v>
      </c>
      <c r="L815" s="32"/>
      <c r="M815" s="48">
        <f t="shared" si="52"/>
        <v>45608</v>
      </c>
      <c r="N815" s="26">
        <f t="shared" si="50"/>
        <v>3</v>
      </c>
      <c r="O815" s="27">
        <v>990</v>
      </c>
      <c r="P815" s="27">
        <v>990</v>
      </c>
      <c r="Q815" s="27">
        <v>28</v>
      </c>
      <c r="R815" s="27">
        <v>25.5</v>
      </c>
      <c r="S815" s="27" t="s">
        <v>2556</v>
      </c>
      <c r="T815" s="27"/>
      <c r="U815" s="27">
        <v>438</v>
      </c>
      <c r="V815" s="27" t="s">
        <v>1617</v>
      </c>
      <c r="W815" s="27" t="s">
        <v>1618</v>
      </c>
      <c r="X815" s="73"/>
      <c r="Y815" s="73" t="e">
        <f>VLOOKUP(X815,Choferes!$B$2:$C$500,2,FALSE)</f>
        <v>#N/A</v>
      </c>
      <c r="Z815" s="73" t="s">
        <v>2557</v>
      </c>
    </row>
    <row r="816" spans="1:26" hidden="1" x14ac:dyDescent="0.25">
      <c r="A816" s="33">
        <v>45</v>
      </c>
      <c r="B816" s="71" t="s">
        <v>298</v>
      </c>
      <c r="C816" s="39" t="s">
        <v>299</v>
      </c>
      <c r="D816" s="50" t="s">
        <v>38</v>
      </c>
      <c r="E816" s="47">
        <v>45604</v>
      </c>
      <c r="F816" s="31" t="str">
        <f>VLOOKUP($C816,Carpetas!$C$5:$M$2666,2,FALSE)</f>
        <v>BRB</v>
      </c>
      <c r="G816" s="23" t="str">
        <f>VLOOKUP($C816,Carpetas!$C$5:$M$2666,10,FALSE)</f>
        <v>xx</v>
      </c>
      <c r="H816" s="27" t="str">
        <f>VLOOKUP($C816,Carpetas!$C$5:$M$2666,5,FALSE)</f>
        <v>xx</v>
      </c>
      <c r="I816" s="220">
        <f>VLOOKUP($C816,Carpetas!$C$5:$M$2666,4,FALSE)</f>
        <v>0</v>
      </c>
      <c r="J816" s="47">
        <f>E816+3</f>
        <v>45607</v>
      </c>
      <c r="K816" s="72" t="str">
        <f>VLOOKUP($C816,Carpetas!$C$5:$M$2666,5,FALSE)</f>
        <v>xx</v>
      </c>
      <c r="L816" s="32"/>
      <c r="M816" s="48">
        <f t="shared" si="52"/>
        <v>45608</v>
      </c>
      <c r="N816" s="26">
        <f t="shared" si="50"/>
        <v>4</v>
      </c>
      <c r="O816" s="27"/>
      <c r="P816" s="27"/>
      <c r="Q816" s="27"/>
      <c r="R816" s="27"/>
      <c r="S816" s="27"/>
      <c r="T816" s="27"/>
      <c r="U816" s="27"/>
      <c r="V816" s="27"/>
      <c r="W816" s="27"/>
      <c r="X816" s="73"/>
      <c r="Y816" s="73" t="e">
        <f>VLOOKUP(X816,Choferes!$B$2:$C$500,2,FALSE)</f>
        <v>#N/A</v>
      </c>
      <c r="Z816" s="73" t="s">
        <v>2558</v>
      </c>
    </row>
    <row r="817" spans="1:26" hidden="1" x14ac:dyDescent="0.25">
      <c r="A817" s="33">
        <v>45</v>
      </c>
      <c r="B817" s="71" t="s">
        <v>298</v>
      </c>
      <c r="C817" s="39" t="s">
        <v>299</v>
      </c>
      <c r="D817" s="50" t="s">
        <v>880</v>
      </c>
      <c r="E817" s="47">
        <v>45604</v>
      </c>
      <c r="F817" s="31" t="str">
        <f>VLOOKUP($C817,Carpetas!$C$5:$M$2666,2,FALSE)</f>
        <v>BRB</v>
      </c>
      <c r="G817" s="23" t="e">
        <f>VLOOKUP($C817,Carpetas!$C$5:$M$2666,9,FALSE)</f>
        <v>#REF!</v>
      </c>
      <c r="H817" s="27" t="str">
        <f>VLOOKUP($C817,Carpetas!$C$5:$M$2666,5,FALSE)</f>
        <v>xx</v>
      </c>
      <c r="I817" s="220"/>
      <c r="J817" s="47">
        <f>E817+3</f>
        <v>45607</v>
      </c>
      <c r="K817" s="72">
        <f>VLOOKUP($C817,Carpetas!$C$5:$M$2666,4,FALSE)</f>
        <v>0</v>
      </c>
      <c r="L817" s="32"/>
      <c r="M817" s="48">
        <f t="shared" si="52"/>
        <v>45608</v>
      </c>
      <c r="N817" s="26">
        <f t="shared" si="50"/>
        <v>4</v>
      </c>
      <c r="O817" s="27">
        <v>918</v>
      </c>
      <c r="P817" s="27"/>
      <c r="Q817" s="27"/>
      <c r="R817" s="27"/>
      <c r="S817" s="27"/>
      <c r="T817" s="27"/>
      <c r="U817" s="27"/>
      <c r="V817" s="27"/>
      <c r="W817" s="27"/>
      <c r="X817" s="73"/>
      <c r="Y817" s="73" t="e">
        <f>VLOOKUP(X817,Choferes!$B$2:$C$500,2,FALSE)</f>
        <v>#N/A</v>
      </c>
      <c r="Z817" s="73"/>
    </row>
    <row r="818" spans="1:26" hidden="1" x14ac:dyDescent="0.25">
      <c r="A818" s="33">
        <v>45</v>
      </c>
      <c r="B818" s="71" t="s">
        <v>298</v>
      </c>
      <c r="C818" s="39" t="s">
        <v>299</v>
      </c>
      <c r="D818" s="50" t="s">
        <v>1757</v>
      </c>
      <c r="E818" s="47">
        <v>45604</v>
      </c>
      <c r="F818" s="31" t="str">
        <f>VLOOKUP($C818,Carpetas!$C$5:$M$2666,2,FALSE)</f>
        <v>BRB</v>
      </c>
      <c r="G818" s="23" t="e">
        <f>VLOOKUP($C818,Carpetas!$C$5:$M$2666,9,FALSE)</f>
        <v>#REF!</v>
      </c>
      <c r="H818" s="27" t="str">
        <f>VLOOKUP($C818,Carpetas!$C$5:$M$2666,5,FALSE)</f>
        <v>xx</v>
      </c>
      <c r="I818" s="220"/>
      <c r="J818" s="47">
        <f>E818+3</f>
        <v>45607</v>
      </c>
      <c r="K818" s="72">
        <f>VLOOKUP($C818,Carpetas!$C$5:$M$2666,4,FALSE)</f>
        <v>0</v>
      </c>
      <c r="L818" s="32"/>
      <c r="M818" s="48">
        <f t="shared" si="52"/>
        <v>45608</v>
      </c>
      <c r="N818" s="26">
        <f t="shared" si="50"/>
        <v>4</v>
      </c>
      <c r="O818" s="27">
        <v>990</v>
      </c>
      <c r="P818" s="27"/>
      <c r="Q818" s="27"/>
      <c r="R818" s="27"/>
      <c r="S818" s="27"/>
      <c r="T818" s="27"/>
      <c r="U818" s="27"/>
      <c r="V818" s="27"/>
      <c r="W818" s="27"/>
      <c r="X818" s="73"/>
      <c r="Y818" s="73" t="e">
        <f>VLOOKUP(X818,Choferes!$B$2:$C$500,2,FALSE)</f>
        <v>#N/A</v>
      </c>
      <c r="Z818" s="73"/>
    </row>
    <row r="819" spans="1:26" hidden="1" x14ac:dyDescent="0.25">
      <c r="A819" s="33">
        <v>44</v>
      </c>
      <c r="B819" s="71" t="s">
        <v>29</v>
      </c>
      <c r="C819" s="39" t="s">
        <v>2427</v>
      </c>
      <c r="D819" s="50" t="s">
        <v>1757</v>
      </c>
      <c r="E819" s="47">
        <v>45601</v>
      </c>
      <c r="F819" s="31" t="str">
        <f>VLOOKUP($C819,Carpetas!$C$5:$M$2666,2,FALSE)</f>
        <v>BRB085</v>
      </c>
      <c r="G819" s="23">
        <f>VLOOKUP($C819,Carpetas!$C$5:$M$2666,10,FALSE)</f>
        <v>1508258</v>
      </c>
      <c r="H819" s="27" t="str">
        <f>VLOOKUP($C819,Carpetas!$C$5:$M$2666,6,FALSE)</f>
        <v>Marvel</v>
      </c>
      <c r="I819" s="220"/>
      <c r="J819" s="47">
        <v>45608</v>
      </c>
      <c r="K819" s="72" t="str">
        <f>VLOOKUP($C819,Carpetas!$C$5:$M$2666,5,FALSE)</f>
        <v>Rio Branco</v>
      </c>
      <c r="L819" s="32"/>
      <c r="M819" s="48">
        <f t="shared" si="52"/>
        <v>45609</v>
      </c>
      <c r="N819" s="26">
        <f t="shared" si="50"/>
        <v>8</v>
      </c>
      <c r="O819" s="27">
        <v>936</v>
      </c>
      <c r="P819" s="27">
        <v>936</v>
      </c>
      <c r="Q819" s="27">
        <v>26</v>
      </c>
      <c r="R819" s="27">
        <v>25.5</v>
      </c>
      <c r="S819" s="27" t="s">
        <v>2559</v>
      </c>
      <c r="T819" s="27"/>
      <c r="U819" s="27">
        <v>10267</v>
      </c>
      <c r="V819" s="27" t="s">
        <v>2560</v>
      </c>
      <c r="W819" s="27" t="s">
        <v>2561</v>
      </c>
      <c r="X819" s="73"/>
      <c r="Y819" s="73" t="e">
        <f>VLOOKUP(X819,Choferes!$B$2:$C$500,2,FALSE)</f>
        <v>#N/A</v>
      </c>
      <c r="Z819" s="73" t="s">
        <v>2562</v>
      </c>
    </row>
    <row r="820" spans="1:26" ht="30" hidden="1" x14ac:dyDescent="0.25">
      <c r="A820" s="33">
        <v>45</v>
      </c>
      <c r="B820" s="71" t="s">
        <v>29</v>
      </c>
      <c r="C820" s="39" t="s">
        <v>2563</v>
      </c>
      <c r="D820" s="50" t="s">
        <v>1757</v>
      </c>
      <c r="E820" s="47">
        <v>45601</v>
      </c>
      <c r="F820" s="31" t="str">
        <f>VLOOKUP($C820,Carpetas!$C$5:$M$2666,2,FALSE)</f>
        <v>BRB093</v>
      </c>
      <c r="G820" s="23" t="str">
        <f>VLOOKUP($C820,Carpetas!$C$5:$M$2666,10,FALSE)</f>
        <v>150,94,98</v>
      </c>
      <c r="H820" s="27" t="str">
        <f>VLOOKUP($C820,Carpetas!$C$5:$M$2666,6,FALSE)</f>
        <v>Marvel</v>
      </c>
      <c r="I820" s="220"/>
      <c r="J820" s="47">
        <v>45608</v>
      </c>
      <c r="K820" s="72" t="str">
        <f>VLOOKUP($C820,Carpetas!$C$5:$M$2666,5,FALSE)</f>
        <v>Rio Branco</v>
      </c>
      <c r="L820" s="32"/>
      <c r="M820" s="48">
        <f t="shared" si="52"/>
        <v>45609</v>
      </c>
      <c r="N820" s="26">
        <f t="shared" si="50"/>
        <v>8</v>
      </c>
      <c r="O820" s="27">
        <v>936</v>
      </c>
      <c r="P820" s="27">
        <v>936</v>
      </c>
      <c r="Q820" s="27">
        <v>26</v>
      </c>
      <c r="R820" s="27">
        <v>25.5</v>
      </c>
      <c r="S820" s="27" t="s">
        <v>2564</v>
      </c>
      <c r="T820" s="27"/>
      <c r="U820" s="27">
        <v>10309</v>
      </c>
      <c r="V820" s="27" t="s">
        <v>2565</v>
      </c>
      <c r="W820" s="27" t="s">
        <v>2566</v>
      </c>
      <c r="X820" s="73"/>
      <c r="Y820" s="73" t="e">
        <f>VLOOKUP(X820,Choferes!$B$2:$C$500,2,FALSE)</f>
        <v>#N/A</v>
      </c>
      <c r="Z820" s="73" t="s">
        <v>2567</v>
      </c>
    </row>
    <row r="821" spans="1:26" hidden="1" x14ac:dyDescent="0.25">
      <c r="A821" s="33">
        <v>46</v>
      </c>
      <c r="B821" s="71" t="s">
        <v>29</v>
      </c>
      <c r="C821" s="39" t="s">
        <v>2568</v>
      </c>
      <c r="D821" s="50" t="s">
        <v>48</v>
      </c>
      <c r="E821" s="47">
        <v>45605</v>
      </c>
      <c r="F821" s="31" t="str">
        <f>VLOOKUP($C821,Carpetas!$C$5:$M$2666,2,FALSE)</f>
        <v>PYB150</v>
      </c>
      <c r="G821" s="23" t="str">
        <f>VLOOKUP($C821,Carpetas!$C$5:$M$2666,10,FALSE)</f>
        <v>150.97.13</v>
      </c>
      <c r="H821" s="27">
        <f>VLOOKUP($C821,Carpetas!$C$5:$M$2666,6,FALSE)</f>
        <v>0</v>
      </c>
      <c r="I821" s="220"/>
      <c r="J821" s="47">
        <f>E821+3</f>
        <v>45608</v>
      </c>
      <c r="K821" s="72" t="str">
        <f>VLOOKUP($C821,Carpetas!$C$5:$M$2666,5,FALSE)</f>
        <v>Salto</v>
      </c>
      <c r="L821" s="32"/>
      <c r="M821" s="48">
        <f t="shared" si="52"/>
        <v>45609</v>
      </c>
      <c r="N821" s="26">
        <f t="shared" si="50"/>
        <v>4</v>
      </c>
      <c r="O821" s="27">
        <v>930</v>
      </c>
      <c r="P821" s="27">
        <v>930</v>
      </c>
      <c r="Q821" s="27">
        <v>28</v>
      </c>
      <c r="R821" s="27">
        <v>26</v>
      </c>
      <c r="S821" s="27" t="s">
        <v>2569</v>
      </c>
      <c r="T821" s="27"/>
      <c r="U821" s="27"/>
      <c r="V821" s="27" t="s">
        <v>98</v>
      </c>
      <c r="W821" s="27"/>
      <c r="X821" s="73"/>
      <c r="Y821" s="73" t="e">
        <f>VLOOKUP(X821,Choferes!$B$2:$C$500,2,FALSE)</f>
        <v>#N/A</v>
      </c>
      <c r="Z821" s="73" t="s">
        <v>2570</v>
      </c>
    </row>
    <row r="822" spans="1:26" hidden="1" x14ac:dyDescent="0.25">
      <c r="A822" s="33">
        <v>46</v>
      </c>
      <c r="B822" s="71" t="s">
        <v>29</v>
      </c>
      <c r="C822" s="39" t="s">
        <v>2571</v>
      </c>
      <c r="D822" s="50" t="s">
        <v>102</v>
      </c>
      <c r="E822" s="47">
        <v>45606</v>
      </c>
      <c r="F822" s="31" t="str">
        <f>VLOOKUP($C822,Carpetas!$C$5:$M$2666,2,FALSE)</f>
        <v>PYB151</v>
      </c>
      <c r="G822" s="23" t="str">
        <f>VLOOKUP($C822,Carpetas!$C$5:$M$2666,10,FALSE)</f>
        <v>150.96.31</v>
      </c>
      <c r="H822" s="27">
        <f>VLOOKUP($C822,Carpetas!$C$5:$M$2666,6,FALSE)</f>
        <v>0</v>
      </c>
      <c r="I822" s="220"/>
      <c r="J822" s="47">
        <v>45608</v>
      </c>
      <c r="K822" s="72" t="str">
        <f>VLOOKUP($C822,Carpetas!$C$5:$M$2666,5,FALSE)</f>
        <v>Salto</v>
      </c>
      <c r="L822" s="32"/>
      <c r="M822" s="48">
        <f t="shared" si="52"/>
        <v>45609</v>
      </c>
      <c r="N822" s="26">
        <f t="shared" si="50"/>
        <v>3</v>
      </c>
      <c r="O822" s="27">
        <v>980</v>
      </c>
      <c r="P822" s="27">
        <v>980</v>
      </c>
      <c r="Q822" s="27">
        <v>28</v>
      </c>
      <c r="R822" s="27">
        <v>26</v>
      </c>
      <c r="S822" s="27" t="s">
        <v>2572</v>
      </c>
      <c r="T822" s="27"/>
      <c r="U822" s="27"/>
      <c r="V822" s="27" t="s">
        <v>288</v>
      </c>
      <c r="W822" s="27" t="s">
        <v>289</v>
      </c>
      <c r="X822" s="73"/>
      <c r="Y822" s="73" t="e">
        <f>VLOOKUP(X822,Choferes!$B$2:$C$500,2,FALSE)</f>
        <v>#N/A</v>
      </c>
      <c r="Z822" s="73" t="s">
        <v>2573</v>
      </c>
    </row>
    <row r="823" spans="1:26" ht="30" hidden="1" x14ac:dyDescent="0.25">
      <c r="A823" s="33">
        <v>46</v>
      </c>
      <c r="B823" s="71" t="s">
        <v>29</v>
      </c>
      <c r="C823" s="39" t="s">
        <v>2539</v>
      </c>
      <c r="D823" s="50" t="s">
        <v>2474</v>
      </c>
      <c r="E823" s="47">
        <v>45607</v>
      </c>
      <c r="F823" s="31" t="str">
        <f>VLOOKUP($C823,Carpetas!$C$5:$M$2666,2,FALSE)</f>
        <v>BRB091</v>
      </c>
      <c r="G823" s="23" t="str">
        <f>VLOOKUP($C823,Carpetas!$C$5:$M$2666,10,FALSE)</f>
        <v>150,94,43</v>
      </c>
      <c r="H823" s="27" t="str">
        <f>VLOOKUP($C823,Carpetas!$C$5:$M$2666,6,FALSE)</f>
        <v>Zanini</v>
      </c>
      <c r="I823" s="220"/>
      <c r="J823" s="47">
        <v>45608</v>
      </c>
      <c r="K823" s="72" t="str">
        <f>VLOOKUP($C823,Carpetas!$C$5:$M$2666,5,FALSE)</f>
        <v>Rio Branco</v>
      </c>
      <c r="L823" s="32"/>
      <c r="M823" s="48">
        <f t="shared" si="52"/>
        <v>45609</v>
      </c>
      <c r="N823" s="26">
        <f t="shared" si="50"/>
        <v>2</v>
      </c>
      <c r="O823" s="27">
        <v>918</v>
      </c>
      <c r="P823" s="27">
        <v>918</v>
      </c>
      <c r="Q823" s="27">
        <v>26</v>
      </c>
      <c r="R823" s="27">
        <v>25</v>
      </c>
      <c r="S823" s="27" t="s">
        <v>2574</v>
      </c>
      <c r="T823" s="27"/>
      <c r="U823" s="27">
        <v>4859</v>
      </c>
      <c r="V823" s="27" t="s">
        <v>553</v>
      </c>
      <c r="W823" s="27" t="s">
        <v>554</v>
      </c>
      <c r="X823" s="73"/>
      <c r="Y823" s="73" t="e">
        <f>VLOOKUP(X823,Choferes!$B$2:$C$500,2,FALSE)</f>
        <v>#N/A</v>
      </c>
      <c r="Z823" s="73" t="s">
        <v>2575</v>
      </c>
    </row>
    <row r="824" spans="1:26" hidden="1" x14ac:dyDescent="0.25">
      <c r="A824" s="33">
        <v>45</v>
      </c>
      <c r="B824" s="71" t="s">
        <v>298</v>
      </c>
      <c r="C824" s="39" t="s">
        <v>299</v>
      </c>
      <c r="D824" s="50" t="s">
        <v>1757</v>
      </c>
      <c r="E824" s="47">
        <v>45605</v>
      </c>
      <c r="F824" s="31" t="str">
        <f>VLOOKUP($C824,Carpetas!$C$5:$M$2666,2,FALSE)</f>
        <v>BRB</v>
      </c>
      <c r="G824" s="23" t="e">
        <f>VLOOKUP($C824,Carpetas!$C$5:$M$2666,9,FALSE)</f>
        <v>#REF!</v>
      </c>
      <c r="H824" s="27" t="str">
        <f>VLOOKUP($C824,Carpetas!$C$5:$M$2666,5,FALSE)</f>
        <v>xx</v>
      </c>
      <c r="I824" s="220"/>
      <c r="J824" s="47">
        <f>E824+3</f>
        <v>45608</v>
      </c>
      <c r="K824" s="72">
        <f>VLOOKUP($C824,Carpetas!$C$5:$M$2666,4,FALSE)</f>
        <v>0</v>
      </c>
      <c r="L824" s="32"/>
      <c r="M824" s="48">
        <f t="shared" si="52"/>
        <v>45609</v>
      </c>
      <c r="N824" s="26">
        <f t="shared" si="50"/>
        <v>4</v>
      </c>
      <c r="O824" s="27">
        <v>990</v>
      </c>
      <c r="P824" s="27"/>
      <c r="Q824" s="27"/>
      <c r="R824" s="27"/>
      <c r="S824" s="27"/>
      <c r="T824" s="27"/>
      <c r="U824" s="27"/>
      <c r="V824" s="27"/>
      <c r="W824" s="27"/>
      <c r="X824" s="73"/>
      <c r="Y824" s="73" t="e">
        <f>VLOOKUP(X824,Choferes!$B$2:$C$500,2,FALSE)</f>
        <v>#N/A</v>
      </c>
      <c r="Z824" s="73"/>
    </row>
    <row r="825" spans="1:26" hidden="1" x14ac:dyDescent="0.25">
      <c r="A825" s="33">
        <v>45</v>
      </c>
      <c r="B825" s="71" t="s">
        <v>29</v>
      </c>
      <c r="C825" s="39" t="s">
        <v>2563</v>
      </c>
      <c r="D825" s="50" t="s">
        <v>1757</v>
      </c>
      <c r="E825" s="47">
        <v>45603</v>
      </c>
      <c r="F825" s="31" t="str">
        <f>VLOOKUP($C825,Carpetas!$C$5:$M$2666,2,FALSE)</f>
        <v>BRB093</v>
      </c>
      <c r="G825" s="23" t="str">
        <f>VLOOKUP($C825,Carpetas!$C$5:$M$2666,10,FALSE)</f>
        <v>150,94,98</v>
      </c>
      <c r="H825" s="27" t="str">
        <f>VLOOKUP($C825,Carpetas!$C$5:$M$2666,6,FALSE)</f>
        <v>Marvel</v>
      </c>
      <c r="I825" s="220"/>
      <c r="J825" s="47">
        <v>45609</v>
      </c>
      <c r="K825" s="72" t="str">
        <f>VLOOKUP($C825,Carpetas!$C$5:$M$2666,5,FALSE)</f>
        <v>Rio Branco</v>
      </c>
      <c r="L825" s="32"/>
      <c r="M825" s="48">
        <f t="shared" si="52"/>
        <v>45610</v>
      </c>
      <c r="N825" s="26">
        <f t="shared" si="50"/>
        <v>7</v>
      </c>
      <c r="O825" s="27">
        <v>936</v>
      </c>
      <c r="P825" s="27">
        <v>936</v>
      </c>
      <c r="Q825" s="27">
        <v>26</v>
      </c>
      <c r="R825" s="27">
        <v>25</v>
      </c>
      <c r="S825" s="27" t="s">
        <v>2576</v>
      </c>
      <c r="T825" s="27"/>
      <c r="U825" s="27">
        <v>10310</v>
      </c>
      <c r="V825" s="27" t="s">
        <v>2577</v>
      </c>
      <c r="W825" s="27" t="s">
        <v>2578</v>
      </c>
      <c r="X825" s="73"/>
      <c r="Y825" s="73" t="e">
        <f>VLOOKUP(X825,Choferes!$B$2:$C$500,2,FALSE)</f>
        <v>#N/A</v>
      </c>
      <c r="Z825" s="73" t="s">
        <v>2579</v>
      </c>
    </row>
    <row r="826" spans="1:26" hidden="1" x14ac:dyDescent="0.25">
      <c r="A826" s="33">
        <v>46</v>
      </c>
      <c r="B826" s="71" t="s">
        <v>29</v>
      </c>
      <c r="C826" s="39" t="s">
        <v>2518</v>
      </c>
      <c r="D826" s="50" t="s">
        <v>747</v>
      </c>
      <c r="E826" s="47">
        <v>45607</v>
      </c>
      <c r="F826" s="31" t="str">
        <f>VLOOKUP($C826,Carpetas!$C$5:$M$2666,2,FALSE)</f>
        <v>BRB089</v>
      </c>
      <c r="G826" s="23" t="str">
        <f>VLOOKUP($C826,Carpetas!$C$5:$M$2666,10,FALSE)</f>
        <v>150,94,46</v>
      </c>
      <c r="H826" s="27" t="str">
        <f>VLOOKUP($C826,Carpetas!$C$5:$M$2666,6,FALSE)</f>
        <v>FG</v>
      </c>
      <c r="I826" s="220"/>
      <c r="J826" s="47">
        <v>45609</v>
      </c>
      <c r="K826" s="72" t="str">
        <f>VLOOKUP($C826,Carpetas!$C$5:$M$2666,5,FALSE)</f>
        <v>Rio Branco</v>
      </c>
      <c r="L826" s="32"/>
      <c r="M826" s="48">
        <f t="shared" si="52"/>
        <v>45610</v>
      </c>
      <c r="N826" s="26">
        <f t="shared" si="50"/>
        <v>3</v>
      </c>
      <c r="O826" s="27">
        <v>990</v>
      </c>
      <c r="P826" s="27">
        <v>991</v>
      </c>
      <c r="Q826" s="27">
        <v>28</v>
      </c>
      <c r="R826" s="27">
        <v>27</v>
      </c>
      <c r="S826" s="27" t="s">
        <v>2580</v>
      </c>
      <c r="T826" s="27"/>
      <c r="U826" s="27">
        <v>441</v>
      </c>
      <c r="V826" s="27" t="s">
        <v>1726</v>
      </c>
      <c r="W826" s="27" t="s">
        <v>1646</v>
      </c>
      <c r="X826" s="73"/>
      <c r="Y826" s="73" t="e">
        <f>VLOOKUP(X826,Choferes!$B$2:$C$500,2,FALSE)</f>
        <v>#N/A</v>
      </c>
      <c r="Z826" s="73" t="s">
        <v>2581</v>
      </c>
    </row>
    <row r="827" spans="1:26" hidden="1" x14ac:dyDescent="0.25">
      <c r="A827" s="33">
        <v>46</v>
      </c>
      <c r="B827" s="71" t="s">
        <v>29</v>
      </c>
      <c r="C827" s="39" t="s">
        <v>2509</v>
      </c>
      <c r="D827" s="50" t="s">
        <v>2202</v>
      </c>
      <c r="E827" s="47">
        <v>45607</v>
      </c>
      <c r="F827" s="31" t="str">
        <f>VLOOKUP($C827,Carpetas!$C$5:$M$2666,2,FALSE)</f>
        <v>BRB090</v>
      </c>
      <c r="G827" s="23" t="str">
        <f>VLOOKUP($C827,Carpetas!$C$5:$M$2666,10,FALSE)</f>
        <v>150,94,41</v>
      </c>
      <c r="H827" s="27" t="str">
        <f>VLOOKUP($C827,Carpetas!$C$5:$M$2666,6,FALSE)</f>
        <v xml:space="preserve">Silvio </v>
      </c>
      <c r="I827" s="220"/>
      <c r="J827" s="47">
        <v>45609</v>
      </c>
      <c r="K827" s="72" t="str">
        <f>VLOOKUP($C827,Carpetas!$C$5:$M$2666,5,FALSE)</f>
        <v>Rio Branco</v>
      </c>
      <c r="L827" s="32"/>
      <c r="M827" s="48">
        <f t="shared" si="52"/>
        <v>45610</v>
      </c>
      <c r="N827" s="26">
        <f t="shared" si="50"/>
        <v>3</v>
      </c>
      <c r="O827" s="27">
        <v>918</v>
      </c>
      <c r="P827" s="27">
        <v>918</v>
      </c>
      <c r="Q827" s="27">
        <v>26</v>
      </c>
      <c r="R827" s="27">
        <v>25</v>
      </c>
      <c r="S827" s="27" t="s">
        <v>2582</v>
      </c>
      <c r="T827" s="27"/>
      <c r="U827" s="27">
        <v>7197</v>
      </c>
      <c r="V827" s="27" t="s">
        <v>2583</v>
      </c>
      <c r="W827" s="27" t="s">
        <v>337</v>
      </c>
      <c r="X827" s="73"/>
      <c r="Y827" s="73" t="e">
        <f>VLOOKUP(X827,Choferes!$B$2:$C$500,2,FALSE)</f>
        <v>#N/A</v>
      </c>
      <c r="Z827" s="73" t="s">
        <v>2584</v>
      </c>
    </row>
    <row r="828" spans="1:26" hidden="1" x14ac:dyDescent="0.25">
      <c r="A828" s="33">
        <v>46</v>
      </c>
      <c r="B828" s="71" t="s">
        <v>29</v>
      </c>
      <c r="C828" s="39" t="s">
        <v>2518</v>
      </c>
      <c r="D828" s="50" t="s">
        <v>747</v>
      </c>
      <c r="E828" s="47">
        <v>45608</v>
      </c>
      <c r="F828" s="31" t="str">
        <f>VLOOKUP($C828,Carpetas!$C$5:$M$2666,2,FALSE)</f>
        <v>BRB089</v>
      </c>
      <c r="G828" s="23" t="str">
        <f>VLOOKUP($C828,Carpetas!$C$5:$M$2666,10,FALSE)</f>
        <v>150,94,46</v>
      </c>
      <c r="H828" s="27" t="str">
        <f>VLOOKUP($C828,Carpetas!$C$5:$M$2666,6,FALSE)</f>
        <v>FG</v>
      </c>
      <c r="I828" s="220"/>
      <c r="J828" s="47">
        <v>45609</v>
      </c>
      <c r="K828" s="72" t="str">
        <f>VLOOKUP($C828,Carpetas!$C$5:$M$2666,5,FALSE)</f>
        <v>Rio Branco</v>
      </c>
      <c r="L828" s="32"/>
      <c r="M828" s="48">
        <f t="shared" si="52"/>
        <v>45610</v>
      </c>
      <c r="N828" s="26">
        <f t="shared" si="50"/>
        <v>2</v>
      </c>
      <c r="O828" s="27">
        <v>990</v>
      </c>
      <c r="P828" s="27">
        <v>991</v>
      </c>
      <c r="Q828" s="27">
        <v>28</v>
      </c>
      <c r="R828" s="27">
        <v>27</v>
      </c>
      <c r="S828" s="27" t="s">
        <v>2585</v>
      </c>
      <c r="T828" s="27"/>
      <c r="U828" s="27">
        <v>446</v>
      </c>
      <c r="V828" s="27" t="s">
        <v>1430</v>
      </c>
      <c r="W828" s="27" t="s">
        <v>1669</v>
      </c>
      <c r="X828" s="73"/>
      <c r="Y828" s="73" t="e">
        <f>VLOOKUP(X828,Choferes!$B$2:$C$500,2,FALSE)</f>
        <v>#N/A</v>
      </c>
      <c r="Z828" s="73" t="s">
        <v>2586</v>
      </c>
    </row>
    <row r="829" spans="1:26" hidden="1" x14ac:dyDescent="0.25">
      <c r="A829" s="33">
        <v>45</v>
      </c>
      <c r="B829" s="71" t="s">
        <v>298</v>
      </c>
      <c r="C829" s="39" t="s">
        <v>299</v>
      </c>
      <c r="D829" s="50" t="s">
        <v>1757</v>
      </c>
      <c r="E829" s="47">
        <v>45606</v>
      </c>
      <c r="F829" s="31" t="str">
        <f>VLOOKUP($C829,Carpetas!$C$5:$M$2666,2,FALSE)</f>
        <v>BRB</v>
      </c>
      <c r="G829" s="23" t="e">
        <f>VLOOKUP($C829,Carpetas!$C$5:$M$2666,9,FALSE)</f>
        <v>#REF!</v>
      </c>
      <c r="H829" s="27" t="str">
        <f>VLOOKUP($C829,Carpetas!$C$5:$M$2666,5,FALSE)</f>
        <v>xx</v>
      </c>
      <c r="I829" s="220"/>
      <c r="J829" s="47">
        <f>E829+3</f>
        <v>45609</v>
      </c>
      <c r="K829" s="72">
        <f>VLOOKUP($C829,Carpetas!$C$5:$M$2666,4,FALSE)</f>
        <v>0</v>
      </c>
      <c r="L829" s="32"/>
      <c r="M829" s="48">
        <f t="shared" si="52"/>
        <v>45610</v>
      </c>
      <c r="N829" s="26">
        <f t="shared" si="50"/>
        <v>4</v>
      </c>
      <c r="O829" s="27">
        <v>990</v>
      </c>
      <c r="P829" s="27"/>
      <c r="Q829" s="27"/>
      <c r="R829" s="27"/>
      <c r="S829" s="27"/>
      <c r="T829" s="27"/>
      <c r="U829" s="27"/>
      <c r="V829" s="27"/>
      <c r="W829" s="27"/>
      <c r="X829" s="73"/>
      <c r="Y829" s="73" t="e">
        <f>VLOOKUP(X829,Choferes!$B$2:$C$500,2,FALSE)</f>
        <v>#N/A</v>
      </c>
      <c r="Z829" s="73"/>
    </row>
    <row r="830" spans="1:26" hidden="1" x14ac:dyDescent="0.25">
      <c r="A830" s="33">
        <v>45</v>
      </c>
      <c r="B830" s="71" t="s">
        <v>29</v>
      </c>
      <c r="C830" s="39" t="s">
        <v>2587</v>
      </c>
      <c r="D830" s="50" t="s">
        <v>38</v>
      </c>
      <c r="E830" s="47">
        <v>45605</v>
      </c>
      <c r="F830" s="31" t="str">
        <f>VLOOKUP($C830,Carpetas!$C$5:$M$2666,2,FALSE)</f>
        <v>BRE049</v>
      </c>
      <c r="G830" s="23" t="str">
        <f>VLOOKUP($C830,Carpetas!$C$5:$M$2666,10,FALSE)</f>
        <v>150.91.21</v>
      </c>
      <c r="H830" s="27" t="str">
        <f>VLOOKUP($C830,Carpetas!$C$5:$M$2666,6,FALSE)</f>
        <v>Zanini</v>
      </c>
      <c r="I830" s="220">
        <f>VLOOKUP($C830,Carpetas!$C$5:$M$2666,4,FALSE)</f>
        <v>0</v>
      </c>
      <c r="J830" s="47">
        <v>45608</v>
      </c>
      <c r="K830" s="72" t="str">
        <f>VLOOKUP($C830,Carpetas!$C$5:$M$2666,5,FALSE)</f>
        <v>Rio Branco</v>
      </c>
      <c r="L830" s="32"/>
      <c r="M830" s="48">
        <v>45611</v>
      </c>
      <c r="N830" s="26">
        <f t="shared" si="50"/>
        <v>6</v>
      </c>
      <c r="O830" s="27">
        <v>1230</v>
      </c>
      <c r="P830" s="27">
        <v>1241</v>
      </c>
      <c r="Q830" s="27">
        <v>31</v>
      </c>
      <c r="R830" s="27">
        <v>20</v>
      </c>
      <c r="S830" s="27"/>
      <c r="T830" s="27"/>
      <c r="U830" s="27">
        <v>4855</v>
      </c>
      <c r="V830" s="27" t="s">
        <v>151</v>
      </c>
      <c r="W830" s="27" t="s">
        <v>152</v>
      </c>
      <c r="X830" s="73"/>
      <c r="Y830" s="73" t="e">
        <f>VLOOKUP(X830,Choferes!$B$2:$C$500,2,FALSE)</f>
        <v>#N/A</v>
      </c>
      <c r="Z830" s="73" t="s">
        <v>2588</v>
      </c>
    </row>
    <row r="831" spans="1:26" hidden="1" x14ac:dyDescent="0.25">
      <c r="A831" s="33">
        <v>45</v>
      </c>
      <c r="B831" s="71" t="s">
        <v>29</v>
      </c>
      <c r="C831" s="39" t="s">
        <v>2589</v>
      </c>
      <c r="D831" s="106" t="s">
        <v>2480</v>
      </c>
      <c r="E831" s="47">
        <v>45605</v>
      </c>
      <c r="F831" s="31" t="str">
        <f>VLOOKUP($C831,Carpetas!$C$5:$M$2666,2,FALSE)</f>
        <v>BRE052</v>
      </c>
      <c r="G831" s="23" t="str">
        <f>VLOOKUP($C831,Carpetas!$C$5:$M$2666,10,FALSE)</f>
        <v>150,97,38/1503739</v>
      </c>
      <c r="H831" s="27" t="str">
        <f>VLOOKUP($C831,Carpetas!$C$5:$M$2666,6,FALSE)</f>
        <v>Marvel</v>
      </c>
      <c r="I831" s="220"/>
      <c r="J831" s="47">
        <v>45609</v>
      </c>
      <c r="K831" s="72" t="str">
        <f>VLOOKUP($C831,Carpetas!$C$5:$M$2666,5,FALSE)</f>
        <v>Rio Branco</v>
      </c>
      <c r="L831" s="32"/>
      <c r="M831" s="48">
        <v>45611</v>
      </c>
      <c r="N831" s="26">
        <f t="shared" si="50"/>
        <v>6</v>
      </c>
      <c r="O831" s="27">
        <v>1052</v>
      </c>
      <c r="P831" s="27">
        <v>1052</v>
      </c>
      <c r="Q831" s="27">
        <v>26</v>
      </c>
      <c r="R831" s="27">
        <v>26</v>
      </c>
      <c r="S831" s="27" t="s">
        <v>2590</v>
      </c>
      <c r="T831" s="27"/>
      <c r="U831" s="27">
        <v>10324</v>
      </c>
      <c r="V831" s="27" t="s">
        <v>2591</v>
      </c>
      <c r="W831" s="27" t="s">
        <v>2592</v>
      </c>
      <c r="X831" s="73"/>
      <c r="Y831" s="73" t="e">
        <f>VLOOKUP(X831,Choferes!$B$2:$C$500,2,FALSE)</f>
        <v>#N/A</v>
      </c>
      <c r="Z831" s="73" t="s">
        <v>2593</v>
      </c>
    </row>
    <row r="832" spans="1:26" hidden="1" x14ac:dyDescent="0.25">
      <c r="A832" s="33">
        <v>46</v>
      </c>
      <c r="B832" s="71" t="s">
        <v>29</v>
      </c>
      <c r="C832" s="39" t="s">
        <v>2594</v>
      </c>
      <c r="D832" s="50" t="s">
        <v>38</v>
      </c>
      <c r="E832" s="47">
        <v>45607</v>
      </c>
      <c r="F832" s="31" t="str">
        <f>VLOOKUP($C832,Carpetas!$C$5:$M$2666,2,FALSE)</f>
        <v>BRE050</v>
      </c>
      <c r="G832" s="23" t="str">
        <f>VLOOKUP($C832,Carpetas!$C$5:$M$2666,10,FALSE)</f>
        <v>150,80,23</v>
      </c>
      <c r="H832" s="27" t="str">
        <f>VLOOKUP($C832,Carpetas!$C$5:$M$2666,6,FALSE)</f>
        <v>Dallog</v>
      </c>
      <c r="I832" s="220">
        <f>VLOOKUP($C832,Carpetas!$C$5:$M$2666,4,FALSE)</f>
        <v>0</v>
      </c>
      <c r="J832" s="47">
        <v>45610</v>
      </c>
      <c r="K832" s="72" t="str">
        <f>VLOOKUP($C832,Carpetas!$C$5:$M$2666,5,FALSE)</f>
        <v>Rio Branco</v>
      </c>
      <c r="L832" s="32"/>
      <c r="M832" s="48">
        <v>45611</v>
      </c>
      <c r="N832" s="26">
        <f t="shared" si="50"/>
        <v>4</v>
      </c>
      <c r="O832" s="27">
        <v>960</v>
      </c>
      <c r="P832" s="27">
        <v>960</v>
      </c>
      <c r="Q832" s="27">
        <v>38</v>
      </c>
      <c r="R832" s="27">
        <v>25</v>
      </c>
      <c r="S832" s="27"/>
      <c r="T832" s="27"/>
      <c r="U832" s="27">
        <v>519</v>
      </c>
      <c r="V832" s="27" t="s">
        <v>2595</v>
      </c>
      <c r="W832" s="27" t="s">
        <v>2596</v>
      </c>
      <c r="X832" s="73"/>
      <c r="Y832" s="73" t="e">
        <f>VLOOKUP(X832,Choferes!$B$2:$C$500,2,FALSE)</f>
        <v>#N/A</v>
      </c>
      <c r="Z832" s="73" t="s">
        <v>2597</v>
      </c>
    </row>
    <row r="833" spans="1:26" ht="30" hidden="1" x14ac:dyDescent="0.25">
      <c r="A833" s="33">
        <v>46</v>
      </c>
      <c r="B833" s="71" t="s">
        <v>29</v>
      </c>
      <c r="C833" s="39" t="s">
        <v>2598</v>
      </c>
      <c r="D833" s="50" t="s">
        <v>249</v>
      </c>
      <c r="E833" s="47">
        <v>45608</v>
      </c>
      <c r="F833" s="31" t="str">
        <f>VLOOKUP($C833,Carpetas!$C$5:$M$2666,2,FALSE)</f>
        <v>BRB094</v>
      </c>
      <c r="G833" s="23" t="str">
        <f>VLOOKUP($C833,Carpetas!$C$5:$M$2666,10,FALSE)</f>
        <v>150,98,71</v>
      </c>
      <c r="H833" s="27" t="str">
        <f>VLOOKUP($C833,Carpetas!$C$5:$M$2666,6,FALSE)</f>
        <v>FG</v>
      </c>
      <c r="I833" s="220"/>
      <c r="J833" s="47">
        <v>45610</v>
      </c>
      <c r="K833" s="72" t="str">
        <f>VLOOKUP($C833,Carpetas!$C$5:$M$2666,5,FALSE)</f>
        <v>Rio Branco</v>
      </c>
      <c r="L833" s="32"/>
      <c r="M833" s="48">
        <f t="shared" ref="M833:M843" si="54">J833+1</f>
        <v>45611</v>
      </c>
      <c r="N833" s="26">
        <f t="shared" si="50"/>
        <v>3</v>
      </c>
      <c r="O833" s="27">
        <v>990</v>
      </c>
      <c r="P833" s="27">
        <v>990</v>
      </c>
      <c r="Q833" s="27">
        <v>28</v>
      </c>
      <c r="R833" s="27">
        <v>27</v>
      </c>
      <c r="S833" s="27" t="s">
        <v>2599</v>
      </c>
      <c r="T833" s="27"/>
      <c r="U833" s="27">
        <v>448</v>
      </c>
      <c r="V833" s="27" t="s">
        <v>1735</v>
      </c>
      <c r="W833" s="27" t="s">
        <v>912</v>
      </c>
      <c r="X833" s="73"/>
      <c r="Y833" s="73" t="e">
        <f>VLOOKUP(X833,Choferes!$B$2:$C$500,2,FALSE)</f>
        <v>#N/A</v>
      </c>
      <c r="Z833" s="73" t="s">
        <v>2600</v>
      </c>
    </row>
    <row r="834" spans="1:26" hidden="1" x14ac:dyDescent="0.25">
      <c r="A834" s="33">
        <v>46</v>
      </c>
      <c r="B834" s="71" t="s">
        <v>29</v>
      </c>
      <c r="C834" s="39" t="s">
        <v>2598</v>
      </c>
      <c r="D834" s="50" t="s">
        <v>953</v>
      </c>
      <c r="E834" s="47">
        <v>45609</v>
      </c>
      <c r="F834" s="31" t="str">
        <f>VLOOKUP($C834,Carpetas!$C$5:$M$2666,2,FALSE)</f>
        <v>BRB094</v>
      </c>
      <c r="G834" s="23" t="str">
        <f>VLOOKUP($C834,Carpetas!$C$5:$M$2666,10,FALSE)</f>
        <v>150,98,71</v>
      </c>
      <c r="H834" s="27" t="str">
        <f>VLOOKUP($C834,Carpetas!$C$5:$M$2666,6,FALSE)</f>
        <v>FG</v>
      </c>
      <c r="I834" s="220"/>
      <c r="J834" s="47">
        <v>45610</v>
      </c>
      <c r="K834" s="72" t="str">
        <f>VLOOKUP($C834,Carpetas!$C$5:$M$2666,5,FALSE)</f>
        <v>Rio Branco</v>
      </c>
      <c r="L834" s="32"/>
      <c r="M834" s="48">
        <f t="shared" si="54"/>
        <v>45611</v>
      </c>
      <c r="N834" s="26">
        <f t="shared" si="50"/>
        <v>2</v>
      </c>
      <c r="O834" s="27">
        <v>990</v>
      </c>
      <c r="P834" s="27">
        <v>990</v>
      </c>
      <c r="Q834" s="27">
        <v>28</v>
      </c>
      <c r="R834" s="27">
        <v>25</v>
      </c>
      <c r="S834" s="27" t="s">
        <v>2601</v>
      </c>
      <c r="T834" s="27"/>
      <c r="U834" s="27">
        <v>449</v>
      </c>
      <c r="V834" s="27" t="s">
        <v>911</v>
      </c>
      <c r="W834" s="27" t="s">
        <v>1622</v>
      </c>
      <c r="X834" s="73"/>
      <c r="Y834" s="73" t="e">
        <f>VLOOKUP(X834,Choferes!$B$2:$C$500,2,FALSE)</f>
        <v>#N/A</v>
      </c>
      <c r="Z834" s="73" t="s">
        <v>2602</v>
      </c>
    </row>
    <row r="835" spans="1:26" hidden="1" x14ac:dyDescent="0.25">
      <c r="A835" s="33">
        <v>46</v>
      </c>
      <c r="B835" s="71" t="s">
        <v>29</v>
      </c>
      <c r="C835" s="39" t="s">
        <v>2539</v>
      </c>
      <c r="D835" s="50" t="s">
        <v>110</v>
      </c>
      <c r="E835" s="47">
        <v>45609</v>
      </c>
      <c r="F835" s="31" t="str">
        <f>VLOOKUP($C835,Carpetas!$C$5:$M$2666,2,FALSE)</f>
        <v>BRB091</v>
      </c>
      <c r="G835" s="23" t="str">
        <f>VLOOKUP($C835,Carpetas!$C$5:$M$2666,10,FALSE)</f>
        <v>150,94,43</v>
      </c>
      <c r="H835" s="27" t="str">
        <f>VLOOKUP($C835,Carpetas!$C$5:$M$2666,6,FALSE)</f>
        <v>Zanini</v>
      </c>
      <c r="I835" s="220"/>
      <c r="J835" s="47">
        <v>45610</v>
      </c>
      <c r="K835" s="72" t="str">
        <f>VLOOKUP($C835,Carpetas!$C$5:$M$2666,5,FALSE)</f>
        <v>Rio Branco</v>
      </c>
      <c r="L835" s="32"/>
      <c r="M835" s="48">
        <f t="shared" si="54"/>
        <v>45611</v>
      </c>
      <c r="N835" s="26">
        <f t="shared" si="50"/>
        <v>2</v>
      </c>
      <c r="O835" s="27">
        <v>918</v>
      </c>
      <c r="P835" s="27">
        <v>919</v>
      </c>
      <c r="Q835" s="27">
        <v>26</v>
      </c>
      <c r="R835" s="27">
        <v>25.5</v>
      </c>
      <c r="S835" s="27" t="s">
        <v>2603</v>
      </c>
      <c r="T835" s="27"/>
      <c r="U835" s="27">
        <v>4867</v>
      </c>
      <c r="V835" s="27" t="s">
        <v>142</v>
      </c>
      <c r="W835" s="27" t="s">
        <v>143</v>
      </c>
      <c r="X835" s="73"/>
      <c r="Y835" s="73" t="e">
        <f>VLOOKUP(X835,Choferes!$B$2:$C$500,2,FALSE)</f>
        <v>#N/A</v>
      </c>
      <c r="Z835" s="73" t="s">
        <v>2604</v>
      </c>
    </row>
    <row r="836" spans="1:26" ht="30" hidden="1" x14ac:dyDescent="0.25">
      <c r="A836" s="33">
        <v>46</v>
      </c>
      <c r="B836" s="71" t="s">
        <v>29</v>
      </c>
      <c r="C836" s="39" t="s">
        <v>2598</v>
      </c>
      <c r="D836" s="50" t="s">
        <v>953</v>
      </c>
      <c r="E836" s="47">
        <v>45609</v>
      </c>
      <c r="F836" s="31" t="str">
        <f>VLOOKUP($C836,Carpetas!$C$5:$M$2666,2,FALSE)</f>
        <v>BRB094</v>
      </c>
      <c r="G836" s="23" t="str">
        <f>VLOOKUP($C836,Carpetas!$C$5:$M$2666,10,FALSE)</f>
        <v>150,98,71</v>
      </c>
      <c r="H836" s="27" t="str">
        <f>VLOOKUP($C836,Carpetas!$C$5:$M$2666,6,FALSE)</f>
        <v>FG</v>
      </c>
      <c r="I836" s="220"/>
      <c r="J836" s="47">
        <v>45610</v>
      </c>
      <c r="K836" s="72" t="str">
        <f>VLOOKUP($C836,Carpetas!$C$5:$M$2666,5,FALSE)</f>
        <v>Rio Branco</v>
      </c>
      <c r="L836" s="32"/>
      <c r="M836" s="48">
        <f t="shared" si="54"/>
        <v>45611</v>
      </c>
      <c r="N836" s="26">
        <f t="shared" si="50"/>
        <v>2</v>
      </c>
      <c r="O836" s="27">
        <v>990</v>
      </c>
      <c r="P836" s="27">
        <v>990</v>
      </c>
      <c r="Q836" s="27">
        <v>28</v>
      </c>
      <c r="R836" s="27">
        <v>25</v>
      </c>
      <c r="S836" s="27" t="s">
        <v>2605</v>
      </c>
      <c r="T836" s="27"/>
      <c r="U836" s="27">
        <v>447</v>
      </c>
      <c r="V836" s="27" t="s">
        <v>1636</v>
      </c>
      <c r="W836" s="27" t="s">
        <v>1736</v>
      </c>
      <c r="X836" s="73"/>
      <c r="Y836" s="73" t="e">
        <f>VLOOKUP(X836,Choferes!$B$2:$C$500,2,FALSE)</f>
        <v>#N/A</v>
      </c>
      <c r="Z836" s="73" t="s">
        <v>2606</v>
      </c>
    </row>
    <row r="837" spans="1:26" hidden="1" x14ac:dyDescent="0.25">
      <c r="A837" s="33">
        <v>46</v>
      </c>
      <c r="B837" s="71" t="s">
        <v>29</v>
      </c>
      <c r="C837" s="39" t="s">
        <v>2546</v>
      </c>
      <c r="D837" s="50" t="s">
        <v>2607</v>
      </c>
      <c r="E837" s="47">
        <v>45609</v>
      </c>
      <c r="F837" s="31" t="str">
        <f>VLOOKUP($C837,Carpetas!$C$5:$M$2666,2,FALSE)</f>
        <v>BRB092</v>
      </c>
      <c r="G837" s="23" t="str">
        <f>VLOOKUP($C837,Carpetas!$C$5:$M$2666,10,FALSE)</f>
        <v>150,94,44</v>
      </c>
      <c r="H837" s="27" t="str">
        <f>VLOOKUP($C837,Carpetas!$C$5:$M$2666,6,FALSE)</f>
        <v>Amaro</v>
      </c>
      <c r="I837" s="220"/>
      <c r="J837" s="47">
        <v>45610</v>
      </c>
      <c r="K837" s="72" t="str">
        <f>VLOOKUP($C837,Carpetas!$C$5:$M$2666,5,FALSE)</f>
        <v>Rio Branco</v>
      </c>
      <c r="L837" s="32"/>
      <c r="M837" s="48">
        <f t="shared" si="54"/>
        <v>45611</v>
      </c>
      <c r="N837" s="26">
        <f t="shared" ref="N837:N900" si="55">IF(E837&lt;&gt;"",M837-E837,"-")</f>
        <v>2</v>
      </c>
      <c r="O837" s="27">
        <v>990</v>
      </c>
      <c r="P837" s="27">
        <v>990</v>
      </c>
      <c r="Q837" s="27">
        <v>28</v>
      </c>
      <c r="R837" s="27">
        <v>25</v>
      </c>
      <c r="S837" s="27" t="s">
        <v>2608</v>
      </c>
      <c r="T837" s="27"/>
      <c r="U837" s="27">
        <v>50004</v>
      </c>
      <c r="V837" s="27" t="s">
        <v>1800</v>
      </c>
      <c r="W837" s="27" t="s">
        <v>1801</v>
      </c>
      <c r="X837" s="73"/>
      <c r="Y837" s="73" t="e">
        <f>VLOOKUP(X837,Choferes!$B$2:$C$500,2,FALSE)</f>
        <v>#N/A</v>
      </c>
      <c r="Z837" s="73" t="s">
        <v>2609</v>
      </c>
    </row>
    <row r="838" spans="1:26" hidden="1" x14ac:dyDescent="0.25">
      <c r="A838" s="33">
        <v>46</v>
      </c>
      <c r="B838" s="71" t="s">
        <v>29</v>
      </c>
      <c r="C838" s="39" t="s">
        <v>2539</v>
      </c>
      <c r="D838" s="50" t="s">
        <v>953</v>
      </c>
      <c r="E838" s="47">
        <v>45609</v>
      </c>
      <c r="F838" s="31" t="str">
        <f>VLOOKUP($C838,Carpetas!$C$5:$M$2666,2,FALSE)</f>
        <v>BRB091</v>
      </c>
      <c r="G838" s="23" t="str">
        <f>VLOOKUP($C838,Carpetas!$C$5:$M$2666,10,FALSE)</f>
        <v>150,94,43</v>
      </c>
      <c r="H838" s="27" t="str">
        <f>VLOOKUP($C838,Carpetas!$C$5:$M$2666,6,FALSE)</f>
        <v>Zanini</v>
      </c>
      <c r="I838" s="220"/>
      <c r="J838" s="47">
        <v>45610</v>
      </c>
      <c r="K838" s="72" t="str">
        <f>VLOOKUP($C838,Carpetas!$C$5:$M$2666,5,FALSE)</f>
        <v>Rio Branco</v>
      </c>
      <c r="L838" s="32"/>
      <c r="M838" s="48">
        <f t="shared" si="54"/>
        <v>45611</v>
      </c>
      <c r="N838" s="26">
        <f t="shared" si="55"/>
        <v>2</v>
      </c>
      <c r="O838" s="27">
        <v>918</v>
      </c>
      <c r="P838" s="27">
        <v>918</v>
      </c>
      <c r="Q838" s="27">
        <v>26</v>
      </c>
      <c r="R838" s="27">
        <v>25</v>
      </c>
      <c r="S838" s="27" t="s">
        <v>2610</v>
      </c>
      <c r="T838" s="27"/>
      <c r="U838" s="27">
        <v>4869</v>
      </c>
      <c r="V838" s="27" t="s">
        <v>2611</v>
      </c>
      <c r="W838" s="27" t="s">
        <v>2612</v>
      </c>
      <c r="X838" s="73"/>
      <c r="Y838" s="73" t="e">
        <f>VLOOKUP(X838,Choferes!$B$2:$C$500,2,FALSE)</f>
        <v>#N/A</v>
      </c>
      <c r="Z838" s="73" t="s">
        <v>2613</v>
      </c>
    </row>
    <row r="839" spans="1:26" ht="30" hidden="1" x14ac:dyDescent="0.25">
      <c r="A839" s="33">
        <v>46</v>
      </c>
      <c r="B839" s="71" t="s">
        <v>29</v>
      </c>
      <c r="C839" s="39" t="s">
        <v>2598</v>
      </c>
      <c r="D839" s="50" t="s">
        <v>953</v>
      </c>
      <c r="E839" s="47">
        <v>45612</v>
      </c>
      <c r="F839" s="31" t="str">
        <f>VLOOKUP($C839,Carpetas!$C$5:$M$2666,2,FALSE)</f>
        <v>BRB094</v>
      </c>
      <c r="G839" s="23" t="str">
        <f>VLOOKUP($C839,Carpetas!$C$5:$M$2666,10,FALSE)</f>
        <v>150,98,71</v>
      </c>
      <c r="H839" s="27" t="str">
        <f>VLOOKUP($C839,Carpetas!$C$5:$M$2666,6,FALSE)</f>
        <v>FG</v>
      </c>
      <c r="I839" s="220"/>
      <c r="J839" s="47">
        <v>45614</v>
      </c>
      <c r="K839" s="72" t="str">
        <f>VLOOKUP($C839,Carpetas!$C$5:$M$2666,5,FALSE)</f>
        <v>Rio Branco</v>
      </c>
      <c r="L839" s="32"/>
      <c r="M839" s="48">
        <f t="shared" si="54"/>
        <v>45615</v>
      </c>
      <c r="N839" s="26">
        <f t="shared" si="55"/>
        <v>3</v>
      </c>
      <c r="O839" s="27">
        <v>990</v>
      </c>
      <c r="P839" s="27">
        <v>990</v>
      </c>
      <c r="Q839" s="27">
        <v>28</v>
      </c>
      <c r="R839" s="27">
        <v>25</v>
      </c>
      <c r="S839" s="27" t="s">
        <v>2614</v>
      </c>
      <c r="T839" s="27"/>
      <c r="U839" s="27">
        <v>454</v>
      </c>
      <c r="V839" s="27" t="s">
        <v>1722</v>
      </c>
      <c r="W839" s="27" t="s">
        <v>1723</v>
      </c>
      <c r="X839" s="73"/>
      <c r="Y839" s="73" t="e">
        <f>VLOOKUP(X839,Choferes!$B$2:$C$500,2,FALSE)</f>
        <v>#N/A</v>
      </c>
      <c r="Z839" s="73" t="s">
        <v>2615</v>
      </c>
    </row>
    <row r="840" spans="1:26" ht="30" hidden="1" x14ac:dyDescent="0.25">
      <c r="A840" s="33">
        <v>46</v>
      </c>
      <c r="B840" s="71" t="s">
        <v>29</v>
      </c>
      <c r="C840" s="39" t="s">
        <v>2598</v>
      </c>
      <c r="D840" s="50" t="s">
        <v>880</v>
      </c>
      <c r="E840" s="47">
        <v>45612</v>
      </c>
      <c r="F840" s="31" t="str">
        <f>VLOOKUP($C840,Carpetas!$C$5:$M$2666,2,FALSE)</f>
        <v>BRB094</v>
      </c>
      <c r="G840" s="23" t="str">
        <f>VLOOKUP($C840,Carpetas!$C$5:$M$2666,10,FALSE)</f>
        <v>150,98,71</v>
      </c>
      <c r="H840" s="27" t="str">
        <f>VLOOKUP($C840,Carpetas!$C$5:$M$2666,6,FALSE)</f>
        <v>FG</v>
      </c>
      <c r="I840" s="220"/>
      <c r="J840" s="47">
        <v>45614</v>
      </c>
      <c r="K840" s="72" t="str">
        <f>VLOOKUP($C840,Carpetas!$C$5:$M$2666,5,FALSE)</f>
        <v>Rio Branco</v>
      </c>
      <c r="L840" s="32"/>
      <c r="M840" s="48">
        <f t="shared" si="54"/>
        <v>45615</v>
      </c>
      <c r="N840" s="26">
        <f t="shared" si="55"/>
        <v>3</v>
      </c>
      <c r="O840" s="27">
        <v>990</v>
      </c>
      <c r="P840" s="27">
        <v>990</v>
      </c>
      <c r="Q840" s="27">
        <v>28</v>
      </c>
      <c r="R840" s="27">
        <v>25</v>
      </c>
      <c r="S840" s="27" t="s">
        <v>2616</v>
      </c>
      <c r="T840" s="27"/>
      <c r="U840" s="27">
        <v>453</v>
      </c>
      <c r="V840" s="27" t="s">
        <v>1626</v>
      </c>
      <c r="W840" s="27" t="s">
        <v>1627</v>
      </c>
      <c r="X840" s="73"/>
      <c r="Y840" s="73" t="e">
        <f>VLOOKUP(X840,Choferes!$B$2:$C$500,2,FALSE)</f>
        <v>#N/A</v>
      </c>
      <c r="Z840" s="73" t="s">
        <v>2617</v>
      </c>
    </row>
    <row r="841" spans="1:26" hidden="1" x14ac:dyDescent="0.25">
      <c r="A841" s="33">
        <v>46</v>
      </c>
      <c r="B841" s="71" t="s">
        <v>29</v>
      </c>
      <c r="C841" s="39" t="s">
        <v>2546</v>
      </c>
      <c r="D841" s="50" t="s">
        <v>747</v>
      </c>
      <c r="E841" s="47">
        <v>45612</v>
      </c>
      <c r="F841" s="31" t="str">
        <f>VLOOKUP($C841,Carpetas!$C$5:$M$2666,2,FALSE)</f>
        <v>BRB092</v>
      </c>
      <c r="G841" s="23" t="str">
        <f>VLOOKUP($C841,Carpetas!$C$5:$M$2666,10,FALSE)</f>
        <v>150,94,44</v>
      </c>
      <c r="H841" s="27" t="str">
        <f>VLOOKUP($C841,Carpetas!$C$5:$M$2666,6,FALSE)</f>
        <v>Amaro</v>
      </c>
      <c r="I841" s="220"/>
      <c r="J841" s="47">
        <v>45614</v>
      </c>
      <c r="K841" s="72" t="str">
        <f>VLOOKUP($C841,Carpetas!$C$5:$M$2666,5,FALSE)</f>
        <v>Rio Branco</v>
      </c>
      <c r="L841" s="32"/>
      <c r="M841" s="48">
        <f t="shared" si="54"/>
        <v>45615</v>
      </c>
      <c r="N841" s="26">
        <f t="shared" si="55"/>
        <v>3</v>
      </c>
      <c r="O841" s="27">
        <v>990</v>
      </c>
      <c r="P841" s="27">
        <v>991</v>
      </c>
      <c r="Q841" s="27">
        <v>28</v>
      </c>
      <c r="R841" s="27">
        <v>27</v>
      </c>
      <c r="S841" s="27" t="s">
        <v>2618</v>
      </c>
      <c r="T841" s="27"/>
      <c r="U841" s="27">
        <v>5018</v>
      </c>
      <c r="V841" s="27" t="s">
        <v>2619</v>
      </c>
      <c r="W841" s="27" t="s">
        <v>2620</v>
      </c>
      <c r="X841" s="73"/>
      <c r="Y841" s="73" t="e">
        <f>VLOOKUP(X841,Choferes!$B$2:$C$500,2,FALSE)</f>
        <v>#N/A</v>
      </c>
      <c r="Z841" s="73" t="s">
        <v>2621</v>
      </c>
    </row>
    <row r="842" spans="1:26" hidden="1" x14ac:dyDescent="0.25">
      <c r="A842" s="33">
        <v>46</v>
      </c>
      <c r="B842" s="71" t="s">
        <v>298</v>
      </c>
      <c r="C842" s="39" t="s">
        <v>299</v>
      </c>
      <c r="D842" s="50" t="s">
        <v>78</v>
      </c>
      <c r="E842" s="47">
        <v>45611</v>
      </c>
      <c r="F842" s="31" t="str">
        <f>VLOOKUP($C842,Carpetas!$C$5:$M$2666,2,FALSE)</f>
        <v>BRB</v>
      </c>
      <c r="G842" s="23" t="e">
        <f>VLOOKUP($C842,Carpetas!$C$5:$M$2666,9,FALSE)</f>
        <v>#REF!</v>
      </c>
      <c r="H842" s="27" t="str">
        <f>VLOOKUP($C842,Carpetas!$C$5:$M$2666,5,FALSE)</f>
        <v>xx</v>
      </c>
      <c r="I842" s="220"/>
      <c r="J842" s="47">
        <f>E842+3</f>
        <v>45614</v>
      </c>
      <c r="K842" s="72">
        <f>VLOOKUP($C842,Carpetas!$C$5:$M$2666,4,FALSE)</f>
        <v>0</v>
      </c>
      <c r="L842" s="32"/>
      <c r="M842" s="48">
        <f t="shared" si="54"/>
        <v>45615</v>
      </c>
      <c r="N842" s="26">
        <f t="shared" si="55"/>
        <v>4</v>
      </c>
      <c r="O842" s="27">
        <v>990</v>
      </c>
      <c r="P842" s="27"/>
      <c r="Q842" s="27"/>
      <c r="R842" s="27"/>
      <c r="S842" s="27"/>
      <c r="T842" s="27"/>
      <c r="U842" s="27"/>
      <c r="V842" s="27"/>
      <c r="W842" s="27"/>
      <c r="X842" s="73"/>
      <c r="Y842" s="73" t="e">
        <f>VLOOKUP(X842,Choferes!$B$2:$C$500,2,FALSE)</f>
        <v>#N/A</v>
      </c>
      <c r="Z842" s="73"/>
    </row>
    <row r="843" spans="1:26" hidden="1" x14ac:dyDescent="0.25">
      <c r="A843" s="33">
        <v>46</v>
      </c>
      <c r="B843" s="71" t="s">
        <v>298</v>
      </c>
      <c r="C843" s="39" t="s">
        <v>299</v>
      </c>
      <c r="D843" s="50" t="s">
        <v>102</v>
      </c>
      <c r="E843" s="47">
        <v>45611</v>
      </c>
      <c r="F843" s="31" t="str">
        <f>VLOOKUP($C843,Carpetas!$C$5:$M$2666,2,FALSE)</f>
        <v>BRB</v>
      </c>
      <c r="G843" s="23" t="e">
        <f>VLOOKUP($C843,Carpetas!$C$5:$M$2666,9,FALSE)</f>
        <v>#REF!</v>
      </c>
      <c r="H843" s="27" t="str">
        <f>VLOOKUP($C843,Carpetas!$C$5:$M$2666,5,FALSE)</f>
        <v>xx</v>
      </c>
      <c r="I843" s="220"/>
      <c r="J843" s="47">
        <f>E843+3</f>
        <v>45614</v>
      </c>
      <c r="K843" s="72">
        <f>VLOOKUP($C843,Carpetas!$C$5:$M$2666,4,FALSE)</f>
        <v>0</v>
      </c>
      <c r="L843" s="32"/>
      <c r="M843" s="48">
        <f t="shared" si="54"/>
        <v>45615</v>
      </c>
      <c r="N843" s="26">
        <f t="shared" si="55"/>
        <v>4</v>
      </c>
      <c r="O843" s="27">
        <v>980</v>
      </c>
      <c r="P843" s="27"/>
      <c r="Q843" s="27"/>
      <c r="R843" s="27"/>
      <c r="S843" s="27"/>
      <c r="T843" s="27"/>
      <c r="U843" s="27"/>
      <c r="V843" s="27"/>
      <c r="W843" s="27"/>
      <c r="X843" s="73"/>
      <c r="Y843" s="73" t="e">
        <f>VLOOKUP(X843,Choferes!$B$2:$C$500,2,FALSE)</f>
        <v>#N/A</v>
      </c>
      <c r="Z843" s="73"/>
    </row>
    <row r="844" spans="1:26" hidden="1" x14ac:dyDescent="0.25">
      <c r="A844" s="33">
        <v>46</v>
      </c>
      <c r="B844" s="71" t="s">
        <v>29</v>
      </c>
      <c r="C844" s="39" t="s">
        <v>2622</v>
      </c>
      <c r="D844" s="50" t="s">
        <v>38</v>
      </c>
      <c r="E844" s="47">
        <v>45609</v>
      </c>
      <c r="F844" s="31" t="str">
        <f>VLOOKUP($C844,Carpetas!$C$5:$M$2666,2,FALSE)</f>
        <v>BRE051</v>
      </c>
      <c r="G844" s="23" t="str">
        <f>VLOOKUP($C844,Carpetas!$C$5:$M$2666,10,FALSE)</f>
        <v>150,99,38,41,39,36,41</v>
      </c>
      <c r="H844" s="27" t="str">
        <f>VLOOKUP($C844,Carpetas!$C$5:$M$2666,6,FALSE)</f>
        <v>Zanini</v>
      </c>
      <c r="I844" s="220">
        <f>VLOOKUP($C844,Carpetas!$C$5:$M$2666,4,FALSE)</f>
        <v>0</v>
      </c>
      <c r="J844" s="47">
        <f>E844+5</f>
        <v>45614</v>
      </c>
      <c r="K844" s="72" t="str">
        <f>VLOOKUP($C844,Carpetas!$C$5:$M$2666,5,FALSE)</f>
        <v>Rio Branco</v>
      </c>
      <c r="L844" s="32"/>
      <c r="M844" s="48">
        <v>45616</v>
      </c>
      <c r="N844" s="26">
        <f t="shared" si="55"/>
        <v>7</v>
      </c>
      <c r="O844" s="27">
        <v>1184</v>
      </c>
      <c r="P844" s="27"/>
      <c r="Q844" s="27"/>
      <c r="R844" s="27"/>
      <c r="S844" s="27"/>
      <c r="T844" s="27"/>
      <c r="U844" s="27">
        <v>4871</v>
      </c>
      <c r="V844" s="27" t="s">
        <v>2623</v>
      </c>
      <c r="W844" s="27" t="s">
        <v>1403</v>
      </c>
      <c r="X844" s="73"/>
      <c r="Y844" s="73" t="e">
        <f>VLOOKUP(X844,Choferes!$B$2:$C$500,2,FALSE)</f>
        <v>#N/A</v>
      </c>
      <c r="Z844" s="73" t="s">
        <v>2624</v>
      </c>
    </row>
    <row r="845" spans="1:26" ht="30" hidden="1" x14ac:dyDescent="0.25">
      <c r="A845" s="33">
        <v>46</v>
      </c>
      <c r="B845" s="71" t="s">
        <v>29</v>
      </c>
      <c r="C845" s="39" t="s">
        <v>2509</v>
      </c>
      <c r="D845" s="50" t="s">
        <v>2202</v>
      </c>
      <c r="E845" s="47">
        <v>45610</v>
      </c>
      <c r="F845" s="31" t="str">
        <f>VLOOKUP($C845,Carpetas!$C$5:$M$2666,2,FALSE)</f>
        <v>BRB090</v>
      </c>
      <c r="G845" s="23" t="str">
        <f>VLOOKUP($C845,Carpetas!$C$5:$M$2666,10,FALSE)</f>
        <v>150,94,41</v>
      </c>
      <c r="H845" s="27" t="str">
        <f>VLOOKUP($C845,Carpetas!$C$5:$M$2666,6,FALSE)</f>
        <v xml:space="preserve">Silvio </v>
      </c>
      <c r="I845" s="220"/>
      <c r="J845" s="47">
        <v>45615</v>
      </c>
      <c r="K845" s="72" t="str">
        <f>VLOOKUP($C845,Carpetas!$C$5:$M$2666,5,FALSE)</f>
        <v>Rio Branco</v>
      </c>
      <c r="L845" s="32"/>
      <c r="M845" s="48">
        <f t="shared" ref="M845:M888" si="56">J845+1</f>
        <v>45616</v>
      </c>
      <c r="N845" s="26">
        <f t="shared" si="55"/>
        <v>6</v>
      </c>
      <c r="O845" s="27">
        <v>918</v>
      </c>
      <c r="P845" s="27">
        <v>918</v>
      </c>
      <c r="Q845" s="27">
        <v>26</v>
      </c>
      <c r="R845" s="27">
        <v>26</v>
      </c>
      <c r="S845" s="27" t="s">
        <v>2625</v>
      </c>
      <c r="T845" s="27"/>
      <c r="U845" s="27">
        <v>7198</v>
      </c>
      <c r="V845" s="27" t="s">
        <v>2626</v>
      </c>
      <c r="W845" s="27" t="s">
        <v>2627</v>
      </c>
      <c r="X845" s="73"/>
      <c r="Y845" s="73" t="e">
        <f>VLOOKUP(X845,Choferes!$B$2:$C$500,2,FALSE)</f>
        <v>#N/A</v>
      </c>
      <c r="Z845" s="73" t="s">
        <v>2628</v>
      </c>
    </row>
    <row r="846" spans="1:26" ht="45" hidden="1" x14ac:dyDescent="0.25">
      <c r="A846" s="33">
        <v>46</v>
      </c>
      <c r="B846" s="71" t="s">
        <v>29</v>
      </c>
      <c r="C846" s="39" t="s">
        <v>2629</v>
      </c>
      <c r="D846" s="50" t="s">
        <v>2474</v>
      </c>
      <c r="E846" s="47">
        <v>45610</v>
      </c>
      <c r="F846" s="31" t="str">
        <f>VLOOKUP($C846,Carpetas!$C$5:$M$2666,2,FALSE)</f>
        <v>BRB095</v>
      </c>
      <c r="G846" s="23" t="str">
        <f>VLOOKUP($C846,Carpetas!$C$5:$M$2666,10,FALSE)</f>
        <v>150,98,70</v>
      </c>
      <c r="H846" s="27" t="str">
        <f>VLOOKUP($C846,Carpetas!$C$5:$M$2666,6,FALSE)</f>
        <v xml:space="preserve">Silvio </v>
      </c>
      <c r="I846" s="220"/>
      <c r="J846" s="47">
        <v>45615</v>
      </c>
      <c r="K846" s="72" t="str">
        <f>VLOOKUP($C846,Carpetas!$C$5:$M$2666,5,FALSE)</f>
        <v>Rio Branco</v>
      </c>
      <c r="L846" s="32"/>
      <c r="M846" s="48">
        <f t="shared" si="56"/>
        <v>45616</v>
      </c>
      <c r="N846" s="26">
        <f t="shared" si="55"/>
        <v>6</v>
      </c>
      <c r="O846" s="27">
        <v>918</v>
      </c>
      <c r="P846" s="27">
        <v>918</v>
      </c>
      <c r="Q846" s="27">
        <v>28</v>
      </c>
      <c r="R846" s="27">
        <v>25.5</v>
      </c>
      <c r="S846" s="27" t="s">
        <v>2630</v>
      </c>
      <c r="T846" s="27"/>
      <c r="U846" s="27">
        <v>7205</v>
      </c>
      <c r="V846" s="27" t="s">
        <v>2631</v>
      </c>
      <c r="W846" s="27" t="s">
        <v>2632</v>
      </c>
      <c r="X846" s="73"/>
      <c r="Y846" s="73" t="e">
        <f>VLOOKUP(X846,Choferes!$B$2:$C$500,2,FALSE)</f>
        <v>#N/A</v>
      </c>
      <c r="Z846" s="73" t="s">
        <v>2633</v>
      </c>
    </row>
    <row r="847" spans="1:26" ht="45" hidden="1" x14ac:dyDescent="0.25">
      <c r="A847" s="33">
        <v>46</v>
      </c>
      <c r="B847" s="71" t="s">
        <v>29</v>
      </c>
      <c r="C847" s="39" t="s">
        <v>2634</v>
      </c>
      <c r="D847" s="50" t="s">
        <v>2474</v>
      </c>
      <c r="E847" s="47">
        <v>45612</v>
      </c>
      <c r="F847" s="31" t="str">
        <f>VLOOKUP($C847,Carpetas!$C$5:$M$2666,2,FALSE)</f>
        <v>BRB096</v>
      </c>
      <c r="G847" s="23" t="str">
        <f>VLOOKUP($C847,Carpetas!$C$5:$M$2666,10,FALSE)</f>
        <v>150,99,91</v>
      </c>
      <c r="H847" s="27" t="str">
        <f>VLOOKUP($C847,Carpetas!$C$5:$M$2666,6,FALSE)</f>
        <v>Zanini</v>
      </c>
      <c r="I847" s="220"/>
      <c r="J847" s="47">
        <f>E847+3</f>
        <v>45615</v>
      </c>
      <c r="K847" s="72" t="str">
        <f>VLOOKUP($C847,Carpetas!$C$5:$M$2666,5,FALSE)</f>
        <v>Rio Branco</v>
      </c>
      <c r="L847" s="32"/>
      <c r="M847" s="48">
        <f t="shared" si="56"/>
        <v>45616</v>
      </c>
      <c r="N847" s="26">
        <f t="shared" si="55"/>
        <v>4</v>
      </c>
      <c r="O847" s="27">
        <v>918</v>
      </c>
      <c r="P847" s="27">
        <v>918</v>
      </c>
      <c r="Q847" s="27">
        <v>28</v>
      </c>
      <c r="R847" s="27">
        <v>25</v>
      </c>
      <c r="S847" s="27" t="s">
        <v>2635</v>
      </c>
      <c r="T847" s="27"/>
      <c r="U847" s="27">
        <v>4873</v>
      </c>
      <c r="V847" s="27" t="s">
        <v>732</v>
      </c>
      <c r="W847" s="27" t="s">
        <v>733</v>
      </c>
      <c r="X847" s="73"/>
      <c r="Y847" s="73" t="e">
        <f>VLOOKUP(X847,Choferes!$B$2:$C$500,2,FALSE)</f>
        <v>#N/A</v>
      </c>
      <c r="Z847" s="73" t="s">
        <v>2636</v>
      </c>
    </row>
    <row r="848" spans="1:26" hidden="1" x14ac:dyDescent="0.25">
      <c r="A848" s="33">
        <v>46</v>
      </c>
      <c r="B848" s="71" t="s">
        <v>29</v>
      </c>
      <c r="C848" s="39" t="s">
        <v>2563</v>
      </c>
      <c r="D848" s="50" t="s">
        <v>1757</v>
      </c>
      <c r="E848" s="47">
        <v>45609</v>
      </c>
      <c r="F848" s="31" t="str">
        <f>VLOOKUP($C848,Carpetas!$C$5:$M$2666,2,FALSE)</f>
        <v>BRB093</v>
      </c>
      <c r="G848" s="23" t="str">
        <f>VLOOKUP($C848,Carpetas!$C$5:$M$2666,10,FALSE)</f>
        <v>150,94,98</v>
      </c>
      <c r="H848" s="27" t="str">
        <f>VLOOKUP($C848,Carpetas!$C$5:$M$2666,6,FALSE)</f>
        <v>Marvel</v>
      </c>
      <c r="I848" s="220"/>
      <c r="J848" s="47">
        <v>45616</v>
      </c>
      <c r="K848" s="72" t="str">
        <f>VLOOKUP($C848,Carpetas!$C$5:$M$2666,5,FALSE)</f>
        <v>Rio Branco</v>
      </c>
      <c r="L848" s="32"/>
      <c r="M848" s="48">
        <f t="shared" si="56"/>
        <v>45617</v>
      </c>
      <c r="N848" s="26">
        <f t="shared" si="55"/>
        <v>8</v>
      </c>
      <c r="O848" s="27">
        <v>936</v>
      </c>
      <c r="P848" s="27">
        <v>936</v>
      </c>
      <c r="Q848" s="27">
        <v>26</v>
      </c>
      <c r="R848" s="27">
        <v>25.5</v>
      </c>
      <c r="S848" s="27" t="s">
        <v>2637</v>
      </c>
      <c r="T848" s="27"/>
      <c r="U848" s="27">
        <v>10329</v>
      </c>
      <c r="V848" s="27" t="s">
        <v>2638</v>
      </c>
      <c r="W848" s="27" t="s">
        <v>2639</v>
      </c>
      <c r="X848" s="73"/>
      <c r="Y848" s="73" t="e">
        <f>VLOOKUP(X848,Choferes!$B$2:$C$500,2,FALSE)</f>
        <v>#N/A</v>
      </c>
      <c r="Z848" s="73" t="s">
        <v>2640</v>
      </c>
    </row>
    <row r="849" spans="1:26" hidden="1" x14ac:dyDescent="0.25">
      <c r="A849" s="33">
        <v>46</v>
      </c>
      <c r="B849" s="71" t="s">
        <v>29</v>
      </c>
      <c r="C849" s="39" t="s">
        <v>2641</v>
      </c>
      <c r="D849" s="50" t="s">
        <v>1757</v>
      </c>
      <c r="E849" s="47">
        <v>45611</v>
      </c>
      <c r="F849" s="31" t="str">
        <f>VLOOKUP($C849,Carpetas!$C$5:$M$2666,2,FALSE)</f>
        <v>BRB097</v>
      </c>
      <c r="G849" s="23" t="str">
        <f>VLOOKUP($C849,Carpetas!$C$5:$M$2666,10,FALSE)</f>
        <v>151,04,12</v>
      </c>
      <c r="H849" s="27" t="str">
        <f>VLOOKUP($C849,Carpetas!$C$5:$M$2666,6,FALSE)</f>
        <v>Marvel</v>
      </c>
      <c r="I849" s="220"/>
      <c r="J849" s="47">
        <v>45617</v>
      </c>
      <c r="K849" s="72" t="str">
        <f>VLOOKUP($C849,Carpetas!$C$5:$M$2666,5,FALSE)</f>
        <v>Rio Branco</v>
      </c>
      <c r="L849" s="32"/>
      <c r="M849" s="48">
        <f t="shared" si="56"/>
        <v>45618</v>
      </c>
      <c r="N849" s="26">
        <f t="shared" si="55"/>
        <v>7</v>
      </c>
      <c r="O849" s="27">
        <v>936</v>
      </c>
      <c r="P849" s="27">
        <v>936</v>
      </c>
      <c r="Q849" s="27">
        <v>26</v>
      </c>
      <c r="R849" s="27">
        <v>27</v>
      </c>
      <c r="S849" s="27" t="s">
        <v>2642</v>
      </c>
      <c r="T849" s="27"/>
      <c r="U849" s="27">
        <v>10347</v>
      </c>
      <c r="V849" s="27" t="s">
        <v>2643</v>
      </c>
      <c r="W849" s="27" t="s">
        <v>2644</v>
      </c>
      <c r="X849" s="73"/>
      <c r="Y849" s="73" t="e">
        <f>VLOOKUP(X849,Choferes!$B$2:$C$500,2,FALSE)</f>
        <v>#N/A</v>
      </c>
      <c r="Z849" s="73" t="s">
        <v>2645</v>
      </c>
    </row>
    <row r="850" spans="1:26" hidden="1" x14ac:dyDescent="0.25">
      <c r="A850" s="33">
        <v>46</v>
      </c>
      <c r="B850" s="71" t="s">
        <v>29</v>
      </c>
      <c r="C850" s="39" t="s">
        <v>2641</v>
      </c>
      <c r="D850" s="50" t="s">
        <v>1757</v>
      </c>
      <c r="E850" s="47">
        <v>45612</v>
      </c>
      <c r="F850" s="31" t="str">
        <f>VLOOKUP($C850,Carpetas!$C$5:$M$2666,2,FALSE)</f>
        <v>BRB097</v>
      </c>
      <c r="G850" s="23" t="str">
        <f>VLOOKUP($C850,Carpetas!$C$5:$M$2666,10,FALSE)</f>
        <v>151,04,12</v>
      </c>
      <c r="H850" s="27" t="str">
        <f>VLOOKUP($C850,Carpetas!$C$5:$M$2666,6,FALSE)</f>
        <v>Marvel</v>
      </c>
      <c r="I850" s="220"/>
      <c r="J850" s="47">
        <f>E850+5</f>
        <v>45617</v>
      </c>
      <c r="K850" s="72" t="str">
        <f>VLOOKUP($C850,Carpetas!$C$5:$M$2666,5,FALSE)</f>
        <v>Rio Branco</v>
      </c>
      <c r="L850" s="32"/>
      <c r="M850" s="48">
        <f t="shared" si="56"/>
        <v>45618</v>
      </c>
      <c r="N850" s="26">
        <f t="shared" si="55"/>
        <v>6</v>
      </c>
      <c r="O850" s="27">
        <v>936</v>
      </c>
      <c r="P850" s="27">
        <v>936</v>
      </c>
      <c r="Q850" s="27">
        <v>26</v>
      </c>
      <c r="R850" s="27">
        <v>26</v>
      </c>
      <c r="S850" s="27" t="s">
        <v>2646</v>
      </c>
      <c r="T850" s="27"/>
      <c r="U850" s="27">
        <v>10348</v>
      </c>
      <c r="V850" s="27" t="s">
        <v>2647</v>
      </c>
      <c r="W850" s="27" t="s">
        <v>2648</v>
      </c>
      <c r="X850" s="73"/>
      <c r="Y850" s="73" t="e">
        <f>VLOOKUP(X850,Choferes!$B$2:$C$500,2,FALSE)</f>
        <v>#N/A</v>
      </c>
      <c r="Z850" s="73" t="s">
        <v>2645</v>
      </c>
    </row>
    <row r="851" spans="1:26" ht="30" hidden="1" x14ac:dyDescent="0.25">
      <c r="A851" s="33">
        <v>47</v>
      </c>
      <c r="B851" s="71" t="s">
        <v>29</v>
      </c>
      <c r="C851" s="39" t="s">
        <v>2598</v>
      </c>
      <c r="D851" s="50" t="s">
        <v>747</v>
      </c>
      <c r="E851" s="47">
        <v>45614</v>
      </c>
      <c r="F851" s="31" t="str">
        <f>VLOOKUP($C851,Carpetas!$C$5:$M$2666,2,FALSE)</f>
        <v>BRB094</v>
      </c>
      <c r="G851" s="23" t="str">
        <f>VLOOKUP($C851,Carpetas!$C$5:$M$2666,10,FALSE)</f>
        <v>150,98,71</v>
      </c>
      <c r="H851" s="27" t="str">
        <f>VLOOKUP($C851,Carpetas!$C$5:$M$2666,6,FALSE)</f>
        <v>FG</v>
      </c>
      <c r="I851" s="220"/>
      <c r="J851" s="47">
        <f>E851+3</f>
        <v>45617</v>
      </c>
      <c r="K851" s="72" t="str">
        <f>VLOOKUP($C851,Carpetas!$C$5:$M$2666,5,FALSE)</f>
        <v>Rio Branco</v>
      </c>
      <c r="L851" s="32"/>
      <c r="M851" s="48">
        <f t="shared" si="56"/>
        <v>45618</v>
      </c>
      <c r="N851" s="26">
        <f t="shared" si="55"/>
        <v>4</v>
      </c>
      <c r="O851" s="27">
        <v>990</v>
      </c>
      <c r="P851" s="27">
        <v>991</v>
      </c>
      <c r="Q851" s="27">
        <v>28</v>
      </c>
      <c r="R851" s="27">
        <v>25</v>
      </c>
      <c r="S851" s="27" t="s">
        <v>2649</v>
      </c>
      <c r="T851" s="27"/>
      <c r="U851" s="27">
        <v>455</v>
      </c>
      <c r="V851" s="27" t="s">
        <v>1657</v>
      </c>
      <c r="W851" s="27" t="s">
        <v>1815</v>
      </c>
      <c r="X851" s="73"/>
      <c r="Y851" s="73" t="e">
        <f>VLOOKUP(X851,Choferes!$B$2:$C$500,2,FALSE)</f>
        <v>#N/A</v>
      </c>
      <c r="Z851" s="73" t="s">
        <v>2650</v>
      </c>
    </row>
    <row r="852" spans="1:26" ht="30" hidden="1" x14ac:dyDescent="0.25">
      <c r="A852" s="33">
        <v>47</v>
      </c>
      <c r="B852" s="71" t="s">
        <v>29</v>
      </c>
      <c r="C852" s="39" t="s">
        <v>2629</v>
      </c>
      <c r="D852" s="50" t="s">
        <v>2474</v>
      </c>
      <c r="E852" s="47">
        <v>45615</v>
      </c>
      <c r="F852" s="31" t="str">
        <f>VLOOKUP($C852,Carpetas!$C$5:$M$2666,2,FALSE)</f>
        <v>BRB095</v>
      </c>
      <c r="G852" s="23" t="str">
        <f>VLOOKUP($C852,Carpetas!$C$5:$M$2666,10,FALSE)</f>
        <v>150,98,70</v>
      </c>
      <c r="H852" s="27" t="str">
        <f>VLOOKUP($C852,Carpetas!$C$5:$M$2666,6,FALSE)</f>
        <v xml:space="preserve">Silvio </v>
      </c>
      <c r="I852" s="220"/>
      <c r="J852" s="47">
        <v>45617</v>
      </c>
      <c r="K852" s="72" t="str">
        <f>VLOOKUP($C852,Carpetas!$C$5:$M$2666,5,FALSE)</f>
        <v>Rio Branco</v>
      </c>
      <c r="L852" s="32"/>
      <c r="M852" s="48">
        <f t="shared" si="56"/>
        <v>45618</v>
      </c>
      <c r="N852" s="26">
        <f t="shared" si="55"/>
        <v>3</v>
      </c>
      <c r="O852" s="27">
        <v>918</v>
      </c>
      <c r="P852" s="27">
        <v>918</v>
      </c>
      <c r="Q852" s="27">
        <v>28</v>
      </c>
      <c r="R852" s="27">
        <v>25</v>
      </c>
      <c r="S852" s="27" t="s">
        <v>2651</v>
      </c>
      <c r="T852" s="27"/>
      <c r="U852" s="27">
        <v>7206</v>
      </c>
      <c r="V852" s="27" t="s">
        <v>2652</v>
      </c>
      <c r="W852" s="27" t="s">
        <v>2653</v>
      </c>
      <c r="X852" s="73"/>
      <c r="Y852" s="73" t="e">
        <f>VLOOKUP(X852,Choferes!$B$2:$C$500,2,FALSE)</f>
        <v>#N/A</v>
      </c>
      <c r="Z852" s="73" t="s">
        <v>2654</v>
      </c>
    </row>
    <row r="853" spans="1:26" hidden="1" x14ac:dyDescent="0.25">
      <c r="A853" s="33">
        <v>47</v>
      </c>
      <c r="B853" s="71" t="s">
        <v>29</v>
      </c>
      <c r="C853" s="39" t="s">
        <v>2598</v>
      </c>
      <c r="D853" s="50" t="s">
        <v>747</v>
      </c>
      <c r="E853" s="47">
        <v>45616</v>
      </c>
      <c r="F853" s="31" t="str">
        <f>VLOOKUP($C853,Carpetas!$C$5:$M$2666,2,FALSE)</f>
        <v>BRB094</v>
      </c>
      <c r="G853" s="23" t="str">
        <f>VLOOKUP($C853,Carpetas!$C$5:$M$2666,10,FALSE)</f>
        <v>150,98,71</v>
      </c>
      <c r="H853" s="27" t="str">
        <f>VLOOKUP($C853,Carpetas!$C$5:$M$2666,6,FALSE)</f>
        <v>FG</v>
      </c>
      <c r="I853" s="220"/>
      <c r="J853" s="47">
        <v>45617</v>
      </c>
      <c r="K853" s="72" t="str">
        <f>VLOOKUP($C853,Carpetas!$C$5:$M$2666,5,FALSE)</f>
        <v>Rio Branco</v>
      </c>
      <c r="L853" s="32"/>
      <c r="M853" s="48">
        <f t="shared" si="56"/>
        <v>45618</v>
      </c>
      <c r="N853" s="26">
        <f t="shared" si="55"/>
        <v>2</v>
      </c>
      <c r="O853" s="27">
        <v>990</v>
      </c>
      <c r="P853" s="27">
        <v>991</v>
      </c>
      <c r="Q853" s="27">
        <v>28</v>
      </c>
      <c r="R853" s="27">
        <v>25.5</v>
      </c>
      <c r="S853" s="27" t="s">
        <v>2655</v>
      </c>
      <c r="T853" s="27"/>
      <c r="U853" s="27">
        <v>464</v>
      </c>
      <c r="V853" s="27" t="s">
        <v>1726</v>
      </c>
      <c r="W853" s="27" t="s">
        <v>1646</v>
      </c>
      <c r="X853" s="73"/>
      <c r="Y853" s="73" t="e">
        <f>VLOOKUP(X853,Choferes!$B$2:$C$500,2,FALSE)</f>
        <v>#N/A</v>
      </c>
      <c r="Z853" s="73" t="s">
        <v>2656</v>
      </c>
    </row>
    <row r="854" spans="1:26" ht="30" hidden="1" x14ac:dyDescent="0.25">
      <c r="A854" s="33">
        <v>46</v>
      </c>
      <c r="B854" s="71" t="s">
        <v>29</v>
      </c>
      <c r="C854" s="39" t="s">
        <v>2563</v>
      </c>
      <c r="D854" s="50" t="s">
        <v>1757</v>
      </c>
      <c r="E854" s="47">
        <v>45610</v>
      </c>
      <c r="F854" s="31" t="str">
        <f>VLOOKUP($C854,Carpetas!$C$5:$M$2666,2,FALSE)</f>
        <v>BRB093</v>
      </c>
      <c r="G854" s="23" t="str">
        <f>VLOOKUP($C854,Carpetas!$C$5:$M$2666,10,FALSE)</f>
        <v>150,94,98</v>
      </c>
      <c r="H854" s="27" t="str">
        <f>VLOOKUP($C854,Carpetas!$C$5:$M$2666,6,FALSE)</f>
        <v>Marvel</v>
      </c>
      <c r="I854" s="220"/>
      <c r="J854" s="47">
        <v>45618</v>
      </c>
      <c r="K854" s="72" t="str">
        <f>VLOOKUP($C854,Carpetas!$C$5:$M$2666,5,FALSE)</f>
        <v>Rio Branco</v>
      </c>
      <c r="L854" s="32"/>
      <c r="M854" s="48">
        <f t="shared" si="56"/>
        <v>45619</v>
      </c>
      <c r="N854" s="26">
        <f t="shared" si="55"/>
        <v>9</v>
      </c>
      <c r="O854" s="27">
        <v>936</v>
      </c>
      <c r="P854" s="27">
        <v>936</v>
      </c>
      <c r="Q854" s="27">
        <v>26</v>
      </c>
      <c r="R854" s="27">
        <v>25.5</v>
      </c>
      <c r="S854" s="27" t="s">
        <v>2657</v>
      </c>
      <c r="T854" s="27"/>
      <c r="U854" s="27">
        <v>10330</v>
      </c>
      <c r="V854" s="27" t="s">
        <v>2658</v>
      </c>
      <c r="W854" s="27" t="s">
        <v>2659</v>
      </c>
      <c r="X854" s="73"/>
      <c r="Y854" s="73" t="e">
        <f>VLOOKUP(X854,Choferes!$B$2:$C$500,2,FALSE)</f>
        <v>#N/A</v>
      </c>
      <c r="Z854" s="73" t="s">
        <v>2660</v>
      </c>
    </row>
    <row r="855" spans="1:26" ht="30" hidden="1" x14ac:dyDescent="0.25">
      <c r="A855" s="33">
        <v>47</v>
      </c>
      <c r="B855" s="71" t="s">
        <v>29</v>
      </c>
      <c r="C855" s="39" t="s">
        <v>2634</v>
      </c>
      <c r="D855" s="50" t="s">
        <v>249</v>
      </c>
      <c r="E855" s="47">
        <v>45615</v>
      </c>
      <c r="F855" s="31" t="str">
        <f>VLOOKUP($C855,Carpetas!$C$5:$M$2666,2,FALSE)</f>
        <v>BRB096</v>
      </c>
      <c r="G855" s="23" t="str">
        <f>VLOOKUP($C855,Carpetas!$C$5:$M$2666,10,FALSE)</f>
        <v>150,99,91</v>
      </c>
      <c r="H855" s="27" t="str">
        <f>VLOOKUP($C855,Carpetas!$C$5:$M$2666,6,FALSE)</f>
        <v>Zanini</v>
      </c>
      <c r="I855" s="220"/>
      <c r="J855" s="47">
        <f t="shared" ref="J855:J860" si="57">E855+3</f>
        <v>45618</v>
      </c>
      <c r="K855" s="72" t="str">
        <f>VLOOKUP($C855,Carpetas!$C$5:$M$2666,5,FALSE)</f>
        <v>Rio Branco</v>
      </c>
      <c r="L855" s="32"/>
      <c r="M855" s="48">
        <f t="shared" si="56"/>
        <v>45619</v>
      </c>
      <c r="N855" s="26">
        <f t="shared" si="55"/>
        <v>4</v>
      </c>
      <c r="O855" s="27">
        <v>918</v>
      </c>
      <c r="P855" s="27">
        <v>919</v>
      </c>
      <c r="Q855" s="27">
        <v>26</v>
      </c>
      <c r="R855" s="27">
        <v>25</v>
      </c>
      <c r="S855" s="27" t="s">
        <v>2661</v>
      </c>
      <c r="T855" s="27"/>
      <c r="U855" s="27">
        <v>4883</v>
      </c>
      <c r="V855" s="27" t="s">
        <v>574</v>
      </c>
      <c r="W855" s="27" t="s">
        <v>575</v>
      </c>
      <c r="X855" s="73"/>
      <c r="Y855" s="73" t="e">
        <f>VLOOKUP(X855,Choferes!$B$2:$C$500,2,FALSE)</f>
        <v>#N/A</v>
      </c>
      <c r="Z855" s="73" t="s">
        <v>2662</v>
      </c>
    </row>
    <row r="856" spans="1:26" ht="30" hidden="1" x14ac:dyDescent="0.25">
      <c r="A856" s="33">
        <v>47</v>
      </c>
      <c r="B856" s="71" t="s">
        <v>29</v>
      </c>
      <c r="C856" s="39" t="s">
        <v>2629</v>
      </c>
      <c r="D856" s="50" t="s">
        <v>2474</v>
      </c>
      <c r="E856" s="47">
        <v>45617</v>
      </c>
      <c r="F856" s="31" t="str">
        <f>VLOOKUP($C856,Carpetas!$C$5:$M$2666,2,FALSE)</f>
        <v>BRB095</v>
      </c>
      <c r="G856" s="23" t="str">
        <f>VLOOKUP($C856,Carpetas!$C$5:$M$2666,10,FALSE)</f>
        <v>150,98,70</v>
      </c>
      <c r="H856" s="27" t="str">
        <f>VLOOKUP($C856,Carpetas!$C$5:$M$2666,6,FALSE)</f>
        <v xml:space="preserve">Silvio </v>
      </c>
      <c r="I856" s="220"/>
      <c r="J856" s="47">
        <f t="shared" si="57"/>
        <v>45620</v>
      </c>
      <c r="K856" s="72" t="str">
        <f>VLOOKUP($C856,Carpetas!$C$5:$M$2666,5,FALSE)</f>
        <v>Rio Branco</v>
      </c>
      <c r="L856" s="32"/>
      <c r="M856" s="48">
        <f t="shared" si="56"/>
        <v>45621</v>
      </c>
      <c r="N856" s="26">
        <f t="shared" si="55"/>
        <v>4</v>
      </c>
      <c r="O856" s="27">
        <v>918</v>
      </c>
      <c r="P856" s="27">
        <v>918</v>
      </c>
      <c r="Q856" s="27">
        <v>26</v>
      </c>
      <c r="R856" s="27">
        <v>25</v>
      </c>
      <c r="S856" s="27" t="s">
        <v>2663</v>
      </c>
      <c r="T856" s="27"/>
      <c r="U856" s="27">
        <v>7207</v>
      </c>
      <c r="V856" s="27" t="s">
        <v>2664</v>
      </c>
      <c r="W856" s="27" t="s">
        <v>2665</v>
      </c>
      <c r="X856" s="73"/>
      <c r="Y856" s="73" t="e">
        <f>VLOOKUP(X856,Choferes!$B$2:$C$500,2,FALSE)</f>
        <v>#N/A</v>
      </c>
      <c r="Z856" s="73" t="s">
        <v>2666</v>
      </c>
    </row>
    <row r="857" spans="1:26" hidden="1" x14ac:dyDescent="0.25">
      <c r="A857" s="33">
        <v>47</v>
      </c>
      <c r="B857" s="71" t="s">
        <v>29</v>
      </c>
      <c r="C857" s="39" t="s">
        <v>2634</v>
      </c>
      <c r="D857" s="50" t="s">
        <v>110</v>
      </c>
      <c r="E857" s="47">
        <v>45618</v>
      </c>
      <c r="F857" s="31" t="str">
        <f>VLOOKUP($C857,Carpetas!$C$5:$M$2666,2,FALSE)</f>
        <v>BRB096</v>
      </c>
      <c r="G857" s="23" t="str">
        <f>VLOOKUP($C857,Carpetas!$C$5:$M$2666,10,FALSE)</f>
        <v>150,99,91</v>
      </c>
      <c r="H857" s="27" t="str">
        <f>VLOOKUP($C857,Carpetas!$C$5:$M$2666,6,FALSE)</f>
        <v>Zanini</v>
      </c>
      <c r="I857" s="220"/>
      <c r="J857" s="47">
        <f t="shared" si="57"/>
        <v>45621</v>
      </c>
      <c r="K857" s="72" t="str">
        <f>VLOOKUP($C857,Carpetas!$C$5:$M$2666,5,FALSE)</f>
        <v>Rio Branco</v>
      </c>
      <c r="L857" s="32"/>
      <c r="M857" s="48">
        <f t="shared" si="56"/>
        <v>45622</v>
      </c>
      <c r="N857" s="26">
        <f t="shared" si="55"/>
        <v>4</v>
      </c>
      <c r="O857" s="27">
        <v>918</v>
      </c>
      <c r="P857" s="27">
        <v>919</v>
      </c>
      <c r="Q857" s="27">
        <v>26</v>
      </c>
      <c r="R857" s="27">
        <v>25</v>
      </c>
      <c r="S857" s="27" t="s">
        <v>2667</v>
      </c>
      <c r="T857" s="27"/>
      <c r="U857" s="27">
        <v>4886</v>
      </c>
      <c r="V857" s="27" t="s">
        <v>2668</v>
      </c>
      <c r="W857" s="27" t="s">
        <v>2669</v>
      </c>
      <c r="X857" s="73"/>
      <c r="Y857" s="73" t="e">
        <f>VLOOKUP(X857,Choferes!$B$2:$C$500,2,FALSE)</f>
        <v>#N/A</v>
      </c>
      <c r="Z857" s="73" t="s">
        <v>2670</v>
      </c>
    </row>
    <row r="858" spans="1:26" hidden="1" x14ac:dyDescent="0.25">
      <c r="A858" s="33">
        <v>47</v>
      </c>
      <c r="B858" s="71" t="s">
        <v>29</v>
      </c>
      <c r="C858" s="39" t="s">
        <v>2598</v>
      </c>
      <c r="D858" s="50" t="s">
        <v>803</v>
      </c>
      <c r="E858" s="47">
        <v>45618</v>
      </c>
      <c r="F858" s="31" t="str">
        <f>VLOOKUP($C858,Carpetas!$C$5:$M$2666,2,FALSE)</f>
        <v>BRB094</v>
      </c>
      <c r="G858" s="23" t="str">
        <f>VLOOKUP($C858,Carpetas!$C$5:$M$2666,10,FALSE)</f>
        <v>150,98,71</v>
      </c>
      <c r="H858" s="27" t="str">
        <f>VLOOKUP($C858,Carpetas!$C$5:$M$2666,6,FALSE)</f>
        <v>FG</v>
      </c>
      <c r="I858" s="220"/>
      <c r="J858" s="47">
        <f t="shared" si="57"/>
        <v>45621</v>
      </c>
      <c r="K858" s="72" t="str">
        <f>VLOOKUP($C858,Carpetas!$C$5:$M$2666,5,FALSE)</f>
        <v>Rio Branco</v>
      </c>
      <c r="L858" s="32"/>
      <c r="M858" s="48">
        <f t="shared" si="56"/>
        <v>45622</v>
      </c>
      <c r="N858" s="26">
        <f t="shared" si="55"/>
        <v>4</v>
      </c>
      <c r="O858" s="27">
        <v>990</v>
      </c>
      <c r="P858" s="27">
        <v>990</v>
      </c>
      <c r="Q858" s="27">
        <v>28</v>
      </c>
      <c r="R858" s="27">
        <v>25.5</v>
      </c>
      <c r="S858" s="27" t="s">
        <v>2671</v>
      </c>
      <c r="T858" s="27"/>
      <c r="U858" s="27">
        <v>466</v>
      </c>
      <c r="V858" s="27" t="s">
        <v>1630</v>
      </c>
      <c r="W858" s="27" t="s">
        <v>1934</v>
      </c>
      <c r="X858" s="73"/>
      <c r="Y858" s="73" t="e">
        <f>VLOOKUP(X858,Choferes!$B$2:$C$500,2,FALSE)</f>
        <v>#N/A</v>
      </c>
      <c r="Z858" s="73" t="s">
        <v>2672</v>
      </c>
    </row>
    <row r="859" spans="1:26" hidden="1" x14ac:dyDescent="0.25">
      <c r="A859" s="33">
        <v>47</v>
      </c>
      <c r="B859" s="71" t="s">
        <v>29</v>
      </c>
      <c r="C859" s="39" t="s">
        <v>2598</v>
      </c>
      <c r="D859" s="50" t="s">
        <v>78</v>
      </c>
      <c r="E859" s="47">
        <v>45618</v>
      </c>
      <c r="F859" s="31" t="str">
        <f>VLOOKUP($C859,Carpetas!$C$5:$M$2666,2,FALSE)</f>
        <v>BRB094</v>
      </c>
      <c r="G859" s="23" t="str">
        <f>VLOOKUP($C859,Carpetas!$C$5:$M$2666,10,FALSE)</f>
        <v>150,98,71</v>
      </c>
      <c r="H859" s="27" t="str">
        <f>VLOOKUP($C859,Carpetas!$C$5:$M$2666,6,FALSE)</f>
        <v>FG</v>
      </c>
      <c r="I859" s="220"/>
      <c r="J859" s="47">
        <f t="shared" si="57"/>
        <v>45621</v>
      </c>
      <c r="K859" s="72" t="str">
        <f>VLOOKUP($C859,Carpetas!$C$5:$M$2666,5,FALSE)</f>
        <v>Rio Branco</v>
      </c>
      <c r="L859" s="32"/>
      <c r="M859" s="48">
        <f t="shared" si="56"/>
        <v>45622</v>
      </c>
      <c r="N859" s="26">
        <f t="shared" si="55"/>
        <v>4</v>
      </c>
      <c r="O859" s="27">
        <v>990</v>
      </c>
      <c r="P859" s="27">
        <v>990</v>
      </c>
      <c r="Q859" s="27">
        <v>28</v>
      </c>
      <c r="R859" s="27">
        <v>26</v>
      </c>
      <c r="S859" s="27" t="s">
        <v>2673</v>
      </c>
      <c r="T859" s="27"/>
      <c r="U859" s="27">
        <v>467</v>
      </c>
      <c r="V859" s="27" t="s">
        <v>1042</v>
      </c>
      <c r="W859" s="27" t="s">
        <v>1637</v>
      </c>
      <c r="X859" s="73"/>
      <c r="Y859" s="73" t="e">
        <f>VLOOKUP(X859,Choferes!$B$2:$C$500,2,FALSE)</f>
        <v>#N/A</v>
      </c>
      <c r="Z859" s="73" t="s">
        <v>2674</v>
      </c>
    </row>
    <row r="860" spans="1:26" ht="30" hidden="1" x14ac:dyDescent="0.25">
      <c r="A860" s="33">
        <v>47</v>
      </c>
      <c r="B860" s="71" t="s">
        <v>29</v>
      </c>
      <c r="C860" s="39" t="s">
        <v>2675</v>
      </c>
      <c r="D860" s="50" t="s">
        <v>2607</v>
      </c>
      <c r="E860" s="47">
        <v>45618</v>
      </c>
      <c r="F860" s="31" t="str">
        <f>VLOOKUP($C860,Carpetas!$C$5:$M$2666,2,FALSE)</f>
        <v>BRB098</v>
      </c>
      <c r="G860" s="23" t="str">
        <f>VLOOKUP($C860,Carpetas!$C$5:$M$2666,10,FALSE)</f>
        <v>151,08,87</v>
      </c>
      <c r="H860" s="27" t="str">
        <f>VLOOKUP($C860,Carpetas!$C$5:$M$2666,6,FALSE)</f>
        <v>Amaro</v>
      </c>
      <c r="I860" s="220"/>
      <c r="J860" s="47">
        <f t="shared" si="57"/>
        <v>45621</v>
      </c>
      <c r="K860" s="72" t="str">
        <f>VLOOKUP($C860,Carpetas!$C$5:$M$2666,5,FALSE)</f>
        <v>Rio Branco</v>
      </c>
      <c r="L860" s="32"/>
      <c r="M860" s="48">
        <f t="shared" si="56"/>
        <v>45622</v>
      </c>
      <c r="N860" s="26">
        <f t="shared" si="55"/>
        <v>4</v>
      </c>
      <c r="O860" s="27">
        <v>990</v>
      </c>
      <c r="P860" s="27">
        <v>990</v>
      </c>
      <c r="Q860" s="27">
        <v>28</v>
      </c>
      <c r="R860" s="27">
        <v>24</v>
      </c>
      <c r="S860" s="27" t="s">
        <v>2676</v>
      </c>
      <c r="T860" s="27"/>
      <c r="U860" s="27">
        <v>25048</v>
      </c>
      <c r="V860" s="27" t="s">
        <v>1657</v>
      </c>
      <c r="W860" s="27" t="s">
        <v>1815</v>
      </c>
      <c r="X860" s="73"/>
      <c r="Y860" s="73" t="e">
        <f>VLOOKUP(X860,Choferes!$B$2:$C$500,2,FALSE)</f>
        <v>#N/A</v>
      </c>
      <c r="Z860" s="73" t="s">
        <v>2677</v>
      </c>
    </row>
    <row r="861" spans="1:26" ht="30" hidden="1" x14ac:dyDescent="0.25">
      <c r="A861" s="33">
        <v>47</v>
      </c>
      <c r="B861" s="71" t="s">
        <v>29</v>
      </c>
      <c r="C861" s="39" t="s">
        <v>2629</v>
      </c>
      <c r="D861" s="50" t="s">
        <v>2474</v>
      </c>
      <c r="E861" s="47">
        <v>45619</v>
      </c>
      <c r="F861" s="31" t="str">
        <f>VLOOKUP($C861,Carpetas!$C$5:$M$2666,2,FALSE)</f>
        <v>BRB095</v>
      </c>
      <c r="G861" s="23" t="str">
        <f>VLOOKUP($C861,Carpetas!$C$5:$M$2666,10,FALSE)</f>
        <v>150,98,70</v>
      </c>
      <c r="H861" s="27" t="str">
        <f>VLOOKUP($C861,Carpetas!$C$5:$M$2666,6,FALSE)</f>
        <v xml:space="preserve">Silvio </v>
      </c>
      <c r="I861" s="220"/>
      <c r="J861" s="47">
        <v>45621</v>
      </c>
      <c r="K861" s="72" t="str">
        <f>VLOOKUP($C861,Carpetas!$C$5:$M$2666,5,FALSE)</f>
        <v>Rio Branco</v>
      </c>
      <c r="L861" s="32"/>
      <c r="M861" s="48">
        <f t="shared" si="56"/>
        <v>45622</v>
      </c>
      <c r="N861" s="26">
        <f t="shared" si="55"/>
        <v>3</v>
      </c>
      <c r="O861" s="27">
        <v>918</v>
      </c>
      <c r="P861" s="27">
        <v>918</v>
      </c>
      <c r="Q861" s="27">
        <v>26</v>
      </c>
      <c r="R861" s="27">
        <v>25</v>
      </c>
      <c r="S861" s="27" t="s">
        <v>2678</v>
      </c>
      <c r="T861" s="27"/>
      <c r="U861" s="27">
        <v>7208</v>
      </c>
      <c r="V861" s="27" t="s">
        <v>721</v>
      </c>
      <c r="W861" s="27" t="s">
        <v>722</v>
      </c>
      <c r="X861" s="73"/>
      <c r="Y861" s="73" t="e">
        <f>VLOOKUP(X861,Choferes!$B$2:$C$500,2,FALSE)</f>
        <v>#N/A</v>
      </c>
      <c r="Z861" s="73" t="s">
        <v>2679</v>
      </c>
    </row>
    <row r="862" spans="1:26" hidden="1" x14ac:dyDescent="0.25">
      <c r="A862" s="33">
        <v>47</v>
      </c>
      <c r="B862" s="71" t="s">
        <v>29</v>
      </c>
      <c r="C862" s="39" t="s">
        <v>2641</v>
      </c>
      <c r="D862" s="50" t="s">
        <v>1757</v>
      </c>
      <c r="E862" s="47">
        <v>45614</v>
      </c>
      <c r="F862" s="31" t="str">
        <f>VLOOKUP($C862,Carpetas!$C$5:$M$2666,2,FALSE)</f>
        <v>BRB097</v>
      </c>
      <c r="G862" s="23" t="str">
        <f>VLOOKUP($C862,Carpetas!$C$5:$M$2666,10,FALSE)</f>
        <v>151,04,12</v>
      </c>
      <c r="H862" s="27" t="str">
        <f>VLOOKUP($C862,Carpetas!$C$5:$M$2666,6,FALSE)</f>
        <v>Marvel</v>
      </c>
      <c r="I862" s="220"/>
      <c r="J862" s="47">
        <v>45622</v>
      </c>
      <c r="K862" s="72" t="str">
        <f>VLOOKUP($C862,Carpetas!$C$5:$M$2666,5,FALSE)</f>
        <v>Rio Branco</v>
      </c>
      <c r="L862" s="32"/>
      <c r="M862" s="48">
        <f t="shared" si="56"/>
        <v>45623</v>
      </c>
      <c r="N862" s="26">
        <f t="shared" si="55"/>
        <v>9</v>
      </c>
      <c r="O862" s="27">
        <v>936</v>
      </c>
      <c r="P862" s="27"/>
      <c r="Q862" s="27"/>
      <c r="R862" s="27"/>
      <c r="S862" s="27" t="s">
        <v>2680</v>
      </c>
      <c r="T862" s="27"/>
      <c r="U862" s="27">
        <v>10349</v>
      </c>
      <c r="V862" s="27" t="s">
        <v>2681</v>
      </c>
      <c r="W862" s="27" t="s">
        <v>2682</v>
      </c>
      <c r="X862" s="73"/>
      <c r="Y862" s="73" t="e">
        <f>VLOOKUP(X862,Choferes!$B$2:$C$500,2,FALSE)</f>
        <v>#N/A</v>
      </c>
      <c r="Z862" s="73"/>
    </row>
    <row r="863" spans="1:26" hidden="1" x14ac:dyDescent="0.25">
      <c r="A863" s="33">
        <v>47</v>
      </c>
      <c r="B863" s="71" t="s">
        <v>29</v>
      </c>
      <c r="C863" s="39" t="s">
        <v>2641</v>
      </c>
      <c r="D863" s="50" t="s">
        <v>1757</v>
      </c>
      <c r="E863" s="47">
        <v>45617</v>
      </c>
      <c r="F863" s="31" t="str">
        <f>VLOOKUP($C863,Carpetas!$C$5:$M$2666,2,FALSE)</f>
        <v>BRB097</v>
      </c>
      <c r="G863" s="23" t="str">
        <f>VLOOKUP($C863,Carpetas!$C$5:$M$2666,10,FALSE)</f>
        <v>151,04,12</v>
      </c>
      <c r="H863" s="27" t="str">
        <f>VLOOKUP($C863,Carpetas!$C$5:$M$2666,6,FALSE)</f>
        <v>Marvel</v>
      </c>
      <c r="I863" s="220"/>
      <c r="J863" s="47">
        <f>E863+5</f>
        <v>45622</v>
      </c>
      <c r="K863" s="72" t="str">
        <f>VLOOKUP($C863,Carpetas!$C$5:$M$2666,5,FALSE)</f>
        <v>Rio Branco</v>
      </c>
      <c r="L863" s="32"/>
      <c r="M863" s="48">
        <f t="shared" si="56"/>
        <v>45623</v>
      </c>
      <c r="N863" s="26">
        <f t="shared" si="55"/>
        <v>6</v>
      </c>
      <c r="O863" s="27">
        <v>936</v>
      </c>
      <c r="P863" s="27">
        <v>936</v>
      </c>
      <c r="Q863" s="27">
        <v>26</v>
      </c>
      <c r="R863" s="27">
        <v>25</v>
      </c>
      <c r="S863" s="27" t="s">
        <v>2683</v>
      </c>
      <c r="T863" s="27"/>
      <c r="U863" s="27">
        <v>10350</v>
      </c>
      <c r="V863" s="27" t="s">
        <v>2684</v>
      </c>
      <c r="W863" s="27" t="s">
        <v>2685</v>
      </c>
      <c r="X863" s="73"/>
      <c r="Y863" s="73" t="e">
        <f>VLOOKUP(X863,Choferes!$B$2:$C$500,2,FALSE)</f>
        <v>#N/A</v>
      </c>
      <c r="Z863" s="73" t="s">
        <v>2686</v>
      </c>
    </row>
    <row r="864" spans="1:26" hidden="1" x14ac:dyDescent="0.25">
      <c r="A864" s="33">
        <v>47</v>
      </c>
      <c r="B864" s="71" t="s">
        <v>29</v>
      </c>
      <c r="C864" s="39" t="s">
        <v>2687</v>
      </c>
      <c r="D864" s="50" t="s">
        <v>38</v>
      </c>
      <c r="E864" s="47">
        <v>45614</v>
      </c>
      <c r="F864" s="31" t="str">
        <f>VLOOKUP($C864,Carpetas!$C$5:$M$2666,2,FALSE)</f>
        <v>BRE053</v>
      </c>
      <c r="G864" s="23" t="str">
        <f>VLOOKUP($C864,Carpetas!$C$5:$M$2666,10,FALSE)</f>
        <v>150,99,96</v>
      </c>
      <c r="H864" s="27" t="str">
        <f>VLOOKUP($C864,Carpetas!$C$5:$M$2666,6,FALSE)</f>
        <v xml:space="preserve">Silvio </v>
      </c>
      <c r="I864" s="220">
        <f>VLOOKUP($C864,Carpetas!$C$5:$M$2666,4,FALSE)</f>
        <v>0</v>
      </c>
      <c r="J864" s="47">
        <v>45623</v>
      </c>
      <c r="K864" s="72" t="str">
        <f>VLOOKUP($C864,Carpetas!$C$5:$M$2666,5,FALSE)</f>
        <v>Rio Branco</v>
      </c>
      <c r="L864" s="32"/>
      <c r="M864" s="48">
        <f t="shared" si="56"/>
        <v>45624</v>
      </c>
      <c r="N864" s="26">
        <f t="shared" si="55"/>
        <v>10</v>
      </c>
      <c r="O864" s="27">
        <v>2100</v>
      </c>
      <c r="P864" s="27">
        <v>2100</v>
      </c>
      <c r="Q864" s="27"/>
      <c r="R864" s="27"/>
      <c r="S864" s="27"/>
      <c r="T864" s="27"/>
      <c r="U864" s="27" t="s">
        <v>2688</v>
      </c>
      <c r="V864" s="27" t="s">
        <v>2689</v>
      </c>
      <c r="W864" s="27" t="s">
        <v>2690</v>
      </c>
      <c r="X864" s="73"/>
      <c r="Y864" s="73" t="e">
        <f>VLOOKUP(X864,Choferes!$B$2:$C$500,2,FALSE)</f>
        <v>#N/A</v>
      </c>
      <c r="Z864" s="73" t="s">
        <v>2691</v>
      </c>
    </row>
    <row r="865" spans="1:26" hidden="1" x14ac:dyDescent="0.25">
      <c r="A865" s="33">
        <v>47</v>
      </c>
      <c r="B865" s="71" t="s">
        <v>29</v>
      </c>
      <c r="C865" s="39" t="s">
        <v>2692</v>
      </c>
      <c r="D865" s="50" t="s">
        <v>102</v>
      </c>
      <c r="E865" s="47">
        <v>45619</v>
      </c>
      <c r="F865" s="31" t="str">
        <f>VLOOKUP($C865,Carpetas!$C$5:$M$2666,2,FALSE)</f>
        <v>PYB152</v>
      </c>
      <c r="G865" s="23">
        <f>VLOOKUP($C865,Carpetas!$C$5:$M$2666,10,FALSE)</f>
        <v>0</v>
      </c>
      <c r="H865" s="27">
        <f>VLOOKUP($C865,Carpetas!$C$5:$M$2666,6,FALSE)</f>
        <v>0</v>
      </c>
      <c r="I865" s="220"/>
      <c r="J865" s="47">
        <v>45623</v>
      </c>
      <c r="K865" s="72" t="str">
        <f>VLOOKUP($C865,Carpetas!$C$5:$M$2666,5,FALSE)</f>
        <v>Salto</v>
      </c>
      <c r="L865" s="32"/>
      <c r="M865" s="48">
        <f t="shared" si="56"/>
        <v>45624</v>
      </c>
      <c r="N865" s="26">
        <f t="shared" si="55"/>
        <v>5</v>
      </c>
      <c r="O865" s="27">
        <v>980</v>
      </c>
      <c r="P865" s="27">
        <v>980</v>
      </c>
      <c r="Q865" s="27">
        <v>28</v>
      </c>
      <c r="R865" s="27">
        <v>27</v>
      </c>
      <c r="S865" s="27" t="s">
        <v>2693</v>
      </c>
      <c r="T865" s="27"/>
      <c r="U865" s="27"/>
      <c r="V865" s="27" t="s">
        <v>288</v>
      </c>
      <c r="W865" s="27" t="s">
        <v>289</v>
      </c>
      <c r="X865" s="73"/>
      <c r="Y865" s="73" t="e">
        <f>VLOOKUP(X865,Choferes!$B$2:$C$500,2,FALSE)</f>
        <v>#N/A</v>
      </c>
      <c r="Z865" s="73" t="s">
        <v>2694</v>
      </c>
    </row>
    <row r="866" spans="1:26" ht="30" hidden="1" x14ac:dyDescent="0.25">
      <c r="A866" s="33">
        <v>47</v>
      </c>
      <c r="B866" s="71" t="s">
        <v>29</v>
      </c>
      <c r="C866" s="39" t="s">
        <v>2641</v>
      </c>
      <c r="D866" s="50" t="s">
        <v>1757</v>
      </c>
      <c r="E866" s="47">
        <v>45617</v>
      </c>
      <c r="F866" s="31" t="str">
        <f>VLOOKUP($C866,Carpetas!$C$5:$M$2666,2,FALSE)</f>
        <v>BRB097</v>
      </c>
      <c r="G866" s="23" t="str">
        <f>VLOOKUP($C866,Carpetas!$C$5:$M$2666,10,FALSE)</f>
        <v>151,04,12</v>
      </c>
      <c r="H866" s="27" t="str">
        <f>VLOOKUP($C866,Carpetas!$C$5:$M$2666,6,FALSE)</f>
        <v>Marvel</v>
      </c>
      <c r="I866" s="220"/>
      <c r="J866" s="47">
        <v>45624</v>
      </c>
      <c r="K866" s="72" t="str">
        <f>VLOOKUP($C866,Carpetas!$C$5:$M$2666,5,FALSE)</f>
        <v>Rio Branco</v>
      </c>
      <c r="L866" s="32"/>
      <c r="M866" s="48">
        <f t="shared" si="56"/>
        <v>45625</v>
      </c>
      <c r="N866" s="26">
        <f t="shared" si="55"/>
        <v>8</v>
      </c>
      <c r="O866" s="27">
        <v>936</v>
      </c>
      <c r="P866" s="27">
        <v>936</v>
      </c>
      <c r="Q866" s="27">
        <v>26</v>
      </c>
      <c r="R866" s="27">
        <v>936</v>
      </c>
      <c r="S866" s="27" t="s">
        <v>2695</v>
      </c>
      <c r="T866" s="27"/>
      <c r="U866" s="27">
        <v>10351</v>
      </c>
      <c r="V866" s="27" t="s">
        <v>2696</v>
      </c>
      <c r="W866" s="27" t="s">
        <v>2697</v>
      </c>
      <c r="X866" s="73"/>
      <c r="Y866" s="73" t="e">
        <f>VLOOKUP(X866,Choferes!$B$2:$C$500,2,FALSE)</f>
        <v>#N/A</v>
      </c>
      <c r="Z866" s="73" t="s">
        <v>2698</v>
      </c>
    </row>
    <row r="867" spans="1:26" ht="45" hidden="1" x14ac:dyDescent="0.25">
      <c r="A867" s="33">
        <v>47</v>
      </c>
      <c r="B867" s="71" t="s">
        <v>29</v>
      </c>
      <c r="C867" s="39" t="s">
        <v>2699</v>
      </c>
      <c r="D867" s="50" t="s">
        <v>1757</v>
      </c>
      <c r="E867" s="47">
        <v>45618</v>
      </c>
      <c r="F867" s="31" t="str">
        <f>VLOOKUP($C867,Carpetas!$C$5:$M$2666,2,FALSE)</f>
        <v>BRB099</v>
      </c>
      <c r="G867" s="23" t="str">
        <f>VLOOKUP($C867,Carpetas!$C$5:$M$2666,10,FALSE)</f>
        <v>151,08,86</v>
      </c>
      <c r="H867" s="27" t="str">
        <f>VLOOKUP($C867,Carpetas!$C$5:$M$2666,6,FALSE)</f>
        <v>Marvel</v>
      </c>
      <c r="I867" s="220"/>
      <c r="J867" s="47">
        <v>45624</v>
      </c>
      <c r="K867" s="72" t="str">
        <f>VLOOKUP($C867,Carpetas!$C$5:$M$2666,5,FALSE)</f>
        <v>Rio Branco</v>
      </c>
      <c r="L867" s="32"/>
      <c r="M867" s="48">
        <f t="shared" si="56"/>
        <v>45625</v>
      </c>
      <c r="N867" s="26">
        <f t="shared" si="55"/>
        <v>7</v>
      </c>
      <c r="O867" s="27">
        <v>936</v>
      </c>
      <c r="P867" s="27">
        <v>936</v>
      </c>
      <c r="Q867" s="27">
        <v>26</v>
      </c>
      <c r="R867" s="27">
        <v>25</v>
      </c>
      <c r="S867" s="27" t="s">
        <v>2700</v>
      </c>
      <c r="T867" s="27"/>
      <c r="U867" s="27">
        <v>10363</v>
      </c>
      <c r="V867" s="27" t="s">
        <v>2701</v>
      </c>
      <c r="W867" s="27" t="s">
        <v>2702</v>
      </c>
      <c r="X867" s="73"/>
      <c r="Y867" s="73" t="e">
        <f>VLOOKUP(X867,Choferes!$B$2:$C$500,2,FALSE)</f>
        <v>#N/A</v>
      </c>
      <c r="Z867" s="73" t="s">
        <v>2703</v>
      </c>
    </row>
    <row r="868" spans="1:26" ht="30" hidden="1" x14ac:dyDescent="0.25">
      <c r="A868" s="33">
        <v>47</v>
      </c>
      <c r="B868" s="71" t="s">
        <v>29</v>
      </c>
      <c r="C868" s="39" t="s">
        <v>2699</v>
      </c>
      <c r="D868" s="50" t="s">
        <v>1757</v>
      </c>
      <c r="E868" s="47">
        <v>45619</v>
      </c>
      <c r="F868" s="31" t="str">
        <f>VLOOKUP($C868,Carpetas!$C$5:$M$2666,2,FALSE)</f>
        <v>BRB099</v>
      </c>
      <c r="G868" s="23" t="str">
        <f>VLOOKUP($C868,Carpetas!$C$5:$M$2666,10,FALSE)</f>
        <v>151,08,86</v>
      </c>
      <c r="H868" s="27" t="str">
        <f>VLOOKUP($C868,Carpetas!$C$5:$M$2666,6,FALSE)</f>
        <v>Marvel</v>
      </c>
      <c r="I868" s="220"/>
      <c r="J868" s="47">
        <v>45624</v>
      </c>
      <c r="K868" s="72" t="str">
        <f>VLOOKUP($C868,Carpetas!$C$5:$M$2666,5,FALSE)</f>
        <v>Rio Branco</v>
      </c>
      <c r="L868" s="32"/>
      <c r="M868" s="48">
        <f t="shared" si="56"/>
        <v>45625</v>
      </c>
      <c r="N868" s="26">
        <f t="shared" si="55"/>
        <v>6</v>
      </c>
      <c r="O868" s="27">
        <v>936</v>
      </c>
      <c r="P868" s="27">
        <v>936</v>
      </c>
      <c r="Q868" s="27">
        <v>26</v>
      </c>
      <c r="R868" s="27">
        <v>25</v>
      </c>
      <c r="S868" s="27" t="s">
        <v>2704</v>
      </c>
      <c r="T868" s="27"/>
      <c r="U868" s="27">
        <v>10364</v>
      </c>
      <c r="V868" s="27" t="s">
        <v>2705</v>
      </c>
      <c r="W868" s="27" t="s">
        <v>2706</v>
      </c>
      <c r="X868" s="73"/>
      <c r="Y868" s="73" t="e">
        <f>VLOOKUP(X868,Choferes!$B$2:$C$500,2,FALSE)</f>
        <v>#N/A</v>
      </c>
      <c r="Z868" s="73" t="s">
        <v>2707</v>
      </c>
    </row>
    <row r="869" spans="1:26" hidden="1" x14ac:dyDescent="0.25">
      <c r="A869" s="33">
        <v>48</v>
      </c>
      <c r="B869" s="71" t="s">
        <v>29</v>
      </c>
      <c r="C869" s="39" t="s">
        <v>2708</v>
      </c>
      <c r="D869" s="50" t="s">
        <v>747</v>
      </c>
      <c r="E869" s="47">
        <v>45621</v>
      </c>
      <c r="F869" s="31" t="str">
        <f>VLOOKUP($C869,Carpetas!$C$5:$M$2666,2,FALSE)</f>
        <v>BRB100</v>
      </c>
      <c r="G869" s="23" t="str">
        <f>VLOOKUP($C869,Carpetas!$C$5:$M$2666,10,FALSE)</f>
        <v>151,10,04</v>
      </c>
      <c r="H869" s="27" t="str">
        <f>VLOOKUP($C869,Carpetas!$C$5:$M$2666,6,FALSE)</f>
        <v>FG</v>
      </c>
      <c r="I869" s="220"/>
      <c r="J869" s="47">
        <f>E869+3</f>
        <v>45624</v>
      </c>
      <c r="K869" s="72" t="str">
        <f>VLOOKUP($C869,Carpetas!$C$5:$M$2666,5,FALSE)</f>
        <v>Rio Branco</v>
      </c>
      <c r="L869" s="32"/>
      <c r="M869" s="48">
        <f t="shared" si="56"/>
        <v>45625</v>
      </c>
      <c r="N869" s="26">
        <f t="shared" si="55"/>
        <v>4</v>
      </c>
      <c r="O869" s="27">
        <v>990</v>
      </c>
      <c r="P869" s="27">
        <v>990</v>
      </c>
      <c r="Q869" s="27">
        <v>28</v>
      </c>
      <c r="R869" s="27">
        <v>25.5</v>
      </c>
      <c r="S869" s="27" t="s">
        <v>2709</v>
      </c>
      <c r="T869" s="27"/>
      <c r="U869" s="27">
        <v>478</v>
      </c>
      <c r="V869" s="27" t="s">
        <v>911</v>
      </c>
      <c r="W869" s="27" t="s">
        <v>1622</v>
      </c>
      <c r="X869" s="73"/>
      <c r="Y869" s="73" t="e">
        <f>VLOOKUP(X869,Choferes!$B$2:$C$500,2,FALSE)</f>
        <v>#N/A</v>
      </c>
      <c r="Z869" s="73" t="s">
        <v>2710</v>
      </c>
    </row>
    <row r="870" spans="1:26" hidden="1" x14ac:dyDescent="0.25">
      <c r="A870" s="33">
        <v>48</v>
      </c>
      <c r="B870" s="71" t="s">
        <v>298</v>
      </c>
      <c r="C870" s="39" t="s">
        <v>299</v>
      </c>
      <c r="D870" s="50" t="s">
        <v>747</v>
      </c>
      <c r="E870" s="47">
        <v>45622</v>
      </c>
      <c r="F870" s="31" t="str">
        <f>VLOOKUP($C870,Carpetas!$C$5:$M$2666,2,FALSE)</f>
        <v>BRB</v>
      </c>
      <c r="G870" s="23" t="e">
        <f>VLOOKUP($C870,Carpetas!$C$5:$M$2666,9,FALSE)</f>
        <v>#REF!</v>
      </c>
      <c r="H870" s="27" t="str">
        <f>VLOOKUP($C870,Carpetas!$C$5:$M$2666,5,FALSE)</f>
        <v>xx</v>
      </c>
      <c r="I870" s="220"/>
      <c r="J870" s="47">
        <v>45624</v>
      </c>
      <c r="K870" s="72">
        <f>VLOOKUP($C870,Carpetas!$C$5:$M$2666,4,FALSE)</f>
        <v>0</v>
      </c>
      <c r="L870" s="32"/>
      <c r="M870" s="48">
        <f t="shared" si="56"/>
        <v>45625</v>
      </c>
      <c r="N870" s="26">
        <f t="shared" si="55"/>
        <v>3</v>
      </c>
      <c r="O870" s="27">
        <v>990</v>
      </c>
      <c r="P870" s="27"/>
      <c r="Q870" s="27"/>
      <c r="R870" s="27"/>
      <c r="S870" s="27"/>
      <c r="T870" s="27"/>
      <c r="U870" s="27"/>
      <c r="V870" s="27"/>
      <c r="W870" s="27"/>
      <c r="X870" s="73"/>
      <c r="Y870" s="73" t="e">
        <f>VLOOKUP(X870,Choferes!$B$2:$C$500,2,FALSE)</f>
        <v>#N/A</v>
      </c>
      <c r="Z870" s="73"/>
    </row>
    <row r="871" spans="1:26" ht="30" hidden="1" x14ac:dyDescent="0.25">
      <c r="A871" s="33">
        <v>48</v>
      </c>
      <c r="B871" s="71" t="s">
        <v>29</v>
      </c>
      <c r="C871" s="39" t="s">
        <v>2708</v>
      </c>
      <c r="D871" s="50" t="s">
        <v>803</v>
      </c>
      <c r="E871" s="47">
        <v>45622</v>
      </c>
      <c r="F871" s="31" t="str">
        <f>VLOOKUP($C871,Carpetas!$C$5:$M$2666,2,FALSE)</f>
        <v>BRB100</v>
      </c>
      <c r="G871" s="23" t="str">
        <f>VLOOKUP($C871,Carpetas!$C$5:$M$2666,10,FALSE)</f>
        <v>151,10,04</v>
      </c>
      <c r="H871" s="27" t="str">
        <f>VLOOKUP($C871,Carpetas!$C$5:$M$2666,6,FALSE)</f>
        <v>FG</v>
      </c>
      <c r="I871" s="220"/>
      <c r="J871" s="47">
        <v>45624</v>
      </c>
      <c r="K871" s="72" t="str">
        <f>VLOOKUP($C871,Carpetas!$C$5:$M$2666,5,FALSE)</f>
        <v>Rio Branco</v>
      </c>
      <c r="L871" s="32"/>
      <c r="M871" s="48">
        <f t="shared" si="56"/>
        <v>45625</v>
      </c>
      <c r="N871" s="26">
        <f t="shared" si="55"/>
        <v>3</v>
      </c>
      <c r="O871" s="27">
        <v>990</v>
      </c>
      <c r="P871" s="27">
        <v>990</v>
      </c>
      <c r="Q871" s="27">
        <v>28</v>
      </c>
      <c r="R871" s="27">
        <v>26</v>
      </c>
      <c r="S871" s="27" t="s">
        <v>2711</v>
      </c>
      <c r="T871" s="27"/>
      <c r="U871" s="27">
        <v>477</v>
      </c>
      <c r="V871" s="27" t="s">
        <v>1680</v>
      </c>
      <c r="W871" s="27" t="s">
        <v>1681</v>
      </c>
      <c r="X871" s="73"/>
      <c r="Y871" s="73" t="e">
        <f>VLOOKUP(X871,Choferes!$B$2:$C$500,2,FALSE)</f>
        <v>#N/A</v>
      </c>
      <c r="Z871" s="73" t="s">
        <v>2712</v>
      </c>
    </row>
    <row r="872" spans="1:26" hidden="1" x14ac:dyDescent="0.25">
      <c r="A872" s="33">
        <v>48</v>
      </c>
      <c r="B872" s="71" t="s">
        <v>29</v>
      </c>
      <c r="C872" s="39" t="s">
        <v>2708</v>
      </c>
      <c r="D872" s="50" t="s">
        <v>2607</v>
      </c>
      <c r="E872" s="47">
        <v>45623</v>
      </c>
      <c r="F872" s="31" t="str">
        <f>VLOOKUP($C872,Carpetas!$C$5:$M$2666,2,FALSE)</f>
        <v>BRB100</v>
      </c>
      <c r="G872" s="23" t="str">
        <f>VLOOKUP($C872,Carpetas!$C$5:$M$2666,10,FALSE)</f>
        <v>151,10,04</v>
      </c>
      <c r="H872" s="27" t="str">
        <f>VLOOKUP($C872,Carpetas!$C$5:$M$2666,6,FALSE)</f>
        <v>FG</v>
      </c>
      <c r="I872" s="220"/>
      <c r="J872" s="47">
        <f>E872+1</f>
        <v>45624</v>
      </c>
      <c r="K872" s="72" t="str">
        <f>VLOOKUP($C872,Carpetas!$C$5:$M$2666,5,FALSE)</f>
        <v>Rio Branco</v>
      </c>
      <c r="L872" s="32"/>
      <c r="M872" s="48">
        <f t="shared" si="56"/>
        <v>45625</v>
      </c>
      <c r="N872" s="26">
        <f t="shared" si="55"/>
        <v>2</v>
      </c>
      <c r="O872" s="27">
        <v>990</v>
      </c>
      <c r="P872" s="27">
        <v>990</v>
      </c>
      <c r="Q872" s="27">
        <v>28</v>
      </c>
      <c r="R872" s="27">
        <v>26</v>
      </c>
      <c r="S872" s="27" t="s">
        <v>2713</v>
      </c>
      <c r="T872" s="27"/>
      <c r="U872" s="27">
        <v>480</v>
      </c>
      <c r="V872" s="27" t="s">
        <v>1636</v>
      </c>
      <c r="W872" s="27" t="s">
        <v>1736</v>
      </c>
      <c r="X872" s="73"/>
      <c r="Y872" s="73" t="e">
        <f>VLOOKUP(X872,Choferes!$B$2:$C$500,2,FALSE)</f>
        <v>#N/A</v>
      </c>
      <c r="Z872" s="73" t="s">
        <v>2714</v>
      </c>
    </row>
    <row r="873" spans="1:26" hidden="1" x14ac:dyDescent="0.25">
      <c r="A873" s="33">
        <v>47</v>
      </c>
      <c r="B873" s="71" t="s">
        <v>29</v>
      </c>
      <c r="C873" s="39" t="s">
        <v>2715</v>
      </c>
      <c r="D873" s="50" t="s">
        <v>38</v>
      </c>
      <c r="E873" s="47">
        <v>45617</v>
      </c>
      <c r="F873" s="31" t="str">
        <f>VLOOKUP($C873,Carpetas!$C$5:$M$2666,2,FALSE)</f>
        <v>BRE054</v>
      </c>
      <c r="G873" s="23">
        <f>VLOOKUP($C873,Carpetas!$C$5:$M$2666,10,FALSE)</f>
        <v>0</v>
      </c>
      <c r="H873" s="27" t="str">
        <f>VLOOKUP($C873,Carpetas!$C$5:$M$2666,6,FALSE)</f>
        <v xml:space="preserve">Silvio </v>
      </c>
      <c r="I873" s="220">
        <f>VLOOKUP($C873,Carpetas!$C$5:$M$2666,4,FALSE)</f>
        <v>0</v>
      </c>
      <c r="J873" s="47">
        <v>45625</v>
      </c>
      <c r="K873" s="72" t="str">
        <f>VLOOKUP($C873,Carpetas!$C$5:$M$2666,5,FALSE)</f>
        <v>Rio Branco</v>
      </c>
      <c r="L873" s="32"/>
      <c r="M873" s="48">
        <f t="shared" si="56"/>
        <v>45626</v>
      </c>
      <c r="N873" s="26">
        <f t="shared" si="55"/>
        <v>9</v>
      </c>
      <c r="O873" s="27">
        <v>1560</v>
      </c>
      <c r="P873" s="27">
        <v>1560</v>
      </c>
      <c r="Q873" s="27">
        <v>26</v>
      </c>
      <c r="R873" s="27" t="s">
        <v>2716</v>
      </c>
      <c r="S873" s="27" t="s">
        <v>2717</v>
      </c>
      <c r="T873" s="27"/>
      <c r="U873" s="27">
        <v>7223</v>
      </c>
      <c r="V873" s="27" t="s">
        <v>2718</v>
      </c>
      <c r="W873" s="27" t="s">
        <v>2719</v>
      </c>
      <c r="X873" s="73"/>
      <c r="Y873" s="73" t="e">
        <f>VLOOKUP(X873,Choferes!$B$2:$C$500,2,FALSE)</f>
        <v>#N/A</v>
      </c>
      <c r="Z873" s="73" t="s">
        <v>2720</v>
      </c>
    </row>
    <row r="874" spans="1:26" hidden="1" x14ac:dyDescent="0.25">
      <c r="A874" s="33">
        <v>47</v>
      </c>
      <c r="B874" s="71" t="s">
        <v>29</v>
      </c>
      <c r="C874" s="39" t="s">
        <v>2699</v>
      </c>
      <c r="D874" s="50" t="s">
        <v>1757</v>
      </c>
      <c r="E874" s="47">
        <v>45620</v>
      </c>
      <c r="F874" s="31" t="str">
        <f>VLOOKUP($C874,Carpetas!$C$5:$M$2666,2,FALSE)</f>
        <v>BRB099</v>
      </c>
      <c r="G874" s="23" t="str">
        <f>VLOOKUP($C874,Carpetas!$C$5:$M$2666,10,FALSE)</f>
        <v>151,08,86</v>
      </c>
      <c r="H874" s="27" t="str">
        <f>VLOOKUP($C874,Carpetas!$C$5:$M$2666,6,FALSE)</f>
        <v>Marvel</v>
      </c>
      <c r="I874" s="220"/>
      <c r="J874" s="47">
        <f>E874+5</f>
        <v>45625</v>
      </c>
      <c r="K874" s="72" t="str">
        <f>VLOOKUP($C874,Carpetas!$C$5:$M$2666,5,FALSE)</f>
        <v>Rio Branco</v>
      </c>
      <c r="L874" s="32"/>
      <c r="M874" s="48">
        <f t="shared" si="56"/>
        <v>45626</v>
      </c>
      <c r="N874" s="26">
        <f t="shared" si="55"/>
        <v>6</v>
      </c>
      <c r="O874" s="27">
        <v>936</v>
      </c>
      <c r="P874" s="27">
        <v>936</v>
      </c>
      <c r="Q874" s="27">
        <v>26</v>
      </c>
      <c r="R874" s="27">
        <v>25</v>
      </c>
      <c r="S874" s="27" t="s">
        <v>2721</v>
      </c>
      <c r="T874" s="27"/>
      <c r="U874" s="27">
        <v>10365</v>
      </c>
      <c r="V874" s="27" t="s">
        <v>2722</v>
      </c>
      <c r="W874" s="27"/>
      <c r="X874" s="73"/>
      <c r="Y874" s="73" t="e">
        <f>VLOOKUP(X874,Choferes!$B$2:$C$500,2,FALSE)</f>
        <v>#N/A</v>
      </c>
      <c r="Z874" s="73" t="s">
        <v>2723</v>
      </c>
    </row>
    <row r="875" spans="1:26" hidden="1" x14ac:dyDescent="0.25">
      <c r="A875" s="33">
        <v>48</v>
      </c>
      <c r="B875" s="71" t="s">
        <v>29</v>
      </c>
      <c r="C875" s="39" t="s">
        <v>2629</v>
      </c>
      <c r="D875" s="50" t="s">
        <v>2474</v>
      </c>
      <c r="E875" s="47">
        <v>45622</v>
      </c>
      <c r="F875" s="31" t="str">
        <f>VLOOKUP($C875,Carpetas!$C$5:$M$2666,2,FALSE)</f>
        <v>BRB095</v>
      </c>
      <c r="G875" s="23" t="str">
        <f>VLOOKUP($C875,Carpetas!$C$5:$M$2666,10,FALSE)</f>
        <v>150,98,70</v>
      </c>
      <c r="H875" s="27" t="str">
        <f>VLOOKUP($C875,Carpetas!$C$5:$M$2666,6,FALSE)</f>
        <v xml:space="preserve">Silvio </v>
      </c>
      <c r="I875" s="220"/>
      <c r="J875" s="47">
        <f>E875+3</f>
        <v>45625</v>
      </c>
      <c r="K875" s="72" t="str">
        <f>VLOOKUP($C875,Carpetas!$C$5:$M$2666,5,FALSE)</f>
        <v>Rio Branco</v>
      </c>
      <c r="L875" s="32"/>
      <c r="M875" s="48">
        <f t="shared" si="56"/>
        <v>45626</v>
      </c>
      <c r="N875" s="26">
        <f t="shared" si="55"/>
        <v>4</v>
      </c>
      <c r="O875" s="27">
        <v>918</v>
      </c>
      <c r="P875" s="27">
        <v>912</v>
      </c>
      <c r="Q875" s="27">
        <v>28</v>
      </c>
      <c r="R875" s="27">
        <v>25</v>
      </c>
      <c r="S875" s="27" t="s">
        <v>2724</v>
      </c>
      <c r="T875" s="27"/>
      <c r="U875" s="27">
        <v>7209</v>
      </c>
      <c r="V875" s="27" t="s">
        <v>677</v>
      </c>
      <c r="W875" s="27" t="s">
        <v>678</v>
      </c>
      <c r="X875" s="73"/>
      <c r="Y875" s="73" t="e">
        <f>VLOOKUP(X875,Choferes!$B$2:$C$500,2,FALSE)</f>
        <v>#N/A</v>
      </c>
      <c r="Z875" s="73" t="s">
        <v>2725</v>
      </c>
    </row>
    <row r="876" spans="1:26" hidden="1" x14ac:dyDescent="0.25">
      <c r="A876" s="33">
        <v>48</v>
      </c>
      <c r="B876" s="71" t="s">
        <v>29</v>
      </c>
      <c r="C876" s="39" t="s">
        <v>2675</v>
      </c>
      <c r="D876" s="50" t="s">
        <v>78</v>
      </c>
      <c r="E876" s="47">
        <v>45623</v>
      </c>
      <c r="F876" s="31" t="str">
        <f>VLOOKUP($C876,Carpetas!$C$5:$M$2666,2,FALSE)</f>
        <v>BRB098</v>
      </c>
      <c r="G876" s="23" t="str">
        <f>VLOOKUP($C876,Carpetas!$C$5:$M$2666,10,FALSE)</f>
        <v>151,08,87</v>
      </c>
      <c r="H876" s="27" t="str">
        <f>VLOOKUP($C876,Carpetas!$C$5:$M$2666,6,FALSE)</f>
        <v>Amaro</v>
      </c>
      <c r="I876" s="220"/>
      <c r="J876" s="47">
        <v>45625</v>
      </c>
      <c r="K876" s="72" t="str">
        <f>VLOOKUP($C876,Carpetas!$C$5:$M$2666,5,FALSE)</f>
        <v>Rio Branco</v>
      </c>
      <c r="L876" s="32"/>
      <c r="M876" s="48">
        <f t="shared" si="56"/>
        <v>45626</v>
      </c>
      <c r="N876" s="26">
        <f t="shared" si="55"/>
        <v>3</v>
      </c>
      <c r="O876" s="27">
        <v>990</v>
      </c>
      <c r="P876" s="27">
        <v>991</v>
      </c>
      <c r="Q876" s="27">
        <v>28</v>
      </c>
      <c r="R876" s="27">
        <v>24</v>
      </c>
      <c r="S876" s="27" t="s">
        <v>2726</v>
      </c>
      <c r="T876" s="27"/>
      <c r="U876" s="27">
        <v>25084</v>
      </c>
      <c r="V876" s="27" t="s">
        <v>2727</v>
      </c>
      <c r="W876" s="27" t="s">
        <v>2728</v>
      </c>
      <c r="X876" s="73"/>
      <c r="Y876" s="73" t="e">
        <f>VLOOKUP(X876,Choferes!$B$2:$C$500,2,FALSE)</f>
        <v>#N/A</v>
      </c>
      <c r="Z876" s="73" t="s">
        <v>2729</v>
      </c>
    </row>
    <row r="877" spans="1:26" hidden="1" x14ac:dyDescent="0.25">
      <c r="A877" s="33">
        <v>47</v>
      </c>
      <c r="B877" s="71" t="s">
        <v>298</v>
      </c>
      <c r="C877" s="39" t="s">
        <v>299</v>
      </c>
      <c r="D877" s="50" t="s">
        <v>249</v>
      </c>
      <c r="E877" s="47">
        <v>45623</v>
      </c>
      <c r="F877" s="31" t="str">
        <f>VLOOKUP($C877,Carpetas!$C$5:$M$2666,2,FALSE)</f>
        <v>BRB</v>
      </c>
      <c r="G877" s="23" t="e">
        <f>VLOOKUP($C877,Carpetas!$C$5:$M$2666,9,FALSE)</f>
        <v>#REF!</v>
      </c>
      <c r="H877" s="27" t="str">
        <f>VLOOKUP($C877,Carpetas!$C$5:$M$2666,5,FALSE)</f>
        <v>xx</v>
      </c>
      <c r="I877" s="220"/>
      <c r="J877" s="47">
        <f>E877+3</f>
        <v>45626</v>
      </c>
      <c r="K877" s="72">
        <f>VLOOKUP($C877,Carpetas!$C$5:$M$2666,4,FALSE)</f>
        <v>0</v>
      </c>
      <c r="L877" s="32"/>
      <c r="M877" s="48">
        <f t="shared" si="56"/>
        <v>45627</v>
      </c>
      <c r="N877" s="26">
        <f t="shared" si="55"/>
        <v>4</v>
      </c>
      <c r="O877" s="27">
        <v>918</v>
      </c>
      <c r="P877" s="27"/>
      <c r="Q877" s="27"/>
      <c r="R877" s="27"/>
      <c r="S877" s="27"/>
      <c r="T877" s="27"/>
      <c r="U877" s="27"/>
      <c r="V877" s="27"/>
      <c r="W877" s="27"/>
      <c r="X877" s="73"/>
      <c r="Y877" s="73" t="e">
        <f>VLOOKUP(X877,Choferes!$B$2:$C$500,2,FALSE)</f>
        <v>#N/A</v>
      </c>
      <c r="Z877" s="73"/>
    </row>
    <row r="878" spans="1:26" hidden="1" x14ac:dyDescent="0.25">
      <c r="A878" s="33">
        <v>47</v>
      </c>
      <c r="B878" s="71" t="s">
        <v>29</v>
      </c>
      <c r="C878" s="39" t="s">
        <v>2699</v>
      </c>
      <c r="D878" s="50" t="s">
        <v>1757</v>
      </c>
      <c r="E878" s="47">
        <v>45621</v>
      </c>
      <c r="F878" s="31" t="str">
        <f>VLOOKUP($C878,Carpetas!$C$5:$M$2666,2,FALSE)</f>
        <v>BRB099</v>
      </c>
      <c r="G878" s="23" t="str">
        <f>VLOOKUP($C878,Carpetas!$C$5:$M$2666,10,FALSE)</f>
        <v>151,08,86</v>
      </c>
      <c r="H878" s="27" t="str">
        <f>VLOOKUP($C878,Carpetas!$C$5:$M$2666,6,FALSE)</f>
        <v>Marvel</v>
      </c>
      <c r="I878" s="220"/>
      <c r="J878" s="47">
        <f>E878+5</f>
        <v>45626</v>
      </c>
      <c r="K878" s="72" t="str">
        <f>VLOOKUP($C878,Carpetas!$C$5:$M$2666,5,FALSE)</f>
        <v>Rio Branco</v>
      </c>
      <c r="L878" s="32"/>
      <c r="M878" s="48">
        <f t="shared" si="56"/>
        <v>45627</v>
      </c>
      <c r="N878" s="26">
        <f t="shared" si="55"/>
        <v>6</v>
      </c>
      <c r="O878" s="27">
        <v>936</v>
      </c>
      <c r="P878" s="27">
        <v>936</v>
      </c>
      <c r="Q878" s="27">
        <v>26</v>
      </c>
      <c r="R878" s="27">
        <v>26</v>
      </c>
      <c r="S878" s="27" t="s">
        <v>2730</v>
      </c>
      <c r="T878" s="27"/>
      <c r="U878" s="27">
        <v>10366</v>
      </c>
      <c r="V878" s="27" t="s">
        <v>2731</v>
      </c>
      <c r="W878" s="27" t="s">
        <v>2732</v>
      </c>
      <c r="X878" s="73"/>
      <c r="Y878" s="73" t="e">
        <f>VLOOKUP(X878,Choferes!$B$2:$C$500,2,FALSE)</f>
        <v>#N/A</v>
      </c>
      <c r="Z878" s="73" t="s">
        <v>2733</v>
      </c>
    </row>
    <row r="879" spans="1:26" hidden="1" x14ac:dyDescent="0.25">
      <c r="A879" s="33">
        <v>48</v>
      </c>
      <c r="B879" s="71" t="s">
        <v>29</v>
      </c>
      <c r="C879" s="39" t="s">
        <v>2634</v>
      </c>
      <c r="D879" s="50" t="s">
        <v>2202</v>
      </c>
      <c r="E879" s="47">
        <v>45623</v>
      </c>
      <c r="F879" s="31" t="str">
        <f>VLOOKUP($C879,Carpetas!$C$5:$M$2666,2,FALSE)</f>
        <v>BRB096</v>
      </c>
      <c r="G879" s="23" t="str">
        <f>VLOOKUP($C879,Carpetas!$C$5:$M$2666,10,FALSE)</f>
        <v>150,99,91</v>
      </c>
      <c r="H879" s="27" t="str">
        <f>VLOOKUP($C879,Carpetas!$C$5:$M$2666,6,FALSE)</f>
        <v>Zanini</v>
      </c>
      <c r="I879" s="220"/>
      <c r="J879" s="47">
        <f>E879+3</f>
        <v>45626</v>
      </c>
      <c r="K879" s="72" t="str">
        <f>VLOOKUP($C879,Carpetas!$C$5:$M$2666,5,FALSE)</f>
        <v>Rio Branco</v>
      </c>
      <c r="L879" s="32"/>
      <c r="M879" s="48">
        <f t="shared" si="56"/>
        <v>45627</v>
      </c>
      <c r="N879" s="26">
        <f t="shared" si="55"/>
        <v>4</v>
      </c>
      <c r="O879" s="27">
        <v>918</v>
      </c>
      <c r="P879" s="27">
        <v>919</v>
      </c>
      <c r="Q879" s="27">
        <v>26</v>
      </c>
      <c r="R879" s="27">
        <v>25</v>
      </c>
      <c r="S879" s="27" t="s">
        <v>2734</v>
      </c>
      <c r="T879" s="27"/>
      <c r="U879" s="27">
        <v>4893</v>
      </c>
      <c r="V879" s="27" t="s">
        <v>792</v>
      </c>
      <c r="W879" s="27" t="s">
        <v>793</v>
      </c>
      <c r="X879" s="73"/>
      <c r="Y879" s="73" t="e">
        <f>VLOOKUP(X879,Choferes!$B$2:$C$500,2,FALSE)</f>
        <v>#N/A</v>
      </c>
      <c r="Z879" s="73" t="s">
        <v>2735</v>
      </c>
    </row>
    <row r="880" spans="1:26" hidden="1" x14ac:dyDescent="0.25">
      <c r="A880" s="33">
        <v>48</v>
      </c>
      <c r="B880" s="71" t="s">
        <v>29</v>
      </c>
      <c r="C880" s="39" t="s">
        <v>2708</v>
      </c>
      <c r="D880" s="50" t="s">
        <v>803</v>
      </c>
      <c r="E880" s="47">
        <v>45624</v>
      </c>
      <c r="F880" s="31" t="str">
        <f>VLOOKUP($C880,Carpetas!$C$5:$M$2666,2,FALSE)</f>
        <v>BRB100</v>
      </c>
      <c r="G880" s="23" t="str">
        <f>VLOOKUP($C880,Carpetas!$C$5:$M$2666,10,FALSE)</f>
        <v>151,10,04</v>
      </c>
      <c r="H880" s="27" t="str">
        <f>VLOOKUP($C880,Carpetas!$C$5:$M$2666,6,FALSE)</f>
        <v>FG</v>
      </c>
      <c r="I880" s="220"/>
      <c r="J880" s="47">
        <v>45628</v>
      </c>
      <c r="K880" s="72" t="str">
        <f>VLOOKUP($C880,Carpetas!$C$5:$M$2666,5,FALSE)</f>
        <v>Rio Branco</v>
      </c>
      <c r="L880" s="32"/>
      <c r="M880" s="48">
        <f t="shared" si="56"/>
        <v>45629</v>
      </c>
      <c r="N880" s="26">
        <f t="shared" si="55"/>
        <v>5</v>
      </c>
      <c r="O880" s="27">
        <v>990</v>
      </c>
      <c r="P880" s="27">
        <v>990</v>
      </c>
      <c r="Q880" s="27">
        <v>28</v>
      </c>
      <c r="R880" s="27">
        <v>26</v>
      </c>
      <c r="S880" s="27" t="s">
        <v>2736</v>
      </c>
      <c r="T880" s="27"/>
      <c r="U880" s="27">
        <v>479</v>
      </c>
      <c r="V880" s="27" t="s">
        <v>1657</v>
      </c>
      <c r="W880" s="27" t="s">
        <v>1815</v>
      </c>
      <c r="X880" s="73"/>
      <c r="Y880" s="73" t="e">
        <f>VLOOKUP(X880,Choferes!$B$2:$C$500,2,FALSE)</f>
        <v>#N/A</v>
      </c>
      <c r="Z880" s="73" t="s">
        <v>2737</v>
      </c>
    </row>
    <row r="881" spans="1:26" ht="30" hidden="1" x14ac:dyDescent="0.25">
      <c r="A881" s="33">
        <v>48</v>
      </c>
      <c r="B881" s="71" t="s">
        <v>29</v>
      </c>
      <c r="C881" s="39" t="s">
        <v>2675</v>
      </c>
      <c r="D881" s="50" t="s">
        <v>110</v>
      </c>
      <c r="E881" s="47">
        <v>45624</v>
      </c>
      <c r="F881" s="31" t="str">
        <f>VLOOKUP($C881,Carpetas!$C$5:$M$2666,2,FALSE)</f>
        <v>BRB098</v>
      </c>
      <c r="G881" s="23" t="str">
        <f>VLOOKUP($C881,Carpetas!$C$5:$M$2666,10,FALSE)</f>
        <v>151,08,87</v>
      </c>
      <c r="H881" s="27" t="str">
        <f>VLOOKUP($C881,Carpetas!$C$5:$M$2666,6,FALSE)</f>
        <v>Amaro</v>
      </c>
      <c r="I881" s="220"/>
      <c r="J881" s="47">
        <v>45628</v>
      </c>
      <c r="K881" s="72" t="str">
        <f>VLOOKUP($C881,Carpetas!$C$5:$M$2666,5,FALSE)</f>
        <v>Rio Branco</v>
      </c>
      <c r="L881" s="32"/>
      <c r="M881" s="48">
        <f t="shared" si="56"/>
        <v>45629</v>
      </c>
      <c r="N881" s="26">
        <f t="shared" si="55"/>
        <v>5</v>
      </c>
      <c r="O881" s="27">
        <v>990</v>
      </c>
      <c r="P881" s="27">
        <v>991</v>
      </c>
      <c r="Q881" s="27">
        <v>28</v>
      </c>
      <c r="R881" s="27">
        <v>25.5</v>
      </c>
      <c r="S881" s="27" t="s">
        <v>2738</v>
      </c>
      <c r="T881" s="27"/>
      <c r="U881" s="27">
        <v>25088</v>
      </c>
      <c r="V881" s="27" t="s">
        <v>2739</v>
      </c>
      <c r="W881" s="27" t="s">
        <v>2740</v>
      </c>
      <c r="X881" s="73"/>
      <c r="Y881" s="73" t="e">
        <f>VLOOKUP(X881,Choferes!$B$2:$C$500,2,FALSE)</f>
        <v>#N/A</v>
      </c>
      <c r="Z881" s="73" t="s">
        <v>2741</v>
      </c>
    </row>
    <row r="882" spans="1:26" hidden="1" x14ac:dyDescent="0.25">
      <c r="A882" s="33">
        <v>48</v>
      </c>
      <c r="B882" s="71" t="s">
        <v>29</v>
      </c>
      <c r="C882" s="39" t="s">
        <v>2742</v>
      </c>
      <c r="D882" s="50" t="s">
        <v>38</v>
      </c>
      <c r="E882" s="47">
        <v>45625</v>
      </c>
      <c r="F882" s="31" t="str">
        <f>VLOOKUP($C882,Carpetas!$C$5:$M$2666,2,FALSE)</f>
        <v>BRE055</v>
      </c>
      <c r="G882" s="23">
        <f>VLOOKUP($C882,Carpetas!$C$5:$M$2666,10,FALSE)</f>
        <v>1511084</v>
      </c>
      <c r="H882" s="27" t="str">
        <f>VLOOKUP($C882,Carpetas!$C$5:$M$2666,6,FALSE)</f>
        <v>Rodo Calvi</v>
      </c>
      <c r="I882" s="220">
        <f>VLOOKUP($C882,Carpetas!$C$5:$M$2666,4,FALSE)</f>
        <v>0</v>
      </c>
      <c r="J882" s="47">
        <f>E882+3</f>
        <v>45628</v>
      </c>
      <c r="K882" s="72" t="str">
        <f>VLOOKUP($C882,Carpetas!$C$5:$M$2666,5,FALSE)</f>
        <v>Rio Branco</v>
      </c>
      <c r="L882" s="32"/>
      <c r="M882" s="48">
        <f t="shared" si="56"/>
        <v>45629</v>
      </c>
      <c r="N882" s="26">
        <f t="shared" si="55"/>
        <v>4</v>
      </c>
      <c r="O882" s="27">
        <v>980</v>
      </c>
      <c r="P882" s="27">
        <v>1</v>
      </c>
      <c r="Q882" s="27">
        <v>28</v>
      </c>
      <c r="R882" s="27">
        <v>25</v>
      </c>
      <c r="S882" s="27" t="s">
        <v>2743</v>
      </c>
      <c r="T882" s="27"/>
      <c r="U882" s="27">
        <v>7</v>
      </c>
      <c r="V882" s="27" t="s">
        <v>2744</v>
      </c>
      <c r="W882" s="27" t="s">
        <v>2745</v>
      </c>
      <c r="X882" s="73"/>
      <c r="Y882" s="73" t="e">
        <f>VLOOKUP(X882,Choferes!$B$2:$C$500,2,FALSE)</f>
        <v>#N/A</v>
      </c>
      <c r="Z882" s="73" t="s">
        <v>2746</v>
      </c>
    </row>
    <row r="883" spans="1:26" ht="30" hidden="1" x14ac:dyDescent="0.25">
      <c r="A883" s="33">
        <v>48</v>
      </c>
      <c r="B883" s="71" t="s">
        <v>29</v>
      </c>
      <c r="C883" s="39" t="s">
        <v>2747</v>
      </c>
      <c r="D883" s="50" t="s">
        <v>249</v>
      </c>
      <c r="E883" s="47">
        <v>45625</v>
      </c>
      <c r="F883" s="31" t="str">
        <f>VLOOKUP($C883,Carpetas!$C$5:$M$2666,2,FALSE)</f>
        <v>BRB101</v>
      </c>
      <c r="G883" s="23" t="str">
        <f>VLOOKUP($C883,Carpetas!$C$5:$M$2666,10,FALSE)</f>
        <v>151,16,28</v>
      </c>
      <c r="H883" s="27" t="str">
        <f>VLOOKUP($C883,Carpetas!$C$5:$M$2666,6,FALSE)</f>
        <v xml:space="preserve">Silvio </v>
      </c>
      <c r="I883" s="220"/>
      <c r="J883" s="47">
        <v>45628</v>
      </c>
      <c r="K883" s="72" t="str">
        <f>VLOOKUP($C883,Carpetas!$C$5:$M$2666,5,FALSE)</f>
        <v>Rio Branco</v>
      </c>
      <c r="L883" s="32"/>
      <c r="M883" s="48">
        <f t="shared" si="56"/>
        <v>45629</v>
      </c>
      <c r="N883" s="26">
        <f t="shared" si="55"/>
        <v>4</v>
      </c>
      <c r="O883" s="27">
        <v>918</v>
      </c>
      <c r="P883" s="27">
        <v>919</v>
      </c>
      <c r="Q883" s="27">
        <v>26</v>
      </c>
      <c r="R883" s="27">
        <v>26</v>
      </c>
      <c r="S883" s="27" t="s">
        <v>2748</v>
      </c>
      <c r="T883" s="27"/>
      <c r="U883" s="27">
        <v>7234</v>
      </c>
      <c r="V883" s="27" t="s">
        <v>2534</v>
      </c>
      <c r="W883" s="27" t="s">
        <v>2535</v>
      </c>
      <c r="X883" s="73"/>
      <c r="Y883" s="73" t="e">
        <f>VLOOKUP(X883,Choferes!$B$2:$C$500,2,FALSE)</f>
        <v>#N/A</v>
      </c>
      <c r="Z883" s="73" t="s">
        <v>2749</v>
      </c>
    </row>
    <row r="884" spans="1:26" hidden="1" x14ac:dyDescent="0.25">
      <c r="A884" s="33">
        <v>48</v>
      </c>
      <c r="B884" s="71" t="s">
        <v>29</v>
      </c>
      <c r="C884" s="39" t="s">
        <v>2708</v>
      </c>
      <c r="D884" s="50" t="s">
        <v>803</v>
      </c>
      <c r="E884" s="47">
        <v>45625</v>
      </c>
      <c r="F884" s="31" t="str">
        <f>VLOOKUP($C884,Carpetas!$C$5:$M$2666,2,FALSE)</f>
        <v>BRB100</v>
      </c>
      <c r="G884" s="23" t="str">
        <f>VLOOKUP($C884,Carpetas!$C$5:$M$2666,10,FALSE)</f>
        <v>151,10,04</v>
      </c>
      <c r="H884" s="27" t="str">
        <f>VLOOKUP($C884,Carpetas!$C$5:$M$2666,6,FALSE)</f>
        <v>FG</v>
      </c>
      <c r="I884" s="220"/>
      <c r="J884" s="47">
        <f>E884+3</f>
        <v>45628</v>
      </c>
      <c r="K884" s="72" t="str">
        <f>VLOOKUP($C884,Carpetas!$C$5:$M$2666,5,FALSE)</f>
        <v>Rio Branco</v>
      </c>
      <c r="L884" s="32"/>
      <c r="M884" s="48">
        <f t="shared" si="56"/>
        <v>45629</v>
      </c>
      <c r="N884" s="26">
        <f t="shared" si="55"/>
        <v>4</v>
      </c>
      <c r="O884" s="27">
        <v>990</v>
      </c>
      <c r="P884" s="27">
        <v>990</v>
      </c>
      <c r="Q884" s="27">
        <v>28</v>
      </c>
      <c r="R884" s="27">
        <v>25</v>
      </c>
      <c r="S884" s="27" t="s">
        <v>2750</v>
      </c>
      <c r="T884" s="27"/>
      <c r="U884" s="27">
        <v>483</v>
      </c>
      <c r="V884" s="27" t="s">
        <v>1430</v>
      </c>
      <c r="W884" s="27" t="s">
        <v>1669</v>
      </c>
      <c r="X884" s="73"/>
      <c r="Y884" s="73" t="e">
        <f>VLOOKUP(X884,Choferes!$B$2:$C$500,2,FALSE)</f>
        <v>#N/A</v>
      </c>
      <c r="Z884" s="73" t="s">
        <v>2737</v>
      </c>
    </row>
    <row r="885" spans="1:26" hidden="1" x14ac:dyDescent="0.25">
      <c r="A885" s="33">
        <v>48</v>
      </c>
      <c r="B885" s="71" t="s">
        <v>29</v>
      </c>
      <c r="C885" s="39" t="s">
        <v>2699</v>
      </c>
      <c r="D885" s="50" t="s">
        <v>1757</v>
      </c>
      <c r="E885" s="47">
        <v>45622</v>
      </c>
      <c r="F885" s="31" t="str">
        <f>VLOOKUP($C885,Carpetas!$C$5:$M$2666,2,FALSE)</f>
        <v>BRB099</v>
      </c>
      <c r="G885" s="23" t="str">
        <f>VLOOKUP($C885,Carpetas!$C$5:$M$2666,10,FALSE)</f>
        <v>151,08,86</v>
      </c>
      <c r="H885" s="27" t="str">
        <f>VLOOKUP($C885,Carpetas!$C$5:$M$2666,6,FALSE)</f>
        <v>Marvel</v>
      </c>
      <c r="I885" s="220"/>
      <c r="J885" s="47">
        <v>45629</v>
      </c>
      <c r="K885" s="72" t="str">
        <f>VLOOKUP($C885,Carpetas!$C$5:$M$2666,5,FALSE)</f>
        <v>Rio Branco</v>
      </c>
      <c r="L885" s="32"/>
      <c r="M885" s="48">
        <f t="shared" si="56"/>
        <v>45630</v>
      </c>
      <c r="N885" s="26">
        <f t="shared" si="55"/>
        <v>8</v>
      </c>
      <c r="O885" s="27">
        <v>936</v>
      </c>
      <c r="P885" s="27">
        <v>936</v>
      </c>
      <c r="Q885" s="27">
        <v>26</v>
      </c>
      <c r="R885" s="27">
        <v>25</v>
      </c>
      <c r="S885" s="27" t="s">
        <v>2751</v>
      </c>
      <c r="T885" s="27"/>
      <c r="U885" s="27">
        <v>10367</v>
      </c>
      <c r="V885" s="27" t="s">
        <v>2752</v>
      </c>
      <c r="W885" s="27" t="s">
        <v>2753</v>
      </c>
      <c r="X885" s="73"/>
      <c r="Y885" s="73" t="e">
        <f>VLOOKUP(X885,Choferes!$B$2:$C$500,2,FALSE)</f>
        <v>#N/A</v>
      </c>
      <c r="Z885" s="73" t="s">
        <v>2754</v>
      </c>
    </row>
    <row r="886" spans="1:26" hidden="1" x14ac:dyDescent="0.25">
      <c r="A886" s="33">
        <v>48</v>
      </c>
      <c r="B886" s="71" t="s">
        <v>29</v>
      </c>
      <c r="C886" s="39" t="s">
        <v>2747</v>
      </c>
      <c r="D886" s="50" t="s">
        <v>2474</v>
      </c>
      <c r="E886" s="47">
        <v>45626</v>
      </c>
      <c r="F886" s="31" t="str">
        <f>VLOOKUP($C886,Carpetas!$C$5:$M$2666,2,FALSE)</f>
        <v>BRB101</v>
      </c>
      <c r="G886" s="23" t="str">
        <f>VLOOKUP($C886,Carpetas!$C$5:$M$2666,10,FALSE)</f>
        <v>151,16,28</v>
      </c>
      <c r="H886" s="27" t="str">
        <f>VLOOKUP($C886,Carpetas!$C$5:$M$2666,6,FALSE)</f>
        <v xml:space="preserve">Silvio </v>
      </c>
      <c r="I886" s="220"/>
      <c r="J886" s="47">
        <f>E886+3</f>
        <v>45629</v>
      </c>
      <c r="K886" s="72" t="str">
        <f>VLOOKUP($C886,Carpetas!$C$5:$M$2666,5,FALSE)</f>
        <v>Rio Branco</v>
      </c>
      <c r="L886" s="32"/>
      <c r="M886" s="48">
        <f t="shared" si="56"/>
        <v>45630</v>
      </c>
      <c r="N886" s="26">
        <f t="shared" si="55"/>
        <v>4</v>
      </c>
      <c r="O886" s="27">
        <v>918</v>
      </c>
      <c r="P886" s="27">
        <v>918</v>
      </c>
      <c r="Q886" s="27">
        <v>30</v>
      </c>
      <c r="R886" s="27">
        <v>25</v>
      </c>
      <c r="S886" s="27" t="s">
        <v>2755</v>
      </c>
      <c r="T886" s="27"/>
      <c r="U886" s="27">
        <v>7235</v>
      </c>
      <c r="V886" s="27" t="s">
        <v>1684</v>
      </c>
      <c r="W886" s="27" t="s">
        <v>2756</v>
      </c>
      <c r="X886" s="73"/>
      <c r="Y886" s="73" t="e">
        <f>VLOOKUP(X886,Choferes!$B$2:$C$500,2,FALSE)</f>
        <v>#N/A</v>
      </c>
      <c r="Z886" s="73" t="s">
        <v>2757</v>
      </c>
    </row>
    <row r="887" spans="1:26" hidden="1" x14ac:dyDescent="0.25">
      <c r="A887" s="33">
        <v>48</v>
      </c>
      <c r="B887" s="71" t="s">
        <v>29</v>
      </c>
      <c r="C887" s="39" t="s">
        <v>2708</v>
      </c>
      <c r="D887" s="50" t="s">
        <v>747</v>
      </c>
      <c r="E887" s="47">
        <v>45625</v>
      </c>
      <c r="F887" s="31" t="str">
        <f>VLOOKUP($C887,Carpetas!$C$5:$M$2666,2,FALSE)</f>
        <v>BRB100</v>
      </c>
      <c r="G887" s="23" t="str">
        <f>VLOOKUP($C887,Carpetas!$C$5:$M$2666,10,FALSE)</f>
        <v>151,10,04</v>
      </c>
      <c r="H887" s="27" t="str">
        <f>VLOOKUP($C887,Carpetas!$C$5:$M$2666,6,FALSE)</f>
        <v>FG</v>
      </c>
      <c r="I887" s="220"/>
      <c r="J887" s="47">
        <v>45630</v>
      </c>
      <c r="K887" s="72" t="str">
        <f>VLOOKUP($C887,Carpetas!$C$5:$M$2666,5,FALSE)</f>
        <v>Rio Branco</v>
      </c>
      <c r="L887" s="32"/>
      <c r="M887" s="48">
        <f t="shared" si="56"/>
        <v>45631</v>
      </c>
      <c r="N887" s="26">
        <f t="shared" si="55"/>
        <v>6</v>
      </c>
      <c r="O887" s="27">
        <v>990</v>
      </c>
      <c r="P887" s="27">
        <v>990</v>
      </c>
      <c r="Q887" s="27">
        <v>28</v>
      </c>
      <c r="R887" s="27">
        <v>26</v>
      </c>
      <c r="S887" s="27" t="s">
        <v>2758</v>
      </c>
      <c r="T887" s="27"/>
      <c r="U887" s="27">
        <v>484</v>
      </c>
      <c r="V887" s="27" t="s">
        <v>1630</v>
      </c>
      <c r="W887" s="27" t="s">
        <v>1934</v>
      </c>
      <c r="X887" s="73"/>
      <c r="Y887" s="73" t="e">
        <f>VLOOKUP(X887,Choferes!$B$2:$C$500,2,FALSE)</f>
        <v>#N/A</v>
      </c>
      <c r="Z887" s="73" t="s">
        <v>2759</v>
      </c>
    </row>
    <row r="888" spans="1:26" hidden="1" x14ac:dyDescent="0.25">
      <c r="A888" s="33">
        <v>49</v>
      </c>
      <c r="B888" s="71" t="s">
        <v>29</v>
      </c>
      <c r="C888" s="39" t="s">
        <v>2760</v>
      </c>
      <c r="D888" s="50" t="s">
        <v>102</v>
      </c>
      <c r="E888" s="47">
        <v>45628</v>
      </c>
      <c r="F888" s="31" t="str">
        <f>VLOOKUP($C888,Carpetas!$C$5:$M$2666,2,FALSE)</f>
        <v>PYB153</v>
      </c>
      <c r="G888" s="23" t="str">
        <f>VLOOKUP($C888,Carpetas!$C$5:$M$2666,10,FALSE)</f>
        <v>151,17,37</v>
      </c>
      <c r="H888" s="27">
        <f>VLOOKUP($C888,Carpetas!$C$5:$M$2666,6,FALSE)</f>
        <v>0</v>
      </c>
      <c r="I888" s="220"/>
      <c r="J888" s="47">
        <v>45630</v>
      </c>
      <c r="K888" s="72" t="str">
        <f>VLOOKUP($C888,Carpetas!$C$5:$M$2666,5,FALSE)</f>
        <v>Salto</v>
      </c>
      <c r="L888" s="32"/>
      <c r="M888" s="48">
        <f t="shared" si="56"/>
        <v>45631</v>
      </c>
      <c r="N888" s="26">
        <f t="shared" si="55"/>
        <v>3</v>
      </c>
      <c r="O888" s="27">
        <v>980</v>
      </c>
      <c r="P888" s="27">
        <v>980</v>
      </c>
      <c r="Q888" s="27">
        <v>28</v>
      </c>
      <c r="R888" s="27">
        <v>26</v>
      </c>
      <c r="S888" s="27" t="s">
        <v>2761</v>
      </c>
      <c r="T888" s="27"/>
      <c r="U888" s="27"/>
      <c r="V888" s="27" t="s">
        <v>490</v>
      </c>
      <c r="W888" s="27"/>
      <c r="X888" s="73"/>
      <c r="Y888" s="73" t="e">
        <f>VLOOKUP(X888,Choferes!$B$2:$C$500,2,FALSE)</f>
        <v>#N/A</v>
      </c>
      <c r="Z888" s="73" t="s">
        <v>2762</v>
      </c>
    </row>
    <row r="889" spans="1:26" ht="30" hidden="1" x14ac:dyDescent="0.25">
      <c r="A889" s="33">
        <v>48</v>
      </c>
      <c r="B889" s="71" t="s">
        <v>29</v>
      </c>
      <c r="C889" s="39" t="s">
        <v>2763</v>
      </c>
      <c r="D889" s="50" t="s">
        <v>1757</v>
      </c>
      <c r="E889" s="47">
        <v>45626</v>
      </c>
      <c r="F889" s="31" t="str">
        <f>VLOOKUP($C889,Carpetas!$C$5:$M$2666,2,FALSE)</f>
        <v>BRB102</v>
      </c>
      <c r="G889" s="23" t="str">
        <f>VLOOKUP($C889,Carpetas!$C$5:$M$2666,10,FALSE)</f>
        <v>151,16,29</v>
      </c>
      <c r="H889" s="27" t="str">
        <f>VLOOKUP($C889,Carpetas!$C$5:$M$2666,6,FALSE)</f>
        <v>Marvel</v>
      </c>
      <c r="I889" s="220"/>
      <c r="J889" s="47">
        <v>45630</v>
      </c>
      <c r="K889" s="72" t="str">
        <f>VLOOKUP($C889,Carpetas!$C$5:$M$2666,5,FALSE)</f>
        <v>Rio Branco</v>
      </c>
      <c r="L889" s="32"/>
      <c r="M889" s="48">
        <f>J889+1+1</f>
        <v>45632</v>
      </c>
      <c r="N889" s="26">
        <f t="shared" si="55"/>
        <v>6</v>
      </c>
      <c r="O889" s="27">
        <v>936</v>
      </c>
      <c r="P889" s="27">
        <v>936</v>
      </c>
      <c r="Q889" s="27">
        <v>26</v>
      </c>
      <c r="R889" s="27">
        <v>25.5</v>
      </c>
      <c r="S889" s="27" t="s">
        <v>2764</v>
      </c>
      <c r="T889" s="27"/>
      <c r="U889" s="27">
        <v>10395</v>
      </c>
      <c r="V889" s="27" t="s">
        <v>2765</v>
      </c>
      <c r="W889" s="27" t="s">
        <v>2766</v>
      </c>
      <c r="X889" s="73"/>
      <c r="Y889" s="73" t="e">
        <f>VLOOKUP(X889,Choferes!$B$2:$C$500,2,FALSE)</f>
        <v>#N/A</v>
      </c>
      <c r="Z889" s="73" t="s">
        <v>2767</v>
      </c>
    </row>
    <row r="890" spans="1:26" ht="30" hidden="1" x14ac:dyDescent="0.25">
      <c r="A890" s="33">
        <v>49</v>
      </c>
      <c r="B890" s="71" t="s">
        <v>29</v>
      </c>
      <c r="C890" s="39" t="s">
        <v>2675</v>
      </c>
      <c r="D890" s="50" t="s">
        <v>2202</v>
      </c>
      <c r="E890" s="47">
        <v>45629</v>
      </c>
      <c r="F890" s="31" t="str">
        <f>VLOOKUP($C890,Carpetas!$C$5:$M$2666,2,FALSE)</f>
        <v>BRB098</v>
      </c>
      <c r="G890" s="23" t="str">
        <f>VLOOKUP($C890,Carpetas!$C$5:$M$2666,10,FALSE)</f>
        <v>151,08,87</v>
      </c>
      <c r="H890" s="27" t="str">
        <f>VLOOKUP($C890,Carpetas!$C$5:$M$2666,6,FALSE)</f>
        <v>Amaro</v>
      </c>
      <c r="I890" s="220"/>
      <c r="J890" s="47">
        <v>45630</v>
      </c>
      <c r="K890" s="72" t="str">
        <f>VLOOKUP($C890,Carpetas!$C$5:$M$2666,5,FALSE)</f>
        <v>Rio Branco</v>
      </c>
      <c r="L890" s="32"/>
      <c r="M890" s="48">
        <f>J890+1+1</f>
        <v>45632</v>
      </c>
      <c r="N890" s="26">
        <f t="shared" si="55"/>
        <v>3</v>
      </c>
      <c r="O890" s="27">
        <v>990</v>
      </c>
      <c r="P890" s="27">
        <v>991</v>
      </c>
      <c r="Q890" s="27">
        <v>28</v>
      </c>
      <c r="R890" s="27">
        <v>25</v>
      </c>
      <c r="S890" s="27" t="s">
        <v>2768</v>
      </c>
      <c r="T890" s="27"/>
      <c r="U890" s="27">
        <v>25112</v>
      </c>
      <c r="V890" s="27" t="s">
        <v>1944</v>
      </c>
      <c r="W890" s="27" t="s">
        <v>2551</v>
      </c>
      <c r="X890" s="73"/>
      <c r="Y890" s="73" t="e">
        <f>VLOOKUP(X890,Choferes!$B$2:$C$500,2,FALSE)</f>
        <v>#N/A</v>
      </c>
      <c r="Z890" s="73" t="s">
        <v>2769</v>
      </c>
    </row>
    <row r="891" spans="1:26" hidden="1" x14ac:dyDescent="0.25">
      <c r="A891" s="33">
        <v>48</v>
      </c>
      <c r="B891" s="71" t="s">
        <v>29</v>
      </c>
      <c r="C891" s="39" t="s">
        <v>2699</v>
      </c>
      <c r="D891" s="50" t="s">
        <v>1757</v>
      </c>
      <c r="E891" s="47">
        <v>45625</v>
      </c>
      <c r="F891" s="31" t="str">
        <f>VLOOKUP($C891,Carpetas!$C$5:$M$2666,2,FALSE)</f>
        <v>BRB099</v>
      </c>
      <c r="G891" s="23" t="str">
        <f>VLOOKUP($C891,Carpetas!$C$5:$M$2666,10,FALSE)</f>
        <v>151,08,86</v>
      </c>
      <c r="H891" s="27" t="str">
        <f>VLOOKUP($C891,Carpetas!$C$5:$M$2666,6,FALSE)</f>
        <v>Marvel</v>
      </c>
      <c r="I891" s="220"/>
      <c r="J891" s="47">
        <v>45631</v>
      </c>
      <c r="K891" s="72" t="str">
        <f>VLOOKUP($C891,Carpetas!$C$5:$M$2666,5,FALSE)</f>
        <v>Rio Branco</v>
      </c>
      <c r="L891" s="32"/>
      <c r="M891" s="48">
        <f t="shared" ref="M891:M920" si="58">J891+1</f>
        <v>45632</v>
      </c>
      <c r="N891" s="26">
        <f t="shared" si="55"/>
        <v>7</v>
      </c>
      <c r="O891" s="27">
        <v>936</v>
      </c>
      <c r="P891" s="27">
        <v>936</v>
      </c>
      <c r="Q891" s="27">
        <v>26</v>
      </c>
      <c r="R891" s="27">
        <v>25</v>
      </c>
      <c r="S891" s="27" t="s">
        <v>2770</v>
      </c>
      <c r="T891" s="27"/>
      <c r="U891" s="27">
        <v>10368</v>
      </c>
      <c r="V891" s="27" t="s">
        <v>2771</v>
      </c>
      <c r="W891" s="27" t="s">
        <v>2772</v>
      </c>
      <c r="X891" s="73"/>
      <c r="Y891" s="73" t="e">
        <f>VLOOKUP(X891,Choferes!$B$2:$C$500,2,FALSE)</f>
        <v>#N/A</v>
      </c>
      <c r="Z891" s="73" t="s">
        <v>2773</v>
      </c>
    </row>
    <row r="892" spans="1:26" hidden="1" x14ac:dyDescent="0.25">
      <c r="A892" s="33">
        <v>49</v>
      </c>
      <c r="B892" s="71" t="s">
        <v>29</v>
      </c>
      <c r="C892" s="39" t="s">
        <v>2774</v>
      </c>
      <c r="D892" s="50" t="s">
        <v>38</v>
      </c>
      <c r="E892" s="47">
        <v>45628</v>
      </c>
      <c r="F892" s="31" t="str">
        <f>VLOOKUP($C892,Carpetas!$C$5:$M$2666,2,FALSE)</f>
        <v>BRE056</v>
      </c>
      <c r="G892" s="23" t="str">
        <f>VLOOKUP($C892,Carpetas!$C$5:$M$2666,10,FALSE)</f>
        <v>1511328/1511327/1511326/1511329</v>
      </c>
      <c r="H892" s="27">
        <f>VLOOKUP($C892,Carpetas!$C$5:$M$2666,6,FALSE)</f>
        <v>0</v>
      </c>
      <c r="I892" s="220">
        <f>VLOOKUP($C892,Carpetas!$C$5:$M$2666,4,FALSE)</f>
        <v>0</v>
      </c>
      <c r="J892" s="47">
        <f>E892+3</f>
        <v>45631</v>
      </c>
      <c r="K892" s="72" t="str">
        <f>VLOOKUP($C892,Carpetas!$C$5:$M$2666,5,FALSE)</f>
        <v>Chui</v>
      </c>
      <c r="L892" s="32"/>
      <c r="M892" s="48">
        <f t="shared" si="58"/>
        <v>45632</v>
      </c>
      <c r="N892" s="26">
        <f t="shared" si="55"/>
        <v>4</v>
      </c>
      <c r="O892" s="27">
        <v>1264</v>
      </c>
      <c r="P892" s="27">
        <v>1264</v>
      </c>
      <c r="Q892" s="27">
        <v>28</v>
      </c>
      <c r="R892" s="27"/>
      <c r="S892" s="27" t="s">
        <v>2743</v>
      </c>
      <c r="T892" s="27"/>
      <c r="U892" s="27" t="s">
        <v>2775</v>
      </c>
      <c r="V892" s="27"/>
      <c r="W892" s="27" t="s">
        <v>2776</v>
      </c>
      <c r="X892" s="73"/>
      <c r="Y892" s="73" t="e">
        <f>VLOOKUP(X892,Choferes!$B$2:$C$500,2,FALSE)</f>
        <v>#N/A</v>
      </c>
      <c r="Z892" s="73" t="s">
        <v>2777</v>
      </c>
    </row>
    <row r="893" spans="1:26" hidden="1" x14ac:dyDescent="0.25">
      <c r="A893" s="33">
        <v>49</v>
      </c>
      <c r="B893" s="71" t="s">
        <v>29</v>
      </c>
      <c r="C893" s="39" t="s">
        <v>2760</v>
      </c>
      <c r="D893" s="50" t="s">
        <v>102</v>
      </c>
      <c r="E893" s="47">
        <v>45629</v>
      </c>
      <c r="F893" s="31" t="str">
        <f>VLOOKUP($C893,Carpetas!$C$5:$M$2666,2,FALSE)</f>
        <v>PYB153</v>
      </c>
      <c r="G893" s="23" t="str">
        <f>VLOOKUP($C893,Carpetas!$C$5:$M$2666,10,FALSE)</f>
        <v>151,17,37</v>
      </c>
      <c r="H893" s="27">
        <f>VLOOKUP($C893,Carpetas!$C$5:$M$2666,6,FALSE)</f>
        <v>0</v>
      </c>
      <c r="I893" s="220"/>
      <c r="J893" s="47">
        <v>45631</v>
      </c>
      <c r="K893" s="72" t="str">
        <f>VLOOKUP($C893,Carpetas!$C$5:$M$2666,5,FALSE)</f>
        <v>Salto</v>
      </c>
      <c r="L893" s="32"/>
      <c r="M893" s="48">
        <f t="shared" si="58"/>
        <v>45632</v>
      </c>
      <c r="N893" s="26">
        <f t="shared" si="55"/>
        <v>3</v>
      </c>
      <c r="O893" s="27">
        <v>980</v>
      </c>
      <c r="P893" s="27">
        <v>982</v>
      </c>
      <c r="Q893" s="27">
        <v>28</v>
      </c>
      <c r="R893" s="27">
        <v>26</v>
      </c>
      <c r="S893" s="27" t="s">
        <v>2778</v>
      </c>
      <c r="T893" s="27"/>
      <c r="U893" s="27"/>
      <c r="V893" s="27" t="s">
        <v>2779</v>
      </c>
      <c r="W893" s="27"/>
      <c r="X893" s="73"/>
      <c r="Y893" s="73" t="e">
        <f>VLOOKUP(X893,Choferes!$B$2:$C$500,2,FALSE)</f>
        <v>#N/A</v>
      </c>
      <c r="Z893" s="73" t="s">
        <v>2780</v>
      </c>
    </row>
    <row r="894" spans="1:26" ht="45" hidden="1" x14ac:dyDescent="0.25">
      <c r="A894" s="33">
        <v>49</v>
      </c>
      <c r="B894" s="71" t="s">
        <v>29</v>
      </c>
      <c r="C894" s="39" t="s">
        <v>2708</v>
      </c>
      <c r="D894" s="50" t="s">
        <v>2474</v>
      </c>
      <c r="E894" s="47">
        <v>45630</v>
      </c>
      <c r="F894" s="31" t="str">
        <f>VLOOKUP($C894,Carpetas!$C$5:$M$2666,2,FALSE)</f>
        <v>BRB100</v>
      </c>
      <c r="G894" s="23" t="str">
        <f>VLOOKUP($C894,Carpetas!$C$5:$M$2666,10,FALSE)</f>
        <v>151,10,04</v>
      </c>
      <c r="H894" s="27" t="str">
        <f>VLOOKUP($C894,Carpetas!$C$5:$M$2666,6,FALSE)</f>
        <v>FG</v>
      </c>
      <c r="I894" s="220"/>
      <c r="J894" s="47">
        <v>45631</v>
      </c>
      <c r="K894" s="72" t="str">
        <f>VLOOKUP($C894,Carpetas!$C$5:$M$2666,5,FALSE)</f>
        <v>Rio Branco</v>
      </c>
      <c r="L894" s="32"/>
      <c r="M894" s="48">
        <f t="shared" si="58"/>
        <v>45632</v>
      </c>
      <c r="N894" s="26">
        <f t="shared" si="55"/>
        <v>2</v>
      </c>
      <c r="O894" s="27">
        <v>990</v>
      </c>
      <c r="P894" s="27">
        <v>990</v>
      </c>
      <c r="Q894" s="27">
        <v>28</v>
      </c>
      <c r="R894" s="27">
        <v>25.5</v>
      </c>
      <c r="S894" s="27" t="s">
        <v>2781</v>
      </c>
      <c r="T894" s="27"/>
      <c r="U894" s="27">
        <v>490</v>
      </c>
      <c r="V894" s="27" t="s">
        <v>1626</v>
      </c>
      <c r="W894" s="27" t="s">
        <v>1627</v>
      </c>
      <c r="X894" s="73"/>
      <c r="Y894" s="73" t="e">
        <f>VLOOKUP(X894,Choferes!$B$2:$C$500,2,FALSE)</f>
        <v>#N/A</v>
      </c>
      <c r="Z894" s="73" t="s">
        <v>2782</v>
      </c>
    </row>
    <row r="895" spans="1:26" ht="30" hidden="1" x14ac:dyDescent="0.25">
      <c r="A895" s="33">
        <v>49</v>
      </c>
      <c r="B895" s="71" t="s">
        <v>29</v>
      </c>
      <c r="C895" s="39" t="s">
        <v>2675</v>
      </c>
      <c r="D895" s="50" t="s">
        <v>747</v>
      </c>
      <c r="E895" s="47">
        <v>45630</v>
      </c>
      <c r="F895" s="31" t="str">
        <f>VLOOKUP($C895,Carpetas!$C$5:$M$2666,2,FALSE)</f>
        <v>BRB098</v>
      </c>
      <c r="G895" s="23" t="str">
        <f>VLOOKUP($C895,Carpetas!$C$5:$M$2666,10,FALSE)</f>
        <v>151,08,87</v>
      </c>
      <c r="H895" s="27" t="str">
        <f>VLOOKUP($C895,Carpetas!$C$5:$M$2666,6,FALSE)</f>
        <v>Amaro</v>
      </c>
      <c r="I895" s="220"/>
      <c r="J895" s="47">
        <v>45631</v>
      </c>
      <c r="K895" s="72" t="str">
        <f>VLOOKUP($C895,Carpetas!$C$5:$M$2666,5,FALSE)</f>
        <v>Rio Branco</v>
      </c>
      <c r="L895" s="32"/>
      <c r="M895" s="48">
        <f t="shared" si="58"/>
        <v>45632</v>
      </c>
      <c r="N895" s="26">
        <f t="shared" si="55"/>
        <v>2</v>
      </c>
      <c r="O895" s="27">
        <v>990</v>
      </c>
      <c r="P895" s="27">
        <v>990</v>
      </c>
      <c r="Q895" s="27">
        <v>28</v>
      </c>
      <c r="R895" s="27">
        <v>26</v>
      </c>
      <c r="S895" s="27" t="s">
        <v>2783</v>
      </c>
      <c r="T895" s="27"/>
      <c r="U895" s="27">
        <v>25126</v>
      </c>
      <c r="V895" s="27" t="s">
        <v>2784</v>
      </c>
      <c r="W895" s="27" t="s">
        <v>2785</v>
      </c>
      <c r="X895" s="73"/>
      <c r="Y895" s="73" t="e">
        <f>VLOOKUP(X895,Choferes!$B$2:$C$500,2,FALSE)</f>
        <v>#N/A</v>
      </c>
      <c r="Z895" s="73" t="s">
        <v>2786</v>
      </c>
    </row>
    <row r="896" spans="1:26" hidden="1" x14ac:dyDescent="0.25">
      <c r="A896" s="33">
        <v>49</v>
      </c>
      <c r="B896" s="71" t="s">
        <v>29</v>
      </c>
      <c r="C896" s="39" t="s">
        <v>2708</v>
      </c>
      <c r="D896" s="50" t="s">
        <v>78</v>
      </c>
      <c r="E896" s="47">
        <v>45630</v>
      </c>
      <c r="F896" s="31" t="str">
        <f>VLOOKUP($C896,Carpetas!$C$5:$M$2666,2,FALSE)</f>
        <v>BRB100</v>
      </c>
      <c r="G896" s="23" t="str">
        <f>VLOOKUP($C896,Carpetas!$C$5:$M$2666,10,FALSE)</f>
        <v>151,10,04</v>
      </c>
      <c r="H896" s="27" t="str">
        <f>VLOOKUP($C896,Carpetas!$C$5:$M$2666,6,FALSE)</f>
        <v>FG</v>
      </c>
      <c r="I896" s="220"/>
      <c r="J896" s="47">
        <v>45631</v>
      </c>
      <c r="K896" s="72" t="str">
        <f>VLOOKUP($C896,Carpetas!$C$5:$M$2666,5,FALSE)</f>
        <v>Rio Branco</v>
      </c>
      <c r="L896" s="32"/>
      <c r="M896" s="48">
        <f t="shared" si="58"/>
        <v>45632</v>
      </c>
      <c r="N896" s="26">
        <f t="shared" si="55"/>
        <v>2</v>
      </c>
      <c r="O896" s="27">
        <v>990</v>
      </c>
      <c r="P896" s="27">
        <v>991</v>
      </c>
      <c r="Q896" s="27">
        <v>28</v>
      </c>
      <c r="R896" s="27">
        <v>24</v>
      </c>
      <c r="S896" s="27" t="s">
        <v>2787</v>
      </c>
      <c r="T896" s="27"/>
      <c r="U896" s="27">
        <v>492</v>
      </c>
      <c r="V896" s="27" t="s">
        <v>1680</v>
      </c>
      <c r="W896" s="27" t="s">
        <v>1681</v>
      </c>
      <c r="X896" s="73"/>
      <c r="Y896" s="73" t="e">
        <f>VLOOKUP(X896,Choferes!$B$2:$C$500,2,FALSE)</f>
        <v>#N/A</v>
      </c>
      <c r="Z896" s="73" t="s">
        <v>2788</v>
      </c>
    </row>
    <row r="897" spans="1:26" ht="30" hidden="1" x14ac:dyDescent="0.25">
      <c r="A897" s="33">
        <v>48</v>
      </c>
      <c r="B897" s="71" t="s">
        <v>29</v>
      </c>
      <c r="C897" s="39" t="s">
        <v>2763</v>
      </c>
      <c r="D897" s="50" t="s">
        <v>1757</v>
      </c>
      <c r="E897" s="47">
        <v>45627</v>
      </c>
      <c r="F897" s="31" t="str">
        <f>VLOOKUP($C897,Carpetas!$C$5:$M$2666,2,FALSE)</f>
        <v>BRB102</v>
      </c>
      <c r="G897" s="23" t="str">
        <f>VLOOKUP($C897,Carpetas!$C$5:$M$2666,10,FALSE)</f>
        <v>151,16,29</v>
      </c>
      <c r="H897" s="27" t="str">
        <f>VLOOKUP($C897,Carpetas!$C$5:$M$2666,6,FALSE)</f>
        <v>Marvel</v>
      </c>
      <c r="I897" s="220"/>
      <c r="J897" s="47">
        <f>E897+5</f>
        <v>45632</v>
      </c>
      <c r="K897" s="72" t="str">
        <f>VLOOKUP($C897,Carpetas!$C$5:$M$2666,5,FALSE)</f>
        <v>Rio Branco</v>
      </c>
      <c r="L897" s="32"/>
      <c r="M897" s="48">
        <f t="shared" si="58"/>
        <v>45633</v>
      </c>
      <c r="N897" s="26">
        <f t="shared" si="55"/>
        <v>6</v>
      </c>
      <c r="O897" s="27">
        <v>936</v>
      </c>
      <c r="P897" s="27">
        <v>936</v>
      </c>
      <c r="Q897" s="27">
        <v>26</v>
      </c>
      <c r="R897" s="27">
        <v>26</v>
      </c>
      <c r="S897" s="27" t="s">
        <v>2789</v>
      </c>
      <c r="T897" s="27"/>
      <c r="U897" s="27">
        <v>10396</v>
      </c>
      <c r="V897" s="27" t="s">
        <v>2790</v>
      </c>
      <c r="W897" s="27" t="s">
        <v>2791</v>
      </c>
      <c r="X897" s="73"/>
      <c r="Y897" s="73" t="e">
        <f>VLOOKUP(X897,Choferes!$B$2:$C$500,2,FALSE)</f>
        <v>#N/A</v>
      </c>
      <c r="Z897" s="73" t="s">
        <v>2792</v>
      </c>
    </row>
    <row r="898" spans="1:26" hidden="1" x14ac:dyDescent="0.25">
      <c r="A898" s="33">
        <v>49</v>
      </c>
      <c r="B898" s="71" t="s">
        <v>29</v>
      </c>
      <c r="C898" s="39" t="s">
        <v>2793</v>
      </c>
      <c r="D898" s="50" t="s">
        <v>249</v>
      </c>
      <c r="E898" s="47">
        <v>45631</v>
      </c>
      <c r="F898" s="31" t="str">
        <f>VLOOKUP($C898,Carpetas!$C$5:$M$2666,2,FALSE)</f>
        <v>BRB103</v>
      </c>
      <c r="G898" s="23" t="str">
        <f>VLOOKUP($C898,Carpetas!$C$5:$M$2666,10,FALSE)</f>
        <v>151,28,88</v>
      </c>
      <c r="H898" s="27" t="str">
        <f>VLOOKUP($C898,Carpetas!$C$5:$M$2666,6,FALSE)</f>
        <v>Amaro</v>
      </c>
      <c r="I898" s="220"/>
      <c r="J898" s="47">
        <v>45635</v>
      </c>
      <c r="K898" s="72" t="str">
        <f>VLOOKUP($C898,Carpetas!$C$5:$M$2666,5,FALSE)</f>
        <v>Rio Branco</v>
      </c>
      <c r="L898" s="32"/>
      <c r="M898" s="48">
        <f t="shared" si="58"/>
        <v>45636</v>
      </c>
      <c r="N898" s="26">
        <f t="shared" si="55"/>
        <v>5</v>
      </c>
      <c r="O898" s="27">
        <v>990</v>
      </c>
      <c r="P898" s="27">
        <v>991</v>
      </c>
      <c r="Q898" s="27">
        <v>28</v>
      </c>
      <c r="R898" s="27">
        <v>25</v>
      </c>
      <c r="S898" s="27" t="s">
        <v>2794</v>
      </c>
      <c r="T898" s="27"/>
      <c r="U898" s="27">
        <v>25152</v>
      </c>
      <c r="V898" s="27" t="s">
        <v>2795</v>
      </c>
      <c r="W898" s="27" t="s">
        <v>2796</v>
      </c>
      <c r="X898" s="73"/>
      <c r="Y898" s="73" t="e">
        <f>VLOOKUP(X898,Choferes!$B$2:$C$500,2,FALSE)</f>
        <v>#N/A</v>
      </c>
      <c r="Z898" s="73" t="s">
        <v>2797</v>
      </c>
    </row>
    <row r="899" spans="1:26" hidden="1" x14ac:dyDescent="0.25">
      <c r="A899" s="33">
        <v>49</v>
      </c>
      <c r="B899" s="71" t="s">
        <v>29</v>
      </c>
      <c r="C899" s="39" t="s">
        <v>2634</v>
      </c>
      <c r="D899" s="50" t="s">
        <v>110</v>
      </c>
      <c r="E899" s="47">
        <v>45632</v>
      </c>
      <c r="F899" s="31" t="str">
        <f>VLOOKUP($C899,Carpetas!$C$5:$M$2666,2,FALSE)</f>
        <v>BRB096</v>
      </c>
      <c r="G899" s="23" t="str">
        <f>VLOOKUP($C899,Carpetas!$C$5:$M$2666,10,FALSE)</f>
        <v>150,99,91</v>
      </c>
      <c r="H899" s="27" t="str">
        <f>VLOOKUP($C899,Carpetas!$C$5:$M$2666,6,FALSE)</f>
        <v>Zanini</v>
      </c>
      <c r="I899" s="220"/>
      <c r="J899" s="47">
        <f>E899+3</f>
        <v>45635</v>
      </c>
      <c r="K899" s="72" t="str">
        <f>VLOOKUP($C899,Carpetas!$C$5:$M$2666,5,FALSE)</f>
        <v>Rio Branco</v>
      </c>
      <c r="L899" s="32"/>
      <c r="M899" s="48">
        <f t="shared" si="58"/>
        <v>45636</v>
      </c>
      <c r="N899" s="26">
        <f t="shared" si="55"/>
        <v>4</v>
      </c>
      <c r="O899" s="27">
        <v>918</v>
      </c>
      <c r="P899" s="27">
        <v>919</v>
      </c>
      <c r="Q899" s="27">
        <v>26</v>
      </c>
      <c r="R899" s="27">
        <v>26</v>
      </c>
      <c r="S899" s="27" t="s">
        <v>2798</v>
      </c>
      <c r="T899" s="27"/>
      <c r="U899" s="27">
        <v>4909</v>
      </c>
      <c r="V899" s="27" t="s">
        <v>2167</v>
      </c>
      <c r="W899" s="27" t="s">
        <v>2168</v>
      </c>
      <c r="X899" s="73"/>
      <c r="Y899" s="73" t="e">
        <f>VLOOKUP(X899,Choferes!$B$2:$C$500,2,FALSE)</f>
        <v>#N/A</v>
      </c>
      <c r="Z899" s="73" t="s">
        <v>2799</v>
      </c>
    </row>
    <row r="900" spans="1:26" ht="30" hidden="1" x14ac:dyDescent="0.25">
      <c r="A900" s="33">
        <v>49</v>
      </c>
      <c r="B900" s="71" t="s">
        <v>29</v>
      </c>
      <c r="C900" s="39" t="s">
        <v>2708</v>
      </c>
      <c r="D900" s="50" t="s">
        <v>803</v>
      </c>
      <c r="E900" s="47">
        <v>45632</v>
      </c>
      <c r="F900" s="31" t="str">
        <f>VLOOKUP($C900,Carpetas!$C$5:$M$2666,2,FALSE)</f>
        <v>BRB100</v>
      </c>
      <c r="G900" s="23" t="str">
        <f>VLOOKUP($C900,Carpetas!$C$5:$M$2666,10,FALSE)</f>
        <v>151,10,04</v>
      </c>
      <c r="H900" s="27" t="str">
        <f>VLOOKUP($C900,Carpetas!$C$5:$M$2666,6,FALSE)</f>
        <v>FG</v>
      </c>
      <c r="I900" s="220"/>
      <c r="J900" s="47">
        <f>E900+3</f>
        <v>45635</v>
      </c>
      <c r="K900" s="72" t="str">
        <f>VLOOKUP($C900,Carpetas!$C$5:$M$2666,5,FALSE)</f>
        <v>Rio Branco</v>
      </c>
      <c r="L900" s="32"/>
      <c r="M900" s="48">
        <f t="shared" si="58"/>
        <v>45636</v>
      </c>
      <c r="N900" s="26">
        <f t="shared" si="55"/>
        <v>4</v>
      </c>
      <c r="O900" s="27">
        <v>990</v>
      </c>
      <c r="P900" s="27">
        <v>990</v>
      </c>
      <c r="Q900" s="27">
        <v>28</v>
      </c>
      <c r="R900" s="27">
        <v>26</v>
      </c>
      <c r="S900" s="27" t="s">
        <v>2800</v>
      </c>
      <c r="T900" s="27"/>
      <c r="U900" s="27">
        <v>496</v>
      </c>
      <c r="V900" s="27" t="s">
        <v>1630</v>
      </c>
      <c r="W900" s="27" t="s">
        <v>1637</v>
      </c>
      <c r="X900" s="73"/>
      <c r="Y900" s="73" t="e">
        <f>VLOOKUP(X900,Choferes!$B$2:$C$500,2,FALSE)</f>
        <v>#N/A</v>
      </c>
      <c r="Z900" s="73" t="s">
        <v>2801</v>
      </c>
    </row>
    <row r="901" spans="1:26" ht="30" hidden="1" x14ac:dyDescent="0.25">
      <c r="A901" s="33">
        <v>49</v>
      </c>
      <c r="B901" s="71" t="s">
        <v>29</v>
      </c>
      <c r="C901" s="39" t="s">
        <v>2802</v>
      </c>
      <c r="D901" s="50" t="s">
        <v>2474</v>
      </c>
      <c r="E901" s="47">
        <v>45632</v>
      </c>
      <c r="F901" s="31" t="str">
        <f>VLOOKUP($C901,Carpetas!$C$5:$M$2666,2,FALSE)</f>
        <v>BRB104</v>
      </c>
      <c r="G901" s="23" t="str">
        <f>VLOOKUP($C901,Carpetas!$C$5:$M$2666,10,FALSE)</f>
        <v>151,21,89</v>
      </c>
      <c r="H901" s="27" t="str">
        <f>VLOOKUP($C901,Carpetas!$C$5:$M$2666,6,FALSE)</f>
        <v>FG</v>
      </c>
      <c r="I901" s="220"/>
      <c r="J901" s="47">
        <f>E901+3</f>
        <v>45635</v>
      </c>
      <c r="K901" s="72" t="str">
        <f>VLOOKUP($C901,Carpetas!$C$5:$M$2666,5,FALSE)</f>
        <v>Rio Branco</v>
      </c>
      <c r="L901" s="32"/>
      <c r="M901" s="48">
        <f t="shared" si="58"/>
        <v>45636</v>
      </c>
      <c r="N901" s="26">
        <f t="shared" ref="N901:N964" si="59">IF(E901&lt;&gt;"",M901-E901,"-")</f>
        <v>4</v>
      </c>
      <c r="O901" s="27">
        <v>990</v>
      </c>
      <c r="P901" s="27">
        <v>990</v>
      </c>
      <c r="Q901" s="27">
        <v>32</v>
      </c>
      <c r="R901" s="27">
        <v>25.6</v>
      </c>
      <c r="S901" s="27" t="s">
        <v>2803</v>
      </c>
      <c r="T901" s="27"/>
      <c r="U901" s="27">
        <v>500</v>
      </c>
      <c r="V901" s="27" t="s">
        <v>1430</v>
      </c>
      <c r="W901" s="27" t="s">
        <v>1669</v>
      </c>
      <c r="X901" s="73"/>
      <c r="Y901" s="73" t="e">
        <f>VLOOKUP(X901,Choferes!$B$2:$C$500,2,FALSE)</f>
        <v>#N/A</v>
      </c>
      <c r="Z901" s="73" t="s">
        <v>2804</v>
      </c>
    </row>
    <row r="902" spans="1:26" hidden="1" x14ac:dyDescent="0.25">
      <c r="A902" s="33">
        <v>49</v>
      </c>
      <c r="B902" s="71" t="s">
        <v>298</v>
      </c>
      <c r="C902" s="39" t="s">
        <v>299</v>
      </c>
      <c r="D902" s="50" t="s">
        <v>78</v>
      </c>
      <c r="E902" s="47">
        <v>45632</v>
      </c>
      <c r="F902" s="31" t="str">
        <f>VLOOKUP($C902,Carpetas!$C$5:$M$2666,2,FALSE)</f>
        <v>BRB</v>
      </c>
      <c r="G902" s="23" t="e">
        <f>VLOOKUP($C902,Carpetas!$C$5:$M$2666,9,FALSE)</f>
        <v>#REF!</v>
      </c>
      <c r="H902" s="27" t="str">
        <f>VLOOKUP($C902,Carpetas!$C$5:$M$2666,5,FALSE)</f>
        <v>xx</v>
      </c>
      <c r="I902" s="220"/>
      <c r="J902" s="47">
        <f>E902+3</f>
        <v>45635</v>
      </c>
      <c r="K902" s="72">
        <f>VLOOKUP($C902,Carpetas!$C$5:$M$2666,4,FALSE)</f>
        <v>0</v>
      </c>
      <c r="L902" s="32"/>
      <c r="M902" s="48">
        <f t="shared" si="58"/>
        <v>45636</v>
      </c>
      <c r="N902" s="26">
        <f t="shared" si="59"/>
        <v>4</v>
      </c>
      <c r="O902" s="27">
        <v>990</v>
      </c>
      <c r="P902" s="27"/>
      <c r="Q902" s="27"/>
      <c r="R902" s="27"/>
      <c r="S902" s="27"/>
      <c r="T902" s="27"/>
      <c r="U902" s="27"/>
      <c r="V902" s="27"/>
      <c r="W902" s="27"/>
      <c r="X902" s="73"/>
      <c r="Y902" s="73" t="e">
        <f>VLOOKUP(X902,Choferes!$B$2:$C$500,2,FALSE)</f>
        <v>#N/A</v>
      </c>
      <c r="Z902" s="73"/>
    </row>
    <row r="903" spans="1:26" hidden="1" x14ac:dyDescent="0.25">
      <c r="A903" s="33">
        <v>49</v>
      </c>
      <c r="B903" s="71" t="s">
        <v>298</v>
      </c>
      <c r="C903" s="39" t="s">
        <v>299</v>
      </c>
      <c r="D903" s="50" t="s">
        <v>2805</v>
      </c>
      <c r="E903" s="47">
        <v>45629</v>
      </c>
      <c r="F903" s="31" t="str">
        <f>VLOOKUP($C903,Carpetas!$C$5:$M$2666,2,FALSE)</f>
        <v>BRB</v>
      </c>
      <c r="G903" s="23" t="e">
        <f>VLOOKUP($C903,Carpetas!$C$5:$M$2666,9,FALSE)</f>
        <v>#REF!</v>
      </c>
      <c r="H903" s="27" t="str">
        <f>VLOOKUP($C903,Carpetas!$C$5:$M$2666,5,FALSE)</f>
        <v>xx</v>
      </c>
      <c r="I903" s="220"/>
      <c r="J903" s="47">
        <f>E903+7</f>
        <v>45636</v>
      </c>
      <c r="K903" s="72">
        <f>VLOOKUP($C903,Carpetas!$C$5:$M$2666,4,FALSE)</f>
        <v>0</v>
      </c>
      <c r="L903" s="32"/>
      <c r="M903" s="48">
        <f t="shared" si="58"/>
        <v>45637</v>
      </c>
      <c r="N903" s="26">
        <f t="shared" si="59"/>
        <v>8</v>
      </c>
      <c r="O903" s="27">
        <v>918</v>
      </c>
      <c r="P903" s="27"/>
      <c r="Q903" s="27"/>
      <c r="R903" s="27"/>
      <c r="S903" s="27"/>
      <c r="T903" s="27"/>
      <c r="U903" s="27"/>
      <c r="V903" s="27"/>
      <c r="W903" s="27"/>
      <c r="X903" s="73"/>
      <c r="Y903" s="73" t="e">
        <f>VLOOKUP(X903,Choferes!$B$2:$C$500,2,FALSE)</f>
        <v>#N/A</v>
      </c>
      <c r="Z903" s="73"/>
    </row>
    <row r="904" spans="1:26" hidden="1" x14ac:dyDescent="0.25">
      <c r="A904" s="33">
        <v>50</v>
      </c>
      <c r="B904" s="71" t="s">
        <v>29</v>
      </c>
      <c r="C904" s="39" t="s">
        <v>2802</v>
      </c>
      <c r="D904" s="50" t="s">
        <v>747</v>
      </c>
      <c r="E904" s="47">
        <v>45636</v>
      </c>
      <c r="F904" s="31" t="str">
        <f>VLOOKUP($C904,Carpetas!$C$5:$M$2666,2,FALSE)</f>
        <v>BRB104</v>
      </c>
      <c r="G904" s="23" t="str">
        <f>VLOOKUP($C904,Carpetas!$C$5:$M$2666,10,FALSE)</f>
        <v>151,21,89</v>
      </c>
      <c r="H904" s="27" t="str">
        <f>VLOOKUP($C904,Carpetas!$C$5:$M$2666,6,FALSE)</f>
        <v>FG</v>
      </c>
      <c r="I904" s="220"/>
      <c r="J904" s="47">
        <v>45638</v>
      </c>
      <c r="K904" s="72" t="str">
        <f>VLOOKUP($C904,Carpetas!$C$5:$M$2666,5,FALSE)</f>
        <v>Rio Branco</v>
      </c>
      <c r="L904" s="32"/>
      <c r="M904" s="48">
        <f t="shared" si="58"/>
        <v>45639</v>
      </c>
      <c r="N904" s="26">
        <f t="shared" si="59"/>
        <v>3</v>
      </c>
      <c r="O904" s="27">
        <v>990</v>
      </c>
      <c r="P904" s="27">
        <v>990</v>
      </c>
      <c r="Q904" s="27">
        <v>28</v>
      </c>
      <c r="R904" s="27"/>
      <c r="S904" s="27" t="s">
        <v>2806</v>
      </c>
      <c r="T904" s="27"/>
      <c r="U904" s="27">
        <v>502</v>
      </c>
      <c r="V904" s="27" t="s">
        <v>1726</v>
      </c>
      <c r="W904" s="27" t="s">
        <v>1646</v>
      </c>
      <c r="X904" s="73"/>
      <c r="Y904" s="73" t="e">
        <f>VLOOKUP(X904,Choferes!$B$2:$C$500,2,FALSE)</f>
        <v>#N/A</v>
      </c>
      <c r="Z904" s="73" t="s">
        <v>2807</v>
      </c>
    </row>
    <row r="905" spans="1:26" ht="30" hidden="1" x14ac:dyDescent="0.25">
      <c r="A905" s="33">
        <v>50</v>
      </c>
      <c r="B905" s="71" t="s">
        <v>29</v>
      </c>
      <c r="C905" s="39" t="s">
        <v>2747</v>
      </c>
      <c r="D905" s="50" t="s">
        <v>803</v>
      </c>
      <c r="E905" s="47">
        <v>45636</v>
      </c>
      <c r="F905" s="31" t="str">
        <f>VLOOKUP($C905,Carpetas!$C$5:$M$2666,2,FALSE)</f>
        <v>BRB101</v>
      </c>
      <c r="G905" s="23" t="str">
        <f>VLOOKUP($C905,Carpetas!$C$5:$M$2666,10,FALSE)</f>
        <v>151,16,28</v>
      </c>
      <c r="H905" s="27" t="str">
        <f>VLOOKUP($C905,Carpetas!$C$5:$M$2666,6,FALSE)</f>
        <v xml:space="preserve">Silvio </v>
      </c>
      <c r="I905" s="220"/>
      <c r="J905" s="47">
        <v>45638</v>
      </c>
      <c r="K905" s="72" t="str">
        <f>VLOOKUP($C905,Carpetas!$C$5:$M$2666,5,FALSE)</f>
        <v>Rio Branco</v>
      </c>
      <c r="L905" s="32"/>
      <c r="M905" s="48">
        <f t="shared" si="58"/>
        <v>45639</v>
      </c>
      <c r="N905" s="26">
        <f t="shared" si="59"/>
        <v>3</v>
      </c>
      <c r="O905" s="27">
        <v>918</v>
      </c>
      <c r="P905" s="27">
        <v>918</v>
      </c>
      <c r="Q905" s="27">
        <v>26</v>
      </c>
      <c r="R905" s="27">
        <v>26</v>
      </c>
      <c r="S905" s="27" t="s">
        <v>2808</v>
      </c>
      <c r="T905" s="27"/>
      <c r="U905" s="27">
        <v>7236</v>
      </c>
      <c r="V905" s="27" t="s">
        <v>2073</v>
      </c>
      <c r="W905" s="27" t="s">
        <v>322</v>
      </c>
      <c r="X905" s="73"/>
      <c r="Y905" s="73" t="e">
        <f>VLOOKUP(X905,Choferes!$B$2:$C$500,2,FALSE)</f>
        <v>#N/A</v>
      </c>
      <c r="Z905" s="73" t="s">
        <v>2809</v>
      </c>
    </row>
    <row r="906" spans="1:26" ht="30" hidden="1" x14ac:dyDescent="0.25">
      <c r="A906" s="33">
        <v>50</v>
      </c>
      <c r="B906" s="71" t="s">
        <v>29</v>
      </c>
      <c r="C906" s="39" t="s">
        <v>2810</v>
      </c>
      <c r="D906" s="50" t="s">
        <v>121</v>
      </c>
      <c r="E906" s="47">
        <v>45636</v>
      </c>
      <c r="F906" s="31" t="str">
        <f>VLOOKUP($C906,Carpetas!$C$5:$M$2666,2,FALSE)</f>
        <v>PYB155</v>
      </c>
      <c r="G906" s="23" t="str">
        <f>VLOOKUP($C906,Carpetas!$C$5:$M$2666,10,FALSE)</f>
        <v>151,20,93</v>
      </c>
      <c r="H906" s="27">
        <f>VLOOKUP($C906,Carpetas!$C$5:$M$2666,6,FALSE)</f>
        <v>0</v>
      </c>
      <c r="I906" s="220"/>
      <c r="J906" s="47">
        <v>45638</v>
      </c>
      <c r="K906" s="72" t="str">
        <f>VLOOKUP($C906,Carpetas!$C$5:$M$2666,5,FALSE)</f>
        <v>Salto</v>
      </c>
      <c r="L906" s="32"/>
      <c r="M906" s="48">
        <f t="shared" si="58"/>
        <v>45639</v>
      </c>
      <c r="N906" s="26">
        <f t="shared" si="59"/>
        <v>3</v>
      </c>
      <c r="O906" s="27">
        <v>980</v>
      </c>
      <c r="P906" s="27">
        <v>982</v>
      </c>
      <c r="Q906" s="27">
        <v>28</v>
      </c>
      <c r="R906" s="27">
        <v>26</v>
      </c>
      <c r="S906" s="27" t="s">
        <v>2811</v>
      </c>
      <c r="T906" s="27"/>
      <c r="U906" s="27"/>
      <c r="V906" s="27" t="s">
        <v>2812</v>
      </c>
      <c r="W906" s="27"/>
      <c r="X906" s="73"/>
      <c r="Y906" s="73" t="e">
        <f>VLOOKUP(X906,Choferes!$B$2:$C$500,2,FALSE)</f>
        <v>#N/A</v>
      </c>
      <c r="Z906" s="73" t="s">
        <v>2813</v>
      </c>
    </row>
    <row r="907" spans="1:26" ht="30" hidden="1" x14ac:dyDescent="0.25">
      <c r="A907" s="33">
        <v>50</v>
      </c>
      <c r="B907" s="71" t="s">
        <v>29</v>
      </c>
      <c r="C907" s="39" t="s">
        <v>2634</v>
      </c>
      <c r="D907" s="50" t="s">
        <v>2474</v>
      </c>
      <c r="E907" s="47">
        <v>45637</v>
      </c>
      <c r="F907" s="31" t="str">
        <f>VLOOKUP($C907,Carpetas!$C$5:$M$2666,2,FALSE)</f>
        <v>BRB096</v>
      </c>
      <c r="G907" s="23" t="str">
        <f>VLOOKUP($C907,Carpetas!$C$5:$M$2666,10,FALSE)</f>
        <v>150,99,91</v>
      </c>
      <c r="H907" s="27" t="str">
        <f>VLOOKUP($C907,Carpetas!$C$5:$M$2666,6,FALSE)</f>
        <v>Zanini</v>
      </c>
      <c r="I907" s="220"/>
      <c r="J907" s="47">
        <v>45638</v>
      </c>
      <c r="K907" s="72" t="str">
        <f>VLOOKUP($C907,Carpetas!$C$5:$M$2666,5,FALSE)</f>
        <v>Rio Branco</v>
      </c>
      <c r="L907" s="32"/>
      <c r="M907" s="48">
        <f t="shared" si="58"/>
        <v>45639</v>
      </c>
      <c r="N907" s="26">
        <f t="shared" si="59"/>
        <v>2</v>
      </c>
      <c r="O907" s="27">
        <v>918</v>
      </c>
      <c r="P907" s="27">
        <v>918</v>
      </c>
      <c r="Q907" s="27">
        <v>30</v>
      </c>
      <c r="R907" s="27">
        <v>25</v>
      </c>
      <c r="S907" s="27" t="s">
        <v>2814</v>
      </c>
      <c r="T907" s="27"/>
      <c r="U907" s="27">
        <v>4913</v>
      </c>
      <c r="V907" s="27" t="s">
        <v>2815</v>
      </c>
      <c r="W907" s="27" t="s">
        <v>2816</v>
      </c>
      <c r="X907" s="73"/>
      <c r="Y907" s="73" t="e">
        <f>VLOOKUP(X907,Choferes!$B$2:$C$500,2,FALSE)</f>
        <v>#N/A</v>
      </c>
      <c r="Z907" s="73" t="s">
        <v>2817</v>
      </c>
    </row>
    <row r="908" spans="1:26" hidden="1" x14ac:dyDescent="0.25">
      <c r="A908" s="33">
        <v>50</v>
      </c>
      <c r="B908" s="71" t="s">
        <v>298</v>
      </c>
      <c r="C908" s="39" t="s">
        <v>299</v>
      </c>
      <c r="D908" s="50" t="s">
        <v>2202</v>
      </c>
      <c r="E908" s="47">
        <v>45636</v>
      </c>
      <c r="F908" s="31" t="str">
        <f>VLOOKUP($C908,Carpetas!$C$5:$M$2666,2,FALSE)</f>
        <v>BRB</v>
      </c>
      <c r="G908" s="23" t="e">
        <f>VLOOKUP($C908,Carpetas!$C$5:$M$2666,9,FALSE)</f>
        <v>#REF!</v>
      </c>
      <c r="H908" s="27" t="str">
        <f>VLOOKUP($C908,Carpetas!$C$5:$M$2666,5,FALSE)</f>
        <v>xx</v>
      </c>
      <c r="I908" s="220"/>
      <c r="J908" s="47">
        <f>E908+3</f>
        <v>45639</v>
      </c>
      <c r="K908" s="72">
        <f>VLOOKUP($C908,Carpetas!$C$5:$M$2666,4,FALSE)</f>
        <v>0</v>
      </c>
      <c r="L908" s="32"/>
      <c r="M908" s="48">
        <f t="shared" si="58"/>
        <v>45640</v>
      </c>
      <c r="N908" s="26">
        <f t="shared" si="59"/>
        <v>4</v>
      </c>
      <c r="O908" s="27">
        <v>918</v>
      </c>
      <c r="P908" s="27"/>
      <c r="Q908" s="27"/>
      <c r="R908" s="27"/>
      <c r="S908" s="27"/>
      <c r="T908" s="27"/>
      <c r="U908" s="27"/>
      <c r="V908" s="27"/>
      <c r="W908" s="27"/>
      <c r="X908" s="73"/>
      <c r="Y908" s="73" t="e">
        <f>VLOOKUP(X908,Choferes!$B$2:$C$500,2,FALSE)</f>
        <v>#N/A</v>
      </c>
      <c r="Z908" s="73"/>
    </row>
    <row r="909" spans="1:26" ht="30" hidden="1" x14ac:dyDescent="0.25">
      <c r="A909" s="33">
        <v>50</v>
      </c>
      <c r="B909" s="71" t="s">
        <v>29</v>
      </c>
      <c r="C909" s="39" t="s">
        <v>2818</v>
      </c>
      <c r="D909" s="50" t="s">
        <v>38</v>
      </c>
      <c r="E909" s="47">
        <v>45636</v>
      </c>
      <c r="F909" s="31" t="str">
        <f>VLOOKUP($C909,Carpetas!$C$5:$M$2666,2,FALSE)</f>
        <v>BRE057</v>
      </c>
      <c r="G909" s="23" t="str">
        <f>VLOOKUP($C909,Carpetas!$C$5:$M$2666,10,FALSE)</f>
        <v>1512428/1512427/1512426/1512425</v>
      </c>
      <c r="H909" s="27" t="str">
        <f>VLOOKUP($C909,Carpetas!$C$5:$M$2666,6,FALSE)</f>
        <v xml:space="preserve">Silvio </v>
      </c>
      <c r="I909" s="220">
        <f>VLOOKUP($C909,Carpetas!$C$5:$M$2666,4,FALSE)</f>
        <v>0</v>
      </c>
      <c r="J909" s="47">
        <v>45639</v>
      </c>
      <c r="K909" s="72" t="str">
        <f>VLOOKUP($C909,Carpetas!$C$5:$M$2666,5,FALSE)</f>
        <v>Rio Branco</v>
      </c>
      <c r="L909" s="32"/>
      <c r="M909" s="48">
        <f t="shared" si="58"/>
        <v>45640</v>
      </c>
      <c r="N909" s="26">
        <f t="shared" si="59"/>
        <v>4</v>
      </c>
      <c r="O909" s="27">
        <v>1242</v>
      </c>
      <c r="P909" s="27"/>
      <c r="Q909" s="27"/>
      <c r="R909" s="27"/>
      <c r="S909" s="27"/>
      <c r="T909" s="27"/>
      <c r="U909" s="27">
        <v>7249</v>
      </c>
      <c r="V909" s="27" t="s">
        <v>661</v>
      </c>
      <c r="W909" s="27" t="s">
        <v>1472</v>
      </c>
      <c r="X909" s="73"/>
      <c r="Y909" s="73" t="e">
        <f>VLOOKUP(X909,Choferes!$B$2:$C$500,2,FALSE)</f>
        <v>#N/A</v>
      </c>
      <c r="Z909" s="73" t="s">
        <v>2819</v>
      </c>
    </row>
    <row r="910" spans="1:26" ht="30" hidden="1" x14ac:dyDescent="0.25">
      <c r="A910" s="33">
        <v>50</v>
      </c>
      <c r="B910" s="71" t="s">
        <v>29</v>
      </c>
      <c r="C910" s="39" t="s">
        <v>2820</v>
      </c>
      <c r="D910" s="50" t="s">
        <v>102</v>
      </c>
      <c r="E910" s="47">
        <v>45636</v>
      </c>
      <c r="F910" s="31" t="str">
        <f>VLOOKUP($C910,Carpetas!$C$5:$M$2666,2,FALSE)</f>
        <v>PYB157</v>
      </c>
      <c r="G910" s="23" t="str">
        <f>VLOOKUP($C910,Carpetas!$C$5:$M$2666,10,FALSE)</f>
        <v>151,17,37</v>
      </c>
      <c r="H910" s="27">
        <f>VLOOKUP($C910,Carpetas!$C$5:$M$2666,6,FALSE)</f>
        <v>0</v>
      </c>
      <c r="I910" s="220"/>
      <c r="J910" s="47">
        <v>45639</v>
      </c>
      <c r="K910" s="72" t="str">
        <f>VLOOKUP($C910,Carpetas!$C$5:$M$2666,5,FALSE)</f>
        <v>Salto</v>
      </c>
      <c r="L910" s="32"/>
      <c r="M910" s="48">
        <f t="shared" si="58"/>
        <v>45640</v>
      </c>
      <c r="N910" s="26">
        <f t="shared" si="59"/>
        <v>4</v>
      </c>
      <c r="O910" s="27">
        <v>980</v>
      </c>
      <c r="P910" s="27">
        <v>981</v>
      </c>
      <c r="Q910" s="27">
        <v>28</v>
      </c>
      <c r="R910" s="27">
        <v>26</v>
      </c>
      <c r="S910" s="27" t="s">
        <v>2821</v>
      </c>
      <c r="T910" s="27"/>
      <c r="U910" s="27"/>
      <c r="V910" s="27" t="s">
        <v>288</v>
      </c>
      <c r="W910" s="27"/>
      <c r="X910" s="73"/>
      <c r="Y910" s="73" t="e">
        <f>VLOOKUP(X910,Choferes!$B$2:$C$500,2,FALSE)</f>
        <v>#N/A</v>
      </c>
      <c r="Z910" s="73" t="s">
        <v>2822</v>
      </c>
    </row>
    <row r="911" spans="1:26" ht="30" hidden="1" x14ac:dyDescent="0.25">
      <c r="A911" s="33">
        <v>50</v>
      </c>
      <c r="B911" s="71" t="s">
        <v>29</v>
      </c>
      <c r="C911" s="39" t="s">
        <v>2820</v>
      </c>
      <c r="D911" s="50" t="s">
        <v>102</v>
      </c>
      <c r="E911" s="47">
        <v>45636</v>
      </c>
      <c r="F911" s="31" t="str">
        <f>VLOOKUP($C911,Carpetas!$C$5:$M$2666,2,FALSE)</f>
        <v>PYB157</v>
      </c>
      <c r="G911" s="23" t="str">
        <f>VLOOKUP($C911,Carpetas!$C$5:$M$2666,10,FALSE)</f>
        <v>151,17,37</v>
      </c>
      <c r="H911" s="27">
        <f>VLOOKUP($C911,Carpetas!$C$5:$M$2666,6,FALSE)</f>
        <v>0</v>
      </c>
      <c r="I911" s="220"/>
      <c r="J911" s="47">
        <v>45639</v>
      </c>
      <c r="K911" s="72" t="str">
        <f>VLOOKUP($C911,Carpetas!$C$5:$M$2666,5,FALSE)</f>
        <v>Salto</v>
      </c>
      <c r="L911" s="32"/>
      <c r="M911" s="48">
        <f t="shared" si="58"/>
        <v>45640</v>
      </c>
      <c r="N911" s="26">
        <f t="shared" si="59"/>
        <v>4</v>
      </c>
      <c r="O911" s="27">
        <v>980</v>
      </c>
      <c r="P911" s="27">
        <v>980</v>
      </c>
      <c r="Q911" s="27">
        <v>28</v>
      </c>
      <c r="R911" s="27">
        <v>26</v>
      </c>
      <c r="S911" s="27" t="s">
        <v>2823</v>
      </c>
      <c r="T911" s="27"/>
      <c r="U911" s="27"/>
      <c r="V911" s="27" t="s">
        <v>161</v>
      </c>
      <c r="W911" s="27"/>
      <c r="X911" s="73"/>
      <c r="Y911" s="73" t="e">
        <f>VLOOKUP(X911,Choferes!$B$2:$C$500,2,FALSE)</f>
        <v>#N/A</v>
      </c>
      <c r="Z911" s="73" t="s">
        <v>2824</v>
      </c>
    </row>
    <row r="912" spans="1:26" ht="30" hidden="1" x14ac:dyDescent="0.25">
      <c r="A912" s="33">
        <v>50</v>
      </c>
      <c r="B912" s="71" t="s">
        <v>29</v>
      </c>
      <c r="C912" s="39" t="s">
        <v>2825</v>
      </c>
      <c r="D912" s="50" t="s">
        <v>183</v>
      </c>
      <c r="E912" s="47">
        <v>45636</v>
      </c>
      <c r="F912" s="31" t="str">
        <f>VLOOKUP($C912,Carpetas!$C$5:$M$2666,2,FALSE)</f>
        <v>PYB158</v>
      </c>
      <c r="G912" s="23" t="str">
        <f>VLOOKUP($C912,Carpetas!$C$5:$M$2666,10,FALSE)</f>
        <v>151,24,29</v>
      </c>
      <c r="H912" s="27">
        <f>VLOOKUP($C912,Carpetas!$C$5:$M$2666,6,FALSE)</f>
        <v>0</v>
      </c>
      <c r="I912" s="220"/>
      <c r="J912" s="47">
        <f>E912+3</f>
        <v>45639</v>
      </c>
      <c r="K912" s="72" t="str">
        <f>VLOOKUP($C912,Carpetas!$C$5:$M$2666,5,FALSE)</f>
        <v>Salto</v>
      </c>
      <c r="L912" s="32"/>
      <c r="M912" s="48">
        <f t="shared" si="58"/>
        <v>45640</v>
      </c>
      <c r="N912" s="26">
        <f t="shared" si="59"/>
        <v>4</v>
      </c>
      <c r="O912" s="27">
        <v>980</v>
      </c>
      <c r="P912" s="27">
        <v>981</v>
      </c>
      <c r="Q912" s="27">
        <v>28</v>
      </c>
      <c r="R912" s="27">
        <v>26.5</v>
      </c>
      <c r="S912" s="27" t="s">
        <v>2826</v>
      </c>
      <c r="T912" s="27"/>
      <c r="U912" s="27"/>
      <c r="V912" s="27" t="s">
        <v>2827</v>
      </c>
      <c r="W912" s="27"/>
      <c r="X912" s="73"/>
      <c r="Y912" s="73" t="e">
        <f>VLOOKUP(X912,Choferes!$B$2:$C$500,2,FALSE)</f>
        <v>#N/A</v>
      </c>
      <c r="Z912" s="73" t="s">
        <v>2828</v>
      </c>
    </row>
    <row r="913" spans="1:26" ht="30" hidden="1" x14ac:dyDescent="0.25">
      <c r="A913" s="33">
        <v>50</v>
      </c>
      <c r="B913" s="71" t="s">
        <v>29</v>
      </c>
      <c r="C913" s="39" t="s">
        <v>2810</v>
      </c>
      <c r="D913" s="50" t="s">
        <v>121</v>
      </c>
      <c r="E913" s="47">
        <v>45637</v>
      </c>
      <c r="F913" s="31" t="str">
        <f>VLOOKUP($C913,Carpetas!$C$5:$M$2666,2,FALSE)</f>
        <v>PYB155</v>
      </c>
      <c r="G913" s="23" t="str">
        <f>VLOOKUP($C913,Carpetas!$C$5:$M$2666,10,FALSE)</f>
        <v>151,20,93</v>
      </c>
      <c r="H913" s="27">
        <f>VLOOKUP($C913,Carpetas!$C$5:$M$2666,6,FALSE)</f>
        <v>0</v>
      </c>
      <c r="I913" s="220"/>
      <c r="J913" s="47">
        <v>45639</v>
      </c>
      <c r="K913" s="72" t="str">
        <f>VLOOKUP($C913,Carpetas!$C$5:$M$2666,5,FALSE)</f>
        <v>Salto</v>
      </c>
      <c r="L913" s="32"/>
      <c r="M913" s="48">
        <f t="shared" si="58"/>
        <v>45640</v>
      </c>
      <c r="N913" s="26">
        <f t="shared" si="59"/>
        <v>3</v>
      </c>
      <c r="O913" s="27">
        <v>980</v>
      </c>
      <c r="P913" s="27">
        <v>982</v>
      </c>
      <c r="Q913" s="27">
        <v>28</v>
      </c>
      <c r="R913" s="27">
        <v>26</v>
      </c>
      <c r="S913" s="27" t="s">
        <v>2829</v>
      </c>
      <c r="T913" s="27"/>
      <c r="U913" s="27"/>
      <c r="V913" s="27" t="s">
        <v>1058</v>
      </c>
      <c r="W913" s="27"/>
      <c r="X913" s="73"/>
      <c r="Y913" s="73" t="e">
        <f>VLOOKUP(X913,Choferes!$B$2:$C$500,2,FALSE)</f>
        <v>#N/A</v>
      </c>
      <c r="Z913" s="73" t="s">
        <v>2830</v>
      </c>
    </row>
    <row r="914" spans="1:26" hidden="1" x14ac:dyDescent="0.25">
      <c r="A914" s="33">
        <v>50</v>
      </c>
      <c r="B914" s="71" t="s">
        <v>29</v>
      </c>
      <c r="C914" s="39" t="s">
        <v>2825</v>
      </c>
      <c r="D914" s="50" t="s">
        <v>183</v>
      </c>
      <c r="E914" s="47">
        <v>45637</v>
      </c>
      <c r="F914" s="31" t="str">
        <f>VLOOKUP($C914,Carpetas!$C$5:$M$2666,2,FALSE)</f>
        <v>PYB158</v>
      </c>
      <c r="G914" s="23" t="str">
        <f>VLOOKUP($C914,Carpetas!$C$5:$M$2666,10,FALSE)</f>
        <v>151,24,29</v>
      </c>
      <c r="H914" s="27">
        <f>VLOOKUP($C914,Carpetas!$C$5:$M$2666,6,FALSE)</f>
        <v>0</v>
      </c>
      <c r="I914" s="220"/>
      <c r="J914" s="47">
        <v>45640</v>
      </c>
      <c r="K914" s="72" t="str">
        <f>VLOOKUP($C914,Carpetas!$C$5:$M$2666,5,FALSE)</f>
        <v>Salto</v>
      </c>
      <c r="L914" s="32"/>
      <c r="M914" s="48">
        <f t="shared" si="58"/>
        <v>45641</v>
      </c>
      <c r="N914" s="26">
        <f t="shared" si="59"/>
        <v>4</v>
      </c>
      <c r="O914" s="27">
        <v>980</v>
      </c>
      <c r="P914" s="27">
        <v>979</v>
      </c>
      <c r="Q914" s="27">
        <v>28</v>
      </c>
      <c r="R914" s="27">
        <v>26</v>
      </c>
      <c r="S914" s="27" t="s">
        <v>2831</v>
      </c>
      <c r="T914" s="27"/>
      <c r="U914" s="27"/>
      <c r="V914" s="27" t="s">
        <v>1276</v>
      </c>
      <c r="W914" s="27"/>
      <c r="X914" s="73"/>
      <c r="Y914" s="73" t="e">
        <f>VLOOKUP(X914,Choferes!$B$2:$C$500,2,FALSE)</f>
        <v>#N/A</v>
      </c>
      <c r="Z914" s="73" t="s">
        <v>2832</v>
      </c>
    </row>
    <row r="915" spans="1:26" ht="30" hidden="1" x14ac:dyDescent="0.25">
      <c r="A915" s="33">
        <v>50</v>
      </c>
      <c r="B915" s="71" t="s">
        <v>29</v>
      </c>
      <c r="C915" s="39" t="s">
        <v>2833</v>
      </c>
      <c r="D915" s="106" t="s">
        <v>42</v>
      </c>
      <c r="E915" s="47">
        <v>45637</v>
      </c>
      <c r="F915" s="31" t="str">
        <f>VLOOKUP($C915,Carpetas!$C$5:$M$2666,2,FALSE)</f>
        <v>PYB154</v>
      </c>
      <c r="G915" s="23" t="str">
        <f>VLOOKUP($C915,Carpetas!$C$5:$M$2666,10,FALSE)</f>
        <v>151,17,23</v>
      </c>
      <c r="H915" s="27">
        <f>VLOOKUP($C915,Carpetas!$C$5:$M$2666,6,FALSE)</f>
        <v>0</v>
      </c>
      <c r="I915" s="220"/>
      <c r="J915" s="47">
        <f>E915+5</f>
        <v>45642</v>
      </c>
      <c r="K915" s="72" t="str">
        <f>VLOOKUP($C915,Carpetas!$C$5:$M$2666,5,FALSE)</f>
        <v>Salto</v>
      </c>
      <c r="L915" s="32"/>
      <c r="M915" s="48">
        <f t="shared" si="58"/>
        <v>45643</v>
      </c>
      <c r="N915" s="26">
        <f t="shared" si="59"/>
        <v>6</v>
      </c>
      <c r="O915" s="27">
        <v>980</v>
      </c>
      <c r="P915" s="27">
        <v>972</v>
      </c>
      <c r="Q915" s="27">
        <v>28</v>
      </c>
      <c r="R915" s="27">
        <v>26</v>
      </c>
      <c r="S915" s="27" t="s">
        <v>2834</v>
      </c>
      <c r="T915" s="27"/>
      <c r="U915" s="27"/>
      <c r="V915" s="27" t="s">
        <v>406</v>
      </c>
      <c r="W915" s="27"/>
      <c r="X915" s="73"/>
      <c r="Y915" s="73" t="e">
        <f>VLOOKUP(X915,Choferes!$B$2:$C$500,2,FALSE)</f>
        <v>#N/A</v>
      </c>
      <c r="Z915" s="73" t="s">
        <v>2835</v>
      </c>
    </row>
    <row r="916" spans="1:26" ht="30" hidden="1" x14ac:dyDescent="0.25">
      <c r="A916" s="33">
        <v>50</v>
      </c>
      <c r="B916" s="71" t="s">
        <v>29</v>
      </c>
      <c r="C916" s="39" t="s">
        <v>2802</v>
      </c>
      <c r="D916" s="50" t="s">
        <v>747</v>
      </c>
      <c r="E916" s="47">
        <v>45639</v>
      </c>
      <c r="F916" s="31" t="str">
        <f>VLOOKUP($C916,Carpetas!$C$5:$M$2666,2,FALSE)</f>
        <v>BRB104</v>
      </c>
      <c r="G916" s="23" t="str">
        <f>VLOOKUP($C916,Carpetas!$C$5:$M$2666,10,FALSE)</f>
        <v>151,21,89</v>
      </c>
      <c r="H916" s="27" t="str">
        <f>VLOOKUP($C916,Carpetas!$C$5:$M$2666,6,FALSE)</f>
        <v>FG</v>
      </c>
      <c r="I916" s="220"/>
      <c r="J916" s="47">
        <f>E916+3</f>
        <v>45642</v>
      </c>
      <c r="K916" s="72" t="str">
        <f>VLOOKUP($C916,Carpetas!$C$5:$M$2666,5,FALSE)</f>
        <v>Rio Branco</v>
      </c>
      <c r="L916" s="32"/>
      <c r="M916" s="48">
        <f t="shared" si="58"/>
        <v>45643</v>
      </c>
      <c r="N916" s="26">
        <f t="shared" si="59"/>
        <v>4</v>
      </c>
      <c r="O916" s="27">
        <v>990</v>
      </c>
      <c r="P916" s="27">
        <v>990</v>
      </c>
      <c r="Q916" s="27">
        <v>28</v>
      </c>
      <c r="R916" s="27">
        <v>25</v>
      </c>
      <c r="S916" s="27" t="s">
        <v>2836</v>
      </c>
      <c r="T916" s="27"/>
      <c r="U916" s="27">
        <v>510</v>
      </c>
      <c r="V916" s="27" t="s">
        <v>1430</v>
      </c>
      <c r="W916" s="27" t="s">
        <v>1669</v>
      </c>
      <c r="X916" s="73"/>
      <c r="Y916" s="73" t="e">
        <f>VLOOKUP(X916,Choferes!$B$2:$C$500,2,FALSE)</f>
        <v>#N/A</v>
      </c>
      <c r="Z916" s="73" t="s">
        <v>2837</v>
      </c>
    </row>
    <row r="917" spans="1:26" hidden="1" x14ac:dyDescent="0.25">
      <c r="A917" s="33">
        <v>50</v>
      </c>
      <c r="B917" s="71" t="s">
        <v>29</v>
      </c>
      <c r="C917" s="39" t="s">
        <v>2802</v>
      </c>
      <c r="D917" s="50" t="s">
        <v>803</v>
      </c>
      <c r="E917" s="47">
        <v>45639</v>
      </c>
      <c r="F917" s="31" t="str">
        <f>VLOOKUP($C917,Carpetas!$C$5:$M$2666,2,FALSE)</f>
        <v>BRB104</v>
      </c>
      <c r="G917" s="23" t="str">
        <f>VLOOKUP($C917,Carpetas!$C$5:$M$2666,10,FALSE)</f>
        <v>151,21,89</v>
      </c>
      <c r="H917" s="27" t="str">
        <f>VLOOKUP($C917,Carpetas!$C$5:$M$2666,6,FALSE)</f>
        <v>FG</v>
      </c>
      <c r="I917" s="220"/>
      <c r="J917" s="47">
        <f>E917+3</f>
        <v>45642</v>
      </c>
      <c r="K917" s="72" t="str">
        <f>VLOOKUP($C917,Carpetas!$C$5:$M$2666,5,FALSE)</f>
        <v>Rio Branco</v>
      </c>
      <c r="L917" s="32"/>
      <c r="M917" s="48">
        <f t="shared" si="58"/>
        <v>45643</v>
      </c>
      <c r="N917" s="26">
        <f t="shared" si="59"/>
        <v>4</v>
      </c>
      <c r="O917" s="27">
        <v>990</v>
      </c>
      <c r="P917" s="27">
        <v>975</v>
      </c>
      <c r="Q917" s="27">
        <v>27</v>
      </c>
      <c r="R917" s="27">
        <v>25</v>
      </c>
      <c r="S917" s="27" t="s">
        <v>2838</v>
      </c>
      <c r="T917" s="27"/>
      <c r="U917" s="27">
        <v>511</v>
      </c>
      <c r="V917" s="27" t="s">
        <v>1042</v>
      </c>
      <c r="W917" s="27" t="s">
        <v>1637</v>
      </c>
      <c r="X917" s="73"/>
      <c r="Y917" s="73" t="e">
        <f>VLOOKUP(X917,Choferes!$B$2:$C$500,2,FALSE)</f>
        <v>#N/A</v>
      </c>
      <c r="Z917" s="73" t="s">
        <v>2839</v>
      </c>
    </row>
    <row r="918" spans="1:26" ht="30" hidden="1" x14ac:dyDescent="0.25">
      <c r="A918" s="33">
        <v>50</v>
      </c>
      <c r="B918" s="71" t="s">
        <v>29</v>
      </c>
      <c r="C918" s="39" t="s">
        <v>2793</v>
      </c>
      <c r="D918" s="50" t="s">
        <v>249</v>
      </c>
      <c r="E918" s="47">
        <v>45639</v>
      </c>
      <c r="F918" s="31" t="str">
        <f>VLOOKUP($C918,Carpetas!$C$5:$M$2666,2,FALSE)</f>
        <v>BRB103</v>
      </c>
      <c r="G918" s="23" t="str">
        <f>VLOOKUP($C918,Carpetas!$C$5:$M$2666,10,FALSE)</f>
        <v>151,28,88</v>
      </c>
      <c r="H918" s="27" t="str">
        <f>VLOOKUP($C918,Carpetas!$C$5:$M$2666,6,FALSE)</f>
        <v>Amaro</v>
      </c>
      <c r="I918" s="220"/>
      <c r="J918" s="47">
        <f>E918+3</f>
        <v>45642</v>
      </c>
      <c r="K918" s="72" t="str">
        <f>VLOOKUP($C918,Carpetas!$C$5:$M$2666,5,FALSE)</f>
        <v>Rio Branco</v>
      </c>
      <c r="L918" s="32"/>
      <c r="M918" s="48">
        <f t="shared" si="58"/>
        <v>45643</v>
      </c>
      <c r="N918" s="26">
        <f t="shared" si="59"/>
        <v>4</v>
      </c>
      <c r="O918" s="27">
        <v>990</v>
      </c>
      <c r="P918" s="27">
        <v>990</v>
      </c>
      <c r="Q918" s="27">
        <v>28</v>
      </c>
      <c r="R918" s="27">
        <v>25</v>
      </c>
      <c r="S918" s="27" t="s">
        <v>2840</v>
      </c>
      <c r="T918" s="27"/>
      <c r="U918" s="27">
        <v>25207</v>
      </c>
      <c r="V918" s="27" t="s">
        <v>2117</v>
      </c>
      <c r="W918" s="27" t="s">
        <v>2118</v>
      </c>
      <c r="X918" s="73"/>
      <c r="Y918" s="73" t="e">
        <f>VLOOKUP(X918,Choferes!$B$2:$C$500,2,FALSE)</f>
        <v>#N/A</v>
      </c>
      <c r="Z918" s="73" t="s">
        <v>2841</v>
      </c>
    </row>
    <row r="919" spans="1:26" ht="30" hidden="1" x14ac:dyDescent="0.25">
      <c r="A919" s="33">
        <v>50</v>
      </c>
      <c r="B919" s="71" t="s">
        <v>29</v>
      </c>
      <c r="C919" s="39" t="s">
        <v>2842</v>
      </c>
      <c r="D919" s="50" t="s">
        <v>48</v>
      </c>
      <c r="E919" s="47">
        <v>45640</v>
      </c>
      <c r="F919" s="31" t="str">
        <f>VLOOKUP($C919,Carpetas!$C$5:$M$2666,2,FALSE)</f>
        <v>PYB159/</v>
      </c>
      <c r="G919" s="23" t="str">
        <f>VLOOKUP($C919,Carpetas!$C$5:$M$2666,10,FALSE)</f>
        <v>151.29,06</v>
      </c>
      <c r="H919" s="27">
        <f>VLOOKUP($C919,Carpetas!$C$5:$M$2666,6,FALSE)</f>
        <v>0</v>
      </c>
      <c r="I919" s="220"/>
      <c r="J919" s="47">
        <v>45642</v>
      </c>
      <c r="K919" s="72" t="str">
        <f>VLOOKUP($C919,Carpetas!$C$5:$M$2666,5,FALSE)</f>
        <v>Salto</v>
      </c>
      <c r="L919" s="32"/>
      <c r="M919" s="48">
        <f t="shared" si="58"/>
        <v>45643</v>
      </c>
      <c r="N919" s="26">
        <f t="shared" si="59"/>
        <v>3</v>
      </c>
      <c r="O919" s="27">
        <v>930</v>
      </c>
      <c r="P919" s="27">
        <v>930</v>
      </c>
      <c r="Q919" s="27">
        <v>28</v>
      </c>
      <c r="R919" s="27">
        <v>25.5</v>
      </c>
      <c r="S919" s="27" t="s">
        <v>2843</v>
      </c>
      <c r="T919" s="27"/>
      <c r="U919" s="27"/>
      <c r="V919" s="27" t="s">
        <v>69</v>
      </c>
      <c r="W919" s="27"/>
      <c r="X919" s="73"/>
      <c r="Y919" s="73" t="e">
        <f>VLOOKUP(X919,Choferes!$B$2:$C$500,2,FALSE)</f>
        <v>#N/A</v>
      </c>
      <c r="Z919" s="73" t="s">
        <v>2844</v>
      </c>
    </row>
    <row r="920" spans="1:26" hidden="1" x14ac:dyDescent="0.25">
      <c r="A920" s="33">
        <v>50</v>
      </c>
      <c r="B920" s="71" t="s">
        <v>29</v>
      </c>
      <c r="C920" s="39" t="s">
        <v>2842</v>
      </c>
      <c r="D920" s="50" t="s">
        <v>48</v>
      </c>
      <c r="E920" s="47">
        <v>45640</v>
      </c>
      <c r="F920" s="31" t="str">
        <f>VLOOKUP($C920,Carpetas!$C$5:$M$2666,2,FALSE)</f>
        <v>PYB159/</v>
      </c>
      <c r="G920" s="23" t="str">
        <f>VLOOKUP($C920,Carpetas!$C$5:$M$2666,10,FALSE)</f>
        <v>151.29,06</v>
      </c>
      <c r="H920" s="27">
        <f>VLOOKUP($C920,Carpetas!$C$5:$M$2666,6,FALSE)</f>
        <v>0</v>
      </c>
      <c r="I920" s="220"/>
      <c r="J920" s="47">
        <v>45642</v>
      </c>
      <c r="K920" s="72" t="str">
        <f>VLOOKUP($C920,Carpetas!$C$5:$M$2666,5,FALSE)</f>
        <v>Salto</v>
      </c>
      <c r="L920" s="32"/>
      <c r="M920" s="48">
        <f t="shared" si="58"/>
        <v>45643</v>
      </c>
      <c r="N920" s="26">
        <f t="shared" si="59"/>
        <v>3</v>
      </c>
      <c r="O920" s="27">
        <v>930</v>
      </c>
      <c r="P920" s="27">
        <v>930</v>
      </c>
      <c r="Q920" s="27">
        <v>28</v>
      </c>
      <c r="R920" s="27">
        <v>26</v>
      </c>
      <c r="S920" s="27" t="s">
        <v>2845</v>
      </c>
      <c r="T920" s="27"/>
      <c r="U920" s="27"/>
      <c r="V920" s="27" t="s">
        <v>98</v>
      </c>
      <c r="W920" s="27"/>
      <c r="X920" s="73"/>
      <c r="Y920" s="73" t="e">
        <f>VLOOKUP(X920,Choferes!$B$2:$C$500,2,FALSE)</f>
        <v>#N/A</v>
      </c>
      <c r="Z920" s="73" t="s">
        <v>2846</v>
      </c>
    </row>
    <row r="921" spans="1:26" ht="30" hidden="1" x14ac:dyDescent="0.25">
      <c r="A921" s="33">
        <v>50</v>
      </c>
      <c r="B921" s="71" t="s">
        <v>29</v>
      </c>
      <c r="C921" s="39" t="s">
        <v>2847</v>
      </c>
      <c r="D921" s="50" t="s">
        <v>78</v>
      </c>
      <c r="E921" s="47">
        <v>45639</v>
      </c>
      <c r="F921" s="31" t="str">
        <f>VLOOKUP($C921,Carpetas!$C$5:$M$2666,2,FALSE)</f>
        <v>BRB105</v>
      </c>
      <c r="G921" s="23" t="str">
        <f>VLOOKUP($C921,Carpetas!$C$5:$M$2666,10,FALSE)</f>
        <v>151,28,88</v>
      </c>
      <c r="H921" s="27" t="str">
        <f>VLOOKUP($C921,Carpetas!$C$5:$M$2666,6,FALSE)</f>
        <v>Zanini</v>
      </c>
      <c r="I921" s="220"/>
      <c r="J921" s="47">
        <f>E921+3</f>
        <v>45642</v>
      </c>
      <c r="K921" s="72" t="str">
        <f>VLOOKUP($C921,Carpetas!$C$5:$M$2666,5,FALSE)</f>
        <v>Rio Branco</v>
      </c>
      <c r="L921" s="32"/>
      <c r="M921" s="48">
        <f>J921+1+1</f>
        <v>45644</v>
      </c>
      <c r="N921" s="26">
        <f t="shared" si="59"/>
        <v>5</v>
      </c>
      <c r="O921" s="27">
        <v>918</v>
      </c>
      <c r="P921" s="27">
        <v>920</v>
      </c>
      <c r="Q921" s="27">
        <v>26</v>
      </c>
      <c r="R921" s="27">
        <v>25.5</v>
      </c>
      <c r="S921" s="27" t="s">
        <v>2848</v>
      </c>
      <c r="T921" s="27"/>
      <c r="U921" s="27">
        <v>4924</v>
      </c>
      <c r="V921" s="27" t="s">
        <v>2849</v>
      </c>
      <c r="W921" s="27" t="s">
        <v>2850</v>
      </c>
      <c r="X921" s="73"/>
      <c r="Y921" s="73" t="e">
        <f>VLOOKUP(X921,Choferes!$B$2:$C$500,2,FALSE)</f>
        <v>#N/A</v>
      </c>
      <c r="Z921" s="73" t="s">
        <v>2851</v>
      </c>
    </row>
    <row r="922" spans="1:26" hidden="1" x14ac:dyDescent="0.25">
      <c r="A922" s="33">
        <v>50</v>
      </c>
      <c r="B922" s="71" t="s">
        <v>29</v>
      </c>
      <c r="C922" s="39" t="s">
        <v>2847</v>
      </c>
      <c r="D922" s="50" t="s">
        <v>2474</v>
      </c>
      <c r="E922" s="47">
        <v>45639</v>
      </c>
      <c r="F922" s="31" t="str">
        <f>VLOOKUP($C922,Carpetas!$C$5:$M$2666,2,FALSE)</f>
        <v>BRB105</v>
      </c>
      <c r="G922" s="23" t="str">
        <f>VLOOKUP($C922,Carpetas!$C$5:$M$2666,10,FALSE)</f>
        <v>151,28,88</v>
      </c>
      <c r="H922" s="27" t="str">
        <f>VLOOKUP($C922,Carpetas!$C$5:$M$2666,6,FALSE)</f>
        <v>Zanini</v>
      </c>
      <c r="I922" s="220"/>
      <c r="J922" s="47">
        <f>E922+3</f>
        <v>45642</v>
      </c>
      <c r="K922" s="72" t="str">
        <f>VLOOKUP($C922,Carpetas!$C$5:$M$2666,5,FALSE)</f>
        <v>Rio Branco</v>
      </c>
      <c r="L922" s="32"/>
      <c r="M922" s="48">
        <f>J922+1+1</f>
        <v>45644</v>
      </c>
      <c r="N922" s="26">
        <f t="shared" si="59"/>
        <v>5</v>
      </c>
      <c r="O922" s="27">
        <v>918</v>
      </c>
      <c r="P922" s="27">
        <v>918</v>
      </c>
      <c r="Q922" s="27">
        <v>30</v>
      </c>
      <c r="R922" s="27">
        <v>25</v>
      </c>
      <c r="S922" s="27" t="s">
        <v>2852</v>
      </c>
      <c r="T922" s="27"/>
      <c r="U922" s="27">
        <v>4925</v>
      </c>
      <c r="V922" s="27" t="s">
        <v>2853</v>
      </c>
      <c r="W922" s="27" t="s">
        <v>2854</v>
      </c>
      <c r="X922" s="73"/>
      <c r="Y922" s="73" t="e">
        <f>VLOOKUP(X922,Choferes!$B$2:$C$500,2,FALSE)</f>
        <v>#N/A</v>
      </c>
      <c r="Z922" s="73" t="s">
        <v>2855</v>
      </c>
    </row>
    <row r="923" spans="1:26" ht="30" hidden="1" x14ac:dyDescent="0.25">
      <c r="A923" s="33">
        <v>50</v>
      </c>
      <c r="B923" s="71" t="s">
        <v>29</v>
      </c>
      <c r="C923" s="39" t="s">
        <v>2856</v>
      </c>
      <c r="D923" s="106" t="s">
        <v>42</v>
      </c>
      <c r="E923" s="47">
        <v>45640</v>
      </c>
      <c r="F923" s="31" t="str">
        <f>VLOOKUP($C923,Carpetas!$C$5:$M$2666,2,FALSE)</f>
        <v>PYB156</v>
      </c>
      <c r="G923" s="23" t="str">
        <f>VLOOKUP($C923,Carpetas!$C$5:$M$2666,10,FALSE)</f>
        <v>151,28,32</v>
      </c>
      <c r="H923" s="27">
        <f>VLOOKUP($C923,Carpetas!$C$5:$M$2666,6,FALSE)</f>
        <v>0</v>
      </c>
      <c r="I923" s="220"/>
      <c r="J923" s="47">
        <v>45644</v>
      </c>
      <c r="K923" s="72" t="str">
        <f>VLOOKUP($C923,Carpetas!$C$5:$M$2666,5,FALSE)</f>
        <v>Salto</v>
      </c>
      <c r="L923" s="32"/>
      <c r="M923" s="48">
        <f t="shared" ref="M923:M928" si="60">J923+1</f>
        <v>45645</v>
      </c>
      <c r="N923" s="26">
        <f t="shared" si="59"/>
        <v>5</v>
      </c>
      <c r="O923" s="27">
        <v>980</v>
      </c>
      <c r="P923" s="27">
        <v>972</v>
      </c>
      <c r="Q923" s="27">
        <v>28</v>
      </c>
      <c r="R923" s="27">
        <v>25.5</v>
      </c>
      <c r="S923" s="27" t="s">
        <v>2857</v>
      </c>
      <c r="T923" s="27"/>
      <c r="U923" s="27"/>
      <c r="V923" s="27" t="s">
        <v>240</v>
      </c>
      <c r="W923" s="27"/>
      <c r="X923" s="73"/>
      <c r="Y923" s="73" t="e">
        <f>VLOOKUP(X923,Choferes!$B$2:$C$500,2,FALSE)</f>
        <v>#N/A</v>
      </c>
      <c r="Z923" s="73" t="s">
        <v>2858</v>
      </c>
    </row>
    <row r="924" spans="1:26" hidden="1" x14ac:dyDescent="0.25">
      <c r="A924" s="33">
        <v>51</v>
      </c>
      <c r="B924" s="71" t="s">
        <v>29</v>
      </c>
      <c r="C924" s="39" t="s">
        <v>2859</v>
      </c>
      <c r="D924" s="50" t="s">
        <v>183</v>
      </c>
      <c r="E924" s="47">
        <v>45640</v>
      </c>
      <c r="F924" s="31" t="str">
        <f>VLOOKUP($C924,Carpetas!$C$5:$M$2666,2,FALSE)</f>
        <v>PYB162</v>
      </c>
      <c r="G924" s="23" t="str">
        <f>VLOOKUP($C924,Carpetas!$C$5:$M$2666,10,FALSE)</f>
        <v>151.30.30</v>
      </c>
      <c r="H924" s="27">
        <f>VLOOKUP($C924,Carpetas!$C$5:$M$2666,6,FALSE)</f>
        <v>0</v>
      </c>
      <c r="I924" s="220"/>
      <c r="J924" s="47">
        <v>45644</v>
      </c>
      <c r="K924" s="72" t="str">
        <f>VLOOKUP($C924,Carpetas!$C$5:$M$2666,5,FALSE)</f>
        <v>Salto</v>
      </c>
      <c r="L924" s="32"/>
      <c r="M924" s="48">
        <f t="shared" si="60"/>
        <v>45645</v>
      </c>
      <c r="N924" s="26">
        <f t="shared" si="59"/>
        <v>5</v>
      </c>
      <c r="O924" s="27">
        <v>980</v>
      </c>
      <c r="P924" s="27">
        <v>980</v>
      </c>
      <c r="Q924" s="27">
        <v>28</v>
      </c>
      <c r="R924" s="27">
        <v>26</v>
      </c>
      <c r="S924" s="27" t="s">
        <v>2860</v>
      </c>
      <c r="T924" s="27"/>
      <c r="U924" s="27"/>
      <c r="V924" s="27" t="s">
        <v>1805</v>
      </c>
      <c r="W924" s="27"/>
      <c r="X924" s="73"/>
      <c r="Y924" s="73" t="e">
        <f>VLOOKUP(X924,Choferes!$B$2:$C$500,2,FALSE)</f>
        <v>#N/A</v>
      </c>
      <c r="Z924" s="73" t="s">
        <v>2861</v>
      </c>
    </row>
    <row r="925" spans="1:26" hidden="1" x14ac:dyDescent="0.25">
      <c r="A925" s="33">
        <v>51</v>
      </c>
      <c r="B925" s="71" t="s">
        <v>29</v>
      </c>
      <c r="C925" s="39" t="s">
        <v>2862</v>
      </c>
      <c r="D925" s="50" t="s">
        <v>121</v>
      </c>
      <c r="E925" s="47">
        <v>45641</v>
      </c>
      <c r="F925" s="31" t="str">
        <f>VLOOKUP($C925,Carpetas!$C$5:$M$2666,2,FALSE)</f>
        <v>PYB161</v>
      </c>
      <c r="G925" s="23" t="str">
        <f>VLOOKUP($C925,Carpetas!$C$5:$M$2666,10,FALSE)</f>
        <v>151,28,41</v>
      </c>
      <c r="H925" s="27">
        <f>VLOOKUP($C925,Carpetas!$C$5:$M$2666,6,FALSE)</f>
        <v>0</v>
      </c>
      <c r="I925" s="220"/>
      <c r="J925" s="47">
        <v>45644</v>
      </c>
      <c r="K925" s="72" t="str">
        <f>VLOOKUP($C925,Carpetas!$C$5:$M$2666,5,FALSE)</f>
        <v>Salto</v>
      </c>
      <c r="L925" s="32"/>
      <c r="M925" s="48">
        <f t="shared" si="60"/>
        <v>45645</v>
      </c>
      <c r="N925" s="26">
        <f t="shared" si="59"/>
        <v>4</v>
      </c>
      <c r="O925" s="27">
        <v>980</v>
      </c>
      <c r="P925" s="27">
        <v>980</v>
      </c>
      <c r="Q925" s="27">
        <v>28</v>
      </c>
      <c r="R925" s="27">
        <v>25.5</v>
      </c>
      <c r="S925" s="27" t="s">
        <v>2863</v>
      </c>
      <c r="T925" s="27"/>
      <c r="U925" s="27"/>
      <c r="V925" s="27" t="s">
        <v>1016</v>
      </c>
      <c r="W925" s="27"/>
      <c r="X925" s="73"/>
      <c r="Y925" s="73" t="e">
        <f>VLOOKUP(X925,Choferes!$B$2:$C$500,2,FALSE)</f>
        <v>#N/A</v>
      </c>
      <c r="Z925" s="73" t="s">
        <v>2864</v>
      </c>
    </row>
    <row r="926" spans="1:26" ht="30" hidden="1" x14ac:dyDescent="0.25">
      <c r="A926" s="33">
        <v>51</v>
      </c>
      <c r="B926" s="71" t="s">
        <v>29</v>
      </c>
      <c r="C926" s="39" t="s">
        <v>2859</v>
      </c>
      <c r="D926" s="50" t="s">
        <v>183</v>
      </c>
      <c r="E926" s="47">
        <v>45641</v>
      </c>
      <c r="F926" s="31" t="str">
        <f>VLOOKUP($C926,Carpetas!$C$5:$M$2666,2,FALSE)</f>
        <v>PYB162</v>
      </c>
      <c r="G926" s="23" t="str">
        <f>VLOOKUP($C926,Carpetas!$C$5:$M$2666,10,FALSE)</f>
        <v>151.30.30</v>
      </c>
      <c r="H926" s="27">
        <f>VLOOKUP($C926,Carpetas!$C$5:$M$2666,6,FALSE)</f>
        <v>0</v>
      </c>
      <c r="I926" s="220"/>
      <c r="J926" s="47">
        <v>45644</v>
      </c>
      <c r="K926" s="72" t="str">
        <f>VLOOKUP($C926,Carpetas!$C$5:$M$2666,5,FALSE)</f>
        <v>Salto</v>
      </c>
      <c r="L926" s="32"/>
      <c r="M926" s="48">
        <f t="shared" si="60"/>
        <v>45645</v>
      </c>
      <c r="N926" s="26">
        <f t="shared" si="59"/>
        <v>4</v>
      </c>
      <c r="O926" s="27">
        <v>980</v>
      </c>
      <c r="P926" s="27">
        <v>979</v>
      </c>
      <c r="Q926" s="27">
        <v>28</v>
      </c>
      <c r="R926" s="27">
        <v>25.5</v>
      </c>
      <c r="S926" s="27" t="s">
        <v>2865</v>
      </c>
      <c r="T926" s="27"/>
      <c r="U926" s="27"/>
      <c r="V926" s="27" t="s">
        <v>2866</v>
      </c>
      <c r="W926" s="27"/>
      <c r="X926" s="73"/>
      <c r="Y926" s="73" t="e">
        <f>VLOOKUP(X926,Choferes!$B$2:$C$500,2,FALSE)</f>
        <v>#N/A</v>
      </c>
      <c r="Z926" s="73" t="s">
        <v>2867</v>
      </c>
    </row>
    <row r="927" spans="1:26" hidden="1" x14ac:dyDescent="0.25">
      <c r="A927" s="33">
        <v>51</v>
      </c>
      <c r="B927" s="71" t="s">
        <v>29</v>
      </c>
      <c r="C927" s="39" t="s">
        <v>2868</v>
      </c>
      <c r="D927" s="50" t="s">
        <v>102</v>
      </c>
      <c r="E927" s="47">
        <v>45641</v>
      </c>
      <c r="F927" s="31" t="str">
        <f>VLOOKUP($C927,Carpetas!$C$5:$M$2666,2,FALSE)</f>
        <v>PYB164</v>
      </c>
      <c r="G927" s="23">
        <f>VLOOKUP($C927,Carpetas!$C$5:$M$2666,10,FALSE)</f>
        <v>0</v>
      </c>
      <c r="H927" s="27">
        <f>VLOOKUP($C927,Carpetas!$C$5:$M$2666,6,FALSE)</f>
        <v>0</v>
      </c>
      <c r="I927" s="220"/>
      <c r="J927" s="47">
        <v>45644</v>
      </c>
      <c r="K927" s="72" t="str">
        <f>VLOOKUP($C927,Carpetas!$C$5:$M$2666,5,FALSE)</f>
        <v>Salto</v>
      </c>
      <c r="L927" s="32"/>
      <c r="M927" s="48">
        <f t="shared" si="60"/>
        <v>45645</v>
      </c>
      <c r="N927" s="26">
        <f t="shared" si="59"/>
        <v>4</v>
      </c>
      <c r="O927" s="27">
        <v>980</v>
      </c>
      <c r="P927" s="27">
        <v>980</v>
      </c>
      <c r="Q927" s="27">
        <v>28</v>
      </c>
      <c r="R927" s="27">
        <v>26</v>
      </c>
      <c r="S927" s="27" t="s">
        <v>2869</v>
      </c>
      <c r="T927" s="27"/>
      <c r="U927" s="27"/>
      <c r="V927" s="27" t="s">
        <v>156</v>
      </c>
      <c r="W927" s="27"/>
      <c r="X927" s="73"/>
      <c r="Y927" s="73" t="e">
        <f>VLOOKUP(X927,Choferes!$B$2:$C$500,2,FALSE)</f>
        <v>#N/A</v>
      </c>
      <c r="Z927" s="73" t="s">
        <v>2870</v>
      </c>
    </row>
    <row r="928" spans="1:26" hidden="1" x14ac:dyDescent="0.25">
      <c r="A928" s="33">
        <v>51</v>
      </c>
      <c r="B928" s="71" t="s">
        <v>29</v>
      </c>
      <c r="C928" s="39" t="s">
        <v>2847</v>
      </c>
      <c r="D928" s="106" t="s">
        <v>110</v>
      </c>
      <c r="E928" s="47">
        <v>45643</v>
      </c>
      <c r="F928" s="31" t="str">
        <f>VLOOKUP($C928,Carpetas!$C$5:$M$2666,2,FALSE)</f>
        <v>BRB105</v>
      </c>
      <c r="G928" s="23" t="str">
        <f>VLOOKUP($C928,Carpetas!$C$5:$M$2666,10,FALSE)</f>
        <v>151,28,88</v>
      </c>
      <c r="H928" s="27" t="str">
        <f>VLOOKUP($C928,Carpetas!$C$5:$M$2666,6,FALSE)</f>
        <v>Zanini</v>
      </c>
      <c r="I928" s="220"/>
      <c r="J928" s="47">
        <v>45644</v>
      </c>
      <c r="K928" s="72" t="str">
        <f>VLOOKUP($C928,Carpetas!$C$5:$M$2666,5,FALSE)</f>
        <v>Rio Branco</v>
      </c>
      <c r="L928" s="32"/>
      <c r="M928" s="48">
        <f t="shared" si="60"/>
        <v>45645</v>
      </c>
      <c r="N928" s="26">
        <f t="shared" si="59"/>
        <v>2</v>
      </c>
      <c r="O928" s="27">
        <v>918</v>
      </c>
      <c r="P928" s="27">
        <v>919</v>
      </c>
      <c r="Q928" s="27">
        <v>26</v>
      </c>
      <c r="R928" s="27">
        <v>2.5</v>
      </c>
      <c r="S928" s="27" t="s">
        <v>2871</v>
      </c>
      <c r="T928" s="27"/>
      <c r="U928" s="27">
        <v>4928</v>
      </c>
      <c r="V928" s="27" t="s">
        <v>792</v>
      </c>
      <c r="W928" s="27" t="s">
        <v>793</v>
      </c>
      <c r="X928" s="73"/>
      <c r="Y928" s="73" t="e">
        <f>VLOOKUP(X928,Choferes!$B$2:$C$500,2,FALSE)</f>
        <v>#N/A</v>
      </c>
      <c r="Z928" s="73" t="s">
        <v>2872</v>
      </c>
    </row>
    <row r="929" spans="1:26" hidden="1" x14ac:dyDescent="0.25">
      <c r="A929" s="33">
        <v>50</v>
      </c>
      <c r="B929" s="71" t="s">
        <v>29</v>
      </c>
      <c r="C929" s="39" t="s">
        <v>2873</v>
      </c>
      <c r="D929" s="50" t="s">
        <v>38</v>
      </c>
      <c r="E929" s="47">
        <v>45640</v>
      </c>
      <c r="F929" s="31" t="str">
        <f>VLOOKUP($C929,Carpetas!$C$5:$M$2666,2,FALSE)</f>
        <v>BRE058</v>
      </c>
      <c r="G929" s="23">
        <f>VLOOKUP($C929,Carpetas!$C$5:$M$2666,10,FALSE)</f>
        <v>0</v>
      </c>
      <c r="H929" s="27" t="str">
        <f>VLOOKUP($C929,Carpetas!$C$5:$M$2666,6,FALSE)</f>
        <v xml:space="preserve">Silvio </v>
      </c>
      <c r="I929" s="220">
        <f>VLOOKUP($C929,Carpetas!$C$5:$M$2666,4,FALSE)</f>
        <v>0</v>
      </c>
      <c r="J929" s="47">
        <v>45644</v>
      </c>
      <c r="K929" s="72" t="str">
        <f>VLOOKUP($C929,Carpetas!$C$5:$M$2666,5,FALSE)</f>
        <v>Rio Branco</v>
      </c>
      <c r="L929" s="32"/>
      <c r="M929" s="48">
        <f>J929+1+1</f>
        <v>45646</v>
      </c>
      <c r="N929" s="26">
        <f t="shared" si="59"/>
        <v>6</v>
      </c>
      <c r="O929" s="27">
        <v>1560</v>
      </c>
      <c r="P929" s="27">
        <v>1560</v>
      </c>
      <c r="Q929" s="27">
        <v>26</v>
      </c>
      <c r="R929" s="27">
        <v>13.5</v>
      </c>
      <c r="S929" s="27" t="s">
        <v>2743</v>
      </c>
      <c r="T929" s="27"/>
      <c r="U929" s="27">
        <v>7253</v>
      </c>
      <c r="V929" s="27" t="s">
        <v>2874</v>
      </c>
      <c r="W929" s="27" t="s">
        <v>2875</v>
      </c>
      <c r="X929" s="73"/>
      <c r="Y929" s="73" t="e">
        <f>VLOOKUP(X929,Choferes!$B$2:$C$500,2,FALSE)</f>
        <v>#N/A</v>
      </c>
      <c r="Z929" s="73" t="s">
        <v>2876</v>
      </c>
    </row>
    <row r="930" spans="1:26" hidden="1" x14ac:dyDescent="0.25">
      <c r="A930" s="33">
        <v>51</v>
      </c>
      <c r="B930" s="71" t="s">
        <v>29</v>
      </c>
      <c r="C930" s="39" t="s">
        <v>2877</v>
      </c>
      <c r="D930" s="50" t="s">
        <v>38</v>
      </c>
      <c r="E930" s="47">
        <v>45642</v>
      </c>
      <c r="F930" s="31" t="str">
        <f>VLOOKUP($C930,Carpetas!$C$5:$M$2666,2,FALSE)</f>
        <v>BRE059</v>
      </c>
      <c r="G930" s="23" t="str">
        <f>VLOOKUP($C930,Carpetas!$C$5:$M$2666,10,FALSE)</f>
        <v>1513001/1512999/151300/1513002</v>
      </c>
      <c r="H930" s="27" t="str">
        <f>VLOOKUP($C930,Carpetas!$C$5:$M$2666,6,FALSE)</f>
        <v>Dallog</v>
      </c>
      <c r="I930" s="220">
        <f>VLOOKUP($C930,Carpetas!$C$5:$M$2666,4,FALSE)</f>
        <v>0</v>
      </c>
      <c r="J930" s="47">
        <v>45645</v>
      </c>
      <c r="K930" s="72" t="str">
        <f>VLOOKUP($C930,Carpetas!$C$5:$M$2666,5,FALSE)</f>
        <v>Rio Branco</v>
      </c>
      <c r="L930" s="32"/>
      <c r="M930" s="48">
        <f t="shared" ref="M930:M938" si="61">J930+1</f>
        <v>45646</v>
      </c>
      <c r="N930" s="26">
        <f t="shared" si="59"/>
        <v>4</v>
      </c>
      <c r="O930" s="27">
        <v>1320</v>
      </c>
      <c r="P930" s="27"/>
      <c r="Q930" s="27"/>
      <c r="R930" s="27"/>
      <c r="S930" s="27"/>
      <c r="T930" s="27"/>
      <c r="U930" s="27">
        <v>531</v>
      </c>
      <c r="V930" s="27" t="s">
        <v>2878</v>
      </c>
      <c r="W930" s="27" t="s">
        <v>2879</v>
      </c>
      <c r="X930" s="73"/>
      <c r="Y930" s="73" t="e">
        <f>VLOOKUP(X930,Choferes!$B$2:$C$500,2,FALSE)</f>
        <v>#N/A</v>
      </c>
      <c r="Z930" s="73"/>
    </row>
    <row r="931" spans="1:26" hidden="1" x14ac:dyDescent="0.25">
      <c r="A931" s="33">
        <v>51</v>
      </c>
      <c r="B931" s="71" t="s">
        <v>29</v>
      </c>
      <c r="C931" s="39" t="s">
        <v>2880</v>
      </c>
      <c r="D931" s="50" t="s">
        <v>48</v>
      </c>
      <c r="E931" s="47">
        <v>45642</v>
      </c>
      <c r="F931" s="31" t="str">
        <f>VLOOKUP($C931,Carpetas!$C$5:$M$2666,2,FALSE)</f>
        <v>PYB160</v>
      </c>
      <c r="G931" s="23" t="str">
        <f>VLOOKUP($C931,Carpetas!$C$5:$M$2666,10,FALSE)</f>
        <v>151,30,90</v>
      </c>
      <c r="H931" s="27">
        <f>VLOOKUP($C931,Carpetas!$C$5:$M$2666,6,FALSE)</f>
        <v>0</v>
      </c>
      <c r="I931" s="220"/>
      <c r="J931" s="47">
        <v>45645</v>
      </c>
      <c r="K931" s="72" t="str">
        <f>VLOOKUP($C931,Carpetas!$C$5:$M$2666,5,FALSE)</f>
        <v>Salto</v>
      </c>
      <c r="L931" s="32"/>
      <c r="M931" s="48">
        <f t="shared" si="61"/>
        <v>45646</v>
      </c>
      <c r="N931" s="26">
        <f t="shared" si="59"/>
        <v>4</v>
      </c>
      <c r="O931" s="27">
        <v>930</v>
      </c>
      <c r="P931" s="27">
        <v>930</v>
      </c>
      <c r="Q931" s="27">
        <v>28</v>
      </c>
      <c r="R931" s="27">
        <v>26</v>
      </c>
      <c r="S931" s="27" t="s">
        <v>2881</v>
      </c>
      <c r="T931" s="27"/>
      <c r="U931" s="27"/>
      <c r="V931" s="27" t="s">
        <v>93</v>
      </c>
      <c r="W931" s="27"/>
      <c r="X931" s="73"/>
      <c r="Y931" s="73" t="e">
        <f>VLOOKUP(X931,Choferes!$B$2:$C$500,2,FALSE)</f>
        <v>#N/A</v>
      </c>
      <c r="Z931" s="73" t="s">
        <v>2882</v>
      </c>
    </row>
    <row r="932" spans="1:26" hidden="1" x14ac:dyDescent="0.25">
      <c r="A932" s="33">
        <v>51</v>
      </c>
      <c r="B932" s="71" t="s">
        <v>29</v>
      </c>
      <c r="C932" s="39" t="s">
        <v>2868</v>
      </c>
      <c r="D932" s="50" t="s">
        <v>102</v>
      </c>
      <c r="E932" s="47">
        <v>45642</v>
      </c>
      <c r="F932" s="31" t="str">
        <f>VLOOKUP($C932,Carpetas!$C$5:$M$2666,2,FALSE)</f>
        <v>PYB164</v>
      </c>
      <c r="G932" s="23">
        <f>VLOOKUP($C932,Carpetas!$C$5:$M$2666,10,FALSE)</f>
        <v>0</v>
      </c>
      <c r="H932" s="27">
        <f>VLOOKUP($C932,Carpetas!$C$5:$M$2666,6,FALSE)</f>
        <v>0</v>
      </c>
      <c r="I932" s="220"/>
      <c r="J932" s="47">
        <v>45645</v>
      </c>
      <c r="K932" s="72" t="str">
        <f>VLOOKUP($C932,Carpetas!$C$5:$M$2666,5,FALSE)</f>
        <v>Salto</v>
      </c>
      <c r="L932" s="32"/>
      <c r="M932" s="48">
        <f t="shared" si="61"/>
        <v>45646</v>
      </c>
      <c r="N932" s="26">
        <f t="shared" si="59"/>
        <v>4</v>
      </c>
      <c r="O932" s="27">
        <v>980</v>
      </c>
      <c r="P932" s="27">
        <v>980</v>
      </c>
      <c r="Q932" s="27">
        <v>28</v>
      </c>
      <c r="R932" s="27">
        <v>26</v>
      </c>
      <c r="S932" s="27" t="s">
        <v>2883</v>
      </c>
      <c r="T932" s="27"/>
      <c r="U932" s="27"/>
      <c r="V932" s="27" t="s">
        <v>272</v>
      </c>
      <c r="W932" s="27" t="s">
        <v>2884</v>
      </c>
      <c r="X932" s="73"/>
      <c r="Y932" s="73" t="e">
        <f>VLOOKUP(X932,Choferes!$B$2:$C$500,2,FALSE)</f>
        <v>#N/A</v>
      </c>
      <c r="Z932" s="73"/>
    </row>
    <row r="933" spans="1:26" hidden="1" x14ac:dyDescent="0.25">
      <c r="A933" s="33">
        <v>51</v>
      </c>
      <c r="B933" s="71" t="s">
        <v>29</v>
      </c>
      <c r="C933" s="39" t="s">
        <v>2868</v>
      </c>
      <c r="D933" s="50" t="s">
        <v>102</v>
      </c>
      <c r="E933" s="47">
        <v>45642</v>
      </c>
      <c r="F933" s="31" t="str">
        <f>VLOOKUP($C933,Carpetas!$C$5:$M$2666,2,FALSE)</f>
        <v>PYB164</v>
      </c>
      <c r="G933" s="23">
        <f>VLOOKUP($C933,Carpetas!$C$5:$M$2666,10,FALSE)</f>
        <v>0</v>
      </c>
      <c r="H933" s="27">
        <f>VLOOKUP($C933,Carpetas!$C$5:$M$2666,6,FALSE)</f>
        <v>0</v>
      </c>
      <c r="I933" s="220"/>
      <c r="J933" s="47">
        <v>45645</v>
      </c>
      <c r="K933" s="72" t="str">
        <f>VLOOKUP($C933,Carpetas!$C$5:$M$2666,5,FALSE)</f>
        <v>Salto</v>
      </c>
      <c r="L933" s="32"/>
      <c r="M933" s="48">
        <f t="shared" si="61"/>
        <v>45646</v>
      </c>
      <c r="N933" s="26">
        <f t="shared" si="59"/>
        <v>4</v>
      </c>
      <c r="O933" s="27">
        <v>980</v>
      </c>
      <c r="P933" s="27">
        <v>980</v>
      </c>
      <c r="Q933" s="27">
        <v>28</v>
      </c>
      <c r="R933" s="27">
        <v>26</v>
      </c>
      <c r="S933" s="27" t="s">
        <v>2885</v>
      </c>
      <c r="T933" s="27"/>
      <c r="U933" s="27"/>
      <c r="V933" s="27" t="s">
        <v>490</v>
      </c>
      <c r="W933" s="27">
        <v>0</v>
      </c>
      <c r="X933" s="73"/>
      <c r="Y933" s="73" t="e">
        <f>VLOOKUP(X933,Choferes!$B$2:$C$500,2,FALSE)</f>
        <v>#N/A</v>
      </c>
      <c r="Z933" s="73" t="s">
        <v>2886</v>
      </c>
    </row>
    <row r="934" spans="1:26" hidden="1" x14ac:dyDescent="0.25">
      <c r="A934" s="33">
        <v>51</v>
      </c>
      <c r="B934" s="71" t="s">
        <v>29</v>
      </c>
      <c r="C934" s="39" t="s">
        <v>2862</v>
      </c>
      <c r="D934" s="50" t="s">
        <v>121</v>
      </c>
      <c r="E934" s="47">
        <v>45642</v>
      </c>
      <c r="F934" s="31" t="str">
        <f>VLOOKUP($C934,Carpetas!$C$5:$M$2666,2,FALSE)</f>
        <v>PYB161</v>
      </c>
      <c r="G934" s="23" t="str">
        <f>VLOOKUP($C934,Carpetas!$C$5:$M$2666,10,FALSE)</f>
        <v>151,28,41</v>
      </c>
      <c r="H934" s="27">
        <f>VLOOKUP($C934,Carpetas!$C$5:$M$2666,6,FALSE)</f>
        <v>0</v>
      </c>
      <c r="I934" s="220"/>
      <c r="J934" s="47">
        <v>45645</v>
      </c>
      <c r="K934" s="72" t="str">
        <f>VLOOKUP($C934,Carpetas!$C$5:$M$2666,5,FALSE)</f>
        <v>Salto</v>
      </c>
      <c r="L934" s="32"/>
      <c r="M934" s="48">
        <f t="shared" si="61"/>
        <v>45646</v>
      </c>
      <c r="N934" s="26">
        <f t="shared" si="59"/>
        <v>4</v>
      </c>
      <c r="O934" s="27">
        <v>980</v>
      </c>
      <c r="P934" s="27">
        <v>980</v>
      </c>
      <c r="Q934" s="27">
        <v>26</v>
      </c>
      <c r="R934" s="27"/>
      <c r="S934" s="27" t="s">
        <v>2887</v>
      </c>
      <c r="T934" s="27"/>
      <c r="U934" s="27"/>
      <c r="V934" s="27" t="s">
        <v>2888</v>
      </c>
      <c r="W934" s="27" t="s">
        <v>2889</v>
      </c>
      <c r="X934" s="73"/>
      <c r="Y934" s="73" t="e">
        <f>VLOOKUP(X934,Choferes!$B$2:$C$500,2,FALSE)</f>
        <v>#N/A</v>
      </c>
      <c r="Z934" s="73"/>
    </row>
    <row r="935" spans="1:26" hidden="1" x14ac:dyDescent="0.25">
      <c r="A935" s="33">
        <v>51</v>
      </c>
      <c r="B935" s="71" t="s">
        <v>29</v>
      </c>
      <c r="C935" s="39" t="s">
        <v>2880</v>
      </c>
      <c r="D935" s="50" t="s">
        <v>48</v>
      </c>
      <c r="E935" s="47">
        <v>45643</v>
      </c>
      <c r="F935" s="31" t="str">
        <f>VLOOKUP($C935,Carpetas!$C$5:$M$2666,2,FALSE)</f>
        <v>PYB160</v>
      </c>
      <c r="G935" s="23" t="str">
        <f>VLOOKUP($C935,Carpetas!$C$5:$M$2666,10,FALSE)</f>
        <v>151,30,90</v>
      </c>
      <c r="H935" s="27">
        <f>VLOOKUP($C935,Carpetas!$C$5:$M$2666,6,FALSE)</f>
        <v>0</v>
      </c>
      <c r="I935" s="220"/>
      <c r="J935" s="47">
        <v>45645</v>
      </c>
      <c r="K935" s="72" t="str">
        <f>VLOOKUP($C935,Carpetas!$C$5:$M$2666,5,FALSE)</f>
        <v>Salto</v>
      </c>
      <c r="L935" s="32"/>
      <c r="M935" s="48">
        <f t="shared" si="61"/>
        <v>45646</v>
      </c>
      <c r="N935" s="26">
        <f t="shared" si="59"/>
        <v>3</v>
      </c>
      <c r="O935" s="27">
        <v>930</v>
      </c>
      <c r="P935" s="27">
        <v>930</v>
      </c>
      <c r="Q935" s="27">
        <v>28</v>
      </c>
      <c r="R935" s="27">
        <v>26</v>
      </c>
      <c r="S935" s="27" t="s">
        <v>2890</v>
      </c>
      <c r="T935" s="27"/>
      <c r="U935" s="27"/>
      <c r="V935" s="27" t="s">
        <v>400</v>
      </c>
      <c r="W935" s="27" t="s">
        <v>99</v>
      </c>
      <c r="X935" s="73"/>
      <c r="Y935" s="73" t="e">
        <f>VLOOKUP(X935,Choferes!$B$2:$C$500,2,FALSE)</f>
        <v>#N/A</v>
      </c>
      <c r="Z935" s="73" t="s">
        <v>2882</v>
      </c>
    </row>
    <row r="936" spans="1:26" hidden="1" x14ac:dyDescent="0.25">
      <c r="A936" s="33">
        <v>51</v>
      </c>
      <c r="B936" s="71" t="s">
        <v>29</v>
      </c>
      <c r="C936" s="39" t="s">
        <v>2859</v>
      </c>
      <c r="D936" s="50" t="s">
        <v>183</v>
      </c>
      <c r="E936" s="47">
        <v>45643</v>
      </c>
      <c r="F936" s="31" t="str">
        <f>VLOOKUP($C936,Carpetas!$C$5:$M$2666,2,FALSE)</f>
        <v>PYB162</v>
      </c>
      <c r="G936" s="23" t="str">
        <f>VLOOKUP($C936,Carpetas!$C$5:$M$2666,10,FALSE)</f>
        <v>151.30.30</v>
      </c>
      <c r="H936" s="27">
        <f>VLOOKUP($C936,Carpetas!$C$5:$M$2666,6,FALSE)</f>
        <v>0</v>
      </c>
      <c r="I936" s="220"/>
      <c r="J936" s="47">
        <v>45645</v>
      </c>
      <c r="K936" s="72" t="str">
        <f>VLOOKUP($C936,Carpetas!$C$5:$M$2666,5,FALSE)</f>
        <v>Salto</v>
      </c>
      <c r="L936" s="32"/>
      <c r="M936" s="48">
        <f t="shared" si="61"/>
        <v>45646</v>
      </c>
      <c r="N936" s="26">
        <f t="shared" si="59"/>
        <v>3</v>
      </c>
      <c r="O936" s="27">
        <v>980</v>
      </c>
      <c r="P936" s="27">
        <v>980</v>
      </c>
      <c r="Q936" s="27">
        <v>26</v>
      </c>
      <c r="R936" s="27">
        <v>26</v>
      </c>
      <c r="S936" s="27" t="s">
        <v>2891</v>
      </c>
      <c r="T936" s="27"/>
      <c r="U936" s="27"/>
      <c r="V936" s="27" t="s">
        <v>629</v>
      </c>
      <c r="W936" s="27"/>
      <c r="X936" s="73"/>
      <c r="Y936" s="73" t="e">
        <f>VLOOKUP(X936,Choferes!$B$2:$C$500,2,FALSE)</f>
        <v>#N/A</v>
      </c>
      <c r="Z936" s="73" t="s">
        <v>2886</v>
      </c>
    </row>
    <row r="937" spans="1:26" hidden="1" x14ac:dyDescent="0.25">
      <c r="A937" s="33">
        <v>51</v>
      </c>
      <c r="B937" s="71" t="s">
        <v>29</v>
      </c>
      <c r="C937" s="39" t="s">
        <v>2802</v>
      </c>
      <c r="D937" s="106" t="s">
        <v>2474</v>
      </c>
      <c r="E937" s="47">
        <v>45644</v>
      </c>
      <c r="F937" s="31" t="str">
        <f>VLOOKUP($C937,Carpetas!$C$5:$M$2666,2,FALSE)</f>
        <v>BRB104</v>
      </c>
      <c r="G937" s="23" t="str">
        <f>VLOOKUP($C937,Carpetas!$C$5:$M$2666,10,FALSE)</f>
        <v>151,21,89</v>
      </c>
      <c r="H937" s="27" t="str">
        <f>VLOOKUP($C937,Carpetas!$C$5:$M$2666,6,FALSE)</f>
        <v>FG</v>
      </c>
      <c r="I937" s="220"/>
      <c r="J937" s="47">
        <f>E937+2</f>
        <v>45646</v>
      </c>
      <c r="K937" s="72" t="str">
        <f>VLOOKUP($C937,Carpetas!$C$5:$M$2666,5,FALSE)</f>
        <v>Rio Branco</v>
      </c>
      <c r="L937" s="32"/>
      <c r="M937" s="48">
        <f t="shared" si="61"/>
        <v>45647</v>
      </c>
      <c r="N937" s="26">
        <f t="shared" si="59"/>
        <v>3</v>
      </c>
      <c r="O937" s="27">
        <v>990</v>
      </c>
      <c r="P937" s="27">
        <v>990</v>
      </c>
      <c r="Q937" s="27">
        <v>32</v>
      </c>
      <c r="R937" s="27">
        <v>25</v>
      </c>
      <c r="S937" s="27" t="s">
        <v>2892</v>
      </c>
      <c r="T937" s="27"/>
      <c r="U937" s="27">
        <v>519</v>
      </c>
      <c r="V937" s="27" t="s">
        <v>1680</v>
      </c>
      <c r="W937" s="27" t="s">
        <v>1681</v>
      </c>
      <c r="X937" s="73"/>
      <c r="Y937" s="73" t="e">
        <f>VLOOKUP(X937,Choferes!$B$2:$C$500,2,FALSE)</f>
        <v>#N/A</v>
      </c>
      <c r="Z937" s="73" t="s">
        <v>2893</v>
      </c>
    </row>
    <row r="938" spans="1:26" hidden="1" x14ac:dyDescent="0.25">
      <c r="A938" s="33">
        <v>51</v>
      </c>
      <c r="B938" s="71" t="s">
        <v>29</v>
      </c>
      <c r="C938" s="39" t="s">
        <v>2862</v>
      </c>
      <c r="D938" s="50" t="s">
        <v>121</v>
      </c>
      <c r="E938" s="47">
        <v>45644</v>
      </c>
      <c r="F938" s="31" t="str">
        <f>VLOOKUP($C938,Carpetas!$C$5:$M$2666,2,FALSE)</f>
        <v>PYB161</v>
      </c>
      <c r="G938" s="23" t="str">
        <f>VLOOKUP($C938,Carpetas!$C$5:$M$2666,10,FALSE)</f>
        <v>151,28,41</v>
      </c>
      <c r="H938" s="27">
        <f>VLOOKUP($C938,Carpetas!$C$5:$M$2666,6,FALSE)</f>
        <v>0</v>
      </c>
      <c r="I938" s="220"/>
      <c r="J938" s="47">
        <v>45646</v>
      </c>
      <c r="K938" s="72" t="str">
        <f>VLOOKUP($C938,Carpetas!$C$5:$M$2666,5,FALSE)</f>
        <v>Salto</v>
      </c>
      <c r="L938" s="32"/>
      <c r="M938" s="48">
        <f t="shared" si="61"/>
        <v>45647</v>
      </c>
      <c r="N938" s="26">
        <f t="shared" si="59"/>
        <v>3</v>
      </c>
      <c r="O938" s="27">
        <v>980</v>
      </c>
      <c r="P938" s="27">
        <v>984</v>
      </c>
      <c r="Q938" s="27">
        <v>28</v>
      </c>
      <c r="R938" s="27">
        <v>24</v>
      </c>
      <c r="S938" s="27" t="s">
        <v>2894</v>
      </c>
      <c r="T938" s="27"/>
      <c r="U938" s="27"/>
      <c r="V938" s="27" t="s">
        <v>2895</v>
      </c>
      <c r="W938" s="27"/>
      <c r="X938" s="73"/>
      <c r="Y938" s="73" t="e">
        <f>VLOOKUP(X938,Choferes!$B$2:$C$500,2,FALSE)</f>
        <v>#N/A</v>
      </c>
      <c r="Z938" s="73" t="s">
        <v>2896</v>
      </c>
    </row>
    <row r="939" spans="1:26" hidden="1" x14ac:dyDescent="0.25">
      <c r="A939" s="33">
        <v>51</v>
      </c>
      <c r="B939" s="71" t="s">
        <v>29</v>
      </c>
      <c r="C939" s="39" t="s">
        <v>2897</v>
      </c>
      <c r="D939" s="50" t="s">
        <v>183</v>
      </c>
      <c r="E939" s="47">
        <v>45644</v>
      </c>
      <c r="F939" s="31" t="str">
        <f>VLOOKUP($C939,Carpetas!$C$5:$M$2666,2,FALSE)</f>
        <v>PYB166</v>
      </c>
      <c r="G939" s="23">
        <f>VLOOKUP($C939,Carpetas!$C$5:$M$2666,10,FALSE)</f>
        <v>1513275</v>
      </c>
      <c r="H939" s="27">
        <f>VLOOKUP($C939,Carpetas!$C$5:$M$2666,6,FALSE)</f>
        <v>0</v>
      </c>
      <c r="I939" s="220"/>
      <c r="J939" s="47">
        <v>45647</v>
      </c>
      <c r="K939" s="72" t="str">
        <f>VLOOKUP($C939,Carpetas!$C$5:$M$2666,5,FALSE)</f>
        <v>Salto</v>
      </c>
      <c r="L939" s="32"/>
      <c r="M939" s="48">
        <v>45649</v>
      </c>
      <c r="N939" s="26">
        <f t="shared" si="59"/>
        <v>5</v>
      </c>
      <c r="O939" s="27">
        <v>980</v>
      </c>
      <c r="P939" s="27">
        <v>982</v>
      </c>
      <c r="Q939" s="27">
        <v>28</v>
      </c>
      <c r="R939" s="27">
        <v>27</v>
      </c>
      <c r="S939" s="27" t="s">
        <v>2898</v>
      </c>
      <c r="T939" s="27"/>
      <c r="U939" s="27"/>
      <c r="V939" s="27" t="s">
        <v>2899</v>
      </c>
      <c r="W939" s="27"/>
      <c r="X939" s="73"/>
      <c r="Y939" s="73" t="e">
        <f>VLOOKUP(X939,Choferes!$B$2:$C$500,2,FALSE)</f>
        <v>#N/A</v>
      </c>
      <c r="Z939" s="73" t="s">
        <v>2900</v>
      </c>
    </row>
    <row r="940" spans="1:26" ht="30" hidden="1" x14ac:dyDescent="0.25">
      <c r="A940" s="33">
        <v>51</v>
      </c>
      <c r="B940" s="71" t="s">
        <v>29</v>
      </c>
      <c r="C940" s="39" t="s">
        <v>2901</v>
      </c>
      <c r="D940" s="106" t="s">
        <v>42</v>
      </c>
      <c r="E940" s="47">
        <v>45644</v>
      </c>
      <c r="F940" s="31" t="str">
        <f>VLOOKUP($C940,Carpetas!$C$5:$M$2666,2,FALSE)</f>
        <v>PYB163</v>
      </c>
      <c r="G940" s="23" t="str">
        <f>VLOOKUP($C940,Carpetas!$C$5:$M$2666,10,FALSE)</f>
        <v>151,29,11</v>
      </c>
      <c r="H940" s="27">
        <f>VLOOKUP($C940,Carpetas!$C$5:$M$2666,6,FALSE)</f>
        <v>0</v>
      </c>
      <c r="I940" s="220"/>
      <c r="J940" s="47">
        <v>45647</v>
      </c>
      <c r="K940" s="72" t="str">
        <f>VLOOKUP($C940,Carpetas!$C$5:$M$2666,5,FALSE)</f>
        <v>Salto</v>
      </c>
      <c r="L940" s="32"/>
      <c r="M940" s="48">
        <v>45649</v>
      </c>
      <c r="N940" s="26">
        <f t="shared" si="59"/>
        <v>5</v>
      </c>
      <c r="O940" s="27">
        <v>972</v>
      </c>
      <c r="P940" s="27">
        <v>974</v>
      </c>
      <c r="Q940" s="27">
        <v>28</v>
      </c>
      <c r="R940" s="27">
        <v>26</v>
      </c>
      <c r="S940" s="27" t="s">
        <v>2902</v>
      </c>
      <c r="T940" s="27"/>
      <c r="U940" s="27"/>
      <c r="V940" s="27" t="s">
        <v>2903</v>
      </c>
      <c r="W940" s="27"/>
      <c r="X940" s="73"/>
      <c r="Y940" s="73" t="e">
        <f>VLOOKUP(X940,Choferes!$B$2:$C$500,2,FALSE)</f>
        <v>#N/A</v>
      </c>
      <c r="Z940" s="73" t="s">
        <v>2904</v>
      </c>
    </row>
    <row r="941" spans="1:26" ht="30" hidden="1" x14ac:dyDescent="0.25">
      <c r="A941" s="33">
        <v>52</v>
      </c>
      <c r="B941" s="71" t="s">
        <v>29</v>
      </c>
      <c r="C941" s="39" t="s">
        <v>2905</v>
      </c>
      <c r="D941" s="106" t="s">
        <v>48</v>
      </c>
      <c r="E941" s="47">
        <v>45646</v>
      </c>
      <c r="F941" s="31" t="str">
        <f>VLOOKUP($C941,Carpetas!$C$5:$M$2666,2,FALSE)</f>
        <v>PYB167</v>
      </c>
      <c r="G941" s="23" t="str">
        <f>VLOOKUP($C941,Carpetas!$C$5:$M$2666,10,FALSE)</f>
        <v>151.33.15</v>
      </c>
      <c r="H941" s="27">
        <f>VLOOKUP($C941,Carpetas!$C$5:$M$2666,6,FALSE)</f>
        <v>0</v>
      </c>
      <c r="I941" s="220"/>
      <c r="J941" s="47">
        <v>45649</v>
      </c>
      <c r="K941" s="72" t="str">
        <f>VLOOKUP($C941,Carpetas!$C$5:$M$2666,5,FALSE)</f>
        <v>Salto</v>
      </c>
      <c r="L941" s="32"/>
      <c r="M941" s="48">
        <f t="shared" ref="M941:M946" si="62">J941+1</f>
        <v>45650</v>
      </c>
      <c r="N941" s="26">
        <f t="shared" si="59"/>
        <v>4</v>
      </c>
      <c r="O941" s="27">
        <v>1000</v>
      </c>
      <c r="P941" s="27">
        <v>930</v>
      </c>
      <c r="Q941" s="27">
        <v>28</v>
      </c>
      <c r="R941" s="27">
        <v>26</v>
      </c>
      <c r="S941" s="27" t="s">
        <v>2906</v>
      </c>
      <c r="T941" s="27"/>
      <c r="U941" s="27"/>
      <c r="V941" s="27" t="s">
        <v>1038</v>
      </c>
      <c r="W941" s="27"/>
      <c r="X941" s="73"/>
      <c r="Y941" s="73" t="e">
        <f>VLOOKUP(X941,Choferes!$B$2:$C$500,2,FALSE)</f>
        <v>#N/A</v>
      </c>
      <c r="Z941" s="73" t="s">
        <v>2907</v>
      </c>
    </row>
    <row r="942" spans="1:26" hidden="1" x14ac:dyDescent="0.25">
      <c r="A942" s="33">
        <v>51</v>
      </c>
      <c r="B942" s="71" t="s">
        <v>298</v>
      </c>
      <c r="C942" s="39" t="s">
        <v>299</v>
      </c>
      <c r="D942" s="106" t="s">
        <v>2202</v>
      </c>
      <c r="E942" s="47">
        <v>45647</v>
      </c>
      <c r="F942" s="31" t="str">
        <f>VLOOKUP($C942,Carpetas!$C$5:$M$2666,2,FALSE)</f>
        <v>BRB</v>
      </c>
      <c r="G942" s="23" t="e">
        <f>VLOOKUP($C942,Carpetas!$C$5:$M$2666,9,FALSE)</f>
        <v>#REF!</v>
      </c>
      <c r="H942" s="27" t="str">
        <f>VLOOKUP($C942,Carpetas!$C$5:$M$2666,5,FALSE)</f>
        <v>xx</v>
      </c>
      <c r="I942" s="220"/>
      <c r="J942" s="47">
        <f>E942+2</f>
        <v>45649</v>
      </c>
      <c r="K942" s="72">
        <f>VLOOKUP($C942,Carpetas!$C$5:$M$2666,4,FALSE)</f>
        <v>0</v>
      </c>
      <c r="L942" s="32"/>
      <c r="M942" s="48">
        <f t="shared" si="62"/>
        <v>45650</v>
      </c>
      <c r="N942" s="26">
        <f t="shared" si="59"/>
        <v>3</v>
      </c>
      <c r="O942" s="27">
        <v>990</v>
      </c>
      <c r="P942" s="27"/>
      <c r="Q942" s="27"/>
      <c r="R942" s="27"/>
      <c r="S942" s="27"/>
      <c r="T942" s="27"/>
      <c r="U942" s="27"/>
      <c r="V942" s="27"/>
      <c r="W942" s="27"/>
      <c r="X942" s="73"/>
      <c r="Y942" s="73" t="e">
        <f>VLOOKUP(X942,Choferes!$B$2:$C$500,2,FALSE)</f>
        <v>#N/A</v>
      </c>
      <c r="Z942" s="73"/>
    </row>
    <row r="943" spans="1:26" ht="30" hidden="1" x14ac:dyDescent="0.25">
      <c r="A943" s="33">
        <v>51</v>
      </c>
      <c r="B943" s="71" t="s">
        <v>29</v>
      </c>
      <c r="C943" s="39" t="s">
        <v>2747</v>
      </c>
      <c r="D943" s="106" t="s">
        <v>249</v>
      </c>
      <c r="E943" s="47">
        <v>45647</v>
      </c>
      <c r="F943" s="31" t="str">
        <f>VLOOKUP($C943,Carpetas!$C$5:$M$2666,2,FALSE)</f>
        <v>BRB101</v>
      </c>
      <c r="G943" s="23" t="str">
        <f>VLOOKUP($C943,Carpetas!$C$5:$M$2666,10,FALSE)</f>
        <v>151,16,28</v>
      </c>
      <c r="H943" s="27" t="str">
        <f>VLOOKUP($C943,Carpetas!$C$5:$M$2666,6,FALSE)</f>
        <v xml:space="preserve">Silvio </v>
      </c>
      <c r="I943" s="220"/>
      <c r="J943" s="47">
        <f>E943+2</f>
        <v>45649</v>
      </c>
      <c r="K943" s="72" t="str">
        <f>VLOOKUP($C943,Carpetas!$C$5:$M$2666,5,FALSE)</f>
        <v>Rio Branco</v>
      </c>
      <c r="L943" s="32"/>
      <c r="M943" s="48">
        <f t="shared" si="62"/>
        <v>45650</v>
      </c>
      <c r="N943" s="26">
        <f t="shared" si="59"/>
        <v>3</v>
      </c>
      <c r="O943" s="27">
        <v>918</v>
      </c>
      <c r="P943" s="27">
        <v>919</v>
      </c>
      <c r="Q943" s="27">
        <v>26</v>
      </c>
      <c r="R943" s="27">
        <v>25</v>
      </c>
      <c r="S943" s="27" t="s">
        <v>2908</v>
      </c>
      <c r="T943" s="27"/>
      <c r="U943" s="27"/>
      <c r="V943" s="27" t="s">
        <v>2909</v>
      </c>
      <c r="W943" s="27"/>
      <c r="X943" s="73"/>
      <c r="Y943" s="73" t="e">
        <f>VLOOKUP(X943,Choferes!$B$2:$C$500,2,FALSE)</f>
        <v>#N/A</v>
      </c>
      <c r="Z943" s="73" t="s">
        <v>2910</v>
      </c>
    </row>
    <row r="944" spans="1:26" ht="30" hidden="1" x14ac:dyDescent="0.25">
      <c r="A944" s="33">
        <v>51</v>
      </c>
      <c r="B944" s="71" t="s">
        <v>29</v>
      </c>
      <c r="C944" s="39" t="s">
        <v>2911</v>
      </c>
      <c r="D944" s="106" t="s">
        <v>42</v>
      </c>
      <c r="E944" s="47">
        <v>45645</v>
      </c>
      <c r="F944" s="31" t="str">
        <f>VLOOKUP($C944,Carpetas!$C$5:$M$2666,2,FALSE)</f>
        <v>PYB165</v>
      </c>
      <c r="G944" s="23" t="str">
        <f>VLOOKUP($C944,Carpetas!$C$5:$M$2666,10,FALSE)</f>
        <v>151,29,12</v>
      </c>
      <c r="H944" s="27">
        <f>VLOOKUP($C944,Carpetas!$C$5:$M$2666,6,FALSE)</f>
        <v>0</v>
      </c>
      <c r="I944" s="220"/>
      <c r="J944" s="47">
        <f>E944+5</f>
        <v>45650</v>
      </c>
      <c r="K944" s="72" t="str">
        <f>VLOOKUP($C944,Carpetas!$C$5:$M$2666,5,FALSE)</f>
        <v>Salto</v>
      </c>
      <c r="L944" s="32"/>
      <c r="M944" s="48">
        <f t="shared" si="62"/>
        <v>45651</v>
      </c>
      <c r="N944" s="26">
        <f t="shared" si="59"/>
        <v>6</v>
      </c>
      <c r="O944" s="27">
        <v>972</v>
      </c>
      <c r="P944" s="27">
        <v>972</v>
      </c>
      <c r="Q944" s="27">
        <v>28</v>
      </c>
      <c r="R944" s="27">
        <v>26</v>
      </c>
      <c r="S944" s="27" t="s">
        <v>2912</v>
      </c>
      <c r="T944" s="27"/>
      <c r="U944" s="27"/>
      <c r="V944" s="27" t="s">
        <v>1332</v>
      </c>
      <c r="W944" s="27"/>
      <c r="X944" s="73"/>
      <c r="Y944" s="73" t="e">
        <f>VLOOKUP(X944,Choferes!$B$2:$C$500,2,FALSE)</f>
        <v>#N/A</v>
      </c>
      <c r="Z944" s="73" t="s">
        <v>2913</v>
      </c>
    </row>
    <row r="945" spans="1:26" ht="30" hidden="1" x14ac:dyDescent="0.25">
      <c r="A945" s="33">
        <v>52</v>
      </c>
      <c r="B945" s="71" t="s">
        <v>29</v>
      </c>
      <c r="C945" s="39" t="s">
        <v>2914</v>
      </c>
      <c r="D945" s="106" t="s">
        <v>121</v>
      </c>
      <c r="E945" s="47">
        <v>45649</v>
      </c>
      <c r="F945" s="31" t="str">
        <f>VLOOKUP($C945,Carpetas!$C$5:$M$2666,2,FALSE)</f>
        <v>PYB169</v>
      </c>
      <c r="G945" s="23">
        <f>VLOOKUP($C945,Carpetas!$C$5:$M$2666,10,FALSE)</f>
        <v>0</v>
      </c>
      <c r="H945" s="27">
        <f>VLOOKUP($C945,Carpetas!$C$5:$M$2666,6,FALSE)</f>
        <v>0</v>
      </c>
      <c r="I945" s="220"/>
      <c r="J945" s="47">
        <v>45652</v>
      </c>
      <c r="K945" s="72" t="str">
        <f>VLOOKUP($C945,Carpetas!$C$5:$M$2666,5,FALSE)</f>
        <v>Salto</v>
      </c>
      <c r="L945" s="32"/>
      <c r="M945" s="48">
        <f t="shared" si="62"/>
        <v>45653</v>
      </c>
      <c r="N945" s="26">
        <f t="shared" si="59"/>
        <v>4</v>
      </c>
      <c r="O945" s="27">
        <v>980</v>
      </c>
      <c r="P945" s="27">
        <v>982</v>
      </c>
      <c r="Q945" s="27">
        <v>28</v>
      </c>
      <c r="R945" s="27">
        <v>26</v>
      </c>
      <c r="S945" s="27" t="s">
        <v>2915</v>
      </c>
      <c r="T945" s="27"/>
      <c r="U945" s="27"/>
      <c r="V945" s="27" t="s">
        <v>2916</v>
      </c>
      <c r="W945" s="27"/>
      <c r="X945" s="73"/>
      <c r="Y945" s="73" t="e">
        <f>VLOOKUP(X945,Choferes!$B$2:$C$500,2,FALSE)</f>
        <v>#N/A</v>
      </c>
      <c r="Z945" s="73" t="s">
        <v>2917</v>
      </c>
    </row>
    <row r="946" spans="1:26" ht="30" hidden="1" x14ac:dyDescent="0.25">
      <c r="A946" s="33">
        <v>52</v>
      </c>
      <c r="B946" s="71" t="s">
        <v>29</v>
      </c>
      <c r="C946" s="39" t="s">
        <v>2914</v>
      </c>
      <c r="D946" s="106" t="s">
        <v>121</v>
      </c>
      <c r="E946" s="47">
        <v>45649</v>
      </c>
      <c r="F946" s="31" t="str">
        <f>VLOOKUP($C946,Carpetas!$C$5:$M$2666,2,FALSE)</f>
        <v>PYB169</v>
      </c>
      <c r="G946" s="23">
        <f>VLOOKUP($C946,Carpetas!$C$5:$M$2666,10,FALSE)</f>
        <v>0</v>
      </c>
      <c r="H946" s="27">
        <f>VLOOKUP($C946,Carpetas!$C$5:$M$2666,6,FALSE)</f>
        <v>0</v>
      </c>
      <c r="I946" s="220"/>
      <c r="J946" s="47">
        <v>45652</v>
      </c>
      <c r="K946" s="72" t="str">
        <f>VLOOKUP($C946,Carpetas!$C$5:$M$2666,5,FALSE)</f>
        <v>Salto</v>
      </c>
      <c r="L946" s="32"/>
      <c r="M946" s="48">
        <f t="shared" si="62"/>
        <v>45653</v>
      </c>
      <c r="N946" s="26">
        <f t="shared" si="59"/>
        <v>4</v>
      </c>
      <c r="O946" s="27">
        <v>980</v>
      </c>
      <c r="P946" s="27">
        <v>982</v>
      </c>
      <c r="Q946" s="27">
        <v>28</v>
      </c>
      <c r="R946" s="27">
        <v>26</v>
      </c>
      <c r="S946" s="27" t="s">
        <v>2918</v>
      </c>
      <c r="T946" s="27"/>
      <c r="U946" s="27"/>
      <c r="V946" s="27" t="s">
        <v>2812</v>
      </c>
      <c r="W946" s="27"/>
      <c r="X946" s="73"/>
      <c r="Y946" s="73" t="e">
        <f>VLOOKUP(X946,Choferes!$B$2:$C$500,2,FALSE)</f>
        <v>#N/A</v>
      </c>
      <c r="Z946" s="73" t="s">
        <v>2919</v>
      </c>
    </row>
    <row r="947" spans="1:26" ht="30" hidden="1" x14ac:dyDescent="0.25">
      <c r="A947" s="33">
        <v>52</v>
      </c>
      <c r="B947" s="71" t="s">
        <v>29</v>
      </c>
      <c r="C947" s="39" t="s">
        <v>2920</v>
      </c>
      <c r="D947" s="106" t="s">
        <v>102</v>
      </c>
      <c r="E947" s="47">
        <v>45649</v>
      </c>
      <c r="F947" s="31" t="str">
        <f>VLOOKUP($C947,Carpetas!$C$5:$M$2666,2,FALSE)</f>
        <v>PYB168</v>
      </c>
      <c r="G947" s="23">
        <f>VLOOKUP($C947,Carpetas!$C$5:$M$2666,10,FALSE)</f>
        <v>0</v>
      </c>
      <c r="H947" s="27">
        <f>VLOOKUP($C947,Carpetas!$C$5:$M$2666,6,FALSE)</f>
        <v>0</v>
      </c>
      <c r="I947" s="220"/>
      <c r="J947" s="47">
        <v>45652</v>
      </c>
      <c r="K947" s="72" t="str">
        <f>VLOOKUP($C947,Carpetas!$C$5:$M$2666,5,FALSE)</f>
        <v>Salto</v>
      </c>
      <c r="L947" s="32"/>
      <c r="M947" s="48">
        <v>45654</v>
      </c>
      <c r="N947" s="26">
        <f t="shared" si="59"/>
        <v>5</v>
      </c>
      <c r="O947" s="27">
        <v>980</v>
      </c>
      <c r="P947" s="27">
        <v>980</v>
      </c>
      <c r="Q947" s="27">
        <v>28</v>
      </c>
      <c r="R947" s="27">
        <v>26</v>
      </c>
      <c r="S947" s="27" t="s">
        <v>2921</v>
      </c>
      <c r="T947" s="27"/>
      <c r="U947" s="27"/>
      <c r="V947" s="27" t="s">
        <v>2922</v>
      </c>
      <c r="W947" s="27"/>
      <c r="X947" s="73"/>
      <c r="Y947" s="73" t="e">
        <f>VLOOKUP(X947,Choferes!$B$2:$C$500,2,FALSE)</f>
        <v>#N/A</v>
      </c>
      <c r="Z947" s="73" t="s">
        <v>2923</v>
      </c>
    </row>
    <row r="948" spans="1:26" hidden="1" x14ac:dyDescent="0.25">
      <c r="A948" s="33">
        <v>52</v>
      </c>
      <c r="B948" s="71" t="s">
        <v>29</v>
      </c>
      <c r="C948" s="39" t="s">
        <v>2924</v>
      </c>
      <c r="D948" s="106" t="s">
        <v>183</v>
      </c>
      <c r="E948" s="47">
        <v>45652</v>
      </c>
      <c r="F948" s="31" t="str">
        <f>VLOOKUP($C948,Carpetas!$C$5:$M$2666,2,FALSE)</f>
        <v>PYB170</v>
      </c>
      <c r="G948" s="23">
        <f>VLOOKUP($C948,Carpetas!$C$5:$M$2666,10,FALSE)</f>
        <v>0</v>
      </c>
      <c r="H948" s="27">
        <f>VLOOKUP($C948,Carpetas!$C$5:$M$2666,6,FALSE)</f>
        <v>0</v>
      </c>
      <c r="I948" s="220"/>
      <c r="J948" s="47">
        <v>45655</v>
      </c>
      <c r="K948" s="72" t="str">
        <f>VLOOKUP($C948,Carpetas!$C$5:$M$2666,5,FALSE)</f>
        <v>Salto</v>
      </c>
      <c r="L948" s="32"/>
      <c r="M948" s="48">
        <f t="shared" ref="M948:M964" si="63">J948+1</f>
        <v>45656</v>
      </c>
      <c r="N948" s="26">
        <f t="shared" si="59"/>
        <v>4</v>
      </c>
      <c r="O948" s="27">
        <v>980</v>
      </c>
      <c r="P948" s="27">
        <v>982</v>
      </c>
      <c r="Q948" s="27">
        <v>28</v>
      </c>
      <c r="R948" s="27">
        <v>27</v>
      </c>
      <c r="S948" s="27" t="s">
        <v>2925</v>
      </c>
      <c r="T948" s="27"/>
      <c r="U948" s="27"/>
      <c r="V948" s="27" t="s">
        <v>2926</v>
      </c>
      <c r="W948" s="27"/>
      <c r="X948" s="73"/>
      <c r="Y948" s="73" t="e">
        <f>VLOOKUP(X948,Choferes!$B$2:$C$500,2,FALSE)</f>
        <v>#N/A</v>
      </c>
      <c r="Z948" s="73" t="s">
        <v>2927</v>
      </c>
    </row>
    <row r="949" spans="1:26" ht="30" hidden="1" x14ac:dyDescent="0.25">
      <c r="A949" s="33">
        <v>52</v>
      </c>
      <c r="B949" s="71" t="s">
        <v>29</v>
      </c>
      <c r="C949" s="39" t="s">
        <v>2928</v>
      </c>
      <c r="D949" s="106" t="s">
        <v>38</v>
      </c>
      <c r="E949" s="47">
        <v>45649</v>
      </c>
      <c r="F949" s="31" t="str">
        <f>VLOOKUP($C949,Carpetas!$C$5:$M$2666,2,FALSE)</f>
        <v>BRE060</v>
      </c>
      <c r="G949" s="23" t="str">
        <f>VLOOKUP($C949,Carpetas!$C$5:$M$2666,10,FALSE)</f>
        <v>1513295,96,97,98</v>
      </c>
      <c r="H949" s="27" t="str">
        <f>VLOOKUP($C949,Carpetas!$C$5:$M$2666,6,FALSE)</f>
        <v xml:space="preserve">Silvio </v>
      </c>
      <c r="I949" s="220">
        <f>VLOOKUP($C949,Carpetas!$C$5:$M$2666,4,FALSE)</f>
        <v>0</v>
      </c>
      <c r="J949" s="47">
        <v>45656</v>
      </c>
      <c r="K949" s="72" t="str">
        <f>VLOOKUP($C949,Carpetas!$C$5:$M$2666,5,FALSE)</f>
        <v>Rio Branco</v>
      </c>
      <c r="L949" s="32"/>
      <c r="M949" s="48">
        <f t="shared" si="63"/>
        <v>45657</v>
      </c>
      <c r="N949" s="26">
        <f t="shared" si="59"/>
        <v>8</v>
      </c>
      <c r="O949" s="27">
        <v>3228</v>
      </c>
      <c r="P949" s="27"/>
      <c r="Q949" s="27"/>
      <c r="R949" s="27"/>
      <c r="S949" s="27"/>
      <c r="T949" s="27"/>
      <c r="U949" s="27">
        <v>7261</v>
      </c>
      <c r="V949" s="27" t="s">
        <v>2929</v>
      </c>
      <c r="W949" s="27" t="s">
        <v>1986</v>
      </c>
      <c r="X949" s="73"/>
      <c r="Y949" s="73" t="e">
        <f>VLOOKUP(X949,Choferes!$B$2:$C$500,2,FALSE)</f>
        <v>#N/A</v>
      </c>
      <c r="Z949" s="73" t="s">
        <v>2930</v>
      </c>
    </row>
    <row r="950" spans="1:26" ht="30" hidden="1" x14ac:dyDescent="0.25">
      <c r="A950" s="33">
        <v>52</v>
      </c>
      <c r="B950" s="71" t="s">
        <v>29</v>
      </c>
      <c r="C950" s="39" t="s">
        <v>2920</v>
      </c>
      <c r="D950" s="106" t="s">
        <v>102</v>
      </c>
      <c r="E950" s="47">
        <v>45652</v>
      </c>
      <c r="F950" s="31" t="str">
        <f>VLOOKUP($C950,Carpetas!$C$5:$M$2666,2,FALSE)</f>
        <v>PYB168</v>
      </c>
      <c r="G950" s="23">
        <f>VLOOKUP($C950,Carpetas!$C$5:$M$2666,10,FALSE)</f>
        <v>0</v>
      </c>
      <c r="H950" s="27">
        <f>VLOOKUP($C950,Carpetas!$C$5:$M$2666,6,FALSE)</f>
        <v>0</v>
      </c>
      <c r="I950" s="220"/>
      <c r="J950" s="47">
        <v>45656</v>
      </c>
      <c r="K950" s="72" t="str">
        <f>VLOOKUP($C950,Carpetas!$C$5:$M$2666,5,FALSE)</f>
        <v>Salto</v>
      </c>
      <c r="L950" s="32"/>
      <c r="M950" s="48">
        <f t="shared" si="63"/>
        <v>45657</v>
      </c>
      <c r="N950" s="26">
        <f t="shared" si="59"/>
        <v>5</v>
      </c>
      <c r="O950" s="27">
        <v>980</v>
      </c>
      <c r="P950" s="27">
        <v>981</v>
      </c>
      <c r="Q950" s="27">
        <v>28</v>
      </c>
      <c r="R950" s="27">
        <v>26.5</v>
      </c>
      <c r="S950" s="27" t="s">
        <v>2931</v>
      </c>
      <c r="T950" s="27"/>
      <c r="U950" s="27"/>
      <c r="V950" s="27" t="s">
        <v>2932</v>
      </c>
      <c r="W950" s="27"/>
      <c r="X950" s="73"/>
      <c r="Y950" s="73" t="e">
        <f>VLOOKUP(X950,Choferes!$B$2:$C$500,2,FALSE)</f>
        <v>#N/A</v>
      </c>
      <c r="Z950" s="73" t="s">
        <v>2933</v>
      </c>
    </row>
    <row r="951" spans="1:26" ht="30" hidden="1" x14ac:dyDescent="0.25">
      <c r="A951" s="33">
        <v>52</v>
      </c>
      <c r="B951" s="71" t="s">
        <v>29</v>
      </c>
      <c r="C951" s="39" t="s">
        <v>2924</v>
      </c>
      <c r="D951" s="106" t="s">
        <v>183</v>
      </c>
      <c r="E951" s="47">
        <v>45652</v>
      </c>
      <c r="F951" s="31" t="str">
        <f>VLOOKUP($C951,Carpetas!$C$5:$M$2666,2,FALSE)</f>
        <v>PYB170</v>
      </c>
      <c r="G951" s="23">
        <f>VLOOKUP($C951,Carpetas!$C$5:$M$2666,10,FALSE)</f>
        <v>0</v>
      </c>
      <c r="H951" s="27">
        <f>VLOOKUP($C951,Carpetas!$C$5:$M$2666,6,FALSE)</f>
        <v>0</v>
      </c>
      <c r="I951" s="220"/>
      <c r="J951" s="47">
        <v>45656</v>
      </c>
      <c r="K951" s="72" t="str">
        <f>VLOOKUP($C951,Carpetas!$C$5:$M$2666,5,FALSE)</f>
        <v>Salto</v>
      </c>
      <c r="L951" s="32"/>
      <c r="M951" s="48">
        <f t="shared" si="63"/>
        <v>45657</v>
      </c>
      <c r="N951" s="26">
        <f t="shared" si="59"/>
        <v>5</v>
      </c>
      <c r="O951" s="27">
        <v>980</v>
      </c>
      <c r="P951" s="27">
        <v>980</v>
      </c>
      <c r="Q951" s="27">
        <v>28</v>
      </c>
      <c r="R951" s="27">
        <v>26</v>
      </c>
      <c r="S951" s="27" t="s">
        <v>2934</v>
      </c>
      <c r="T951" s="27"/>
      <c r="U951" s="27"/>
      <c r="V951" s="27" t="s">
        <v>2935</v>
      </c>
      <c r="W951" s="27"/>
      <c r="X951" s="73"/>
      <c r="Y951" s="73" t="e">
        <f>VLOOKUP(X951,Choferes!$B$2:$C$500,2,FALSE)</f>
        <v>#N/A</v>
      </c>
      <c r="Z951" s="73" t="s">
        <v>2936</v>
      </c>
    </row>
    <row r="952" spans="1:26" hidden="1" x14ac:dyDescent="0.25">
      <c r="A952" s="33">
        <v>52</v>
      </c>
      <c r="B952" s="71" t="s">
        <v>29</v>
      </c>
      <c r="C952" s="39" t="s">
        <v>2847</v>
      </c>
      <c r="D952" s="106" t="s">
        <v>249</v>
      </c>
      <c r="E952" s="47">
        <v>45653</v>
      </c>
      <c r="F952" s="31" t="str">
        <f>VLOOKUP($C952,Carpetas!$C$5:$M$2666,2,FALSE)</f>
        <v>BRB105</v>
      </c>
      <c r="G952" s="23" t="str">
        <f>VLOOKUP($C952,Carpetas!$C$5:$M$2666,10,FALSE)</f>
        <v>151,28,88</v>
      </c>
      <c r="H952" s="27" t="str">
        <f>VLOOKUP($C952,Carpetas!$C$5:$M$2666,6,FALSE)</f>
        <v>Zanini</v>
      </c>
      <c r="I952" s="220"/>
      <c r="J952" s="47">
        <v>45656</v>
      </c>
      <c r="K952" s="72" t="str">
        <f>VLOOKUP($C952,Carpetas!$C$5:$M$2666,5,FALSE)</f>
        <v>Rio Branco</v>
      </c>
      <c r="L952" s="32"/>
      <c r="M952" s="48">
        <f t="shared" si="63"/>
        <v>45657</v>
      </c>
      <c r="N952" s="26">
        <f t="shared" si="59"/>
        <v>4</v>
      </c>
      <c r="O952" s="27">
        <v>918</v>
      </c>
      <c r="P952" s="27">
        <v>919</v>
      </c>
      <c r="Q952" s="27">
        <v>26</v>
      </c>
      <c r="R952" s="27">
        <v>24</v>
      </c>
      <c r="S952" s="27" t="s">
        <v>2937</v>
      </c>
      <c r="T952" s="27"/>
      <c r="U952" s="27">
        <v>4952</v>
      </c>
      <c r="V952" s="27" t="s">
        <v>2623</v>
      </c>
      <c r="W952" s="27" t="s">
        <v>1403</v>
      </c>
      <c r="X952" s="73"/>
      <c r="Y952" s="73" t="e">
        <f>VLOOKUP(X952,Choferes!$B$2:$C$500,2,FALSE)</f>
        <v>#N/A</v>
      </c>
      <c r="Z952" s="73" t="s">
        <v>2938</v>
      </c>
    </row>
    <row r="953" spans="1:26" hidden="1" x14ac:dyDescent="0.25">
      <c r="A953" s="33">
        <v>52</v>
      </c>
      <c r="B953" s="71" t="s">
        <v>29</v>
      </c>
      <c r="C953" s="39" t="s">
        <v>2905</v>
      </c>
      <c r="D953" s="106" t="s">
        <v>48</v>
      </c>
      <c r="E953" s="47">
        <v>45652</v>
      </c>
      <c r="F953" s="31" t="str">
        <f>VLOOKUP($C953,Carpetas!$C$5:$M$2666,2,FALSE)</f>
        <v>PYB167</v>
      </c>
      <c r="G953" s="23" t="str">
        <f>VLOOKUP($C953,Carpetas!$C$5:$M$2666,10,FALSE)</f>
        <v>151.33.15</v>
      </c>
      <c r="H953" s="27">
        <f>VLOOKUP($C953,Carpetas!$C$5:$M$2666,6,FALSE)</f>
        <v>0</v>
      </c>
      <c r="I953" s="220"/>
      <c r="J953" s="47">
        <f>E953+5</f>
        <v>45657</v>
      </c>
      <c r="K953" s="72" t="str">
        <f>VLOOKUP($C953,Carpetas!$C$5:$M$2666,5,FALSE)</f>
        <v>Salto</v>
      </c>
      <c r="L953" s="32"/>
      <c r="M953" s="48">
        <f t="shared" si="63"/>
        <v>45658</v>
      </c>
      <c r="N953" s="26">
        <f t="shared" si="59"/>
        <v>6</v>
      </c>
      <c r="O953" s="27">
        <v>1000</v>
      </c>
      <c r="P953" s="27">
        <v>1010</v>
      </c>
      <c r="Q953" s="27">
        <v>28</v>
      </c>
      <c r="R953" s="27">
        <v>26</v>
      </c>
      <c r="S953" s="27" t="s">
        <v>2939</v>
      </c>
      <c r="T953" s="27"/>
      <c r="U953" s="27"/>
      <c r="V953" s="27" t="s">
        <v>93</v>
      </c>
      <c r="W953" s="27"/>
      <c r="X953" s="73"/>
      <c r="Y953" s="73" t="e">
        <f>VLOOKUP(X953,Choferes!$B$2:$C$500,2,FALSE)</f>
        <v>#N/A</v>
      </c>
      <c r="Z953" s="73" t="s">
        <v>2940</v>
      </c>
    </row>
    <row r="954" spans="1:26" hidden="1" x14ac:dyDescent="0.25">
      <c r="A954" s="33">
        <v>52</v>
      </c>
      <c r="B954" s="71" t="s">
        <v>29</v>
      </c>
      <c r="C954" s="39" t="s">
        <v>2941</v>
      </c>
      <c r="D954" s="106" t="s">
        <v>121</v>
      </c>
      <c r="E954" s="47">
        <v>45652</v>
      </c>
      <c r="F954" s="31" t="str">
        <f>VLOOKUP($C954,Carpetas!$C$5:$M$2666,2,FALSE)</f>
        <v>PYB171</v>
      </c>
      <c r="G954" s="23">
        <f>VLOOKUP($C954,Carpetas!$C$5:$M$2666,10,FALSE)</f>
        <v>0</v>
      </c>
      <c r="H954" s="27">
        <f>VLOOKUP($C954,Carpetas!$C$5:$M$2666,6,FALSE)</f>
        <v>0</v>
      </c>
      <c r="I954" s="220"/>
      <c r="J954" s="47">
        <f>E954+5</f>
        <v>45657</v>
      </c>
      <c r="K954" s="72" t="str">
        <f>VLOOKUP($C954,Carpetas!$C$5:$M$2666,5,FALSE)</f>
        <v>Salto</v>
      </c>
      <c r="L954" s="32"/>
      <c r="M954" s="48">
        <f t="shared" si="63"/>
        <v>45658</v>
      </c>
      <c r="N954" s="26">
        <f t="shared" si="59"/>
        <v>6</v>
      </c>
      <c r="O954" s="27">
        <v>980</v>
      </c>
      <c r="P954" s="27">
        <v>982</v>
      </c>
      <c r="Q954" s="27">
        <v>28</v>
      </c>
      <c r="R954" s="27">
        <v>26.5</v>
      </c>
      <c r="S954" s="27" t="s">
        <v>2942</v>
      </c>
      <c r="T954" s="27"/>
      <c r="U954" s="27"/>
      <c r="V954" s="27" t="s">
        <v>2943</v>
      </c>
      <c r="W954" s="27"/>
      <c r="X954" s="73"/>
      <c r="Y954" s="73" t="e">
        <f>VLOOKUP(X954,Choferes!$B$2:$C$500,2,FALSE)</f>
        <v>#N/A</v>
      </c>
      <c r="Z954" s="73" t="s">
        <v>2927</v>
      </c>
    </row>
    <row r="955" spans="1:26" hidden="1" x14ac:dyDescent="0.25">
      <c r="A955" s="33">
        <v>1</v>
      </c>
      <c r="B955" s="71" t="s">
        <v>29</v>
      </c>
      <c r="C955" s="39" t="s">
        <v>2941</v>
      </c>
      <c r="D955" s="106" t="s">
        <v>121</v>
      </c>
      <c r="E955" s="47">
        <v>45656</v>
      </c>
      <c r="F955" s="31" t="str">
        <f>VLOOKUP($C955,Carpetas!$C$5:$M$2666,2,FALSE)</f>
        <v>PYB171</v>
      </c>
      <c r="G955" s="23">
        <f>VLOOKUP($C955,Carpetas!$C$5:$M$2666,10,FALSE)</f>
        <v>0</v>
      </c>
      <c r="H955" s="27">
        <f>VLOOKUP($C955,Carpetas!$C$5:$M$2666,6,FALSE)</f>
        <v>0</v>
      </c>
      <c r="I955" s="220"/>
      <c r="J955" s="47">
        <v>45659</v>
      </c>
      <c r="K955" s="72" t="str">
        <f>VLOOKUP($C955,Carpetas!$C$5:$M$2666,5,FALSE)</f>
        <v>Salto</v>
      </c>
      <c r="L955" s="32"/>
      <c r="M955" s="48">
        <f t="shared" si="63"/>
        <v>45660</v>
      </c>
      <c r="N955" s="26">
        <f t="shared" si="59"/>
        <v>4</v>
      </c>
      <c r="O955" s="27">
        <v>980</v>
      </c>
      <c r="P955" s="27">
        <v>984</v>
      </c>
      <c r="Q955" s="27">
        <v>28</v>
      </c>
      <c r="R955" s="27">
        <v>26</v>
      </c>
      <c r="S955" s="27" t="s">
        <v>2944</v>
      </c>
      <c r="T955" s="27"/>
      <c r="U955" s="27"/>
      <c r="V955" s="27" t="s">
        <v>1016</v>
      </c>
      <c r="W955" s="27"/>
      <c r="X955" s="73"/>
      <c r="Y955" s="73" t="e">
        <f>VLOOKUP(X955,Choferes!$B$2:$C$500,2,FALSE)</f>
        <v>#N/A</v>
      </c>
      <c r="Z955" s="73" t="s">
        <v>2945</v>
      </c>
    </row>
    <row r="956" spans="1:26" hidden="1" x14ac:dyDescent="0.25">
      <c r="A956" s="33">
        <v>52</v>
      </c>
      <c r="B956" s="71" t="s">
        <v>298</v>
      </c>
      <c r="C956" s="39" t="s">
        <v>299</v>
      </c>
      <c r="D956" s="106" t="s">
        <v>42</v>
      </c>
      <c r="E956" s="47">
        <v>45656</v>
      </c>
      <c r="F956" s="31" t="str">
        <f>VLOOKUP($C956,Carpetas!$C$5:$M$2666,2,FALSE)</f>
        <v>BRB</v>
      </c>
      <c r="G956" s="23" t="e">
        <f>VLOOKUP($C956,Carpetas!$C$5:$M$2666,9,FALSE)</f>
        <v>#REF!</v>
      </c>
      <c r="H956" s="27" t="str">
        <f>VLOOKUP($C956,Carpetas!$C$5:$M$2666,5,FALSE)</f>
        <v>xx</v>
      </c>
      <c r="I956" s="220"/>
      <c r="J956" s="47">
        <f>E956+5</f>
        <v>45661</v>
      </c>
      <c r="K956" s="72">
        <f>VLOOKUP($C956,Carpetas!$C$5:$M$2666,4,FALSE)</f>
        <v>0</v>
      </c>
      <c r="L956" s="32"/>
      <c r="M956" s="48">
        <f t="shared" si="63"/>
        <v>45662</v>
      </c>
      <c r="N956" s="26">
        <f t="shared" si="59"/>
        <v>6</v>
      </c>
      <c r="O956" s="27">
        <v>972</v>
      </c>
      <c r="P956" s="27"/>
      <c r="Q956" s="27"/>
      <c r="R956" s="27"/>
      <c r="S956" s="27"/>
      <c r="T956" s="27"/>
      <c r="U956" s="27"/>
      <c r="V956" s="27"/>
      <c r="W956" s="27"/>
      <c r="X956" s="73"/>
      <c r="Y956" s="73" t="e">
        <f>VLOOKUP(X956,Choferes!$B$2:$C$500,2,FALSE)</f>
        <v>#N/A</v>
      </c>
      <c r="Z956" s="73"/>
    </row>
    <row r="957" spans="1:26" hidden="1" x14ac:dyDescent="0.25">
      <c r="A957" s="33">
        <v>52</v>
      </c>
      <c r="B957" s="71" t="s">
        <v>298</v>
      </c>
      <c r="C957" s="39" t="s">
        <v>299</v>
      </c>
      <c r="D957" s="106" t="s">
        <v>42</v>
      </c>
      <c r="E957" s="47">
        <v>45656</v>
      </c>
      <c r="F957" s="31" t="str">
        <f>VLOOKUP($C957,Carpetas!$C$5:$M$2666,2,FALSE)</f>
        <v>BRB</v>
      </c>
      <c r="G957" s="23" t="e">
        <f>VLOOKUP($C957,Carpetas!$C$5:$M$2666,9,FALSE)</f>
        <v>#REF!</v>
      </c>
      <c r="H957" s="27" t="str">
        <f>VLOOKUP($C957,Carpetas!$C$5:$M$2666,5,FALSE)</f>
        <v>xx</v>
      </c>
      <c r="I957" s="220"/>
      <c r="J957" s="47">
        <f>E957+5</f>
        <v>45661</v>
      </c>
      <c r="K957" s="72">
        <f>VLOOKUP($C957,Carpetas!$C$5:$M$2666,4,FALSE)</f>
        <v>0</v>
      </c>
      <c r="L957" s="32"/>
      <c r="M957" s="48">
        <f t="shared" si="63"/>
        <v>45662</v>
      </c>
      <c r="N957" s="26">
        <f t="shared" si="59"/>
        <v>6</v>
      </c>
      <c r="O957" s="27">
        <v>972</v>
      </c>
      <c r="P957" s="27"/>
      <c r="Q957" s="27"/>
      <c r="R957" s="27"/>
      <c r="S957" s="27"/>
      <c r="T957" s="27"/>
      <c r="U957" s="27"/>
      <c r="V957" s="27"/>
      <c r="W957" s="27"/>
      <c r="X957" s="73"/>
      <c r="Y957" s="73" t="e">
        <f>VLOOKUP(X957,Choferes!$B$2:$C$500,2,FALSE)</f>
        <v>#N/A</v>
      </c>
      <c r="Z957" s="73"/>
    </row>
    <row r="958" spans="1:26" hidden="1" x14ac:dyDescent="0.25">
      <c r="A958" s="33">
        <v>1</v>
      </c>
      <c r="B958" s="71" t="s">
        <v>29</v>
      </c>
      <c r="C958" s="39" t="s">
        <v>2946</v>
      </c>
      <c r="D958" s="106" t="s">
        <v>102</v>
      </c>
      <c r="E958" s="47">
        <v>45656</v>
      </c>
      <c r="F958" s="31" t="str">
        <f>VLOOKUP($C958,Carpetas!$C$5:$M$2666,2,FALSE)</f>
        <v>PYB172</v>
      </c>
      <c r="G958" s="23">
        <f>VLOOKUP($C958,Carpetas!$C$5:$M$2666,10,FALSE)</f>
        <v>0</v>
      </c>
      <c r="H958" s="27">
        <f>VLOOKUP($C958,Carpetas!$C$5:$M$2666,6,FALSE)</f>
        <v>0</v>
      </c>
      <c r="I958" s="220"/>
      <c r="J958" s="47">
        <f>E958+5</f>
        <v>45661</v>
      </c>
      <c r="K958" s="72" t="str">
        <f>VLOOKUP($C958,Carpetas!$C$5:$M$2666,5,FALSE)</f>
        <v>Salto</v>
      </c>
      <c r="L958" s="32"/>
      <c r="M958" s="48">
        <f t="shared" si="63"/>
        <v>45662</v>
      </c>
      <c r="N958" s="26">
        <f t="shared" si="59"/>
        <v>6</v>
      </c>
      <c r="O958" s="27">
        <v>980</v>
      </c>
      <c r="P958" s="27">
        <v>981</v>
      </c>
      <c r="Q958" s="27">
        <v>28</v>
      </c>
      <c r="R958" s="27">
        <v>25.5</v>
      </c>
      <c r="S958" s="27" t="s">
        <v>2947</v>
      </c>
      <c r="T958" s="27"/>
      <c r="U958" s="27"/>
      <c r="V958" s="27" t="s">
        <v>156</v>
      </c>
      <c r="W958" s="27"/>
      <c r="X958" s="73"/>
      <c r="Y958" s="73" t="e">
        <f>VLOOKUP(X958,Choferes!$B$2:$C$500,2,FALSE)</f>
        <v>#N/A</v>
      </c>
      <c r="Z958" s="73" t="s">
        <v>2948</v>
      </c>
    </row>
    <row r="959" spans="1:26" hidden="1" x14ac:dyDescent="0.25">
      <c r="A959" s="33">
        <v>1</v>
      </c>
      <c r="B959" s="71" t="s">
        <v>29</v>
      </c>
      <c r="C959" s="39" t="s">
        <v>2946</v>
      </c>
      <c r="D959" s="106" t="s">
        <v>102</v>
      </c>
      <c r="E959" s="47">
        <v>45659</v>
      </c>
      <c r="F959" s="31" t="str">
        <f>VLOOKUP($C959,Carpetas!$C$5:$M$2666,2,FALSE)</f>
        <v>PYB172</v>
      </c>
      <c r="G959" s="23">
        <f>VLOOKUP($C959,Carpetas!$C$5:$M$2666,10,FALSE)</f>
        <v>0</v>
      </c>
      <c r="H959" s="27">
        <f>VLOOKUP($C959,Carpetas!$C$5:$M$2666,6,FALSE)</f>
        <v>0</v>
      </c>
      <c r="I959" s="220"/>
      <c r="J959" s="47">
        <v>45661</v>
      </c>
      <c r="K959" s="72" t="str">
        <f>VLOOKUP($C959,Carpetas!$C$5:$M$2666,5,FALSE)</f>
        <v>Salto</v>
      </c>
      <c r="L959" s="32"/>
      <c r="M959" s="48">
        <f t="shared" si="63"/>
        <v>45662</v>
      </c>
      <c r="N959" s="26">
        <f t="shared" si="59"/>
        <v>3</v>
      </c>
      <c r="O959" s="27">
        <v>980</v>
      </c>
      <c r="P959" s="27">
        <v>980</v>
      </c>
      <c r="Q959" s="27">
        <v>28</v>
      </c>
      <c r="R959" s="27">
        <v>27</v>
      </c>
      <c r="S959" s="27" t="s">
        <v>2949</v>
      </c>
      <c r="T959" s="27"/>
      <c r="U959" s="27"/>
      <c r="V959" s="27" t="s">
        <v>483</v>
      </c>
      <c r="W959" s="27"/>
      <c r="X959" s="73"/>
      <c r="Y959" s="73" t="e">
        <f>VLOOKUP(X959,Choferes!$B$2:$C$500,2,FALSE)</f>
        <v>#N/A</v>
      </c>
      <c r="Z959" s="218" t="s">
        <v>2950</v>
      </c>
    </row>
    <row r="960" spans="1:26" ht="30" hidden="1" x14ac:dyDescent="0.25">
      <c r="A960" s="33">
        <v>1</v>
      </c>
      <c r="B960" s="71" t="s">
        <v>29</v>
      </c>
      <c r="C960" s="39" t="s">
        <v>2951</v>
      </c>
      <c r="D960" s="106" t="s">
        <v>183</v>
      </c>
      <c r="E960" s="47">
        <v>45659</v>
      </c>
      <c r="F960" s="31" t="str">
        <f>VLOOKUP($C960,Carpetas!$C$5:$M$2666,2,FALSE)</f>
        <v>PYB003</v>
      </c>
      <c r="G960" s="23" t="str">
        <f>VLOOKUP($C960,Carpetas!$C$5:$M$2666,10,FALSE)</f>
        <v>151.42.13</v>
      </c>
      <c r="H960" s="27">
        <f>VLOOKUP($C960,Carpetas!$C$5:$M$2666,6,FALSE)</f>
        <v>0</v>
      </c>
      <c r="I960" s="220"/>
      <c r="J960" s="47">
        <v>45661</v>
      </c>
      <c r="K960" s="72" t="str">
        <f>VLOOKUP($C960,Carpetas!$C$5:$M$2666,5,FALSE)</f>
        <v>Salto</v>
      </c>
      <c r="L960" s="32"/>
      <c r="M960" s="48">
        <f t="shared" si="63"/>
        <v>45662</v>
      </c>
      <c r="N960" s="26">
        <f t="shared" si="59"/>
        <v>3</v>
      </c>
      <c r="O960" s="27">
        <v>980</v>
      </c>
      <c r="P960" s="27">
        <v>981</v>
      </c>
      <c r="Q960" s="27">
        <v>28</v>
      </c>
      <c r="R960" s="27">
        <v>27</v>
      </c>
      <c r="S960" s="27" t="s">
        <v>2952</v>
      </c>
      <c r="T960" s="27"/>
      <c r="U960" s="27"/>
      <c r="V960" s="27" t="s">
        <v>437</v>
      </c>
      <c r="W960" s="27"/>
      <c r="X960" s="73"/>
      <c r="Y960" s="73" t="e">
        <f>VLOOKUP(X960,Choferes!$B$2:$C$500,2,FALSE)</f>
        <v>#N/A</v>
      </c>
      <c r="Z960" s="73" t="s">
        <v>2953</v>
      </c>
    </row>
    <row r="961" spans="1:26" hidden="1" x14ac:dyDescent="0.25">
      <c r="A961" s="33">
        <v>1</v>
      </c>
      <c r="B961" s="71" t="s">
        <v>29</v>
      </c>
      <c r="C961" s="39" t="s">
        <v>2954</v>
      </c>
      <c r="D961" s="106" t="s">
        <v>121</v>
      </c>
      <c r="E961" s="47">
        <v>45659</v>
      </c>
      <c r="F961" s="31" t="str">
        <f>VLOOKUP($C961,Carpetas!$C$5:$M$2666,2,FALSE)</f>
        <v>PYB002</v>
      </c>
      <c r="G961" s="23" t="str">
        <f>VLOOKUP($C961,Carpetas!$C$5:$M$2666,10,FALSE)</f>
        <v>151,42,11</v>
      </c>
      <c r="H961" s="27">
        <f>VLOOKUP($C961,Carpetas!$C$5:$M$2666,6,FALSE)</f>
        <v>0</v>
      </c>
      <c r="I961" s="220"/>
      <c r="J961" s="47">
        <v>45663</v>
      </c>
      <c r="K961" s="72" t="str">
        <f>VLOOKUP($C961,Carpetas!$C$5:$M$2666,5,FALSE)</f>
        <v>Salto</v>
      </c>
      <c r="L961" s="32"/>
      <c r="M961" s="48">
        <f t="shared" si="63"/>
        <v>45664</v>
      </c>
      <c r="N961" s="26">
        <f t="shared" si="59"/>
        <v>5</v>
      </c>
      <c r="O961" s="27">
        <v>980</v>
      </c>
      <c r="P961" s="27">
        <v>982</v>
      </c>
      <c r="Q961" s="27">
        <v>28</v>
      </c>
      <c r="R961" s="27">
        <v>27</v>
      </c>
      <c r="S961" s="27" t="s">
        <v>2955</v>
      </c>
      <c r="T961" s="27"/>
      <c r="U961" s="27"/>
      <c r="V961" s="27" t="s">
        <v>1805</v>
      </c>
      <c r="W961" s="27" t="s">
        <v>1806</v>
      </c>
      <c r="X961" s="73"/>
      <c r="Y961" s="73" t="e">
        <f>VLOOKUP(X961,Choferes!$B$2:$C$500,2,FALSE)</f>
        <v>#N/A</v>
      </c>
      <c r="Z961" s="73" t="s">
        <v>2956</v>
      </c>
    </row>
    <row r="962" spans="1:26" hidden="1" x14ac:dyDescent="0.25">
      <c r="A962" s="33">
        <v>1</v>
      </c>
      <c r="B962" s="71" t="s">
        <v>29</v>
      </c>
      <c r="C962" s="39" t="s">
        <v>2957</v>
      </c>
      <c r="D962" s="106" t="s">
        <v>48</v>
      </c>
      <c r="E962" s="47">
        <v>45659</v>
      </c>
      <c r="F962" s="31" t="str">
        <f>VLOOKUP($C962,Carpetas!$C$5:$M$2666,2,FALSE)</f>
        <v>PYB001</v>
      </c>
      <c r="G962" s="23" t="str">
        <f>VLOOKUP($C962,Carpetas!$C$5:$M$2666,10,FALSE)</f>
        <v>151,42,14</v>
      </c>
      <c r="H962" s="27">
        <f>VLOOKUP($C962,Carpetas!$C$5:$M$2666,6,FALSE)</f>
        <v>0</v>
      </c>
      <c r="I962" s="220"/>
      <c r="J962" s="47">
        <v>45663</v>
      </c>
      <c r="K962" s="72" t="str">
        <f>VLOOKUP($C962,Carpetas!$C$5:$M$2666,5,FALSE)</f>
        <v>Salto</v>
      </c>
      <c r="L962" s="32"/>
      <c r="M962" s="48">
        <f t="shared" si="63"/>
        <v>45664</v>
      </c>
      <c r="N962" s="26">
        <f t="shared" si="59"/>
        <v>5</v>
      </c>
      <c r="O962" s="27">
        <v>930</v>
      </c>
      <c r="P962" s="27">
        <v>990</v>
      </c>
      <c r="Q962" s="27">
        <v>28</v>
      </c>
      <c r="R962" s="27">
        <v>25</v>
      </c>
      <c r="S962" s="27" t="s">
        <v>2958</v>
      </c>
      <c r="T962" s="27"/>
      <c r="U962" s="27"/>
      <c r="V962" s="27" t="s">
        <v>98</v>
      </c>
      <c r="W962" s="27" t="s">
        <v>70</v>
      </c>
      <c r="X962" s="73"/>
      <c r="Y962" s="73" t="e">
        <f>VLOOKUP(X962,Choferes!$B$2:$C$500,2,FALSE)</f>
        <v>#N/A</v>
      </c>
      <c r="Z962" s="73" t="s">
        <v>2959</v>
      </c>
    </row>
    <row r="963" spans="1:26" ht="30" hidden="1" x14ac:dyDescent="0.25">
      <c r="A963" s="33">
        <v>1</v>
      </c>
      <c r="B963" s="71" t="s">
        <v>29</v>
      </c>
      <c r="C963" s="39" t="s">
        <v>2802</v>
      </c>
      <c r="D963" s="106" t="s">
        <v>747</v>
      </c>
      <c r="E963" s="47">
        <v>45660</v>
      </c>
      <c r="F963" s="31" t="str">
        <f>VLOOKUP($C963,Carpetas!$C$5:$M$2666,2,FALSE)</f>
        <v>BRB104</v>
      </c>
      <c r="G963" s="23" t="str">
        <f>VLOOKUP($C963,Carpetas!$C$5:$M$2666,10,FALSE)</f>
        <v>151,21,89</v>
      </c>
      <c r="H963" s="27" t="str">
        <f>VLOOKUP($C963,Carpetas!$C$5:$M$2666,6,FALSE)</f>
        <v>FG</v>
      </c>
      <c r="I963" s="220"/>
      <c r="J963" s="47">
        <v>45663</v>
      </c>
      <c r="K963" s="72" t="str">
        <f>VLOOKUP($C963,Carpetas!$C$5:$M$2666,5,FALSE)</f>
        <v>Rio Branco</v>
      </c>
      <c r="L963" s="32"/>
      <c r="M963" s="48">
        <f t="shared" si="63"/>
        <v>45664</v>
      </c>
      <c r="N963" s="26">
        <f t="shared" si="59"/>
        <v>4</v>
      </c>
      <c r="O963" s="27">
        <v>990</v>
      </c>
      <c r="P963" s="27">
        <v>991</v>
      </c>
      <c r="Q963" s="27">
        <v>28</v>
      </c>
      <c r="R963" s="27">
        <v>24</v>
      </c>
      <c r="S963" s="27" t="s">
        <v>2960</v>
      </c>
      <c r="T963" s="27"/>
      <c r="U963" s="27">
        <v>532</v>
      </c>
      <c r="V963" s="27" t="s">
        <v>1430</v>
      </c>
      <c r="W963" s="27" t="s">
        <v>1669</v>
      </c>
      <c r="X963" s="73"/>
      <c r="Y963" s="73" t="e">
        <f>VLOOKUP(X963,Choferes!$B$2:$C$500,2,FALSE)</f>
        <v>#N/A</v>
      </c>
      <c r="Z963" s="73" t="s">
        <v>2961</v>
      </c>
    </row>
    <row r="964" spans="1:26" hidden="1" x14ac:dyDescent="0.25">
      <c r="A964" s="33">
        <v>2</v>
      </c>
      <c r="B964" s="71" t="s">
        <v>298</v>
      </c>
      <c r="C964" s="39" t="s">
        <v>299</v>
      </c>
      <c r="D964" s="106" t="s">
        <v>803</v>
      </c>
      <c r="E964" s="47">
        <v>45667</v>
      </c>
      <c r="F964" s="31" t="str">
        <f>VLOOKUP($C964,Carpetas!$C$5:$M$2666,2,FALSE)</f>
        <v>BRB</v>
      </c>
      <c r="G964" s="23" t="e">
        <f>VLOOKUP($C964,Carpetas!$C$5:$M$2666,9,FALSE)</f>
        <v>#REF!</v>
      </c>
      <c r="H964" s="27" t="str">
        <f>VLOOKUP($C964,Carpetas!$C$5:$M$2666,5,FALSE)</f>
        <v>xx</v>
      </c>
      <c r="I964" s="220"/>
      <c r="J964" s="47">
        <v>45663</v>
      </c>
      <c r="K964" s="72">
        <f>VLOOKUP($C964,Carpetas!$C$5:$M$2666,4,FALSE)</f>
        <v>0</v>
      </c>
      <c r="L964" s="32"/>
      <c r="M964" s="48">
        <f t="shared" si="63"/>
        <v>45664</v>
      </c>
      <c r="N964" s="26">
        <f t="shared" si="59"/>
        <v>-3</v>
      </c>
      <c r="O964" s="27"/>
      <c r="P964" s="27"/>
      <c r="Q964" s="27"/>
      <c r="R964" s="27"/>
      <c r="S964" s="27"/>
      <c r="T964" s="27"/>
      <c r="U964" s="27"/>
      <c r="V964" s="27"/>
      <c r="W964" s="27"/>
      <c r="X964" s="73"/>
      <c r="Y964" s="73" t="e">
        <f>VLOOKUP(X964,Choferes!$B$2:$C$500,2,FALSE)</f>
        <v>#N/A</v>
      </c>
      <c r="Z964" s="73"/>
    </row>
    <row r="965" spans="1:26" hidden="1" x14ac:dyDescent="0.25">
      <c r="A965" s="33">
        <v>1</v>
      </c>
      <c r="B965" s="71" t="s">
        <v>29</v>
      </c>
      <c r="C965" s="39" t="s">
        <v>2962</v>
      </c>
      <c r="D965" s="106" t="s">
        <v>42</v>
      </c>
      <c r="E965" s="47">
        <v>45659</v>
      </c>
      <c r="F965" s="31" t="str">
        <f>VLOOKUP($C965,Carpetas!$C$5:$M$2666,2,FALSE)</f>
        <v>PYB174</v>
      </c>
      <c r="G965" s="23" t="str">
        <f>VLOOKUP($C965,Carpetas!$C$5:$M$2666,10,FALSE)</f>
        <v>151,42,22</v>
      </c>
      <c r="H965" s="27">
        <f>VLOOKUP($C965,Carpetas!$C$5:$M$2666,6,FALSE)</f>
        <v>0</v>
      </c>
      <c r="I965" s="220"/>
      <c r="J965" s="47">
        <v>45663</v>
      </c>
      <c r="K965" s="72" t="str">
        <f>VLOOKUP($C965,Carpetas!$C$5:$M$2666,5,FALSE)</f>
        <v>Salto</v>
      </c>
      <c r="L965" s="32"/>
      <c r="M965" s="48">
        <f>J965+1+1</f>
        <v>45665</v>
      </c>
      <c r="N965" s="26">
        <f t="shared" ref="N965:N1028" si="64">IF(E965&lt;&gt;"",M965-E965,"-")</f>
        <v>6</v>
      </c>
      <c r="O965" s="27">
        <v>972</v>
      </c>
      <c r="P965" s="27">
        <v>972</v>
      </c>
      <c r="Q965" s="27">
        <v>28</v>
      </c>
      <c r="R965" s="27">
        <v>26</v>
      </c>
      <c r="S965" s="27" t="s">
        <v>2963</v>
      </c>
      <c r="T965" s="27"/>
      <c r="U965" s="27"/>
      <c r="V965" s="27" t="s">
        <v>2964</v>
      </c>
      <c r="W965" s="27" t="s">
        <v>1602</v>
      </c>
      <c r="X965" s="73"/>
      <c r="Y965" s="73" t="e">
        <f>VLOOKUP(X965,Choferes!$B$2:$C$500,2,FALSE)</f>
        <v>#N/A</v>
      </c>
      <c r="Z965" s="73" t="s">
        <v>2965</v>
      </c>
    </row>
    <row r="966" spans="1:26" hidden="1" x14ac:dyDescent="0.25">
      <c r="A966" s="33">
        <v>2</v>
      </c>
      <c r="B966" s="71" t="s">
        <v>29</v>
      </c>
      <c r="C966" s="39" t="s">
        <v>2966</v>
      </c>
      <c r="D966" s="106" t="s">
        <v>121</v>
      </c>
      <c r="E966" s="47">
        <v>45661</v>
      </c>
      <c r="F966" s="31" t="str">
        <f>VLOOKUP($C966,Carpetas!$C$5:$M$2666,2,FALSE)</f>
        <v>PYB004</v>
      </c>
      <c r="G966" s="23" t="str">
        <f>VLOOKUP($C966,Carpetas!$C$5:$M$2666,10,FALSE)</f>
        <v>151,44,11</v>
      </c>
      <c r="H966" s="27">
        <f>VLOOKUP($C966,Carpetas!$C$5:$M$2666,6,FALSE)</f>
        <v>0</v>
      </c>
      <c r="I966" s="220"/>
      <c r="J966" s="47">
        <f>E966+3</f>
        <v>45664</v>
      </c>
      <c r="K966" s="72" t="str">
        <f>VLOOKUP($C966,Carpetas!$C$5:$M$2666,5,FALSE)</f>
        <v>Salto</v>
      </c>
      <c r="L966" s="32"/>
      <c r="M966" s="48">
        <f>J966+1</f>
        <v>45665</v>
      </c>
      <c r="N966" s="26">
        <f t="shared" si="64"/>
        <v>4</v>
      </c>
      <c r="O966" s="27">
        <v>980</v>
      </c>
      <c r="P966" s="27">
        <v>982</v>
      </c>
      <c r="Q966" s="27">
        <v>28</v>
      </c>
      <c r="R966" s="27"/>
      <c r="S966" s="27" t="s">
        <v>2967</v>
      </c>
      <c r="T966" s="27"/>
      <c r="U966" s="27"/>
      <c r="V966" s="27" t="s">
        <v>2888</v>
      </c>
      <c r="W966" s="27" t="s">
        <v>2968</v>
      </c>
      <c r="X966" s="73"/>
      <c r="Y966" s="73" t="e">
        <f>VLOOKUP(X966,Choferes!$B$2:$C$500,2,FALSE)</f>
        <v>#N/A</v>
      </c>
      <c r="Z966" s="73" t="s">
        <v>2969</v>
      </c>
    </row>
    <row r="967" spans="1:26" ht="30" hidden="1" x14ac:dyDescent="0.25">
      <c r="A967" s="33">
        <v>2</v>
      </c>
      <c r="B967" s="71" t="s">
        <v>29</v>
      </c>
      <c r="C967" s="39" t="s">
        <v>2970</v>
      </c>
      <c r="D967" s="106" t="s">
        <v>102</v>
      </c>
      <c r="E967" s="47">
        <v>45661</v>
      </c>
      <c r="F967" s="31" t="str">
        <f>VLOOKUP($C967,Carpetas!$C$5:$M$2666,2,FALSE)</f>
        <v>PYB005</v>
      </c>
      <c r="G967" s="23">
        <f>VLOOKUP($C967,Carpetas!$C$5:$M$2666,10,FALSE)</f>
        <v>1514420</v>
      </c>
      <c r="H967" s="27">
        <f>VLOOKUP($C967,Carpetas!$C$5:$M$2666,6,FALSE)</f>
        <v>0</v>
      </c>
      <c r="I967" s="220"/>
      <c r="J967" s="47">
        <f>E967+3</f>
        <v>45664</v>
      </c>
      <c r="K967" s="72" t="str">
        <f>VLOOKUP($C967,Carpetas!$C$5:$M$2666,5,FALSE)</f>
        <v>Salto</v>
      </c>
      <c r="L967" s="32"/>
      <c r="M967" s="48">
        <f>J967+1</f>
        <v>45665</v>
      </c>
      <c r="N967" s="26">
        <f t="shared" si="64"/>
        <v>4</v>
      </c>
      <c r="O967" s="27">
        <v>980</v>
      </c>
      <c r="P967" s="27">
        <v>981</v>
      </c>
      <c r="Q967" s="27">
        <v>28</v>
      </c>
      <c r="R967" s="27">
        <v>26</v>
      </c>
      <c r="S967" s="27" t="s">
        <v>2971</v>
      </c>
      <c r="T967" s="27"/>
      <c r="U967" s="27"/>
      <c r="V967" s="27" t="s">
        <v>288</v>
      </c>
      <c r="W967" s="27"/>
      <c r="X967" s="73"/>
      <c r="Y967" s="73" t="e">
        <f>VLOOKUP(X967,Choferes!$B$2:$C$500,2,FALSE)</f>
        <v>#N/A</v>
      </c>
      <c r="Z967" s="73" t="s">
        <v>2972</v>
      </c>
    </row>
    <row r="968" spans="1:26" hidden="1" x14ac:dyDescent="0.25">
      <c r="A968" s="33">
        <v>1</v>
      </c>
      <c r="B968" s="71" t="s">
        <v>29</v>
      </c>
      <c r="C968" s="39" t="s">
        <v>2973</v>
      </c>
      <c r="D968" s="106" t="s">
        <v>42</v>
      </c>
      <c r="E968" s="47">
        <v>45659</v>
      </c>
      <c r="F968" s="31" t="str">
        <f>VLOOKUP($C968,Carpetas!$C$5:$M$2666,2,FALSE)</f>
        <v>PYB173</v>
      </c>
      <c r="G968" s="23" t="str">
        <f>VLOOKUP($C968,Carpetas!$C$5:$M$2666,10,FALSE)</f>
        <v>151,43,29</v>
      </c>
      <c r="H968" s="27">
        <f>VLOOKUP($C968,Carpetas!$C$5:$M$2666,6,FALSE)</f>
        <v>0</v>
      </c>
      <c r="I968" s="220"/>
      <c r="J968" s="47">
        <v>45663</v>
      </c>
      <c r="K968" s="72" t="str">
        <f>VLOOKUP($C968,Carpetas!$C$5:$M$2666,5,FALSE)</f>
        <v>Salto</v>
      </c>
      <c r="L968" s="32"/>
      <c r="M968" s="48">
        <f>J968+1+1+1</f>
        <v>45666</v>
      </c>
      <c r="N968" s="26">
        <f t="shared" si="64"/>
        <v>7</v>
      </c>
      <c r="O968" s="27">
        <v>972</v>
      </c>
      <c r="P968" s="27">
        <v>972</v>
      </c>
      <c r="Q968" s="27">
        <v>28</v>
      </c>
      <c r="R968" s="27">
        <v>26</v>
      </c>
      <c r="S968" s="27" t="s">
        <v>2974</v>
      </c>
      <c r="T968" s="27"/>
      <c r="U968" s="27"/>
      <c r="V968" s="27" t="s">
        <v>406</v>
      </c>
      <c r="W968" s="27" t="s">
        <v>509</v>
      </c>
      <c r="X968" s="73"/>
      <c r="Y968" s="73" t="e">
        <f>VLOOKUP(X968,Choferes!$B$2:$C$500,2,FALSE)</f>
        <v>#N/A</v>
      </c>
      <c r="Z968" s="73" t="s">
        <v>2975</v>
      </c>
    </row>
    <row r="969" spans="1:26" ht="30" hidden="1" x14ac:dyDescent="0.25">
      <c r="A969" s="33">
        <v>1</v>
      </c>
      <c r="B969" s="71" t="s">
        <v>29</v>
      </c>
      <c r="C969" s="39" t="s">
        <v>2951</v>
      </c>
      <c r="D969" s="106" t="s">
        <v>183</v>
      </c>
      <c r="E969" s="47">
        <v>45662</v>
      </c>
      <c r="F969" s="31" t="str">
        <f>VLOOKUP($C969,Carpetas!$C$5:$M$2666,2,FALSE)</f>
        <v>PYB003</v>
      </c>
      <c r="G969" s="23" t="str">
        <f>VLOOKUP($C969,Carpetas!$C$5:$M$2666,10,FALSE)</f>
        <v>151.42.13</v>
      </c>
      <c r="H969" s="27">
        <f>VLOOKUP($C969,Carpetas!$C$5:$M$2666,6,FALSE)</f>
        <v>0</v>
      </c>
      <c r="I969" s="220"/>
      <c r="J969" s="47">
        <v>45663</v>
      </c>
      <c r="K969" s="72" t="str">
        <f>VLOOKUP($C969,Carpetas!$C$5:$M$2666,5,FALSE)</f>
        <v>Salto</v>
      </c>
      <c r="L969" s="32"/>
      <c r="M969" s="48">
        <f>J969+1+1+1</f>
        <v>45666</v>
      </c>
      <c r="N969" s="26">
        <f t="shared" si="64"/>
        <v>4</v>
      </c>
      <c r="O969" s="27">
        <v>980</v>
      </c>
      <c r="P969" s="27">
        <v>982</v>
      </c>
      <c r="Q969" s="27">
        <v>28</v>
      </c>
      <c r="R969" s="27">
        <v>26.5</v>
      </c>
      <c r="S969" s="27" t="s">
        <v>2976</v>
      </c>
      <c r="T969" s="27"/>
      <c r="U969" s="27"/>
      <c r="V969" s="27" t="s">
        <v>2977</v>
      </c>
      <c r="W969" s="27"/>
      <c r="X969" s="73"/>
      <c r="Y969" s="73" t="e">
        <f>VLOOKUP(X969,Choferes!$B$2:$C$500,2,FALSE)</f>
        <v>#N/A</v>
      </c>
      <c r="Z969" s="73" t="s">
        <v>2978</v>
      </c>
    </row>
    <row r="970" spans="1:26" hidden="1" x14ac:dyDescent="0.25">
      <c r="A970" s="33">
        <v>2</v>
      </c>
      <c r="B970" s="71" t="s">
        <v>29</v>
      </c>
      <c r="C970" s="39" t="s">
        <v>2979</v>
      </c>
      <c r="D970" s="106" t="s">
        <v>183</v>
      </c>
      <c r="E970" s="47">
        <v>45662</v>
      </c>
      <c r="F970" s="31" t="str">
        <f>VLOOKUP($C970,Carpetas!$C$5:$M$2666,2,FALSE)</f>
        <v>PYB006</v>
      </c>
      <c r="G970" s="23">
        <f>VLOOKUP($C970,Carpetas!$C$5:$M$2666,10,FALSE)</f>
        <v>0</v>
      </c>
      <c r="H970" s="27">
        <f>VLOOKUP($C970,Carpetas!$C$5:$M$2666,6,FALSE)</f>
        <v>0</v>
      </c>
      <c r="I970" s="220"/>
      <c r="J970" s="47">
        <f>E970+3</f>
        <v>45665</v>
      </c>
      <c r="K970" s="72" t="str">
        <f>VLOOKUP($C970,Carpetas!$C$5:$M$2666,5,FALSE)</f>
        <v>Salto</v>
      </c>
      <c r="L970" s="32"/>
      <c r="M970" s="48">
        <f t="shared" ref="M970:M983" si="65">J970+1</f>
        <v>45666</v>
      </c>
      <c r="N970" s="26">
        <f t="shared" si="64"/>
        <v>4</v>
      </c>
      <c r="O970" s="27">
        <v>980</v>
      </c>
      <c r="P970" s="27">
        <v>980</v>
      </c>
      <c r="Q970" s="27">
        <v>28</v>
      </c>
      <c r="R970" s="27">
        <v>26</v>
      </c>
      <c r="S970" s="27" t="s">
        <v>314</v>
      </c>
      <c r="T970" s="27"/>
      <c r="U970" s="27"/>
      <c r="V970" s="27" t="s">
        <v>2980</v>
      </c>
      <c r="W970" s="27" t="s">
        <v>2981</v>
      </c>
      <c r="X970" s="73"/>
      <c r="Y970" s="73" t="e">
        <f>VLOOKUP(X970,Choferes!$B$2:$C$500,2,FALSE)</f>
        <v>#N/A</v>
      </c>
      <c r="Z970" s="73" t="s">
        <v>2982</v>
      </c>
    </row>
    <row r="971" spans="1:26" hidden="1" x14ac:dyDescent="0.25">
      <c r="A971" s="33">
        <v>2</v>
      </c>
      <c r="B971" s="71" t="s">
        <v>29</v>
      </c>
      <c r="C971" s="39" t="s">
        <v>2970</v>
      </c>
      <c r="D971" s="106" t="s">
        <v>102</v>
      </c>
      <c r="E971" s="47">
        <v>45662</v>
      </c>
      <c r="F971" s="31" t="str">
        <f>VLOOKUP($C971,Carpetas!$C$5:$M$2666,2,FALSE)</f>
        <v>PYB005</v>
      </c>
      <c r="G971" s="23">
        <f>VLOOKUP($C971,Carpetas!$C$5:$M$2666,10,FALSE)</f>
        <v>1514420</v>
      </c>
      <c r="H971" s="27">
        <f>VLOOKUP($C971,Carpetas!$C$5:$M$2666,6,FALSE)</f>
        <v>0</v>
      </c>
      <c r="I971" s="220"/>
      <c r="J971" s="47">
        <f>E971+3</f>
        <v>45665</v>
      </c>
      <c r="K971" s="72" t="str">
        <f>VLOOKUP($C971,Carpetas!$C$5:$M$2666,5,FALSE)</f>
        <v>Salto</v>
      </c>
      <c r="L971" s="32"/>
      <c r="M971" s="48">
        <f t="shared" si="65"/>
        <v>45666</v>
      </c>
      <c r="N971" s="26">
        <f t="shared" si="64"/>
        <v>4</v>
      </c>
      <c r="O971" s="27">
        <v>980</v>
      </c>
      <c r="P971" s="27">
        <v>981</v>
      </c>
      <c r="Q971" s="27">
        <v>28</v>
      </c>
      <c r="R971" s="27">
        <v>26</v>
      </c>
      <c r="S971" s="27" t="s">
        <v>116</v>
      </c>
      <c r="T971" s="27"/>
      <c r="U971" s="27"/>
      <c r="V971" s="27" t="s">
        <v>161</v>
      </c>
      <c r="W971" s="27" t="s">
        <v>162</v>
      </c>
      <c r="X971" s="73"/>
      <c r="Y971" s="73" t="e">
        <f>VLOOKUP(X971,Choferes!$B$2:$C$500,2,FALSE)</f>
        <v>#N/A</v>
      </c>
      <c r="Z971" s="73" t="s">
        <v>2983</v>
      </c>
    </row>
    <row r="972" spans="1:26" ht="30" hidden="1" x14ac:dyDescent="0.25">
      <c r="A972" s="33">
        <v>2</v>
      </c>
      <c r="B972" s="71" t="s">
        <v>29</v>
      </c>
      <c r="C972" s="39" t="s">
        <v>2802</v>
      </c>
      <c r="D972" s="106" t="s">
        <v>78</v>
      </c>
      <c r="E972" s="47">
        <v>45663</v>
      </c>
      <c r="F972" s="31" t="str">
        <f>VLOOKUP($C972,Carpetas!$C$5:$M$2666,2,FALSE)</f>
        <v>BRB104</v>
      </c>
      <c r="G972" s="23" t="str">
        <f>VLOOKUP($C972,Carpetas!$C$5:$M$2666,10,FALSE)</f>
        <v>151,21,89</v>
      </c>
      <c r="H972" s="27" t="str">
        <f>VLOOKUP($C972,Carpetas!$C$5:$M$2666,6,FALSE)</f>
        <v>FG</v>
      </c>
      <c r="I972" s="220"/>
      <c r="J972" s="47">
        <f>E972+2</f>
        <v>45665</v>
      </c>
      <c r="K972" s="72" t="str">
        <f>VLOOKUP($C972,Carpetas!$C$5:$M$2666,5,FALSE)</f>
        <v>Rio Branco</v>
      </c>
      <c r="L972" s="32"/>
      <c r="M972" s="48">
        <f t="shared" si="65"/>
        <v>45666</v>
      </c>
      <c r="N972" s="26">
        <f t="shared" si="64"/>
        <v>3</v>
      </c>
      <c r="O972" s="27">
        <v>990</v>
      </c>
      <c r="P972" s="27">
        <v>991</v>
      </c>
      <c r="Q972" s="27">
        <v>28</v>
      </c>
      <c r="R972" s="27">
        <v>26</v>
      </c>
      <c r="S972" s="27" t="s">
        <v>2984</v>
      </c>
      <c r="T972" s="27"/>
      <c r="U972" s="27">
        <v>533</v>
      </c>
      <c r="V972" s="27" t="s">
        <v>1630</v>
      </c>
      <c r="W972" s="27" t="s">
        <v>1934</v>
      </c>
      <c r="X972" s="73"/>
      <c r="Y972" s="73" t="e">
        <f>VLOOKUP(X972,Choferes!$B$2:$C$500,2,FALSE)</f>
        <v>#N/A</v>
      </c>
      <c r="Z972" s="73" t="s">
        <v>2985</v>
      </c>
    </row>
    <row r="973" spans="1:26" ht="30" hidden="1" x14ac:dyDescent="0.25">
      <c r="A973" s="33">
        <v>2</v>
      </c>
      <c r="B973" s="71" t="s">
        <v>29</v>
      </c>
      <c r="C973" s="39" t="s">
        <v>2793</v>
      </c>
      <c r="D973" s="106" t="s">
        <v>747</v>
      </c>
      <c r="E973" s="47">
        <v>45663</v>
      </c>
      <c r="F973" s="31" t="str">
        <f>VLOOKUP($C973,Carpetas!$C$5:$M$2666,2,FALSE)</f>
        <v>BRB103</v>
      </c>
      <c r="G973" s="23" t="str">
        <f>VLOOKUP($C973,Carpetas!$C$5:$M$2666,10,FALSE)</f>
        <v>151,28,88</v>
      </c>
      <c r="H973" s="27" t="str">
        <f>VLOOKUP($C973,Carpetas!$C$5:$M$2666,6,FALSE)</f>
        <v>Amaro</v>
      </c>
      <c r="I973" s="220"/>
      <c r="J973" s="47">
        <f>E973+2</f>
        <v>45665</v>
      </c>
      <c r="K973" s="72" t="str">
        <f>VLOOKUP($C973,Carpetas!$C$5:$M$2666,5,FALSE)</f>
        <v>Rio Branco</v>
      </c>
      <c r="L973" s="32"/>
      <c r="M973" s="48">
        <f t="shared" si="65"/>
        <v>45666</v>
      </c>
      <c r="N973" s="26">
        <f t="shared" si="64"/>
        <v>3</v>
      </c>
      <c r="O973" s="27">
        <v>990</v>
      </c>
      <c r="P973" s="27">
        <v>991</v>
      </c>
      <c r="Q973" s="27">
        <v>28</v>
      </c>
      <c r="R973" s="27">
        <v>25</v>
      </c>
      <c r="S973" s="27" t="s">
        <v>799</v>
      </c>
      <c r="T973" s="27"/>
      <c r="U973" s="27">
        <v>25258</v>
      </c>
      <c r="V973" s="27" t="s">
        <v>2986</v>
      </c>
      <c r="W973" s="27" t="s">
        <v>2987</v>
      </c>
      <c r="X973" s="73"/>
      <c r="Y973" s="73" t="e">
        <f>VLOOKUP(X973,Choferes!$B$2:$C$500,2,FALSE)</f>
        <v>#N/A</v>
      </c>
      <c r="Z973" s="73" t="s">
        <v>2988</v>
      </c>
    </row>
    <row r="974" spans="1:26" hidden="1" x14ac:dyDescent="0.25">
      <c r="A974" s="33">
        <v>2</v>
      </c>
      <c r="B974" s="71" t="s">
        <v>29</v>
      </c>
      <c r="C974" s="39" t="s">
        <v>2847</v>
      </c>
      <c r="D974" s="106" t="s">
        <v>110</v>
      </c>
      <c r="E974" s="47">
        <v>45664</v>
      </c>
      <c r="F974" s="31" t="str">
        <f>VLOOKUP($C974,Carpetas!$C$5:$M$2666,2,FALSE)</f>
        <v>BRB105</v>
      </c>
      <c r="G974" s="23" t="str">
        <f>VLOOKUP($C974,Carpetas!$C$5:$M$2666,10,FALSE)</f>
        <v>151,28,88</v>
      </c>
      <c r="H974" s="27" t="str">
        <f>VLOOKUP($C974,Carpetas!$C$5:$M$2666,6,FALSE)</f>
        <v>Zanini</v>
      </c>
      <c r="I974" s="220"/>
      <c r="J974" s="47">
        <v>45665</v>
      </c>
      <c r="K974" s="72" t="str">
        <f>VLOOKUP($C974,Carpetas!$C$5:$M$2666,5,FALSE)</f>
        <v>Rio Branco</v>
      </c>
      <c r="L974" s="32"/>
      <c r="M974" s="48">
        <f t="shared" si="65"/>
        <v>45666</v>
      </c>
      <c r="N974" s="26">
        <f t="shared" si="64"/>
        <v>2</v>
      </c>
      <c r="O974" s="27">
        <v>918</v>
      </c>
      <c r="P974" s="27">
        <v>919</v>
      </c>
      <c r="Q974" s="27">
        <v>26</v>
      </c>
      <c r="R974" s="27">
        <v>919</v>
      </c>
      <c r="S974" s="27" t="s">
        <v>2989</v>
      </c>
      <c r="T974" s="27"/>
      <c r="U974" s="27">
        <v>4967</v>
      </c>
      <c r="V974" s="27" t="s">
        <v>89</v>
      </c>
      <c r="W974" s="27" t="s">
        <v>90</v>
      </c>
      <c r="X974" s="73"/>
      <c r="Y974" s="73" t="e">
        <f>VLOOKUP(X974,Choferes!$B$2:$C$500,2,FALSE)</f>
        <v>#N/A</v>
      </c>
      <c r="Z974" s="73" t="s">
        <v>2990</v>
      </c>
    </row>
    <row r="975" spans="1:26" hidden="1" x14ac:dyDescent="0.25">
      <c r="A975" s="33">
        <v>1</v>
      </c>
      <c r="B975" s="71" t="s">
        <v>298</v>
      </c>
      <c r="C975" s="39" t="s">
        <v>299</v>
      </c>
      <c r="D975" s="106" t="s">
        <v>78</v>
      </c>
      <c r="E975" s="47">
        <v>45660</v>
      </c>
      <c r="F975" s="31" t="str">
        <f>VLOOKUP($C975,Carpetas!$C$5:$M$2666,2,FALSE)</f>
        <v>BRB</v>
      </c>
      <c r="G975" s="23" t="e">
        <f>VLOOKUP($C975,Carpetas!$C$5:$M$2666,9,FALSE)</f>
        <v>#REF!</v>
      </c>
      <c r="H975" s="27" t="str">
        <f>VLOOKUP($C975,Carpetas!$C$5:$M$2666,5,FALSE)</f>
        <v>xx</v>
      </c>
      <c r="I975" s="220"/>
      <c r="J975" s="47">
        <f>E975+5</f>
        <v>45665</v>
      </c>
      <c r="K975" s="72">
        <f>VLOOKUP($C975,Carpetas!$C$5:$M$2666,4,FALSE)</f>
        <v>0</v>
      </c>
      <c r="L975" s="32"/>
      <c r="M975" s="48">
        <f t="shared" si="65"/>
        <v>45666</v>
      </c>
      <c r="N975" s="26">
        <f t="shared" si="64"/>
        <v>6</v>
      </c>
      <c r="O975" s="27">
        <v>990</v>
      </c>
      <c r="P975" s="27"/>
      <c r="Q975" s="27"/>
      <c r="R975" s="27"/>
      <c r="S975" s="27"/>
      <c r="T975" s="27"/>
      <c r="U975" s="27"/>
      <c r="V975" s="27"/>
      <c r="W975" s="27"/>
      <c r="X975" s="73"/>
      <c r="Y975" s="73" t="e">
        <f>VLOOKUP(X975,Choferes!$B$2:$C$500,2,FALSE)</f>
        <v>#N/A</v>
      </c>
      <c r="Z975" s="73"/>
    </row>
    <row r="976" spans="1:26" hidden="1" x14ac:dyDescent="0.25">
      <c r="A976" s="33">
        <v>2</v>
      </c>
      <c r="B976" s="71" t="s">
        <v>29</v>
      </c>
      <c r="C976" s="39" t="s">
        <v>2979</v>
      </c>
      <c r="D976" s="106" t="s">
        <v>183</v>
      </c>
      <c r="E976" s="47">
        <v>45663</v>
      </c>
      <c r="F976" s="31" t="str">
        <f>VLOOKUP($C976,Carpetas!$C$5:$M$2666,2,FALSE)</f>
        <v>PYB006</v>
      </c>
      <c r="G976" s="23">
        <f>VLOOKUP($C976,Carpetas!$C$5:$M$2666,10,FALSE)</f>
        <v>0</v>
      </c>
      <c r="H976" s="27">
        <f>VLOOKUP($C976,Carpetas!$C$5:$M$2666,6,FALSE)</f>
        <v>0</v>
      </c>
      <c r="I976" s="220"/>
      <c r="J976" s="47">
        <f>E976+3</f>
        <v>45666</v>
      </c>
      <c r="K976" s="72" t="str">
        <f>VLOOKUP($C976,Carpetas!$C$5:$M$2666,5,FALSE)</f>
        <v>Salto</v>
      </c>
      <c r="L976" s="32"/>
      <c r="M976" s="48">
        <f t="shared" si="65"/>
        <v>45667</v>
      </c>
      <c r="N976" s="26">
        <f t="shared" si="64"/>
        <v>4</v>
      </c>
      <c r="O976" s="27">
        <v>980</v>
      </c>
      <c r="P976" s="27">
        <v>980</v>
      </c>
      <c r="Q976" s="27">
        <v>28</v>
      </c>
      <c r="R976" s="27">
        <v>26.5</v>
      </c>
      <c r="S976" s="27" t="s">
        <v>2991</v>
      </c>
      <c r="T976" s="27"/>
      <c r="U976" s="27"/>
      <c r="V976" s="27" t="s">
        <v>2992</v>
      </c>
      <c r="W976" s="27"/>
      <c r="X976" s="73"/>
      <c r="Y976" s="73" t="e">
        <f>VLOOKUP(X976,Choferes!$B$2:$C$500,2,FALSE)</f>
        <v>#N/A</v>
      </c>
      <c r="Z976" s="73" t="s">
        <v>2993</v>
      </c>
    </row>
    <row r="977" spans="1:26" hidden="1" x14ac:dyDescent="0.25">
      <c r="A977" s="33">
        <v>2</v>
      </c>
      <c r="B977" s="71" t="s">
        <v>29</v>
      </c>
      <c r="C977" s="39" t="s">
        <v>2747</v>
      </c>
      <c r="D977" s="106" t="s">
        <v>249</v>
      </c>
      <c r="E977" s="47">
        <v>45664</v>
      </c>
      <c r="F977" s="31" t="str">
        <f>VLOOKUP($C977,Carpetas!$C$5:$M$2666,2,FALSE)</f>
        <v>BRB101</v>
      </c>
      <c r="G977" s="23" t="str">
        <f>VLOOKUP($C977,Carpetas!$C$5:$M$2666,10,FALSE)</f>
        <v>151,16,28</v>
      </c>
      <c r="H977" s="27" t="str">
        <f>VLOOKUP($C977,Carpetas!$C$5:$M$2666,6,FALSE)</f>
        <v xml:space="preserve">Silvio </v>
      </c>
      <c r="I977" s="220"/>
      <c r="J977" s="47">
        <f>E977+2</f>
        <v>45666</v>
      </c>
      <c r="K977" s="72" t="str">
        <f>VLOOKUP($C977,Carpetas!$C$5:$M$2666,5,FALSE)</f>
        <v>Rio Branco</v>
      </c>
      <c r="L977" s="32"/>
      <c r="M977" s="48">
        <f t="shared" si="65"/>
        <v>45667</v>
      </c>
      <c r="N977" s="26">
        <f t="shared" si="64"/>
        <v>3</v>
      </c>
      <c r="O977" s="27">
        <v>918</v>
      </c>
      <c r="P977" s="27">
        <v>918</v>
      </c>
      <c r="Q977" s="27">
        <v>26</v>
      </c>
      <c r="R977" s="27">
        <v>25</v>
      </c>
      <c r="S977" s="27" t="s">
        <v>250</v>
      </c>
      <c r="T977" s="27"/>
      <c r="U977" s="27">
        <v>7238</v>
      </c>
      <c r="V977" s="27" t="s">
        <v>2994</v>
      </c>
      <c r="W977" s="27" t="s">
        <v>2995</v>
      </c>
      <c r="X977" s="73"/>
      <c r="Y977" s="73" t="e">
        <f>VLOOKUP(X977,Choferes!$B$2:$C$500,2,FALSE)</f>
        <v>#N/A</v>
      </c>
      <c r="Z977" s="73" t="s">
        <v>2996</v>
      </c>
    </row>
    <row r="978" spans="1:26" hidden="1" x14ac:dyDescent="0.25">
      <c r="A978" s="33">
        <v>2</v>
      </c>
      <c r="B978" s="71" t="s">
        <v>29</v>
      </c>
      <c r="C978" s="39" t="s">
        <v>2966</v>
      </c>
      <c r="D978" s="106" t="s">
        <v>121</v>
      </c>
      <c r="E978" s="47">
        <v>45664</v>
      </c>
      <c r="F978" s="31" t="str">
        <f>VLOOKUP($C978,Carpetas!$C$5:$M$2666,2,FALSE)</f>
        <v>PYB004</v>
      </c>
      <c r="G978" s="23" t="str">
        <f>VLOOKUP($C978,Carpetas!$C$5:$M$2666,10,FALSE)</f>
        <v>151,44,11</v>
      </c>
      <c r="H978" s="27">
        <f>VLOOKUP($C978,Carpetas!$C$5:$M$2666,6,FALSE)</f>
        <v>0</v>
      </c>
      <c r="I978" s="220"/>
      <c r="J978" s="47">
        <v>45666</v>
      </c>
      <c r="K978" s="72" t="str">
        <f>VLOOKUP($C978,Carpetas!$C$5:$M$2666,5,FALSE)</f>
        <v>Salto</v>
      </c>
      <c r="L978" s="32"/>
      <c r="M978" s="48">
        <f t="shared" si="65"/>
        <v>45667</v>
      </c>
      <c r="N978" s="26">
        <f t="shared" si="64"/>
        <v>3</v>
      </c>
      <c r="O978" s="27">
        <v>980</v>
      </c>
      <c r="P978" s="27">
        <v>984</v>
      </c>
      <c r="Q978" s="27">
        <v>28</v>
      </c>
      <c r="R978" s="27">
        <v>26</v>
      </c>
      <c r="S978" s="27" t="s">
        <v>2997</v>
      </c>
      <c r="T978" s="27"/>
      <c r="U978" s="27"/>
      <c r="V978" s="27" t="s">
        <v>2895</v>
      </c>
      <c r="W978" s="27"/>
      <c r="X978" s="73"/>
      <c r="Y978" s="73" t="e">
        <f>VLOOKUP(X978,Choferes!$B$2:$C$500,2,FALSE)</f>
        <v>#N/A</v>
      </c>
      <c r="Z978" s="73" t="s">
        <v>2998</v>
      </c>
    </row>
    <row r="979" spans="1:26" hidden="1" x14ac:dyDescent="0.25">
      <c r="A979" s="33">
        <v>2</v>
      </c>
      <c r="B979" s="71" t="s">
        <v>29</v>
      </c>
      <c r="C979" s="39" t="s">
        <v>2970</v>
      </c>
      <c r="D979" s="106" t="s">
        <v>102</v>
      </c>
      <c r="E979" s="47">
        <v>45664</v>
      </c>
      <c r="F979" s="31" t="str">
        <f>VLOOKUP($C979,Carpetas!$C$5:$M$2666,2,FALSE)</f>
        <v>PYB005</v>
      </c>
      <c r="G979" s="23">
        <f>VLOOKUP($C979,Carpetas!$C$5:$M$2666,10,FALSE)</f>
        <v>1514420</v>
      </c>
      <c r="H979" s="27">
        <f>VLOOKUP($C979,Carpetas!$C$5:$M$2666,6,FALSE)</f>
        <v>0</v>
      </c>
      <c r="I979" s="220"/>
      <c r="J979" s="47">
        <v>45666</v>
      </c>
      <c r="K979" s="72" t="str">
        <f>VLOOKUP($C979,Carpetas!$C$5:$M$2666,5,FALSE)</f>
        <v>Salto</v>
      </c>
      <c r="L979" s="32"/>
      <c r="M979" s="48">
        <f t="shared" si="65"/>
        <v>45667</v>
      </c>
      <c r="N979" s="26">
        <f t="shared" si="64"/>
        <v>3</v>
      </c>
      <c r="O979" s="27">
        <v>980</v>
      </c>
      <c r="P979" s="27">
        <v>980</v>
      </c>
      <c r="Q979" s="27">
        <v>28</v>
      </c>
      <c r="R979" s="27">
        <v>26</v>
      </c>
      <c r="S979" s="27" t="s">
        <v>2999</v>
      </c>
      <c r="T979" s="27"/>
      <c r="U979" s="27"/>
      <c r="V979" s="27" t="s">
        <v>272</v>
      </c>
      <c r="W979" s="27"/>
      <c r="X979" s="73"/>
      <c r="Y979" s="73" t="e">
        <f>VLOOKUP(X979,Choferes!$B$2:$C$500,2,FALSE)</f>
        <v>#N/A</v>
      </c>
      <c r="Z979" s="73" t="s">
        <v>3000</v>
      </c>
    </row>
    <row r="980" spans="1:26" ht="30" hidden="1" x14ac:dyDescent="0.25">
      <c r="A980" s="33">
        <v>2</v>
      </c>
      <c r="B980" s="71" t="s">
        <v>29</v>
      </c>
      <c r="C980" s="39" t="s">
        <v>3001</v>
      </c>
      <c r="D980" s="106" t="s">
        <v>803</v>
      </c>
      <c r="E980" s="47">
        <v>45665</v>
      </c>
      <c r="F980" s="31" t="str">
        <f>VLOOKUP($C980,Carpetas!$C$5:$M$2666,2,FALSE)</f>
        <v>BRB001</v>
      </c>
      <c r="G980" s="23" t="str">
        <f>VLOOKUP($C980,Carpetas!$C$5:$M$2666,10,FALSE)</f>
        <v>151,46,35</v>
      </c>
      <c r="H980" s="27" t="str">
        <f>VLOOKUP($C980,Carpetas!$C$5:$M$2666,6,FALSE)</f>
        <v xml:space="preserve">Silvio </v>
      </c>
      <c r="I980" s="220"/>
      <c r="J980" s="47">
        <v>45666</v>
      </c>
      <c r="K980" s="72" t="str">
        <f>VLOOKUP($C980,Carpetas!$C$5:$M$2666,5,FALSE)</f>
        <v>Rio Branco</v>
      </c>
      <c r="L980" s="32"/>
      <c r="M980" s="48">
        <f t="shared" si="65"/>
        <v>45667</v>
      </c>
      <c r="N980" s="26">
        <f t="shared" si="64"/>
        <v>2</v>
      </c>
      <c r="O980" s="27">
        <v>918</v>
      </c>
      <c r="P980" s="27">
        <v>918</v>
      </c>
      <c r="Q980" s="27">
        <v>26</v>
      </c>
      <c r="R980" s="27">
        <v>25.5</v>
      </c>
      <c r="S980" s="27" t="s">
        <v>1041</v>
      </c>
      <c r="T980" s="27"/>
      <c r="U980" s="27">
        <v>7266</v>
      </c>
      <c r="V980" s="27" t="s">
        <v>549</v>
      </c>
      <c r="W980" s="27" t="s">
        <v>550</v>
      </c>
      <c r="X980" s="73"/>
      <c r="Y980" s="73" t="e">
        <f>VLOOKUP(X980,Choferes!$B$2:$C$500,2,FALSE)</f>
        <v>#N/A</v>
      </c>
      <c r="Z980" s="73" t="s">
        <v>3002</v>
      </c>
    </row>
    <row r="981" spans="1:26" hidden="1" x14ac:dyDescent="0.25">
      <c r="A981" s="33">
        <v>1</v>
      </c>
      <c r="B981" s="71" t="s">
        <v>298</v>
      </c>
      <c r="C981" s="39" t="s">
        <v>299</v>
      </c>
      <c r="D981" s="106" t="s">
        <v>2474</v>
      </c>
      <c r="E981" s="47">
        <v>45661</v>
      </c>
      <c r="F981" s="31" t="str">
        <f>VLOOKUP($C981,Carpetas!$C$5:$M$2666,2,FALSE)</f>
        <v>BRB</v>
      </c>
      <c r="G981" s="23" t="e">
        <f>VLOOKUP($C981,Carpetas!$C$5:$M$2666,9,FALSE)</f>
        <v>#REF!</v>
      </c>
      <c r="H981" s="27" t="str">
        <f>VLOOKUP($C981,Carpetas!$C$5:$M$2666,5,FALSE)</f>
        <v>xx</v>
      </c>
      <c r="I981" s="220"/>
      <c r="J981" s="47">
        <f>E981+5</f>
        <v>45666</v>
      </c>
      <c r="K981" s="72">
        <f>VLOOKUP($C981,Carpetas!$C$5:$M$2666,4,FALSE)</f>
        <v>0</v>
      </c>
      <c r="L981" s="32"/>
      <c r="M981" s="48">
        <f t="shared" si="65"/>
        <v>45667</v>
      </c>
      <c r="N981" s="26">
        <f t="shared" si="64"/>
        <v>6</v>
      </c>
      <c r="O981" s="27">
        <v>918</v>
      </c>
      <c r="P981" s="27"/>
      <c r="Q981" s="27"/>
      <c r="R981" s="27"/>
      <c r="S981" s="27"/>
      <c r="T981" s="27"/>
      <c r="U981" s="27"/>
      <c r="V981" s="27"/>
      <c r="W981" s="27"/>
      <c r="X981" s="73"/>
      <c r="Y981" s="73" t="e">
        <f>VLOOKUP(X981,Choferes!$B$2:$C$500,2,FALSE)</f>
        <v>#N/A</v>
      </c>
      <c r="Z981" s="73"/>
    </row>
    <row r="982" spans="1:26" hidden="1" x14ac:dyDescent="0.25">
      <c r="A982" s="33">
        <v>2</v>
      </c>
      <c r="B982" s="71" t="s">
        <v>29</v>
      </c>
      <c r="C982" s="39" t="s">
        <v>3003</v>
      </c>
      <c r="D982" s="106" t="s">
        <v>42</v>
      </c>
      <c r="E982" s="47">
        <v>45664</v>
      </c>
      <c r="F982" s="31" t="str">
        <f>VLOOKUP($C982,Carpetas!$C$5:$M$2666,2,FALSE)</f>
        <v>PYB007</v>
      </c>
      <c r="G982" s="23">
        <f>VLOOKUP($C982,Carpetas!$C$5:$M$2666,10,FALSE)</f>
        <v>0</v>
      </c>
      <c r="H982" s="27" t="str">
        <f>VLOOKUP($C982,Carpetas!$C$5:$M$2666,6,FALSE)</f>
        <v>Jauser</v>
      </c>
      <c r="I982" s="220"/>
      <c r="J982" s="47">
        <f>E982+3</f>
        <v>45667</v>
      </c>
      <c r="K982" s="72" t="str">
        <f>VLOOKUP($C982,Carpetas!$C$5:$M$2666,5,FALSE)</f>
        <v>Salto</v>
      </c>
      <c r="L982" s="32"/>
      <c r="M982" s="48">
        <f t="shared" si="65"/>
        <v>45668</v>
      </c>
      <c r="N982" s="26">
        <f t="shared" si="64"/>
        <v>4</v>
      </c>
      <c r="O982" s="27">
        <v>972</v>
      </c>
      <c r="P982" s="27">
        <v>972</v>
      </c>
      <c r="Q982" s="27">
        <v>28</v>
      </c>
      <c r="R982" s="27">
        <v>25.5</v>
      </c>
      <c r="S982" s="27" t="s">
        <v>3004</v>
      </c>
      <c r="T982" s="27"/>
      <c r="U982" s="27"/>
      <c r="V982" s="27" t="s">
        <v>1332</v>
      </c>
      <c r="W982" s="27"/>
      <c r="X982" s="73"/>
      <c r="Y982" s="73" t="e">
        <f>VLOOKUP(X982,Choferes!$B$2:$C$500,2,FALSE)</f>
        <v>#N/A</v>
      </c>
      <c r="Z982" s="73" t="s">
        <v>3005</v>
      </c>
    </row>
    <row r="983" spans="1:26" ht="30" hidden="1" x14ac:dyDescent="0.25">
      <c r="A983" s="33">
        <v>2</v>
      </c>
      <c r="B983" s="71" t="s">
        <v>29</v>
      </c>
      <c r="C983" s="39" t="s">
        <v>3006</v>
      </c>
      <c r="D983" s="106" t="s">
        <v>2474</v>
      </c>
      <c r="E983" s="47">
        <v>45665</v>
      </c>
      <c r="F983" s="31" t="str">
        <f>VLOOKUP($C983,Carpetas!$C$5:$M$2666,2,FALSE)</f>
        <v>BRB002</v>
      </c>
      <c r="G983" s="23" t="str">
        <f>VLOOKUP($C983,Carpetas!$C$5:$M$2666,10,FALSE)</f>
        <v>151,46,34</v>
      </c>
      <c r="H983" s="27" t="str">
        <f>VLOOKUP($C983,Carpetas!$C$5:$M$2666,6,FALSE)</f>
        <v>Zanini</v>
      </c>
      <c r="I983" s="220"/>
      <c r="J983" s="47">
        <f>E983+2</f>
        <v>45667</v>
      </c>
      <c r="K983" s="72" t="str">
        <f>VLOOKUP($C983,Carpetas!$C$5:$M$2666,5,FALSE)</f>
        <v>Rio Branco</v>
      </c>
      <c r="L983" s="32"/>
      <c r="M983" s="48">
        <f t="shared" si="65"/>
        <v>45668</v>
      </c>
      <c r="N983" s="26">
        <f t="shared" si="64"/>
        <v>3</v>
      </c>
      <c r="O983" s="27">
        <v>918</v>
      </c>
      <c r="P983" s="27">
        <v>918</v>
      </c>
      <c r="Q983" s="27">
        <v>30</v>
      </c>
      <c r="R983" s="27">
        <v>25</v>
      </c>
      <c r="S983" s="27" t="s">
        <v>2475</v>
      </c>
      <c r="T983" s="27"/>
      <c r="U983" s="27"/>
      <c r="V983" s="27" t="s">
        <v>3007</v>
      </c>
      <c r="W983" s="27"/>
      <c r="X983" s="73"/>
      <c r="Y983" s="73" t="e">
        <f>VLOOKUP(X983,Choferes!$B$2:$C$500,2,FALSE)</f>
        <v>#N/A</v>
      </c>
      <c r="Z983" s="73" t="s">
        <v>3008</v>
      </c>
    </row>
    <row r="984" spans="1:26" ht="30" hidden="1" x14ac:dyDescent="0.25">
      <c r="A984" s="33">
        <v>2</v>
      </c>
      <c r="B984" s="71" t="s">
        <v>29</v>
      </c>
      <c r="C984" s="39" t="s">
        <v>3009</v>
      </c>
      <c r="D984" s="106" t="s">
        <v>38</v>
      </c>
      <c r="E984" s="47">
        <v>45665</v>
      </c>
      <c r="F984" s="31" t="str">
        <f>VLOOKUP($C984,Carpetas!$C$5:$M$2666,2,FALSE)</f>
        <v>BRE001</v>
      </c>
      <c r="G984" s="23">
        <f>VLOOKUP($C984,Carpetas!$C$5:$M$2666,10,FALSE)</f>
        <v>0</v>
      </c>
      <c r="H984" s="27" t="str">
        <f>VLOOKUP($C984,Carpetas!$C$5:$M$2666,6,FALSE)</f>
        <v>Dallog</v>
      </c>
      <c r="I984" s="220">
        <f>VLOOKUP($C984,Carpetas!$C$5:$M$2666,4,FALSE)</f>
        <v>0</v>
      </c>
      <c r="J984" s="47">
        <v>45667</v>
      </c>
      <c r="K984" s="72" t="str">
        <f>VLOOKUP($C984,Carpetas!$C$5:$M$2666,5,FALSE)</f>
        <v>Rio Branco</v>
      </c>
      <c r="L984" s="32"/>
      <c r="M984" s="48">
        <f>J984+1+3</f>
        <v>45671</v>
      </c>
      <c r="N984" s="26">
        <f t="shared" si="64"/>
        <v>6</v>
      </c>
      <c r="O984" s="27">
        <v>1436</v>
      </c>
      <c r="P984" s="27"/>
      <c r="Q984" s="27"/>
      <c r="R984" s="27"/>
      <c r="S984" s="27"/>
      <c r="T984" s="27"/>
      <c r="U984" s="27">
        <v>537</v>
      </c>
      <c r="V984" s="27" t="s">
        <v>3010</v>
      </c>
      <c r="W984" s="27" t="s">
        <v>3011</v>
      </c>
      <c r="X984" s="73"/>
      <c r="Y984" s="73" t="e">
        <f>VLOOKUP(X984,Choferes!$B$2:$C$500,2,FALSE)</f>
        <v>#N/A</v>
      </c>
      <c r="Z984" s="73" t="s">
        <v>3012</v>
      </c>
    </row>
    <row r="985" spans="1:26" hidden="1" x14ac:dyDescent="0.25">
      <c r="A985" s="33">
        <v>2</v>
      </c>
      <c r="B985" s="71" t="s">
        <v>29</v>
      </c>
      <c r="C985" s="39" t="s">
        <v>3006</v>
      </c>
      <c r="D985" s="106" t="s">
        <v>249</v>
      </c>
      <c r="E985" s="47">
        <v>45666</v>
      </c>
      <c r="F985" s="31" t="str">
        <f>VLOOKUP($C985,Carpetas!$C$5:$M$2666,2,FALSE)</f>
        <v>BRB002</v>
      </c>
      <c r="G985" s="23" t="str">
        <f>VLOOKUP($C985,Carpetas!$C$5:$M$2666,10,FALSE)</f>
        <v>151,46,34</v>
      </c>
      <c r="H985" s="27" t="str">
        <f>VLOOKUP($C985,Carpetas!$C$5:$M$2666,6,FALSE)</f>
        <v>Zanini</v>
      </c>
      <c r="I985" s="220"/>
      <c r="J985" s="47">
        <v>45670</v>
      </c>
      <c r="K985" s="72" t="str">
        <f>VLOOKUP($C985,Carpetas!$C$5:$M$2666,5,FALSE)</f>
        <v>Rio Branco</v>
      </c>
      <c r="L985" s="32"/>
      <c r="M985" s="48">
        <f t="shared" ref="M985:M1016" si="66">J985+1</f>
        <v>45671</v>
      </c>
      <c r="N985" s="26">
        <f t="shared" si="64"/>
        <v>5</v>
      </c>
      <c r="O985" s="27">
        <v>918</v>
      </c>
      <c r="P985" s="27">
        <v>918</v>
      </c>
      <c r="Q985" s="27">
        <v>26</v>
      </c>
      <c r="R985" s="27">
        <v>25</v>
      </c>
      <c r="S985" s="27" t="s">
        <v>3013</v>
      </c>
      <c r="T985" s="27"/>
      <c r="U985" s="27">
        <v>4971</v>
      </c>
      <c r="V985" s="27" t="s">
        <v>3014</v>
      </c>
      <c r="W985" s="27" t="s">
        <v>3015</v>
      </c>
      <c r="X985" s="73"/>
      <c r="Y985" s="73" t="e">
        <f>VLOOKUP(X985,Choferes!$B$2:$C$500,2,FALSE)</f>
        <v>#N/A</v>
      </c>
      <c r="Z985" s="73" t="s">
        <v>3016</v>
      </c>
    </row>
    <row r="986" spans="1:26" hidden="1" x14ac:dyDescent="0.25">
      <c r="A986" s="33">
        <v>2</v>
      </c>
      <c r="B986" s="71" t="s">
        <v>29</v>
      </c>
      <c r="C986" s="39" t="s">
        <v>3001</v>
      </c>
      <c r="D986" s="106" t="s">
        <v>110</v>
      </c>
      <c r="E986" s="47">
        <v>45667</v>
      </c>
      <c r="F986" s="31" t="str">
        <f>VLOOKUP($C986,Carpetas!$C$5:$M$2666,2,FALSE)</f>
        <v>BRB001</v>
      </c>
      <c r="G986" s="23" t="str">
        <f>VLOOKUP($C986,Carpetas!$C$5:$M$2666,10,FALSE)</f>
        <v>151,46,35</v>
      </c>
      <c r="H986" s="27" t="str">
        <f>VLOOKUP($C986,Carpetas!$C$5:$M$2666,6,FALSE)</f>
        <v xml:space="preserve">Silvio </v>
      </c>
      <c r="I986" s="220"/>
      <c r="J986" s="47">
        <v>45670</v>
      </c>
      <c r="K986" s="72" t="str">
        <f>VLOOKUP($C986,Carpetas!$C$5:$M$2666,5,FALSE)</f>
        <v>Rio Branco</v>
      </c>
      <c r="L986" s="32"/>
      <c r="M986" s="48">
        <f t="shared" si="66"/>
        <v>45671</v>
      </c>
      <c r="N986" s="26">
        <f t="shared" si="64"/>
        <v>4</v>
      </c>
      <c r="O986" s="27">
        <v>918</v>
      </c>
      <c r="P986" s="27">
        <v>919</v>
      </c>
      <c r="Q986" s="27">
        <v>26</v>
      </c>
      <c r="R986" s="27">
        <v>26</v>
      </c>
      <c r="S986" s="27" t="s">
        <v>3017</v>
      </c>
      <c r="T986" s="27"/>
      <c r="U986" s="27">
        <v>7267</v>
      </c>
      <c r="V986" s="27" t="s">
        <v>3018</v>
      </c>
      <c r="W986" s="27" t="s">
        <v>1927</v>
      </c>
      <c r="X986" s="73"/>
      <c r="Y986" s="73" t="e">
        <f>VLOOKUP(X986,Choferes!$B$2:$C$500,2,FALSE)</f>
        <v>#N/A</v>
      </c>
      <c r="Z986" s="73" t="s">
        <v>3019</v>
      </c>
    </row>
    <row r="987" spans="1:26" hidden="1" x14ac:dyDescent="0.25">
      <c r="A987" s="33">
        <v>2</v>
      </c>
      <c r="B987" s="71" t="s">
        <v>29</v>
      </c>
      <c r="C987" s="39" t="s">
        <v>2802</v>
      </c>
      <c r="D987" s="106" t="s">
        <v>2474</v>
      </c>
      <c r="E987" s="47">
        <v>45668</v>
      </c>
      <c r="F987" s="31" t="str">
        <f>VLOOKUP($C987,Carpetas!$C$5:$M$2666,2,FALSE)</f>
        <v>BRB104</v>
      </c>
      <c r="G987" s="23" t="str">
        <f>VLOOKUP($C987,Carpetas!$C$5:$M$2666,10,FALSE)</f>
        <v>151,21,89</v>
      </c>
      <c r="H987" s="27" t="str">
        <f>VLOOKUP($C987,Carpetas!$C$5:$M$2666,6,FALSE)</f>
        <v>FG</v>
      </c>
      <c r="I987" s="220"/>
      <c r="J987" s="47">
        <f>E987+2</f>
        <v>45670</v>
      </c>
      <c r="K987" s="72" t="str">
        <f>VLOOKUP($C987,Carpetas!$C$5:$M$2666,5,FALSE)</f>
        <v>Rio Branco</v>
      </c>
      <c r="L987" s="32"/>
      <c r="M987" s="48">
        <f t="shared" si="66"/>
        <v>45671</v>
      </c>
      <c r="N987" s="26">
        <f t="shared" si="64"/>
        <v>3</v>
      </c>
      <c r="O987" s="27">
        <v>990</v>
      </c>
      <c r="P987" s="27">
        <v>990</v>
      </c>
      <c r="Q987" s="27">
        <v>30</v>
      </c>
      <c r="R987" s="27">
        <v>25</v>
      </c>
      <c r="S987" s="27" t="s">
        <v>2488</v>
      </c>
      <c r="T987" s="27"/>
      <c r="U987" s="27">
        <v>537</v>
      </c>
      <c r="V987" s="27" t="s">
        <v>1680</v>
      </c>
      <c r="W987" s="27" t="s">
        <v>1681</v>
      </c>
      <c r="X987" s="73"/>
      <c r="Y987" s="73" t="e">
        <f>VLOOKUP(X987,Choferes!$B$2:$C$500,2,FALSE)</f>
        <v>#N/A</v>
      </c>
      <c r="Z987" s="73" t="s">
        <v>3020</v>
      </c>
    </row>
    <row r="988" spans="1:26" hidden="1" x14ac:dyDescent="0.25">
      <c r="A988" s="33">
        <v>2</v>
      </c>
      <c r="B988" s="71" t="s">
        <v>29</v>
      </c>
      <c r="C988" s="39" t="s">
        <v>3021</v>
      </c>
      <c r="D988" s="106" t="s">
        <v>42</v>
      </c>
      <c r="E988" s="47">
        <v>45668</v>
      </c>
      <c r="F988" s="31" t="str">
        <f>VLOOKUP($C988,Carpetas!$C$5:$M$2666,2,FALSE)</f>
        <v>PYB008</v>
      </c>
      <c r="G988" s="23">
        <f>VLOOKUP($C988,Carpetas!$C$5:$M$2666,10,FALSE)</f>
        <v>0</v>
      </c>
      <c r="H988" s="27">
        <f>VLOOKUP($C988,Carpetas!$C$5:$M$2666,6,FALSE)</f>
        <v>0</v>
      </c>
      <c r="I988" s="220"/>
      <c r="J988" s="47">
        <f>E988+3</f>
        <v>45671</v>
      </c>
      <c r="K988" s="72" t="str">
        <f>VLOOKUP($C988,Carpetas!$C$5:$M$2666,5,FALSE)</f>
        <v>Salto</v>
      </c>
      <c r="L988" s="32"/>
      <c r="M988" s="48">
        <f t="shared" si="66"/>
        <v>45672</v>
      </c>
      <c r="N988" s="26">
        <f t="shared" si="64"/>
        <v>4</v>
      </c>
      <c r="O988" s="27">
        <v>972</v>
      </c>
      <c r="P988" s="27">
        <v>973</v>
      </c>
      <c r="Q988" s="27">
        <v>28</v>
      </c>
      <c r="R988" s="27">
        <v>25</v>
      </c>
      <c r="S988" s="27" t="s">
        <v>127</v>
      </c>
      <c r="T988" s="27"/>
      <c r="U988" s="27"/>
      <c r="V988" s="27" t="s">
        <v>2916</v>
      </c>
      <c r="W988" s="27" t="s">
        <v>1185</v>
      </c>
      <c r="X988" s="73"/>
      <c r="Y988" s="73" t="e">
        <f>VLOOKUP(X988,Choferes!$B$2:$C$500,2,FALSE)</f>
        <v>#N/A</v>
      </c>
      <c r="Z988" s="73" t="s">
        <v>3022</v>
      </c>
    </row>
    <row r="989" spans="1:26" hidden="1" x14ac:dyDescent="0.25">
      <c r="A989" s="33">
        <v>3</v>
      </c>
      <c r="B989" s="71" t="s">
        <v>29</v>
      </c>
      <c r="C989" s="39" t="s">
        <v>3023</v>
      </c>
      <c r="D989" s="106" t="s">
        <v>183</v>
      </c>
      <c r="E989" s="47">
        <v>45669</v>
      </c>
      <c r="F989" s="31" t="str">
        <f>VLOOKUP($C989,Carpetas!$C$5:$M$2666,2,FALSE)</f>
        <v>PYB009</v>
      </c>
      <c r="G989" s="23">
        <f>VLOOKUP($C989,Carpetas!$C$5:$M$2666,10,FALSE)</f>
        <v>0</v>
      </c>
      <c r="H989" s="27">
        <f>VLOOKUP($C989,Carpetas!$C$5:$M$2666,6,FALSE)</f>
        <v>0</v>
      </c>
      <c r="I989" s="220"/>
      <c r="J989" s="47">
        <f>E989+2</f>
        <v>45671</v>
      </c>
      <c r="K989" s="72" t="str">
        <f>VLOOKUP($C989,Carpetas!$C$5:$M$2666,5,FALSE)</f>
        <v>Salto</v>
      </c>
      <c r="L989" s="32"/>
      <c r="M989" s="48">
        <f t="shared" si="66"/>
        <v>45672</v>
      </c>
      <c r="N989" s="26">
        <f t="shared" si="64"/>
        <v>3</v>
      </c>
      <c r="O989" s="27">
        <v>980</v>
      </c>
      <c r="P989" s="27">
        <v>982</v>
      </c>
      <c r="Q989" s="27">
        <v>28</v>
      </c>
      <c r="R989" s="27">
        <v>26.5</v>
      </c>
      <c r="S989" s="27" t="s">
        <v>436</v>
      </c>
      <c r="T989" s="27"/>
      <c r="U989" s="27"/>
      <c r="V989" s="27" t="s">
        <v>3024</v>
      </c>
      <c r="W989" s="27"/>
      <c r="X989" s="73"/>
      <c r="Y989" s="73" t="e">
        <f>VLOOKUP(X989,Choferes!$B$2:$C$500,2,FALSE)</f>
        <v>#N/A</v>
      </c>
      <c r="Z989" s="73" t="s">
        <v>3025</v>
      </c>
    </row>
    <row r="990" spans="1:26" hidden="1" x14ac:dyDescent="0.25">
      <c r="A990" s="33">
        <v>3</v>
      </c>
      <c r="B990" s="71" t="s">
        <v>29</v>
      </c>
      <c r="C990" s="39" t="s">
        <v>3023</v>
      </c>
      <c r="D990" s="106" t="s">
        <v>183</v>
      </c>
      <c r="E990" s="47">
        <v>45670</v>
      </c>
      <c r="F990" s="31" t="str">
        <f>VLOOKUP($C990,Carpetas!$C$5:$M$2666,2,FALSE)</f>
        <v>PYB009</v>
      </c>
      <c r="G990" s="23">
        <f>VLOOKUP($C990,Carpetas!$C$5:$M$2666,10,FALSE)</f>
        <v>0</v>
      </c>
      <c r="H990" s="27">
        <f>VLOOKUP($C990,Carpetas!$C$5:$M$2666,6,FALSE)</f>
        <v>0</v>
      </c>
      <c r="I990" s="220"/>
      <c r="J990" s="47">
        <f>E990+2</f>
        <v>45672</v>
      </c>
      <c r="K990" s="72" t="str">
        <f>VLOOKUP($C990,Carpetas!$C$5:$M$2666,5,FALSE)</f>
        <v>Salto</v>
      </c>
      <c r="L990" s="32"/>
      <c r="M990" s="48">
        <f t="shared" si="66"/>
        <v>45673</v>
      </c>
      <c r="N990" s="26">
        <f t="shared" si="64"/>
        <v>3</v>
      </c>
      <c r="O990" s="27">
        <v>980</v>
      </c>
      <c r="P990" s="27">
        <v>982</v>
      </c>
      <c r="Q990" s="27">
        <v>28</v>
      </c>
      <c r="R990" s="27">
        <v>26</v>
      </c>
      <c r="S990" s="27" t="s">
        <v>432</v>
      </c>
      <c r="T990" s="27"/>
      <c r="U990" s="27"/>
      <c r="V990" s="27" t="s">
        <v>315</v>
      </c>
      <c r="W990" s="27" t="s">
        <v>316</v>
      </c>
      <c r="X990" s="73"/>
      <c r="Y990" s="73" t="e">
        <f>VLOOKUP(X990,Choferes!$B$2:$C$500,2,FALSE)</f>
        <v>#N/A</v>
      </c>
      <c r="Z990" s="73" t="s">
        <v>3026</v>
      </c>
    </row>
    <row r="991" spans="1:26" ht="30" hidden="1" x14ac:dyDescent="0.25">
      <c r="A991" s="33">
        <v>3</v>
      </c>
      <c r="B991" s="71" t="s">
        <v>29</v>
      </c>
      <c r="C991" s="39" t="s">
        <v>3027</v>
      </c>
      <c r="D991" s="106" t="s">
        <v>102</v>
      </c>
      <c r="E991" s="47">
        <v>45670</v>
      </c>
      <c r="F991" s="31" t="str">
        <f>VLOOKUP($C991,Carpetas!$C$5:$M$2666,2,FALSE)</f>
        <v>PYB010</v>
      </c>
      <c r="G991" s="23">
        <f>VLOOKUP($C991,Carpetas!$C$5:$M$2666,10,FALSE)</f>
        <v>0</v>
      </c>
      <c r="H991" s="27">
        <f>VLOOKUP($C991,Carpetas!$C$5:$M$2666,6,FALSE)</f>
        <v>0</v>
      </c>
      <c r="I991" s="220"/>
      <c r="J991" s="47">
        <f>E991+2</f>
        <v>45672</v>
      </c>
      <c r="K991" s="72" t="str">
        <f>VLOOKUP($C991,Carpetas!$C$5:$M$2666,5,FALSE)</f>
        <v>Salto</v>
      </c>
      <c r="L991" s="32"/>
      <c r="M991" s="48">
        <f t="shared" si="66"/>
        <v>45673</v>
      </c>
      <c r="N991" s="26">
        <f t="shared" si="64"/>
        <v>3</v>
      </c>
      <c r="O991" s="27">
        <v>980</v>
      </c>
      <c r="P991" s="27">
        <v>981</v>
      </c>
      <c r="Q991" s="27">
        <v>28</v>
      </c>
      <c r="R991" s="27">
        <v>26</v>
      </c>
      <c r="S991" s="27" t="s">
        <v>191</v>
      </c>
      <c r="T991" s="27"/>
      <c r="U991" s="27"/>
      <c r="V991" s="27" t="s">
        <v>156</v>
      </c>
      <c r="W991" s="27" t="s">
        <v>157</v>
      </c>
      <c r="X991" s="73"/>
      <c r="Y991" s="73" t="e">
        <f>VLOOKUP(X991,Choferes!$B$2:$C$500,2,FALSE)</f>
        <v>#N/A</v>
      </c>
      <c r="Z991" s="73" t="s">
        <v>3028</v>
      </c>
    </row>
    <row r="992" spans="1:26" hidden="1" x14ac:dyDescent="0.25">
      <c r="A992" s="33">
        <v>3</v>
      </c>
      <c r="B992" s="71" t="s">
        <v>29</v>
      </c>
      <c r="C992" s="39" t="s">
        <v>2793</v>
      </c>
      <c r="D992" s="106" t="s">
        <v>747</v>
      </c>
      <c r="E992" s="47">
        <v>45671</v>
      </c>
      <c r="F992" s="31" t="str">
        <f>VLOOKUP($C992,Carpetas!$C$5:$M$2666,2,FALSE)</f>
        <v>BRB103</v>
      </c>
      <c r="G992" s="23" t="str">
        <f>VLOOKUP($C992,Carpetas!$C$5:$M$2666,10,FALSE)</f>
        <v>151,28,88</v>
      </c>
      <c r="H992" s="27" t="str">
        <f>VLOOKUP($C992,Carpetas!$C$5:$M$2666,6,FALSE)</f>
        <v>Amaro</v>
      </c>
      <c r="I992" s="220"/>
      <c r="J992" s="47">
        <v>45672</v>
      </c>
      <c r="K992" s="72" t="str">
        <f>VLOOKUP($C992,Carpetas!$C$5:$M$2666,5,FALSE)</f>
        <v>Rio Branco</v>
      </c>
      <c r="L992" s="32"/>
      <c r="M992" s="48">
        <f t="shared" si="66"/>
        <v>45673</v>
      </c>
      <c r="N992" s="26">
        <f t="shared" si="64"/>
        <v>2</v>
      </c>
      <c r="O992" s="27">
        <v>990</v>
      </c>
      <c r="P992" s="27">
        <v>991</v>
      </c>
      <c r="Q992" s="27">
        <v>28</v>
      </c>
      <c r="R992" s="27">
        <v>25.5</v>
      </c>
      <c r="S992" s="27" t="s">
        <v>855</v>
      </c>
      <c r="T992" s="27"/>
      <c r="U992" s="27">
        <v>25358</v>
      </c>
      <c r="V992" s="27" t="s">
        <v>3029</v>
      </c>
      <c r="W992" s="27" t="s">
        <v>2551</v>
      </c>
      <c r="X992" s="73"/>
      <c r="Y992" s="73" t="e">
        <f>VLOOKUP(X992,Choferes!$B$2:$C$500,2,FALSE)</f>
        <v>#N/A</v>
      </c>
      <c r="Z992" s="73" t="s">
        <v>3030</v>
      </c>
    </row>
    <row r="993" spans="1:26" ht="30" hidden="1" x14ac:dyDescent="0.25">
      <c r="A993" s="33">
        <v>3</v>
      </c>
      <c r="B993" s="71" t="s">
        <v>29</v>
      </c>
      <c r="C993" s="39" t="s">
        <v>3006</v>
      </c>
      <c r="D993" s="106" t="s">
        <v>249</v>
      </c>
      <c r="E993" s="47">
        <v>45671</v>
      </c>
      <c r="F993" s="31" t="str">
        <f>VLOOKUP($C993,Carpetas!$C$5:$M$2666,2,FALSE)</f>
        <v>BRB002</v>
      </c>
      <c r="G993" s="23" t="str">
        <f>VLOOKUP($C993,Carpetas!$C$5:$M$2666,10,FALSE)</f>
        <v>151,46,34</v>
      </c>
      <c r="H993" s="27" t="str">
        <f>VLOOKUP($C993,Carpetas!$C$5:$M$2666,6,FALSE)</f>
        <v>Zanini</v>
      </c>
      <c r="I993" s="220"/>
      <c r="J993" s="47">
        <f>E993+2</f>
        <v>45673</v>
      </c>
      <c r="K993" s="72" t="str">
        <f>VLOOKUP($C993,Carpetas!$C$5:$M$2666,5,FALSE)</f>
        <v>Rio Branco</v>
      </c>
      <c r="L993" s="32"/>
      <c r="M993" s="48">
        <f t="shared" si="66"/>
        <v>45674</v>
      </c>
      <c r="N993" s="26">
        <f t="shared" si="64"/>
        <v>3</v>
      </c>
      <c r="O993" s="27">
        <v>918</v>
      </c>
      <c r="P993" s="27">
        <v>919</v>
      </c>
      <c r="Q993" s="27">
        <v>26</v>
      </c>
      <c r="R993" s="27">
        <v>25.5</v>
      </c>
      <c r="S993" s="27" t="s">
        <v>3031</v>
      </c>
      <c r="T993" s="27"/>
      <c r="U993" s="27">
        <v>4977</v>
      </c>
      <c r="V993" s="27" t="s">
        <v>574</v>
      </c>
      <c r="W993" s="27" t="s">
        <v>575</v>
      </c>
      <c r="X993" s="73"/>
      <c r="Y993" s="73" t="e">
        <f>VLOOKUP(X993,Choferes!$B$2:$C$500,2,FALSE)</f>
        <v>#N/A</v>
      </c>
      <c r="Z993" s="73" t="s">
        <v>3032</v>
      </c>
    </row>
    <row r="994" spans="1:26" ht="30" hidden="1" x14ac:dyDescent="0.25">
      <c r="A994" s="33">
        <v>3</v>
      </c>
      <c r="B994" s="71" t="s">
        <v>29</v>
      </c>
      <c r="C994" s="39" t="s">
        <v>2802</v>
      </c>
      <c r="D994" s="106" t="s">
        <v>803</v>
      </c>
      <c r="E994" s="47">
        <v>45671</v>
      </c>
      <c r="F994" s="31" t="str">
        <f>VLOOKUP($C994,Carpetas!$C$5:$M$2666,2,FALSE)</f>
        <v>BRB104</v>
      </c>
      <c r="G994" s="23" t="str">
        <f>VLOOKUP($C994,Carpetas!$C$5:$M$2666,10,FALSE)</f>
        <v>151,21,89</v>
      </c>
      <c r="H994" s="27" t="str">
        <f>VLOOKUP($C994,Carpetas!$C$5:$M$2666,6,FALSE)</f>
        <v>FG</v>
      </c>
      <c r="I994" s="220"/>
      <c r="J994" s="47">
        <f>E994+2</f>
        <v>45673</v>
      </c>
      <c r="K994" s="72" t="str">
        <f>VLOOKUP($C994,Carpetas!$C$5:$M$2666,5,FALSE)</f>
        <v>Rio Branco</v>
      </c>
      <c r="L994" s="32"/>
      <c r="M994" s="48">
        <f t="shared" si="66"/>
        <v>45674</v>
      </c>
      <c r="N994" s="26">
        <f t="shared" si="64"/>
        <v>3</v>
      </c>
      <c r="O994" s="27">
        <v>990</v>
      </c>
      <c r="P994" s="27">
        <v>990</v>
      </c>
      <c r="Q994" s="27">
        <v>28</v>
      </c>
      <c r="R994" s="27">
        <v>25.5</v>
      </c>
      <c r="S994" s="27" t="s">
        <v>876</v>
      </c>
      <c r="T994" s="27"/>
      <c r="U994" s="27">
        <v>545</v>
      </c>
      <c r="V994" s="27" t="s">
        <v>1657</v>
      </c>
      <c r="W994" s="27" t="s">
        <v>1815</v>
      </c>
      <c r="X994" s="73"/>
      <c r="Y994" s="73" t="e">
        <f>VLOOKUP(X994,Choferes!$B$2:$C$500,2,FALSE)</f>
        <v>#N/A</v>
      </c>
      <c r="Z994" s="73" t="s">
        <v>3033</v>
      </c>
    </row>
    <row r="995" spans="1:26" ht="30" hidden="1" x14ac:dyDescent="0.25">
      <c r="A995" s="33">
        <v>3</v>
      </c>
      <c r="B995" s="71" t="s">
        <v>29</v>
      </c>
      <c r="C995" s="39" t="s">
        <v>3027</v>
      </c>
      <c r="D995" s="106" t="s">
        <v>102</v>
      </c>
      <c r="E995" s="47">
        <v>45671</v>
      </c>
      <c r="F995" s="31" t="str">
        <f>VLOOKUP($C995,Carpetas!$C$5:$M$2666,2,FALSE)</f>
        <v>PYB010</v>
      </c>
      <c r="G995" s="23">
        <f>VLOOKUP($C995,Carpetas!$C$5:$M$2666,10,FALSE)</f>
        <v>0</v>
      </c>
      <c r="H995" s="27">
        <f>VLOOKUP($C995,Carpetas!$C$5:$M$2666,6,FALSE)</f>
        <v>0</v>
      </c>
      <c r="I995" s="220"/>
      <c r="J995" s="47">
        <v>45674</v>
      </c>
      <c r="K995" s="72" t="str">
        <f>VLOOKUP($C995,Carpetas!$C$5:$M$2666,5,FALSE)</f>
        <v>Salto</v>
      </c>
      <c r="L995" s="32"/>
      <c r="M995" s="48">
        <f t="shared" si="66"/>
        <v>45675</v>
      </c>
      <c r="N995" s="26">
        <f t="shared" si="64"/>
        <v>4</v>
      </c>
      <c r="O995" s="27">
        <v>980</v>
      </c>
      <c r="P995" s="27">
        <v>980</v>
      </c>
      <c r="Q995" s="27">
        <v>28</v>
      </c>
      <c r="R995" s="27">
        <v>26.5</v>
      </c>
      <c r="S995" s="27" t="s">
        <v>236</v>
      </c>
      <c r="T995" s="27"/>
      <c r="U995" s="27"/>
      <c r="V995" s="27" t="s">
        <v>3034</v>
      </c>
      <c r="W995" s="27"/>
      <c r="X995" s="73"/>
      <c r="Y995" s="73" t="e">
        <f>VLOOKUP(X995,Choferes!$B$2:$C$500,2,FALSE)</f>
        <v>#N/A</v>
      </c>
      <c r="Z995" s="73" t="s">
        <v>3035</v>
      </c>
    </row>
    <row r="996" spans="1:26" hidden="1" x14ac:dyDescent="0.25">
      <c r="A996" s="33">
        <v>3</v>
      </c>
      <c r="B996" s="71" t="s">
        <v>29</v>
      </c>
      <c r="C996" s="39" t="s">
        <v>3023</v>
      </c>
      <c r="D996" s="106" t="s">
        <v>183</v>
      </c>
      <c r="E996" s="47">
        <v>45671</v>
      </c>
      <c r="F996" s="31" t="str">
        <f>VLOOKUP($C996,Carpetas!$C$5:$M$2666,2,FALSE)</f>
        <v>PYB009</v>
      </c>
      <c r="G996" s="23">
        <f>VLOOKUP($C996,Carpetas!$C$5:$M$2666,10,FALSE)</f>
        <v>0</v>
      </c>
      <c r="H996" s="27">
        <f>VLOOKUP($C996,Carpetas!$C$5:$M$2666,6,FALSE)</f>
        <v>0</v>
      </c>
      <c r="I996" s="220"/>
      <c r="J996" s="47">
        <v>45675</v>
      </c>
      <c r="K996" s="72" t="str">
        <f>VLOOKUP($C996,Carpetas!$C$5:$M$2666,5,FALSE)</f>
        <v>Salto</v>
      </c>
      <c r="L996" s="32"/>
      <c r="M996" s="48">
        <f t="shared" si="66"/>
        <v>45676</v>
      </c>
      <c r="N996" s="26">
        <f t="shared" si="64"/>
        <v>5</v>
      </c>
      <c r="O996" s="27">
        <v>980</v>
      </c>
      <c r="P996" s="27">
        <v>980</v>
      </c>
      <c r="Q996" s="27">
        <v>28</v>
      </c>
      <c r="R996" s="27">
        <v>26.5</v>
      </c>
      <c r="S996" s="27" t="s">
        <v>477</v>
      </c>
      <c r="T996" s="27"/>
      <c r="U996" s="27"/>
      <c r="V996" s="27" t="s">
        <v>353</v>
      </c>
      <c r="W996" s="27" t="s">
        <v>354</v>
      </c>
      <c r="X996" s="73"/>
      <c r="Y996" s="73" t="e">
        <f>VLOOKUP(X996,Choferes!$B$2:$C$500,2,FALSE)</f>
        <v>#N/A</v>
      </c>
      <c r="Z996" s="73" t="s">
        <v>3036</v>
      </c>
    </row>
    <row r="997" spans="1:26" hidden="1" x14ac:dyDescent="0.25">
      <c r="A997" s="33">
        <v>3</v>
      </c>
      <c r="B997" s="71" t="s">
        <v>29</v>
      </c>
      <c r="C997" s="39" t="s">
        <v>3023</v>
      </c>
      <c r="D997" s="106" t="s">
        <v>183</v>
      </c>
      <c r="E997" s="47">
        <v>45672</v>
      </c>
      <c r="F997" s="31" t="str">
        <f>VLOOKUP($C997,Carpetas!$C$5:$M$2666,2,FALSE)</f>
        <v>PYB009</v>
      </c>
      <c r="G997" s="23">
        <f>VLOOKUP($C997,Carpetas!$C$5:$M$2666,10,FALSE)</f>
        <v>0</v>
      </c>
      <c r="H997" s="27">
        <f>VLOOKUP($C997,Carpetas!$C$5:$M$2666,6,FALSE)</f>
        <v>0</v>
      </c>
      <c r="I997" s="220"/>
      <c r="J997" s="47">
        <v>45675</v>
      </c>
      <c r="K997" s="72" t="str">
        <f>VLOOKUP($C997,Carpetas!$C$5:$M$2666,5,FALSE)</f>
        <v>Salto</v>
      </c>
      <c r="L997" s="32"/>
      <c r="M997" s="48">
        <f t="shared" si="66"/>
        <v>45676</v>
      </c>
      <c r="N997" s="26">
        <f t="shared" si="64"/>
        <v>4</v>
      </c>
      <c r="O997" s="27">
        <v>980</v>
      </c>
      <c r="P997" s="27">
        <v>982</v>
      </c>
      <c r="Q997" s="27">
        <v>28</v>
      </c>
      <c r="R997" s="27">
        <v>26.5</v>
      </c>
      <c r="S997" s="27" t="s">
        <v>492</v>
      </c>
      <c r="T997" s="27"/>
      <c r="U997" s="27"/>
      <c r="V997" s="27" t="s">
        <v>50</v>
      </c>
      <c r="W997" s="27"/>
      <c r="X997" s="73"/>
      <c r="Y997" s="73" t="e">
        <f>VLOOKUP(X997,Choferes!$B$2:$C$500,2,FALSE)</f>
        <v>#N/A</v>
      </c>
      <c r="Z997" s="73" t="s">
        <v>3036</v>
      </c>
    </row>
    <row r="998" spans="1:26" hidden="1" x14ac:dyDescent="0.25">
      <c r="A998" s="33">
        <v>3</v>
      </c>
      <c r="B998" s="71" t="s">
        <v>29</v>
      </c>
      <c r="C998" s="39" t="s">
        <v>3037</v>
      </c>
      <c r="D998" s="106" t="s">
        <v>2474</v>
      </c>
      <c r="E998" s="47">
        <v>45674</v>
      </c>
      <c r="F998" s="31" t="str">
        <f>VLOOKUP($C998,Carpetas!$C$5:$M$2666,2,FALSE)</f>
        <v>BRB003</v>
      </c>
      <c r="G998" s="23">
        <f>VLOOKUP($C998,Carpetas!$C$5:$M$2666,10,FALSE)</f>
        <v>1515338</v>
      </c>
      <c r="H998" s="27" t="str">
        <f>VLOOKUP($C998,Carpetas!$C$5:$M$2666,6,FALSE)</f>
        <v>Zanini</v>
      </c>
      <c r="I998" s="220"/>
      <c r="J998" s="47">
        <f>E998+2</f>
        <v>45676</v>
      </c>
      <c r="K998" s="72" t="str">
        <f>VLOOKUP($C998,Carpetas!$C$5:$M$2666,5,FALSE)</f>
        <v>Rio Branco</v>
      </c>
      <c r="L998" s="32"/>
      <c r="M998" s="48">
        <f t="shared" si="66"/>
        <v>45677</v>
      </c>
      <c r="N998" s="26">
        <f t="shared" si="64"/>
        <v>3</v>
      </c>
      <c r="O998" s="27">
        <v>918</v>
      </c>
      <c r="P998" s="27">
        <v>918</v>
      </c>
      <c r="Q998" s="27">
        <v>30</v>
      </c>
      <c r="R998" s="27">
        <v>25.5</v>
      </c>
      <c r="S998" s="27" t="s">
        <v>2540</v>
      </c>
      <c r="T998" s="27"/>
      <c r="U998" s="27">
        <v>4987</v>
      </c>
      <c r="V998" s="27" t="s">
        <v>936</v>
      </c>
      <c r="W998" s="27" t="s">
        <v>937</v>
      </c>
      <c r="X998" s="73"/>
      <c r="Y998" s="73" t="e">
        <f>VLOOKUP(X998,Choferes!$B$2:$C$500,2,FALSE)</f>
        <v>#N/A</v>
      </c>
      <c r="Z998" s="73" t="s">
        <v>3038</v>
      </c>
    </row>
    <row r="999" spans="1:26" hidden="1" x14ac:dyDescent="0.25">
      <c r="A999" s="33">
        <v>3</v>
      </c>
      <c r="B999" s="71" t="s">
        <v>29</v>
      </c>
      <c r="C999" s="39" t="s">
        <v>3001</v>
      </c>
      <c r="D999" s="106" t="s">
        <v>110</v>
      </c>
      <c r="E999" s="47">
        <v>45674</v>
      </c>
      <c r="F999" s="31" t="str">
        <f>VLOOKUP($C999,Carpetas!$C$5:$M$2666,2,FALSE)</f>
        <v>BRB001</v>
      </c>
      <c r="G999" s="23" t="str">
        <f>VLOOKUP($C999,Carpetas!$C$5:$M$2666,10,FALSE)</f>
        <v>151,46,35</v>
      </c>
      <c r="H999" s="27" t="str">
        <f>VLOOKUP($C999,Carpetas!$C$5:$M$2666,6,FALSE)</f>
        <v xml:space="preserve">Silvio </v>
      </c>
      <c r="I999" s="220"/>
      <c r="J999" s="47">
        <v>45677</v>
      </c>
      <c r="K999" s="72" t="str">
        <f>VLOOKUP($C999,Carpetas!$C$5:$M$2666,5,FALSE)</f>
        <v>Rio Branco</v>
      </c>
      <c r="L999" s="32"/>
      <c r="M999" s="48">
        <f t="shared" si="66"/>
        <v>45678</v>
      </c>
      <c r="N999" s="26">
        <f t="shared" si="64"/>
        <v>4</v>
      </c>
      <c r="O999" s="27">
        <v>918</v>
      </c>
      <c r="P999" s="27">
        <v>919</v>
      </c>
      <c r="Q999" s="27">
        <v>26</v>
      </c>
      <c r="R999" s="27">
        <v>25.5</v>
      </c>
      <c r="S999" s="27" t="s">
        <v>254</v>
      </c>
      <c r="T999" s="27"/>
      <c r="U999" s="27">
        <v>7277</v>
      </c>
      <c r="V999" s="27" t="s">
        <v>3039</v>
      </c>
      <c r="W999" s="27" t="s">
        <v>3040</v>
      </c>
      <c r="X999" s="73"/>
      <c r="Y999" s="73" t="e">
        <f>VLOOKUP(X999,Choferes!$B$2:$C$500,2,FALSE)</f>
        <v>#N/A</v>
      </c>
      <c r="Z999" s="73" t="s">
        <v>3041</v>
      </c>
    </row>
    <row r="1000" spans="1:26" ht="30" hidden="1" x14ac:dyDescent="0.25">
      <c r="A1000" s="33">
        <v>3</v>
      </c>
      <c r="B1000" s="71" t="s">
        <v>29</v>
      </c>
      <c r="C1000" s="39" t="s">
        <v>3006</v>
      </c>
      <c r="D1000" s="106" t="s">
        <v>249</v>
      </c>
      <c r="E1000" s="47">
        <v>45675</v>
      </c>
      <c r="F1000" s="31" t="str">
        <f>VLOOKUP($C1000,Carpetas!$C$5:$M$2666,2,FALSE)</f>
        <v>BRB002</v>
      </c>
      <c r="G1000" s="23" t="str">
        <f>VLOOKUP($C1000,Carpetas!$C$5:$M$2666,10,FALSE)</f>
        <v>151,46,34</v>
      </c>
      <c r="H1000" s="27" t="str">
        <f>VLOOKUP($C1000,Carpetas!$C$5:$M$2666,6,FALSE)</f>
        <v>Zanini</v>
      </c>
      <c r="I1000" s="220"/>
      <c r="J1000" s="47">
        <f>E1000+2</f>
        <v>45677</v>
      </c>
      <c r="K1000" s="72" t="str">
        <f>VLOOKUP($C1000,Carpetas!$C$5:$M$2666,5,FALSE)</f>
        <v>Rio Branco</v>
      </c>
      <c r="L1000" s="32"/>
      <c r="M1000" s="48">
        <f t="shared" si="66"/>
        <v>45678</v>
      </c>
      <c r="N1000" s="26">
        <f t="shared" si="64"/>
        <v>3</v>
      </c>
      <c r="O1000" s="27">
        <v>918</v>
      </c>
      <c r="P1000" s="27">
        <v>919</v>
      </c>
      <c r="Q1000" s="27">
        <v>26</v>
      </c>
      <c r="R1000" s="27">
        <v>25</v>
      </c>
      <c r="S1000" s="27" t="s">
        <v>571</v>
      </c>
      <c r="T1000" s="27"/>
      <c r="U1000" s="27">
        <v>4985</v>
      </c>
      <c r="V1000" s="27" t="s">
        <v>687</v>
      </c>
      <c r="W1000" s="27" t="s">
        <v>688</v>
      </c>
      <c r="X1000" s="73"/>
      <c r="Y1000" s="73" t="e">
        <f>VLOOKUP(X1000,Choferes!$B$2:$C$500,2,FALSE)</f>
        <v>#N/A</v>
      </c>
      <c r="Z1000" s="73" t="s">
        <v>3042</v>
      </c>
    </row>
    <row r="1001" spans="1:26" hidden="1" x14ac:dyDescent="0.25">
      <c r="A1001" s="33">
        <v>3</v>
      </c>
      <c r="B1001" s="71" t="s">
        <v>29</v>
      </c>
      <c r="C1001" s="39" t="s">
        <v>3043</v>
      </c>
      <c r="D1001" s="106" t="s">
        <v>38</v>
      </c>
      <c r="E1001" s="47">
        <v>45675</v>
      </c>
      <c r="F1001" s="31" t="str">
        <f>VLOOKUP($C1001,Carpetas!$C$5:$M$2666,2,FALSE)</f>
        <v>BRE003</v>
      </c>
      <c r="G1001" s="23" t="str">
        <f>VLOOKUP($C1001,Carpetas!$C$5:$M$2666,10,FALSE)</f>
        <v>1515510/1515310</v>
      </c>
      <c r="H1001" s="27" t="str">
        <f>VLOOKUP($C1001,Carpetas!$C$5:$M$2666,6,FALSE)</f>
        <v>Zanini</v>
      </c>
      <c r="I1001" s="220">
        <f>VLOOKUP($C1001,Carpetas!$C$5:$M$2666,4,FALSE)</f>
        <v>0</v>
      </c>
      <c r="J1001" s="47">
        <v>45677</v>
      </c>
      <c r="K1001" s="72" t="str">
        <f>VLOOKUP($C1001,Carpetas!$C$5:$M$2666,5,FALSE)</f>
        <v>Rio Branco</v>
      </c>
      <c r="L1001" s="32"/>
      <c r="M1001" s="48">
        <f t="shared" si="66"/>
        <v>45678</v>
      </c>
      <c r="N1001" s="26">
        <f t="shared" si="64"/>
        <v>3</v>
      </c>
      <c r="O1001" s="27">
        <v>972</v>
      </c>
      <c r="P1001" s="27"/>
      <c r="Q1001" s="27"/>
      <c r="R1001" s="27">
        <v>25.5</v>
      </c>
      <c r="S1001" s="27"/>
      <c r="T1001" s="27"/>
      <c r="U1001" s="27">
        <v>4989</v>
      </c>
      <c r="V1001" s="27" t="s">
        <v>3044</v>
      </c>
      <c r="W1001" s="27" t="s">
        <v>3045</v>
      </c>
      <c r="X1001" s="73"/>
      <c r="Y1001" s="73" t="e">
        <f>VLOOKUP(X1001,Choferes!$B$2:$C$500,2,FALSE)</f>
        <v>#N/A</v>
      </c>
      <c r="Z1001" s="73" t="s">
        <v>3046</v>
      </c>
    </row>
    <row r="1002" spans="1:26" ht="30" hidden="1" x14ac:dyDescent="0.25">
      <c r="A1002" s="33">
        <v>3</v>
      </c>
      <c r="B1002" s="71" t="s">
        <v>29</v>
      </c>
      <c r="C1002" s="39" t="s">
        <v>3047</v>
      </c>
      <c r="D1002" s="106" t="s">
        <v>121</v>
      </c>
      <c r="E1002" s="47">
        <v>45675</v>
      </c>
      <c r="F1002" s="31" t="str">
        <f>VLOOKUP($C1002,Carpetas!$C$5:$M$2666,2,FALSE)</f>
        <v>PYB012</v>
      </c>
      <c r="G1002" s="23" t="str">
        <f>VLOOKUP($C1002,Carpetas!$C$5:$M$2666,10,FALSE)</f>
        <v>151.52.43</v>
      </c>
      <c r="H1002" s="27">
        <f>VLOOKUP($C1002,Carpetas!$C$5:$M$2666,6,FALSE)</f>
        <v>0</v>
      </c>
      <c r="I1002" s="220"/>
      <c r="J1002" s="47">
        <f>E1002+2</f>
        <v>45677</v>
      </c>
      <c r="K1002" s="72" t="str">
        <f>VLOOKUP($C1002,Carpetas!$C$5:$M$2666,5,FALSE)</f>
        <v>Salto</v>
      </c>
      <c r="L1002" s="32"/>
      <c r="M1002" s="48">
        <f t="shared" si="66"/>
        <v>45678</v>
      </c>
      <c r="N1002" s="26">
        <f t="shared" si="64"/>
        <v>3</v>
      </c>
      <c r="O1002" s="27">
        <v>980</v>
      </c>
      <c r="P1002" s="27">
        <v>984</v>
      </c>
      <c r="Q1002" s="27">
        <v>28</v>
      </c>
      <c r="R1002" s="27">
        <v>26</v>
      </c>
      <c r="S1002" s="27" t="s">
        <v>3048</v>
      </c>
      <c r="T1002" s="27"/>
      <c r="U1002" s="27"/>
      <c r="V1002" s="27" t="s">
        <v>3049</v>
      </c>
      <c r="W1002" s="27"/>
      <c r="X1002" s="73"/>
      <c r="Y1002" s="73" t="e">
        <f>VLOOKUP(X1002,Choferes!$B$2:$C$500,2,FALSE)</f>
        <v>#N/A</v>
      </c>
      <c r="Z1002" s="73" t="s">
        <v>3050</v>
      </c>
    </row>
    <row r="1003" spans="1:26" ht="30" hidden="1" x14ac:dyDescent="0.25">
      <c r="A1003" s="33">
        <v>3</v>
      </c>
      <c r="B1003" s="71" t="s">
        <v>29</v>
      </c>
      <c r="C1003" s="39" t="s">
        <v>3051</v>
      </c>
      <c r="D1003" s="106" t="s">
        <v>42</v>
      </c>
      <c r="E1003" s="47">
        <v>45675</v>
      </c>
      <c r="F1003" s="31" t="str">
        <f>VLOOKUP($C1003,Carpetas!$C$5:$M$2666,2,FALSE)</f>
        <v>PYB011</v>
      </c>
      <c r="G1003" s="23">
        <f>VLOOKUP($C1003,Carpetas!$C$5:$M$2666,10,FALSE)</f>
        <v>1515357</v>
      </c>
      <c r="H1003" s="27">
        <f>VLOOKUP($C1003,Carpetas!$C$5:$M$2666,6,FALSE)</f>
        <v>0</v>
      </c>
      <c r="I1003" s="220"/>
      <c r="J1003" s="47">
        <f>E1003+2</f>
        <v>45677</v>
      </c>
      <c r="K1003" s="72" t="str">
        <f>VLOOKUP($C1003,Carpetas!$C$5:$M$2666,5,FALSE)</f>
        <v>Salto</v>
      </c>
      <c r="L1003" s="32"/>
      <c r="M1003" s="48">
        <f t="shared" si="66"/>
        <v>45678</v>
      </c>
      <c r="N1003" s="26">
        <f t="shared" si="64"/>
        <v>3</v>
      </c>
      <c r="O1003" s="27">
        <v>980</v>
      </c>
      <c r="P1003" s="27">
        <v>972</v>
      </c>
      <c r="Q1003" s="27">
        <v>28</v>
      </c>
      <c r="R1003" s="27">
        <v>25.5</v>
      </c>
      <c r="S1003" s="27" t="s">
        <v>3052</v>
      </c>
      <c r="T1003" s="27"/>
      <c r="U1003" s="27"/>
      <c r="V1003" s="27" t="s">
        <v>419</v>
      </c>
      <c r="W1003" s="27"/>
      <c r="X1003" s="73"/>
      <c r="Y1003" s="73" t="e">
        <f>VLOOKUP(X1003,Choferes!$B$2:$C$500,2,FALSE)</f>
        <v>#N/A</v>
      </c>
      <c r="Z1003" s="73" t="s">
        <v>3053</v>
      </c>
    </row>
    <row r="1004" spans="1:26" hidden="1" x14ac:dyDescent="0.25">
      <c r="A1004" s="33">
        <v>8</v>
      </c>
      <c r="B1004" s="71" t="s">
        <v>298</v>
      </c>
      <c r="C1004" s="39" t="s">
        <v>299</v>
      </c>
      <c r="D1004" s="106" t="s">
        <v>121</v>
      </c>
      <c r="E1004" s="47">
        <v>45674</v>
      </c>
      <c r="F1004" s="31" t="str">
        <f>VLOOKUP($C1004,Carpetas!$C$5:$M$2666,2,FALSE)</f>
        <v>BRB</v>
      </c>
      <c r="G1004" s="23" t="e">
        <f>VLOOKUP($C1004,Carpetas!$C$5:$M$2666,9,FALSE)</f>
        <v>#REF!</v>
      </c>
      <c r="H1004" s="27" t="str">
        <f>VLOOKUP($C1004,Carpetas!$C$5:$M$2666,5,FALSE)</f>
        <v>xx</v>
      </c>
      <c r="I1004" s="220"/>
      <c r="J1004" s="47">
        <f>E1004+3</f>
        <v>45677</v>
      </c>
      <c r="K1004" s="72">
        <f>VLOOKUP($C1004,Carpetas!$C$5:$M$2666,4,FALSE)</f>
        <v>0</v>
      </c>
      <c r="L1004" s="32"/>
      <c r="M1004" s="48">
        <f t="shared" si="66"/>
        <v>45678</v>
      </c>
      <c r="N1004" s="26">
        <f t="shared" si="64"/>
        <v>4</v>
      </c>
      <c r="O1004" s="27">
        <v>980</v>
      </c>
      <c r="P1004" s="27"/>
      <c r="Q1004" s="27"/>
      <c r="R1004" s="27"/>
      <c r="S1004" s="27"/>
      <c r="T1004" s="27"/>
      <c r="U1004" s="27"/>
      <c r="V1004" s="27"/>
      <c r="W1004" s="27"/>
      <c r="X1004" s="73"/>
      <c r="Y1004" s="73"/>
      <c r="Z1004" s="73"/>
    </row>
    <row r="1005" spans="1:26" hidden="1" x14ac:dyDescent="0.25">
      <c r="A1005" s="33">
        <v>4</v>
      </c>
      <c r="B1005" s="71" t="s">
        <v>29</v>
      </c>
      <c r="C1005" s="39" t="s">
        <v>3054</v>
      </c>
      <c r="D1005" s="106" t="s">
        <v>183</v>
      </c>
      <c r="E1005" s="47">
        <v>45676</v>
      </c>
      <c r="F1005" s="31" t="str">
        <f>VLOOKUP($C1005,Carpetas!$C$5:$M$2666,2,FALSE)</f>
        <v>PYB014</v>
      </c>
      <c r="G1005" s="23">
        <f>VLOOKUP($C1005,Carpetas!$C$5:$M$2666,10,FALSE)</f>
        <v>0</v>
      </c>
      <c r="H1005" s="27">
        <f>VLOOKUP($C1005,Carpetas!$C$5:$M$2666,6,FALSE)</f>
        <v>0</v>
      </c>
      <c r="I1005" s="220"/>
      <c r="J1005" s="47">
        <f>E1005+3</f>
        <v>45679</v>
      </c>
      <c r="K1005" s="72" t="str">
        <f>VLOOKUP($C1005,Carpetas!$C$5:$M$2666,5,FALSE)</f>
        <v>Salto</v>
      </c>
      <c r="L1005" s="32"/>
      <c r="M1005" s="48">
        <f t="shared" si="66"/>
        <v>45680</v>
      </c>
      <c r="N1005" s="26">
        <f t="shared" si="64"/>
        <v>4</v>
      </c>
      <c r="O1005" s="27">
        <v>980</v>
      </c>
      <c r="P1005" s="27">
        <v>980</v>
      </c>
      <c r="Q1005" s="27">
        <v>28</v>
      </c>
      <c r="R1005" s="27">
        <v>26</v>
      </c>
      <c r="S1005" s="27" t="s">
        <v>3055</v>
      </c>
      <c r="T1005" s="27"/>
      <c r="U1005" s="27"/>
      <c r="V1005" s="27" t="s">
        <v>601</v>
      </c>
      <c r="W1005" s="27"/>
      <c r="X1005" s="73"/>
      <c r="Y1005" s="73" t="e">
        <f>VLOOKUP(X1005,Choferes!$B$2:$C$500,2,FALSE)</f>
        <v>#N/A</v>
      </c>
      <c r="Z1005" s="73" t="s">
        <v>3056</v>
      </c>
    </row>
    <row r="1006" spans="1:26" ht="30" hidden="1" x14ac:dyDescent="0.25">
      <c r="A1006" s="33">
        <v>4</v>
      </c>
      <c r="B1006" s="71" t="s">
        <v>29</v>
      </c>
      <c r="C1006" s="39" t="s">
        <v>3054</v>
      </c>
      <c r="D1006" s="106" t="s">
        <v>183</v>
      </c>
      <c r="E1006" s="47">
        <v>45677</v>
      </c>
      <c r="F1006" s="31" t="str">
        <f>VLOOKUP($C1006,Carpetas!$C$5:$M$2666,2,FALSE)</f>
        <v>PYB014</v>
      </c>
      <c r="G1006" s="23">
        <f>VLOOKUP($C1006,Carpetas!$C$5:$M$2666,10,FALSE)</f>
        <v>0</v>
      </c>
      <c r="H1006" s="27">
        <f>VLOOKUP($C1006,Carpetas!$C$5:$M$2666,6,FALSE)</f>
        <v>0</v>
      </c>
      <c r="I1006" s="220"/>
      <c r="J1006" s="47">
        <f>E1006+3</f>
        <v>45680</v>
      </c>
      <c r="K1006" s="72" t="str">
        <f>VLOOKUP($C1006,Carpetas!$C$5:$M$2666,5,FALSE)</f>
        <v>Salto</v>
      </c>
      <c r="L1006" s="32"/>
      <c r="M1006" s="48">
        <f t="shared" si="66"/>
        <v>45681</v>
      </c>
      <c r="N1006" s="26">
        <f t="shared" si="64"/>
        <v>4</v>
      </c>
      <c r="O1006" s="27">
        <v>980</v>
      </c>
      <c r="P1006" s="27">
        <v>984</v>
      </c>
      <c r="Q1006" s="27">
        <v>28</v>
      </c>
      <c r="R1006" s="27">
        <v>26</v>
      </c>
      <c r="S1006" s="27" t="s">
        <v>3057</v>
      </c>
      <c r="T1006" s="27"/>
      <c r="U1006" s="27"/>
      <c r="V1006" s="27" t="s">
        <v>3058</v>
      </c>
      <c r="W1006" s="27"/>
      <c r="X1006" s="73"/>
      <c r="Y1006" s="73" t="e">
        <f>VLOOKUP(X1006,Choferes!$B$2:$C$500,2,FALSE)</f>
        <v>#N/A</v>
      </c>
      <c r="Z1006" s="73" t="s">
        <v>3059</v>
      </c>
    </row>
    <row r="1007" spans="1:26" ht="30" hidden="1" x14ac:dyDescent="0.25">
      <c r="A1007" s="33">
        <v>4</v>
      </c>
      <c r="B1007" s="71" t="s">
        <v>29</v>
      </c>
      <c r="C1007" s="39" t="s">
        <v>3060</v>
      </c>
      <c r="D1007" s="106" t="s">
        <v>102</v>
      </c>
      <c r="E1007" s="47">
        <v>45677</v>
      </c>
      <c r="F1007" s="31" t="str">
        <f>VLOOKUP($C1007,Carpetas!$C$5:$M$2666,2,FALSE)</f>
        <v>PYB013</v>
      </c>
      <c r="G1007" s="23">
        <f>VLOOKUP($C1007,Carpetas!$C$5:$M$2666,10,FALSE)</f>
        <v>1515514</v>
      </c>
      <c r="H1007" s="27" t="str">
        <f>VLOOKUP($C1007,Carpetas!$C$5:$M$2666,6,FALSE)</f>
        <v>Milsiades</v>
      </c>
      <c r="I1007" s="220"/>
      <c r="J1007" s="47">
        <f>E1007+3</f>
        <v>45680</v>
      </c>
      <c r="K1007" s="72" t="str">
        <f>VLOOKUP($C1007,Carpetas!$C$5:$M$2666,5,FALSE)</f>
        <v>Salto</v>
      </c>
      <c r="L1007" s="32"/>
      <c r="M1007" s="48">
        <f t="shared" si="66"/>
        <v>45681</v>
      </c>
      <c r="N1007" s="26">
        <f t="shared" si="64"/>
        <v>4</v>
      </c>
      <c r="O1007" s="27">
        <v>980</v>
      </c>
      <c r="P1007" s="27">
        <v>981</v>
      </c>
      <c r="Q1007" s="27">
        <v>28</v>
      </c>
      <c r="R1007" s="27">
        <v>26</v>
      </c>
      <c r="S1007" s="27" t="s">
        <v>3061</v>
      </c>
      <c r="T1007" s="27"/>
      <c r="U1007" s="27"/>
      <c r="V1007" s="27" t="s">
        <v>288</v>
      </c>
      <c r="W1007" s="27"/>
      <c r="X1007" s="73"/>
      <c r="Y1007" s="73" t="e">
        <f>VLOOKUP(X1007,Choferes!$B$2:$C$500,2,FALSE)</f>
        <v>#N/A</v>
      </c>
      <c r="Z1007" s="73" t="s">
        <v>3062</v>
      </c>
    </row>
    <row r="1008" spans="1:26" hidden="1" x14ac:dyDescent="0.25">
      <c r="A1008" s="33">
        <v>4</v>
      </c>
      <c r="B1008" s="71" t="s">
        <v>29</v>
      </c>
      <c r="C1008" s="39" t="s">
        <v>3047</v>
      </c>
      <c r="D1008" s="106" t="s">
        <v>121</v>
      </c>
      <c r="E1008" s="47">
        <v>45677</v>
      </c>
      <c r="F1008" s="31" t="str">
        <f>VLOOKUP($C1008,Carpetas!$C$5:$M$2666,2,FALSE)</f>
        <v>PYB012</v>
      </c>
      <c r="G1008" s="23" t="str">
        <f>VLOOKUP($C1008,Carpetas!$C$5:$M$2666,10,FALSE)</f>
        <v>151.52.43</v>
      </c>
      <c r="H1008" s="27">
        <f>VLOOKUP($C1008,Carpetas!$C$5:$M$2666,6,FALSE)</f>
        <v>0</v>
      </c>
      <c r="I1008" s="220"/>
      <c r="J1008" s="47">
        <f>E1008+3</f>
        <v>45680</v>
      </c>
      <c r="K1008" s="72" t="str">
        <f>VLOOKUP($C1008,Carpetas!$C$5:$M$2666,5,FALSE)</f>
        <v>Salto</v>
      </c>
      <c r="L1008" s="32"/>
      <c r="M1008" s="48">
        <f t="shared" si="66"/>
        <v>45681</v>
      </c>
      <c r="N1008" s="26">
        <f t="shared" si="64"/>
        <v>4</v>
      </c>
      <c r="O1008" s="27">
        <v>980</v>
      </c>
      <c r="P1008" s="27"/>
      <c r="Q1008" s="27"/>
      <c r="R1008" s="27"/>
      <c r="S1008" s="27" t="s">
        <v>267</v>
      </c>
      <c r="T1008" s="27"/>
      <c r="U1008" s="27"/>
      <c r="V1008" s="27" t="s">
        <v>2895</v>
      </c>
      <c r="W1008" s="27" t="s">
        <v>3063</v>
      </c>
      <c r="X1008" s="73"/>
      <c r="Y1008" s="73" t="e">
        <f>VLOOKUP(X1008,Choferes!$B$2:$C$500,2,FALSE)</f>
        <v>#N/A</v>
      </c>
      <c r="Z1008" s="73"/>
    </row>
    <row r="1009" spans="1:26" ht="30" hidden="1" x14ac:dyDescent="0.25">
      <c r="A1009" s="33">
        <v>4</v>
      </c>
      <c r="B1009" s="71" t="s">
        <v>29</v>
      </c>
      <c r="C1009" s="39" t="s">
        <v>3001</v>
      </c>
      <c r="D1009" s="106" t="s">
        <v>110</v>
      </c>
      <c r="E1009" s="47">
        <v>45678</v>
      </c>
      <c r="F1009" s="31" t="str">
        <f>VLOOKUP($C1009,Carpetas!$C$5:$M$2666,2,FALSE)</f>
        <v>BRB001</v>
      </c>
      <c r="G1009" s="23" t="str">
        <f>VLOOKUP($C1009,Carpetas!$C$5:$M$2666,10,FALSE)</f>
        <v>151,46,35</v>
      </c>
      <c r="H1009" s="27" t="str">
        <f>VLOOKUP($C1009,Carpetas!$C$5:$M$2666,6,FALSE)</f>
        <v xml:space="preserve">Silvio </v>
      </c>
      <c r="I1009" s="220"/>
      <c r="J1009" s="47">
        <f>E1009+2</f>
        <v>45680</v>
      </c>
      <c r="K1009" s="72" t="str">
        <f>VLOOKUP($C1009,Carpetas!$C$5:$M$2666,5,FALSE)</f>
        <v>Rio Branco</v>
      </c>
      <c r="L1009" s="32"/>
      <c r="M1009" s="48">
        <f t="shared" si="66"/>
        <v>45681</v>
      </c>
      <c r="N1009" s="26">
        <f t="shared" si="64"/>
        <v>3</v>
      </c>
      <c r="O1009" s="27">
        <v>918</v>
      </c>
      <c r="P1009" s="27">
        <v>919</v>
      </c>
      <c r="Q1009" s="27">
        <v>26</v>
      </c>
      <c r="R1009" s="27">
        <v>25.5</v>
      </c>
      <c r="S1009" s="27" t="s">
        <v>3064</v>
      </c>
      <c r="T1009" s="27"/>
      <c r="U1009" s="27"/>
      <c r="V1009" s="27" t="s">
        <v>3065</v>
      </c>
      <c r="W1009" s="27"/>
      <c r="X1009" s="73"/>
      <c r="Y1009" s="73" t="e">
        <f>VLOOKUP(X1009,Choferes!$B$2:$C$500,2,FALSE)</f>
        <v>#N/A</v>
      </c>
      <c r="Z1009" s="73" t="s">
        <v>3066</v>
      </c>
    </row>
    <row r="1010" spans="1:26" ht="30" hidden="1" x14ac:dyDescent="0.25">
      <c r="A1010" s="33">
        <v>4</v>
      </c>
      <c r="B1010" s="71" t="s">
        <v>29</v>
      </c>
      <c r="C1010" s="39" t="s">
        <v>2793</v>
      </c>
      <c r="D1010" s="106" t="s">
        <v>747</v>
      </c>
      <c r="E1010" s="47">
        <v>45678</v>
      </c>
      <c r="F1010" s="31" t="str">
        <f>VLOOKUP($C1010,Carpetas!$C$5:$M$2666,2,FALSE)</f>
        <v>BRB103</v>
      </c>
      <c r="G1010" s="23" t="str">
        <f>VLOOKUP($C1010,Carpetas!$C$5:$M$2666,10,FALSE)</f>
        <v>151,28,88</v>
      </c>
      <c r="H1010" s="27" t="str">
        <f>VLOOKUP($C1010,Carpetas!$C$5:$M$2666,6,FALSE)</f>
        <v>Amaro</v>
      </c>
      <c r="I1010" s="220"/>
      <c r="J1010" s="47">
        <f>E1010+2</f>
        <v>45680</v>
      </c>
      <c r="K1010" s="72" t="str">
        <f>VLOOKUP($C1010,Carpetas!$C$5:$M$2666,5,FALSE)</f>
        <v>Rio Branco</v>
      </c>
      <c r="L1010" s="32"/>
      <c r="M1010" s="48">
        <f t="shared" si="66"/>
        <v>45681</v>
      </c>
      <c r="N1010" s="26">
        <f t="shared" si="64"/>
        <v>3</v>
      </c>
      <c r="O1010" s="27">
        <v>990</v>
      </c>
      <c r="P1010" s="27">
        <v>991</v>
      </c>
      <c r="Q1010" s="27">
        <v>28</v>
      </c>
      <c r="R1010" s="27">
        <v>26</v>
      </c>
      <c r="S1010" s="27" t="s">
        <v>927</v>
      </c>
      <c r="T1010" s="27"/>
      <c r="U1010" s="27">
        <v>25391</v>
      </c>
      <c r="V1010" s="27" t="s">
        <v>3067</v>
      </c>
      <c r="W1010" s="27" t="s">
        <v>1992</v>
      </c>
      <c r="X1010" s="73"/>
      <c r="Y1010" s="73" t="e">
        <f>VLOOKUP(X1010,Choferes!$B$2:$C$500,2,FALSE)</f>
        <v>#N/A</v>
      </c>
      <c r="Z1010" s="73" t="s">
        <v>3068</v>
      </c>
    </row>
    <row r="1011" spans="1:26" ht="30" hidden="1" x14ac:dyDescent="0.25">
      <c r="A1011" s="33">
        <v>4</v>
      </c>
      <c r="B1011" s="71" t="s">
        <v>29</v>
      </c>
      <c r="C1011" s="39" t="s">
        <v>3069</v>
      </c>
      <c r="D1011" s="106" t="s">
        <v>803</v>
      </c>
      <c r="E1011" s="47">
        <v>45678</v>
      </c>
      <c r="F1011" s="31" t="str">
        <f>VLOOKUP($C1011,Carpetas!$C$5:$M$2666,2,FALSE)</f>
        <v>BRB005</v>
      </c>
      <c r="G1011" s="23">
        <f>VLOOKUP($C1011,Carpetas!$C$5:$M$2666,10,FALSE)</f>
        <v>1515605</v>
      </c>
      <c r="H1011" s="27" t="str">
        <f>VLOOKUP($C1011,Carpetas!$C$5:$M$2666,6,FALSE)</f>
        <v>FG</v>
      </c>
      <c r="I1011" s="220"/>
      <c r="J1011" s="47">
        <f>E1011+2</f>
        <v>45680</v>
      </c>
      <c r="K1011" s="72" t="str">
        <f>VLOOKUP($C1011,Carpetas!$C$5:$M$2666,5,FALSE)</f>
        <v>Rio Branco</v>
      </c>
      <c r="L1011" s="32"/>
      <c r="M1011" s="48">
        <f t="shared" si="66"/>
        <v>45681</v>
      </c>
      <c r="N1011" s="26">
        <f t="shared" si="64"/>
        <v>3</v>
      </c>
      <c r="O1011" s="27">
        <v>990</v>
      </c>
      <c r="P1011" s="27">
        <v>990</v>
      </c>
      <c r="Q1011" s="27">
        <v>28</v>
      </c>
      <c r="R1011" s="27">
        <v>26</v>
      </c>
      <c r="S1011" s="27" t="s">
        <v>889</v>
      </c>
      <c r="T1011" s="27"/>
      <c r="U1011" s="27">
        <v>551</v>
      </c>
      <c r="V1011" s="27" t="s">
        <v>1657</v>
      </c>
      <c r="W1011" s="27" t="s">
        <v>1815</v>
      </c>
      <c r="X1011" s="73"/>
      <c r="Y1011" s="73" t="e">
        <f>VLOOKUP(X1011,Choferes!$B$2:$C$500,2,FALSE)</f>
        <v>#N/A</v>
      </c>
      <c r="Z1011" s="73" t="s">
        <v>3070</v>
      </c>
    </row>
    <row r="1012" spans="1:26" hidden="1" x14ac:dyDescent="0.25">
      <c r="A1012" s="33">
        <v>4</v>
      </c>
      <c r="B1012" s="71" t="s">
        <v>29</v>
      </c>
      <c r="C1012" s="39" t="s">
        <v>3054</v>
      </c>
      <c r="D1012" s="106" t="s">
        <v>183</v>
      </c>
      <c r="E1012" s="47">
        <v>45678</v>
      </c>
      <c r="F1012" s="31" t="str">
        <f>VLOOKUP($C1012,Carpetas!$C$5:$M$2666,2,FALSE)</f>
        <v>PYB014</v>
      </c>
      <c r="G1012" s="23">
        <f>VLOOKUP($C1012,Carpetas!$C$5:$M$2666,10,FALSE)</f>
        <v>0</v>
      </c>
      <c r="H1012" s="27">
        <f>VLOOKUP($C1012,Carpetas!$C$5:$M$2666,6,FALSE)</f>
        <v>0</v>
      </c>
      <c r="I1012" s="220"/>
      <c r="J1012" s="47">
        <f>E1012+3</f>
        <v>45681</v>
      </c>
      <c r="K1012" s="72" t="str">
        <f>VLOOKUP($C1012,Carpetas!$C$5:$M$2666,5,FALSE)</f>
        <v>Salto</v>
      </c>
      <c r="L1012" s="32"/>
      <c r="M1012" s="48">
        <f t="shared" si="66"/>
        <v>45682</v>
      </c>
      <c r="N1012" s="26">
        <f t="shared" si="64"/>
        <v>4</v>
      </c>
      <c r="O1012" s="27">
        <v>980</v>
      </c>
      <c r="P1012" s="27">
        <v>982</v>
      </c>
      <c r="Q1012" s="27">
        <v>28</v>
      </c>
      <c r="R1012" s="27">
        <v>26</v>
      </c>
      <c r="S1012" s="27" t="s">
        <v>542</v>
      </c>
      <c r="T1012" s="27"/>
      <c r="U1012" s="27"/>
      <c r="V1012" s="27" t="s">
        <v>315</v>
      </c>
      <c r="W1012" s="27"/>
      <c r="X1012" s="73"/>
      <c r="Y1012" s="73" t="e">
        <f>VLOOKUP(X1012,Choferes!$B$2:$C$500,2,FALSE)</f>
        <v>#N/A</v>
      </c>
      <c r="Z1012" s="73"/>
    </row>
    <row r="1013" spans="1:26" ht="30" hidden="1" x14ac:dyDescent="0.25">
      <c r="A1013" s="33">
        <v>4</v>
      </c>
      <c r="B1013" s="71" t="s">
        <v>29</v>
      </c>
      <c r="C1013" s="39" t="s">
        <v>3060</v>
      </c>
      <c r="D1013" s="106" t="s">
        <v>102</v>
      </c>
      <c r="E1013" s="47">
        <v>45678</v>
      </c>
      <c r="F1013" s="31" t="str">
        <f>VLOOKUP($C1013,Carpetas!$C$5:$M$2666,2,FALSE)</f>
        <v>PYB013</v>
      </c>
      <c r="G1013" s="23">
        <f>VLOOKUP($C1013,Carpetas!$C$5:$M$2666,10,FALSE)</f>
        <v>1515514</v>
      </c>
      <c r="H1013" s="27" t="str">
        <f>VLOOKUP($C1013,Carpetas!$C$5:$M$2666,6,FALSE)</f>
        <v>Milsiades</v>
      </c>
      <c r="I1013" s="220"/>
      <c r="J1013" s="47">
        <f>E1013+3</f>
        <v>45681</v>
      </c>
      <c r="K1013" s="72" t="str">
        <f>VLOOKUP($C1013,Carpetas!$C$5:$M$2666,5,FALSE)</f>
        <v>Salto</v>
      </c>
      <c r="L1013" s="32"/>
      <c r="M1013" s="48">
        <f t="shared" si="66"/>
        <v>45682</v>
      </c>
      <c r="N1013" s="26">
        <f t="shared" si="64"/>
        <v>4</v>
      </c>
      <c r="O1013" s="27">
        <v>980</v>
      </c>
      <c r="P1013" s="27">
        <v>981</v>
      </c>
      <c r="Q1013" s="27">
        <v>28</v>
      </c>
      <c r="R1013" s="27">
        <v>25</v>
      </c>
      <c r="S1013" s="27" t="s">
        <v>3071</v>
      </c>
      <c r="T1013" s="27"/>
      <c r="U1013" s="27"/>
      <c r="V1013" s="27" t="s">
        <v>3072</v>
      </c>
      <c r="W1013" s="27"/>
      <c r="X1013" s="73"/>
      <c r="Y1013" s="73" t="e">
        <f>VLOOKUP(X1013,Choferes!$B$2:$C$500,2,FALSE)</f>
        <v>#N/A</v>
      </c>
      <c r="Z1013" s="73" t="s">
        <v>3073</v>
      </c>
    </row>
    <row r="1014" spans="1:26" ht="30" hidden="1" x14ac:dyDescent="0.25">
      <c r="A1014" s="33">
        <v>4</v>
      </c>
      <c r="B1014" s="71" t="s">
        <v>29</v>
      </c>
      <c r="C1014" s="39" t="s">
        <v>3069</v>
      </c>
      <c r="D1014" s="106" t="s">
        <v>803</v>
      </c>
      <c r="E1014" s="47">
        <v>45679</v>
      </c>
      <c r="F1014" s="31" t="str">
        <f>VLOOKUP($C1014,Carpetas!$C$5:$M$2666,2,FALSE)</f>
        <v>BRB005</v>
      </c>
      <c r="G1014" s="23">
        <f>VLOOKUP($C1014,Carpetas!$C$5:$M$2666,10,FALSE)</f>
        <v>1515605</v>
      </c>
      <c r="H1014" s="27" t="str">
        <f>VLOOKUP($C1014,Carpetas!$C$5:$M$2666,6,FALSE)</f>
        <v>FG</v>
      </c>
      <c r="I1014" s="220"/>
      <c r="J1014" s="47">
        <f>E1014+2</f>
        <v>45681</v>
      </c>
      <c r="K1014" s="72" t="str">
        <f>VLOOKUP($C1014,Carpetas!$C$5:$M$2666,5,FALSE)</f>
        <v>Rio Branco</v>
      </c>
      <c r="L1014" s="32"/>
      <c r="M1014" s="48">
        <f t="shared" si="66"/>
        <v>45682</v>
      </c>
      <c r="N1014" s="26">
        <f t="shared" si="64"/>
        <v>3</v>
      </c>
      <c r="O1014" s="27">
        <v>990</v>
      </c>
      <c r="P1014" s="27">
        <v>990</v>
      </c>
      <c r="Q1014" s="27">
        <v>28</v>
      </c>
      <c r="R1014" s="27"/>
      <c r="S1014" s="27" t="s">
        <v>942</v>
      </c>
      <c r="T1014" s="27"/>
      <c r="U1014" s="27"/>
      <c r="V1014" s="27" t="s">
        <v>1630</v>
      </c>
      <c r="W1014" s="27" t="s">
        <v>1934</v>
      </c>
      <c r="X1014" s="73"/>
      <c r="Y1014" s="73" t="e">
        <f>VLOOKUP(X1014,Choferes!$B$2:$C$500,2,FALSE)</f>
        <v>#N/A</v>
      </c>
      <c r="Z1014" s="73" t="s">
        <v>3074</v>
      </c>
    </row>
    <row r="1015" spans="1:26" ht="30" hidden="1" x14ac:dyDescent="0.25">
      <c r="A1015" s="33">
        <v>4</v>
      </c>
      <c r="B1015" s="71" t="s">
        <v>29</v>
      </c>
      <c r="C1015" s="39" t="s">
        <v>3037</v>
      </c>
      <c r="D1015" s="106" t="s">
        <v>249</v>
      </c>
      <c r="E1015" s="47">
        <v>45679</v>
      </c>
      <c r="F1015" s="31" t="str">
        <f>VLOOKUP($C1015,Carpetas!$C$5:$M$2666,2,FALSE)</f>
        <v>BRB003</v>
      </c>
      <c r="G1015" s="23">
        <f>VLOOKUP($C1015,Carpetas!$C$5:$M$2666,10,FALSE)</f>
        <v>1515338</v>
      </c>
      <c r="H1015" s="27" t="str">
        <f>VLOOKUP($C1015,Carpetas!$C$5:$M$2666,6,FALSE)</f>
        <v>Zanini</v>
      </c>
      <c r="I1015" s="220"/>
      <c r="J1015" s="47">
        <f>E1015+2</f>
        <v>45681</v>
      </c>
      <c r="K1015" s="72" t="str">
        <f>VLOOKUP($C1015,Carpetas!$C$5:$M$2666,5,FALSE)</f>
        <v>Rio Branco</v>
      </c>
      <c r="L1015" s="32"/>
      <c r="M1015" s="48">
        <f t="shared" si="66"/>
        <v>45682</v>
      </c>
      <c r="N1015" s="26">
        <f t="shared" si="64"/>
        <v>3</v>
      </c>
      <c r="O1015" s="27">
        <v>918</v>
      </c>
      <c r="P1015" s="27">
        <v>918</v>
      </c>
      <c r="Q1015" s="27">
        <v>26</v>
      </c>
      <c r="R1015" s="27">
        <v>25</v>
      </c>
      <c r="S1015" s="27" t="s">
        <v>664</v>
      </c>
      <c r="T1015" s="27"/>
      <c r="U1015" s="27"/>
      <c r="V1015" s="27" t="s">
        <v>3075</v>
      </c>
      <c r="W1015" s="27"/>
      <c r="X1015" s="73"/>
      <c r="Y1015" s="73" t="e">
        <f>VLOOKUP(X1015,Choferes!$B$2:$C$500,2,FALSE)</f>
        <v>#N/A</v>
      </c>
      <c r="Z1015" s="73" t="s">
        <v>3076</v>
      </c>
    </row>
    <row r="1016" spans="1:26" hidden="1" x14ac:dyDescent="0.25">
      <c r="A1016" s="33">
        <v>4</v>
      </c>
      <c r="B1016" s="71" t="s">
        <v>29</v>
      </c>
      <c r="C1016" s="39" t="s">
        <v>3054</v>
      </c>
      <c r="D1016" s="106" t="s">
        <v>183</v>
      </c>
      <c r="E1016" s="47">
        <v>45679</v>
      </c>
      <c r="F1016" s="31" t="str">
        <f>VLOOKUP($C1016,Carpetas!$C$5:$M$2666,2,FALSE)</f>
        <v>PYB014</v>
      </c>
      <c r="G1016" s="23">
        <f>VLOOKUP($C1016,Carpetas!$C$5:$M$2666,10,FALSE)</f>
        <v>0</v>
      </c>
      <c r="H1016" s="27">
        <f>VLOOKUP($C1016,Carpetas!$C$5:$M$2666,6,FALSE)</f>
        <v>0</v>
      </c>
      <c r="I1016" s="220"/>
      <c r="J1016" s="47">
        <f>E1016+3</f>
        <v>45682</v>
      </c>
      <c r="K1016" s="72" t="str">
        <f>VLOOKUP($C1016,Carpetas!$C$5:$M$2666,5,FALSE)</f>
        <v>Salto</v>
      </c>
      <c r="L1016" s="32"/>
      <c r="M1016" s="48">
        <f t="shared" si="66"/>
        <v>45683</v>
      </c>
      <c r="N1016" s="26">
        <f t="shared" si="64"/>
        <v>4</v>
      </c>
      <c r="O1016" s="27">
        <v>980</v>
      </c>
      <c r="P1016" s="27">
        <v>980</v>
      </c>
      <c r="Q1016" s="27">
        <v>28</v>
      </c>
      <c r="R1016" s="27">
        <v>26</v>
      </c>
      <c r="S1016" s="27" t="s">
        <v>567</v>
      </c>
      <c r="T1016" s="27"/>
      <c r="U1016" s="27"/>
      <c r="V1016" s="27" t="s">
        <v>3077</v>
      </c>
      <c r="W1016" s="27" t="s">
        <v>3078</v>
      </c>
      <c r="X1016" s="73"/>
      <c r="Y1016" s="73" t="e">
        <f>VLOOKUP(X1016,Choferes!$B$2:$C$500,2,FALSE)</f>
        <v>#N/A</v>
      </c>
      <c r="Z1016" s="73" t="s">
        <v>3079</v>
      </c>
    </row>
    <row r="1017" spans="1:26" ht="30" hidden="1" x14ac:dyDescent="0.25">
      <c r="A1017" s="33">
        <v>4</v>
      </c>
      <c r="B1017" s="71" t="s">
        <v>29</v>
      </c>
      <c r="C1017" s="39" t="s">
        <v>3060</v>
      </c>
      <c r="D1017" s="106" t="s">
        <v>102</v>
      </c>
      <c r="E1017" s="47">
        <v>45679</v>
      </c>
      <c r="F1017" s="31" t="str">
        <f>VLOOKUP($C1017,Carpetas!$C$5:$M$2666,2,FALSE)</f>
        <v>PYB013</v>
      </c>
      <c r="G1017" s="23">
        <f>VLOOKUP($C1017,Carpetas!$C$5:$M$2666,10,FALSE)</f>
        <v>1515514</v>
      </c>
      <c r="H1017" s="27" t="str">
        <f>VLOOKUP($C1017,Carpetas!$C$5:$M$2666,6,FALSE)</f>
        <v>Milsiades</v>
      </c>
      <c r="I1017" s="220"/>
      <c r="J1017" s="47">
        <f>E1017+3</f>
        <v>45682</v>
      </c>
      <c r="K1017" s="72" t="str">
        <f>VLOOKUP($C1017,Carpetas!$C$5:$M$2666,5,FALSE)</f>
        <v>Salto</v>
      </c>
      <c r="L1017" s="32"/>
      <c r="M1017" s="48">
        <f t="shared" ref="M1017:M1036" si="67">J1017+1</f>
        <v>45683</v>
      </c>
      <c r="N1017" s="26">
        <f t="shared" si="64"/>
        <v>4</v>
      </c>
      <c r="O1017" s="27">
        <v>980</v>
      </c>
      <c r="P1017" s="27">
        <v>980</v>
      </c>
      <c r="Q1017" s="27"/>
      <c r="R1017" s="27"/>
      <c r="S1017" s="27" t="s">
        <v>932</v>
      </c>
      <c r="T1017" s="27"/>
      <c r="U1017" s="27"/>
      <c r="V1017" s="27" t="s">
        <v>933</v>
      </c>
      <c r="W1017" s="27"/>
      <c r="X1017" s="73"/>
      <c r="Y1017" s="73" t="e">
        <f>VLOOKUP(X1017,Choferes!$B$2:$C$500,2,FALSE)</f>
        <v>#N/A</v>
      </c>
      <c r="Z1017" s="73" t="s">
        <v>3080</v>
      </c>
    </row>
    <row r="1018" spans="1:26" ht="30" hidden="1" x14ac:dyDescent="0.25">
      <c r="A1018" s="33">
        <v>4</v>
      </c>
      <c r="B1018" s="71" t="s">
        <v>29</v>
      </c>
      <c r="C1018" s="39" t="s">
        <v>3081</v>
      </c>
      <c r="D1018" s="106" t="s">
        <v>803</v>
      </c>
      <c r="E1018" s="47">
        <v>45681</v>
      </c>
      <c r="F1018" s="31" t="str">
        <f>VLOOKUP($C1018,Carpetas!$C$5:$M$2666,2,FALSE)</f>
        <v>BRB004</v>
      </c>
      <c r="G1018" s="23">
        <f>VLOOKUP($C1018,Carpetas!$C$5:$M$2666,10,FALSE)</f>
        <v>1515750</v>
      </c>
      <c r="H1018" s="27" t="str">
        <f>VLOOKUP($C1018,Carpetas!$C$5:$M$2666,6,FALSE)</f>
        <v xml:space="preserve">Silvio </v>
      </c>
      <c r="I1018" s="220"/>
      <c r="J1018" s="47">
        <f>E1018+2</f>
        <v>45683</v>
      </c>
      <c r="K1018" s="72" t="str">
        <f>VLOOKUP($C1018,Carpetas!$C$5:$M$2666,5,FALSE)</f>
        <v>Rio Branco</v>
      </c>
      <c r="L1018" s="32"/>
      <c r="M1018" s="48">
        <f t="shared" si="67"/>
        <v>45684</v>
      </c>
      <c r="N1018" s="26">
        <f t="shared" si="64"/>
        <v>3</v>
      </c>
      <c r="O1018" s="27">
        <v>918</v>
      </c>
      <c r="P1018" s="27">
        <v>918</v>
      </c>
      <c r="Q1018" s="27">
        <v>26</v>
      </c>
      <c r="R1018" s="27">
        <v>25</v>
      </c>
      <c r="S1018" s="27" t="s">
        <v>966</v>
      </c>
      <c r="T1018" s="27"/>
      <c r="U1018" s="27"/>
      <c r="V1018" s="27" t="s">
        <v>3082</v>
      </c>
      <c r="W1018" s="27"/>
      <c r="X1018" s="73"/>
      <c r="Y1018" s="73" t="e">
        <f>VLOOKUP(X1018,Choferes!$B$2:$C$500,2,FALSE)</f>
        <v>#N/A</v>
      </c>
      <c r="Z1018" s="73" t="s">
        <v>3083</v>
      </c>
    </row>
    <row r="1019" spans="1:26" ht="30" hidden="1" x14ac:dyDescent="0.25">
      <c r="A1019" s="33">
        <v>4</v>
      </c>
      <c r="B1019" s="71" t="s">
        <v>29</v>
      </c>
      <c r="C1019" s="39" t="s">
        <v>3037</v>
      </c>
      <c r="D1019" s="106" t="s">
        <v>249</v>
      </c>
      <c r="E1019" s="47">
        <v>45681</v>
      </c>
      <c r="F1019" s="31" t="str">
        <f>VLOOKUP($C1019,Carpetas!$C$5:$M$2666,2,FALSE)</f>
        <v>BRB003</v>
      </c>
      <c r="G1019" s="23">
        <f>VLOOKUP($C1019,Carpetas!$C$5:$M$2666,10,FALSE)</f>
        <v>1515338</v>
      </c>
      <c r="H1019" s="27" t="str">
        <f>VLOOKUP($C1019,Carpetas!$C$5:$M$2666,6,FALSE)</f>
        <v>Zanini</v>
      </c>
      <c r="I1019" s="220"/>
      <c r="J1019" s="47">
        <f>E1019+2</f>
        <v>45683</v>
      </c>
      <c r="K1019" s="72" t="str">
        <f>VLOOKUP($C1019,Carpetas!$C$5:$M$2666,5,FALSE)</f>
        <v>Rio Branco</v>
      </c>
      <c r="L1019" s="32"/>
      <c r="M1019" s="48">
        <f t="shared" si="67"/>
        <v>45684</v>
      </c>
      <c r="N1019" s="26">
        <f t="shared" si="64"/>
        <v>3</v>
      </c>
      <c r="O1019" s="27">
        <v>918</v>
      </c>
      <c r="P1019" s="27">
        <v>919</v>
      </c>
      <c r="Q1019" s="27">
        <v>26</v>
      </c>
      <c r="R1019" s="27">
        <v>25</v>
      </c>
      <c r="S1019" s="27" t="s">
        <v>3084</v>
      </c>
      <c r="T1019" s="27"/>
      <c r="U1019" s="27"/>
      <c r="V1019" s="27" t="s">
        <v>3085</v>
      </c>
      <c r="W1019" s="27"/>
      <c r="X1019" s="73"/>
      <c r="Y1019" s="73" t="e">
        <f>VLOOKUP(X1019,Choferes!$B$2:$C$500,2,FALSE)</f>
        <v>#N/A</v>
      </c>
      <c r="Z1019" s="73" t="s">
        <v>3086</v>
      </c>
    </row>
    <row r="1020" spans="1:26" ht="30" hidden="1" x14ac:dyDescent="0.25">
      <c r="A1020" s="33">
        <v>4</v>
      </c>
      <c r="B1020" s="71" t="s">
        <v>29</v>
      </c>
      <c r="C1020" s="39" t="s">
        <v>3037</v>
      </c>
      <c r="D1020" s="106" t="s">
        <v>2474</v>
      </c>
      <c r="E1020" s="47">
        <v>45681</v>
      </c>
      <c r="F1020" s="31" t="str">
        <f>VLOOKUP($C1020,Carpetas!$C$5:$M$2666,2,FALSE)</f>
        <v>BRB003</v>
      </c>
      <c r="G1020" s="23">
        <f>VLOOKUP($C1020,Carpetas!$C$5:$M$2666,10,FALSE)</f>
        <v>1515338</v>
      </c>
      <c r="H1020" s="27" t="str">
        <f>VLOOKUP($C1020,Carpetas!$C$5:$M$2666,6,FALSE)</f>
        <v>Zanini</v>
      </c>
      <c r="I1020" s="220"/>
      <c r="J1020" s="47">
        <f>E1020+2</f>
        <v>45683</v>
      </c>
      <c r="K1020" s="72" t="str">
        <f>VLOOKUP($C1020,Carpetas!$C$5:$M$2666,5,FALSE)</f>
        <v>Rio Branco</v>
      </c>
      <c r="L1020" s="32"/>
      <c r="M1020" s="48">
        <f t="shared" si="67"/>
        <v>45684</v>
      </c>
      <c r="N1020" s="26">
        <f t="shared" si="64"/>
        <v>3</v>
      </c>
      <c r="O1020" s="27">
        <v>918</v>
      </c>
      <c r="P1020" s="27">
        <v>918</v>
      </c>
      <c r="Q1020" s="27">
        <v>30</v>
      </c>
      <c r="R1020" s="27">
        <v>25</v>
      </c>
      <c r="S1020" s="27" t="s">
        <v>2527</v>
      </c>
      <c r="T1020" s="27"/>
      <c r="U1020" s="27"/>
      <c r="V1020" s="27" t="s">
        <v>3087</v>
      </c>
      <c r="W1020" s="27"/>
      <c r="X1020" s="73"/>
      <c r="Y1020" s="73" t="e">
        <f>VLOOKUP(X1020,Choferes!$B$2:$C$500,2,FALSE)</f>
        <v>#N/A</v>
      </c>
      <c r="Z1020" s="73" t="s">
        <v>3088</v>
      </c>
    </row>
    <row r="1021" spans="1:26" ht="30" hidden="1" x14ac:dyDescent="0.25">
      <c r="A1021" s="33">
        <v>4</v>
      </c>
      <c r="B1021" s="71" t="s">
        <v>29</v>
      </c>
      <c r="C1021" s="39" t="s">
        <v>3069</v>
      </c>
      <c r="D1021" s="106" t="s">
        <v>747</v>
      </c>
      <c r="E1021" s="47">
        <v>45681</v>
      </c>
      <c r="F1021" s="31" t="str">
        <f>VLOOKUP($C1021,Carpetas!$C$5:$M$2666,2,FALSE)</f>
        <v>BRB005</v>
      </c>
      <c r="G1021" s="23">
        <f>VLOOKUP($C1021,Carpetas!$C$5:$M$2666,10,FALSE)</f>
        <v>1515605</v>
      </c>
      <c r="H1021" s="27" t="str">
        <f>VLOOKUP($C1021,Carpetas!$C$5:$M$2666,6,FALSE)</f>
        <v>FG</v>
      </c>
      <c r="I1021" s="220"/>
      <c r="J1021" s="47">
        <f>E1021+2</f>
        <v>45683</v>
      </c>
      <c r="K1021" s="72" t="str">
        <f>VLOOKUP($C1021,Carpetas!$C$5:$M$2666,5,FALSE)</f>
        <v>Rio Branco</v>
      </c>
      <c r="L1021" s="32"/>
      <c r="M1021" s="48">
        <f t="shared" si="67"/>
        <v>45684</v>
      </c>
      <c r="N1021" s="26">
        <f t="shared" si="64"/>
        <v>3</v>
      </c>
      <c r="O1021" s="27">
        <v>990</v>
      </c>
      <c r="P1021" s="27">
        <v>991</v>
      </c>
      <c r="Q1021" s="27">
        <v>28</v>
      </c>
      <c r="R1021" s="27">
        <v>25</v>
      </c>
      <c r="S1021" s="27" t="s">
        <v>995</v>
      </c>
      <c r="T1021" s="27"/>
      <c r="U1021" s="27"/>
      <c r="V1021" s="27" t="s">
        <v>1722</v>
      </c>
      <c r="W1021" s="27"/>
      <c r="X1021" s="73"/>
      <c r="Y1021" s="73" t="e">
        <f>VLOOKUP(X1021,Choferes!$B$2:$C$500,2,FALSE)</f>
        <v>#N/A</v>
      </c>
      <c r="Z1021" s="73" t="s">
        <v>3089</v>
      </c>
    </row>
    <row r="1022" spans="1:26" ht="30" hidden="1" x14ac:dyDescent="0.25">
      <c r="A1022" s="33">
        <v>4</v>
      </c>
      <c r="B1022" s="71" t="s">
        <v>29</v>
      </c>
      <c r="C1022" s="39" t="s">
        <v>3069</v>
      </c>
      <c r="D1022" s="106" t="s">
        <v>78</v>
      </c>
      <c r="E1022" s="47">
        <v>45681</v>
      </c>
      <c r="F1022" s="31" t="str">
        <f>VLOOKUP($C1022,Carpetas!$C$5:$M$2666,2,FALSE)</f>
        <v>BRB005</v>
      </c>
      <c r="G1022" s="23">
        <f>VLOOKUP($C1022,Carpetas!$C$5:$M$2666,10,FALSE)</f>
        <v>1515605</v>
      </c>
      <c r="H1022" s="27" t="str">
        <f>VLOOKUP($C1022,Carpetas!$C$5:$M$2666,6,FALSE)</f>
        <v>FG</v>
      </c>
      <c r="I1022" s="220"/>
      <c r="J1022" s="47">
        <f>E1022+2</f>
        <v>45683</v>
      </c>
      <c r="K1022" s="72" t="str">
        <f>VLOOKUP($C1022,Carpetas!$C$5:$M$2666,5,FALSE)</f>
        <v>Rio Branco</v>
      </c>
      <c r="L1022" s="32"/>
      <c r="M1022" s="48">
        <f t="shared" si="67"/>
        <v>45684</v>
      </c>
      <c r="N1022" s="26">
        <f t="shared" si="64"/>
        <v>3</v>
      </c>
      <c r="O1022" s="27">
        <v>990</v>
      </c>
      <c r="P1022" s="27">
        <v>991</v>
      </c>
      <c r="Q1022" s="27"/>
      <c r="R1022" s="27"/>
      <c r="S1022" s="27" t="s">
        <v>3090</v>
      </c>
      <c r="T1022" s="27"/>
      <c r="U1022" s="27"/>
      <c r="V1022" s="27" t="s">
        <v>1636</v>
      </c>
      <c r="W1022" s="27"/>
      <c r="X1022" s="73"/>
      <c r="Y1022" s="73" t="e">
        <f>VLOOKUP(X1022,Choferes!$B$2:$C$500,2,FALSE)</f>
        <v>#N/A</v>
      </c>
      <c r="Z1022" s="73" t="s">
        <v>3091</v>
      </c>
    </row>
    <row r="1023" spans="1:26" hidden="1" x14ac:dyDescent="0.25">
      <c r="A1023" s="33">
        <v>4</v>
      </c>
      <c r="B1023" s="71" t="s">
        <v>29</v>
      </c>
      <c r="C1023" s="39" t="s">
        <v>3092</v>
      </c>
      <c r="D1023" s="106" t="s">
        <v>121</v>
      </c>
      <c r="E1023" s="47">
        <v>45682</v>
      </c>
      <c r="F1023" s="31" t="str">
        <f>VLOOKUP($C1023,Carpetas!$C$5:$M$2666,2,FALSE)</f>
        <v>PYB015</v>
      </c>
      <c r="G1023" s="23">
        <f>VLOOKUP($C1023,Carpetas!$C$5:$M$2666,10,FALSE)</f>
        <v>1515756</v>
      </c>
      <c r="H1023" s="27">
        <f>VLOOKUP($C1023,Carpetas!$C$5:$M$2666,6,FALSE)</f>
        <v>0</v>
      </c>
      <c r="I1023" s="220"/>
      <c r="J1023" s="47">
        <f>E1023+3</f>
        <v>45685</v>
      </c>
      <c r="K1023" s="72" t="str">
        <f>VLOOKUP($C1023,Carpetas!$C$5:$M$2666,5,FALSE)</f>
        <v>Salto</v>
      </c>
      <c r="L1023" s="32"/>
      <c r="M1023" s="48">
        <f t="shared" si="67"/>
        <v>45686</v>
      </c>
      <c r="N1023" s="26">
        <f t="shared" si="64"/>
        <v>4</v>
      </c>
      <c r="O1023" s="27">
        <v>980</v>
      </c>
      <c r="P1023" s="27">
        <v>982</v>
      </c>
      <c r="Q1023" s="27">
        <v>28</v>
      </c>
      <c r="R1023" s="27">
        <v>26</v>
      </c>
      <c r="S1023" s="27" t="s">
        <v>309</v>
      </c>
      <c r="T1023" s="27"/>
      <c r="U1023" s="27"/>
      <c r="V1023" s="27" t="s">
        <v>1309</v>
      </c>
      <c r="W1023" s="27" t="s">
        <v>1310</v>
      </c>
      <c r="X1023" s="73"/>
      <c r="Y1023" s="73" t="e">
        <f>VLOOKUP(X1023,Choferes!$B$2:$C$500,2,FALSE)</f>
        <v>#N/A</v>
      </c>
      <c r="Z1023" s="73" t="s">
        <v>3093</v>
      </c>
    </row>
    <row r="1024" spans="1:26" hidden="1" x14ac:dyDescent="0.25">
      <c r="A1024" s="33">
        <v>4</v>
      </c>
      <c r="B1024" s="71" t="s">
        <v>29</v>
      </c>
      <c r="C1024" s="39" t="s">
        <v>3092</v>
      </c>
      <c r="D1024" s="106" t="s">
        <v>121</v>
      </c>
      <c r="E1024" s="47">
        <v>45683</v>
      </c>
      <c r="F1024" s="31" t="str">
        <f>VLOOKUP($C1024,Carpetas!$C$5:$M$2666,2,FALSE)</f>
        <v>PYB015</v>
      </c>
      <c r="G1024" s="23">
        <f>VLOOKUP($C1024,Carpetas!$C$5:$M$2666,10,FALSE)</f>
        <v>1515756</v>
      </c>
      <c r="H1024" s="27">
        <f>VLOOKUP($C1024,Carpetas!$C$5:$M$2666,6,FALSE)</f>
        <v>0</v>
      </c>
      <c r="I1024" s="220"/>
      <c r="J1024" s="47">
        <f>E1024+3</f>
        <v>45686</v>
      </c>
      <c r="K1024" s="72" t="str">
        <f>VLOOKUP($C1024,Carpetas!$C$5:$M$2666,5,FALSE)</f>
        <v>Salto</v>
      </c>
      <c r="L1024" s="32"/>
      <c r="M1024" s="48">
        <f t="shared" si="67"/>
        <v>45687</v>
      </c>
      <c r="N1024" s="26">
        <f t="shared" si="64"/>
        <v>4</v>
      </c>
      <c r="O1024" s="27">
        <v>980</v>
      </c>
      <c r="P1024" s="27">
        <v>984</v>
      </c>
      <c r="Q1024" s="27">
        <v>28</v>
      </c>
      <c r="R1024" s="27">
        <v>26</v>
      </c>
      <c r="S1024" s="27" t="s">
        <v>3094</v>
      </c>
      <c r="T1024" s="27"/>
      <c r="U1024" s="27"/>
      <c r="V1024" s="27" t="s">
        <v>3095</v>
      </c>
      <c r="W1024" s="27" t="s">
        <v>2331</v>
      </c>
      <c r="X1024" s="73"/>
      <c r="Y1024" s="73" t="e">
        <f>VLOOKUP(X1024,Choferes!$B$2:$C$500,2,FALSE)</f>
        <v>#N/A</v>
      </c>
      <c r="Z1024" s="73" t="s">
        <v>3096</v>
      </c>
    </row>
    <row r="1025" spans="1:26" hidden="1" x14ac:dyDescent="0.25">
      <c r="A1025" s="33">
        <v>5</v>
      </c>
      <c r="B1025" s="71" t="s">
        <v>29</v>
      </c>
      <c r="C1025" s="39" t="s">
        <v>3097</v>
      </c>
      <c r="D1025" s="106" t="s">
        <v>803</v>
      </c>
      <c r="E1025" s="47">
        <v>45684</v>
      </c>
      <c r="F1025" s="31" t="str">
        <f>VLOOKUP($C1025,Carpetas!$C$5:$M$2666,2,FALSE)</f>
        <v>BRB006</v>
      </c>
      <c r="G1025" s="23">
        <f>VLOOKUP($C1025,Carpetas!$C$5:$M$2666,10,FALSE)</f>
        <v>1515934</v>
      </c>
      <c r="H1025" s="27" t="str">
        <f>VLOOKUP($C1025,Carpetas!$C$5:$M$2666,6,FALSE)</f>
        <v>Nilton</v>
      </c>
      <c r="I1025" s="220"/>
      <c r="J1025" s="47">
        <f>E1025+2</f>
        <v>45686</v>
      </c>
      <c r="K1025" s="72" t="str">
        <f>VLOOKUP($C1025,Carpetas!$C$5:$M$2666,5,FALSE)</f>
        <v>Rio Branco</v>
      </c>
      <c r="L1025" s="32"/>
      <c r="M1025" s="48">
        <f t="shared" si="67"/>
        <v>45687</v>
      </c>
      <c r="N1025" s="26">
        <f t="shared" si="64"/>
        <v>3</v>
      </c>
      <c r="O1025" s="27">
        <v>990</v>
      </c>
      <c r="P1025" s="27">
        <v>990</v>
      </c>
      <c r="Q1025" s="27">
        <v>28</v>
      </c>
      <c r="R1025" s="27">
        <v>26</v>
      </c>
      <c r="S1025" s="27" t="s">
        <v>975</v>
      </c>
      <c r="T1025" s="27"/>
      <c r="U1025" s="27">
        <v>564</v>
      </c>
      <c r="V1025" s="27" t="s">
        <v>1657</v>
      </c>
      <c r="W1025" s="27" t="s">
        <v>1815</v>
      </c>
      <c r="X1025" s="73"/>
      <c r="Y1025" s="73" t="e">
        <f>VLOOKUP(X1025,Choferes!$B$2:$C$500,2,FALSE)</f>
        <v>#N/A</v>
      </c>
      <c r="Z1025" s="73" t="s">
        <v>3098</v>
      </c>
    </row>
    <row r="1026" spans="1:26" hidden="1" x14ac:dyDescent="0.25">
      <c r="A1026" s="33">
        <v>4</v>
      </c>
      <c r="B1026" s="71" t="s">
        <v>29</v>
      </c>
      <c r="C1026" s="39" t="s">
        <v>3099</v>
      </c>
      <c r="D1026" s="106" t="s">
        <v>38</v>
      </c>
      <c r="E1026" s="47">
        <v>45677</v>
      </c>
      <c r="F1026" s="31" t="str">
        <f>VLOOKUP($C1026,Carpetas!$C$5:$M$2666,2,FALSE)</f>
        <v>BRE004</v>
      </c>
      <c r="G1026" s="23">
        <f>VLOOKUP($C1026,Carpetas!$C$5:$M$2666,10,FALSE)</f>
        <v>1515078</v>
      </c>
      <c r="H1026" s="27" t="str">
        <f>VLOOKUP($C1026,Carpetas!$C$5:$M$2666,6,FALSE)</f>
        <v xml:space="preserve">Silvio </v>
      </c>
      <c r="I1026" s="220">
        <f>VLOOKUP($C1026,Carpetas!$C$5:$M$2666,4,FALSE)</f>
        <v>0</v>
      </c>
      <c r="J1026" s="47">
        <v>45687</v>
      </c>
      <c r="K1026" s="72" t="str">
        <f>VLOOKUP($C1026,Carpetas!$C$5:$M$2666,5,FALSE)</f>
        <v>Rio Branco</v>
      </c>
      <c r="L1026" s="32"/>
      <c r="M1026" s="48">
        <f t="shared" si="67"/>
        <v>45688</v>
      </c>
      <c r="N1026" s="26">
        <f t="shared" si="64"/>
        <v>11</v>
      </c>
      <c r="O1026" s="27">
        <v>3204</v>
      </c>
      <c r="P1026" s="27"/>
      <c r="Q1026" s="27"/>
      <c r="R1026" s="27"/>
      <c r="S1026" s="27"/>
      <c r="T1026" s="27"/>
      <c r="U1026" s="27">
        <v>7279</v>
      </c>
      <c r="V1026" s="27" t="s">
        <v>3100</v>
      </c>
      <c r="W1026" s="27" t="s">
        <v>3101</v>
      </c>
      <c r="X1026" s="73"/>
      <c r="Y1026" s="73" t="e">
        <f>VLOOKUP(X1026,Choferes!$B$2:$C$500,2,FALSE)</f>
        <v>#N/A</v>
      </c>
      <c r="Z1026" s="73" t="s">
        <v>3102</v>
      </c>
    </row>
    <row r="1027" spans="1:26" hidden="1" x14ac:dyDescent="0.25">
      <c r="A1027" s="33">
        <v>5</v>
      </c>
      <c r="B1027" s="71" t="s">
        <v>29</v>
      </c>
      <c r="C1027" s="39" t="s">
        <v>3103</v>
      </c>
      <c r="D1027" s="106" t="s">
        <v>747</v>
      </c>
      <c r="E1027" s="47">
        <v>45685</v>
      </c>
      <c r="F1027" s="31" t="str">
        <f>VLOOKUP($C1027,Carpetas!$C$5:$M$2666,2,FALSE)</f>
        <v>BRB007</v>
      </c>
      <c r="G1027" s="23">
        <f>VLOOKUP($C1027,Carpetas!$C$5:$M$2666,10,FALSE)</f>
        <v>1515940</v>
      </c>
      <c r="H1027" s="27" t="str">
        <f>VLOOKUP($C1027,Carpetas!$C$5:$M$2666,6,FALSE)</f>
        <v>Amaro</v>
      </c>
      <c r="I1027" s="220"/>
      <c r="J1027" s="47">
        <f>E1027+2</f>
        <v>45687</v>
      </c>
      <c r="K1027" s="72" t="str">
        <f>VLOOKUP($C1027,Carpetas!$C$5:$M$2666,5,FALSE)</f>
        <v>Rio Branco</v>
      </c>
      <c r="L1027" s="32"/>
      <c r="M1027" s="48">
        <f t="shared" si="67"/>
        <v>45688</v>
      </c>
      <c r="N1027" s="26">
        <f t="shared" si="64"/>
        <v>3</v>
      </c>
      <c r="O1027" s="27">
        <v>990</v>
      </c>
      <c r="P1027" s="27">
        <v>991</v>
      </c>
      <c r="Q1027" s="27">
        <v>28</v>
      </c>
      <c r="R1027" s="27">
        <v>26</v>
      </c>
      <c r="S1027" s="27" t="s">
        <v>3104</v>
      </c>
      <c r="T1027" s="27"/>
      <c r="U1027" s="27">
        <v>25445</v>
      </c>
      <c r="V1027" s="27" t="s">
        <v>1906</v>
      </c>
      <c r="W1027" s="27" t="s">
        <v>1907</v>
      </c>
      <c r="X1027" s="73"/>
      <c r="Y1027" s="73" t="e">
        <f>VLOOKUP(X1027,Choferes!$B$2:$C$500,2,FALSE)</f>
        <v>#N/A</v>
      </c>
      <c r="Z1027" s="73" t="s">
        <v>3105</v>
      </c>
    </row>
    <row r="1028" spans="1:26" hidden="1" x14ac:dyDescent="0.25">
      <c r="A1028" s="33">
        <v>5</v>
      </c>
      <c r="B1028" s="71" t="s">
        <v>29</v>
      </c>
      <c r="C1028" s="39" t="s">
        <v>3106</v>
      </c>
      <c r="D1028" s="106" t="s">
        <v>102</v>
      </c>
      <c r="E1028" s="47">
        <v>45686</v>
      </c>
      <c r="F1028" s="31" t="str">
        <f>VLOOKUP($C1028,Carpetas!$C$5:$M$2666,2,FALSE)</f>
        <v>PYB016</v>
      </c>
      <c r="G1028" s="23">
        <f>VLOOKUP($C1028,Carpetas!$C$5:$M$2666,10,FALSE)</f>
        <v>1516333</v>
      </c>
      <c r="H1028" s="27" t="str">
        <f>VLOOKUP($C1028,Carpetas!$C$5:$M$2666,6,FALSE)</f>
        <v>Milsiades</v>
      </c>
      <c r="I1028" s="220"/>
      <c r="J1028" s="47">
        <f>E1028+1</f>
        <v>45687</v>
      </c>
      <c r="K1028" s="72" t="str">
        <f>VLOOKUP($C1028,Carpetas!$C$5:$M$2666,5,FALSE)</f>
        <v>Salto</v>
      </c>
      <c r="L1028" s="32"/>
      <c r="M1028" s="48">
        <f t="shared" si="67"/>
        <v>45688</v>
      </c>
      <c r="N1028" s="26">
        <f t="shared" si="64"/>
        <v>2</v>
      </c>
      <c r="O1028" s="27">
        <v>980</v>
      </c>
      <c r="P1028" s="27">
        <v>919</v>
      </c>
      <c r="Q1028" s="27">
        <v>26</v>
      </c>
      <c r="R1028" s="27">
        <v>26</v>
      </c>
      <c r="S1028" s="27" t="s">
        <v>343</v>
      </c>
      <c r="T1028" s="27"/>
      <c r="U1028" s="27"/>
      <c r="V1028" s="27" t="s">
        <v>3107</v>
      </c>
      <c r="W1028" s="27" t="s">
        <v>157</v>
      </c>
      <c r="X1028" s="73"/>
      <c r="Y1028" s="73"/>
      <c r="Z1028" s="73" t="s">
        <v>3108</v>
      </c>
    </row>
    <row r="1029" spans="1:26" hidden="1" x14ac:dyDescent="0.25">
      <c r="A1029" s="33">
        <v>5</v>
      </c>
      <c r="B1029" s="71" t="s">
        <v>29</v>
      </c>
      <c r="C1029" s="39" t="s">
        <v>3081</v>
      </c>
      <c r="D1029" s="106" t="s">
        <v>249</v>
      </c>
      <c r="E1029" s="47">
        <v>45686</v>
      </c>
      <c r="F1029" s="31" t="str">
        <f>VLOOKUP($C1029,Carpetas!$C$5:$M$2666,2,FALSE)</f>
        <v>BRB004</v>
      </c>
      <c r="G1029" s="23">
        <f>VLOOKUP($C1029,Carpetas!$C$5:$M$2666,10,FALSE)</f>
        <v>1515750</v>
      </c>
      <c r="H1029" s="27" t="str">
        <f>VLOOKUP($C1029,Carpetas!$C$5:$M$2666,6,FALSE)</f>
        <v xml:space="preserve">Silvio </v>
      </c>
      <c r="I1029" s="220"/>
      <c r="J1029" s="47">
        <f>E1029+1</f>
        <v>45687</v>
      </c>
      <c r="K1029" s="72" t="str">
        <f>VLOOKUP($C1029,Carpetas!$C$5:$M$2666,5,FALSE)</f>
        <v>Rio Branco</v>
      </c>
      <c r="L1029" s="32"/>
      <c r="M1029" s="48">
        <f t="shared" si="67"/>
        <v>45688</v>
      </c>
      <c r="N1029" s="26">
        <f t="shared" ref="N1029:N1092" si="68">IF(E1029&lt;&gt;"",M1029-E1029,"-")</f>
        <v>2</v>
      </c>
      <c r="O1029" s="27">
        <v>918</v>
      </c>
      <c r="P1029" s="27">
        <v>919</v>
      </c>
      <c r="Q1029" s="27">
        <v>26</v>
      </c>
      <c r="R1029" s="27">
        <v>26</v>
      </c>
      <c r="S1029" s="27" t="s">
        <v>3109</v>
      </c>
      <c r="T1029" s="27"/>
      <c r="U1029" s="27">
        <v>7286</v>
      </c>
      <c r="V1029" s="27" t="s">
        <v>665</v>
      </c>
      <c r="W1029" s="27" t="s">
        <v>666</v>
      </c>
      <c r="X1029" s="73"/>
      <c r="Y1029" s="73" t="e">
        <f>VLOOKUP(X1029,Choferes!$B$2:$C$500,2,FALSE)</f>
        <v>#N/A</v>
      </c>
      <c r="Z1029" s="73" t="s">
        <v>3110</v>
      </c>
    </row>
    <row r="1030" spans="1:26" hidden="1" x14ac:dyDescent="0.25">
      <c r="A1030" s="33">
        <v>5</v>
      </c>
      <c r="B1030" s="71" t="s">
        <v>29</v>
      </c>
      <c r="C1030" s="39" t="s">
        <v>3106</v>
      </c>
      <c r="D1030" s="106" t="s">
        <v>102</v>
      </c>
      <c r="E1030" s="47">
        <v>45682</v>
      </c>
      <c r="F1030" s="31" t="str">
        <f>VLOOKUP($C1030,Carpetas!$C$5:$M$2666,2,FALSE)</f>
        <v>PYB016</v>
      </c>
      <c r="G1030" s="23">
        <f>VLOOKUP($C1030,Carpetas!$C$5:$M$2666,10,FALSE)</f>
        <v>1516333</v>
      </c>
      <c r="H1030" s="27" t="str">
        <f>VLOOKUP($C1030,Carpetas!$C$5:$M$2666,6,FALSE)</f>
        <v>Milsiades</v>
      </c>
      <c r="I1030" s="220"/>
      <c r="J1030" s="47">
        <f>E1030+6</f>
        <v>45688</v>
      </c>
      <c r="K1030" s="72" t="str">
        <f>VLOOKUP($C1030,Carpetas!$C$5:$M$2666,5,FALSE)</f>
        <v>Salto</v>
      </c>
      <c r="L1030" s="32"/>
      <c r="M1030" s="48">
        <f t="shared" si="67"/>
        <v>45689</v>
      </c>
      <c r="N1030" s="26">
        <f t="shared" si="68"/>
        <v>7</v>
      </c>
      <c r="O1030" s="27">
        <v>980</v>
      </c>
      <c r="P1030" s="27">
        <v>981</v>
      </c>
      <c r="Q1030" s="27">
        <v>28</v>
      </c>
      <c r="R1030" s="27">
        <v>26</v>
      </c>
      <c r="S1030" s="27" t="s">
        <v>352</v>
      </c>
      <c r="T1030" s="27"/>
      <c r="U1030" s="27"/>
      <c r="V1030" s="27" t="s">
        <v>288</v>
      </c>
      <c r="W1030" s="27" t="s">
        <v>289</v>
      </c>
      <c r="X1030" s="73"/>
      <c r="Y1030" s="73" t="e">
        <f>VLOOKUP(X1030,Choferes!$B$2:$C$500,2,FALSE)</f>
        <v>#N/A</v>
      </c>
      <c r="Z1030" s="73" t="s">
        <v>3108</v>
      </c>
    </row>
    <row r="1031" spans="1:26" hidden="1" x14ac:dyDescent="0.25">
      <c r="A1031" s="33">
        <v>5</v>
      </c>
      <c r="B1031" s="71" t="s">
        <v>29</v>
      </c>
      <c r="C1031" s="39" t="s">
        <v>3097</v>
      </c>
      <c r="D1031" s="106" t="s">
        <v>803</v>
      </c>
      <c r="E1031" s="47">
        <v>45686</v>
      </c>
      <c r="F1031" s="31" t="str">
        <f>VLOOKUP($C1031,Carpetas!$C$5:$M$2666,2,FALSE)</f>
        <v>BRB006</v>
      </c>
      <c r="G1031" s="23">
        <f>VLOOKUP($C1031,Carpetas!$C$5:$M$2666,10,FALSE)</f>
        <v>1515934</v>
      </c>
      <c r="H1031" s="27" t="str">
        <f>VLOOKUP($C1031,Carpetas!$C$5:$M$2666,6,FALSE)</f>
        <v>Nilton</v>
      </c>
      <c r="I1031" s="220"/>
      <c r="J1031" s="47">
        <f>E1031+2</f>
        <v>45688</v>
      </c>
      <c r="K1031" s="72" t="str">
        <f>VLOOKUP($C1031,Carpetas!$C$5:$M$2666,5,FALSE)</f>
        <v>Rio Branco</v>
      </c>
      <c r="L1031" s="32"/>
      <c r="M1031" s="48">
        <f t="shared" si="67"/>
        <v>45689</v>
      </c>
      <c r="N1031" s="26">
        <f t="shared" si="68"/>
        <v>3</v>
      </c>
      <c r="O1031" s="27">
        <v>990</v>
      </c>
      <c r="P1031" s="27">
        <v>990</v>
      </c>
      <c r="Q1031" s="27">
        <v>28</v>
      </c>
      <c r="R1031" s="27">
        <v>26</v>
      </c>
      <c r="S1031" s="27" t="s">
        <v>1046</v>
      </c>
      <c r="T1031" s="27"/>
      <c r="U1031" s="27">
        <v>566</v>
      </c>
      <c r="V1031" s="27" t="s">
        <v>1630</v>
      </c>
      <c r="W1031" s="27" t="s">
        <v>1934</v>
      </c>
      <c r="X1031" s="73"/>
      <c r="Y1031" s="73" t="e">
        <f>VLOOKUP(X1031,Choferes!$B$2:$C$500,2,FALSE)</f>
        <v>#N/A</v>
      </c>
      <c r="Z1031" s="73" t="s">
        <v>3111</v>
      </c>
    </row>
    <row r="1032" spans="1:26" hidden="1" x14ac:dyDescent="0.25">
      <c r="A1032" s="33">
        <v>5</v>
      </c>
      <c r="B1032" s="71" t="s">
        <v>29</v>
      </c>
      <c r="C1032" s="39" t="s">
        <v>3112</v>
      </c>
      <c r="D1032" s="106" t="s">
        <v>78</v>
      </c>
      <c r="E1032" s="47">
        <v>45687</v>
      </c>
      <c r="F1032" s="31" t="str">
        <f>VLOOKUP($C1032,Carpetas!$C$5:$M$2666,2,FALSE)</f>
        <v>BRB008</v>
      </c>
      <c r="G1032" s="23">
        <f>VLOOKUP($C1032,Carpetas!$C$5:$M$2666,10,FALSE)</f>
        <v>1515941</v>
      </c>
      <c r="H1032" s="27" t="str">
        <f>VLOOKUP($C1032,Carpetas!$C$5:$M$2666,6,FALSE)</f>
        <v>Zanini</v>
      </c>
      <c r="I1032" s="220"/>
      <c r="J1032" s="47">
        <f>E1032+1</f>
        <v>45688</v>
      </c>
      <c r="K1032" s="72" t="str">
        <f>VLOOKUP($C1032,Carpetas!$C$5:$M$2666,5,FALSE)</f>
        <v>Rio Branco</v>
      </c>
      <c r="L1032" s="32"/>
      <c r="M1032" s="48">
        <f t="shared" si="67"/>
        <v>45689</v>
      </c>
      <c r="N1032" s="26">
        <f t="shared" si="68"/>
        <v>2</v>
      </c>
      <c r="O1032" s="27">
        <v>918</v>
      </c>
      <c r="P1032" s="27">
        <v>920</v>
      </c>
      <c r="Q1032" s="27">
        <v>26</v>
      </c>
      <c r="R1032" s="27">
        <v>25</v>
      </c>
      <c r="S1032" s="27" t="s">
        <v>3113</v>
      </c>
      <c r="T1032" s="27"/>
      <c r="U1032" s="27">
        <v>5012</v>
      </c>
      <c r="V1032" s="27" t="s">
        <v>2167</v>
      </c>
      <c r="W1032" s="27" t="s">
        <v>2168</v>
      </c>
      <c r="X1032" s="73"/>
      <c r="Y1032" s="73" t="e">
        <f>VLOOKUP(X1032,Choferes!$B$2:$C$500,2,FALSE)</f>
        <v>#N/A</v>
      </c>
      <c r="Z1032" s="73" t="s">
        <v>3114</v>
      </c>
    </row>
    <row r="1033" spans="1:26" hidden="1" x14ac:dyDescent="0.25">
      <c r="A1033" s="33">
        <v>5</v>
      </c>
      <c r="B1033" s="71" t="s">
        <v>29</v>
      </c>
      <c r="C1033" s="39" t="s">
        <v>3112</v>
      </c>
      <c r="D1033" s="106" t="s">
        <v>803</v>
      </c>
      <c r="E1033" s="47">
        <v>45688</v>
      </c>
      <c r="F1033" s="31" t="str">
        <f>VLOOKUP($C1033,Carpetas!$C$5:$M$2666,2,FALSE)</f>
        <v>BRB008</v>
      </c>
      <c r="G1033" s="23">
        <f>VLOOKUP($C1033,Carpetas!$C$5:$M$2666,10,FALSE)</f>
        <v>1515941</v>
      </c>
      <c r="H1033" s="27" t="str">
        <f>VLOOKUP($C1033,Carpetas!$C$5:$M$2666,6,FALSE)</f>
        <v>Zanini</v>
      </c>
      <c r="I1033" s="220"/>
      <c r="J1033" s="47">
        <f t="shared" ref="J1033:J1038" si="69">E1033+2</f>
        <v>45690</v>
      </c>
      <c r="K1033" s="72" t="str">
        <f>VLOOKUP($C1033,Carpetas!$C$5:$M$2666,5,FALSE)</f>
        <v>Rio Branco</v>
      </c>
      <c r="L1033" s="32"/>
      <c r="M1033" s="48">
        <f t="shared" si="67"/>
        <v>45691</v>
      </c>
      <c r="N1033" s="26">
        <f t="shared" si="68"/>
        <v>3</v>
      </c>
      <c r="O1033" s="27">
        <v>918</v>
      </c>
      <c r="P1033" s="27">
        <v>918</v>
      </c>
      <c r="Q1033" s="27">
        <v>26</v>
      </c>
      <c r="R1033" s="27"/>
      <c r="S1033" s="27" t="s">
        <v>1044</v>
      </c>
      <c r="T1033" s="27"/>
      <c r="U1033" s="27">
        <v>5017</v>
      </c>
      <c r="V1033" s="27" t="s">
        <v>3115</v>
      </c>
      <c r="W1033" s="27" t="s">
        <v>3116</v>
      </c>
      <c r="X1033" s="73"/>
      <c r="Y1033" s="73" t="e">
        <f>VLOOKUP(X1033,Choferes!$B$2:$C$500,2,FALSE)</f>
        <v>#N/A</v>
      </c>
      <c r="Z1033" s="73" t="s">
        <v>3117</v>
      </c>
    </row>
    <row r="1034" spans="1:26" hidden="1" x14ac:dyDescent="0.25">
      <c r="A1034" s="33">
        <v>5</v>
      </c>
      <c r="B1034" s="71" t="s">
        <v>29</v>
      </c>
      <c r="C1034" s="39" t="s">
        <v>3112</v>
      </c>
      <c r="D1034" s="106" t="s">
        <v>249</v>
      </c>
      <c r="E1034" s="47">
        <v>45688</v>
      </c>
      <c r="F1034" s="31" t="str">
        <f>VLOOKUP($C1034,Carpetas!$C$5:$M$2666,2,FALSE)</f>
        <v>BRB008</v>
      </c>
      <c r="G1034" s="23">
        <f>VLOOKUP($C1034,Carpetas!$C$5:$M$2666,10,FALSE)</f>
        <v>1515941</v>
      </c>
      <c r="H1034" s="27" t="str">
        <f>VLOOKUP($C1034,Carpetas!$C$5:$M$2666,6,FALSE)</f>
        <v>Zanini</v>
      </c>
      <c r="I1034" s="220"/>
      <c r="J1034" s="47">
        <f t="shared" si="69"/>
        <v>45690</v>
      </c>
      <c r="K1034" s="72" t="str">
        <f>VLOOKUP($C1034,Carpetas!$C$5:$M$2666,5,FALSE)</f>
        <v>Rio Branco</v>
      </c>
      <c r="L1034" s="32"/>
      <c r="M1034" s="48">
        <f t="shared" si="67"/>
        <v>45691</v>
      </c>
      <c r="N1034" s="26">
        <f t="shared" si="68"/>
        <v>3</v>
      </c>
      <c r="O1034" s="27">
        <v>918</v>
      </c>
      <c r="P1034" s="27">
        <v>919</v>
      </c>
      <c r="Q1034" s="27">
        <v>26</v>
      </c>
      <c r="R1034" s="27">
        <v>26</v>
      </c>
      <c r="S1034" s="27" t="s">
        <v>869</v>
      </c>
      <c r="T1034" s="27"/>
      <c r="U1034" s="27">
        <v>5018</v>
      </c>
      <c r="V1034" s="27" t="s">
        <v>3118</v>
      </c>
      <c r="W1034" s="27" t="s">
        <v>3119</v>
      </c>
      <c r="X1034" s="73"/>
      <c r="Y1034" s="73" t="e">
        <f>VLOOKUP(X1034,Choferes!$B$2:$C$500,2,FALSE)</f>
        <v>#N/A</v>
      </c>
      <c r="Z1034" s="73" t="s">
        <v>3120</v>
      </c>
    </row>
    <row r="1035" spans="1:26" hidden="1" x14ac:dyDescent="0.25">
      <c r="A1035" s="33">
        <v>5</v>
      </c>
      <c r="B1035" s="71" t="s">
        <v>29</v>
      </c>
      <c r="C1035" s="39" t="s">
        <v>3081</v>
      </c>
      <c r="D1035" s="106" t="s">
        <v>110</v>
      </c>
      <c r="E1035" s="47">
        <v>45688</v>
      </c>
      <c r="F1035" s="31" t="str">
        <f>VLOOKUP($C1035,Carpetas!$C$5:$M$2666,2,FALSE)</f>
        <v>BRB004</v>
      </c>
      <c r="G1035" s="23">
        <f>VLOOKUP($C1035,Carpetas!$C$5:$M$2666,10,FALSE)</f>
        <v>1515750</v>
      </c>
      <c r="H1035" s="27" t="str">
        <f>VLOOKUP($C1035,Carpetas!$C$5:$M$2666,6,FALSE)</f>
        <v xml:space="preserve">Silvio </v>
      </c>
      <c r="I1035" s="220"/>
      <c r="J1035" s="47">
        <f t="shared" si="69"/>
        <v>45690</v>
      </c>
      <c r="K1035" s="72" t="str">
        <f>VLOOKUP($C1035,Carpetas!$C$5:$M$2666,5,FALSE)</f>
        <v>Rio Branco</v>
      </c>
      <c r="L1035" s="32"/>
      <c r="M1035" s="48">
        <f t="shared" si="67"/>
        <v>45691</v>
      </c>
      <c r="N1035" s="26">
        <f t="shared" si="68"/>
        <v>3</v>
      </c>
      <c r="O1035" s="27">
        <v>918</v>
      </c>
      <c r="P1035" s="27">
        <v>919</v>
      </c>
      <c r="Q1035" s="27">
        <v>26</v>
      </c>
      <c r="R1035" s="27">
        <v>25</v>
      </c>
      <c r="S1035" s="27" t="s">
        <v>409</v>
      </c>
      <c r="T1035" s="27"/>
      <c r="U1035" s="27">
        <v>7288</v>
      </c>
      <c r="V1035" s="27" t="s">
        <v>203</v>
      </c>
      <c r="W1035" s="27" t="s">
        <v>3121</v>
      </c>
      <c r="X1035" s="73"/>
      <c r="Y1035" s="73" t="e">
        <f>VLOOKUP(X1035,Choferes!$B$2:$C$500,2,FALSE)</f>
        <v>#N/A</v>
      </c>
      <c r="Z1035" s="73" t="s">
        <v>3122</v>
      </c>
    </row>
    <row r="1036" spans="1:26" hidden="1" x14ac:dyDescent="0.25">
      <c r="A1036" s="33">
        <v>5</v>
      </c>
      <c r="B1036" s="71" t="s">
        <v>29</v>
      </c>
      <c r="C1036" s="39" t="s">
        <v>3097</v>
      </c>
      <c r="D1036" s="106" t="s">
        <v>747</v>
      </c>
      <c r="E1036" s="47">
        <v>45688</v>
      </c>
      <c r="F1036" s="31" t="str">
        <f>VLOOKUP($C1036,Carpetas!$C$5:$M$2666,2,FALSE)</f>
        <v>BRB006</v>
      </c>
      <c r="G1036" s="23">
        <f>VLOOKUP($C1036,Carpetas!$C$5:$M$2666,10,FALSE)</f>
        <v>1515934</v>
      </c>
      <c r="H1036" s="27" t="str">
        <f>VLOOKUP($C1036,Carpetas!$C$5:$M$2666,6,FALSE)</f>
        <v>Nilton</v>
      </c>
      <c r="I1036" s="220"/>
      <c r="J1036" s="47">
        <f t="shared" si="69"/>
        <v>45690</v>
      </c>
      <c r="K1036" s="72" t="str">
        <f>VLOOKUP($C1036,Carpetas!$C$5:$M$2666,5,FALSE)</f>
        <v>Rio Branco</v>
      </c>
      <c r="L1036" s="32"/>
      <c r="M1036" s="48">
        <f t="shared" si="67"/>
        <v>45691</v>
      </c>
      <c r="N1036" s="26">
        <f t="shared" si="68"/>
        <v>3</v>
      </c>
      <c r="O1036" s="27">
        <v>990</v>
      </c>
      <c r="P1036" s="27">
        <v>991</v>
      </c>
      <c r="Q1036" s="27">
        <v>28</v>
      </c>
      <c r="R1036" s="27">
        <v>25</v>
      </c>
      <c r="S1036" s="27" t="s">
        <v>1053</v>
      </c>
      <c r="T1036" s="27"/>
      <c r="U1036" s="27">
        <v>576</v>
      </c>
      <c r="V1036" s="27" t="s">
        <v>1617</v>
      </c>
      <c r="W1036" s="27" t="s">
        <v>1618</v>
      </c>
      <c r="X1036" s="73"/>
      <c r="Y1036" s="73" t="e">
        <f>VLOOKUP(X1036,Choferes!$B$2:$C$500,2,FALSE)</f>
        <v>#N/A</v>
      </c>
      <c r="Z1036" s="73" t="s">
        <v>3123</v>
      </c>
    </row>
    <row r="1037" spans="1:26" ht="30" hidden="1" x14ac:dyDescent="0.25">
      <c r="A1037" s="33">
        <v>5</v>
      </c>
      <c r="B1037" s="71" t="s">
        <v>29</v>
      </c>
      <c r="C1037" s="39" t="s">
        <v>3097</v>
      </c>
      <c r="D1037" s="106" t="s">
        <v>3124</v>
      </c>
      <c r="E1037" s="47">
        <v>45688</v>
      </c>
      <c r="F1037" s="31" t="str">
        <f>VLOOKUP($C1037,Carpetas!$C$5:$M$2666,2,FALSE)</f>
        <v>BRB006</v>
      </c>
      <c r="G1037" s="23">
        <f>VLOOKUP($C1037,Carpetas!$C$5:$M$2666,10,FALSE)</f>
        <v>1515934</v>
      </c>
      <c r="H1037" s="27" t="str">
        <f>VLOOKUP($C1037,Carpetas!$C$5:$M$2666,6,FALSE)</f>
        <v>Nilton</v>
      </c>
      <c r="I1037" s="220"/>
      <c r="J1037" s="47">
        <f t="shared" si="69"/>
        <v>45690</v>
      </c>
      <c r="K1037" s="72" t="str">
        <f>VLOOKUP($C1037,Carpetas!$C$5:$M$2666,5,FALSE)</f>
        <v>Rio Branco</v>
      </c>
      <c r="L1037" s="32"/>
      <c r="M1037" s="48">
        <v>45692</v>
      </c>
      <c r="N1037" s="26">
        <f t="shared" si="68"/>
        <v>4</v>
      </c>
      <c r="O1037" s="27">
        <v>990</v>
      </c>
      <c r="P1037" s="27">
        <v>990</v>
      </c>
      <c r="Q1037" s="27">
        <v>28</v>
      </c>
      <c r="R1037" s="27">
        <v>23</v>
      </c>
      <c r="S1037" s="27" t="s">
        <v>3125</v>
      </c>
      <c r="T1037" s="27"/>
      <c r="U1037" s="27">
        <v>575</v>
      </c>
      <c r="V1037" s="27" t="s">
        <v>1726</v>
      </c>
      <c r="W1037" s="27" t="s">
        <v>1646</v>
      </c>
      <c r="X1037" s="73"/>
      <c r="Y1037" s="73" t="e">
        <f>VLOOKUP(X1037,Choferes!$B$2:$C$500,2,FALSE)</f>
        <v>#N/A</v>
      </c>
      <c r="Z1037" s="73" t="s">
        <v>3126</v>
      </c>
    </row>
    <row r="1038" spans="1:26" hidden="1" x14ac:dyDescent="0.25">
      <c r="A1038" s="33">
        <v>5</v>
      </c>
      <c r="B1038" s="71" t="s">
        <v>29</v>
      </c>
      <c r="C1038" s="39" t="s">
        <v>3081</v>
      </c>
      <c r="D1038" s="106" t="s">
        <v>2474</v>
      </c>
      <c r="E1038" s="47">
        <v>45689</v>
      </c>
      <c r="F1038" s="31" t="str">
        <f>VLOOKUP($C1038,Carpetas!$C$5:$M$2666,2,FALSE)</f>
        <v>BRB004</v>
      </c>
      <c r="G1038" s="23">
        <f>VLOOKUP($C1038,Carpetas!$C$5:$M$2666,10,FALSE)</f>
        <v>1515750</v>
      </c>
      <c r="H1038" s="27" t="str">
        <f>VLOOKUP($C1038,Carpetas!$C$5:$M$2666,6,FALSE)</f>
        <v xml:space="preserve">Silvio </v>
      </c>
      <c r="I1038" s="220"/>
      <c r="J1038" s="47">
        <f t="shared" si="69"/>
        <v>45691</v>
      </c>
      <c r="K1038" s="72" t="str">
        <f>VLOOKUP($C1038,Carpetas!$C$5:$M$2666,5,FALSE)</f>
        <v>Rio Branco</v>
      </c>
      <c r="L1038" s="32"/>
      <c r="M1038" s="48">
        <f>J1038+1</f>
        <v>45692</v>
      </c>
      <c r="N1038" s="26">
        <f t="shared" si="68"/>
        <v>3</v>
      </c>
      <c r="O1038" s="27">
        <v>918</v>
      </c>
      <c r="P1038" s="27">
        <v>918</v>
      </c>
      <c r="Q1038" s="27">
        <v>30</v>
      </c>
      <c r="R1038" s="27">
        <v>25</v>
      </c>
      <c r="S1038" s="27" t="s">
        <v>2574</v>
      </c>
      <c r="T1038" s="27"/>
      <c r="U1038" s="27">
        <v>7287</v>
      </c>
      <c r="V1038" s="27" t="s">
        <v>3127</v>
      </c>
      <c r="W1038" s="27" t="s">
        <v>3128</v>
      </c>
      <c r="X1038" s="73"/>
      <c r="Y1038" s="73" t="e">
        <f>VLOOKUP(X1038,Choferes!$B$2:$C$500,2,FALSE)</f>
        <v>#N/A</v>
      </c>
      <c r="Z1038" s="73" t="s">
        <v>3129</v>
      </c>
    </row>
    <row r="1039" spans="1:26" hidden="1" x14ac:dyDescent="0.25">
      <c r="A1039" s="33">
        <v>5</v>
      </c>
      <c r="B1039" s="71" t="s">
        <v>29</v>
      </c>
      <c r="C1039" s="39" t="s">
        <v>3130</v>
      </c>
      <c r="D1039" s="106" t="s">
        <v>121</v>
      </c>
      <c r="E1039" s="47">
        <v>45689</v>
      </c>
      <c r="F1039" s="31" t="str">
        <f>VLOOKUP($C1039,Carpetas!$C$5:$M$2666,2,FALSE)</f>
        <v>PYB017</v>
      </c>
      <c r="G1039" s="23">
        <f>VLOOKUP($C1039,Carpetas!$C$5:$M$2666,10,FALSE)</f>
        <v>0</v>
      </c>
      <c r="H1039" s="27">
        <f>VLOOKUP($C1039,Carpetas!$C$5:$M$2666,6,FALSE)</f>
        <v>0</v>
      </c>
      <c r="I1039" s="220"/>
      <c r="J1039" s="47">
        <v>45692</v>
      </c>
      <c r="K1039" s="72" t="str">
        <f>VLOOKUP($C1039,Carpetas!$C$5:$M$2666,5,FALSE)</f>
        <v>Salto</v>
      </c>
      <c r="L1039" s="32"/>
      <c r="M1039" s="48">
        <f>J1039+1</f>
        <v>45693</v>
      </c>
      <c r="N1039" s="26">
        <f t="shared" si="68"/>
        <v>4</v>
      </c>
      <c r="O1039" s="27">
        <v>980</v>
      </c>
      <c r="P1039" s="27">
        <v>982</v>
      </c>
      <c r="Q1039" s="27">
        <v>28</v>
      </c>
      <c r="R1039" s="27">
        <v>28</v>
      </c>
      <c r="S1039" s="27" t="s">
        <v>3131</v>
      </c>
      <c r="T1039" s="27"/>
      <c r="U1039" s="27"/>
      <c r="V1039" s="27" t="s">
        <v>3132</v>
      </c>
      <c r="W1039" s="27" t="s">
        <v>1011</v>
      </c>
      <c r="X1039" s="73"/>
      <c r="Y1039" s="73"/>
      <c r="Z1039" s="73" t="s">
        <v>3133</v>
      </c>
    </row>
    <row r="1040" spans="1:26" ht="30" hidden="1" x14ac:dyDescent="0.25">
      <c r="A1040" s="33">
        <v>6</v>
      </c>
      <c r="B1040" s="71" t="s">
        <v>29</v>
      </c>
      <c r="C1040" s="39" t="s">
        <v>3134</v>
      </c>
      <c r="D1040" s="106" t="s">
        <v>183</v>
      </c>
      <c r="E1040" s="47">
        <v>45690</v>
      </c>
      <c r="F1040" s="31" t="str">
        <f>VLOOKUP($C1040,Carpetas!$C$5:$M$2666,2,FALSE)</f>
        <v>PYB018</v>
      </c>
      <c r="G1040" s="23">
        <f>VLOOKUP($C1040,Carpetas!$C$5:$M$2666,10,FALSE)</f>
        <v>0</v>
      </c>
      <c r="H1040" s="27">
        <f>VLOOKUP($C1040,Carpetas!$C$5:$M$2666,6,FALSE)</f>
        <v>0</v>
      </c>
      <c r="I1040" s="220"/>
      <c r="J1040" s="47">
        <v>45692</v>
      </c>
      <c r="K1040" s="72" t="str">
        <f>VLOOKUP($C1040,Carpetas!$C$5:$M$2666,5,FALSE)</f>
        <v>Salto</v>
      </c>
      <c r="L1040" s="32"/>
      <c r="M1040" s="48">
        <f>J1040+1</f>
        <v>45693</v>
      </c>
      <c r="N1040" s="26">
        <f t="shared" si="68"/>
        <v>3</v>
      </c>
      <c r="O1040" s="27">
        <v>980</v>
      </c>
      <c r="P1040" s="27">
        <v>980</v>
      </c>
      <c r="Q1040" s="27">
        <v>28</v>
      </c>
      <c r="R1040" s="27">
        <v>26</v>
      </c>
      <c r="S1040" s="27" t="s">
        <v>3135</v>
      </c>
      <c r="T1040" s="27"/>
      <c r="U1040" s="27"/>
      <c r="V1040" s="27" t="s">
        <v>3024</v>
      </c>
      <c r="W1040" s="27" t="s">
        <v>1277</v>
      </c>
      <c r="X1040" s="73"/>
      <c r="Y1040" s="73"/>
      <c r="Z1040" s="73" t="s">
        <v>3136</v>
      </c>
    </row>
    <row r="1041" spans="1:26" hidden="1" x14ac:dyDescent="0.25">
      <c r="A1041" s="33">
        <v>6</v>
      </c>
      <c r="B1041" s="71" t="s">
        <v>29</v>
      </c>
      <c r="C1041" s="39" t="s">
        <v>3137</v>
      </c>
      <c r="D1041" s="106" t="s">
        <v>803</v>
      </c>
      <c r="E1041" s="47">
        <v>45691</v>
      </c>
      <c r="F1041" s="31" t="str">
        <f>VLOOKUP($C1041,Carpetas!$C$5:$M$2666,2,FALSE)</f>
        <v>BRB009</v>
      </c>
      <c r="G1041" s="23" t="str">
        <f>VLOOKUP($C1041,Carpetas!$C$5:$M$2666,10,FALSE)</f>
        <v>151,66,54</v>
      </c>
      <c r="H1041" s="27" t="str">
        <f>VLOOKUP($C1041,Carpetas!$C$5:$M$2666,6,FALSE)</f>
        <v>FG</v>
      </c>
      <c r="I1041" s="220"/>
      <c r="J1041" s="47">
        <v>45692</v>
      </c>
      <c r="K1041" s="72" t="str">
        <f>VLOOKUP($C1041,Carpetas!$C$5:$M$2666,5,FALSE)</f>
        <v>Rio Branco</v>
      </c>
      <c r="L1041" s="32"/>
      <c r="M1041" s="48">
        <f>J1041+1+1</f>
        <v>45694</v>
      </c>
      <c r="N1041" s="26">
        <f t="shared" si="68"/>
        <v>3</v>
      </c>
      <c r="O1041" s="27">
        <v>990</v>
      </c>
      <c r="P1041" s="27">
        <v>990</v>
      </c>
      <c r="Q1041" s="27">
        <v>28</v>
      </c>
      <c r="R1041" s="27">
        <v>26</v>
      </c>
      <c r="S1041" s="27" t="s">
        <v>1091</v>
      </c>
      <c r="T1041" s="27"/>
      <c r="U1041" s="27">
        <v>579</v>
      </c>
      <c r="V1041" s="27" t="s">
        <v>1657</v>
      </c>
      <c r="W1041" s="27" t="s">
        <v>1815</v>
      </c>
      <c r="X1041" s="73"/>
      <c r="Y1041" s="73" t="e">
        <f>VLOOKUP(X1041,Choferes!$B$2:$C$500,2,FALSE)</f>
        <v>#N/A</v>
      </c>
      <c r="Z1041" s="73" t="s">
        <v>3138</v>
      </c>
    </row>
    <row r="1042" spans="1:26" hidden="1" x14ac:dyDescent="0.25">
      <c r="A1042" s="33">
        <v>6</v>
      </c>
      <c r="B1042" s="71" t="s">
        <v>29</v>
      </c>
      <c r="C1042" s="39" t="s">
        <v>3137</v>
      </c>
      <c r="D1042" s="106" t="s">
        <v>747</v>
      </c>
      <c r="E1042" s="47">
        <v>45691</v>
      </c>
      <c r="F1042" s="31" t="str">
        <f>VLOOKUP($C1042,Carpetas!$C$5:$M$2666,2,FALSE)</f>
        <v>BRB009</v>
      </c>
      <c r="G1042" s="23" t="str">
        <f>VLOOKUP($C1042,Carpetas!$C$5:$M$2666,10,FALSE)</f>
        <v>151,66,54</v>
      </c>
      <c r="H1042" s="27" t="str">
        <f>VLOOKUP($C1042,Carpetas!$C$5:$M$2666,6,FALSE)</f>
        <v>FG</v>
      </c>
      <c r="I1042" s="220"/>
      <c r="J1042" s="47">
        <f>E1042+2</f>
        <v>45693</v>
      </c>
      <c r="K1042" s="72" t="str">
        <f>VLOOKUP($C1042,Carpetas!$C$5:$M$2666,5,FALSE)</f>
        <v>Rio Branco</v>
      </c>
      <c r="L1042" s="32"/>
      <c r="M1042" s="48">
        <f t="shared" ref="M1042:M1047" si="70">J1042+1</f>
        <v>45694</v>
      </c>
      <c r="N1042" s="26">
        <f t="shared" si="68"/>
        <v>3</v>
      </c>
      <c r="O1042" s="27">
        <v>990</v>
      </c>
      <c r="P1042" s="27">
        <v>991</v>
      </c>
      <c r="Q1042" s="27">
        <v>28</v>
      </c>
      <c r="R1042" s="27">
        <v>26</v>
      </c>
      <c r="S1042" s="27" t="s">
        <v>1115</v>
      </c>
      <c r="T1042" s="27"/>
      <c r="U1042" s="27">
        <v>580</v>
      </c>
      <c r="V1042" s="27" t="s">
        <v>3139</v>
      </c>
      <c r="W1042" s="27" t="s">
        <v>3140</v>
      </c>
      <c r="X1042" s="73"/>
      <c r="Y1042" s="73" t="e">
        <f>VLOOKUP(X1042,Choferes!$B$2:$C$500,2,FALSE)</f>
        <v>#N/A</v>
      </c>
      <c r="Z1042" s="73" t="s">
        <v>3141</v>
      </c>
    </row>
    <row r="1043" spans="1:26" ht="30" hidden="1" x14ac:dyDescent="0.25">
      <c r="A1043" s="33">
        <v>6</v>
      </c>
      <c r="B1043" s="71" t="s">
        <v>29</v>
      </c>
      <c r="C1043" s="39" t="s">
        <v>3142</v>
      </c>
      <c r="D1043" s="106" t="s">
        <v>102</v>
      </c>
      <c r="E1043" s="47">
        <v>45691</v>
      </c>
      <c r="F1043" s="31" t="str">
        <f>VLOOKUP($C1043,Carpetas!$C$5:$M$2666,2,FALSE)</f>
        <v>PYB019</v>
      </c>
      <c r="G1043" s="23">
        <f>VLOOKUP($C1043,Carpetas!$C$5:$M$2666,10,FALSE)</f>
        <v>0</v>
      </c>
      <c r="H1043" s="27">
        <f>VLOOKUP($C1043,Carpetas!$C$5:$M$2666,6,FALSE)</f>
        <v>0</v>
      </c>
      <c r="I1043" s="220"/>
      <c r="J1043" s="47">
        <v>45693</v>
      </c>
      <c r="K1043" s="72" t="str">
        <f>VLOOKUP($C1043,Carpetas!$C$5:$M$2666,5,FALSE)</f>
        <v>Salto</v>
      </c>
      <c r="L1043" s="32"/>
      <c r="M1043" s="48">
        <f t="shared" si="70"/>
        <v>45694</v>
      </c>
      <c r="N1043" s="26">
        <f t="shared" si="68"/>
        <v>3</v>
      </c>
      <c r="O1043" s="27">
        <v>980</v>
      </c>
      <c r="P1043" s="27">
        <v>980</v>
      </c>
      <c r="Q1043" s="27">
        <v>28</v>
      </c>
      <c r="R1043" s="27">
        <v>27</v>
      </c>
      <c r="S1043" s="27" t="s">
        <v>3143</v>
      </c>
      <c r="T1043" s="27"/>
      <c r="U1043" s="27"/>
      <c r="V1043" s="27" t="s">
        <v>3144</v>
      </c>
      <c r="W1043" s="27" t="s">
        <v>162</v>
      </c>
      <c r="X1043" s="73"/>
      <c r="Y1043" s="73"/>
      <c r="Z1043" s="73" t="s">
        <v>3145</v>
      </c>
    </row>
    <row r="1044" spans="1:26" ht="30" hidden="1" x14ac:dyDescent="0.25">
      <c r="A1044" s="33">
        <v>6</v>
      </c>
      <c r="B1044" s="71" t="s">
        <v>29</v>
      </c>
      <c r="C1044" s="39" t="s">
        <v>3134</v>
      </c>
      <c r="D1044" s="106" t="s">
        <v>183</v>
      </c>
      <c r="E1044" s="47">
        <v>45691</v>
      </c>
      <c r="F1044" s="31" t="str">
        <f>VLOOKUP($C1044,Carpetas!$C$5:$M$2666,2,FALSE)</f>
        <v>PYB018</v>
      </c>
      <c r="G1044" s="23">
        <f>VLOOKUP($C1044,Carpetas!$C$5:$M$2666,10,FALSE)</f>
        <v>0</v>
      </c>
      <c r="H1044" s="27">
        <f>VLOOKUP($C1044,Carpetas!$C$5:$M$2666,6,FALSE)</f>
        <v>0</v>
      </c>
      <c r="I1044" s="220"/>
      <c r="J1044" s="47">
        <v>45694</v>
      </c>
      <c r="K1044" s="72" t="str">
        <f>VLOOKUP($C1044,Carpetas!$C$5:$M$2666,5,FALSE)</f>
        <v>Salto</v>
      </c>
      <c r="L1044" s="32"/>
      <c r="M1044" s="48">
        <f t="shared" si="70"/>
        <v>45695</v>
      </c>
      <c r="N1044" s="26">
        <f t="shared" si="68"/>
        <v>4</v>
      </c>
      <c r="O1044" s="27">
        <v>980</v>
      </c>
      <c r="P1044" s="27">
        <v>981</v>
      </c>
      <c r="Q1044" s="27">
        <v>28</v>
      </c>
      <c r="R1044" s="27">
        <v>27</v>
      </c>
      <c r="S1044" s="27" t="s">
        <v>621</v>
      </c>
      <c r="T1044" s="27"/>
      <c r="U1044" s="27"/>
      <c r="V1044" s="27" t="s">
        <v>50</v>
      </c>
      <c r="W1044" s="27" t="s">
        <v>51</v>
      </c>
      <c r="X1044" s="73"/>
      <c r="Y1044" s="73"/>
      <c r="Z1044" s="73" t="s">
        <v>3146</v>
      </c>
    </row>
    <row r="1045" spans="1:26" hidden="1" x14ac:dyDescent="0.25">
      <c r="A1045" s="33">
        <v>6</v>
      </c>
      <c r="B1045" s="71" t="s">
        <v>29</v>
      </c>
      <c r="C1045" s="39" t="s">
        <v>3130</v>
      </c>
      <c r="D1045" s="106" t="s">
        <v>121</v>
      </c>
      <c r="E1045" s="47">
        <v>45691</v>
      </c>
      <c r="F1045" s="31" t="str">
        <f>VLOOKUP($C1045,Carpetas!$C$5:$M$2666,2,FALSE)</f>
        <v>PYB017</v>
      </c>
      <c r="G1045" s="23">
        <f>VLOOKUP($C1045,Carpetas!$C$5:$M$2666,10,FALSE)</f>
        <v>0</v>
      </c>
      <c r="H1045" s="27">
        <f>VLOOKUP($C1045,Carpetas!$C$5:$M$2666,6,FALSE)</f>
        <v>0</v>
      </c>
      <c r="I1045" s="220"/>
      <c r="J1045" s="47">
        <f>E1045+3</f>
        <v>45694</v>
      </c>
      <c r="K1045" s="72" t="str">
        <f>VLOOKUP($C1045,Carpetas!$C$5:$M$2666,5,FALSE)</f>
        <v>Salto</v>
      </c>
      <c r="L1045" s="32"/>
      <c r="M1045" s="48">
        <f t="shared" si="70"/>
        <v>45695</v>
      </c>
      <c r="N1045" s="26">
        <f t="shared" si="68"/>
        <v>4</v>
      </c>
      <c r="O1045" s="27">
        <v>980</v>
      </c>
      <c r="P1045" s="27">
        <v>981</v>
      </c>
      <c r="Q1045" s="27">
        <v>28</v>
      </c>
      <c r="R1045" s="27">
        <v>26</v>
      </c>
      <c r="S1045" s="27" t="s">
        <v>3147</v>
      </c>
      <c r="T1045" s="27"/>
      <c r="U1045" s="27"/>
      <c r="V1045" s="27"/>
      <c r="W1045" s="27"/>
      <c r="X1045" s="73"/>
      <c r="Y1045" s="73"/>
      <c r="Z1045" s="73" t="s">
        <v>3148</v>
      </c>
    </row>
    <row r="1046" spans="1:26" hidden="1" x14ac:dyDescent="0.25">
      <c r="A1046" s="33">
        <v>6</v>
      </c>
      <c r="B1046" s="71" t="s">
        <v>29</v>
      </c>
      <c r="C1046" s="39" t="s">
        <v>3137</v>
      </c>
      <c r="D1046" s="106" t="s">
        <v>803</v>
      </c>
      <c r="E1046" s="47">
        <v>45693</v>
      </c>
      <c r="F1046" s="31" t="str">
        <f>VLOOKUP($C1046,Carpetas!$C$5:$M$2666,2,FALSE)</f>
        <v>BRB009</v>
      </c>
      <c r="G1046" s="23" t="str">
        <f>VLOOKUP($C1046,Carpetas!$C$5:$M$2666,10,FALSE)</f>
        <v>151,66,54</v>
      </c>
      <c r="H1046" s="27" t="str">
        <f>VLOOKUP($C1046,Carpetas!$C$5:$M$2666,6,FALSE)</f>
        <v>FG</v>
      </c>
      <c r="I1046" s="220"/>
      <c r="J1046" s="47">
        <v>45694</v>
      </c>
      <c r="K1046" s="72" t="str">
        <f>VLOOKUP($C1046,Carpetas!$C$5:$M$2666,5,FALSE)</f>
        <v>Rio Branco</v>
      </c>
      <c r="L1046" s="32"/>
      <c r="M1046" s="48">
        <f t="shared" si="70"/>
        <v>45695</v>
      </c>
      <c r="N1046" s="26">
        <f t="shared" si="68"/>
        <v>2</v>
      </c>
      <c r="O1046" s="27">
        <v>990</v>
      </c>
      <c r="P1046" s="27">
        <v>990</v>
      </c>
      <c r="Q1046" s="27">
        <v>28</v>
      </c>
      <c r="R1046" s="27">
        <v>26</v>
      </c>
      <c r="S1046" s="27" t="s">
        <v>1141</v>
      </c>
      <c r="T1046" s="27"/>
      <c r="U1046" s="27">
        <v>584</v>
      </c>
      <c r="V1046" s="27" t="s">
        <v>1630</v>
      </c>
      <c r="W1046" s="27" t="s">
        <v>1934</v>
      </c>
      <c r="X1046" s="73"/>
      <c r="Y1046" s="73" t="e">
        <f>VLOOKUP(X1046,Choferes!$B$2:$C$500,2,FALSE)</f>
        <v>#N/A</v>
      </c>
      <c r="Z1046" s="73" t="s">
        <v>3149</v>
      </c>
    </row>
    <row r="1047" spans="1:26" hidden="1" x14ac:dyDescent="0.25">
      <c r="A1047" s="33">
        <v>6</v>
      </c>
      <c r="B1047" s="71" t="s">
        <v>29</v>
      </c>
      <c r="C1047" s="39" t="s">
        <v>3137</v>
      </c>
      <c r="D1047" s="106" t="s">
        <v>747</v>
      </c>
      <c r="E1047" s="47">
        <v>45693</v>
      </c>
      <c r="F1047" s="31" t="str">
        <f>VLOOKUP($C1047,Carpetas!$C$5:$M$2666,2,FALSE)</f>
        <v>BRB009</v>
      </c>
      <c r="G1047" s="23" t="str">
        <f>VLOOKUP($C1047,Carpetas!$C$5:$M$2666,10,FALSE)</f>
        <v>151,66,54</v>
      </c>
      <c r="H1047" s="27" t="str">
        <f>VLOOKUP($C1047,Carpetas!$C$5:$M$2666,6,FALSE)</f>
        <v>FG</v>
      </c>
      <c r="I1047" s="220"/>
      <c r="J1047" s="47">
        <v>45694</v>
      </c>
      <c r="K1047" s="72" t="str">
        <f>VLOOKUP($C1047,Carpetas!$C$5:$M$2666,5,FALSE)</f>
        <v>Rio Branco</v>
      </c>
      <c r="L1047" s="32"/>
      <c r="M1047" s="48">
        <f t="shared" si="70"/>
        <v>45695</v>
      </c>
      <c r="N1047" s="26">
        <f t="shared" si="68"/>
        <v>2</v>
      </c>
      <c r="O1047" s="27">
        <v>990</v>
      </c>
      <c r="P1047" s="27">
        <v>990</v>
      </c>
      <c r="Q1047" s="27">
        <v>28</v>
      </c>
      <c r="R1047" s="27">
        <v>26</v>
      </c>
      <c r="S1047" s="27" t="s">
        <v>1227</v>
      </c>
      <c r="T1047" s="27"/>
      <c r="U1047" s="27">
        <v>581</v>
      </c>
      <c r="V1047" s="27" t="s">
        <v>3150</v>
      </c>
      <c r="W1047" s="27" t="s">
        <v>3151</v>
      </c>
      <c r="X1047" s="73"/>
      <c r="Y1047" s="73" t="e">
        <f>VLOOKUP(X1047,Choferes!$B$2:$C$500,2,FALSE)</f>
        <v>#N/A</v>
      </c>
      <c r="Z1047" s="73" t="s">
        <v>3152</v>
      </c>
    </row>
    <row r="1048" spans="1:26" hidden="1" x14ac:dyDescent="0.25">
      <c r="A1048" s="33">
        <v>6</v>
      </c>
      <c r="B1048" s="71" t="s">
        <v>29</v>
      </c>
      <c r="C1048" s="39" t="s">
        <v>3142</v>
      </c>
      <c r="D1048" s="106" t="s">
        <v>102</v>
      </c>
      <c r="E1048" s="47">
        <v>45692</v>
      </c>
      <c r="F1048" s="31" t="str">
        <f>VLOOKUP($C1048,Carpetas!$C$5:$M$2666,2,FALSE)</f>
        <v>PYB019</v>
      </c>
      <c r="G1048" s="23">
        <f>VLOOKUP($C1048,Carpetas!$C$5:$M$2666,10,FALSE)</f>
        <v>0</v>
      </c>
      <c r="H1048" s="27">
        <f>VLOOKUP($C1048,Carpetas!$C$5:$M$2666,6,FALSE)</f>
        <v>0</v>
      </c>
      <c r="I1048" s="220"/>
      <c r="J1048" s="47">
        <f>E1048+3</f>
        <v>45695</v>
      </c>
      <c r="K1048" s="72" t="str">
        <f>VLOOKUP($C1048,Carpetas!$C$5:$M$2666,5,FALSE)</f>
        <v>Salto</v>
      </c>
      <c r="L1048" s="32"/>
      <c r="M1048" s="48">
        <v>45695</v>
      </c>
      <c r="N1048" s="26">
        <f t="shared" si="68"/>
        <v>3</v>
      </c>
      <c r="O1048" s="27">
        <v>980</v>
      </c>
      <c r="P1048" s="27">
        <v>980</v>
      </c>
      <c r="Q1048" s="27">
        <v>28</v>
      </c>
      <c r="R1048" s="27">
        <v>26</v>
      </c>
      <c r="S1048" s="27" t="s">
        <v>3153</v>
      </c>
      <c r="T1048" s="27"/>
      <c r="U1048" s="27"/>
      <c r="V1048" s="27" t="s">
        <v>490</v>
      </c>
      <c r="W1048" s="27" t="s">
        <v>491</v>
      </c>
      <c r="X1048" s="73"/>
      <c r="Y1048" s="73"/>
      <c r="Z1048" s="73" t="s">
        <v>3154</v>
      </c>
    </row>
    <row r="1049" spans="1:26" hidden="1" x14ac:dyDescent="0.25">
      <c r="A1049" s="33">
        <v>6</v>
      </c>
      <c r="B1049" s="71" t="s">
        <v>29</v>
      </c>
      <c r="C1049" s="39" t="s">
        <v>3112</v>
      </c>
      <c r="D1049" s="106" t="s">
        <v>249</v>
      </c>
      <c r="E1049" s="47">
        <v>45693</v>
      </c>
      <c r="F1049" s="31" t="str">
        <f>VLOOKUP($C1049,Carpetas!$C$5:$M$2666,2,FALSE)</f>
        <v>BRB008</v>
      </c>
      <c r="G1049" s="23">
        <f>VLOOKUP($C1049,Carpetas!$C$5:$M$2666,10,FALSE)</f>
        <v>1515941</v>
      </c>
      <c r="H1049" s="27" t="str">
        <f>VLOOKUP($C1049,Carpetas!$C$5:$M$2666,6,FALSE)</f>
        <v>Zanini</v>
      </c>
      <c r="I1049" s="220"/>
      <c r="J1049" s="47">
        <f>E1049+2</f>
        <v>45695</v>
      </c>
      <c r="K1049" s="72" t="str">
        <f>VLOOKUP($C1049,Carpetas!$C$5:$M$2666,5,FALSE)</f>
        <v>Rio Branco</v>
      </c>
      <c r="L1049" s="32"/>
      <c r="M1049" s="48">
        <f t="shared" ref="M1049:M1060" si="71">J1049+1</f>
        <v>45696</v>
      </c>
      <c r="N1049" s="26">
        <f t="shared" si="68"/>
        <v>3</v>
      </c>
      <c r="O1049" s="27">
        <v>918</v>
      </c>
      <c r="P1049" s="27">
        <v>918</v>
      </c>
      <c r="Q1049" s="27">
        <v>25</v>
      </c>
      <c r="R1049" s="27">
        <v>26</v>
      </c>
      <c r="S1049" s="27" t="s">
        <v>949</v>
      </c>
      <c r="T1049" s="27"/>
      <c r="U1049" s="27">
        <v>5028</v>
      </c>
      <c r="V1049" s="27" t="s">
        <v>3155</v>
      </c>
      <c r="W1049" s="27" t="s">
        <v>3156</v>
      </c>
      <c r="X1049" s="73"/>
      <c r="Y1049" s="73" t="e">
        <f>VLOOKUP(X1049,Choferes!$B$2:$C$500,2,FALSE)</f>
        <v>#N/A</v>
      </c>
      <c r="Z1049" s="73" t="s">
        <v>3157</v>
      </c>
    </row>
    <row r="1050" spans="1:26" hidden="1" x14ac:dyDescent="0.25">
      <c r="A1050" s="33">
        <v>6</v>
      </c>
      <c r="B1050" s="71" t="s">
        <v>29</v>
      </c>
      <c r="C1050" s="39" t="s">
        <v>3158</v>
      </c>
      <c r="D1050" s="106" t="s">
        <v>110</v>
      </c>
      <c r="E1050" s="47">
        <v>45693</v>
      </c>
      <c r="F1050" s="31" t="str">
        <f>VLOOKUP($C1050,Carpetas!$C$5:$M$2666,2,FALSE)</f>
        <v>BRB010</v>
      </c>
      <c r="G1050" s="23" t="str">
        <f>VLOOKUP($C1050,Carpetas!$C$5:$M$2666,10,FALSE)</f>
        <v>151,66,52</v>
      </c>
      <c r="H1050" s="27" t="str">
        <f>VLOOKUP($C1050,Carpetas!$C$5:$M$2666,6,FALSE)</f>
        <v xml:space="preserve">Silvio </v>
      </c>
      <c r="I1050" s="220"/>
      <c r="J1050" s="47">
        <f>E1050+2</f>
        <v>45695</v>
      </c>
      <c r="K1050" s="72" t="str">
        <f>VLOOKUP($C1050,Carpetas!$C$5:$M$2666,5,FALSE)</f>
        <v>Rio Branco</v>
      </c>
      <c r="L1050" s="32"/>
      <c r="M1050" s="48">
        <f t="shared" si="71"/>
        <v>45696</v>
      </c>
      <c r="N1050" s="26">
        <f t="shared" si="68"/>
        <v>3</v>
      </c>
      <c r="O1050" s="27">
        <v>918</v>
      </c>
      <c r="P1050" s="27">
        <v>919</v>
      </c>
      <c r="Q1050" s="27">
        <v>26</v>
      </c>
      <c r="R1050" s="27">
        <v>25</v>
      </c>
      <c r="S1050" s="27" t="s">
        <v>451</v>
      </c>
      <c r="T1050" s="27"/>
      <c r="U1050" s="27">
        <v>7302</v>
      </c>
      <c r="V1050" s="27" t="s">
        <v>1684</v>
      </c>
      <c r="W1050" s="27" t="s">
        <v>2756</v>
      </c>
      <c r="X1050" s="73"/>
      <c r="Y1050" s="73" t="e">
        <f>VLOOKUP(X1050,Choferes!$B$2:$C$500,2,FALSE)</f>
        <v>#N/A</v>
      </c>
      <c r="Z1050" s="73" t="s">
        <v>3159</v>
      </c>
    </row>
    <row r="1051" spans="1:26" hidden="1" x14ac:dyDescent="0.25">
      <c r="A1051" s="33">
        <v>6</v>
      </c>
      <c r="B1051" s="71" t="s">
        <v>29</v>
      </c>
      <c r="C1051" s="39" t="s">
        <v>3158</v>
      </c>
      <c r="D1051" s="106" t="s">
        <v>78</v>
      </c>
      <c r="E1051" s="47">
        <v>45693</v>
      </c>
      <c r="F1051" s="31" t="str">
        <f>VLOOKUP($C1051,Carpetas!$C$5:$M$2666,2,FALSE)</f>
        <v>BRB010</v>
      </c>
      <c r="G1051" s="23" t="str">
        <f>VLOOKUP($C1051,Carpetas!$C$5:$M$2666,10,FALSE)</f>
        <v>151,66,52</v>
      </c>
      <c r="H1051" s="27" t="str">
        <f>VLOOKUP($C1051,Carpetas!$C$5:$M$2666,6,FALSE)</f>
        <v xml:space="preserve">Silvio </v>
      </c>
      <c r="I1051" s="220"/>
      <c r="J1051" s="47">
        <f>E1051+2</f>
        <v>45695</v>
      </c>
      <c r="K1051" s="72" t="str">
        <f>VLOOKUP($C1051,Carpetas!$C$5:$M$2666,5,FALSE)</f>
        <v>Rio Branco</v>
      </c>
      <c r="L1051" s="32"/>
      <c r="M1051" s="48">
        <f t="shared" si="71"/>
        <v>45696</v>
      </c>
      <c r="N1051" s="26">
        <f t="shared" si="68"/>
        <v>3</v>
      </c>
      <c r="O1051" s="27">
        <v>918</v>
      </c>
      <c r="P1051" s="27">
        <v>937</v>
      </c>
      <c r="Q1051" s="27">
        <v>26</v>
      </c>
      <c r="R1051" s="27">
        <v>25.5</v>
      </c>
      <c r="S1051" s="27" t="s">
        <v>188</v>
      </c>
      <c r="T1051" s="27"/>
      <c r="U1051" s="27">
        <v>7303</v>
      </c>
      <c r="V1051" s="27" t="s">
        <v>3160</v>
      </c>
      <c r="W1051" s="27" t="s">
        <v>3161</v>
      </c>
      <c r="X1051" s="73"/>
      <c r="Y1051" s="73" t="e">
        <f>VLOOKUP(X1051,Choferes!$B$2:$C$500,2,FALSE)</f>
        <v>#N/A</v>
      </c>
      <c r="Z1051" s="73" t="s">
        <v>3162</v>
      </c>
    </row>
    <row r="1052" spans="1:26" hidden="1" x14ac:dyDescent="0.25">
      <c r="A1052" s="33">
        <v>6</v>
      </c>
      <c r="B1052" s="71" t="s">
        <v>29</v>
      </c>
      <c r="C1052" s="39" t="s">
        <v>3137</v>
      </c>
      <c r="D1052" s="106" t="s">
        <v>249</v>
      </c>
      <c r="E1052" s="47">
        <v>45693</v>
      </c>
      <c r="F1052" s="31" t="str">
        <f>VLOOKUP($C1052,Carpetas!$C$5:$M$2666,2,FALSE)</f>
        <v>BRB009</v>
      </c>
      <c r="G1052" s="23" t="str">
        <f>VLOOKUP($C1052,Carpetas!$C$5:$M$2666,10,FALSE)</f>
        <v>151,66,54</v>
      </c>
      <c r="H1052" s="27" t="str">
        <f>VLOOKUP($C1052,Carpetas!$C$5:$M$2666,6,FALSE)</f>
        <v>FG</v>
      </c>
      <c r="I1052" s="220"/>
      <c r="J1052" s="47">
        <f>E1052+2</f>
        <v>45695</v>
      </c>
      <c r="K1052" s="72" t="str">
        <f>VLOOKUP($C1052,Carpetas!$C$5:$M$2666,5,FALSE)</f>
        <v>Rio Branco</v>
      </c>
      <c r="L1052" s="32"/>
      <c r="M1052" s="48">
        <f t="shared" si="71"/>
        <v>45696</v>
      </c>
      <c r="N1052" s="26">
        <f t="shared" si="68"/>
        <v>3</v>
      </c>
      <c r="O1052" s="27">
        <v>990</v>
      </c>
      <c r="P1052" s="27">
        <v>991</v>
      </c>
      <c r="Q1052" s="27">
        <v>28</v>
      </c>
      <c r="R1052" s="27">
        <v>26</v>
      </c>
      <c r="S1052" s="27" t="s">
        <v>1007</v>
      </c>
      <c r="T1052" s="27"/>
      <c r="U1052" s="27">
        <v>585</v>
      </c>
      <c r="V1052" s="27" t="s">
        <v>1735</v>
      </c>
      <c r="W1052" s="27" t="s">
        <v>912</v>
      </c>
      <c r="X1052" s="73"/>
      <c r="Y1052" s="73" t="e">
        <f>VLOOKUP(X1052,Choferes!$B$2:$C$500,2,FALSE)</f>
        <v>#N/A</v>
      </c>
      <c r="Z1052" s="73" t="s">
        <v>3163</v>
      </c>
    </row>
    <row r="1053" spans="1:26" hidden="1" x14ac:dyDescent="0.25">
      <c r="A1053" s="33">
        <v>6</v>
      </c>
      <c r="B1053" s="71" t="s">
        <v>29</v>
      </c>
      <c r="C1053" s="39" t="s">
        <v>3164</v>
      </c>
      <c r="D1053" s="106" t="s">
        <v>2474</v>
      </c>
      <c r="E1053" s="47">
        <v>45693</v>
      </c>
      <c r="F1053" s="31" t="str">
        <f>VLOOKUP($C1053,Carpetas!$C$5:$M$2666,2,FALSE)</f>
        <v>BRB011</v>
      </c>
      <c r="G1053" s="23" t="str">
        <f>VLOOKUP($C1053,Carpetas!$C$5:$M$2666,10,FALSE)</f>
        <v>151,66,53</v>
      </c>
      <c r="H1053" s="27" t="str">
        <f>VLOOKUP($C1053,Carpetas!$C$5:$M$2666,6,FALSE)</f>
        <v>Zanini</v>
      </c>
      <c r="I1053" s="220"/>
      <c r="J1053" s="47">
        <f>E1053+5</f>
        <v>45698</v>
      </c>
      <c r="K1053" s="72" t="str">
        <f>VLOOKUP($C1053,Carpetas!$C$5:$M$2666,5,FALSE)</f>
        <v>Rio Branco</v>
      </c>
      <c r="L1053" s="32"/>
      <c r="M1053" s="48">
        <f t="shared" si="71"/>
        <v>45699</v>
      </c>
      <c r="N1053" s="26">
        <f t="shared" si="68"/>
        <v>6</v>
      </c>
      <c r="O1053" s="27">
        <v>918</v>
      </c>
      <c r="P1053" s="27">
        <v>918</v>
      </c>
      <c r="Q1053" s="27">
        <v>30</v>
      </c>
      <c r="R1053" s="27">
        <v>25</v>
      </c>
      <c r="S1053" s="27" t="s">
        <v>2630</v>
      </c>
      <c r="T1053" s="27"/>
      <c r="U1053" s="27">
        <v>5032</v>
      </c>
      <c r="V1053" s="27" t="s">
        <v>292</v>
      </c>
      <c r="W1053" s="27" t="s">
        <v>3165</v>
      </c>
      <c r="X1053" s="73"/>
      <c r="Y1053" s="73" t="e">
        <f>VLOOKUP(X1053,Choferes!$B$2:$C$500,2,FALSE)</f>
        <v>#N/A</v>
      </c>
      <c r="Z1053" s="73" t="s">
        <v>3166</v>
      </c>
    </row>
    <row r="1054" spans="1:26" hidden="1" x14ac:dyDescent="0.25">
      <c r="A1054" s="33">
        <v>6</v>
      </c>
      <c r="B1054" s="71" t="s">
        <v>29</v>
      </c>
      <c r="C1054" s="39" t="s">
        <v>3103</v>
      </c>
      <c r="D1054" s="106" t="s">
        <v>747</v>
      </c>
      <c r="E1054" s="47">
        <v>45695</v>
      </c>
      <c r="F1054" s="31" t="str">
        <f>VLOOKUP($C1054,Carpetas!$C$5:$M$2666,2,FALSE)</f>
        <v>BRB007</v>
      </c>
      <c r="G1054" s="23">
        <f>VLOOKUP($C1054,Carpetas!$C$5:$M$2666,10,FALSE)</f>
        <v>1515940</v>
      </c>
      <c r="H1054" s="27" t="str">
        <f>VLOOKUP($C1054,Carpetas!$C$5:$M$2666,6,FALSE)</f>
        <v>Amaro</v>
      </c>
      <c r="I1054" s="220"/>
      <c r="J1054" s="47">
        <f t="shared" ref="J1054:J1059" si="72">E1054+3</f>
        <v>45698</v>
      </c>
      <c r="K1054" s="72" t="str">
        <f>VLOOKUP($C1054,Carpetas!$C$5:$M$2666,5,FALSE)</f>
        <v>Rio Branco</v>
      </c>
      <c r="L1054" s="32"/>
      <c r="M1054" s="48">
        <f t="shared" si="71"/>
        <v>45699</v>
      </c>
      <c r="N1054" s="26">
        <f t="shared" si="68"/>
        <v>4</v>
      </c>
      <c r="O1054" s="27">
        <v>990</v>
      </c>
      <c r="P1054" s="27">
        <v>991</v>
      </c>
      <c r="Q1054" s="27">
        <v>28</v>
      </c>
      <c r="R1054" s="27">
        <v>26</v>
      </c>
      <c r="S1054" s="27" t="s">
        <v>1284</v>
      </c>
      <c r="T1054" s="27"/>
      <c r="U1054" s="27"/>
      <c r="V1054" s="27" t="s">
        <v>3167</v>
      </c>
      <c r="W1054" s="27" t="s">
        <v>1859</v>
      </c>
      <c r="X1054" s="73"/>
      <c r="Y1054" s="73" t="e">
        <f>VLOOKUP(X1054,Choferes!$B$2:$C$500,2,FALSE)</f>
        <v>#N/A</v>
      </c>
      <c r="Z1054" s="73" t="s">
        <v>3168</v>
      </c>
    </row>
    <row r="1055" spans="1:26" hidden="1" x14ac:dyDescent="0.25">
      <c r="A1055" s="33">
        <v>6</v>
      </c>
      <c r="B1055" s="71" t="s">
        <v>29</v>
      </c>
      <c r="C1055" s="39" t="s">
        <v>3164</v>
      </c>
      <c r="D1055" s="106" t="s">
        <v>2474</v>
      </c>
      <c r="E1055" s="47">
        <v>45695</v>
      </c>
      <c r="F1055" s="31" t="str">
        <f>VLOOKUP($C1055,Carpetas!$C$5:$M$2666,2,FALSE)</f>
        <v>BRB011</v>
      </c>
      <c r="G1055" s="23" t="str">
        <f>VLOOKUP($C1055,Carpetas!$C$5:$M$2666,10,FALSE)</f>
        <v>151,66,53</v>
      </c>
      <c r="H1055" s="27" t="str">
        <f>VLOOKUP($C1055,Carpetas!$C$5:$M$2666,6,FALSE)</f>
        <v>Zanini</v>
      </c>
      <c r="I1055" s="220"/>
      <c r="J1055" s="47">
        <f t="shared" si="72"/>
        <v>45698</v>
      </c>
      <c r="K1055" s="72" t="str">
        <f>VLOOKUP($C1055,Carpetas!$C$5:$M$2666,5,FALSE)</f>
        <v>Rio Branco</v>
      </c>
      <c r="L1055" s="32"/>
      <c r="M1055" s="48">
        <f t="shared" si="71"/>
        <v>45699</v>
      </c>
      <c r="N1055" s="26">
        <f t="shared" si="68"/>
        <v>4</v>
      </c>
      <c r="O1055" s="27">
        <v>918</v>
      </c>
      <c r="P1055" s="27">
        <v>918</v>
      </c>
      <c r="Q1055" s="27">
        <v>30</v>
      </c>
      <c r="R1055" s="27">
        <v>25</v>
      </c>
      <c r="S1055" s="27" t="s">
        <v>2635</v>
      </c>
      <c r="T1055" s="27"/>
      <c r="U1055" s="27"/>
      <c r="V1055" s="27" t="s">
        <v>2420</v>
      </c>
      <c r="W1055" s="27" t="s">
        <v>3169</v>
      </c>
      <c r="X1055" s="73"/>
      <c r="Y1055" s="73" t="e">
        <f>VLOOKUP(X1055,Choferes!$B$2:$C$500,2,FALSE)</f>
        <v>#N/A</v>
      </c>
      <c r="Z1055" s="73" t="s">
        <v>3170</v>
      </c>
    </row>
    <row r="1056" spans="1:26" hidden="1" x14ac:dyDescent="0.25">
      <c r="A1056" s="33">
        <v>6</v>
      </c>
      <c r="B1056" s="71" t="s">
        <v>29</v>
      </c>
      <c r="C1056" s="39" t="s">
        <v>3164</v>
      </c>
      <c r="D1056" s="106" t="s">
        <v>249</v>
      </c>
      <c r="E1056" s="47">
        <v>45695</v>
      </c>
      <c r="F1056" s="31" t="str">
        <f>VLOOKUP($C1056,Carpetas!$C$5:$M$2666,2,FALSE)</f>
        <v>BRB011</v>
      </c>
      <c r="G1056" s="23" t="str">
        <f>VLOOKUP($C1056,Carpetas!$C$5:$M$2666,10,FALSE)</f>
        <v>151,66,53</v>
      </c>
      <c r="H1056" s="27" t="str">
        <f>VLOOKUP($C1056,Carpetas!$C$5:$M$2666,6,FALSE)</f>
        <v>Zanini</v>
      </c>
      <c r="I1056" s="220"/>
      <c r="J1056" s="47">
        <f t="shared" si="72"/>
        <v>45698</v>
      </c>
      <c r="K1056" s="72" t="str">
        <f>VLOOKUP($C1056,Carpetas!$C$5:$M$2666,5,FALSE)</f>
        <v>Rio Branco</v>
      </c>
      <c r="L1056" s="32"/>
      <c r="M1056" s="48">
        <f t="shared" si="71"/>
        <v>45699</v>
      </c>
      <c r="N1056" s="26">
        <f t="shared" si="68"/>
        <v>4</v>
      </c>
      <c r="O1056" s="27">
        <v>918</v>
      </c>
      <c r="P1056" s="27">
        <v>918</v>
      </c>
      <c r="Q1056" s="27">
        <v>26</v>
      </c>
      <c r="R1056" s="27">
        <v>26</v>
      </c>
      <c r="S1056" s="27" t="s">
        <v>1125</v>
      </c>
      <c r="T1056" s="27"/>
      <c r="U1056" s="27"/>
      <c r="V1056" s="27" t="s">
        <v>3171</v>
      </c>
      <c r="W1056" s="27" t="s">
        <v>3172</v>
      </c>
      <c r="X1056" s="73"/>
      <c r="Y1056" s="73" t="e">
        <f>VLOOKUP(X1056,Choferes!$B$2:$C$500,2,FALSE)</f>
        <v>#N/A</v>
      </c>
      <c r="Z1056" s="73" t="s">
        <v>3173</v>
      </c>
    </row>
    <row r="1057" spans="1:26" hidden="1" x14ac:dyDescent="0.25">
      <c r="A1057" s="33">
        <v>6</v>
      </c>
      <c r="B1057" s="71" t="s">
        <v>29</v>
      </c>
      <c r="C1057" s="39" t="s">
        <v>3137</v>
      </c>
      <c r="D1057" s="106" t="s">
        <v>764</v>
      </c>
      <c r="E1057" s="47">
        <v>45695</v>
      </c>
      <c r="F1057" s="31" t="str">
        <f>VLOOKUP($C1057,Carpetas!$C$5:$M$2666,2,FALSE)</f>
        <v>BRB009</v>
      </c>
      <c r="G1057" s="23" t="str">
        <f>VLOOKUP($C1057,Carpetas!$C$5:$M$2666,10,FALSE)</f>
        <v>151,66,54</v>
      </c>
      <c r="H1057" s="27" t="str">
        <f>VLOOKUP($C1057,Carpetas!$C$5:$M$2666,6,FALSE)</f>
        <v>FG</v>
      </c>
      <c r="I1057" s="220"/>
      <c r="J1057" s="47">
        <f t="shared" si="72"/>
        <v>45698</v>
      </c>
      <c r="K1057" s="72" t="str">
        <f>VLOOKUP($C1057,Carpetas!$C$5:$M$2666,5,FALSE)</f>
        <v>Rio Branco</v>
      </c>
      <c r="L1057" s="32"/>
      <c r="M1057" s="48">
        <f t="shared" si="71"/>
        <v>45699</v>
      </c>
      <c r="N1057" s="26">
        <f t="shared" si="68"/>
        <v>4</v>
      </c>
      <c r="O1057" s="27">
        <v>990</v>
      </c>
      <c r="P1057" s="27">
        <v>990</v>
      </c>
      <c r="Q1057" s="27">
        <v>28</v>
      </c>
      <c r="R1057" s="27">
        <v>26</v>
      </c>
      <c r="S1057" s="27" t="s">
        <v>765</v>
      </c>
      <c r="T1057" s="27"/>
      <c r="U1057" s="27"/>
      <c r="V1057" s="27" t="s">
        <v>1617</v>
      </c>
      <c r="W1057" s="27" t="s">
        <v>1618</v>
      </c>
      <c r="X1057" s="73"/>
      <c r="Y1057" s="73" t="e">
        <f>VLOOKUP(X1057,Choferes!$B$2:$C$500,2,FALSE)</f>
        <v>#N/A</v>
      </c>
      <c r="Z1057" s="73" t="s">
        <v>3174</v>
      </c>
    </row>
    <row r="1058" spans="1:26" hidden="1" x14ac:dyDescent="0.25">
      <c r="A1058" s="33">
        <v>6</v>
      </c>
      <c r="B1058" s="71" t="s">
        <v>29</v>
      </c>
      <c r="C1058" s="39" t="s">
        <v>3137</v>
      </c>
      <c r="D1058" s="106" t="s">
        <v>880</v>
      </c>
      <c r="E1058" s="47">
        <v>45695</v>
      </c>
      <c r="F1058" s="31" t="str">
        <f>VLOOKUP($C1058,Carpetas!$C$5:$M$2666,2,FALSE)</f>
        <v>BRB009</v>
      </c>
      <c r="G1058" s="23" t="str">
        <f>VLOOKUP($C1058,Carpetas!$C$5:$M$2666,10,FALSE)</f>
        <v>151,66,54</v>
      </c>
      <c r="H1058" s="27" t="str">
        <f>VLOOKUP($C1058,Carpetas!$C$5:$M$2666,6,FALSE)</f>
        <v>FG</v>
      </c>
      <c r="I1058" s="220"/>
      <c r="J1058" s="47">
        <f t="shared" si="72"/>
        <v>45698</v>
      </c>
      <c r="K1058" s="72" t="str">
        <f>VLOOKUP($C1058,Carpetas!$C$5:$M$2666,5,FALSE)</f>
        <v>Rio Branco</v>
      </c>
      <c r="L1058" s="32"/>
      <c r="M1058" s="48">
        <f t="shared" si="71"/>
        <v>45699</v>
      </c>
      <c r="N1058" s="26">
        <f t="shared" si="68"/>
        <v>4</v>
      </c>
      <c r="O1058" s="27">
        <v>990</v>
      </c>
      <c r="P1058" s="27">
        <v>990</v>
      </c>
      <c r="Q1058" s="27">
        <v>28</v>
      </c>
      <c r="R1058" s="27">
        <v>26</v>
      </c>
      <c r="S1058" s="27" t="s">
        <v>881</v>
      </c>
      <c r="T1058" s="27"/>
      <c r="U1058" s="27"/>
      <c r="V1058" s="27" t="s">
        <v>1722</v>
      </c>
      <c r="W1058" s="27" t="s">
        <v>1723</v>
      </c>
      <c r="X1058" s="73"/>
      <c r="Y1058" s="73" t="e">
        <f>VLOOKUP(X1058,Choferes!$B$2:$C$500,2,FALSE)</f>
        <v>#N/A</v>
      </c>
      <c r="Z1058" s="73" t="s">
        <v>3175</v>
      </c>
    </row>
    <row r="1059" spans="1:26" hidden="1" x14ac:dyDescent="0.25">
      <c r="A1059" s="33">
        <v>6</v>
      </c>
      <c r="B1059" s="71" t="s">
        <v>29</v>
      </c>
      <c r="C1059" s="39" t="s">
        <v>3158</v>
      </c>
      <c r="D1059" s="106" t="s">
        <v>110</v>
      </c>
      <c r="E1059" s="47">
        <v>45695</v>
      </c>
      <c r="F1059" s="31" t="str">
        <f>VLOOKUP($C1059,Carpetas!$C$5:$M$2666,2,FALSE)</f>
        <v>BRB010</v>
      </c>
      <c r="G1059" s="23" t="str">
        <f>VLOOKUP($C1059,Carpetas!$C$5:$M$2666,10,FALSE)</f>
        <v>151,66,52</v>
      </c>
      <c r="H1059" s="27" t="str">
        <f>VLOOKUP($C1059,Carpetas!$C$5:$M$2666,6,FALSE)</f>
        <v xml:space="preserve">Silvio </v>
      </c>
      <c r="I1059" s="220"/>
      <c r="J1059" s="47">
        <f t="shared" si="72"/>
        <v>45698</v>
      </c>
      <c r="K1059" s="72" t="str">
        <f>VLOOKUP($C1059,Carpetas!$C$5:$M$2666,5,FALSE)</f>
        <v>Rio Branco</v>
      </c>
      <c r="L1059" s="32"/>
      <c r="M1059" s="48">
        <f t="shared" si="71"/>
        <v>45699</v>
      </c>
      <c r="N1059" s="26">
        <f t="shared" si="68"/>
        <v>4</v>
      </c>
      <c r="O1059" s="27">
        <v>918</v>
      </c>
      <c r="P1059" s="27">
        <v>919</v>
      </c>
      <c r="Q1059" s="27">
        <v>26</v>
      </c>
      <c r="R1059" s="27">
        <v>25</v>
      </c>
      <c r="S1059" s="27" t="s">
        <v>635</v>
      </c>
      <c r="T1059" s="27"/>
      <c r="U1059" s="27"/>
      <c r="V1059" s="27" t="s">
        <v>1740</v>
      </c>
      <c r="W1059" s="27" t="s">
        <v>3176</v>
      </c>
      <c r="X1059" s="73"/>
      <c r="Y1059" s="73" t="e">
        <f>VLOOKUP(X1059,Choferes!$B$2:$C$500,2,FALSE)</f>
        <v>#N/A</v>
      </c>
      <c r="Z1059" s="73" t="s">
        <v>3177</v>
      </c>
    </row>
    <row r="1060" spans="1:26" hidden="1" x14ac:dyDescent="0.25">
      <c r="A1060" s="33">
        <v>7</v>
      </c>
      <c r="B1060" s="71" t="s">
        <v>29</v>
      </c>
      <c r="C1060" s="39" t="s">
        <v>3178</v>
      </c>
      <c r="D1060" s="106" t="s">
        <v>38</v>
      </c>
      <c r="E1060" s="47">
        <v>45696</v>
      </c>
      <c r="F1060" s="31" t="str">
        <f>VLOOKUP($C1060,Carpetas!$C$5:$M$2666,2,FALSE)</f>
        <v>BRE005</v>
      </c>
      <c r="G1060" s="23" t="str">
        <f>VLOOKUP($C1060,Carpetas!$C$5:$M$2666,10,FALSE)</f>
        <v>1516907/1516908/1516901/1516911/1517072</v>
      </c>
      <c r="H1060" s="27" t="str">
        <f>VLOOKUP($C1060,Carpetas!$C$5:$M$2666,6,FALSE)</f>
        <v>Miro</v>
      </c>
      <c r="I1060" s="220">
        <f>VLOOKUP($C1060,Carpetas!$C$5:$M$2666,4,FALSE)</f>
        <v>0</v>
      </c>
      <c r="J1060" s="47">
        <f>E1060+2</f>
        <v>45698</v>
      </c>
      <c r="K1060" s="72" t="str">
        <f>VLOOKUP($C1060,Carpetas!$C$5:$M$2666,5,FALSE)</f>
        <v>Rio Branco</v>
      </c>
      <c r="L1060" s="32"/>
      <c r="M1060" s="48">
        <f t="shared" si="71"/>
        <v>45699</v>
      </c>
      <c r="N1060" s="26">
        <f t="shared" si="68"/>
        <v>3</v>
      </c>
      <c r="O1060" s="27">
        <v>1297</v>
      </c>
      <c r="P1060" s="27"/>
      <c r="Q1060" s="27"/>
      <c r="R1060" s="27"/>
      <c r="S1060" s="27"/>
      <c r="T1060" s="27"/>
      <c r="U1060" s="27"/>
      <c r="V1060" s="27"/>
      <c r="W1060" s="27"/>
      <c r="X1060" s="73"/>
      <c r="Y1060" s="73" t="e">
        <f>VLOOKUP(X1060,Choferes!$B$2:$C$500,2,FALSE)</f>
        <v>#N/A</v>
      </c>
      <c r="Z1060" s="73"/>
    </row>
    <row r="1061" spans="1:26" hidden="1" x14ac:dyDescent="0.25">
      <c r="A1061" s="33">
        <v>6</v>
      </c>
      <c r="B1061" s="71" t="s">
        <v>29</v>
      </c>
      <c r="C1061" s="39" t="s">
        <v>3158</v>
      </c>
      <c r="D1061" s="106" t="s">
        <v>2474</v>
      </c>
      <c r="E1061" s="47">
        <v>45696</v>
      </c>
      <c r="F1061" s="31" t="str">
        <f>VLOOKUP($C1061,Carpetas!$C$5:$M$2666,2,FALSE)</f>
        <v>BRB010</v>
      </c>
      <c r="G1061" s="23" t="str">
        <f>VLOOKUP($C1061,Carpetas!$C$5:$M$2666,10,FALSE)</f>
        <v>151,66,52</v>
      </c>
      <c r="H1061" s="27" t="str">
        <f>VLOOKUP($C1061,Carpetas!$C$5:$M$2666,6,FALSE)</f>
        <v xml:space="preserve">Silvio </v>
      </c>
      <c r="I1061" s="220"/>
      <c r="J1061" s="47">
        <f>E1061+2</f>
        <v>45698</v>
      </c>
      <c r="K1061" s="72" t="str">
        <f>VLOOKUP($C1061,Carpetas!$C$5:$M$2666,5,FALSE)</f>
        <v>Rio Branco</v>
      </c>
      <c r="L1061" s="32"/>
      <c r="M1061" s="48">
        <v>45700</v>
      </c>
      <c r="N1061" s="26">
        <f t="shared" si="68"/>
        <v>4</v>
      </c>
      <c r="O1061" s="27">
        <v>918</v>
      </c>
      <c r="P1061" s="27">
        <v>918</v>
      </c>
      <c r="Q1061" s="27">
        <v>30</v>
      </c>
      <c r="R1061" s="27">
        <v>25</v>
      </c>
      <c r="S1061" s="27" t="s">
        <v>2651</v>
      </c>
      <c r="T1061" s="27"/>
      <c r="U1061" s="27"/>
      <c r="V1061" s="27" t="s">
        <v>3065</v>
      </c>
      <c r="W1061" s="27" t="s">
        <v>3179</v>
      </c>
      <c r="X1061" s="73"/>
      <c r="Y1061" s="73" t="e">
        <f>VLOOKUP(X1061,Choferes!$B$2:$C$500,2,FALSE)</f>
        <v>#N/A</v>
      </c>
      <c r="Z1061" s="73" t="s">
        <v>3180</v>
      </c>
    </row>
    <row r="1062" spans="1:26" hidden="1" x14ac:dyDescent="0.25">
      <c r="A1062" s="33">
        <v>7</v>
      </c>
      <c r="B1062" s="71" t="s">
        <v>29</v>
      </c>
      <c r="C1062" s="39" t="s">
        <v>3181</v>
      </c>
      <c r="D1062" s="106" t="s">
        <v>121</v>
      </c>
      <c r="E1062" s="47">
        <v>45696</v>
      </c>
      <c r="F1062" s="31" t="str">
        <f>VLOOKUP($C1062,Carpetas!$C$5:$M$2666,2,FALSE)</f>
        <v>PYB020</v>
      </c>
      <c r="G1062" s="23">
        <f>VLOOKUP($C1062,Carpetas!$C$5:$M$2666,10,FALSE)</f>
        <v>0</v>
      </c>
      <c r="H1062" s="27">
        <f>VLOOKUP($C1062,Carpetas!$C$5:$M$2666,6,FALSE)</f>
        <v>0</v>
      </c>
      <c r="I1062" s="220"/>
      <c r="J1062" s="47">
        <v>45700</v>
      </c>
      <c r="K1062" s="72" t="str">
        <f>VLOOKUP($C1062,Carpetas!$C$5:$M$2666,5,FALSE)</f>
        <v>Salto</v>
      </c>
      <c r="L1062" s="32"/>
      <c r="M1062" s="48">
        <f t="shared" ref="M1062:M1106" si="73">J1062+1</f>
        <v>45701</v>
      </c>
      <c r="N1062" s="26">
        <f t="shared" si="68"/>
        <v>5</v>
      </c>
      <c r="O1062" s="27">
        <v>980</v>
      </c>
      <c r="P1062" s="27">
        <v>988</v>
      </c>
      <c r="Q1062" s="27">
        <v>28</v>
      </c>
      <c r="R1062" s="27">
        <v>27</v>
      </c>
      <c r="S1062" s="27" t="s">
        <v>3182</v>
      </c>
      <c r="T1062" s="27"/>
      <c r="U1062" s="27"/>
      <c r="V1062" s="27" t="s">
        <v>1016</v>
      </c>
      <c r="W1062" s="27" t="s">
        <v>1017</v>
      </c>
      <c r="X1062" s="73"/>
      <c r="Y1062" s="73"/>
      <c r="Z1062" s="73" t="s">
        <v>3183</v>
      </c>
    </row>
    <row r="1063" spans="1:26" hidden="1" x14ac:dyDescent="0.25">
      <c r="A1063" s="33">
        <v>7</v>
      </c>
      <c r="B1063" s="71" t="s">
        <v>29</v>
      </c>
      <c r="C1063" s="39" t="s">
        <v>3184</v>
      </c>
      <c r="D1063" s="106" t="s">
        <v>102</v>
      </c>
      <c r="E1063" s="47">
        <v>45696</v>
      </c>
      <c r="F1063" s="31" t="str">
        <f>VLOOKUP($C1063,Carpetas!$C$5:$M$2666,2,FALSE)</f>
        <v>PYB021</v>
      </c>
      <c r="G1063" s="23">
        <f>VLOOKUP($C1063,Carpetas!$C$5:$M$2666,10,FALSE)</f>
        <v>0</v>
      </c>
      <c r="H1063" s="27">
        <f>VLOOKUP($C1063,Carpetas!$C$5:$M$2666,6,FALSE)</f>
        <v>0</v>
      </c>
      <c r="I1063" s="220"/>
      <c r="J1063" s="47">
        <v>45700</v>
      </c>
      <c r="K1063" s="72" t="str">
        <f>VLOOKUP($C1063,Carpetas!$C$5:$M$2666,5,FALSE)</f>
        <v>Salto</v>
      </c>
      <c r="L1063" s="32"/>
      <c r="M1063" s="48">
        <f t="shared" si="73"/>
        <v>45701</v>
      </c>
      <c r="N1063" s="26">
        <f t="shared" si="68"/>
        <v>5</v>
      </c>
      <c r="O1063" s="27">
        <v>980</v>
      </c>
      <c r="P1063" s="27">
        <v>980</v>
      </c>
      <c r="Q1063" s="27">
        <v>28</v>
      </c>
      <c r="R1063" s="27">
        <v>26</v>
      </c>
      <c r="S1063" s="27" t="s">
        <v>441</v>
      </c>
      <c r="T1063" s="27"/>
      <c r="U1063" s="27"/>
      <c r="V1063" s="27" t="s">
        <v>3185</v>
      </c>
      <c r="W1063" s="27" t="s">
        <v>3186</v>
      </c>
      <c r="X1063" s="73"/>
      <c r="Y1063" s="73"/>
      <c r="Z1063" s="73" t="s">
        <v>3187</v>
      </c>
    </row>
    <row r="1064" spans="1:26" hidden="1" x14ac:dyDescent="0.25">
      <c r="A1064" s="33">
        <v>7</v>
      </c>
      <c r="B1064" s="71" t="s">
        <v>29</v>
      </c>
      <c r="C1064" s="39" t="s">
        <v>3164</v>
      </c>
      <c r="D1064" s="106" t="s">
        <v>78</v>
      </c>
      <c r="E1064" s="47">
        <v>45698</v>
      </c>
      <c r="F1064" s="31" t="str">
        <f>VLOOKUP($C1064,Carpetas!$C$5:$M$2666,2,FALSE)</f>
        <v>BRB011</v>
      </c>
      <c r="G1064" s="23" t="str">
        <f>VLOOKUP($C1064,Carpetas!$C$5:$M$2666,10,FALSE)</f>
        <v>151,66,53</v>
      </c>
      <c r="H1064" s="27" t="str">
        <f>VLOOKUP($C1064,Carpetas!$C$5:$M$2666,6,FALSE)</f>
        <v>Zanini</v>
      </c>
      <c r="I1064" s="220"/>
      <c r="J1064" s="47">
        <f>E1064+2</f>
        <v>45700</v>
      </c>
      <c r="K1064" s="72" t="str">
        <f>VLOOKUP($C1064,Carpetas!$C$5:$M$2666,5,FALSE)</f>
        <v>Rio Branco</v>
      </c>
      <c r="L1064" s="32"/>
      <c r="M1064" s="48">
        <f t="shared" si="73"/>
        <v>45701</v>
      </c>
      <c r="N1064" s="26">
        <f t="shared" si="68"/>
        <v>3</v>
      </c>
      <c r="O1064" s="27">
        <v>918</v>
      </c>
      <c r="P1064" s="27">
        <v>919</v>
      </c>
      <c r="Q1064" s="27">
        <v>26</v>
      </c>
      <c r="R1064" s="27">
        <v>25</v>
      </c>
      <c r="S1064" s="27" t="s">
        <v>150</v>
      </c>
      <c r="T1064" s="27"/>
      <c r="U1064" s="27">
        <v>5040</v>
      </c>
      <c r="V1064" s="27" t="s">
        <v>395</v>
      </c>
      <c r="W1064" s="27" t="s">
        <v>396</v>
      </c>
      <c r="X1064" s="73"/>
      <c r="Y1064" s="73" t="e">
        <f>VLOOKUP(X1064,Choferes!$B$2:$C$500,2,FALSE)</f>
        <v>#N/A</v>
      </c>
      <c r="Z1064" s="73" t="s">
        <v>3188</v>
      </c>
    </row>
    <row r="1065" spans="1:26" hidden="1" x14ac:dyDescent="0.25">
      <c r="A1065" s="33">
        <v>7</v>
      </c>
      <c r="B1065" s="71" t="s">
        <v>29</v>
      </c>
      <c r="C1065" s="39" t="s">
        <v>3189</v>
      </c>
      <c r="D1065" s="106" t="s">
        <v>183</v>
      </c>
      <c r="E1065" s="47">
        <v>45696</v>
      </c>
      <c r="F1065" s="31" t="str">
        <f>VLOOKUP($C1065,Carpetas!$C$5:$M$2666,2,FALSE)</f>
        <v>PYB022</v>
      </c>
      <c r="G1065" s="23">
        <f>VLOOKUP($C1065,Carpetas!$C$5:$M$2666,10,FALSE)</f>
        <v>0</v>
      </c>
      <c r="H1065" s="27">
        <f>VLOOKUP($C1065,Carpetas!$C$5:$M$2666,6,FALSE)</f>
        <v>0</v>
      </c>
      <c r="I1065" s="220"/>
      <c r="J1065" s="47">
        <v>45701</v>
      </c>
      <c r="K1065" s="72" t="str">
        <f>VLOOKUP($C1065,Carpetas!$C$5:$M$2666,5,FALSE)</f>
        <v>Salto</v>
      </c>
      <c r="L1065" s="32"/>
      <c r="M1065" s="48">
        <f t="shared" si="73"/>
        <v>45702</v>
      </c>
      <c r="N1065" s="26">
        <f t="shared" si="68"/>
        <v>6</v>
      </c>
      <c r="O1065" s="27">
        <v>980</v>
      </c>
      <c r="P1065" s="27">
        <v>980</v>
      </c>
      <c r="Q1065" s="27">
        <v>25</v>
      </c>
      <c r="R1065" s="27">
        <v>26</v>
      </c>
      <c r="S1065" s="27" t="s">
        <v>600</v>
      </c>
      <c r="T1065" s="27"/>
      <c r="U1065" s="27"/>
      <c r="V1065" s="27" t="s">
        <v>3024</v>
      </c>
      <c r="W1065" s="27" t="s">
        <v>1027</v>
      </c>
      <c r="X1065" s="73"/>
      <c r="Y1065" s="73"/>
      <c r="Z1065" s="73" t="s">
        <v>3190</v>
      </c>
    </row>
    <row r="1066" spans="1:26" hidden="1" x14ac:dyDescent="0.25">
      <c r="A1066" s="33">
        <v>7</v>
      </c>
      <c r="B1066" s="71" t="s">
        <v>29</v>
      </c>
      <c r="C1066" s="39" t="s">
        <v>3191</v>
      </c>
      <c r="D1066" s="106" t="s">
        <v>747</v>
      </c>
      <c r="E1066" s="47">
        <v>45699</v>
      </c>
      <c r="F1066" s="31" t="str">
        <f>VLOOKUP($C1066,Carpetas!$C$5:$M$2666,2,FALSE)</f>
        <v>BRB012</v>
      </c>
      <c r="G1066" s="23" t="str">
        <f>VLOOKUP($C1066,Carpetas!$C$5:$M$2666,10,FALSE)</f>
        <v>151,66,54</v>
      </c>
      <c r="H1066" s="27" t="str">
        <f>VLOOKUP($C1066,Carpetas!$C$5:$M$2666,6,FALSE)</f>
        <v>FG</v>
      </c>
      <c r="I1066" s="220"/>
      <c r="J1066" s="47">
        <f>E1066+2</f>
        <v>45701</v>
      </c>
      <c r="K1066" s="72" t="str">
        <f>VLOOKUP($C1066,Carpetas!$C$5:$M$2666,5,FALSE)</f>
        <v>Rio Branco</v>
      </c>
      <c r="L1066" s="32"/>
      <c r="M1066" s="48">
        <f t="shared" si="73"/>
        <v>45702</v>
      </c>
      <c r="N1066" s="26">
        <f t="shared" si="68"/>
        <v>3</v>
      </c>
      <c r="O1066" s="27">
        <v>990</v>
      </c>
      <c r="P1066" s="27">
        <v>990</v>
      </c>
      <c r="Q1066" s="27">
        <v>28</v>
      </c>
      <c r="R1066" s="27">
        <v>26</v>
      </c>
      <c r="S1066" s="27" t="s">
        <v>1279</v>
      </c>
      <c r="T1066" s="27"/>
      <c r="U1066" s="27">
        <v>602</v>
      </c>
      <c r="V1066" s="27" t="s">
        <v>3192</v>
      </c>
      <c r="W1066" s="27" t="s">
        <v>3193</v>
      </c>
      <c r="X1066" s="73"/>
      <c r="Y1066" s="73" t="e">
        <f>VLOOKUP(X1066,Choferes!$B$2:$C$500,2,FALSE)</f>
        <v>#N/A</v>
      </c>
      <c r="Z1066" s="73" t="s">
        <v>3194</v>
      </c>
    </row>
    <row r="1067" spans="1:26" hidden="1" x14ac:dyDescent="0.25">
      <c r="A1067" s="33">
        <v>7</v>
      </c>
      <c r="B1067" s="71" t="s">
        <v>29</v>
      </c>
      <c r="C1067" s="39" t="s">
        <v>3137</v>
      </c>
      <c r="D1067" s="106" t="s">
        <v>803</v>
      </c>
      <c r="E1067" s="47">
        <v>45699</v>
      </c>
      <c r="F1067" s="31" t="str">
        <f>VLOOKUP($C1067,Carpetas!$C$5:$M$2666,2,FALSE)</f>
        <v>BRB009</v>
      </c>
      <c r="G1067" s="23" t="str">
        <f>VLOOKUP($C1067,Carpetas!$C$5:$M$2666,10,FALSE)</f>
        <v>151,66,54</v>
      </c>
      <c r="H1067" s="27" t="str">
        <f>VLOOKUP($C1067,Carpetas!$C$5:$M$2666,6,FALSE)</f>
        <v>FG</v>
      </c>
      <c r="I1067" s="220"/>
      <c r="J1067" s="47">
        <f>E1067+2</f>
        <v>45701</v>
      </c>
      <c r="K1067" s="72" t="str">
        <f>VLOOKUP($C1067,Carpetas!$C$5:$M$2666,5,FALSE)</f>
        <v>Rio Branco</v>
      </c>
      <c r="L1067" s="32"/>
      <c r="M1067" s="48">
        <f t="shared" si="73"/>
        <v>45702</v>
      </c>
      <c r="N1067" s="26">
        <f t="shared" si="68"/>
        <v>3</v>
      </c>
      <c r="O1067" s="27">
        <v>990</v>
      </c>
      <c r="P1067" s="27">
        <v>990</v>
      </c>
      <c r="Q1067" s="27">
        <v>28</v>
      </c>
      <c r="R1067" s="27">
        <v>26</v>
      </c>
      <c r="S1067" s="27" t="s">
        <v>3195</v>
      </c>
      <c r="T1067" s="27"/>
      <c r="U1067" s="27">
        <v>599</v>
      </c>
      <c r="V1067" s="27" t="s">
        <v>1956</v>
      </c>
      <c r="W1067" s="27" t="s">
        <v>1957</v>
      </c>
      <c r="X1067" s="73"/>
      <c r="Y1067" s="73" t="e">
        <f>VLOOKUP(X1067,Choferes!$B$2:$C$500,2,FALSE)</f>
        <v>#N/A</v>
      </c>
      <c r="Z1067" s="73" t="s">
        <v>3196</v>
      </c>
    </row>
    <row r="1068" spans="1:26" hidden="1" x14ac:dyDescent="0.25">
      <c r="A1068" s="33">
        <v>7</v>
      </c>
      <c r="B1068" s="71" t="s">
        <v>29</v>
      </c>
      <c r="C1068" s="39" t="s">
        <v>3137</v>
      </c>
      <c r="D1068" s="106" t="s">
        <v>249</v>
      </c>
      <c r="E1068" s="47">
        <v>45699</v>
      </c>
      <c r="F1068" s="31" t="str">
        <f>VLOOKUP($C1068,Carpetas!$C$5:$M$2666,2,FALSE)</f>
        <v>BRB009</v>
      </c>
      <c r="G1068" s="23" t="str">
        <f>VLOOKUP($C1068,Carpetas!$C$5:$M$2666,10,FALSE)</f>
        <v>151,66,54</v>
      </c>
      <c r="H1068" s="27" t="str">
        <f>VLOOKUP($C1068,Carpetas!$C$5:$M$2666,6,FALSE)</f>
        <v>FG</v>
      </c>
      <c r="I1068" s="220"/>
      <c r="J1068" s="47">
        <f>E1068+2</f>
        <v>45701</v>
      </c>
      <c r="K1068" s="72" t="str">
        <f>VLOOKUP($C1068,Carpetas!$C$5:$M$2666,5,FALSE)</f>
        <v>Rio Branco</v>
      </c>
      <c r="L1068" s="32"/>
      <c r="M1068" s="48">
        <f t="shared" si="73"/>
        <v>45702</v>
      </c>
      <c r="N1068" s="26">
        <f t="shared" si="68"/>
        <v>3</v>
      </c>
      <c r="O1068" s="27">
        <v>990</v>
      </c>
      <c r="P1068" s="27">
        <v>991</v>
      </c>
      <c r="Q1068" s="27">
        <v>28</v>
      </c>
      <c r="R1068" s="27">
        <v>25</v>
      </c>
      <c r="S1068" s="27" t="s">
        <v>1306</v>
      </c>
      <c r="T1068" s="27"/>
      <c r="U1068" s="27">
        <v>598</v>
      </c>
      <c r="V1068" s="27" t="s">
        <v>1630</v>
      </c>
      <c r="W1068" s="27" t="s">
        <v>1934</v>
      </c>
      <c r="X1068" s="73"/>
      <c r="Y1068" s="73" t="e">
        <f>VLOOKUP(X1068,Choferes!$B$2:$C$500,2,FALSE)</f>
        <v>#N/A</v>
      </c>
      <c r="Z1068" s="73" t="s">
        <v>3197</v>
      </c>
    </row>
    <row r="1069" spans="1:26" hidden="1" x14ac:dyDescent="0.25">
      <c r="A1069" s="33">
        <v>7</v>
      </c>
      <c r="B1069" s="71" t="s">
        <v>29</v>
      </c>
      <c r="C1069" s="39" t="s">
        <v>3164</v>
      </c>
      <c r="D1069" s="106" t="s">
        <v>747</v>
      </c>
      <c r="E1069" s="47">
        <v>45701</v>
      </c>
      <c r="F1069" s="31" t="str">
        <f>VLOOKUP($C1069,Carpetas!$C$5:$M$2666,2,FALSE)</f>
        <v>BRB011</v>
      </c>
      <c r="G1069" s="23" t="str">
        <f>VLOOKUP($C1069,Carpetas!$C$5:$M$2666,10,FALSE)</f>
        <v>151,66,53</v>
      </c>
      <c r="H1069" s="27" t="str">
        <f>VLOOKUP($C1069,Carpetas!$C$5:$M$2666,6,FALSE)</f>
        <v>Zanini</v>
      </c>
      <c r="I1069" s="220"/>
      <c r="J1069" s="47">
        <v>45701</v>
      </c>
      <c r="K1069" s="72" t="str">
        <f>VLOOKUP($C1069,Carpetas!$C$5:$M$2666,5,FALSE)</f>
        <v>Rio Branco</v>
      </c>
      <c r="L1069" s="32"/>
      <c r="M1069" s="48">
        <f t="shared" si="73"/>
        <v>45702</v>
      </c>
      <c r="N1069" s="26">
        <f t="shared" si="68"/>
        <v>1</v>
      </c>
      <c r="O1069" s="27">
        <v>918</v>
      </c>
      <c r="P1069" s="27">
        <v>919</v>
      </c>
      <c r="Q1069" s="27">
        <v>26</v>
      </c>
      <c r="R1069" s="27">
        <v>25</v>
      </c>
      <c r="S1069" s="27" t="s">
        <v>1348</v>
      </c>
      <c r="T1069" s="27"/>
      <c r="U1069" s="27">
        <v>5045</v>
      </c>
      <c r="V1069" s="27" t="s">
        <v>3198</v>
      </c>
      <c r="W1069" s="27" t="s">
        <v>3199</v>
      </c>
      <c r="X1069" s="73"/>
      <c r="Y1069" s="73" t="e">
        <f>VLOOKUP(X1069,Choferes!$B$2:$C$500,2,FALSE)</f>
        <v>#N/A</v>
      </c>
      <c r="Z1069" s="73" t="s">
        <v>3200</v>
      </c>
    </row>
    <row r="1070" spans="1:26" hidden="1" x14ac:dyDescent="0.25">
      <c r="A1070" s="33">
        <v>7</v>
      </c>
      <c r="B1070" s="71" t="s">
        <v>29</v>
      </c>
      <c r="C1070" s="39" t="s">
        <v>3201</v>
      </c>
      <c r="D1070" s="106" t="s">
        <v>48</v>
      </c>
      <c r="E1070" s="47">
        <v>45696</v>
      </c>
      <c r="F1070" s="31" t="str">
        <f>VLOOKUP($C1070,Carpetas!$C$5:$M$2666,2,FALSE)</f>
        <v>PYB023</v>
      </c>
      <c r="G1070" s="23">
        <f>VLOOKUP($C1070,Carpetas!$C$5:$M$2666,10,FALSE)</f>
        <v>0</v>
      </c>
      <c r="H1070" s="27">
        <f>VLOOKUP($C1070,Carpetas!$C$5:$M$2666,6,FALSE)</f>
        <v>0</v>
      </c>
      <c r="I1070" s="220"/>
      <c r="J1070" s="47">
        <v>45702</v>
      </c>
      <c r="K1070" s="72" t="str">
        <f>VLOOKUP($C1070,Carpetas!$C$5:$M$2666,5,FALSE)</f>
        <v>Salto</v>
      </c>
      <c r="L1070" s="32"/>
      <c r="M1070" s="48">
        <f t="shared" si="73"/>
        <v>45703</v>
      </c>
      <c r="N1070" s="26">
        <f t="shared" si="68"/>
        <v>7</v>
      </c>
      <c r="O1070" s="27">
        <v>980</v>
      </c>
      <c r="P1070" s="27">
        <v>960</v>
      </c>
      <c r="Q1070" s="27">
        <v>27</v>
      </c>
      <c r="R1070" s="27">
        <v>25</v>
      </c>
      <c r="S1070" s="27" t="s">
        <v>3202</v>
      </c>
      <c r="T1070" s="27"/>
      <c r="U1070" s="27"/>
      <c r="V1070" s="27" t="s">
        <v>1038</v>
      </c>
      <c r="W1070" s="27" t="s">
        <v>3203</v>
      </c>
      <c r="X1070" s="73"/>
      <c r="Y1070" s="73"/>
      <c r="Z1070" s="73" t="s">
        <v>3204</v>
      </c>
    </row>
    <row r="1071" spans="1:26" hidden="1" x14ac:dyDescent="0.25">
      <c r="A1071" s="33">
        <v>7</v>
      </c>
      <c r="B1071" s="71" t="s">
        <v>298</v>
      </c>
      <c r="C1071" s="39" t="s">
        <v>299</v>
      </c>
      <c r="D1071" s="106" t="s">
        <v>764</v>
      </c>
      <c r="E1071" s="47">
        <v>45702</v>
      </c>
      <c r="F1071" s="31" t="str">
        <f>VLOOKUP($C1071,Carpetas!$C$5:$M$2666,2,FALSE)</f>
        <v>BRB</v>
      </c>
      <c r="G1071" s="23" t="e">
        <f>VLOOKUP($C1071,Carpetas!$C$5:$M$2666,9,FALSE)</f>
        <v>#REF!</v>
      </c>
      <c r="H1071" s="27" t="str">
        <f>VLOOKUP($C1071,Carpetas!$C$5:$M$2666,5,FALSE)</f>
        <v>xx</v>
      </c>
      <c r="I1071" s="220"/>
      <c r="J1071" s="47">
        <f>E1071+2</f>
        <v>45704</v>
      </c>
      <c r="K1071" s="72">
        <f>VLOOKUP($C1071,Carpetas!$C$5:$M$2666,4,FALSE)</f>
        <v>0</v>
      </c>
      <c r="L1071" s="32"/>
      <c r="M1071" s="48">
        <f t="shared" si="73"/>
        <v>45705</v>
      </c>
      <c r="N1071" s="26">
        <f t="shared" si="68"/>
        <v>3</v>
      </c>
      <c r="O1071" s="27">
        <v>990</v>
      </c>
      <c r="P1071" s="27"/>
      <c r="Q1071" s="27"/>
      <c r="R1071" s="27"/>
      <c r="S1071" s="27"/>
      <c r="T1071" s="27"/>
      <c r="U1071" s="27"/>
      <c r="V1071" s="27"/>
      <c r="W1071" s="27"/>
      <c r="X1071" s="73"/>
      <c r="Y1071" s="73" t="e">
        <f>VLOOKUP(X1071,Choferes!$B$2:$C$500,2,FALSE)</f>
        <v>#N/A</v>
      </c>
      <c r="Z1071" s="73"/>
    </row>
    <row r="1072" spans="1:26" hidden="1" x14ac:dyDescent="0.25">
      <c r="A1072" s="33">
        <v>7</v>
      </c>
      <c r="B1072" s="71" t="s">
        <v>29</v>
      </c>
      <c r="C1072" s="39" t="s">
        <v>3164</v>
      </c>
      <c r="D1072" s="106" t="s">
        <v>803</v>
      </c>
      <c r="E1072" s="47">
        <v>45701</v>
      </c>
      <c r="F1072" s="31" t="str">
        <f>VLOOKUP($C1072,Carpetas!$C$5:$M$2666,2,FALSE)</f>
        <v>BRB011</v>
      </c>
      <c r="G1072" s="23" t="str">
        <f>VLOOKUP($C1072,Carpetas!$C$5:$M$2666,10,FALSE)</f>
        <v>151,66,53</v>
      </c>
      <c r="H1072" s="27" t="str">
        <f>VLOOKUP($C1072,Carpetas!$C$5:$M$2666,6,FALSE)</f>
        <v>Zanini</v>
      </c>
      <c r="I1072" s="220"/>
      <c r="J1072" s="47">
        <v>45705</v>
      </c>
      <c r="K1072" s="72" t="str">
        <f>VLOOKUP($C1072,Carpetas!$C$5:$M$2666,5,FALSE)</f>
        <v>Rio Branco</v>
      </c>
      <c r="L1072" s="32"/>
      <c r="M1072" s="48">
        <f t="shared" si="73"/>
        <v>45706</v>
      </c>
      <c r="N1072" s="26">
        <f t="shared" si="68"/>
        <v>5</v>
      </c>
      <c r="O1072" s="27">
        <v>918</v>
      </c>
      <c r="P1072" s="27">
        <v>918</v>
      </c>
      <c r="Q1072" s="27">
        <v>26</v>
      </c>
      <c r="R1072" s="27">
        <v>25</v>
      </c>
      <c r="S1072" s="27" t="s">
        <v>1163</v>
      </c>
      <c r="T1072" s="27"/>
      <c r="U1072" s="27">
        <v>5048</v>
      </c>
      <c r="V1072" s="27" t="s">
        <v>3205</v>
      </c>
      <c r="W1072" s="27" t="s">
        <v>3206</v>
      </c>
      <c r="X1072" s="73"/>
      <c r="Y1072" s="73" t="e">
        <f>VLOOKUP(X1072,Choferes!$B$2:$C$500,2,FALSE)</f>
        <v>#N/A</v>
      </c>
      <c r="Z1072" s="73" t="s">
        <v>3207</v>
      </c>
    </row>
    <row r="1073" spans="1:26" hidden="1" x14ac:dyDescent="0.25">
      <c r="A1073" s="33">
        <v>7</v>
      </c>
      <c r="B1073" s="71" t="s">
        <v>29</v>
      </c>
      <c r="C1073" s="39" t="s">
        <v>3191</v>
      </c>
      <c r="D1073" s="106" t="s">
        <v>880</v>
      </c>
      <c r="E1073" s="47">
        <v>45702</v>
      </c>
      <c r="F1073" s="31" t="str">
        <f>VLOOKUP($C1073,Carpetas!$C$5:$M$2666,2,FALSE)</f>
        <v>BRB012</v>
      </c>
      <c r="G1073" s="23" t="str">
        <f>VLOOKUP($C1073,Carpetas!$C$5:$M$2666,10,FALSE)</f>
        <v>151,66,54</v>
      </c>
      <c r="H1073" s="27" t="str">
        <f>VLOOKUP($C1073,Carpetas!$C$5:$M$2666,6,FALSE)</f>
        <v>FG</v>
      </c>
      <c r="I1073" s="220"/>
      <c r="J1073" s="47">
        <v>45705</v>
      </c>
      <c r="K1073" s="72" t="str">
        <f>VLOOKUP($C1073,Carpetas!$C$5:$M$2666,5,FALSE)</f>
        <v>Rio Branco</v>
      </c>
      <c r="L1073" s="32"/>
      <c r="M1073" s="48">
        <f t="shared" si="73"/>
        <v>45706</v>
      </c>
      <c r="N1073" s="26">
        <f t="shared" si="68"/>
        <v>4</v>
      </c>
      <c r="O1073" s="27">
        <v>990</v>
      </c>
      <c r="P1073" s="27">
        <v>990</v>
      </c>
      <c r="Q1073" s="27">
        <v>28</v>
      </c>
      <c r="R1073" s="27">
        <v>25</v>
      </c>
      <c r="S1073" s="27" t="s">
        <v>920</v>
      </c>
      <c r="T1073" s="27"/>
      <c r="U1073" s="27">
        <v>605</v>
      </c>
      <c r="V1073" s="27" t="s">
        <v>1722</v>
      </c>
      <c r="W1073" s="27" t="s">
        <v>1723</v>
      </c>
      <c r="X1073" s="73"/>
      <c r="Y1073" s="73" t="e">
        <f>VLOOKUP(X1073,Choferes!$B$2:$C$500,2,FALSE)</f>
        <v>#N/A</v>
      </c>
      <c r="Z1073" s="73" t="s">
        <v>3208</v>
      </c>
    </row>
    <row r="1074" spans="1:26" hidden="1" x14ac:dyDescent="0.25">
      <c r="A1074" s="33">
        <v>7</v>
      </c>
      <c r="B1074" s="71" t="s">
        <v>29</v>
      </c>
      <c r="C1074" s="39" t="s">
        <v>3158</v>
      </c>
      <c r="D1074" s="106" t="s">
        <v>2474</v>
      </c>
      <c r="E1074" s="47">
        <v>45702</v>
      </c>
      <c r="F1074" s="31" t="str">
        <f>VLOOKUP($C1074,Carpetas!$C$5:$M$2666,2,FALSE)</f>
        <v>BRB010</v>
      </c>
      <c r="G1074" s="23" t="str">
        <f>VLOOKUP($C1074,Carpetas!$C$5:$M$2666,10,FALSE)</f>
        <v>151,66,52</v>
      </c>
      <c r="H1074" s="27" t="str">
        <f>VLOOKUP($C1074,Carpetas!$C$5:$M$2666,6,FALSE)</f>
        <v xml:space="preserve">Silvio </v>
      </c>
      <c r="I1074" s="220"/>
      <c r="J1074" s="47">
        <v>45705</v>
      </c>
      <c r="K1074" s="72" t="str">
        <f>VLOOKUP($C1074,Carpetas!$C$5:$M$2666,5,FALSE)</f>
        <v>Rio Branco</v>
      </c>
      <c r="L1074" s="32"/>
      <c r="M1074" s="48">
        <f t="shared" si="73"/>
        <v>45706</v>
      </c>
      <c r="N1074" s="26">
        <f t="shared" si="68"/>
        <v>4</v>
      </c>
      <c r="O1074" s="27">
        <v>918</v>
      </c>
      <c r="P1074" s="27">
        <v>918</v>
      </c>
      <c r="Q1074" s="27">
        <v>26</v>
      </c>
      <c r="R1074" s="27">
        <v>25</v>
      </c>
      <c r="S1074" s="27" t="s">
        <v>2663</v>
      </c>
      <c r="T1074" s="27"/>
      <c r="U1074" s="27">
        <v>7308</v>
      </c>
      <c r="V1074" s="27" t="s">
        <v>3209</v>
      </c>
      <c r="W1074" s="27" t="s">
        <v>3210</v>
      </c>
      <c r="X1074" s="73"/>
      <c r="Y1074" s="73" t="e">
        <f>VLOOKUP(X1074,Choferes!$B$2:$C$500,2,FALSE)</f>
        <v>#N/A</v>
      </c>
      <c r="Z1074" s="73" t="s">
        <v>3211</v>
      </c>
    </row>
    <row r="1075" spans="1:26" hidden="1" x14ac:dyDescent="0.25">
      <c r="A1075" s="33">
        <v>7</v>
      </c>
      <c r="B1075" s="71" t="s">
        <v>29</v>
      </c>
      <c r="C1075" s="39" t="s">
        <v>3158</v>
      </c>
      <c r="D1075" s="106" t="s">
        <v>110</v>
      </c>
      <c r="E1075" s="47">
        <v>45702</v>
      </c>
      <c r="F1075" s="31" t="str">
        <f>VLOOKUP($C1075,Carpetas!$C$5:$M$2666,2,FALSE)</f>
        <v>BRB010</v>
      </c>
      <c r="G1075" s="23" t="str">
        <f>VLOOKUP($C1075,Carpetas!$C$5:$M$2666,10,FALSE)</f>
        <v>151,66,52</v>
      </c>
      <c r="H1075" s="27" t="str">
        <f>VLOOKUP($C1075,Carpetas!$C$5:$M$2666,6,FALSE)</f>
        <v xml:space="preserve">Silvio </v>
      </c>
      <c r="I1075" s="220"/>
      <c r="J1075" s="47">
        <v>45705</v>
      </c>
      <c r="K1075" s="72" t="str">
        <f>VLOOKUP($C1075,Carpetas!$C$5:$M$2666,5,FALSE)</f>
        <v>Rio Branco</v>
      </c>
      <c r="L1075" s="32"/>
      <c r="M1075" s="48">
        <f t="shared" si="73"/>
        <v>45706</v>
      </c>
      <c r="N1075" s="26">
        <f t="shared" si="68"/>
        <v>4</v>
      </c>
      <c r="O1075" s="27">
        <v>918</v>
      </c>
      <c r="P1075" s="27">
        <v>919</v>
      </c>
      <c r="Q1075" s="27">
        <v>26</v>
      </c>
      <c r="R1075" s="27">
        <v>25</v>
      </c>
      <c r="S1075" s="27" t="s">
        <v>768</v>
      </c>
      <c r="T1075" s="27"/>
      <c r="U1075" s="27">
        <v>7306</v>
      </c>
      <c r="V1075" s="27" t="s">
        <v>3212</v>
      </c>
      <c r="W1075" s="27" t="s">
        <v>3213</v>
      </c>
      <c r="X1075" s="73"/>
      <c r="Y1075" s="73" t="e">
        <f>VLOOKUP(X1075,Choferes!$B$2:$C$500,2,FALSE)</f>
        <v>#N/A</v>
      </c>
      <c r="Z1075" s="73" t="s">
        <v>3214</v>
      </c>
    </row>
    <row r="1076" spans="1:26" hidden="1" x14ac:dyDescent="0.25">
      <c r="A1076" s="33">
        <v>7</v>
      </c>
      <c r="B1076" s="71" t="s">
        <v>29</v>
      </c>
      <c r="C1076" s="39" t="s">
        <v>3164</v>
      </c>
      <c r="D1076" s="106" t="s">
        <v>747</v>
      </c>
      <c r="E1076" s="47">
        <v>45703</v>
      </c>
      <c r="F1076" s="31" t="str">
        <f>VLOOKUP($C1076,Carpetas!$C$5:$M$2666,2,FALSE)</f>
        <v>BRB011</v>
      </c>
      <c r="G1076" s="23" t="str">
        <f>VLOOKUP($C1076,Carpetas!$C$5:$M$2666,10,FALSE)</f>
        <v>151,66,53</v>
      </c>
      <c r="H1076" s="27" t="str">
        <f>VLOOKUP($C1076,Carpetas!$C$5:$M$2666,6,FALSE)</f>
        <v>Zanini</v>
      </c>
      <c r="I1076" s="220"/>
      <c r="J1076" s="47">
        <f>E1076+2</f>
        <v>45705</v>
      </c>
      <c r="K1076" s="72" t="str">
        <f>VLOOKUP($C1076,Carpetas!$C$5:$M$2666,5,FALSE)</f>
        <v>Rio Branco</v>
      </c>
      <c r="L1076" s="32"/>
      <c r="M1076" s="48">
        <f t="shared" si="73"/>
        <v>45706</v>
      </c>
      <c r="N1076" s="26">
        <f t="shared" si="68"/>
        <v>3</v>
      </c>
      <c r="O1076" s="27">
        <v>918</v>
      </c>
      <c r="P1076" s="27">
        <v>919</v>
      </c>
      <c r="Q1076" s="27">
        <v>26</v>
      </c>
      <c r="R1076" s="27">
        <v>25</v>
      </c>
      <c r="S1076" s="27" t="s">
        <v>1354</v>
      </c>
      <c r="T1076" s="27"/>
      <c r="U1076" s="27">
        <v>5050</v>
      </c>
      <c r="V1076" s="27" t="s">
        <v>1687</v>
      </c>
      <c r="W1076" s="27" t="s">
        <v>3215</v>
      </c>
      <c r="X1076" s="73"/>
      <c r="Y1076" s="73" t="e">
        <f>VLOOKUP(X1076,Choferes!$B$2:$C$500,2,FALSE)</f>
        <v>#N/A</v>
      </c>
      <c r="Z1076" s="73" t="s">
        <v>3214</v>
      </c>
    </row>
    <row r="1077" spans="1:26" hidden="1" x14ac:dyDescent="0.25">
      <c r="A1077" s="33">
        <v>7</v>
      </c>
      <c r="B1077" s="71" t="s">
        <v>29</v>
      </c>
      <c r="C1077" s="39" t="s">
        <v>3103</v>
      </c>
      <c r="D1077" s="106" t="s">
        <v>803</v>
      </c>
      <c r="E1077" s="47">
        <v>45703</v>
      </c>
      <c r="F1077" s="31" t="str">
        <f>VLOOKUP($C1077,Carpetas!$C$5:$M$2666,2,FALSE)</f>
        <v>BRB007</v>
      </c>
      <c r="G1077" s="23">
        <f>VLOOKUP($C1077,Carpetas!$C$5:$M$2666,10,FALSE)</f>
        <v>1515940</v>
      </c>
      <c r="H1077" s="27" t="str">
        <f>VLOOKUP($C1077,Carpetas!$C$5:$M$2666,6,FALSE)</f>
        <v>Amaro</v>
      </c>
      <c r="I1077" s="220"/>
      <c r="J1077" s="47">
        <f>E1077+2</f>
        <v>45705</v>
      </c>
      <c r="K1077" s="72" t="str">
        <f>VLOOKUP($C1077,Carpetas!$C$5:$M$2666,5,FALSE)</f>
        <v>Rio Branco</v>
      </c>
      <c r="L1077" s="32"/>
      <c r="M1077" s="48">
        <f t="shared" si="73"/>
        <v>45706</v>
      </c>
      <c r="N1077" s="26">
        <f t="shared" si="68"/>
        <v>3</v>
      </c>
      <c r="O1077" s="27">
        <v>990</v>
      </c>
      <c r="P1077" s="27">
        <v>990</v>
      </c>
      <c r="Q1077" s="27">
        <v>26</v>
      </c>
      <c r="R1077" s="27">
        <v>25</v>
      </c>
      <c r="S1077" s="27" t="s">
        <v>1143</v>
      </c>
      <c r="T1077" s="27"/>
      <c r="U1077" s="27">
        <v>25556</v>
      </c>
      <c r="V1077" s="27" t="s">
        <v>1800</v>
      </c>
      <c r="W1077" s="27" t="s">
        <v>1702</v>
      </c>
      <c r="X1077" s="73"/>
      <c r="Y1077" s="73" t="e">
        <f>VLOOKUP(X1077,Choferes!$B$2:$C$500,2,FALSE)</f>
        <v>#N/A</v>
      </c>
      <c r="Z1077" s="73" t="s">
        <v>3208</v>
      </c>
    </row>
    <row r="1078" spans="1:26" hidden="1" x14ac:dyDescent="0.25">
      <c r="A1078" s="33">
        <v>7</v>
      </c>
      <c r="B1078" s="71" t="s">
        <v>29</v>
      </c>
      <c r="C1078" s="39" t="s">
        <v>3164</v>
      </c>
      <c r="D1078" s="106" t="s">
        <v>747</v>
      </c>
      <c r="E1078" s="47">
        <v>45704</v>
      </c>
      <c r="F1078" s="31" t="str">
        <f>VLOOKUP($C1078,Carpetas!$C$5:$M$2666,2,FALSE)</f>
        <v>BRB011</v>
      </c>
      <c r="G1078" s="23" t="str">
        <f>VLOOKUP($C1078,Carpetas!$C$5:$M$2666,10,FALSE)</f>
        <v>151,66,53</v>
      </c>
      <c r="H1078" s="27" t="str">
        <f>VLOOKUP($C1078,Carpetas!$C$5:$M$2666,6,FALSE)</f>
        <v>Zanini</v>
      </c>
      <c r="I1078" s="220"/>
      <c r="J1078" s="47">
        <v>45705</v>
      </c>
      <c r="K1078" s="72" t="str">
        <f>VLOOKUP($C1078,Carpetas!$C$5:$M$2666,5,FALSE)</f>
        <v>Rio Branco</v>
      </c>
      <c r="L1078" s="32"/>
      <c r="M1078" s="48">
        <f t="shared" si="73"/>
        <v>45706</v>
      </c>
      <c r="N1078" s="26">
        <f t="shared" si="68"/>
        <v>2</v>
      </c>
      <c r="O1078" s="27">
        <v>918</v>
      </c>
      <c r="P1078" s="27">
        <v>919</v>
      </c>
      <c r="Q1078" s="27">
        <v>26</v>
      </c>
      <c r="R1078" s="27">
        <v>25</v>
      </c>
      <c r="S1078" s="27" t="s">
        <v>3216</v>
      </c>
      <c r="T1078" s="27"/>
      <c r="U1078" s="27">
        <v>5051</v>
      </c>
      <c r="V1078" s="27" t="s">
        <v>3217</v>
      </c>
      <c r="W1078" s="27" t="s">
        <v>3218</v>
      </c>
      <c r="X1078" s="73"/>
      <c r="Y1078" s="73" t="e">
        <f>VLOOKUP(X1078,Choferes!$B$2:$C$500,2,FALSE)</f>
        <v>#N/A</v>
      </c>
      <c r="Z1078" s="73" t="s">
        <v>3214</v>
      </c>
    </row>
    <row r="1079" spans="1:26" hidden="1" x14ac:dyDescent="0.25">
      <c r="A1079" s="33">
        <v>8</v>
      </c>
      <c r="B1079" s="71" t="s">
        <v>29</v>
      </c>
      <c r="C1079" s="39" t="s">
        <v>3191</v>
      </c>
      <c r="D1079" s="106" t="s">
        <v>747</v>
      </c>
      <c r="E1079" s="47">
        <v>45705</v>
      </c>
      <c r="F1079" s="31" t="str">
        <f>VLOOKUP($C1079,Carpetas!$C$5:$M$2666,2,FALSE)</f>
        <v>BRB012</v>
      </c>
      <c r="G1079" s="23" t="str">
        <f>VLOOKUP($C1079,Carpetas!$C$5:$M$2666,10,FALSE)</f>
        <v>151,66,54</v>
      </c>
      <c r="H1079" s="27" t="str">
        <f>VLOOKUP($C1079,Carpetas!$C$5:$M$2666,6,FALSE)</f>
        <v>FG</v>
      </c>
      <c r="I1079" s="220"/>
      <c r="J1079" s="47">
        <v>45706</v>
      </c>
      <c r="K1079" s="72" t="str">
        <f>VLOOKUP($C1079,Carpetas!$C$5:$M$2666,5,FALSE)</f>
        <v>Rio Branco</v>
      </c>
      <c r="L1079" s="32"/>
      <c r="M1079" s="48">
        <f t="shared" si="73"/>
        <v>45707</v>
      </c>
      <c r="N1079" s="26">
        <f t="shared" si="68"/>
        <v>2</v>
      </c>
      <c r="O1079" s="27">
        <v>990</v>
      </c>
      <c r="P1079" s="27">
        <v>991</v>
      </c>
      <c r="Q1079" s="27">
        <v>28</v>
      </c>
      <c r="R1079" s="27">
        <v>26</v>
      </c>
      <c r="S1079" s="27" t="s">
        <v>1401</v>
      </c>
      <c r="T1079" s="27"/>
      <c r="U1079" s="27">
        <v>613</v>
      </c>
      <c r="V1079" s="27" t="s">
        <v>1649</v>
      </c>
      <c r="W1079" s="27" t="s">
        <v>1650</v>
      </c>
      <c r="X1079" s="73"/>
      <c r="Y1079" s="73" t="e">
        <f>VLOOKUP(X1079,Choferes!$B$2:$C$500,2,FALSE)</f>
        <v>#N/A</v>
      </c>
      <c r="Z1079" s="73" t="s">
        <v>3219</v>
      </c>
    </row>
    <row r="1080" spans="1:26" hidden="1" x14ac:dyDescent="0.25">
      <c r="A1080" s="33">
        <v>7</v>
      </c>
      <c r="B1080" s="71" t="s">
        <v>29</v>
      </c>
      <c r="C1080" s="39" t="s">
        <v>3220</v>
      </c>
      <c r="D1080" s="106" t="s">
        <v>42</v>
      </c>
      <c r="E1080" s="47">
        <v>45703</v>
      </c>
      <c r="F1080" s="31" t="str">
        <f>VLOOKUP($C1080,Carpetas!$C$5:$M$2666,2,FALSE)</f>
        <v>PYB024</v>
      </c>
      <c r="G1080" s="23">
        <f>VLOOKUP($C1080,Carpetas!$C$5:$M$2666,10,FALSE)</f>
        <v>0</v>
      </c>
      <c r="H1080" s="27">
        <f>VLOOKUP($C1080,Carpetas!$C$5:$M$2666,6,FALSE)</f>
        <v>0</v>
      </c>
      <c r="I1080" s="220"/>
      <c r="J1080" s="47">
        <v>45707</v>
      </c>
      <c r="K1080" s="72" t="str">
        <f>VLOOKUP($C1080,Carpetas!$C$5:$M$2666,5,FALSE)</f>
        <v>Salto</v>
      </c>
      <c r="L1080" s="32"/>
      <c r="M1080" s="48">
        <f t="shared" si="73"/>
        <v>45708</v>
      </c>
      <c r="N1080" s="26">
        <f t="shared" si="68"/>
        <v>5</v>
      </c>
      <c r="O1080" s="27">
        <v>980</v>
      </c>
      <c r="P1080" s="27">
        <v>974</v>
      </c>
      <c r="Q1080" s="27">
        <v>28</v>
      </c>
      <c r="R1080" s="27">
        <v>26</v>
      </c>
      <c r="S1080" s="27" t="s">
        <v>169</v>
      </c>
      <c r="T1080" s="27"/>
      <c r="U1080" s="27"/>
      <c r="V1080" s="27" t="s">
        <v>3221</v>
      </c>
      <c r="W1080" s="27" t="s">
        <v>3222</v>
      </c>
      <c r="X1080" s="73"/>
      <c r="Y1080" s="73"/>
      <c r="Z1080" s="73" t="s">
        <v>3223</v>
      </c>
    </row>
    <row r="1081" spans="1:26" hidden="1" x14ac:dyDescent="0.25">
      <c r="A1081" s="33">
        <v>8</v>
      </c>
      <c r="B1081" s="71" t="s">
        <v>29</v>
      </c>
      <c r="C1081" s="39" t="s">
        <v>3103</v>
      </c>
      <c r="D1081" s="106" t="s">
        <v>78</v>
      </c>
      <c r="E1081" s="47">
        <v>45705</v>
      </c>
      <c r="F1081" s="31" t="str">
        <f>VLOOKUP($C1081,Carpetas!$C$5:$M$2666,2,FALSE)</f>
        <v>BRB007</v>
      </c>
      <c r="G1081" s="23">
        <f>VLOOKUP($C1081,Carpetas!$C$5:$M$2666,10,FALSE)</f>
        <v>1515940</v>
      </c>
      <c r="H1081" s="27" t="str">
        <f>VLOOKUP($C1081,Carpetas!$C$5:$M$2666,6,FALSE)</f>
        <v>Amaro</v>
      </c>
      <c r="I1081" s="220"/>
      <c r="J1081" s="47">
        <f>E1081+2</f>
        <v>45707</v>
      </c>
      <c r="K1081" s="72" t="str">
        <f>VLOOKUP($C1081,Carpetas!$C$5:$M$2666,5,FALSE)</f>
        <v>Rio Branco</v>
      </c>
      <c r="L1081" s="32"/>
      <c r="M1081" s="48">
        <f t="shared" si="73"/>
        <v>45708</v>
      </c>
      <c r="N1081" s="26">
        <f t="shared" si="68"/>
        <v>3</v>
      </c>
      <c r="O1081" s="27">
        <v>990</v>
      </c>
      <c r="P1081" s="27">
        <v>991</v>
      </c>
      <c r="Q1081" s="27">
        <v>28</v>
      </c>
      <c r="R1081" s="27">
        <v>26</v>
      </c>
      <c r="S1081" s="27" t="s">
        <v>228</v>
      </c>
      <c r="T1081" s="27"/>
      <c r="U1081" s="27">
        <v>25580</v>
      </c>
      <c r="V1081" s="27" t="s">
        <v>3224</v>
      </c>
      <c r="W1081" s="27" t="s">
        <v>3225</v>
      </c>
      <c r="X1081" s="73"/>
      <c r="Y1081" s="73" t="e">
        <f>VLOOKUP(X1081,Choferes!$B$2:$C$500,2,FALSE)</f>
        <v>#N/A</v>
      </c>
      <c r="Z1081" s="73" t="s">
        <v>3226</v>
      </c>
    </row>
    <row r="1082" spans="1:26" hidden="1" x14ac:dyDescent="0.25">
      <c r="A1082" s="33">
        <v>8</v>
      </c>
      <c r="B1082" s="71" t="s">
        <v>29</v>
      </c>
      <c r="C1082" s="39" t="s">
        <v>3191</v>
      </c>
      <c r="D1082" s="106" t="s">
        <v>747</v>
      </c>
      <c r="E1082" s="47">
        <v>45706</v>
      </c>
      <c r="F1082" s="31" t="str">
        <f>VLOOKUP($C1082,Carpetas!$C$5:$M$2666,2,FALSE)</f>
        <v>BRB012</v>
      </c>
      <c r="G1082" s="23" t="str">
        <f>VLOOKUP($C1082,Carpetas!$C$5:$M$2666,10,FALSE)</f>
        <v>151,66,54</v>
      </c>
      <c r="H1082" s="27" t="str">
        <f>VLOOKUP($C1082,Carpetas!$C$5:$M$2666,6,FALSE)</f>
        <v>FG</v>
      </c>
      <c r="I1082" s="220"/>
      <c r="J1082" s="47">
        <v>45707</v>
      </c>
      <c r="K1082" s="72" t="str">
        <f>VLOOKUP($C1082,Carpetas!$C$5:$M$2666,5,FALSE)</f>
        <v>Rio Branco</v>
      </c>
      <c r="L1082" s="32"/>
      <c r="M1082" s="48">
        <f t="shared" si="73"/>
        <v>45708</v>
      </c>
      <c r="N1082" s="26">
        <f t="shared" si="68"/>
        <v>2</v>
      </c>
      <c r="O1082" s="27">
        <v>990</v>
      </c>
      <c r="P1082" s="27">
        <v>991</v>
      </c>
      <c r="Q1082" s="27">
        <v>28</v>
      </c>
      <c r="R1082" s="27">
        <v>26</v>
      </c>
      <c r="S1082" s="27" t="s">
        <v>1475</v>
      </c>
      <c r="T1082" s="27"/>
      <c r="U1082" s="27">
        <v>615</v>
      </c>
      <c r="V1082" s="27" t="s">
        <v>1657</v>
      </c>
      <c r="W1082" s="27" t="s">
        <v>1815</v>
      </c>
      <c r="X1082" s="73"/>
      <c r="Y1082" s="73" t="e">
        <f>VLOOKUP(X1082,Choferes!$B$2:$C$500,2,FALSE)</f>
        <v>#N/A</v>
      </c>
      <c r="Z1082" s="73" t="s">
        <v>3227</v>
      </c>
    </row>
    <row r="1083" spans="1:26" hidden="1" x14ac:dyDescent="0.25">
      <c r="A1083" s="33">
        <v>8</v>
      </c>
      <c r="B1083" s="71" t="s">
        <v>29</v>
      </c>
      <c r="C1083" s="39" t="s">
        <v>3184</v>
      </c>
      <c r="D1083" s="106" t="s">
        <v>102</v>
      </c>
      <c r="E1083" s="47">
        <v>45705</v>
      </c>
      <c r="F1083" s="31" t="str">
        <f>VLOOKUP($C1083,Carpetas!$C$5:$M$2666,2,FALSE)</f>
        <v>PYB021</v>
      </c>
      <c r="G1083" s="23">
        <f>VLOOKUP($C1083,Carpetas!$C$5:$M$2666,10,FALSE)</f>
        <v>0</v>
      </c>
      <c r="H1083" s="27">
        <f>VLOOKUP($C1083,Carpetas!$C$5:$M$2666,6,FALSE)</f>
        <v>0</v>
      </c>
      <c r="I1083" s="220"/>
      <c r="J1083" s="47">
        <f>E1083+3</f>
        <v>45708</v>
      </c>
      <c r="K1083" s="72" t="str">
        <f>VLOOKUP($C1083,Carpetas!$C$5:$M$2666,5,FALSE)</f>
        <v>Salto</v>
      </c>
      <c r="L1083" s="32"/>
      <c r="M1083" s="48">
        <f t="shared" si="73"/>
        <v>45709</v>
      </c>
      <c r="N1083" s="26">
        <f t="shared" si="68"/>
        <v>4</v>
      </c>
      <c r="O1083" s="27">
        <v>980</v>
      </c>
      <c r="P1083" s="27">
        <v>981</v>
      </c>
      <c r="Q1083" s="27">
        <v>28</v>
      </c>
      <c r="R1083" s="27">
        <v>27</v>
      </c>
      <c r="S1083" s="27" t="s">
        <v>482</v>
      </c>
      <c r="T1083" s="27"/>
      <c r="U1083" s="27"/>
      <c r="V1083" s="27" t="s">
        <v>288</v>
      </c>
      <c r="W1083" s="27"/>
      <c r="X1083" s="73"/>
      <c r="Y1083" s="73"/>
      <c r="Z1083" s="73" t="s">
        <v>3228</v>
      </c>
    </row>
    <row r="1084" spans="1:26" hidden="1" x14ac:dyDescent="0.25">
      <c r="A1084" s="33">
        <v>8</v>
      </c>
      <c r="B1084" s="71" t="s">
        <v>29</v>
      </c>
      <c r="C1084" s="39" t="s">
        <v>3191</v>
      </c>
      <c r="D1084" s="106" t="s">
        <v>249</v>
      </c>
      <c r="E1084" s="47">
        <v>45706</v>
      </c>
      <c r="F1084" s="31" t="str">
        <f>VLOOKUP($C1084,Carpetas!$C$5:$M$2666,2,FALSE)</f>
        <v>BRB012</v>
      </c>
      <c r="G1084" s="23" t="str">
        <f>VLOOKUP($C1084,Carpetas!$C$5:$M$2666,10,FALSE)</f>
        <v>151,66,54</v>
      </c>
      <c r="H1084" s="27" t="str">
        <f>VLOOKUP($C1084,Carpetas!$C$5:$M$2666,6,FALSE)</f>
        <v>FG</v>
      </c>
      <c r="I1084" s="220"/>
      <c r="J1084" s="47">
        <f>E1084+2</f>
        <v>45708</v>
      </c>
      <c r="K1084" s="72" t="str">
        <f>VLOOKUP($C1084,Carpetas!$C$5:$M$2666,5,FALSE)</f>
        <v>Rio Branco</v>
      </c>
      <c r="L1084" s="32"/>
      <c r="M1084" s="48">
        <f t="shared" si="73"/>
        <v>45709</v>
      </c>
      <c r="N1084" s="26">
        <f t="shared" si="68"/>
        <v>3</v>
      </c>
      <c r="O1084" s="27">
        <v>990</v>
      </c>
      <c r="P1084" s="27">
        <v>991</v>
      </c>
      <c r="Q1084" s="27">
        <v>28</v>
      </c>
      <c r="R1084" s="27">
        <v>26</v>
      </c>
      <c r="S1084" s="27" t="s">
        <v>1306</v>
      </c>
      <c r="T1084" s="27"/>
      <c r="U1084" s="27">
        <v>614</v>
      </c>
      <c r="V1084" s="27" t="s">
        <v>1956</v>
      </c>
      <c r="W1084" s="27" t="s">
        <v>1957</v>
      </c>
      <c r="X1084" s="73"/>
      <c r="Y1084" s="73" t="e">
        <f>VLOOKUP(X1084,Choferes!$B$2:$C$500,2,FALSE)</f>
        <v>#N/A</v>
      </c>
      <c r="Z1084" s="73" t="s">
        <v>3229</v>
      </c>
    </row>
    <row r="1085" spans="1:26" hidden="1" x14ac:dyDescent="0.25">
      <c r="A1085" s="33">
        <v>7</v>
      </c>
      <c r="B1085" s="71" t="s">
        <v>29</v>
      </c>
      <c r="C1085" s="39" t="s">
        <v>3230</v>
      </c>
      <c r="D1085" s="106" t="s">
        <v>249</v>
      </c>
      <c r="E1085" s="47">
        <v>45703</v>
      </c>
      <c r="F1085" s="31" t="str">
        <f>VLOOKUP($C1085,Carpetas!$C$5:$M$2666,2,FALSE)</f>
        <v>BRB013</v>
      </c>
      <c r="G1085" s="23" t="str">
        <f>VLOOKUP($C1085,Carpetas!$C$5:$M$2666,10,FALSE)</f>
        <v>151,76,11</v>
      </c>
      <c r="H1085" s="27" t="str">
        <f>VLOOKUP($C1085,Carpetas!$C$5:$M$2666,6,FALSE)</f>
        <v xml:space="preserve">Silvio </v>
      </c>
      <c r="I1085" s="220"/>
      <c r="J1085" s="47">
        <v>45709</v>
      </c>
      <c r="K1085" s="72" t="str">
        <f>VLOOKUP($C1085,Carpetas!$C$5:$M$2666,5,FALSE)</f>
        <v>Rio Branco</v>
      </c>
      <c r="L1085" s="32"/>
      <c r="M1085" s="48">
        <f t="shared" si="73"/>
        <v>45710</v>
      </c>
      <c r="N1085" s="26">
        <f t="shared" si="68"/>
        <v>7</v>
      </c>
      <c r="O1085" s="27">
        <v>918</v>
      </c>
      <c r="P1085" s="27">
        <v>919</v>
      </c>
      <c r="Q1085" s="27">
        <v>26</v>
      </c>
      <c r="R1085" s="27">
        <v>25</v>
      </c>
      <c r="S1085" s="27" t="s">
        <v>1415</v>
      </c>
      <c r="T1085" s="27"/>
      <c r="U1085" s="27">
        <v>7316</v>
      </c>
      <c r="V1085" s="27" t="s">
        <v>1596</v>
      </c>
      <c r="W1085" s="27" t="s">
        <v>2439</v>
      </c>
      <c r="X1085" s="73"/>
      <c r="Y1085" s="73" t="e">
        <f>VLOOKUP(X1085,Choferes!$B$2:$C$500,2,FALSE)</f>
        <v>#N/A</v>
      </c>
      <c r="Z1085" s="73" t="s">
        <v>3231</v>
      </c>
    </row>
    <row r="1086" spans="1:26" hidden="1" x14ac:dyDescent="0.25">
      <c r="A1086" s="33">
        <v>8</v>
      </c>
      <c r="B1086" s="71" t="s">
        <v>29</v>
      </c>
      <c r="C1086" s="39" t="s">
        <v>3232</v>
      </c>
      <c r="D1086" s="106" t="s">
        <v>48</v>
      </c>
      <c r="E1086" s="47">
        <v>45705</v>
      </c>
      <c r="F1086" s="31" t="str">
        <f>VLOOKUP($C1086,Carpetas!$C$5:$M$2666,2,FALSE)</f>
        <v>PYB025</v>
      </c>
      <c r="G1086" s="23">
        <f>VLOOKUP($C1086,Carpetas!$C$5:$M$2666,10,FALSE)</f>
        <v>0</v>
      </c>
      <c r="H1086" s="27">
        <f>VLOOKUP($C1086,Carpetas!$C$5:$M$2666,6,FALSE)</f>
        <v>0</v>
      </c>
      <c r="I1086" s="220"/>
      <c r="J1086" s="47">
        <v>45709</v>
      </c>
      <c r="K1086" s="72" t="str">
        <f>VLOOKUP($C1086,Carpetas!$C$5:$M$2666,5,FALSE)</f>
        <v>Salto</v>
      </c>
      <c r="L1086" s="32"/>
      <c r="M1086" s="48">
        <f t="shared" si="73"/>
        <v>45710</v>
      </c>
      <c r="N1086" s="26">
        <f t="shared" si="68"/>
        <v>5</v>
      </c>
      <c r="O1086" s="27">
        <v>960</v>
      </c>
      <c r="P1086" s="27"/>
      <c r="Q1086" s="27"/>
      <c r="R1086" s="27">
        <v>28</v>
      </c>
      <c r="S1086" s="27" t="s">
        <v>3233</v>
      </c>
      <c r="T1086" s="27"/>
      <c r="U1086" s="27"/>
      <c r="V1086" s="27" t="s">
        <v>98</v>
      </c>
      <c r="W1086" s="27" t="s">
        <v>1021</v>
      </c>
      <c r="X1086" s="73"/>
      <c r="Y1086" s="73"/>
      <c r="Z1086" s="73"/>
    </row>
    <row r="1087" spans="1:26" hidden="1" x14ac:dyDescent="0.25">
      <c r="A1087" s="33">
        <v>8</v>
      </c>
      <c r="B1087" s="71" t="s">
        <v>29</v>
      </c>
      <c r="C1087" s="39" t="s">
        <v>3164</v>
      </c>
      <c r="D1087" s="106" t="s">
        <v>803</v>
      </c>
      <c r="E1087" s="47">
        <v>45707</v>
      </c>
      <c r="F1087" s="31" t="str">
        <f>VLOOKUP($C1087,Carpetas!$C$5:$M$2666,2,FALSE)</f>
        <v>BRB011</v>
      </c>
      <c r="G1087" s="23" t="str">
        <f>VLOOKUP($C1087,Carpetas!$C$5:$M$2666,10,FALSE)</f>
        <v>151,66,53</v>
      </c>
      <c r="H1087" s="27" t="str">
        <f>VLOOKUP($C1087,Carpetas!$C$5:$M$2666,6,FALSE)</f>
        <v>Zanini</v>
      </c>
      <c r="I1087" s="220"/>
      <c r="J1087" s="47">
        <f>E1087+2</f>
        <v>45709</v>
      </c>
      <c r="K1087" s="72" t="str">
        <f>VLOOKUP($C1087,Carpetas!$C$5:$M$2666,5,FALSE)</f>
        <v>Rio Branco</v>
      </c>
      <c r="L1087" s="32"/>
      <c r="M1087" s="48">
        <f t="shared" si="73"/>
        <v>45710</v>
      </c>
      <c r="N1087" s="26">
        <f t="shared" si="68"/>
        <v>3</v>
      </c>
      <c r="O1087" s="27">
        <v>918</v>
      </c>
      <c r="P1087" s="27">
        <v>919</v>
      </c>
      <c r="Q1087" s="27">
        <v>26</v>
      </c>
      <c r="R1087" s="27">
        <v>25</v>
      </c>
      <c r="S1087" s="27" t="s">
        <v>1196</v>
      </c>
      <c r="T1087" s="27"/>
      <c r="U1087" s="27">
        <v>5062</v>
      </c>
      <c r="V1087" s="27" t="s">
        <v>3155</v>
      </c>
      <c r="W1087" s="27" t="s">
        <v>3156</v>
      </c>
      <c r="X1087" s="73"/>
      <c r="Y1087" s="73" t="e">
        <f>VLOOKUP(X1087,Choferes!$B$2:$C$500,2,FALSE)</f>
        <v>#N/A</v>
      </c>
      <c r="Z1087" s="73" t="s">
        <v>3234</v>
      </c>
    </row>
    <row r="1088" spans="1:26" hidden="1" x14ac:dyDescent="0.25">
      <c r="A1088" s="33">
        <v>8</v>
      </c>
      <c r="B1088" s="71" t="s">
        <v>29</v>
      </c>
      <c r="C1088" s="39" t="s">
        <v>3191</v>
      </c>
      <c r="D1088" s="106" t="s">
        <v>803</v>
      </c>
      <c r="E1088" s="47">
        <v>45708</v>
      </c>
      <c r="F1088" s="31" t="str">
        <f>VLOOKUP($C1088,Carpetas!$C$5:$M$2666,2,FALSE)</f>
        <v>BRB012</v>
      </c>
      <c r="G1088" s="23" t="str">
        <f>VLOOKUP($C1088,Carpetas!$C$5:$M$2666,10,FALSE)</f>
        <v>151,66,54</v>
      </c>
      <c r="H1088" s="27" t="str">
        <f>VLOOKUP($C1088,Carpetas!$C$5:$M$2666,6,FALSE)</f>
        <v>FG</v>
      </c>
      <c r="I1088" s="220"/>
      <c r="J1088" s="47">
        <v>45709</v>
      </c>
      <c r="K1088" s="72" t="str">
        <f>VLOOKUP($C1088,Carpetas!$C$5:$M$2666,5,FALSE)</f>
        <v>Rio Branco</v>
      </c>
      <c r="L1088" s="32"/>
      <c r="M1088" s="48">
        <f t="shared" si="73"/>
        <v>45710</v>
      </c>
      <c r="N1088" s="26">
        <f t="shared" si="68"/>
        <v>2</v>
      </c>
      <c r="O1088" s="27">
        <v>990</v>
      </c>
      <c r="P1088" s="27">
        <v>990</v>
      </c>
      <c r="Q1088" s="27">
        <v>28</v>
      </c>
      <c r="R1088" s="27">
        <v>26</v>
      </c>
      <c r="S1088" s="27" t="s">
        <v>1171</v>
      </c>
      <c r="T1088" s="27"/>
      <c r="U1088" s="27">
        <v>620</v>
      </c>
      <c r="V1088" s="27" t="s">
        <v>1630</v>
      </c>
      <c r="W1088" s="27" t="s">
        <v>1934</v>
      </c>
      <c r="X1088" s="73"/>
      <c r="Y1088" s="73" t="e">
        <f>VLOOKUP(X1088,Choferes!$B$2:$C$500,2,FALSE)</f>
        <v>#N/A</v>
      </c>
      <c r="Z1088" s="73" t="s">
        <v>3235</v>
      </c>
    </row>
    <row r="1089" spans="1:26" hidden="1" x14ac:dyDescent="0.25">
      <c r="A1089" s="33">
        <v>8</v>
      </c>
      <c r="B1089" s="71" t="s">
        <v>29</v>
      </c>
      <c r="C1089" s="39" t="s">
        <v>3236</v>
      </c>
      <c r="D1089" s="106" t="s">
        <v>803</v>
      </c>
      <c r="E1089" s="47">
        <v>45708</v>
      </c>
      <c r="F1089" s="31" t="str">
        <f>VLOOKUP($C1089,Carpetas!$C$5:$M$2666,2,FALSE)</f>
        <v>BRB014</v>
      </c>
      <c r="G1089" s="23" t="str">
        <f>VLOOKUP($C1089,Carpetas!$C$5:$M$2666,10,FALSE)</f>
        <v>151,83,24</v>
      </c>
      <c r="H1089" s="27" t="str">
        <f>VLOOKUP($C1089,Carpetas!$C$5:$M$2666,6,FALSE)</f>
        <v>Zanini</v>
      </c>
      <c r="I1089" s="220"/>
      <c r="J1089" s="47">
        <v>45709</v>
      </c>
      <c r="K1089" s="72" t="str">
        <f>VLOOKUP($C1089,Carpetas!$C$5:$M$2666,5,FALSE)</f>
        <v>Rio Branco</v>
      </c>
      <c r="L1089" s="32"/>
      <c r="M1089" s="48">
        <f t="shared" si="73"/>
        <v>45710</v>
      </c>
      <c r="N1089" s="26">
        <f t="shared" si="68"/>
        <v>2</v>
      </c>
      <c r="O1089" s="27">
        <v>918</v>
      </c>
      <c r="P1089" s="27">
        <v>918</v>
      </c>
      <c r="Q1089" s="27">
        <v>26</v>
      </c>
      <c r="R1089" s="27">
        <v>25</v>
      </c>
      <c r="S1089" s="27" t="s">
        <v>1219</v>
      </c>
      <c r="T1089" s="27"/>
      <c r="U1089" s="27">
        <v>5064</v>
      </c>
      <c r="V1089" s="27" t="s">
        <v>151</v>
      </c>
      <c r="W1089" s="27" t="s">
        <v>152</v>
      </c>
      <c r="X1089" s="73"/>
      <c r="Y1089" s="73" t="e">
        <f>VLOOKUP(X1089,Choferes!$B$2:$C$500,2,FALSE)</f>
        <v>#N/A</v>
      </c>
      <c r="Z1089" s="73" t="s">
        <v>3237</v>
      </c>
    </row>
    <row r="1090" spans="1:26" hidden="1" x14ac:dyDescent="0.25">
      <c r="A1090" s="33">
        <v>8</v>
      </c>
      <c r="B1090" s="71" t="s">
        <v>29</v>
      </c>
      <c r="C1090" s="39" t="s">
        <v>3191</v>
      </c>
      <c r="D1090" s="106" t="s">
        <v>78</v>
      </c>
      <c r="E1090" s="47">
        <v>45708</v>
      </c>
      <c r="F1090" s="31" t="str">
        <f>VLOOKUP($C1090,Carpetas!$C$5:$M$2666,2,FALSE)</f>
        <v>BRB012</v>
      </c>
      <c r="G1090" s="23" t="str">
        <f>VLOOKUP($C1090,Carpetas!$C$5:$M$2666,10,FALSE)</f>
        <v>151,66,54</v>
      </c>
      <c r="H1090" s="27" t="str">
        <f>VLOOKUP($C1090,Carpetas!$C$5:$M$2666,6,FALSE)</f>
        <v>FG</v>
      </c>
      <c r="I1090" s="220"/>
      <c r="J1090" s="47">
        <f>E1090+2</f>
        <v>45710</v>
      </c>
      <c r="K1090" s="72" t="str">
        <f>VLOOKUP($C1090,Carpetas!$C$5:$M$2666,5,FALSE)</f>
        <v>Rio Branco</v>
      </c>
      <c r="L1090" s="32"/>
      <c r="M1090" s="48">
        <f t="shared" si="73"/>
        <v>45711</v>
      </c>
      <c r="N1090" s="26">
        <f t="shared" si="68"/>
        <v>3</v>
      </c>
      <c r="O1090" s="27">
        <v>990</v>
      </c>
      <c r="P1090" s="27">
        <v>990</v>
      </c>
      <c r="Q1090" s="27">
        <v>28</v>
      </c>
      <c r="R1090" s="27">
        <v>26</v>
      </c>
      <c r="S1090" s="27" t="s">
        <v>259</v>
      </c>
      <c r="T1090" s="27"/>
      <c r="U1090" s="27">
        <v>621</v>
      </c>
      <c r="V1090" s="27" t="s">
        <v>1430</v>
      </c>
      <c r="W1090" s="27" t="s">
        <v>1669</v>
      </c>
      <c r="X1090" s="73"/>
      <c r="Y1090" s="73" t="e">
        <f>VLOOKUP(X1090,Choferes!$B$2:$C$500,2,FALSE)</f>
        <v>#N/A</v>
      </c>
      <c r="Z1090" s="73" t="s">
        <v>3235</v>
      </c>
    </row>
    <row r="1091" spans="1:26" hidden="1" x14ac:dyDescent="0.25">
      <c r="A1091" s="33">
        <v>8</v>
      </c>
      <c r="B1091" s="71" t="s">
        <v>29</v>
      </c>
      <c r="C1091" s="39" t="s">
        <v>3230</v>
      </c>
      <c r="D1091" s="106" t="s">
        <v>110</v>
      </c>
      <c r="E1091" s="47">
        <v>45707</v>
      </c>
      <c r="F1091" s="31" t="str">
        <f>VLOOKUP($C1091,Carpetas!$C$5:$M$2666,2,FALSE)</f>
        <v>BRB013</v>
      </c>
      <c r="G1091" s="23" t="str">
        <f>VLOOKUP($C1091,Carpetas!$C$5:$M$2666,10,FALSE)</f>
        <v>151,76,11</v>
      </c>
      <c r="H1091" s="27" t="str">
        <f>VLOOKUP($C1091,Carpetas!$C$5:$M$2666,6,FALSE)</f>
        <v xml:space="preserve">Silvio </v>
      </c>
      <c r="I1091" s="220"/>
      <c r="J1091" s="47">
        <f>E1091+5</f>
        <v>45712</v>
      </c>
      <c r="K1091" s="72" t="str">
        <f>VLOOKUP($C1091,Carpetas!$C$5:$M$2666,5,FALSE)</f>
        <v>Rio Branco</v>
      </c>
      <c r="L1091" s="32"/>
      <c r="M1091" s="48">
        <f t="shared" si="73"/>
        <v>45713</v>
      </c>
      <c r="N1091" s="26">
        <f t="shared" si="68"/>
        <v>6</v>
      </c>
      <c r="O1091" s="27">
        <v>918</v>
      </c>
      <c r="P1091" s="27">
        <v>919</v>
      </c>
      <c r="Q1091" s="27">
        <v>26</v>
      </c>
      <c r="R1091" s="27">
        <v>25</v>
      </c>
      <c r="S1091" s="27" t="s">
        <v>837</v>
      </c>
      <c r="T1091" s="27"/>
      <c r="U1091" s="27">
        <v>7317</v>
      </c>
      <c r="V1091" s="27" t="s">
        <v>3238</v>
      </c>
      <c r="W1091" s="27" t="s">
        <v>3239</v>
      </c>
      <c r="X1091" s="73"/>
      <c r="Y1091" s="73" t="e">
        <f>VLOOKUP(X1091,Choferes!$B$2:$C$500,2,FALSE)</f>
        <v>#N/A</v>
      </c>
      <c r="Z1091" s="73" t="s">
        <v>3240</v>
      </c>
    </row>
    <row r="1092" spans="1:26" hidden="1" x14ac:dyDescent="0.25">
      <c r="A1092" s="33">
        <v>8</v>
      </c>
      <c r="B1092" s="71" t="s">
        <v>29</v>
      </c>
      <c r="C1092" s="39" t="s">
        <v>3241</v>
      </c>
      <c r="D1092" s="106" t="s">
        <v>38</v>
      </c>
      <c r="E1092" s="47">
        <v>45708</v>
      </c>
      <c r="F1092" s="31" t="str">
        <f>VLOOKUP($C1092,Carpetas!$C$5:$M$2666,2,FALSE)</f>
        <v>BRE006</v>
      </c>
      <c r="G1092" s="23" t="str">
        <f>VLOOKUP($C1092,Carpetas!$C$5:$M$2666,10,FALSE)</f>
        <v>1516909/1517707/1517706/1517708/1517861</v>
      </c>
      <c r="H1092" s="27" t="str">
        <f>VLOOKUP($C1092,Carpetas!$C$5:$M$2666,6,FALSE)</f>
        <v>Marvel</v>
      </c>
      <c r="I1092" s="220">
        <f>VLOOKUP($C1092,Carpetas!$C$5:$M$2666,4,FALSE)</f>
        <v>0</v>
      </c>
      <c r="J1092" s="47">
        <v>45712</v>
      </c>
      <c r="K1092" s="72" t="str">
        <f>VLOOKUP($C1092,Carpetas!$C$5:$M$2666,5,FALSE)</f>
        <v>Rio Branco</v>
      </c>
      <c r="L1092" s="32"/>
      <c r="M1092" s="48">
        <f t="shared" si="73"/>
        <v>45713</v>
      </c>
      <c r="N1092" s="26">
        <f t="shared" si="68"/>
        <v>5</v>
      </c>
      <c r="O1092" s="27">
        <v>1568</v>
      </c>
      <c r="P1092" s="27"/>
      <c r="Q1092" s="27"/>
      <c r="R1092" s="27"/>
      <c r="S1092" s="27"/>
      <c r="T1092" s="27"/>
      <c r="U1092" s="27">
        <v>10528</v>
      </c>
      <c r="V1092" s="27" t="s">
        <v>3242</v>
      </c>
      <c r="W1092" s="27" t="s">
        <v>3243</v>
      </c>
      <c r="X1092" s="73"/>
      <c r="Y1092" s="73"/>
      <c r="Z1092" s="73" t="s">
        <v>1168</v>
      </c>
    </row>
    <row r="1093" spans="1:26" ht="30" hidden="1" x14ac:dyDescent="0.25">
      <c r="A1093" s="33">
        <v>8</v>
      </c>
      <c r="B1093" s="71" t="s">
        <v>29</v>
      </c>
      <c r="C1093" s="39" t="s">
        <v>3230</v>
      </c>
      <c r="D1093" s="106" t="s">
        <v>110</v>
      </c>
      <c r="E1093" s="47">
        <v>45709</v>
      </c>
      <c r="F1093" s="31" t="str">
        <f>VLOOKUP($C1093,Carpetas!$C$5:$M$2666,2,FALSE)</f>
        <v>BRB013</v>
      </c>
      <c r="G1093" s="23" t="str">
        <f>VLOOKUP($C1093,Carpetas!$C$5:$M$2666,10,FALSE)</f>
        <v>151,76,11</v>
      </c>
      <c r="H1093" s="27" t="str">
        <f>VLOOKUP($C1093,Carpetas!$C$5:$M$2666,6,FALSE)</f>
        <v xml:space="preserve">Silvio </v>
      </c>
      <c r="I1093" s="220"/>
      <c r="J1093" s="47">
        <v>45712</v>
      </c>
      <c r="K1093" s="72" t="str">
        <f>VLOOKUP($C1093,Carpetas!$C$5:$M$2666,5,FALSE)</f>
        <v>Rio Branco</v>
      </c>
      <c r="L1093" s="32"/>
      <c r="M1093" s="48">
        <f t="shared" si="73"/>
        <v>45713</v>
      </c>
      <c r="N1093" s="26">
        <f t="shared" ref="N1093:N1156" si="74">IF(E1093&lt;&gt;"",M1093-E1093,"-")</f>
        <v>4</v>
      </c>
      <c r="O1093" s="27">
        <v>918</v>
      </c>
      <c r="P1093" s="27">
        <v>882</v>
      </c>
      <c r="Q1093" s="27">
        <v>25</v>
      </c>
      <c r="R1093" s="27">
        <v>26</v>
      </c>
      <c r="S1093" s="27" t="s">
        <v>788</v>
      </c>
      <c r="T1093" s="27"/>
      <c r="U1093" s="27">
        <v>7318</v>
      </c>
      <c r="V1093" s="27" t="s">
        <v>3244</v>
      </c>
      <c r="W1093" s="27" t="s">
        <v>3245</v>
      </c>
      <c r="X1093" s="73"/>
      <c r="Y1093" s="73" t="e">
        <f>VLOOKUP(X1093,Choferes!$B$2:$C$500,2,FALSE)</f>
        <v>#N/A</v>
      </c>
      <c r="Z1093" s="73" t="s">
        <v>3246</v>
      </c>
    </row>
    <row r="1094" spans="1:26" hidden="1" x14ac:dyDescent="0.25">
      <c r="A1094" s="33">
        <v>8</v>
      </c>
      <c r="B1094" s="71" t="s">
        <v>29</v>
      </c>
      <c r="C1094" s="39" t="s">
        <v>3230</v>
      </c>
      <c r="D1094" s="106" t="s">
        <v>803</v>
      </c>
      <c r="E1094" s="47">
        <v>45709</v>
      </c>
      <c r="F1094" s="31" t="str">
        <f>VLOOKUP($C1094,Carpetas!$C$5:$M$2666,2,FALSE)</f>
        <v>BRB013</v>
      </c>
      <c r="G1094" s="23" t="str">
        <f>VLOOKUP($C1094,Carpetas!$C$5:$M$2666,10,FALSE)</f>
        <v>151,76,11</v>
      </c>
      <c r="H1094" s="27" t="str">
        <f>VLOOKUP($C1094,Carpetas!$C$5:$M$2666,6,FALSE)</f>
        <v xml:space="preserve">Silvio </v>
      </c>
      <c r="I1094" s="220"/>
      <c r="J1094" s="47">
        <v>45712</v>
      </c>
      <c r="K1094" s="72" t="str">
        <f>VLOOKUP($C1094,Carpetas!$C$5:$M$2666,5,FALSE)</f>
        <v>Rio Branco</v>
      </c>
      <c r="L1094" s="32"/>
      <c r="M1094" s="48">
        <f t="shared" si="73"/>
        <v>45713</v>
      </c>
      <c r="N1094" s="26">
        <f t="shared" si="74"/>
        <v>4</v>
      </c>
      <c r="O1094" s="27">
        <v>918</v>
      </c>
      <c r="P1094" s="27">
        <v>918</v>
      </c>
      <c r="Q1094" s="27">
        <v>26</v>
      </c>
      <c r="R1094" s="27">
        <v>25</v>
      </c>
      <c r="S1094" s="27" t="s">
        <v>1207</v>
      </c>
      <c r="T1094" s="27"/>
      <c r="U1094" s="27">
        <v>7320</v>
      </c>
      <c r="V1094" s="27" t="s">
        <v>1849</v>
      </c>
      <c r="W1094" s="27" t="s">
        <v>1850</v>
      </c>
      <c r="X1094" s="73"/>
      <c r="Y1094" s="73" t="e">
        <f>VLOOKUP(X1094,Choferes!$B$2:$C$500,2,FALSE)</f>
        <v>#N/A</v>
      </c>
      <c r="Z1094" s="73" t="s">
        <v>3247</v>
      </c>
    </row>
    <row r="1095" spans="1:26" hidden="1" x14ac:dyDescent="0.25">
      <c r="A1095" s="33">
        <v>8</v>
      </c>
      <c r="B1095" s="71" t="s">
        <v>29</v>
      </c>
      <c r="C1095" s="39" t="s">
        <v>3236</v>
      </c>
      <c r="D1095" s="106" t="s">
        <v>78</v>
      </c>
      <c r="E1095" s="47">
        <v>45709</v>
      </c>
      <c r="F1095" s="31" t="str">
        <f>VLOOKUP($C1095,Carpetas!$C$5:$M$2666,2,FALSE)</f>
        <v>BRB014</v>
      </c>
      <c r="G1095" s="23" t="str">
        <f>VLOOKUP($C1095,Carpetas!$C$5:$M$2666,10,FALSE)</f>
        <v>151,83,24</v>
      </c>
      <c r="H1095" s="27" t="str">
        <f>VLOOKUP($C1095,Carpetas!$C$5:$M$2666,6,FALSE)</f>
        <v>Zanini</v>
      </c>
      <c r="I1095" s="220"/>
      <c r="J1095" s="47">
        <v>45712</v>
      </c>
      <c r="K1095" s="72" t="str">
        <f>VLOOKUP($C1095,Carpetas!$C$5:$M$2666,5,FALSE)</f>
        <v>Rio Branco</v>
      </c>
      <c r="L1095" s="32"/>
      <c r="M1095" s="48">
        <f t="shared" si="73"/>
        <v>45713</v>
      </c>
      <c r="N1095" s="26">
        <f t="shared" si="74"/>
        <v>4</v>
      </c>
      <c r="O1095" s="27">
        <v>918</v>
      </c>
      <c r="P1095" s="27">
        <v>919</v>
      </c>
      <c r="Q1095" s="27">
        <v>26</v>
      </c>
      <c r="R1095" s="27">
        <v>25</v>
      </c>
      <c r="S1095" s="27" t="s">
        <v>3248</v>
      </c>
      <c r="T1095" s="27"/>
      <c r="U1095" s="27">
        <v>5067</v>
      </c>
      <c r="V1095" s="27" t="s">
        <v>3249</v>
      </c>
      <c r="W1095" s="27" t="s">
        <v>3250</v>
      </c>
      <c r="X1095" s="73"/>
      <c r="Y1095" s="73" t="e">
        <f>VLOOKUP(X1095,Choferes!$B$2:$C$500,2,FALSE)</f>
        <v>#N/A</v>
      </c>
      <c r="Z1095" s="73" t="s">
        <v>3251</v>
      </c>
    </row>
    <row r="1096" spans="1:26" hidden="1" x14ac:dyDescent="0.25">
      <c r="A1096" s="33">
        <v>8</v>
      </c>
      <c r="B1096" s="71" t="s">
        <v>298</v>
      </c>
      <c r="C1096" s="39" t="s">
        <v>299</v>
      </c>
      <c r="D1096" s="106" t="s">
        <v>249</v>
      </c>
      <c r="E1096" s="47">
        <v>45709</v>
      </c>
      <c r="F1096" s="31" t="str">
        <f>VLOOKUP($C1096,Carpetas!$C$5:$M$2666,2,FALSE)</f>
        <v>BRB</v>
      </c>
      <c r="G1096" s="23" t="e">
        <f>VLOOKUP($C1096,Carpetas!$C$5:$M$2666,9,FALSE)</f>
        <v>#REF!</v>
      </c>
      <c r="H1096" s="27" t="str">
        <f>VLOOKUP($C1096,Carpetas!$C$5:$M$2666,5,FALSE)</f>
        <v>xx</v>
      </c>
      <c r="I1096" s="220"/>
      <c r="J1096" s="47">
        <v>45712</v>
      </c>
      <c r="K1096" s="72">
        <f>VLOOKUP($C1096,Carpetas!$C$5:$M$2666,4,FALSE)</f>
        <v>0</v>
      </c>
      <c r="L1096" s="32"/>
      <c r="M1096" s="48">
        <f t="shared" si="73"/>
        <v>45713</v>
      </c>
      <c r="N1096" s="26">
        <f t="shared" si="74"/>
        <v>4</v>
      </c>
      <c r="O1096" s="27">
        <v>918</v>
      </c>
      <c r="P1096" s="27"/>
      <c r="Q1096" s="27"/>
      <c r="R1096" s="27"/>
      <c r="S1096" s="27"/>
      <c r="T1096" s="27"/>
      <c r="U1096" s="27"/>
      <c r="V1096" s="27"/>
      <c r="W1096" s="27"/>
      <c r="X1096" s="73"/>
      <c r="Y1096" s="73" t="e">
        <f>VLOOKUP(X1096,Choferes!$B$2:$C$500,2,FALSE)</f>
        <v>#N/A</v>
      </c>
      <c r="Z1096" s="73"/>
    </row>
    <row r="1097" spans="1:26" hidden="1" x14ac:dyDescent="0.25">
      <c r="A1097" s="33">
        <v>8</v>
      </c>
      <c r="B1097" s="71" t="s">
        <v>29</v>
      </c>
      <c r="C1097" s="39" t="s">
        <v>3236</v>
      </c>
      <c r="D1097" s="106" t="s">
        <v>747</v>
      </c>
      <c r="E1097" s="47">
        <v>45709</v>
      </c>
      <c r="F1097" s="31" t="str">
        <f>VLOOKUP($C1097,Carpetas!$C$5:$M$2666,2,FALSE)</f>
        <v>BRB014</v>
      </c>
      <c r="G1097" s="23" t="str">
        <f>VLOOKUP($C1097,Carpetas!$C$5:$M$2666,10,FALSE)</f>
        <v>151,83,24</v>
      </c>
      <c r="H1097" s="27" t="str">
        <f>VLOOKUP($C1097,Carpetas!$C$5:$M$2666,6,FALSE)</f>
        <v>Zanini</v>
      </c>
      <c r="I1097" s="220"/>
      <c r="J1097" s="47">
        <v>45712</v>
      </c>
      <c r="K1097" s="72" t="str">
        <f>VLOOKUP($C1097,Carpetas!$C$5:$M$2666,5,FALSE)</f>
        <v>Rio Branco</v>
      </c>
      <c r="L1097" s="32"/>
      <c r="M1097" s="48">
        <f t="shared" si="73"/>
        <v>45713</v>
      </c>
      <c r="N1097" s="26">
        <f t="shared" si="74"/>
        <v>4</v>
      </c>
      <c r="O1097" s="27">
        <v>918</v>
      </c>
      <c r="P1097" s="27">
        <v>918</v>
      </c>
      <c r="Q1097" s="27">
        <v>26</v>
      </c>
      <c r="R1097" s="27">
        <v>25</v>
      </c>
      <c r="S1097" s="27" t="s">
        <v>3252</v>
      </c>
      <c r="T1097" s="27"/>
      <c r="U1097" s="27">
        <v>5068</v>
      </c>
      <c r="V1097" s="27" t="s">
        <v>3087</v>
      </c>
      <c r="W1097" s="27" t="s">
        <v>3253</v>
      </c>
      <c r="X1097" s="73"/>
      <c r="Y1097" s="73" t="e">
        <f>VLOOKUP(X1097,Choferes!$B$2:$C$500,2,FALSE)</f>
        <v>#N/A</v>
      </c>
      <c r="Z1097" s="73"/>
    </row>
    <row r="1098" spans="1:26" hidden="1" x14ac:dyDescent="0.25">
      <c r="A1098" s="33">
        <v>8</v>
      </c>
      <c r="B1098" s="71" t="s">
        <v>29</v>
      </c>
      <c r="C1098" s="39" t="s">
        <v>3254</v>
      </c>
      <c r="D1098" s="106" t="s">
        <v>803</v>
      </c>
      <c r="E1098" s="47">
        <v>45710</v>
      </c>
      <c r="F1098" s="31" t="str">
        <f>VLOOKUP($C1098,Carpetas!$C$5:$M$2666,2,FALSE)</f>
        <v>BRB016</v>
      </c>
      <c r="G1098" s="23" t="str">
        <f>VLOOKUP($C1098,Carpetas!$C$5:$M$2666,10,FALSE)</f>
        <v>151,84,80</v>
      </c>
      <c r="H1098" s="27" t="str">
        <f>VLOOKUP($C1098,Carpetas!$C$5:$M$2666,6,FALSE)</f>
        <v>Gral</v>
      </c>
      <c r="I1098" s="220"/>
      <c r="J1098" s="47">
        <v>45712</v>
      </c>
      <c r="K1098" s="72" t="str">
        <f>VLOOKUP($C1098,Carpetas!$C$5:$M$2666,5,FALSE)</f>
        <v>Rio Branco</v>
      </c>
      <c r="L1098" s="32"/>
      <c r="M1098" s="48">
        <f t="shared" si="73"/>
        <v>45713</v>
      </c>
      <c r="N1098" s="26">
        <f t="shared" si="74"/>
        <v>3</v>
      </c>
      <c r="O1098" s="27">
        <v>918</v>
      </c>
      <c r="P1098" s="27">
        <v>918</v>
      </c>
      <c r="Q1098" s="27">
        <v>26</v>
      </c>
      <c r="R1098" s="27">
        <v>26</v>
      </c>
      <c r="S1098" s="27" t="s">
        <v>1241</v>
      </c>
      <c r="T1098" s="27"/>
      <c r="U1098" s="27">
        <v>7126</v>
      </c>
      <c r="V1098" s="27" t="s">
        <v>3255</v>
      </c>
      <c r="W1098" s="27" t="s">
        <v>3256</v>
      </c>
      <c r="X1098" s="73"/>
      <c r="Y1098" s="73" t="e">
        <f>VLOOKUP(X1098,Choferes!$B$2:$C$500,2,FALSE)</f>
        <v>#N/A</v>
      </c>
      <c r="Z1098" s="73" t="s">
        <v>3247</v>
      </c>
    </row>
    <row r="1099" spans="1:26" hidden="1" x14ac:dyDescent="0.25">
      <c r="A1099" s="33">
        <v>8</v>
      </c>
      <c r="B1099" s="71" t="s">
        <v>29</v>
      </c>
      <c r="C1099" s="39" t="s">
        <v>3230</v>
      </c>
      <c r="D1099" s="106" t="s">
        <v>747</v>
      </c>
      <c r="E1099" s="47">
        <v>45710</v>
      </c>
      <c r="F1099" s="31" t="str">
        <f>VLOOKUP($C1099,Carpetas!$C$5:$M$2666,2,FALSE)</f>
        <v>BRB013</v>
      </c>
      <c r="G1099" s="23" t="str">
        <f>VLOOKUP($C1099,Carpetas!$C$5:$M$2666,10,FALSE)</f>
        <v>151,76,11</v>
      </c>
      <c r="H1099" s="27" t="str">
        <f>VLOOKUP($C1099,Carpetas!$C$5:$M$2666,6,FALSE)</f>
        <v xml:space="preserve">Silvio </v>
      </c>
      <c r="I1099" s="220"/>
      <c r="J1099" s="47">
        <f>E1099+2</f>
        <v>45712</v>
      </c>
      <c r="K1099" s="72" t="str">
        <f>VLOOKUP($C1099,Carpetas!$C$5:$M$2666,5,FALSE)</f>
        <v>Rio Branco</v>
      </c>
      <c r="L1099" s="32"/>
      <c r="M1099" s="48">
        <f t="shared" si="73"/>
        <v>45713</v>
      </c>
      <c r="N1099" s="26">
        <f t="shared" si="74"/>
        <v>3</v>
      </c>
      <c r="O1099" s="27">
        <v>918</v>
      </c>
      <c r="P1099" s="27">
        <v>919</v>
      </c>
      <c r="Q1099" s="27">
        <v>26</v>
      </c>
      <c r="R1099" s="27">
        <v>25</v>
      </c>
      <c r="S1099" s="27" t="s">
        <v>1511</v>
      </c>
      <c r="T1099" s="27"/>
      <c r="U1099" s="27">
        <v>7319</v>
      </c>
      <c r="V1099" s="27" t="s">
        <v>3257</v>
      </c>
      <c r="W1099" s="27" t="s">
        <v>3258</v>
      </c>
      <c r="X1099" s="73"/>
      <c r="Y1099" s="73" t="e">
        <f>VLOOKUP(X1099,Choferes!$B$2:$C$500,2,FALSE)</f>
        <v>#N/A</v>
      </c>
      <c r="Z1099" s="73" t="s">
        <v>3259</v>
      </c>
    </row>
    <row r="1100" spans="1:26" hidden="1" x14ac:dyDescent="0.25">
      <c r="A1100" s="33">
        <v>8</v>
      </c>
      <c r="B1100" s="71" t="s">
        <v>29</v>
      </c>
      <c r="C1100" s="39" t="s">
        <v>3236</v>
      </c>
      <c r="D1100" s="106" t="s">
        <v>2474</v>
      </c>
      <c r="E1100" s="47">
        <v>45710</v>
      </c>
      <c r="F1100" s="31" t="str">
        <f>VLOOKUP($C1100,Carpetas!$C$5:$M$2666,2,FALSE)</f>
        <v>BRB014</v>
      </c>
      <c r="G1100" s="23" t="str">
        <f>VLOOKUP($C1100,Carpetas!$C$5:$M$2666,10,FALSE)</f>
        <v>151,83,24</v>
      </c>
      <c r="H1100" s="27" t="str">
        <f>VLOOKUP($C1100,Carpetas!$C$5:$M$2666,6,FALSE)</f>
        <v>Zanini</v>
      </c>
      <c r="I1100" s="220"/>
      <c r="J1100" s="47">
        <f>E1100+2</f>
        <v>45712</v>
      </c>
      <c r="K1100" s="72" t="str">
        <f>VLOOKUP($C1100,Carpetas!$C$5:$M$2666,5,FALSE)</f>
        <v>Rio Branco</v>
      </c>
      <c r="L1100" s="32"/>
      <c r="M1100" s="48">
        <f t="shared" si="73"/>
        <v>45713</v>
      </c>
      <c r="N1100" s="26">
        <f t="shared" si="74"/>
        <v>3</v>
      </c>
      <c r="O1100" s="27">
        <v>918</v>
      </c>
      <c r="P1100" s="27">
        <v>918</v>
      </c>
      <c r="Q1100" s="27">
        <v>26</v>
      </c>
      <c r="R1100" s="27">
        <v>25</v>
      </c>
      <c r="S1100" s="27" t="s">
        <v>2678</v>
      </c>
      <c r="T1100" s="27"/>
      <c r="U1100" s="27">
        <v>5069</v>
      </c>
      <c r="V1100" s="27" t="s">
        <v>3260</v>
      </c>
      <c r="W1100" s="27" t="s">
        <v>3261</v>
      </c>
      <c r="X1100" s="73"/>
      <c r="Y1100" s="73" t="e">
        <f>VLOOKUP(X1100,Choferes!$B$2:$C$500,2,FALSE)</f>
        <v>#N/A</v>
      </c>
      <c r="Z1100" s="73" t="s">
        <v>3247</v>
      </c>
    </row>
    <row r="1101" spans="1:26" hidden="1" x14ac:dyDescent="0.25">
      <c r="A1101" s="33">
        <v>8</v>
      </c>
      <c r="B1101" s="71" t="s">
        <v>29</v>
      </c>
      <c r="C1101" s="39" t="s">
        <v>3262</v>
      </c>
      <c r="D1101" s="106" t="s">
        <v>880</v>
      </c>
      <c r="E1101" s="47">
        <v>45710</v>
      </c>
      <c r="F1101" s="31" t="str">
        <f>VLOOKUP($C1101,Carpetas!$C$5:$M$2666,2,FALSE)</f>
        <v>BRB015</v>
      </c>
      <c r="G1101" s="23" t="str">
        <f>VLOOKUP($C1101,Carpetas!$C$5:$M$2666,10,FALSE)</f>
        <v>151,83,23</v>
      </c>
      <c r="H1101" s="27" t="str">
        <f>VLOOKUP($C1101,Carpetas!$C$5:$M$2666,6,FALSE)</f>
        <v>Amaro</v>
      </c>
      <c r="I1101" s="220"/>
      <c r="J1101" s="47">
        <f>E1101+2</f>
        <v>45712</v>
      </c>
      <c r="K1101" s="72" t="str">
        <f>VLOOKUP($C1101,Carpetas!$C$5:$M$2666,5,FALSE)</f>
        <v>Rio Branco</v>
      </c>
      <c r="L1101" s="32"/>
      <c r="M1101" s="48">
        <f t="shared" si="73"/>
        <v>45713</v>
      </c>
      <c r="N1101" s="26">
        <f t="shared" si="74"/>
        <v>3</v>
      </c>
      <c r="O1101" s="27">
        <v>990</v>
      </c>
      <c r="P1101" s="27">
        <v>990</v>
      </c>
      <c r="Q1101" s="27">
        <v>28</v>
      </c>
      <c r="R1101" s="27">
        <v>26</v>
      </c>
      <c r="S1101" s="27" t="s">
        <v>970</v>
      </c>
      <c r="T1101" s="27"/>
      <c r="U1101" s="27">
        <v>25614</v>
      </c>
      <c r="V1101" s="27" t="s">
        <v>3263</v>
      </c>
      <c r="W1101" s="27" t="s">
        <v>3264</v>
      </c>
      <c r="X1101" s="73"/>
      <c r="Y1101" s="73" t="e">
        <f>VLOOKUP(X1101,Choferes!$B$2:$C$500,2,FALSE)</f>
        <v>#N/A</v>
      </c>
      <c r="Z1101" s="73" t="s">
        <v>3265</v>
      </c>
    </row>
    <row r="1102" spans="1:26" hidden="1" x14ac:dyDescent="0.25">
      <c r="A1102" s="33">
        <v>8</v>
      </c>
      <c r="B1102" s="71" t="s">
        <v>298</v>
      </c>
      <c r="C1102" s="39" t="s">
        <v>299</v>
      </c>
      <c r="D1102" s="106" t="s">
        <v>42</v>
      </c>
      <c r="E1102" s="47">
        <v>45709</v>
      </c>
      <c r="F1102" s="31" t="str">
        <f>VLOOKUP($C1102,Carpetas!$C$5:$M$2666,2,FALSE)</f>
        <v>BRB</v>
      </c>
      <c r="G1102" s="23" t="e">
        <f>VLOOKUP($C1102,Carpetas!$C$5:$M$2666,9,FALSE)</f>
        <v>#REF!</v>
      </c>
      <c r="H1102" s="27" t="str">
        <f>VLOOKUP($C1102,Carpetas!$C$5:$M$2666,5,FALSE)</f>
        <v>xx</v>
      </c>
      <c r="I1102" s="220"/>
      <c r="J1102" s="47">
        <f>E1102+3</f>
        <v>45712</v>
      </c>
      <c r="K1102" s="72">
        <f>VLOOKUP($C1102,Carpetas!$C$5:$M$2666,4,FALSE)</f>
        <v>0</v>
      </c>
      <c r="L1102" s="32"/>
      <c r="M1102" s="48">
        <f t="shared" si="73"/>
        <v>45713</v>
      </c>
      <c r="N1102" s="26">
        <f t="shared" si="74"/>
        <v>4</v>
      </c>
      <c r="O1102" s="27">
        <v>980</v>
      </c>
      <c r="P1102" s="27"/>
      <c r="Q1102" s="27"/>
      <c r="R1102" s="27"/>
      <c r="S1102" s="27"/>
      <c r="T1102" s="27"/>
      <c r="U1102" s="27"/>
      <c r="V1102" s="27"/>
      <c r="W1102" s="27"/>
      <c r="X1102" s="73"/>
      <c r="Y1102" s="73"/>
      <c r="Z1102" s="73"/>
    </row>
    <row r="1103" spans="1:26" hidden="1" x14ac:dyDescent="0.25">
      <c r="A1103" s="33">
        <v>8</v>
      </c>
      <c r="B1103" s="71" t="s">
        <v>29</v>
      </c>
      <c r="C1103" s="39" t="s">
        <v>3266</v>
      </c>
      <c r="D1103" s="106" t="s">
        <v>38</v>
      </c>
      <c r="E1103" s="47">
        <v>45710</v>
      </c>
      <c r="F1103" s="31" t="str">
        <f>VLOOKUP($C1103,Carpetas!$C$5:$M$2666,2,FALSE)</f>
        <v>BRE008</v>
      </c>
      <c r="G1103" s="23" t="str">
        <f>VLOOKUP($C1103,Carpetas!$C$5:$M$2666,10,FALSE)</f>
        <v>151806/1518038/1518037/1518039</v>
      </c>
      <c r="H1103" s="27" t="str">
        <f>VLOOKUP($C1103,Carpetas!$C$5:$M$2666,6,FALSE)</f>
        <v>Dom Basto</v>
      </c>
      <c r="I1103" s="220">
        <f>VLOOKUP($C1103,Carpetas!$C$5:$M$2666,4,FALSE)</f>
        <v>0</v>
      </c>
      <c r="J1103" s="47">
        <v>45714</v>
      </c>
      <c r="K1103" s="72" t="str">
        <f>VLOOKUP($C1103,Carpetas!$C$5:$M$2666,5,FALSE)</f>
        <v>Chuy</v>
      </c>
      <c r="L1103" s="32"/>
      <c r="M1103" s="48">
        <f t="shared" si="73"/>
        <v>45715</v>
      </c>
      <c r="N1103" s="26">
        <f t="shared" si="74"/>
        <v>5</v>
      </c>
      <c r="O1103" s="27">
        <v>1220</v>
      </c>
      <c r="P1103" s="27">
        <v>1220</v>
      </c>
      <c r="Q1103" s="27">
        <v>26</v>
      </c>
      <c r="R1103" s="27"/>
      <c r="S1103" s="27" t="s">
        <v>914</v>
      </c>
      <c r="T1103" s="27"/>
      <c r="U1103" s="27"/>
      <c r="V1103" s="27"/>
      <c r="W1103" s="27"/>
      <c r="X1103" s="73"/>
      <c r="Y1103" s="73"/>
      <c r="Z1103" s="73" t="s">
        <v>3267</v>
      </c>
    </row>
    <row r="1104" spans="1:26" hidden="1" x14ac:dyDescent="0.25">
      <c r="A1104" s="33">
        <v>9</v>
      </c>
      <c r="B1104" s="71" t="s">
        <v>29</v>
      </c>
      <c r="C1104" s="39" t="s">
        <v>3191</v>
      </c>
      <c r="D1104" s="106" t="s">
        <v>803</v>
      </c>
      <c r="E1104" s="47">
        <v>45712</v>
      </c>
      <c r="F1104" s="31" t="str">
        <f>VLOOKUP($C1104,Carpetas!$C$5:$M$2666,2,FALSE)</f>
        <v>BRB012</v>
      </c>
      <c r="G1104" s="23" t="str">
        <f>VLOOKUP($C1104,Carpetas!$C$5:$M$2666,10,FALSE)</f>
        <v>151,66,54</v>
      </c>
      <c r="H1104" s="27" t="str">
        <f>VLOOKUP($C1104,Carpetas!$C$5:$M$2666,6,FALSE)</f>
        <v>FG</v>
      </c>
      <c r="I1104" s="220"/>
      <c r="J1104" s="47">
        <f>E1104+2</f>
        <v>45714</v>
      </c>
      <c r="K1104" s="72" t="str">
        <f>VLOOKUP($C1104,Carpetas!$C$5:$M$2666,5,FALSE)</f>
        <v>Rio Branco</v>
      </c>
      <c r="L1104" s="32"/>
      <c r="M1104" s="48">
        <f t="shared" si="73"/>
        <v>45715</v>
      </c>
      <c r="N1104" s="26">
        <f t="shared" si="74"/>
        <v>3</v>
      </c>
      <c r="O1104" s="27">
        <v>990</v>
      </c>
      <c r="P1104" s="27">
        <v>990</v>
      </c>
      <c r="Q1104" s="27">
        <v>28</v>
      </c>
      <c r="R1104" s="27">
        <v>26</v>
      </c>
      <c r="S1104" s="27" t="s">
        <v>1252</v>
      </c>
      <c r="T1104" s="27"/>
      <c r="U1104" s="27">
        <v>630</v>
      </c>
      <c r="V1104" s="27" t="s">
        <v>1657</v>
      </c>
      <c r="W1104" s="27" t="s">
        <v>1815</v>
      </c>
      <c r="X1104" s="73"/>
      <c r="Y1104" s="73"/>
      <c r="Z1104" s="73" t="s">
        <v>3268</v>
      </c>
    </row>
    <row r="1105" spans="1:26" hidden="1" x14ac:dyDescent="0.25">
      <c r="A1105" s="33">
        <v>9</v>
      </c>
      <c r="B1105" s="71" t="s">
        <v>29</v>
      </c>
      <c r="C1105" s="39" t="s">
        <v>3191</v>
      </c>
      <c r="D1105" s="106" t="s">
        <v>747</v>
      </c>
      <c r="E1105" s="47">
        <v>45712</v>
      </c>
      <c r="F1105" s="31" t="str">
        <f>VLOOKUP($C1105,Carpetas!$C$5:$M$2666,2,FALSE)</f>
        <v>BRB012</v>
      </c>
      <c r="G1105" s="23" t="str">
        <f>VLOOKUP($C1105,Carpetas!$C$5:$M$2666,10,FALSE)</f>
        <v>151,66,54</v>
      </c>
      <c r="H1105" s="27" t="str">
        <f>VLOOKUP($C1105,Carpetas!$C$5:$M$2666,6,FALSE)</f>
        <v>FG</v>
      </c>
      <c r="I1105" s="220"/>
      <c r="J1105" s="47">
        <f>E1105+2</f>
        <v>45714</v>
      </c>
      <c r="K1105" s="72" t="str">
        <f>VLOOKUP($C1105,Carpetas!$C$5:$M$2666,5,FALSE)</f>
        <v>Rio Branco</v>
      </c>
      <c r="L1105" s="32"/>
      <c r="M1105" s="48">
        <f t="shared" si="73"/>
        <v>45715</v>
      </c>
      <c r="N1105" s="26">
        <f t="shared" si="74"/>
        <v>3</v>
      </c>
      <c r="O1105" s="27">
        <v>990</v>
      </c>
      <c r="P1105" s="27">
        <v>990</v>
      </c>
      <c r="Q1105" s="27">
        <v>28</v>
      </c>
      <c r="R1105" s="27">
        <v>26</v>
      </c>
      <c r="S1105" s="27" t="s">
        <v>1531</v>
      </c>
      <c r="T1105" s="27"/>
      <c r="U1105" s="27">
        <v>632</v>
      </c>
      <c r="V1105" s="27" t="s">
        <v>1626</v>
      </c>
      <c r="W1105" s="27" t="s">
        <v>1627</v>
      </c>
      <c r="X1105" s="73"/>
      <c r="Y1105" s="73"/>
      <c r="Z1105" s="73" t="s">
        <v>3268</v>
      </c>
    </row>
    <row r="1106" spans="1:26" hidden="1" x14ac:dyDescent="0.25">
      <c r="A1106" s="33">
        <v>9</v>
      </c>
      <c r="B1106" s="71" t="s">
        <v>29</v>
      </c>
      <c r="C1106" s="39" t="s">
        <v>3262</v>
      </c>
      <c r="D1106" s="106" t="s">
        <v>78</v>
      </c>
      <c r="E1106" s="47">
        <v>45712</v>
      </c>
      <c r="F1106" s="31" t="str">
        <f>VLOOKUP($C1106,Carpetas!$C$5:$M$2666,2,FALSE)</f>
        <v>BRB015</v>
      </c>
      <c r="G1106" s="23" t="str">
        <f>VLOOKUP($C1106,Carpetas!$C$5:$M$2666,10,FALSE)</f>
        <v>151,83,23</v>
      </c>
      <c r="H1106" s="27" t="str">
        <f>VLOOKUP($C1106,Carpetas!$C$5:$M$2666,6,FALSE)</f>
        <v>Amaro</v>
      </c>
      <c r="I1106" s="220"/>
      <c r="J1106" s="47">
        <f>E1106+2</f>
        <v>45714</v>
      </c>
      <c r="K1106" s="72" t="str">
        <f>VLOOKUP($C1106,Carpetas!$C$5:$M$2666,5,FALSE)</f>
        <v>Rio Branco</v>
      </c>
      <c r="L1106" s="32"/>
      <c r="M1106" s="48">
        <f t="shared" si="73"/>
        <v>45715</v>
      </c>
      <c r="N1106" s="26">
        <f t="shared" si="74"/>
        <v>3</v>
      </c>
      <c r="O1106" s="27">
        <v>990</v>
      </c>
      <c r="P1106" s="27">
        <v>991</v>
      </c>
      <c r="Q1106" s="27">
        <v>28</v>
      </c>
      <c r="R1106" s="27">
        <v>26</v>
      </c>
      <c r="S1106" s="27" t="s">
        <v>324</v>
      </c>
      <c r="T1106" s="27"/>
      <c r="U1106" s="27">
        <v>25636</v>
      </c>
      <c r="V1106" s="27" t="s">
        <v>2619</v>
      </c>
      <c r="W1106" s="27" t="s">
        <v>1992</v>
      </c>
      <c r="X1106" s="73"/>
      <c r="Y1106" s="73"/>
      <c r="Z1106" s="73" t="s">
        <v>3269</v>
      </c>
    </row>
    <row r="1107" spans="1:26" hidden="1" x14ac:dyDescent="0.25">
      <c r="A1107" s="33">
        <v>8</v>
      </c>
      <c r="B1107" s="71" t="s">
        <v>29</v>
      </c>
      <c r="C1107" s="39" t="s">
        <v>3270</v>
      </c>
      <c r="D1107" s="106" t="s">
        <v>38</v>
      </c>
      <c r="E1107" s="47">
        <v>45711</v>
      </c>
      <c r="F1107" s="31" t="str">
        <f>VLOOKUP($C1107,Carpetas!$C$5:$M$2666,2,FALSE)</f>
        <v>BRE007</v>
      </c>
      <c r="G1107" s="23" t="str">
        <f>VLOOKUP($C1107,Carpetas!$C$5:$M$2666,10,FALSE)</f>
        <v>151.78.54</v>
      </c>
      <c r="H1107" s="27" t="str">
        <f>VLOOKUP($C1107,Carpetas!$C$5:$M$2666,6,FALSE)</f>
        <v>Dom Basto</v>
      </c>
      <c r="I1107" s="220">
        <f>VLOOKUP($C1107,Carpetas!$C$5:$M$2666,4,FALSE)</f>
        <v>0</v>
      </c>
      <c r="J1107" s="47">
        <v>45714</v>
      </c>
      <c r="K1107" s="72" t="str">
        <f>VLOOKUP($C1107,Carpetas!$C$5:$M$2666,5,FALSE)</f>
        <v>Chuy</v>
      </c>
      <c r="L1107" s="32"/>
      <c r="M1107" s="48">
        <f>J1107+1+1</f>
        <v>45716</v>
      </c>
      <c r="N1107" s="26">
        <f t="shared" si="74"/>
        <v>5</v>
      </c>
      <c r="O1107" s="27">
        <v>5616</v>
      </c>
      <c r="P1107" s="27">
        <v>5614</v>
      </c>
      <c r="Q1107" s="27"/>
      <c r="R1107" s="27"/>
      <c r="S1107" s="27"/>
      <c r="T1107" s="27"/>
      <c r="U1107" s="27"/>
      <c r="V1107" s="27"/>
      <c r="W1107" s="27"/>
      <c r="X1107" s="73"/>
      <c r="Y1107" s="73"/>
      <c r="Z1107" s="73" t="s">
        <v>3271</v>
      </c>
    </row>
    <row r="1108" spans="1:26" ht="30" hidden="1" x14ac:dyDescent="0.25">
      <c r="A1108" s="33">
        <v>8</v>
      </c>
      <c r="B1108" s="71" t="s">
        <v>29</v>
      </c>
      <c r="C1108" s="39" t="s">
        <v>3272</v>
      </c>
      <c r="D1108" s="106" t="s">
        <v>3273</v>
      </c>
      <c r="E1108" s="47">
        <v>45710</v>
      </c>
      <c r="F1108" s="31" t="str">
        <f>VLOOKUP($C1108,Carpetas!$C$5:$M$2666,2,FALSE)</f>
        <v>BRB017</v>
      </c>
      <c r="G1108" s="23" t="str">
        <f>VLOOKUP($C1108,Carpetas!$C$5:$M$2666,10,FALSE)</f>
        <v>151,84,81</v>
      </c>
      <c r="H1108" s="27" t="str">
        <f>VLOOKUP($C1108,Carpetas!$C$5:$M$2666,6,FALSE)</f>
        <v>Marvel</v>
      </c>
      <c r="I1108" s="220"/>
      <c r="J1108" s="47">
        <f>E1108+5</f>
        <v>45715</v>
      </c>
      <c r="K1108" s="72" t="str">
        <f>VLOOKUP($C1108,Carpetas!$C$5:$M$2666,5,FALSE)</f>
        <v>Rio Branco</v>
      </c>
      <c r="L1108" s="32"/>
      <c r="M1108" s="48">
        <f t="shared" ref="M1108:M1127" si="75">J1108+1</f>
        <v>45716</v>
      </c>
      <c r="N1108" s="26">
        <f t="shared" si="74"/>
        <v>6</v>
      </c>
      <c r="O1108" s="27">
        <v>936</v>
      </c>
      <c r="P1108" s="27">
        <v>936</v>
      </c>
      <c r="Q1108" s="27">
        <v>26</v>
      </c>
      <c r="R1108" s="27">
        <v>25.5</v>
      </c>
      <c r="S1108" s="27" t="s">
        <v>3274</v>
      </c>
      <c r="T1108" s="27"/>
      <c r="U1108" s="27">
        <v>10538</v>
      </c>
      <c r="V1108" s="27" t="s">
        <v>3275</v>
      </c>
      <c r="W1108" s="27" t="s">
        <v>3276</v>
      </c>
      <c r="X1108" s="73"/>
      <c r="Y1108" s="73" t="e">
        <f>VLOOKUP(X1108,Choferes!$B$2:$C$500,2,FALSE)</f>
        <v>#N/A</v>
      </c>
      <c r="Z1108" s="73" t="s">
        <v>3277</v>
      </c>
    </row>
    <row r="1109" spans="1:26" hidden="1" x14ac:dyDescent="0.25">
      <c r="A1109" s="33">
        <v>9</v>
      </c>
      <c r="B1109" s="71" t="s">
        <v>29</v>
      </c>
      <c r="C1109" s="39" t="s">
        <v>3278</v>
      </c>
      <c r="D1109" s="106" t="s">
        <v>803</v>
      </c>
      <c r="E1109" s="47">
        <v>45713</v>
      </c>
      <c r="F1109" s="31" t="str">
        <f>VLOOKUP($C1109,Carpetas!$C$5:$M$2666,2,FALSE)</f>
        <v>BRB018</v>
      </c>
      <c r="G1109" s="23" t="str">
        <f>VLOOKUP($C1109,Carpetas!$C$5:$M$2666,10,FALSE)</f>
        <v>151,13,61</v>
      </c>
      <c r="H1109" s="27" t="str">
        <f>VLOOKUP($C1109,Carpetas!$C$5:$M$2666,6,FALSE)</f>
        <v>FG</v>
      </c>
      <c r="I1109" s="220"/>
      <c r="J1109" s="47">
        <f>E1109+2</f>
        <v>45715</v>
      </c>
      <c r="K1109" s="72" t="str">
        <f>VLOOKUP($C1109,Carpetas!$C$5:$M$2666,5,FALSE)</f>
        <v>Rio Branco</v>
      </c>
      <c r="L1109" s="32"/>
      <c r="M1109" s="48">
        <f t="shared" si="75"/>
        <v>45716</v>
      </c>
      <c r="N1109" s="26">
        <f t="shared" si="74"/>
        <v>3</v>
      </c>
      <c r="O1109" s="27">
        <v>990</v>
      </c>
      <c r="P1109" s="27">
        <v>990</v>
      </c>
      <c r="Q1109" s="27">
        <v>28</v>
      </c>
      <c r="R1109" s="27">
        <v>25</v>
      </c>
      <c r="S1109" s="27" t="s">
        <v>1250</v>
      </c>
      <c r="T1109" s="27"/>
      <c r="U1109" s="27">
        <v>635</v>
      </c>
      <c r="V1109" s="27" t="s">
        <v>1430</v>
      </c>
      <c r="W1109" s="27" t="s">
        <v>1669</v>
      </c>
      <c r="X1109" s="73"/>
      <c r="Y1109" s="73"/>
      <c r="Z1109" s="73" t="s">
        <v>3279</v>
      </c>
    </row>
    <row r="1110" spans="1:26" ht="30" hidden="1" x14ac:dyDescent="0.25">
      <c r="A1110" s="33">
        <v>9</v>
      </c>
      <c r="B1110" s="71" t="s">
        <v>29</v>
      </c>
      <c r="C1110" s="39" t="s">
        <v>3230</v>
      </c>
      <c r="D1110" s="106" t="s">
        <v>110</v>
      </c>
      <c r="E1110" s="47">
        <v>45714</v>
      </c>
      <c r="F1110" s="31" t="str">
        <f>VLOOKUP($C1110,Carpetas!$C$5:$M$2666,2,FALSE)</f>
        <v>BRB013</v>
      </c>
      <c r="G1110" s="23" t="str">
        <f>VLOOKUP($C1110,Carpetas!$C$5:$M$2666,10,FALSE)</f>
        <v>151,76,11</v>
      </c>
      <c r="H1110" s="27" t="str">
        <f>VLOOKUP($C1110,Carpetas!$C$5:$M$2666,6,FALSE)</f>
        <v xml:space="preserve">Silvio </v>
      </c>
      <c r="I1110" s="220"/>
      <c r="J1110" s="47">
        <f>E1110+1</f>
        <v>45715</v>
      </c>
      <c r="K1110" s="72" t="str">
        <f>VLOOKUP($C1110,Carpetas!$C$5:$M$2666,5,FALSE)</f>
        <v>Rio Branco</v>
      </c>
      <c r="L1110" s="32"/>
      <c r="M1110" s="48">
        <f t="shared" si="75"/>
        <v>45716</v>
      </c>
      <c r="N1110" s="26">
        <f t="shared" si="74"/>
        <v>2</v>
      </c>
      <c r="O1110" s="27">
        <v>918</v>
      </c>
      <c r="P1110" s="27">
        <v>919</v>
      </c>
      <c r="Q1110" s="27">
        <v>26</v>
      </c>
      <c r="R1110" s="27">
        <v>25.5</v>
      </c>
      <c r="S1110" s="27" t="s">
        <v>986</v>
      </c>
      <c r="T1110" s="27"/>
      <c r="U1110" s="27">
        <v>7321</v>
      </c>
      <c r="V1110" s="27" t="s">
        <v>3280</v>
      </c>
      <c r="W1110" s="27" t="s">
        <v>3281</v>
      </c>
      <c r="X1110" s="73"/>
      <c r="Y1110" s="73"/>
      <c r="Z1110" s="73" t="s">
        <v>3282</v>
      </c>
    </row>
    <row r="1111" spans="1:26" hidden="1" x14ac:dyDescent="0.25">
      <c r="A1111" s="33">
        <v>9</v>
      </c>
      <c r="B1111" s="71" t="s">
        <v>29</v>
      </c>
      <c r="C1111" s="39" t="s">
        <v>3262</v>
      </c>
      <c r="D1111" s="106" t="s">
        <v>249</v>
      </c>
      <c r="E1111" s="47">
        <v>45714</v>
      </c>
      <c r="F1111" s="31" t="str">
        <f>VLOOKUP($C1111,Carpetas!$C$5:$M$2666,2,FALSE)</f>
        <v>BRB015</v>
      </c>
      <c r="G1111" s="23" t="str">
        <f>VLOOKUP($C1111,Carpetas!$C$5:$M$2666,10,FALSE)</f>
        <v>151,83,23</v>
      </c>
      <c r="H1111" s="27" t="str">
        <f>VLOOKUP($C1111,Carpetas!$C$5:$M$2666,6,FALSE)</f>
        <v>Amaro</v>
      </c>
      <c r="I1111" s="220"/>
      <c r="J1111" s="47">
        <v>45715</v>
      </c>
      <c r="K1111" s="72" t="str">
        <f>VLOOKUP($C1111,Carpetas!$C$5:$M$2666,5,FALSE)</f>
        <v>Rio Branco</v>
      </c>
      <c r="L1111" s="32"/>
      <c r="M1111" s="48">
        <f t="shared" si="75"/>
        <v>45716</v>
      </c>
      <c r="N1111" s="26">
        <f t="shared" si="74"/>
        <v>2</v>
      </c>
      <c r="O1111" s="27">
        <v>990</v>
      </c>
      <c r="P1111" s="27">
        <v>991</v>
      </c>
      <c r="Q1111" s="27">
        <v>28</v>
      </c>
      <c r="R1111" s="27">
        <v>26</v>
      </c>
      <c r="S1111" s="27" t="s">
        <v>1464</v>
      </c>
      <c r="T1111" s="27"/>
      <c r="U1111" s="27">
        <v>25652</v>
      </c>
      <c r="V1111" s="27" t="s">
        <v>3283</v>
      </c>
      <c r="W1111" s="27" t="s">
        <v>3284</v>
      </c>
      <c r="X1111" s="73"/>
      <c r="Y1111" s="73"/>
      <c r="Z1111" s="73" t="s">
        <v>3285</v>
      </c>
    </row>
    <row r="1112" spans="1:26" ht="30" hidden="1" x14ac:dyDescent="0.25">
      <c r="A1112" s="33">
        <v>9</v>
      </c>
      <c r="B1112" s="71" t="s">
        <v>29</v>
      </c>
      <c r="C1112" s="39" t="s">
        <v>3278</v>
      </c>
      <c r="D1112" s="106" t="s">
        <v>747</v>
      </c>
      <c r="E1112" s="47">
        <v>45714</v>
      </c>
      <c r="F1112" s="31" t="str">
        <f>VLOOKUP($C1112,Carpetas!$C$5:$M$2666,2,FALSE)</f>
        <v>BRB018</v>
      </c>
      <c r="G1112" s="23" t="str">
        <f>VLOOKUP($C1112,Carpetas!$C$5:$M$2666,10,FALSE)</f>
        <v>151,13,61</v>
      </c>
      <c r="H1112" s="27" t="str">
        <f>VLOOKUP($C1112,Carpetas!$C$5:$M$2666,6,FALSE)</f>
        <v>FG</v>
      </c>
      <c r="I1112" s="220"/>
      <c r="J1112" s="47">
        <f>E1112+1</f>
        <v>45715</v>
      </c>
      <c r="K1112" s="72" t="str">
        <f>VLOOKUP($C1112,Carpetas!$C$5:$M$2666,5,FALSE)</f>
        <v>Rio Branco</v>
      </c>
      <c r="L1112" s="32"/>
      <c r="M1112" s="48">
        <f t="shared" si="75"/>
        <v>45716</v>
      </c>
      <c r="N1112" s="26">
        <f t="shared" si="74"/>
        <v>2</v>
      </c>
      <c r="O1112" s="27">
        <v>990</v>
      </c>
      <c r="P1112" s="27">
        <v>991</v>
      </c>
      <c r="Q1112" s="27">
        <v>28</v>
      </c>
      <c r="R1112" s="27">
        <v>25.5</v>
      </c>
      <c r="S1112" s="27" t="s">
        <v>1588</v>
      </c>
      <c r="T1112" s="27"/>
      <c r="U1112" s="27">
        <v>636</v>
      </c>
      <c r="V1112" s="27">
        <v>3</v>
      </c>
      <c r="W1112" s="27" t="s">
        <v>912</v>
      </c>
      <c r="X1112" s="73"/>
      <c r="Y1112" s="73"/>
      <c r="Z1112" s="73" t="s">
        <v>3286</v>
      </c>
    </row>
    <row r="1113" spans="1:26" hidden="1" x14ac:dyDescent="0.25">
      <c r="A1113" s="33">
        <v>9</v>
      </c>
      <c r="B1113" s="71" t="s">
        <v>29</v>
      </c>
      <c r="C1113" s="39" t="s">
        <v>3236</v>
      </c>
      <c r="D1113" s="106" t="s">
        <v>2474</v>
      </c>
      <c r="E1113" s="47">
        <v>45714</v>
      </c>
      <c r="F1113" s="31" t="str">
        <f>VLOOKUP($C1113,Carpetas!$C$5:$M$2666,2,FALSE)</f>
        <v>BRB014</v>
      </c>
      <c r="G1113" s="23" t="str">
        <f>VLOOKUP($C1113,Carpetas!$C$5:$M$2666,10,FALSE)</f>
        <v>151,83,24</v>
      </c>
      <c r="H1113" s="27" t="str">
        <f>VLOOKUP($C1113,Carpetas!$C$5:$M$2666,6,FALSE)</f>
        <v>Zanini</v>
      </c>
      <c r="I1113" s="220"/>
      <c r="J1113" s="47">
        <f t="shared" ref="J1113:J1119" si="76">E1113+2</f>
        <v>45716</v>
      </c>
      <c r="K1113" s="72" t="str">
        <f>VLOOKUP($C1113,Carpetas!$C$5:$M$2666,5,FALSE)</f>
        <v>Rio Branco</v>
      </c>
      <c r="L1113" s="32"/>
      <c r="M1113" s="48">
        <f t="shared" si="75"/>
        <v>45717</v>
      </c>
      <c r="N1113" s="26">
        <f t="shared" si="74"/>
        <v>3</v>
      </c>
      <c r="O1113" s="27">
        <v>918</v>
      </c>
      <c r="P1113" s="27">
        <v>918</v>
      </c>
      <c r="Q1113" s="27">
        <v>26</v>
      </c>
      <c r="R1113" s="27">
        <v>26</v>
      </c>
      <c r="S1113" s="27" t="s">
        <v>2724</v>
      </c>
      <c r="T1113" s="27"/>
      <c r="U1113" s="27">
        <v>5080</v>
      </c>
      <c r="V1113" s="27" t="s">
        <v>2090</v>
      </c>
      <c r="W1113" s="27" t="s">
        <v>2091</v>
      </c>
      <c r="X1113" s="73"/>
      <c r="Y1113" s="73"/>
      <c r="Z1113" s="73" t="s">
        <v>3287</v>
      </c>
    </row>
    <row r="1114" spans="1:26" hidden="1" x14ac:dyDescent="0.25">
      <c r="A1114" s="33">
        <v>9</v>
      </c>
      <c r="B1114" s="71" t="s">
        <v>29</v>
      </c>
      <c r="C1114" s="39" t="s">
        <v>3278</v>
      </c>
      <c r="D1114" s="106" t="s">
        <v>803</v>
      </c>
      <c r="E1114" s="47">
        <v>45714</v>
      </c>
      <c r="F1114" s="31" t="str">
        <f>VLOOKUP($C1114,Carpetas!$C$5:$M$2666,2,FALSE)</f>
        <v>BRB018</v>
      </c>
      <c r="G1114" s="23" t="str">
        <f>VLOOKUP($C1114,Carpetas!$C$5:$M$2666,10,FALSE)</f>
        <v>151,13,61</v>
      </c>
      <c r="H1114" s="27" t="str">
        <f>VLOOKUP($C1114,Carpetas!$C$5:$M$2666,6,FALSE)</f>
        <v>FG</v>
      </c>
      <c r="I1114" s="220"/>
      <c r="J1114" s="47">
        <f t="shared" si="76"/>
        <v>45716</v>
      </c>
      <c r="K1114" s="72" t="str">
        <f>VLOOKUP($C1114,Carpetas!$C$5:$M$2666,5,FALSE)</f>
        <v>Rio Branco</v>
      </c>
      <c r="L1114" s="32"/>
      <c r="M1114" s="48">
        <f t="shared" si="75"/>
        <v>45717</v>
      </c>
      <c r="N1114" s="26">
        <f t="shared" si="74"/>
        <v>3</v>
      </c>
      <c r="O1114" s="27">
        <v>990</v>
      </c>
      <c r="P1114" s="27">
        <v>990</v>
      </c>
      <c r="Q1114" s="27">
        <v>28</v>
      </c>
      <c r="R1114" s="27">
        <v>27</v>
      </c>
      <c r="S1114" s="27" t="s">
        <v>1289</v>
      </c>
      <c r="T1114" s="27"/>
      <c r="U1114" s="27">
        <v>637</v>
      </c>
      <c r="V1114" s="27" t="s">
        <v>1630</v>
      </c>
      <c r="W1114" s="27" t="s">
        <v>1934</v>
      </c>
      <c r="X1114" s="73"/>
      <c r="Y1114" s="73"/>
      <c r="Z1114" s="73" t="s">
        <v>3288</v>
      </c>
    </row>
    <row r="1115" spans="1:26" hidden="1" x14ac:dyDescent="0.25">
      <c r="A1115" s="33">
        <v>9</v>
      </c>
      <c r="B1115" s="71" t="s">
        <v>298</v>
      </c>
      <c r="C1115" s="39" t="s">
        <v>299</v>
      </c>
      <c r="D1115" s="106" t="s">
        <v>78</v>
      </c>
      <c r="E1115" s="47">
        <v>45714</v>
      </c>
      <c r="F1115" s="31" t="str">
        <f>VLOOKUP($C1115,Carpetas!$C$5:$M$2666,2,FALSE)</f>
        <v>BRB</v>
      </c>
      <c r="G1115" s="23" t="e">
        <f>VLOOKUP($C1115,Carpetas!$C$5:$M$2666,9,FALSE)</f>
        <v>#REF!</v>
      </c>
      <c r="H1115" s="27" t="str">
        <f>VLOOKUP($C1115,Carpetas!$C$5:$M$2666,5,FALSE)</f>
        <v>xx</v>
      </c>
      <c r="I1115" s="220"/>
      <c r="J1115" s="47">
        <f t="shared" si="76"/>
        <v>45716</v>
      </c>
      <c r="K1115" s="72">
        <f>VLOOKUP($C1115,Carpetas!$C$5:$M$2666,4,FALSE)</f>
        <v>0</v>
      </c>
      <c r="L1115" s="32"/>
      <c r="M1115" s="48">
        <f t="shared" si="75"/>
        <v>45717</v>
      </c>
      <c r="N1115" s="26">
        <f t="shared" si="74"/>
        <v>3</v>
      </c>
      <c r="O1115" s="27">
        <v>990</v>
      </c>
      <c r="P1115" s="27"/>
      <c r="Q1115" s="27"/>
      <c r="R1115" s="27"/>
      <c r="S1115" s="27"/>
      <c r="T1115" s="27"/>
      <c r="U1115" s="27"/>
      <c r="V1115" s="27"/>
      <c r="W1115" s="27"/>
      <c r="X1115" s="73"/>
      <c r="Y1115" s="73"/>
      <c r="Z1115" s="73"/>
    </row>
    <row r="1116" spans="1:26" hidden="1" x14ac:dyDescent="0.25">
      <c r="A1116" s="33">
        <v>9</v>
      </c>
      <c r="B1116" s="71" t="s">
        <v>298</v>
      </c>
      <c r="C1116" s="39" t="s">
        <v>299</v>
      </c>
      <c r="D1116" s="106" t="s">
        <v>1158</v>
      </c>
      <c r="E1116" s="47">
        <v>45716</v>
      </c>
      <c r="F1116" s="31" t="str">
        <f>VLOOKUP($C1116,Carpetas!$C$5:$M$2666,2,FALSE)</f>
        <v>BRB</v>
      </c>
      <c r="G1116" s="23" t="e">
        <f>VLOOKUP($C1116,Carpetas!$C$5:$M$2666,9,FALSE)</f>
        <v>#REF!</v>
      </c>
      <c r="H1116" s="27" t="str">
        <f>VLOOKUP($C1116,Carpetas!$C$5:$M$2666,5,FALSE)</f>
        <v>xx</v>
      </c>
      <c r="I1116" s="220"/>
      <c r="J1116" s="47">
        <f t="shared" si="76"/>
        <v>45718</v>
      </c>
      <c r="K1116" s="72">
        <f>VLOOKUP($C1116,Carpetas!$C$5:$M$2666,4,FALSE)</f>
        <v>0</v>
      </c>
      <c r="L1116" s="32"/>
      <c r="M1116" s="48">
        <f t="shared" si="75"/>
        <v>45719</v>
      </c>
      <c r="N1116" s="26">
        <f t="shared" si="74"/>
        <v>3</v>
      </c>
      <c r="O1116" s="27">
        <v>918</v>
      </c>
      <c r="P1116" s="27"/>
      <c r="Q1116" s="27"/>
      <c r="R1116" s="27"/>
      <c r="S1116" s="27"/>
      <c r="T1116" s="27"/>
      <c r="U1116" s="27"/>
      <c r="V1116" s="27"/>
      <c r="W1116" s="27"/>
      <c r="X1116" s="73"/>
      <c r="Y1116" s="73"/>
      <c r="Z1116" s="73"/>
    </row>
    <row r="1117" spans="1:26" hidden="1" x14ac:dyDescent="0.25">
      <c r="A1117" s="33">
        <v>9</v>
      </c>
      <c r="B1117" s="71" t="s">
        <v>298</v>
      </c>
      <c r="C1117" s="39" t="s">
        <v>299</v>
      </c>
      <c r="D1117" s="106" t="s">
        <v>78</v>
      </c>
      <c r="E1117" s="47">
        <v>45716</v>
      </c>
      <c r="F1117" s="31" t="str">
        <f>VLOOKUP($C1117,Carpetas!$C$5:$M$2666,2,FALSE)</f>
        <v>BRB</v>
      </c>
      <c r="G1117" s="23" t="e">
        <f>VLOOKUP($C1117,Carpetas!$C$5:$M$2666,9,FALSE)</f>
        <v>#REF!</v>
      </c>
      <c r="H1117" s="27" t="str">
        <f>VLOOKUP($C1117,Carpetas!$C$5:$M$2666,5,FALSE)</f>
        <v>xx</v>
      </c>
      <c r="I1117" s="220"/>
      <c r="J1117" s="47">
        <f t="shared" si="76"/>
        <v>45718</v>
      </c>
      <c r="K1117" s="72">
        <f>VLOOKUP($C1117,Carpetas!$C$5:$M$2666,4,FALSE)</f>
        <v>0</v>
      </c>
      <c r="L1117" s="32"/>
      <c r="M1117" s="48">
        <f t="shared" si="75"/>
        <v>45719</v>
      </c>
      <c r="N1117" s="26">
        <f t="shared" si="74"/>
        <v>3</v>
      </c>
      <c r="O1117" s="27">
        <v>918</v>
      </c>
      <c r="P1117" s="27"/>
      <c r="Q1117" s="27"/>
      <c r="R1117" s="27"/>
      <c r="S1117" s="27"/>
      <c r="T1117" s="27"/>
      <c r="U1117" s="27"/>
      <c r="V1117" s="27"/>
      <c r="W1117" s="27"/>
      <c r="X1117" s="73"/>
      <c r="Y1117" s="73"/>
      <c r="Z1117" s="73"/>
    </row>
    <row r="1118" spans="1:26" hidden="1" x14ac:dyDescent="0.25">
      <c r="A1118" s="33">
        <v>9</v>
      </c>
      <c r="B1118" s="71" t="s">
        <v>298</v>
      </c>
      <c r="C1118" s="39" t="s">
        <v>299</v>
      </c>
      <c r="D1118" s="106" t="s">
        <v>803</v>
      </c>
      <c r="E1118" s="47">
        <v>45716</v>
      </c>
      <c r="F1118" s="31" t="str">
        <f>VLOOKUP($C1118,Carpetas!$C$5:$M$2666,2,FALSE)</f>
        <v>BRB</v>
      </c>
      <c r="G1118" s="23" t="e">
        <f>VLOOKUP($C1118,Carpetas!$C$5:$M$2666,9,FALSE)</f>
        <v>#REF!</v>
      </c>
      <c r="H1118" s="27" t="str">
        <f>VLOOKUP($C1118,Carpetas!$C$5:$M$2666,5,FALSE)</f>
        <v>xx</v>
      </c>
      <c r="I1118" s="220"/>
      <c r="J1118" s="47">
        <f t="shared" si="76"/>
        <v>45718</v>
      </c>
      <c r="K1118" s="72">
        <f>VLOOKUP($C1118,Carpetas!$C$5:$M$2666,4,FALSE)</f>
        <v>0</v>
      </c>
      <c r="L1118" s="32"/>
      <c r="M1118" s="48">
        <f t="shared" si="75"/>
        <v>45719</v>
      </c>
      <c r="N1118" s="26">
        <f t="shared" si="74"/>
        <v>3</v>
      </c>
      <c r="O1118" s="27">
        <v>918</v>
      </c>
      <c r="P1118" s="27"/>
      <c r="Q1118" s="27"/>
      <c r="R1118" s="27"/>
      <c r="S1118" s="27"/>
      <c r="T1118" s="27"/>
      <c r="U1118" s="27"/>
      <c r="V1118" s="27"/>
      <c r="W1118" s="27"/>
      <c r="X1118" s="73"/>
      <c r="Y1118" s="73"/>
      <c r="Z1118" s="73"/>
    </row>
    <row r="1119" spans="1:26" hidden="1" x14ac:dyDescent="0.25">
      <c r="A1119" s="33">
        <v>9</v>
      </c>
      <c r="B1119" s="71" t="s">
        <v>298</v>
      </c>
      <c r="C1119" s="39" t="s">
        <v>299</v>
      </c>
      <c r="D1119" s="106" t="s">
        <v>747</v>
      </c>
      <c r="E1119" s="47">
        <v>45718</v>
      </c>
      <c r="F1119" s="31" t="str">
        <f>VLOOKUP($C1119,Carpetas!$C$5:$M$2666,2,FALSE)</f>
        <v>BRB</v>
      </c>
      <c r="G1119" s="23" t="e">
        <f>VLOOKUP($C1119,Carpetas!$C$5:$M$2666,9,FALSE)</f>
        <v>#REF!</v>
      </c>
      <c r="H1119" s="27" t="str">
        <f>VLOOKUP($C1119,Carpetas!$C$5:$M$2666,5,FALSE)</f>
        <v>xx</v>
      </c>
      <c r="I1119" s="220"/>
      <c r="J1119" s="47">
        <f t="shared" si="76"/>
        <v>45720</v>
      </c>
      <c r="K1119" s="72">
        <f>VLOOKUP($C1119,Carpetas!$C$5:$M$2666,4,FALSE)</f>
        <v>0</v>
      </c>
      <c r="L1119" s="32"/>
      <c r="M1119" s="48">
        <f t="shared" si="75"/>
        <v>45721</v>
      </c>
      <c r="N1119" s="26">
        <f t="shared" si="74"/>
        <v>3</v>
      </c>
      <c r="O1119" s="27">
        <v>918</v>
      </c>
      <c r="P1119" s="27"/>
      <c r="Q1119" s="27"/>
      <c r="R1119" s="27"/>
      <c r="S1119" s="27"/>
      <c r="T1119" s="27"/>
      <c r="U1119" s="27"/>
      <c r="V1119" s="27"/>
      <c r="W1119" s="27"/>
      <c r="X1119" s="73"/>
      <c r="Y1119" s="73"/>
      <c r="Z1119" s="73"/>
    </row>
    <row r="1120" spans="1:26" ht="30" hidden="1" x14ac:dyDescent="0.25">
      <c r="A1120" s="33">
        <v>9</v>
      </c>
      <c r="B1120" s="71" t="s">
        <v>29</v>
      </c>
      <c r="C1120" s="39" t="s">
        <v>3289</v>
      </c>
      <c r="D1120" s="106" t="s">
        <v>2474</v>
      </c>
      <c r="E1120" s="47">
        <v>45716</v>
      </c>
      <c r="F1120" s="31" t="str">
        <f>VLOOKUP($C1120,Carpetas!$C$5:$M$2666,2,FALSE)</f>
        <v>BRB019</v>
      </c>
      <c r="G1120" s="23" t="str">
        <f>VLOOKUP($C1120,Carpetas!$C$5:$M$2666,10,FALSE)</f>
        <v>151,86,81</v>
      </c>
      <c r="H1120" s="27" t="str">
        <f>VLOOKUP($C1120,Carpetas!$C$5:$M$2666,6,FALSE)</f>
        <v xml:space="preserve">Silvio </v>
      </c>
      <c r="I1120" s="220"/>
      <c r="J1120" s="47">
        <v>45722</v>
      </c>
      <c r="K1120" s="72" t="str">
        <f>VLOOKUP($C1120,Carpetas!$C$5:$M$2666,5,FALSE)</f>
        <v>Rio Branco</v>
      </c>
      <c r="L1120" s="32"/>
      <c r="M1120" s="48">
        <f t="shared" si="75"/>
        <v>45723</v>
      </c>
      <c r="N1120" s="26">
        <f t="shared" si="74"/>
        <v>7</v>
      </c>
      <c r="O1120" s="27">
        <v>918</v>
      </c>
      <c r="P1120" s="27">
        <v>918</v>
      </c>
      <c r="Q1120" s="27">
        <v>26</v>
      </c>
      <c r="R1120" s="27">
        <v>25</v>
      </c>
      <c r="S1120" s="27" t="s">
        <v>2755</v>
      </c>
      <c r="T1120" s="27"/>
      <c r="U1120" s="27">
        <v>7333</v>
      </c>
      <c r="V1120" s="27" t="s">
        <v>3212</v>
      </c>
      <c r="W1120" s="27" t="s">
        <v>3213</v>
      </c>
      <c r="X1120" s="73"/>
      <c r="Y1120" s="73"/>
      <c r="Z1120" s="73" t="s">
        <v>3290</v>
      </c>
    </row>
    <row r="1121" spans="1:26" hidden="1" x14ac:dyDescent="0.25">
      <c r="A1121" s="33">
        <v>9</v>
      </c>
      <c r="B1121" s="71" t="s">
        <v>29</v>
      </c>
      <c r="C1121" s="39" t="s">
        <v>3236</v>
      </c>
      <c r="D1121" s="106" t="s">
        <v>249</v>
      </c>
      <c r="E1121" s="47">
        <v>45716</v>
      </c>
      <c r="F1121" s="31" t="str">
        <f>VLOOKUP($C1121,Carpetas!$C$5:$M$2666,2,FALSE)</f>
        <v>BRB014</v>
      </c>
      <c r="G1121" s="23" t="str">
        <f>VLOOKUP($C1121,Carpetas!$C$5:$M$2666,10,FALSE)</f>
        <v>151,83,24</v>
      </c>
      <c r="H1121" s="27" t="str">
        <f>VLOOKUP($C1121,Carpetas!$C$5:$M$2666,6,FALSE)</f>
        <v>Zanini</v>
      </c>
      <c r="I1121" s="220"/>
      <c r="J1121" s="47">
        <v>45722</v>
      </c>
      <c r="K1121" s="72" t="str">
        <f>VLOOKUP($C1121,Carpetas!$C$5:$M$2666,5,FALSE)</f>
        <v>Rio Branco</v>
      </c>
      <c r="L1121" s="32"/>
      <c r="M1121" s="48">
        <f t="shared" si="75"/>
        <v>45723</v>
      </c>
      <c r="N1121" s="26">
        <f t="shared" si="74"/>
        <v>7</v>
      </c>
      <c r="O1121" s="27">
        <v>918</v>
      </c>
      <c r="P1121" s="27">
        <v>919</v>
      </c>
      <c r="Q1121" s="27">
        <v>26</v>
      </c>
      <c r="R1121" s="27">
        <v>25</v>
      </c>
      <c r="S1121" s="27" t="s">
        <v>1730</v>
      </c>
      <c r="T1121" s="27"/>
      <c r="U1121" s="27">
        <v>5081</v>
      </c>
      <c r="V1121" s="27" t="s">
        <v>2515</v>
      </c>
      <c r="W1121" s="27" t="s">
        <v>2516</v>
      </c>
      <c r="X1121" s="73"/>
      <c r="Y1121" s="73"/>
      <c r="Z1121" s="73" t="s">
        <v>3291</v>
      </c>
    </row>
    <row r="1122" spans="1:26" hidden="1" x14ac:dyDescent="0.25">
      <c r="A1122" s="33">
        <v>9</v>
      </c>
      <c r="B1122" s="71" t="s">
        <v>29</v>
      </c>
      <c r="C1122" s="39" t="s">
        <v>3289</v>
      </c>
      <c r="D1122" s="106" t="s">
        <v>880</v>
      </c>
      <c r="E1122" s="47">
        <v>45716</v>
      </c>
      <c r="F1122" s="31" t="str">
        <f>VLOOKUP($C1122,Carpetas!$C$5:$M$2666,2,FALSE)</f>
        <v>BRB019</v>
      </c>
      <c r="G1122" s="23" t="str">
        <f>VLOOKUP($C1122,Carpetas!$C$5:$M$2666,10,FALSE)</f>
        <v>151,86,81</v>
      </c>
      <c r="H1122" s="27" t="str">
        <f>VLOOKUP($C1122,Carpetas!$C$5:$M$2666,6,FALSE)</f>
        <v xml:space="preserve">Silvio </v>
      </c>
      <c r="I1122" s="220"/>
      <c r="J1122" s="47">
        <v>45722</v>
      </c>
      <c r="K1122" s="72" t="str">
        <f>VLOOKUP($C1122,Carpetas!$C$5:$M$2666,5,FALSE)</f>
        <v>Rio Branco</v>
      </c>
      <c r="L1122" s="32"/>
      <c r="M1122" s="48">
        <f t="shared" si="75"/>
        <v>45723</v>
      </c>
      <c r="N1122" s="26">
        <f t="shared" si="74"/>
        <v>7</v>
      </c>
      <c r="O1122" s="27">
        <v>918</v>
      </c>
      <c r="P1122" s="27">
        <v>918</v>
      </c>
      <c r="Q1122" s="27">
        <v>26</v>
      </c>
      <c r="R1122" s="27">
        <v>25</v>
      </c>
      <c r="S1122" s="27" t="s">
        <v>1032</v>
      </c>
      <c r="T1122" s="27"/>
      <c r="U1122" s="27">
        <v>7334</v>
      </c>
      <c r="V1122" s="27" t="s">
        <v>3292</v>
      </c>
      <c r="W1122" s="27" t="s">
        <v>3293</v>
      </c>
      <c r="X1122" s="73"/>
      <c r="Y1122" s="73"/>
      <c r="Z1122" s="73" t="s">
        <v>3294</v>
      </c>
    </row>
    <row r="1123" spans="1:26" hidden="1" x14ac:dyDescent="0.25">
      <c r="A1123" s="33">
        <v>9</v>
      </c>
      <c r="B1123" s="71" t="s">
        <v>29</v>
      </c>
      <c r="C1123" s="39" t="s">
        <v>3254</v>
      </c>
      <c r="D1123" s="106" t="s">
        <v>747</v>
      </c>
      <c r="E1123" s="47">
        <v>45717</v>
      </c>
      <c r="F1123" s="31" t="str">
        <f>VLOOKUP($C1123,Carpetas!$C$5:$M$2666,2,FALSE)</f>
        <v>BRB016</v>
      </c>
      <c r="G1123" s="23" t="str">
        <f>VLOOKUP($C1123,Carpetas!$C$5:$M$2666,10,FALSE)</f>
        <v>151,84,80</v>
      </c>
      <c r="H1123" s="27" t="str">
        <f>VLOOKUP($C1123,Carpetas!$C$5:$M$2666,6,FALSE)</f>
        <v>Gral</v>
      </c>
      <c r="I1123" s="220"/>
      <c r="J1123" s="47">
        <v>45722</v>
      </c>
      <c r="K1123" s="72" t="str">
        <f>VLOOKUP($C1123,Carpetas!$C$5:$M$2666,5,FALSE)</f>
        <v>Rio Branco</v>
      </c>
      <c r="L1123" s="32"/>
      <c r="M1123" s="48">
        <f t="shared" si="75"/>
        <v>45723</v>
      </c>
      <c r="N1123" s="26">
        <f t="shared" si="74"/>
        <v>6</v>
      </c>
      <c r="O1123" s="27">
        <v>918</v>
      </c>
      <c r="P1123" s="27">
        <v>919</v>
      </c>
      <c r="Q1123" s="27">
        <v>26</v>
      </c>
      <c r="R1123" s="27">
        <v>25</v>
      </c>
      <c r="S1123" s="27" t="s">
        <v>1588</v>
      </c>
      <c r="T1123" s="27"/>
      <c r="U1123" s="27">
        <v>7154</v>
      </c>
      <c r="V1123" s="27" t="s">
        <v>3295</v>
      </c>
      <c r="W1123" s="27" t="s">
        <v>3296</v>
      </c>
      <c r="X1123" s="73"/>
      <c r="Y1123" s="73"/>
      <c r="Z1123" s="73" t="s">
        <v>3297</v>
      </c>
    </row>
    <row r="1124" spans="1:26" hidden="1" x14ac:dyDescent="0.25">
      <c r="A1124" s="33">
        <v>10</v>
      </c>
      <c r="B1124" s="71" t="s">
        <v>29</v>
      </c>
      <c r="C1124" s="39" t="s">
        <v>3278</v>
      </c>
      <c r="D1124" s="106" t="s">
        <v>747</v>
      </c>
      <c r="E1124" s="47">
        <v>45720</v>
      </c>
      <c r="F1124" s="31" t="str">
        <f>VLOOKUP($C1124,Carpetas!$C$5:$M$2666,2,FALSE)</f>
        <v>BRB018</v>
      </c>
      <c r="G1124" s="23" t="str">
        <f>VLOOKUP($C1124,Carpetas!$C$5:$M$2666,10,FALSE)</f>
        <v>151,13,61</v>
      </c>
      <c r="H1124" s="27" t="str">
        <f>VLOOKUP($C1124,Carpetas!$C$5:$M$2666,6,FALSE)</f>
        <v>FG</v>
      </c>
      <c r="I1124" s="220"/>
      <c r="J1124" s="47">
        <f>E1124+2</f>
        <v>45722</v>
      </c>
      <c r="K1124" s="72" t="str">
        <f>VLOOKUP($C1124,Carpetas!$C$5:$M$2666,5,FALSE)</f>
        <v>Rio Branco</v>
      </c>
      <c r="L1124" s="32"/>
      <c r="M1124" s="48">
        <f t="shared" si="75"/>
        <v>45723</v>
      </c>
      <c r="N1124" s="26">
        <f t="shared" si="74"/>
        <v>3</v>
      </c>
      <c r="O1124" s="27">
        <v>990</v>
      </c>
      <c r="P1124" s="27">
        <v>990</v>
      </c>
      <c r="Q1124" s="27">
        <v>28</v>
      </c>
      <c r="R1124" s="27">
        <v>26</v>
      </c>
      <c r="S1124" s="27" t="s">
        <v>1656</v>
      </c>
      <c r="T1124" s="27"/>
      <c r="U1124" s="27">
        <v>645</v>
      </c>
      <c r="V1124" s="27" t="s">
        <v>911</v>
      </c>
      <c r="W1124" s="27" t="s">
        <v>1622</v>
      </c>
      <c r="X1124" s="73"/>
      <c r="Y1124" s="73"/>
      <c r="Z1124" s="73" t="s">
        <v>3298</v>
      </c>
    </row>
    <row r="1125" spans="1:26" hidden="1" x14ac:dyDescent="0.25">
      <c r="A1125" s="33">
        <v>10</v>
      </c>
      <c r="B1125" s="71" t="s">
        <v>29</v>
      </c>
      <c r="C1125" s="39" t="s">
        <v>3278</v>
      </c>
      <c r="D1125" s="106" t="s">
        <v>249</v>
      </c>
      <c r="E1125" s="47">
        <v>45720</v>
      </c>
      <c r="F1125" s="31" t="str">
        <f>VLOOKUP($C1125,Carpetas!$C$5:$M$2666,2,FALSE)</f>
        <v>BRB018</v>
      </c>
      <c r="G1125" s="23" t="str">
        <f>VLOOKUP($C1125,Carpetas!$C$5:$M$2666,10,FALSE)</f>
        <v>151,13,61</v>
      </c>
      <c r="H1125" s="27" t="str">
        <f>VLOOKUP($C1125,Carpetas!$C$5:$M$2666,6,FALSE)</f>
        <v>FG</v>
      </c>
      <c r="I1125" s="220"/>
      <c r="J1125" s="47">
        <f>E1125+2</f>
        <v>45722</v>
      </c>
      <c r="K1125" s="72" t="str">
        <f>VLOOKUP($C1125,Carpetas!$C$5:$M$2666,5,FALSE)</f>
        <v>Rio Branco</v>
      </c>
      <c r="L1125" s="32"/>
      <c r="M1125" s="48">
        <f t="shared" si="75"/>
        <v>45723</v>
      </c>
      <c r="N1125" s="26">
        <f t="shared" si="74"/>
        <v>3</v>
      </c>
      <c r="O1125" s="27">
        <v>990</v>
      </c>
      <c r="P1125" s="27">
        <v>991</v>
      </c>
      <c r="Q1125" s="27">
        <v>28</v>
      </c>
      <c r="R1125" s="27">
        <v>26</v>
      </c>
      <c r="S1125" s="27" t="s">
        <v>1508</v>
      </c>
      <c r="T1125" s="27"/>
      <c r="U1125" s="27">
        <v>647</v>
      </c>
      <c r="V1125" s="27" t="s">
        <v>1657</v>
      </c>
      <c r="W1125" s="27" t="s">
        <v>1815</v>
      </c>
      <c r="X1125" s="73"/>
      <c r="Y1125" s="73"/>
      <c r="Z1125" s="73" t="s">
        <v>3299</v>
      </c>
    </row>
    <row r="1126" spans="1:26" hidden="1" x14ac:dyDescent="0.25">
      <c r="A1126" s="33">
        <v>10</v>
      </c>
      <c r="B1126" s="71" t="s">
        <v>29</v>
      </c>
      <c r="C1126" s="39" t="s">
        <v>3236</v>
      </c>
      <c r="D1126" s="106" t="s">
        <v>3300</v>
      </c>
      <c r="E1126" s="47">
        <v>45721</v>
      </c>
      <c r="F1126" s="31" t="str">
        <f>VLOOKUP($C1126,Carpetas!$C$5:$M$2666,2,FALSE)</f>
        <v>BRB014</v>
      </c>
      <c r="G1126" s="23" t="str">
        <f>VLOOKUP($C1126,Carpetas!$C$5:$M$2666,10,FALSE)</f>
        <v>151,83,24</v>
      </c>
      <c r="H1126" s="27" t="str">
        <f>VLOOKUP($C1126,Carpetas!$C$5:$M$2666,6,FALSE)</f>
        <v>Zanini</v>
      </c>
      <c r="I1126" s="220"/>
      <c r="J1126" s="47">
        <v>45722</v>
      </c>
      <c r="K1126" s="72" t="str">
        <f>VLOOKUP($C1126,Carpetas!$C$5:$M$2666,5,FALSE)</f>
        <v>Rio Branco</v>
      </c>
      <c r="L1126" s="32"/>
      <c r="M1126" s="48">
        <f t="shared" si="75"/>
        <v>45723</v>
      </c>
      <c r="N1126" s="26">
        <f t="shared" si="74"/>
        <v>2</v>
      </c>
      <c r="O1126" s="27">
        <v>918</v>
      </c>
      <c r="P1126" s="27">
        <v>918</v>
      </c>
      <c r="Q1126" s="27">
        <v>25</v>
      </c>
      <c r="R1126" s="27">
        <v>24</v>
      </c>
      <c r="S1126" s="27" t="s">
        <v>3301</v>
      </c>
      <c r="T1126" s="27"/>
      <c r="U1126" s="27">
        <v>5091</v>
      </c>
      <c r="V1126" s="27" t="s">
        <v>3302</v>
      </c>
      <c r="W1126" s="27" t="s">
        <v>3303</v>
      </c>
      <c r="X1126" s="73"/>
      <c r="Y1126" s="73"/>
      <c r="Z1126" s="73" t="s">
        <v>3304</v>
      </c>
    </row>
    <row r="1127" spans="1:26" hidden="1" x14ac:dyDescent="0.25">
      <c r="A1127" s="33">
        <v>10</v>
      </c>
      <c r="B1127" s="71" t="s">
        <v>29</v>
      </c>
      <c r="C1127" s="39" t="s">
        <v>3262</v>
      </c>
      <c r="D1127" s="106" t="s">
        <v>249</v>
      </c>
      <c r="E1127" s="47">
        <v>45721</v>
      </c>
      <c r="F1127" s="31" t="str">
        <f>VLOOKUP($C1127,Carpetas!$C$5:$M$2666,2,FALSE)</f>
        <v>BRB015</v>
      </c>
      <c r="G1127" s="23" t="str">
        <f>VLOOKUP($C1127,Carpetas!$C$5:$M$2666,10,FALSE)</f>
        <v>151,83,23</v>
      </c>
      <c r="H1127" s="27" t="str">
        <f>VLOOKUP($C1127,Carpetas!$C$5:$M$2666,6,FALSE)</f>
        <v>Amaro</v>
      </c>
      <c r="I1127" s="220"/>
      <c r="J1127" s="47">
        <v>45722</v>
      </c>
      <c r="K1127" s="72" t="str">
        <f>VLOOKUP($C1127,Carpetas!$C$5:$M$2666,5,FALSE)</f>
        <v>Rio Branco</v>
      </c>
      <c r="L1127" s="32"/>
      <c r="M1127" s="48">
        <f t="shared" si="75"/>
        <v>45723</v>
      </c>
      <c r="N1127" s="26">
        <f t="shared" si="74"/>
        <v>2</v>
      </c>
      <c r="O1127" s="27">
        <v>990</v>
      </c>
      <c r="P1127" s="27">
        <v>990</v>
      </c>
      <c r="Q1127" s="27">
        <v>28</v>
      </c>
      <c r="R1127" s="27">
        <v>26</v>
      </c>
      <c r="S1127" s="27" t="s">
        <v>1633</v>
      </c>
      <c r="T1127" s="27"/>
      <c r="U1127" s="27">
        <v>25686</v>
      </c>
      <c r="V1127" s="27" t="s">
        <v>3305</v>
      </c>
      <c r="W1127" s="27" t="s">
        <v>3306</v>
      </c>
      <c r="X1127" s="73"/>
      <c r="Y1127" s="73"/>
      <c r="Z1127" s="73" t="s">
        <v>3307</v>
      </c>
    </row>
    <row r="1128" spans="1:26" hidden="1" x14ac:dyDescent="0.25">
      <c r="A1128" s="33">
        <v>10</v>
      </c>
      <c r="B1128" s="71" t="s">
        <v>29</v>
      </c>
      <c r="C1128" s="39" t="s">
        <v>3278</v>
      </c>
      <c r="D1128" s="106" t="s">
        <v>747</v>
      </c>
      <c r="E1128" s="47">
        <v>45719</v>
      </c>
      <c r="F1128" s="31" t="str">
        <f>VLOOKUP($C1128,Carpetas!$C$5:$M$2666,2,FALSE)</f>
        <v>BRB018</v>
      </c>
      <c r="G1128" s="23" t="str">
        <f>VLOOKUP($C1128,Carpetas!$C$5:$M$2666,10,FALSE)</f>
        <v>151,13,61</v>
      </c>
      <c r="H1128" s="27" t="str">
        <f>VLOOKUP($C1128,Carpetas!$C$5:$M$2666,6,FALSE)</f>
        <v>FG</v>
      </c>
      <c r="I1128" s="220"/>
      <c r="J1128" s="47">
        <f>E1128+2+1</f>
        <v>45722</v>
      </c>
      <c r="K1128" s="72" t="str">
        <f>VLOOKUP($C1128,Carpetas!$C$5:$M$2666,5,FALSE)</f>
        <v>Rio Branco</v>
      </c>
      <c r="L1128" s="32"/>
      <c r="M1128" s="48">
        <f>J1128+1+1</f>
        <v>45724</v>
      </c>
      <c r="N1128" s="26">
        <f t="shared" si="74"/>
        <v>5</v>
      </c>
      <c r="O1128" s="27">
        <v>990</v>
      </c>
      <c r="P1128" s="27">
        <v>991</v>
      </c>
      <c r="Q1128" s="27">
        <v>28</v>
      </c>
      <c r="R1128" s="27">
        <v>25</v>
      </c>
      <c r="S1128" s="27" t="s">
        <v>1660</v>
      </c>
      <c r="T1128" s="27"/>
      <c r="U1128" s="27">
        <v>634</v>
      </c>
      <c r="V1128" s="27" t="s">
        <v>1649</v>
      </c>
      <c r="W1128" s="27" t="s">
        <v>1650</v>
      </c>
      <c r="X1128" s="73"/>
      <c r="Y1128" s="73"/>
      <c r="Z1128" s="73" t="s">
        <v>3308</v>
      </c>
    </row>
    <row r="1129" spans="1:26" hidden="1" x14ac:dyDescent="0.25">
      <c r="A1129" s="33">
        <v>10</v>
      </c>
      <c r="B1129" s="71" t="s">
        <v>29</v>
      </c>
      <c r="C1129" s="39" t="s">
        <v>3236</v>
      </c>
      <c r="D1129" s="106" t="s">
        <v>110</v>
      </c>
      <c r="E1129" s="47">
        <v>45721</v>
      </c>
      <c r="F1129" s="31" t="str">
        <f>VLOOKUP($C1129,Carpetas!$C$5:$M$2666,2,FALSE)</f>
        <v>BRB014</v>
      </c>
      <c r="G1129" s="23" t="str">
        <f>VLOOKUP($C1129,Carpetas!$C$5:$M$2666,10,FALSE)</f>
        <v>151,83,24</v>
      </c>
      <c r="H1129" s="27" t="str">
        <f>VLOOKUP($C1129,Carpetas!$C$5:$M$2666,6,FALSE)</f>
        <v>Zanini</v>
      </c>
      <c r="I1129" s="220"/>
      <c r="J1129" s="47">
        <f>E1129+2</f>
        <v>45723</v>
      </c>
      <c r="K1129" s="72" t="str">
        <f>VLOOKUP($C1129,Carpetas!$C$5:$M$2666,5,FALSE)</f>
        <v>Rio Branco</v>
      </c>
      <c r="L1129" s="32"/>
      <c r="M1129" s="48">
        <f t="shared" ref="M1129:M1171" si="77">J1129+1</f>
        <v>45724</v>
      </c>
      <c r="N1129" s="26">
        <f t="shared" si="74"/>
        <v>3</v>
      </c>
      <c r="O1129" s="27">
        <v>918</v>
      </c>
      <c r="P1129" s="27">
        <v>919</v>
      </c>
      <c r="Q1129" s="27">
        <v>26</v>
      </c>
      <c r="R1129" s="27">
        <v>25</v>
      </c>
      <c r="S1129" s="27" t="s">
        <v>1049</v>
      </c>
      <c r="T1129" s="27"/>
      <c r="U1129" s="27">
        <v>5093</v>
      </c>
      <c r="V1129" s="27" t="s">
        <v>147</v>
      </c>
      <c r="W1129" s="27" t="s">
        <v>3309</v>
      </c>
      <c r="X1129" s="73"/>
      <c r="Y1129" s="73"/>
      <c r="Z1129" s="73" t="s">
        <v>3310</v>
      </c>
    </row>
    <row r="1130" spans="1:26" hidden="1" x14ac:dyDescent="0.25">
      <c r="A1130" s="33">
        <v>10</v>
      </c>
      <c r="B1130" s="71" t="s">
        <v>29</v>
      </c>
      <c r="C1130" s="39" t="s">
        <v>3278</v>
      </c>
      <c r="D1130" s="106" t="s">
        <v>78</v>
      </c>
      <c r="E1130" s="47">
        <v>45721</v>
      </c>
      <c r="F1130" s="31" t="str">
        <f>VLOOKUP($C1130,Carpetas!$C$5:$M$2666,2,FALSE)</f>
        <v>BRB018</v>
      </c>
      <c r="G1130" s="23" t="str">
        <f>VLOOKUP($C1130,Carpetas!$C$5:$M$2666,10,FALSE)</f>
        <v>151,13,61</v>
      </c>
      <c r="H1130" s="27" t="str">
        <f>VLOOKUP($C1130,Carpetas!$C$5:$M$2666,6,FALSE)</f>
        <v>FG</v>
      </c>
      <c r="I1130" s="220"/>
      <c r="J1130" s="47">
        <f>E1130+2</f>
        <v>45723</v>
      </c>
      <c r="K1130" s="72" t="str">
        <f>VLOOKUP($C1130,Carpetas!$C$5:$M$2666,5,FALSE)</f>
        <v>Rio Branco</v>
      </c>
      <c r="L1130" s="32"/>
      <c r="M1130" s="48">
        <f t="shared" si="77"/>
        <v>45724</v>
      </c>
      <c r="N1130" s="26">
        <f t="shared" si="74"/>
        <v>3</v>
      </c>
      <c r="O1130" s="27">
        <v>990</v>
      </c>
      <c r="P1130" s="27">
        <v>990</v>
      </c>
      <c r="Q1130" s="27">
        <v>28</v>
      </c>
      <c r="R1130" s="27">
        <v>26</v>
      </c>
      <c r="S1130" s="27" t="s">
        <v>3311</v>
      </c>
      <c r="T1130" s="27"/>
      <c r="U1130" s="27">
        <v>648</v>
      </c>
      <c r="V1130" s="27" t="s">
        <v>2339</v>
      </c>
      <c r="W1130" s="27" t="s">
        <v>2340</v>
      </c>
      <c r="X1130" s="73"/>
      <c r="Y1130" s="73"/>
      <c r="Z1130" s="73" t="s">
        <v>3312</v>
      </c>
    </row>
    <row r="1131" spans="1:26" hidden="1" x14ac:dyDescent="0.25">
      <c r="A1131" s="33">
        <v>10</v>
      </c>
      <c r="B1131" s="71" t="s">
        <v>29</v>
      </c>
      <c r="C1131" s="39" t="s">
        <v>3313</v>
      </c>
      <c r="D1131" s="106" t="s">
        <v>803</v>
      </c>
      <c r="E1131" s="47">
        <v>45721</v>
      </c>
      <c r="F1131" s="31" t="str">
        <f>VLOOKUP($C1131,Carpetas!$C$5:$M$2666,2,FALSE)</f>
        <v>BRB020</v>
      </c>
      <c r="G1131" s="23" t="str">
        <f>VLOOKUP($C1131,Carpetas!$C$5:$M$2666,10,FALSE)</f>
        <v>151,91,12</v>
      </c>
      <c r="H1131" s="27" t="str">
        <f>VLOOKUP($C1131,Carpetas!$C$5:$M$2666,6,FALSE)</f>
        <v>Zanini</v>
      </c>
      <c r="I1131" s="220"/>
      <c r="J1131" s="47">
        <f>E1131+2</f>
        <v>45723</v>
      </c>
      <c r="K1131" s="72" t="str">
        <f>VLOOKUP($C1131,Carpetas!$C$5:$M$2666,5,FALSE)</f>
        <v>Rio Branco</v>
      </c>
      <c r="L1131" s="32"/>
      <c r="M1131" s="48">
        <f t="shared" si="77"/>
        <v>45724</v>
      </c>
      <c r="N1131" s="26">
        <f t="shared" si="74"/>
        <v>3</v>
      </c>
      <c r="O1131" s="27">
        <v>918</v>
      </c>
      <c r="P1131" s="27">
        <v>918</v>
      </c>
      <c r="Q1131" s="27">
        <v>26</v>
      </c>
      <c r="R1131" s="27">
        <v>25</v>
      </c>
      <c r="S1131" s="27" t="s">
        <v>1295</v>
      </c>
      <c r="T1131" s="27"/>
      <c r="U1131" s="27">
        <v>5092</v>
      </c>
      <c r="V1131" s="27" t="s">
        <v>2101</v>
      </c>
      <c r="W1131" s="27" t="s">
        <v>2102</v>
      </c>
      <c r="X1131" s="73"/>
      <c r="Y1131" s="73"/>
      <c r="Z1131" s="73" t="s">
        <v>3314</v>
      </c>
    </row>
    <row r="1132" spans="1:26" hidden="1" x14ac:dyDescent="0.25">
      <c r="A1132" s="33">
        <v>10</v>
      </c>
      <c r="B1132" s="71" t="s">
        <v>29</v>
      </c>
      <c r="C1132" s="39" t="s">
        <v>3289</v>
      </c>
      <c r="D1132" s="106" t="s">
        <v>2474</v>
      </c>
      <c r="E1132" s="47">
        <v>45720</v>
      </c>
      <c r="F1132" s="31" t="str">
        <f>VLOOKUP($C1132,Carpetas!$C$5:$M$2666,2,FALSE)</f>
        <v>BRB019</v>
      </c>
      <c r="G1132" s="23" t="str">
        <f>VLOOKUP($C1132,Carpetas!$C$5:$M$2666,10,FALSE)</f>
        <v>151,86,81</v>
      </c>
      <c r="H1132" s="27" t="str">
        <f>VLOOKUP($C1132,Carpetas!$C$5:$M$2666,6,FALSE)</f>
        <v xml:space="preserve">Silvio </v>
      </c>
      <c r="I1132" s="220"/>
      <c r="J1132" s="47">
        <v>45726</v>
      </c>
      <c r="K1132" s="72" t="str">
        <f>VLOOKUP($C1132,Carpetas!$C$5:$M$2666,5,FALSE)</f>
        <v>Rio Branco</v>
      </c>
      <c r="L1132" s="32"/>
      <c r="M1132" s="48">
        <f t="shared" si="77"/>
        <v>45727</v>
      </c>
      <c r="N1132" s="26">
        <f t="shared" si="74"/>
        <v>7</v>
      </c>
      <c r="O1132" s="27">
        <v>918</v>
      </c>
      <c r="P1132" s="27">
        <v>918</v>
      </c>
      <c r="Q1132" s="27">
        <v>26</v>
      </c>
      <c r="R1132" s="27">
        <v>25</v>
      </c>
      <c r="S1132" s="27" t="s">
        <v>2781</v>
      </c>
      <c r="T1132" s="27"/>
      <c r="U1132" s="27">
        <v>7336</v>
      </c>
      <c r="V1132" s="27" t="s">
        <v>3315</v>
      </c>
      <c r="W1132" s="27" t="s">
        <v>3316</v>
      </c>
      <c r="X1132" s="73"/>
      <c r="Y1132" s="73"/>
      <c r="Z1132" s="73" t="s">
        <v>3317</v>
      </c>
    </row>
    <row r="1133" spans="1:26" hidden="1" x14ac:dyDescent="0.25">
      <c r="A1133" s="33">
        <v>10</v>
      </c>
      <c r="B1133" s="71" t="s">
        <v>29</v>
      </c>
      <c r="C1133" s="39" t="s">
        <v>3318</v>
      </c>
      <c r="D1133" s="106" t="s">
        <v>3273</v>
      </c>
      <c r="E1133" s="47">
        <v>45721</v>
      </c>
      <c r="F1133" s="31" t="str">
        <f>VLOOKUP($C1133,Carpetas!$C$5:$M$2666,2,FALSE)</f>
        <v>BRB021</v>
      </c>
      <c r="G1133" s="23" t="str">
        <f>VLOOKUP($C1133,Carpetas!$C$5:$M$2666,10,FALSE)</f>
        <v>151,84,81</v>
      </c>
      <c r="H1133" s="27" t="str">
        <f>VLOOKUP($C1133,Carpetas!$C$5:$M$2666,6,FALSE)</f>
        <v>Marvel</v>
      </c>
      <c r="I1133" s="220"/>
      <c r="J1133" s="47">
        <f>E1133+5</f>
        <v>45726</v>
      </c>
      <c r="K1133" s="72" t="str">
        <f>VLOOKUP($C1133,Carpetas!$C$5:$M$2666,5,FALSE)</f>
        <v>Rio Branco</v>
      </c>
      <c r="L1133" s="32"/>
      <c r="M1133" s="48">
        <f t="shared" si="77"/>
        <v>45727</v>
      </c>
      <c r="N1133" s="26">
        <f t="shared" si="74"/>
        <v>6</v>
      </c>
      <c r="O1133" s="27">
        <v>936</v>
      </c>
      <c r="P1133" s="27">
        <v>936</v>
      </c>
      <c r="Q1133" s="27">
        <v>26</v>
      </c>
      <c r="R1133" s="27">
        <v>25</v>
      </c>
      <c r="S1133" s="27" t="s">
        <v>3319</v>
      </c>
      <c r="T1133" s="27"/>
      <c r="U1133" s="27">
        <v>10566</v>
      </c>
      <c r="V1133" s="27" t="s">
        <v>3320</v>
      </c>
      <c r="W1133" s="27" t="s">
        <v>3321</v>
      </c>
      <c r="X1133" s="73"/>
      <c r="Y1133" s="73"/>
      <c r="Z1133" s="73" t="s">
        <v>3322</v>
      </c>
    </row>
    <row r="1134" spans="1:26" hidden="1" x14ac:dyDescent="0.25">
      <c r="A1134" s="33">
        <v>10</v>
      </c>
      <c r="B1134" s="71" t="s">
        <v>29</v>
      </c>
      <c r="C1134" s="39" t="s">
        <v>3254</v>
      </c>
      <c r="D1134" s="106" t="s">
        <v>249</v>
      </c>
      <c r="E1134" s="47">
        <v>45722</v>
      </c>
      <c r="F1134" s="31" t="str">
        <f>VLOOKUP($C1134,Carpetas!$C$5:$M$2666,2,FALSE)</f>
        <v>BRB016</v>
      </c>
      <c r="G1134" s="23" t="str">
        <f>VLOOKUP($C1134,Carpetas!$C$5:$M$2666,10,FALSE)</f>
        <v>151,84,80</v>
      </c>
      <c r="H1134" s="27" t="str">
        <f>VLOOKUP($C1134,Carpetas!$C$5:$M$2666,6,FALSE)</f>
        <v>Gral</v>
      </c>
      <c r="I1134" s="220"/>
      <c r="J1134" s="47">
        <v>45726</v>
      </c>
      <c r="K1134" s="72" t="str">
        <f>VLOOKUP($C1134,Carpetas!$C$5:$M$2666,5,FALSE)</f>
        <v>Rio Branco</v>
      </c>
      <c r="L1134" s="32"/>
      <c r="M1134" s="48">
        <f t="shared" si="77"/>
        <v>45727</v>
      </c>
      <c r="N1134" s="26">
        <f t="shared" si="74"/>
        <v>5</v>
      </c>
      <c r="O1134" s="27">
        <v>918</v>
      </c>
      <c r="P1134" s="27">
        <v>920</v>
      </c>
      <c r="Q1134" s="27">
        <v>26</v>
      </c>
      <c r="R1134" s="27">
        <v>25</v>
      </c>
      <c r="S1134" s="27" t="s">
        <v>3323</v>
      </c>
      <c r="T1134" s="27"/>
      <c r="U1134" s="27">
        <v>7155</v>
      </c>
      <c r="V1134" s="27" t="s">
        <v>3324</v>
      </c>
      <c r="W1134" s="27" t="s">
        <v>3325</v>
      </c>
      <c r="X1134" s="73"/>
      <c r="Y1134" s="73"/>
      <c r="Z1134" s="73" t="s">
        <v>3326</v>
      </c>
    </row>
    <row r="1135" spans="1:26" hidden="1" x14ac:dyDescent="0.25">
      <c r="A1135" s="33">
        <v>10</v>
      </c>
      <c r="B1135" s="71" t="s">
        <v>29</v>
      </c>
      <c r="C1135" s="39" t="s">
        <v>3327</v>
      </c>
      <c r="D1135" s="106" t="s">
        <v>38</v>
      </c>
      <c r="E1135" s="47">
        <v>45722</v>
      </c>
      <c r="F1135" s="31" t="str">
        <f>VLOOKUP($C1135,Carpetas!$C$5:$M$2666,2,FALSE)</f>
        <v>BRE009</v>
      </c>
      <c r="G1135" s="23">
        <f>VLOOKUP($C1135,Carpetas!$C$5:$M$2666,10,FALSE)</f>
        <v>1519044</v>
      </c>
      <c r="H1135" s="27" t="str">
        <f>VLOOKUP($C1135,Carpetas!$C$5:$M$2666,6,FALSE)</f>
        <v>Zanini</v>
      </c>
      <c r="I1135" s="220">
        <f>VLOOKUP($C1135,Carpetas!$C$5:$M$2666,4,FALSE)</f>
        <v>0</v>
      </c>
      <c r="J1135" s="47">
        <v>45726</v>
      </c>
      <c r="K1135" s="72" t="str">
        <f>VLOOKUP($C1135,Carpetas!$C$5:$M$2666,5,FALSE)</f>
        <v>Rio Branco</v>
      </c>
      <c r="L1135" s="32"/>
      <c r="M1135" s="48">
        <f t="shared" si="77"/>
        <v>45727</v>
      </c>
      <c r="N1135" s="26">
        <f t="shared" si="74"/>
        <v>5</v>
      </c>
      <c r="O1135" s="27">
        <v>2288</v>
      </c>
      <c r="P1135" s="27">
        <v>2288</v>
      </c>
      <c r="Q1135" s="27"/>
      <c r="R1135" s="27"/>
      <c r="S1135" s="27"/>
      <c r="T1135" s="27"/>
      <c r="U1135" s="27">
        <v>5090</v>
      </c>
      <c r="V1135" s="27" t="s">
        <v>1839</v>
      </c>
      <c r="W1135" s="27" t="s">
        <v>1840</v>
      </c>
      <c r="X1135" s="73"/>
      <c r="Y1135" s="73"/>
      <c r="Z1135" s="73" t="s">
        <v>3328</v>
      </c>
    </row>
    <row r="1136" spans="1:26" hidden="1" x14ac:dyDescent="0.25">
      <c r="A1136" s="33">
        <v>10</v>
      </c>
      <c r="B1136" s="71" t="s">
        <v>29</v>
      </c>
      <c r="C1136" s="39" t="s">
        <v>3289</v>
      </c>
      <c r="D1136" s="106" t="s">
        <v>803</v>
      </c>
      <c r="E1136" s="47">
        <v>45723</v>
      </c>
      <c r="F1136" s="31" t="str">
        <f>VLOOKUP($C1136,Carpetas!$C$5:$M$2666,2,FALSE)</f>
        <v>BRB019</v>
      </c>
      <c r="G1136" s="23" t="str">
        <f>VLOOKUP($C1136,Carpetas!$C$5:$M$2666,10,FALSE)</f>
        <v>151,86,81</v>
      </c>
      <c r="H1136" s="27" t="str">
        <f>VLOOKUP($C1136,Carpetas!$C$5:$M$2666,6,FALSE)</f>
        <v xml:space="preserve">Silvio </v>
      </c>
      <c r="I1136" s="220"/>
      <c r="J1136" s="47">
        <v>45726</v>
      </c>
      <c r="K1136" s="72" t="str">
        <f>VLOOKUP($C1136,Carpetas!$C$5:$M$2666,5,FALSE)</f>
        <v>Rio Branco</v>
      </c>
      <c r="L1136" s="32"/>
      <c r="M1136" s="48">
        <f t="shared" si="77"/>
        <v>45727</v>
      </c>
      <c r="N1136" s="26">
        <f t="shared" si="74"/>
        <v>4</v>
      </c>
      <c r="O1136" s="27">
        <v>918</v>
      </c>
      <c r="P1136" s="27">
        <v>918</v>
      </c>
      <c r="Q1136" s="27">
        <v>26</v>
      </c>
      <c r="R1136" s="27">
        <v>27</v>
      </c>
      <c r="S1136" s="27" t="s">
        <v>1335</v>
      </c>
      <c r="T1136" s="27"/>
      <c r="U1136" s="27">
        <v>7335</v>
      </c>
      <c r="V1136" s="27" t="s">
        <v>3238</v>
      </c>
      <c r="W1136" s="27" t="s">
        <v>3239</v>
      </c>
      <c r="X1136" s="73"/>
      <c r="Y1136" s="73"/>
      <c r="Z1136" s="73" t="s">
        <v>3329</v>
      </c>
    </row>
    <row r="1137" spans="1:26" hidden="1" x14ac:dyDescent="0.25">
      <c r="A1137" s="33">
        <v>10</v>
      </c>
      <c r="B1137" s="71" t="s">
        <v>29</v>
      </c>
      <c r="C1137" s="39" t="s">
        <v>3278</v>
      </c>
      <c r="D1137" s="106" t="s">
        <v>803</v>
      </c>
      <c r="E1137" s="47">
        <v>45723</v>
      </c>
      <c r="F1137" s="31" t="str">
        <f>VLOOKUP($C1137,Carpetas!$C$5:$M$2666,2,FALSE)</f>
        <v>BRB018</v>
      </c>
      <c r="G1137" s="23" t="str">
        <f>VLOOKUP($C1137,Carpetas!$C$5:$M$2666,10,FALSE)</f>
        <v>151,13,61</v>
      </c>
      <c r="H1137" s="27" t="str">
        <f>VLOOKUP($C1137,Carpetas!$C$5:$M$2666,6,FALSE)</f>
        <v>FG</v>
      </c>
      <c r="I1137" s="220"/>
      <c r="J1137" s="47">
        <v>45726</v>
      </c>
      <c r="K1137" s="72" t="str">
        <f>VLOOKUP($C1137,Carpetas!$C$5:$M$2666,5,FALSE)</f>
        <v>Rio Branco</v>
      </c>
      <c r="L1137" s="32"/>
      <c r="M1137" s="48">
        <f t="shared" si="77"/>
        <v>45727</v>
      </c>
      <c r="N1137" s="26">
        <f t="shared" si="74"/>
        <v>4</v>
      </c>
      <c r="O1137" s="27">
        <v>990</v>
      </c>
      <c r="P1137" s="27">
        <v>990</v>
      </c>
      <c r="Q1137" s="27">
        <v>28</v>
      </c>
      <c r="R1137" s="27">
        <v>26</v>
      </c>
      <c r="S1137" s="27" t="s">
        <v>3330</v>
      </c>
      <c r="T1137" s="27"/>
      <c r="U1137" s="27">
        <v>652</v>
      </c>
      <c r="V1137" s="27" t="s">
        <v>1430</v>
      </c>
      <c r="W1137" s="27" t="s">
        <v>1669</v>
      </c>
      <c r="X1137" s="73"/>
      <c r="Y1137" s="73"/>
      <c r="Z1137" s="73" t="s">
        <v>3331</v>
      </c>
    </row>
    <row r="1138" spans="1:26" hidden="1" x14ac:dyDescent="0.25">
      <c r="A1138" s="33">
        <v>10</v>
      </c>
      <c r="B1138" s="71" t="s">
        <v>29</v>
      </c>
      <c r="C1138" s="39" t="s">
        <v>3332</v>
      </c>
      <c r="D1138" s="106" t="s">
        <v>880</v>
      </c>
      <c r="E1138" s="47">
        <v>45723</v>
      </c>
      <c r="F1138" s="31" t="str">
        <f>VLOOKUP($C1138,Carpetas!$C$5:$M$2666,2,FALSE)</f>
        <v>BRB022</v>
      </c>
      <c r="G1138" s="23" t="str">
        <f>VLOOKUP($C1138,Carpetas!$C$5:$M$2666,10,FALSE)</f>
        <v>151,93,58</v>
      </c>
      <c r="H1138" s="27" t="str">
        <f>VLOOKUP($C1138,Carpetas!$C$5:$M$2666,6,FALSE)</f>
        <v>FG</v>
      </c>
      <c r="I1138" s="220"/>
      <c r="J1138" s="47">
        <v>45726</v>
      </c>
      <c r="K1138" s="72" t="str">
        <f>VLOOKUP($C1138,Carpetas!$C$5:$M$2666,5,FALSE)</f>
        <v>Rio Branco</v>
      </c>
      <c r="L1138" s="32"/>
      <c r="M1138" s="48">
        <f t="shared" si="77"/>
        <v>45727</v>
      </c>
      <c r="N1138" s="26">
        <f t="shared" si="74"/>
        <v>4</v>
      </c>
      <c r="O1138" s="27">
        <v>990</v>
      </c>
      <c r="P1138" s="27">
        <v>990</v>
      </c>
      <c r="Q1138" s="27">
        <v>28</v>
      </c>
      <c r="R1138" s="27">
        <v>26</v>
      </c>
      <c r="S1138" s="27" t="s">
        <v>1099</v>
      </c>
      <c r="T1138" s="27"/>
      <c r="U1138" s="27">
        <v>655</v>
      </c>
      <c r="V1138" s="27" t="s">
        <v>3333</v>
      </c>
      <c r="W1138" s="27" t="s">
        <v>3334</v>
      </c>
      <c r="X1138" s="73"/>
      <c r="Y1138" s="73"/>
      <c r="Z1138" s="73" t="s">
        <v>3335</v>
      </c>
    </row>
    <row r="1139" spans="1:26" hidden="1" x14ac:dyDescent="0.25">
      <c r="A1139" s="33">
        <v>10</v>
      </c>
      <c r="B1139" s="71" t="s">
        <v>29</v>
      </c>
      <c r="C1139" s="39" t="s">
        <v>3254</v>
      </c>
      <c r="D1139" s="106" t="s">
        <v>249</v>
      </c>
      <c r="E1139" s="47">
        <v>45723</v>
      </c>
      <c r="F1139" s="31" t="str">
        <f>VLOOKUP($C1139,Carpetas!$C$5:$M$2666,2,FALSE)</f>
        <v>BRB016</v>
      </c>
      <c r="G1139" s="23" t="str">
        <f>VLOOKUP($C1139,Carpetas!$C$5:$M$2666,10,FALSE)</f>
        <v>151,84,80</v>
      </c>
      <c r="H1139" s="27" t="str">
        <f>VLOOKUP($C1139,Carpetas!$C$5:$M$2666,6,FALSE)</f>
        <v>Gral</v>
      </c>
      <c r="I1139" s="220"/>
      <c r="J1139" s="47">
        <v>45726</v>
      </c>
      <c r="K1139" s="72" t="str">
        <f>VLOOKUP($C1139,Carpetas!$C$5:$M$2666,5,FALSE)</f>
        <v>Rio Branco</v>
      </c>
      <c r="L1139" s="32"/>
      <c r="M1139" s="48">
        <f t="shared" si="77"/>
        <v>45727</v>
      </c>
      <c r="N1139" s="26">
        <f t="shared" si="74"/>
        <v>4</v>
      </c>
      <c r="O1139" s="27">
        <v>918</v>
      </c>
      <c r="P1139" s="27">
        <v>919</v>
      </c>
      <c r="Q1139" s="27">
        <v>26</v>
      </c>
      <c r="R1139" s="27">
        <v>25</v>
      </c>
      <c r="S1139" s="27" t="s">
        <v>3336</v>
      </c>
      <c r="T1139" s="27"/>
      <c r="U1139" s="27">
        <v>7156</v>
      </c>
      <c r="V1139" s="27" t="s">
        <v>3337</v>
      </c>
      <c r="W1139" s="27" t="s">
        <v>3338</v>
      </c>
      <c r="X1139" s="73"/>
      <c r="Y1139" s="73"/>
      <c r="Z1139" s="73" t="s">
        <v>3339</v>
      </c>
    </row>
    <row r="1140" spans="1:26" hidden="1" x14ac:dyDescent="0.25">
      <c r="A1140" s="33">
        <v>10</v>
      </c>
      <c r="B1140" s="71" t="s">
        <v>29</v>
      </c>
      <c r="C1140" s="39" t="s">
        <v>3278</v>
      </c>
      <c r="D1140" s="106" t="s">
        <v>747</v>
      </c>
      <c r="E1140" s="47">
        <v>45723</v>
      </c>
      <c r="F1140" s="31" t="str">
        <f>VLOOKUP($C1140,Carpetas!$C$5:$M$2666,2,FALSE)</f>
        <v>BRB018</v>
      </c>
      <c r="G1140" s="23" t="str">
        <f>VLOOKUP($C1140,Carpetas!$C$5:$M$2666,10,FALSE)</f>
        <v>151,13,61</v>
      </c>
      <c r="H1140" s="27" t="str">
        <f>VLOOKUP($C1140,Carpetas!$C$5:$M$2666,6,FALSE)</f>
        <v>FG</v>
      </c>
      <c r="I1140" s="220"/>
      <c r="J1140" s="47">
        <v>45726</v>
      </c>
      <c r="K1140" s="72" t="str">
        <f>VLOOKUP($C1140,Carpetas!$C$5:$M$2666,5,FALSE)</f>
        <v>Rio Branco</v>
      </c>
      <c r="L1140" s="32"/>
      <c r="M1140" s="48">
        <f t="shared" si="77"/>
        <v>45727</v>
      </c>
      <c r="N1140" s="26">
        <f t="shared" si="74"/>
        <v>4</v>
      </c>
      <c r="O1140" s="27">
        <v>990</v>
      </c>
      <c r="P1140" s="27">
        <v>9918</v>
      </c>
      <c r="Q1140" s="27">
        <v>28</v>
      </c>
      <c r="R1140" s="27">
        <v>26</v>
      </c>
      <c r="S1140" s="27" t="s">
        <v>1700</v>
      </c>
      <c r="T1140" s="27"/>
      <c r="U1140" s="27">
        <v>654</v>
      </c>
      <c r="V1140" s="27" t="s">
        <v>1630</v>
      </c>
      <c r="W1140" s="27" t="s">
        <v>1934</v>
      </c>
      <c r="X1140" s="73"/>
      <c r="Y1140" s="73"/>
      <c r="Z1140" s="73" t="s">
        <v>3340</v>
      </c>
    </row>
    <row r="1141" spans="1:26" hidden="1" x14ac:dyDescent="0.25">
      <c r="A1141" s="33">
        <v>10</v>
      </c>
      <c r="B1141" s="71" t="s">
        <v>29</v>
      </c>
      <c r="C1141" s="39" t="s">
        <v>3313</v>
      </c>
      <c r="D1141" s="106" t="s">
        <v>747</v>
      </c>
      <c r="E1141" s="47">
        <v>45724</v>
      </c>
      <c r="F1141" s="31" t="str">
        <f>VLOOKUP($C1141,Carpetas!$C$5:$M$2666,2,FALSE)</f>
        <v>BRB020</v>
      </c>
      <c r="G1141" s="23" t="str">
        <f>VLOOKUP($C1141,Carpetas!$C$5:$M$2666,10,FALSE)</f>
        <v>151,91,12</v>
      </c>
      <c r="H1141" s="27" t="str">
        <f>VLOOKUP($C1141,Carpetas!$C$5:$M$2666,6,FALSE)</f>
        <v>Zanini</v>
      </c>
      <c r="I1141" s="220"/>
      <c r="J1141" s="47">
        <f>E1141+2</f>
        <v>45726</v>
      </c>
      <c r="K1141" s="72" t="str">
        <f>VLOOKUP($C1141,Carpetas!$C$5:$M$2666,5,FALSE)</f>
        <v>Rio Branco</v>
      </c>
      <c r="L1141" s="32"/>
      <c r="M1141" s="48">
        <f t="shared" si="77"/>
        <v>45727</v>
      </c>
      <c r="N1141" s="26">
        <f t="shared" si="74"/>
        <v>3</v>
      </c>
      <c r="O1141" s="27">
        <v>918</v>
      </c>
      <c r="P1141" s="27">
        <v>919</v>
      </c>
      <c r="Q1141" s="27">
        <v>26</v>
      </c>
      <c r="R1141" s="27">
        <v>25</v>
      </c>
      <c r="S1141" s="27" t="s">
        <v>3341</v>
      </c>
      <c r="T1141" s="27"/>
      <c r="U1141" s="27">
        <v>5096</v>
      </c>
      <c r="V1141" s="27" t="s">
        <v>821</v>
      </c>
      <c r="W1141" s="27" t="s">
        <v>822</v>
      </c>
      <c r="X1141" s="73"/>
      <c r="Y1141" s="73"/>
      <c r="Z1141" s="73" t="s">
        <v>3342</v>
      </c>
    </row>
    <row r="1142" spans="1:26" hidden="1" x14ac:dyDescent="0.25">
      <c r="A1142" s="33">
        <v>10</v>
      </c>
      <c r="B1142" s="71" t="s">
        <v>29</v>
      </c>
      <c r="C1142" s="39" t="s">
        <v>3343</v>
      </c>
      <c r="D1142" s="106" t="s">
        <v>2474</v>
      </c>
      <c r="E1142" s="47">
        <v>45724</v>
      </c>
      <c r="F1142" s="31" t="str">
        <f>VLOOKUP($C1142,Carpetas!$C$5:$M$2666,2,FALSE)</f>
        <v>BRB023</v>
      </c>
      <c r="G1142" s="23" t="str">
        <f>VLOOKUP($C1142,Carpetas!$C$5:$M$2666,10,FALSE)</f>
        <v>151,84,80</v>
      </c>
      <c r="H1142" s="27" t="str">
        <f>VLOOKUP($C1142,Carpetas!$C$5:$M$2666,6,FALSE)</f>
        <v>Gral</v>
      </c>
      <c r="I1142" s="220"/>
      <c r="J1142" s="47">
        <f>E1142+2</f>
        <v>45726</v>
      </c>
      <c r="K1142" s="72" t="str">
        <f>VLOOKUP($C1142,Carpetas!$C$5:$M$2666,5,FALSE)</f>
        <v>Rio Branco</v>
      </c>
      <c r="L1142" s="32"/>
      <c r="M1142" s="48">
        <f t="shared" si="77"/>
        <v>45727</v>
      </c>
      <c r="N1142" s="26">
        <f t="shared" si="74"/>
        <v>3</v>
      </c>
      <c r="O1142" s="27">
        <v>918</v>
      </c>
      <c r="P1142" s="27">
        <v>918</v>
      </c>
      <c r="Q1142" s="27">
        <v>26</v>
      </c>
      <c r="R1142" s="27">
        <v>25</v>
      </c>
      <c r="S1142" s="27" t="s">
        <v>2803</v>
      </c>
      <c r="T1142" s="27"/>
      <c r="U1142" s="27">
        <v>7168</v>
      </c>
      <c r="V1142" s="27" t="s">
        <v>3344</v>
      </c>
      <c r="W1142" s="27" t="s">
        <v>3345</v>
      </c>
      <c r="X1142" s="73"/>
      <c r="Y1142" s="73"/>
      <c r="Z1142" s="73" t="s">
        <v>3346</v>
      </c>
    </row>
    <row r="1143" spans="1:26" hidden="1" x14ac:dyDescent="0.25">
      <c r="A1143" s="33">
        <v>10</v>
      </c>
      <c r="B1143" s="71" t="s">
        <v>29</v>
      </c>
      <c r="C1143" s="39" t="s">
        <v>3332</v>
      </c>
      <c r="D1143" s="106" t="s">
        <v>78</v>
      </c>
      <c r="E1143" s="47">
        <v>45724</v>
      </c>
      <c r="F1143" s="31" t="str">
        <f>VLOOKUP($C1143,Carpetas!$C$5:$M$2666,2,FALSE)</f>
        <v>BRB022</v>
      </c>
      <c r="G1143" s="23" t="str">
        <f>VLOOKUP($C1143,Carpetas!$C$5:$M$2666,10,FALSE)</f>
        <v>151,93,58</v>
      </c>
      <c r="H1143" s="27" t="str">
        <f>VLOOKUP($C1143,Carpetas!$C$5:$M$2666,6,FALSE)</f>
        <v>FG</v>
      </c>
      <c r="I1143" s="220"/>
      <c r="J1143" s="47">
        <f>E1143+2</f>
        <v>45726</v>
      </c>
      <c r="K1143" s="72" t="str">
        <f>VLOOKUP($C1143,Carpetas!$C$5:$M$2666,5,FALSE)</f>
        <v>Rio Branco</v>
      </c>
      <c r="L1143" s="32"/>
      <c r="M1143" s="48">
        <f t="shared" si="77"/>
        <v>45727</v>
      </c>
      <c r="N1143" s="26">
        <f t="shared" si="74"/>
        <v>3</v>
      </c>
      <c r="O1143" s="27">
        <v>990</v>
      </c>
      <c r="P1143" s="27">
        <v>991</v>
      </c>
      <c r="Q1143" s="27">
        <v>28</v>
      </c>
      <c r="R1143" s="27">
        <v>26</v>
      </c>
      <c r="S1143" s="27" t="s">
        <v>370</v>
      </c>
      <c r="T1143" s="27"/>
      <c r="U1143" s="27">
        <v>656</v>
      </c>
      <c r="V1143" s="27" t="s">
        <v>1735</v>
      </c>
      <c r="W1143" s="27" t="s">
        <v>912</v>
      </c>
      <c r="X1143" s="73"/>
      <c r="Y1143" s="73"/>
      <c r="Z1143" s="73" t="s">
        <v>3347</v>
      </c>
    </row>
    <row r="1144" spans="1:26" hidden="1" x14ac:dyDescent="0.25">
      <c r="A1144" s="33">
        <v>11</v>
      </c>
      <c r="B1144" s="71" t="s">
        <v>29</v>
      </c>
      <c r="C1144" s="39" t="s">
        <v>3343</v>
      </c>
      <c r="D1144" s="106" t="s">
        <v>747</v>
      </c>
      <c r="E1144" s="47">
        <v>45726</v>
      </c>
      <c r="F1144" s="31" t="str">
        <f>VLOOKUP($C1144,Carpetas!$C$5:$M$2666,2,FALSE)</f>
        <v>BRB023</v>
      </c>
      <c r="G1144" s="23" t="str">
        <f>VLOOKUP($C1144,Carpetas!$C$5:$M$2666,10,FALSE)</f>
        <v>151,84,80</v>
      </c>
      <c r="H1144" s="27" t="str">
        <f>VLOOKUP($C1144,Carpetas!$C$5:$M$2666,6,FALSE)</f>
        <v>Gral</v>
      </c>
      <c r="I1144" s="220"/>
      <c r="J1144" s="47">
        <f>E1144+2</f>
        <v>45728</v>
      </c>
      <c r="K1144" s="72" t="str">
        <f>VLOOKUP($C1144,Carpetas!$C$5:$M$2666,5,FALSE)</f>
        <v>Rio Branco</v>
      </c>
      <c r="L1144" s="32"/>
      <c r="M1144" s="48">
        <f t="shared" si="77"/>
        <v>45729</v>
      </c>
      <c r="N1144" s="26">
        <f t="shared" si="74"/>
        <v>3</v>
      </c>
      <c r="O1144" s="27">
        <v>918</v>
      </c>
      <c r="P1144" s="27">
        <v>919</v>
      </c>
      <c r="Q1144" s="27">
        <v>26</v>
      </c>
      <c r="R1144" s="27">
        <v>25</v>
      </c>
      <c r="S1144" s="27" t="s">
        <v>3348</v>
      </c>
      <c r="T1144" s="27"/>
      <c r="U1144" s="27">
        <v>7169</v>
      </c>
      <c r="V1144" s="27" t="s">
        <v>3349</v>
      </c>
      <c r="W1144" s="27" t="s">
        <v>3350</v>
      </c>
      <c r="X1144" s="73"/>
      <c r="Y1144" s="73"/>
      <c r="Z1144" s="73" t="s">
        <v>3351</v>
      </c>
    </row>
    <row r="1145" spans="1:26" ht="30" hidden="1" x14ac:dyDescent="0.25">
      <c r="A1145" s="33">
        <v>11</v>
      </c>
      <c r="B1145" s="71" t="s">
        <v>29</v>
      </c>
      <c r="C1145" s="39" t="s">
        <v>3332</v>
      </c>
      <c r="D1145" s="106" t="s">
        <v>803</v>
      </c>
      <c r="E1145" s="47">
        <v>45727</v>
      </c>
      <c r="F1145" s="31" t="str">
        <f>VLOOKUP($C1145,Carpetas!$C$5:$M$2666,2,FALSE)</f>
        <v>BRB022</v>
      </c>
      <c r="G1145" s="23" t="str">
        <f>VLOOKUP($C1145,Carpetas!$C$5:$M$2666,10,FALSE)</f>
        <v>151,93,58</v>
      </c>
      <c r="H1145" s="27" t="str">
        <f>VLOOKUP($C1145,Carpetas!$C$5:$M$2666,6,FALSE)</f>
        <v>FG</v>
      </c>
      <c r="I1145" s="220"/>
      <c r="J1145" s="47">
        <v>45728</v>
      </c>
      <c r="K1145" s="72" t="str">
        <f>VLOOKUP($C1145,Carpetas!$C$5:$M$2666,5,FALSE)</f>
        <v>Rio Branco</v>
      </c>
      <c r="L1145" s="32"/>
      <c r="M1145" s="48">
        <f t="shared" si="77"/>
        <v>45729</v>
      </c>
      <c r="N1145" s="26">
        <f t="shared" si="74"/>
        <v>2</v>
      </c>
      <c r="O1145" s="27">
        <v>990</v>
      </c>
      <c r="P1145" s="27">
        <v>990</v>
      </c>
      <c r="Q1145" s="27">
        <v>28</v>
      </c>
      <c r="R1145" s="27">
        <v>26</v>
      </c>
      <c r="S1145" s="27" t="s">
        <v>3352</v>
      </c>
      <c r="T1145" s="27"/>
      <c r="U1145" s="27">
        <v>659</v>
      </c>
      <c r="V1145" s="27" t="s">
        <v>1657</v>
      </c>
      <c r="W1145" s="27" t="s">
        <v>1815</v>
      </c>
      <c r="X1145" s="73"/>
      <c r="Y1145" s="73"/>
      <c r="Z1145" s="73" t="s">
        <v>3353</v>
      </c>
    </row>
    <row r="1146" spans="1:26" hidden="1" x14ac:dyDescent="0.25">
      <c r="A1146" s="33">
        <v>11</v>
      </c>
      <c r="B1146" s="71" t="s">
        <v>29</v>
      </c>
      <c r="C1146" s="39" t="s">
        <v>3289</v>
      </c>
      <c r="D1146" s="106" t="s">
        <v>110</v>
      </c>
      <c r="E1146" s="47">
        <v>45727</v>
      </c>
      <c r="F1146" s="31" t="str">
        <f>VLOOKUP($C1146,Carpetas!$C$5:$M$2666,2,FALSE)</f>
        <v>BRB019</v>
      </c>
      <c r="G1146" s="23" t="str">
        <f>VLOOKUP($C1146,Carpetas!$C$5:$M$2666,10,FALSE)</f>
        <v>151,86,81</v>
      </c>
      <c r="H1146" s="27" t="str">
        <f>VLOOKUP($C1146,Carpetas!$C$5:$M$2666,6,FALSE)</f>
        <v xml:space="preserve">Silvio </v>
      </c>
      <c r="I1146" s="220"/>
      <c r="J1146" s="47">
        <f t="shared" ref="J1146:J1154" si="78">E1146+2</f>
        <v>45729</v>
      </c>
      <c r="K1146" s="72" t="str">
        <f>VLOOKUP($C1146,Carpetas!$C$5:$M$2666,5,FALSE)</f>
        <v>Rio Branco</v>
      </c>
      <c r="L1146" s="32"/>
      <c r="M1146" s="48">
        <f t="shared" si="77"/>
        <v>45730</v>
      </c>
      <c r="N1146" s="26">
        <f t="shared" si="74"/>
        <v>3</v>
      </c>
      <c r="O1146" s="27">
        <v>918</v>
      </c>
      <c r="P1146" s="27">
        <v>919</v>
      </c>
      <c r="Q1146" s="27">
        <v>26</v>
      </c>
      <c r="R1146" s="27">
        <v>26</v>
      </c>
      <c r="S1146" s="27" t="s">
        <v>1471</v>
      </c>
      <c r="T1146" s="27"/>
      <c r="U1146" s="27">
        <v>7337</v>
      </c>
      <c r="V1146" s="27" t="s">
        <v>665</v>
      </c>
      <c r="W1146" s="27" t="s">
        <v>3354</v>
      </c>
      <c r="X1146" s="73"/>
      <c r="Y1146" s="73"/>
      <c r="Z1146" s="73" t="s">
        <v>3355</v>
      </c>
    </row>
    <row r="1147" spans="1:26" hidden="1" x14ac:dyDescent="0.25">
      <c r="A1147" s="33">
        <v>11</v>
      </c>
      <c r="B1147" s="71" t="s">
        <v>29</v>
      </c>
      <c r="C1147" s="39" t="s">
        <v>3332</v>
      </c>
      <c r="D1147" s="106" t="s">
        <v>747</v>
      </c>
      <c r="E1147" s="47">
        <v>45727</v>
      </c>
      <c r="F1147" s="31" t="str">
        <f>VLOOKUP($C1147,Carpetas!$C$5:$M$2666,2,FALSE)</f>
        <v>BRB022</v>
      </c>
      <c r="G1147" s="23" t="str">
        <f>VLOOKUP($C1147,Carpetas!$C$5:$M$2666,10,FALSE)</f>
        <v>151,93,58</v>
      </c>
      <c r="H1147" s="27" t="str">
        <f>VLOOKUP($C1147,Carpetas!$C$5:$M$2666,6,FALSE)</f>
        <v>FG</v>
      </c>
      <c r="I1147" s="220"/>
      <c r="J1147" s="47">
        <f t="shared" si="78"/>
        <v>45729</v>
      </c>
      <c r="K1147" s="72" t="str">
        <f>VLOOKUP($C1147,Carpetas!$C$5:$M$2666,5,FALSE)</f>
        <v>Rio Branco</v>
      </c>
      <c r="L1147" s="32"/>
      <c r="M1147" s="48">
        <f t="shared" si="77"/>
        <v>45730</v>
      </c>
      <c r="N1147" s="26">
        <f t="shared" si="74"/>
        <v>3</v>
      </c>
      <c r="O1147" s="27">
        <v>990</v>
      </c>
      <c r="P1147" s="27">
        <v>991</v>
      </c>
      <c r="Q1147" s="27">
        <v>28</v>
      </c>
      <c r="R1147" s="27">
        <v>26</v>
      </c>
      <c r="S1147" s="27" t="s">
        <v>1792</v>
      </c>
      <c r="T1147" s="27"/>
      <c r="U1147" s="27">
        <v>658</v>
      </c>
      <c r="V1147" s="27" t="s">
        <v>1726</v>
      </c>
      <c r="W1147" s="27" t="s">
        <v>1646</v>
      </c>
      <c r="X1147" s="73"/>
      <c r="Y1147" s="73"/>
      <c r="Z1147" s="73" t="s">
        <v>3356</v>
      </c>
    </row>
    <row r="1148" spans="1:26" hidden="1" x14ac:dyDescent="0.25">
      <c r="A1148" s="33">
        <v>11</v>
      </c>
      <c r="B1148" s="71" t="s">
        <v>29</v>
      </c>
      <c r="C1148" s="39" t="s">
        <v>3332</v>
      </c>
      <c r="D1148" s="106" t="s">
        <v>953</v>
      </c>
      <c r="E1148" s="47">
        <v>45727</v>
      </c>
      <c r="F1148" s="31" t="str">
        <f>VLOOKUP($C1148,Carpetas!$C$5:$M$2666,2,FALSE)</f>
        <v>BRB022</v>
      </c>
      <c r="G1148" s="23" t="str">
        <f>VLOOKUP($C1148,Carpetas!$C$5:$M$2666,10,FALSE)</f>
        <v>151,93,58</v>
      </c>
      <c r="H1148" s="27" t="str">
        <f>VLOOKUP($C1148,Carpetas!$C$5:$M$2666,6,FALSE)</f>
        <v>FG</v>
      </c>
      <c r="I1148" s="220"/>
      <c r="J1148" s="47">
        <f t="shared" si="78"/>
        <v>45729</v>
      </c>
      <c r="K1148" s="72" t="str">
        <f>VLOOKUP($C1148,Carpetas!$C$5:$M$2666,5,FALSE)</f>
        <v>Rio Branco</v>
      </c>
      <c r="L1148" s="32"/>
      <c r="M1148" s="48">
        <f t="shared" si="77"/>
        <v>45730</v>
      </c>
      <c r="N1148" s="26">
        <f t="shared" si="74"/>
        <v>3</v>
      </c>
      <c r="O1148" s="27">
        <v>990</v>
      </c>
      <c r="P1148" s="27">
        <v>990</v>
      </c>
      <c r="Q1148" s="27">
        <v>28</v>
      </c>
      <c r="R1148" s="27">
        <v>26</v>
      </c>
      <c r="S1148" s="27" t="s">
        <v>3357</v>
      </c>
      <c r="T1148" s="27"/>
      <c r="U1148" s="27">
        <v>661</v>
      </c>
      <c r="V1148" s="27" t="s">
        <v>1617</v>
      </c>
      <c r="W1148" s="27" t="s">
        <v>1618</v>
      </c>
      <c r="X1148" s="73"/>
      <c r="Y1148" s="73"/>
      <c r="Z1148" s="73" t="s">
        <v>3358</v>
      </c>
    </row>
    <row r="1149" spans="1:26" hidden="1" x14ac:dyDescent="0.25">
      <c r="A1149" s="33">
        <v>11</v>
      </c>
      <c r="B1149" s="71" t="s">
        <v>29</v>
      </c>
      <c r="C1149" s="39" t="s">
        <v>3359</v>
      </c>
      <c r="D1149" s="106" t="s">
        <v>249</v>
      </c>
      <c r="E1149" s="47">
        <v>45727</v>
      </c>
      <c r="F1149" s="31" t="str">
        <f>VLOOKUP($C1149,Carpetas!$C$5:$M$2666,2,FALSE)</f>
        <v>BRB024</v>
      </c>
      <c r="G1149" s="23" t="str">
        <f>VLOOKUP($C1149,Carpetas!$C$5:$M$2666,10,FALSE)</f>
        <v>151,96,01</v>
      </c>
      <c r="H1149" s="27" t="str">
        <f>VLOOKUP($C1149,Carpetas!$C$5:$M$2666,6,FALSE)</f>
        <v>Amaro</v>
      </c>
      <c r="I1149" s="220"/>
      <c r="J1149" s="47">
        <f t="shared" si="78"/>
        <v>45729</v>
      </c>
      <c r="K1149" s="72" t="str">
        <f>VLOOKUP($C1149,Carpetas!$C$5:$M$2666,5,FALSE)</f>
        <v>Rio Branco</v>
      </c>
      <c r="L1149" s="32"/>
      <c r="M1149" s="48">
        <f t="shared" si="77"/>
        <v>45730</v>
      </c>
      <c r="N1149" s="26">
        <f t="shared" si="74"/>
        <v>3</v>
      </c>
      <c r="O1149" s="27">
        <v>990</v>
      </c>
      <c r="P1149" s="27">
        <v>991</v>
      </c>
      <c r="Q1149" s="27">
        <v>28</v>
      </c>
      <c r="R1149" s="27">
        <v>26</v>
      </c>
      <c r="S1149" s="27" t="s">
        <v>3360</v>
      </c>
      <c r="T1149" s="27"/>
      <c r="U1149" s="27">
        <v>25714</v>
      </c>
      <c r="V1149" s="27" t="s">
        <v>3361</v>
      </c>
      <c r="W1149" s="27" t="s">
        <v>3362</v>
      </c>
      <c r="X1149" s="73"/>
      <c r="Y1149" s="73"/>
      <c r="Z1149" s="73" t="s">
        <v>3363</v>
      </c>
    </row>
    <row r="1150" spans="1:26" hidden="1" x14ac:dyDescent="0.25">
      <c r="A1150" s="33">
        <v>11</v>
      </c>
      <c r="B1150" s="71" t="s">
        <v>29</v>
      </c>
      <c r="C1150" s="39" t="s">
        <v>3313</v>
      </c>
      <c r="D1150" s="106" t="s">
        <v>2474</v>
      </c>
      <c r="E1150" s="47">
        <v>45728</v>
      </c>
      <c r="F1150" s="31" t="str">
        <f>VLOOKUP($C1150,Carpetas!$C$5:$M$2666,2,FALSE)</f>
        <v>BRB020</v>
      </c>
      <c r="G1150" s="23" t="str">
        <f>VLOOKUP($C1150,Carpetas!$C$5:$M$2666,10,FALSE)</f>
        <v>151,91,12</v>
      </c>
      <c r="H1150" s="27" t="str">
        <f>VLOOKUP($C1150,Carpetas!$C$5:$M$2666,6,FALSE)</f>
        <v>Zanini</v>
      </c>
      <c r="I1150" s="220"/>
      <c r="J1150" s="47">
        <f t="shared" si="78"/>
        <v>45730</v>
      </c>
      <c r="K1150" s="72" t="str">
        <f>VLOOKUP($C1150,Carpetas!$C$5:$M$2666,5,FALSE)</f>
        <v>Rio Branco</v>
      </c>
      <c r="L1150" s="32"/>
      <c r="M1150" s="48">
        <f t="shared" si="77"/>
        <v>45731</v>
      </c>
      <c r="N1150" s="26">
        <f t="shared" si="74"/>
        <v>3</v>
      </c>
      <c r="O1150" s="27">
        <v>918</v>
      </c>
      <c r="P1150" s="27">
        <v>918</v>
      </c>
      <c r="Q1150" s="27">
        <v>26</v>
      </c>
      <c r="R1150" s="27">
        <v>25</v>
      </c>
      <c r="S1150" s="27" t="s">
        <v>2814</v>
      </c>
      <c r="T1150" s="27"/>
      <c r="U1150" s="27">
        <v>5103</v>
      </c>
      <c r="V1150" s="27" t="s">
        <v>866</v>
      </c>
      <c r="W1150" s="27" t="s">
        <v>867</v>
      </c>
      <c r="X1150" s="73"/>
      <c r="Y1150" s="73"/>
      <c r="Z1150" s="73" t="s">
        <v>3364</v>
      </c>
    </row>
    <row r="1151" spans="1:26" hidden="1" x14ac:dyDescent="0.25">
      <c r="A1151" s="33">
        <v>11</v>
      </c>
      <c r="B1151" s="71" t="s">
        <v>29</v>
      </c>
      <c r="C1151" s="39" t="s">
        <v>3332</v>
      </c>
      <c r="D1151" s="106" t="s">
        <v>803</v>
      </c>
      <c r="E1151" s="47">
        <v>45728</v>
      </c>
      <c r="F1151" s="31" t="str">
        <f>VLOOKUP($C1151,Carpetas!$C$5:$M$2666,2,FALSE)</f>
        <v>BRB022</v>
      </c>
      <c r="G1151" s="23" t="str">
        <f>VLOOKUP($C1151,Carpetas!$C$5:$M$2666,10,FALSE)</f>
        <v>151,93,58</v>
      </c>
      <c r="H1151" s="27" t="str">
        <f>VLOOKUP($C1151,Carpetas!$C$5:$M$2666,6,FALSE)</f>
        <v>FG</v>
      </c>
      <c r="I1151" s="220"/>
      <c r="J1151" s="47">
        <f t="shared" si="78"/>
        <v>45730</v>
      </c>
      <c r="K1151" s="72" t="str">
        <f>VLOOKUP($C1151,Carpetas!$C$5:$M$2666,5,FALSE)</f>
        <v>Rio Branco</v>
      </c>
      <c r="L1151" s="32"/>
      <c r="M1151" s="48">
        <f t="shared" si="77"/>
        <v>45731</v>
      </c>
      <c r="N1151" s="26">
        <f t="shared" si="74"/>
        <v>3</v>
      </c>
      <c r="O1151" s="27">
        <v>990</v>
      </c>
      <c r="P1151" s="27">
        <v>990</v>
      </c>
      <c r="Q1151" s="27">
        <v>28</v>
      </c>
      <c r="R1151" s="27">
        <v>26</v>
      </c>
      <c r="S1151" s="27" t="s">
        <v>1337</v>
      </c>
      <c r="T1151" s="27"/>
      <c r="U1151" s="27">
        <v>662</v>
      </c>
      <c r="V1151" s="27" t="s">
        <v>1626</v>
      </c>
      <c r="W1151" s="27" t="s">
        <v>1627</v>
      </c>
      <c r="X1151" s="73"/>
      <c r="Y1151" s="73"/>
      <c r="Z1151" s="73" t="s">
        <v>3358</v>
      </c>
    </row>
    <row r="1152" spans="1:26" hidden="1" x14ac:dyDescent="0.25">
      <c r="A1152" s="33">
        <v>11</v>
      </c>
      <c r="B1152" s="71" t="s">
        <v>29</v>
      </c>
      <c r="C1152" s="39" t="s">
        <v>3332</v>
      </c>
      <c r="D1152" s="106" t="s">
        <v>764</v>
      </c>
      <c r="E1152" s="47">
        <v>45728</v>
      </c>
      <c r="F1152" s="31" t="str">
        <f>VLOOKUP($C1152,Carpetas!$C$5:$M$2666,2,FALSE)</f>
        <v>BRB022</v>
      </c>
      <c r="G1152" s="23" t="str">
        <f>VLOOKUP($C1152,Carpetas!$C$5:$M$2666,10,FALSE)</f>
        <v>151,93,58</v>
      </c>
      <c r="H1152" s="27" t="str">
        <f>VLOOKUP($C1152,Carpetas!$C$5:$M$2666,6,FALSE)</f>
        <v>FG</v>
      </c>
      <c r="I1152" s="220"/>
      <c r="J1152" s="47">
        <f t="shared" si="78"/>
        <v>45730</v>
      </c>
      <c r="K1152" s="72" t="str">
        <f>VLOOKUP($C1152,Carpetas!$C$5:$M$2666,5,FALSE)</f>
        <v>Rio Branco</v>
      </c>
      <c r="L1152" s="32"/>
      <c r="M1152" s="48">
        <f t="shared" si="77"/>
        <v>45731</v>
      </c>
      <c r="N1152" s="26">
        <f t="shared" si="74"/>
        <v>3</v>
      </c>
      <c r="O1152" s="27">
        <v>990</v>
      </c>
      <c r="P1152" s="27">
        <v>990</v>
      </c>
      <c r="Q1152" s="27">
        <v>28</v>
      </c>
      <c r="R1152" s="27">
        <v>26</v>
      </c>
      <c r="S1152" s="27" t="s">
        <v>3365</v>
      </c>
      <c r="T1152" s="27"/>
      <c r="U1152" s="27">
        <v>663</v>
      </c>
      <c r="V1152" s="27" t="s">
        <v>1649</v>
      </c>
      <c r="W1152" s="27" t="s">
        <v>1650</v>
      </c>
      <c r="X1152" s="73"/>
      <c r="Y1152" s="73"/>
      <c r="Z1152" s="73" t="s">
        <v>3363</v>
      </c>
    </row>
    <row r="1153" spans="1:26" hidden="1" x14ac:dyDescent="0.25">
      <c r="A1153" s="33">
        <v>11</v>
      </c>
      <c r="B1153" s="71" t="s">
        <v>29</v>
      </c>
      <c r="C1153" s="39" t="s">
        <v>3343</v>
      </c>
      <c r="D1153" s="106" t="s">
        <v>3366</v>
      </c>
      <c r="E1153" s="47">
        <v>45728</v>
      </c>
      <c r="F1153" s="31" t="str">
        <f>VLOOKUP($C1153,Carpetas!$C$5:$M$2666,2,FALSE)</f>
        <v>BRB023</v>
      </c>
      <c r="G1153" s="23" t="str">
        <f>VLOOKUP($C1153,Carpetas!$C$5:$M$2666,10,FALSE)</f>
        <v>151,84,80</v>
      </c>
      <c r="H1153" s="27" t="str">
        <f>VLOOKUP($C1153,Carpetas!$C$5:$M$2666,6,FALSE)</f>
        <v>Gral</v>
      </c>
      <c r="I1153" s="220"/>
      <c r="J1153" s="47">
        <f t="shared" si="78"/>
        <v>45730</v>
      </c>
      <c r="K1153" s="72" t="str">
        <f>VLOOKUP($C1153,Carpetas!$C$5:$M$2666,5,FALSE)</f>
        <v>Rio Branco</v>
      </c>
      <c r="L1153" s="32"/>
      <c r="M1153" s="48">
        <f t="shared" si="77"/>
        <v>45731</v>
      </c>
      <c r="N1153" s="26">
        <f t="shared" si="74"/>
        <v>3</v>
      </c>
      <c r="O1153" s="27">
        <v>918</v>
      </c>
      <c r="P1153" s="27">
        <v>918</v>
      </c>
      <c r="Q1153" s="27">
        <v>26</v>
      </c>
      <c r="R1153" s="27">
        <v>25</v>
      </c>
      <c r="S1153" s="27" t="s">
        <v>3367</v>
      </c>
      <c r="T1153" s="27"/>
      <c r="U1153" s="27">
        <v>7170</v>
      </c>
      <c r="V1153" s="27" t="s">
        <v>3368</v>
      </c>
      <c r="W1153" s="27" t="s">
        <v>3369</v>
      </c>
      <c r="X1153" s="73"/>
      <c r="Y1153" s="73"/>
      <c r="Z1153" s="73" t="s">
        <v>3370</v>
      </c>
    </row>
    <row r="1154" spans="1:26" hidden="1" x14ac:dyDescent="0.25">
      <c r="A1154" s="33">
        <v>11</v>
      </c>
      <c r="B1154" s="71" t="s">
        <v>29</v>
      </c>
      <c r="C1154" s="39" t="s">
        <v>3359</v>
      </c>
      <c r="D1154" s="106" t="s">
        <v>249</v>
      </c>
      <c r="E1154" s="47">
        <v>45729</v>
      </c>
      <c r="F1154" s="31" t="str">
        <f>VLOOKUP($C1154,Carpetas!$C$5:$M$2666,2,FALSE)</f>
        <v>BRB024</v>
      </c>
      <c r="G1154" s="23" t="str">
        <f>VLOOKUP($C1154,Carpetas!$C$5:$M$2666,10,FALSE)</f>
        <v>151,96,01</v>
      </c>
      <c r="H1154" s="27" t="str">
        <f>VLOOKUP($C1154,Carpetas!$C$5:$M$2666,6,FALSE)</f>
        <v>Amaro</v>
      </c>
      <c r="I1154" s="220"/>
      <c r="J1154" s="47">
        <f t="shared" si="78"/>
        <v>45731</v>
      </c>
      <c r="K1154" s="72" t="str">
        <f>VLOOKUP($C1154,Carpetas!$C$5:$M$2666,5,FALSE)</f>
        <v>Rio Branco</v>
      </c>
      <c r="L1154" s="32"/>
      <c r="M1154" s="48">
        <f t="shared" si="77"/>
        <v>45732</v>
      </c>
      <c r="N1154" s="26">
        <f t="shared" si="74"/>
        <v>3</v>
      </c>
      <c r="O1154" s="27">
        <v>990</v>
      </c>
      <c r="P1154" s="27">
        <v>990</v>
      </c>
      <c r="Q1154" s="27">
        <v>28</v>
      </c>
      <c r="R1154" s="27">
        <v>26</v>
      </c>
      <c r="S1154" s="27" t="s">
        <v>3371</v>
      </c>
      <c r="T1154" s="27"/>
      <c r="U1154" s="27">
        <v>25723</v>
      </c>
      <c r="V1154" s="27" t="s">
        <v>3372</v>
      </c>
      <c r="W1154" s="27" t="s">
        <v>3373</v>
      </c>
      <c r="X1154" s="73"/>
      <c r="Y1154" s="73"/>
      <c r="Z1154" s="73" t="s">
        <v>3374</v>
      </c>
    </row>
    <row r="1155" spans="1:26" hidden="1" x14ac:dyDescent="0.25">
      <c r="A1155" s="33">
        <v>11</v>
      </c>
      <c r="B1155" s="71" t="s">
        <v>29</v>
      </c>
      <c r="C1155" s="39" t="s">
        <v>3343</v>
      </c>
      <c r="D1155" s="106" t="s">
        <v>78</v>
      </c>
      <c r="E1155" s="47">
        <v>45728</v>
      </c>
      <c r="F1155" s="31" t="str">
        <f>VLOOKUP($C1155,Carpetas!$C$5:$M$2666,2,FALSE)</f>
        <v>BRB023</v>
      </c>
      <c r="G1155" s="23" t="str">
        <f>VLOOKUP($C1155,Carpetas!$C$5:$M$2666,10,FALSE)</f>
        <v>151,84,80</v>
      </c>
      <c r="H1155" s="27" t="str">
        <f>VLOOKUP($C1155,Carpetas!$C$5:$M$2666,6,FALSE)</f>
        <v>Gral</v>
      </c>
      <c r="I1155" s="220"/>
      <c r="J1155" s="47">
        <f>E1155+5</f>
        <v>45733</v>
      </c>
      <c r="K1155" s="72" t="str">
        <f>VLOOKUP($C1155,Carpetas!$C$5:$M$2666,5,FALSE)</f>
        <v>Rio Branco</v>
      </c>
      <c r="L1155" s="32"/>
      <c r="M1155" s="48">
        <f t="shared" si="77"/>
        <v>45734</v>
      </c>
      <c r="N1155" s="26">
        <f t="shared" si="74"/>
        <v>6</v>
      </c>
      <c r="O1155" s="27">
        <v>918</v>
      </c>
      <c r="P1155" s="27">
        <v>919</v>
      </c>
      <c r="Q1155" s="27">
        <v>26</v>
      </c>
      <c r="R1155" s="27">
        <v>25</v>
      </c>
      <c r="S1155" s="27" t="s">
        <v>394</v>
      </c>
      <c r="T1155" s="27"/>
      <c r="U1155" s="27">
        <v>7171</v>
      </c>
      <c r="V1155" s="27" t="s">
        <v>3375</v>
      </c>
      <c r="W1155" s="27" t="s">
        <v>3376</v>
      </c>
      <c r="X1155" s="73"/>
      <c r="Y1155" s="73"/>
      <c r="Z1155" s="73" t="s">
        <v>3377</v>
      </c>
    </row>
    <row r="1156" spans="1:26" hidden="1" x14ac:dyDescent="0.25">
      <c r="A1156" s="33">
        <v>11</v>
      </c>
      <c r="B1156" s="71" t="s">
        <v>29</v>
      </c>
      <c r="C1156" s="39" t="s">
        <v>3289</v>
      </c>
      <c r="D1156" s="106" t="s">
        <v>803</v>
      </c>
      <c r="E1156" s="47">
        <v>45730</v>
      </c>
      <c r="F1156" s="31" t="str">
        <f>VLOOKUP($C1156,Carpetas!$C$5:$M$2666,2,FALSE)</f>
        <v>BRB019</v>
      </c>
      <c r="G1156" s="23" t="str">
        <f>VLOOKUP($C1156,Carpetas!$C$5:$M$2666,10,FALSE)</f>
        <v>151,86,81</v>
      </c>
      <c r="H1156" s="27" t="str">
        <f>VLOOKUP($C1156,Carpetas!$C$5:$M$2666,6,FALSE)</f>
        <v xml:space="preserve">Silvio </v>
      </c>
      <c r="I1156" s="220"/>
      <c r="J1156" s="47">
        <f>E1156+3</f>
        <v>45733</v>
      </c>
      <c r="K1156" s="72" t="str">
        <f>VLOOKUP($C1156,Carpetas!$C$5:$M$2666,5,FALSE)</f>
        <v>Rio Branco</v>
      </c>
      <c r="L1156" s="32"/>
      <c r="M1156" s="48">
        <f t="shared" si="77"/>
        <v>45734</v>
      </c>
      <c r="N1156" s="26">
        <f t="shared" si="74"/>
        <v>4</v>
      </c>
      <c r="O1156" s="27">
        <v>918</v>
      </c>
      <c r="P1156" s="27"/>
      <c r="Q1156" s="27">
        <v>26</v>
      </c>
      <c r="R1156" s="27">
        <v>25</v>
      </c>
      <c r="S1156" s="27" t="s">
        <v>1370</v>
      </c>
      <c r="T1156" s="27"/>
      <c r="U1156" s="27">
        <v>7338</v>
      </c>
      <c r="V1156" s="27" t="s">
        <v>3378</v>
      </c>
      <c r="W1156" s="27" t="s">
        <v>3379</v>
      </c>
      <c r="X1156" s="73"/>
      <c r="Y1156" s="73"/>
      <c r="Z1156" s="73">
        <v>45734</v>
      </c>
    </row>
    <row r="1157" spans="1:26" hidden="1" x14ac:dyDescent="0.25">
      <c r="A1157" s="33">
        <v>11</v>
      </c>
      <c r="B1157" s="71" t="s">
        <v>29</v>
      </c>
      <c r="C1157" s="39" t="s">
        <v>3332</v>
      </c>
      <c r="D1157" s="106" t="s">
        <v>880</v>
      </c>
      <c r="E1157" s="47">
        <v>45730</v>
      </c>
      <c r="F1157" s="31" t="str">
        <f>VLOOKUP($C1157,Carpetas!$C$5:$M$2666,2,FALSE)</f>
        <v>BRB022</v>
      </c>
      <c r="G1157" s="23" t="str">
        <f>VLOOKUP($C1157,Carpetas!$C$5:$M$2666,10,FALSE)</f>
        <v>151,93,58</v>
      </c>
      <c r="H1157" s="27" t="str">
        <f>VLOOKUP($C1157,Carpetas!$C$5:$M$2666,6,FALSE)</f>
        <v>FG</v>
      </c>
      <c r="I1157" s="220"/>
      <c r="J1157" s="47">
        <f>E1157+3</f>
        <v>45733</v>
      </c>
      <c r="K1157" s="72" t="str">
        <f>VLOOKUP($C1157,Carpetas!$C$5:$M$2666,5,FALSE)</f>
        <v>Rio Branco</v>
      </c>
      <c r="L1157" s="32"/>
      <c r="M1157" s="48">
        <f t="shared" si="77"/>
        <v>45734</v>
      </c>
      <c r="N1157" s="26">
        <f t="shared" ref="N1157:N1220" si="79">IF(E1157&lt;&gt;"",M1157-E1157,"-")</f>
        <v>4</v>
      </c>
      <c r="O1157" s="27">
        <v>990</v>
      </c>
      <c r="P1157" s="27">
        <v>990</v>
      </c>
      <c r="Q1157" s="27">
        <v>28</v>
      </c>
      <c r="R1157" s="27">
        <v>25</v>
      </c>
      <c r="S1157" s="27" t="s">
        <v>1139</v>
      </c>
      <c r="T1157" s="27"/>
      <c r="U1157" s="27">
        <v>673</v>
      </c>
      <c r="V1157" s="27" t="s">
        <v>1680</v>
      </c>
      <c r="W1157" s="27" t="s">
        <v>1681</v>
      </c>
      <c r="X1157" s="73"/>
      <c r="Y1157" s="73"/>
      <c r="Z1157" s="73" t="s">
        <v>3380</v>
      </c>
    </row>
    <row r="1158" spans="1:26" ht="30" hidden="1" x14ac:dyDescent="0.25">
      <c r="A1158" s="33">
        <v>11</v>
      </c>
      <c r="B1158" s="71" t="s">
        <v>29</v>
      </c>
      <c r="C1158" s="39" t="s">
        <v>3313</v>
      </c>
      <c r="D1158" s="106" t="s">
        <v>249</v>
      </c>
      <c r="E1158" s="47">
        <v>45730</v>
      </c>
      <c r="F1158" s="31" t="str">
        <f>VLOOKUP($C1158,Carpetas!$C$5:$M$2666,2,FALSE)</f>
        <v>BRB020</v>
      </c>
      <c r="G1158" s="23" t="str">
        <f>VLOOKUP($C1158,Carpetas!$C$5:$M$2666,10,FALSE)</f>
        <v>151,91,12</v>
      </c>
      <c r="H1158" s="27" t="str">
        <f>VLOOKUP($C1158,Carpetas!$C$5:$M$2666,6,FALSE)</f>
        <v>Zanini</v>
      </c>
      <c r="I1158" s="220"/>
      <c r="J1158" s="47">
        <f>E1158+3</f>
        <v>45733</v>
      </c>
      <c r="K1158" s="72" t="str">
        <f>VLOOKUP($C1158,Carpetas!$C$5:$M$2666,5,FALSE)</f>
        <v>Rio Branco</v>
      </c>
      <c r="L1158" s="32"/>
      <c r="M1158" s="48">
        <f t="shared" si="77"/>
        <v>45734</v>
      </c>
      <c r="N1158" s="26">
        <f t="shared" si="79"/>
        <v>4</v>
      </c>
      <c r="O1158" s="27">
        <v>918</v>
      </c>
      <c r="P1158" s="27">
        <v>919</v>
      </c>
      <c r="Q1158" s="27">
        <v>25.5</v>
      </c>
      <c r="R1158" s="27"/>
      <c r="S1158" s="27" t="s">
        <v>2052</v>
      </c>
      <c r="T1158" s="27"/>
      <c r="U1158" s="27">
        <v>5110</v>
      </c>
      <c r="V1158" s="27" t="s">
        <v>3381</v>
      </c>
      <c r="W1158" s="27" t="s">
        <v>3382</v>
      </c>
      <c r="X1158" s="73"/>
      <c r="Y1158" s="73"/>
      <c r="Z1158" s="73" t="s">
        <v>3383</v>
      </c>
    </row>
    <row r="1159" spans="1:26" hidden="1" x14ac:dyDescent="0.25">
      <c r="A1159" s="33">
        <v>11</v>
      </c>
      <c r="B1159" s="71" t="s">
        <v>29</v>
      </c>
      <c r="C1159" s="39" t="s">
        <v>3343</v>
      </c>
      <c r="D1159" s="106" t="s">
        <v>747</v>
      </c>
      <c r="E1159" s="47">
        <v>45730</v>
      </c>
      <c r="F1159" s="31" t="str">
        <f>VLOOKUP($C1159,Carpetas!$C$5:$M$2666,2,FALSE)</f>
        <v>BRB023</v>
      </c>
      <c r="G1159" s="23" t="str">
        <f>VLOOKUP($C1159,Carpetas!$C$5:$M$2666,10,FALSE)</f>
        <v>151,84,80</v>
      </c>
      <c r="H1159" s="27" t="str">
        <f>VLOOKUP($C1159,Carpetas!$C$5:$M$2666,6,FALSE)</f>
        <v>Gral</v>
      </c>
      <c r="I1159" s="220"/>
      <c r="J1159" s="47">
        <f>E1159+3</f>
        <v>45733</v>
      </c>
      <c r="K1159" s="72" t="str">
        <f>VLOOKUP($C1159,Carpetas!$C$5:$M$2666,5,FALSE)</f>
        <v>Rio Branco</v>
      </c>
      <c r="L1159" s="32"/>
      <c r="M1159" s="48">
        <f t="shared" si="77"/>
        <v>45734</v>
      </c>
      <c r="N1159" s="26">
        <f t="shared" si="79"/>
        <v>4</v>
      </c>
      <c r="O1159" s="27">
        <v>918</v>
      </c>
      <c r="P1159" s="27">
        <v>918</v>
      </c>
      <c r="Q1159" s="27">
        <v>25</v>
      </c>
      <c r="R1159" s="27">
        <v>24</v>
      </c>
      <c r="S1159" s="27" t="s">
        <v>1808</v>
      </c>
      <c r="T1159" s="27"/>
      <c r="U1159" s="27">
        <v>7172</v>
      </c>
      <c r="V1159" s="27" t="s">
        <v>3384</v>
      </c>
      <c r="W1159" s="27" t="s">
        <v>3385</v>
      </c>
      <c r="X1159" s="73"/>
      <c r="Y1159" s="73"/>
      <c r="Z1159" s="73" t="s">
        <v>3386</v>
      </c>
    </row>
    <row r="1160" spans="1:26" hidden="1" x14ac:dyDescent="0.25">
      <c r="A1160" s="33">
        <v>11</v>
      </c>
      <c r="B1160" s="71" t="s">
        <v>29</v>
      </c>
      <c r="C1160" s="39" t="s">
        <v>3387</v>
      </c>
      <c r="D1160" s="106" t="s">
        <v>953</v>
      </c>
      <c r="E1160" s="47">
        <v>45730</v>
      </c>
      <c r="F1160" s="31" t="str">
        <f>VLOOKUP($C1160,Carpetas!$C$5:$M$2666,2,FALSE)</f>
        <v>BRB027</v>
      </c>
      <c r="G1160" s="23" t="str">
        <f>VLOOKUP($C1160,Carpetas!$C$5:$M$2666,10,FALSE)</f>
        <v>152,00,10</v>
      </c>
      <c r="H1160" s="27" t="str">
        <f>VLOOKUP($C1160,Carpetas!$C$5:$M$2666,6,FALSE)</f>
        <v>FG</v>
      </c>
      <c r="I1160" s="220"/>
      <c r="J1160" s="47">
        <f>E1160+3</f>
        <v>45733</v>
      </c>
      <c r="K1160" s="72" t="str">
        <f>VLOOKUP($C1160,Carpetas!$C$5:$M$2666,5,FALSE)</f>
        <v>Rio Branco</v>
      </c>
      <c r="L1160" s="32"/>
      <c r="M1160" s="48">
        <f t="shared" si="77"/>
        <v>45734</v>
      </c>
      <c r="N1160" s="26">
        <f t="shared" si="79"/>
        <v>4</v>
      </c>
      <c r="O1160" s="27">
        <v>990</v>
      </c>
      <c r="P1160" s="27">
        <v>990</v>
      </c>
      <c r="Q1160" s="27">
        <v>28</v>
      </c>
      <c r="R1160" s="27">
        <v>25</v>
      </c>
      <c r="S1160" s="27" t="s">
        <v>1035</v>
      </c>
      <c r="T1160" s="27"/>
      <c r="U1160" s="27">
        <v>675</v>
      </c>
      <c r="V1160" s="27" t="s">
        <v>1735</v>
      </c>
      <c r="W1160" s="27" t="s">
        <v>912</v>
      </c>
      <c r="X1160" s="73"/>
      <c r="Y1160" s="73"/>
      <c r="Z1160" s="73" t="s">
        <v>3388</v>
      </c>
    </row>
    <row r="1161" spans="1:26" ht="30" hidden="1" x14ac:dyDescent="0.25">
      <c r="A1161" s="33">
        <v>11</v>
      </c>
      <c r="B1161" s="71" t="s">
        <v>29</v>
      </c>
      <c r="C1161" s="39" t="s">
        <v>3313</v>
      </c>
      <c r="D1161" s="106" t="s">
        <v>2474</v>
      </c>
      <c r="E1161" s="47">
        <v>45731</v>
      </c>
      <c r="F1161" s="31" t="str">
        <f>VLOOKUP($C1161,Carpetas!$C$5:$M$2666,2,FALSE)</f>
        <v>BRB020</v>
      </c>
      <c r="G1161" s="23" t="str">
        <f>VLOOKUP($C1161,Carpetas!$C$5:$M$2666,10,FALSE)</f>
        <v>151,91,12</v>
      </c>
      <c r="H1161" s="27" t="str">
        <f>VLOOKUP($C1161,Carpetas!$C$5:$M$2666,6,FALSE)</f>
        <v>Zanini</v>
      </c>
      <c r="I1161" s="220"/>
      <c r="J1161" s="47">
        <f>E1161+2</f>
        <v>45733</v>
      </c>
      <c r="K1161" s="72" t="str">
        <f>VLOOKUP($C1161,Carpetas!$C$5:$M$2666,5,FALSE)</f>
        <v>Rio Branco</v>
      </c>
      <c r="L1161" s="32"/>
      <c r="M1161" s="48">
        <f t="shared" si="77"/>
        <v>45734</v>
      </c>
      <c r="N1161" s="26">
        <f t="shared" si="79"/>
        <v>3</v>
      </c>
      <c r="O1161" s="27">
        <v>918</v>
      </c>
      <c r="P1161" s="27">
        <v>918</v>
      </c>
      <c r="Q1161" s="27">
        <v>26</v>
      </c>
      <c r="R1161" s="27">
        <v>25</v>
      </c>
      <c r="S1161" s="27" t="s">
        <v>3389</v>
      </c>
      <c r="T1161" s="27"/>
      <c r="U1161" s="27">
        <v>5109</v>
      </c>
      <c r="V1161" s="27" t="s">
        <v>3390</v>
      </c>
      <c r="W1161" s="27" t="s">
        <v>3391</v>
      </c>
      <c r="X1161" s="73"/>
      <c r="Y1161" s="73"/>
      <c r="Z1161" s="73" t="s">
        <v>3392</v>
      </c>
    </row>
    <row r="1162" spans="1:26" hidden="1" x14ac:dyDescent="0.25">
      <c r="A1162" s="33">
        <v>11</v>
      </c>
      <c r="B1162" s="71" t="s">
        <v>29</v>
      </c>
      <c r="C1162" s="39" t="s">
        <v>3332</v>
      </c>
      <c r="D1162" s="106" t="s">
        <v>803</v>
      </c>
      <c r="E1162" s="47">
        <v>45731</v>
      </c>
      <c r="F1162" s="31" t="str">
        <f>VLOOKUP($C1162,Carpetas!$C$5:$M$2666,2,FALSE)</f>
        <v>BRB022</v>
      </c>
      <c r="G1162" s="23" t="str">
        <f>VLOOKUP($C1162,Carpetas!$C$5:$M$2666,10,FALSE)</f>
        <v>151,93,58</v>
      </c>
      <c r="H1162" s="27" t="str">
        <f>VLOOKUP($C1162,Carpetas!$C$5:$M$2666,6,FALSE)</f>
        <v>FG</v>
      </c>
      <c r="I1162" s="220"/>
      <c r="J1162" s="47">
        <f>E1162+2</f>
        <v>45733</v>
      </c>
      <c r="K1162" s="72" t="str">
        <f>VLOOKUP($C1162,Carpetas!$C$5:$M$2666,5,FALSE)</f>
        <v>Rio Branco</v>
      </c>
      <c r="L1162" s="32"/>
      <c r="M1162" s="48">
        <f t="shared" si="77"/>
        <v>45734</v>
      </c>
      <c r="N1162" s="26">
        <f t="shared" si="79"/>
        <v>3</v>
      </c>
      <c r="O1162" s="27">
        <v>990</v>
      </c>
      <c r="P1162" s="27">
        <v>990</v>
      </c>
      <c r="Q1162" s="27">
        <v>28</v>
      </c>
      <c r="R1162" s="27">
        <v>26</v>
      </c>
      <c r="S1162" s="27" t="s">
        <v>1366</v>
      </c>
      <c r="T1162" s="27"/>
      <c r="U1162" s="27">
        <v>674</v>
      </c>
      <c r="V1162" s="27" t="s">
        <v>1430</v>
      </c>
      <c r="W1162" s="27" t="s">
        <v>1669</v>
      </c>
      <c r="X1162" s="73"/>
      <c r="Y1162" s="73"/>
      <c r="Z1162" s="73" t="s">
        <v>3393</v>
      </c>
    </row>
    <row r="1163" spans="1:26" hidden="1" x14ac:dyDescent="0.25">
      <c r="A1163" s="33">
        <v>11</v>
      </c>
      <c r="B1163" s="71" t="s">
        <v>29</v>
      </c>
      <c r="C1163" s="39" t="s">
        <v>3394</v>
      </c>
      <c r="D1163" s="106" t="s">
        <v>747</v>
      </c>
      <c r="E1163" s="47">
        <v>45731</v>
      </c>
      <c r="F1163" s="31" t="str">
        <f>VLOOKUP($C1163,Carpetas!$C$5:$M$2666,2,FALSE)</f>
        <v>BRB026</v>
      </c>
      <c r="G1163" s="23" t="str">
        <f>VLOOKUP($C1163,Carpetas!$C$5:$M$2666,10,FALSE)</f>
        <v>151,98,54</v>
      </c>
      <c r="H1163" s="27" t="str">
        <f>VLOOKUP($C1163,Carpetas!$C$5:$M$2666,6,FALSE)</f>
        <v>Gral</v>
      </c>
      <c r="I1163" s="220"/>
      <c r="J1163" s="47">
        <f>E1163+2</f>
        <v>45733</v>
      </c>
      <c r="K1163" s="72" t="str">
        <f>VLOOKUP($C1163,Carpetas!$C$5:$M$2666,5,FALSE)</f>
        <v>Rio Branco</v>
      </c>
      <c r="L1163" s="32"/>
      <c r="M1163" s="48">
        <f t="shared" si="77"/>
        <v>45734</v>
      </c>
      <c r="N1163" s="26">
        <f t="shared" si="79"/>
        <v>3</v>
      </c>
      <c r="O1163" s="27">
        <v>918</v>
      </c>
      <c r="P1163" s="27">
        <v>919</v>
      </c>
      <c r="Q1163" s="27">
        <v>26</v>
      </c>
      <c r="R1163" s="27">
        <v>25</v>
      </c>
      <c r="S1163" s="27" t="s">
        <v>1843</v>
      </c>
      <c r="T1163" s="27"/>
      <c r="U1163" s="27">
        <v>7185</v>
      </c>
      <c r="V1163" s="27" t="s">
        <v>3395</v>
      </c>
      <c r="W1163" s="27" t="s">
        <v>3396</v>
      </c>
      <c r="X1163" s="73"/>
      <c r="Y1163" s="73"/>
      <c r="Z1163" s="73" t="s">
        <v>3397</v>
      </c>
    </row>
    <row r="1164" spans="1:26" hidden="1" x14ac:dyDescent="0.25">
      <c r="A1164" s="33">
        <v>11</v>
      </c>
      <c r="B1164" s="71" t="s">
        <v>29</v>
      </c>
      <c r="C1164" s="39" t="s">
        <v>3398</v>
      </c>
      <c r="D1164" s="106" t="s">
        <v>3273</v>
      </c>
      <c r="E1164" s="47">
        <v>45727</v>
      </c>
      <c r="F1164" s="31" t="str">
        <f>VLOOKUP($C1164,Carpetas!$C$5:$M$2666,2,FALSE)</f>
        <v>BRB025</v>
      </c>
      <c r="G1164" s="23" t="str">
        <f>VLOOKUP($C1164,Carpetas!$C$5:$M$2666,10,FALSE)</f>
        <v>151,96,02</v>
      </c>
      <c r="H1164" s="27" t="str">
        <f>VLOOKUP($C1164,Carpetas!$C$5:$M$2666,6,FALSE)</f>
        <v>Marvel</v>
      </c>
      <c r="I1164" s="220"/>
      <c r="J1164" s="47">
        <f>E1164+7</f>
        <v>45734</v>
      </c>
      <c r="K1164" s="72" t="str">
        <f>VLOOKUP($C1164,Carpetas!$C$5:$M$2666,5,FALSE)</f>
        <v>Rio Branco</v>
      </c>
      <c r="L1164" s="32"/>
      <c r="M1164" s="48">
        <f t="shared" si="77"/>
        <v>45735</v>
      </c>
      <c r="N1164" s="26">
        <f t="shared" si="79"/>
        <v>8</v>
      </c>
      <c r="O1164" s="27">
        <v>936</v>
      </c>
      <c r="P1164" s="27">
        <v>936</v>
      </c>
      <c r="Q1164" s="27">
        <v>26</v>
      </c>
      <c r="R1164" s="27">
        <v>25</v>
      </c>
      <c r="S1164" s="27" t="s">
        <v>3399</v>
      </c>
      <c r="T1164" s="27"/>
      <c r="U1164" s="27">
        <v>10577</v>
      </c>
      <c r="V1164" s="27" t="s">
        <v>3400</v>
      </c>
      <c r="W1164" s="27" t="s">
        <v>3401</v>
      </c>
      <c r="X1164" s="73"/>
      <c r="Y1164" s="73"/>
      <c r="Z1164" s="73" t="s">
        <v>3402</v>
      </c>
    </row>
    <row r="1165" spans="1:26" hidden="1" x14ac:dyDescent="0.25">
      <c r="A1165" s="33">
        <v>12</v>
      </c>
      <c r="B1165" s="71" t="s">
        <v>29</v>
      </c>
      <c r="C1165" s="39" t="s">
        <v>3387</v>
      </c>
      <c r="D1165" s="106" t="s">
        <v>747</v>
      </c>
      <c r="E1165" s="47">
        <v>45733</v>
      </c>
      <c r="F1165" s="31" t="str">
        <f>VLOOKUP($C1165,Carpetas!$C$5:$M$2666,2,FALSE)</f>
        <v>BRB027</v>
      </c>
      <c r="G1165" s="23" t="str">
        <f>VLOOKUP($C1165,Carpetas!$C$5:$M$2666,10,FALSE)</f>
        <v>152,00,10</v>
      </c>
      <c r="H1165" s="27" t="str">
        <f>VLOOKUP($C1165,Carpetas!$C$5:$M$2666,6,FALSE)</f>
        <v>FG</v>
      </c>
      <c r="I1165" s="220"/>
      <c r="J1165" s="47">
        <f>E1165+2</f>
        <v>45735</v>
      </c>
      <c r="K1165" s="72" t="str">
        <f>VLOOKUP($C1165,Carpetas!$C$5:$M$2666,5,FALSE)</f>
        <v>Rio Branco</v>
      </c>
      <c r="L1165" s="32"/>
      <c r="M1165" s="48">
        <f t="shared" si="77"/>
        <v>45736</v>
      </c>
      <c r="N1165" s="26">
        <f t="shared" si="79"/>
        <v>3</v>
      </c>
      <c r="O1165" s="27">
        <v>990</v>
      </c>
      <c r="P1165" s="27">
        <v>991</v>
      </c>
      <c r="Q1165" s="27">
        <v>28</v>
      </c>
      <c r="R1165" s="27">
        <v>27</v>
      </c>
      <c r="S1165" s="27" t="s">
        <v>1862</v>
      </c>
      <c r="T1165" s="27"/>
      <c r="U1165" s="27">
        <v>677</v>
      </c>
      <c r="V1165" s="27" t="s">
        <v>3403</v>
      </c>
      <c r="W1165" s="27" t="s">
        <v>3404</v>
      </c>
      <c r="X1165" s="73"/>
      <c r="Y1165" s="73"/>
      <c r="Z1165" s="73" t="s">
        <v>3405</v>
      </c>
    </row>
    <row r="1166" spans="1:26" hidden="1" x14ac:dyDescent="0.25">
      <c r="A1166" s="33">
        <v>11</v>
      </c>
      <c r="B1166" s="71" t="s">
        <v>29</v>
      </c>
      <c r="C1166" s="39" t="s">
        <v>3398</v>
      </c>
      <c r="D1166" s="106" t="s">
        <v>3273</v>
      </c>
      <c r="E1166" s="47">
        <v>45731</v>
      </c>
      <c r="F1166" s="31" t="str">
        <f>VLOOKUP($C1166,Carpetas!$C$5:$M$2666,2,FALSE)</f>
        <v>BRB025</v>
      </c>
      <c r="G1166" s="23" t="str">
        <f>VLOOKUP($C1166,Carpetas!$C$5:$M$2666,10,FALSE)</f>
        <v>151,96,02</v>
      </c>
      <c r="H1166" s="27" t="str">
        <f>VLOOKUP($C1166,Carpetas!$C$5:$M$2666,6,FALSE)</f>
        <v>Marvel</v>
      </c>
      <c r="I1166" s="220"/>
      <c r="J1166" s="47">
        <f>E1166+5</f>
        <v>45736</v>
      </c>
      <c r="K1166" s="72" t="str">
        <f>VLOOKUP($C1166,Carpetas!$C$5:$M$2666,5,FALSE)</f>
        <v>Rio Branco</v>
      </c>
      <c r="L1166" s="32"/>
      <c r="M1166" s="48">
        <f t="shared" si="77"/>
        <v>45737</v>
      </c>
      <c r="N1166" s="26">
        <f t="shared" si="79"/>
        <v>6</v>
      </c>
      <c r="O1166" s="27">
        <v>936</v>
      </c>
      <c r="P1166" s="27">
        <v>936</v>
      </c>
      <c r="Q1166" s="27">
        <v>26</v>
      </c>
      <c r="R1166" s="27">
        <v>25</v>
      </c>
      <c r="S1166" s="27" t="s">
        <v>3406</v>
      </c>
      <c r="T1166" s="27"/>
      <c r="U1166" s="27">
        <v>10590</v>
      </c>
      <c r="V1166" s="27" t="s">
        <v>3407</v>
      </c>
      <c r="W1166" s="27" t="s">
        <v>3408</v>
      </c>
      <c r="X1166" s="73"/>
      <c r="Y1166" s="73"/>
      <c r="Z1166" s="73" t="s">
        <v>3409</v>
      </c>
    </row>
    <row r="1167" spans="1:26" hidden="1" x14ac:dyDescent="0.25">
      <c r="A1167" s="33">
        <v>12</v>
      </c>
      <c r="B1167" s="71" t="s">
        <v>29</v>
      </c>
      <c r="C1167" s="39" t="s">
        <v>3387</v>
      </c>
      <c r="D1167" s="106" t="s">
        <v>747</v>
      </c>
      <c r="E1167" s="47">
        <v>45734</v>
      </c>
      <c r="F1167" s="31" t="str">
        <f>VLOOKUP($C1167,Carpetas!$C$5:$M$2666,2,FALSE)</f>
        <v>BRB027</v>
      </c>
      <c r="G1167" s="23" t="str">
        <f>VLOOKUP($C1167,Carpetas!$C$5:$M$2666,10,FALSE)</f>
        <v>152,00,10</v>
      </c>
      <c r="H1167" s="27" t="str">
        <f>VLOOKUP($C1167,Carpetas!$C$5:$M$2666,6,FALSE)</f>
        <v>FG</v>
      </c>
      <c r="I1167" s="220"/>
      <c r="J1167" s="47">
        <f>E1167+2</f>
        <v>45736</v>
      </c>
      <c r="K1167" s="72" t="str">
        <f>VLOOKUP($C1167,Carpetas!$C$5:$M$2666,5,FALSE)</f>
        <v>Rio Branco</v>
      </c>
      <c r="L1167" s="32"/>
      <c r="M1167" s="48">
        <f t="shared" si="77"/>
        <v>45737</v>
      </c>
      <c r="N1167" s="26">
        <f t="shared" si="79"/>
        <v>3</v>
      </c>
      <c r="O1167" s="27">
        <v>990</v>
      </c>
      <c r="P1167" s="27">
        <v>991</v>
      </c>
      <c r="Q1167" s="27">
        <v>28</v>
      </c>
      <c r="R1167" s="27">
        <v>26</v>
      </c>
      <c r="S1167" s="27" t="s">
        <v>3410</v>
      </c>
      <c r="T1167" s="27"/>
      <c r="U1167" s="27">
        <v>681</v>
      </c>
      <c r="V1167" s="27" t="s">
        <v>3411</v>
      </c>
      <c r="W1167" s="27" t="s">
        <v>3412</v>
      </c>
      <c r="X1167" s="73"/>
      <c r="Y1167" s="73"/>
      <c r="Z1167" s="73" t="s">
        <v>3413</v>
      </c>
    </row>
    <row r="1168" spans="1:26" hidden="1" x14ac:dyDescent="0.25">
      <c r="A1168" s="33">
        <v>12</v>
      </c>
      <c r="B1168" s="71" t="s">
        <v>29</v>
      </c>
      <c r="C1168" s="39" t="s">
        <v>3359</v>
      </c>
      <c r="D1168" s="106" t="s">
        <v>249</v>
      </c>
      <c r="E1168" s="47">
        <v>45734</v>
      </c>
      <c r="F1168" s="31" t="str">
        <f>VLOOKUP($C1168,Carpetas!$C$5:$M$2666,2,FALSE)</f>
        <v>BRB024</v>
      </c>
      <c r="G1168" s="23" t="str">
        <f>VLOOKUP($C1168,Carpetas!$C$5:$M$2666,10,FALSE)</f>
        <v>151,96,01</v>
      </c>
      <c r="H1168" s="27" t="str">
        <f>VLOOKUP($C1168,Carpetas!$C$5:$M$2666,6,FALSE)</f>
        <v>Amaro</v>
      </c>
      <c r="I1168" s="220"/>
      <c r="J1168" s="47">
        <v>45736</v>
      </c>
      <c r="K1168" s="72" t="str">
        <f>VLOOKUP($C1168,Carpetas!$C$5:$M$2666,5,FALSE)</f>
        <v>Rio Branco</v>
      </c>
      <c r="L1168" s="32"/>
      <c r="M1168" s="48">
        <f t="shared" si="77"/>
        <v>45737</v>
      </c>
      <c r="N1168" s="26">
        <f t="shared" si="79"/>
        <v>3</v>
      </c>
      <c r="O1168" s="27">
        <v>990</v>
      </c>
      <c r="P1168" s="27">
        <v>991</v>
      </c>
      <c r="Q1168" s="27">
        <v>28</v>
      </c>
      <c r="R1168" s="27">
        <v>25</v>
      </c>
      <c r="S1168" s="27" t="s">
        <v>3414</v>
      </c>
      <c r="T1168" s="27"/>
      <c r="U1168" s="27">
        <v>25763</v>
      </c>
      <c r="V1168" s="27" t="s">
        <v>1800</v>
      </c>
      <c r="W1168" s="27" t="s">
        <v>1801</v>
      </c>
      <c r="X1168" s="73"/>
      <c r="Y1168" s="73"/>
      <c r="Z1168" s="73" t="s">
        <v>3415</v>
      </c>
    </row>
    <row r="1169" spans="1:26" hidden="1" x14ac:dyDescent="0.25">
      <c r="A1169" s="33">
        <v>12</v>
      </c>
      <c r="B1169" s="71" t="s">
        <v>29</v>
      </c>
      <c r="C1169" s="39" t="s">
        <v>3387</v>
      </c>
      <c r="D1169" s="106" t="s">
        <v>953</v>
      </c>
      <c r="E1169" s="47">
        <v>45734</v>
      </c>
      <c r="F1169" s="31" t="str">
        <f>VLOOKUP($C1169,Carpetas!$C$5:$M$2666,2,FALSE)</f>
        <v>BRB027</v>
      </c>
      <c r="G1169" s="23" t="str">
        <f>VLOOKUP($C1169,Carpetas!$C$5:$M$2666,10,FALSE)</f>
        <v>152,00,10</v>
      </c>
      <c r="H1169" s="27" t="str">
        <f>VLOOKUP($C1169,Carpetas!$C$5:$M$2666,6,FALSE)</f>
        <v>FG</v>
      </c>
      <c r="I1169" s="220"/>
      <c r="J1169" s="47">
        <v>45736</v>
      </c>
      <c r="K1169" s="72" t="str">
        <f>VLOOKUP($C1169,Carpetas!$C$5:$M$2666,5,FALSE)</f>
        <v>Rio Branco</v>
      </c>
      <c r="L1169" s="32"/>
      <c r="M1169" s="48">
        <f t="shared" si="77"/>
        <v>45737</v>
      </c>
      <c r="N1169" s="26">
        <f t="shared" si="79"/>
        <v>3</v>
      </c>
      <c r="O1169" s="27">
        <v>990</v>
      </c>
      <c r="P1169" s="27"/>
      <c r="Q1169" s="27"/>
      <c r="R1169" s="27"/>
      <c r="S1169" s="27" t="s">
        <v>1104</v>
      </c>
      <c r="T1169" s="27"/>
      <c r="U1169" s="27">
        <v>679</v>
      </c>
      <c r="V1169" s="27" t="s">
        <v>1636</v>
      </c>
      <c r="W1169" s="27" t="s">
        <v>1736</v>
      </c>
      <c r="X1169" s="73"/>
      <c r="Y1169" s="73"/>
      <c r="Z1169" s="73"/>
    </row>
    <row r="1170" spans="1:26" ht="30" hidden="1" x14ac:dyDescent="0.25">
      <c r="A1170" s="33">
        <v>12</v>
      </c>
      <c r="B1170" s="71" t="s">
        <v>29</v>
      </c>
      <c r="C1170" s="39" t="s">
        <v>3359</v>
      </c>
      <c r="D1170" s="106" t="s">
        <v>249</v>
      </c>
      <c r="E1170" s="47">
        <v>45735</v>
      </c>
      <c r="F1170" s="31" t="str">
        <f>VLOOKUP($C1170,Carpetas!$C$5:$M$2666,2,FALSE)</f>
        <v>BRB024</v>
      </c>
      <c r="G1170" s="23" t="str">
        <f>VLOOKUP($C1170,Carpetas!$C$5:$M$2666,10,FALSE)</f>
        <v>151,96,01</v>
      </c>
      <c r="H1170" s="27" t="str">
        <f>VLOOKUP($C1170,Carpetas!$C$5:$M$2666,6,FALSE)</f>
        <v>Amaro</v>
      </c>
      <c r="I1170" s="220"/>
      <c r="J1170" s="47">
        <v>45736</v>
      </c>
      <c r="K1170" s="72" t="str">
        <f>VLOOKUP($C1170,Carpetas!$C$5:$M$2666,5,FALSE)</f>
        <v>Rio Branco</v>
      </c>
      <c r="L1170" s="32"/>
      <c r="M1170" s="48">
        <f t="shared" si="77"/>
        <v>45737</v>
      </c>
      <c r="N1170" s="26">
        <f t="shared" si="79"/>
        <v>2</v>
      </c>
      <c r="O1170" s="27">
        <v>990</v>
      </c>
      <c r="P1170" s="27">
        <v>991</v>
      </c>
      <c r="Q1170" s="27">
        <v>28</v>
      </c>
      <c r="R1170" s="27">
        <v>26</v>
      </c>
      <c r="S1170" s="27" t="s">
        <v>2079</v>
      </c>
      <c r="T1170" s="27"/>
      <c r="U1170" s="27">
        <v>25768</v>
      </c>
      <c r="V1170" s="27" t="s">
        <v>3416</v>
      </c>
      <c r="W1170" s="27" t="s">
        <v>3417</v>
      </c>
      <c r="X1170" s="73"/>
      <c r="Y1170" s="73"/>
      <c r="Z1170" s="73" t="s">
        <v>3418</v>
      </c>
    </row>
    <row r="1171" spans="1:26" hidden="1" x14ac:dyDescent="0.25">
      <c r="A1171" s="33">
        <v>12</v>
      </c>
      <c r="B1171" s="71" t="s">
        <v>29</v>
      </c>
      <c r="C1171" s="39" t="s">
        <v>3313</v>
      </c>
      <c r="D1171" s="106" t="s">
        <v>3300</v>
      </c>
      <c r="E1171" s="47">
        <v>45735</v>
      </c>
      <c r="F1171" s="31" t="str">
        <f>VLOOKUP($C1171,Carpetas!$C$5:$M$2666,2,FALSE)</f>
        <v>BRB020</v>
      </c>
      <c r="G1171" s="23" t="str">
        <f>VLOOKUP($C1171,Carpetas!$C$5:$M$2666,10,FALSE)</f>
        <v>151,91,12</v>
      </c>
      <c r="H1171" s="27" t="str">
        <f>VLOOKUP($C1171,Carpetas!$C$5:$M$2666,6,FALSE)</f>
        <v>Zanini</v>
      </c>
      <c r="I1171" s="220"/>
      <c r="J1171" s="47">
        <f>E1171+1</f>
        <v>45736</v>
      </c>
      <c r="K1171" s="72" t="str">
        <f>VLOOKUP($C1171,Carpetas!$C$5:$M$2666,5,FALSE)</f>
        <v>Rio Branco</v>
      </c>
      <c r="L1171" s="32"/>
      <c r="M1171" s="48">
        <f t="shared" si="77"/>
        <v>45737</v>
      </c>
      <c r="N1171" s="26">
        <f t="shared" si="79"/>
        <v>2</v>
      </c>
      <c r="O1171" s="27">
        <v>918</v>
      </c>
      <c r="P1171" s="27">
        <v>918</v>
      </c>
      <c r="Q1171" s="27">
        <v>26</v>
      </c>
      <c r="R1171" s="27">
        <v>25</v>
      </c>
      <c r="S1171" s="27" t="s">
        <v>3419</v>
      </c>
      <c r="T1171" s="27"/>
      <c r="U1171" s="27">
        <v>5117</v>
      </c>
      <c r="V1171" s="27" t="s">
        <v>3420</v>
      </c>
      <c r="W1171" s="27" t="s">
        <v>3421</v>
      </c>
      <c r="X1171" s="73"/>
      <c r="Y1171" s="73"/>
      <c r="Z1171" s="73" t="s">
        <v>3422</v>
      </c>
    </row>
    <row r="1172" spans="1:26" ht="30" hidden="1" x14ac:dyDescent="0.25">
      <c r="A1172" s="33">
        <v>12</v>
      </c>
      <c r="B1172" s="71" t="s">
        <v>29</v>
      </c>
      <c r="C1172" s="39" t="s">
        <v>3423</v>
      </c>
      <c r="D1172" s="106" t="s">
        <v>38</v>
      </c>
      <c r="E1172" s="47">
        <v>45734</v>
      </c>
      <c r="F1172" s="31" t="str">
        <f>VLOOKUP($C1172,Carpetas!$C$5:$M$2666,2,FALSE)</f>
        <v>BRE010</v>
      </c>
      <c r="G1172" s="23" t="str">
        <f>VLOOKUP($C1172,Carpetas!$C$5:$M$2666,10,FALSE)</f>
        <v>1520105/1520107/1520106/1520108/</v>
      </c>
      <c r="H1172" s="27" t="str">
        <f>VLOOKUP($C1172,Carpetas!$C$5:$M$2666,6,FALSE)</f>
        <v>Miro</v>
      </c>
      <c r="I1172" s="220">
        <f>VLOOKUP($C1172,Carpetas!$C$5:$M$2666,4,FALSE)</f>
        <v>0</v>
      </c>
      <c r="J1172" s="47">
        <f>E1172+2</f>
        <v>45736</v>
      </c>
      <c r="K1172" s="72" t="str">
        <f>VLOOKUP($C1172,Carpetas!$C$5:$M$2666,5,FALSE)</f>
        <v>Rio Branco</v>
      </c>
      <c r="L1172" s="32"/>
      <c r="M1172" s="48">
        <f>J1172+1+1</f>
        <v>45738</v>
      </c>
      <c r="N1172" s="26">
        <f t="shared" si="79"/>
        <v>4</v>
      </c>
      <c r="O1172" s="27">
        <v>1296</v>
      </c>
      <c r="P1172" s="27">
        <v>1296</v>
      </c>
      <c r="Q1172" s="27"/>
      <c r="R1172" s="27"/>
      <c r="S1172" s="27" t="s">
        <v>1370</v>
      </c>
      <c r="T1172" s="27"/>
      <c r="U1172" s="27">
        <v>141</v>
      </c>
      <c r="V1172" s="27" t="s">
        <v>1801</v>
      </c>
      <c r="W1172" s="27" t="s">
        <v>3424</v>
      </c>
      <c r="X1172" s="73"/>
      <c r="Y1172" s="73"/>
      <c r="Z1172" s="73" t="s">
        <v>3425</v>
      </c>
    </row>
    <row r="1173" spans="1:26" hidden="1" x14ac:dyDescent="0.25">
      <c r="A1173" s="33">
        <v>12</v>
      </c>
      <c r="B1173" s="71" t="s">
        <v>29</v>
      </c>
      <c r="C1173" s="39" t="s">
        <v>3387</v>
      </c>
      <c r="D1173" s="106" t="s">
        <v>803</v>
      </c>
      <c r="E1173" s="47">
        <v>45734</v>
      </c>
      <c r="F1173" s="31" t="str">
        <f>VLOOKUP($C1173,Carpetas!$C$5:$M$2666,2,FALSE)</f>
        <v>BRB027</v>
      </c>
      <c r="G1173" s="23" t="str">
        <f>VLOOKUP($C1173,Carpetas!$C$5:$M$2666,10,FALSE)</f>
        <v>152,00,10</v>
      </c>
      <c r="H1173" s="27" t="str">
        <f>VLOOKUP($C1173,Carpetas!$C$5:$M$2666,6,FALSE)</f>
        <v>FG</v>
      </c>
      <c r="I1173" s="220"/>
      <c r="J1173" s="47">
        <v>45737</v>
      </c>
      <c r="K1173" s="72" t="str">
        <f>VLOOKUP($C1173,Carpetas!$C$5:$M$2666,5,FALSE)</f>
        <v>Rio Branco</v>
      </c>
      <c r="L1173" s="32"/>
      <c r="M1173" s="48">
        <f t="shared" ref="M1173:M1207" si="80">J1173+1</f>
        <v>45738</v>
      </c>
      <c r="N1173" s="26">
        <f t="shared" si="79"/>
        <v>4</v>
      </c>
      <c r="O1173" s="27">
        <v>990</v>
      </c>
      <c r="P1173" s="27">
        <v>990</v>
      </c>
      <c r="Q1173" s="27">
        <v>28</v>
      </c>
      <c r="R1173" s="27">
        <v>26</v>
      </c>
      <c r="S1173" s="27" t="s">
        <v>1375</v>
      </c>
      <c r="T1173" s="27"/>
      <c r="U1173" s="27">
        <v>682</v>
      </c>
      <c r="V1173" s="27" t="s">
        <v>1722</v>
      </c>
      <c r="W1173" s="27" t="s">
        <v>1723</v>
      </c>
      <c r="X1173" s="73"/>
      <c r="Y1173" s="73"/>
      <c r="Z1173" s="73" t="s">
        <v>3426</v>
      </c>
    </row>
    <row r="1174" spans="1:26" hidden="1" x14ac:dyDescent="0.25">
      <c r="A1174" s="33">
        <v>12</v>
      </c>
      <c r="B1174" s="71" t="s">
        <v>29</v>
      </c>
      <c r="C1174" s="39" t="s">
        <v>3427</v>
      </c>
      <c r="D1174" s="106" t="s">
        <v>110</v>
      </c>
      <c r="E1174" s="47">
        <v>45735</v>
      </c>
      <c r="F1174" s="31" t="str">
        <f>VLOOKUP($C1174,Carpetas!$C$5:$M$2666,2,FALSE)</f>
        <v>BRB029</v>
      </c>
      <c r="G1174" s="23" t="str">
        <f>VLOOKUP($C1174,Carpetas!$C$5:$M$2666,10,FALSE)</f>
        <v>152,2,48</v>
      </c>
      <c r="H1174" s="27" t="str">
        <f>VLOOKUP($C1174,Carpetas!$C$5:$M$2666,6,FALSE)</f>
        <v xml:space="preserve">Silvio </v>
      </c>
      <c r="I1174" s="220"/>
      <c r="J1174" s="47">
        <f>E1174+2</f>
        <v>45737</v>
      </c>
      <c r="K1174" s="72" t="str">
        <f>VLOOKUP($C1174,Carpetas!$C$5:$M$2666,5,FALSE)</f>
        <v>Rio Branco</v>
      </c>
      <c r="L1174" s="32"/>
      <c r="M1174" s="48">
        <f t="shared" si="80"/>
        <v>45738</v>
      </c>
      <c r="N1174" s="26">
        <f t="shared" si="79"/>
        <v>3</v>
      </c>
      <c r="O1174" s="27">
        <v>918</v>
      </c>
      <c r="P1174" s="27">
        <v>919</v>
      </c>
      <c r="Q1174" s="27">
        <v>26</v>
      </c>
      <c r="R1174" s="27">
        <v>25</v>
      </c>
      <c r="S1174" s="27" t="s">
        <v>3428</v>
      </c>
      <c r="T1174" s="27"/>
      <c r="U1174" s="27">
        <v>7348</v>
      </c>
      <c r="V1174" s="27" t="s">
        <v>363</v>
      </c>
      <c r="W1174" s="27" t="s">
        <v>797</v>
      </c>
      <c r="X1174" s="73"/>
      <c r="Y1174" s="73"/>
      <c r="Z1174" s="73" t="s">
        <v>3429</v>
      </c>
    </row>
    <row r="1175" spans="1:26" ht="30" hidden="1" x14ac:dyDescent="0.25">
      <c r="A1175" s="33">
        <v>12</v>
      </c>
      <c r="B1175" s="71" t="s">
        <v>29</v>
      </c>
      <c r="C1175" s="39" t="s">
        <v>3430</v>
      </c>
      <c r="D1175" s="106" t="s">
        <v>2474</v>
      </c>
      <c r="E1175" s="47">
        <v>45735</v>
      </c>
      <c r="F1175" s="31" t="str">
        <f>VLOOKUP($C1175,Carpetas!$C$5:$M$2666,2,FALSE)</f>
        <v>BRB030</v>
      </c>
      <c r="G1175" s="23" t="str">
        <f>VLOOKUP($C1175,Carpetas!$C$5:$M$2666,10,FALSE)</f>
        <v>152,02,49</v>
      </c>
      <c r="H1175" s="27" t="str">
        <f>VLOOKUP($C1175,Carpetas!$C$5:$M$2666,6,FALSE)</f>
        <v>Zanini</v>
      </c>
      <c r="I1175" s="220"/>
      <c r="J1175" s="47">
        <f>E1175+2</f>
        <v>45737</v>
      </c>
      <c r="K1175" s="72" t="str">
        <f>VLOOKUP($C1175,Carpetas!$C$5:$M$2666,5,FALSE)</f>
        <v>Rio Branco</v>
      </c>
      <c r="L1175" s="32"/>
      <c r="M1175" s="48">
        <f t="shared" si="80"/>
        <v>45738</v>
      </c>
      <c r="N1175" s="26">
        <f t="shared" si="79"/>
        <v>3</v>
      </c>
      <c r="O1175" s="27">
        <v>918</v>
      </c>
      <c r="P1175" s="27">
        <v>918</v>
      </c>
      <c r="Q1175" s="27">
        <v>26</v>
      </c>
      <c r="R1175" s="27">
        <v>25</v>
      </c>
      <c r="S1175" s="27" t="s">
        <v>3431</v>
      </c>
      <c r="T1175" s="27"/>
      <c r="U1175" s="27">
        <v>5118</v>
      </c>
      <c r="V1175" s="27" t="s">
        <v>58</v>
      </c>
      <c r="W1175" s="27" t="s">
        <v>59</v>
      </c>
      <c r="X1175" s="73"/>
      <c r="Y1175" s="73"/>
      <c r="Z1175" s="73" t="s">
        <v>3432</v>
      </c>
    </row>
    <row r="1176" spans="1:26" hidden="1" x14ac:dyDescent="0.25">
      <c r="A1176" s="33">
        <v>12</v>
      </c>
      <c r="B1176" s="71" t="s">
        <v>29</v>
      </c>
      <c r="C1176" s="39" t="s">
        <v>3387</v>
      </c>
      <c r="D1176" s="106" t="s">
        <v>78</v>
      </c>
      <c r="E1176" s="47">
        <v>45735</v>
      </c>
      <c r="F1176" s="31" t="str">
        <f>VLOOKUP($C1176,Carpetas!$C$5:$M$2666,2,FALSE)</f>
        <v>BRB027</v>
      </c>
      <c r="G1176" s="23" t="str">
        <f>VLOOKUP($C1176,Carpetas!$C$5:$M$2666,10,FALSE)</f>
        <v>152,00,10</v>
      </c>
      <c r="H1176" s="27" t="str">
        <f>VLOOKUP($C1176,Carpetas!$C$5:$M$2666,6,FALSE)</f>
        <v>FG</v>
      </c>
      <c r="I1176" s="220"/>
      <c r="J1176" s="47">
        <f>E1176+2</f>
        <v>45737</v>
      </c>
      <c r="K1176" s="72" t="str">
        <f>VLOOKUP($C1176,Carpetas!$C$5:$M$2666,5,FALSE)</f>
        <v>Rio Branco</v>
      </c>
      <c r="L1176" s="32"/>
      <c r="M1176" s="48">
        <f t="shared" si="80"/>
        <v>45738</v>
      </c>
      <c r="N1176" s="26">
        <f t="shared" si="79"/>
        <v>3</v>
      </c>
      <c r="O1176" s="27">
        <v>990</v>
      </c>
      <c r="P1176" s="27">
        <v>991</v>
      </c>
      <c r="Q1176" s="27">
        <v>28</v>
      </c>
      <c r="R1176" s="27">
        <v>26</v>
      </c>
      <c r="S1176" s="27" t="s">
        <v>3433</v>
      </c>
      <c r="T1176" s="27"/>
      <c r="U1176" s="27">
        <v>684</v>
      </c>
      <c r="V1176" s="27" t="s">
        <v>1626</v>
      </c>
      <c r="W1176" s="27" t="s">
        <v>1627</v>
      </c>
      <c r="X1176" s="73"/>
      <c r="Y1176" s="73"/>
      <c r="Z1176" s="73" t="s">
        <v>3434</v>
      </c>
    </row>
    <row r="1177" spans="1:26" hidden="1" x14ac:dyDescent="0.25">
      <c r="A1177" s="33">
        <v>12</v>
      </c>
      <c r="B1177" s="71" t="s">
        <v>29</v>
      </c>
      <c r="C1177" s="39" t="s">
        <v>3394</v>
      </c>
      <c r="D1177" s="106" t="s">
        <v>3366</v>
      </c>
      <c r="E1177" s="47">
        <v>45735</v>
      </c>
      <c r="F1177" s="31" t="str">
        <f>VLOOKUP($C1177,Carpetas!$C$5:$M$2666,2,FALSE)</f>
        <v>BRB026</v>
      </c>
      <c r="G1177" s="23" t="str">
        <f>VLOOKUP($C1177,Carpetas!$C$5:$M$2666,10,FALSE)</f>
        <v>151,98,54</v>
      </c>
      <c r="H1177" s="27" t="str">
        <f>VLOOKUP($C1177,Carpetas!$C$5:$M$2666,6,FALSE)</f>
        <v>Gral</v>
      </c>
      <c r="I1177" s="220"/>
      <c r="J1177" s="47">
        <f>E1177+2</f>
        <v>45737</v>
      </c>
      <c r="K1177" s="72" t="str">
        <f>VLOOKUP($C1177,Carpetas!$C$5:$M$2666,5,FALSE)</f>
        <v>Rio Branco</v>
      </c>
      <c r="L1177" s="32"/>
      <c r="M1177" s="48">
        <f t="shared" si="80"/>
        <v>45738</v>
      </c>
      <c r="N1177" s="26">
        <f t="shared" si="79"/>
        <v>3</v>
      </c>
      <c r="O1177" s="27">
        <v>918</v>
      </c>
      <c r="P1177" s="27">
        <v>918</v>
      </c>
      <c r="Q1177" s="27">
        <v>26</v>
      </c>
      <c r="R1177" s="27">
        <v>25</v>
      </c>
      <c r="S1177" s="27" t="s">
        <v>3435</v>
      </c>
      <c r="T1177" s="27"/>
      <c r="U1177" s="27">
        <v>7186</v>
      </c>
      <c r="V1177" s="27" t="s">
        <v>3436</v>
      </c>
      <c r="W1177" s="27" t="s">
        <v>3437</v>
      </c>
      <c r="X1177" s="73"/>
      <c r="Y1177" s="73"/>
      <c r="Z1177" s="73" t="s">
        <v>3438</v>
      </c>
    </row>
    <row r="1178" spans="1:26" ht="30" hidden="1" x14ac:dyDescent="0.25">
      <c r="A1178" s="33">
        <v>12</v>
      </c>
      <c r="B1178" s="71" t="s">
        <v>29</v>
      </c>
      <c r="C1178" s="39" t="s">
        <v>3430</v>
      </c>
      <c r="D1178" s="106" t="s">
        <v>249</v>
      </c>
      <c r="E1178" s="47">
        <v>45736</v>
      </c>
      <c r="F1178" s="31" t="str">
        <f>VLOOKUP($C1178,Carpetas!$C$5:$M$2666,2,FALSE)</f>
        <v>BRB030</v>
      </c>
      <c r="G1178" s="23" t="str">
        <f>VLOOKUP($C1178,Carpetas!$C$5:$M$2666,10,FALSE)</f>
        <v>152,02,49</v>
      </c>
      <c r="H1178" s="27" t="str">
        <f>VLOOKUP($C1178,Carpetas!$C$5:$M$2666,6,FALSE)</f>
        <v>Zanini</v>
      </c>
      <c r="I1178" s="220"/>
      <c r="J1178" s="47">
        <f>E1178+2</f>
        <v>45738</v>
      </c>
      <c r="K1178" s="72" t="str">
        <f>VLOOKUP($C1178,Carpetas!$C$5:$M$2666,5,FALSE)</f>
        <v>Rio Branco</v>
      </c>
      <c r="L1178" s="32"/>
      <c r="M1178" s="48">
        <f t="shared" si="80"/>
        <v>45739</v>
      </c>
      <c r="N1178" s="26">
        <f t="shared" si="79"/>
        <v>3</v>
      </c>
      <c r="O1178" s="27">
        <v>918</v>
      </c>
      <c r="P1178" s="27">
        <v>918</v>
      </c>
      <c r="Q1178" s="27">
        <v>26</v>
      </c>
      <c r="R1178" s="27">
        <v>25</v>
      </c>
      <c r="S1178" s="27" t="s">
        <v>2277</v>
      </c>
      <c r="T1178" s="27"/>
      <c r="U1178" s="27">
        <v>5128</v>
      </c>
      <c r="V1178" s="27" t="s">
        <v>2468</v>
      </c>
      <c r="W1178" s="27" t="s">
        <v>1641</v>
      </c>
      <c r="X1178" s="73"/>
      <c r="Y1178" s="73"/>
      <c r="Z1178" s="73" t="s">
        <v>3432</v>
      </c>
    </row>
    <row r="1179" spans="1:26" hidden="1" x14ac:dyDescent="0.25">
      <c r="A1179" s="33">
        <v>12</v>
      </c>
      <c r="B1179" s="71" t="s">
        <v>29</v>
      </c>
      <c r="C1179" s="39" t="s">
        <v>3439</v>
      </c>
      <c r="D1179" s="106" t="s">
        <v>3273</v>
      </c>
      <c r="E1179" s="47">
        <v>45734</v>
      </c>
      <c r="F1179" s="31" t="str">
        <f>VLOOKUP($C1179,Carpetas!$C$5:$M$2666,2,FALSE)</f>
        <v>BRB028</v>
      </c>
      <c r="G1179" s="23" t="str">
        <f>VLOOKUP($C1179,Carpetas!$C$5:$M$2666,10,FALSE)</f>
        <v>152,02,58</v>
      </c>
      <c r="H1179" s="27" t="str">
        <f>VLOOKUP($C1179,Carpetas!$C$5:$M$2666,6,FALSE)</f>
        <v>Marvel</v>
      </c>
      <c r="I1179" s="220"/>
      <c r="J1179" s="47">
        <v>45740</v>
      </c>
      <c r="K1179" s="72" t="str">
        <f>VLOOKUP($C1179,Carpetas!$C$5:$M$2666,5,FALSE)</f>
        <v>Rio Branco</v>
      </c>
      <c r="L1179" s="32"/>
      <c r="M1179" s="48">
        <f t="shared" si="80"/>
        <v>45741</v>
      </c>
      <c r="N1179" s="26">
        <f t="shared" si="79"/>
        <v>7</v>
      </c>
      <c r="O1179" s="27">
        <v>936</v>
      </c>
      <c r="P1179" s="27">
        <v>936</v>
      </c>
      <c r="Q1179" s="27">
        <v>26</v>
      </c>
      <c r="R1179" s="27">
        <v>25</v>
      </c>
      <c r="S1179" s="27" t="s">
        <v>3440</v>
      </c>
      <c r="T1179" s="27"/>
      <c r="U1179" s="27">
        <v>10599</v>
      </c>
      <c r="V1179" s="27" t="s">
        <v>3441</v>
      </c>
      <c r="W1179" s="27" t="s">
        <v>3442</v>
      </c>
      <c r="X1179" s="73"/>
      <c r="Y1179" s="73"/>
      <c r="Z1179" s="73" t="s">
        <v>3443</v>
      </c>
    </row>
    <row r="1180" spans="1:26" hidden="1" x14ac:dyDescent="0.25">
      <c r="A1180" s="33">
        <v>12</v>
      </c>
      <c r="B1180" s="71" t="s">
        <v>29</v>
      </c>
      <c r="C1180" s="39" t="s">
        <v>3394</v>
      </c>
      <c r="D1180" s="106" t="s">
        <v>747</v>
      </c>
      <c r="E1180" s="47">
        <v>45737</v>
      </c>
      <c r="F1180" s="31" t="str">
        <f>VLOOKUP($C1180,Carpetas!$C$5:$M$2666,2,FALSE)</f>
        <v>BRB026</v>
      </c>
      <c r="G1180" s="23" t="str">
        <f>VLOOKUP($C1180,Carpetas!$C$5:$M$2666,10,FALSE)</f>
        <v>151,98,54</v>
      </c>
      <c r="H1180" s="27" t="str">
        <f>VLOOKUP($C1180,Carpetas!$C$5:$M$2666,6,FALSE)</f>
        <v>Gral</v>
      </c>
      <c r="I1180" s="220"/>
      <c r="J1180" s="47">
        <v>45740</v>
      </c>
      <c r="K1180" s="72" t="str">
        <f>VLOOKUP($C1180,Carpetas!$C$5:$M$2666,5,FALSE)</f>
        <v>Rio Branco</v>
      </c>
      <c r="L1180" s="32"/>
      <c r="M1180" s="48">
        <f t="shared" si="80"/>
        <v>45741</v>
      </c>
      <c r="N1180" s="26">
        <f t="shared" si="79"/>
        <v>4</v>
      </c>
      <c r="O1180" s="27">
        <v>918</v>
      </c>
      <c r="P1180" s="27">
        <v>919</v>
      </c>
      <c r="Q1180" s="27">
        <v>26</v>
      </c>
      <c r="R1180" s="27">
        <v>25</v>
      </c>
      <c r="S1180" s="27" t="s">
        <v>1939</v>
      </c>
      <c r="T1180" s="27"/>
      <c r="U1180" s="27">
        <v>7187</v>
      </c>
      <c r="V1180" s="27" t="s">
        <v>3324</v>
      </c>
      <c r="W1180" s="27" t="s">
        <v>3325</v>
      </c>
      <c r="X1180" s="73"/>
      <c r="Y1180" s="73"/>
      <c r="Z1180" s="73" t="s">
        <v>3444</v>
      </c>
    </row>
    <row r="1181" spans="1:26" hidden="1" x14ac:dyDescent="0.25">
      <c r="A1181" s="33">
        <v>12</v>
      </c>
      <c r="B1181" s="71" t="s">
        <v>29</v>
      </c>
      <c r="C1181" s="39" t="s">
        <v>3427</v>
      </c>
      <c r="D1181" s="106" t="s">
        <v>803</v>
      </c>
      <c r="E1181" s="47">
        <v>45737</v>
      </c>
      <c r="F1181" s="31" t="str">
        <f>VLOOKUP($C1181,Carpetas!$C$5:$M$2666,2,FALSE)</f>
        <v>BRB029</v>
      </c>
      <c r="G1181" s="23" t="str">
        <f>VLOOKUP($C1181,Carpetas!$C$5:$M$2666,10,FALSE)</f>
        <v>152,2,48</v>
      </c>
      <c r="H1181" s="27" t="str">
        <f>VLOOKUP($C1181,Carpetas!$C$5:$M$2666,6,FALSE)</f>
        <v xml:space="preserve">Silvio </v>
      </c>
      <c r="I1181" s="220"/>
      <c r="J1181" s="47">
        <v>45740</v>
      </c>
      <c r="K1181" s="72" t="str">
        <f>VLOOKUP($C1181,Carpetas!$C$5:$M$2666,5,FALSE)</f>
        <v>Rio Branco</v>
      </c>
      <c r="L1181" s="32"/>
      <c r="M1181" s="48">
        <f t="shared" si="80"/>
        <v>45741</v>
      </c>
      <c r="N1181" s="26">
        <f t="shared" si="79"/>
        <v>4</v>
      </c>
      <c r="O1181" s="27">
        <v>918</v>
      </c>
      <c r="P1181" s="27">
        <v>918</v>
      </c>
      <c r="Q1181" s="27">
        <v>26</v>
      </c>
      <c r="R1181" s="27">
        <v>25</v>
      </c>
      <c r="S1181" s="27" t="s">
        <v>1459</v>
      </c>
      <c r="T1181" s="27"/>
      <c r="U1181" s="27">
        <v>7349</v>
      </c>
      <c r="V1181" s="27" t="s">
        <v>3445</v>
      </c>
      <c r="W1181" s="27" t="s">
        <v>3446</v>
      </c>
      <c r="X1181" s="73"/>
      <c r="Y1181" s="73"/>
      <c r="Z1181" s="73" t="s">
        <v>3447</v>
      </c>
    </row>
    <row r="1182" spans="1:26" ht="30" hidden="1" x14ac:dyDescent="0.25">
      <c r="A1182" s="33">
        <v>12</v>
      </c>
      <c r="B1182" s="71" t="s">
        <v>29</v>
      </c>
      <c r="C1182" s="39" t="s">
        <v>3387</v>
      </c>
      <c r="D1182" s="106" t="s">
        <v>803</v>
      </c>
      <c r="E1182" s="47">
        <v>45738</v>
      </c>
      <c r="F1182" s="31" t="str">
        <f>VLOOKUP($C1182,Carpetas!$C$5:$M$2666,2,FALSE)</f>
        <v>BRB027</v>
      </c>
      <c r="G1182" s="23" t="str">
        <f>VLOOKUP($C1182,Carpetas!$C$5:$M$2666,10,FALSE)</f>
        <v>152,00,10</v>
      </c>
      <c r="H1182" s="27" t="str">
        <f>VLOOKUP($C1182,Carpetas!$C$5:$M$2666,6,FALSE)</f>
        <v>FG</v>
      </c>
      <c r="I1182" s="220"/>
      <c r="J1182" s="47">
        <f>E1182+2</f>
        <v>45740</v>
      </c>
      <c r="K1182" s="72" t="str">
        <f>VLOOKUP($C1182,Carpetas!$C$5:$M$2666,5,FALSE)</f>
        <v>Rio Branco</v>
      </c>
      <c r="L1182" s="32"/>
      <c r="M1182" s="48">
        <f t="shared" si="80"/>
        <v>45741</v>
      </c>
      <c r="N1182" s="26">
        <f t="shared" si="79"/>
        <v>3</v>
      </c>
      <c r="O1182" s="27">
        <v>990</v>
      </c>
      <c r="P1182" s="27">
        <v>990</v>
      </c>
      <c r="Q1182" s="27">
        <v>28</v>
      </c>
      <c r="R1182" s="27">
        <v>25</v>
      </c>
      <c r="S1182" s="27" t="s">
        <v>1411</v>
      </c>
      <c r="T1182" s="27"/>
      <c r="U1182" s="27">
        <v>692</v>
      </c>
      <c r="V1182" s="27" t="s">
        <v>1042</v>
      </c>
      <c r="W1182" s="27" t="s">
        <v>1637</v>
      </c>
      <c r="X1182" s="73"/>
      <c r="Y1182" s="73"/>
      <c r="Z1182" s="73" t="s">
        <v>3448</v>
      </c>
    </row>
    <row r="1183" spans="1:26" hidden="1" x14ac:dyDescent="0.25">
      <c r="A1183" s="33">
        <v>12</v>
      </c>
      <c r="B1183" s="71" t="s">
        <v>29</v>
      </c>
      <c r="C1183" s="39" t="s">
        <v>3387</v>
      </c>
      <c r="D1183" s="106" t="s">
        <v>880</v>
      </c>
      <c r="E1183" s="47">
        <v>45738</v>
      </c>
      <c r="F1183" s="31" t="str">
        <f>VLOOKUP($C1183,Carpetas!$C$5:$M$2666,2,FALSE)</f>
        <v>BRB027</v>
      </c>
      <c r="G1183" s="23" t="str">
        <f>VLOOKUP($C1183,Carpetas!$C$5:$M$2666,10,FALSE)</f>
        <v>152,00,10</v>
      </c>
      <c r="H1183" s="27" t="str">
        <f>VLOOKUP($C1183,Carpetas!$C$5:$M$2666,6,FALSE)</f>
        <v>FG</v>
      </c>
      <c r="I1183" s="220"/>
      <c r="J1183" s="47">
        <f>E1183+2</f>
        <v>45740</v>
      </c>
      <c r="K1183" s="72" t="str">
        <f>VLOOKUP($C1183,Carpetas!$C$5:$M$2666,5,FALSE)</f>
        <v>Rio Branco</v>
      </c>
      <c r="L1183" s="32"/>
      <c r="M1183" s="48">
        <f t="shared" si="80"/>
        <v>45741</v>
      </c>
      <c r="N1183" s="26">
        <f t="shared" si="79"/>
        <v>3</v>
      </c>
      <c r="O1183" s="27">
        <v>990</v>
      </c>
      <c r="P1183" s="27">
        <v>990</v>
      </c>
      <c r="Q1183" s="27">
        <v>28</v>
      </c>
      <c r="R1183" s="27">
        <v>26</v>
      </c>
      <c r="S1183" s="27" t="s">
        <v>1224</v>
      </c>
      <c r="T1183" s="27"/>
      <c r="U1183" s="27">
        <v>694</v>
      </c>
      <c r="V1183" s="27" t="s">
        <v>1680</v>
      </c>
      <c r="W1183" s="27" t="s">
        <v>1681</v>
      </c>
      <c r="X1183" s="73"/>
      <c r="Y1183" s="73"/>
      <c r="Z1183" s="73" t="s">
        <v>3449</v>
      </c>
    </row>
    <row r="1184" spans="1:26" ht="30" hidden="1" x14ac:dyDescent="0.25">
      <c r="A1184" s="33">
        <v>12</v>
      </c>
      <c r="B1184" s="71" t="s">
        <v>29</v>
      </c>
      <c r="C1184" s="39" t="s">
        <v>3387</v>
      </c>
      <c r="D1184" s="106" t="s">
        <v>747</v>
      </c>
      <c r="E1184" s="47">
        <v>45738</v>
      </c>
      <c r="F1184" s="31" t="str">
        <f>VLOOKUP($C1184,Carpetas!$C$5:$M$2666,2,FALSE)</f>
        <v>BRB027</v>
      </c>
      <c r="G1184" s="23" t="str">
        <f>VLOOKUP($C1184,Carpetas!$C$5:$M$2666,10,FALSE)</f>
        <v>152,00,10</v>
      </c>
      <c r="H1184" s="27" t="str">
        <f>VLOOKUP($C1184,Carpetas!$C$5:$M$2666,6,FALSE)</f>
        <v>FG</v>
      </c>
      <c r="I1184" s="220"/>
      <c r="J1184" s="47">
        <f>E1184+2</f>
        <v>45740</v>
      </c>
      <c r="K1184" s="72" t="str">
        <f>VLOOKUP($C1184,Carpetas!$C$5:$M$2666,5,FALSE)</f>
        <v>Rio Branco</v>
      </c>
      <c r="L1184" s="32"/>
      <c r="M1184" s="48">
        <f t="shared" si="80"/>
        <v>45741</v>
      </c>
      <c r="N1184" s="26">
        <f t="shared" si="79"/>
        <v>3</v>
      </c>
      <c r="O1184" s="27">
        <v>990</v>
      </c>
      <c r="P1184" s="27">
        <v>990</v>
      </c>
      <c r="Q1184" s="27">
        <v>28</v>
      </c>
      <c r="R1184" s="27">
        <v>26</v>
      </c>
      <c r="S1184" s="27" t="s">
        <v>1914</v>
      </c>
      <c r="T1184" s="27"/>
      <c r="U1184" s="27">
        <v>693</v>
      </c>
      <c r="V1184" s="27" t="s">
        <v>1430</v>
      </c>
      <c r="W1184" s="27" t="s">
        <v>1669</v>
      </c>
      <c r="X1184" s="73"/>
      <c r="Y1184" s="73"/>
      <c r="Z1184" s="73" t="s">
        <v>3450</v>
      </c>
    </row>
    <row r="1185" spans="1:26" hidden="1" x14ac:dyDescent="0.25">
      <c r="A1185" s="33">
        <v>12</v>
      </c>
      <c r="B1185" s="71" t="s">
        <v>29</v>
      </c>
      <c r="C1185" s="39" t="s">
        <v>3430</v>
      </c>
      <c r="D1185" s="106" t="s">
        <v>2474</v>
      </c>
      <c r="E1185" s="47">
        <v>45738</v>
      </c>
      <c r="F1185" s="31" t="str">
        <f>VLOOKUP($C1185,Carpetas!$C$5:$M$2666,2,FALSE)</f>
        <v>BRB030</v>
      </c>
      <c r="G1185" s="23" t="str">
        <f>VLOOKUP($C1185,Carpetas!$C$5:$M$2666,10,FALSE)</f>
        <v>152,02,49</v>
      </c>
      <c r="H1185" s="27" t="str">
        <f>VLOOKUP($C1185,Carpetas!$C$5:$M$2666,6,FALSE)</f>
        <v>Zanini</v>
      </c>
      <c r="I1185" s="220"/>
      <c r="J1185" s="47">
        <f>E1185+2</f>
        <v>45740</v>
      </c>
      <c r="K1185" s="72" t="str">
        <f>VLOOKUP($C1185,Carpetas!$C$5:$M$2666,5,FALSE)</f>
        <v>Rio Branco</v>
      </c>
      <c r="L1185" s="32"/>
      <c r="M1185" s="48">
        <f t="shared" si="80"/>
        <v>45741</v>
      </c>
      <c r="N1185" s="26">
        <f t="shared" si="79"/>
        <v>3</v>
      </c>
      <c r="O1185" s="27">
        <v>918</v>
      </c>
      <c r="P1185" s="27">
        <v>918</v>
      </c>
      <c r="Q1185" s="27">
        <v>26</v>
      </c>
      <c r="R1185" s="27">
        <v>25</v>
      </c>
      <c r="S1185" s="27" t="s">
        <v>3451</v>
      </c>
      <c r="T1185" s="27"/>
      <c r="U1185" s="27">
        <v>5129</v>
      </c>
      <c r="V1185" s="27" t="s">
        <v>917</v>
      </c>
      <c r="W1185" s="27" t="s">
        <v>918</v>
      </c>
      <c r="X1185" s="73"/>
      <c r="Y1185" s="73"/>
      <c r="Z1185" s="73" t="s">
        <v>3452</v>
      </c>
    </row>
    <row r="1186" spans="1:26" ht="30" hidden="1" x14ac:dyDescent="0.25">
      <c r="A1186" s="33">
        <v>12</v>
      </c>
      <c r="B1186" s="71" t="s">
        <v>29</v>
      </c>
      <c r="C1186" s="39" t="s">
        <v>3394</v>
      </c>
      <c r="D1186" s="106" t="s">
        <v>953</v>
      </c>
      <c r="E1186" s="47">
        <v>45738</v>
      </c>
      <c r="F1186" s="31" t="str">
        <f>VLOOKUP($C1186,Carpetas!$C$5:$M$2666,2,FALSE)</f>
        <v>BRB026</v>
      </c>
      <c r="G1186" s="23" t="str">
        <f>VLOOKUP($C1186,Carpetas!$C$5:$M$2666,10,FALSE)</f>
        <v>151,98,54</v>
      </c>
      <c r="H1186" s="27" t="str">
        <f>VLOOKUP($C1186,Carpetas!$C$5:$M$2666,6,FALSE)</f>
        <v>Gral</v>
      </c>
      <c r="I1186" s="220"/>
      <c r="J1186" s="47">
        <v>45741</v>
      </c>
      <c r="K1186" s="72" t="str">
        <f>VLOOKUP($C1186,Carpetas!$C$5:$M$2666,5,FALSE)</f>
        <v>Rio Branco</v>
      </c>
      <c r="L1186" s="32"/>
      <c r="M1186" s="48">
        <f t="shared" si="80"/>
        <v>45742</v>
      </c>
      <c r="N1186" s="26">
        <f t="shared" si="79"/>
        <v>4</v>
      </c>
      <c r="O1186" s="27">
        <v>918</v>
      </c>
      <c r="P1186" s="27">
        <v>918</v>
      </c>
      <c r="Q1186" s="27">
        <v>26</v>
      </c>
      <c r="R1186" s="27">
        <v>25</v>
      </c>
      <c r="S1186" s="27" t="s">
        <v>1159</v>
      </c>
      <c r="T1186" s="27"/>
      <c r="U1186" s="27"/>
      <c r="V1186" s="27" t="s">
        <v>3453</v>
      </c>
      <c r="W1186" s="27" t="s">
        <v>3454</v>
      </c>
      <c r="X1186" s="73"/>
      <c r="Y1186" s="73"/>
      <c r="Z1186" s="73" t="s">
        <v>3455</v>
      </c>
    </row>
    <row r="1187" spans="1:26" ht="30" hidden="1" x14ac:dyDescent="0.25">
      <c r="A1187" s="33">
        <v>13</v>
      </c>
      <c r="B1187" s="71" t="s">
        <v>29</v>
      </c>
      <c r="C1187" s="39" t="s">
        <v>3456</v>
      </c>
      <c r="D1187" s="106" t="s">
        <v>747</v>
      </c>
      <c r="E1187" s="47">
        <v>45741</v>
      </c>
      <c r="F1187" s="31" t="str">
        <f>VLOOKUP($C1187,Carpetas!$C$5:$M$2666,2,FALSE)</f>
        <v>BRB031</v>
      </c>
      <c r="G1187" s="23" t="str">
        <f>VLOOKUP($C1187,Carpetas!$C$5:$M$2666,10,FALSE)</f>
        <v>152,02,50</v>
      </c>
      <c r="H1187" s="27" t="str">
        <f>VLOOKUP($C1187,Carpetas!$C$5:$M$2666,6,FALSE)</f>
        <v>Amaro</v>
      </c>
      <c r="I1187" s="220"/>
      <c r="J1187" s="47">
        <v>45741</v>
      </c>
      <c r="K1187" s="72" t="str">
        <f>VLOOKUP($C1187,Carpetas!$C$5:$M$2666,5,FALSE)</f>
        <v>Rio Branco</v>
      </c>
      <c r="L1187" s="32"/>
      <c r="M1187" s="48">
        <f t="shared" si="80"/>
        <v>45742</v>
      </c>
      <c r="N1187" s="26">
        <f t="shared" si="79"/>
        <v>1</v>
      </c>
      <c r="O1187" s="27">
        <v>990</v>
      </c>
      <c r="P1187" s="27">
        <v>991</v>
      </c>
      <c r="Q1187" s="27">
        <v>28</v>
      </c>
      <c r="R1187" s="27">
        <v>26</v>
      </c>
      <c r="S1187" s="27" t="s">
        <v>1962</v>
      </c>
      <c r="T1187" s="27"/>
      <c r="U1187" s="27"/>
      <c r="V1187" s="27" t="s">
        <v>3457</v>
      </c>
      <c r="W1187" s="27" t="s">
        <v>3458</v>
      </c>
      <c r="X1187" s="73"/>
      <c r="Y1187" s="73"/>
      <c r="Z1187" s="73" t="s">
        <v>3459</v>
      </c>
    </row>
    <row r="1188" spans="1:26" ht="30" hidden="1" x14ac:dyDescent="0.25">
      <c r="A1188" s="33">
        <v>13</v>
      </c>
      <c r="B1188" s="71" t="s">
        <v>29</v>
      </c>
      <c r="C1188" s="39" t="s">
        <v>3427</v>
      </c>
      <c r="D1188" s="106" t="s">
        <v>953</v>
      </c>
      <c r="E1188" s="47">
        <v>45740</v>
      </c>
      <c r="F1188" s="31" t="str">
        <f>VLOOKUP($C1188,Carpetas!$C$5:$M$2666,2,FALSE)</f>
        <v>BRB029</v>
      </c>
      <c r="G1188" s="23" t="str">
        <f>VLOOKUP($C1188,Carpetas!$C$5:$M$2666,10,FALSE)</f>
        <v>152,2,48</v>
      </c>
      <c r="H1188" s="27" t="str">
        <f>VLOOKUP($C1188,Carpetas!$C$5:$M$2666,6,FALSE)</f>
        <v xml:space="preserve">Silvio </v>
      </c>
      <c r="I1188" s="220"/>
      <c r="J1188" s="47">
        <v>45742</v>
      </c>
      <c r="K1188" s="72" t="str">
        <f>VLOOKUP($C1188,Carpetas!$C$5:$M$2666,5,FALSE)</f>
        <v>Rio Branco</v>
      </c>
      <c r="L1188" s="32"/>
      <c r="M1188" s="48">
        <f t="shared" si="80"/>
        <v>45743</v>
      </c>
      <c r="N1188" s="26">
        <f t="shared" si="79"/>
        <v>3</v>
      </c>
      <c r="O1188" s="27">
        <v>918</v>
      </c>
      <c r="P1188" s="27">
        <v>918</v>
      </c>
      <c r="Q1188" s="27" t="s">
        <v>3460</v>
      </c>
      <c r="R1188" s="27" t="s">
        <v>3461</v>
      </c>
      <c r="S1188" s="27" t="s">
        <v>3462</v>
      </c>
      <c r="T1188" s="27"/>
      <c r="U1188" s="27"/>
      <c r="V1188" s="27" t="s">
        <v>203</v>
      </c>
      <c r="W1188" s="27" t="s">
        <v>3121</v>
      </c>
      <c r="X1188" s="73"/>
      <c r="Y1188" s="73"/>
      <c r="Z1188" s="73" t="s">
        <v>3463</v>
      </c>
    </row>
    <row r="1189" spans="1:26" ht="30" hidden="1" x14ac:dyDescent="0.25">
      <c r="A1189" s="33">
        <v>13</v>
      </c>
      <c r="B1189" s="71" t="s">
        <v>29</v>
      </c>
      <c r="C1189" s="39" t="s">
        <v>3464</v>
      </c>
      <c r="D1189" s="106" t="s">
        <v>803</v>
      </c>
      <c r="E1189" s="47">
        <v>45741</v>
      </c>
      <c r="F1189" s="31" t="str">
        <f>VLOOKUP($C1189,Carpetas!$C$5:$M$2666,2,FALSE)</f>
        <v>BRB032</v>
      </c>
      <c r="G1189" s="23" t="str">
        <f>VLOOKUP($C1189,Carpetas!$C$5:$M$2666,10,FALSE)</f>
        <v>152,02,46</v>
      </c>
      <c r="H1189" s="27" t="str">
        <f>VLOOKUP($C1189,Carpetas!$C$5:$M$2666,6,FALSE)</f>
        <v>FG</v>
      </c>
      <c r="I1189" s="220"/>
      <c r="J1189" s="47">
        <v>45742</v>
      </c>
      <c r="K1189" s="72" t="str">
        <f>VLOOKUP($C1189,Carpetas!$C$5:$M$2666,5,FALSE)</f>
        <v>Rio Branco</v>
      </c>
      <c r="L1189" s="32"/>
      <c r="M1189" s="48">
        <f t="shared" si="80"/>
        <v>45743</v>
      </c>
      <c r="N1189" s="26">
        <f t="shared" si="79"/>
        <v>2</v>
      </c>
      <c r="O1189" s="27">
        <v>990</v>
      </c>
      <c r="P1189" s="27">
        <v>990</v>
      </c>
      <c r="Q1189" s="27"/>
      <c r="R1189" s="27"/>
      <c r="S1189" s="27" t="s">
        <v>3465</v>
      </c>
      <c r="T1189" s="27"/>
      <c r="U1189" s="27"/>
      <c r="V1189" s="27" t="s">
        <v>1657</v>
      </c>
      <c r="W1189" s="27" t="s">
        <v>1815</v>
      </c>
      <c r="X1189" s="73"/>
      <c r="Y1189" s="73"/>
      <c r="Z1189" s="73" t="s">
        <v>3466</v>
      </c>
    </row>
    <row r="1190" spans="1:26" ht="30" hidden="1" x14ac:dyDescent="0.25">
      <c r="A1190" s="33">
        <v>12</v>
      </c>
      <c r="B1190" s="71" t="s">
        <v>29</v>
      </c>
      <c r="C1190" s="39" t="s">
        <v>3439</v>
      </c>
      <c r="D1190" s="106" t="s">
        <v>3273</v>
      </c>
      <c r="E1190" s="47">
        <v>45738</v>
      </c>
      <c r="F1190" s="31" t="str">
        <f>VLOOKUP($C1190,Carpetas!$C$5:$M$2666,2,FALSE)</f>
        <v>BRB028</v>
      </c>
      <c r="G1190" s="23" t="str">
        <f>VLOOKUP($C1190,Carpetas!$C$5:$M$2666,10,FALSE)</f>
        <v>152,02,58</v>
      </c>
      <c r="H1190" s="27" t="str">
        <f>VLOOKUP($C1190,Carpetas!$C$5:$M$2666,6,FALSE)</f>
        <v>Marvel</v>
      </c>
      <c r="I1190" s="220"/>
      <c r="J1190" s="47">
        <f>E1190+5</f>
        <v>45743</v>
      </c>
      <c r="K1190" s="72" t="str">
        <f>VLOOKUP($C1190,Carpetas!$C$5:$M$2666,5,FALSE)</f>
        <v>Rio Branco</v>
      </c>
      <c r="L1190" s="32"/>
      <c r="M1190" s="48">
        <f t="shared" si="80"/>
        <v>45744</v>
      </c>
      <c r="N1190" s="26">
        <f t="shared" si="79"/>
        <v>6</v>
      </c>
      <c r="O1190" s="27">
        <v>936</v>
      </c>
      <c r="P1190" s="27">
        <v>936</v>
      </c>
      <c r="Q1190" s="27">
        <v>936</v>
      </c>
      <c r="R1190" s="27">
        <v>26</v>
      </c>
      <c r="S1190" s="27" t="s">
        <v>3467</v>
      </c>
      <c r="T1190" s="27"/>
      <c r="U1190" s="27"/>
      <c r="V1190" s="27" t="s">
        <v>3468</v>
      </c>
      <c r="W1190" s="27"/>
      <c r="X1190" s="73"/>
      <c r="Y1190" s="73"/>
      <c r="Z1190" s="73" t="s">
        <v>3469</v>
      </c>
    </row>
    <row r="1191" spans="1:26" ht="30" hidden="1" x14ac:dyDescent="0.25">
      <c r="A1191" s="33">
        <v>13</v>
      </c>
      <c r="B1191" s="71" t="s">
        <v>29</v>
      </c>
      <c r="C1191" s="39" t="s">
        <v>3464</v>
      </c>
      <c r="D1191" s="106" t="s">
        <v>747</v>
      </c>
      <c r="E1191" s="47">
        <v>45741</v>
      </c>
      <c r="F1191" s="31" t="str">
        <f>VLOOKUP($C1191,Carpetas!$C$5:$M$2666,2,FALSE)</f>
        <v>BRB032</v>
      </c>
      <c r="G1191" s="23" t="str">
        <f>VLOOKUP($C1191,Carpetas!$C$5:$M$2666,10,FALSE)</f>
        <v>152,02,46</v>
      </c>
      <c r="H1191" s="27" t="str">
        <f>VLOOKUP($C1191,Carpetas!$C$5:$M$2666,6,FALSE)</f>
        <v>FG</v>
      </c>
      <c r="I1191" s="220"/>
      <c r="J1191" s="47">
        <f>E1191+2</f>
        <v>45743</v>
      </c>
      <c r="K1191" s="72" t="str">
        <f>VLOOKUP($C1191,Carpetas!$C$5:$M$2666,5,FALSE)</f>
        <v>Rio Branco</v>
      </c>
      <c r="L1191" s="32"/>
      <c r="M1191" s="48">
        <f t="shared" si="80"/>
        <v>45744</v>
      </c>
      <c r="N1191" s="26">
        <f t="shared" si="79"/>
        <v>3</v>
      </c>
      <c r="O1191" s="27">
        <v>990</v>
      </c>
      <c r="P1191" s="27">
        <v>991</v>
      </c>
      <c r="Q1191" s="27">
        <v>28</v>
      </c>
      <c r="R1191" s="27">
        <v>26</v>
      </c>
      <c r="S1191" s="27" t="s">
        <v>1955</v>
      </c>
      <c r="T1191" s="27"/>
      <c r="U1191" s="27"/>
      <c r="V1191" s="167" t="s">
        <v>3403</v>
      </c>
      <c r="W1191" s="27"/>
      <c r="X1191" s="73"/>
      <c r="Y1191" s="73"/>
      <c r="Z1191" s="73" t="s">
        <v>3470</v>
      </c>
    </row>
    <row r="1192" spans="1:26" ht="30" hidden="1" x14ac:dyDescent="0.25">
      <c r="A1192" s="33">
        <v>13</v>
      </c>
      <c r="B1192" s="71" t="s">
        <v>29</v>
      </c>
      <c r="C1192" s="39" t="s">
        <v>3430</v>
      </c>
      <c r="D1192" s="106" t="s">
        <v>110</v>
      </c>
      <c r="E1192" s="47">
        <v>45742</v>
      </c>
      <c r="F1192" s="31" t="str">
        <f>VLOOKUP($C1192,Carpetas!$C$5:$M$2666,2,FALSE)</f>
        <v>BRB030</v>
      </c>
      <c r="G1192" s="23" t="str">
        <f>VLOOKUP($C1192,Carpetas!$C$5:$M$2666,10,FALSE)</f>
        <v>152,02,49</v>
      </c>
      <c r="H1192" s="27" t="str">
        <f>VLOOKUP($C1192,Carpetas!$C$5:$M$2666,6,FALSE)</f>
        <v>Zanini</v>
      </c>
      <c r="I1192" s="220"/>
      <c r="J1192" s="47">
        <v>45743</v>
      </c>
      <c r="K1192" s="72" t="str">
        <f>VLOOKUP($C1192,Carpetas!$C$5:$M$2666,5,FALSE)</f>
        <v>Rio Branco</v>
      </c>
      <c r="L1192" s="32"/>
      <c r="M1192" s="48">
        <f t="shared" si="80"/>
        <v>45744</v>
      </c>
      <c r="N1192" s="26">
        <f t="shared" si="79"/>
        <v>2</v>
      </c>
      <c r="O1192" s="27">
        <v>918</v>
      </c>
      <c r="P1192" s="27">
        <v>919</v>
      </c>
      <c r="Q1192" s="27">
        <v>26</v>
      </c>
      <c r="R1192" s="27">
        <v>26</v>
      </c>
      <c r="S1192" s="27" t="s">
        <v>1552</v>
      </c>
      <c r="T1192" s="27"/>
      <c r="U1192" s="27"/>
      <c r="V1192" s="27" t="s">
        <v>3471</v>
      </c>
      <c r="W1192" s="27" t="s">
        <v>3472</v>
      </c>
      <c r="X1192" s="73"/>
      <c r="Y1192" s="73"/>
      <c r="Z1192" s="73" t="s">
        <v>3473</v>
      </c>
    </row>
    <row r="1193" spans="1:26" ht="30" hidden="1" x14ac:dyDescent="0.25">
      <c r="A1193" s="33">
        <v>13</v>
      </c>
      <c r="B1193" s="71" t="s">
        <v>29</v>
      </c>
      <c r="C1193" s="39" t="s">
        <v>3456</v>
      </c>
      <c r="D1193" s="106" t="s">
        <v>249</v>
      </c>
      <c r="E1193" s="47">
        <v>45742</v>
      </c>
      <c r="F1193" s="31" t="str">
        <f>VLOOKUP($C1193,Carpetas!$C$5:$M$2666,2,FALSE)</f>
        <v>BRB031</v>
      </c>
      <c r="G1193" s="23" t="str">
        <f>VLOOKUP($C1193,Carpetas!$C$5:$M$2666,10,FALSE)</f>
        <v>152,02,50</v>
      </c>
      <c r="H1193" s="27" t="str">
        <f>VLOOKUP($C1193,Carpetas!$C$5:$M$2666,6,FALSE)</f>
        <v>Amaro</v>
      </c>
      <c r="I1193" s="220"/>
      <c r="J1193" s="47">
        <v>45743</v>
      </c>
      <c r="K1193" s="72" t="str">
        <f>VLOOKUP($C1193,Carpetas!$C$5:$M$2666,5,FALSE)</f>
        <v>Rio Branco</v>
      </c>
      <c r="L1193" s="32"/>
      <c r="M1193" s="48">
        <f t="shared" si="80"/>
        <v>45744</v>
      </c>
      <c r="N1193" s="26">
        <f t="shared" si="79"/>
        <v>2</v>
      </c>
      <c r="O1193" s="27">
        <v>990</v>
      </c>
      <c r="P1193" s="27">
        <v>991</v>
      </c>
      <c r="Q1193" s="27">
        <v>28</v>
      </c>
      <c r="R1193" s="27">
        <v>25</v>
      </c>
      <c r="S1193" s="27" t="s">
        <v>2438</v>
      </c>
      <c r="T1193" s="27"/>
      <c r="U1193" s="27"/>
      <c r="V1193" s="27"/>
      <c r="W1193" s="27"/>
      <c r="X1193" s="73"/>
      <c r="Y1193" s="73"/>
      <c r="Z1193" s="73" t="s">
        <v>3474</v>
      </c>
    </row>
    <row r="1194" spans="1:26" hidden="1" x14ac:dyDescent="0.25">
      <c r="A1194" s="33">
        <v>13</v>
      </c>
      <c r="B1194" s="71" t="s">
        <v>29</v>
      </c>
      <c r="C1194" s="39" t="s">
        <v>3464</v>
      </c>
      <c r="D1194" s="106" t="s">
        <v>803</v>
      </c>
      <c r="E1194" s="47">
        <v>45742</v>
      </c>
      <c r="F1194" s="31" t="str">
        <f>VLOOKUP($C1194,Carpetas!$C$5:$M$2666,2,FALSE)</f>
        <v>BRB032</v>
      </c>
      <c r="G1194" s="23" t="str">
        <f>VLOOKUP($C1194,Carpetas!$C$5:$M$2666,10,FALSE)</f>
        <v>152,02,46</v>
      </c>
      <c r="H1194" s="27" t="str">
        <f>VLOOKUP($C1194,Carpetas!$C$5:$M$2666,6,FALSE)</f>
        <v>FG</v>
      </c>
      <c r="I1194" s="220"/>
      <c r="J1194" s="47">
        <v>45743</v>
      </c>
      <c r="K1194" s="72" t="str">
        <f>VLOOKUP($C1194,Carpetas!$C$5:$M$2666,5,FALSE)</f>
        <v>Rio Branco</v>
      </c>
      <c r="L1194" s="32"/>
      <c r="M1194" s="48">
        <f t="shared" si="80"/>
        <v>45744</v>
      </c>
      <c r="N1194" s="26">
        <f t="shared" si="79"/>
        <v>2</v>
      </c>
      <c r="O1194" s="27">
        <v>990</v>
      </c>
      <c r="P1194" s="27"/>
      <c r="Q1194" s="27"/>
      <c r="R1194" s="27"/>
      <c r="S1194" s="27" t="s">
        <v>1513</v>
      </c>
      <c r="T1194" s="27"/>
      <c r="U1194" s="27"/>
      <c r="V1194" s="27"/>
      <c r="W1194" s="27"/>
      <c r="X1194" s="73"/>
      <c r="Y1194" s="73"/>
      <c r="Z1194" s="73"/>
    </row>
    <row r="1195" spans="1:26" ht="30" hidden="1" x14ac:dyDescent="0.25">
      <c r="A1195" s="33">
        <v>13</v>
      </c>
      <c r="B1195" s="71" t="s">
        <v>29</v>
      </c>
      <c r="C1195" s="39" t="s">
        <v>3464</v>
      </c>
      <c r="D1195" s="106" t="s">
        <v>764</v>
      </c>
      <c r="E1195" s="47">
        <v>45742</v>
      </c>
      <c r="F1195" s="31" t="str">
        <f>VLOOKUP($C1195,Carpetas!$C$5:$M$2666,2,FALSE)</f>
        <v>BRB032</v>
      </c>
      <c r="G1195" s="23" t="str">
        <f>VLOOKUP($C1195,Carpetas!$C$5:$M$2666,10,FALSE)</f>
        <v>152,02,46</v>
      </c>
      <c r="H1195" s="27" t="str">
        <f>VLOOKUP($C1195,Carpetas!$C$5:$M$2666,6,FALSE)</f>
        <v>FG</v>
      </c>
      <c r="I1195" s="220"/>
      <c r="J1195" s="47">
        <v>45743</v>
      </c>
      <c r="K1195" s="72" t="str">
        <f>VLOOKUP($C1195,Carpetas!$C$5:$M$2666,5,FALSE)</f>
        <v>Rio Branco</v>
      </c>
      <c r="L1195" s="32"/>
      <c r="M1195" s="48">
        <f t="shared" si="80"/>
        <v>45744</v>
      </c>
      <c r="N1195" s="26">
        <f t="shared" si="79"/>
        <v>2</v>
      </c>
      <c r="O1195" s="27">
        <v>990</v>
      </c>
      <c r="P1195" s="27">
        <v>990</v>
      </c>
      <c r="Q1195" s="27">
        <v>28</v>
      </c>
      <c r="R1195" s="27">
        <v>26</v>
      </c>
      <c r="S1195" s="27" t="s">
        <v>825</v>
      </c>
      <c r="T1195" s="27"/>
      <c r="U1195" s="27"/>
      <c r="V1195" s="27"/>
      <c r="W1195" s="27"/>
      <c r="X1195" s="73"/>
      <c r="Y1195" s="73"/>
      <c r="Z1195" s="73" t="s">
        <v>3475</v>
      </c>
    </row>
    <row r="1196" spans="1:26" ht="30" hidden="1" x14ac:dyDescent="0.25">
      <c r="A1196" s="33">
        <v>13</v>
      </c>
      <c r="B1196" s="71" t="s">
        <v>29</v>
      </c>
      <c r="C1196" s="39" t="s">
        <v>3476</v>
      </c>
      <c r="D1196" s="106" t="s">
        <v>78</v>
      </c>
      <c r="E1196" s="47">
        <v>45742</v>
      </c>
      <c r="F1196" s="31" t="str">
        <f>VLOOKUP($C1196,Carpetas!$C$5:$M$2666,2,FALSE)</f>
        <v>BRB034</v>
      </c>
      <c r="G1196" s="23" t="str">
        <f>VLOOKUP($C1196,Carpetas!$C$5:$M$2666,10,FALSE)</f>
        <v>152,02,47</v>
      </c>
      <c r="H1196" s="27" t="str">
        <f>VLOOKUP($C1196,Carpetas!$C$5:$M$2666,6,FALSE)</f>
        <v>Gral</v>
      </c>
      <c r="I1196" s="220"/>
      <c r="J1196" s="47">
        <f>E1196+2</f>
        <v>45744</v>
      </c>
      <c r="K1196" s="72" t="str">
        <f>VLOOKUP($C1196,Carpetas!$C$5:$M$2666,5,FALSE)</f>
        <v>Rio Branco</v>
      </c>
      <c r="L1196" s="32"/>
      <c r="M1196" s="48">
        <f t="shared" si="80"/>
        <v>45745</v>
      </c>
      <c r="N1196" s="26">
        <f t="shared" si="79"/>
        <v>3</v>
      </c>
      <c r="O1196" s="27">
        <v>918</v>
      </c>
      <c r="P1196" s="27">
        <v>919</v>
      </c>
      <c r="Q1196" s="27">
        <v>26</v>
      </c>
      <c r="R1196" s="27">
        <v>25.5</v>
      </c>
      <c r="S1196" s="27" t="s">
        <v>447</v>
      </c>
      <c r="T1196" s="27"/>
      <c r="U1196" s="27"/>
      <c r="V1196" s="27" t="s">
        <v>3477</v>
      </c>
      <c r="W1196" s="27"/>
      <c r="X1196" s="73"/>
      <c r="Y1196" s="73"/>
      <c r="Z1196" s="73" t="s">
        <v>3478</v>
      </c>
    </row>
    <row r="1197" spans="1:26" ht="30" hidden="1" x14ac:dyDescent="0.25">
      <c r="A1197" s="33">
        <v>13</v>
      </c>
      <c r="B1197" s="71" t="s">
        <v>29</v>
      </c>
      <c r="C1197" s="39" t="s">
        <v>3394</v>
      </c>
      <c r="D1197" s="106" t="s">
        <v>3366</v>
      </c>
      <c r="E1197" s="47">
        <v>45742</v>
      </c>
      <c r="F1197" s="31" t="str">
        <f>VLOOKUP($C1197,Carpetas!$C$5:$M$2666,2,FALSE)</f>
        <v>BRB026</v>
      </c>
      <c r="G1197" s="23" t="str">
        <f>VLOOKUP($C1197,Carpetas!$C$5:$M$2666,10,FALSE)</f>
        <v>151,98,54</v>
      </c>
      <c r="H1197" s="27" t="str">
        <f>VLOOKUP($C1197,Carpetas!$C$5:$M$2666,6,FALSE)</f>
        <v>Gral</v>
      </c>
      <c r="I1197" s="220"/>
      <c r="J1197" s="47">
        <f>E1197+2</f>
        <v>45744</v>
      </c>
      <c r="K1197" s="72" t="str">
        <f>VLOOKUP($C1197,Carpetas!$C$5:$M$2666,5,FALSE)</f>
        <v>Rio Branco</v>
      </c>
      <c r="L1197" s="32"/>
      <c r="M1197" s="48">
        <f t="shared" si="80"/>
        <v>45745</v>
      </c>
      <c r="N1197" s="26">
        <f t="shared" si="79"/>
        <v>3</v>
      </c>
      <c r="O1197" s="27">
        <v>918</v>
      </c>
      <c r="P1197" s="27">
        <v>918</v>
      </c>
      <c r="Q1197" s="27">
        <v>26</v>
      </c>
      <c r="R1197" s="27">
        <v>25.5</v>
      </c>
      <c r="S1197" s="27" t="s">
        <v>3479</v>
      </c>
      <c r="T1197" s="27"/>
      <c r="U1197" s="27"/>
      <c r="V1197" s="27" t="s">
        <v>3480</v>
      </c>
      <c r="W1197" s="27"/>
      <c r="X1197" s="73"/>
      <c r="Y1197" s="73"/>
      <c r="Z1197" s="73" t="s">
        <v>3481</v>
      </c>
    </row>
    <row r="1198" spans="1:26" hidden="1" x14ac:dyDescent="0.25">
      <c r="A1198" s="33">
        <v>13</v>
      </c>
      <c r="B1198" s="71" t="s">
        <v>29</v>
      </c>
      <c r="C1198" s="39" t="s">
        <v>3427</v>
      </c>
      <c r="D1198" s="106" t="s">
        <v>110</v>
      </c>
      <c r="E1198" s="47">
        <v>45743</v>
      </c>
      <c r="F1198" s="31" t="str">
        <f>VLOOKUP($C1198,Carpetas!$C$5:$M$2666,2,FALSE)</f>
        <v>BRB029</v>
      </c>
      <c r="G1198" s="23" t="str">
        <f>VLOOKUP($C1198,Carpetas!$C$5:$M$2666,10,FALSE)</f>
        <v>152,2,48</v>
      </c>
      <c r="H1198" s="27" t="str">
        <f>VLOOKUP($C1198,Carpetas!$C$5:$M$2666,6,FALSE)</f>
        <v xml:space="preserve">Silvio </v>
      </c>
      <c r="I1198" s="220"/>
      <c r="J1198" s="47">
        <v>45744</v>
      </c>
      <c r="K1198" s="72" t="str">
        <f>VLOOKUP($C1198,Carpetas!$C$5:$M$2666,5,FALSE)</f>
        <v>Rio Branco</v>
      </c>
      <c r="L1198" s="32"/>
      <c r="M1198" s="48">
        <f t="shared" si="80"/>
        <v>45745</v>
      </c>
      <c r="N1198" s="26">
        <f t="shared" si="79"/>
        <v>2</v>
      </c>
      <c r="O1198" s="27">
        <v>918</v>
      </c>
      <c r="P1198" s="27">
        <v>918</v>
      </c>
      <c r="Q1198" s="27">
        <v>26</v>
      </c>
      <c r="R1198" s="27">
        <v>25</v>
      </c>
      <c r="S1198" s="27" t="s">
        <v>3482</v>
      </c>
      <c r="T1198" s="27"/>
      <c r="U1198" s="27"/>
      <c r="V1198" s="27" t="s">
        <v>3483</v>
      </c>
      <c r="W1198" s="27" t="s">
        <v>3484</v>
      </c>
      <c r="X1198" s="73"/>
      <c r="Y1198" s="73"/>
      <c r="Z1198" s="73" t="s">
        <v>3485</v>
      </c>
    </row>
    <row r="1199" spans="1:26" ht="30" hidden="1" x14ac:dyDescent="0.25">
      <c r="A1199" s="33">
        <v>13</v>
      </c>
      <c r="B1199" s="71" t="s">
        <v>29</v>
      </c>
      <c r="C1199" s="39" t="s">
        <v>3430</v>
      </c>
      <c r="D1199" s="106" t="s">
        <v>2474</v>
      </c>
      <c r="E1199" s="47">
        <v>45743</v>
      </c>
      <c r="F1199" s="31" t="str">
        <f>VLOOKUP($C1199,Carpetas!$C$5:$M$2666,2,FALSE)</f>
        <v>BRB030</v>
      </c>
      <c r="G1199" s="23" t="str">
        <f>VLOOKUP($C1199,Carpetas!$C$5:$M$2666,10,FALSE)</f>
        <v>152,02,49</v>
      </c>
      <c r="H1199" s="27" t="str">
        <f>VLOOKUP($C1199,Carpetas!$C$5:$M$2666,6,FALSE)</f>
        <v>Zanini</v>
      </c>
      <c r="I1199" s="220"/>
      <c r="J1199" s="47">
        <v>45744</v>
      </c>
      <c r="K1199" s="72" t="str">
        <f>VLOOKUP($C1199,Carpetas!$C$5:$M$2666,5,FALSE)</f>
        <v>Rio Branco</v>
      </c>
      <c r="L1199" s="32"/>
      <c r="M1199" s="48">
        <f t="shared" si="80"/>
        <v>45745</v>
      </c>
      <c r="N1199" s="26">
        <f t="shared" si="79"/>
        <v>2</v>
      </c>
      <c r="O1199" s="27">
        <v>918</v>
      </c>
      <c r="P1199" s="27">
        <v>918</v>
      </c>
      <c r="Q1199" s="27">
        <v>26</v>
      </c>
      <c r="R1199" s="27">
        <v>25</v>
      </c>
      <c r="S1199" s="27" t="s">
        <v>3431</v>
      </c>
      <c r="T1199" s="27"/>
      <c r="U1199" s="27"/>
      <c r="V1199" s="27" t="s">
        <v>3381</v>
      </c>
      <c r="W1199" s="27" t="s">
        <v>3382</v>
      </c>
      <c r="X1199" s="128" t="s">
        <v>35</v>
      </c>
      <c r="Y1199" s="73" t="str">
        <f>VLOOKUP(X1199,Choferes!B3:C400,2,FALSE)</f>
        <v>+5555991366995</v>
      </c>
      <c r="Z1199" s="73" t="s">
        <v>3486</v>
      </c>
    </row>
    <row r="1200" spans="1:26" hidden="1" x14ac:dyDescent="0.25">
      <c r="A1200" s="33">
        <v>13</v>
      </c>
      <c r="B1200" s="71" t="s">
        <v>29</v>
      </c>
      <c r="C1200" s="39" t="s">
        <v>3430</v>
      </c>
      <c r="D1200" s="106" t="s">
        <v>249</v>
      </c>
      <c r="E1200" s="47">
        <v>45744</v>
      </c>
      <c r="F1200" s="31" t="str">
        <f>VLOOKUP($C1200,Carpetas!$C$5:$M$2666,2,FALSE)</f>
        <v>BRB030</v>
      </c>
      <c r="G1200" s="23" t="str">
        <f>VLOOKUP($C1200,Carpetas!$C$5:$M$2666,10,FALSE)</f>
        <v>152,02,49</v>
      </c>
      <c r="H1200" s="27" t="str">
        <f>VLOOKUP($C1200,Carpetas!$C$5:$M$2666,6,FALSE)</f>
        <v>Zanini</v>
      </c>
      <c r="I1200" s="220"/>
      <c r="J1200" s="47">
        <f>E1200+2</f>
        <v>45746</v>
      </c>
      <c r="K1200" s="72" t="str">
        <f>VLOOKUP($C1200,Carpetas!$C$5:$M$2666,5,FALSE)</f>
        <v>Rio Branco</v>
      </c>
      <c r="L1200" s="32"/>
      <c r="M1200" s="48">
        <f t="shared" si="80"/>
        <v>45747</v>
      </c>
      <c r="N1200" s="26">
        <f t="shared" si="79"/>
        <v>3</v>
      </c>
      <c r="O1200" s="27">
        <v>918</v>
      </c>
      <c r="P1200" s="27">
        <v>918</v>
      </c>
      <c r="Q1200" s="27">
        <v>26</v>
      </c>
      <c r="R1200" s="27">
        <v>25</v>
      </c>
      <c r="S1200" s="27" t="s">
        <v>2471</v>
      </c>
      <c r="T1200" s="27"/>
      <c r="U1200" s="27">
        <v>5143</v>
      </c>
      <c r="V1200" s="27" t="s">
        <v>3155</v>
      </c>
      <c r="W1200" s="27" t="s">
        <v>3156</v>
      </c>
      <c r="X1200" s="128" t="s">
        <v>1613</v>
      </c>
      <c r="Y1200" s="73" t="str">
        <f>VLOOKUP(X1200,Choferes!B3:C400,2,FALSE)</f>
        <v>+5547988461729</v>
      </c>
      <c r="Z1200" s="73" t="s">
        <v>3487</v>
      </c>
    </row>
    <row r="1201" spans="1:26" ht="30" hidden="1" x14ac:dyDescent="0.25">
      <c r="A1201" s="33">
        <v>13</v>
      </c>
      <c r="B1201" s="71" t="s">
        <v>29</v>
      </c>
      <c r="C1201" s="39" t="s">
        <v>3476</v>
      </c>
      <c r="D1201" s="106" t="s">
        <v>747</v>
      </c>
      <c r="E1201" s="47">
        <v>45744</v>
      </c>
      <c r="F1201" s="31" t="str">
        <f>VLOOKUP($C1201,Carpetas!$C$5:$M$2666,2,FALSE)</f>
        <v>BRB034</v>
      </c>
      <c r="G1201" s="23" t="str">
        <f>VLOOKUP($C1201,Carpetas!$C$5:$M$2666,10,FALSE)</f>
        <v>152,02,47</v>
      </c>
      <c r="H1201" s="27" t="str">
        <f>VLOOKUP($C1201,Carpetas!$C$5:$M$2666,6,FALSE)</f>
        <v>Gral</v>
      </c>
      <c r="I1201" s="220"/>
      <c r="J1201" s="47">
        <f>E1201+2</f>
        <v>45746</v>
      </c>
      <c r="K1201" s="72" t="str">
        <f>VLOOKUP($C1201,Carpetas!$C$5:$M$2666,5,FALSE)</f>
        <v>Rio Branco</v>
      </c>
      <c r="L1201" s="32"/>
      <c r="M1201" s="48">
        <f t="shared" si="80"/>
        <v>45747</v>
      </c>
      <c r="N1201" s="26">
        <f t="shared" si="79"/>
        <v>3</v>
      </c>
      <c r="O1201" s="27">
        <v>918</v>
      </c>
      <c r="P1201" s="27">
        <v>918</v>
      </c>
      <c r="Q1201" s="27">
        <v>26</v>
      </c>
      <c r="R1201" s="27">
        <v>25</v>
      </c>
      <c r="S1201" s="27" t="s">
        <v>1955</v>
      </c>
      <c r="T1201" s="27"/>
      <c r="U1201" s="27">
        <v>7229</v>
      </c>
      <c r="V1201" s="27" t="s">
        <v>3488</v>
      </c>
      <c r="W1201" s="27" t="s">
        <v>3489</v>
      </c>
      <c r="X1201" s="128" t="s">
        <v>3490</v>
      </c>
      <c r="Y1201" s="73" t="str">
        <f>VLOOKUP(X1201,Choferes!B4:C401,2,FALSE)</f>
        <v>+5511 99284-8666</v>
      </c>
      <c r="Z1201" s="73" t="s">
        <v>3487</v>
      </c>
    </row>
    <row r="1202" spans="1:26" hidden="1" x14ac:dyDescent="0.25">
      <c r="A1202" s="33">
        <v>13</v>
      </c>
      <c r="B1202" s="71" t="s">
        <v>298</v>
      </c>
      <c r="C1202" s="39" t="s">
        <v>299</v>
      </c>
      <c r="D1202" s="106" t="s">
        <v>249</v>
      </c>
      <c r="E1202" s="47">
        <v>45744</v>
      </c>
      <c r="F1202" s="31" t="str">
        <f>VLOOKUP($C1202,Carpetas!$C$5:$M$2666,2,FALSE)</f>
        <v>BRB</v>
      </c>
      <c r="G1202" s="23" t="e">
        <f>VLOOKUP($C1202,Carpetas!$C$5:$M$2666,9,FALSE)</f>
        <v>#REF!</v>
      </c>
      <c r="H1202" s="27" t="str">
        <f>VLOOKUP($C1202,Carpetas!$C$5:$M$2666,5,FALSE)</f>
        <v>xx</v>
      </c>
      <c r="I1202" s="220"/>
      <c r="J1202" s="47">
        <f>E1202+2</f>
        <v>45746</v>
      </c>
      <c r="K1202" s="72">
        <f>VLOOKUP($C1202,Carpetas!$C$5:$M$2666,4,FALSE)</f>
        <v>0</v>
      </c>
      <c r="L1202" s="32"/>
      <c r="M1202" s="48">
        <f t="shared" si="80"/>
        <v>45747</v>
      </c>
      <c r="N1202" s="26">
        <f t="shared" si="79"/>
        <v>3</v>
      </c>
      <c r="O1202" s="27">
        <v>918</v>
      </c>
      <c r="P1202" s="27"/>
      <c r="Q1202" s="27"/>
      <c r="R1202" s="27"/>
      <c r="S1202" s="27"/>
      <c r="T1202" s="27"/>
      <c r="U1202" s="27"/>
      <c r="V1202" s="27"/>
      <c r="W1202" s="27"/>
      <c r="X1202" s="73"/>
      <c r="Y1202" s="73"/>
      <c r="Z1202" s="73"/>
    </row>
    <row r="1203" spans="1:26" hidden="1" x14ac:dyDescent="0.25">
      <c r="A1203" s="33">
        <v>13</v>
      </c>
      <c r="B1203" s="71" t="s">
        <v>29</v>
      </c>
      <c r="C1203" s="39" t="s">
        <v>3464</v>
      </c>
      <c r="D1203" s="106" t="s">
        <v>803</v>
      </c>
      <c r="E1203" s="47">
        <v>45745</v>
      </c>
      <c r="F1203" s="31" t="str">
        <f>VLOOKUP($C1203,Carpetas!$C$5:$M$2666,2,FALSE)</f>
        <v>BRB032</v>
      </c>
      <c r="G1203" s="23" t="str">
        <f>VLOOKUP($C1203,Carpetas!$C$5:$M$2666,10,FALSE)</f>
        <v>152,02,46</v>
      </c>
      <c r="H1203" s="27" t="str">
        <f>VLOOKUP($C1203,Carpetas!$C$5:$M$2666,6,FALSE)</f>
        <v>FG</v>
      </c>
      <c r="I1203" s="220"/>
      <c r="J1203" s="47">
        <f>E1203+2</f>
        <v>45747</v>
      </c>
      <c r="K1203" s="72" t="str">
        <f>VLOOKUP($C1203,Carpetas!$C$5:$M$2666,5,FALSE)</f>
        <v>Rio Branco</v>
      </c>
      <c r="L1203" s="32"/>
      <c r="M1203" s="48">
        <f t="shared" si="80"/>
        <v>45748</v>
      </c>
      <c r="N1203" s="26">
        <f t="shared" si="79"/>
        <v>3</v>
      </c>
      <c r="O1203" s="27">
        <v>990</v>
      </c>
      <c r="P1203" s="27">
        <v>990</v>
      </c>
      <c r="Q1203" s="27">
        <v>28</v>
      </c>
      <c r="R1203" s="27">
        <v>25</v>
      </c>
      <c r="S1203" s="27" t="s">
        <v>1528</v>
      </c>
      <c r="T1203" s="27"/>
      <c r="U1203" s="27">
        <v>705</v>
      </c>
      <c r="V1203" s="27" t="s">
        <v>1680</v>
      </c>
      <c r="W1203" s="27" t="s">
        <v>1681</v>
      </c>
      <c r="X1203" s="128" t="s">
        <v>1465</v>
      </c>
      <c r="Y1203" s="73" t="str">
        <f>VLOOKUP(X1203,Choferes!B6:C403,2,FALSE)</f>
        <v>+59893339027</v>
      </c>
      <c r="Z1203" s="73" t="s">
        <v>3491</v>
      </c>
    </row>
    <row r="1204" spans="1:26" hidden="1" x14ac:dyDescent="0.25">
      <c r="A1204" s="33">
        <v>13</v>
      </c>
      <c r="B1204" s="71" t="s">
        <v>29</v>
      </c>
      <c r="C1204" s="39" t="s">
        <v>3464</v>
      </c>
      <c r="D1204" s="106" t="s">
        <v>953</v>
      </c>
      <c r="E1204" s="47">
        <v>45745</v>
      </c>
      <c r="F1204" s="31" t="str">
        <f>VLOOKUP($C1204,Carpetas!$C$5:$M$2666,2,FALSE)</f>
        <v>BRB032</v>
      </c>
      <c r="G1204" s="23" t="str">
        <f>VLOOKUP($C1204,Carpetas!$C$5:$M$2666,10,FALSE)</f>
        <v>152,02,46</v>
      </c>
      <c r="H1204" s="27" t="str">
        <f>VLOOKUP($C1204,Carpetas!$C$5:$M$2666,6,FALSE)</f>
        <v>FG</v>
      </c>
      <c r="I1204" s="220"/>
      <c r="J1204" s="47">
        <f>E1204+2</f>
        <v>45747</v>
      </c>
      <c r="K1204" s="72" t="str">
        <f>VLOOKUP($C1204,Carpetas!$C$5:$M$2666,5,FALSE)</f>
        <v>Rio Branco</v>
      </c>
      <c r="L1204" s="32"/>
      <c r="M1204" s="48">
        <f t="shared" si="80"/>
        <v>45748</v>
      </c>
      <c r="N1204" s="26">
        <f t="shared" si="79"/>
        <v>3</v>
      </c>
      <c r="O1204" s="27">
        <v>990</v>
      </c>
      <c r="P1204" s="27">
        <v>990</v>
      </c>
      <c r="Q1204" s="27">
        <v>28</v>
      </c>
      <c r="R1204" s="27">
        <v>25</v>
      </c>
      <c r="S1204" s="27" t="s">
        <v>1264</v>
      </c>
      <c r="T1204" s="27"/>
      <c r="U1204" s="27">
        <v>706</v>
      </c>
      <c r="V1204" s="27" t="s">
        <v>1042</v>
      </c>
      <c r="W1204" s="27" t="s">
        <v>1637</v>
      </c>
      <c r="X1204" s="128" t="s">
        <v>1623</v>
      </c>
      <c r="Y1204" s="73" t="str">
        <f>VLOOKUP(X1204,Choferes!B7:C404,2,FALSE)</f>
        <v>+5553991254560</v>
      </c>
      <c r="Z1204" s="73" t="s">
        <v>3492</v>
      </c>
    </row>
    <row r="1205" spans="1:26" hidden="1" x14ac:dyDescent="0.25">
      <c r="A1205" s="33">
        <v>13</v>
      </c>
      <c r="B1205" s="71" t="s">
        <v>29</v>
      </c>
      <c r="C1205" s="39" t="s">
        <v>3493</v>
      </c>
      <c r="D1205" s="106" t="s">
        <v>3273</v>
      </c>
      <c r="E1205" s="47">
        <v>45741</v>
      </c>
      <c r="F1205" s="31" t="str">
        <f>VLOOKUP($C1205,Carpetas!$C$5:$M$2666,2,FALSE)</f>
        <v>BRB033</v>
      </c>
      <c r="G1205" s="23" t="str">
        <f>VLOOKUP($C1205,Carpetas!$C$5:$M$2666,10,FALSE)</f>
        <v>152,07,62</v>
      </c>
      <c r="H1205" s="27" t="str">
        <f>VLOOKUP($C1205,Carpetas!$C$5:$M$2666,6,FALSE)</f>
        <v>Marvel</v>
      </c>
      <c r="I1205" s="220"/>
      <c r="J1205" s="47">
        <v>45748</v>
      </c>
      <c r="K1205" s="72" t="str">
        <f>VLOOKUP($C1205,Carpetas!$C$5:$M$2666,5,FALSE)</f>
        <v>Rio Branco</v>
      </c>
      <c r="L1205" s="32"/>
      <c r="M1205" s="48">
        <f t="shared" si="80"/>
        <v>45749</v>
      </c>
      <c r="N1205" s="26">
        <f t="shared" si="79"/>
        <v>8</v>
      </c>
      <c r="O1205" s="27">
        <v>936</v>
      </c>
      <c r="P1205" s="27">
        <v>936</v>
      </c>
      <c r="Q1205" s="27">
        <v>26</v>
      </c>
      <c r="R1205" s="27">
        <v>25</v>
      </c>
      <c r="S1205" s="27" t="s">
        <v>3494</v>
      </c>
      <c r="T1205" s="27"/>
      <c r="U1205" s="27">
        <v>10613</v>
      </c>
      <c r="V1205" s="27" t="s">
        <v>3495</v>
      </c>
      <c r="W1205" s="27" t="s">
        <v>3496</v>
      </c>
      <c r="X1205" s="128" t="s">
        <v>3497</v>
      </c>
      <c r="Y1205" s="73" t="str">
        <f>VLOOKUP(X1205,Choferes!B5:C402,2,FALSE)</f>
        <v>+55 71 99138‑4633</v>
      </c>
      <c r="Z1205" s="73" t="s">
        <v>3498</v>
      </c>
    </row>
    <row r="1206" spans="1:26" ht="30" hidden="1" x14ac:dyDescent="0.25">
      <c r="A1206" s="33">
        <v>13</v>
      </c>
      <c r="B1206" s="71" t="s">
        <v>29</v>
      </c>
      <c r="C1206" s="39" t="s">
        <v>3493</v>
      </c>
      <c r="D1206" s="106" t="s">
        <v>3273</v>
      </c>
      <c r="E1206" s="47">
        <v>45745</v>
      </c>
      <c r="F1206" s="31" t="str">
        <f>VLOOKUP($C1206,Carpetas!$C$5:$M$2666,2,FALSE)</f>
        <v>BRB033</v>
      </c>
      <c r="G1206" s="23" t="str">
        <f>VLOOKUP($C1206,Carpetas!$C$5:$M$2666,10,FALSE)</f>
        <v>152,07,62</v>
      </c>
      <c r="H1206" s="27" t="str">
        <f>VLOOKUP($C1206,Carpetas!$C$5:$M$2666,6,FALSE)</f>
        <v>Marvel</v>
      </c>
      <c r="I1206" s="220"/>
      <c r="J1206" s="47">
        <v>45749</v>
      </c>
      <c r="K1206" s="72" t="str">
        <f>VLOOKUP($C1206,Carpetas!$C$5:$M$2666,5,FALSE)</f>
        <v>Rio Branco</v>
      </c>
      <c r="L1206" s="32"/>
      <c r="M1206" s="48">
        <f t="shared" si="80"/>
        <v>45750</v>
      </c>
      <c r="N1206" s="26">
        <f t="shared" si="79"/>
        <v>5</v>
      </c>
      <c r="O1206" s="27">
        <v>936</v>
      </c>
      <c r="P1206" s="27">
        <v>936</v>
      </c>
      <c r="Q1206" s="27">
        <v>26</v>
      </c>
      <c r="R1206" s="27">
        <v>25</v>
      </c>
      <c r="S1206" s="27" t="s">
        <v>3499</v>
      </c>
      <c r="T1206" s="27"/>
      <c r="U1206" s="27">
        <v>10614</v>
      </c>
      <c r="V1206" s="27" t="s">
        <v>3500</v>
      </c>
      <c r="W1206" s="27" t="s">
        <v>3501</v>
      </c>
      <c r="X1206" s="128" t="s">
        <v>3502</v>
      </c>
      <c r="Y1206" s="73" t="str">
        <f>VLOOKUP(X1206,Choferes!B8:C405,2,FALSE)</f>
        <v>+55 49 98878‑6559</v>
      </c>
      <c r="Z1206" s="73" t="s">
        <v>3503</v>
      </c>
    </row>
    <row r="1207" spans="1:26" ht="30" hidden="1" x14ac:dyDescent="0.25">
      <c r="A1207" s="33">
        <v>14</v>
      </c>
      <c r="B1207" s="71" t="s">
        <v>29</v>
      </c>
      <c r="C1207" s="39" t="s">
        <v>3464</v>
      </c>
      <c r="D1207" s="106" t="s">
        <v>747</v>
      </c>
      <c r="E1207" s="47">
        <v>45748</v>
      </c>
      <c r="F1207" s="31" t="str">
        <f>VLOOKUP($C1207,Carpetas!$C$5:$M$2666,2,FALSE)</f>
        <v>BRB032</v>
      </c>
      <c r="G1207" s="23" t="str">
        <f>VLOOKUP($C1207,Carpetas!$C$5:$M$2666,10,FALSE)</f>
        <v>152,02,46</v>
      </c>
      <c r="H1207" s="27" t="str">
        <f>VLOOKUP($C1207,Carpetas!$C$5:$M$2666,6,FALSE)</f>
        <v>FG</v>
      </c>
      <c r="I1207" s="220"/>
      <c r="J1207" s="47">
        <v>45749</v>
      </c>
      <c r="K1207" s="72" t="str">
        <f>VLOOKUP($C1207,Carpetas!$C$5:$M$2666,5,FALSE)</f>
        <v>Rio Branco</v>
      </c>
      <c r="L1207" s="32"/>
      <c r="M1207" s="48">
        <f t="shared" si="80"/>
        <v>45750</v>
      </c>
      <c r="N1207" s="26">
        <f t="shared" si="79"/>
        <v>2</v>
      </c>
      <c r="O1207" s="27">
        <v>990</v>
      </c>
      <c r="P1207" s="27">
        <v>991</v>
      </c>
      <c r="Q1207" s="27">
        <v>28</v>
      </c>
      <c r="R1207" s="27">
        <v>25</v>
      </c>
      <c r="S1207" s="27" t="s">
        <v>1994</v>
      </c>
      <c r="T1207" s="27"/>
      <c r="U1207" s="27">
        <v>715</v>
      </c>
      <c r="V1207" s="27" t="s">
        <v>1645</v>
      </c>
      <c r="W1207" s="27" t="s">
        <v>1934</v>
      </c>
      <c r="X1207" s="128" t="s">
        <v>1935</v>
      </c>
      <c r="Y1207" s="73" t="str">
        <f>VLOOKUP(X1207,Choferes!B10:C407,2,FALSE)</f>
        <v>+5554984377792</v>
      </c>
      <c r="Z1207" s="73" t="s">
        <v>3504</v>
      </c>
    </row>
    <row r="1208" spans="1:26" ht="30" hidden="1" x14ac:dyDescent="0.25">
      <c r="A1208" s="33">
        <v>13</v>
      </c>
      <c r="B1208" s="71" t="s">
        <v>29</v>
      </c>
      <c r="C1208" s="39" t="s">
        <v>3505</v>
      </c>
      <c r="D1208" s="106" t="s">
        <v>38</v>
      </c>
      <c r="E1208" s="47">
        <v>45743</v>
      </c>
      <c r="F1208" s="31" t="str">
        <f>VLOOKUP($C1208,Carpetas!$C$5:$M$2666,2,FALSE)</f>
        <v>BRE011</v>
      </c>
      <c r="G1208" s="23" t="str">
        <f>VLOOKUP($C1208,Carpetas!$C$5:$M$2666,10,FALSE)</f>
        <v>1520482/1520484/1520485/1520483</v>
      </c>
      <c r="H1208" s="27" t="str">
        <f>VLOOKUP($C1208,Carpetas!$C$5:$M$2666,6,FALSE)</f>
        <v>M.Rockenbach</v>
      </c>
      <c r="I1208" s="220">
        <f>VLOOKUP($C1208,Carpetas!$C$5:$M$2666,4,FALSE)</f>
        <v>0</v>
      </c>
      <c r="J1208" s="47">
        <v>45749</v>
      </c>
      <c r="K1208" s="72" t="str">
        <f>VLOOKUP($C1208,Carpetas!$C$5:$M$2666,5,FALSE)</f>
        <v>Chuy</v>
      </c>
      <c r="L1208" s="32"/>
      <c r="M1208" s="48">
        <f>J1208+1+1</f>
        <v>45751</v>
      </c>
      <c r="N1208" s="26">
        <f t="shared" si="79"/>
        <v>8</v>
      </c>
      <c r="O1208" s="27">
        <v>3060</v>
      </c>
      <c r="P1208" s="27">
        <v>3050</v>
      </c>
      <c r="Q1208" s="27">
        <v>26</v>
      </c>
      <c r="R1208" s="27"/>
      <c r="S1208" s="27" t="s">
        <v>3506</v>
      </c>
      <c r="T1208" s="27"/>
      <c r="U1208" s="27"/>
      <c r="V1208" s="27" t="s">
        <v>3507</v>
      </c>
      <c r="W1208" s="27"/>
      <c r="X1208" s="128"/>
      <c r="Y1208" s="73" t="e">
        <f>VLOOKUP(X1208,Choferes!B9:C406,2,FALSE)</f>
        <v>#N/A</v>
      </c>
      <c r="Z1208" s="73" t="s">
        <v>3508</v>
      </c>
    </row>
    <row r="1209" spans="1:26" ht="30" hidden="1" x14ac:dyDescent="0.25">
      <c r="A1209" s="33">
        <v>14</v>
      </c>
      <c r="B1209" s="71" t="s">
        <v>29</v>
      </c>
      <c r="C1209" s="39" t="s">
        <v>3427</v>
      </c>
      <c r="D1209" s="106" t="s">
        <v>3124</v>
      </c>
      <c r="E1209" s="47">
        <v>45748</v>
      </c>
      <c r="F1209" s="31" t="str">
        <f>VLOOKUP($C1209,Carpetas!$C$5:$M$2666,2,FALSE)</f>
        <v>BRB029</v>
      </c>
      <c r="G1209" s="23" t="str">
        <f>VLOOKUP($C1209,Carpetas!$C$5:$M$2666,10,FALSE)</f>
        <v>152,2,48</v>
      </c>
      <c r="H1209" s="27" t="str">
        <f>VLOOKUP($C1209,Carpetas!$C$5:$M$2666,6,FALSE)</f>
        <v xml:space="preserve">Silvio </v>
      </c>
      <c r="I1209" s="220"/>
      <c r="J1209" s="47">
        <f>E1209+2</f>
        <v>45750</v>
      </c>
      <c r="K1209" s="72" t="str">
        <f>VLOOKUP($C1209,Carpetas!$C$5:$M$2666,5,FALSE)</f>
        <v>Rio Branco</v>
      </c>
      <c r="L1209" s="32"/>
      <c r="M1209" s="48">
        <f t="shared" ref="M1209:M1256" si="81">J1209+1</f>
        <v>45751</v>
      </c>
      <c r="N1209" s="26">
        <f t="shared" si="79"/>
        <v>3</v>
      </c>
      <c r="O1209" s="27">
        <v>918</v>
      </c>
      <c r="P1209" s="27">
        <v>919</v>
      </c>
      <c r="Q1209" s="27">
        <v>26</v>
      </c>
      <c r="R1209" s="27">
        <v>25</v>
      </c>
      <c r="S1209" s="27" t="s">
        <v>3509</v>
      </c>
      <c r="T1209" s="27"/>
      <c r="U1209" s="27">
        <v>7352</v>
      </c>
      <c r="V1209" s="27" t="s">
        <v>363</v>
      </c>
      <c r="W1209" s="27" t="s">
        <v>797</v>
      </c>
      <c r="X1209" s="128" t="s">
        <v>3510</v>
      </c>
      <c r="Y1209" s="73" t="str">
        <f>VLOOKUP(X1209,Choferes!B11:C408,2,FALSE)</f>
        <v>+555496539442</v>
      </c>
      <c r="Z1209" s="73" t="s">
        <v>3511</v>
      </c>
    </row>
    <row r="1210" spans="1:26" ht="30" hidden="1" x14ac:dyDescent="0.25">
      <c r="A1210" s="33">
        <v>14</v>
      </c>
      <c r="B1210" s="71" t="s">
        <v>29</v>
      </c>
      <c r="C1210" s="39" t="s">
        <v>3464</v>
      </c>
      <c r="D1210" s="106" t="s">
        <v>110</v>
      </c>
      <c r="E1210" s="47">
        <v>45748</v>
      </c>
      <c r="F1210" s="31" t="str">
        <f>VLOOKUP($C1210,Carpetas!$C$5:$M$2666,2,FALSE)</f>
        <v>BRB032</v>
      </c>
      <c r="G1210" s="23" t="str">
        <f>VLOOKUP($C1210,Carpetas!$C$5:$M$2666,10,FALSE)</f>
        <v>152,02,46</v>
      </c>
      <c r="H1210" s="27" t="str">
        <f>VLOOKUP($C1210,Carpetas!$C$5:$M$2666,6,FALSE)</f>
        <v>FG</v>
      </c>
      <c r="I1210" s="220"/>
      <c r="J1210" s="47">
        <f>E1210+2</f>
        <v>45750</v>
      </c>
      <c r="K1210" s="72" t="str">
        <f>VLOOKUP($C1210,Carpetas!$C$5:$M$2666,5,FALSE)</f>
        <v>Rio Branco</v>
      </c>
      <c r="L1210" s="32"/>
      <c r="M1210" s="48">
        <f t="shared" si="81"/>
        <v>45751</v>
      </c>
      <c r="N1210" s="26">
        <f t="shared" si="79"/>
        <v>3</v>
      </c>
      <c r="O1210" s="27">
        <v>990</v>
      </c>
      <c r="P1210" s="27">
        <v>991</v>
      </c>
      <c r="Q1210" s="27">
        <v>28</v>
      </c>
      <c r="R1210" s="27">
        <v>26</v>
      </c>
      <c r="S1210" s="27" t="s">
        <v>1625</v>
      </c>
      <c r="T1210" s="27"/>
      <c r="U1210" s="27">
        <v>718</v>
      </c>
      <c r="V1210" s="27" t="s">
        <v>1617</v>
      </c>
      <c r="W1210" s="27" t="s">
        <v>1618</v>
      </c>
      <c r="X1210" s="128" t="s">
        <v>1619</v>
      </c>
      <c r="Y1210" s="73" t="str">
        <f>VLOOKUP(X1210,Choferes!B12:C409,2,FALSE)</f>
        <v>+5553984318842</v>
      </c>
      <c r="Z1210" s="73" t="s">
        <v>3512</v>
      </c>
    </row>
    <row r="1211" spans="1:26" hidden="1" x14ac:dyDescent="0.25">
      <c r="A1211" s="33">
        <v>14</v>
      </c>
      <c r="B1211" s="71" t="s">
        <v>29</v>
      </c>
      <c r="C1211" s="39" t="s">
        <v>3456</v>
      </c>
      <c r="D1211" s="106" t="s">
        <v>249</v>
      </c>
      <c r="E1211" s="47">
        <v>45749</v>
      </c>
      <c r="F1211" s="31" t="str">
        <f>VLOOKUP($C1211,Carpetas!$C$5:$M$2666,2,FALSE)</f>
        <v>BRB031</v>
      </c>
      <c r="G1211" s="23" t="str">
        <f>VLOOKUP($C1211,Carpetas!$C$5:$M$2666,10,FALSE)</f>
        <v>152,02,50</v>
      </c>
      <c r="H1211" s="27" t="str">
        <f>VLOOKUP($C1211,Carpetas!$C$5:$M$2666,6,FALSE)</f>
        <v>Amaro</v>
      </c>
      <c r="I1211" s="220"/>
      <c r="J1211" s="47">
        <v>45750</v>
      </c>
      <c r="K1211" s="72" t="str">
        <f>VLOOKUP($C1211,Carpetas!$C$5:$M$2666,5,FALSE)</f>
        <v>Rio Branco</v>
      </c>
      <c r="L1211" s="32"/>
      <c r="M1211" s="48">
        <f t="shared" si="81"/>
        <v>45751</v>
      </c>
      <c r="N1211" s="26">
        <f t="shared" si="79"/>
        <v>2</v>
      </c>
      <c r="O1211" s="27">
        <v>990</v>
      </c>
      <c r="P1211" s="27">
        <v>990</v>
      </c>
      <c r="Q1211" s="27">
        <v>28</v>
      </c>
      <c r="R1211" s="27">
        <v>26</v>
      </c>
      <c r="S1211" s="27" t="s">
        <v>2471</v>
      </c>
      <c r="T1211" s="27"/>
      <c r="U1211" s="27">
        <v>25846</v>
      </c>
      <c r="V1211" s="27" t="s">
        <v>2136</v>
      </c>
      <c r="W1211" s="27" t="s">
        <v>1945</v>
      </c>
      <c r="X1211" s="128" t="s">
        <v>3513</v>
      </c>
      <c r="Y1211" s="73" t="str">
        <f>VLOOKUP(X1211,Choferes!B17:C414,2,FALSE)</f>
        <v>+598 91 508 964</v>
      </c>
      <c r="Z1211" s="73" t="s">
        <v>3514</v>
      </c>
    </row>
    <row r="1212" spans="1:26" hidden="1" x14ac:dyDescent="0.25">
      <c r="A1212" s="33">
        <v>14</v>
      </c>
      <c r="B1212" s="71" t="s">
        <v>29</v>
      </c>
      <c r="C1212" s="39" t="s">
        <v>3515</v>
      </c>
      <c r="D1212" s="106" t="s">
        <v>747</v>
      </c>
      <c r="E1212" s="47">
        <v>45749</v>
      </c>
      <c r="F1212" s="31" t="str">
        <f>VLOOKUP($C1212,Carpetas!$C$5:$M$2666,2,FALSE)</f>
        <v>BRB035</v>
      </c>
      <c r="G1212" s="23" t="str">
        <f>VLOOKUP($C1212,Carpetas!$C$5:$M$2666,10,FALSE)</f>
        <v>152,15,75</v>
      </c>
      <c r="H1212" s="27" t="str">
        <f>VLOOKUP($C1212,Carpetas!$C$5:$M$2666,6,FALSE)</f>
        <v>FG</v>
      </c>
      <c r="I1212" s="220"/>
      <c r="J1212" s="47">
        <v>45750</v>
      </c>
      <c r="K1212" s="72" t="str">
        <f>VLOOKUP($C1212,Carpetas!$C$5:$M$2666,5,FALSE)</f>
        <v>Rio Branco</v>
      </c>
      <c r="L1212" s="32"/>
      <c r="M1212" s="48">
        <f t="shared" si="81"/>
        <v>45751</v>
      </c>
      <c r="N1212" s="26">
        <f t="shared" si="79"/>
        <v>2</v>
      </c>
      <c r="O1212" s="27">
        <v>990</v>
      </c>
      <c r="P1212" s="27">
        <v>991</v>
      </c>
      <c r="Q1212" s="27">
        <v>28</v>
      </c>
      <c r="R1212" s="27">
        <v>26</v>
      </c>
      <c r="S1212" s="27" t="s">
        <v>1994</v>
      </c>
      <c r="T1212" s="27"/>
      <c r="U1212" s="27">
        <v>723</v>
      </c>
      <c r="V1212" s="27" t="s">
        <v>1649</v>
      </c>
      <c r="W1212" s="27" t="s">
        <v>1650</v>
      </c>
      <c r="X1212" s="128" t="s">
        <v>1462</v>
      </c>
      <c r="Y1212" s="73" t="str">
        <f>VLOOKUP(X1212,Choferes!B16:C413,2,FALSE)</f>
        <v>+5553997081676</v>
      </c>
      <c r="Z1212" s="73" t="s">
        <v>3516</v>
      </c>
    </row>
    <row r="1213" spans="1:26" hidden="1" x14ac:dyDescent="0.25">
      <c r="A1213" s="33">
        <v>14</v>
      </c>
      <c r="B1213" s="71" t="s">
        <v>29</v>
      </c>
      <c r="C1213" s="39" t="s">
        <v>3464</v>
      </c>
      <c r="D1213" s="106" t="s">
        <v>803</v>
      </c>
      <c r="E1213" s="47">
        <v>45750</v>
      </c>
      <c r="F1213" s="31" t="str">
        <f>VLOOKUP($C1213,Carpetas!$C$5:$M$2666,2,FALSE)</f>
        <v>BRB032</v>
      </c>
      <c r="G1213" s="23" t="str">
        <f>VLOOKUP($C1213,Carpetas!$C$5:$M$2666,10,FALSE)</f>
        <v>152,02,46</v>
      </c>
      <c r="H1213" s="27" t="str">
        <f>VLOOKUP($C1213,Carpetas!$C$5:$M$2666,6,FALSE)</f>
        <v>FG</v>
      </c>
      <c r="I1213" s="220"/>
      <c r="J1213" s="47">
        <f>E1213+2</f>
        <v>45752</v>
      </c>
      <c r="K1213" s="72" t="str">
        <f>VLOOKUP($C1213,Carpetas!$C$5:$M$2666,5,FALSE)</f>
        <v>Rio Branco</v>
      </c>
      <c r="L1213" s="32"/>
      <c r="M1213" s="48">
        <f t="shared" si="81"/>
        <v>45753</v>
      </c>
      <c r="N1213" s="26">
        <f t="shared" si="79"/>
        <v>3</v>
      </c>
      <c r="O1213" s="27">
        <v>990</v>
      </c>
      <c r="P1213" s="27">
        <v>991</v>
      </c>
      <c r="Q1213" s="27">
        <v>28</v>
      </c>
      <c r="R1213" s="27">
        <v>26</v>
      </c>
      <c r="S1213" s="27" t="s">
        <v>1556</v>
      </c>
      <c r="T1213" s="27"/>
      <c r="U1213" s="27">
        <v>722</v>
      </c>
      <c r="V1213" s="27" t="s">
        <v>3403</v>
      </c>
      <c r="W1213" s="27" t="s">
        <v>3404</v>
      </c>
      <c r="X1213" s="128" t="s">
        <v>1589</v>
      </c>
      <c r="Y1213" s="73" t="str">
        <f>VLOOKUP(X1213,Choferes!B15:C412,2,FALSE)</f>
        <v>+5551998970570</v>
      </c>
      <c r="Z1213" s="73" t="s">
        <v>3517</v>
      </c>
    </row>
    <row r="1214" spans="1:26" hidden="1" x14ac:dyDescent="0.25">
      <c r="A1214" s="33">
        <v>14</v>
      </c>
      <c r="B1214" s="71" t="s">
        <v>29</v>
      </c>
      <c r="C1214" s="39" t="s">
        <v>3518</v>
      </c>
      <c r="D1214" s="106" t="s">
        <v>78</v>
      </c>
      <c r="E1214" s="47">
        <v>45749</v>
      </c>
      <c r="F1214" s="31" t="str">
        <f>VLOOKUP($C1214,Carpetas!$C$5:$M$2666,2,FALSE)</f>
        <v>BRB036</v>
      </c>
      <c r="G1214" s="23" t="str">
        <f>VLOOKUP($C1214,Carpetas!$C$5:$M$2666,10,FALSE)</f>
        <v>152,15,73</v>
      </c>
      <c r="H1214" s="27" t="str">
        <f>VLOOKUP($C1214,Carpetas!$C$5:$M$2666,6,FALSE)</f>
        <v>Zanini</v>
      </c>
      <c r="I1214" s="220"/>
      <c r="J1214" s="47">
        <v>45754</v>
      </c>
      <c r="K1214" s="72" t="str">
        <f>VLOOKUP($C1214,Carpetas!$C$5:$M$2666,5,FALSE)</f>
        <v>Rio Branco</v>
      </c>
      <c r="L1214" s="32"/>
      <c r="M1214" s="48">
        <f t="shared" si="81"/>
        <v>45755</v>
      </c>
      <c r="N1214" s="26">
        <f t="shared" si="79"/>
        <v>6</v>
      </c>
      <c r="O1214" s="27">
        <v>918</v>
      </c>
      <c r="P1214" s="27">
        <v>918</v>
      </c>
      <c r="Q1214" s="27">
        <v>26</v>
      </c>
      <c r="R1214" s="27">
        <v>25</v>
      </c>
      <c r="S1214" s="27" t="s">
        <v>503</v>
      </c>
      <c r="T1214" s="27"/>
      <c r="U1214" s="27">
        <v>5153</v>
      </c>
      <c r="V1214" s="27" t="s">
        <v>89</v>
      </c>
      <c r="W1214" s="27" t="s">
        <v>90</v>
      </c>
      <c r="X1214" s="128" t="s">
        <v>229</v>
      </c>
      <c r="Y1214" s="73" t="str">
        <f>VLOOKUP(X1214,Choferes!B14:C411,2,FALSE)</f>
        <v>+5555996886269</v>
      </c>
      <c r="Z1214" s="73" t="s">
        <v>3519</v>
      </c>
    </row>
    <row r="1215" spans="1:26" ht="30" hidden="1" x14ac:dyDescent="0.25">
      <c r="A1215" s="33">
        <v>14</v>
      </c>
      <c r="B1215" s="71" t="s">
        <v>29</v>
      </c>
      <c r="C1215" s="39" t="s">
        <v>3476</v>
      </c>
      <c r="D1215" s="106" t="s">
        <v>3366</v>
      </c>
      <c r="E1215" s="47">
        <v>45749</v>
      </c>
      <c r="F1215" s="31" t="str">
        <f>VLOOKUP($C1215,Carpetas!$C$5:$M$2666,2,FALSE)</f>
        <v>BRB034</v>
      </c>
      <c r="G1215" s="23" t="str">
        <f>VLOOKUP($C1215,Carpetas!$C$5:$M$2666,10,FALSE)</f>
        <v>152,02,47</v>
      </c>
      <c r="H1215" s="27" t="str">
        <f>VLOOKUP($C1215,Carpetas!$C$5:$M$2666,6,FALSE)</f>
        <v>Gral</v>
      </c>
      <c r="I1215" s="220"/>
      <c r="J1215" s="47">
        <v>45754</v>
      </c>
      <c r="K1215" s="72" t="str">
        <f>VLOOKUP($C1215,Carpetas!$C$5:$M$2666,5,FALSE)</f>
        <v>Rio Branco</v>
      </c>
      <c r="L1215" s="32"/>
      <c r="M1215" s="48">
        <f t="shared" si="81"/>
        <v>45755</v>
      </c>
      <c r="N1215" s="26">
        <f t="shared" si="79"/>
        <v>6</v>
      </c>
      <c r="O1215" s="27">
        <v>918</v>
      </c>
      <c r="P1215" s="27">
        <v>918</v>
      </c>
      <c r="Q1215" s="27">
        <v>26</v>
      </c>
      <c r="R1215" s="27">
        <v>27</v>
      </c>
      <c r="S1215" s="27" t="s">
        <v>3520</v>
      </c>
      <c r="T1215" s="27"/>
      <c r="U1215" s="27">
        <v>7230</v>
      </c>
      <c r="V1215" s="27" t="s">
        <v>3521</v>
      </c>
      <c r="W1215" s="27" t="s">
        <v>3522</v>
      </c>
      <c r="X1215" s="128" t="s">
        <v>3523</v>
      </c>
      <c r="Y1215" s="73" t="str">
        <f>VLOOKUP(X1215,Choferes!B13:C410,2,FALSE)</f>
        <v>+55 55 9647-4500</v>
      </c>
      <c r="Z1215" s="73" t="s">
        <v>3524</v>
      </c>
    </row>
    <row r="1216" spans="1:26" hidden="1" x14ac:dyDescent="0.25">
      <c r="A1216" s="33">
        <v>14</v>
      </c>
      <c r="B1216" s="71" t="s">
        <v>29</v>
      </c>
      <c r="C1216" s="39" t="s">
        <v>3518</v>
      </c>
      <c r="D1216" s="106" t="s">
        <v>110</v>
      </c>
      <c r="E1216" s="47">
        <v>45752</v>
      </c>
      <c r="F1216" s="31" t="str">
        <f>VLOOKUP($C1216,Carpetas!$C$5:$M$2666,2,FALSE)</f>
        <v>BRB036</v>
      </c>
      <c r="G1216" s="23" t="str">
        <f>VLOOKUP($C1216,Carpetas!$C$5:$M$2666,10,FALSE)</f>
        <v>152,15,73</v>
      </c>
      <c r="H1216" s="27" t="str">
        <f>VLOOKUP($C1216,Carpetas!$C$5:$M$2666,6,FALSE)</f>
        <v>Zanini</v>
      </c>
      <c r="I1216" s="220"/>
      <c r="J1216" s="47">
        <f>E1216+2</f>
        <v>45754</v>
      </c>
      <c r="K1216" s="72" t="str">
        <f>VLOOKUP($C1216,Carpetas!$C$5:$M$2666,5,FALSE)</f>
        <v>Rio Branco</v>
      </c>
      <c r="L1216" s="32"/>
      <c r="M1216" s="48">
        <f t="shared" si="81"/>
        <v>45755</v>
      </c>
      <c r="N1216" s="26">
        <f t="shared" si="79"/>
        <v>3</v>
      </c>
      <c r="O1216" s="27">
        <v>918</v>
      </c>
      <c r="P1216" s="27">
        <v>919</v>
      </c>
      <c r="Q1216" s="27">
        <v>26</v>
      </c>
      <c r="R1216" s="27">
        <v>25</v>
      </c>
      <c r="S1216" s="27" t="s">
        <v>1662</v>
      </c>
      <c r="T1216" s="27"/>
      <c r="U1216" s="27">
        <v>5157</v>
      </c>
      <c r="V1216" s="27" t="s">
        <v>3525</v>
      </c>
      <c r="W1216" s="27" t="s">
        <v>3526</v>
      </c>
      <c r="X1216" s="128" t="s">
        <v>3527</v>
      </c>
      <c r="Y1216" s="73" t="str">
        <f>VLOOKUP(X1216,Choferes!B20:C417,2,FALSE)</f>
        <v>+5549999311377</v>
      </c>
      <c r="Z1216" s="73" t="s">
        <v>3528</v>
      </c>
    </row>
    <row r="1217" spans="1:26" hidden="1" x14ac:dyDescent="0.25">
      <c r="A1217" s="33">
        <v>14</v>
      </c>
      <c r="B1217" s="71" t="s">
        <v>298</v>
      </c>
      <c r="C1217" s="39" t="s">
        <v>299</v>
      </c>
      <c r="D1217" s="106" t="s">
        <v>249</v>
      </c>
      <c r="E1217" s="47">
        <v>45752</v>
      </c>
      <c r="F1217" s="31" t="str">
        <f>VLOOKUP($C1217,Carpetas!$C$5:$M$2666,2,FALSE)</f>
        <v>BRB</v>
      </c>
      <c r="G1217" s="23" t="e">
        <f>VLOOKUP($C1217,Carpetas!$C$5:$M$2666,9,FALSE)</f>
        <v>#REF!</v>
      </c>
      <c r="H1217" s="27" t="str">
        <f>VLOOKUP($C1217,Carpetas!$C$5:$M$2666,5,FALSE)</f>
        <v>xx</v>
      </c>
      <c r="I1217" s="220"/>
      <c r="J1217" s="47">
        <f>E1217+2</f>
        <v>45754</v>
      </c>
      <c r="K1217" s="72">
        <f>VLOOKUP($C1217,Carpetas!$C$5:$M$2666,4,FALSE)</f>
        <v>0</v>
      </c>
      <c r="L1217" s="32"/>
      <c r="M1217" s="48">
        <f t="shared" si="81"/>
        <v>45755</v>
      </c>
      <c r="N1217" s="26">
        <f t="shared" si="79"/>
        <v>3</v>
      </c>
      <c r="O1217" s="27">
        <v>918</v>
      </c>
      <c r="P1217" s="27"/>
      <c r="Q1217" s="27"/>
      <c r="R1217" s="27"/>
      <c r="S1217" s="27"/>
      <c r="T1217" s="27"/>
      <c r="U1217" s="27"/>
      <c r="V1217" s="27"/>
      <c r="W1217" s="27"/>
      <c r="X1217" s="128"/>
      <c r="Y1217" s="73" t="e">
        <f>VLOOKUP(X1217,Choferes!B18:C415,2,FALSE)</f>
        <v>#N/A</v>
      </c>
      <c r="Z1217" s="73"/>
    </row>
    <row r="1218" spans="1:26" hidden="1" x14ac:dyDescent="0.25">
      <c r="A1218" s="33">
        <v>14</v>
      </c>
      <c r="B1218" s="71" t="s">
        <v>29</v>
      </c>
      <c r="C1218" s="39" t="s">
        <v>3427</v>
      </c>
      <c r="D1218" s="106" t="s">
        <v>2474</v>
      </c>
      <c r="E1218" s="47">
        <v>45752</v>
      </c>
      <c r="F1218" s="31" t="str">
        <f>VLOOKUP($C1218,Carpetas!$C$5:$M$2666,2,FALSE)</f>
        <v>BRB029</v>
      </c>
      <c r="G1218" s="23" t="str">
        <f>VLOOKUP($C1218,Carpetas!$C$5:$M$2666,10,FALSE)</f>
        <v>152,2,48</v>
      </c>
      <c r="H1218" s="27" t="str">
        <f>VLOOKUP($C1218,Carpetas!$C$5:$M$2666,6,FALSE)</f>
        <v xml:space="preserve">Silvio </v>
      </c>
      <c r="I1218" s="220"/>
      <c r="J1218" s="47">
        <f>E1218+2</f>
        <v>45754</v>
      </c>
      <c r="K1218" s="72" t="str">
        <f>VLOOKUP($C1218,Carpetas!$C$5:$M$2666,5,FALSE)</f>
        <v>Rio Branco</v>
      </c>
      <c r="L1218" s="32"/>
      <c r="M1218" s="48">
        <f t="shared" si="81"/>
        <v>45755</v>
      </c>
      <c r="N1218" s="26">
        <f t="shared" si="79"/>
        <v>3</v>
      </c>
      <c r="O1218" s="27">
        <v>918</v>
      </c>
      <c r="P1218" s="27">
        <v>918</v>
      </c>
      <c r="Q1218" s="27">
        <v>26</v>
      </c>
      <c r="R1218" s="27">
        <v>25</v>
      </c>
      <c r="S1218" s="27" t="s">
        <v>3529</v>
      </c>
      <c r="T1218" s="27"/>
      <c r="U1218" s="27">
        <v>7353</v>
      </c>
      <c r="V1218" s="27" t="s">
        <v>3238</v>
      </c>
      <c r="W1218" s="27" t="s">
        <v>3239</v>
      </c>
      <c r="X1218" s="128" t="s">
        <v>3530</v>
      </c>
      <c r="Y1218" s="73" t="str">
        <f>VLOOKUP(X1218,Choferes!B17:C414,2,FALSE)</f>
        <v>+59897354091</v>
      </c>
      <c r="Z1218" s="73" t="s">
        <v>3531</v>
      </c>
    </row>
    <row r="1219" spans="1:26" ht="30" hidden="1" x14ac:dyDescent="0.25">
      <c r="A1219" s="33">
        <v>14</v>
      </c>
      <c r="B1219" s="71" t="s">
        <v>29</v>
      </c>
      <c r="C1219" s="39" t="s">
        <v>3476</v>
      </c>
      <c r="D1219" s="106" t="s">
        <v>747</v>
      </c>
      <c r="E1219" s="47">
        <v>45752</v>
      </c>
      <c r="F1219" s="31" t="str">
        <f>VLOOKUP($C1219,Carpetas!$C$5:$M$2666,2,FALSE)</f>
        <v>BRB034</v>
      </c>
      <c r="G1219" s="23" t="str">
        <f>VLOOKUP($C1219,Carpetas!$C$5:$M$2666,10,FALSE)</f>
        <v>152,02,47</v>
      </c>
      <c r="H1219" s="27" t="str">
        <f>VLOOKUP($C1219,Carpetas!$C$5:$M$2666,6,FALSE)</f>
        <v>Gral</v>
      </c>
      <c r="I1219" s="220"/>
      <c r="J1219" s="47">
        <f>E1219+2</f>
        <v>45754</v>
      </c>
      <c r="K1219" s="72" t="str">
        <f>VLOOKUP($C1219,Carpetas!$C$5:$M$2666,5,FALSE)</f>
        <v>Rio Branco</v>
      </c>
      <c r="L1219" s="32"/>
      <c r="M1219" s="48">
        <f t="shared" si="81"/>
        <v>45755</v>
      </c>
      <c r="N1219" s="26">
        <f t="shared" si="79"/>
        <v>3</v>
      </c>
      <c r="O1219" s="27">
        <v>918</v>
      </c>
      <c r="P1219" s="27">
        <v>919</v>
      </c>
      <c r="Q1219" s="27">
        <v>26</v>
      </c>
      <c r="R1219" s="27">
        <v>25</v>
      </c>
      <c r="S1219" s="27" t="s">
        <v>3532</v>
      </c>
      <c r="T1219" s="27"/>
      <c r="U1219" s="27">
        <v>7231</v>
      </c>
      <c r="V1219" s="27" t="s">
        <v>3533</v>
      </c>
      <c r="W1219" s="27" t="s">
        <v>3534</v>
      </c>
      <c r="X1219" s="128" t="s">
        <v>3535</v>
      </c>
      <c r="Y1219" s="73" t="str">
        <f>VLOOKUP(X1219,Choferes!B19:C416,2,FALSE)</f>
        <v>+55 13 99680-8940</v>
      </c>
      <c r="Z1219" s="73" t="s">
        <v>3536</v>
      </c>
    </row>
    <row r="1220" spans="1:26" hidden="1" x14ac:dyDescent="0.25">
      <c r="A1220" s="33">
        <v>14</v>
      </c>
      <c r="B1220" s="71" t="s">
        <v>29</v>
      </c>
      <c r="C1220" s="39" t="s">
        <v>3515</v>
      </c>
      <c r="D1220" s="106" t="s">
        <v>880</v>
      </c>
      <c r="E1220" s="47">
        <v>45752</v>
      </c>
      <c r="F1220" s="31" t="str">
        <f>VLOOKUP($C1220,Carpetas!$C$5:$M$2666,2,FALSE)</f>
        <v>BRB035</v>
      </c>
      <c r="G1220" s="23" t="str">
        <f>VLOOKUP($C1220,Carpetas!$C$5:$M$2666,10,FALSE)</f>
        <v>152,15,75</v>
      </c>
      <c r="H1220" s="27" t="str">
        <f>VLOOKUP($C1220,Carpetas!$C$5:$M$2666,6,FALSE)</f>
        <v>FG</v>
      </c>
      <c r="I1220" s="220"/>
      <c r="J1220" s="47">
        <f>E1220+2</f>
        <v>45754</v>
      </c>
      <c r="K1220" s="72" t="str">
        <f>VLOOKUP($C1220,Carpetas!$C$5:$M$2666,5,FALSE)</f>
        <v>Rio Branco</v>
      </c>
      <c r="L1220" s="32"/>
      <c r="M1220" s="48">
        <f t="shared" si="81"/>
        <v>45755</v>
      </c>
      <c r="N1220" s="26">
        <f t="shared" si="79"/>
        <v>3</v>
      </c>
      <c r="O1220" s="27">
        <v>990</v>
      </c>
      <c r="P1220" s="27">
        <v>990</v>
      </c>
      <c r="Q1220" s="27">
        <v>28</v>
      </c>
      <c r="R1220" s="27">
        <v>26</v>
      </c>
      <c r="S1220" s="27" t="s">
        <v>1243</v>
      </c>
      <c r="T1220" s="27"/>
      <c r="U1220" s="27">
        <v>726</v>
      </c>
      <c r="V1220" s="27" t="s">
        <v>1680</v>
      </c>
      <c r="W1220" s="27" t="s">
        <v>1681</v>
      </c>
      <c r="X1220" s="128" t="s">
        <v>1465</v>
      </c>
      <c r="Y1220" s="73" t="str">
        <f>VLOOKUP(X1220,Choferes!B22:C419,2,FALSE)</f>
        <v>+59893339027</v>
      </c>
      <c r="Z1220" s="73" t="s">
        <v>3537</v>
      </c>
    </row>
    <row r="1221" spans="1:26" hidden="1" x14ac:dyDescent="0.25">
      <c r="A1221" s="33">
        <v>14</v>
      </c>
      <c r="B1221" s="71" t="s">
        <v>29</v>
      </c>
      <c r="C1221" s="39" t="s">
        <v>3515</v>
      </c>
      <c r="D1221" s="106" t="s">
        <v>78</v>
      </c>
      <c r="E1221" s="47">
        <v>45753</v>
      </c>
      <c r="F1221" s="31" t="str">
        <f>VLOOKUP($C1221,Carpetas!$C$5:$M$2666,2,FALSE)</f>
        <v>BRB035</v>
      </c>
      <c r="G1221" s="23" t="str">
        <f>VLOOKUP($C1221,Carpetas!$C$5:$M$2666,10,FALSE)</f>
        <v>152,15,75</v>
      </c>
      <c r="H1221" s="27" t="str">
        <f>VLOOKUP($C1221,Carpetas!$C$5:$M$2666,6,FALSE)</f>
        <v>FG</v>
      </c>
      <c r="I1221" s="220"/>
      <c r="J1221" s="47">
        <v>45754</v>
      </c>
      <c r="K1221" s="72" t="str">
        <f>VLOOKUP($C1221,Carpetas!$C$5:$M$2666,5,FALSE)</f>
        <v>Rio Branco</v>
      </c>
      <c r="L1221" s="32"/>
      <c r="M1221" s="48">
        <f t="shared" si="81"/>
        <v>45755</v>
      </c>
      <c r="N1221" s="26">
        <f t="shared" ref="N1221:N1284" si="82">IF(E1221&lt;&gt;"",M1221-E1221,"-")</f>
        <v>2</v>
      </c>
      <c r="O1221" s="27">
        <v>990</v>
      </c>
      <c r="P1221" s="27">
        <v>991</v>
      </c>
      <c r="Q1221" s="27">
        <v>28</v>
      </c>
      <c r="R1221" s="27">
        <v>26</v>
      </c>
      <c r="S1221" s="27" t="s">
        <v>447</v>
      </c>
      <c r="T1221" s="27"/>
      <c r="U1221" s="27">
        <v>729</v>
      </c>
      <c r="V1221" s="27" t="s">
        <v>1657</v>
      </c>
      <c r="W1221" s="27" t="s">
        <v>1815</v>
      </c>
      <c r="X1221" s="128" t="s">
        <v>1468</v>
      </c>
      <c r="Y1221" s="73" t="str">
        <f>VLOOKUP(X1221,Choferes!B3:C400,2,FALSE)</f>
        <v>+5553984274141</v>
      </c>
      <c r="Z1221" s="73" t="s">
        <v>3538</v>
      </c>
    </row>
    <row r="1222" spans="1:26" hidden="1" x14ac:dyDescent="0.25">
      <c r="A1222" s="33">
        <v>14</v>
      </c>
      <c r="B1222" s="71" t="s">
        <v>29</v>
      </c>
      <c r="C1222" s="39" t="s">
        <v>3515</v>
      </c>
      <c r="D1222" s="106" t="s">
        <v>803</v>
      </c>
      <c r="E1222" s="47">
        <v>45753</v>
      </c>
      <c r="F1222" s="31" t="str">
        <f>VLOOKUP($C1222,Carpetas!$C$5:$M$2666,2,FALSE)</f>
        <v>BRB035</v>
      </c>
      <c r="G1222" s="23" t="str">
        <f>VLOOKUP($C1222,Carpetas!$C$5:$M$2666,10,FALSE)</f>
        <v>152,15,75</v>
      </c>
      <c r="H1222" s="27" t="str">
        <f>VLOOKUP($C1222,Carpetas!$C$5:$M$2666,6,FALSE)</f>
        <v>FG</v>
      </c>
      <c r="I1222" s="220"/>
      <c r="J1222" s="47">
        <v>45754</v>
      </c>
      <c r="K1222" s="72" t="str">
        <f>VLOOKUP($C1222,Carpetas!$C$5:$M$2666,5,FALSE)</f>
        <v>Rio Branco</v>
      </c>
      <c r="L1222" s="32"/>
      <c r="M1222" s="48">
        <f t="shared" si="81"/>
        <v>45755</v>
      </c>
      <c r="N1222" s="26">
        <f t="shared" si="82"/>
        <v>2</v>
      </c>
      <c r="O1222" s="27">
        <v>990</v>
      </c>
      <c r="P1222" s="27">
        <v>990</v>
      </c>
      <c r="Q1222" s="27">
        <v>28</v>
      </c>
      <c r="R1222" s="27">
        <v>25</v>
      </c>
      <c r="S1222" s="27" t="s">
        <v>1582</v>
      </c>
      <c r="T1222" s="27"/>
      <c r="U1222" s="27">
        <v>727</v>
      </c>
      <c r="V1222" s="27" t="s">
        <v>1430</v>
      </c>
      <c r="W1222" s="27" t="s">
        <v>1669</v>
      </c>
      <c r="X1222" s="128" t="s">
        <v>1923</v>
      </c>
      <c r="Y1222" s="73" t="str">
        <f>VLOOKUP(X1222,Choferes!B21:C418,2,FALSE)</f>
        <v>+5553999049426</v>
      </c>
      <c r="Z1222" s="73" t="s">
        <v>3539</v>
      </c>
    </row>
    <row r="1223" spans="1:26" hidden="1" x14ac:dyDescent="0.25">
      <c r="A1223" s="33">
        <v>15</v>
      </c>
      <c r="B1223" s="71" t="s">
        <v>29</v>
      </c>
      <c r="C1223" s="39" t="s">
        <v>3515</v>
      </c>
      <c r="D1223" s="106" t="s">
        <v>747</v>
      </c>
      <c r="E1223" s="47">
        <v>45754</v>
      </c>
      <c r="F1223" s="31" t="str">
        <f>VLOOKUP($C1223,Carpetas!$C$5:$M$2666,2,FALSE)</f>
        <v>BRB035</v>
      </c>
      <c r="G1223" s="23" t="str">
        <f>VLOOKUP($C1223,Carpetas!$C$5:$M$2666,10,FALSE)</f>
        <v>152,15,75</v>
      </c>
      <c r="H1223" s="27" t="str">
        <f>VLOOKUP($C1223,Carpetas!$C$5:$M$2666,6,FALSE)</f>
        <v>FG</v>
      </c>
      <c r="I1223" s="220"/>
      <c r="J1223" s="47">
        <f>E1223+2</f>
        <v>45756</v>
      </c>
      <c r="K1223" s="72" t="str">
        <f>VLOOKUP($C1223,Carpetas!$C$5:$M$2666,5,FALSE)</f>
        <v>Rio Branco</v>
      </c>
      <c r="L1223" s="32"/>
      <c r="M1223" s="48">
        <f t="shared" si="81"/>
        <v>45757</v>
      </c>
      <c r="N1223" s="26">
        <f t="shared" si="82"/>
        <v>3</v>
      </c>
      <c r="O1223" s="27">
        <v>990</v>
      </c>
      <c r="P1223" s="27">
        <v>991</v>
      </c>
      <c r="Q1223" s="27">
        <v>28</v>
      </c>
      <c r="R1223" s="27">
        <v>26</v>
      </c>
      <c r="S1223" s="27" t="s">
        <v>2094</v>
      </c>
      <c r="T1223" s="27"/>
      <c r="U1223" s="27">
        <v>730</v>
      </c>
      <c r="V1223" s="27" t="s">
        <v>1645</v>
      </c>
      <c r="W1223" s="27" t="s">
        <v>1934</v>
      </c>
      <c r="X1223" s="128" t="s">
        <v>1935</v>
      </c>
      <c r="Y1223" s="73" t="str">
        <f>VLOOKUP(X1223,Choferes!B14:C411,2,FALSE)</f>
        <v>+5554984377792</v>
      </c>
      <c r="Z1223" s="73" t="s">
        <v>3540</v>
      </c>
    </row>
    <row r="1224" spans="1:26" ht="30" hidden="1" x14ac:dyDescent="0.25">
      <c r="A1224" s="33">
        <v>15</v>
      </c>
      <c r="B1224" s="71" t="s">
        <v>29</v>
      </c>
      <c r="C1224" s="39" t="s">
        <v>3541</v>
      </c>
      <c r="D1224" s="106" t="s">
        <v>803</v>
      </c>
      <c r="E1224" s="47">
        <v>45754</v>
      </c>
      <c r="F1224" s="31" t="str">
        <f>VLOOKUP($C1224,Carpetas!$C$5:$M$2666,2,FALSE)</f>
        <v>BRB037</v>
      </c>
      <c r="G1224" s="23" t="str">
        <f>VLOOKUP($C1224,Carpetas!$C$5:$M$2666,10,FALSE)</f>
        <v>152,15,74</v>
      </c>
      <c r="H1224" s="27" t="str">
        <f>VLOOKUP($C1224,Carpetas!$C$5:$M$2666,6,FALSE)</f>
        <v xml:space="preserve">Silvio </v>
      </c>
      <c r="I1224" s="220"/>
      <c r="J1224" s="47">
        <f>E1224+2</f>
        <v>45756</v>
      </c>
      <c r="K1224" s="72" t="str">
        <f>VLOOKUP($C1224,Carpetas!$C$5:$M$2666,5,FALSE)</f>
        <v>Rio Branco</v>
      </c>
      <c r="L1224" s="32"/>
      <c r="M1224" s="48">
        <f t="shared" si="81"/>
        <v>45757</v>
      </c>
      <c r="N1224" s="26">
        <f t="shared" si="82"/>
        <v>3</v>
      </c>
      <c r="O1224" s="27">
        <v>918</v>
      </c>
      <c r="P1224" s="27">
        <v>918</v>
      </c>
      <c r="Q1224" s="27">
        <v>26</v>
      </c>
      <c r="R1224" s="27">
        <v>25</v>
      </c>
      <c r="S1224" s="27" t="s">
        <v>3542</v>
      </c>
      <c r="T1224" s="27"/>
      <c r="U1224" s="27">
        <v>7367</v>
      </c>
      <c r="V1224" s="27" t="s">
        <v>3543</v>
      </c>
      <c r="W1224" s="27" t="s">
        <v>3544</v>
      </c>
      <c r="X1224" s="128" t="s">
        <v>3545</v>
      </c>
      <c r="Y1224" s="73" t="str">
        <f>VLOOKUP(X1224,Choferes!B6:C403,2,FALSE)</f>
        <v>+5553999763332</v>
      </c>
      <c r="Z1224" s="73" t="s">
        <v>3546</v>
      </c>
    </row>
    <row r="1225" spans="1:26" hidden="1" x14ac:dyDescent="0.25">
      <c r="A1225" s="33">
        <v>15</v>
      </c>
      <c r="B1225" s="71" t="s">
        <v>29</v>
      </c>
      <c r="C1225" s="39" t="s">
        <v>3456</v>
      </c>
      <c r="D1225" s="106" t="s">
        <v>78</v>
      </c>
      <c r="E1225" s="47">
        <v>45755</v>
      </c>
      <c r="F1225" s="31" t="str">
        <f>VLOOKUP($C1225,Carpetas!$C$5:$M$2666,2,FALSE)</f>
        <v>BRB031</v>
      </c>
      <c r="G1225" s="23" t="str">
        <f>VLOOKUP($C1225,Carpetas!$C$5:$M$2666,10,FALSE)</f>
        <v>152,02,50</v>
      </c>
      <c r="H1225" s="27" t="str">
        <f>VLOOKUP($C1225,Carpetas!$C$5:$M$2666,6,FALSE)</f>
        <v>Amaro</v>
      </c>
      <c r="I1225" s="220"/>
      <c r="J1225" s="47">
        <v>45756</v>
      </c>
      <c r="K1225" s="72" t="str">
        <f>VLOOKUP($C1225,Carpetas!$C$5:$M$2666,5,FALSE)</f>
        <v>Rio Branco</v>
      </c>
      <c r="L1225" s="32"/>
      <c r="M1225" s="48">
        <f t="shared" si="81"/>
        <v>45757</v>
      </c>
      <c r="N1225" s="26">
        <f t="shared" si="82"/>
        <v>2</v>
      </c>
      <c r="O1225" s="27">
        <v>990</v>
      </c>
      <c r="P1225" s="27">
        <v>990</v>
      </c>
      <c r="Q1225" s="27">
        <v>28</v>
      </c>
      <c r="R1225" s="27">
        <v>26</v>
      </c>
      <c r="S1225" s="27" t="s">
        <v>3547</v>
      </c>
      <c r="T1225" s="27"/>
      <c r="U1225" s="27">
        <v>25890</v>
      </c>
      <c r="V1225" s="27" t="s">
        <v>3283</v>
      </c>
      <c r="W1225" s="27" t="s">
        <v>3284</v>
      </c>
      <c r="X1225" s="128" t="s">
        <v>3548</v>
      </c>
      <c r="Y1225" s="73" t="str">
        <f>VLOOKUP(X1225,Choferes!B12:C409,2,FALSE)</f>
        <v>+55 53 9997-3438</v>
      </c>
      <c r="Z1225" s="73" t="s">
        <v>3549</v>
      </c>
    </row>
    <row r="1226" spans="1:26" hidden="1" x14ac:dyDescent="0.25">
      <c r="A1226" s="33">
        <v>15</v>
      </c>
      <c r="B1226" s="71" t="s">
        <v>29</v>
      </c>
      <c r="C1226" s="39" t="s">
        <v>3515</v>
      </c>
      <c r="D1226" s="106" t="s">
        <v>803</v>
      </c>
      <c r="E1226" s="47">
        <v>45755</v>
      </c>
      <c r="F1226" s="31" t="str">
        <f>VLOOKUP($C1226,Carpetas!$C$5:$M$2666,2,FALSE)</f>
        <v>BRB035</v>
      </c>
      <c r="G1226" s="23" t="str">
        <f>VLOOKUP($C1226,Carpetas!$C$5:$M$2666,10,FALSE)</f>
        <v>152,15,75</v>
      </c>
      <c r="H1226" s="27" t="str">
        <f>VLOOKUP($C1226,Carpetas!$C$5:$M$2666,6,FALSE)</f>
        <v>FG</v>
      </c>
      <c r="I1226" s="220"/>
      <c r="J1226" s="47">
        <v>45756</v>
      </c>
      <c r="K1226" s="72" t="str">
        <f>VLOOKUP($C1226,Carpetas!$C$5:$M$2666,5,FALSE)</f>
        <v>Rio Branco</v>
      </c>
      <c r="L1226" s="32"/>
      <c r="M1226" s="48">
        <f t="shared" si="81"/>
        <v>45757</v>
      </c>
      <c r="N1226" s="26">
        <f t="shared" si="82"/>
        <v>2</v>
      </c>
      <c r="O1226" s="27">
        <v>990</v>
      </c>
      <c r="P1226" s="27">
        <v>990</v>
      </c>
      <c r="Q1226" s="27">
        <v>28</v>
      </c>
      <c r="R1226" s="27">
        <v>26</v>
      </c>
      <c r="S1226" s="27" t="s">
        <v>1595</v>
      </c>
      <c r="T1226" s="27"/>
      <c r="U1226" s="27">
        <v>733</v>
      </c>
      <c r="V1226" s="27" t="s">
        <v>2339</v>
      </c>
      <c r="W1226" s="27" t="s">
        <v>2340</v>
      </c>
      <c r="X1226" s="128" t="s">
        <v>3550</v>
      </c>
      <c r="Y1226" s="73" t="str">
        <f>VLOOKUP(X1226,Choferes!B16:C413,2,FALSE)</f>
        <v>+55 53 8484-4541</v>
      </c>
      <c r="Z1226" s="73" t="s">
        <v>3551</v>
      </c>
    </row>
    <row r="1227" spans="1:26" ht="30" hidden="1" x14ac:dyDescent="0.25">
      <c r="A1227" s="33">
        <v>15</v>
      </c>
      <c r="B1227" s="71" t="s">
        <v>29</v>
      </c>
      <c r="C1227" s="39" t="s">
        <v>3552</v>
      </c>
      <c r="D1227" s="106" t="s">
        <v>38</v>
      </c>
      <c r="E1227" s="47">
        <v>45754</v>
      </c>
      <c r="F1227" s="31" t="str">
        <f>VLOOKUP($C1227,Carpetas!$C$5:$M$2666,2,FALSE)</f>
        <v>BRE012</v>
      </c>
      <c r="G1227" s="23" t="str">
        <f>VLOOKUP($C1227,Carpetas!$C$5:$M$2666,10,FALSE)</f>
        <v>1521862/1521860/1522126/1521868</v>
      </c>
      <c r="H1227" s="27" t="str">
        <f>VLOOKUP($C1227,Carpetas!$C$5:$M$2666,6,FALSE)</f>
        <v>VPM</v>
      </c>
      <c r="I1227" s="220">
        <f>VLOOKUP($C1227,Carpetas!$C$5:$M$2666,4,FALSE)</f>
        <v>0</v>
      </c>
      <c r="J1227" s="47">
        <v>45757</v>
      </c>
      <c r="K1227" s="72" t="str">
        <f>VLOOKUP($C1227,Carpetas!$C$5:$M$2666,5,FALSE)</f>
        <v>Chuy</v>
      </c>
      <c r="L1227" s="32"/>
      <c r="M1227" s="48">
        <f t="shared" si="81"/>
        <v>45758</v>
      </c>
      <c r="N1227" s="26">
        <f t="shared" si="82"/>
        <v>4</v>
      </c>
      <c r="O1227" s="27">
        <v>1224</v>
      </c>
      <c r="P1227" s="27">
        <v>1224</v>
      </c>
      <c r="Q1227" s="27">
        <v>27</v>
      </c>
      <c r="R1227" s="27">
        <v>25</v>
      </c>
      <c r="S1227" s="27" t="s">
        <v>3553</v>
      </c>
      <c r="T1227" s="27"/>
      <c r="U1227" s="27"/>
      <c r="V1227" s="27" t="s">
        <v>3554</v>
      </c>
      <c r="W1227" s="27" t="s">
        <v>3555</v>
      </c>
      <c r="X1227" s="128"/>
      <c r="Y1227" s="73" t="e">
        <f>VLOOKUP(X1227,Choferes!B23:C420,2,FALSE)</f>
        <v>#N/A</v>
      </c>
      <c r="Z1227" s="73" t="s">
        <v>3556</v>
      </c>
    </row>
    <row r="1228" spans="1:26" hidden="1" x14ac:dyDescent="0.25">
      <c r="A1228" s="33">
        <v>15</v>
      </c>
      <c r="B1228" s="71" t="s">
        <v>29</v>
      </c>
      <c r="C1228" s="39" t="s">
        <v>3518</v>
      </c>
      <c r="D1228" s="106" t="s">
        <v>110</v>
      </c>
      <c r="E1228" s="47">
        <v>45755</v>
      </c>
      <c r="F1228" s="31" t="str">
        <f>VLOOKUP($C1228,Carpetas!$C$5:$M$2666,2,FALSE)</f>
        <v>BRB036</v>
      </c>
      <c r="G1228" s="23" t="str">
        <f>VLOOKUP($C1228,Carpetas!$C$5:$M$2666,10,FALSE)</f>
        <v>152,15,73</v>
      </c>
      <c r="H1228" s="27" t="str">
        <f>VLOOKUP($C1228,Carpetas!$C$5:$M$2666,6,FALSE)</f>
        <v>Zanini</v>
      </c>
      <c r="I1228" s="220"/>
      <c r="J1228" s="47">
        <f>E1228+2</f>
        <v>45757</v>
      </c>
      <c r="K1228" s="72" t="str">
        <f>VLOOKUP($C1228,Carpetas!$C$5:$M$2666,5,FALSE)</f>
        <v>Rio Branco</v>
      </c>
      <c r="L1228" s="32"/>
      <c r="M1228" s="48">
        <f t="shared" si="81"/>
        <v>45758</v>
      </c>
      <c r="N1228" s="26">
        <f t="shared" si="82"/>
        <v>3</v>
      </c>
      <c r="O1228" s="27">
        <v>918</v>
      </c>
      <c r="P1228" s="27">
        <v>919</v>
      </c>
      <c r="Q1228" s="27">
        <v>26</v>
      </c>
      <c r="R1228" s="27">
        <v>25</v>
      </c>
      <c r="S1228" s="27" t="s">
        <v>1713</v>
      </c>
      <c r="T1228" s="27"/>
      <c r="U1228" s="27">
        <v>5160</v>
      </c>
      <c r="V1228" s="27" t="s">
        <v>936</v>
      </c>
      <c r="W1228" s="27" t="s">
        <v>937</v>
      </c>
      <c r="X1228" s="128" t="s">
        <v>3557</v>
      </c>
      <c r="Y1228" s="73" t="str">
        <f>VLOOKUP(X1228,Choferes!B7:C404,2,FALSE)</f>
        <v>+5542991364160</v>
      </c>
      <c r="Z1228" s="73" t="s">
        <v>3558</v>
      </c>
    </row>
    <row r="1229" spans="1:26" hidden="1" x14ac:dyDescent="0.25">
      <c r="A1229" s="33">
        <v>15</v>
      </c>
      <c r="B1229" s="71" t="s">
        <v>29</v>
      </c>
      <c r="C1229" s="39" t="s">
        <v>3515</v>
      </c>
      <c r="D1229" s="106" t="s">
        <v>249</v>
      </c>
      <c r="E1229" s="47">
        <v>45755</v>
      </c>
      <c r="F1229" s="31" t="str">
        <f>VLOOKUP($C1229,Carpetas!$C$5:$M$2666,2,FALSE)</f>
        <v>BRB035</v>
      </c>
      <c r="G1229" s="23" t="str">
        <f>VLOOKUP($C1229,Carpetas!$C$5:$M$2666,10,FALSE)</f>
        <v>152,15,75</v>
      </c>
      <c r="H1229" s="27" t="str">
        <f>VLOOKUP($C1229,Carpetas!$C$5:$M$2666,6,FALSE)</f>
        <v>FG</v>
      </c>
      <c r="I1229" s="220"/>
      <c r="J1229" s="47">
        <f>E1229+2</f>
        <v>45757</v>
      </c>
      <c r="K1229" s="72" t="str">
        <f>VLOOKUP($C1229,Carpetas!$C$5:$M$2666,5,FALSE)</f>
        <v>Rio Branco</v>
      </c>
      <c r="L1229" s="32"/>
      <c r="M1229" s="48">
        <f t="shared" si="81"/>
        <v>45758</v>
      </c>
      <c r="N1229" s="26">
        <f t="shared" si="82"/>
        <v>3</v>
      </c>
      <c r="O1229" s="27">
        <v>990</v>
      </c>
      <c r="P1229" s="27">
        <v>990</v>
      </c>
      <c r="Q1229" s="27">
        <v>28</v>
      </c>
      <c r="R1229" s="27">
        <v>25</v>
      </c>
      <c r="S1229" s="27" t="s">
        <v>2523</v>
      </c>
      <c r="T1229" s="27"/>
      <c r="U1229" s="27">
        <v>734</v>
      </c>
      <c r="V1229" s="27" t="s">
        <v>3411</v>
      </c>
      <c r="W1229" s="27" t="s">
        <v>3412</v>
      </c>
      <c r="X1229" s="128" t="s">
        <v>3559</v>
      </c>
      <c r="Y1229" s="73" t="str">
        <f>VLOOKUP(X1229,Choferes!B15:C412,2,FALSE)</f>
        <v>+55 53 9713-4372</v>
      </c>
      <c r="Z1229" s="73" t="s">
        <v>3560</v>
      </c>
    </row>
    <row r="1230" spans="1:26" hidden="1" x14ac:dyDescent="0.25">
      <c r="A1230" s="33">
        <v>15</v>
      </c>
      <c r="B1230" s="71" t="s">
        <v>29</v>
      </c>
      <c r="C1230" s="39" t="s">
        <v>3515</v>
      </c>
      <c r="D1230" s="106" t="s">
        <v>803</v>
      </c>
      <c r="E1230" s="47">
        <v>45755</v>
      </c>
      <c r="F1230" s="31" t="str">
        <f>VLOOKUP($C1230,Carpetas!$C$5:$M$2666,2,FALSE)</f>
        <v>BRB035</v>
      </c>
      <c r="G1230" s="23" t="str">
        <f>VLOOKUP($C1230,Carpetas!$C$5:$M$2666,10,FALSE)</f>
        <v>152,15,75</v>
      </c>
      <c r="H1230" s="27" t="str">
        <f>VLOOKUP($C1230,Carpetas!$C$5:$M$2666,6,FALSE)</f>
        <v>FG</v>
      </c>
      <c r="I1230" s="220"/>
      <c r="J1230" s="47">
        <f>E1230+2</f>
        <v>45757</v>
      </c>
      <c r="K1230" s="72" t="str">
        <f>VLOOKUP($C1230,Carpetas!$C$5:$M$2666,5,FALSE)</f>
        <v>Rio Branco</v>
      </c>
      <c r="L1230" s="32"/>
      <c r="M1230" s="48">
        <f t="shared" si="81"/>
        <v>45758</v>
      </c>
      <c r="N1230" s="26">
        <f t="shared" si="82"/>
        <v>3</v>
      </c>
      <c r="O1230" s="27">
        <v>990</v>
      </c>
      <c r="P1230" s="27">
        <v>990</v>
      </c>
      <c r="Q1230" s="27">
        <v>28</v>
      </c>
      <c r="R1230" s="27">
        <v>26</v>
      </c>
      <c r="S1230" s="27" t="s">
        <v>1648</v>
      </c>
      <c r="T1230" s="27"/>
      <c r="U1230" s="27">
        <v>736</v>
      </c>
      <c r="V1230" s="27" t="s">
        <v>1649</v>
      </c>
      <c r="W1230" s="27" t="s">
        <v>1650</v>
      </c>
      <c r="X1230" s="128" t="s">
        <v>1462</v>
      </c>
      <c r="Y1230" s="73" t="str">
        <f>VLOOKUP(X1230,Choferes!B18:C415,2,FALSE)</f>
        <v>+5553997081676</v>
      </c>
      <c r="Z1230" s="73" t="s">
        <v>3561</v>
      </c>
    </row>
    <row r="1231" spans="1:26" hidden="1" x14ac:dyDescent="0.25">
      <c r="A1231" s="33">
        <v>15</v>
      </c>
      <c r="B1231" s="71" t="s">
        <v>29</v>
      </c>
      <c r="C1231" s="39" t="s">
        <v>3541</v>
      </c>
      <c r="D1231" s="106" t="s">
        <v>2474</v>
      </c>
      <c r="E1231" s="47">
        <v>45756</v>
      </c>
      <c r="F1231" s="31" t="str">
        <f>VLOOKUP($C1231,Carpetas!$C$5:$M$2666,2,FALSE)</f>
        <v>BRB037</v>
      </c>
      <c r="G1231" s="23" t="str">
        <f>VLOOKUP($C1231,Carpetas!$C$5:$M$2666,10,FALSE)</f>
        <v>152,15,74</v>
      </c>
      <c r="H1231" s="27" t="str">
        <f>VLOOKUP($C1231,Carpetas!$C$5:$M$2666,6,FALSE)</f>
        <v xml:space="preserve">Silvio </v>
      </c>
      <c r="I1231" s="220"/>
      <c r="J1231" s="47">
        <f>E1231+1</f>
        <v>45757</v>
      </c>
      <c r="K1231" s="72" t="str">
        <f>VLOOKUP($C1231,Carpetas!$C$5:$M$2666,5,FALSE)</f>
        <v>Rio Branco</v>
      </c>
      <c r="L1231" s="32"/>
      <c r="M1231" s="48">
        <f t="shared" si="81"/>
        <v>45758</v>
      </c>
      <c r="N1231" s="26">
        <f t="shared" si="82"/>
        <v>2</v>
      </c>
      <c r="O1231" s="27">
        <v>918</v>
      </c>
      <c r="P1231" s="27">
        <v>918</v>
      </c>
      <c r="Q1231" s="27">
        <v>26</v>
      </c>
      <c r="R1231" s="27">
        <v>25</v>
      </c>
      <c r="S1231" s="27" t="s">
        <v>3562</v>
      </c>
      <c r="T1231" s="27"/>
      <c r="U1231" s="27">
        <v>7368</v>
      </c>
      <c r="V1231" s="27" t="s">
        <v>721</v>
      </c>
      <c r="W1231" s="27" t="s">
        <v>722</v>
      </c>
      <c r="X1231" s="128" t="s">
        <v>3563</v>
      </c>
      <c r="Y1231" s="73" t="str">
        <f>VLOOKUP(X1231,Choferes!B4:C401,2,FALSE)</f>
        <v>+55 41 9259-9136</v>
      </c>
      <c r="Z1231" s="73" t="s">
        <v>3564</v>
      </c>
    </row>
    <row r="1232" spans="1:26" hidden="1" x14ac:dyDescent="0.25">
      <c r="A1232" s="33">
        <v>15</v>
      </c>
      <c r="B1232" s="71" t="s">
        <v>29</v>
      </c>
      <c r="C1232" s="39" t="s">
        <v>3515</v>
      </c>
      <c r="D1232" s="106" t="s">
        <v>747</v>
      </c>
      <c r="E1232" s="47">
        <v>45756</v>
      </c>
      <c r="F1232" s="31" t="str">
        <f>VLOOKUP($C1232,Carpetas!$C$5:$M$2666,2,FALSE)</f>
        <v>BRB035</v>
      </c>
      <c r="G1232" s="23" t="str">
        <f>VLOOKUP($C1232,Carpetas!$C$5:$M$2666,10,FALSE)</f>
        <v>152,15,75</v>
      </c>
      <c r="H1232" s="27" t="str">
        <f>VLOOKUP($C1232,Carpetas!$C$5:$M$2666,6,FALSE)</f>
        <v>FG</v>
      </c>
      <c r="I1232" s="220"/>
      <c r="J1232" s="47">
        <f>E1232+1</f>
        <v>45757</v>
      </c>
      <c r="K1232" s="72" t="str">
        <f>VLOOKUP($C1232,Carpetas!$C$5:$M$2666,5,FALSE)</f>
        <v>Rio Branco</v>
      </c>
      <c r="L1232" s="32"/>
      <c r="M1232" s="48">
        <f t="shared" si="81"/>
        <v>45758</v>
      </c>
      <c r="N1232" s="26">
        <f t="shared" si="82"/>
        <v>2</v>
      </c>
      <c r="O1232" s="27">
        <v>990</v>
      </c>
      <c r="P1232" s="27">
        <v>991</v>
      </c>
      <c r="Q1232" s="27">
        <v>28</v>
      </c>
      <c r="R1232" s="27">
        <v>26</v>
      </c>
      <c r="S1232" s="27" t="s">
        <v>3565</v>
      </c>
      <c r="T1232" s="27"/>
      <c r="U1232" s="27">
        <v>737</v>
      </c>
      <c r="V1232" s="27" t="s">
        <v>1617</v>
      </c>
      <c r="W1232" s="27" t="s">
        <v>1618</v>
      </c>
      <c r="X1232" s="128" t="s">
        <v>1619</v>
      </c>
      <c r="Y1232" s="73" t="str">
        <f>VLOOKUP(X1232,Choferes!B17:C414,2,FALSE)</f>
        <v>+5553984318842</v>
      </c>
      <c r="Z1232" s="73" t="s">
        <v>3566</v>
      </c>
    </row>
    <row r="1233" spans="1:26" ht="30" hidden="1" x14ac:dyDescent="0.25">
      <c r="A1233" s="33">
        <v>15</v>
      </c>
      <c r="B1233" s="71" t="s">
        <v>29</v>
      </c>
      <c r="C1233" s="39" t="s">
        <v>3541</v>
      </c>
      <c r="D1233" s="106" t="s">
        <v>803</v>
      </c>
      <c r="E1233" s="47">
        <v>45756</v>
      </c>
      <c r="F1233" s="31" t="str">
        <f>VLOOKUP($C1233,Carpetas!$C$5:$M$2666,2,FALSE)</f>
        <v>BRB037</v>
      </c>
      <c r="G1233" s="23" t="str">
        <f>VLOOKUP($C1233,Carpetas!$C$5:$M$2666,10,FALSE)</f>
        <v>152,15,74</v>
      </c>
      <c r="H1233" s="27" t="str">
        <f>VLOOKUP($C1233,Carpetas!$C$5:$M$2666,6,FALSE)</f>
        <v xml:space="preserve">Silvio </v>
      </c>
      <c r="I1233" s="220"/>
      <c r="J1233" s="47">
        <f>E1233+1</f>
        <v>45757</v>
      </c>
      <c r="K1233" s="72" t="str">
        <f>VLOOKUP($C1233,Carpetas!$C$5:$M$2666,5,FALSE)</f>
        <v>Rio Branco</v>
      </c>
      <c r="L1233" s="32"/>
      <c r="M1233" s="48">
        <f t="shared" si="81"/>
        <v>45758</v>
      </c>
      <c r="N1233" s="26">
        <f t="shared" si="82"/>
        <v>2</v>
      </c>
      <c r="O1233" s="27">
        <v>918</v>
      </c>
      <c r="P1233" s="27">
        <v>918</v>
      </c>
      <c r="Q1233" s="27">
        <v>26</v>
      </c>
      <c r="R1233" s="27">
        <v>25</v>
      </c>
      <c r="S1233" s="27" t="s">
        <v>1676</v>
      </c>
      <c r="T1233" s="27"/>
      <c r="U1233" s="27">
        <v>7369</v>
      </c>
      <c r="V1233" s="27" t="s">
        <v>3567</v>
      </c>
      <c r="W1233" s="27" t="s">
        <v>3568</v>
      </c>
      <c r="X1233" s="128" t="s">
        <v>3569</v>
      </c>
      <c r="Y1233" s="73" t="str">
        <f>VLOOKUP(X1233,Choferes!B5:C402,2,FALSE)</f>
        <v>+55 54 9991-5699</v>
      </c>
      <c r="Z1233" s="73" t="s">
        <v>3570</v>
      </c>
    </row>
    <row r="1234" spans="1:26" ht="30" hidden="1" x14ac:dyDescent="0.25">
      <c r="A1234" s="33">
        <v>15</v>
      </c>
      <c r="B1234" s="71" t="s">
        <v>29</v>
      </c>
      <c r="C1234" s="39" t="s">
        <v>3571</v>
      </c>
      <c r="D1234" s="106" t="s">
        <v>78</v>
      </c>
      <c r="E1234" s="47">
        <v>45756</v>
      </c>
      <c r="F1234" s="31" t="str">
        <f>VLOOKUP($C1234,Carpetas!$C$5:$M$2666,2,FALSE)</f>
        <v>BRB039</v>
      </c>
      <c r="G1234" s="23" t="str">
        <f>VLOOKUP($C1234,Carpetas!$C$5:$M$2666,10,FALSE)</f>
        <v>152,22,72</v>
      </c>
      <c r="H1234" s="27" t="str">
        <f>VLOOKUP($C1234,Carpetas!$C$5:$M$2666,6,FALSE)</f>
        <v>FG</v>
      </c>
      <c r="I1234" s="220"/>
      <c r="J1234" s="47">
        <f>E1234+2</f>
        <v>45758</v>
      </c>
      <c r="K1234" s="72" t="str">
        <f>VLOOKUP($C1234,Carpetas!$C$5:$M$2666,5,FALSE)</f>
        <v>Rio Branco</v>
      </c>
      <c r="L1234" s="32"/>
      <c r="M1234" s="48">
        <f t="shared" si="81"/>
        <v>45759</v>
      </c>
      <c r="N1234" s="26">
        <f t="shared" si="82"/>
        <v>3</v>
      </c>
      <c r="O1234" s="27">
        <v>990</v>
      </c>
      <c r="P1234" s="27">
        <v>991</v>
      </c>
      <c r="Q1234" s="27">
        <v>28</v>
      </c>
      <c r="R1234" s="27">
        <v>24.5</v>
      </c>
      <c r="S1234" s="27" t="s">
        <v>573</v>
      </c>
      <c r="T1234" s="27"/>
      <c r="U1234" s="27">
        <v>740</v>
      </c>
      <c r="V1234" s="27" t="s">
        <v>3572</v>
      </c>
      <c r="W1234" s="27" t="s">
        <v>1723</v>
      </c>
      <c r="X1234" s="128" t="s">
        <v>1495</v>
      </c>
      <c r="Y1234" s="73" t="str">
        <f>VLOOKUP(X1234,Choferes!B6:C403,2,FALSE)</f>
        <v>+5553984382803</v>
      </c>
      <c r="Z1234" s="73" t="s">
        <v>3573</v>
      </c>
    </row>
    <row r="1235" spans="1:26" hidden="1" x14ac:dyDescent="0.25">
      <c r="A1235" s="33">
        <v>15</v>
      </c>
      <c r="B1235" s="71" t="s">
        <v>29</v>
      </c>
      <c r="C1235" s="39" t="s">
        <v>3476</v>
      </c>
      <c r="D1235" s="106" t="s">
        <v>3366</v>
      </c>
      <c r="E1235" s="47">
        <v>45756</v>
      </c>
      <c r="F1235" s="31" t="str">
        <f>VLOOKUP($C1235,Carpetas!$C$5:$M$2666,2,FALSE)</f>
        <v>BRB034</v>
      </c>
      <c r="G1235" s="23" t="str">
        <f>VLOOKUP($C1235,Carpetas!$C$5:$M$2666,10,FALSE)</f>
        <v>152,02,47</v>
      </c>
      <c r="H1235" s="27" t="str">
        <f>VLOOKUP($C1235,Carpetas!$C$5:$M$2666,6,FALSE)</f>
        <v>Gral</v>
      </c>
      <c r="I1235" s="220"/>
      <c r="J1235" s="47">
        <f>E1235+2</f>
        <v>45758</v>
      </c>
      <c r="K1235" s="72" t="str">
        <f>VLOOKUP($C1235,Carpetas!$C$5:$M$2666,5,FALSE)</f>
        <v>Rio Branco</v>
      </c>
      <c r="L1235" s="32"/>
      <c r="M1235" s="48">
        <f t="shared" si="81"/>
        <v>45759</v>
      </c>
      <c r="N1235" s="26">
        <f t="shared" si="82"/>
        <v>3</v>
      </c>
      <c r="O1235" s="27">
        <v>918</v>
      </c>
      <c r="P1235" s="27">
        <v>918</v>
      </c>
      <c r="Q1235" s="27">
        <v>26</v>
      </c>
      <c r="R1235" s="27">
        <v>25</v>
      </c>
      <c r="S1235" s="27" t="s">
        <v>3574</v>
      </c>
      <c r="T1235" s="27"/>
      <c r="U1235" s="27">
        <v>7232</v>
      </c>
      <c r="V1235" s="27" t="s">
        <v>3575</v>
      </c>
      <c r="W1235" s="27" t="s">
        <v>3576</v>
      </c>
      <c r="X1235" s="128" t="s">
        <v>3577</v>
      </c>
      <c r="Y1235" s="73" t="str">
        <f>VLOOKUP(X1235,Choferes!B10:C407,2,FALSE)</f>
        <v>+5541997764260</v>
      </c>
      <c r="Z1235" s="73" t="s">
        <v>3578</v>
      </c>
    </row>
    <row r="1236" spans="1:26" hidden="1" x14ac:dyDescent="0.25">
      <c r="A1236" s="33">
        <v>15</v>
      </c>
      <c r="B1236" s="71" t="s">
        <v>298</v>
      </c>
      <c r="C1236" s="39" t="s">
        <v>299</v>
      </c>
      <c r="D1236" s="106" t="s">
        <v>953</v>
      </c>
      <c r="E1236" s="47">
        <v>45757</v>
      </c>
      <c r="F1236" s="31" t="str">
        <f>VLOOKUP($C1236,Carpetas!$C$5:$M$2666,2,FALSE)</f>
        <v>BRB</v>
      </c>
      <c r="G1236" s="23" t="e">
        <f>VLOOKUP($C1236,Carpetas!$C$5:$M$2666,9,FALSE)</f>
        <v>#REF!</v>
      </c>
      <c r="H1236" s="27" t="str">
        <f>VLOOKUP($C1236,Carpetas!$C$5:$M$2666,5,FALSE)</f>
        <v>xx</v>
      </c>
      <c r="I1236" s="220"/>
      <c r="J1236" s="47">
        <f>E1236+2</f>
        <v>45759</v>
      </c>
      <c r="K1236" s="72">
        <f>VLOOKUP($C1236,Carpetas!$C$5:$M$2666,4,FALSE)</f>
        <v>0</v>
      </c>
      <c r="L1236" s="32"/>
      <c r="M1236" s="48">
        <f t="shared" si="81"/>
        <v>45760</v>
      </c>
      <c r="N1236" s="26">
        <f t="shared" si="82"/>
        <v>3</v>
      </c>
      <c r="O1236" s="27">
        <v>918</v>
      </c>
      <c r="P1236" s="27"/>
      <c r="Q1236" s="27"/>
      <c r="R1236" s="27"/>
      <c r="S1236" s="27"/>
      <c r="T1236" s="27"/>
      <c r="U1236" s="27"/>
      <c r="V1236" s="27"/>
      <c r="W1236" s="27"/>
      <c r="X1236" s="128"/>
      <c r="Y1236" s="73" t="e">
        <f>VLOOKUP(X1236,Choferes!B7:C404,2,FALSE)</f>
        <v>#N/A</v>
      </c>
      <c r="Z1236" s="73"/>
    </row>
    <row r="1237" spans="1:26" ht="30" hidden="1" x14ac:dyDescent="0.25">
      <c r="A1237" s="33">
        <v>15</v>
      </c>
      <c r="B1237" s="71" t="s">
        <v>29</v>
      </c>
      <c r="C1237" s="39" t="s">
        <v>3518</v>
      </c>
      <c r="D1237" s="106" t="s">
        <v>78</v>
      </c>
      <c r="E1237" s="47">
        <v>45757</v>
      </c>
      <c r="F1237" s="31" t="str">
        <f>VLOOKUP($C1237,Carpetas!$C$5:$M$2666,2,FALSE)</f>
        <v>BRB036</v>
      </c>
      <c r="G1237" s="23" t="str">
        <f>VLOOKUP($C1237,Carpetas!$C$5:$M$2666,10,FALSE)</f>
        <v>152,15,73</v>
      </c>
      <c r="H1237" s="27" t="str">
        <f>VLOOKUP($C1237,Carpetas!$C$5:$M$2666,6,FALSE)</f>
        <v>Zanini</v>
      </c>
      <c r="I1237" s="220"/>
      <c r="J1237" s="47">
        <f>E1237+2</f>
        <v>45759</v>
      </c>
      <c r="K1237" s="72" t="str">
        <f>VLOOKUP($C1237,Carpetas!$C$5:$M$2666,5,FALSE)</f>
        <v>Rio Branco</v>
      </c>
      <c r="L1237" s="32"/>
      <c r="M1237" s="48">
        <f t="shared" si="81"/>
        <v>45760</v>
      </c>
      <c r="N1237" s="26">
        <f t="shared" si="82"/>
        <v>3</v>
      </c>
      <c r="O1237" s="27">
        <v>918</v>
      </c>
      <c r="P1237" s="27">
        <v>918</v>
      </c>
      <c r="Q1237" s="27">
        <v>26</v>
      </c>
      <c r="R1237" s="27">
        <v>25.5</v>
      </c>
      <c r="S1237" s="27" t="s">
        <v>3579</v>
      </c>
      <c r="T1237" s="27"/>
      <c r="U1237" s="27">
        <v>5166</v>
      </c>
      <c r="V1237" s="27" t="s">
        <v>3580</v>
      </c>
      <c r="W1237" s="27" t="s">
        <v>3581</v>
      </c>
      <c r="X1237" s="128" t="s">
        <v>3582</v>
      </c>
      <c r="Y1237" s="73" t="str">
        <f>VLOOKUP(X1237,Choferes!B8:C405,2,FALSE)</f>
        <v>+5549999154912</v>
      </c>
      <c r="Z1237" s="73" t="s">
        <v>3583</v>
      </c>
    </row>
    <row r="1238" spans="1:26" ht="30" hidden="1" x14ac:dyDescent="0.25">
      <c r="A1238" s="33">
        <v>15</v>
      </c>
      <c r="B1238" s="71" t="s">
        <v>29</v>
      </c>
      <c r="C1238" s="39" t="s">
        <v>3584</v>
      </c>
      <c r="D1238" s="106" t="s">
        <v>803</v>
      </c>
      <c r="E1238" s="47">
        <v>45757</v>
      </c>
      <c r="F1238" s="31" t="str">
        <f>VLOOKUP($C1238,Carpetas!$C$5:$M$2666,2,FALSE)</f>
        <v>BRB038</v>
      </c>
      <c r="G1238" s="23" t="str">
        <f>VLOOKUP($C1238,Carpetas!$C$5:$M$2666,10,FALSE)</f>
        <v>152,22,78</v>
      </c>
      <c r="H1238" s="27" t="str">
        <f>VLOOKUP($C1238,Carpetas!$C$5:$M$2666,6,FALSE)</f>
        <v>Gral</v>
      </c>
      <c r="I1238" s="220"/>
      <c r="J1238" s="47">
        <f>E1238+4</f>
        <v>45761</v>
      </c>
      <c r="K1238" s="72" t="str">
        <f>VLOOKUP($C1238,Carpetas!$C$5:$M$2666,5,FALSE)</f>
        <v>Rio Branco</v>
      </c>
      <c r="L1238" s="32"/>
      <c r="M1238" s="48">
        <f t="shared" si="81"/>
        <v>45762</v>
      </c>
      <c r="N1238" s="26">
        <f t="shared" si="82"/>
        <v>5</v>
      </c>
      <c r="O1238" s="27">
        <v>918</v>
      </c>
      <c r="P1238" s="27">
        <v>918</v>
      </c>
      <c r="Q1238" s="27">
        <v>26</v>
      </c>
      <c r="R1238" s="27">
        <v>25</v>
      </c>
      <c r="S1238" s="27" t="s">
        <v>1721</v>
      </c>
      <c r="T1238" s="27"/>
      <c r="U1238" s="27">
        <v>7282</v>
      </c>
      <c r="V1238" s="27" t="s">
        <v>3585</v>
      </c>
      <c r="W1238" s="27" t="s">
        <v>3586</v>
      </c>
      <c r="X1238" s="128" t="s">
        <v>3587</v>
      </c>
      <c r="Y1238" s="73" t="str">
        <f>VLOOKUP(X1238,Choferes!B9:C406,2,FALSE)</f>
        <v>+55 73 9186-9441</v>
      </c>
      <c r="Z1238" s="73" t="s">
        <v>3588</v>
      </c>
    </row>
    <row r="1239" spans="1:26" ht="30" hidden="1" x14ac:dyDescent="0.25">
      <c r="A1239" s="33">
        <v>15</v>
      </c>
      <c r="B1239" s="71" t="s">
        <v>29</v>
      </c>
      <c r="C1239" s="39" t="s">
        <v>3584</v>
      </c>
      <c r="D1239" s="106" t="s">
        <v>110</v>
      </c>
      <c r="E1239" s="47">
        <v>45758</v>
      </c>
      <c r="F1239" s="31" t="str">
        <f>VLOOKUP($C1239,Carpetas!$C$5:$M$2666,2,FALSE)</f>
        <v>BRB038</v>
      </c>
      <c r="G1239" s="23" t="str">
        <f>VLOOKUP($C1239,Carpetas!$C$5:$M$2666,10,FALSE)</f>
        <v>152,22,78</v>
      </c>
      <c r="H1239" s="27" t="str">
        <f>VLOOKUP($C1239,Carpetas!$C$5:$M$2666,6,FALSE)</f>
        <v>Gral</v>
      </c>
      <c r="I1239" s="220"/>
      <c r="J1239" s="47">
        <v>45761</v>
      </c>
      <c r="K1239" s="72" t="str">
        <f>VLOOKUP($C1239,Carpetas!$C$5:$M$2666,5,FALSE)</f>
        <v>Rio Branco</v>
      </c>
      <c r="L1239" s="32"/>
      <c r="M1239" s="48">
        <f t="shared" si="81"/>
        <v>45762</v>
      </c>
      <c r="N1239" s="26">
        <f t="shared" si="82"/>
        <v>4</v>
      </c>
      <c r="O1239" s="27">
        <v>918</v>
      </c>
      <c r="P1239" s="27">
        <v>918</v>
      </c>
      <c r="Q1239" s="27">
        <v>26</v>
      </c>
      <c r="R1239" s="27">
        <v>25</v>
      </c>
      <c r="S1239" s="27" t="s">
        <v>1786</v>
      </c>
      <c r="T1239" s="27"/>
      <c r="U1239" s="27">
        <v>7284</v>
      </c>
      <c r="V1239" s="27" t="s">
        <v>3589</v>
      </c>
      <c r="W1239" s="27" t="s">
        <v>3590</v>
      </c>
      <c r="X1239" s="128" t="s">
        <v>3591</v>
      </c>
      <c r="Y1239" s="73" t="str">
        <f>VLOOKUP(X1239,Choferes!B11:C408,2,FALSE)</f>
        <v>+55 19 993646518</v>
      </c>
      <c r="Z1239" s="73" t="s">
        <v>3592</v>
      </c>
    </row>
    <row r="1240" spans="1:26" hidden="1" x14ac:dyDescent="0.25">
      <c r="A1240" s="33">
        <v>15</v>
      </c>
      <c r="B1240" s="71" t="s">
        <v>29</v>
      </c>
      <c r="C1240" s="39" t="s">
        <v>3571</v>
      </c>
      <c r="D1240" s="106" t="s">
        <v>880</v>
      </c>
      <c r="E1240" s="47">
        <v>45758</v>
      </c>
      <c r="F1240" s="31" t="str">
        <f>VLOOKUP($C1240,Carpetas!$C$5:$M$2666,2,FALSE)</f>
        <v>BRB039</v>
      </c>
      <c r="G1240" s="23" t="str">
        <f>VLOOKUP($C1240,Carpetas!$C$5:$M$2666,10,FALSE)</f>
        <v>152,22,72</v>
      </c>
      <c r="H1240" s="27" t="str">
        <f>VLOOKUP($C1240,Carpetas!$C$5:$M$2666,6,FALSE)</f>
        <v>FG</v>
      </c>
      <c r="I1240" s="220"/>
      <c r="J1240" s="47">
        <f>E1240+3</f>
        <v>45761</v>
      </c>
      <c r="K1240" s="72" t="str">
        <f>VLOOKUP($C1240,Carpetas!$C$5:$M$2666,5,FALSE)</f>
        <v>Rio Branco</v>
      </c>
      <c r="L1240" s="32"/>
      <c r="M1240" s="48">
        <f t="shared" si="81"/>
        <v>45762</v>
      </c>
      <c r="N1240" s="26">
        <f t="shared" si="82"/>
        <v>4</v>
      </c>
      <c r="O1240" s="27">
        <v>990</v>
      </c>
      <c r="P1240" s="27">
        <v>990</v>
      </c>
      <c r="Q1240" s="27">
        <v>28</v>
      </c>
      <c r="R1240" s="27">
        <v>26</v>
      </c>
      <c r="S1240" s="27" t="s">
        <v>1260</v>
      </c>
      <c r="T1240" s="27"/>
      <c r="U1240" s="27">
        <v>748</v>
      </c>
      <c r="V1240" s="27" t="s">
        <v>1657</v>
      </c>
      <c r="W1240" s="27" t="s">
        <v>1815</v>
      </c>
      <c r="X1240" s="128" t="s">
        <v>1468</v>
      </c>
      <c r="Y1240" s="73" t="str">
        <f>VLOOKUP(X1240,Choferes!B7:C404,2,FALSE)</f>
        <v>+5553984274141</v>
      </c>
      <c r="Z1240" s="73" t="s">
        <v>3593</v>
      </c>
    </row>
    <row r="1241" spans="1:26" ht="30" hidden="1" x14ac:dyDescent="0.25">
      <c r="A1241" s="33">
        <v>15</v>
      </c>
      <c r="B1241" s="71" t="s">
        <v>29</v>
      </c>
      <c r="C1241" s="39" t="s">
        <v>3571</v>
      </c>
      <c r="D1241" s="106" t="s">
        <v>764</v>
      </c>
      <c r="E1241" s="47">
        <v>45758</v>
      </c>
      <c r="F1241" s="31" t="str">
        <f>VLOOKUP($C1241,Carpetas!$C$5:$M$2666,2,FALSE)</f>
        <v>BRB039</v>
      </c>
      <c r="G1241" s="23" t="str">
        <f>VLOOKUP($C1241,Carpetas!$C$5:$M$2666,10,FALSE)</f>
        <v>152,22,72</v>
      </c>
      <c r="H1241" s="27" t="str">
        <f>VLOOKUP($C1241,Carpetas!$C$5:$M$2666,6,FALSE)</f>
        <v>FG</v>
      </c>
      <c r="I1241" s="220"/>
      <c r="J1241" s="47">
        <f>E1241+3</f>
        <v>45761</v>
      </c>
      <c r="K1241" s="72" t="str">
        <f>VLOOKUP($C1241,Carpetas!$C$5:$M$2666,5,FALSE)</f>
        <v>Rio Branco</v>
      </c>
      <c r="L1241" s="32"/>
      <c r="M1241" s="48">
        <f t="shared" si="81"/>
        <v>45762</v>
      </c>
      <c r="N1241" s="26">
        <f t="shared" si="82"/>
        <v>4</v>
      </c>
      <c r="O1241" s="27">
        <v>990</v>
      </c>
      <c r="P1241" s="27"/>
      <c r="Q1241" s="27"/>
      <c r="R1241" s="27"/>
      <c r="S1241" s="27" t="s">
        <v>862</v>
      </c>
      <c r="T1241" s="27"/>
      <c r="U1241" s="27">
        <v>747</v>
      </c>
      <c r="V1241" s="27" t="s">
        <v>1645</v>
      </c>
      <c r="W1241" s="27" t="s">
        <v>1637</v>
      </c>
      <c r="X1241" s="128" t="s">
        <v>2119</v>
      </c>
      <c r="Y1241" s="73" t="str">
        <f>VLOOKUP(X1241,Choferes!B19:C416,2,FALSE)</f>
        <v>+5553981528085</v>
      </c>
      <c r="Z1241" s="73" t="s">
        <v>3594</v>
      </c>
    </row>
    <row r="1242" spans="1:26" hidden="1" x14ac:dyDescent="0.25">
      <c r="A1242" s="33">
        <v>15</v>
      </c>
      <c r="B1242" s="71" t="s">
        <v>29</v>
      </c>
      <c r="C1242" s="39" t="s">
        <v>3571</v>
      </c>
      <c r="D1242" s="106" t="s">
        <v>78</v>
      </c>
      <c r="E1242" s="47">
        <v>45759</v>
      </c>
      <c r="F1242" s="31" t="str">
        <f>VLOOKUP($C1242,Carpetas!$C$5:$M$2666,2,FALSE)</f>
        <v>BRB039</v>
      </c>
      <c r="G1242" s="23" t="str">
        <f>VLOOKUP($C1242,Carpetas!$C$5:$M$2666,10,FALSE)</f>
        <v>152,22,72</v>
      </c>
      <c r="H1242" s="27" t="str">
        <f>VLOOKUP($C1242,Carpetas!$C$5:$M$2666,6,FALSE)</f>
        <v>FG</v>
      </c>
      <c r="I1242" s="220"/>
      <c r="J1242" s="47">
        <f t="shared" ref="J1242:J1250" si="83">E1242+2</f>
        <v>45761</v>
      </c>
      <c r="K1242" s="72" t="str">
        <f>VLOOKUP($C1242,Carpetas!$C$5:$M$2666,5,FALSE)</f>
        <v>Rio Branco</v>
      </c>
      <c r="L1242" s="32"/>
      <c r="M1242" s="48">
        <f t="shared" si="81"/>
        <v>45762</v>
      </c>
      <c r="N1242" s="26">
        <f t="shared" si="82"/>
        <v>3</v>
      </c>
      <c r="O1242" s="27">
        <v>990</v>
      </c>
      <c r="P1242" s="27">
        <v>990</v>
      </c>
      <c r="Q1242" s="27">
        <v>28</v>
      </c>
      <c r="R1242" s="27">
        <v>26</v>
      </c>
      <c r="S1242" s="27" t="s">
        <v>3595</v>
      </c>
      <c r="T1242" s="27"/>
      <c r="U1242" s="27">
        <v>750</v>
      </c>
      <c r="V1242" s="27" t="s">
        <v>3139</v>
      </c>
      <c r="W1242" s="27" t="s">
        <v>3151</v>
      </c>
      <c r="X1242" s="128" t="s">
        <v>3596</v>
      </c>
      <c r="Y1242" s="73" t="str">
        <f>VLOOKUP(X1242,Choferes!B13:C410,2,FALSE)</f>
        <v>+55 53 9141-8046</v>
      </c>
      <c r="Z1242" s="73" t="s">
        <v>3597</v>
      </c>
    </row>
    <row r="1243" spans="1:26" ht="30" hidden="1" x14ac:dyDescent="0.25">
      <c r="A1243" s="33">
        <v>15</v>
      </c>
      <c r="B1243" s="71" t="s">
        <v>29</v>
      </c>
      <c r="C1243" s="39" t="s">
        <v>3598</v>
      </c>
      <c r="D1243" s="106" t="s">
        <v>78</v>
      </c>
      <c r="E1243" s="47">
        <v>45759</v>
      </c>
      <c r="F1243" s="31" t="str">
        <f>VLOOKUP($C1243,Carpetas!$C$5:$M$2666,2,FALSE)</f>
        <v>BRB042</v>
      </c>
      <c r="G1243" s="23" t="str">
        <f>VLOOKUP($C1243,Carpetas!$C$5:$M$2666,10,FALSE)</f>
        <v>152,22,80</v>
      </c>
      <c r="H1243" s="27" t="str">
        <f>VLOOKUP($C1243,Carpetas!$C$5:$M$2666,6,FALSE)</f>
        <v>Amaro</v>
      </c>
      <c r="I1243" s="220"/>
      <c r="J1243" s="47">
        <f t="shared" si="83"/>
        <v>45761</v>
      </c>
      <c r="K1243" s="72" t="str">
        <f>VLOOKUP($C1243,Carpetas!$C$5:$M$2666,5,FALSE)</f>
        <v>Rio Branco</v>
      </c>
      <c r="L1243" s="32"/>
      <c r="M1243" s="48">
        <f t="shared" si="81"/>
        <v>45762</v>
      </c>
      <c r="N1243" s="26">
        <f t="shared" si="82"/>
        <v>3</v>
      </c>
      <c r="O1243" s="27">
        <v>990</v>
      </c>
      <c r="P1243" s="27"/>
      <c r="Q1243" s="27"/>
      <c r="R1243" s="27"/>
      <c r="S1243" s="27" t="s">
        <v>610</v>
      </c>
      <c r="T1243" s="27"/>
      <c r="U1243" s="27">
        <v>25911</v>
      </c>
      <c r="V1243" s="27" t="s">
        <v>1991</v>
      </c>
      <c r="W1243" s="27" t="s">
        <v>2728</v>
      </c>
      <c r="X1243" s="128" t="s">
        <v>3599</v>
      </c>
      <c r="Y1243" s="73" t="str">
        <f>VLOOKUP(X1243,Choferes!B14:C411,2,FALSE)</f>
        <v>+55 53 8453-1303</v>
      </c>
      <c r="Z1243" s="73" t="s">
        <v>3597</v>
      </c>
    </row>
    <row r="1244" spans="1:26" ht="30" hidden="1" x14ac:dyDescent="0.25">
      <c r="A1244" s="33">
        <v>15</v>
      </c>
      <c r="B1244" s="71" t="s">
        <v>29</v>
      </c>
      <c r="C1244" s="39" t="s">
        <v>3571</v>
      </c>
      <c r="D1244" s="106" t="s">
        <v>747</v>
      </c>
      <c r="E1244" s="47">
        <v>45759</v>
      </c>
      <c r="F1244" s="31" t="str">
        <f>VLOOKUP($C1244,Carpetas!$C$5:$M$2666,2,FALSE)</f>
        <v>BRB039</v>
      </c>
      <c r="G1244" s="23" t="str">
        <f>VLOOKUP($C1244,Carpetas!$C$5:$M$2666,10,FALSE)</f>
        <v>152,22,72</v>
      </c>
      <c r="H1244" s="27" t="str">
        <f>VLOOKUP($C1244,Carpetas!$C$5:$M$2666,6,FALSE)</f>
        <v>FG</v>
      </c>
      <c r="I1244" s="220"/>
      <c r="J1244" s="47">
        <f t="shared" si="83"/>
        <v>45761</v>
      </c>
      <c r="K1244" s="72" t="str">
        <f>VLOOKUP($C1244,Carpetas!$C$5:$M$2666,5,FALSE)</f>
        <v>Rio Branco</v>
      </c>
      <c r="L1244" s="32"/>
      <c r="M1244" s="48">
        <f t="shared" si="81"/>
        <v>45762</v>
      </c>
      <c r="N1244" s="26">
        <f t="shared" si="82"/>
        <v>3</v>
      </c>
      <c r="O1244" s="27">
        <v>990</v>
      </c>
      <c r="P1244" s="27">
        <v>991</v>
      </c>
      <c r="Q1244" s="27">
        <v>28</v>
      </c>
      <c r="R1244" s="27">
        <v>26</v>
      </c>
      <c r="S1244" s="27" t="s">
        <v>3600</v>
      </c>
      <c r="T1244" s="27"/>
      <c r="U1244" s="27">
        <v>751</v>
      </c>
      <c r="V1244" s="27" t="s">
        <v>3601</v>
      </c>
      <c r="W1244" s="27" t="s">
        <v>3602</v>
      </c>
      <c r="X1244" s="128" t="s">
        <v>3603</v>
      </c>
      <c r="Y1244" s="73" t="str">
        <f>VLOOKUP(X1244,Choferes!B9:C406,2,FALSE)</f>
        <v>+598 92 396 977</v>
      </c>
      <c r="Z1244" s="73" t="s">
        <v>3604</v>
      </c>
    </row>
    <row r="1245" spans="1:26" ht="30" hidden="1" x14ac:dyDescent="0.25">
      <c r="A1245" s="33">
        <v>15</v>
      </c>
      <c r="B1245" s="71" t="s">
        <v>29</v>
      </c>
      <c r="C1245" s="39" t="s">
        <v>3584</v>
      </c>
      <c r="D1245" s="106" t="s">
        <v>747</v>
      </c>
      <c r="E1245" s="47">
        <v>45759</v>
      </c>
      <c r="F1245" s="31" t="str">
        <f>VLOOKUP($C1245,Carpetas!$C$5:$M$2666,2,FALSE)</f>
        <v>BRB038</v>
      </c>
      <c r="G1245" s="23" t="str">
        <f>VLOOKUP($C1245,Carpetas!$C$5:$M$2666,10,FALSE)</f>
        <v>152,22,78</v>
      </c>
      <c r="H1245" s="27" t="str">
        <f>VLOOKUP($C1245,Carpetas!$C$5:$M$2666,6,FALSE)</f>
        <v>Gral</v>
      </c>
      <c r="I1245" s="220"/>
      <c r="J1245" s="47">
        <f t="shared" si="83"/>
        <v>45761</v>
      </c>
      <c r="K1245" s="72" t="str">
        <f>VLOOKUP($C1245,Carpetas!$C$5:$M$2666,5,FALSE)</f>
        <v>Rio Branco</v>
      </c>
      <c r="L1245" s="32"/>
      <c r="M1245" s="48">
        <f t="shared" si="81"/>
        <v>45762</v>
      </c>
      <c r="N1245" s="26">
        <f t="shared" si="82"/>
        <v>3</v>
      </c>
      <c r="O1245" s="27">
        <v>918</v>
      </c>
      <c r="P1245" s="27">
        <v>919</v>
      </c>
      <c r="Q1245" s="27">
        <v>26</v>
      </c>
      <c r="R1245" s="27">
        <v>25.5</v>
      </c>
      <c r="S1245" s="27" t="s">
        <v>2133</v>
      </c>
      <c r="T1245" s="27"/>
      <c r="U1245" s="27">
        <v>7283</v>
      </c>
      <c r="V1245" s="27" t="s">
        <v>3605</v>
      </c>
      <c r="W1245" s="27" t="s">
        <v>3606</v>
      </c>
      <c r="X1245" s="128" t="s">
        <v>3607</v>
      </c>
      <c r="Y1245" s="73" t="str">
        <f>VLOOKUP(X1245,Choferes!B10:C407,2,FALSE)</f>
        <v>+55 49 9949-0470</v>
      </c>
      <c r="Z1245" s="73" t="s">
        <v>3588</v>
      </c>
    </row>
    <row r="1246" spans="1:26" ht="30" hidden="1" x14ac:dyDescent="0.25">
      <c r="A1246" s="33">
        <v>15</v>
      </c>
      <c r="B1246" s="71" t="s">
        <v>29</v>
      </c>
      <c r="C1246" s="39" t="s">
        <v>3584</v>
      </c>
      <c r="D1246" s="106" t="s">
        <v>747</v>
      </c>
      <c r="E1246" s="47">
        <v>45759</v>
      </c>
      <c r="F1246" s="31" t="str">
        <f>VLOOKUP($C1246,Carpetas!$C$5:$M$2666,2,FALSE)</f>
        <v>BRB038</v>
      </c>
      <c r="G1246" s="23" t="str">
        <f>VLOOKUP($C1246,Carpetas!$C$5:$M$2666,10,FALSE)</f>
        <v>152,22,78</v>
      </c>
      <c r="H1246" s="27" t="str">
        <f>VLOOKUP($C1246,Carpetas!$C$5:$M$2666,6,FALSE)</f>
        <v>Gral</v>
      </c>
      <c r="I1246" s="220"/>
      <c r="J1246" s="47">
        <f t="shared" si="83"/>
        <v>45761</v>
      </c>
      <c r="K1246" s="72" t="str">
        <f>VLOOKUP($C1246,Carpetas!$C$5:$M$2666,5,FALSE)</f>
        <v>Rio Branco</v>
      </c>
      <c r="L1246" s="32"/>
      <c r="M1246" s="48">
        <f t="shared" si="81"/>
        <v>45762</v>
      </c>
      <c r="N1246" s="26">
        <f t="shared" si="82"/>
        <v>3</v>
      </c>
      <c r="O1246" s="27">
        <v>918</v>
      </c>
      <c r="P1246" s="27">
        <v>919</v>
      </c>
      <c r="Q1246" s="27">
        <v>26</v>
      </c>
      <c r="R1246" s="27">
        <v>25</v>
      </c>
      <c r="S1246" s="27" t="s">
        <v>2212</v>
      </c>
      <c r="T1246" s="27"/>
      <c r="U1246" s="27">
        <v>7285</v>
      </c>
      <c r="V1246" s="27" t="s">
        <v>3608</v>
      </c>
      <c r="W1246" s="56" t="s">
        <v>3609</v>
      </c>
      <c r="X1246" s="128" t="s">
        <v>3610</v>
      </c>
      <c r="Y1246" s="73" t="str">
        <f>VLOOKUP(X1246,Choferes!B11:C408,2,FALSE)</f>
        <v>+55 49 9949-0222</v>
      </c>
      <c r="Z1246" s="73" t="s">
        <v>3611</v>
      </c>
    </row>
    <row r="1247" spans="1:26" hidden="1" x14ac:dyDescent="0.25">
      <c r="A1247" s="33">
        <v>15</v>
      </c>
      <c r="B1247" s="71" t="s">
        <v>29</v>
      </c>
      <c r="C1247" s="39" t="s">
        <v>3571</v>
      </c>
      <c r="D1247" s="106" t="s">
        <v>3366</v>
      </c>
      <c r="E1247" s="47">
        <v>45759</v>
      </c>
      <c r="F1247" s="31" t="str">
        <f>VLOOKUP($C1247,Carpetas!$C$5:$M$2666,2,FALSE)</f>
        <v>BRB039</v>
      </c>
      <c r="G1247" s="23" t="str">
        <f>VLOOKUP($C1247,Carpetas!$C$5:$M$2666,10,FALSE)</f>
        <v>152,22,72</v>
      </c>
      <c r="H1247" s="27" t="str">
        <f>VLOOKUP($C1247,Carpetas!$C$5:$M$2666,6,FALSE)</f>
        <v>FG</v>
      </c>
      <c r="I1247" s="220"/>
      <c r="J1247" s="47">
        <f t="shared" si="83"/>
        <v>45761</v>
      </c>
      <c r="K1247" s="72" t="str">
        <f>VLOOKUP($C1247,Carpetas!$C$5:$M$2666,5,FALSE)</f>
        <v>Rio Branco</v>
      </c>
      <c r="L1247" s="32"/>
      <c r="M1247" s="48">
        <f t="shared" si="81"/>
        <v>45762</v>
      </c>
      <c r="N1247" s="26">
        <f t="shared" si="82"/>
        <v>3</v>
      </c>
      <c r="O1247" s="27">
        <v>990</v>
      </c>
      <c r="P1247" s="27">
        <v>990</v>
      </c>
      <c r="Q1247" s="27">
        <v>28</v>
      </c>
      <c r="R1247" s="27">
        <v>26</v>
      </c>
      <c r="S1247" s="27" t="s">
        <v>3612</v>
      </c>
      <c r="T1247" s="27"/>
      <c r="U1247" s="27">
        <v>752</v>
      </c>
      <c r="V1247" s="27" t="s">
        <v>3613</v>
      </c>
      <c r="W1247" s="27" t="s">
        <v>3614</v>
      </c>
      <c r="X1247" s="128" t="s">
        <v>3615</v>
      </c>
      <c r="Y1247" s="73" t="str">
        <f>VLOOKUP(X1247,Choferes!B5:C402,2,FALSE)</f>
        <v>+55 53 8122-3386</v>
      </c>
      <c r="Z1247" s="73" t="s">
        <v>3616</v>
      </c>
    </row>
    <row r="1248" spans="1:26" ht="30" hidden="1" x14ac:dyDescent="0.25">
      <c r="A1248" s="33">
        <v>15</v>
      </c>
      <c r="B1248" s="71" t="s">
        <v>29</v>
      </c>
      <c r="C1248" s="39" t="s">
        <v>3598</v>
      </c>
      <c r="D1248" s="106" t="s">
        <v>803</v>
      </c>
      <c r="E1248" s="47">
        <v>45759</v>
      </c>
      <c r="F1248" s="31" t="str">
        <f>VLOOKUP($C1248,Carpetas!$C$5:$M$2666,2,FALSE)</f>
        <v>BRB042</v>
      </c>
      <c r="G1248" s="23" t="str">
        <f>VLOOKUP($C1248,Carpetas!$C$5:$M$2666,10,FALSE)</f>
        <v>152,22,80</v>
      </c>
      <c r="H1248" s="27" t="str">
        <f>VLOOKUP($C1248,Carpetas!$C$5:$M$2666,6,FALSE)</f>
        <v>Amaro</v>
      </c>
      <c r="I1248" s="220"/>
      <c r="J1248" s="47">
        <f t="shared" si="83"/>
        <v>45761</v>
      </c>
      <c r="K1248" s="72" t="str">
        <f>VLOOKUP($C1248,Carpetas!$C$5:$M$2666,5,FALSE)</f>
        <v>Rio Branco</v>
      </c>
      <c r="L1248" s="32"/>
      <c r="M1248" s="48">
        <f t="shared" si="81"/>
        <v>45762</v>
      </c>
      <c r="N1248" s="26">
        <f t="shared" si="82"/>
        <v>3</v>
      </c>
      <c r="O1248" s="27">
        <v>990</v>
      </c>
      <c r="P1248" s="27">
        <v>93</v>
      </c>
      <c r="Q1248" s="27">
        <v>28</v>
      </c>
      <c r="R1248" s="27">
        <v>24.5</v>
      </c>
      <c r="S1248" s="27" t="s">
        <v>1696</v>
      </c>
      <c r="T1248" s="27"/>
      <c r="U1248" s="27">
        <v>25920</v>
      </c>
      <c r="V1248" s="27" t="s">
        <v>3617</v>
      </c>
      <c r="W1248" s="27" t="s">
        <v>3618</v>
      </c>
      <c r="X1248" s="128" t="s">
        <v>3619</v>
      </c>
      <c r="Y1248" s="73" t="str">
        <f>VLOOKUP(X1248,Choferes!B21:C418,2,FALSE)</f>
        <v>+55 53 8131-7788</v>
      </c>
      <c r="Z1248" s="73" t="s">
        <v>3620</v>
      </c>
    </row>
    <row r="1249" spans="1:26" ht="30" hidden="1" x14ac:dyDescent="0.25">
      <c r="A1249" s="33">
        <v>15</v>
      </c>
      <c r="B1249" s="71" t="s">
        <v>29</v>
      </c>
      <c r="C1249" s="39" t="s">
        <v>3571</v>
      </c>
      <c r="D1249" s="106" t="s">
        <v>803</v>
      </c>
      <c r="E1249" s="47">
        <v>45759</v>
      </c>
      <c r="F1249" s="31" t="str">
        <f>VLOOKUP($C1249,Carpetas!$C$5:$M$2666,2,FALSE)</f>
        <v>BRB039</v>
      </c>
      <c r="G1249" s="23" t="str">
        <f>VLOOKUP($C1249,Carpetas!$C$5:$M$2666,10,FALSE)</f>
        <v>152,22,72</v>
      </c>
      <c r="H1249" s="27" t="str">
        <f>VLOOKUP($C1249,Carpetas!$C$5:$M$2666,6,FALSE)</f>
        <v>FG</v>
      </c>
      <c r="I1249" s="220"/>
      <c r="J1249" s="47">
        <f t="shared" si="83"/>
        <v>45761</v>
      </c>
      <c r="K1249" s="72" t="str">
        <f>VLOOKUP($C1249,Carpetas!$C$5:$M$2666,5,FALSE)</f>
        <v>Rio Branco</v>
      </c>
      <c r="L1249" s="32"/>
      <c r="M1249" s="48">
        <f t="shared" si="81"/>
        <v>45762</v>
      </c>
      <c r="N1249" s="26">
        <f t="shared" si="82"/>
        <v>3</v>
      </c>
      <c r="O1249" s="27">
        <v>990</v>
      </c>
      <c r="P1249" s="27">
        <v>990</v>
      </c>
      <c r="Q1249" s="27">
        <v>28</v>
      </c>
      <c r="R1249" s="27">
        <v>25</v>
      </c>
      <c r="S1249" s="27" t="s">
        <v>1668</v>
      </c>
      <c r="T1249" s="27"/>
      <c r="U1249" s="27">
        <v>746</v>
      </c>
      <c r="V1249" s="27" t="s">
        <v>1726</v>
      </c>
      <c r="W1249" s="27" t="s">
        <v>1646</v>
      </c>
      <c r="X1249" s="128" t="s">
        <v>1576</v>
      </c>
      <c r="Y1249" s="73" t="str">
        <f>VLOOKUP(X1249,Choferes!B8:C405,2,FALSE)</f>
        <v>+55119971489722</v>
      </c>
      <c r="Z1249" s="73" t="s">
        <v>3621</v>
      </c>
    </row>
    <row r="1250" spans="1:26" ht="30" hidden="1" x14ac:dyDescent="0.25">
      <c r="A1250" s="33">
        <v>15</v>
      </c>
      <c r="B1250" s="71" t="s">
        <v>29</v>
      </c>
      <c r="C1250" s="39" t="s">
        <v>3571</v>
      </c>
      <c r="D1250" s="106" t="s">
        <v>880</v>
      </c>
      <c r="E1250" s="47">
        <v>45759</v>
      </c>
      <c r="F1250" s="31" t="str">
        <f>VLOOKUP($C1250,Carpetas!$C$5:$M$2666,2,FALSE)</f>
        <v>BRB039</v>
      </c>
      <c r="G1250" s="23" t="str">
        <f>VLOOKUP($C1250,Carpetas!$C$5:$M$2666,10,FALSE)</f>
        <v>152,22,72</v>
      </c>
      <c r="H1250" s="27" t="str">
        <f>VLOOKUP($C1250,Carpetas!$C$5:$M$2666,6,FALSE)</f>
        <v>FG</v>
      </c>
      <c r="I1250" s="220"/>
      <c r="J1250" s="47">
        <f t="shared" si="83"/>
        <v>45761</v>
      </c>
      <c r="K1250" s="72" t="str">
        <f>VLOOKUP($C1250,Carpetas!$C$5:$M$2666,5,FALSE)</f>
        <v>Rio Branco</v>
      </c>
      <c r="L1250" s="32"/>
      <c r="M1250" s="48">
        <f t="shared" si="81"/>
        <v>45762</v>
      </c>
      <c r="N1250" s="26">
        <f t="shared" si="82"/>
        <v>3</v>
      </c>
      <c r="O1250" s="27">
        <v>990</v>
      </c>
      <c r="P1250" s="27">
        <v>990</v>
      </c>
      <c r="Q1250" s="27">
        <v>28</v>
      </c>
      <c r="R1250" s="27">
        <v>26</v>
      </c>
      <c r="S1250" s="27" t="s">
        <v>1304</v>
      </c>
      <c r="T1250" s="27"/>
      <c r="U1250" s="27">
        <v>749</v>
      </c>
      <c r="V1250" s="27" t="s">
        <v>3622</v>
      </c>
      <c r="W1250" s="27" t="s">
        <v>3623</v>
      </c>
      <c r="X1250" s="128" t="s">
        <v>3624</v>
      </c>
      <c r="Y1250" s="73" t="str">
        <f>VLOOKUP(X1250,Choferes!B22:C419,2,FALSE)</f>
        <v>+598 91 356 680</v>
      </c>
      <c r="Z1250" s="73" t="s">
        <v>3593</v>
      </c>
    </row>
    <row r="1251" spans="1:26" hidden="1" x14ac:dyDescent="0.25">
      <c r="A1251" s="33">
        <v>15</v>
      </c>
      <c r="B1251" s="71" t="s">
        <v>29</v>
      </c>
      <c r="C1251" s="39" t="s">
        <v>3625</v>
      </c>
      <c r="D1251" s="106" t="s">
        <v>3273</v>
      </c>
      <c r="E1251" s="47">
        <v>45757</v>
      </c>
      <c r="F1251" s="31" t="str">
        <f>VLOOKUP($C1251,Carpetas!$C$5:$M$2666,2,FALSE)</f>
        <v>BRB040</v>
      </c>
      <c r="G1251" s="23" t="str">
        <f>VLOOKUP($C1251,Carpetas!$C$5:$M$2666,10,FALSE)</f>
        <v>152,25,18</v>
      </c>
      <c r="H1251" s="27" t="str">
        <f>VLOOKUP($C1251,Carpetas!$C$5:$M$2666,6,FALSE)</f>
        <v>Marvel</v>
      </c>
      <c r="I1251" s="220"/>
      <c r="J1251" s="47">
        <v>45762</v>
      </c>
      <c r="K1251" s="72" t="str">
        <f>VLOOKUP($C1251,Carpetas!$C$5:$M$2666,5,FALSE)</f>
        <v>Rio Branco</v>
      </c>
      <c r="L1251" s="32"/>
      <c r="M1251" s="48">
        <f t="shared" si="81"/>
        <v>45763</v>
      </c>
      <c r="N1251" s="26">
        <f t="shared" si="82"/>
        <v>6</v>
      </c>
      <c r="O1251" s="27">
        <v>936</v>
      </c>
      <c r="P1251" s="27">
        <v>936</v>
      </c>
      <c r="Q1251" s="27">
        <v>26</v>
      </c>
      <c r="R1251" s="27">
        <v>25</v>
      </c>
      <c r="S1251" s="27" t="s">
        <v>3626</v>
      </c>
      <c r="T1251" s="27"/>
      <c r="U1251" s="27">
        <v>10664</v>
      </c>
      <c r="V1251" s="27" t="s">
        <v>3627</v>
      </c>
      <c r="W1251" s="27" t="s">
        <v>3628</v>
      </c>
      <c r="X1251" s="128" t="s">
        <v>3629</v>
      </c>
      <c r="Y1251" s="73" t="str">
        <f>VLOOKUP(X1251,Choferes!B3:C400,2,FALSE)</f>
        <v>+55 49 98835‑4909</v>
      </c>
      <c r="Z1251" s="73" t="s">
        <v>3630</v>
      </c>
    </row>
    <row r="1252" spans="1:26" ht="30" hidden="1" x14ac:dyDescent="0.25">
      <c r="A1252" s="33">
        <v>15</v>
      </c>
      <c r="B1252" s="71" t="s">
        <v>29</v>
      </c>
      <c r="C1252" s="39" t="s">
        <v>3518</v>
      </c>
      <c r="D1252" s="106" t="s">
        <v>249</v>
      </c>
      <c r="E1252" s="47">
        <v>45758</v>
      </c>
      <c r="F1252" s="31" t="str">
        <f>VLOOKUP($C1252,Carpetas!$C$5:$M$2666,2,FALSE)</f>
        <v>BRB036</v>
      </c>
      <c r="G1252" s="23" t="str">
        <f>VLOOKUP($C1252,Carpetas!$C$5:$M$2666,10,FALSE)</f>
        <v>152,15,73</v>
      </c>
      <c r="H1252" s="27" t="str">
        <f>VLOOKUP($C1252,Carpetas!$C$5:$M$2666,6,FALSE)</f>
        <v>Zanini</v>
      </c>
      <c r="I1252" s="220"/>
      <c r="J1252" s="47">
        <v>45762</v>
      </c>
      <c r="K1252" s="72" t="str">
        <f>VLOOKUP($C1252,Carpetas!$C$5:$M$2666,5,FALSE)</f>
        <v>Rio Branco</v>
      </c>
      <c r="L1252" s="32"/>
      <c r="M1252" s="48">
        <f t="shared" si="81"/>
        <v>45763</v>
      </c>
      <c r="N1252" s="26">
        <f t="shared" si="82"/>
        <v>5</v>
      </c>
      <c r="O1252" s="27">
        <v>918</v>
      </c>
      <c r="P1252" s="27">
        <v>918</v>
      </c>
      <c r="Q1252" s="27">
        <v>26</v>
      </c>
      <c r="R1252" s="27">
        <v>26</v>
      </c>
      <c r="S1252" s="27" t="s">
        <v>2599</v>
      </c>
      <c r="T1252" s="27"/>
      <c r="U1252" s="27">
        <v>5167</v>
      </c>
      <c r="V1252" s="27" t="s">
        <v>292</v>
      </c>
      <c r="W1252" s="27" t="s">
        <v>293</v>
      </c>
      <c r="X1252" s="128" t="s">
        <v>3631</v>
      </c>
      <c r="Y1252" s="73" t="str">
        <f>VLOOKUP(X1252,Choferes!$B$3:C403,2,FALSE)</f>
        <v>+5551981741752</v>
      </c>
      <c r="Z1252" s="73" t="s">
        <v>3632</v>
      </c>
    </row>
    <row r="1253" spans="1:26" hidden="1" x14ac:dyDescent="0.25">
      <c r="A1253" s="33">
        <v>15</v>
      </c>
      <c r="B1253" s="71" t="s">
        <v>29</v>
      </c>
      <c r="C1253" s="39" t="s">
        <v>3633</v>
      </c>
      <c r="D1253" s="106" t="s">
        <v>2474</v>
      </c>
      <c r="E1253" s="47">
        <v>45759</v>
      </c>
      <c r="F1253" s="31" t="str">
        <f>VLOOKUP($C1253,Carpetas!$C$5:$M$2666,2,FALSE)</f>
        <v>BRB041</v>
      </c>
      <c r="G1253" s="23" t="str">
        <f>VLOOKUP($C1253,Carpetas!$C$5:$M$2666,10,FALSE)</f>
        <v>152,22,74</v>
      </c>
      <c r="H1253" s="27" t="str">
        <f>VLOOKUP($C1253,Carpetas!$C$5:$M$2666,6,FALSE)</f>
        <v xml:space="preserve">Silvio </v>
      </c>
      <c r="I1253" s="220"/>
      <c r="J1253" s="47">
        <v>45762</v>
      </c>
      <c r="K1253" s="72" t="str">
        <f>VLOOKUP($C1253,Carpetas!$C$5:$M$2666,5,FALSE)</f>
        <v>Rio Branco</v>
      </c>
      <c r="L1253" s="32"/>
      <c r="M1253" s="48">
        <f t="shared" si="81"/>
        <v>45763</v>
      </c>
      <c r="N1253" s="26">
        <f t="shared" si="82"/>
        <v>4</v>
      </c>
      <c r="O1253" s="27">
        <v>918</v>
      </c>
      <c r="P1253" s="27">
        <v>918</v>
      </c>
      <c r="Q1253" s="27">
        <v>26</v>
      </c>
      <c r="R1253" s="27">
        <v>25</v>
      </c>
      <c r="S1253" s="27" t="s">
        <v>3634</v>
      </c>
      <c r="T1253" s="27"/>
      <c r="U1253" s="27">
        <v>7376</v>
      </c>
      <c r="V1253" s="27" t="s">
        <v>3315</v>
      </c>
      <c r="W1253" s="27" t="s">
        <v>3316</v>
      </c>
      <c r="X1253" s="128" t="s">
        <v>3635</v>
      </c>
      <c r="Y1253" s="73" t="str">
        <f>VLOOKUP(X1253,Choferes!$B$3:C402,2,FALSE)</f>
        <v>+5547996273107</v>
      </c>
      <c r="Z1253" s="73" t="s">
        <v>3636</v>
      </c>
    </row>
    <row r="1254" spans="1:26" ht="30" hidden="1" x14ac:dyDescent="0.25">
      <c r="A1254" s="33">
        <v>16</v>
      </c>
      <c r="B1254" s="71" t="s">
        <v>29</v>
      </c>
      <c r="C1254" s="39" t="s">
        <v>3637</v>
      </c>
      <c r="D1254" s="106" t="s">
        <v>78</v>
      </c>
      <c r="E1254" s="47">
        <v>45761</v>
      </c>
      <c r="F1254" s="31" t="str">
        <f>VLOOKUP($C1254,Carpetas!$C$5:$M$2666,2,FALSE)</f>
        <v>BRB043</v>
      </c>
      <c r="G1254" s="23" t="str">
        <f>VLOOKUP($C1254,Carpetas!$C$5:$M$2666,10,FALSE)</f>
        <v>152,27,58</v>
      </c>
      <c r="H1254" s="27" t="str">
        <f>VLOOKUP($C1254,Carpetas!$C$5:$M$2666,6,FALSE)</f>
        <v>FG</v>
      </c>
      <c r="I1254" s="220"/>
      <c r="J1254" s="47">
        <f>E1254+1</f>
        <v>45762</v>
      </c>
      <c r="K1254" s="72" t="str">
        <f>VLOOKUP($C1254,Carpetas!$C$5:$M$2666,5,FALSE)</f>
        <v>Rio Branco</v>
      </c>
      <c r="L1254" s="32"/>
      <c r="M1254" s="48">
        <f t="shared" si="81"/>
        <v>45763</v>
      </c>
      <c r="N1254" s="26">
        <f t="shared" si="82"/>
        <v>2</v>
      </c>
      <c r="O1254" s="27">
        <v>990</v>
      </c>
      <c r="P1254" s="27">
        <v>991</v>
      </c>
      <c r="Q1254" s="27">
        <v>28</v>
      </c>
      <c r="R1254" s="27">
        <v>25.5</v>
      </c>
      <c r="S1254" s="27" t="s">
        <v>639</v>
      </c>
      <c r="T1254" s="27"/>
      <c r="U1254" s="27">
        <v>757</v>
      </c>
      <c r="V1254" s="27" t="s">
        <v>2339</v>
      </c>
      <c r="W1254" s="27" t="s">
        <v>2340</v>
      </c>
      <c r="X1254" s="128" t="s">
        <v>3550</v>
      </c>
      <c r="Y1254" s="73" t="str">
        <f>VLOOKUP(X1254,Choferes!$B$3:C405,2,FALSE)</f>
        <v>+55 53 8484-4541</v>
      </c>
      <c r="Z1254" s="73" t="s">
        <v>3638</v>
      </c>
    </row>
    <row r="1255" spans="1:26" ht="30" hidden="1" x14ac:dyDescent="0.25">
      <c r="A1255" s="33">
        <v>16</v>
      </c>
      <c r="B1255" s="71" t="s">
        <v>29</v>
      </c>
      <c r="C1255" s="39" t="s">
        <v>3571</v>
      </c>
      <c r="D1255" s="106" t="s">
        <v>110</v>
      </c>
      <c r="E1255" s="47">
        <v>45761</v>
      </c>
      <c r="F1255" s="31" t="str">
        <f>VLOOKUP($C1255,Carpetas!$C$5:$M$2666,2,FALSE)</f>
        <v>BRB039</v>
      </c>
      <c r="G1255" s="23" t="str">
        <f>VLOOKUP($C1255,Carpetas!$C$5:$M$2666,10,FALSE)</f>
        <v>152,22,72</v>
      </c>
      <c r="H1255" s="27" t="str">
        <f>VLOOKUP($C1255,Carpetas!$C$5:$M$2666,6,FALSE)</f>
        <v>FG</v>
      </c>
      <c r="I1255" s="220"/>
      <c r="J1255" s="47">
        <f>E1255+1</f>
        <v>45762</v>
      </c>
      <c r="K1255" s="72" t="str">
        <f>VLOOKUP($C1255,Carpetas!$C$5:$M$2666,5,FALSE)</f>
        <v>Rio Branco</v>
      </c>
      <c r="L1255" s="32"/>
      <c r="M1255" s="48">
        <f t="shared" si="81"/>
        <v>45763</v>
      </c>
      <c r="N1255" s="26">
        <f t="shared" si="82"/>
        <v>2</v>
      </c>
      <c r="O1255" s="27">
        <v>990</v>
      </c>
      <c r="P1255" s="27">
        <v>990</v>
      </c>
      <c r="Q1255" s="27">
        <v>28</v>
      </c>
      <c r="R1255" s="27">
        <v>26</v>
      </c>
      <c r="S1255" s="27" t="s">
        <v>1824</v>
      </c>
      <c r="T1255" s="27"/>
      <c r="U1255" s="27">
        <v>754</v>
      </c>
      <c r="V1255" s="27" t="s">
        <v>3457</v>
      </c>
      <c r="W1255" s="27" t="s">
        <v>3458</v>
      </c>
      <c r="X1255" s="128" t="s">
        <v>3639</v>
      </c>
      <c r="Y1255" s="73" t="str">
        <f>VLOOKUP(X1255,Choferes!$B$3:C404,2,FALSE)</f>
        <v>+55 53 9969-0469</v>
      </c>
      <c r="Z1255" s="73" t="s">
        <v>3640</v>
      </c>
    </row>
    <row r="1256" spans="1:26" ht="30" hidden="1" x14ac:dyDescent="0.25">
      <c r="A1256" s="33">
        <v>16</v>
      </c>
      <c r="B1256" s="71" t="s">
        <v>29</v>
      </c>
      <c r="C1256" s="39" t="s">
        <v>3598</v>
      </c>
      <c r="D1256" s="106" t="s">
        <v>249</v>
      </c>
      <c r="E1256" s="47">
        <v>45761</v>
      </c>
      <c r="F1256" s="31" t="str">
        <f>VLOOKUP($C1256,Carpetas!$C$5:$M$2666,2,FALSE)</f>
        <v>BRB042</v>
      </c>
      <c r="G1256" s="23" t="str">
        <f>VLOOKUP($C1256,Carpetas!$C$5:$M$2666,10,FALSE)</f>
        <v>152,22,80</v>
      </c>
      <c r="H1256" s="27" t="str">
        <f>VLOOKUP($C1256,Carpetas!$C$5:$M$2666,6,FALSE)</f>
        <v>Amaro</v>
      </c>
      <c r="I1256" s="220"/>
      <c r="J1256" s="47">
        <f>E1256+1</f>
        <v>45762</v>
      </c>
      <c r="K1256" s="72" t="str">
        <f>VLOOKUP($C1256,Carpetas!$C$5:$M$2666,5,FALSE)</f>
        <v>Rio Branco</v>
      </c>
      <c r="L1256" s="32"/>
      <c r="M1256" s="48">
        <f t="shared" si="81"/>
        <v>45763</v>
      </c>
      <c r="N1256" s="26">
        <f t="shared" si="82"/>
        <v>2</v>
      </c>
      <c r="O1256" s="27">
        <v>990</v>
      </c>
      <c r="P1256" s="27">
        <v>990</v>
      </c>
      <c r="Q1256" s="27">
        <v>28</v>
      </c>
      <c r="R1256" s="27">
        <v>25</v>
      </c>
      <c r="S1256" s="27" t="s">
        <v>2661</v>
      </c>
      <c r="T1256" s="27"/>
      <c r="U1256" s="27">
        <v>25924</v>
      </c>
      <c r="V1256" s="27" t="s">
        <v>3641</v>
      </c>
      <c r="W1256" s="27" t="s">
        <v>3642</v>
      </c>
      <c r="X1256" s="128" t="s">
        <v>3643</v>
      </c>
      <c r="Y1256" s="73" t="str">
        <f>VLOOKUP(X1256,Choferes!$B$3:C407,2,FALSE)</f>
        <v>+55 53 8126-5336</v>
      </c>
      <c r="Z1256" s="73" t="s">
        <v>3644</v>
      </c>
    </row>
    <row r="1257" spans="1:26" hidden="1" x14ac:dyDescent="0.25">
      <c r="A1257" s="33">
        <v>16</v>
      </c>
      <c r="B1257" s="71" t="s">
        <v>29</v>
      </c>
      <c r="C1257" s="39" t="s">
        <v>3637</v>
      </c>
      <c r="D1257" s="106" t="s">
        <v>747</v>
      </c>
      <c r="E1257" s="47">
        <v>45761</v>
      </c>
      <c r="F1257" s="31" t="str">
        <f>VLOOKUP($C1257,Carpetas!$C$5:$M$2666,2,FALSE)</f>
        <v>BRB043</v>
      </c>
      <c r="G1257" s="23" t="str">
        <f>VLOOKUP($C1257,Carpetas!$C$5:$M$2666,10,FALSE)</f>
        <v>152,27,58</v>
      </c>
      <c r="H1257" s="27" t="str">
        <f>VLOOKUP($C1257,Carpetas!$C$5:$M$2666,6,FALSE)</f>
        <v>FG</v>
      </c>
      <c r="I1257" s="220"/>
      <c r="J1257" s="47">
        <f>E1257+1</f>
        <v>45762</v>
      </c>
      <c r="K1257" s="72" t="str">
        <f>VLOOKUP($C1257,Carpetas!$C$5:$M$2666,5,FALSE)</f>
        <v>Rio Branco</v>
      </c>
      <c r="L1257" s="32"/>
      <c r="M1257" s="48">
        <f>J1257+1+1</f>
        <v>45764</v>
      </c>
      <c r="N1257" s="26">
        <f t="shared" si="82"/>
        <v>3</v>
      </c>
      <c r="O1257" s="27">
        <v>990</v>
      </c>
      <c r="P1257" s="27">
        <v>990</v>
      </c>
      <c r="Q1257" s="27">
        <v>26</v>
      </c>
      <c r="R1257" s="27">
        <v>25</v>
      </c>
      <c r="S1257" s="27" t="s">
        <v>2237</v>
      </c>
      <c r="T1257" s="27"/>
      <c r="U1257" s="27">
        <v>756</v>
      </c>
      <c r="V1257" s="27" t="s">
        <v>1735</v>
      </c>
      <c r="W1257" s="27" t="s">
        <v>1681</v>
      </c>
      <c r="X1257" s="128" t="s">
        <v>1465</v>
      </c>
      <c r="Y1257" s="73" t="str">
        <f>VLOOKUP(X1257,Choferes!$B$3:C406,2,FALSE)</f>
        <v>+59893339027</v>
      </c>
      <c r="Z1257" s="73" t="s">
        <v>3645</v>
      </c>
    </row>
    <row r="1258" spans="1:26" hidden="1" x14ac:dyDescent="0.25">
      <c r="A1258" s="33">
        <v>16</v>
      </c>
      <c r="B1258" s="71" t="s">
        <v>29</v>
      </c>
      <c r="C1258" s="39" t="s">
        <v>3584</v>
      </c>
      <c r="D1258" s="106" t="s">
        <v>3300</v>
      </c>
      <c r="E1258" s="47">
        <v>45761</v>
      </c>
      <c r="F1258" s="31" t="str">
        <f>VLOOKUP($C1258,Carpetas!$C$5:$M$2666,2,FALSE)</f>
        <v>BRB038</v>
      </c>
      <c r="G1258" s="23" t="str">
        <f>VLOOKUP($C1258,Carpetas!$C$5:$M$2666,10,FALSE)</f>
        <v>152,22,78</v>
      </c>
      <c r="H1258" s="27" t="str">
        <f>VLOOKUP($C1258,Carpetas!$C$5:$M$2666,6,FALSE)</f>
        <v>Gral</v>
      </c>
      <c r="I1258" s="220"/>
      <c r="J1258" s="47">
        <f>E1258+2</f>
        <v>45763</v>
      </c>
      <c r="K1258" s="72" t="str">
        <f>VLOOKUP($C1258,Carpetas!$C$5:$M$2666,5,FALSE)</f>
        <v>Rio Branco</v>
      </c>
      <c r="L1258" s="32"/>
      <c r="M1258" s="48">
        <f>J1258+1</f>
        <v>45764</v>
      </c>
      <c r="N1258" s="26">
        <f t="shared" si="82"/>
        <v>3</v>
      </c>
      <c r="O1258" s="27">
        <v>918</v>
      </c>
      <c r="P1258" s="27">
        <v>918</v>
      </c>
      <c r="Q1258" s="27">
        <v>26</v>
      </c>
      <c r="R1258" s="27">
        <v>25</v>
      </c>
      <c r="S1258" s="27" t="s">
        <v>3646</v>
      </c>
      <c r="T1258" s="27"/>
      <c r="U1258" s="27">
        <v>7287</v>
      </c>
      <c r="V1258" s="27" t="s">
        <v>3647</v>
      </c>
      <c r="W1258" s="27" t="s">
        <v>3648</v>
      </c>
      <c r="X1258" s="128" t="s">
        <v>3649</v>
      </c>
      <c r="Y1258" s="73" t="str">
        <f>VLOOKUP(X1258,Choferes!$B$3:C409,2,FALSE)</f>
        <v>+55 49 988233907</v>
      </c>
      <c r="Z1258" s="73" t="s">
        <v>3650</v>
      </c>
    </row>
    <row r="1259" spans="1:26" hidden="1" x14ac:dyDescent="0.25">
      <c r="A1259" s="33">
        <v>16</v>
      </c>
      <c r="B1259" s="71" t="s">
        <v>29</v>
      </c>
      <c r="C1259" s="39" t="s">
        <v>3584</v>
      </c>
      <c r="D1259" s="106" t="s">
        <v>2474</v>
      </c>
      <c r="E1259" s="47">
        <v>45761</v>
      </c>
      <c r="F1259" s="31" t="str">
        <f>VLOOKUP($C1259,Carpetas!$C$5:$M$2666,2,FALSE)</f>
        <v>BRB038</v>
      </c>
      <c r="G1259" s="23" t="str">
        <f>VLOOKUP($C1259,Carpetas!$C$5:$M$2666,10,FALSE)</f>
        <v>152,22,78</v>
      </c>
      <c r="H1259" s="27" t="str">
        <f>VLOOKUP($C1259,Carpetas!$C$5:$M$2666,6,FALSE)</f>
        <v>Gral</v>
      </c>
      <c r="I1259" s="220"/>
      <c r="J1259" s="47">
        <f>E1259+2</f>
        <v>45763</v>
      </c>
      <c r="K1259" s="72" t="str">
        <f>VLOOKUP($C1259,Carpetas!$C$5:$M$2666,5,FALSE)</f>
        <v>Rio Branco</v>
      </c>
      <c r="L1259" s="32"/>
      <c r="M1259" s="48">
        <f>J1259+1</f>
        <v>45764</v>
      </c>
      <c r="N1259" s="26">
        <f t="shared" si="82"/>
        <v>3</v>
      </c>
      <c r="O1259" s="27">
        <v>918</v>
      </c>
      <c r="P1259" s="27">
        <v>918</v>
      </c>
      <c r="Q1259" s="27">
        <v>26</v>
      </c>
      <c r="R1259" s="27">
        <v>25</v>
      </c>
      <c r="S1259" s="27" t="s">
        <v>3651</v>
      </c>
      <c r="T1259" s="27"/>
      <c r="U1259" s="27">
        <v>7286</v>
      </c>
      <c r="V1259" s="27" t="s">
        <v>3652</v>
      </c>
      <c r="W1259" s="27" t="s">
        <v>3653</v>
      </c>
      <c r="X1259" s="128" t="s">
        <v>3654</v>
      </c>
      <c r="Y1259" s="73" t="str">
        <f>VLOOKUP(X1259,Choferes!$B$3:C408,2,FALSE)</f>
        <v>+55 49 991921881</v>
      </c>
      <c r="Z1259" s="73" t="s">
        <v>3655</v>
      </c>
    </row>
    <row r="1260" spans="1:26" ht="45" hidden="1" x14ac:dyDescent="0.25">
      <c r="A1260" s="33">
        <v>16</v>
      </c>
      <c r="B1260" s="71" t="s">
        <v>29</v>
      </c>
      <c r="C1260" s="39" t="s">
        <v>3633</v>
      </c>
      <c r="D1260" s="106" t="s">
        <v>2474</v>
      </c>
      <c r="E1260" s="47">
        <v>45766</v>
      </c>
      <c r="F1260" s="31" t="str">
        <f>VLOOKUP($C1260,Carpetas!$C$5:$M$2666,2,FALSE)</f>
        <v>BRB041</v>
      </c>
      <c r="G1260" s="23" t="str">
        <f>VLOOKUP($C1260,Carpetas!$C$5:$M$2666,10,FALSE)</f>
        <v>152,22,74</v>
      </c>
      <c r="H1260" s="27" t="str">
        <f>VLOOKUP($C1260,Carpetas!$C$5:$M$2666,6,FALSE)</f>
        <v xml:space="preserve">Silvio </v>
      </c>
      <c r="I1260" s="220"/>
      <c r="J1260" s="47">
        <f>E1260+3</f>
        <v>45769</v>
      </c>
      <c r="K1260" s="72" t="str">
        <f>VLOOKUP($C1260,Carpetas!$C$5:$M$2666,5,FALSE)</f>
        <v>Rio Branco</v>
      </c>
      <c r="L1260" s="32"/>
      <c r="M1260" s="48">
        <f>J1260+1</f>
        <v>45770</v>
      </c>
      <c r="N1260" s="26">
        <f t="shared" si="82"/>
        <v>4</v>
      </c>
      <c r="O1260" s="27">
        <v>918</v>
      </c>
      <c r="P1260" s="27">
        <v>918</v>
      </c>
      <c r="Q1260" s="27">
        <v>26</v>
      </c>
      <c r="R1260" s="27">
        <v>25</v>
      </c>
      <c r="S1260" s="27" t="s">
        <v>3656</v>
      </c>
      <c r="T1260" s="27"/>
      <c r="U1260" s="27">
        <v>7377</v>
      </c>
      <c r="V1260" s="27" t="s">
        <v>251</v>
      </c>
      <c r="W1260" s="27" t="s">
        <v>710</v>
      </c>
      <c r="X1260" s="128" t="s">
        <v>3657</v>
      </c>
      <c r="Y1260" s="73" t="str">
        <f>VLOOKUP(X1260,Choferes!$B$3:C397,2,FALSE)</f>
        <v>+55 55 9686-5485</v>
      </c>
      <c r="Z1260" s="73" t="s">
        <v>3658</v>
      </c>
    </row>
    <row r="1261" spans="1:26" hidden="1" x14ac:dyDescent="0.25">
      <c r="A1261" s="33">
        <v>17</v>
      </c>
      <c r="B1261" s="71" t="s">
        <v>29</v>
      </c>
      <c r="C1261" s="39" t="s">
        <v>3637</v>
      </c>
      <c r="D1261" s="106" t="s">
        <v>747</v>
      </c>
      <c r="E1261" s="47">
        <v>45769</v>
      </c>
      <c r="F1261" s="31" t="str">
        <f>VLOOKUP($C1261,Carpetas!$C$5:$M$2666,2,FALSE)</f>
        <v>BRB043</v>
      </c>
      <c r="G1261" s="23" t="str">
        <f>VLOOKUP($C1261,Carpetas!$C$5:$M$2666,10,FALSE)</f>
        <v>152,27,58</v>
      </c>
      <c r="H1261" s="27" t="str">
        <f>VLOOKUP($C1261,Carpetas!$C$5:$M$2666,6,FALSE)</f>
        <v>FG</v>
      </c>
      <c r="I1261" s="220"/>
      <c r="J1261" s="47">
        <f>E1261+1</f>
        <v>45770</v>
      </c>
      <c r="K1261" s="72" t="str">
        <f>VLOOKUP($C1261,Carpetas!$C$5:$M$2666,5,FALSE)</f>
        <v>Rio Branco</v>
      </c>
      <c r="L1261" s="32"/>
      <c r="M1261" s="48">
        <f>J1261+1</f>
        <v>45771</v>
      </c>
      <c r="N1261" s="26">
        <f t="shared" si="82"/>
        <v>2</v>
      </c>
      <c r="O1261" s="27">
        <v>990</v>
      </c>
      <c r="P1261" s="27">
        <v>991</v>
      </c>
      <c r="Q1261" s="27">
        <v>28</v>
      </c>
      <c r="R1261" s="27">
        <v>26</v>
      </c>
      <c r="S1261" s="27" t="s">
        <v>2261</v>
      </c>
      <c r="T1261" s="27"/>
      <c r="U1261" s="27">
        <v>770</v>
      </c>
      <c r="V1261" s="27" t="s">
        <v>3403</v>
      </c>
      <c r="W1261" s="27" t="s">
        <v>3404</v>
      </c>
      <c r="X1261" s="128" t="s">
        <v>1589</v>
      </c>
      <c r="Y1261" s="73" t="str">
        <f>VLOOKUP(X1261,Choferes!$B$3:C402,2,FALSE)</f>
        <v>+5551998970570</v>
      </c>
      <c r="Z1261" s="73" t="s">
        <v>3659</v>
      </c>
    </row>
    <row r="1262" spans="1:26" hidden="1" x14ac:dyDescent="0.25">
      <c r="A1262" s="33">
        <v>17</v>
      </c>
      <c r="B1262" s="71" t="s">
        <v>29</v>
      </c>
      <c r="C1262" s="39" t="s">
        <v>3637</v>
      </c>
      <c r="D1262" s="106" t="s">
        <v>803</v>
      </c>
      <c r="E1262" s="47">
        <v>45769</v>
      </c>
      <c r="F1262" s="31" t="str">
        <f>VLOOKUP($C1262,Carpetas!$C$5:$M$2666,2,FALSE)</f>
        <v>BRB043</v>
      </c>
      <c r="G1262" s="23" t="str">
        <f>VLOOKUP($C1262,Carpetas!$C$5:$M$2666,10,FALSE)</f>
        <v>152,27,58</v>
      </c>
      <c r="H1262" s="27" t="str">
        <f>VLOOKUP($C1262,Carpetas!$C$5:$M$2666,6,FALSE)</f>
        <v>FG</v>
      </c>
      <c r="I1262" s="220"/>
      <c r="J1262" s="47">
        <f>E1262+1</f>
        <v>45770</v>
      </c>
      <c r="K1262" s="72" t="str">
        <f>VLOOKUP($C1262,Carpetas!$C$5:$M$2666,5,FALSE)</f>
        <v>Rio Branco</v>
      </c>
      <c r="L1262" s="32"/>
      <c r="M1262" s="48">
        <f>J1262+1</f>
        <v>45771</v>
      </c>
      <c r="N1262" s="26">
        <f t="shared" si="82"/>
        <v>2</v>
      </c>
      <c r="O1262" s="27">
        <v>990</v>
      </c>
      <c r="P1262" s="27">
        <v>990</v>
      </c>
      <c r="Q1262" s="27">
        <v>28</v>
      </c>
      <c r="R1262" s="27">
        <v>25</v>
      </c>
      <c r="S1262" s="27" t="s">
        <v>1728</v>
      </c>
      <c r="T1262" s="27"/>
      <c r="U1262" s="27">
        <v>768</v>
      </c>
      <c r="V1262" s="27" t="s">
        <v>1657</v>
      </c>
      <c r="W1262" s="27" t="s">
        <v>1815</v>
      </c>
      <c r="X1262" s="128" t="s">
        <v>1468</v>
      </c>
      <c r="Y1262" s="73" t="str">
        <f>VLOOKUP(X1262,Choferes!$B$3:C403,2,FALSE)</f>
        <v>+5553984274141</v>
      </c>
      <c r="Z1262" s="73" t="s">
        <v>3660</v>
      </c>
    </row>
    <row r="1263" spans="1:26" ht="30" hidden="1" x14ac:dyDescent="0.25">
      <c r="A1263" s="33">
        <v>17</v>
      </c>
      <c r="B1263" s="71" t="s">
        <v>29</v>
      </c>
      <c r="C1263" s="39" t="s">
        <v>3661</v>
      </c>
      <c r="D1263" s="106" t="s">
        <v>38</v>
      </c>
      <c r="E1263" s="47">
        <v>45764</v>
      </c>
      <c r="F1263" s="31" t="str">
        <f>VLOOKUP($C1263,Carpetas!$C$5:$M$2666,2,FALSE)</f>
        <v>BRE013</v>
      </c>
      <c r="G1263" s="23">
        <f>VLOOKUP($C1263,Carpetas!$C$5:$M$2666,10,FALSE)</f>
        <v>1522612</v>
      </c>
      <c r="H1263" s="27" t="str">
        <f>VLOOKUP($C1263,Carpetas!$C$5:$M$2666,6,FALSE)</f>
        <v>VPM</v>
      </c>
      <c r="I1263" s="220">
        <f>VLOOKUP($C1263,Carpetas!$C$5:$M$2666,4,FALSE)</f>
        <v>0</v>
      </c>
      <c r="J1263" s="47">
        <v>45770</v>
      </c>
      <c r="K1263" s="72" t="str">
        <f>VLOOKUP($C1263,Carpetas!$C$5:$M$2666,5,FALSE)</f>
        <v>Chuy</v>
      </c>
      <c r="L1263" s="32"/>
      <c r="M1263" s="48">
        <f>J1263+1+1</f>
        <v>45772</v>
      </c>
      <c r="N1263" s="26">
        <f t="shared" si="82"/>
        <v>8</v>
      </c>
      <c r="O1263" s="27">
        <v>5616</v>
      </c>
      <c r="P1263" s="27">
        <v>5615</v>
      </c>
      <c r="Q1263" s="27">
        <v>26</v>
      </c>
      <c r="R1263" s="27">
        <v>4.4000000000000004</v>
      </c>
      <c r="S1263" s="27" t="s">
        <v>3662</v>
      </c>
      <c r="T1263" s="27"/>
      <c r="U1263" s="27"/>
      <c r="V1263" s="27" t="s">
        <v>3663</v>
      </c>
      <c r="W1263" s="27"/>
      <c r="X1263" s="128"/>
      <c r="Y1263" s="73" t="e">
        <f>VLOOKUP(X1263,Choferes!$B$3:C397,2,FALSE)</f>
        <v>#N/A</v>
      </c>
      <c r="Z1263" s="73" t="s">
        <v>3664</v>
      </c>
    </row>
    <row r="1264" spans="1:26" hidden="1" x14ac:dyDescent="0.25">
      <c r="A1264" s="33">
        <v>17</v>
      </c>
      <c r="B1264" s="71" t="s">
        <v>29</v>
      </c>
      <c r="C1264" s="39" t="s">
        <v>3633</v>
      </c>
      <c r="D1264" s="106" t="s">
        <v>110</v>
      </c>
      <c r="E1264" s="47">
        <v>45769</v>
      </c>
      <c r="F1264" s="31" t="str">
        <f>VLOOKUP($C1264,Carpetas!$C$5:$M$2666,2,FALSE)</f>
        <v>BRB041</v>
      </c>
      <c r="G1264" s="23" t="str">
        <f>VLOOKUP($C1264,Carpetas!$C$5:$M$2666,10,FALSE)</f>
        <v>152,22,74</v>
      </c>
      <c r="H1264" s="27" t="str">
        <f>VLOOKUP($C1264,Carpetas!$C$5:$M$2666,6,FALSE)</f>
        <v xml:space="preserve">Silvio </v>
      </c>
      <c r="I1264" s="220"/>
      <c r="J1264" s="47">
        <v>45771</v>
      </c>
      <c r="K1264" s="72" t="str">
        <f>VLOOKUP($C1264,Carpetas!$C$5:$M$2666,5,FALSE)</f>
        <v>Rio Branco</v>
      </c>
      <c r="L1264" s="32"/>
      <c r="M1264" s="48">
        <f t="shared" ref="M1264:M1271" si="84">J1264+1</f>
        <v>45772</v>
      </c>
      <c r="N1264" s="26">
        <f t="shared" si="82"/>
        <v>3</v>
      </c>
      <c r="O1264" s="27">
        <v>918</v>
      </c>
      <c r="P1264" s="27">
        <v>918</v>
      </c>
      <c r="Q1264" s="27">
        <v>25</v>
      </c>
      <c r="R1264" s="27">
        <v>26</v>
      </c>
      <c r="S1264" s="27" t="s">
        <v>3665</v>
      </c>
      <c r="T1264" s="27"/>
      <c r="U1264" s="27">
        <v>7378</v>
      </c>
      <c r="V1264" s="27" t="s">
        <v>3315</v>
      </c>
      <c r="W1264" s="27" t="s">
        <v>3316</v>
      </c>
      <c r="X1264" s="128" t="s">
        <v>3635</v>
      </c>
      <c r="Y1264" s="73" t="str">
        <f>VLOOKUP(X1264,Choferes!$B$3:C407,2,FALSE)</f>
        <v>+5547996273107</v>
      </c>
      <c r="Z1264" s="73" t="s">
        <v>3666</v>
      </c>
    </row>
    <row r="1265" spans="1:26" hidden="1" x14ac:dyDescent="0.25">
      <c r="A1265" s="33">
        <v>17</v>
      </c>
      <c r="B1265" s="71" t="s">
        <v>29</v>
      </c>
      <c r="C1265" s="39" t="s">
        <v>3518</v>
      </c>
      <c r="D1265" s="106" t="s">
        <v>747</v>
      </c>
      <c r="E1265" s="47">
        <v>45770</v>
      </c>
      <c r="F1265" s="31" t="str">
        <f>VLOOKUP($C1265,Carpetas!$C$5:$M$2666,2,FALSE)</f>
        <v>BRB036</v>
      </c>
      <c r="G1265" s="23" t="str">
        <f>VLOOKUP($C1265,Carpetas!$C$5:$M$2666,10,FALSE)</f>
        <v>152,15,73</v>
      </c>
      <c r="H1265" s="27" t="str">
        <f>VLOOKUP($C1265,Carpetas!$C$5:$M$2666,6,FALSE)</f>
        <v>Zanini</v>
      </c>
      <c r="I1265" s="220"/>
      <c r="J1265" s="47">
        <v>45771</v>
      </c>
      <c r="K1265" s="72" t="str">
        <f>VLOOKUP($C1265,Carpetas!$C$5:$M$2666,5,FALSE)</f>
        <v>Rio Branco</v>
      </c>
      <c r="L1265" s="32"/>
      <c r="M1265" s="48">
        <f t="shared" si="84"/>
        <v>45772</v>
      </c>
      <c r="N1265" s="26">
        <f t="shared" si="82"/>
        <v>2</v>
      </c>
      <c r="O1265" s="27">
        <v>918</v>
      </c>
      <c r="P1265" s="27">
        <v>919</v>
      </c>
      <c r="Q1265" s="27">
        <v>26</v>
      </c>
      <c r="R1265" s="27">
        <v>25</v>
      </c>
      <c r="S1265" s="27" t="s">
        <v>2281</v>
      </c>
      <c r="T1265" s="27"/>
      <c r="U1265" s="27">
        <v>5188</v>
      </c>
      <c r="V1265" s="27" t="s">
        <v>206</v>
      </c>
      <c r="W1265" s="27" t="s">
        <v>207</v>
      </c>
      <c r="X1265" s="128" t="s">
        <v>3667</v>
      </c>
      <c r="Y1265" s="73" t="str">
        <f>VLOOKUP(X1265,Choferes!$B$3:C399,2,FALSE)</f>
        <v>+5549999345979</v>
      </c>
      <c r="Z1265" s="73" t="s">
        <v>3668</v>
      </c>
    </row>
    <row r="1266" spans="1:26" ht="30" hidden="1" x14ac:dyDescent="0.25">
      <c r="A1266" s="33">
        <v>17</v>
      </c>
      <c r="B1266" s="71" t="s">
        <v>29</v>
      </c>
      <c r="C1266" s="39" t="s">
        <v>3637</v>
      </c>
      <c r="D1266" s="106" t="s">
        <v>249</v>
      </c>
      <c r="E1266" s="47">
        <v>45770</v>
      </c>
      <c r="F1266" s="31" t="str">
        <f>VLOOKUP($C1266,Carpetas!$C$5:$M$2666,2,FALSE)</f>
        <v>BRB043</v>
      </c>
      <c r="G1266" s="23" t="str">
        <f>VLOOKUP($C1266,Carpetas!$C$5:$M$2666,10,FALSE)</f>
        <v>152,27,58</v>
      </c>
      <c r="H1266" s="27" t="str">
        <f>VLOOKUP($C1266,Carpetas!$C$5:$M$2666,6,FALSE)</f>
        <v>FG</v>
      </c>
      <c r="I1266" s="220"/>
      <c r="J1266" s="47">
        <f>E1266+3</f>
        <v>45773</v>
      </c>
      <c r="K1266" s="72" t="str">
        <f>VLOOKUP($C1266,Carpetas!$C$5:$M$2666,5,FALSE)</f>
        <v>Rio Branco</v>
      </c>
      <c r="L1266" s="32"/>
      <c r="M1266" s="48">
        <f t="shared" si="84"/>
        <v>45774</v>
      </c>
      <c r="N1266" s="26">
        <f t="shared" si="82"/>
        <v>4</v>
      </c>
      <c r="O1266" s="27">
        <v>990</v>
      </c>
      <c r="P1266" s="27">
        <v>990</v>
      </c>
      <c r="Q1266" s="27">
        <v>28</v>
      </c>
      <c r="R1266" s="27">
        <v>26</v>
      </c>
      <c r="S1266" s="27" t="s">
        <v>2748</v>
      </c>
      <c r="T1266" s="27"/>
      <c r="U1266" s="27">
        <v>772</v>
      </c>
      <c r="V1266" s="27" t="s">
        <v>3669</v>
      </c>
      <c r="W1266" s="27" t="s">
        <v>912</v>
      </c>
      <c r="X1266" s="128" t="s">
        <v>2336</v>
      </c>
      <c r="Y1266" s="73" t="str">
        <f>VLOOKUP(X1266,Choferes!$B$3:C404,2,FALSE)</f>
        <v>+5553984414060</v>
      </c>
      <c r="Z1266" s="73" t="s">
        <v>3670</v>
      </c>
    </row>
    <row r="1267" spans="1:26" hidden="1" x14ac:dyDescent="0.25">
      <c r="A1267" s="33">
        <v>17</v>
      </c>
      <c r="B1267" s="71" t="s">
        <v>29</v>
      </c>
      <c r="C1267" s="39" t="s">
        <v>3633</v>
      </c>
      <c r="D1267" s="106" t="s">
        <v>2474</v>
      </c>
      <c r="E1267" s="47">
        <v>45770</v>
      </c>
      <c r="F1267" s="31" t="str">
        <f>VLOOKUP($C1267,Carpetas!$C$5:$M$2666,2,FALSE)</f>
        <v>BRB041</v>
      </c>
      <c r="G1267" s="23" t="str">
        <f>VLOOKUP($C1267,Carpetas!$C$5:$M$2666,10,FALSE)</f>
        <v>152,22,74</v>
      </c>
      <c r="H1267" s="27" t="str">
        <f>VLOOKUP($C1267,Carpetas!$C$5:$M$2666,6,FALSE)</f>
        <v xml:space="preserve">Silvio </v>
      </c>
      <c r="I1267" s="220"/>
      <c r="J1267" s="47">
        <f>E1267+3</f>
        <v>45773</v>
      </c>
      <c r="K1267" s="72" t="str">
        <f>VLOOKUP($C1267,Carpetas!$C$5:$M$2666,5,FALSE)</f>
        <v>Rio Branco</v>
      </c>
      <c r="L1267" s="32"/>
      <c r="M1267" s="48">
        <f t="shared" si="84"/>
        <v>45774</v>
      </c>
      <c r="N1267" s="26">
        <f t="shared" si="82"/>
        <v>4</v>
      </c>
      <c r="O1267" s="27">
        <v>918</v>
      </c>
      <c r="P1267" s="27">
        <v>918</v>
      </c>
      <c r="Q1267" s="27">
        <v>26</v>
      </c>
      <c r="R1267" s="27">
        <v>26</v>
      </c>
      <c r="S1267" s="27" t="s">
        <v>3671</v>
      </c>
      <c r="T1267" s="27"/>
      <c r="U1267" s="27">
        <v>7379</v>
      </c>
      <c r="V1267" s="27" t="s">
        <v>3378</v>
      </c>
      <c r="W1267" s="27" t="s">
        <v>3379</v>
      </c>
      <c r="X1267" s="128" t="s">
        <v>1418</v>
      </c>
      <c r="Y1267" s="73" t="str">
        <f>VLOOKUP(X1267,Choferes!$B$3:C408,2,FALSE)</f>
        <v>+5541998209759</v>
      </c>
      <c r="Z1267" s="73" t="s">
        <v>3672</v>
      </c>
    </row>
    <row r="1268" spans="1:26" hidden="1" x14ac:dyDescent="0.25">
      <c r="A1268" s="33">
        <v>17</v>
      </c>
      <c r="B1268" s="71" t="s">
        <v>29</v>
      </c>
      <c r="C1268" s="39" t="s">
        <v>3673</v>
      </c>
      <c r="D1268" s="106" t="s">
        <v>803</v>
      </c>
      <c r="E1268" s="47">
        <v>45770</v>
      </c>
      <c r="F1268" s="31" t="str">
        <f>VLOOKUP($C1268,Carpetas!$C$5:$M$2666,2,FALSE)</f>
        <v>BRB044</v>
      </c>
      <c r="G1268" s="23" t="str">
        <f>VLOOKUP($C1268,Carpetas!$C$5:$M$2666,10,FALSE)</f>
        <v>152,23,50</v>
      </c>
      <c r="H1268" s="27" t="str">
        <f>VLOOKUP($C1268,Carpetas!$C$5:$M$2666,6,FALSE)</f>
        <v>Gral</v>
      </c>
      <c r="I1268" s="220"/>
      <c r="J1268" s="47">
        <v>45775</v>
      </c>
      <c r="K1268" s="72" t="str">
        <f>VLOOKUP($C1268,Carpetas!$C$5:$M$2666,5,FALSE)</f>
        <v>Rio Branco</v>
      </c>
      <c r="L1268" s="32"/>
      <c r="M1268" s="48">
        <f t="shared" si="84"/>
        <v>45776</v>
      </c>
      <c r="N1268" s="26">
        <f t="shared" si="82"/>
        <v>6</v>
      </c>
      <c r="O1268" s="27">
        <v>918</v>
      </c>
      <c r="P1268" s="27"/>
      <c r="Q1268" s="27"/>
      <c r="R1268" s="27"/>
      <c r="S1268" s="27" t="s">
        <v>1784</v>
      </c>
      <c r="T1268" s="27"/>
      <c r="U1268" s="27"/>
      <c r="V1268" s="27" t="s">
        <v>3674</v>
      </c>
      <c r="W1268" s="27" t="s">
        <v>3675</v>
      </c>
      <c r="X1268" s="128"/>
      <c r="Y1268" s="73" t="e">
        <f>VLOOKUP(X1268,Choferes!$B$3:C408,2,FALSE)</f>
        <v>#N/A</v>
      </c>
      <c r="Z1268" s="73"/>
    </row>
    <row r="1269" spans="1:26" hidden="1" x14ac:dyDescent="0.25">
      <c r="A1269" s="33">
        <v>17</v>
      </c>
      <c r="B1269" s="71" t="s">
        <v>29</v>
      </c>
      <c r="C1269" s="39" t="s">
        <v>3637</v>
      </c>
      <c r="D1269" s="106" t="s">
        <v>803</v>
      </c>
      <c r="E1269" s="47">
        <v>45772</v>
      </c>
      <c r="F1269" s="31" t="str">
        <f>VLOOKUP($C1269,Carpetas!$C$5:$M$2666,2,FALSE)</f>
        <v>BRB043</v>
      </c>
      <c r="G1269" s="23" t="str">
        <f>VLOOKUP($C1269,Carpetas!$C$5:$M$2666,10,FALSE)</f>
        <v>152,27,58</v>
      </c>
      <c r="H1269" s="27" t="str">
        <f>VLOOKUP($C1269,Carpetas!$C$5:$M$2666,6,FALSE)</f>
        <v>FG</v>
      </c>
      <c r="I1269" s="220"/>
      <c r="J1269" s="47">
        <f>E1269+3</f>
        <v>45775</v>
      </c>
      <c r="K1269" s="72" t="str">
        <f>VLOOKUP($C1269,Carpetas!$C$5:$M$2666,5,FALSE)</f>
        <v>Rio Branco</v>
      </c>
      <c r="L1269" s="32"/>
      <c r="M1269" s="48">
        <f t="shared" si="84"/>
        <v>45776</v>
      </c>
      <c r="N1269" s="26">
        <f t="shared" si="82"/>
        <v>4</v>
      </c>
      <c r="O1269" s="27">
        <v>990</v>
      </c>
      <c r="P1269" s="27"/>
      <c r="Q1269" s="27"/>
      <c r="R1269" s="27"/>
      <c r="S1269" s="27" t="s">
        <v>1765</v>
      </c>
      <c r="T1269" s="27"/>
      <c r="U1269" s="27"/>
      <c r="V1269" s="27" t="s">
        <v>1649</v>
      </c>
      <c r="W1269" s="27" t="s">
        <v>1650</v>
      </c>
      <c r="X1269" s="128"/>
      <c r="Y1269" s="73" t="e">
        <f>VLOOKUP(X1269,Choferes!$B$3:C406,2,FALSE)</f>
        <v>#N/A</v>
      </c>
      <c r="Z1269" s="73"/>
    </row>
    <row r="1270" spans="1:26" hidden="1" x14ac:dyDescent="0.25">
      <c r="A1270" s="33">
        <v>17</v>
      </c>
      <c r="B1270" s="71" t="s">
        <v>29</v>
      </c>
      <c r="C1270" s="39" t="s">
        <v>3637</v>
      </c>
      <c r="D1270" s="106" t="s">
        <v>764</v>
      </c>
      <c r="E1270" s="47">
        <v>45772</v>
      </c>
      <c r="F1270" s="31" t="str">
        <f>VLOOKUP($C1270,Carpetas!$C$5:$M$2666,2,FALSE)</f>
        <v>BRB043</v>
      </c>
      <c r="G1270" s="23" t="str">
        <f>VLOOKUP($C1270,Carpetas!$C$5:$M$2666,10,FALSE)</f>
        <v>152,27,58</v>
      </c>
      <c r="H1270" s="27" t="str">
        <f>VLOOKUP($C1270,Carpetas!$C$5:$M$2666,6,FALSE)</f>
        <v>FG</v>
      </c>
      <c r="I1270" s="220"/>
      <c r="J1270" s="47">
        <f>E1270+3</f>
        <v>45775</v>
      </c>
      <c r="K1270" s="72" t="str">
        <f>VLOOKUP($C1270,Carpetas!$C$5:$M$2666,5,FALSE)</f>
        <v>Rio Branco</v>
      </c>
      <c r="L1270" s="32"/>
      <c r="M1270" s="48">
        <f t="shared" si="84"/>
        <v>45776</v>
      </c>
      <c r="N1270" s="26">
        <f t="shared" si="82"/>
        <v>4</v>
      </c>
      <c r="O1270" s="27">
        <v>990</v>
      </c>
      <c r="P1270" s="27"/>
      <c r="Q1270" s="27"/>
      <c r="R1270" s="27"/>
      <c r="S1270" s="27" t="s">
        <v>872</v>
      </c>
      <c r="T1270" s="27"/>
      <c r="U1270" s="27"/>
      <c r="V1270" s="27" t="s">
        <v>1636</v>
      </c>
      <c r="W1270" s="27" t="s">
        <v>1736</v>
      </c>
      <c r="X1270" s="128"/>
      <c r="Y1270" s="73" t="e">
        <f>VLOOKUP(X1270,Choferes!$B$3:C410,2,FALSE)</f>
        <v>#N/A</v>
      </c>
      <c r="Z1270" s="73"/>
    </row>
    <row r="1271" spans="1:26" hidden="1" x14ac:dyDescent="0.25">
      <c r="A1271" s="33">
        <v>17</v>
      </c>
      <c r="B1271" s="71" t="s">
        <v>29</v>
      </c>
      <c r="C1271" s="39" t="s">
        <v>3673</v>
      </c>
      <c r="D1271" s="106" t="s">
        <v>747</v>
      </c>
      <c r="E1271" s="47">
        <v>45772</v>
      </c>
      <c r="F1271" s="31" t="str">
        <f>VLOOKUP($C1271,Carpetas!$C$5:$M$2666,2,FALSE)</f>
        <v>BRB044</v>
      </c>
      <c r="G1271" s="23" t="str">
        <f>VLOOKUP($C1271,Carpetas!$C$5:$M$2666,10,FALSE)</f>
        <v>152,23,50</v>
      </c>
      <c r="H1271" s="27" t="str">
        <f>VLOOKUP($C1271,Carpetas!$C$5:$M$2666,6,FALSE)</f>
        <v>Gral</v>
      </c>
      <c r="I1271" s="220"/>
      <c r="J1271" s="47">
        <f>E1271+3</f>
        <v>45775</v>
      </c>
      <c r="K1271" s="72" t="str">
        <f>VLOOKUP($C1271,Carpetas!$C$5:$M$2666,5,FALSE)</f>
        <v>Rio Branco</v>
      </c>
      <c r="L1271" s="32"/>
      <c r="M1271" s="48">
        <f t="shared" si="84"/>
        <v>45776</v>
      </c>
      <c r="N1271" s="26">
        <f t="shared" si="82"/>
        <v>4</v>
      </c>
      <c r="O1271" s="27">
        <v>918</v>
      </c>
      <c r="P1271" s="27">
        <v>918</v>
      </c>
      <c r="Q1271" s="27"/>
      <c r="R1271" s="27"/>
      <c r="S1271" s="27" t="s">
        <v>2422</v>
      </c>
      <c r="T1271" s="27"/>
      <c r="U1271" s="27">
        <v>7308</v>
      </c>
      <c r="V1271" s="27" t="s">
        <v>3676</v>
      </c>
      <c r="W1271" s="27" t="s">
        <v>3677</v>
      </c>
      <c r="X1271" s="128"/>
      <c r="Y1271" s="73" t="e">
        <f>VLOOKUP(X1271,Choferes!$B$3:C398,2,FALSE)</f>
        <v>#N/A</v>
      </c>
      <c r="Z1271" s="73"/>
    </row>
    <row r="1272" spans="1:26" hidden="1" x14ac:dyDescent="0.25">
      <c r="A1272" s="33">
        <v>17</v>
      </c>
      <c r="B1272" s="71" t="s">
        <v>29</v>
      </c>
      <c r="C1272" s="39" t="s">
        <v>3637</v>
      </c>
      <c r="D1272" s="106" t="s">
        <v>803</v>
      </c>
      <c r="E1272" s="47">
        <v>45773</v>
      </c>
      <c r="F1272" s="31" t="str">
        <f>VLOOKUP($C1272,Carpetas!$C$5:$M$2666,2,FALSE)</f>
        <v>BRB043</v>
      </c>
      <c r="G1272" s="23" t="str">
        <f>VLOOKUP($C1272,Carpetas!$C$5:$M$2666,10,FALSE)</f>
        <v>152,27,58</v>
      </c>
      <c r="H1272" s="27" t="str">
        <f>VLOOKUP($C1272,Carpetas!$C$5:$M$2666,6,FALSE)</f>
        <v>FG</v>
      </c>
      <c r="I1272" s="220"/>
      <c r="J1272" s="47">
        <v>45775</v>
      </c>
      <c r="K1272" s="72" t="str">
        <f>VLOOKUP($C1272,Carpetas!$C$5:$M$2666,5,FALSE)</f>
        <v>Rio Branco</v>
      </c>
      <c r="L1272" s="32"/>
      <c r="M1272" s="48">
        <v>45776</v>
      </c>
      <c r="N1272" s="26">
        <f t="shared" si="82"/>
        <v>3</v>
      </c>
      <c r="O1272" s="27">
        <v>990</v>
      </c>
      <c r="P1272" s="27"/>
      <c r="Q1272" s="27"/>
      <c r="R1272" s="27"/>
      <c r="S1272" s="27" t="s">
        <v>1743</v>
      </c>
      <c r="T1272" s="27"/>
      <c r="U1272" s="27"/>
      <c r="V1272" s="27" t="s">
        <v>1626</v>
      </c>
      <c r="W1272" s="27" t="s">
        <v>1627</v>
      </c>
      <c r="X1272" s="128"/>
      <c r="Y1272" s="73" t="e">
        <f>VLOOKUP(X1272,Choferes!$B$3:C407,2,FALSE)</f>
        <v>#N/A</v>
      </c>
      <c r="Z1272" s="73"/>
    </row>
    <row r="1273" spans="1:26" hidden="1" x14ac:dyDescent="0.25">
      <c r="A1273" s="33">
        <v>17</v>
      </c>
      <c r="B1273" s="71" t="s">
        <v>29</v>
      </c>
      <c r="C1273" s="39" t="s">
        <v>3678</v>
      </c>
      <c r="D1273" s="106" t="s">
        <v>110</v>
      </c>
      <c r="E1273" s="47">
        <v>45772</v>
      </c>
      <c r="F1273" s="31" t="str">
        <f>VLOOKUP($C1273,Carpetas!$C$5:$M$2666,2,FALSE)</f>
        <v>BRB045</v>
      </c>
      <c r="G1273" s="23" t="str">
        <f>VLOOKUP($C1273,Carpetas!$C$5:$M$2666,10,FALSE)</f>
        <v>152,32,51</v>
      </c>
      <c r="H1273" s="27" t="str">
        <f>VLOOKUP($C1273,Carpetas!$C$5:$M$2666,6,FALSE)</f>
        <v>Zanini</v>
      </c>
      <c r="I1273" s="220"/>
      <c r="J1273" s="47">
        <v>45776</v>
      </c>
      <c r="K1273" s="72" t="str">
        <f>VLOOKUP($C1273,Carpetas!$C$5:$M$2666,5,FALSE)</f>
        <v>Rio Branco</v>
      </c>
      <c r="L1273" s="32"/>
      <c r="M1273" s="48">
        <f>J1273+1</f>
        <v>45777</v>
      </c>
      <c r="N1273" s="26">
        <f t="shared" si="82"/>
        <v>5</v>
      </c>
      <c r="O1273" s="27">
        <v>918</v>
      </c>
      <c r="P1273" s="27">
        <v>918</v>
      </c>
      <c r="Q1273" s="27">
        <v>918</v>
      </c>
      <c r="R1273" s="27"/>
      <c r="S1273" s="27" t="s">
        <v>1873</v>
      </c>
      <c r="T1273" s="27"/>
      <c r="U1273" s="27">
        <v>5195</v>
      </c>
      <c r="V1273" s="27" t="s">
        <v>3679</v>
      </c>
      <c r="W1273" s="27" t="s">
        <v>3680</v>
      </c>
      <c r="X1273" s="128"/>
      <c r="Y1273" s="73" t="e">
        <f>VLOOKUP(X1273,Choferes!$B$3:C408,2,FALSE)</f>
        <v>#N/A</v>
      </c>
      <c r="Z1273" s="73"/>
    </row>
    <row r="1274" spans="1:26" hidden="1" x14ac:dyDescent="0.25">
      <c r="A1274" s="33">
        <v>17</v>
      </c>
      <c r="B1274" s="71" t="s">
        <v>29</v>
      </c>
      <c r="C1274" s="39" t="s">
        <v>3678</v>
      </c>
      <c r="D1274" s="106" t="s">
        <v>249</v>
      </c>
      <c r="E1274" s="47">
        <v>45772</v>
      </c>
      <c r="F1274" s="31" t="str">
        <f>VLOOKUP($C1274,Carpetas!$C$5:$M$2666,2,FALSE)</f>
        <v>BRB045</v>
      </c>
      <c r="G1274" s="23" t="str">
        <f>VLOOKUP($C1274,Carpetas!$C$5:$M$2666,10,FALSE)</f>
        <v>152,32,51</v>
      </c>
      <c r="H1274" s="27" t="str">
        <f>VLOOKUP($C1274,Carpetas!$C$5:$M$2666,6,FALSE)</f>
        <v>Zanini</v>
      </c>
      <c r="I1274" s="220"/>
      <c r="J1274" s="47">
        <v>45776</v>
      </c>
      <c r="K1274" s="72" t="str">
        <f>VLOOKUP($C1274,Carpetas!$C$5:$M$2666,5,FALSE)</f>
        <v>Rio Branco</v>
      </c>
      <c r="L1274" s="32"/>
      <c r="M1274" s="48">
        <v>45777</v>
      </c>
      <c r="N1274" s="26">
        <f t="shared" si="82"/>
        <v>5</v>
      </c>
      <c r="O1274" s="27">
        <v>918</v>
      </c>
      <c r="P1274" s="27">
        <v>918</v>
      </c>
      <c r="Q1274" s="27"/>
      <c r="R1274" s="27"/>
      <c r="S1274" s="27" t="s">
        <v>2794</v>
      </c>
      <c r="T1274" s="27"/>
      <c r="U1274" s="27">
        <v>5197</v>
      </c>
      <c r="V1274" s="27" t="s">
        <v>3681</v>
      </c>
      <c r="W1274" s="27" t="s">
        <v>3682</v>
      </c>
      <c r="X1274" s="128"/>
      <c r="Y1274" s="73" t="e">
        <f>VLOOKUP(X1274,Choferes!$B$3:C409,2,FALSE)</f>
        <v>#N/A</v>
      </c>
      <c r="Z1274" s="73"/>
    </row>
    <row r="1275" spans="1:26" hidden="1" x14ac:dyDescent="0.25">
      <c r="A1275" s="33">
        <v>17</v>
      </c>
      <c r="B1275" s="71" t="s">
        <v>29</v>
      </c>
      <c r="C1275" s="39" t="s">
        <v>3673</v>
      </c>
      <c r="D1275" s="106" t="s">
        <v>2474</v>
      </c>
      <c r="E1275" s="47">
        <v>45773</v>
      </c>
      <c r="F1275" s="31" t="str">
        <f>VLOOKUP($C1275,Carpetas!$C$5:$M$2666,2,FALSE)</f>
        <v>BRB044</v>
      </c>
      <c r="G1275" s="23" t="str">
        <f>VLOOKUP($C1275,Carpetas!$C$5:$M$2666,10,FALSE)</f>
        <v>152,23,50</v>
      </c>
      <c r="H1275" s="27" t="str">
        <f>VLOOKUP($C1275,Carpetas!$C$5:$M$2666,6,FALSE)</f>
        <v>Gral</v>
      </c>
      <c r="I1275" s="220"/>
      <c r="J1275" s="47">
        <f>E1275+3</f>
        <v>45776</v>
      </c>
      <c r="K1275" s="72" t="str">
        <f>VLOOKUP($C1275,Carpetas!$C$5:$M$2666,5,FALSE)</f>
        <v>Rio Branco</v>
      </c>
      <c r="L1275" s="32"/>
      <c r="M1275" s="48">
        <f>J1275+1</f>
        <v>45777</v>
      </c>
      <c r="N1275" s="26">
        <f t="shared" si="82"/>
        <v>4</v>
      </c>
      <c r="O1275" s="27">
        <v>918</v>
      </c>
      <c r="P1275" s="27">
        <v>918</v>
      </c>
      <c r="Q1275" s="27">
        <v>918</v>
      </c>
      <c r="R1275" s="27"/>
      <c r="S1275" s="27" t="s">
        <v>3683</v>
      </c>
      <c r="T1275" s="27"/>
      <c r="U1275" s="27">
        <v>7309</v>
      </c>
      <c r="V1275" s="27" t="s">
        <v>3684</v>
      </c>
      <c r="W1275" s="27" t="s">
        <v>3685</v>
      </c>
      <c r="X1275" s="128"/>
      <c r="Y1275" s="73" t="e">
        <f>VLOOKUP(X1275,Choferes!$B$3:C410,2,FALSE)</f>
        <v>#N/A</v>
      </c>
      <c r="Z1275" s="73"/>
    </row>
    <row r="1276" spans="1:26" hidden="1" x14ac:dyDescent="0.25">
      <c r="A1276" s="33">
        <v>17</v>
      </c>
      <c r="B1276" s="71" t="s">
        <v>29</v>
      </c>
      <c r="C1276" s="39" t="s">
        <v>3598</v>
      </c>
      <c r="D1276" s="106" t="s">
        <v>747</v>
      </c>
      <c r="E1276" s="47">
        <v>45773</v>
      </c>
      <c r="F1276" s="31" t="str">
        <f>VLOOKUP($C1276,Carpetas!$C$5:$M$2666,2,FALSE)</f>
        <v>BRB042</v>
      </c>
      <c r="G1276" s="23" t="str">
        <f>VLOOKUP($C1276,Carpetas!$C$5:$M$2666,10,FALSE)</f>
        <v>152,22,80</v>
      </c>
      <c r="H1276" s="27" t="str">
        <f>VLOOKUP($C1276,Carpetas!$C$5:$M$2666,6,FALSE)</f>
        <v>Amaro</v>
      </c>
      <c r="I1276" s="220"/>
      <c r="J1276" s="47">
        <f>E1276+3</f>
        <v>45776</v>
      </c>
      <c r="K1276" s="72" t="str">
        <f>VLOOKUP($C1276,Carpetas!$C$5:$M$2666,5,FALSE)</f>
        <v>Rio Branco</v>
      </c>
      <c r="L1276" s="32"/>
      <c r="M1276" s="48">
        <f>J1276+1</f>
        <v>45777</v>
      </c>
      <c r="N1276" s="26">
        <f t="shared" si="82"/>
        <v>4</v>
      </c>
      <c r="O1276" s="27">
        <v>990</v>
      </c>
      <c r="P1276" s="27"/>
      <c r="Q1276" s="27"/>
      <c r="R1276" s="27"/>
      <c r="S1276" s="27" t="s">
        <v>3686</v>
      </c>
      <c r="T1276" s="27"/>
      <c r="U1276" s="27">
        <v>25967</v>
      </c>
      <c r="V1276" s="27" t="s">
        <v>3687</v>
      </c>
      <c r="W1276" s="27" t="s">
        <v>3688</v>
      </c>
      <c r="X1276" s="128"/>
      <c r="Y1276" s="73" t="e">
        <f>VLOOKUP(X1276,Choferes!$B$3:C397,2,FALSE)</f>
        <v>#N/A</v>
      </c>
      <c r="Z1276" s="73"/>
    </row>
    <row r="1277" spans="1:26" hidden="1" x14ac:dyDescent="0.25">
      <c r="A1277" s="33">
        <v>17</v>
      </c>
      <c r="B1277" s="71" t="s">
        <v>29</v>
      </c>
      <c r="C1277" s="39" t="s">
        <v>3678</v>
      </c>
      <c r="D1277" s="106" t="s">
        <v>2474</v>
      </c>
      <c r="E1277" s="47">
        <v>45773</v>
      </c>
      <c r="F1277" s="31" t="str">
        <f>VLOOKUP($C1277,Carpetas!$C$5:$M$2666,2,FALSE)</f>
        <v>BRB045</v>
      </c>
      <c r="G1277" s="23" t="str">
        <f>VLOOKUP($C1277,Carpetas!$C$5:$M$2666,10,FALSE)</f>
        <v>152,32,51</v>
      </c>
      <c r="H1277" s="27" t="str">
        <f>VLOOKUP($C1277,Carpetas!$C$5:$M$2666,6,FALSE)</f>
        <v>Zanini</v>
      </c>
      <c r="I1277" s="220"/>
      <c r="J1277" s="47">
        <f>E1277+3</f>
        <v>45776</v>
      </c>
      <c r="K1277" s="72" t="str">
        <f>VLOOKUP($C1277,Carpetas!$C$5:$M$2666,5,FALSE)</f>
        <v>Rio Branco</v>
      </c>
      <c r="L1277" s="32"/>
      <c r="M1277" s="48">
        <v>45779</v>
      </c>
      <c r="N1277" s="26">
        <f t="shared" si="82"/>
        <v>6</v>
      </c>
      <c r="O1277" s="27">
        <v>918</v>
      </c>
      <c r="P1277" s="27">
        <v>918</v>
      </c>
      <c r="Q1277" s="27">
        <v>26</v>
      </c>
      <c r="R1277" s="27">
        <v>25</v>
      </c>
      <c r="S1277" s="27" t="s">
        <v>3689</v>
      </c>
      <c r="T1277" s="27"/>
      <c r="U1277" s="27">
        <v>5197</v>
      </c>
      <c r="V1277" s="27" t="s">
        <v>3690</v>
      </c>
      <c r="W1277" s="27" t="s">
        <v>3691</v>
      </c>
      <c r="X1277" s="128" t="s">
        <v>3692</v>
      </c>
      <c r="Y1277" s="73" t="str">
        <f>VLOOKUP(X1277,Choferes!$B$3:C398,2,FALSE)</f>
        <v>+55 55 8426-0540</v>
      </c>
      <c r="Z1277" s="73" t="s">
        <v>3693</v>
      </c>
    </row>
    <row r="1278" spans="1:26" hidden="1" x14ac:dyDescent="0.25">
      <c r="A1278" s="33">
        <v>18</v>
      </c>
      <c r="B1278" s="71" t="s">
        <v>29</v>
      </c>
      <c r="C1278" s="39" t="s">
        <v>3637</v>
      </c>
      <c r="D1278" s="106" t="s">
        <v>803</v>
      </c>
      <c r="E1278" s="47">
        <v>45775</v>
      </c>
      <c r="F1278" s="31" t="s">
        <v>3694</v>
      </c>
      <c r="G1278" s="23" t="str">
        <f>VLOOKUP($C1278,Carpetas!$C$5:$M$2666,10,FALSE)</f>
        <v>152,27,58</v>
      </c>
      <c r="H1278" s="27" t="str">
        <f>VLOOKUP($C1278,Carpetas!$C$5:$M$2666,6,FALSE)</f>
        <v>FG</v>
      </c>
      <c r="I1278" s="220"/>
      <c r="J1278" s="47">
        <v>45777</v>
      </c>
      <c r="K1278" s="72" t="str">
        <f>VLOOKUP($C1278,Carpetas!$C$5:$M$2666,5,FALSE)</f>
        <v>Rio Branco</v>
      </c>
      <c r="L1278" s="32" t="s">
        <v>3695</v>
      </c>
      <c r="M1278" s="48">
        <v>45779</v>
      </c>
      <c r="N1278" s="26">
        <v>4</v>
      </c>
      <c r="O1278" s="27">
        <v>990</v>
      </c>
      <c r="P1278" s="27">
        <v>991</v>
      </c>
      <c r="Q1278" s="27">
        <v>28</v>
      </c>
      <c r="R1278" s="27">
        <v>26</v>
      </c>
      <c r="S1278" s="27" t="s">
        <v>3696</v>
      </c>
      <c r="T1278" s="27"/>
      <c r="U1278" s="27">
        <v>778</v>
      </c>
      <c r="V1278" s="27" t="s">
        <v>3697</v>
      </c>
      <c r="W1278" s="27" t="s">
        <v>3698</v>
      </c>
      <c r="X1278" s="128" t="s">
        <v>1495</v>
      </c>
      <c r="Y1278" s="73" t="str">
        <f>VLOOKUP(X1278,Choferes!$B$3:C399,2,FALSE)</f>
        <v>+5553984382803</v>
      </c>
      <c r="Z1278" s="73" t="s">
        <v>3699</v>
      </c>
    </row>
    <row r="1279" spans="1:26" hidden="1" x14ac:dyDescent="0.25">
      <c r="A1279" s="33">
        <v>18</v>
      </c>
      <c r="B1279" s="71" t="s">
        <v>29</v>
      </c>
      <c r="C1279" s="39" t="s">
        <v>3700</v>
      </c>
      <c r="D1279" s="106" t="s">
        <v>249</v>
      </c>
      <c r="E1279" s="47">
        <v>45775</v>
      </c>
      <c r="F1279" s="31" t="s">
        <v>3701</v>
      </c>
      <c r="G1279" s="23" t="str">
        <f>VLOOKUP($C1279,Carpetas!$C$5:$M$2666,10,FALSE)</f>
        <v>152,32,52</v>
      </c>
      <c r="H1279" s="27" t="str">
        <f>VLOOKUP($C1279,Carpetas!$C$5:$M$2666,6,FALSE)</f>
        <v>FG</v>
      </c>
      <c r="I1279" s="220"/>
      <c r="J1279" s="47">
        <v>45777</v>
      </c>
      <c r="K1279" s="72" t="str">
        <f>VLOOKUP($C1279,Carpetas!$C$5:$M$2666,5,FALSE)</f>
        <v>Rio Branco</v>
      </c>
      <c r="L1279" s="32" t="s">
        <v>3695</v>
      </c>
      <c r="M1279" s="48">
        <v>45779</v>
      </c>
      <c r="N1279" s="26">
        <v>4</v>
      </c>
      <c r="O1279" s="27">
        <v>990</v>
      </c>
      <c r="P1279" s="27">
        <v>990</v>
      </c>
      <c r="Q1279" s="27" t="s">
        <v>3695</v>
      </c>
      <c r="R1279" s="27" t="s">
        <v>3695</v>
      </c>
      <c r="S1279" s="27" t="s">
        <v>2840</v>
      </c>
      <c r="T1279" s="27"/>
      <c r="U1279" s="27">
        <v>781</v>
      </c>
      <c r="V1279" s="129" t="s">
        <v>3403</v>
      </c>
      <c r="W1279" s="130" t="s">
        <v>3404</v>
      </c>
      <c r="X1279" s="128" t="s">
        <v>1589</v>
      </c>
      <c r="Y1279" s="73" t="str">
        <f>VLOOKUP(X1279,Choferes!$B$3:C400,2,FALSE)</f>
        <v>+5551998970570</v>
      </c>
      <c r="Z1279" s="73" t="s">
        <v>3695</v>
      </c>
    </row>
    <row r="1280" spans="1:26" hidden="1" x14ac:dyDescent="0.25">
      <c r="A1280" s="33">
        <v>18</v>
      </c>
      <c r="B1280" s="71" t="s">
        <v>29</v>
      </c>
      <c r="C1280" s="39" t="s">
        <v>3702</v>
      </c>
      <c r="D1280" s="106" t="s">
        <v>747</v>
      </c>
      <c r="E1280" s="47">
        <v>45775</v>
      </c>
      <c r="F1280" s="31" t="s">
        <v>3703</v>
      </c>
      <c r="G1280" s="23" t="str">
        <f>VLOOKUP($C1280,Carpetas!$C$5:$M$2666,10,FALSE)</f>
        <v>152,35,98</v>
      </c>
      <c r="H1280" s="27" t="str">
        <f>VLOOKUP($C1280,Carpetas!$C$5:$M$2666,6,FALSE)</f>
        <v>Amaro</v>
      </c>
      <c r="I1280" s="220"/>
      <c r="J1280" s="47">
        <v>45777</v>
      </c>
      <c r="K1280" s="72" t="str">
        <f>VLOOKUP($C1280,Carpetas!$C$5:$M$2666,5,FALSE)</f>
        <v>Rio Branco</v>
      </c>
      <c r="L1280" s="32" t="s">
        <v>3695</v>
      </c>
      <c r="M1280" s="48">
        <v>45779</v>
      </c>
      <c r="N1280" s="26">
        <v>4</v>
      </c>
      <c r="O1280" s="27">
        <v>990</v>
      </c>
      <c r="P1280" s="27">
        <v>990</v>
      </c>
      <c r="Q1280" s="27" t="s">
        <v>3695</v>
      </c>
      <c r="R1280" s="27" t="s">
        <v>3695</v>
      </c>
      <c r="S1280" s="27" t="s">
        <v>2436</v>
      </c>
      <c r="T1280" s="27"/>
      <c r="U1280" s="27">
        <v>26000</v>
      </c>
      <c r="V1280" s="130" t="s">
        <v>2136</v>
      </c>
      <c r="W1280" s="130" t="s">
        <v>1945</v>
      </c>
      <c r="X1280" s="128" t="s">
        <v>3513</v>
      </c>
      <c r="Y1280" s="73" t="str">
        <f>VLOOKUP(X1280,Choferes!$B$3:C401,2,FALSE)</f>
        <v>+598 91 508 964</v>
      </c>
      <c r="Z1280" s="73" t="s">
        <v>3695</v>
      </c>
    </row>
    <row r="1281" spans="1:26" hidden="1" x14ac:dyDescent="0.25">
      <c r="A1281" s="33">
        <v>18</v>
      </c>
      <c r="B1281" s="71" t="s">
        <v>29</v>
      </c>
      <c r="C1281" s="39" t="s">
        <v>3673</v>
      </c>
      <c r="D1281" s="106" t="s">
        <v>110</v>
      </c>
      <c r="E1281" s="47">
        <v>45775</v>
      </c>
      <c r="F1281" s="31" t="s">
        <v>3704</v>
      </c>
      <c r="G1281" s="23" t="str">
        <f>VLOOKUP($C1281,Carpetas!$C$5:$M$2666,10,FALSE)</f>
        <v>152,23,50</v>
      </c>
      <c r="H1281" s="27" t="str">
        <f>VLOOKUP($C1281,Carpetas!$C$5:$M$2666,6,FALSE)</f>
        <v>Gral</v>
      </c>
      <c r="I1281" s="220"/>
      <c r="J1281" s="47">
        <v>45777</v>
      </c>
      <c r="K1281" s="72" t="str">
        <f>VLOOKUP($C1281,Carpetas!$C$5:$M$2666,5,FALSE)</f>
        <v>Rio Branco</v>
      </c>
      <c r="L1281" s="32" t="s">
        <v>3695</v>
      </c>
      <c r="M1281" s="48">
        <v>45779</v>
      </c>
      <c r="N1281" s="26">
        <v>4</v>
      </c>
      <c r="O1281" s="27">
        <v>918</v>
      </c>
      <c r="P1281" s="27">
        <v>918</v>
      </c>
      <c r="Q1281" s="27">
        <v>26</v>
      </c>
      <c r="R1281" s="27">
        <v>25</v>
      </c>
      <c r="S1281" s="27" t="s">
        <v>3705</v>
      </c>
      <c r="T1281" s="27"/>
      <c r="U1281" s="27">
        <v>7310</v>
      </c>
      <c r="V1281" s="27" t="s">
        <v>3706</v>
      </c>
      <c r="W1281" s="27" t="s">
        <v>3707</v>
      </c>
      <c r="X1281" s="128" t="s">
        <v>3708</v>
      </c>
      <c r="Y1281" s="73" t="str">
        <f>VLOOKUP(X1281,Choferes!$B$3:C402,2,FALSE)</f>
        <v>+55 49 8897-2287</v>
      </c>
      <c r="Z1281" s="73" t="s">
        <v>3709</v>
      </c>
    </row>
    <row r="1282" spans="1:26" hidden="1" x14ac:dyDescent="0.25">
      <c r="A1282" s="33">
        <v>18</v>
      </c>
      <c r="B1282" s="71" t="s">
        <v>29</v>
      </c>
      <c r="C1282" s="39" t="s">
        <v>3700</v>
      </c>
      <c r="D1282" s="106" t="s">
        <v>747</v>
      </c>
      <c r="E1282" s="47">
        <v>45776</v>
      </c>
      <c r="F1282" s="31" t="s">
        <v>3701</v>
      </c>
      <c r="G1282" s="23" t="str">
        <f>VLOOKUP($C1282,Carpetas!$C$5:$M$2666,10,FALSE)</f>
        <v>152,32,52</v>
      </c>
      <c r="H1282" s="27" t="str">
        <f>VLOOKUP($C1282,Carpetas!$C$5:$M$2666,6,FALSE)</f>
        <v>FG</v>
      </c>
      <c r="I1282" s="220"/>
      <c r="J1282" s="47">
        <v>45777</v>
      </c>
      <c r="K1282" s="72" t="str">
        <f>VLOOKUP($C1282,Carpetas!$C$5:$M$2666,5,FALSE)</f>
        <v>Rio Branco</v>
      </c>
      <c r="L1282" s="32" t="s">
        <v>3695</v>
      </c>
      <c r="M1282" s="48">
        <v>45779</v>
      </c>
      <c r="N1282" s="26">
        <v>3</v>
      </c>
      <c r="O1282" s="27">
        <v>990</v>
      </c>
      <c r="P1282" s="27">
        <v>990</v>
      </c>
      <c r="Q1282" s="27">
        <v>28</v>
      </c>
      <c r="R1282" s="27">
        <v>26</v>
      </c>
      <c r="S1282" s="27" t="s">
        <v>2478</v>
      </c>
      <c r="T1282" s="27"/>
      <c r="U1282" s="27">
        <v>783</v>
      </c>
      <c r="V1282" s="27" t="s">
        <v>1617</v>
      </c>
      <c r="W1282" s="27" t="s">
        <v>1618</v>
      </c>
      <c r="X1282" s="128" t="s">
        <v>1619</v>
      </c>
      <c r="Y1282" s="73" t="str">
        <f>VLOOKUP(X1282,Choferes!$B$3:C403,2,FALSE)</f>
        <v>+5553984318842</v>
      </c>
      <c r="Z1282" s="73" t="s">
        <v>3710</v>
      </c>
    </row>
    <row r="1283" spans="1:26" hidden="1" x14ac:dyDescent="0.25">
      <c r="A1283" s="33">
        <v>18</v>
      </c>
      <c r="B1283" s="71" t="s">
        <v>29</v>
      </c>
      <c r="C1283" s="39" t="s">
        <v>3711</v>
      </c>
      <c r="D1283" s="106" t="s">
        <v>2474</v>
      </c>
      <c r="E1283" s="47">
        <v>45775</v>
      </c>
      <c r="F1283" s="31" t="s">
        <v>3712</v>
      </c>
      <c r="G1283" s="23" t="str">
        <f>VLOOKUP($C1283,Carpetas!$C$5:$M$2666,10,FALSE)</f>
        <v>152,35,96</v>
      </c>
      <c r="H1283" s="27" t="str">
        <f>VLOOKUP($C1283,Carpetas!$C$5:$M$2666,6,FALSE)</f>
        <v xml:space="preserve">Silvio </v>
      </c>
      <c r="I1283" s="220"/>
      <c r="J1283" s="47">
        <v>45777</v>
      </c>
      <c r="K1283" s="72" t="str">
        <f>VLOOKUP($C1283,Carpetas!$C$5:$M$2666,5,FALSE)</f>
        <v>Rio Branco</v>
      </c>
      <c r="L1283" s="32" t="s">
        <v>3695</v>
      </c>
      <c r="M1283" s="48">
        <v>45780</v>
      </c>
      <c r="N1283" s="26">
        <v>5</v>
      </c>
      <c r="O1283" s="27">
        <v>918</v>
      </c>
      <c r="P1283" s="27">
        <v>918</v>
      </c>
      <c r="Q1283" s="27">
        <v>26</v>
      </c>
      <c r="R1283" s="27">
        <v>25</v>
      </c>
      <c r="S1283" s="27" t="s">
        <v>3713</v>
      </c>
      <c r="T1283" s="27"/>
      <c r="U1283" s="27">
        <v>7391</v>
      </c>
      <c r="V1283" s="27" t="s">
        <v>3714</v>
      </c>
      <c r="W1283" s="27" t="s">
        <v>3715</v>
      </c>
      <c r="X1283" s="128"/>
      <c r="Y1283" s="73" t="e">
        <f>VLOOKUP(X1283,Choferes!$B$3:C405,2,FALSE)</f>
        <v>#N/A</v>
      </c>
      <c r="Z1283" s="73" t="s">
        <v>3716</v>
      </c>
    </row>
    <row r="1284" spans="1:26" hidden="1" x14ac:dyDescent="0.25">
      <c r="A1284" s="33">
        <v>18</v>
      </c>
      <c r="B1284" s="71" t="s">
        <v>29</v>
      </c>
      <c r="C1284" s="39" t="s">
        <v>3700</v>
      </c>
      <c r="D1284" s="106" t="s">
        <v>803</v>
      </c>
      <c r="E1284" s="47">
        <v>45776</v>
      </c>
      <c r="F1284" s="31" t="s">
        <v>3701</v>
      </c>
      <c r="G1284" s="23" t="str">
        <f>VLOOKUP($C1284,Carpetas!$C$5:$M$2666,10,FALSE)</f>
        <v>152,32,52</v>
      </c>
      <c r="H1284" s="27" t="str">
        <f>VLOOKUP($C1284,Carpetas!$C$5:$M$2666,6,FALSE)</f>
        <v>FG</v>
      </c>
      <c r="I1284" s="220"/>
      <c r="J1284" s="47">
        <v>45778</v>
      </c>
      <c r="K1284" s="72" t="str">
        <f>VLOOKUP($C1284,Carpetas!$C$5:$M$2666,5,FALSE)</f>
        <v>Rio Branco</v>
      </c>
      <c r="L1284" s="32" t="s">
        <v>3695</v>
      </c>
      <c r="M1284" s="48">
        <v>45780</v>
      </c>
      <c r="N1284" s="26">
        <v>3</v>
      </c>
      <c r="O1284" s="27">
        <v>990</v>
      </c>
      <c r="P1284" s="27">
        <v>990</v>
      </c>
      <c r="Q1284" s="27">
        <v>28</v>
      </c>
      <c r="R1284" s="27">
        <v>25</v>
      </c>
      <c r="S1284" s="27" t="s">
        <v>1833</v>
      </c>
      <c r="T1284" s="27"/>
      <c r="U1284" s="27">
        <v>782</v>
      </c>
      <c r="V1284" s="27" t="s">
        <v>3717</v>
      </c>
      <c r="W1284" s="27" t="s">
        <v>3718</v>
      </c>
      <c r="X1284" s="128" t="s">
        <v>3559</v>
      </c>
      <c r="Y1284" s="73" t="str">
        <f>VLOOKUP(X1284,Choferes!$B$3:C404,2,FALSE)</f>
        <v>+55 53 9713-4372</v>
      </c>
      <c r="Z1284" s="73" t="s">
        <v>3719</v>
      </c>
    </row>
    <row r="1285" spans="1:26" hidden="1" x14ac:dyDescent="0.25">
      <c r="A1285" s="33">
        <v>18</v>
      </c>
      <c r="B1285" s="71" t="s">
        <v>29</v>
      </c>
      <c r="C1285" s="39" t="s">
        <v>3678</v>
      </c>
      <c r="D1285" s="106" t="s">
        <v>249</v>
      </c>
      <c r="E1285" s="47">
        <v>45779</v>
      </c>
      <c r="F1285" s="31" t="s">
        <v>3720</v>
      </c>
      <c r="G1285" s="23" t="str">
        <f>VLOOKUP($C1285,Carpetas!$C$5:$M$2666,10,FALSE)</f>
        <v>152,32,51</v>
      </c>
      <c r="H1285" s="27" t="str">
        <f>VLOOKUP($C1285,Carpetas!$C$5:$M$2666,6,FALSE)</f>
        <v>Zanini</v>
      </c>
      <c r="I1285" s="220"/>
      <c r="J1285" s="47">
        <v>45782</v>
      </c>
      <c r="K1285" s="72" t="str">
        <f>VLOOKUP($C1285,Carpetas!$C$5:$M$2666,5,FALSE)</f>
        <v>Rio Branco</v>
      </c>
      <c r="L1285" s="32" t="s">
        <v>3695</v>
      </c>
      <c r="M1285" s="48">
        <v>45780</v>
      </c>
      <c r="N1285" s="26">
        <v>3</v>
      </c>
      <c r="O1285" s="27">
        <v>918</v>
      </c>
      <c r="P1285" s="27">
        <v>918</v>
      </c>
      <c r="Q1285" s="27">
        <v>26</v>
      </c>
      <c r="R1285" s="27">
        <v>25</v>
      </c>
      <c r="S1285" s="27" t="s">
        <v>2937</v>
      </c>
      <c r="T1285" s="27"/>
      <c r="U1285" s="27">
        <v>5206</v>
      </c>
      <c r="V1285" s="27" t="s">
        <v>3721</v>
      </c>
      <c r="W1285" s="27" t="s">
        <v>3722</v>
      </c>
      <c r="X1285" s="128" t="s">
        <v>3723</v>
      </c>
      <c r="Y1285" s="73" t="str">
        <f>VLOOKUP(X1285,Choferes!$B$3:C406,2,FALSE)</f>
        <v>+55 55 9930-6979</v>
      </c>
      <c r="Z1285" s="73" t="s">
        <v>3724</v>
      </c>
    </row>
    <row r="1286" spans="1:26" hidden="1" x14ac:dyDescent="0.25">
      <c r="A1286" s="33">
        <v>18</v>
      </c>
      <c r="B1286" s="71" t="s">
        <v>29</v>
      </c>
      <c r="C1286" s="39" t="s">
        <v>3725</v>
      </c>
      <c r="D1286" s="106" t="s">
        <v>38</v>
      </c>
      <c r="E1286" s="47">
        <v>45776</v>
      </c>
      <c r="F1286" s="31" t="s">
        <v>3726</v>
      </c>
      <c r="G1286" s="23" t="str">
        <f>VLOOKUP($C1286,Carpetas!$C$5:$M$2666,10,FALSE)</f>
        <v>1523776/1523600</v>
      </c>
      <c r="H1286" s="27" t="str">
        <f>VLOOKUP($C1286,Carpetas!$C$5:$M$2666,6,FALSE)</f>
        <v>Silvio</v>
      </c>
      <c r="I1286" s="220">
        <f>VLOOKUP($C1286,Carpetas!$C$5:$M$2666,4,FALSE)</f>
        <v>0</v>
      </c>
      <c r="J1286" s="47">
        <v>45783</v>
      </c>
      <c r="K1286" s="72" t="str">
        <f>VLOOKUP($C1286,Carpetas!$C$5:$M$2666,5,FALSE)</f>
        <v>Rio Branco</v>
      </c>
      <c r="L1286" s="32" t="s">
        <v>3695</v>
      </c>
      <c r="M1286" s="48">
        <v>45780</v>
      </c>
      <c r="N1286" s="26">
        <v>4</v>
      </c>
      <c r="O1286" s="27">
        <v>1044</v>
      </c>
      <c r="P1286" s="27">
        <v>1044</v>
      </c>
      <c r="Q1286" s="27">
        <v>26</v>
      </c>
      <c r="R1286" s="27">
        <v>25</v>
      </c>
      <c r="S1286" s="27" t="s">
        <v>3727</v>
      </c>
      <c r="T1286" s="27"/>
      <c r="U1286" s="27">
        <v>7394</v>
      </c>
      <c r="V1286" s="27" t="s">
        <v>3728</v>
      </c>
      <c r="W1286" s="27" t="s">
        <v>3729</v>
      </c>
      <c r="X1286" s="128" t="s">
        <v>1473</v>
      </c>
      <c r="Y1286" s="73" t="str">
        <f>VLOOKUP(X1286,Choferes!$B$3:C407,2,FALSE)</f>
        <v>+5549988315170</v>
      </c>
      <c r="Z1286" s="73" t="s">
        <v>3730</v>
      </c>
    </row>
    <row r="1287" spans="1:26" ht="30" hidden="1" x14ac:dyDescent="0.25">
      <c r="A1287" s="33">
        <v>18</v>
      </c>
      <c r="B1287" s="71" t="s">
        <v>29</v>
      </c>
      <c r="C1287" s="39" t="s">
        <v>3678</v>
      </c>
      <c r="D1287" s="106" t="s">
        <v>249</v>
      </c>
      <c r="E1287" s="47">
        <v>45779</v>
      </c>
      <c r="F1287" s="31" t="s">
        <v>3720</v>
      </c>
      <c r="G1287" s="23" t="str">
        <f>VLOOKUP($C1287,Carpetas!$C$5:$M$2666,10,FALSE)</f>
        <v>152,32,51</v>
      </c>
      <c r="H1287" s="27" t="str">
        <f>VLOOKUP($C1287,Carpetas!$C$5:$M$2666,6,FALSE)</f>
        <v>Zanini</v>
      </c>
      <c r="I1287" s="220"/>
      <c r="J1287" s="47">
        <v>45782</v>
      </c>
      <c r="K1287" s="72" t="str">
        <f>VLOOKUP($C1287,Carpetas!$C$5:$M$2666,5,FALSE)</f>
        <v>Rio Branco</v>
      </c>
      <c r="L1287" s="32" t="s">
        <v>3695</v>
      </c>
      <c r="M1287" s="48">
        <v>45782</v>
      </c>
      <c r="N1287" s="26">
        <v>3</v>
      </c>
      <c r="O1287" s="27">
        <v>918</v>
      </c>
      <c r="P1287" s="27">
        <v>918</v>
      </c>
      <c r="Q1287" s="27">
        <v>25</v>
      </c>
      <c r="R1287" s="27">
        <v>25</v>
      </c>
      <c r="S1287" s="27" t="s">
        <v>2908</v>
      </c>
      <c r="T1287" s="27"/>
      <c r="U1287" s="27">
        <v>5207</v>
      </c>
      <c r="V1287" s="27" t="s">
        <v>3731</v>
      </c>
      <c r="W1287" s="27" t="s">
        <v>3732</v>
      </c>
      <c r="X1287" s="128" t="s">
        <v>3733</v>
      </c>
      <c r="Y1287" s="73" t="e">
        <v>#N/A</v>
      </c>
      <c r="Z1287" s="73" t="s">
        <v>3734</v>
      </c>
    </row>
    <row r="1288" spans="1:26" ht="30" hidden="1" x14ac:dyDescent="0.25">
      <c r="A1288" s="33">
        <v>18</v>
      </c>
      <c r="B1288" s="71" t="s">
        <v>29</v>
      </c>
      <c r="C1288" s="39" t="s">
        <v>3678</v>
      </c>
      <c r="D1288" s="106" t="s">
        <v>78</v>
      </c>
      <c r="E1288" s="47">
        <v>45779</v>
      </c>
      <c r="F1288" s="31" t="s">
        <v>3720</v>
      </c>
      <c r="G1288" s="23" t="str">
        <f>VLOOKUP($C1288,Carpetas!$C$5:$M$2666,10,FALSE)</f>
        <v>152,32,51</v>
      </c>
      <c r="H1288" s="27" t="str">
        <f>VLOOKUP($C1288,Carpetas!$C$5:$M$2666,6,FALSE)</f>
        <v>Zanini</v>
      </c>
      <c r="I1288" s="220"/>
      <c r="J1288" s="47">
        <v>45782</v>
      </c>
      <c r="K1288" s="72" t="str">
        <f>VLOOKUP($C1288,Carpetas!$C$5:$M$2666,5,FALSE)</f>
        <v>Rio Branco</v>
      </c>
      <c r="L1288" s="32" t="s">
        <v>3695</v>
      </c>
      <c r="M1288" s="48">
        <v>45782</v>
      </c>
      <c r="N1288" s="26">
        <v>3</v>
      </c>
      <c r="O1288" s="27">
        <v>918</v>
      </c>
      <c r="P1288" s="27">
        <v>919</v>
      </c>
      <c r="Q1288" s="27">
        <v>26</v>
      </c>
      <c r="R1288" s="27">
        <v>25</v>
      </c>
      <c r="S1288" s="27" t="s">
        <v>689</v>
      </c>
      <c r="T1288" s="27"/>
      <c r="U1288" s="27">
        <v>5209</v>
      </c>
      <c r="V1288" s="27" t="s">
        <v>3735</v>
      </c>
      <c r="W1288" s="27" t="s">
        <v>3736</v>
      </c>
      <c r="X1288" s="128" t="s">
        <v>3737</v>
      </c>
      <c r="Y1288" s="73" t="e">
        <v>#N/A</v>
      </c>
      <c r="Z1288" s="73" t="s">
        <v>3738</v>
      </c>
    </row>
    <row r="1289" spans="1:26" ht="30" hidden="1" x14ac:dyDescent="0.25">
      <c r="A1289" s="33">
        <v>18</v>
      </c>
      <c r="B1289" s="71" t="s">
        <v>29</v>
      </c>
      <c r="C1289" s="39" t="s">
        <v>3700</v>
      </c>
      <c r="D1289" s="106" t="s">
        <v>764</v>
      </c>
      <c r="E1289" s="47">
        <v>45779</v>
      </c>
      <c r="F1289" s="31" t="s">
        <v>3701</v>
      </c>
      <c r="G1289" s="23" t="str">
        <f>VLOOKUP($C1289,Carpetas!$C$5:$M$2666,10,FALSE)</f>
        <v>152,32,52</v>
      </c>
      <c r="H1289" s="27" t="str">
        <f>VLOOKUP($C1289,Carpetas!$C$5:$M$2666,6,FALSE)</f>
        <v>FG</v>
      </c>
      <c r="I1289" s="220"/>
      <c r="J1289" s="47">
        <v>45782</v>
      </c>
      <c r="K1289" s="72" t="str">
        <f>VLOOKUP($C1289,Carpetas!$C$5:$M$2666,5,FALSE)</f>
        <v>Rio Branco</v>
      </c>
      <c r="L1289" s="32" t="s">
        <v>3695</v>
      </c>
      <c r="M1289" s="48">
        <v>45782</v>
      </c>
      <c r="N1289" s="26">
        <v>3</v>
      </c>
      <c r="O1289" s="27">
        <v>990</v>
      </c>
      <c r="P1289" s="27">
        <v>990</v>
      </c>
      <c r="Q1289" s="27">
        <v>28</v>
      </c>
      <c r="R1289" s="27">
        <v>26</v>
      </c>
      <c r="S1289" s="27" t="s">
        <v>910</v>
      </c>
      <c r="T1289" s="27"/>
      <c r="U1289" s="27">
        <v>792</v>
      </c>
      <c r="V1289" s="27" t="s">
        <v>1735</v>
      </c>
      <c r="W1289" s="27" t="s">
        <v>3739</v>
      </c>
      <c r="X1289" s="128" t="s">
        <v>1465</v>
      </c>
      <c r="Y1289" s="73" t="e">
        <v>#N/A</v>
      </c>
      <c r="Z1289" s="73" t="s">
        <v>3740</v>
      </c>
    </row>
    <row r="1290" spans="1:26" hidden="1" x14ac:dyDescent="0.25">
      <c r="A1290" s="33">
        <v>18</v>
      </c>
      <c r="B1290" s="71" t="s">
        <v>29</v>
      </c>
      <c r="C1290" s="39" t="s">
        <v>3702</v>
      </c>
      <c r="D1290" s="106" t="s">
        <v>880</v>
      </c>
      <c r="E1290" s="47">
        <v>45779</v>
      </c>
      <c r="F1290" s="31" t="s">
        <v>3703</v>
      </c>
      <c r="G1290" s="23" t="str">
        <f>VLOOKUP($C1290,Carpetas!$C$5:$M$2666,10,FALSE)</f>
        <v>152,35,98</v>
      </c>
      <c r="H1290" s="27" t="str">
        <f>VLOOKUP($C1290,Carpetas!$C$5:$M$2666,6,FALSE)</f>
        <v>Amaro</v>
      </c>
      <c r="I1290" s="220"/>
      <c r="J1290" s="47">
        <v>45782</v>
      </c>
      <c r="K1290" s="72" t="str">
        <f>VLOOKUP($C1290,Carpetas!$C$5:$M$2666,5,FALSE)</f>
        <v>Rio Branco</v>
      </c>
      <c r="L1290" s="32" t="s">
        <v>3695</v>
      </c>
      <c r="M1290" s="48">
        <v>45782</v>
      </c>
      <c r="N1290" s="26">
        <v>3</v>
      </c>
      <c r="O1290" s="27">
        <v>990</v>
      </c>
      <c r="P1290" s="27">
        <v>990</v>
      </c>
      <c r="Q1290" s="27">
        <v>28</v>
      </c>
      <c r="R1290" s="27">
        <v>26</v>
      </c>
      <c r="S1290" s="27" t="s">
        <v>3741</v>
      </c>
      <c r="T1290" s="27"/>
      <c r="U1290" s="27">
        <v>26023</v>
      </c>
      <c r="V1290" s="27" t="s">
        <v>3742</v>
      </c>
      <c r="W1290" s="27" t="s">
        <v>3743</v>
      </c>
      <c r="X1290" s="128" t="s">
        <v>3744</v>
      </c>
      <c r="Y1290" s="73" t="e">
        <v>#N/A</v>
      </c>
      <c r="Z1290" s="73" t="s">
        <v>3745</v>
      </c>
    </row>
    <row r="1291" spans="1:26" hidden="1" x14ac:dyDescent="0.25">
      <c r="A1291" s="33">
        <v>18</v>
      </c>
      <c r="B1291" s="71" t="s">
        <v>29</v>
      </c>
      <c r="C1291" s="39" t="s">
        <v>3673</v>
      </c>
      <c r="D1291" s="106" t="s">
        <v>747</v>
      </c>
      <c r="E1291" s="47">
        <v>45779</v>
      </c>
      <c r="F1291" s="31" t="s">
        <v>3704</v>
      </c>
      <c r="G1291" s="23" t="str">
        <f>VLOOKUP($C1291,Carpetas!$C$5:$M$2666,10,FALSE)</f>
        <v>152,23,50</v>
      </c>
      <c r="H1291" s="27" t="str">
        <f>VLOOKUP($C1291,Carpetas!$C$5:$M$2666,6,FALSE)</f>
        <v>Gral</v>
      </c>
      <c r="I1291" s="220"/>
      <c r="J1291" s="47">
        <v>45782</v>
      </c>
      <c r="K1291" s="72" t="str">
        <f>VLOOKUP($C1291,Carpetas!$C$5:$M$2666,5,FALSE)</f>
        <v>Rio Branco</v>
      </c>
      <c r="L1291" s="32" t="s">
        <v>3695</v>
      </c>
      <c r="M1291" s="48">
        <v>45782</v>
      </c>
      <c r="N1291" s="26">
        <v>3</v>
      </c>
      <c r="O1291" s="27">
        <v>918</v>
      </c>
      <c r="P1291" s="27">
        <v>919</v>
      </c>
      <c r="Q1291" s="27">
        <v>26</v>
      </c>
      <c r="R1291" s="27">
        <v>25</v>
      </c>
      <c r="S1291" s="27" t="s">
        <v>2547</v>
      </c>
      <c r="T1291" s="27"/>
      <c r="U1291" s="27">
        <v>7311</v>
      </c>
      <c r="V1291" s="27" t="s">
        <v>3746</v>
      </c>
      <c r="W1291" s="27" t="s">
        <v>3747</v>
      </c>
      <c r="X1291" s="128" t="s">
        <v>3748</v>
      </c>
      <c r="Y1291" s="73" t="e">
        <v>#N/A</v>
      </c>
      <c r="Z1291" s="73" t="s">
        <v>3749</v>
      </c>
    </row>
    <row r="1292" spans="1:26" hidden="1" x14ac:dyDescent="0.25">
      <c r="A1292" s="33">
        <v>18</v>
      </c>
      <c r="B1292" s="71" t="s">
        <v>29</v>
      </c>
      <c r="C1292" s="39" t="s">
        <v>3700</v>
      </c>
      <c r="D1292" s="106" t="s">
        <v>803</v>
      </c>
      <c r="E1292" s="47">
        <v>45780</v>
      </c>
      <c r="F1292" s="31" t="s">
        <v>3701</v>
      </c>
      <c r="G1292" s="23" t="str">
        <f>VLOOKUP($C1292,Carpetas!$C$5:$M$2666,10,FALSE)</f>
        <v>152,32,52</v>
      </c>
      <c r="H1292" s="27" t="str">
        <f>VLOOKUP($C1292,Carpetas!$C$5:$M$2666,6,FALSE)</f>
        <v>FG</v>
      </c>
      <c r="I1292" s="220"/>
      <c r="J1292" s="47">
        <v>45782</v>
      </c>
      <c r="K1292" s="72" t="str">
        <f>VLOOKUP($C1292,Carpetas!$C$5:$M$2666,5,FALSE)</f>
        <v>Rio Branco</v>
      </c>
      <c r="L1292" s="32" t="s">
        <v>3695</v>
      </c>
      <c r="M1292" s="48">
        <v>45783</v>
      </c>
      <c r="N1292" s="26">
        <v>3</v>
      </c>
      <c r="O1292" s="27">
        <v>990</v>
      </c>
      <c r="P1292" s="27">
        <v>990</v>
      </c>
      <c r="Q1292" s="27">
        <v>28</v>
      </c>
      <c r="R1292" s="27">
        <v>26</v>
      </c>
      <c r="S1292" s="27" t="s">
        <v>1853</v>
      </c>
      <c r="T1292" s="27"/>
      <c r="U1292" s="27">
        <v>790</v>
      </c>
      <c r="V1292" s="27" t="s">
        <v>3750</v>
      </c>
      <c r="W1292" s="27" t="s">
        <v>3751</v>
      </c>
      <c r="X1292" s="128" t="s">
        <v>1623</v>
      </c>
      <c r="Y1292" s="73" t="e">
        <v>#N/A</v>
      </c>
      <c r="Z1292" s="73" t="s">
        <v>3752</v>
      </c>
    </row>
    <row r="1293" spans="1:26" hidden="1" x14ac:dyDescent="0.25">
      <c r="A1293" s="33">
        <v>18</v>
      </c>
      <c r="B1293" s="71" t="s">
        <v>29</v>
      </c>
      <c r="C1293" s="39" t="s">
        <v>3700</v>
      </c>
      <c r="D1293" s="106" t="s">
        <v>747</v>
      </c>
      <c r="E1293" s="47">
        <v>45780</v>
      </c>
      <c r="F1293" s="31" t="s">
        <v>3701</v>
      </c>
      <c r="G1293" s="23" t="str">
        <f>VLOOKUP($C1293,Carpetas!$C$5:$M$2666,10,FALSE)</f>
        <v>152,32,52</v>
      </c>
      <c r="H1293" s="27" t="str">
        <f>VLOOKUP($C1293,Carpetas!$C$5:$M$2666,6,FALSE)</f>
        <v>FG</v>
      </c>
      <c r="I1293" s="220"/>
      <c r="J1293" s="47">
        <v>45782</v>
      </c>
      <c r="K1293" s="72" t="str">
        <f>VLOOKUP($C1293,Carpetas!$C$5:$M$2666,5,FALSE)</f>
        <v>Rio Branco</v>
      </c>
      <c r="L1293" s="32" t="s">
        <v>3695</v>
      </c>
      <c r="M1293" s="48">
        <v>45783</v>
      </c>
      <c r="N1293" s="26">
        <v>3</v>
      </c>
      <c r="O1293" s="27">
        <v>990</v>
      </c>
      <c r="P1293" s="27">
        <v>991</v>
      </c>
      <c r="Q1293" s="27">
        <v>28</v>
      </c>
      <c r="R1293" s="27">
        <v>26</v>
      </c>
      <c r="S1293" s="27" t="s">
        <v>2500</v>
      </c>
      <c r="T1293" s="27"/>
      <c r="U1293" s="27">
        <v>793</v>
      </c>
      <c r="V1293" s="27" t="s">
        <v>3753</v>
      </c>
      <c r="W1293" s="27" t="s">
        <v>3754</v>
      </c>
      <c r="X1293" s="128" t="s">
        <v>3550</v>
      </c>
      <c r="Y1293" s="73" t="e">
        <v>#N/A</v>
      </c>
      <c r="Z1293" s="73" t="s">
        <v>3755</v>
      </c>
    </row>
    <row r="1294" spans="1:26" hidden="1" x14ac:dyDescent="0.25">
      <c r="A1294" s="33">
        <v>18</v>
      </c>
      <c r="B1294" s="71" t="s">
        <v>29</v>
      </c>
      <c r="C1294" s="39" t="s">
        <v>3702</v>
      </c>
      <c r="D1294" s="106" t="s">
        <v>78</v>
      </c>
      <c r="E1294" s="47">
        <v>45780</v>
      </c>
      <c r="F1294" s="31" t="s">
        <v>3701</v>
      </c>
      <c r="G1294" s="23" t="str">
        <f>VLOOKUP($C1294,Carpetas!$C$5:$M$2666,10,FALSE)</f>
        <v>152,35,98</v>
      </c>
      <c r="H1294" s="27" t="str">
        <f>VLOOKUP($C1294,Carpetas!$C$5:$M$2666,6,FALSE)</f>
        <v>Amaro</v>
      </c>
      <c r="I1294" s="220"/>
      <c r="J1294" s="47">
        <v>45782</v>
      </c>
      <c r="K1294" s="72" t="str">
        <f>VLOOKUP($C1294,Carpetas!$C$5:$M$2666,5,FALSE)</f>
        <v>Rio Branco</v>
      </c>
      <c r="L1294" s="32" t="s">
        <v>3695</v>
      </c>
      <c r="M1294" s="48">
        <v>45783</v>
      </c>
      <c r="N1294" s="26">
        <v>3</v>
      </c>
      <c r="O1294" s="27">
        <v>990</v>
      </c>
      <c r="P1294" s="27">
        <v>991</v>
      </c>
      <c r="Q1294" s="27">
        <v>28</v>
      </c>
      <c r="R1294" s="27">
        <v>26</v>
      </c>
      <c r="S1294" s="27" t="s">
        <v>3756</v>
      </c>
      <c r="T1294" s="27"/>
      <c r="U1294" s="27">
        <v>26014</v>
      </c>
      <c r="V1294" s="27" t="s">
        <v>3757</v>
      </c>
      <c r="W1294" s="27" t="s">
        <v>3758</v>
      </c>
      <c r="X1294" s="128" t="s">
        <v>3759</v>
      </c>
      <c r="Y1294" s="73" t="e">
        <v>#N/A</v>
      </c>
      <c r="Z1294" s="73" t="s">
        <v>3760</v>
      </c>
    </row>
    <row r="1295" spans="1:26" hidden="1" x14ac:dyDescent="0.25">
      <c r="A1295" s="33">
        <v>18</v>
      </c>
      <c r="B1295" s="71" t="s">
        <v>29</v>
      </c>
      <c r="C1295" s="39" t="s">
        <v>3761</v>
      </c>
      <c r="D1295" s="106" t="s">
        <v>803</v>
      </c>
      <c r="E1295" s="47">
        <v>45780</v>
      </c>
      <c r="F1295" s="31" t="s">
        <v>3701</v>
      </c>
      <c r="G1295" s="23" t="str">
        <f>VLOOKUP($C1295,Carpetas!$C$5:$M$2666,10,FALSE)</f>
        <v>152,38,91</v>
      </c>
      <c r="H1295" s="27" t="str">
        <f>VLOOKUP($C1295,Carpetas!$C$5:$M$2666,6,FALSE)</f>
        <v>Zanini</v>
      </c>
      <c r="I1295" s="220"/>
      <c r="J1295" s="47">
        <v>45783</v>
      </c>
      <c r="K1295" s="72" t="str">
        <f>VLOOKUP($C1295,Carpetas!$C$5:$M$2666,5,FALSE)</f>
        <v>Rio Branco</v>
      </c>
      <c r="L1295" s="32" t="s">
        <v>3695</v>
      </c>
      <c r="M1295" s="48">
        <v>45783</v>
      </c>
      <c r="N1295" s="26">
        <v>3</v>
      </c>
      <c r="O1295" s="27">
        <v>918</v>
      </c>
      <c r="P1295" s="27">
        <v>918</v>
      </c>
      <c r="Q1295" s="27">
        <v>26</v>
      </c>
      <c r="R1295" s="27">
        <v>25</v>
      </c>
      <c r="S1295" s="27" t="s">
        <v>3762</v>
      </c>
      <c r="T1295" s="27"/>
      <c r="U1295" s="27">
        <v>5208</v>
      </c>
      <c r="V1295" s="27" t="s">
        <v>3763</v>
      </c>
      <c r="W1295" s="27" t="s">
        <v>3764</v>
      </c>
      <c r="X1295" s="128" t="s">
        <v>3765</v>
      </c>
      <c r="Y1295" s="73" t="e">
        <v>#N/A</v>
      </c>
      <c r="Z1295" s="73" t="s">
        <v>3734</v>
      </c>
    </row>
    <row r="1296" spans="1:26" hidden="1" x14ac:dyDescent="0.25">
      <c r="A1296" s="33">
        <v>18</v>
      </c>
      <c r="B1296" s="71" t="s">
        <v>29</v>
      </c>
      <c r="C1296" s="39" t="s">
        <v>3711</v>
      </c>
      <c r="D1296" s="106" t="s">
        <v>2474</v>
      </c>
      <c r="E1296" s="47">
        <v>45778</v>
      </c>
      <c r="F1296" s="31" t="s">
        <v>3712</v>
      </c>
      <c r="G1296" s="23" t="str">
        <f>VLOOKUP($C1296,Carpetas!$C$5:$M$2666,10,FALSE)</f>
        <v>152,35,96</v>
      </c>
      <c r="H1296" s="27" t="str">
        <f>VLOOKUP($C1296,Carpetas!$C$5:$M$2666,6,FALSE)</f>
        <v xml:space="preserve">Silvio </v>
      </c>
      <c r="I1296" s="220"/>
      <c r="J1296" s="47">
        <v>45783</v>
      </c>
      <c r="K1296" s="72" t="str">
        <f>VLOOKUP($C1296,Carpetas!$C$5:$M$2666,5,FALSE)</f>
        <v>Rio Branco</v>
      </c>
      <c r="L1296" s="32" t="s">
        <v>3695</v>
      </c>
      <c r="M1296" s="48">
        <v>45784</v>
      </c>
      <c r="N1296" s="26">
        <v>3</v>
      </c>
      <c r="O1296" s="27">
        <v>918</v>
      </c>
      <c r="P1296" s="27">
        <v>918</v>
      </c>
      <c r="Q1296" s="27">
        <v>26</v>
      </c>
      <c r="R1296" s="27">
        <v>25</v>
      </c>
      <c r="S1296" s="27" t="s">
        <v>3766</v>
      </c>
      <c r="T1296" s="27"/>
      <c r="U1296" s="27" t="s">
        <v>3695</v>
      </c>
      <c r="V1296" s="27" t="s">
        <v>3767</v>
      </c>
      <c r="W1296" s="27" t="s">
        <v>722</v>
      </c>
      <c r="X1296" s="128"/>
      <c r="Y1296" s="73" t="e">
        <v>#N/A</v>
      </c>
      <c r="Z1296" s="73" t="s">
        <v>3768</v>
      </c>
    </row>
    <row r="1297" spans="1:26" hidden="1" x14ac:dyDescent="0.25">
      <c r="A1297" s="33">
        <v>18</v>
      </c>
      <c r="B1297" s="71" t="s">
        <v>29</v>
      </c>
      <c r="C1297" s="39" t="s">
        <v>3711</v>
      </c>
      <c r="D1297" s="106" t="s">
        <v>2474</v>
      </c>
      <c r="E1297" s="47">
        <v>45780</v>
      </c>
      <c r="F1297" s="31" t="s">
        <v>3712</v>
      </c>
      <c r="G1297" s="23" t="str">
        <f>VLOOKUP($C1297,Carpetas!$C$5:$M$2666,10,FALSE)</f>
        <v>152,35,96</v>
      </c>
      <c r="H1297" s="27" t="str">
        <f>VLOOKUP($C1297,Carpetas!$C$5:$M$2666,6,FALSE)</f>
        <v xml:space="preserve">Silvio </v>
      </c>
      <c r="I1297" s="220"/>
      <c r="J1297" s="47">
        <v>45783</v>
      </c>
      <c r="K1297" s="72" t="str">
        <f>VLOOKUP($C1297,Carpetas!$C$5:$M$2666,5,FALSE)</f>
        <v>Rio Branco</v>
      </c>
      <c r="L1297" s="32" t="s">
        <v>3695</v>
      </c>
      <c r="M1297" s="48">
        <v>45784</v>
      </c>
      <c r="N1297" s="26">
        <v>3</v>
      </c>
      <c r="O1297" s="27">
        <v>918</v>
      </c>
      <c r="P1297" s="27">
        <v>918</v>
      </c>
      <c r="Q1297" s="27">
        <v>26</v>
      </c>
      <c r="R1297" s="27">
        <v>25</v>
      </c>
      <c r="S1297" s="27" t="s">
        <v>3769</v>
      </c>
      <c r="T1297" s="27"/>
      <c r="U1297" s="27" t="s">
        <v>3695</v>
      </c>
      <c r="V1297" s="27" t="s">
        <v>3770</v>
      </c>
      <c r="W1297" s="27" t="s">
        <v>3771</v>
      </c>
      <c r="X1297" s="128"/>
      <c r="Y1297" s="73" t="e">
        <v>#N/A</v>
      </c>
      <c r="Z1297" s="73" t="s">
        <v>3768</v>
      </c>
    </row>
    <row r="1298" spans="1:26" hidden="1" x14ac:dyDescent="0.25">
      <c r="A1298" s="33">
        <v>19</v>
      </c>
      <c r="B1298" s="71" t="s">
        <v>29</v>
      </c>
      <c r="C1298" s="39" t="s">
        <v>3700</v>
      </c>
      <c r="D1298" s="106" t="s">
        <v>747</v>
      </c>
      <c r="E1298" s="47">
        <v>45782</v>
      </c>
      <c r="F1298" s="31" t="str">
        <f>VLOOKUP($C1298,Carpetas!$C$5:$M$2666,2,FALSE)</f>
        <v>BRB046</v>
      </c>
      <c r="G1298" s="23" t="str">
        <f>VLOOKUP($C1298,Carpetas!$C$5:$M$2666,10,FALSE)</f>
        <v>152,32,52</v>
      </c>
      <c r="H1298" s="27" t="str">
        <f>VLOOKUP($C1298,Carpetas!$C$5:$M$2666,6,FALSE)</f>
        <v>FG</v>
      </c>
      <c r="I1298" s="220"/>
      <c r="J1298" s="47">
        <v>45784</v>
      </c>
      <c r="K1298" s="72" t="str">
        <f>VLOOKUP($C1298,Carpetas!$C$5:$M$2666,5,FALSE)</f>
        <v>Rio Branco</v>
      </c>
      <c r="L1298" s="32"/>
      <c r="M1298" s="48">
        <f t="shared" ref="M1298:M1329" si="85">J1298+1</f>
        <v>45785</v>
      </c>
      <c r="N1298" s="26">
        <f t="shared" ref="N1298:N1361" si="86">IF(E1298&lt;&gt;"",M1298-E1298,"-")</f>
        <v>3</v>
      </c>
      <c r="O1298" s="27">
        <v>990</v>
      </c>
      <c r="P1298" s="27">
        <v>991</v>
      </c>
      <c r="Q1298" s="27">
        <v>28</v>
      </c>
      <c r="R1298" s="27">
        <v>26</v>
      </c>
      <c r="S1298" s="27" t="s">
        <v>2553</v>
      </c>
      <c r="T1298" s="27"/>
      <c r="U1298" s="27">
        <v>795</v>
      </c>
      <c r="V1298" s="27" t="s">
        <v>1726</v>
      </c>
      <c r="W1298" s="27" t="s">
        <v>1646</v>
      </c>
      <c r="X1298" s="128" t="s">
        <v>1576</v>
      </c>
      <c r="Y1298" s="73" t="str">
        <f>VLOOKUP(X1298,Choferes!$B$3:C431,2,FALSE)</f>
        <v>+55119971489722</v>
      </c>
      <c r="Z1298" s="73" t="s">
        <v>3772</v>
      </c>
    </row>
    <row r="1299" spans="1:26" hidden="1" x14ac:dyDescent="0.25">
      <c r="A1299" s="33">
        <v>19</v>
      </c>
      <c r="B1299" s="71" t="s">
        <v>29</v>
      </c>
      <c r="C1299" s="39" t="s">
        <v>3700</v>
      </c>
      <c r="D1299" s="106" t="s">
        <v>78</v>
      </c>
      <c r="E1299" s="47">
        <v>45782</v>
      </c>
      <c r="F1299" s="31" t="str">
        <f>VLOOKUP($C1299,Carpetas!$C$5:$M$2666,2,FALSE)</f>
        <v>BRB046</v>
      </c>
      <c r="G1299" s="23" t="str">
        <f>VLOOKUP($C1299,Carpetas!$C$5:$M$2666,10,FALSE)</f>
        <v>152,32,52</v>
      </c>
      <c r="H1299" s="27" t="str">
        <f>VLOOKUP($C1299,Carpetas!$C$5:$M$2666,6,FALSE)</f>
        <v>FG</v>
      </c>
      <c r="I1299" s="220"/>
      <c r="J1299" s="47">
        <v>45784</v>
      </c>
      <c r="K1299" s="72" t="str">
        <f>VLOOKUP($C1299,Carpetas!$C$5:$M$2666,5,FALSE)</f>
        <v>Rio Branco</v>
      </c>
      <c r="L1299" s="32"/>
      <c r="M1299" s="48">
        <f t="shared" si="85"/>
        <v>45785</v>
      </c>
      <c r="N1299" s="26">
        <f t="shared" si="86"/>
        <v>3</v>
      </c>
      <c r="O1299" s="27">
        <v>990</v>
      </c>
      <c r="P1299" s="27">
        <v>991</v>
      </c>
      <c r="Q1299" s="27">
        <v>28</v>
      </c>
      <c r="R1299" s="27">
        <v>25</v>
      </c>
      <c r="S1299" s="27" t="s">
        <v>668</v>
      </c>
      <c r="T1299" s="27"/>
      <c r="U1299" s="27">
        <v>796</v>
      </c>
      <c r="V1299" s="27" t="s">
        <v>1956</v>
      </c>
      <c r="W1299" s="27" t="s">
        <v>1957</v>
      </c>
      <c r="X1299" s="128" t="s">
        <v>1520</v>
      </c>
      <c r="Y1299" s="73" t="str">
        <f>VLOOKUP(X1299,Choferes!$B$3:C432,2,FALSE)</f>
        <v>+5553999595710</v>
      </c>
      <c r="Z1299" s="73" t="s">
        <v>3773</v>
      </c>
    </row>
    <row r="1300" spans="1:26" hidden="1" x14ac:dyDescent="0.25">
      <c r="A1300" s="33">
        <v>19</v>
      </c>
      <c r="B1300" s="71" t="s">
        <v>29</v>
      </c>
      <c r="C1300" s="39" t="s">
        <v>3700</v>
      </c>
      <c r="D1300" s="106" t="s">
        <v>110</v>
      </c>
      <c r="E1300" s="47">
        <v>45783</v>
      </c>
      <c r="F1300" s="31" t="str">
        <f>VLOOKUP($C1300,Carpetas!$C$5:$M$2666,2,FALSE)</f>
        <v>BRB046</v>
      </c>
      <c r="G1300" s="23" t="str">
        <f>VLOOKUP($C1300,Carpetas!$C$5:$M$2666,10,FALSE)</f>
        <v>152,32,52</v>
      </c>
      <c r="H1300" s="27" t="str">
        <f>VLOOKUP($C1300,Carpetas!$C$5:$M$2666,6,FALSE)</f>
        <v>FG</v>
      </c>
      <c r="I1300" s="220"/>
      <c r="J1300" s="47">
        <v>45784</v>
      </c>
      <c r="K1300" s="72" t="str">
        <f>VLOOKUP($C1300,Carpetas!$C$5:$M$2666,5,FALSE)</f>
        <v>Rio Branco</v>
      </c>
      <c r="L1300" s="32"/>
      <c r="M1300" s="48">
        <f t="shared" si="85"/>
        <v>45785</v>
      </c>
      <c r="N1300" s="26">
        <f t="shared" si="86"/>
        <v>2</v>
      </c>
      <c r="O1300" s="27">
        <v>990</v>
      </c>
      <c r="P1300" s="27">
        <v>990</v>
      </c>
      <c r="Q1300" s="27">
        <v>28</v>
      </c>
      <c r="R1300" s="27">
        <v>26</v>
      </c>
      <c r="S1300" s="27" t="s">
        <v>1922</v>
      </c>
      <c r="T1300" s="27"/>
      <c r="U1300" s="27">
        <v>798</v>
      </c>
      <c r="V1300" s="27" t="s">
        <v>3774</v>
      </c>
      <c r="W1300" s="27" t="s">
        <v>3775</v>
      </c>
      <c r="X1300" s="128" t="s">
        <v>3776</v>
      </c>
      <c r="Y1300" s="73" t="str">
        <f>VLOOKUP(X1300,Choferes!$B$3:C433,2,FALSE)</f>
        <v>+55 53 8432-5009</v>
      </c>
      <c r="Z1300" s="73" t="s">
        <v>3777</v>
      </c>
    </row>
    <row r="1301" spans="1:26" hidden="1" x14ac:dyDescent="0.25">
      <c r="A1301" s="33">
        <v>19</v>
      </c>
      <c r="B1301" s="71" t="s">
        <v>29</v>
      </c>
      <c r="C1301" s="39" t="s">
        <v>3778</v>
      </c>
      <c r="D1301" s="106" t="s">
        <v>2474</v>
      </c>
      <c r="E1301" s="47">
        <v>45783</v>
      </c>
      <c r="F1301" s="31" t="str">
        <f>VLOOKUP($C1301,Carpetas!$C$5:$M$2666,2,FALSE)</f>
        <v>BRB050</v>
      </c>
      <c r="G1301" s="23" t="str">
        <f>VLOOKUP($C1301,Carpetas!$C$5:$M$2666,10,FALSE)</f>
        <v>152,47,82</v>
      </c>
      <c r="H1301" s="27" t="str">
        <f>VLOOKUP($C1301,Carpetas!$C$5:$M$2666,6,FALSE)</f>
        <v>FG</v>
      </c>
      <c r="I1301" s="220"/>
      <c r="J1301" s="47">
        <v>45784</v>
      </c>
      <c r="K1301" s="72" t="str">
        <f>VLOOKUP($C1301,Carpetas!$C$5:$M$2666,5,FALSE)</f>
        <v>Rio Branco</v>
      </c>
      <c r="L1301" s="32"/>
      <c r="M1301" s="48">
        <f t="shared" si="85"/>
        <v>45785</v>
      </c>
      <c r="N1301" s="26">
        <f t="shared" si="86"/>
        <v>2</v>
      </c>
      <c r="O1301" s="27">
        <v>990</v>
      </c>
      <c r="P1301" s="27">
        <v>990</v>
      </c>
      <c r="Q1301" s="27">
        <v>28</v>
      </c>
      <c r="R1301" s="27">
        <v>26</v>
      </c>
      <c r="S1301" s="27" t="s">
        <v>3779</v>
      </c>
      <c r="T1301" s="27"/>
      <c r="U1301" s="27">
        <v>800</v>
      </c>
      <c r="V1301" s="27" t="s">
        <v>1649</v>
      </c>
      <c r="W1301" s="27" t="s">
        <v>1650</v>
      </c>
      <c r="X1301" s="128" t="s">
        <v>1462</v>
      </c>
      <c r="Y1301" s="73" t="str">
        <f>VLOOKUP(X1301,Choferes!$B$3:C435,2,FALSE)</f>
        <v>+5553997081676</v>
      </c>
      <c r="Z1301" s="73" t="s">
        <v>3777</v>
      </c>
    </row>
    <row r="1302" spans="1:26" hidden="1" x14ac:dyDescent="0.25">
      <c r="A1302" s="33">
        <v>19</v>
      </c>
      <c r="B1302" s="71" t="s">
        <v>29</v>
      </c>
      <c r="C1302" s="39" t="s">
        <v>3778</v>
      </c>
      <c r="D1302" s="106" t="s">
        <v>747</v>
      </c>
      <c r="E1302" s="47">
        <v>45783</v>
      </c>
      <c r="F1302" s="31" t="str">
        <f>VLOOKUP($C1302,Carpetas!$C$5:$M$2666,2,FALSE)</f>
        <v>BRB050</v>
      </c>
      <c r="G1302" s="23" t="str">
        <f>VLOOKUP($C1302,Carpetas!$C$5:$M$2666,10,FALSE)</f>
        <v>152,47,82</v>
      </c>
      <c r="H1302" s="27" t="str">
        <f>VLOOKUP($C1302,Carpetas!$C$5:$M$2666,6,FALSE)</f>
        <v>FG</v>
      </c>
      <c r="I1302" s="220"/>
      <c r="J1302" s="47">
        <v>45785</v>
      </c>
      <c r="K1302" s="72" t="str">
        <f>VLOOKUP($C1302,Carpetas!$C$5:$M$2666,5,FALSE)</f>
        <v>Rio Branco</v>
      </c>
      <c r="L1302" s="32"/>
      <c r="M1302" s="48">
        <f t="shared" si="85"/>
        <v>45786</v>
      </c>
      <c r="N1302" s="26">
        <f t="shared" si="86"/>
        <v>3</v>
      </c>
      <c r="O1302" s="27">
        <v>990</v>
      </c>
      <c r="P1302" s="27">
        <v>990</v>
      </c>
      <c r="Q1302" s="27">
        <v>28</v>
      </c>
      <c r="R1302" s="27">
        <v>26</v>
      </c>
      <c r="S1302" s="27" t="s">
        <v>2580</v>
      </c>
      <c r="T1302" s="27"/>
      <c r="U1302" s="27">
        <v>801</v>
      </c>
      <c r="V1302" s="27" t="s">
        <v>1680</v>
      </c>
      <c r="W1302" s="27" t="s">
        <v>912</v>
      </c>
      <c r="X1302" s="128" t="s">
        <v>2336</v>
      </c>
      <c r="Y1302" s="73" t="str">
        <f>VLOOKUP(X1302,Choferes!$B$3:C434,2,FALSE)</f>
        <v>+5553984414060</v>
      </c>
      <c r="Z1302" s="73" t="s">
        <v>3780</v>
      </c>
    </row>
    <row r="1303" spans="1:26" hidden="1" x14ac:dyDescent="0.25">
      <c r="A1303" s="33">
        <v>19</v>
      </c>
      <c r="B1303" s="71" t="s">
        <v>29</v>
      </c>
      <c r="C1303" s="39" t="s">
        <v>3761</v>
      </c>
      <c r="D1303" s="106" t="s">
        <v>2474</v>
      </c>
      <c r="E1303" s="47">
        <v>45784</v>
      </c>
      <c r="F1303" s="31" t="str">
        <f>VLOOKUP($C1303,Carpetas!$C$5:$M$2666,2,FALSE)</f>
        <v>BRB049</v>
      </c>
      <c r="G1303" s="23" t="str">
        <f>VLOOKUP($C1303,Carpetas!$C$5:$M$2666,10,FALSE)</f>
        <v>152,38,91</v>
      </c>
      <c r="H1303" s="27" t="str">
        <f>VLOOKUP($C1303,Carpetas!$C$5:$M$2666,6,FALSE)</f>
        <v>Zanini</v>
      </c>
      <c r="I1303" s="220"/>
      <c r="J1303" s="47">
        <v>45785</v>
      </c>
      <c r="K1303" s="72" t="str">
        <f>VLOOKUP($C1303,Carpetas!$C$5:$M$2666,5,FALSE)</f>
        <v>Rio Branco</v>
      </c>
      <c r="L1303" s="32"/>
      <c r="M1303" s="48">
        <f t="shared" si="85"/>
        <v>45786</v>
      </c>
      <c r="N1303" s="26">
        <f t="shared" si="86"/>
        <v>2</v>
      </c>
      <c r="O1303" s="27">
        <v>918</v>
      </c>
      <c r="P1303" s="27">
        <v>918</v>
      </c>
      <c r="Q1303" s="27">
        <v>25</v>
      </c>
      <c r="R1303" s="27">
        <v>25</v>
      </c>
      <c r="S1303" s="27" t="s">
        <v>3781</v>
      </c>
      <c r="T1303" s="27"/>
      <c r="U1303" s="27">
        <v>5214</v>
      </c>
      <c r="V1303" s="27" t="s">
        <v>866</v>
      </c>
      <c r="W1303" s="27" t="s">
        <v>867</v>
      </c>
      <c r="X1303" s="128" t="s">
        <v>3782</v>
      </c>
      <c r="Y1303" s="73" t="str">
        <f>VLOOKUP(X1303,Choferes!$B$3:C428,2,FALSE)</f>
        <v>+5555999738998</v>
      </c>
      <c r="Z1303" s="73" t="s">
        <v>3783</v>
      </c>
    </row>
    <row r="1304" spans="1:26" hidden="1" x14ac:dyDescent="0.25">
      <c r="A1304" s="33">
        <v>19</v>
      </c>
      <c r="B1304" s="71" t="s">
        <v>29</v>
      </c>
      <c r="C1304" s="39" t="s">
        <v>3778</v>
      </c>
      <c r="D1304" s="106" t="s">
        <v>764</v>
      </c>
      <c r="E1304" s="47">
        <v>45784</v>
      </c>
      <c r="F1304" s="31" t="str">
        <f>VLOOKUP($C1304,Carpetas!$C$5:$M$2666,2,FALSE)</f>
        <v>BRB050</v>
      </c>
      <c r="G1304" s="23" t="str">
        <f>VLOOKUP($C1304,Carpetas!$C$5:$M$2666,10,FALSE)</f>
        <v>152,47,82</v>
      </c>
      <c r="H1304" s="27" t="str">
        <f>VLOOKUP($C1304,Carpetas!$C$5:$M$2666,6,FALSE)</f>
        <v>FG</v>
      </c>
      <c r="I1304" s="220"/>
      <c r="J1304" s="47">
        <v>45785</v>
      </c>
      <c r="K1304" s="72" t="str">
        <f>VLOOKUP($C1304,Carpetas!$C$5:$M$2666,5,FALSE)</f>
        <v>Rio Branco</v>
      </c>
      <c r="L1304" s="32"/>
      <c r="M1304" s="48">
        <f t="shared" si="85"/>
        <v>45786</v>
      </c>
      <c r="N1304" s="26">
        <f t="shared" si="86"/>
        <v>2</v>
      </c>
      <c r="O1304" s="27">
        <v>990</v>
      </c>
      <c r="P1304" s="27">
        <v>990</v>
      </c>
      <c r="Q1304" s="27">
        <v>28</v>
      </c>
      <c r="R1304" s="27">
        <v>26</v>
      </c>
      <c r="S1304" s="27" t="s">
        <v>979</v>
      </c>
      <c r="T1304" s="27"/>
      <c r="U1304" s="27">
        <v>803</v>
      </c>
      <c r="V1304" s="27" t="s">
        <v>1657</v>
      </c>
      <c r="W1304" s="27" t="s">
        <v>1815</v>
      </c>
      <c r="X1304" s="128" t="s">
        <v>1468</v>
      </c>
      <c r="Y1304" s="73" t="str">
        <f>VLOOKUP(X1304,Choferes!$B$3:C436,2,FALSE)</f>
        <v>+5553984274141</v>
      </c>
      <c r="Z1304" s="73" t="s">
        <v>3784</v>
      </c>
    </row>
    <row r="1305" spans="1:26" hidden="1" x14ac:dyDescent="0.25">
      <c r="A1305" s="33">
        <v>19</v>
      </c>
      <c r="B1305" s="71" t="s">
        <v>29</v>
      </c>
      <c r="C1305" s="39" t="s">
        <v>3778</v>
      </c>
      <c r="D1305" s="106" t="s">
        <v>747</v>
      </c>
      <c r="E1305" s="47">
        <v>45784</v>
      </c>
      <c r="F1305" s="31" t="str">
        <f>VLOOKUP($C1305,Carpetas!$C$5:$M$2666,2,FALSE)</f>
        <v>BRB050</v>
      </c>
      <c r="G1305" s="23" t="str">
        <f>VLOOKUP($C1305,Carpetas!$C$5:$M$2666,10,FALSE)</f>
        <v>152,47,82</v>
      </c>
      <c r="H1305" s="27" t="str">
        <f>VLOOKUP($C1305,Carpetas!$C$5:$M$2666,6,FALSE)</f>
        <v>FG</v>
      </c>
      <c r="I1305" s="220"/>
      <c r="J1305" s="47">
        <v>45785</v>
      </c>
      <c r="K1305" s="72" t="str">
        <f>VLOOKUP($C1305,Carpetas!$C$5:$M$2666,5,FALSE)</f>
        <v>Rio Branco</v>
      </c>
      <c r="L1305" s="32"/>
      <c r="M1305" s="48">
        <f t="shared" si="85"/>
        <v>45786</v>
      </c>
      <c r="N1305" s="26">
        <f t="shared" si="86"/>
        <v>2</v>
      </c>
      <c r="O1305" s="27">
        <v>990</v>
      </c>
      <c r="P1305" s="27">
        <v>991</v>
      </c>
      <c r="Q1305" s="27">
        <v>28</v>
      </c>
      <c r="R1305" s="27">
        <v>26</v>
      </c>
      <c r="S1305" s="27" t="s">
        <v>2585</v>
      </c>
      <c r="T1305" s="27"/>
      <c r="U1305" s="27">
        <v>802</v>
      </c>
      <c r="V1305" s="27" t="s">
        <v>3572</v>
      </c>
      <c r="W1305" s="27" t="s">
        <v>1723</v>
      </c>
      <c r="X1305" s="128" t="s">
        <v>1495</v>
      </c>
      <c r="Y1305" s="73" t="str">
        <f>VLOOKUP(X1305,Choferes!$B$3:C438,2,FALSE)</f>
        <v>+5553984382803</v>
      </c>
      <c r="Z1305" s="73" t="s">
        <v>3785</v>
      </c>
    </row>
    <row r="1306" spans="1:26" ht="30" hidden="1" x14ac:dyDescent="0.25">
      <c r="A1306" s="33">
        <v>19</v>
      </c>
      <c r="B1306" s="71" t="s">
        <v>29</v>
      </c>
      <c r="C1306" s="39" t="s">
        <v>3778</v>
      </c>
      <c r="D1306" s="106" t="s">
        <v>249</v>
      </c>
      <c r="E1306" s="47">
        <v>45784</v>
      </c>
      <c r="F1306" s="31" t="str">
        <f>VLOOKUP($C1306,Carpetas!$C$5:$M$2666,2,FALSE)</f>
        <v>BRB050</v>
      </c>
      <c r="G1306" s="23" t="str">
        <f>VLOOKUP($C1306,Carpetas!$C$5:$M$2666,10,FALSE)</f>
        <v>152,47,82</v>
      </c>
      <c r="H1306" s="27" t="str">
        <f>VLOOKUP($C1306,Carpetas!$C$5:$M$2666,6,FALSE)</f>
        <v>FG</v>
      </c>
      <c r="I1306" s="220"/>
      <c r="J1306" s="47">
        <v>45786</v>
      </c>
      <c r="K1306" s="72" t="str">
        <f>VLOOKUP($C1306,Carpetas!$C$5:$M$2666,5,FALSE)</f>
        <v>Rio Branco</v>
      </c>
      <c r="L1306" s="32"/>
      <c r="M1306" s="48">
        <f t="shared" si="85"/>
        <v>45787</v>
      </c>
      <c r="N1306" s="26">
        <f t="shared" si="86"/>
        <v>3</v>
      </c>
      <c r="O1306" s="27">
        <v>990</v>
      </c>
      <c r="P1306" s="27">
        <v>990</v>
      </c>
      <c r="Q1306" s="27">
        <v>28</v>
      </c>
      <c r="R1306" s="27">
        <v>26</v>
      </c>
      <c r="S1306" s="27" t="s">
        <v>3786</v>
      </c>
      <c r="T1306" s="27"/>
      <c r="U1306" s="27">
        <v>804</v>
      </c>
      <c r="V1306" s="27" t="s">
        <v>3787</v>
      </c>
      <c r="W1306" s="27" t="s">
        <v>3788</v>
      </c>
      <c r="X1306" s="128" t="s">
        <v>3789</v>
      </c>
      <c r="Y1306" s="73" t="str">
        <f>VLOOKUP(X1306,Choferes!$B$3:C437,2,FALSE)</f>
        <v>+55 53 9900-8301</v>
      </c>
      <c r="Z1306" s="73" t="s">
        <v>3790</v>
      </c>
    </row>
    <row r="1307" spans="1:26" ht="30" hidden="1" x14ac:dyDescent="0.25">
      <c r="A1307" s="33">
        <v>19</v>
      </c>
      <c r="B1307" s="71" t="s">
        <v>29</v>
      </c>
      <c r="C1307" s="39" t="s">
        <v>3702</v>
      </c>
      <c r="D1307" s="106" t="s">
        <v>78</v>
      </c>
      <c r="E1307" s="47">
        <v>45784</v>
      </c>
      <c r="F1307" s="31" t="str">
        <f>VLOOKUP($C1307,Carpetas!$C$5:$M$2666,2,FALSE)</f>
        <v>BRB048</v>
      </c>
      <c r="G1307" s="23" t="str">
        <f>VLOOKUP($C1307,Carpetas!$C$5:$M$2666,10,FALSE)</f>
        <v>152,35,98</v>
      </c>
      <c r="H1307" s="27" t="str">
        <f>VLOOKUP($C1307,Carpetas!$C$5:$M$2666,6,FALSE)</f>
        <v>Amaro</v>
      </c>
      <c r="I1307" s="220"/>
      <c r="J1307" s="47">
        <v>45786</v>
      </c>
      <c r="K1307" s="72" t="str">
        <f>VLOOKUP($C1307,Carpetas!$C$5:$M$2666,5,FALSE)</f>
        <v>Rio Branco</v>
      </c>
      <c r="L1307" s="32"/>
      <c r="M1307" s="48">
        <f t="shared" si="85"/>
        <v>45787</v>
      </c>
      <c r="N1307" s="26">
        <f t="shared" si="86"/>
        <v>3</v>
      </c>
      <c r="O1307" s="27">
        <v>990</v>
      </c>
      <c r="P1307" s="27">
        <v>991</v>
      </c>
      <c r="Q1307" s="27">
        <v>28</v>
      </c>
      <c r="R1307" s="27">
        <v>25</v>
      </c>
      <c r="S1307" s="27" t="s">
        <v>686</v>
      </c>
      <c r="T1307" s="27"/>
      <c r="U1307" s="27">
        <v>26058</v>
      </c>
      <c r="V1307" s="27" t="s">
        <v>3641</v>
      </c>
      <c r="W1307" s="27" t="s">
        <v>3642</v>
      </c>
      <c r="X1307" s="128" t="s">
        <v>3643</v>
      </c>
      <c r="Y1307" s="73" t="str">
        <f>VLOOKUP(X1307,Choferes!$B$3:C443,2,FALSE)</f>
        <v>+55 53 8126-5336</v>
      </c>
      <c r="Z1307" s="73" t="s">
        <v>3791</v>
      </c>
    </row>
    <row r="1308" spans="1:26" hidden="1" x14ac:dyDescent="0.25">
      <c r="A1308" s="33">
        <v>19</v>
      </c>
      <c r="B1308" s="71" t="s">
        <v>29</v>
      </c>
      <c r="C1308" s="39" t="s">
        <v>3673</v>
      </c>
      <c r="D1308" s="106" t="s">
        <v>2474</v>
      </c>
      <c r="E1308" s="47">
        <v>45785</v>
      </c>
      <c r="F1308" s="31" t="str">
        <f>VLOOKUP($C1308,Carpetas!$C$5:$M$2666,2,FALSE)</f>
        <v>BRB044</v>
      </c>
      <c r="G1308" s="23" t="str">
        <f>VLOOKUP($C1308,Carpetas!$C$5:$M$2666,10,FALSE)</f>
        <v>152,23,50</v>
      </c>
      <c r="H1308" s="27" t="str">
        <f>VLOOKUP($C1308,Carpetas!$C$5:$M$2666,6,FALSE)</f>
        <v>Gral</v>
      </c>
      <c r="I1308" s="220"/>
      <c r="J1308" s="47">
        <v>45789</v>
      </c>
      <c r="K1308" s="72" t="str">
        <f>VLOOKUP($C1308,Carpetas!$C$5:$M$2666,5,FALSE)</f>
        <v>Rio Branco</v>
      </c>
      <c r="L1308" s="32"/>
      <c r="M1308" s="48">
        <f t="shared" si="85"/>
        <v>45790</v>
      </c>
      <c r="N1308" s="26">
        <f t="shared" si="86"/>
        <v>5</v>
      </c>
      <c r="O1308" s="27">
        <v>918</v>
      </c>
      <c r="P1308" s="27">
        <v>918</v>
      </c>
      <c r="Q1308" s="27">
        <v>26</v>
      </c>
      <c r="R1308" s="27">
        <v>25</v>
      </c>
      <c r="S1308" s="27" t="s">
        <v>3792</v>
      </c>
      <c r="T1308" s="27"/>
      <c r="U1308" s="27">
        <v>7312</v>
      </c>
      <c r="V1308" s="27" t="s">
        <v>3793</v>
      </c>
      <c r="W1308" s="27" t="s">
        <v>3794</v>
      </c>
      <c r="X1308" s="128" t="s">
        <v>3795</v>
      </c>
      <c r="Y1308" s="73" t="str">
        <f>VLOOKUP(X1308,Choferes!$B$3:C442,2,FALSE)</f>
        <v>+55 11 94125-2913</v>
      </c>
      <c r="Z1308" s="73" t="s">
        <v>3796</v>
      </c>
    </row>
    <row r="1309" spans="1:26" hidden="1" x14ac:dyDescent="0.25">
      <c r="A1309" s="33">
        <v>19</v>
      </c>
      <c r="B1309" s="71" t="s">
        <v>29</v>
      </c>
      <c r="C1309" s="39" t="s">
        <v>3761</v>
      </c>
      <c r="D1309" s="106" t="s">
        <v>249</v>
      </c>
      <c r="E1309" s="47">
        <v>45785</v>
      </c>
      <c r="F1309" s="31" t="str">
        <f>VLOOKUP($C1309,Carpetas!$C$5:$M$2666,2,FALSE)</f>
        <v>BRB049</v>
      </c>
      <c r="G1309" s="23" t="str">
        <f>VLOOKUP($C1309,Carpetas!$C$5:$M$2666,10,FALSE)</f>
        <v>152,38,91</v>
      </c>
      <c r="H1309" s="27" t="str">
        <f>VLOOKUP($C1309,Carpetas!$C$5:$M$2666,6,FALSE)</f>
        <v>Zanini</v>
      </c>
      <c r="I1309" s="220"/>
      <c r="J1309" s="47">
        <v>45789</v>
      </c>
      <c r="K1309" s="72" t="str">
        <f>VLOOKUP($C1309,Carpetas!$C$5:$M$2666,5,FALSE)</f>
        <v>Rio Branco</v>
      </c>
      <c r="L1309" s="32"/>
      <c r="M1309" s="48">
        <f t="shared" si="85"/>
        <v>45790</v>
      </c>
      <c r="N1309" s="26">
        <f t="shared" si="86"/>
        <v>5</v>
      </c>
      <c r="O1309" s="27">
        <v>918</v>
      </c>
      <c r="P1309" s="27">
        <v>918</v>
      </c>
      <c r="Q1309" s="27">
        <v>26</v>
      </c>
      <c r="R1309" s="27">
        <v>25</v>
      </c>
      <c r="S1309" s="27" t="s">
        <v>3797</v>
      </c>
      <c r="T1309" s="27"/>
      <c r="U1309" s="27">
        <v>5215</v>
      </c>
      <c r="V1309" s="27" t="s">
        <v>1441</v>
      </c>
      <c r="W1309" s="27" t="s">
        <v>1442</v>
      </c>
      <c r="X1309" s="128" t="s">
        <v>3798</v>
      </c>
      <c r="Y1309" s="73" t="str">
        <f>VLOOKUP(X1309,Choferes!$B$3:C429,2,FALSE)</f>
        <v>+55 55 9177-5175</v>
      </c>
      <c r="Z1309" s="73" t="s">
        <v>3799</v>
      </c>
    </row>
    <row r="1310" spans="1:26" hidden="1" x14ac:dyDescent="0.25">
      <c r="A1310" s="33">
        <v>19</v>
      </c>
      <c r="B1310" s="71" t="s">
        <v>29</v>
      </c>
      <c r="C1310" s="39" t="s">
        <v>3761</v>
      </c>
      <c r="D1310" s="106" t="s">
        <v>110</v>
      </c>
      <c r="E1310" s="47">
        <v>45786</v>
      </c>
      <c r="F1310" s="31" t="str">
        <f>VLOOKUP($C1310,Carpetas!$C$5:$M$2666,2,FALSE)</f>
        <v>BRB049</v>
      </c>
      <c r="G1310" s="23" t="str">
        <f>VLOOKUP($C1310,Carpetas!$C$5:$M$2666,10,FALSE)</f>
        <v>152,38,91</v>
      </c>
      <c r="H1310" s="27" t="str">
        <f>VLOOKUP($C1310,Carpetas!$C$5:$M$2666,6,FALSE)</f>
        <v>Zanini</v>
      </c>
      <c r="I1310" s="220"/>
      <c r="J1310" s="47">
        <f t="shared" ref="J1310:J1315" si="87">E1310+3</f>
        <v>45789</v>
      </c>
      <c r="K1310" s="72" t="str">
        <f>VLOOKUP($C1310,Carpetas!$C$5:$M$2666,5,FALSE)</f>
        <v>Rio Branco</v>
      </c>
      <c r="L1310" s="32"/>
      <c r="M1310" s="48">
        <f t="shared" si="85"/>
        <v>45790</v>
      </c>
      <c r="N1310" s="26">
        <f t="shared" si="86"/>
        <v>4</v>
      </c>
      <c r="O1310" s="27">
        <v>918</v>
      </c>
      <c r="P1310" s="27">
        <v>919</v>
      </c>
      <c r="Q1310" s="27">
        <v>26</v>
      </c>
      <c r="R1310" s="27">
        <v>25</v>
      </c>
      <c r="S1310" s="27" t="s">
        <v>1933</v>
      </c>
      <c r="T1310" s="27"/>
      <c r="U1310" s="27">
        <v>5216</v>
      </c>
      <c r="V1310" s="27" t="s">
        <v>3525</v>
      </c>
      <c r="W1310" s="27" t="s">
        <v>3526</v>
      </c>
      <c r="X1310" s="128" t="s">
        <v>3527</v>
      </c>
      <c r="Y1310" s="73" t="str">
        <f>VLOOKUP(X1310,Choferes!$B$3:C430,2,FALSE)</f>
        <v>+5549999311377</v>
      </c>
      <c r="Z1310" s="73" t="s">
        <v>3800</v>
      </c>
    </row>
    <row r="1311" spans="1:26" hidden="1" x14ac:dyDescent="0.25">
      <c r="A1311" s="33">
        <v>19</v>
      </c>
      <c r="B1311" s="71" t="s">
        <v>29</v>
      </c>
      <c r="C1311" s="39" t="s">
        <v>3778</v>
      </c>
      <c r="D1311" s="106" t="s">
        <v>249</v>
      </c>
      <c r="E1311" s="47">
        <v>45786</v>
      </c>
      <c r="F1311" s="31" t="str">
        <f>VLOOKUP($C1311,Carpetas!$C$5:$M$2666,2,FALSE)</f>
        <v>BRB050</v>
      </c>
      <c r="G1311" s="23" t="str">
        <f>VLOOKUP($C1311,Carpetas!$C$5:$M$2666,10,FALSE)</f>
        <v>152,47,82</v>
      </c>
      <c r="H1311" s="27" t="str">
        <f>VLOOKUP($C1311,Carpetas!$C$5:$M$2666,6,FALSE)</f>
        <v>FG</v>
      </c>
      <c r="I1311" s="220"/>
      <c r="J1311" s="47">
        <f t="shared" si="87"/>
        <v>45789</v>
      </c>
      <c r="K1311" s="72" t="str">
        <f>VLOOKUP($C1311,Carpetas!$C$5:$M$2666,5,FALSE)</f>
        <v>Rio Branco</v>
      </c>
      <c r="L1311" s="32"/>
      <c r="M1311" s="48">
        <f t="shared" si="85"/>
        <v>45790</v>
      </c>
      <c r="N1311" s="26">
        <f t="shared" si="86"/>
        <v>4</v>
      </c>
      <c r="O1311" s="27">
        <v>990</v>
      </c>
      <c r="P1311" s="27">
        <v>990</v>
      </c>
      <c r="Q1311" s="27">
        <v>28</v>
      </c>
      <c r="R1311" s="27">
        <v>26</v>
      </c>
      <c r="S1311" s="27" t="s">
        <v>3801</v>
      </c>
      <c r="T1311" s="27"/>
      <c r="U1311" s="27">
        <v>810</v>
      </c>
      <c r="V1311" s="27" t="s">
        <v>1630</v>
      </c>
      <c r="W1311" s="27" t="s">
        <v>1934</v>
      </c>
      <c r="X1311" s="128" t="s">
        <v>1935</v>
      </c>
      <c r="Y1311" s="73" t="str">
        <f>VLOOKUP(X1311,Choferes!$B$3:C439,2,FALSE)</f>
        <v>+5554984377792</v>
      </c>
      <c r="Z1311" s="73" t="s">
        <v>3802</v>
      </c>
    </row>
    <row r="1312" spans="1:26" hidden="1" x14ac:dyDescent="0.25">
      <c r="A1312" s="33">
        <v>19</v>
      </c>
      <c r="B1312" s="71" t="s">
        <v>29</v>
      </c>
      <c r="C1312" s="39" t="s">
        <v>3778</v>
      </c>
      <c r="D1312" s="106" t="s">
        <v>880</v>
      </c>
      <c r="E1312" s="47">
        <v>45786</v>
      </c>
      <c r="F1312" s="31" t="str">
        <f>VLOOKUP($C1312,Carpetas!$C$5:$M$2666,2,FALSE)</f>
        <v>BRB050</v>
      </c>
      <c r="G1312" s="23" t="str">
        <f>VLOOKUP($C1312,Carpetas!$C$5:$M$2666,10,FALSE)</f>
        <v>152,47,82</v>
      </c>
      <c r="H1312" s="27" t="str">
        <f>VLOOKUP($C1312,Carpetas!$C$5:$M$2666,6,FALSE)</f>
        <v>FG</v>
      </c>
      <c r="I1312" s="220"/>
      <c r="J1312" s="47">
        <f t="shared" si="87"/>
        <v>45789</v>
      </c>
      <c r="K1312" s="72" t="str">
        <f>VLOOKUP($C1312,Carpetas!$C$5:$M$2666,5,FALSE)</f>
        <v>Rio Branco</v>
      </c>
      <c r="L1312" s="32"/>
      <c r="M1312" s="48">
        <f t="shared" si="85"/>
        <v>45790</v>
      </c>
      <c r="N1312" s="26">
        <f t="shared" si="86"/>
        <v>4</v>
      </c>
      <c r="O1312" s="27">
        <v>990</v>
      </c>
      <c r="P1312" s="27">
        <v>990</v>
      </c>
      <c r="Q1312" s="27">
        <v>28</v>
      </c>
      <c r="R1312" s="27">
        <v>26</v>
      </c>
      <c r="S1312" s="27" t="s">
        <v>1399</v>
      </c>
      <c r="T1312" s="27"/>
      <c r="U1312" s="27">
        <v>811</v>
      </c>
      <c r="V1312" s="27" t="s">
        <v>2339</v>
      </c>
      <c r="W1312" s="27" t="s">
        <v>2340</v>
      </c>
      <c r="X1312" s="128" t="s">
        <v>3550</v>
      </c>
      <c r="Y1312" s="73" t="str">
        <f>VLOOKUP(X1312,Choferes!$B$3:C440,2,FALSE)</f>
        <v>+55 53 8484-4541</v>
      </c>
      <c r="Z1312" s="73" t="s">
        <v>3803</v>
      </c>
    </row>
    <row r="1313" spans="1:26" ht="30" hidden="1" x14ac:dyDescent="0.25">
      <c r="A1313" s="33">
        <v>19</v>
      </c>
      <c r="B1313" s="71" t="s">
        <v>29</v>
      </c>
      <c r="C1313" s="39" t="s">
        <v>3804</v>
      </c>
      <c r="D1313" s="106" t="s">
        <v>803</v>
      </c>
      <c r="E1313" s="47">
        <v>45786</v>
      </c>
      <c r="F1313" s="31" t="str">
        <f>VLOOKUP($C1313,Carpetas!$C$5:$M$2666,2,FALSE)</f>
        <v>BRB052</v>
      </c>
      <c r="G1313" s="23" t="str">
        <f>VLOOKUP($C1313,Carpetas!$C$5:$M$2666,10,FALSE)</f>
        <v>152,47,83</v>
      </c>
      <c r="H1313" s="27" t="str">
        <f>VLOOKUP($C1313,Carpetas!$C$5:$M$2666,6,FALSE)</f>
        <v>Gral</v>
      </c>
      <c r="I1313" s="220"/>
      <c r="J1313" s="47">
        <f t="shared" si="87"/>
        <v>45789</v>
      </c>
      <c r="K1313" s="72" t="str">
        <f>VLOOKUP($C1313,Carpetas!$C$5:$M$2666,5,FALSE)</f>
        <v>Rio Branco</v>
      </c>
      <c r="L1313" s="32"/>
      <c r="M1313" s="48">
        <f t="shared" si="85"/>
        <v>45790</v>
      </c>
      <c r="N1313" s="26">
        <f t="shared" si="86"/>
        <v>4</v>
      </c>
      <c r="O1313" s="27">
        <v>918</v>
      </c>
      <c r="P1313" s="27">
        <v>918</v>
      </c>
      <c r="Q1313" s="27">
        <v>26</v>
      </c>
      <c r="R1313" s="27">
        <v>25</v>
      </c>
      <c r="S1313" s="27" t="s">
        <v>1887</v>
      </c>
      <c r="T1313" s="27"/>
      <c r="U1313" s="27">
        <v>7359</v>
      </c>
      <c r="V1313" s="27" t="s">
        <v>3805</v>
      </c>
      <c r="W1313" s="27" t="s">
        <v>3806</v>
      </c>
      <c r="X1313" s="128" t="s">
        <v>3807</v>
      </c>
      <c r="Y1313" s="73" t="str">
        <f>VLOOKUP(X1313,Choferes!$B$3:C443,2,FALSE)</f>
        <v>+55 14 99812-9413</v>
      </c>
      <c r="Z1313" s="73" t="s">
        <v>3796</v>
      </c>
    </row>
    <row r="1314" spans="1:26" hidden="1" x14ac:dyDescent="0.25">
      <c r="A1314" s="33">
        <v>19</v>
      </c>
      <c r="B1314" s="71" t="s">
        <v>29</v>
      </c>
      <c r="C1314" s="39" t="s">
        <v>3778</v>
      </c>
      <c r="D1314" s="106" t="s">
        <v>747</v>
      </c>
      <c r="E1314" s="47">
        <v>45786</v>
      </c>
      <c r="F1314" s="31" t="str">
        <f>VLOOKUP($C1314,Carpetas!$C$5:$M$2666,2,FALSE)</f>
        <v>BRB050</v>
      </c>
      <c r="G1314" s="23" t="str">
        <f>VLOOKUP($C1314,Carpetas!$C$5:$M$2666,10,FALSE)</f>
        <v>152,47,82</v>
      </c>
      <c r="H1314" s="27" t="str">
        <f>VLOOKUP($C1314,Carpetas!$C$5:$M$2666,6,FALSE)</f>
        <v>FG</v>
      </c>
      <c r="I1314" s="220"/>
      <c r="J1314" s="47">
        <f t="shared" si="87"/>
        <v>45789</v>
      </c>
      <c r="K1314" s="72" t="str">
        <f>VLOOKUP($C1314,Carpetas!$C$5:$M$2666,5,FALSE)</f>
        <v>Rio Branco</v>
      </c>
      <c r="L1314" s="32"/>
      <c r="M1314" s="48">
        <f t="shared" si="85"/>
        <v>45790</v>
      </c>
      <c r="N1314" s="26">
        <f t="shared" si="86"/>
        <v>4</v>
      </c>
      <c r="O1314" s="27">
        <v>990</v>
      </c>
      <c r="P1314" s="27">
        <v>991</v>
      </c>
      <c r="Q1314" s="27">
        <v>28</v>
      </c>
      <c r="R1314" s="27">
        <v>26</v>
      </c>
      <c r="S1314" s="27" t="s">
        <v>2618</v>
      </c>
      <c r="T1314" s="27"/>
      <c r="U1314" s="27">
        <v>809</v>
      </c>
      <c r="V1314" s="27" t="s">
        <v>1645</v>
      </c>
      <c r="W1314" s="27" t="s">
        <v>1631</v>
      </c>
      <c r="X1314" s="128" t="s">
        <v>3808</v>
      </c>
      <c r="Y1314" s="73" t="str">
        <f>VLOOKUP(X1314,Choferes!$B$3:C442,2,FALSE)</f>
        <v>+55 53 8412-9466</v>
      </c>
      <c r="Z1314" s="73" t="s">
        <v>3809</v>
      </c>
    </row>
    <row r="1315" spans="1:26" hidden="1" x14ac:dyDescent="0.25">
      <c r="A1315" s="33">
        <v>19</v>
      </c>
      <c r="B1315" s="71" t="s">
        <v>29</v>
      </c>
      <c r="C1315" s="39" t="s">
        <v>3810</v>
      </c>
      <c r="D1315" s="106" t="s">
        <v>2474</v>
      </c>
      <c r="E1315" s="47">
        <v>45786</v>
      </c>
      <c r="F1315" s="31" t="str">
        <f>VLOOKUP($C1315,Carpetas!$C$5:$M$2666,2,FALSE)</f>
        <v>BRB054</v>
      </c>
      <c r="G1315" s="23" t="str">
        <f>VLOOKUP($C1315,Carpetas!$C$5:$M$2666,10,FALSE)</f>
        <v>152,53,39</v>
      </c>
      <c r="H1315" s="27" t="str">
        <f>VLOOKUP($C1315,Carpetas!$C$5:$M$2666,6,FALSE)</f>
        <v>Gral</v>
      </c>
      <c r="I1315" s="220"/>
      <c r="J1315" s="47">
        <f t="shared" si="87"/>
        <v>45789</v>
      </c>
      <c r="K1315" s="72" t="str">
        <f>VLOOKUP($C1315,Carpetas!$C$5:$M$2666,5,FALSE)</f>
        <v>Chuy</v>
      </c>
      <c r="L1315" s="32"/>
      <c r="M1315" s="48">
        <f t="shared" si="85"/>
        <v>45790</v>
      </c>
      <c r="N1315" s="26">
        <f t="shared" si="86"/>
        <v>4</v>
      </c>
      <c r="O1315" s="27">
        <v>918</v>
      </c>
      <c r="P1315" s="27">
        <v>918</v>
      </c>
      <c r="Q1315" s="27">
        <v>26</v>
      </c>
      <c r="R1315" s="27">
        <v>25</v>
      </c>
      <c r="S1315" s="27" t="s">
        <v>3811</v>
      </c>
      <c r="T1315" s="27"/>
      <c r="U1315" s="27"/>
      <c r="V1315" s="56" t="s">
        <v>3812</v>
      </c>
      <c r="W1315" s="27" t="s">
        <v>3813</v>
      </c>
      <c r="X1315" s="128"/>
      <c r="Y1315" s="73" t="e">
        <f>VLOOKUP(X1315,Choferes!$B$3:C426,2,FALSE)</f>
        <v>#N/A</v>
      </c>
      <c r="Z1315" s="73" t="s">
        <v>3796</v>
      </c>
    </row>
    <row r="1316" spans="1:26" hidden="1" x14ac:dyDescent="0.25">
      <c r="A1316" s="33">
        <v>19</v>
      </c>
      <c r="B1316" s="71" t="s">
        <v>29</v>
      </c>
      <c r="C1316" s="39" t="s">
        <v>3814</v>
      </c>
      <c r="D1316" s="106" t="s">
        <v>2474</v>
      </c>
      <c r="E1316" s="47">
        <v>45787</v>
      </c>
      <c r="F1316" s="31" t="str">
        <f>VLOOKUP($C1316,Carpetas!$C$5:$M$2666,2,FALSE)</f>
        <v>BRB051</v>
      </c>
      <c r="G1316" s="23" t="str">
        <f>VLOOKUP($C1316,Carpetas!$C$5:$M$2666,10,FALSE)</f>
        <v>152,49,27</v>
      </c>
      <c r="H1316" s="27" t="str">
        <f>VLOOKUP($C1316,Carpetas!$C$5:$M$2666,6,FALSE)</f>
        <v xml:space="preserve">Silvio </v>
      </c>
      <c r="I1316" s="220"/>
      <c r="J1316" s="47">
        <v>45789</v>
      </c>
      <c r="K1316" s="72" t="str">
        <f>VLOOKUP($C1316,Carpetas!$C$5:$M$2666,5,FALSE)</f>
        <v>Chuy</v>
      </c>
      <c r="L1316" s="32"/>
      <c r="M1316" s="48">
        <f t="shared" si="85"/>
        <v>45790</v>
      </c>
      <c r="N1316" s="26">
        <f t="shared" si="86"/>
        <v>3</v>
      </c>
      <c r="O1316" s="27">
        <v>918</v>
      </c>
      <c r="P1316" s="27">
        <v>918</v>
      </c>
      <c r="Q1316" s="27">
        <v>26</v>
      </c>
      <c r="R1316" s="27">
        <v>25</v>
      </c>
      <c r="S1316" s="27" t="s">
        <v>3815</v>
      </c>
      <c r="T1316" s="27"/>
      <c r="U1316" s="27"/>
      <c r="V1316" s="27" t="s">
        <v>3816</v>
      </c>
      <c r="W1316" s="27" t="s">
        <v>3817</v>
      </c>
      <c r="X1316" s="128"/>
      <c r="Y1316" s="73" t="e">
        <f>VLOOKUP(X1316,Choferes!$B$3:C427,2,FALSE)</f>
        <v>#N/A</v>
      </c>
      <c r="Z1316" s="73" t="s">
        <v>3796</v>
      </c>
    </row>
    <row r="1317" spans="1:26" hidden="1" x14ac:dyDescent="0.25">
      <c r="A1317" s="33">
        <v>19</v>
      </c>
      <c r="B1317" s="71" t="s">
        <v>29</v>
      </c>
      <c r="C1317" s="39" t="s">
        <v>3778</v>
      </c>
      <c r="D1317" s="106" t="s">
        <v>747</v>
      </c>
      <c r="E1317" s="47">
        <v>45787</v>
      </c>
      <c r="F1317" s="31" t="str">
        <f>VLOOKUP($C1317,Carpetas!$C$5:$M$2666,2,FALSE)</f>
        <v>BRB050</v>
      </c>
      <c r="G1317" s="23" t="str">
        <f>VLOOKUP($C1317,Carpetas!$C$5:$M$2666,10,FALSE)</f>
        <v>152,47,82</v>
      </c>
      <c r="H1317" s="27" t="str">
        <f>VLOOKUP($C1317,Carpetas!$C$5:$M$2666,6,FALSE)</f>
        <v>FG</v>
      </c>
      <c r="I1317" s="220"/>
      <c r="J1317" s="47">
        <v>45789</v>
      </c>
      <c r="K1317" s="72" t="str">
        <f>VLOOKUP($C1317,Carpetas!$C$5:$M$2666,5,FALSE)</f>
        <v>Rio Branco</v>
      </c>
      <c r="L1317" s="32"/>
      <c r="M1317" s="48">
        <f t="shared" si="85"/>
        <v>45790</v>
      </c>
      <c r="N1317" s="26">
        <f t="shared" si="86"/>
        <v>3</v>
      </c>
      <c r="O1317" s="27">
        <v>990</v>
      </c>
      <c r="P1317" s="27">
        <v>990</v>
      </c>
      <c r="Q1317" s="27">
        <v>28</v>
      </c>
      <c r="R1317" s="27">
        <v>26</v>
      </c>
      <c r="S1317" s="27" t="s">
        <v>2649</v>
      </c>
      <c r="T1317" s="27"/>
      <c r="U1317" s="27">
        <v>812</v>
      </c>
      <c r="V1317" s="27" t="s">
        <v>1042</v>
      </c>
      <c r="W1317" s="27" t="s">
        <v>3818</v>
      </c>
      <c r="X1317" s="128" t="s">
        <v>1623</v>
      </c>
      <c r="Y1317" s="73" t="str">
        <f>VLOOKUP(X1317,Choferes!$B$3:C441,2,FALSE)</f>
        <v>+5553991254560</v>
      </c>
      <c r="Z1317" s="73" t="s">
        <v>3803</v>
      </c>
    </row>
    <row r="1318" spans="1:26" hidden="1" x14ac:dyDescent="0.25">
      <c r="A1318" s="33">
        <v>19</v>
      </c>
      <c r="B1318" s="71" t="s">
        <v>29</v>
      </c>
      <c r="C1318" s="39" t="s">
        <v>3819</v>
      </c>
      <c r="D1318" s="106" t="s">
        <v>803</v>
      </c>
      <c r="E1318" s="47">
        <v>45787</v>
      </c>
      <c r="F1318" s="31" t="str">
        <f>VLOOKUP($C1318,Carpetas!$C$5:$M$2666,2,FALSE)</f>
        <v>BRB053</v>
      </c>
      <c r="G1318" s="23" t="str">
        <f>VLOOKUP($C1318,Carpetas!$C$5:$M$2666,10,FALSE)</f>
        <v>152,50,13</v>
      </c>
      <c r="H1318" s="27" t="str">
        <f>VLOOKUP($C1318,Carpetas!$C$5:$M$2666,6,FALSE)</f>
        <v>Amaro</v>
      </c>
      <c r="I1318" s="220"/>
      <c r="J1318" s="47">
        <v>45789</v>
      </c>
      <c r="K1318" s="72" t="str">
        <f>VLOOKUP($C1318,Carpetas!$C$5:$M$2666,5,FALSE)</f>
        <v>Rio Branco</v>
      </c>
      <c r="L1318" s="32"/>
      <c r="M1318" s="48">
        <f t="shared" si="85"/>
        <v>45790</v>
      </c>
      <c r="N1318" s="26">
        <f t="shared" si="86"/>
        <v>3</v>
      </c>
      <c r="O1318" s="27">
        <v>990</v>
      </c>
      <c r="P1318" s="27">
        <v>978</v>
      </c>
      <c r="Q1318" s="27">
        <v>28</v>
      </c>
      <c r="R1318" s="27">
        <v>26</v>
      </c>
      <c r="S1318" s="27" t="s">
        <v>3820</v>
      </c>
      <c r="T1318" s="27"/>
      <c r="U1318" s="27">
        <v>26069</v>
      </c>
      <c r="V1318" s="27" t="s">
        <v>3821</v>
      </c>
      <c r="W1318" s="27" t="s">
        <v>3822</v>
      </c>
      <c r="X1318" s="128" t="s">
        <v>3823</v>
      </c>
      <c r="Y1318" s="73" t="str">
        <f>VLOOKUP(X1318,Choferes!$B$3:C427,2,FALSE)</f>
        <v>+55 53 999603586</v>
      </c>
      <c r="Z1318" s="73" t="s">
        <v>3824</v>
      </c>
    </row>
    <row r="1319" spans="1:26" hidden="1" x14ac:dyDescent="0.25">
      <c r="A1319" s="33">
        <v>19</v>
      </c>
      <c r="B1319" s="71" t="s">
        <v>29</v>
      </c>
      <c r="C1319" s="39" t="s">
        <v>3825</v>
      </c>
      <c r="D1319" s="106" t="s">
        <v>38</v>
      </c>
      <c r="E1319" s="47">
        <v>45785</v>
      </c>
      <c r="F1319" s="31" t="str">
        <f>VLOOKUP($C1319,Carpetas!$C$5:$M$2666,2,FALSE)</f>
        <v>BRE015</v>
      </c>
      <c r="G1319" s="23">
        <f>VLOOKUP($C1319,Carpetas!$C$5:$M$2666,10,FALSE)</f>
        <v>0</v>
      </c>
      <c r="H1319" s="27" t="str">
        <f>VLOOKUP($C1319,Carpetas!$C$5:$M$2666,6,FALSE)</f>
        <v xml:space="preserve">Silvio </v>
      </c>
      <c r="I1319" s="220">
        <f>VLOOKUP($C1319,Carpetas!$C$5:$M$2666,4,FALSE)</f>
        <v>0</v>
      </c>
      <c r="J1319" s="47">
        <v>45791</v>
      </c>
      <c r="K1319" s="72" t="str">
        <f>VLOOKUP($C1319,Carpetas!$C$5:$M$2666,5,FALSE)</f>
        <v>Chuy</v>
      </c>
      <c r="L1319" s="32"/>
      <c r="M1319" s="48">
        <f t="shared" si="85"/>
        <v>45792</v>
      </c>
      <c r="N1319" s="26">
        <f t="shared" si="86"/>
        <v>7</v>
      </c>
      <c r="O1319" s="27">
        <v>1560</v>
      </c>
      <c r="P1319" s="27">
        <v>1560</v>
      </c>
      <c r="Q1319" s="27">
        <v>28</v>
      </c>
      <c r="R1319" s="27">
        <v>14</v>
      </c>
      <c r="S1319" s="27" t="s">
        <v>3506</v>
      </c>
      <c r="T1319" s="27"/>
      <c r="U1319" s="27"/>
      <c r="V1319" s="27" t="s">
        <v>3826</v>
      </c>
      <c r="W1319" s="27" t="s">
        <v>3827</v>
      </c>
      <c r="X1319" s="128" t="s">
        <v>3828</v>
      </c>
      <c r="Y1319" s="73" t="str">
        <f>VLOOKUP(X1319,Choferes!$B$3:C445,2,FALSE)</f>
        <v>+5543991415310</v>
      </c>
      <c r="Z1319" s="73" t="s">
        <v>3829</v>
      </c>
    </row>
    <row r="1320" spans="1:26" hidden="1" x14ac:dyDescent="0.25">
      <c r="A1320" s="33">
        <v>20</v>
      </c>
      <c r="B1320" s="71" t="s">
        <v>29</v>
      </c>
      <c r="C1320" s="39" t="s">
        <v>3830</v>
      </c>
      <c r="D1320" s="106" t="s">
        <v>747</v>
      </c>
      <c r="E1320" s="47">
        <v>45789</v>
      </c>
      <c r="F1320" s="31" t="str">
        <f>VLOOKUP($C1320,Carpetas!$C$5:$M$2666,2,FALSE)</f>
        <v>BRB055</v>
      </c>
      <c r="G1320" s="23" t="str">
        <f>VLOOKUP($C1320,Carpetas!$C$5:$M$2666,10,FALSE)</f>
        <v>152,53,84</v>
      </c>
      <c r="H1320" s="27" t="str">
        <f>VLOOKUP($C1320,Carpetas!$C$5:$M$2666,6,FALSE)</f>
        <v>FG</v>
      </c>
      <c r="I1320" s="220"/>
      <c r="J1320" s="47">
        <f>E1320+3</f>
        <v>45792</v>
      </c>
      <c r="K1320" s="72" t="str">
        <f>VLOOKUP($C1320,Carpetas!$C$5:$M$2666,5,FALSE)</f>
        <v>Rio Branco</v>
      </c>
      <c r="L1320" s="32"/>
      <c r="M1320" s="48">
        <f t="shared" si="85"/>
        <v>45793</v>
      </c>
      <c r="N1320" s="26">
        <f t="shared" si="86"/>
        <v>4</v>
      </c>
      <c r="O1320" s="27">
        <v>990</v>
      </c>
      <c r="P1320" s="27">
        <v>990</v>
      </c>
      <c r="Q1320" s="27">
        <v>28</v>
      </c>
      <c r="R1320" s="27">
        <v>27</v>
      </c>
      <c r="S1320" s="27" t="s">
        <v>2655</v>
      </c>
      <c r="T1320" s="27"/>
      <c r="U1320" s="27">
        <v>815</v>
      </c>
      <c r="V1320" s="27" t="s">
        <v>1430</v>
      </c>
      <c r="W1320" s="27" t="s">
        <v>1669</v>
      </c>
      <c r="X1320" s="128" t="s">
        <v>1923</v>
      </c>
      <c r="Y1320" s="73" t="str">
        <f>VLOOKUP(X1320,Choferes!$B$3:C433,2,FALSE)</f>
        <v>+5553999049426</v>
      </c>
      <c r="Z1320" s="73" t="s">
        <v>3831</v>
      </c>
    </row>
    <row r="1321" spans="1:26" hidden="1" x14ac:dyDescent="0.25">
      <c r="A1321" s="33">
        <v>20</v>
      </c>
      <c r="B1321" s="71" t="s">
        <v>29</v>
      </c>
      <c r="C1321" s="39" t="s">
        <v>3830</v>
      </c>
      <c r="D1321" s="106" t="s">
        <v>803</v>
      </c>
      <c r="E1321" s="47">
        <v>45789</v>
      </c>
      <c r="F1321" s="31" t="str">
        <f>VLOOKUP($C1321,Carpetas!$C$5:$M$2666,2,FALSE)</f>
        <v>BRB055</v>
      </c>
      <c r="G1321" s="23" t="str">
        <f>VLOOKUP($C1321,Carpetas!$C$5:$M$2666,10,FALSE)</f>
        <v>152,53,84</v>
      </c>
      <c r="H1321" s="27" t="str">
        <f>VLOOKUP($C1321,Carpetas!$C$5:$M$2666,6,FALSE)</f>
        <v>FG</v>
      </c>
      <c r="I1321" s="220"/>
      <c r="J1321" s="47">
        <f>E1321+3</f>
        <v>45792</v>
      </c>
      <c r="K1321" s="72" t="str">
        <f>VLOOKUP($C1321,Carpetas!$C$5:$M$2666,5,FALSE)</f>
        <v>Rio Branco</v>
      </c>
      <c r="L1321" s="32"/>
      <c r="M1321" s="48">
        <f t="shared" si="85"/>
        <v>45793</v>
      </c>
      <c r="N1321" s="26">
        <f t="shared" si="86"/>
        <v>4</v>
      </c>
      <c r="O1321" s="27">
        <v>990</v>
      </c>
      <c r="P1321" s="27">
        <v>990</v>
      </c>
      <c r="Q1321" s="27">
        <v>28</v>
      </c>
      <c r="R1321" s="27">
        <v>26</v>
      </c>
      <c r="S1321" s="27" t="s">
        <v>1937</v>
      </c>
      <c r="T1321" s="27"/>
      <c r="U1321" s="27">
        <v>814</v>
      </c>
      <c r="V1321" s="27" t="s">
        <v>1726</v>
      </c>
      <c r="W1321" s="27" t="s">
        <v>1646</v>
      </c>
      <c r="X1321" s="128" t="s">
        <v>1576</v>
      </c>
      <c r="Y1321" s="73" t="str">
        <f>VLOOKUP(X1321,Choferes!$B$3:C434,2,FALSE)</f>
        <v>+55119971489722</v>
      </c>
      <c r="Z1321" s="73" t="s">
        <v>3831</v>
      </c>
    </row>
    <row r="1322" spans="1:26" hidden="1" x14ac:dyDescent="0.25">
      <c r="A1322" s="33">
        <v>20</v>
      </c>
      <c r="B1322" s="71" t="s">
        <v>29</v>
      </c>
      <c r="C1322" s="39" t="s">
        <v>3830</v>
      </c>
      <c r="D1322" s="106" t="s">
        <v>803</v>
      </c>
      <c r="E1322" s="47">
        <v>45790</v>
      </c>
      <c r="F1322" s="31" t="str">
        <f>VLOOKUP($C1322,Carpetas!$C$5:$M$2666,2,FALSE)</f>
        <v>BRB055</v>
      </c>
      <c r="G1322" s="23" t="str">
        <f>VLOOKUP($C1322,Carpetas!$C$5:$M$2666,10,FALSE)</f>
        <v>152,53,84</v>
      </c>
      <c r="H1322" s="27" t="str">
        <f>VLOOKUP($C1322,Carpetas!$C$5:$M$2666,6,FALSE)</f>
        <v>FG</v>
      </c>
      <c r="I1322" s="220"/>
      <c r="J1322" s="47">
        <v>45792</v>
      </c>
      <c r="K1322" s="72" t="str">
        <f>VLOOKUP($C1322,Carpetas!$C$5:$M$2666,5,FALSE)</f>
        <v>Rio Branco</v>
      </c>
      <c r="L1322" s="32"/>
      <c r="M1322" s="48">
        <f t="shared" si="85"/>
        <v>45793</v>
      </c>
      <c r="N1322" s="26">
        <f t="shared" si="86"/>
        <v>3</v>
      </c>
      <c r="O1322" s="27">
        <v>990</v>
      </c>
      <c r="P1322" s="27">
        <v>990</v>
      </c>
      <c r="Q1322" s="27">
        <v>28</v>
      </c>
      <c r="R1322" s="27">
        <v>26</v>
      </c>
      <c r="S1322" s="27" t="s">
        <v>3832</v>
      </c>
      <c r="T1322" s="27"/>
      <c r="U1322" s="27">
        <v>816</v>
      </c>
      <c r="V1322" s="27" t="s">
        <v>1626</v>
      </c>
      <c r="W1322" s="27" t="s">
        <v>1627</v>
      </c>
      <c r="X1322" s="128" t="s">
        <v>1489</v>
      </c>
      <c r="Y1322" s="73" t="str">
        <f>VLOOKUP(X1322,Choferes!$B$3:C435,2,FALSE)</f>
        <v>+5553984039582</v>
      </c>
      <c r="Z1322" s="73" t="s">
        <v>3833</v>
      </c>
    </row>
    <row r="1323" spans="1:26" hidden="1" x14ac:dyDescent="0.25">
      <c r="A1323" s="33">
        <v>20</v>
      </c>
      <c r="B1323" s="71" t="s">
        <v>29</v>
      </c>
      <c r="C1323" s="39" t="s">
        <v>3830</v>
      </c>
      <c r="D1323" s="106" t="s">
        <v>747</v>
      </c>
      <c r="E1323" s="47">
        <v>45790</v>
      </c>
      <c r="F1323" s="31" t="str">
        <f>VLOOKUP($C1323,Carpetas!$C$5:$M$2666,2,FALSE)</f>
        <v>BRB055</v>
      </c>
      <c r="G1323" s="23" t="str">
        <f>VLOOKUP($C1323,Carpetas!$C$5:$M$2666,10,FALSE)</f>
        <v>152,53,84</v>
      </c>
      <c r="H1323" s="27" t="str">
        <f>VLOOKUP($C1323,Carpetas!$C$5:$M$2666,6,FALSE)</f>
        <v>FG</v>
      </c>
      <c r="I1323" s="220"/>
      <c r="J1323" s="47">
        <v>45792</v>
      </c>
      <c r="K1323" s="72" t="str">
        <f>VLOOKUP($C1323,Carpetas!$C$5:$M$2666,5,FALSE)</f>
        <v>Rio Branco</v>
      </c>
      <c r="L1323" s="32"/>
      <c r="M1323" s="48">
        <f t="shared" si="85"/>
        <v>45793</v>
      </c>
      <c r="N1323" s="26">
        <f t="shared" si="86"/>
        <v>3</v>
      </c>
      <c r="O1323" s="27">
        <v>990</v>
      </c>
      <c r="P1323" s="27">
        <v>990</v>
      </c>
      <c r="Q1323" s="27">
        <v>28</v>
      </c>
      <c r="R1323" s="27">
        <v>26</v>
      </c>
      <c r="S1323" s="27" t="s">
        <v>2758</v>
      </c>
      <c r="T1323" s="27"/>
      <c r="U1323" s="27">
        <v>818</v>
      </c>
      <c r="V1323" s="27" t="s">
        <v>1636</v>
      </c>
      <c r="W1323" s="27" t="s">
        <v>1736</v>
      </c>
      <c r="X1323" s="128" t="s">
        <v>1413</v>
      </c>
      <c r="Y1323" s="73" t="str">
        <f>VLOOKUP(X1323,Choferes!$B$3:C436,2,FALSE)</f>
        <v>+59899406679</v>
      </c>
      <c r="Z1323" s="73" t="s">
        <v>3834</v>
      </c>
    </row>
    <row r="1324" spans="1:26" hidden="1" x14ac:dyDescent="0.25">
      <c r="A1324" s="33">
        <v>20</v>
      </c>
      <c r="B1324" s="71" t="s">
        <v>29</v>
      </c>
      <c r="C1324" s="39" t="s">
        <v>3819</v>
      </c>
      <c r="D1324" s="106" t="s">
        <v>249</v>
      </c>
      <c r="E1324" s="47">
        <v>45790</v>
      </c>
      <c r="F1324" s="31" t="str">
        <f>VLOOKUP($C1324,Carpetas!$C$5:$M$2666,2,FALSE)</f>
        <v>BRB053</v>
      </c>
      <c r="G1324" s="23" t="str">
        <f>VLOOKUP($C1324,Carpetas!$C$5:$M$2666,10,FALSE)</f>
        <v>152,50,13</v>
      </c>
      <c r="H1324" s="27" t="str">
        <f>VLOOKUP($C1324,Carpetas!$C$5:$M$2666,6,FALSE)</f>
        <v>Amaro</v>
      </c>
      <c r="I1324" s="220"/>
      <c r="J1324" s="47">
        <v>45792</v>
      </c>
      <c r="K1324" s="72" t="str">
        <f>VLOOKUP($C1324,Carpetas!$C$5:$M$2666,5,FALSE)</f>
        <v>Rio Branco</v>
      </c>
      <c r="L1324" s="32"/>
      <c r="M1324" s="48">
        <f t="shared" si="85"/>
        <v>45793</v>
      </c>
      <c r="N1324" s="26">
        <f t="shared" si="86"/>
        <v>3</v>
      </c>
      <c r="O1324" s="27">
        <v>990</v>
      </c>
      <c r="P1324" s="27">
        <v>990</v>
      </c>
      <c r="Q1324" s="27">
        <v>28</v>
      </c>
      <c r="R1324" s="27">
        <v>26</v>
      </c>
      <c r="S1324" s="27" t="s">
        <v>3835</v>
      </c>
      <c r="T1324" s="27"/>
      <c r="U1324" s="27">
        <v>26086</v>
      </c>
      <c r="V1324" s="27" t="s">
        <v>3067</v>
      </c>
      <c r="W1324" s="27" t="s">
        <v>2551</v>
      </c>
      <c r="X1324" s="128" t="s">
        <v>3836</v>
      </c>
      <c r="Y1324" s="73" t="str">
        <f>VLOOKUP(X1324,Choferes!$B$3:C441,2,FALSE)</f>
        <v>+55 53 9932-5838</v>
      </c>
      <c r="Z1324" s="73" t="s">
        <v>3837</v>
      </c>
    </row>
    <row r="1325" spans="1:26" ht="30" hidden="1" x14ac:dyDescent="0.25">
      <c r="A1325" s="33">
        <v>20</v>
      </c>
      <c r="B1325" s="71" t="s">
        <v>29</v>
      </c>
      <c r="C1325" s="39" t="s">
        <v>3838</v>
      </c>
      <c r="D1325" s="106" t="s">
        <v>38</v>
      </c>
      <c r="E1325" s="47">
        <v>45790</v>
      </c>
      <c r="F1325" s="31" t="str">
        <f>VLOOKUP($C1325,Carpetas!$C$5:$M$2666,2,FALSE)</f>
        <v>BRE016</v>
      </c>
      <c r="G1325" s="23" t="str">
        <f>VLOOKUP($C1325,Carpetas!$C$5:$M$2666,10,FALSE)</f>
        <v>1525021/1525427/1525020/1525018/1525019</v>
      </c>
      <c r="H1325" s="27" t="str">
        <f>VLOOKUP($C1325,Carpetas!$C$5:$M$2666,6,FALSE)</f>
        <v xml:space="preserve">Silvio </v>
      </c>
      <c r="I1325" s="220">
        <f>VLOOKUP($C1325,Carpetas!$C$5:$M$2666,4,FALSE)</f>
        <v>0</v>
      </c>
      <c r="J1325" s="47">
        <v>45792</v>
      </c>
      <c r="K1325" s="72" t="str">
        <f>VLOOKUP($C1325,Carpetas!$C$5:$M$2666,5,FALSE)</f>
        <v>Rio Branco</v>
      </c>
      <c r="L1325" s="32"/>
      <c r="M1325" s="48">
        <f t="shared" si="85"/>
        <v>45793</v>
      </c>
      <c r="N1325" s="26">
        <f t="shared" si="86"/>
        <v>3</v>
      </c>
      <c r="O1325" s="27">
        <v>1600</v>
      </c>
      <c r="P1325" s="27"/>
      <c r="Q1325" s="27"/>
      <c r="R1325" s="27"/>
      <c r="S1325" s="27" t="s">
        <v>3839</v>
      </c>
      <c r="T1325" s="27"/>
      <c r="U1325" s="27">
        <v>7407</v>
      </c>
      <c r="V1325" s="27" t="s">
        <v>3840</v>
      </c>
      <c r="W1325" s="27" t="s">
        <v>3841</v>
      </c>
      <c r="X1325" s="128" t="s">
        <v>3842</v>
      </c>
      <c r="Y1325" s="73" t="str">
        <f>VLOOKUP(X1325,Choferes!$B$3:C444,2,FALSE)</f>
        <v>+55 45 9852-1502</v>
      </c>
      <c r="Z1325" s="73" t="s">
        <v>3843</v>
      </c>
    </row>
    <row r="1326" spans="1:26" hidden="1" x14ac:dyDescent="0.25">
      <c r="A1326" s="33">
        <v>20</v>
      </c>
      <c r="B1326" s="71" t="s">
        <v>29</v>
      </c>
      <c r="C1326" s="39" t="s">
        <v>3761</v>
      </c>
      <c r="D1326" s="106" t="s">
        <v>2474</v>
      </c>
      <c r="E1326" s="47">
        <v>45790</v>
      </c>
      <c r="F1326" s="31" t="str">
        <f>VLOOKUP($C1326,Carpetas!$C$5:$M$2666,2,FALSE)</f>
        <v>BRB049</v>
      </c>
      <c r="G1326" s="23" t="str">
        <f>VLOOKUP($C1326,Carpetas!$C$5:$M$2666,10,FALSE)</f>
        <v>152,38,91</v>
      </c>
      <c r="H1326" s="27" t="str">
        <f>VLOOKUP($C1326,Carpetas!$C$5:$M$2666,6,FALSE)</f>
        <v>Zanini</v>
      </c>
      <c r="I1326" s="220"/>
      <c r="J1326" s="47">
        <v>45792</v>
      </c>
      <c r="K1326" s="72" t="str">
        <f>VLOOKUP($C1326,Carpetas!$C$5:$M$2666,5,FALSE)</f>
        <v>Rio Branco</v>
      </c>
      <c r="L1326" s="32"/>
      <c r="M1326" s="48">
        <f t="shared" si="85"/>
        <v>45793</v>
      </c>
      <c r="N1326" s="26">
        <f t="shared" si="86"/>
        <v>3</v>
      </c>
      <c r="O1326" s="27">
        <v>918</v>
      </c>
      <c r="P1326" s="27">
        <v>918</v>
      </c>
      <c r="Q1326" s="27">
        <v>26</v>
      </c>
      <c r="R1326" s="27">
        <v>25</v>
      </c>
      <c r="S1326" s="27" t="s">
        <v>3844</v>
      </c>
      <c r="T1326" s="27"/>
      <c r="U1326" s="27">
        <v>5226</v>
      </c>
      <c r="V1326" s="27" t="s">
        <v>2668</v>
      </c>
      <c r="W1326" s="27" t="s">
        <v>2669</v>
      </c>
      <c r="X1326" s="128" t="s">
        <v>3845</v>
      </c>
      <c r="Y1326" s="73" t="str">
        <f>VLOOKUP(X1326,Choferes!$B$3:C430,2,FALSE)</f>
        <v>+5555997005936</v>
      </c>
      <c r="Z1326" s="73" t="s">
        <v>3846</v>
      </c>
    </row>
    <row r="1327" spans="1:26" hidden="1" x14ac:dyDescent="0.25">
      <c r="A1327" s="33">
        <v>20</v>
      </c>
      <c r="B1327" s="71" t="s">
        <v>29</v>
      </c>
      <c r="C1327" s="39" t="s">
        <v>3830</v>
      </c>
      <c r="D1327" s="106" t="s">
        <v>747</v>
      </c>
      <c r="E1327" s="47">
        <v>45791</v>
      </c>
      <c r="F1327" s="31" t="str">
        <f>VLOOKUP($C1327,Carpetas!$C$5:$M$2666,2,FALSE)</f>
        <v>BRB055</v>
      </c>
      <c r="G1327" s="23" t="str">
        <f>VLOOKUP($C1327,Carpetas!$C$5:$M$2666,10,FALSE)</f>
        <v>152,53,84</v>
      </c>
      <c r="H1327" s="27" t="str">
        <f>VLOOKUP($C1327,Carpetas!$C$5:$M$2666,6,FALSE)</f>
        <v>FG</v>
      </c>
      <c r="I1327" s="220"/>
      <c r="J1327" s="47">
        <v>45792</v>
      </c>
      <c r="K1327" s="72" t="str">
        <f>VLOOKUP($C1327,Carpetas!$C$5:$M$2666,5,FALSE)</f>
        <v>Rio Branco</v>
      </c>
      <c r="L1327" s="32"/>
      <c r="M1327" s="48">
        <f t="shared" si="85"/>
        <v>45793</v>
      </c>
      <c r="N1327" s="26">
        <f t="shared" si="86"/>
        <v>2</v>
      </c>
      <c r="O1327" s="27">
        <v>990</v>
      </c>
      <c r="P1327" s="27">
        <v>990</v>
      </c>
      <c r="Q1327" s="27">
        <v>28</v>
      </c>
      <c r="R1327" s="27">
        <v>26</v>
      </c>
      <c r="S1327" s="27" t="s">
        <v>2709</v>
      </c>
      <c r="T1327" s="27"/>
      <c r="U1327" s="27">
        <v>820</v>
      </c>
      <c r="V1327" s="27" t="s">
        <v>3411</v>
      </c>
      <c r="W1327" s="27" t="s">
        <v>3412</v>
      </c>
      <c r="X1327" s="128" t="s">
        <v>3559</v>
      </c>
      <c r="Y1327" s="73" t="str">
        <f>VLOOKUP(X1327,Choferes!$B$3:C438,2,FALSE)</f>
        <v>+55 53 9713-4372</v>
      </c>
      <c r="Z1327" s="73" t="s">
        <v>3834</v>
      </c>
    </row>
    <row r="1328" spans="1:26" hidden="1" x14ac:dyDescent="0.25">
      <c r="A1328" s="33">
        <v>20</v>
      </c>
      <c r="B1328" s="71" t="s">
        <v>29</v>
      </c>
      <c r="C1328" s="39" t="s">
        <v>3819</v>
      </c>
      <c r="D1328" s="106" t="s">
        <v>2474</v>
      </c>
      <c r="E1328" s="47">
        <v>45791</v>
      </c>
      <c r="F1328" s="31" t="str">
        <f>VLOOKUP($C1328,Carpetas!$C$5:$M$2666,2,FALSE)</f>
        <v>BRB053</v>
      </c>
      <c r="G1328" s="23" t="str">
        <f>VLOOKUP($C1328,Carpetas!$C$5:$M$2666,10,FALSE)</f>
        <v>152,50,13</v>
      </c>
      <c r="H1328" s="27" t="str">
        <f>VLOOKUP($C1328,Carpetas!$C$5:$M$2666,6,FALSE)</f>
        <v>Amaro</v>
      </c>
      <c r="I1328" s="220"/>
      <c r="J1328" s="47">
        <v>45793</v>
      </c>
      <c r="K1328" s="72" t="str">
        <f>VLOOKUP($C1328,Carpetas!$C$5:$M$2666,5,FALSE)</f>
        <v>Rio Branco</v>
      </c>
      <c r="L1328" s="32"/>
      <c r="M1328" s="48">
        <f t="shared" si="85"/>
        <v>45794</v>
      </c>
      <c r="N1328" s="26">
        <f t="shared" si="86"/>
        <v>3</v>
      </c>
      <c r="O1328" s="27">
        <v>990</v>
      </c>
      <c r="P1328" s="27">
        <v>990</v>
      </c>
      <c r="Q1328" s="27">
        <v>28</v>
      </c>
      <c r="R1328" s="27">
        <v>25</v>
      </c>
      <c r="S1328" s="27" t="s">
        <v>3847</v>
      </c>
      <c r="T1328" s="27"/>
      <c r="U1328" s="27">
        <v>26096</v>
      </c>
      <c r="V1328" s="27" t="s">
        <v>3224</v>
      </c>
      <c r="W1328" s="27" t="s">
        <v>3848</v>
      </c>
      <c r="X1328" s="128" t="s">
        <v>3849</v>
      </c>
      <c r="Y1328" s="73" t="str">
        <f>VLOOKUP(X1328,Choferes!$B$3:C442,2,FALSE)</f>
        <v>+55 53 8445-7318</v>
      </c>
      <c r="Z1328" s="73" t="s">
        <v>3850</v>
      </c>
    </row>
    <row r="1329" spans="1:26" hidden="1" x14ac:dyDescent="0.25">
      <c r="A1329" s="33">
        <v>20</v>
      </c>
      <c r="B1329" s="71" t="s">
        <v>29</v>
      </c>
      <c r="C1329" s="39" t="s">
        <v>3830</v>
      </c>
      <c r="D1329" s="106" t="s">
        <v>249</v>
      </c>
      <c r="E1329" s="47">
        <v>45791</v>
      </c>
      <c r="F1329" s="31" t="str">
        <f>VLOOKUP($C1329,Carpetas!$C$5:$M$2666,2,FALSE)</f>
        <v>BRB055</v>
      </c>
      <c r="G1329" s="23" t="str">
        <f>VLOOKUP($C1329,Carpetas!$C$5:$M$2666,10,FALSE)</f>
        <v>152,53,84</v>
      </c>
      <c r="H1329" s="27" t="str">
        <f>VLOOKUP($C1329,Carpetas!$C$5:$M$2666,6,FALSE)</f>
        <v>FG</v>
      </c>
      <c r="I1329" s="220"/>
      <c r="J1329" s="47">
        <v>45793</v>
      </c>
      <c r="K1329" s="72" t="str">
        <f>VLOOKUP($C1329,Carpetas!$C$5:$M$2666,5,FALSE)</f>
        <v>Rio Branco</v>
      </c>
      <c r="L1329" s="32"/>
      <c r="M1329" s="48">
        <f t="shared" si="85"/>
        <v>45794</v>
      </c>
      <c r="N1329" s="26">
        <f t="shared" si="86"/>
        <v>3</v>
      </c>
      <c r="O1329" s="27">
        <v>990</v>
      </c>
      <c r="P1329" s="27">
        <v>990</v>
      </c>
      <c r="Q1329" s="27">
        <v>28</v>
      </c>
      <c r="R1329" s="27">
        <v>24.5</v>
      </c>
      <c r="S1329" s="27" t="s">
        <v>3851</v>
      </c>
      <c r="T1329" s="27"/>
      <c r="U1329" s="27">
        <v>819</v>
      </c>
      <c r="V1329" s="27" t="s">
        <v>3572</v>
      </c>
      <c r="W1329" s="27" t="s">
        <v>1723</v>
      </c>
      <c r="X1329" s="128" t="s">
        <v>1495</v>
      </c>
      <c r="Y1329" s="73" t="str">
        <f>VLOOKUP(X1329,Choferes!$B$3:C437,2,FALSE)</f>
        <v>+5553984382803</v>
      </c>
      <c r="Z1329" s="73"/>
    </row>
    <row r="1330" spans="1:26" hidden="1" x14ac:dyDescent="0.25">
      <c r="A1330" s="33">
        <v>20</v>
      </c>
      <c r="B1330" s="71" t="s">
        <v>29</v>
      </c>
      <c r="C1330" s="39" t="s">
        <v>3810</v>
      </c>
      <c r="D1330" s="106" t="s">
        <v>110</v>
      </c>
      <c r="E1330" s="47">
        <v>45791</v>
      </c>
      <c r="F1330" s="31" t="str">
        <f>VLOOKUP($C1330,Carpetas!$C$5:$M$2666,2,FALSE)</f>
        <v>BRB054</v>
      </c>
      <c r="G1330" s="23" t="str">
        <f>VLOOKUP($C1330,Carpetas!$C$5:$M$2666,10,FALSE)</f>
        <v>152,53,39</v>
      </c>
      <c r="H1330" s="27" t="str">
        <f>VLOOKUP($C1330,Carpetas!$C$5:$M$2666,6,FALSE)</f>
        <v>Gral</v>
      </c>
      <c r="I1330" s="220"/>
      <c r="J1330" s="47">
        <v>45793</v>
      </c>
      <c r="K1330" s="72" t="str">
        <f>VLOOKUP($C1330,Carpetas!$C$5:$M$2666,5,FALSE)</f>
        <v>Chuy</v>
      </c>
      <c r="L1330" s="32"/>
      <c r="M1330" s="48">
        <f t="shared" ref="M1330:M1357" si="88">J1330+1</f>
        <v>45794</v>
      </c>
      <c r="N1330" s="26">
        <f t="shared" si="86"/>
        <v>3</v>
      </c>
      <c r="O1330" s="27">
        <v>918</v>
      </c>
      <c r="P1330" s="27">
        <v>918</v>
      </c>
      <c r="Q1330" s="27">
        <v>26</v>
      </c>
      <c r="R1330" s="27">
        <v>26</v>
      </c>
      <c r="S1330" s="27" t="s">
        <v>3852</v>
      </c>
      <c r="T1330" s="27"/>
      <c r="U1330" s="27"/>
      <c r="V1330" s="27" t="s">
        <v>3853</v>
      </c>
      <c r="W1330" s="27"/>
      <c r="X1330" s="128"/>
      <c r="Y1330" s="73" t="e">
        <f>VLOOKUP(X1330,Choferes!$B$3:C443,2,FALSE)</f>
        <v>#N/A</v>
      </c>
      <c r="Z1330" s="73" t="s">
        <v>3854</v>
      </c>
    </row>
    <row r="1331" spans="1:26" hidden="1" x14ac:dyDescent="0.25">
      <c r="A1331" s="33">
        <v>20</v>
      </c>
      <c r="B1331" s="71" t="s">
        <v>29</v>
      </c>
      <c r="C1331" s="39" t="s">
        <v>3633</v>
      </c>
      <c r="D1331" s="106" t="s">
        <v>747</v>
      </c>
      <c r="E1331" s="47">
        <v>45793</v>
      </c>
      <c r="F1331" s="31" t="str">
        <f>VLOOKUP($C1331,Carpetas!$C$5:$M$2666,2,FALSE)</f>
        <v>BRB041</v>
      </c>
      <c r="G1331" s="23" t="str">
        <f>VLOOKUP($C1331,Carpetas!$C$5:$M$2666,10,FALSE)</f>
        <v>152,22,74</v>
      </c>
      <c r="H1331" s="27" t="str">
        <f>VLOOKUP($C1331,Carpetas!$C$5:$M$2666,6,FALSE)</f>
        <v xml:space="preserve">Silvio </v>
      </c>
      <c r="I1331" s="220"/>
      <c r="J1331" s="47">
        <f t="shared" ref="J1331:J1337" si="89">E1331+3</f>
        <v>45796</v>
      </c>
      <c r="K1331" s="72" t="str">
        <f>VLOOKUP($C1331,Carpetas!$C$5:$M$2666,5,FALSE)</f>
        <v>Rio Branco</v>
      </c>
      <c r="L1331" s="32"/>
      <c r="M1331" s="48">
        <f t="shared" si="88"/>
        <v>45797</v>
      </c>
      <c r="N1331" s="26">
        <f t="shared" si="86"/>
        <v>4</v>
      </c>
      <c r="O1331" s="27">
        <v>918</v>
      </c>
      <c r="P1331" s="27">
        <v>918</v>
      </c>
      <c r="Q1331" s="27">
        <v>26</v>
      </c>
      <c r="R1331" s="27">
        <v>25</v>
      </c>
      <c r="S1331" s="27" t="s">
        <v>2806</v>
      </c>
      <c r="T1331" s="27"/>
      <c r="U1331" s="27">
        <v>7380</v>
      </c>
      <c r="V1331" s="27" t="s">
        <v>618</v>
      </c>
      <c r="W1331" s="27" t="s">
        <v>3855</v>
      </c>
      <c r="X1331" s="128" t="s">
        <v>3856</v>
      </c>
      <c r="Y1331" s="73" t="str">
        <f>VLOOKUP(X1331,Choferes!$B$3:C428,2,FALSE)</f>
        <v>+55 49 8897-9118</v>
      </c>
      <c r="Z1331" s="73" t="s">
        <v>3857</v>
      </c>
    </row>
    <row r="1332" spans="1:26" ht="30" hidden="1" x14ac:dyDescent="0.25">
      <c r="A1332" s="33">
        <v>20</v>
      </c>
      <c r="B1332" s="71" t="s">
        <v>29</v>
      </c>
      <c r="C1332" s="39" t="s">
        <v>3633</v>
      </c>
      <c r="D1332" s="106" t="s">
        <v>2474</v>
      </c>
      <c r="E1332" s="47">
        <v>45793</v>
      </c>
      <c r="F1332" s="31" t="str">
        <f>VLOOKUP($C1332,Carpetas!$C$5:$M$2666,2,FALSE)</f>
        <v>BRB041</v>
      </c>
      <c r="G1332" s="23" t="str">
        <f>VLOOKUP($C1332,Carpetas!$C$5:$M$2666,10,FALSE)</f>
        <v>152,22,74</v>
      </c>
      <c r="H1332" s="27" t="str">
        <f>VLOOKUP($C1332,Carpetas!$C$5:$M$2666,6,FALSE)</f>
        <v xml:space="preserve">Silvio </v>
      </c>
      <c r="I1332" s="220"/>
      <c r="J1332" s="47">
        <f t="shared" si="89"/>
        <v>45796</v>
      </c>
      <c r="K1332" s="72" t="str">
        <f>VLOOKUP($C1332,Carpetas!$C$5:$M$2666,5,FALSE)</f>
        <v>Rio Branco</v>
      </c>
      <c r="L1332" s="32"/>
      <c r="M1332" s="48">
        <f t="shared" si="88"/>
        <v>45797</v>
      </c>
      <c r="N1332" s="26">
        <f t="shared" si="86"/>
        <v>4</v>
      </c>
      <c r="O1332" s="27">
        <v>918</v>
      </c>
      <c r="P1332" s="27">
        <v>918</v>
      </c>
      <c r="Q1332" s="27">
        <v>26</v>
      </c>
      <c r="R1332" s="27">
        <v>25</v>
      </c>
      <c r="S1332" s="27" t="s">
        <v>3858</v>
      </c>
      <c r="T1332" s="27"/>
      <c r="U1332" s="27">
        <v>7381</v>
      </c>
      <c r="V1332" s="27" t="s">
        <v>3859</v>
      </c>
      <c r="W1332" s="27" t="s">
        <v>3860</v>
      </c>
      <c r="X1332" s="128" t="s">
        <v>3861</v>
      </c>
      <c r="Y1332" s="73" t="str">
        <f>VLOOKUP(X1332,Choferes!$B$3:C429,2,FALSE)</f>
        <v>+55 55 9220-4794</v>
      </c>
      <c r="Z1332" s="73" t="s">
        <v>3857</v>
      </c>
    </row>
    <row r="1333" spans="1:26" hidden="1" x14ac:dyDescent="0.25">
      <c r="A1333" s="33">
        <v>20</v>
      </c>
      <c r="B1333" s="71" t="s">
        <v>29</v>
      </c>
      <c r="C1333" s="39" t="s">
        <v>3761</v>
      </c>
      <c r="D1333" s="106" t="s">
        <v>2474</v>
      </c>
      <c r="E1333" s="47">
        <v>45793</v>
      </c>
      <c r="F1333" s="31" t="str">
        <f>VLOOKUP($C1333,Carpetas!$C$5:$M$2666,2,FALSE)</f>
        <v>BRB049</v>
      </c>
      <c r="G1333" s="23" t="str">
        <f>VLOOKUP($C1333,Carpetas!$C$5:$M$2666,10,FALSE)</f>
        <v>152,38,91</v>
      </c>
      <c r="H1333" s="27" t="str">
        <f>VLOOKUP($C1333,Carpetas!$C$5:$M$2666,6,FALSE)</f>
        <v>Zanini</v>
      </c>
      <c r="I1333" s="220"/>
      <c r="J1333" s="47">
        <f t="shared" si="89"/>
        <v>45796</v>
      </c>
      <c r="K1333" s="72" t="str">
        <f>VLOOKUP($C1333,Carpetas!$C$5:$M$2666,5,FALSE)</f>
        <v>Rio Branco</v>
      </c>
      <c r="L1333" s="32"/>
      <c r="M1333" s="48">
        <f t="shared" si="88"/>
        <v>45797</v>
      </c>
      <c r="N1333" s="26">
        <f t="shared" si="86"/>
        <v>4</v>
      </c>
      <c r="O1333" s="27">
        <v>918</v>
      </c>
      <c r="P1333" s="27">
        <v>918</v>
      </c>
      <c r="Q1333" s="27">
        <v>26</v>
      </c>
      <c r="R1333" s="27">
        <v>25</v>
      </c>
      <c r="S1333" s="27" t="s">
        <v>3862</v>
      </c>
      <c r="T1333" s="27"/>
      <c r="U1333" s="27">
        <v>5235</v>
      </c>
      <c r="V1333" s="27" t="s">
        <v>3863</v>
      </c>
      <c r="W1333" s="27" t="s">
        <v>3864</v>
      </c>
      <c r="X1333" s="128" t="s">
        <v>3865</v>
      </c>
      <c r="Y1333" s="73" t="str">
        <f>VLOOKUP(X1333,Choferes!$B$3:C431,2,FALSE)</f>
        <v>+5554992334640</v>
      </c>
      <c r="Z1333" s="73" t="s">
        <v>3866</v>
      </c>
    </row>
    <row r="1334" spans="1:26" hidden="1" x14ac:dyDescent="0.25">
      <c r="A1334" s="33">
        <v>20</v>
      </c>
      <c r="B1334" s="71" t="s">
        <v>29</v>
      </c>
      <c r="C1334" s="39" t="s">
        <v>3867</v>
      </c>
      <c r="D1334" s="106" t="s">
        <v>2474</v>
      </c>
      <c r="E1334" s="47">
        <v>45793</v>
      </c>
      <c r="F1334" s="31" t="str">
        <f>VLOOKUP($C1334,Carpetas!$C$5:$M$2666,2,FALSE)</f>
        <v>BRB056</v>
      </c>
      <c r="G1334" s="23" t="str">
        <f>VLOOKUP($C1334,Carpetas!$C$5:$M$2666,10,FALSE)</f>
        <v>152,58,53</v>
      </c>
      <c r="H1334" s="27" t="str">
        <f>VLOOKUP($C1334,Carpetas!$C$5:$M$2666,6,FALSE)</f>
        <v>Zanini</v>
      </c>
      <c r="I1334" s="220"/>
      <c r="J1334" s="47">
        <f t="shared" si="89"/>
        <v>45796</v>
      </c>
      <c r="K1334" s="72" t="str">
        <f>VLOOKUP($C1334,Carpetas!$C$5:$M$2666,5,FALSE)</f>
        <v>Rio Branco</v>
      </c>
      <c r="L1334" s="32"/>
      <c r="M1334" s="48">
        <f t="shared" si="88"/>
        <v>45797</v>
      </c>
      <c r="N1334" s="26">
        <f t="shared" si="86"/>
        <v>4</v>
      </c>
      <c r="O1334" s="27">
        <v>918</v>
      </c>
      <c r="P1334" s="27">
        <v>918</v>
      </c>
      <c r="Q1334" s="27">
        <v>26</v>
      </c>
      <c r="R1334" s="27">
        <v>25</v>
      </c>
      <c r="S1334" s="27" t="s">
        <v>3868</v>
      </c>
      <c r="T1334" s="27"/>
      <c r="U1334" s="27">
        <v>5236</v>
      </c>
      <c r="V1334" s="27" t="s">
        <v>3869</v>
      </c>
      <c r="W1334" s="27" t="s">
        <v>3870</v>
      </c>
      <c r="X1334" s="128" t="s">
        <v>3871</v>
      </c>
      <c r="Y1334" s="73" t="str">
        <f>VLOOKUP(X1334,Choferes!$B$3:C432,2,FALSE)</f>
        <v>+5555999194221</v>
      </c>
      <c r="Z1334" s="73" t="s">
        <v>3872</v>
      </c>
    </row>
    <row r="1335" spans="1:26" hidden="1" x14ac:dyDescent="0.25">
      <c r="A1335" s="33">
        <v>20</v>
      </c>
      <c r="B1335" s="71" t="s">
        <v>29</v>
      </c>
      <c r="C1335" s="39" t="s">
        <v>3810</v>
      </c>
      <c r="D1335" s="106" t="s">
        <v>110</v>
      </c>
      <c r="E1335" s="47">
        <v>45793</v>
      </c>
      <c r="F1335" s="31" t="str">
        <f>VLOOKUP($C1335,Carpetas!$C$5:$M$2666,2,FALSE)</f>
        <v>BRB054</v>
      </c>
      <c r="G1335" s="23" t="str">
        <f>VLOOKUP($C1335,Carpetas!$C$5:$M$2666,10,FALSE)</f>
        <v>152,53,39</v>
      </c>
      <c r="H1335" s="27" t="str">
        <f>VLOOKUP($C1335,Carpetas!$C$5:$M$2666,6,FALSE)</f>
        <v>Gral</v>
      </c>
      <c r="I1335" s="220"/>
      <c r="J1335" s="47">
        <f t="shared" si="89"/>
        <v>45796</v>
      </c>
      <c r="K1335" s="72" t="str">
        <f>VLOOKUP($C1335,Carpetas!$C$5:$M$2666,5,FALSE)</f>
        <v>Chuy</v>
      </c>
      <c r="L1335" s="32"/>
      <c r="M1335" s="48">
        <f t="shared" si="88"/>
        <v>45797</v>
      </c>
      <c r="N1335" s="26">
        <f t="shared" si="86"/>
        <v>4</v>
      </c>
      <c r="O1335" s="27">
        <v>918</v>
      </c>
      <c r="P1335" s="27">
        <v>919</v>
      </c>
      <c r="Q1335" s="27">
        <v>26</v>
      </c>
      <c r="R1335" s="27">
        <v>25</v>
      </c>
      <c r="S1335" s="27" t="s">
        <v>2007</v>
      </c>
      <c r="T1335" s="27"/>
      <c r="U1335" s="27"/>
      <c r="V1335" s="27" t="s">
        <v>3873</v>
      </c>
      <c r="W1335" s="27" t="s">
        <v>3874</v>
      </c>
      <c r="X1335" s="128"/>
      <c r="Y1335" s="73" t="e">
        <f>VLOOKUP(X1335,Choferes!$B$3:C443,2,FALSE)</f>
        <v>#N/A</v>
      </c>
      <c r="Z1335" s="73" t="s">
        <v>3875</v>
      </c>
    </row>
    <row r="1336" spans="1:26" hidden="1" x14ac:dyDescent="0.25">
      <c r="A1336" s="33">
        <v>20</v>
      </c>
      <c r="B1336" s="71" t="s">
        <v>29</v>
      </c>
      <c r="C1336" s="39" t="s">
        <v>3830</v>
      </c>
      <c r="D1336" s="106" t="s">
        <v>747</v>
      </c>
      <c r="E1336" s="47">
        <v>45794</v>
      </c>
      <c r="F1336" s="31" t="str">
        <f>VLOOKUP($C1336,Carpetas!$C$5:$M$2666,2,FALSE)</f>
        <v>BRB055</v>
      </c>
      <c r="G1336" s="23" t="str">
        <f>VLOOKUP($C1336,Carpetas!$C$5:$M$2666,10,FALSE)</f>
        <v>152,53,84</v>
      </c>
      <c r="H1336" s="27" t="str">
        <f>VLOOKUP($C1336,Carpetas!$C$5:$M$2666,6,FALSE)</f>
        <v>FG</v>
      </c>
      <c r="I1336" s="220"/>
      <c r="J1336" s="47">
        <f t="shared" si="89"/>
        <v>45797</v>
      </c>
      <c r="K1336" s="72" t="str">
        <f>VLOOKUP($C1336,Carpetas!$C$5:$M$2666,5,FALSE)</f>
        <v>Rio Branco</v>
      </c>
      <c r="L1336" s="32"/>
      <c r="M1336" s="48">
        <f t="shared" si="88"/>
        <v>45798</v>
      </c>
      <c r="N1336" s="26">
        <f t="shared" si="86"/>
        <v>4</v>
      </c>
      <c r="O1336" s="27">
        <v>990</v>
      </c>
      <c r="P1336" s="27">
        <v>991</v>
      </c>
      <c r="Q1336" s="27">
        <v>28</v>
      </c>
      <c r="R1336" s="27">
        <v>26</v>
      </c>
      <c r="S1336" s="27" t="s">
        <v>2783</v>
      </c>
      <c r="T1336" s="27"/>
      <c r="U1336" s="27">
        <v>829</v>
      </c>
      <c r="V1336" s="27" t="s">
        <v>1630</v>
      </c>
      <c r="W1336" s="27" t="s">
        <v>1934</v>
      </c>
      <c r="X1336" s="128" t="s">
        <v>1935</v>
      </c>
      <c r="Y1336" s="73" t="str">
        <f>VLOOKUP(X1336,Choferes!$B$3:C439,2,FALSE)</f>
        <v>+5554984377792</v>
      </c>
      <c r="Z1336" s="73" t="s">
        <v>3876</v>
      </c>
    </row>
    <row r="1337" spans="1:26" hidden="1" x14ac:dyDescent="0.25">
      <c r="A1337" s="33">
        <v>20</v>
      </c>
      <c r="B1337" s="71" t="s">
        <v>29</v>
      </c>
      <c r="C1337" s="39" t="s">
        <v>3830</v>
      </c>
      <c r="D1337" s="106" t="s">
        <v>803</v>
      </c>
      <c r="E1337" s="47">
        <v>45794</v>
      </c>
      <c r="F1337" s="31" t="str">
        <f>VLOOKUP($C1337,Carpetas!$C$5:$M$2666,2,FALSE)</f>
        <v>BRB055</v>
      </c>
      <c r="G1337" s="23" t="str">
        <f>VLOOKUP($C1337,Carpetas!$C$5:$M$2666,10,FALSE)</f>
        <v>152,53,84</v>
      </c>
      <c r="H1337" s="27" t="str">
        <f>VLOOKUP($C1337,Carpetas!$C$5:$M$2666,6,FALSE)</f>
        <v>FG</v>
      </c>
      <c r="I1337" s="220"/>
      <c r="J1337" s="47">
        <f t="shared" si="89"/>
        <v>45797</v>
      </c>
      <c r="K1337" s="72" t="str">
        <f>VLOOKUP($C1337,Carpetas!$C$5:$M$2666,5,FALSE)</f>
        <v>Rio Branco</v>
      </c>
      <c r="L1337" s="32"/>
      <c r="M1337" s="48">
        <f t="shared" si="88"/>
        <v>45798</v>
      </c>
      <c r="N1337" s="26">
        <f t="shared" si="86"/>
        <v>4</v>
      </c>
      <c r="O1337" s="27">
        <v>990</v>
      </c>
      <c r="P1337" s="27">
        <v>990</v>
      </c>
      <c r="Q1337" s="27">
        <v>28</v>
      </c>
      <c r="R1337" s="27">
        <v>26</v>
      </c>
      <c r="S1337" s="27" t="s">
        <v>2023</v>
      </c>
      <c r="T1337" s="27"/>
      <c r="U1337" s="27">
        <v>830</v>
      </c>
      <c r="V1337" s="27" t="s">
        <v>911</v>
      </c>
      <c r="W1337" s="27" t="s">
        <v>1622</v>
      </c>
      <c r="X1337" s="128" t="s">
        <v>1397</v>
      </c>
      <c r="Y1337" s="73" t="str">
        <f>VLOOKUP(X1337,Choferes!$B$3:C423,2,FALSE)</f>
        <v>+5551996322594</v>
      </c>
      <c r="Z1337" s="73" t="s">
        <v>3877</v>
      </c>
    </row>
    <row r="1338" spans="1:26" hidden="1" x14ac:dyDescent="0.25">
      <c r="A1338" s="33">
        <v>21</v>
      </c>
      <c r="B1338" s="71" t="s">
        <v>29</v>
      </c>
      <c r="C1338" s="39" t="s">
        <v>3878</v>
      </c>
      <c r="D1338" s="106" t="s">
        <v>747</v>
      </c>
      <c r="E1338" s="47">
        <v>45796</v>
      </c>
      <c r="F1338" s="31" t="str">
        <f>VLOOKUP($C1338,Carpetas!$C$5:$M$2666,2,FALSE)</f>
        <v>BRB057</v>
      </c>
      <c r="G1338" s="23" t="str">
        <f>VLOOKUP($C1338,Carpetas!$C$5:$M$2666,10,FALSE)</f>
        <v>152,60,15</v>
      </c>
      <c r="H1338" s="27" t="str">
        <f>VLOOKUP($C1338,Carpetas!$C$5:$M$2666,6,FALSE)</f>
        <v>FG</v>
      </c>
      <c r="I1338" s="220"/>
      <c r="J1338" s="47">
        <v>45798</v>
      </c>
      <c r="K1338" s="72" t="str">
        <f>VLOOKUP($C1338,Carpetas!$C$5:$M$2666,5,FALSE)</f>
        <v>Rio Branco</v>
      </c>
      <c r="L1338" s="32"/>
      <c r="M1338" s="48">
        <f t="shared" si="88"/>
        <v>45799</v>
      </c>
      <c r="N1338" s="26">
        <f t="shared" si="86"/>
        <v>3</v>
      </c>
      <c r="O1338" s="27">
        <v>990</v>
      </c>
      <c r="P1338" s="27">
        <v>990</v>
      </c>
      <c r="Q1338" s="27">
        <v>28</v>
      </c>
      <c r="R1338" s="27">
        <v>26</v>
      </c>
      <c r="S1338" s="27" t="s">
        <v>2836</v>
      </c>
      <c r="T1338" s="27"/>
      <c r="U1338" s="27">
        <v>833</v>
      </c>
      <c r="V1338" s="27" t="s">
        <v>1722</v>
      </c>
      <c r="W1338" s="27" t="s">
        <v>1637</v>
      </c>
      <c r="X1338" s="128" t="s">
        <v>2119</v>
      </c>
      <c r="Y1338" s="73" t="str">
        <f>VLOOKUP(X1338,Choferes!$B$3:C429,2,FALSE)</f>
        <v>+5553981528085</v>
      </c>
      <c r="Z1338" s="73" t="s">
        <v>3879</v>
      </c>
    </row>
    <row r="1339" spans="1:26" hidden="1" x14ac:dyDescent="0.25">
      <c r="A1339" s="33">
        <v>21</v>
      </c>
      <c r="B1339" s="71" t="s">
        <v>29</v>
      </c>
      <c r="C1339" s="39" t="s">
        <v>3830</v>
      </c>
      <c r="D1339" s="106" t="s">
        <v>78</v>
      </c>
      <c r="E1339" s="47">
        <v>45796</v>
      </c>
      <c r="F1339" s="31" t="str">
        <f>VLOOKUP($C1339,Carpetas!$C$5:$M$2666,2,FALSE)</f>
        <v>BRB055</v>
      </c>
      <c r="G1339" s="23" t="str">
        <f>VLOOKUP($C1339,Carpetas!$C$5:$M$2666,10,FALSE)</f>
        <v>152,53,84</v>
      </c>
      <c r="H1339" s="27" t="str">
        <f>VLOOKUP($C1339,Carpetas!$C$5:$M$2666,6,FALSE)</f>
        <v>FG</v>
      </c>
      <c r="I1339" s="220"/>
      <c r="J1339" s="47">
        <v>45798</v>
      </c>
      <c r="K1339" s="72" t="str">
        <f>VLOOKUP($C1339,Carpetas!$C$5:$M$2666,5,FALSE)</f>
        <v>Rio Branco</v>
      </c>
      <c r="L1339" s="32"/>
      <c r="M1339" s="48">
        <f t="shared" si="88"/>
        <v>45799</v>
      </c>
      <c r="N1339" s="26">
        <f t="shared" si="86"/>
        <v>3</v>
      </c>
      <c r="O1339" s="27">
        <v>990</v>
      </c>
      <c r="P1339" s="27">
        <v>990</v>
      </c>
      <c r="Q1339" s="27">
        <v>28</v>
      </c>
      <c r="R1339" s="27">
        <v>26</v>
      </c>
      <c r="S1339" s="27" t="s">
        <v>3880</v>
      </c>
      <c r="T1339" s="27"/>
      <c r="U1339" s="27">
        <v>831</v>
      </c>
      <c r="V1339" s="27" t="s">
        <v>1430</v>
      </c>
      <c r="W1339" s="27" t="s">
        <v>1669</v>
      </c>
      <c r="X1339" s="128" t="s">
        <v>1923</v>
      </c>
      <c r="Y1339" s="73" t="str">
        <f>VLOOKUP(X1339,Choferes!$B$3:C430,2,FALSE)</f>
        <v>+5553999049426</v>
      </c>
      <c r="Z1339" s="73" t="s">
        <v>3881</v>
      </c>
    </row>
    <row r="1340" spans="1:26" hidden="1" x14ac:dyDescent="0.25">
      <c r="A1340" s="33">
        <v>21</v>
      </c>
      <c r="B1340" s="71" t="s">
        <v>29</v>
      </c>
      <c r="C1340" s="39" t="s">
        <v>3804</v>
      </c>
      <c r="D1340" s="106" t="s">
        <v>2474</v>
      </c>
      <c r="E1340" s="47">
        <v>45796</v>
      </c>
      <c r="F1340" s="31" t="str">
        <f>VLOOKUP($C1340,Carpetas!$C$5:$M$2666,2,FALSE)</f>
        <v>BRB052</v>
      </c>
      <c r="G1340" s="23" t="str">
        <f>VLOOKUP($C1340,Carpetas!$C$5:$M$2666,10,FALSE)</f>
        <v>152,47,83</v>
      </c>
      <c r="H1340" s="27" t="str">
        <f>VLOOKUP($C1340,Carpetas!$C$5:$M$2666,6,FALSE)</f>
        <v>Gral</v>
      </c>
      <c r="I1340" s="220"/>
      <c r="J1340" s="47">
        <v>45798</v>
      </c>
      <c r="K1340" s="72" t="str">
        <f>VLOOKUP($C1340,Carpetas!$C$5:$M$2666,5,FALSE)</f>
        <v>Rio Branco</v>
      </c>
      <c r="L1340" s="32"/>
      <c r="M1340" s="48">
        <f t="shared" si="88"/>
        <v>45799</v>
      </c>
      <c r="N1340" s="26">
        <f t="shared" si="86"/>
        <v>3</v>
      </c>
      <c r="O1340" s="27">
        <v>918</v>
      </c>
      <c r="P1340" s="27">
        <v>918</v>
      </c>
      <c r="Q1340" s="27">
        <v>26</v>
      </c>
      <c r="R1340" s="27">
        <v>25</v>
      </c>
      <c r="S1340" s="27" t="s">
        <v>3882</v>
      </c>
      <c r="T1340" s="27"/>
      <c r="U1340" s="27">
        <v>7360</v>
      </c>
      <c r="V1340" s="27" t="s">
        <v>3883</v>
      </c>
      <c r="W1340" s="27" t="s">
        <v>3884</v>
      </c>
      <c r="X1340" s="128" t="s">
        <v>3885</v>
      </c>
      <c r="Y1340" s="73" t="str">
        <f>VLOOKUP(X1340,Choferes!$B$3:C437,2,FALSE)</f>
        <v>+55 49 9928-7578</v>
      </c>
      <c r="Z1340" s="73" t="s">
        <v>3886</v>
      </c>
    </row>
    <row r="1341" spans="1:26" hidden="1" x14ac:dyDescent="0.25">
      <c r="A1341" s="33">
        <v>21</v>
      </c>
      <c r="B1341" s="71" t="s">
        <v>29</v>
      </c>
      <c r="C1341" s="39" t="s">
        <v>3878</v>
      </c>
      <c r="D1341" s="106" t="s">
        <v>747</v>
      </c>
      <c r="E1341" s="47">
        <v>45797</v>
      </c>
      <c r="F1341" s="31" t="str">
        <f>VLOOKUP($C1341,Carpetas!$C$5:$M$2666,2,FALSE)</f>
        <v>BRB057</v>
      </c>
      <c r="G1341" s="23" t="str">
        <f>VLOOKUP($C1341,Carpetas!$C$5:$M$2666,10,FALSE)</f>
        <v>152,60,15</v>
      </c>
      <c r="H1341" s="27" t="str">
        <f>VLOOKUP($C1341,Carpetas!$C$5:$M$2666,6,FALSE)</f>
        <v>FG</v>
      </c>
      <c r="I1341" s="220"/>
      <c r="J1341" s="47">
        <v>45798</v>
      </c>
      <c r="K1341" s="72" t="str">
        <f>VLOOKUP($C1341,Carpetas!$C$5:$M$2666,5,FALSE)</f>
        <v>Rio Branco</v>
      </c>
      <c r="L1341" s="32"/>
      <c r="M1341" s="48">
        <f t="shared" si="88"/>
        <v>45799</v>
      </c>
      <c r="N1341" s="26">
        <f t="shared" si="86"/>
        <v>2</v>
      </c>
      <c r="O1341" s="27">
        <v>990</v>
      </c>
      <c r="P1341" s="27">
        <v>990</v>
      </c>
      <c r="Q1341" s="27">
        <v>28</v>
      </c>
      <c r="R1341" s="27">
        <v>26</v>
      </c>
      <c r="S1341" s="27" t="s">
        <v>3887</v>
      </c>
      <c r="T1341" s="27"/>
      <c r="U1341" s="27">
        <v>834</v>
      </c>
      <c r="V1341" s="27" t="s">
        <v>1649</v>
      </c>
      <c r="W1341" s="27" t="s">
        <v>1650</v>
      </c>
      <c r="X1341" s="128" t="s">
        <v>1462</v>
      </c>
      <c r="Y1341" s="73" t="str">
        <f>VLOOKUP(X1341,Choferes!$B$3:C431,2,FALSE)</f>
        <v>+5553997081676</v>
      </c>
      <c r="Z1341" s="73" t="s">
        <v>3879</v>
      </c>
    </row>
    <row r="1342" spans="1:26" ht="30" hidden="1" x14ac:dyDescent="0.25">
      <c r="A1342" s="33">
        <v>21</v>
      </c>
      <c r="B1342" s="71" t="s">
        <v>29</v>
      </c>
      <c r="C1342" s="39" t="s">
        <v>3804</v>
      </c>
      <c r="D1342" s="106" t="s">
        <v>2202</v>
      </c>
      <c r="E1342" s="47">
        <v>45797</v>
      </c>
      <c r="F1342" s="31" t="str">
        <f>VLOOKUP($C1342,Carpetas!$C$5:$M$2666,2,FALSE)</f>
        <v>BRB052</v>
      </c>
      <c r="G1342" s="23" t="str">
        <f>VLOOKUP($C1342,Carpetas!$C$5:$M$2666,10,FALSE)</f>
        <v>152,47,83</v>
      </c>
      <c r="H1342" s="27" t="str">
        <f>VLOOKUP($C1342,Carpetas!$C$5:$M$2666,6,FALSE)</f>
        <v>Gral</v>
      </c>
      <c r="I1342" s="220"/>
      <c r="J1342" s="47">
        <v>45798</v>
      </c>
      <c r="K1342" s="72" t="str">
        <f>VLOOKUP($C1342,Carpetas!$C$5:$M$2666,5,FALSE)</f>
        <v>Rio Branco</v>
      </c>
      <c r="L1342" s="32"/>
      <c r="M1342" s="48">
        <f t="shared" si="88"/>
        <v>45799</v>
      </c>
      <c r="N1342" s="26">
        <f t="shared" si="86"/>
        <v>2</v>
      </c>
      <c r="O1342" s="27">
        <v>918</v>
      </c>
      <c r="P1342" s="27">
        <v>919</v>
      </c>
      <c r="Q1342" s="27">
        <v>26</v>
      </c>
      <c r="R1342" s="27">
        <v>24</v>
      </c>
      <c r="S1342" s="27" t="s">
        <v>2203</v>
      </c>
      <c r="T1342" s="27"/>
      <c r="U1342" s="27">
        <v>7361</v>
      </c>
      <c r="V1342" s="27" t="s">
        <v>3888</v>
      </c>
      <c r="W1342" s="27" t="s">
        <v>3889</v>
      </c>
      <c r="X1342" s="128" t="s">
        <v>3890</v>
      </c>
      <c r="Y1342" s="73" t="str">
        <f>VLOOKUP(X1342,Choferes!$B$3:C438,2,FALSE)</f>
        <v>+55 32 9932-2650</v>
      </c>
      <c r="Z1342" s="73" t="s">
        <v>3891</v>
      </c>
    </row>
    <row r="1343" spans="1:26" hidden="1" x14ac:dyDescent="0.25">
      <c r="A1343" s="33">
        <v>21</v>
      </c>
      <c r="B1343" s="71" t="s">
        <v>29</v>
      </c>
      <c r="C1343" s="39" t="s">
        <v>3867</v>
      </c>
      <c r="D1343" s="106" t="s">
        <v>2474</v>
      </c>
      <c r="E1343" s="47">
        <v>45797</v>
      </c>
      <c r="F1343" s="31" t="str">
        <f>VLOOKUP($C1343,Carpetas!$C$5:$M$2666,2,FALSE)</f>
        <v>BRB056</v>
      </c>
      <c r="G1343" s="23" t="str">
        <f>VLOOKUP($C1343,Carpetas!$C$5:$M$2666,10,FALSE)</f>
        <v>152,58,53</v>
      </c>
      <c r="H1343" s="27" t="str">
        <f>VLOOKUP($C1343,Carpetas!$C$5:$M$2666,6,FALSE)</f>
        <v>Zanini</v>
      </c>
      <c r="I1343" s="220"/>
      <c r="J1343" s="47">
        <v>45799</v>
      </c>
      <c r="K1343" s="72" t="str">
        <f>VLOOKUP($C1343,Carpetas!$C$5:$M$2666,5,FALSE)</f>
        <v>Rio Branco</v>
      </c>
      <c r="L1343" s="32"/>
      <c r="M1343" s="48">
        <f t="shared" si="88"/>
        <v>45800</v>
      </c>
      <c r="N1343" s="26">
        <f t="shared" si="86"/>
        <v>3</v>
      </c>
      <c r="O1343" s="27">
        <v>918</v>
      </c>
      <c r="P1343" s="27">
        <v>918</v>
      </c>
      <c r="Q1343" s="27">
        <v>26</v>
      </c>
      <c r="R1343" s="27">
        <v>25</v>
      </c>
      <c r="S1343" s="27" t="s">
        <v>3892</v>
      </c>
      <c r="T1343" s="27"/>
      <c r="U1343" s="27">
        <v>5242</v>
      </c>
      <c r="V1343" s="27" t="s">
        <v>3893</v>
      </c>
      <c r="W1343" s="27" t="s">
        <v>3894</v>
      </c>
      <c r="X1343" s="128" t="s">
        <v>3895</v>
      </c>
      <c r="Y1343" s="73" t="str">
        <f>VLOOKUP(X1343,Choferes!$B$3:C426,2,FALSE)</f>
        <v>+5555999703929</v>
      </c>
      <c r="Z1343" s="73" t="s">
        <v>3896</v>
      </c>
    </row>
    <row r="1344" spans="1:26" hidden="1" x14ac:dyDescent="0.25">
      <c r="A1344" s="33">
        <v>21</v>
      </c>
      <c r="B1344" s="71" t="s">
        <v>29</v>
      </c>
      <c r="C1344" s="39" t="s">
        <v>3878</v>
      </c>
      <c r="D1344" s="106" t="s">
        <v>747</v>
      </c>
      <c r="E1344" s="47">
        <v>45798</v>
      </c>
      <c r="F1344" s="31" t="str">
        <f>VLOOKUP($C1344,Carpetas!$C$5:$M$2666,2,FALSE)</f>
        <v>BRB057</v>
      </c>
      <c r="G1344" s="23" t="str">
        <f>VLOOKUP($C1344,Carpetas!$C$5:$M$2666,10,FALSE)</f>
        <v>152,60,15</v>
      </c>
      <c r="H1344" s="27" t="str">
        <f>VLOOKUP($C1344,Carpetas!$C$5:$M$2666,6,FALSE)</f>
        <v>FG</v>
      </c>
      <c r="I1344" s="220"/>
      <c r="J1344" s="47">
        <v>45799</v>
      </c>
      <c r="K1344" s="72" t="str">
        <f>VLOOKUP($C1344,Carpetas!$C$5:$M$2666,5,FALSE)</f>
        <v>Rio Branco</v>
      </c>
      <c r="L1344" s="32"/>
      <c r="M1344" s="48">
        <f t="shared" si="88"/>
        <v>45800</v>
      </c>
      <c r="N1344" s="26">
        <f t="shared" si="86"/>
        <v>2</v>
      </c>
      <c r="O1344" s="27">
        <v>990</v>
      </c>
      <c r="P1344" s="27">
        <v>991</v>
      </c>
      <c r="Q1344" s="27">
        <v>28</v>
      </c>
      <c r="R1344" s="27">
        <v>26</v>
      </c>
      <c r="S1344" s="27" t="s">
        <v>2960</v>
      </c>
      <c r="T1344" s="27"/>
      <c r="U1344" s="27">
        <v>840</v>
      </c>
      <c r="V1344" s="27" t="s">
        <v>1657</v>
      </c>
      <c r="W1344" s="27" t="s">
        <v>1815</v>
      </c>
      <c r="X1344" s="128" t="s">
        <v>1468</v>
      </c>
      <c r="Y1344" s="73" t="str">
        <f>VLOOKUP(X1344,Choferes!$B$3:C433,2,FALSE)</f>
        <v>+5553984274141</v>
      </c>
      <c r="Z1344" s="73" t="s">
        <v>3897</v>
      </c>
    </row>
    <row r="1345" spans="1:26" hidden="1" x14ac:dyDescent="0.25">
      <c r="A1345" s="33">
        <v>21</v>
      </c>
      <c r="B1345" s="71" t="s">
        <v>298</v>
      </c>
      <c r="C1345" s="39" t="s">
        <v>299</v>
      </c>
      <c r="D1345" s="106" t="s">
        <v>2474</v>
      </c>
      <c r="E1345" s="47">
        <v>45796</v>
      </c>
      <c r="F1345" s="31" t="str">
        <f>VLOOKUP($C1345,Carpetas!$C$5:$M$2666,2,FALSE)</f>
        <v>BRB</v>
      </c>
      <c r="G1345" s="23" t="e">
        <f>VLOOKUP($C1345,Carpetas!$C$5:$M$2666,9,FALSE)</f>
        <v>#REF!</v>
      </c>
      <c r="H1345" s="27" t="str">
        <f>VLOOKUP($C1345,Carpetas!$C$5:$M$2666,5,FALSE)</f>
        <v>xx</v>
      </c>
      <c r="I1345" s="220"/>
      <c r="J1345" s="47">
        <f>E1345+3</f>
        <v>45799</v>
      </c>
      <c r="K1345" s="72">
        <f>VLOOKUP($C1345,Carpetas!$C$5:$M$2666,4,FALSE)</f>
        <v>0</v>
      </c>
      <c r="L1345" s="32"/>
      <c r="M1345" s="48">
        <f t="shared" si="88"/>
        <v>45800</v>
      </c>
      <c r="N1345" s="26">
        <f t="shared" si="86"/>
        <v>4</v>
      </c>
      <c r="O1345" s="27">
        <v>990</v>
      </c>
      <c r="P1345" s="27"/>
      <c r="Q1345" s="27"/>
      <c r="R1345" s="27"/>
      <c r="S1345" s="27"/>
      <c r="T1345" s="27"/>
      <c r="U1345" s="27"/>
      <c r="V1345" s="27"/>
      <c r="W1345" s="27"/>
      <c r="X1345" s="128"/>
      <c r="Y1345" s="73" t="e">
        <f>VLOOKUP(X1345,Choferes!$B$3:C436,2,FALSE)</f>
        <v>#N/A</v>
      </c>
      <c r="Z1345" s="73"/>
    </row>
    <row r="1346" spans="1:26" ht="30" hidden="1" x14ac:dyDescent="0.25">
      <c r="A1346" s="33">
        <v>21</v>
      </c>
      <c r="B1346" s="71" t="s">
        <v>29</v>
      </c>
      <c r="C1346" s="39" t="s">
        <v>3878</v>
      </c>
      <c r="D1346" s="106" t="s">
        <v>803</v>
      </c>
      <c r="E1346" s="47">
        <v>45797</v>
      </c>
      <c r="F1346" s="31" t="str">
        <f>VLOOKUP($C1346,Carpetas!$C$5:$M$2666,2,FALSE)</f>
        <v>BRB057</v>
      </c>
      <c r="G1346" s="23" t="str">
        <f>VLOOKUP($C1346,Carpetas!$C$5:$M$2666,10,FALSE)</f>
        <v>152,60,15</v>
      </c>
      <c r="H1346" s="27" t="str">
        <f>VLOOKUP($C1346,Carpetas!$C$5:$M$2666,6,FALSE)</f>
        <v>FG</v>
      </c>
      <c r="I1346" s="220"/>
      <c r="J1346" s="47">
        <v>45800</v>
      </c>
      <c r="K1346" s="72" t="str">
        <f>VLOOKUP($C1346,Carpetas!$C$5:$M$2666,5,FALSE)</f>
        <v>Rio Branco</v>
      </c>
      <c r="L1346" s="32"/>
      <c r="M1346" s="48">
        <f t="shared" si="88"/>
        <v>45801</v>
      </c>
      <c r="N1346" s="26">
        <f t="shared" si="86"/>
        <v>4</v>
      </c>
      <c r="O1346" s="27">
        <v>990</v>
      </c>
      <c r="P1346" s="27">
        <v>990</v>
      </c>
      <c r="Q1346" s="27">
        <v>28</v>
      </c>
      <c r="R1346" s="27">
        <v>15.5</v>
      </c>
      <c r="S1346" s="27" t="s">
        <v>2027</v>
      </c>
      <c r="T1346" s="27"/>
      <c r="U1346" s="27">
        <v>837</v>
      </c>
      <c r="V1346" s="27" t="s">
        <v>1680</v>
      </c>
      <c r="W1346" s="27" t="s">
        <v>1736</v>
      </c>
      <c r="X1346" s="128" t="s">
        <v>1413</v>
      </c>
      <c r="Y1346" s="73" t="str">
        <f>VLOOKUP(X1346,Choferes!$B$3:C432,2,FALSE)</f>
        <v>+59899406679</v>
      </c>
      <c r="Z1346" s="73" t="s">
        <v>3898</v>
      </c>
    </row>
    <row r="1347" spans="1:26" ht="30" hidden="1" x14ac:dyDescent="0.25">
      <c r="A1347" s="33">
        <v>21</v>
      </c>
      <c r="B1347" s="71" t="s">
        <v>29</v>
      </c>
      <c r="C1347" s="39" t="s">
        <v>3814</v>
      </c>
      <c r="D1347" s="106" t="s">
        <v>110</v>
      </c>
      <c r="E1347" s="47">
        <v>45798</v>
      </c>
      <c r="F1347" s="31" t="str">
        <f>VLOOKUP($C1347,Carpetas!$C$5:$M$2666,2,FALSE)</f>
        <v>BRB051</v>
      </c>
      <c r="G1347" s="23" t="str">
        <f>VLOOKUP($C1347,Carpetas!$C$5:$M$2666,10,FALSE)</f>
        <v>152,49,27</v>
      </c>
      <c r="H1347" s="27" t="str">
        <f>VLOOKUP($C1347,Carpetas!$C$5:$M$2666,6,FALSE)</f>
        <v xml:space="preserve">Silvio </v>
      </c>
      <c r="I1347" s="220"/>
      <c r="J1347" s="47">
        <v>45800</v>
      </c>
      <c r="K1347" s="72" t="str">
        <f>VLOOKUP($C1347,Carpetas!$C$5:$M$2666,5,FALSE)</f>
        <v>Chuy</v>
      </c>
      <c r="L1347" s="32"/>
      <c r="M1347" s="48">
        <f t="shared" si="88"/>
        <v>45801</v>
      </c>
      <c r="N1347" s="26">
        <f t="shared" si="86"/>
        <v>3</v>
      </c>
      <c r="O1347" s="27">
        <v>918</v>
      </c>
      <c r="P1347" s="27">
        <v>919</v>
      </c>
      <c r="Q1347" s="27">
        <v>26</v>
      </c>
      <c r="R1347" s="27">
        <v>26</v>
      </c>
      <c r="S1347" s="27" t="s">
        <v>2036</v>
      </c>
      <c r="T1347" s="27"/>
      <c r="U1347" s="27"/>
      <c r="V1347" s="27" t="s">
        <v>3899</v>
      </c>
      <c r="W1347" s="27" t="s">
        <v>3900</v>
      </c>
      <c r="X1347" s="128"/>
      <c r="Y1347" s="73" t="e">
        <f>VLOOKUP(X1347,Choferes!$B$3:C424,2,FALSE)</f>
        <v>#N/A</v>
      </c>
      <c r="Z1347" s="73" t="s">
        <v>3901</v>
      </c>
    </row>
    <row r="1348" spans="1:26" ht="30" hidden="1" x14ac:dyDescent="0.25">
      <c r="A1348" s="33">
        <v>21</v>
      </c>
      <c r="B1348" s="71" t="s">
        <v>29</v>
      </c>
      <c r="C1348" s="39" t="s">
        <v>3867</v>
      </c>
      <c r="D1348" s="106" t="s">
        <v>2474</v>
      </c>
      <c r="E1348" s="47">
        <v>45798</v>
      </c>
      <c r="F1348" s="31" t="str">
        <f>VLOOKUP($C1348,Carpetas!$C$5:$M$2666,2,FALSE)</f>
        <v>BRB056</v>
      </c>
      <c r="G1348" s="23" t="str">
        <f>VLOOKUP($C1348,Carpetas!$C$5:$M$2666,10,FALSE)</f>
        <v>152,58,53</v>
      </c>
      <c r="H1348" s="27" t="str">
        <f>VLOOKUP($C1348,Carpetas!$C$5:$M$2666,6,FALSE)</f>
        <v>Zanini</v>
      </c>
      <c r="I1348" s="220"/>
      <c r="J1348" s="47">
        <f>E1348+2</f>
        <v>45800</v>
      </c>
      <c r="K1348" s="72" t="str">
        <f>VLOOKUP($C1348,Carpetas!$C$5:$M$2666,5,FALSE)</f>
        <v>Rio Branco</v>
      </c>
      <c r="L1348" s="32"/>
      <c r="M1348" s="48">
        <f t="shared" si="88"/>
        <v>45801</v>
      </c>
      <c r="N1348" s="26">
        <f t="shared" si="86"/>
        <v>3</v>
      </c>
      <c r="O1348" s="27">
        <v>918</v>
      </c>
      <c r="P1348" s="27">
        <v>918</v>
      </c>
      <c r="Q1348" s="27">
        <v>26</v>
      </c>
      <c r="R1348" s="27">
        <v>25</v>
      </c>
      <c r="S1348" s="27" t="s">
        <v>3902</v>
      </c>
      <c r="T1348" s="27"/>
      <c r="U1348" s="27">
        <v>5247</v>
      </c>
      <c r="V1348" s="27" t="s">
        <v>2668</v>
      </c>
      <c r="W1348" s="27" t="s">
        <v>2669</v>
      </c>
      <c r="X1348" s="128" t="s">
        <v>3845</v>
      </c>
      <c r="Y1348" s="73" t="str">
        <f>VLOOKUP(X1348,Choferes!$B$3:C427,2,FALSE)</f>
        <v>+5555997005936</v>
      </c>
      <c r="Z1348" s="73" t="s">
        <v>3903</v>
      </c>
    </row>
    <row r="1349" spans="1:26" hidden="1" x14ac:dyDescent="0.25">
      <c r="A1349" s="33">
        <v>21</v>
      </c>
      <c r="B1349" s="71" t="s">
        <v>29</v>
      </c>
      <c r="C1349" s="39" t="s">
        <v>3814</v>
      </c>
      <c r="D1349" s="106" t="s">
        <v>110</v>
      </c>
      <c r="E1349" s="47">
        <v>45800</v>
      </c>
      <c r="F1349" s="31" t="str">
        <f>VLOOKUP($C1349,Carpetas!$C$5:$M$2666,2,FALSE)</f>
        <v>BRB051</v>
      </c>
      <c r="G1349" s="23" t="str">
        <f>VLOOKUP($C1349,Carpetas!$C$5:$M$2666,10,FALSE)</f>
        <v>152,49,27</v>
      </c>
      <c r="H1349" s="27" t="str">
        <f>VLOOKUP($C1349,Carpetas!$C$5:$M$2666,6,FALSE)</f>
        <v xml:space="preserve">Silvio </v>
      </c>
      <c r="I1349" s="220"/>
      <c r="J1349" s="47">
        <f>E1349+3</f>
        <v>45803</v>
      </c>
      <c r="K1349" s="72" t="str">
        <f>VLOOKUP($C1349,Carpetas!$C$5:$M$2666,5,FALSE)</f>
        <v>Chuy</v>
      </c>
      <c r="L1349" s="32"/>
      <c r="M1349" s="48">
        <f t="shared" si="88"/>
        <v>45804</v>
      </c>
      <c r="N1349" s="26">
        <f t="shared" si="86"/>
        <v>4</v>
      </c>
      <c r="O1349" s="27">
        <v>918</v>
      </c>
      <c r="P1349" s="27">
        <v>919</v>
      </c>
      <c r="Q1349" s="27">
        <v>26</v>
      </c>
      <c r="R1349" s="27">
        <v>25</v>
      </c>
      <c r="S1349" s="27" t="s">
        <v>2072</v>
      </c>
      <c r="T1349" s="27"/>
      <c r="U1349" s="27"/>
      <c r="V1349" s="27" t="s">
        <v>3904</v>
      </c>
      <c r="W1349" s="27" t="s">
        <v>3905</v>
      </c>
      <c r="X1349" s="128"/>
      <c r="Y1349" s="73" t="e">
        <f>VLOOKUP(X1349,Choferes!$B$3:C425,2,FALSE)</f>
        <v>#N/A</v>
      </c>
      <c r="Z1349" s="73" t="s">
        <v>3906</v>
      </c>
    </row>
    <row r="1350" spans="1:26" hidden="1" x14ac:dyDescent="0.25">
      <c r="A1350" s="33">
        <v>21</v>
      </c>
      <c r="B1350" s="71" t="s">
        <v>29</v>
      </c>
      <c r="C1350" s="39" t="s">
        <v>3878</v>
      </c>
      <c r="D1350" s="106" t="s">
        <v>249</v>
      </c>
      <c r="E1350" s="47">
        <v>45800</v>
      </c>
      <c r="F1350" s="31" t="str">
        <f>VLOOKUP($C1350,Carpetas!$C$5:$M$2666,2,FALSE)</f>
        <v>BRB057</v>
      </c>
      <c r="G1350" s="23" t="str">
        <f>VLOOKUP($C1350,Carpetas!$C$5:$M$2666,10,FALSE)</f>
        <v>152,60,15</v>
      </c>
      <c r="H1350" s="27" t="str">
        <f>VLOOKUP($C1350,Carpetas!$C$5:$M$2666,6,FALSE)</f>
        <v>FG</v>
      </c>
      <c r="I1350" s="220"/>
      <c r="J1350" s="47">
        <f>E1350+3</f>
        <v>45803</v>
      </c>
      <c r="K1350" s="72" t="str">
        <f>VLOOKUP($C1350,Carpetas!$C$5:$M$2666,5,FALSE)</f>
        <v>Rio Branco</v>
      </c>
      <c r="L1350" s="32"/>
      <c r="M1350" s="48">
        <f t="shared" si="88"/>
        <v>45804</v>
      </c>
      <c r="N1350" s="26">
        <f t="shared" si="86"/>
        <v>4</v>
      </c>
      <c r="O1350" s="27">
        <v>990</v>
      </c>
      <c r="P1350" s="27">
        <v>990</v>
      </c>
      <c r="Q1350" s="27">
        <v>28</v>
      </c>
      <c r="R1350" s="27">
        <v>26</v>
      </c>
      <c r="S1350" s="27" t="s">
        <v>3907</v>
      </c>
      <c r="T1350" s="27"/>
      <c r="U1350" s="27">
        <v>849</v>
      </c>
      <c r="V1350" s="27" t="s">
        <v>1630</v>
      </c>
      <c r="W1350" s="27" t="s">
        <v>1934</v>
      </c>
      <c r="X1350" s="128" t="s">
        <v>1935</v>
      </c>
      <c r="Y1350" s="73" t="str">
        <f>VLOOKUP(X1350,Choferes!$B$3:C430,2,FALSE)</f>
        <v>+5554984377792</v>
      </c>
      <c r="Z1350" s="73" t="s">
        <v>3908</v>
      </c>
    </row>
    <row r="1351" spans="1:26" hidden="1" x14ac:dyDescent="0.25">
      <c r="A1351" s="33">
        <v>21</v>
      </c>
      <c r="B1351" s="71" t="s">
        <v>29</v>
      </c>
      <c r="C1351" s="39" t="s">
        <v>3878</v>
      </c>
      <c r="D1351" s="106" t="s">
        <v>747</v>
      </c>
      <c r="E1351" s="47">
        <v>45800</v>
      </c>
      <c r="F1351" s="31" t="str">
        <f>VLOOKUP($C1351,Carpetas!$C$5:$M$2666,2,FALSE)</f>
        <v>BRB057</v>
      </c>
      <c r="G1351" s="23" t="str">
        <f>VLOOKUP($C1351,Carpetas!$C$5:$M$2666,10,FALSE)</f>
        <v>152,60,15</v>
      </c>
      <c r="H1351" s="27" t="str">
        <f>VLOOKUP($C1351,Carpetas!$C$5:$M$2666,6,FALSE)</f>
        <v>FG</v>
      </c>
      <c r="I1351" s="220"/>
      <c r="J1351" s="47">
        <f>E1351+3</f>
        <v>45803</v>
      </c>
      <c r="K1351" s="72" t="str">
        <f>VLOOKUP($C1351,Carpetas!$C$5:$M$2666,5,FALSE)</f>
        <v>Rio Branco</v>
      </c>
      <c r="L1351" s="32"/>
      <c r="M1351" s="48">
        <f t="shared" si="88"/>
        <v>45804</v>
      </c>
      <c r="N1351" s="26">
        <f t="shared" si="86"/>
        <v>4</v>
      </c>
      <c r="O1351" s="27">
        <v>990</v>
      </c>
      <c r="P1351" s="27">
        <v>991</v>
      </c>
      <c r="Q1351" s="27">
        <v>28</v>
      </c>
      <c r="R1351" s="27">
        <v>26</v>
      </c>
      <c r="S1351" s="27" t="s">
        <v>3909</v>
      </c>
      <c r="T1351" s="27"/>
      <c r="U1351" s="27">
        <v>850</v>
      </c>
      <c r="V1351" s="27" t="s">
        <v>3669</v>
      </c>
      <c r="W1351" s="27" t="s">
        <v>912</v>
      </c>
      <c r="X1351" s="128" t="s">
        <v>2336</v>
      </c>
      <c r="Y1351" s="73" t="str">
        <f>VLOOKUP(X1351,Choferes!$B$3:C431,2,FALSE)</f>
        <v>+5553984414060</v>
      </c>
      <c r="Z1351" s="73" t="s">
        <v>3910</v>
      </c>
    </row>
    <row r="1352" spans="1:26" hidden="1" x14ac:dyDescent="0.25">
      <c r="A1352" s="33">
        <v>21</v>
      </c>
      <c r="B1352" s="71" t="s">
        <v>29</v>
      </c>
      <c r="C1352" s="39" t="s">
        <v>3878</v>
      </c>
      <c r="D1352" s="106" t="s">
        <v>747</v>
      </c>
      <c r="E1352" s="47">
        <v>45801</v>
      </c>
      <c r="F1352" s="31" t="str">
        <f>VLOOKUP($C1352,Carpetas!$C$5:$M$2666,2,FALSE)</f>
        <v>BRB057</v>
      </c>
      <c r="G1352" s="23" t="str">
        <f>VLOOKUP($C1352,Carpetas!$C$5:$M$2666,10,FALSE)</f>
        <v>152,60,15</v>
      </c>
      <c r="H1352" s="27" t="str">
        <f>VLOOKUP($C1352,Carpetas!$C$5:$M$2666,6,FALSE)</f>
        <v>FG</v>
      </c>
      <c r="I1352" s="220"/>
      <c r="J1352" s="47">
        <f>E1352+2</f>
        <v>45803</v>
      </c>
      <c r="K1352" s="72" t="str">
        <f>VLOOKUP($C1352,Carpetas!$C$5:$M$2666,5,FALSE)</f>
        <v>Rio Branco</v>
      </c>
      <c r="L1352" s="32"/>
      <c r="M1352" s="48">
        <f t="shared" si="88"/>
        <v>45804</v>
      </c>
      <c r="N1352" s="26">
        <f t="shared" si="86"/>
        <v>3</v>
      </c>
      <c r="O1352" s="27">
        <v>990</v>
      </c>
      <c r="P1352" s="27">
        <v>991</v>
      </c>
      <c r="Q1352" s="27">
        <v>28</v>
      </c>
      <c r="R1352" s="27">
        <v>26</v>
      </c>
      <c r="S1352" s="27" t="s">
        <v>3911</v>
      </c>
      <c r="T1352" s="27"/>
      <c r="U1352" s="27">
        <v>851</v>
      </c>
      <c r="V1352" s="27" t="s">
        <v>1645</v>
      </c>
      <c r="W1352" s="27" t="s">
        <v>1631</v>
      </c>
      <c r="X1352" s="128" t="s">
        <v>3808</v>
      </c>
      <c r="Y1352" s="73" t="str">
        <f>VLOOKUP(X1352,Choferes!$B$3:C434,2,FALSE)</f>
        <v>+55 53 8412-9466</v>
      </c>
      <c r="Z1352" s="73" t="s">
        <v>3910</v>
      </c>
    </row>
    <row r="1353" spans="1:26" hidden="1" x14ac:dyDescent="0.25">
      <c r="A1353" s="33">
        <v>21</v>
      </c>
      <c r="B1353" s="71" t="s">
        <v>29</v>
      </c>
      <c r="C1353" s="39" t="s">
        <v>3878</v>
      </c>
      <c r="D1353" s="106" t="s">
        <v>78</v>
      </c>
      <c r="E1353" s="47">
        <v>45801</v>
      </c>
      <c r="F1353" s="31" t="str">
        <f>VLOOKUP($C1353,Carpetas!$C$5:$M$2666,2,FALSE)</f>
        <v>BRB057</v>
      </c>
      <c r="G1353" s="23" t="str">
        <f>VLOOKUP($C1353,Carpetas!$C$5:$M$2666,10,FALSE)</f>
        <v>152,60,15</v>
      </c>
      <c r="H1353" s="27" t="str">
        <f>VLOOKUP($C1353,Carpetas!$C$5:$M$2666,6,FALSE)</f>
        <v>FG</v>
      </c>
      <c r="I1353" s="220"/>
      <c r="J1353" s="47">
        <f>E1353+2</f>
        <v>45803</v>
      </c>
      <c r="K1353" s="72" t="str">
        <f>VLOOKUP($C1353,Carpetas!$C$5:$M$2666,5,FALSE)</f>
        <v>Rio Branco</v>
      </c>
      <c r="L1353" s="32"/>
      <c r="M1353" s="48">
        <f t="shared" si="88"/>
        <v>45804</v>
      </c>
      <c r="N1353" s="26">
        <f t="shared" si="86"/>
        <v>3</v>
      </c>
      <c r="O1353" s="27">
        <v>990</v>
      </c>
      <c r="P1353" s="27">
        <v>990</v>
      </c>
      <c r="Q1353" s="27">
        <v>28</v>
      </c>
      <c r="R1353" s="27">
        <v>26</v>
      </c>
      <c r="S1353" s="27" t="s">
        <v>731</v>
      </c>
      <c r="T1353" s="27"/>
      <c r="U1353" s="27">
        <v>852</v>
      </c>
      <c r="V1353" s="27" t="s">
        <v>3192</v>
      </c>
      <c r="W1353" s="27" t="s">
        <v>3193</v>
      </c>
      <c r="X1353" s="128" t="s">
        <v>1534</v>
      </c>
      <c r="Y1353" s="73" t="str">
        <f>VLOOKUP(X1353,Choferes!$B$3:C435,2,FALSE)</f>
        <v>+5553999520871</v>
      </c>
      <c r="Z1353" s="73" t="s">
        <v>3912</v>
      </c>
    </row>
    <row r="1354" spans="1:26" ht="30" hidden="1" x14ac:dyDescent="0.25">
      <c r="A1354" s="33">
        <v>21</v>
      </c>
      <c r="B1354" s="71" t="s">
        <v>29</v>
      </c>
      <c r="C1354" s="39" t="s">
        <v>3804</v>
      </c>
      <c r="D1354" s="106" t="s">
        <v>2474</v>
      </c>
      <c r="E1354" s="47">
        <v>45801</v>
      </c>
      <c r="F1354" s="31" t="str">
        <f>VLOOKUP($C1354,Carpetas!$C$5:$M$2666,2,FALSE)</f>
        <v>BRB052</v>
      </c>
      <c r="G1354" s="23" t="str">
        <f>VLOOKUP($C1354,Carpetas!$C$5:$M$2666,10,FALSE)</f>
        <v>152,47,83</v>
      </c>
      <c r="H1354" s="27" t="str">
        <f>VLOOKUP($C1354,Carpetas!$C$5:$M$2666,6,FALSE)</f>
        <v>Gral</v>
      </c>
      <c r="I1354" s="220"/>
      <c r="J1354" s="47">
        <f>E1354+2</f>
        <v>45803</v>
      </c>
      <c r="K1354" s="72" t="str">
        <f>VLOOKUP($C1354,Carpetas!$C$5:$M$2666,5,FALSE)</f>
        <v>Rio Branco</v>
      </c>
      <c r="L1354" s="32"/>
      <c r="M1354" s="48">
        <f t="shared" si="88"/>
        <v>45804</v>
      </c>
      <c r="N1354" s="26">
        <f t="shared" si="86"/>
        <v>3</v>
      </c>
      <c r="O1354" s="27">
        <v>918</v>
      </c>
      <c r="P1354" s="27">
        <v>918</v>
      </c>
      <c r="Q1354" s="27">
        <v>26</v>
      </c>
      <c r="R1354" s="27">
        <v>25</v>
      </c>
      <c r="S1354" s="27" t="s">
        <v>3913</v>
      </c>
      <c r="T1354" s="27"/>
      <c r="U1354" s="27">
        <v>7362</v>
      </c>
      <c r="V1354" s="27" t="s">
        <v>3914</v>
      </c>
      <c r="W1354" s="27" t="s">
        <v>3915</v>
      </c>
      <c r="X1354" s="128" t="s">
        <v>3916</v>
      </c>
      <c r="Y1354" s="73" t="str">
        <f>VLOOKUP(X1354,Choferes!$B$3:C439,2,FALSE)</f>
        <v>+55 49 8837-5440</v>
      </c>
      <c r="Z1354" s="73" t="s">
        <v>3917</v>
      </c>
    </row>
    <row r="1355" spans="1:26" hidden="1" x14ac:dyDescent="0.25">
      <c r="A1355" s="33">
        <v>21</v>
      </c>
      <c r="B1355" s="71" t="s">
        <v>29</v>
      </c>
      <c r="C1355" s="39" t="s">
        <v>3867</v>
      </c>
      <c r="D1355" s="106" t="s">
        <v>2474</v>
      </c>
      <c r="E1355" s="47">
        <v>45800</v>
      </c>
      <c r="F1355" s="31" t="str">
        <f>VLOOKUP($C1355,Carpetas!$C$5:$M$2666,2,FALSE)</f>
        <v>BRB056</v>
      </c>
      <c r="G1355" s="23" t="str">
        <f>VLOOKUP($C1355,Carpetas!$C$5:$M$2666,10,FALSE)</f>
        <v>152,58,53</v>
      </c>
      <c r="H1355" s="27" t="str">
        <f>VLOOKUP($C1355,Carpetas!$C$5:$M$2666,6,FALSE)</f>
        <v>Zanini</v>
      </c>
      <c r="I1355" s="220"/>
      <c r="J1355" s="47">
        <f>E1355+4</f>
        <v>45804</v>
      </c>
      <c r="K1355" s="72" t="str">
        <f>VLOOKUP($C1355,Carpetas!$C$5:$M$2666,5,FALSE)</f>
        <v>Rio Branco</v>
      </c>
      <c r="L1355" s="32"/>
      <c r="M1355" s="48">
        <f t="shared" si="88"/>
        <v>45805</v>
      </c>
      <c r="N1355" s="26">
        <f t="shared" si="86"/>
        <v>5</v>
      </c>
      <c r="O1355" s="27">
        <v>918</v>
      </c>
      <c r="P1355" s="27">
        <v>918</v>
      </c>
      <c r="Q1355" s="27">
        <v>26</v>
      </c>
      <c r="R1355" s="27">
        <v>25</v>
      </c>
      <c r="S1355" s="27" t="s">
        <v>3918</v>
      </c>
      <c r="T1355" s="27"/>
      <c r="U1355" s="27">
        <v>5260</v>
      </c>
      <c r="V1355" s="27" t="s">
        <v>3525</v>
      </c>
      <c r="W1355" s="27" t="s">
        <v>3526</v>
      </c>
      <c r="X1355" s="128" t="s">
        <v>3527</v>
      </c>
      <c r="Y1355" s="73" t="str">
        <f>VLOOKUP(X1355,Choferes!$B$3:C428,2,FALSE)</f>
        <v>+5549999311377</v>
      </c>
      <c r="Z1355" s="73" t="s">
        <v>3919</v>
      </c>
    </row>
    <row r="1356" spans="1:26" hidden="1" x14ac:dyDescent="0.25">
      <c r="A1356" s="33">
        <v>22</v>
      </c>
      <c r="B1356" s="71" t="s">
        <v>29</v>
      </c>
      <c r="C1356" s="39" t="s">
        <v>3878</v>
      </c>
      <c r="D1356" s="106" t="s">
        <v>803</v>
      </c>
      <c r="E1356" s="47">
        <v>45803</v>
      </c>
      <c r="F1356" s="31" t="str">
        <f>VLOOKUP($C1356,Carpetas!$C$5:$M$2666,2,FALSE)</f>
        <v>BRB057</v>
      </c>
      <c r="G1356" s="23" t="str">
        <f>VLOOKUP($C1356,Carpetas!$C$5:$M$2666,10,FALSE)</f>
        <v>152,60,15</v>
      </c>
      <c r="H1356" s="27" t="str">
        <f>VLOOKUP($C1356,Carpetas!$C$5:$M$2666,6,FALSE)</f>
        <v>FG</v>
      </c>
      <c r="I1356" s="220"/>
      <c r="J1356" s="47">
        <f>E1356+1</f>
        <v>45804</v>
      </c>
      <c r="K1356" s="72" t="str">
        <f>VLOOKUP($C1356,Carpetas!$C$5:$M$2666,5,FALSE)</f>
        <v>Rio Branco</v>
      </c>
      <c r="L1356" s="32"/>
      <c r="M1356" s="48">
        <f t="shared" si="88"/>
        <v>45805</v>
      </c>
      <c r="N1356" s="26">
        <f t="shared" si="86"/>
        <v>2</v>
      </c>
      <c r="O1356" s="27">
        <v>990</v>
      </c>
      <c r="P1356" s="27">
        <v>990</v>
      </c>
      <c r="Q1356" s="27">
        <v>28</v>
      </c>
      <c r="R1356" s="27">
        <v>26</v>
      </c>
      <c r="S1356" s="27" t="s">
        <v>3920</v>
      </c>
      <c r="T1356" s="27"/>
      <c r="U1356" s="27">
        <v>853</v>
      </c>
      <c r="V1356" s="27" t="s">
        <v>1649</v>
      </c>
      <c r="W1356" s="27" t="s">
        <v>1650</v>
      </c>
      <c r="X1356" s="128" t="s">
        <v>1462</v>
      </c>
      <c r="Y1356" s="73" t="str">
        <f>VLOOKUP(X1356,Choferes!$B$3:C430,2,FALSE)</f>
        <v>+5553997081676</v>
      </c>
      <c r="Z1356" s="73" t="s">
        <v>3921</v>
      </c>
    </row>
    <row r="1357" spans="1:26" hidden="1" x14ac:dyDescent="0.25">
      <c r="A1357" s="33">
        <v>22</v>
      </c>
      <c r="B1357" s="71" t="s">
        <v>29</v>
      </c>
      <c r="C1357" s="39" t="s">
        <v>3867</v>
      </c>
      <c r="D1357" s="106" t="s">
        <v>110</v>
      </c>
      <c r="E1357" s="47">
        <v>45804</v>
      </c>
      <c r="F1357" s="31" t="str">
        <f>VLOOKUP($C1357,Carpetas!$C$5:$M$2666,2,FALSE)</f>
        <v>BRB056</v>
      </c>
      <c r="G1357" s="23" t="str">
        <f>VLOOKUP($C1357,Carpetas!$C$5:$M$2666,10,FALSE)</f>
        <v>152,58,53</v>
      </c>
      <c r="H1357" s="27" t="str">
        <f>VLOOKUP($C1357,Carpetas!$C$5:$M$2666,6,FALSE)</f>
        <v>Zanini</v>
      </c>
      <c r="I1357" s="220"/>
      <c r="J1357" s="47">
        <v>45805</v>
      </c>
      <c r="K1357" s="72" t="str">
        <f>VLOOKUP($C1357,Carpetas!$C$5:$M$2666,5,FALSE)</f>
        <v>Rio Branco</v>
      </c>
      <c r="L1357" s="32"/>
      <c r="M1357" s="48">
        <f t="shared" si="88"/>
        <v>45806</v>
      </c>
      <c r="N1357" s="26">
        <f t="shared" si="86"/>
        <v>2</v>
      </c>
      <c r="O1357" s="27">
        <v>918</v>
      </c>
      <c r="P1357" s="27">
        <v>919</v>
      </c>
      <c r="Q1357" s="27">
        <v>26</v>
      </c>
      <c r="R1357" s="27">
        <v>25</v>
      </c>
      <c r="S1357" s="27" t="s">
        <v>2116</v>
      </c>
      <c r="T1357" s="27"/>
      <c r="U1357" s="27">
        <v>5266</v>
      </c>
      <c r="V1357" s="27" t="s">
        <v>3922</v>
      </c>
      <c r="W1357" s="27" t="s">
        <v>3923</v>
      </c>
      <c r="X1357" s="128" t="s">
        <v>3924</v>
      </c>
      <c r="Y1357" s="73" t="str">
        <f>VLOOKUP(X1357,Choferes!$B$3:C428,2,FALSE)</f>
        <v>+5549998164474</v>
      </c>
      <c r="Z1357" s="73" t="s">
        <v>3925</v>
      </c>
    </row>
    <row r="1358" spans="1:26" hidden="1" x14ac:dyDescent="0.25">
      <c r="A1358" s="33">
        <v>22</v>
      </c>
      <c r="B1358" s="71" t="s">
        <v>29</v>
      </c>
      <c r="C1358" s="39" t="s">
        <v>3926</v>
      </c>
      <c r="D1358" s="106" t="s">
        <v>3927</v>
      </c>
      <c r="E1358" s="47">
        <v>45801</v>
      </c>
      <c r="F1358" s="31" t="str">
        <f>VLOOKUP($C1358,Carpetas!$C$5:$M$2666,2,FALSE)</f>
        <v>BRB060</v>
      </c>
      <c r="G1358" s="23" t="str">
        <f>VLOOKUP($C1358,Carpetas!$C$5:$M$2666,10,FALSE)</f>
        <v>152,61,49</v>
      </c>
      <c r="H1358" s="27" t="str">
        <f>VLOOKUP($C1358,Carpetas!$C$5:$M$2666,6,FALSE)</f>
        <v>Zanini</v>
      </c>
      <c r="I1358" s="220"/>
      <c r="J1358" s="47">
        <v>45805</v>
      </c>
      <c r="K1358" s="72" t="str">
        <f>VLOOKUP($C1358,Carpetas!$C$5:$M$2666,5,FALSE)</f>
        <v>Chuy</v>
      </c>
      <c r="L1358" s="32"/>
      <c r="M1358" s="48">
        <v>45807</v>
      </c>
      <c r="N1358" s="26">
        <f t="shared" si="86"/>
        <v>6</v>
      </c>
      <c r="O1358" s="27">
        <v>1008</v>
      </c>
      <c r="P1358" s="27">
        <v>1004</v>
      </c>
      <c r="Q1358" s="27">
        <v>24</v>
      </c>
      <c r="R1358" s="27">
        <v>24</v>
      </c>
      <c r="S1358" s="27" t="s">
        <v>3928</v>
      </c>
      <c r="T1358" s="27"/>
      <c r="U1358" s="27"/>
      <c r="V1358" s="27" t="s">
        <v>3929</v>
      </c>
      <c r="W1358" s="27" t="s">
        <v>3930</v>
      </c>
      <c r="X1358" s="128"/>
      <c r="Y1358" s="73" t="e">
        <f>VLOOKUP(X1358,Choferes!$B$3:C440,2,FALSE)</f>
        <v>#N/A</v>
      </c>
      <c r="Z1358" s="73" t="s">
        <v>3931</v>
      </c>
    </row>
    <row r="1359" spans="1:26" hidden="1" x14ac:dyDescent="0.25">
      <c r="A1359" s="33">
        <v>22</v>
      </c>
      <c r="B1359" s="71" t="s">
        <v>29</v>
      </c>
      <c r="C1359" s="39" t="s">
        <v>3932</v>
      </c>
      <c r="D1359" s="106" t="s">
        <v>2474</v>
      </c>
      <c r="E1359" s="47">
        <v>45803</v>
      </c>
      <c r="F1359" s="31" t="str">
        <f>VLOOKUP($C1359,Carpetas!$C$5:$M$2666,2,FALSE)</f>
        <v>BRB059</v>
      </c>
      <c r="G1359" s="23" t="str">
        <f>VLOOKUP($C1359,Carpetas!$C$5:$M$2666,10,FALSE)</f>
        <v>152,65,78</v>
      </c>
      <c r="H1359" s="27" t="str">
        <f>VLOOKUP($C1359,Carpetas!$C$5:$M$2666,6,FALSE)</f>
        <v>Silvio</v>
      </c>
      <c r="I1359" s="220"/>
      <c r="J1359" s="47">
        <f>E1359+2</f>
        <v>45805</v>
      </c>
      <c r="K1359" s="72" t="str">
        <f>VLOOKUP($C1359,Carpetas!$C$5:$M$2666,5,FALSE)</f>
        <v>Rio Branco</v>
      </c>
      <c r="L1359" s="32"/>
      <c r="M1359" s="48">
        <v>45807</v>
      </c>
      <c r="N1359" s="26">
        <f t="shared" si="86"/>
        <v>4</v>
      </c>
      <c r="O1359" s="27">
        <v>918</v>
      </c>
      <c r="P1359" s="27">
        <v>918</v>
      </c>
      <c r="Q1359" s="27">
        <v>26</v>
      </c>
      <c r="R1359" s="27">
        <v>25</v>
      </c>
      <c r="S1359" s="27" t="s">
        <v>3933</v>
      </c>
      <c r="T1359" s="27"/>
      <c r="U1359" s="27">
        <v>7419</v>
      </c>
      <c r="V1359" s="27" t="s">
        <v>611</v>
      </c>
      <c r="W1359" s="27" t="s">
        <v>612</v>
      </c>
      <c r="X1359" s="128" t="s">
        <v>3934</v>
      </c>
      <c r="Y1359" s="73" t="str">
        <f>VLOOKUP(X1359,Choferes!$B$3:C426,2,FALSE)</f>
        <v>+5546988068113</v>
      </c>
      <c r="Z1359" s="73" t="s">
        <v>3935</v>
      </c>
    </row>
    <row r="1360" spans="1:26" hidden="1" x14ac:dyDescent="0.25">
      <c r="A1360" s="33">
        <v>22</v>
      </c>
      <c r="B1360" s="71" t="s">
        <v>29</v>
      </c>
      <c r="C1360" s="39" t="s">
        <v>3936</v>
      </c>
      <c r="D1360" s="106" t="s">
        <v>747</v>
      </c>
      <c r="E1360" s="47">
        <v>45803</v>
      </c>
      <c r="F1360" s="31" t="str">
        <f>VLOOKUP($C1360,Carpetas!$C$5:$M$2666,2,FALSE)</f>
        <v>BRB058</v>
      </c>
      <c r="G1360" s="23" t="str">
        <f>VLOOKUP($C1360,Carpetas!$C$5:$M$2666,10,FALSE)</f>
        <v>152,65,76</v>
      </c>
      <c r="H1360" s="27" t="str">
        <f>VLOOKUP($C1360,Carpetas!$C$5:$M$2666,6,FALSE)</f>
        <v>FG</v>
      </c>
      <c r="I1360" s="220"/>
      <c r="J1360" s="47">
        <f>E1360+2</f>
        <v>45805</v>
      </c>
      <c r="K1360" s="72" t="str">
        <f>VLOOKUP($C1360,Carpetas!$C$5:$M$2666,5,FALSE)</f>
        <v>Rio Branco</v>
      </c>
      <c r="L1360" s="32"/>
      <c r="M1360" s="48">
        <v>45807</v>
      </c>
      <c r="N1360" s="26">
        <f t="shared" si="86"/>
        <v>4</v>
      </c>
      <c r="O1360" s="27">
        <v>990</v>
      </c>
      <c r="P1360" s="27">
        <v>990</v>
      </c>
      <c r="Q1360" s="27">
        <v>28</v>
      </c>
      <c r="R1360" s="27">
        <v>26</v>
      </c>
      <c r="S1360" s="27" t="s">
        <v>3937</v>
      </c>
      <c r="T1360" s="27"/>
      <c r="U1360" s="27">
        <v>855</v>
      </c>
      <c r="V1360" s="27" t="s">
        <v>1430</v>
      </c>
      <c r="W1360" s="27" t="s">
        <v>1669</v>
      </c>
      <c r="X1360" s="128" t="s">
        <v>1923</v>
      </c>
      <c r="Y1360" s="73" t="str">
        <f>VLOOKUP(X1360,Choferes!$B$3:C431,2,FALSE)</f>
        <v>+5553999049426</v>
      </c>
      <c r="Z1360" s="73" t="s">
        <v>3938</v>
      </c>
    </row>
    <row r="1361" spans="1:26" hidden="1" x14ac:dyDescent="0.25">
      <c r="A1361" s="33">
        <v>21</v>
      </c>
      <c r="B1361" s="71" t="s">
        <v>29</v>
      </c>
      <c r="C1361" s="39" t="s">
        <v>3939</v>
      </c>
      <c r="D1361" s="106" t="s">
        <v>38</v>
      </c>
      <c r="E1361" s="47">
        <v>45800</v>
      </c>
      <c r="F1361" s="31" t="str">
        <f>VLOOKUP($C1361,Carpetas!$C$5:$M$2666,2,FALSE)</f>
        <v>BRE017</v>
      </c>
      <c r="G1361" s="23">
        <f>VLOOKUP($C1361,Carpetas!$C$5:$M$2666,10,FALSE)</f>
        <v>0</v>
      </c>
      <c r="H1361" s="27" t="str">
        <f>VLOOKUP($C1361,Carpetas!$C$5:$M$2666,6,FALSE)</f>
        <v xml:space="preserve">Silvio </v>
      </c>
      <c r="I1361" s="220">
        <f>VLOOKUP($C1361,Carpetas!$C$5:$M$2666,4,FALSE)</f>
        <v>0</v>
      </c>
      <c r="J1361" s="47">
        <v>45806</v>
      </c>
      <c r="K1361" s="72" t="str">
        <f>VLOOKUP($C1361,Carpetas!$C$5:$M$2666,5,FALSE)</f>
        <v>Chuy</v>
      </c>
      <c r="L1361" s="32"/>
      <c r="M1361" s="48">
        <f t="shared" ref="M1361:M1400" si="90">J1361+1</f>
        <v>45807</v>
      </c>
      <c r="N1361" s="26">
        <f t="shared" si="86"/>
        <v>7</v>
      </c>
      <c r="O1361" s="27">
        <v>1864</v>
      </c>
      <c r="P1361" s="27"/>
      <c r="Q1361" s="27"/>
      <c r="R1361" s="27"/>
      <c r="S1361" s="27"/>
      <c r="T1361" s="27"/>
      <c r="U1361" s="27"/>
      <c r="V1361" s="27" t="s">
        <v>3940</v>
      </c>
      <c r="W1361" s="27" t="s">
        <v>3941</v>
      </c>
      <c r="X1361" s="128"/>
      <c r="Y1361" s="73" t="e">
        <f>VLOOKUP(X1361,Choferes!$B$3:C426,2,FALSE)</f>
        <v>#N/A</v>
      </c>
      <c r="Z1361" s="73" t="s">
        <v>3942</v>
      </c>
    </row>
    <row r="1362" spans="1:26" hidden="1" x14ac:dyDescent="0.25">
      <c r="A1362" s="33">
        <v>22</v>
      </c>
      <c r="B1362" s="71" t="s">
        <v>29</v>
      </c>
      <c r="C1362" s="39" t="s">
        <v>3810</v>
      </c>
      <c r="D1362" s="106" t="s">
        <v>2202</v>
      </c>
      <c r="E1362" s="47">
        <v>45804</v>
      </c>
      <c r="F1362" s="31" t="str">
        <f>VLOOKUP($C1362,Carpetas!$C$5:$M$2666,2,FALSE)</f>
        <v>BRB054</v>
      </c>
      <c r="G1362" s="23" t="str">
        <f>VLOOKUP($C1362,Carpetas!$C$5:$M$2666,10,FALSE)</f>
        <v>152,53,39</v>
      </c>
      <c r="H1362" s="27" t="str">
        <f>VLOOKUP($C1362,Carpetas!$C$5:$M$2666,6,FALSE)</f>
        <v>Gral</v>
      </c>
      <c r="I1362" s="220"/>
      <c r="J1362" s="47">
        <f>E1362+2</f>
        <v>45806</v>
      </c>
      <c r="K1362" s="72" t="str">
        <f>VLOOKUP($C1362,Carpetas!$C$5:$M$2666,5,FALSE)</f>
        <v>Chuy</v>
      </c>
      <c r="L1362" s="32"/>
      <c r="M1362" s="48">
        <f t="shared" si="90"/>
        <v>45807</v>
      </c>
      <c r="N1362" s="26">
        <f t="shared" ref="N1362:N1425" si="91">IF(E1362&lt;&gt;"",M1362-E1362,"-")</f>
        <v>3</v>
      </c>
      <c r="O1362" s="27">
        <v>918</v>
      </c>
      <c r="P1362" s="27">
        <v>919</v>
      </c>
      <c r="Q1362" s="27">
        <v>26</v>
      </c>
      <c r="R1362" s="27">
        <v>25</v>
      </c>
      <c r="S1362" s="27" t="s">
        <v>2257</v>
      </c>
      <c r="T1362" s="27"/>
      <c r="U1362" s="27"/>
      <c r="V1362" s="27" t="s">
        <v>3943</v>
      </c>
      <c r="W1362" s="27" t="s">
        <v>3944</v>
      </c>
      <c r="X1362" s="128"/>
      <c r="Y1362" s="73" t="e">
        <f>VLOOKUP(X1362,Choferes!$B$3:C427,2,FALSE)</f>
        <v>#N/A</v>
      </c>
      <c r="Z1362" s="73" t="s">
        <v>3945</v>
      </c>
    </row>
    <row r="1363" spans="1:26" hidden="1" x14ac:dyDescent="0.25">
      <c r="A1363" s="33">
        <v>22</v>
      </c>
      <c r="B1363" s="71" t="s">
        <v>29</v>
      </c>
      <c r="C1363" s="39" t="s">
        <v>3936</v>
      </c>
      <c r="D1363" s="106" t="s">
        <v>2474</v>
      </c>
      <c r="E1363" s="47">
        <v>45804</v>
      </c>
      <c r="F1363" s="31" t="str">
        <f>VLOOKUP($C1363,Carpetas!$C$5:$M$2666,2,FALSE)</f>
        <v>BRB058</v>
      </c>
      <c r="G1363" s="23" t="str">
        <f>VLOOKUP($C1363,Carpetas!$C$5:$M$2666,10,FALSE)</f>
        <v>152,65,76</v>
      </c>
      <c r="H1363" s="27" t="str">
        <f>VLOOKUP($C1363,Carpetas!$C$5:$M$2666,6,FALSE)</f>
        <v>FG</v>
      </c>
      <c r="I1363" s="220"/>
      <c r="J1363" s="47">
        <f>E1363+2</f>
        <v>45806</v>
      </c>
      <c r="K1363" s="72" t="str">
        <f>VLOOKUP($C1363,Carpetas!$C$5:$M$2666,5,FALSE)</f>
        <v>Rio Branco</v>
      </c>
      <c r="L1363" s="32"/>
      <c r="M1363" s="48">
        <f t="shared" si="90"/>
        <v>45807</v>
      </c>
      <c r="N1363" s="26">
        <f t="shared" si="91"/>
        <v>3</v>
      </c>
      <c r="O1363" s="27">
        <v>990</v>
      </c>
      <c r="P1363" s="27">
        <v>990</v>
      </c>
      <c r="Q1363" s="27">
        <v>28</v>
      </c>
      <c r="R1363" s="27">
        <v>26</v>
      </c>
      <c r="S1363" s="27" t="s">
        <v>3946</v>
      </c>
      <c r="T1363" s="27"/>
      <c r="U1363" s="27">
        <v>857</v>
      </c>
      <c r="V1363" s="27" t="s">
        <v>1657</v>
      </c>
      <c r="W1363" s="27" t="s">
        <v>1815</v>
      </c>
      <c r="X1363" s="128" t="s">
        <v>1468</v>
      </c>
      <c r="Y1363" s="73" t="str">
        <f>VLOOKUP(X1363,Choferes!$B$3:C432,2,FALSE)</f>
        <v>+5553984274141</v>
      </c>
      <c r="Z1363" s="73" t="s">
        <v>3938</v>
      </c>
    </row>
    <row r="1364" spans="1:26" hidden="1" x14ac:dyDescent="0.25">
      <c r="A1364" s="33">
        <v>22</v>
      </c>
      <c r="B1364" s="71" t="s">
        <v>29</v>
      </c>
      <c r="C1364" s="39" t="s">
        <v>3936</v>
      </c>
      <c r="D1364" s="106" t="s">
        <v>78</v>
      </c>
      <c r="E1364" s="47">
        <v>45805</v>
      </c>
      <c r="F1364" s="31" t="str">
        <f>VLOOKUP($C1364,Carpetas!$C$5:$M$2666,2,FALSE)</f>
        <v>BRB058</v>
      </c>
      <c r="G1364" s="23" t="str">
        <f>VLOOKUP($C1364,Carpetas!$C$5:$M$2666,10,FALSE)</f>
        <v>152,65,76</v>
      </c>
      <c r="H1364" s="27" t="str">
        <f>VLOOKUP($C1364,Carpetas!$C$5:$M$2666,6,FALSE)</f>
        <v>FG</v>
      </c>
      <c r="I1364" s="220"/>
      <c r="J1364" s="47">
        <v>45806</v>
      </c>
      <c r="K1364" s="72" t="str">
        <f>VLOOKUP($C1364,Carpetas!$C$5:$M$2666,5,FALSE)</f>
        <v>Rio Branco</v>
      </c>
      <c r="L1364" s="32"/>
      <c r="M1364" s="48">
        <f t="shared" si="90"/>
        <v>45807</v>
      </c>
      <c r="N1364" s="26">
        <f t="shared" si="91"/>
        <v>2</v>
      </c>
      <c r="O1364" s="27">
        <v>990</v>
      </c>
      <c r="P1364" s="27">
        <v>990</v>
      </c>
      <c r="Q1364" s="27">
        <v>26</v>
      </c>
      <c r="R1364" s="27">
        <v>25</v>
      </c>
      <c r="S1364" s="27" t="s">
        <v>3947</v>
      </c>
      <c r="T1364" s="27"/>
      <c r="U1364" s="27">
        <v>860</v>
      </c>
      <c r="V1364" s="27" t="s">
        <v>3948</v>
      </c>
      <c r="W1364" s="27" t="s">
        <v>3949</v>
      </c>
      <c r="X1364" s="128" t="s">
        <v>3950</v>
      </c>
      <c r="Y1364" s="73" t="str">
        <f>VLOOKUP(X1364,Choferes!$B$3:C433,2,FALSE)</f>
        <v>+55 53 8478-6279</v>
      </c>
      <c r="Z1364" s="73"/>
    </row>
    <row r="1365" spans="1:26" hidden="1" x14ac:dyDescent="0.25">
      <c r="A1365" s="33">
        <v>21</v>
      </c>
      <c r="B1365" s="71" t="s">
        <v>29</v>
      </c>
      <c r="C1365" s="39" t="s">
        <v>3951</v>
      </c>
      <c r="D1365" s="106" t="s">
        <v>38</v>
      </c>
      <c r="E1365" s="47">
        <v>45800</v>
      </c>
      <c r="F1365" s="31" t="str">
        <f>VLOOKUP($C1365,Carpetas!$C$5:$M$2666,2,FALSE)</f>
        <v>BRE018</v>
      </c>
      <c r="G1365" s="23">
        <f>VLOOKUP($C1365,Carpetas!$C$5:$M$2666,10,FALSE)</f>
        <v>0</v>
      </c>
      <c r="H1365" s="27" t="str">
        <f>VLOOKUP($C1365,Carpetas!$C$5:$M$2666,6,FALSE)</f>
        <v xml:space="preserve">Silvio </v>
      </c>
      <c r="I1365" s="220">
        <f>VLOOKUP($C1365,Carpetas!$C$5:$M$2666,4,FALSE)</f>
        <v>0</v>
      </c>
      <c r="J1365" s="47">
        <f>E1365+7</f>
        <v>45807</v>
      </c>
      <c r="K1365" s="72" t="str">
        <f>VLOOKUP($C1365,Carpetas!$C$5:$M$2666,5,FALSE)</f>
        <v>Chuy</v>
      </c>
      <c r="L1365" s="32"/>
      <c r="M1365" s="48">
        <f t="shared" si="90"/>
        <v>45808</v>
      </c>
      <c r="N1365" s="26">
        <f t="shared" si="91"/>
        <v>8</v>
      </c>
      <c r="O1365" s="27">
        <v>2640</v>
      </c>
      <c r="P1365" s="27">
        <v>2639</v>
      </c>
      <c r="Q1365" s="27">
        <v>24</v>
      </c>
      <c r="R1365" s="27">
        <v>8</v>
      </c>
      <c r="S1365" s="27" t="s">
        <v>2042</v>
      </c>
      <c r="T1365" s="27"/>
      <c r="U1365" s="27"/>
      <c r="V1365" s="27" t="s">
        <v>3952</v>
      </c>
      <c r="W1365" s="27" t="s">
        <v>3953</v>
      </c>
      <c r="X1365" s="128"/>
      <c r="Y1365" s="73" t="e">
        <f>VLOOKUP(X1365,Choferes!$B$3:C438,2,FALSE)</f>
        <v>#N/A</v>
      </c>
      <c r="Z1365" s="73" t="s">
        <v>3954</v>
      </c>
    </row>
    <row r="1366" spans="1:26" hidden="1" x14ac:dyDescent="0.25">
      <c r="A1366" s="33">
        <v>22</v>
      </c>
      <c r="B1366" s="71" t="s">
        <v>29</v>
      </c>
      <c r="C1366" s="39" t="s">
        <v>3936</v>
      </c>
      <c r="D1366" s="106" t="s">
        <v>803</v>
      </c>
      <c r="E1366" s="47">
        <v>45805</v>
      </c>
      <c r="F1366" s="31" t="str">
        <f>VLOOKUP($C1366,Carpetas!$C$5:$M$2666,2,FALSE)</f>
        <v>BRB058</v>
      </c>
      <c r="G1366" s="23" t="str">
        <f>VLOOKUP($C1366,Carpetas!$C$5:$M$2666,10,FALSE)</f>
        <v>152,65,76</v>
      </c>
      <c r="H1366" s="27" t="str">
        <f>VLOOKUP($C1366,Carpetas!$C$5:$M$2666,6,FALSE)</f>
        <v>FG</v>
      </c>
      <c r="I1366" s="220"/>
      <c r="J1366" s="47">
        <f>E1366+2</f>
        <v>45807</v>
      </c>
      <c r="K1366" s="72" t="str">
        <f>VLOOKUP($C1366,Carpetas!$C$5:$M$2666,5,FALSE)</f>
        <v>Rio Branco</v>
      </c>
      <c r="L1366" s="32"/>
      <c r="M1366" s="48">
        <f t="shared" si="90"/>
        <v>45808</v>
      </c>
      <c r="N1366" s="26">
        <f t="shared" si="91"/>
        <v>3</v>
      </c>
      <c r="O1366" s="27">
        <v>990</v>
      </c>
      <c r="P1366" s="27">
        <v>989</v>
      </c>
      <c r="Q1366" s="27">
        <v>26</v>
      </c>
      <c r="R1366" s="27">
        <v>25</v>
      </c>
      <c r="S1366" s="27" t="s">
        <v>2098</v>
      </c>
      <c r="T1366" s="27"/>
      <c r="U1366" s="27">
        <v>861</v>
      </c>
      <c r="V1366" s="27" t="s">
        <v>3150</v>
      </c>
      <c r="W1366" s="27" t="s">
        <v>3140</v>
      </c>
      <c r="X1366" s="128" t="s">
        <v>3955</v>
      </c>
      <c r="Y1366" s="73" t="str">
        <f>VLOOKUP(X1366,Choferes!$B$3:C433,2,FALSE)</f>
        <v>+598 91 618 918</v>
      </c>
      <c r="Z1366" s="73" t="s">
        <v>3956</v>
      </c>
    </row>
    <row r="1367" spans="1:26" hidden="1" x14ac:dyDescent="0.25">
      <c r="A1367" s="33">
        <v>22</v>
      </c>
      <c r="B1367" s="71" t="s">
        <v>29</v>
      </c>
      <c r="C1367" s="39" t="s">
        <v>3936</v>
      </c>
      <c r="D1367" s="106" t="s">
        <v>747</v>
      </c>
      <c r="E1367" s="47">
        <v>45805</v>
      </c>
      <c r="F1367" s="31" t="str">
        <f>VLOOKUP($C1367,Carpetas!$C$5:$M$2666,2,FALSE)</f>
        <v>BRB058</v>
      </c>
      <c r="G1367" s="23" t="str">
        <f>VLOOKUP($C1367,Carpetas!$C$5:$M$2666,10,FALSE)</f>
        <v>152,65,76</v>
      </c>
      <c r="H1367" s="27" t="str">
        <f>VLOOKUP($C1367,Carpetas!$C$5:$M$2666,6,FALSE)</f>
        <v>FG</v>
      </c>
      <c r="I1367" s="220"/>
      <c r="J1367" s="47">
        <f>E1367+2</f>
        <v>45807</v>
      </c>
      <c r="K1367" s="72" t="str">
        <f>VLOOKUP($C1367,Carpetas!$C$5:$M$2666,5,FALSE)</f>
        <v>Rio Branco</v>
      </c>
      <c r="L1367" s="32"/>
      <c r="M1367" s="48">
        <f t="shared" si="90"/>
        <v>45808</v>
      </c>
      <c r="N1367" s="26">
        <f t="shared" si="91"/>
        <v>3</v>
      </c>
      <c r="O1367" s="27">
        <v>990</v>
      </c>
      <c r="P1367" s="27">
        <v>990</v>
      </c>
      <c r="Q1367" s="27">
        <v>28</v>
      </c>
      <c r="R1367" s="27">
        <v>26</v>
      </c>
      <c r="S1367" s="27" t="s">
        <v>3957</v>
      </c>
      <c r="T1367" s="27"/>
      <c r="U1367" s="27">
        <v>859</v>
      </c>
      <c r="V1367" s="27" t="s">
        <v>3411</v>
      </c>
      <c r="W1367" s="27" t="s">
        <v>3412</v>
      </c>
      <c r="X1367" s="128" t="s">
        <v>3559</v>
      </c>
      <c r="Y1367" s="73" t="str">
        <f>VLOOKUP(X1367,Choferes!$B$3:C434,2,FALSE)</f>
        <v>+55 53 9713-4372</v>
      </c>
      <c r="Z1367" s="73" t="s">
        <v>3938</v>
      </c>
    </row>
    <row r="1368" spans="1:26" hidden="1" x14ac:dyDescent="0.25">
      <c r="A1368" s="33">
        <v>22</v>
      </c>
      <c r="B1368" s="71" t="s">
        <v>29</v>
      </c>
      <c r="C1368" s="39" t="s">
        <v>3936</v>
      </c>
      <c r="D1368" s="106" t="s">
        <v>2474</v>
      </c>
      <c r="E1368" s="47">
        <v>45805</v>
      </c>
      <c r="F1368" s="31" t="str">
        <f>VLOOKUP($C1368,Carpetas!$C$5:$M$2666,2,FALSE)</f>
        <v>BRB058</v>
      </c>
      <c r="G1368" s="23" t="str">
        <f>VLOOKUP($C1368,Carpetas!$C$5:$M$2666,10,FALSE)</f>
        <v>152,65,76</v>
      </c>
      <c r="H1368" s="27" t="str">
        <f>VLOOKUP($C1368,Carpetas!$C$5:$M$2666,6,FALSE)</f>
        <v>FG</v>
      </c>
      <c r="I1368" s="220"/>
      <c r="J1368" s="47">
        <f>E1368+2</f>
        <v>45807</v>
      </c>
      <c r="K1368" s="72" t="str">
        <f>VLOOKUP($C1368,Carpetas!$C$5:$M$2666,5,FALSE)</f>
        <v>Rio Branco</v>
      </c>
      <c r="L1368" s="32"/>
      <c r="M1368" s="48">
        <f t="shared" si="90"/>
        <v>45808</v>
      </c>
      <c r="N1368" s="26">
        <f t="shared" si="91"/>
        <v>3</v>
      </c>
      <c r="O1368" s="27">
        <v>990</v>
      </c>
      <c r="P1368" s="27">
        <v>990</v>
      </c>
      <c r="Q1368" s="27">
        <v>28</v>
      </c>
      <c r="R1368" s="27">
        <v>25</v>
      </c>
      <c r="S1368" s="27" t="s">
        <v>3958</v>
      </c>
      <c r="T1368" s="27"/>
      <c r="U1368" s="27">
        <v>862</v>
      </c>
      <c r="V1368" s="27" t="s">
        <v>1626</v>
      </c>
      <c r="W1368" s="27" t="s">
        <v>1627</v>
      </c>
      <c r="X1368" s="128" t="s">
        <v>1489</v>
      </c>
      <c r="Y1368" s="73" t="str">
        <f>VLOOKUP(X1368,Choferes!$B$3:C435,2,FALSE)</f>
        <v>+5553984039582</v>
      </c>
      <c r="Z1368" s="73" t="s">
        <v>3959</v>
      </c>
    </row>
    <row r="1369" spans="1:26" hidden="1" x14ac:dyDescent="0.25">
      <c r="A1369" s="33">
        <v>22</v>
      </c>
      <c r="B1369" s="71" t="s">
        <v>29</v>
      </c>
      <c r="C1369" s="39" t="s">
        <v>3960</v>
      </c>
      <c r="D1369" s="106" t="s">
        <v>38</v>
      </c>
      <c r="E1369" s="47">
        <v>45806</v>
      </c>
      <c r="F1369" s="31" t="str">
        <f>VLOOKUP($C1369,Carpetas!$C$5:$M$2666,2,FALSE)</f>
        <v>BRE019</v>
      </c>
      <c r="G1369" s="23">
        <f>VLOOKUP($C1369,Carpetas!$C$5:$M$2666,10,FALSE)</f>
        <v>1526146</v>
      </c>
      <c r="H1369" s="27" t="str">
        <f>VLOOKUP($C1369,Carpetas!$C$5:$M$2666,6,FALSE)</f>
        <v xml:space="preserve">Silvio </v>
      </c>
      <c r="I1369" s="220">
        <f>VLOOKUP($C1369,Carpetas!$C$5:$M$2666,4,FALSE)</f>
        <v>0</v>
      </c>
      <c r="J1369" s="47">
        <f>E1369+4</f>
        <v>45810</v>
      </c>
      <c r="K1369" s="72" t="str">
        <f>VLOOKUP($C1369,Carpetas!$C$5:$M$2666,5,FALSE)</f>
        <v>Rio Branco</v>
      </c>
      <c r="L1369" s="32"/>
      <c r="M1369" s="48">
        <f t="shared" si="90"/>
        <v>45811</v>
      </c>
      <c r="N1369" s="26">
        <f t="shared" si="91"/>
        <v>5</v>
      </c>
      <c r="O1369" s="27">
        <v>1638</v>
      </c>
      <c r="P1369" s="27">
        <v>1638</v>
      </c>
      <c r="Q1369" s="27">
        <v>26</v>
      </c>
      <c r="R1369" s="27">
        <v>15</v>
      </c>
      <c r="S1369" s="27"/>
      <c r="T1369" s="27"/>
      <c r="U1369" s="27">
        <v>7428</v>
      </c>
      <c r="V1369" s="27" t="s">
        <v>3961</v>
      </c>
      <c r="W1369" s="27" t="s">
        <v>3962</v>
      </c>
      <c r="X1369" s="128" t="s">
        <v>3963</v>
      </c>
      <c r="Y1369" s="73" t="str">
        <f>VLOOKUP(X1369,Choferes!$B$3:C439,2,FALSE)</f>
        <v>+55 21 97022-8539</v>
      </c>
      <c r="Z1369" s="73" t="s">
        <v>3964</v>
      </c>
    </row>
    <row r="1370" spans="1:26" hidden="1" x14ac:dyDescent="0.25">
      <c r="A1370" s="33">
        <v>22</v>
      </c>
      <c r="B1370" s="71" t="s">
        <v>29</v>
      </c>
      <c r="C1370" s="39" t="s">
        <v>3867</v>
      </c>
      <c r="D1370" s="106" t="s">
        <v>110</v>
      </c>
      <c r="E1370" s="47">
        <v>45807</v>
      </c>
      <c r="F1370" s="31" t="str">
        <f>VLOOKUP($C1370,Carpetas!$C$5:$M$2666,2,FALSE)</f>
        <v>BRB056</v>
      </c>
      <c r="G1370" s="23" t="str">
        <f>VLOOKUP($C1370,Carpetas!$C$5:$M$2666,10,FALSE)</f>
        <v>152,58,53</v>
      </c>
      <c r="H1370" s="27" t="str">
        <f>VLOOKUP($C1370,Carpetas!$C$5:$M$2666,6,FALSE)</f>
        <v>Zanini</v>
      </c>
      <c r="I1370" s="220"/>
      <c r="J1370" s="47">
        <f>E1370+3</f>
        <v>45810</v>
      </c>
      <c r="K1370" s="72" t="str">
        <f>VLOOKUP($C1370,Carpetas!$C$5:$M$2666,5,FALSE)</f>
        <v>Rio Branco</v>
      </c>
      <c r="L1370" s="32"/>
      <c r="M1370" s="48">
        <f t="shared" si="90"/>
        <v>45811</v>
      </c>
      <c r="N1370" s="26">
        <f t="shared" si="91"/>
        <v>4</v>
      </c>
      <c r="O1370" s="27">
        <v>918</v>
      </c>
      <c r="P1370" s="27">
        <v>918</v>
      </c>
      <c r="Q1370" s="27">
        <v>26</v>
      </c>
      <c r="R1370" s="27">
        <v>25</v>
      </c>
      <c r="S1370" s="27" t="s">
        <v>2135</v>
      </c>
      <c r="T1370" s="27"/>
      <c r="U1370" s="27">
        <v>5275</v>
      </c>
      <c r="V1370" s="27" t="s">
        <v>553</v>
      </c>
      <c r="W1370" s="27" t="s">
        <v>554</v>
      </c>
      <c r="X1370" s="128" t="s">
        <v>3765</v>
      </c>
      <c r="Y1370" s="73" t="str">
        <f>VLOOKUP(X1370,Choferes!$B$3:C429,2,FALSE)</f>
        <v>+5555991627080</v>
      </c>
      <c r="Z1370" s="73" t="s">
        <v>3965</v>
      </c>
    </row>
    <row r="1371" spans="1:26" hidden="1" x14ac:dyDescent="0.25">
      <c r="A1371" s="33">
        <v>22</v>
      </c>
      <c r="B1371" s="71" t="s">
        <v>29</v>
      </c>
      <c r="C1371" s="39" t="s">
        <v>3936</v>
      </c>
      <c r="D1371" s="106" t="s">
        <v>249</v>
      </c>
      <c r="E1371" s="47">
        <v>45807</v>
      </c>
      <c r="F1371" s="31" t="str">
        <f>VLOOKUP($C1371,Carpetas!$C$5:$M$2666,2,FALSE)</f>
        <v>BRB058</v>
      </c>
      <c r="G1371" s="23" t="str">
        <f>VLOOKUP($C1371,Carpetas!$C$5:$M$2666,10,FALSE)</f>
        <v>152,65,76</v>
      </c>
      <c r="H1371" s="27" t="str">
        <f>VLOOKUP($C1371,Carpetas!$C$5:$M$2666,6,FALSE)</f>
        <v>FG</v>
      </c>
      <c r="I1371" s="220"/>
      <c r="J1371" s="47">
        <f>E1371+3</f>
        <v>45810</v>
      </c>
      <c r="K1371" s="72" t="str">
        <f>VLOOKUP($C1371,Carpetas!$C$5:$M$2666,5,FALSE)</f>
        <v>Rio Branco</v>
      </c>
      <c r="L1371" s="32"/>
      <c r="M1371" s="48">
        <f t="shared" si="90"/>
        <v>45811</v>
      </c>
      <c r="N1371" s="26">
        <f t="shared" si="91"/>
        <v>4</v>
      </c>
      <c r="O1371" s="27">
        <v>990</v>
      </c>
      <c r="P1371" s="27">
        <v>990</v>
      </c>
      <c r="Q1371" s="27">
        <v>28</v>
      </c>
      <c r="R1371" s="27">
        <v>26</v>
      </c>
      <c r="S1371" s="27" t="s">
        <v>3966</v>
      </c>
      <c r="T1371" s="27"/>
      <c r="U1371" s="27">
        <v>869</v>
      </c>
      <c r="V1371" s="27" t="s">
        <v>911</v>
      </c>
      <c r="W1371" s="27" t="s">
        <v>1622</v>
      </c>
      <c r="X1371" s="128" t="s">
        <v>1397</v>
      </c>
      <c r="Y1371" s="73" t="str">
        <f>VLOOKUP(X1371,Choferes!$B$3:C436,2,FALSE)</f>
        <v>+5551996322594</v>
      </c>
      <c r="Z1371" s="73" t="s">
        <v>3967</v>
      </c>
    </row>
    <row r="1372" spans="1:26" hidden="1" x14ac:dyDescent="0.25">
      <c r="A1372" s="33">
        <v>22</v>
      </c>
      <c r="B1372" s="71" t="s">
        <v>29</v>
      </c>
      <c r="C1372" s="39" t="s">
        <v>3936</v>
      </c>
      <c r="D1372" s="106" t="s">
        <v>747</v>
      </c>
      <c r="E1372" s="47">
        <v>45807</v>
      </c>
      <c r="F1372" s="31" t="str">
        <f>VLOOKUP($C1372,Carpetas!$C$5:$M$2666,2,FALSE)</f>
        <v>BRB058</v>
      </c>
      <c r="G1372" s="23" t="str">
        <f>VLOOKUP($C1372,Carpetas!$C$5:$M$2666,10,FALSE)</f>
        <v>152,65,76</v>
      </c>
      <c r="H1372" s="27" t="str">
        <f>VLOOKUP($C1372,Carpetas!$C$5:$M$2666,6,FALSE)</f>
        <v>FG</v>
      </c>
      <c r="I1372" s="220"/>
      <c r="J1372" s="47">
        <f>E1372+3</f>
        <v>45810</v>
      </c>
      <c r="K1372" s="72" t="str">
        <f>VLOOKUP($C1372,Carpetas!$C$5:$M$2666,5,FALSE)</f>
        <v>Rio Branco</v>
      </c>
      <c r="L1372" s="32"/>
      <c r="M1372" s="48">
        <f t="shared" si="90"/>
        <v>45811</v>
      </c>
      <c r="N1372" s="26">
        <f t="shared" si="91"/>
        <v>4</v>
      </c>
      <c r="O1372" s="27">
        <v>990</v>
      </c>
      <c r="P1372" s="27">
        <v>991</v>
      </c>
      <c r="Q1372" s="27">
        <v>28</v>
      </c>
      <c r="R1372" s="27">
        <v>26</v>
      </c>
      <c r="S1372" s="27" t="s">
        <v>3968</v>
      </c>
      <c r="T1372" s="27"/>
      <c r="U1372" s="27">
        <v>870</v>
      </c>
      <c r="V1372" s="27" t="s">
        <v>1042</v>
      </c>
      <c r="W1372" s="27" t="s">
        <v>1631</v>
      </c>
      <c r="X1372" s="128" t="s">
        <v>3808</v>
      </c>
      <c r="Y1372" s="73" t="str">
        <f>VLOOKUP(X1372,Choferes!$B$3:C437,2,FALSE)</f>
        <v>+55 53 8412-9466</v>
      </c>
      <c r="Z1372" s="73" t="s">
        <v>3969</v>
      </c>
    </row>
    <row r="1373" spans="1:26" hidden="1" x14ac:dyDescent="0.25">
      <c r="A1373" s="33">
        <v>22</v>
      </c>
      <c r="B1373" s="71" t="s">
        <v>29</v>
      </c>
      <c r="C1373" s="39" t="s">
        <v>3970</v>
      </c>
      <c r="D1373" s="106" t="s">
        <v>78</v>
      </c>
      <c r="E1373" s="47">
        <v>45807</v>
      </c>
      <c r="F1373" s="31" t="str">
        <f>VLOOKUP($C1373,Carpetas!$C$5:$M$2666,2,FALSE)</f>
        <v>BRB061</v>
      </c>
      <c r="G1373" s="23" t="str">
        <f>VLOOKUP($C1373,Carpetas!$C$5:$M$2666,10,FALSE)</f>
        <v>152,69,30</v>
      </c>
      <c r="H1373" s="27" t="str">
        <f>VLOOKUP($C1373,Carpetas!$C$5:$M$2666,6,FALSE)</f>
        <v>FG</v>
      </c>
      <c r="I1373" s="220"/>
      <c r="J1373" s="47">
        <f>E1373+3</f>
        <v>45810</v>
      </c>
      <c r="K1373" s="72" t="str">
        <f>VLOOKUP($C1373,Carpetas!$C$5:$M$2666,5,FALSE)</f>
        <v>Rio Branco</v>
      </c>
      <c r="L1373" s="32"/>
      <c r="M1373" s="48">
        <f t="shared" si="90"/>
        <v>45811</v>
      </c>
      <c r="N1373" s="26">
        <f t="shared" si="91"/>
        <v>4</v>
      </c>
      <c r="O1373" s="27">
        <v>990</v>
      </c>
      <c r="P1373" s="27">
        <v>991</v>
      </c>
      <c r="Q1373" s="27">
        <v>28</v>
      </c>
      <c r="R1373" s="27">
        <v>26</v>
      </c>
      <c r="S1373" s="27" t="s">
        <v>767</v>
      </c>
      <c r="T1373" s="27"/>
      <c r="U1373" s="27">
        <v>872</v>
      </c>
      <c r="V1373" s="27" t="s">
        <v>1735</v>
      </c>
      <c r="W1373" s="27" t="s">
        <v>1681</v>
      </c>
      <c r="X1373" s="128" t="s">
        <v>1465</v>
      </c>
      <c r="Y1373" s="73" t="str">
        <f>VLOOKUP(X1373,Choferes!$B$3:C437,2,FALSE)</f>
        <v>+59893339027</v>
      </c>
      <c r="Z1373" s="73" t="s">
        <v>3969</v>
      </c>
    </row>
    <row r="1374" spans="1:26" ht="30" hidden="1" x14ac:dyDescent="0.25">
      <c r="A1374" s="33">
        <v>22</v>
      </c>
      <c r="B1374" s="71" t="s">
        <v>29</v>
      </c>
      <c r="C1374" s="39" t="s">
        <v>3932</v>
      </c>
      <c r="D1374" s="106" t="s">
        <v>803</v>
      </c>
      <c r="E1374" s="47">
        <v>45807</v>
      </c>
      <c r="F1374" s="31" t="str">
        <f>VLOOKUP($C1374,Carpetas!$C$5:$M$2666,2,FALSE)</f>
        <v>BRB059</v>
      </c>
      <c r="G1374" s="23" t="str">
        <f>VLOOKUP($C1374,Carpetas!$C$5:$M$2666,10,FALSE)</f>
        <v>152,65,78</v>
      </c>
      <c r="H1374" s="27" t="str">
        <f>VLOOKUP($C1374,Carpetas!$C$5:$M$2666,6,FALSE)</f>
        <v>Silvio</v>
      </c>
      <c r="I1374" s="220"/>
      <c r="J1374" s="47">
        <v>45810</v>
      </c>
      <c r="K1374" s="72" t="str">
        <f>VLOOKUP($C1374,Carpetas!$C$5:$M$2666,5,FALSE)</f>
        <v>Rio Branco</v>
      </c>
      <c r="L1374" s="32"/>
      <c r="M1374" s="48">
        <f t="shared" si="90"/>
        <v>45811</v>
      </c>
      <c r="N1374" s="26">
        <f t="shared" si="91"/>
        <v>4</v>
      </c>
      <c r="O1374" s="27">
        <v>918</v>
      </c>
      <c r="P1374" s="27">
        <v>918</v>
      </c>
      <c r="Q1374" s="27">
        <v>26</v>
      </c>
      <c r="R1374" s="27">
        <v>25</v>
      </c>
      <c r="S1374" s="27" t="s">
        <v>2144</v>
      </c>
      <c r="T1374" s="27"/>
      <c r="U1374" s="27">
        <v>7420</v>
      </c>
      <c r="V1374" s="27" t="s">
        <v>3971</v>
      </c>
      <c r="W1374" s="27" t="s">
        <v>3972</v>
      </c>
      <c r="X1374" s="128" t="s">
        <v>3861</v>
      </c>
      <c r="Y1374" s="73" t="str">
        <f>VLOOKUP(X1374,Choferes!$B$3:C438,2,FALSE)</f>
        <v>+55 55 9220-4794</v>
      </c>
      <c r="Z1374" s="73" t="s">
        <v>3973</v>
      </c>
    </row>
    <row r="1375" spans="1:26" hidden="1" x14ac:dyDescent="0.25">
      <c r="A1375" s="33">
        <v>22</v>
      </c>
      <c r="B1375" s="71" t="s">
        <v>29</v>
      </c>
      <c r="C1375" s="39" t="s">
        <v>3936</v>
      </c>
      <c r="D1375" s="106" t="s">
        <v>2474</v>
      </c>
      <c r="E1375" s="47">
        <v>45808</v>
      </c>
      <c r="F1375" s="31" t="str">
        <f>VLOOKUP($C1375,Carpetas!$C$5:$M$2666,2,FALSE)</f>
        <v>BRB058</v>
      </c>
      <c r="G1375" s="23" t="str">
        <f>VLOOKUP($C1375,Carpetas!$C$5:$M$2666,10,FALSE)</f>
        <v>152,65,76</v>
      </c>
      <c r="H1375" s="27" t="str">
        <f>VLOOKUP($C1375,Carpetas!$C$5:$M$2666,6,FALSE)</f>
        <v>FG</v>
      </c>
      <c r="I1375" s="220"/>
      <c r="J1375" s="47">
        <f>E1375+2</f>
        <v>45810</v>
      </c>
      <c r="K1375" s="72" t="str">
        <f>VLOOKUP($C1375,Carpetas!$C$5:$M$2666,5,FALSE)</f>
        <v>Rio Branco</v>
      </c>
      <c r="L1375" s="32"/>
      <c r="M1375" s="48">
        <f t="shared" si="90"/>
        <v>45811</v>
      </c>
      <c r="N1375" s="26">
        <f t="shared" si="91"/>
        <v>3</v>
      </c>
      <c r="O1375" s="27">
        <v>990</v>
      </c>
      <c r="P1375" s="27">
        <v>990</v>
      </c>
      <c r="Q1375" s="27">
        <v>28</v>
      </c>
      <c r="R1375" s="27">
        <v>26</v>
      </c>
      <c r="S1375" s="27" t="s">
        <v>3974</v>
      </c>
      <c r="T1375" s="27"/>
      <c r="U1375" s="27">
        <v>871</v>
      </c>
      <c r="V1375" s="27" t="s">
        <v>1630</v>
      </c>
      <c r="W1375" s="27" t="s">
        <v>1934</v>
      </c>
      <c r="X1375" s="128" t="s">
        <v>1935</v>
      </c>
      <c r="Y1375" s="73" t="str">
        <f>VLOOKUP(X1375,Choferes!$B$3:C438,2,FALSE)</f>
        <v>+5554984377792</v>
      </c>
      <c r="Z1375" s="73" t="s">
        <v>3975</v>
      </c>
    </row>
    <row r="1376" spans="1:26" hidden="1" x14ac:dyDescent="0.25">
      <c r="A1376" s="33">
        <v>22</v>
      </c>
      <c r="B1376" s="71" t="s">
        <v>29</v>
      </c>
      <c r="C1376" s="39" t="s">
        <v>3819</v>
      </c>
      <c r="D1376" s="106" t="s">
        <v>747</v>
      </c>
      <c r="E1376" s="47">
        <v>45808</v>
      </c>
      <c r="F1376" s="31" t="str">
        <f>VLOOKUP($C1376,Carpetas!$C$5:$M$2666,2,FALSE)</f>
        <v>BRB053</v>
      </c>
      <c r="G1376" s="23" t="str">
        <f>VLOOKUP($C1376,Carpetas!$C$5:$M$2666,10,FALSE)</f>
        <v>152,50,13</v>
      </c>
      <c r="H1376" s="27" t="str">
        <f>VLOOKUP($C1376,Carpetas!$C$5:$M$2666,6,FALSE)</f>
        <v>Amaro</v>
      </c>
      <c r="I1376" s="220"/>
      <c r="J1376" s="47">
        <f>E1376+2</f>
        <v>45810</v>
      </c>
      <c r="K1376" s="72" t="str">
        <f>VLOOKUP($C1376,Carpetas!$C$5:$M$2666,5,FALSE)</f>
        <v>Rio Branco</v>
      </c>
      <c r="L1376" s="32"/>
      <c r="M1376" s="48">
        <f t="shared" si="90"/>
        <v>45811</v>
      </c>
      <c r="N1376" s="26">
        <f t="shared" si="91"/>
        <v>3</v>
      </c>
      <c r="O1376" s="27">
        <v>990</v>
      </c>
      <c r="P1376" s="27">
        <v>990</v>
      </c>
      <c r="Q1376" s="27">
        <v>28</v>
      </c>
      <c r="R1376" s="27">
        <v>26</v>
      </c>
      <c r="S1376" s="27" t="s">
        <v>3976</v>
      </c>
      <c r="T1376" s="27"/>
      <c r="U1376" s="27">
        <v>26213</v>
      </c>
      <c r="V1376" s="27" t="s">
        <v>2795</v>
      </c>
      <c r="W1376" s="27" t="s">
        <v>1859</v>
      </c>
      <c r="X1376" s="128" t="s">
        <v>1526</v>
      </c>
      <c r="Y1376" s="73" t="str">
        <f>VLOOKUP(X1376,Choferes!$B$3:C439,2,FALSE)</f>
        <v>+5551981746186</v>
      </c>
      <c r="Z1376" s="73" t="s">
        <v>3969</v>
      </c>
    </row>
    <row r="1377" spans="1:26" hidden="1" x14ac:dyDescent="0.25">
      <c r="A1377" s="33">
        <v>22</v>
      </c>
      <c r="B1377" s="71" t="s">
        <v>29</v>
      </c>
      <c r="C1377" s="39" t="s">
        <v>3814</v>
      </c>
      <c r="D1377" s="106" t="s">
        <v>2202</v>
      </c>
      <c r="E1377" s="47">
        <v>45807</v>
      </c>
      <c r="F1377" s="31" t="str">
        <f>VLOOKUP($C1377,Carpetas!$C$5:$M$2666,2,FALSE)</f>
        <v>BRB051</v>
      </c>
      <c r="G1377" s="23" t="str">
        <f>VLOOKUP($C1377,Carpetas!$C$5:$M$2666,10,FALSE)</f>
        <v>152,49,27</v>
      </c>
      <c r="H1377" s="27" t="str">
        <f>VLOOKUP($C1377,Carpetas!$C$5:$M$2666,6,FALSE)</f>
        <v xml:space="preserve">Silvio </v>
      </c>
      <c r="I1377" s="220"/>
      <c r="J1377" s="47">
        <v>45811</v>
      </c>
      <c r="K1377" s="72" t="str">
        <f>VLOOKUP($C1377,Carpetas!$C$5:$M$2666,5,FALSE)</f>
        <v>Chuy</v>
      </c>
      <c r="L1377" s="32"/>
      <c r="M1377" s="48">
        <f t="shared" si="90"/>
        <v>45812</v>
      </c>
      <c r="N1377" s="26">
        <f t="shared" si="91"/>
        <v>5</v>
      </c>
      <c r="O1377" s="27">
        <v>918</v>
      </c>
      <c r="P1377" s="27">
        <v>918</v>
      </c>
      <c r="Q1377" s="27">
        <v>26</v>
      </c>
      <c r="R1377" s="27">
        <v>25</v>
      </c>
      <c r="S1377" s="27" t="s">
        <v>2338</v>
      </c>
      <c r="T1377" s="27"/>
      <c r="U1377" s="27"/>
      <c r="V1377" s="27"/>
      <c r="W1377" s="27"/>
      <c r="X1377" s="128"/>
      <c r="Y1377" s="73" t="e">
        <f>VLOOKUP(X1377,Choferes!$B$3:C438,2,FALSE)</f>
        <v>#N/A</v>
      </c>
      <c r="Z1377" s="73" t="s">
        <v>3977</v>
      </c>
    </row>
    <row r="1378" spans="1:26" hidden="1" x14ac:dyDescent="0.25">
      <c r="A1378" s="33">
        <v>23</v>
      </c>
      <c r="B1378" s="71" t="s">
        <v>29</v>
      </c>
      <c r="C1378" s="39" t="s">
        <v>3970</v>
      </c>
      <c r="D1378" s="106" t="s">
        <v>803</v>
      </c>
      <c r="E1378" s="47">
        <v>45810</v>
      </c>
      <c r="F1378" s="31" t="str">
        <f>VLOOKUP($C1378,Carpetas!$C$5:$M$2666,2,FALSE)</f>
        <v>BRB061</v>
      </c>
      <c r="G1378" s="23" t="str">
        <f>VLOOKUP($C1378,Carpetas!$C$5:$M$2666,10,FALSE)</f>
        <v>152,69,30</v>
      </c>
      <c r="H1378" s="27" t="str">
        <f>VLOOKUP($C1378,Carpetas!$C$5:$M$2666,6,FALSE)</f>
        <v>FG</v>
      </c>
      <c r="I1378" s="220"/>
      <c r="J1378" s="47">
        <v>45813</v>
      </c>
      <c r="K1378" s="72" t="str">
        <f>VLOOKUP($C1378,Carpetas!$C$5:$M$2666,5,FALSE)</f>
        <v>Rio Branco</v>
      </c>
      <c r="L1378" s="32"/>
      <c r="M1378" s="48">
        <f t="shared" si="90"/>
        <v>45814</v>
      </c>
      <c r="N1378" s="26">
        <f t="shared" si="91"/>
        <v>4</v>
      </c>
      <c r="O1378" s="27">
        <v>990</v>
      </c>
      <c r="P1378" s="27">
        <v>990</v>
      </c>
      <c r="Q1378" s="27">
        <v>28</v>
      </c>
      <c r="R1378" s="27">
        <v>26</v>
      </c>
      <c r="S1378" s="27" t="s">
        <v>3978</v>
      </c>
      <c r="T1378" s="27"/>
      <c r="U1378" s="27">
        <v>874</v>
      </c>
      <c r="V1378" s="27" t="s">
        <v>3403</v>
      </c>
      <c r="W1378" s="27" t="s">
        <v>3404</v>
      </c>
      <c r="X1378" s="128" t="s">
        <v>1589</v>
      </c>
      <c r="Y1378" s="73" t="str">
        <f>VLOOKUP(X1378,Choferes!$B$3:C426,2,FALSE)</f>
        <v>+5551998970570</v>
      </c>
      <c r="Z1378" s="73" t="s">
        <v>3979</v>
      </c>
    </row>
    <row r="1379" spans="1:26" ht="30" hidden="1" x14ac:dyDescent="0.25">
      <c r="A1379" s="33">
        <v>23</v>
      </c>
      <c r="B1379" s="71" t="s">
        <v>29</v>
      </c>
      <c r="C1379" s="39" t="s">
        <v>3970</v>
      </c>
      <c r="D1379" s="106" t="s">
        <v>2474</v>
      </c>
      <c r="E1379" s="47">
        <v>45811</v>
      </c>
      <c r="F1379" s="31" t="str">
        <f>VLOOKUP($C1379,Carpetas!$C$5:$M$2666,2,FALSE)</f>
        <v>BRB061</v>
      </c>
      <c r="G1379" s="23" t="str">
        <f>VLOOKUP($C1379,Carpetas!$C$5:$M$2666,10,FALSE)</f>
        <v>152,69,30</v>
      </c>
      <c r="H1379" s="27" t="str">
        <f>VLOOKUP($C1379,Carpetas!$C$5:$M$2666,6,FALSE)</f>
        <v>FG</v>
      </c>
      <c r="I1379" s="220"/>
      <c r="J1379" s="47">
        <f>E1379+2</f>
        <v>45813</v>
      </c>
      <c r="K1379" s="72" t="str">
        <f>VLOOKUP($C1379,Carpetas!$C$5:$M$2666,5,FALSE)</f>
        <v>Rio Branco</v>
      </c>
      <c r="L1379" s="32"/>
      <c r="M1379" s="48">
        <f t="shared" si="90"/>
        <v>45814</v>
      </c>
      <c r="N1379" s="26">
        <f t="shared" si="91"/>
        <v>3</v>
      </c>
      <c r="O1379" s="27">
        <v>990</v>
      </c>
      <c r="P1379" s="27">
        <v>990</v>
      </c>
      <c r="Q1379" s="27">
        <v>28</v>
      </c>
      <c r="R1379" s="27">
        <v>26</v>
      </c>
      <c r="S1379" s="27" t="s">
        <v>3980</v>
      </c>
      <c r="T1379" s="27"/>
      <c r="U1379" s="27">
        <v>877</v>
      </c>
      <c r="V1379" s="27" t="s">
        <v>3139</v>
      </c>
      <c r="W1379" s="27" t="s">
        <v>3151</v>
      </c>
      <c r="X1379" s="128" t="s">
        <v>3981</v>
      </c>
      <c r="Y1379" s="73" t="str">
        <f>VLOOKUP(X1379,Choferes!$B$3:C427,2,FALSE)</f>
        <v>+598 99 112 261</v>
      </c>
      <c r="Z1379" s="73" t="s">
        <v>3979</v>
      </c>
    </row>
    <row r="1380" spans="1:26" hidden="1" x14ac:dyDescent="0.25">
      <c r="A1380" s="33">
        <v>23</v>
      </c>
      <c r="B1380" s="71" t="s">
        <v>29</v>
      </c>
      <c r="C1380" s="39" t="s">
        <v>3970</v>
      </c>
      <c r="D1380" s="106" t="s">
        <v>110</v>
      </c>
      <c r="E1380" s="47">
        <v>45811</v>
      </c>
      <c r="F1380" s="31" t="str">
        <f>VLOOKUP($C1380,Carpetas!$C$5:$M$2666,2,FALSE)</f>
        <v>BRB061</v>
      </c>
      <c r="G1380" s="23" t="str">
        <f>VLOOKUP($C1380,Carpetas!$C$5:$M$2666,10,FALSE)</f>
        <v>152,69,30</v>
      </c>
      <c r="H1380" s="27" t="str">
        <f>VLOOKUP($C1380,Carpetas!$C$5:$M$2666,6,FALSE)</f>
        <v>FG</v>
      </c>
      <c r="I1380" s="220"/>
      <c r="J1380" s="47">
        <f>E1380+2</f>
        <v>45813</v>
      </c>
      <c r="K1380" s="72" t="str">
        <f>VLOOKUP($C1380,Carpetas!$C$5:$M$2666,5,FALSE)</f>
        <v>Rio Branco</v>
      </c>
      <c r="L1380" s="32"/>
      <c r="M1380" s="48">
        <f t="shared" si="90"/>
        <v>45814</v>
      </c>
      <c r="N1380" s="26">
        <f t="shared" si="91"/>
        <v>3</v>
      </c>
      <c r="O1380" s="27">
        <v>990</v>
      </c>
      <c r="P1380" s="27">
        <v>990</v>
      </c>
      <c r="Q1380" s="27">
        <v>28</v>
      </c>
      <c r="R1380" s="27">
        <v>26</v>
      </c>
      <c r="S1380" s="27" t="s">
        <v>2166</v>
      </c>
      <c r="T1380" s="27"/>
      <c r="U1380" s="27">
        <v>876</v>
      </c>
      <c r="V1380" s="27" t="s">
        <v>1956</v>
      </c>
      <c r="W1380" s="27" t="s">
        <v>1957</v>
      </c>
      <c r="X1380" s="128" t="s">
        <v>1520</v>
      </c>
      <c r="Y1380" s="73" t="str">
        <f>VLOOKUP(X1380,Choferes!$B$3:C428,2,FALSE)</f>
        <v>+5553999595710</v>
      </c>
      <c r="Z1380" s="73" t="s">
        <v>3982</v>
      </c>
    </row>
    <row r="1381" spans="1:26" hidden="1" x14ac:dyDescent="0.25">
      <c r="A1381" s="33">
        <v>23</v>
      </c>
      <c r="B1381" s="71" t="s">
        <v>29</v>
      </c>
      <c r="C1381" s="39" t="s">
        <v>3970</v>
      </c>
      <c r="D1381" s="106" t="s">
        <v>803</v>
      </c>
      <c r="E1381" s="47">
        <v>45811</v>
      </c>
      <c r="F1381" s="31" t="str">
        <f>VLOOKUP($C1381,Carpetas!$C$5:$M$2666,2,FALSE)</f>
        <v>BRB061</v>
      </c>
      <c r="G1381" s="23" t="str">
        <f>VLOOKUP($C1381,Carpetas!$C$5:$M$2666,10,FALSE)</f>
        <v>152,69,30</v>
      </c>
      <c r="H1381" s="27" t="str">
        <f>VLOOKUP($C1381,Carpetas!$C$5:$M$2666,6,FALSE)</f>
        <v>FG</v>
      </c>
      <c r="I1381" s="220"/>
      <c r="J1381" s="47">
        <v>45813</v>
      </c>
      <c r="K1381" s="72" t="str">
        <f>VLOOKUP($C1381,Carpetas!$C$5:$M$2666,5,FALSE)</f>
        <v>Rio Branco</v>
      </c>
      <c r="L1381" s="32"/>
      <c r="M1381" s="48">
        <f t="shared" si="90"/>
        <v>45814</v>
      </c>
      <c r="N1381" s="26">
        <f t="shared" si="91"/>
        <v>3</v>
      </c>
      <c r="O1381" s="27">
        <v>990</v>
      </c>
      <c r="P1381" s="27">
        <v>990</v>
      </c>
      <c r="Q1381" s="27">
        <v>28</v>
      </c>
      <c r="R1381" s="27">
        <v>26</v>
      </c>
      <c r="S1381" s="27" t="s">
        <v>2209</v>
      </c>
      <c r="T1381" s="27"/>
      <c r="U1381" s="27">
        <v>881</v>
      </c>
      <c r="V1381" s="27" t="s">
        <v>1636</v>
      </c>
      <c r="W1381" s="27" t="s">
        <v>1736</v>
      </c>
      <c r="X1381" s="128" t="s">
        <v>1413</v>
      </c>
      <c r="Y1381" s="73" t="str">
        <f>VLOOKUP(X1381,Choferes!$B$3:C427,2,FALSE)</f>
        <v>+59899406679</v>
      </c>
      <c r="Z1381" s="73" t="s">
        <v>3983</v>
      </c>
    </row>
    <row r="1382" spans="1:26" hidden="1" x14ac:dyDescent="0.25">
      <c r="A1382" s="33">
        <v>23</v>
      </c>
      <c r="B1382" s="71" t="s">
        <v>29</v>
      </c>
      <c r="C1382" s="39" t="s">
        <v>3970</v>
      </c>
      <c r="D1382" s="106" t="s">
        <v>2474</v>
      </c>
      <c r="E1382" s="47">
        <v>45812</v>
      </c>
      <c r="F1382" s="31" t="str">
        <f>VLOOKUP($C1382,Carpetas!$C$5:$M$2666,2,FALSE)</f>
        <v>BRB061</v>
      </c>
      <c r="G1382" s="23" t="str">
        <f>VLOOKUP($C1382,Carpetas!$C$5:$M$2666,10,FALSE)</f>
        <v>152,69,30</v>
      </c>
      <c r="H1382" s="27" t="str">
        <f>VLOOKUP($C1382,Carpetas!$C$5:$M$2666,6,FALSE)</f>
        <v>FG</v>
      </c>
      <c r="I1382" s="220"/>
      <c r="J1382" s="47">
        <v>45813</v>
      </c>
      <c r="K1382" s="72" t="str">
        <f>VLOOKUP($C1382,Carpetas!$C$5:$M$2666,5,FALSE)</f>
        <v>Rio Branco</v>
      </c>
      <c r="L1382" s="32"/>
      <c r="M1382" s="48">
        <f t="shared" si="90"/>
        <v>45814</v>
      </c>
      <c r="N1382" s="26">
        <f t="shared" si="91"/>
        <v>2</v>
      </c>
      <c r="O1382" s="27">
        <v>990</v>
      </c>
      <c r="P1382" s="27">
        <v>990</v>
      </c>
      <c r="Q1382" s="27">
        <v>28</v>
      </c>
      <c r="R1382" s="27">
        <v>26</v>
      </c>
      <c r="S1382" s="27" t="s">
        <v>3984</v>
      </c>
      <c r="T1382" s="27"/>
      <c r="U1382" s="27">
        <v>885</v>
      </c>
      <c r="V1382" s="27" t="s">
        <v>1626</v>
      </c>
      <c r="W1382" s="27" t="s">
        <v>1627</v>
      </c>
      <c r="X1382" s="128" t="s">
        <v>1489</v>
      </c>
      <c r="Y1382" s="73" t="str">
        <f>VLOOKUP(X1382,Choferes!$B$3:C429,2,FALSE)</f>
        <v>+5553984039582</v>
      </c>
      <c r="Z1382" s="73" t="s">
        <v>3983</v>
      </c>
    </row>
    <row r="1383" spans="1:26" hidden="1" x14ac:dyDescent="0.25">
      <c r="A1383" s="33">
        <v>23</v>
      </c>
      <c r="B1383" s="71" t="s">
        <v>29</v>
      </c>
      <c r="C1383" s="39" t="s">
        <v>3970</v>
      </c>
      <c r="D1383" s="106" t="s">
        <v>110</v>
      </c>
      <c r="E1383" s="47">
        <v>45812</v>
      </c>
      <c r="F1383" s="31" t="str">
        <f>VLOOKUP($C1383,Carpetas!$C$5:$M$2666,2,FALSE)</f>
        <v>BRB061</v>
      </c>
      <c r="G1383" s="23" t="str">
        <f>VLOOKUP($C1383,Carpetas!$C$5:$M$2666,10,FALSE)</f>
        <v>152,69,30</v>
      </c>
      <c r="H1383" s="27" t="str">
        <f>VLOOKUP($C1383,Carpetas!$C$5:$M$2666,6,FALSE)</f>
        <v>FG</v>
      </c>
      <c r="I1383" s="220"/>
      <c r="J1383" s="47">
        <v>45813</v>
      </c>
      <c r="K1383" s="72" t="str">
        <f>VLOOKUP($C1383,Carpetas!$C$5:$M$2666,5,FALSE)</f>
        <v>Rio Branco</v>
      </c>
      <c r="L1383" s="32"/>
      <c r="M1383" s="48">
        <f t="shared" si="90"/>
        <v>45814</v>
      </c>
      <c r="N1383" s="26">
        <f t="shared" si="91"/>
        <v>2</v>
      </c>
      <c r="O1383" s="27">
        <v>990</v>
      </c>
      <c r="P1383" s="27">
        <v>990</v>
      </c>
      <c r="Q1383" s="27">
        <v>28</v>
      </c>
      <c r="R1383" s="27">
        <v>26</v>
      </c>
      <c r="S1383" s="27" t="s">
        <v>2241</v>
      </c>
      <c r="T1383" s="27"/>
      <c r="U1383" s="27">
        <v>883</v>
      </c>
      <c r="V1383" s="27" t="s">
        <v>1430</v>
      </c>
      <c r="W1383" s="27" t="s">
        <v>1669</v>
      </c>
      <c r="X1383" s="128" t="s">
        <v>1923</v>
      </c>
      <c r="Y1383" s="73" t="str">
        <f>VLOOKUP(X1383,Choferes!$B$3:C431,2,FALSE)</f>
        <v>+5553999049426</v>
      </c>
      <c r="Z1383" s="73" t="s">
        <v>3985</v>
      </c>
    </row>
    <row r="1384" spans="1:26" hidden="1" x14ac:dyDescent="0.25">
      <c r="A1384" s="33">
        <v>23</v>
      </c>
      <c r="B1384" s="71" t="s">
        <v>29</v>
      </c>
      <c r="C1384" s="39" t="s">
        <v>3970</v>
      </c>
      <c r="D1384" s="106" t="s">
        <v>249</v>
      </c>
      <c r="E1384" s="47">
        <v>45812</v>
      </c>
      <c r="F1384" s="31" t="str">
        <f>VLOOKUP($C1384,Carpetas!$C$5:$M$2666,2,FALSE)</f>
        <v>BRB061</v>
      </c>
      <c r="G1384" s="23" t="str">
        <f>VLOOKUP($C1384,Carpetas!$C$5:$M$2666,10,FALSE)</f>
        <v>152,69,30</v>
      </c>
      <c r="H1384" s="27" t="str">
        <f>VLOOKUP($C1384,Carpetas!$C$5:$M$2666,6,FALSE)</f>
        <v>FG</v>
      </c>
      <c r="I1384" s="220"/>
      <c r="J1384" s="47">
        <v>45813</v>
      </c>
      <c r="K1384" s="72" t="str">
        <f>VLOOKUP($C1384,Carpetas!$C$5:$M$2666,5,FALSE)</f>
        <v>Rio Branco</v>
      </c>
      <c r="L1384" s="32"/>
      <c r="M1384" s="48">
        <f t="shared" si="90"/>
        <v>45814</v>
      </c>
      <c r="N1384" s="26">
        <f t="shared" si="91"/>
        <v>2</v>
      </c>
      <c r="O1384" s="27">
        <v>990</v>
      </c>
      <c r="P1384" s="27">
        <v>990</v>
      </c>
      <c r="Q1384" s="27">
        <v>28</v>
      </c>
      <c r="R1384" s="27">
        <v>26</v>
      </c>
      <c r="S1384" s="27" t="s">
        <v>3986</v>
      </c>
      <c r="T1384" s="27"/>
      <c r="U1384" s="27">
        <v>882</v>
      </c>
      <c r="V1384" s="27" t="s">
        <v>3411</v>
      </c>
      <c r="W1384" s="27" t="s">
        <v>3412</v>
      </c>
      <c r="X1384" s="128" t="s">
        <v>3559</v>
      </c>
      <c r="Y1384" s="73" t="str">
        <f>VLOOKUP(X1384,Choferes!$B$3:C432,2,FALSE)</f>
        <v>+55 53 9713-4372</v>
      </c>
      <c r="Z1384" s="73" t="s">
        <v>3987</v>
      </c>
    </row>
    <row r="1385" spans="1:26" hidden="1" x14ac:dyDescent="0.25">
      <c r="A1385" s="33">
        <v>23</v>
      </c>
      <c r="B1385" s="71" t="s">
        <v>29</v>
      </c>
      <c r="C1385" s="39" t="s">
        <v>3970</v>
      </c>
      <c r="D1385" s="106" t="s">
        <v>747</v>
      </c>
      <c r="E1385" s="47">
        <v>45812</v>
      </c>
      <c r="F1385" s="31" t="str">
        <f>VLOOKUP($C1385,Carpetas!$C$5:$M$2666,2,FALSE)</f>
        <v>BRB061</v>
      </c>
      <c r="G1385" s="23" t="str">
        <f>VLOOKUP($C1385,Carpetas!$C$5:$M$2666,10,FALSE)</f>
        <v>152,69,30</v>
      </c>
      <c r="H1385" s="27" t="str">
        <f>VLOOKUP($C1385,Carpetas!$C$5:$M$2666,6,FALSE)</f>
        <v>FG</v>
      </c>
      <c r="I1385" s="220"/>
      <c r="J1385" s="47">
        <f>E1385+2</f>
        <v>45814</v>
      </c>
      <c r="K1385" s="72" t="str">
        <f>VLOOKUP($C1385,Carpetas!$C$5:$M$2666,5,FALSE)</f>
        <v>Rio Branco</v>
      </c>
      <c r="L1385" s="32"/>
      <c r="M1385" s="48">
        <f t="shared" si="90"/>
        <v>45815</v>
      </c>
      <c r="N1385" s="26">
        <f t="shared" si="91"/>
        <v>3</v>
      </c>
      <c r="O1385" s="27">
        <v>990</v>
      </c>
      <c r="P1385" s="27">
        <v>990</v>
      </c>
      <c r="Q1385" s="27">
        <v>28</v>
      </c>
      <c r="R1385" s="27">
        <v>26</v>
      </c>
      <c r="S1385" s="27" t="s">
        <v>3988</v>
      </c>
      <c r="T1385" s="27"/>
      <c r="U1385" s="27">
        <v>884</v>
      </c>
      <c r="V1385" s="27" t="s">
        <v>1042</v>
      </c>
      <c r="W1385" s="27" t="s">
        <v>3818</v>
      </c>
      <c r="X1385" s="128" t="s">
        <v>1623</v>
      </c>
      <c r="Y1385" s="73" t="str">
        <f>VLOOKUP(X1385,Choferes!$B$3:C433,2,FALSE)</f>
        <v>+5553991254560</v>
      </c>
      <c r="Z1385" s="73" t="s">
        <v>3987</v>
      </c>
    </row>
    <row r="1386" spans="1:26" ht="30" hidden="1" x14ac:dyDescent="0.25">
      <c r="A1386" s="33">
        <v>23</v>
      </c>
      <c r="B1386" s="71" t="s">
        <v>29</v>
      </c>
      <c r="C1386" s="39" t="s">
        <v>3932</v>
      </c>
      <c r="D1386" s="106" t="s">
        <v>78</v>
      </c>
      <c r="E1386" s="47">
        <v>45812</v>
      </c>
      <c r="F1386" s="31" t="str">
        <f>VLOOKUP($C1386,Carpetas!$C$5:$M$2666,2,FALSE)</f>
        <v>BRB059</v>
      </c>
      <c r="G1386" s="23" t="str">
        <f>VLOOKUP($C1386,Carpetas!$C$5:$M$2666,10,FALSE)</f>
        <v>152,65,78</v>
      </c>
      <c r="H1386" s="27" t="str">
        <f>VLOOKUP($C1386,Carpetas!$C$5:$M$2666,6,FALSE)</f>
        <v>Silvio</v>
      </c>
      <c r="I1386" s="220"/>
      <c r="J1386" s="47">
        <f>E1386+2</f>
        <v>45814</v>
      </c>
      <c r="K1386" s="72" t="str">
        <f>VLOOKUP($C1386,Carpetas!$C$5:$M$2666,5,FALSE)</f>
        <v>Rio Branco</v>
      </c>
      <c r="L1386" s="32"/>
      <c r="M1386" s="48">
        <f t="shared" si="90"/>
        <v>45815</v>
      </c>
      <c r="N1386" s="26">
        <f t="shared" si="91"/>
        <v>3</v>
      </c>
      <c r="O1386" s="27">
        <v>918</v>
      </c>
      <c r="P1386" s="27">
        <v>918</v>
      </c>
      <c r="Q1386" s="27">
        <v>26</v>
      </c>
      <c r="R1386" s="27">
        <v>25</v>
      </c>
      <c r="S1386" s="27" t="s">
        <v>3989</v>
      </c>
      <c r="T1386" s="27"/>
      <c r="U1386" s="27">
        <v>7421</v>
      </c>
      <c r="V1386" s="27" t="s">
        <v>3990</v>
      </c>
      <c r="W1386" s="27" t="s">
        <v>3991</v>
      </c>
      <c r="X1386" s="128" t="s">
        <v>3992</v>
      </c>
      <c r="Y1386" s="73" t="str">
        <f>VLOOKUP(X1386,Choferes!$B$3:C422,2,FALSE)</f>
        <v>+55 47 8817-3869</v>
      </c>
      <c r="Z1386" s="73" t="s">
        <v>3993</v>
      </c>
    </row>
    <row r="1387" spans="1:26" hidden="1" x14ac:dyDescent="0.25">
      <c r="A1387" s="33">
        <v>23</v>
      </c>
      <c r="B1387" s="71" t="s">
        <v>29</v>
      </c>
      <c r="C1387" s="39" t="s">
        <v>3994</v>
      </c>
      <c r="D1387" s="106" t="s">
        <v>110</v>
      </c>
      <c r="E1387" s="47">
        <v>45814</v>
      </c>
      <c r="F1387" s="31" t="str">
        <f>VLOOKUP($C1387,Carpetas!$C$5:$M$2666,2,FALSE)</f>
        <v>BRB062</v>
      </c>
      <c r="G1387" s="23" t="str">
        <f>VLOOKUP($C1387,Carpetas!$C$5:$M$2666,10,FALSE)</f>
        <v>152,72,63</v>
      </c>
      <c r="H1387" s="27" t="str">
        <f>VLOOKUP($C1387,Carpetas!$C$5:$M$2666,6,FALSE)</f>
        <v>Zanini</v>
      </c>
      <c r="I1387" s="220"/>
      <c r="J1387" s="47">
        <f>E1387+2</f>
        <v>45816</v>
      </c>
      <c r="K1387" s="72" t="str">
        <f>VLOOKUP($C1387,Carpetas!$C$5:$M$2666,5,FALSE)</f>
        <v>Rio Branco</v>
      </c>
      <c r="L1387" s="32"/>
      <c r="M1387" s="48">
        <f t="shared" si="90"/>
        <v>45817</v>
      </c>
      <c r="N1387" s="26">
        <f t="shared" si="91"/>
        <v>3</v>
      </c>
      <c r="O1387" s="27">
        <v>918</v>
      </c>
      <c r="P1387" s="27">
        <v>919</v>
      </c>
      <c r="Q1387" s="27">
        <v>26</v>
      </c>
      <c r="R1387" s="27">
        <v>25</v>
      </c>
      <c r="S1387" s="27" t="s">
        <v>2353</v>
      </c>
      <c r="T1387" s="27"/>
      <c r="U1387" s="27">
        <v>5289</v>
      </c>
      <c r="V1387" s="27" t="s">
        <v>3995</v>
      </c>
      <c r="W1387" s="27" t="s">
        <v>3996</v>
      </c>
      <c r="X1387" s="128" t="s">
        <v>3997</v>
      </c>
      <c r="Y1387" s="73" t="str">
        <f>VLOOKUP(X1387,Choferes!$B$3:C425,2,FALSE)</f>
        <v>+55 49 9924-4149</v>
      </c>
      <c r="Z1387" s="73" t="s">
        <v>3998</v>
      </c>
    </row>
    <row r="1388" spans="1:26" hidden="1" x14ac:dyDescent="0.25">
      <c r="A1388" s="33">
        <v>23</v>
      </c>
      <c r="B1388" s="71" t="s">
        <v>29</v>
      </c>
      <c r="C1388" s="39" t="s">
        <v>3804</v>
      </c>
      <c r="D1388" s="106" t="s">
        <v>2474</v>
      </c>
      <c r="E1388" s="47">
        <v>45814</v>
      </c>
      <c r="F1388" s="31" t="str">
        <f>VLOOKUP($C1388,Carpetas!$C$5:$M$2666,2,FALSE)</f>
        <v>BRB052</v>
      </c>
      <c r="G1388" s="23" t="str">
        <f>VLOOKUP($C1388,Carpetas!$C$5:$M$2666,10,FALSE)</f>
        <v>152,47,83</v>
      </c>
      <c r="H1388" s="27" t="str">
        <f>VLOOKUP($C1388,Carpetas!$C$5:$M$2666,6,FALSE)</f>
        <v>Gral</v>
      </c>
      <c r="I1388" s="220"/>
      <c r="J1388" s="47">
        <f>E1388+2</f>
        <v>45816</v>
      </c>
      <c r="K1388" s="72" t="str">
        <f>VLOOKUP($C1388,Carpetas!$C$5:$M$2666,5,FALSE)</f>
        <v>Rio Branco</v>
      </c>
      <c r="L1388" s="32"/>
      <c r="M1388" s="48">
        <f t="shared" si="90"/>
        <v>45817</v>
      </c>
      <c r="N1388" s="26">
        <f t="shared" si="91"/>
        <v>3</v>
      </c>
      <c r="O1388" s="27">
        <v>918</v>
      </c>
      <c r="P1388" s="27">
        <v>918</v>
      </c>
      <c r="Q1388" s="27">
        <v>26</v>
      </c>
      <c r="R1388" s="27">
        <v>25.5</v>
      </c>
      <c r="S1388" s="27" t="s">
        <v>3999</v>
      </c>
      <c r="T1388" s="27"/>
      <c r="U1388" s="27">
        <v>7363</v>
      </c>
      <c r="V1388" s="27" t="s">
        <v>4000</v>
      </c>
      <c r="W1388" s="27" t="s">
        <v>4001</v>
      </c>
      <c r="X1388" s="128" t="s">
        <v>4002</v>
      </c>
      <c r="Y1388" s="73" t="str">
        <f>VLOOKUP(X1388,Choferes!$B$3:C438,2,FALSE)</f>
        <v>+55 85 9972-8707</v>
      </c>
      <c r="Z1388" s="73" t="s">
        <v>4003</v>
      </c>
    </row>
    <row r="1389" spans="1:26" ht="30" hidden="1" x14ac:dyDescent="0.25">
      <c r="A1389" s="33">
        <v>23</v>
      </c>
      <c r="B1389" s="71" t="s">
        <v>29</v>
      </c>
      <c r="C1389" s="39" t="s">
        <v>4004</v>
      </c>
      <c r="D1389" s="106" t="s">
        <v>38</v>
      </c>
      <c r="E1389" s="47">
        <v>45813</v>
      </c>
      <c r="F1389" s="31" t="str">
        <f>VLOOKUP($C1389,Carpetas!$C$5:$M$2666,2,FALSE)</f>
        <v>BRE020</v>
      </c>
      <c r="G1389" s="23" t="str">
        <f>VLOOKUP($C1389,Carpetas!$C$5:$M$2666,10,FALSE)</f>
        <v>1527095/96/97/98</v>
      </c>
      <c r="H1389" s="27" t="str">
        <f>VLOOKUP($C1389,Carpetas!$C$5:$M$2666,6,FALSE)</f>
        <v>Zanini</v>
      </c>
      <c r="I1389" s="220">
        <f>VLOOKUP($C1389,Carpetas!$C$5:$M$2666,4,FALSE)</f>
        <v>0</v>
      </c>
      <c r="J1389" s="47">
        <v>45817</v>
      </c>
      <c r="K1389" s="72" t="str">
        <f>VLOOKUP($C1389,Carpetas!$C$5:$M$2666,5,FALSE)</f>
        <v>Rio Branco</v>
      </c>
      <c r="L1389" s="32"/>
      <c r="M1389" s="48">
        <f t="shared" si="90"/>
        <v>45818</v>
      </c>
      <c r="N1389" s="26">
        <f t="shared" si="91"/>
        <v>5</v>
      </c>
      <c r="O1389" s="27">
        <v>1192</v>
      </c>
      <c r="P1389" s="27">
        <v>1190</v>
      </c>
      <c r="Q1389" s="27">
        <v>26</v>
      </c>
      <c r="R1389" s="27">
        <v>25</v>
      </c>
      <c r="S1389" s="27" t="s">
        <v>1039</v>
      </c>
      <c r="T1389" s="27"/>
      <c r="U1389" s="27">
        <v>5284</v>
      </c>
      <c r="V1389" s="27" t="s">
        <v>2493</v>
      </c>
      <c r="W1389" s="27" t="s">
        <v>2494</v>
      </c>
      <c r="X1389" s="128" t="s">
        <v>4005</v>
      </c>
      <c r="Y1389" s="73" t="str">
        <f>VLOOKUP(X1389,Choferes!$B$3:C423,2,FALSE)</f>
        <v>+55 55 8428-9650</v>
      </c>
      <c r="Z1389" s="73" t="s">
        <v>4006</v>
      </c>
    </row>
    <row r="1390" spans="1:26" hidden="1" x14ac:dyDescent="0.25">
      <c r="A1390" s="33">
        <v>23</v>
      </c>
      <c r="B1390" s="71" t="s">
        <v>29</v>
      </c>
      <c r="C1390" s="39" t="s">
        <v>3994</v>
      </c>
      <c r="D1390" s="106" t="s">
        <v>2202</v>
      </c>
      <c r="E1390" s="47">
        <v>45814</v>
      </c>
      <c r="F1390" s="31" t="str">
        <f>VLOOKUP($C1390,Carpetas!$C$5:$M$2666,2,FALSE)</f>
        <v>BRB062</v>
      </c>
      <c r="G1390" s="23" t="str">
        <f>VLOOKUP($C1390,Carpetas!$C$5:$M$2666,10,FALSE)</f>
        <v>152,72,63</v>
      </c>
      <c r="H1390" s="27" t="str">
        <f>VLOOKUP($C1390,Carpetas!$C$5:$M$2666,6,FALSE)</f>
        <v>Zanini</v>
      </c>
      <c r="I1390" s="220"/>
      <c r="J1390" s="47">
        <v>45817</v>
      </c>
      <c r="K1390" s="72" t="str">
        <f>VLOOKUP($C1390,Carpetas!$C$5:$M$2666,5,FALSE)</f>
        <v>Rio Branco</v>
      </c>
      <c r="L1390" s="32"/>
      <c r="M1390" s="48">
        <f t="shared" si="90"/>
        <v>45818</v>
      </c>
      <c r="N1390" s="26">
        <f t="shared" si="91"/>
        <v>4</v>
      </c>
      <c r="O1390" s="27">
        <v>918</v>
      </c>
      <c r="P1390" s="27">
        <v>918</v>
      </c>
      <c r="Q1390" s="27">
        <v>26</v>
      </c>
      <c r="R1390" s="27">
        <v>25</v>
      </c>
      <c r="S1390" s="27" t="s">
        <v>2335</v>
      </c>
      <c r="T1390" s="27"/>
      <c r="U1390" s="27">
        <v>5290</v>
      </c>
      <c r="V1390" s="27" t="s">
        <v>1687</v>
      </c>
      <c r="W1390" s="27" t="s">
        <v>3215</v>
      </c>
      <c r="X1390" s="128" t="s">
        <v>60</v>
      </c>
      <c r="Y1390" s="73" t="str">
        <f>VLOOKUP(X1390,Choferes!$B$3:C428,2,FALSE)</f>
        <v>+5547991777362</v>
      </c>
      <c r="Z1390" s="73" t="s">
        <v>4007</v>
      </c>
    </row>
    <row r="1391" spans="1:26" hidden="1" x14ac:dyDescent="0.25">
      <c r="A1391" s="33">
        <v>23</v>
      </c>
      <c r="B1391" s="71" t="s">
        <v>29</v>
      </c>
      <c r="C1391" s="39" t="s">
        <v>4008</v>
      </c>
      <c r="D1391" s="106" t="s">
        <v>803</v>
      </c>
      <c r="E1391" s="47">
        <v>45814</v>
      </c>
      <c r="F1391" s="31" t="str">
        <f>VLOOKUP($C1391,Carpetas!$C$5:$M$2666,2,FALSE)</f>
        <v>BRB064</v>
      </c>
      <c r="G1391" s="23" t="str">
        <f>VLOOKUP($C1391,Carpetas!$C$5:$M$2666,10,FALSE)</f>
        <v>152,73,01</v>
      </c>
      <c r="H1391" s="27" t="str">
        <f>VLOOKUP($C1391,Carpetas!$C$5:$M$2666,6,FALSE)</f>
        <v>FG</v>
      </c>
      <c r="I1391" s="220"/>
      <c r="J1391" s="47">
        <v>45817</v>
      </c>
      <c r="K1391" s="72" t="str">
        <f>VLOOKUP($C1391,Carpetas!$C$5:$M$2666,5,FALSE)</f>
        <v>Rio Branco</v>
      </c>
      <c r="L1391" s="32"/>
      <c r="M1391" s="48">
        <f t="shared" si="90"/>
        <v>45818</v>
      </c>
      <c r="N1391" s="26">
        <f t="shared" si="91"/>
        <v>4</v>
      </c>
      <c r="O1391" s="27">
        <v>990</v>
      </c>
      <c r="P1391" s="27">
        <v>990</v>
      </c>
      <c r="Q1391" s="27">
        <v>28</v>
      </c>
      <c r="R1391" s="27">
        <v>26</v>
      </c>
      <c r="S1391" s="27" t="s">
        <v>2270</v>
      </c>
      <c r="T1391" s="27"/>
      <c r="U1391" s="27">
        <v>886</v>
      </c>
      <c r="V1391" s="27" t="s">
        <v>4009</v>
      </c>
      <c r="W1391" s="27" t="s">
        <v>4010</v>
      </c>
      <c r="X1391" s="128" t="s">
        <v>4011</v>
      </c>
      <c r="Y1391" s="73" t="str">
        <f>VLOOKUP(X1391,Choferes!$B$3:C433,2,FALSE)</f>
        <v>+55 53 9921-7067</v>
      </c>
      <c r="Z1391" s="73" t="s">
        <v>4012</v>
      </c>
    </row>
    <row r="1392" spans="1:26" hidden="1" x14ac:dyDescent="0.25">
      <c r="A1392" s="33">
        <v>23</v>
      </c>
      <c r="B1392" s="71" t="s">
        <v>29</v>
      </c>
      <c r="C1392" s="39" t="s">
        <v>4013</v>
      </c>
      <c r="D1392" s="106" t="s">
        <v>249</v>
      </c>
      <c r="E1392" s="47">
        <v>45814</v>
      </c>
      <c r="F1392" s="31" t="str">
        <f>VLOOKUP($C1392,Carpetas!$C$5:$M$2666,2,FALSE)</f>
        <v>BRB063</v>
      </c>
      <c r="G1392" s="23" t="str">
        <f>VLOOKUP($C1392,Carpetas!$C$5:$M$2666,10,FALSE)</f>
        <v>152,72,64</v>
      </c>
      <c r="H1392" s="27" t="str">
        <f>VLOOKUP($C1392,Carpetas!$C$5:$M$2666,6,FALSE)</f>
        <v>Amaro</v>
      </c>
      <c r="I1392" s="220"/>
      <c r="J1392" s="47">
        <v>45817</v>
      </c>
      <c r="K1392" s="72" t="str">
        <f>VLOOKUP($C1392,Carpetas!$C$5:$M$2666,5,FALSE)</f>
        <v>Rio Branco</v>
      </c>
      <c r="L1392" s="32"/>
      <c r="M1392" s="48">
        <f t="shared" si="90"/>
        <v>45818</v>
      </c>
      <c r="N1392" s="26">
        <f t="shared" si="91"/>
        <v>4</v>
      </c>
      <c r="O1392" s="27">
        <v>990</v>
      </c>
      <c r="P1392" s="27">
        <v>990</v>
      </c>
      <c r="Q1392" s="27">
        <v>28</v>
      </c>
      <c r="R1392" s="27">
        <v>26</v>
      </c>
      <c r="S1392" s="27" t="s">
        <v>4014</v>
      </c>
      <c r="T1392" s="27"/>
      <c r="U1392" s="27">
        <v>26243</v>
      </c>
      <c r="V1392" s="27" t="s">
        <v>2117</v>
      </c>
      <c r="W1392" s="27" t="s">
        <v>3264</v>
      </c>
      <c r="X1392" s="128" t="s">
        <v>4015</v>
      </c>
      <c r="Y1392" s="73" t="str">
        <f>VLOOKUP(X1392,Choferes!$B$3:C437,2,FALSE)</f>
        <v>+55 53 9933-3906</v>
      </c>
      <c r="Z1392" s="73" t="s">
        <v>4016</v>
      </c>
    </row>
    <row r="1393" spans="1:26" ht="30" hidden="1" x14ac:dyDescent="0.25">
      <c r="A1393" s="33">
        <v>23</v>
      </c>
      <c r="B1393" s="71" t="s">
        <v>29</v>
      </c>
      <c r="C1393" s="39" t="s">
        <v>4013</v>
      </c>
      <c r="D1393" s="106" t="s">
        <v>2474</v>
      </c>
      <c r="E1393" s="47">
        <v>45814</v>
      </c>
      <c r="F1393" s="31" t="str">
        <f>VLOOKUP($C1393,Carpetas!$C$5:$M$2666,2,FALSE)</f>
        <v>BRB063</v>
      </c>
      <c r="G1393" s="23" t="str">
        <f>VLOOKUP($C1393,Carpetas!$C$5:$M$2666,10,FALSE)</f>
        <v>152,72,64</v>
      </c>
      <c r="H1393" s="27" t="str">
        <f>VLOOKUP($C1393,Carpetas!$C$5:$M$2666,6,FALSE)</f>
        <v>Amaro</v>
      </c>
      <c r="I1393" s="220"/>
      <c r="J1393" s="47">
        <v>45817</v>
      </c>
      <c r="K1393" s="72" t="str">
        <f>VLOOKUP($C1393,Carpetas!$C$5:$M$2666,5,FALSE)</f>
        <v>Rio Branco</v>
      </c>
      <c r="L1393" s="32"/>
      <c r="M1393" s="48">
        <f t="shared" si="90"/>
        <v>45818</v>
      </c>
      <c r="N1393" s="26">
        <f t="shared" si="91"/>
        <v>4</v>
      </c>
      <c r="O1393" s="27">
        <v>990</v>
      </c>
      <c r="P1393" s="27">
        <v>990</v>
      </c>
      <c r="Q1393" s="27">
        <v>28</v>
      </c>
      <c r="R1393" s="27">
        <v>26</v>
      </c>
      <c r="S1393" s="27" t="s">
        <v>4017</v>
      </c>
      <c r="T1393" s="27"/>
      <c r="U1393" s="27">
        <v>26242</v>
      </c>
      <c r="V1393" s="27" t="s">
        <v>3617</v>
      </c>
      <c r="W1393" s="27" t="s">
        <v>3618</v>
      </c>
      <c r="X1393" s="128" t="s">
        <v>3619</v>
      </c>
      <c r="Y1393" s="73" t="str">
        <f>VLOOKUP(X1393,Choferes!$B$3:C439,2,FALSE)</f>
        <v>+55 53 8131-7788</v>
      </c>
      <c r="Z1393" s="73" t="s">
        <v>4012</v>
      </c>
    </row>
    <row r="1394" spans="1:26" ht="30" hidden="1" x14ac:dyDescent="0.25">
      <c r="A1394" s="33">
        <v>23</v>
      </c>
      <c r="B1394" s="71" t="s">
        <v>29</v>
      </c>
      <c r="C1394" s="39" t="s">
        <v>3804</v>
      </c>
      <c r="D1394" s="106" t="s">
        <v>764</v>
      </c>
      <c r="E1394" s="47">
        <v>45814</v>
      </c>
      <c r="F1394" s="31" t="str">
        <f>VLOOKUP($C1394,Carpetas!$C$5:$M$2666,2,FALSE)</f>
        <v>BRB052</v>
      </c>
      <c r="G1394" s="23" t="str">
        <f>VLOOKUP($C1394,Carpetas!$C$5:$M$2666,10,FALSE)</f>
        <v>152,47,83</v>
      </c>
      <c r="H1394" s="27" t="str">
        <f>VLOOKUP($C1394,Carpetas!$C$5:$M$2666,6,FALSE)</f>
        <v>Gral</v>
      </c>
      <c r="I1394" s="220"/>
      <c r="J1394" s="47">
        <v>45817</v>
      </c>
      <c r="K1394" s="72" t="str">
        <f>VLOOKUP($C1394,Carpetas!$C$5:$M$2666,5,FALSE)</f>
        <v>Rio Branco</v>
      </c>
      <c r="L1394" s="32"/>
      <c r="M1394" s="48">
        <f t="shared" si="90"/>
        <v>45818</v>
      </c>
      <c r="N1394" s="26">
        <f t="shared" si="91"/>
        <v>4</v>
      </c>
      <c r="O1394" s="27">
        <v>918</v>
      </c>
      <c r="P1394" s="27">
        <v>918</v>
      </c>
      <c r="Q1394" s="27">
        <v>26</v>
      </c>
      <c r="R1394" s="27">
        <v>25</v>
      </c>
      <c r="S1394" s="27" t="s">
        <v>4018</v>
      </c>
      <c r="T1394" s="27"/>
      <c r="U1394" s="27">
        <v>7364</v>
      </c>
      <c r="V1394" s="27" t="s">
        <v>4019</v>
      </c>
      <c r="W1394" s="27" t="s">
        <v>4020</v>
      </c>
      <c r="X1394" s="128" t="s">
        <v>4021</v>
      </c>
      <c r="Y1394" s="73" t="str">
        <f>VLOOKUP(X1394,Choferes!$B$3:C442,2,FALSE)</f>
        <v>+55 49 8902-2009</v>
      </c>
      <c r="Z1394" s="73" t="s">
        <v>4022</v>
      </c>
    </row>
    <row r="1395" spans="1:26" hidden="1" x14ac:dyDescent="0.25">
      <c r="A1395" s="33">
        <v>23</v>
      </c>
      <c r="B1395" s="71" t="s">
        <v>29</v>
      </c>
      <c r="C1395" s="39" t="s">
        <v>3932</v>
      </c>
      <c r="D1395" s="106" t="s">
        <v>78</v>
      </c>
      <c r="E1395" s="47">
        <v>45815</v>
      </c>
      <c r="F1395" s="31" t="str">
        <f>VLOOKUP($C1395,Carpetas!$C$5:$M$2666,2,FALSE)</f>
        <v>BRB059</v>
      </c>
      <c r="G1395" s="23" t="str">
        <f>VLOOKUP($C1395,Carpetas!$C$5:$M$2666,10,FALSE)</f>
        <v>152,65,78</v>
      </c>
      <c r="H1395" s="27" t="str">
        <f>VLOOKUP($C1395,Carpetas!$C$5:$M$2666,6,FALSE)</f>
        <v>Silvio</v>
      </c>
      <c r="I1395" s="220"/>
      <c r="J1395" s="47">
        <v>45817</v>
      </c>
      <c r="K1395" s="72" t="str">
        <f>VLOOKUP($C1395,Carpetas!$C$5:$M$2666,5,FALSE)</f>
        <v>Rio Branco</v>
      </c>
      <c r="L1395" s="32"/>
      <c r="M1395" s="48">
        <f t="shared" si="90"/>
        <v>45818</v>
      </c>
      <c r="N1395" s="26">
        <f t="shared" si="91"/>
        <v>3</v>
      </c>
      <c r="O1395" s="27">
        <v>918</v>
      </c>
      <c r="P1395" s="27">
        <v>919</v>
      </c>
      <c r="Q1395" s="27">
        <v>26</v>
      </c>
      <c r="R1395" s="27">
        <v>25</v>
      </c>
      <c r="S1395" s="27" t="s">
        <v>784</v>
      </c>
      <c r="T1395" s="27"/>
      <c r="U1395" s="27">
        <v>7422</v>
      </c>
      <c r="V1395" s="27" t="s">
        <v>3315</v>
      </c>
      <c r="W1395" s="27" t="s">
        <v>3316</v>
      </c>
      <c r="X1395" s="128" t="s">
        <v>3635</v>
      </c>
      <c r="Y1395" s="73" t="str">
        <f>VLOOKUP(X1395,Choferes!$B$3:C423,2,FALSE)</f>
        <v>+5547996273107</v>
      </c>
      <c r="Z1395" s="73" t="s">
        <v>3998</v>
      </c>
    </row>
    <row r="1396" spans="1:26" hidden="1" x14ac:dyDescent="0.25">
      <c r="A1396" s="33">
        <v>23</v>
      </c>
      <c r="B1396" s="71" t="s">
        <v>29</v>
      </c>
      <c r="C1396" s="39" t="s">
        <v>3994</v>
      </c>
      <c r="D1396" s="106" t="s">
        <v>747</v>
      </c>
      <c r="E1396" s="47">
        <v>45815</v>
      </c>
      <c r="F1396" s="31" t="str">
        <f>VLOOKUP($C1396,Carpetas!$C$5:$M$2666,2,FALSE)</f>
        <v>BRB062</v>
      </c>
      <c r="G1396" s="23" t="str">
        <f>VLOOKUP($C1396,Carpetas!$C$5:$M$2666,10,FALSE)</f>
        <v>152,72,63</v>
      </c>
      <c r="H1396" s="27" t="str">
        <f>VLOOKUP($C1396,Carpetas!$C$5:$M$2666,6,FALSE)</f>
        <v>Zanini</v>
      </c>
      <c r="I1396" s="220"/>
      <c r="J1396" s="47">
        <f>E1396+2</f>
        <v>45817</v>
      </c>
      <c r="K1396" s="72" t="str">
        <f>VLOOKUP($C1396,Carpetas!$C$5:$M$2666,5,FALSE)</f>
        <v>Rio Branco</v>
      </c>
      <c r="L1396" s="32"/>
      <c r="M1396" s="48">
        <f t="shared" si="90"/>
        <v>45818</v>
      </c>
      <c r="N1396" s="26">
        <f t="shared" si="91"/>
        <v>3</v>
      </c>
      <c r="O1396" s="27">
        <v>918</v>
      </c>
      <c r="P1396" s="27">
        <v>919</v>
      </c>
      <c r="Q1396" s="27">
        <v>26</v>
      </c>
      <c r="R1396" s="27">
        <v>25</v>
      </c>
      <c r="S1396" s="27" t="s">
        <v>4023</v>
      </c>
      <c r="T1396" s="27"/>
      <c r="U1396" s="27">
        <v>5288</v>
      </c>
      <c r="V1396" s="27" t="s">
        <v>4024</v>
      </c>
      <c r="W1396" s="27" t="s">
        <v>4025</v>
      </c>
      <c r="X1396" s="128" t="s">
        <v>4026</v>
      </c>
      <c r="Y1396" s="73" t="str">
        <f>VLOOKUP(X1396,Choferes!$B$3:C426,2,FALSE)</f>
        <v>+5555999696955</v>
      </c>
      <c r="Z1396" s="73" t="s">
        <v>3998</v>
      </c>
    </row>
    <row r="1397" spans="1:26" hidden="1" x14ac:dyDescent="0.25">
      <c r="A1397" s="33">
        <v>23</v>
      </c>
      <c r="B1397" s="71" t="s">
        <v>29</v>
      </c>
      <c r="C1397" s="39" t="s">
        <v>4008</v>
      </c>
      <c r="D1397" s="106" t="s">
        <v>2474</v>
      </c>
      <c r="E1397" s="47">
        <v>45815</v>
      </c>
      <c r="F1397" s="31" t="str">
        <f>VLOOKUP($C1397,Carpetas!$C$5:$M$2666,2,FALSE)</f>
        <v>BRB064</v>
      </c>
      <c r="G1397" s="23" t="str">
        <f>VLOOKUP($C1397,Carpetas!$C$5:$M$2666,10,FALSE)</f>
        <v>152,73,01</v>
      </c>
      <c r="H1397" s="27" t="str">
        <f>VLOOKUP($C1397,Carpetas!$C$5:$M$2666,6,FALSE)</f>
        <v>FG</v>
      </c>
      <c r="I1397" s="220"/>
      <c r="J1397" s="47">
        <f>E1397+2</f>
        <v>45817</v>
      </c>
      <c r="K1397" s="72" t="str">
        <f>VLOOKUP($C1397,Carpetas!$C$5:$M$2666,5,FALSE)</f>
        <v>Rio Branco</v>
      </c>
      <c r="L1397" s="32"/>
      <c r="M1397" s="48">
        <f t="shared" si="90"/>
        <v>45818</v>
      </c>
      <c r="N1397" s="26">
        <f t="shared" si="91"/>
        <v>3</v>
      </c>
      <c r="O1397" s="27">
        <v>990</v>
      </c>
      <c r="P1397" s="27">
        <v>990</v>
      </c>
      <c r="Q1397" s="27">
        <v>28</v>
      </c>
      <c r="R1397" s="27">
        <v>26</v>
      </c>
      <c r="S1397" s="27" t="s">
        <v>4027</v>
      </c>
      <c r="T1397" s="27"/>
      <c r="U1397" s="27">
        <v>887</v>
      </c>
      <c r="V1397" s="27" t="s">
        <v>3669</v>
      </c>
      <c r="W1397" s="27" t="s">
        <v>912</v>
      </c>
      <c r="X1397" s="128" t="s">
        <v>2336</v>
      </c>
      <c r="Y1397" s="73" t="str">
        <f>VLOOKUP(X1397,Choferes!$B$3:C434,2,FALSE)</f>
        <v>+5553984414060</v>
      </c>
      <c r="Z1397" s="73" t="s">
        <v>4012</v>
      </c>
    </row>
    <row r="1398" spans="1:26" hidden="1" x14ac:dyDescent="0.25">
      <c r="A1398" s="33">
        <v>23</v>
      </c>
      <c r="B1398" s="71" t="s">
        <v>29</v>
      </c>
      <c r="C1398" s="39" t="s">
        <v>4008</v>
      </c>
      <c r="D1398" s="106" t="s">
        <v>747</v>
      </c>
      <c r="E1398" s="47">
        <v>45815</v>
      </c>
      <c r="F1398" s="31" t="str">
        <f>VLOOKUP($C1398,Carpetas!$C$5:$M$2666,2,FALSE)</f>
        <v>BRB064</v>
      </c>
      <c r="G1398" s="23" t="str">
        <f>VLOOKUP($C1398,Carpetas!$C$5:$M$2666,10,FALSE)</f>
        <v>152,73,01</v>
      </c>
      <c r="H1398" s="27" t="str">
        <f>VLOOKUP($C1398,Carpetas!$C$5:$M$2666,6,FALSE)</f>
        <v>FG</v>
      </c>
      <c r="I1398" s="220"/>
      <c r="J1398" s="47">
        <f>E1398+2</f>
        <v>45817</v>
      </c>
      <c r="K1398" s="72" t="str">
        <f>VLOOKUP($C1398,Carpetas!$C$5:$M$2666,5,FALSE)</f>
        <v>Rio Branco</v>
      </c>
      <c r="L1398" s="32"/>
      <c r="M1398" s="48">
        <f t="shared" si="90"/>
        <v>45818</v>
      </c>
      <c r="N1398" s="26">
        <f t="shared" si="91"/>
        <v>3</v>
      </c>
      <c r="O1398" s="27">
        <v>990</v>
      </c>
      <c r="P1398" s="27">
        <v>990</v>
      </c>
      <c r="Q1398" s="27">
        <v>28</v>
      </c>
      <c r="R1398" s="27">
        <v>26</v>
      </c>
      <c r="S1398" s="27" t="s">
        <v>4028</v>
      </c>
      <c r="T1398" s="27"/>
      <c r="U1398" s="27">
        <v>888</v>
      </c>
      <c r="V1398" s="27" t="s">
        <v>1645</v>
      </c>
      <c r="W1398" s="27" t="s">
        <v>1631</v>
      </c>
      <c r="X1398" s="128" t="s">
        <v>3808</v>
      </c>
      <c r="Y1398" s="73" t="str">
        <f>VLOOKUP(X1398,Choferes!$B$3:C435,2,FALSE)</f>
        <v>+55 53 8412-9466</v>
      </c>
      <c r="Z1398" s="73" t="s">
        <v>4012</v>
      </c>
    </row>
    <row r="1399" spans="1:26" hidden="1" x14ac:dyDescent="0.25">
      <c r="A1399" s="33">
        <v>23</v>
      </c>
      <c r="B1399" s="71" t="s">
        <v>29</v>
      </c>
      <c r="C1399" s="39" t="s">
        <v>4008</v>
      </c>
      <c r="D1399" s="106" t="s">
        <v>803</v>
      </c>
      <c r="E1399" s="47">
        <v>45815</v>
      </c>
      <c r="F1399" s="31" t="str">
        <f>VLOOKUP($C1399,Carpetas!$C$5:$M$2666,2,FALSE)</f>
        <v>BRB064</v>
      </c>
      <c r="G1399" s="23" t="str">
        <f>VLOOKUP($C1399,Carpetas!$C$5:$M$2666,10,FALSE)</f>
        <v>152,73,01</v>
      </c>
      <c r="H1399" s="27" t="str">
        <f>VLOOKUP($C1399,Carpetas!$C$5:$M$2666,6,FALSE)</f>
        <v>FG</v>
      </c>
      <c r="I1399" s="220"/>
      <c r="J1399" s="47">
        <f>E1399+2</f>
        <v>45817</v>
      </c>
      <c r="K1399" s="72" t="str">
        <f>VLOOKUP($C1399,Carpetas!$C$5:$M$2666,5,FALSE)</f>
        <v>Rio Branco</v>
      </c>
      <c r="L1399" s="32"/>
      <c r="M1399" s="48">
        <f t="shared" si="90"/>
        <v>45818</v>
      </c>
      <c r="N1399" s="26">
        <f t="shared" si="91"/>
        <v>3</v>
      </c>
      <c r="O1399" s="27">
        <v>990</v>
      </c>
      <c r="P1399" s="27">
        <v>990</v>
      </c>
      <c r="Q1399" s="27">
        <v>28</v>
      </c>
      <c r="R1399" s="27">
        <v>26</v>
      </c>
      <c r="S1399" s="27" t="s">
        <v>2259</v>
      </c>
      <c r="T1399" s="27"/>
      <c r="U1399" s="27">
        <v>889</v>
      </c>
      <c r="V1399" s="27" t="s">
        <v>1726</v>
      </c>
      <c r="W1399" s="27" t="s">
        <v>1646</v>
      </c>
      <c r="X1399" s="128" t="s">
        <v>1576</v>
      </c>
      <c r="Y1399" s="73" t="str">
        <f>VLOOKUP(X1399,Choferes!$B$3:C436,2,FALSE)</f>
        <v>+55119971489722</v>
      </c>
      <c r="Z1399" s="73" t="s">
        <v>4012</v>
      </c>
    </row>
    <row r="1400" spans="1:26" ht="30" hidden="1" x14ac:dyDescent="0.25">
      <c r="A1400" s="33">
        <v>23</v>
      </c>
      <c r="B1400" s="71" t="s">
        <v>29</v>
      </c>
      <c r="C1400" s="39" t="s">
        <v>4029</v>
      </c>
      <c r="D1400" s="106" t="s">
        <v>880</v>
      </c>
      <c r="E1400" s="47">
        <v>45815</v>
      </c>
      <c r="F1400" s="31" t="str">
        <f>VLOOKUP($C1400,Carpetas!$C$5:$M$2666,2,FALSE)</f>
        <v>BRB065</v>
      </c>
      <c r="G1400" s="23" t="str">
        <f>VLOOKUP($C1400,Carpetas!$C$5:$M$2666,10,FALSE)</f>
        <v>152,73,05</v>
      </c>
      <c r="H1400" s="27" t="str">
        <f>VLOOKUP($C1400,Carpetas!$C$5:$M$2666,6,FALSE)</f>
        <v>Gral</v>
      </c>
      <c r="I1400" s="220"/>
      <c r="J1400" s="47">
        <f>E1400+2</f>
        <v>45817</v>
      </c>
      <c r="K1400" s="72" t="str">
        <f>VLOOKUP($C1400,Carpetas!$C$5:$M$2666,5,FALSE)</f>
        <v>Rio Branco</v>
      </c>
      <c r="L1400" s="32"/>
      <c r="M1400" s="48">
        <f t="shared" si="90"/>
        <v>45818</v>
      </c>
      <c r="N1400" s="26">
        <f t="shared" si="91"/>
        <v>3</v>
      </c>
      <c r="O1400" s="27">
        <v>918</v>
      </c>
      <c r="P1400" s="27">
        <v>918</v>
      </c>
      <c r="Q1400" s="27">
        <v>26</v>
      </c>
      <c r="R1400" s="27">
        <v>25</v>
      </c>
      <c r="S1400" s="27" t="s">
        <v>4030</v>
      </c>
      <c r="T1400" s="27"/>
      <c r="U1400" s="27">
        <v>7436</v>
      </c>
      <c r="V1400" s="27" t="s">
        <v>4031</v>
      </c>
      <c r="W1400" s="27" t="s">
        <v>4032</v>
      </c>
      <c r="X1400" s="128" t="s">
        <v>4033</v>
      </c>
      <c r="Y1400" s="73" t="str">
        <f>VLOOKUP(X1400,Choferes!$B$3:C443,2,FALSE)</f>
        <v>+55 49 9819-0281</v>
      </c>
      <c r="Z1400" s="73" t="s">
        <v>4034</v>
      </c>
    </row>
    <row r="1401" spans="1:26" ht="37.5" hidden="1" customHeight="1" x14ac:dyDescent="0.25">
      <c r="A1401" s="33">
        <v>23</v>
      </c>
      <c r="B1401" s="71" t="s">
        <v>29</v>
      </c>
      <c r="C1401" s="39" t="s">
        <v>4035</v>
      </c>
      <c r="D1401" s="106" t="s">
        <v>2202</v>
      </c>
      <c r="E1401" s="47">
        <v>45814</v>
      </c>
      <c r="F1401" s="31" t="str">
        <f>VLOOKUP($C1401,Carpetas!$C$5:$M$2666,2,FALSE)</f>
        <v>BRB066</v>
      </c>
      <c r="G1401" s="23" t="str">
        <f>VLOOKUP($C1401,Carpetas!$C$5:$M$2666,10,FALSE)</f>
        <v>152,72,64</v>
      </c>
      <c r="H1401" s="27" t="str">
        <f>VLOOKUP($C1401,Carpetas!$C$5:$M$2666,6,FALSE)</f>
        <v xml:space="preserve">Silvio </v>
      </c>
      <c r="I1401" s="220"/>
      <c r="J1401" s="47">
        <v>45817</v>
      </c>
      <c r="K1401" s="72" t="str">
        <f>VLOOKUP($C1401,Carpetas!$C$5:$M$2666,5,FALSE)</f>
        <v>Chuy</v>
      </c>
      <c r="L1401" s="32"/>
      <c r="M1401" s="48">
        <v>45819</v>
      </c>
      <c r="N1401" s="26">
        <f t="shared" si="91"/>
        <v>5</v>
      </c>
      <c r="O1401" s="27">
        <v>918</v>
      </c>
      <c r="P1401" s="27">
        <v>919</v>
      </c>
      <c r="Q1401" s="27">
        <v>26</v>
      </c>
      <c r="R1401" s="27">
        <v>25</v>
      </c>
      <c r="S1401" s="27" t="s">
        <v>2419</v>
      </c>
      <c r="T1401" s="27"/>
      <c r="U1401" s="27"/>
      <c r="V1401" s="27" t="s">
        <v>4036</v>
      </c>
      <c r="W1401" s="27" t="s">
        <v>4037</v>
      </c>
      <c r="X1401" s="128"/>
      <c r="Y1401" s="73" t="e">
        <f>VLOOKUP(X1401,Choferes!$B$3:C424,2,FALSE)</f>
        <v>#N/A</v>
      </c>
      <c r="Z1401" s="73" t="s">
        <v>4038</v>
      </c>
    </row>
    <row r="1402" spans="1:26" ht="30" hidden="1" x14ac:dyDescent="0.25">
      <c r="A1402" s="33">
        <v>24</v>
      </c>
      <c r="B1402" s="71" t="s">
        <v>29</v>
      </c>
      <c r="C1402" s="39" t="s">
        <v>4008</v>
      </c>
      <c r="D1402" s="106" t="s">
        <v>2202</v>
      </c>
      <c r="E1402" s="47">
        <v>45817</v>
      </c>
      <c r="F1402" s="31" t="str">
        <f>VLOOKUP($C1402,Carpetas!$C$5:$M$2666,2,FALSE)</f>
        <v>BRB064</v>
      </c>
      <c r="G1402" s="23" t="str">
        <f>VLOOKUP($C1402,Carpetas!$C$5:$M$2666,10,FALSE)</f>
        <v>152,73,01</v>
      </c>
      <c r="H1402" s="27" t="str">
        <f>VLOOKUP($C1402,Carpetas!$C$5:$M$2666,6,FALSE)</f>
        <v>FG</v>
      </c>
      <c r="I1402" s="220"/>
      <c r="J1402" s="47">
        <f>E1402+2</f>
        <v>45819</v>
      </c>
      <c r="K1402" s="72" t="str">
        <f>VLOOKUP($C1402,Carpetas!$C$5:$M$2666,5,FALSE)</f>
        <v>Rio Branco</v>
      </c>
      <c r="L1402" s="32"/>
      <c r="M1402" s="48">
        <f t="shared" ref="M1402:M1413" si="92">J1402+1</f>
        <v>45820</v>
      </c>
      <c r="N1402" s="26">
        <f t="shared" si="91"/>
        <v>3</v>
      </c>
      <c r="O1402" s="27">
        <v>990</v>
      </c>
      <c r="P1402" s="27">
        <v>990</v>
      </c>
      <c r="Q1402" s="27">
        <v>28</v>
      </c>
      <c r="R1402" s="27">
        <v>26</v>
      </c>
      <c r="S1402" s="27" t="s">
        <v>2467</v>
      </c>
      <c r="T1402" s="27"/>
      <c r="U1402" s="27">
        <v>894</v>
      </c>
      <c r="V1402" s="27" t="s">
        <v>1722</v>
      </c>
      <c r="W1402" s="27" t="s">
        <v>2</v>
      </c>
      <c r="X1402" s="128" t="s">
        <v>2119</v>
      </c>
      <c r="Y1402" s="73" t="str">
        <f>VLOOKUP(X1402,Choferes!$B$3:C420,2,FALSE)</f>
        <v>+5553981528085</v>
      </c>
      <c r="Z1402" s="73" t="s">
        <v>4039</v>
      </c>
    </row>
    <row r="1403" spans="1:26" ht="30" hidden="1" x14ac:dyDescent="0.25">
      <c r="A1403" s="33">
        <v>24</v>
      </c>
      <c r="B1403" s="71" t="s">
        <v>29</v>
      </c>
      <c r="C1403" s="39" t="s">
        <v>4040</v>
      </c>
      <c r="D1403" s="106" t="s">
        <v>121</v>
      </c>
      <c r="E1403" s="47">
        <v>45817</v>
      </c>
      <c r="F1403" s="31" t="e">
        <f>VLOOKUP($C1403,Carpetas!$C$5:$M$2666,2,FALSE)</f>
        <v>#N/A</v>
      </c>
      <c r="G1403" s="23" t="e">
        <f>VLOOKUP($C1403,Carpetas!$C$5:$M$2666,10,FALSE)</f>
        <v>#N/A</v>
      </c>
      <c r="H1403" s="27" t="e">
        <f>VLOOKUP($C1403,Carpetas!$C$5:$M$2666,6,FALSE)</f>
        <v>#N/A</v>
      </c>
      <c r="I1403" s="220"/>
      <c r="J1403" s="47">
        <v>45819</v>
      </c>
      <c r="K1403" s="72" t="e">
        <f>VLOOKUP($C1403,Carpetas!$C$5:$M$2666,5,FALSE)</f>
        <v>#N/A</v>
      </c>
      <c r="L1403" s="32"/>
      <c r="M1403" s="48">
        <f t="shared" si="92"/>
        <v>45820</v>
      </c>
      <c r="N1403" s="26">
        <f t="shared" si="91"/>
        <v>3</v>
      </c>
      <c r="O1403" s="27">
        <v>980</v>
      </c>
      <c r="P1403" s="27">
        <v>984</v>
      </c>
      <c r="Q1403" s="27">
        <v>28</v>
      </c>
      <c r="R1403" s="27">
        <v>27</v>
      </c>
      <c r="S1403" s="27" t="s">
        <v>4041</v>
      </c>
      <c r="T1403" s="27"/>
      <c r="U1403" s="27"/>
      <c r="V1403" s="27" t="s">
        <v>1309</v>
      </c>
      <c r="W1403" s="27" t="s">
        <v>1310</v>
      </c>
      <c r="X1403" s="128"/>
      <c r="Y1403" s="73" t="e">
        <f>VLOOKUP(X1403,Choferes!$B$3:C429,2,FALSE)</f>
        <v>#N/A</v>
      </c>
      <c r="Z1403" s="73" t="s">
        <v>4042</v>
      </c>
    </row>
    <row r="1404" spans="1:26" hidden="1" x14ac:dyDescent="0.25">
      <c r="A1404" s="33">
        <v>24</v>
      </c>
      <c r="B1404" s="71" t="s">
        <v>29</v>
      </c>
      <c r="C1404" s="39" t="s">
        <v>4008</v>
      </c>
      <c r="D1404" s="106" t="s">
        <v>747</v>
      </c>
      <c r="E1404" s="47">
        <v>45818</v>
      </c>
      <c r="F1404" s="31" t="str">
        <f>VLOOKUP($C1404,Carpetas!$C$5:$M$2666,2,FALSE)</f>
        <v>BRB064</v>
      </c>
      <c r="G1404" s="23" t="str">
        <f>VLOOKUP($C1404,Carpetas!$C$5:$M$2666,10,FALSE)</f>
        <v>152,73,01</v>
      </c>
      <c r="H1404" s="27" t="str">
        <f>VLOOKUP($C1404,Carpetas!$C$5:$M$2666,6,FALSE)</f>
        <v>FG</v>
      </c>
      <c r="I1404" s="220"/>
      <c r="J1404" s="47">
        <f>E1404+1</f>
        <v>45819</v>
      </c>
      <c r="K1404" s="72" t="str">
        <f>VLOOKUP($C1404,Carpetas!$C$5:$M$2666,5,FALSE)</f>
        <v>Rio Branco</v>
      </c>
      <c r="L1404" s="32"/>
      <c r="M1404" s="48">
        <f t="shared" si="92"/>
        <v>45820</v>
      </c>
      <c r="N1404" s="26">
        <f t="shared" si="91"/>
        <v>2</v>
      </c>
      <c r="O1404" s="27">
        <v>990</v>
      </c>
      <c r="P1404" s="27">
        <v>991</v>
      </c>
      <c r="Q1404" s="27">
        <v>28</v>
      </c>
      <c r="R1404" s="27">
        <v>26</v>
      </c>
      <c r="S1404" s="27" t="s">
        <v>4043</v>
      </c>
      <c r="T1404" s="27"/>
      <c r="U1404" s="27">
        <v>895</v>
      </c>
      <c r="V1404" s="27" t="s">
        <v>1649</v>
      </c>
      <c r="W1404" s="27" t="s">
        <v>1650</v>
      </c>
      <c r="X1404" s="128" t="s">
        <v>1462</v>
      </c>
      <c r="Y1404" s="73" t="str">
        <f>VLOOKUP(X1404,Choferes!$B$3:C422,2,FALSE)</f>
        <v>+5553997081676</v>
      </c>
      <c r="Z1404" s="73" t="s">
        <v>4044</v>
      </c>
    </row>
    <row r="1405" spans="1:26" hidden="1" x14ac:dyDescent="0.25">
      <c r="A1405" s="33">
        <v>24</v>
      </c>
      <c r="B1405" s="71" t="s">
        <v>29</v>
      </c>
      <c r="C1405" s="39" t="s">
        <v>4008</v>
      </c>
      <c r="D1405" s="106" t="s">
        <v>249</v>
      </c>
      <c r="E1405" s="47">
        <v>45818</v>
      </c>
      <c r="F1405" s="31" t="str">
        <f>VLOOKUP($C1405,Carpetas!$C$5:$M$2666,2,FALSE)</f>
        <v>BRB064</v>
      </c>
      <c r="G1405" s="23" t="str">
        <f>VLOOKUP($C1405,Carpetas!$C$5:$M$2666,10,FALSE)</f>
        <v>152,73,01</v>
      </c>
      <c r="H1405" s="27" t="str">
        <f>VLOOKUP($C1405,Carpetas!$C$5:$M$2666,6,FALSE)</f>
        <v>FG</v>
      </c>
      <c r="I1405" s="220"/>
      <c r="J1405" s="47">
        <f>E1405+1</f>
        <v>45819</v>
      </c>
      <c r="K1405" s="72" t="str">
        <f>VLOOKUP($C1405,Carpetas!$C$5:$M$2666,5,FALSE)</f>
        <v>Rio Branco</v>
      </c>
      <c r="L1405" s="32"/>
      <c r="M1405" s="48">
        <f t="shared" si="92"/>
        <v>45820</v>
      </c>
      <c r="N1405" s="26">
        <f t="shared" si="91"/>
        <v>2</v>
      </c>
      <c r="O1405" s="27">
        <v>990</v>
      </c>
      <c r="P1405" s="27">
        <v>990</v>
      </c>
      <c r="Q1405" s="27">
        <v>28</v>
      </c>
      <c r="R1405" s="27">
        <v>26</v>
      </c>
      <c r="S1405" s="27" t="s">
        <v>4045</v>
      </c>
      <c r="T1405" s="27"/>
      <c r="U1405" s="27">
        <v>896</v>
      </c>
      <c r="V1405" s="27" t="s">
        <v>1617</v>
      </c>
      <c r="W1405" s="27" t="s">
        <v>1618</v>
      </c>
      <c r="X1405" s="128" t="s">
        <v>1619</v>
      </c>
      <c r="Y1405" s="73" t="str">
        <f>VLOOKUP(X1405,Choferes!$B$3:C423,2,FALSE)</f>
        <v>+5553984318842</v>
      </c>
      <c r="Z1405" s="73" t="s">
        <v>4046</v>
      </c>
    </row>
    <row r="1406" spans="1:26" ht="30" hidden="1" x14ac:dyDescent="0.25">
      <c r="A1406" s="33">
        <v>24</v>
      </c>
      <c r="B1406" s="71" t="s">
        <v>29</v>
      </c>
      <c r="C1406" s="39" t="s">
        <v>4047</v>
      </c>
      <c r="D1406" s="106" t="s">
        <v>183</v>
      </c>
      <c r="E1406" s="47">
        <v>45818</v>
      </c>
      <c r="F1406" s="31" t="str">
        <f>VLOOKUP($C1406,Carpetas!$C$5:$M$2666,2,FALSE)</f>
        <v>PYB028</v>
      </c>
      <c r="G1406" s="23" t="str">
        <f>VLOOKUP($C1406,Carpetas!$C$5:$M$2666,10,FALSE)</f>
        <v>152,75,56</v>
      </c>
      <c r="H1406" s="27">
        <f>VLOOKUP($C1406,Carpetas!$C$5:$M$2666,6,FALSE)</f>
        <v>0</v>
      </c>
      <c r="I1406" s="220"/>
      <c r="J1406" s="47">
        <v>45819</v>
      </c>
      <c r="K1406" s="72" t="str">
        <f>VLOOKUP($C1406,Carpetas!$C$5:$M$2666,5,FALSE)</f>
        <v>Salto</v>
      </c>
      <c r="L1406" s="32"/>
      <c r="M1406" s="48">
        <f t="shared" si="92"/>
        <v>45820</v>
      </c>
      <c r="N1406" s="26">
        <f t="shared" si="91"/>
        <v>2</v>
      </c>
      <c r="O1406" s="27">
        <v>980</v>
      </c>
      <c r="P1406" s="27">
        <v>981</v>
      </c>
      <c r="Q1406" s="27">
        <v>28</v>
      </c>
      <c r="R1406" s="27">
        <v>27</v>
      </c>
      <c r="S1406" s="27" t="s">
        <v>4048</v>
      </c>
      <c r="T1406" s="27"/>
      <c r="U1406" s="27"/>
      <c r="V1406" s="27" t="s">
        <v>4049</v>
      </c>
      <c r="W1406" s="27" t="s">
        <v>4050</v>
      </c>
      <c r="X1406" s="128"/>
      <c r="Y1406" s="73" t="e">
        <f>VLOOKUP(X1406,Choferes!$B$3:C413,2,FALSE)</f>
        <v>#N/A</v>
      </c>
      <c r="Z1406" s="73" t="s">
        <v>4051</v>
      </c>
    </row>
    <row r="1407" spans="1:26" ht="30" hidden="1" x14ac:dyDescent="0.25">
      <c r="A1407" s="33">
        <v>23</v>
      </c>
      <c r="B1407" s="71" t="s">
        <v>29</v>
      </c>
      <c r="C1407" s="39" t="s">
        <v>4052</v>
      </c>
      <c r="D1407" s="106" t="s">
        <v>38</v>
      </c>
      <c r="E1407" s="47">
        <v>45814</v>
      </c>
      <c r="F1407" s="31" t="str">
        <f>VLOOKUP($C1407,Carpetas!$C$5:$M$2666,2,FALSE)</f>
        <v>BRE022</v>
      </c>
      <c r="G1407" s="23">
        <f>VLOOKUP($C1407,Carpetas!$C$5:$M$2666,10,FALSE)</f>
        <v>1526924</v>
      </c>
      <c r="H1407" s="27" t="str">
        <f>VLOOKUP($C1407,Carpetas!$C$5:$M$2666,6,FALSE)</f>
        <v>VPN</v>
      </c>
      <c r="I1407" s="220">
        <f>VLOOKUP($C1407,Carpetas!$C$5:$M$2666,4,FALSE)</f>
        <v>0</v>
      </c>
      <c r="J1407" s="47">
        <v>45820</v>
      </c>
      <c r="K1407" s="72" t="str">
        <f>VLOOKUP($C1407,Carpetas!$C$5:$M$2666,5,FALSE)</f>
        <v>Chuy</v>
      </c>
      <c r="L1407" s="32"/>
      <c r="M1407" s="48">
        <f t="shared" si="92"/>
        <v>45821</v>
      </c>
      <c r="N1407" s="26">
        <f t="shared" si="91"/>
        <v>7</v>
      </c>
      <c r="O1407" s="27">
        <v>5184</v>
      </c>
      <c r="P1407" s="27">
        <v>5184</v>
      </c>
      <c r="Q1407" s="27">
        <v>24</v>
      </c>
      <c r="R1407" s="27">
        <v>4.4000000000000004</v>
      </c>
      <c r="S1407" s="27" t="s">
        <v>4053</v>
      </c>
      <c r="T1407" s="27"/>
      <c r="U1407" s="27"/>
      <c r="V1407" s="27" t="s">
        <v>4054</v>
      </c>
      <c r="W1407" s="27"/>
      <c r="X1407" s="128"/>
      <c r="Y1407" s="73" t="e">
        <f>VLOOKUP(X1407,Choferes!$B$3:C417,2,FALSE)</f>
        <v>#N/A</v>
      </c>
      <c r="Z1407" s="73" t="s">
        <v>4055</v>
      </c>
    </row>
    <row r="1408" spans="1:26" ht="30" hidden="1" x14ac:dyDescent="0.25">
      <c r="A1408" s="33">
        <v>23</v>
      </c>
      <c r="B1408" s="71" t="s">
        <v>29</v>
      </c>
      <c r="C1408" s="39" t="s">
        <v>4056</v>
      </c>
      <c r="D1408" s="106" t="s">
        <v>38</v>
      </c>
      <c r="E1408" s="47">
        <v>45817</v>
      </c>
      <c r="F1408" s="31" t="str">
        <f>VLOOKUP($C1408,Carpetas!$C$5:$M$2666,2,FALSE)</f>
        <v>BRE021</v>
      </c>
      <c r="G1408" s="23" t="str">
        <f>VLOOKUP($C1408,Carpetas!$C$5:$M$2666,10,FALSE)</f>
        <v>152,76,32</v>
      </c>
      <c r="H1408" s="27" t="str">
        <f>VLOOKUP($C1408,Carpetas!$C$5:$M$2666,6,FALSE)</f>
        <v xml:space="preserve">Silvio </v>
      </c>
      <c r="I1408" s="220">
        <f>VLOOKUP($C1408,Carpetas!$C$5:$M$2666,4,FALSE)</f>
        <v>0</v>
      </c>
      <c r="J1408" s="47">
        <v>45820</v>
      </c>
      <c r="K1408" s="72" t="str">
        <f>VLOOKUP($C1408,Carpetas!$C$5:$M$2666,5,FALSE)</f>
        <v>Rio Branco</v>
      </c>
      <c r="L1408" s="32"/>
      <c r="M1408" s="48">
        <f t="shared" si="92"/>
        <v>45821</v>
      </c>
      <c r="N1408" s="26">
        <f t="shared" si="91"/>
        <v>4</v>
      </c>
      <c r="O1408" s="27">
        <v>1456</v>
      </c>
      <c r="P1408" s="27">
        <v>1456</v>
      </c>
      <c r="Q1408" s="27">
        <v>26</v>
      </c>
      <c r="R1408" s="27"/>
      <c r="S1408" s="27" t="s">
        <v>4057</v>
      </c>
      <c r="T1408" s="27"/>
      <c r="U1408" s="27">
        <v>7441</v>
      </c>
      <c r="V1408" s="27" t="s">
        <v>749</v>
      </c>
      <c r="W1408" s="27" t="s">
        <v>750</v>
      </c>
      <c r="X1408" s="128" t="s">
        <v>1825</v>
      </c>
      <c r="Y1408" s="73" t="str">
        <f>VLOOKUP(X1408,Choferes!$B$3:C418,2,FALSE)</f>
        <v>+5555997126993</v>
      </c>
      <c r="Z1408" s="73" t="s">
        <v>4058</v>
      </c>
    </row>
    <row r="1409" spans="1:26" ht="30" hidden="1" x14ac:dyDescent="0.25">
      <c r="A1409" s="33">
        <v>24</v>
      </c>
      <c r="B1409" s="71" t="s">
        <v>29</v>
      </c>
      <c r="C1409" s="39" t="s">
        <v>4040</v>
      </c>
      <c r="D1409" s="106" t="s">
        <v>121</v>
      </c>
      <c r="E1409" s="47">
        <v>45818</v>
      </c>
      <c r="F1409" s="31" t="e">
        <f>VLOOKUP($C1409,Carpetas!$C$5:$M$2666,2,FALSE)</f>
        <v>#N/A</v>
      </c>
      <c r="G1409" s="23" t="e">
        <f>VLOOKUP($C1409,Carpetas!$C$5:$M$2666,10,FALSE)</f>
        <v>#N/A</v>
      </c>
      <c r="H1409" s="27" t="e">
        <f>VLOOKUP($C1409,Carpetas!$C$5:$M$2666,6,FALSE)</f>
        <v>#N/A</v>
      </c>
      <c r="I1409" s="220"/>
      <c r="J1409" s="47">
        <v>45820</v>
      </c>
      <c r="K1409" s="72" t="e">
        <f>VLOOKUP($C1409,Carpetas!$C$5:$M$2666,5,FALSE)</f>
        <v>#N/A</v>
      </c>
      <c r="L1409" s="32"/>
      <c r="M1409" s="48">
        <f t="shared" si="92"/>
        <v>45821</v>
      </c>
      <c r="N1409" s="26">
        <f t="shared" si="91"/>
        <v>3</v>
      </c>
      <c r="O1409" s="27">
        <v>980</v>
      </c>
      <c r="P1409" s="27">
        <v>983</v>
      </c>
      <c r="Q1409" s="27">
        <v>28</v>
      </c>
      <c r="R1409" s="27">
        <v>27</v>
      </c>
      <c r="S1409" s="27" t="s">
        <v>4059</v>
      </c>
      <c r="T1409" s="27"/>
      <c r="U1409" s="27"/>
      <c r="V1409" s="27"/>
      <c r="W1409" s="27"/>
      <c r="X1409" s="128"/>
      <c r="Y1409" s="73" t="e">
        <f>VLOOKUP(X1409,Choferes!$B$3:C428,2,FALSE)</f>
        <v>#N/A</v>
      </c>
      <c r="Z1409" s="73" t="s">
        <v>4060</v>
      </c>
    </row>
    <row r="1410" spans="1:26" hidden="1" x14ac:dyDescent="0.25">
      <c r="A1410" s="33">
        <v>24</v>
      </c>
      <c r="B1410" s="71" t="s">
        <v>29</v>
      </c>
      <c r="C1410" s="39" t="s">
        <v>4008</v>
      </c>
      <c r="D1410" s="106" t="s">
        <v>2474</v>
      </c>
      <c r="E1410" s="47">
        <v>45818</v>
      </c>
      <c r="F1410" s="31" t="str">
        <f>VLOOKUP($C1410,Carpetas!$C$5:$M$2666,2,FALSE)</f>
        <v>BRB064</v>
      </c>
      <c r="G1410" s="23" t="str">
        <f>VLOOKUP($C1410,Carpetas!$C$5:$M$2666,10,FALSE)</f>
        <v>152,73,01</v>
      </c>
      <c r="H1410" s="27" t="str">
        <f>VLOOKUP($C1410,Carpetas!$C$5:$M$2666,6,FALSE)</f>
        <v>FG</v>
      </c>
      <c r="I1410" s="220"/>
      <c r="J1410" s="47">
        <f>E1410+2</f>
        <v>45820</v>
      </c>
      <c r="K1410" s="72" t="str">
        <f>VLOOKUP($C1410,Carpetas!$C$5:$M$2666,5,FALSE)</f>
        <v>Rio Branco</v>
      </c>
      <c r="L1410" s="32"/>
      <c r="M1410" s="48">
        <f t="shared" si="92"/>
        <v>45821</v>
      </c>
      <c r="N1410" s="26">
        <f t="shared" si="91"/>
        <v>3</v>
      </c>
      <c r="O1410" s="27">
        <v>990</v>
      </c>
      <c r="P1410" s="27">
        <v>972</v>
      </c>
      <c r="Q1410" s="27">
        <v>27</v>
      </c>
      <c r="R1410" s="27">
        <v>26</v>
      </c>
      <c r="S1410" s="27" t="s">
        <v>4061</v>
      </c>
      <c r="T1410" s="27"/>
      <c r="U1410" s="27">
        <v>898</v>
      </c>
      <c r="V1410" s="27" t="s">
        <v>3411</v>
      </c>
      <c r="W1410" s="27" t="s">
        <v>3412</v>
      </c>
      <c r="X1410" s="128" t="s">
        <v>3559</v>
      </c>
      <c r="Y1410" s="73" t="str">
        <f>VLOOKUP(X1410,Choferes!$B$3:C421,2,FALSE)</f>
        <v>+55 53 9713-4372</v>
      </c>
      <c r="Z1410" s="73" t="s">
        <v>4062</v>
      </c>
    </row>
    <row r="1411" spans="1:26" hidden="1" x14ac:dyDescent="0.25">
      <c r="A1411" s="33">
        <v>24</v>
      </c>
      <c r="B1411" s="71" t="s">
        <v>29</v>
      </c>
      <c r="C1411" s="39" t="s">
        <v>4008</v>
      </c>
      <c r="D1411" s="106" t="s">
        <v>2474</v>
      </c>
      <c r="E1411" s="47">
        <v>45819</v>
      </c>
      <c r="F1411" s="31" t="str">
        <f>VLOOKUP($C1411,Carpetas!$C$5:$M$2666,2,FALSE)</f>
        <v>BRB064</v>
      </c>
      <c r="G1411" s="23" t="str">
        <f>VLOOKUP($C1411,Carpetas!$C$5:$M$2666,10,FALSE)</f>
        <v>152,73,01</v>
      </c>
      <c r="H1411" s="27" t="str">
        <f>VLOOKUP($C1411,Carpetas!$C$5:$M$2666,6,FALSE)</f>
        <v>FG</v>
      </c>
      <c r="I1411" s="220"/>
      <c r="J1411" s="47">
        <v>45820</v>
      </c>
      <c r="K1411" s="72" t="str">
        <f>VLOOKUP($C1411,Carpetas!$C$5:$M$2666,5,FALSE)</f>
        <v>Rio Branco</v>
      </c>
      <c r="L1411" s="32"/>
      <c r="M1411" s="48">
        <f t="shared" si="92"/>
        <v>45821</v>
      </c>
      <c r="N1411" s="26">
        <f t="shared" si="91"/>
        <v>2</v>
      </c>
      <c r="O1411" s="27">
        <v>990</v>
      </c>
      <c r="P1411" s="27">
        <v>1008</v>
      </c>
      <c r="Q1411" s="27">
        <v>28</v>
      </c>
      <c r="R1411" s="27">
        <v>26</v>
      </c>
      <c r="S1411" s="27" t="s">
        <v>4063</v>
      </c>
      <c r="T1411" s="27"/>
      <c r="U1411" s="27">
        <v>899</v>
      </c>
      <c r="V1411" s="27" t="s">
        <v>3572</v>
      </c>
      <c r="W1411" s="27" t="s">
        <v>1723</v>
      </c>
      <c r="X1411" s="128" t="s">
        <v>4064</v>
      </c>
      <c r="Y1411" s="73" t="str">
        <f>VLOOKUP(X1411,Choferes!$B$3:C424,2,FALSE)</f>
        <v>+55 53 9905-0337</v>
      </c>
      <c r="Z1411" s="73" t="s">
        <v>4065</v>
      </c>
    </row>
    <row r="1412" spans="1:26" hidden="1" x14ac:dyDescent="0.25">
      <c r="A1412" s="33">
        <v>24</v>
      </c>
      <c r="B1412" s="71" t="s">
        <v>29</v>
      </c>
      <c r="C1412" s="39" t="s">
        <v>4066</v>
      </c>
      <c r="D1412" s="106" t="s">
        <v>78</v>
      </c>
      <c r="E1412" s="47">
        <v>45819</v>
      </c>
      <c r="F1412" s="31" t="str">
        <f>VLOOKUP($C1412,Carpetas!$C$5:$M$2666,2,FALSE)</f>
        <v>BRB067</v>
      </c>
      <c r="G1412" s="23" t="str">
        <f>VLOOKUP($C1412,Carpetas!$C$5:$M$2666,10,FALSE)</f>
        <v>152,77,92</v>
      </c>
      <c r="H1412" s="27" t="str">
        <f>VLOOKUP($C1412,Carpetas!$C$5:$M$2666,6,FALSE)</f>
        <v>FG</v>
      </c>
      <c r="I1412" s="220"/>
      <c r="J1412" s="47">
        <v>45820</v>
      </c>
      <c r="K1412" s="72" t="str">
        <f>VLOOKUP($C1412,Carpetas!$C$5:$M$2666,5,FALSE)</f>
        <v>Rio Branco</v>
      </c>
      <c r="L1412" s="32"/>
      <c r="M1412" s="48">
        <f t="shared" si="92"/>
        <v>45821</v>
      </c>
      <c r="N1412" s="26">
        <f t="shared" si="91"/>
        <v>2</v>
      </c>
      <c r="O1412" s="27">
        <v>990</v>
      </c>
      <c r="P1412" s="27">
        <v>990</v>
      </c>
      <c r="Q1412" s="27">
        <v>28</v>
      </c>
      <c r="R1412" s="27">
        <v>25</v>
      </c>
      <c r="S1412" s="27" t="s">
        <v>791</v>
      </c>
      <c r="T1412" s="27"/>
      <c r="U1412" s="27">
        <v>902</v>
      </c>
      <c r="V1412" s="27" t="s">
        <v>1430</v>
      </c>
      <c r="W1412" s="27" t="s">
        <v>1669</v>
      </c>
      <c r="X1412" s="128" t="s">
        <v>1923</v>
      </c>
      <c r="Y1412" s="73" t="str">
        <f>VLOOKUP(X1412,Choferes!$B$3:C425,2,FALSE)</f>
        <v>+5553999049426</v>
      </c>
      <c r="Z1412" s="73" t="s">
        <v>4067</v>
      </c>
    </row>
    <row r="1413" spans="1:26" hidden="1" x14ac:dyDescent="0.25">
      <c r="A1413" s="33">
        <v>24</v>
      </c>
      <c r="B1413" s="71" t="s">
        <v>29</v>
      </c>
      <c r="C1413" s="39" t="s">
        <v>4066</v>
      </c>
      <c r="D1413" s="106" t="s">
        <v>747</v>
      </c>
      <c r="E1413" s="47">
        <v>45819</v>
      </c>
      <c r="F1413" s="31" t="str">
        <f>VLOOKUP($C1413,Carpetas!$C$5:$M$2666,2,FALSE)</f>
        <v>BRB067</v>
      </c>
      <c r="G1413" s="23" t="str">
        <f>VLOOKUP($C1413,Carpetas!$C$5:$M$2666,10,FALSE)</f>
        <v>152,77,92</v>
      </c>
      <c r="H1413" s="27" t="str">
        <f>VLOOKUP($C1413,Carpetas!$C$5:$M$2666,6,FALSE)</f>
        <v>FG</v>
      </c>
      <c r="I1413" s="220"/>
      <c r="J1413" s="47">
        <v>45820</v>
      </c>
      <c r="K1413" s="72" t="str">
        <f>VLOOKUP($C1413,Carpetas!$C$5:$M$2666,5,FALSE)</f>
        <v>Rio Branco</v>
      </c>
      <c r="L1413" s="32"/>
      <c r="M1413" s="48">
        <f t="shared" si="92"/>
        <v>45821</v>
      </c>
      <c r="N1413" s="26">
        <f t="shared" si="91"/>
        <v>2</v>
      </c>
      <c r="O1413" s="27">
        <v>990</v>
      </c>
      <c r="P1413" s="27">
        <v>991</v>
      </c>
      <c r="Q1413" s="27">
        <v>28</v>
      </c>
      <c r="R1413" s="27">
        <v>26</v>
      </c>
      <c r="S1413" s="27" t="s">
        <v>4068</v>
      </c>
      <c r="T1413" s="27"/>
      <c r="U1413" s="27">
        <v>901</v>
      </c>
      <c r="V1413" s="27" t="s">
        <v>1626</v>
      </c>
      <c r="W1413" s="27" t="s">
        <v>1627</v>
      </c>
      <c r="X1413" s="128" t="s">
        <v>1489</v>
      </c>
      <c r="Y1413" s="73" t="str">
        <f>VLOOKUP(X1413,Choferes!$B$3:C427,2,FALSE)</f>
        <v>+5553984039582</v>
      </c>
      <c r="Z1413" s="73" t="s">
        <v>4069</v>
      </c>
    </row>
    <row r="1414" spans="1:26" ht="30" hidden="1" x14ac:dyDescent="0.25">
      <c r="A1414" s="33">
        <v>24</v>
      </c>
      <c r="B1414" s="71" t="s">
        <v>29</v>
      </c>
      <c r="C1414" s="39" t="s">
        <v>4035</v>
      </c>
      <c r="D1414" s="106" t="s">
        <v>110</v>
      </c>
      <c r="E1414" s="47">
        <v>45818</v>
      </c>
      <c r="F1414" s="31" t="str">
        <f>VLOOKUP($C1414,Carpetas!$C$5:$M$2666,2,FALSE)</f>
        <v>BRB066</v>
      </c>
      <c r="G1414" s="23" t="str">
        <f>VLOOKUP($C1414,Carpetas!$C$5:$M$2666,10,FALSE)</f>
        <v>152,72,64</v>
      </c>
      <c r="H1414" s="27" t="str">
        <f>VLOOKUP($C1414,Carpetas!$C$5:$M$2666,6,FALSE)</f>
        <v xml:space="preserve">Silvio </v>
      </c>
      <c r="I1414" s="220"/>
      <c r="J1414" s="47">
        <f>E1414+2</f>
        <v>45820</v>
      </c>
      <c r="K1414" s="72" t="str">
        <f>VLOOKUP($C1414,Carpetas!$C$5:$M$2666,5,FALSE)</f>
        <v>Chuy</v>
      </c>
      <c r="L1414" s="32"/>
      <c r="M1414" s="48">
        <v>45822</v>
      </c>
      <c r="N1414" s="26">
        <f t="shared" si="91"/>
        <v>4</v>
      </c>
      <c r="O1414" s="27">
        <v>918</v>
      </c>
      <c r="P1414" s="27">
        <v>919</v>
      </c>
      <c r="Q1414" s="27">
        <v>26</v>
      </c>
      <c r="R1414" s="27">
        <v>26</v>
      </c>
      <c r="S1414" s="27" t="s">
        <v>2410</v>
      </c>
      <c r="T1414" s="27"/>
      <c r="U1414" s="27"/>
      <c r="V1414" s="27" t="s">
        <v>4070</v>
      </c>
      <c r="W1414" s="27" t="s">
        <v>4071</v>
      </c>
      <c r="X1414" s="128"/>
      <c r="Y1414" s="73" t="e">
        <f>VLOOKUP(X1414,Choferes!$B$3:C414,2,FALSE)</f>
        <v>#N/A</v>
      </c>
      <c r="Z1414" s="73" t="s">
        <v>4072</v>
      </c>
    </row>
    <row r="1415" spans="1:26" hidden="1" x14ac:dyDescent="0.25">
      <c r="A1415" s="33">
        <v>24</v>
      </c>
      <c r="B1415" s="71" t="s">
        <v>29</v>
      </c>
      <c r="C1415" s="39" t="s">
        <v>4073</v>
      </c>
      <c r="D1415" s="106" t="s">
        <v>102</v>
      </c>
      <c r="E1415" s="47">
        <v>45817</v>
      </c>
      <c r="F1415" s="31" t="str">
        <f>VLOOKUP($C1415,Carpetas!$C$5:$M$2666,2,FALSE)</f>
        <v>PYB027</v>
      </c>
      <c r="G1415" s="23" t="str">
        <f>VLOOKUP($C1415,Carpetas!$C$5:$M$2666,10,FALSE)</f>
        <v>152,75,57</v>
      </c>
      <c r="H1415" s="27">
        <f>VLOOKUP($C1415,Carpetas!$C$5:$M$2666,6,FALSE)</f>
        <v>0</v>
      </c>
      <c r="I1415" s="220"/>
      <c r="J1415" s="47">
        <v>45821</v>
      </c>
      <c r="K1415" s="72" t="str">
        <f>VLOOKUP($C1415,Carpetas!$C$5:$M$2666,5,FALSE)</f>
        <v>Salto</v>
      </c>
      <c r="L1415" s="32"/>
      <c r="M1415" s="48">
        <f t="shared" ref="M1415:M1440" si="93">J1415+1</f>
        <v>45822</v>
      </c>
      <c r="N1415" s="26">
        <f t="shared" si="91"/>
        <v>5</v>
      </c>
      <c r="O1415" s="27">
        <v>980</v>
      </c>
      <c r="P1415" s="27">
        <v>980</v>
      </c>
      <c r="Q1415" s="27">
        <v>28</v>
      </c>
      <c r="R1415" s="27">
        <v>26</v>
      </c>
      <c r="S1415" s="27" t="s">
        <v>489</v>
      </c>
      <c r="T1415" s="27"/>
      <c r="U1415" s="27"/>
      <c r="V1415" s="27" t="s">
        <v>288</v>
      </c>
      <c r="W1415" s="27" t="s">
        <v>289</v>
      </c>
      <c r="X1415" s="128"/>
      <c r="Y1415" s="73" t="e">
        <f>VLOOKUP(X1415,Choferes!$B$3:C427,2,FALSE)</f>
        <v>#N/A</v>
      </c>
      <c r="Z1415" s="73" t="s">
        <v>4074</v>
      </c>
    </row>
    <row r="1416" spans="1:26" ht="30" hidden="1" x14ac:dyDescent="0.25">
      <c r="A1416" s="33">
        <v>24</v>
      </c>
      <c r="B1416" s="71" t="s">
        <v>29</v>
      </c>
      <c r="C1416" s="39" t="s">
        <v>4066</v>
      </c>
      <c r="D1416" s="106" t="s">
        <v>2202</v>
      </c>
      <c r="E1416" s="47">
        <v>45819</v>
      </c>
      <c r="F1416" s="31" t="str">
        <f>VLOOKUP($C1416,Carpetas!$C$5:$M$2666,2,FALSE)</f>
        <v>BRB067</v>
      </c>
      <c r="G1416" s="23" t="str">
        <f>VLOOKUP($C1416,Carpetas!$C$5:$M$2666,10,FALSE)</f>
        <v>152,77,92</v>
      </c>
      <c r="H1416" s="27" t="str">
        <f>VLOOKUP($C1416,Carpetas!$C$5:$M$2666,6,FALSE)</f>
        <v>FG</v>
      </c>
      <c r="I1416" s="220"/>
      <c r="J1416" s="47">
        <f>E1416+2</f>
        <v>45821</v>
      </c>
      <c r="K1416" s="72" t="str">
        <f>VLOOKUP($C1416,Carpetas!$C$5:$M$2666,5,FALSE)</f>
        <v>Rio Branco</v>
      </c>
      <c r="L1416" s="32"/>
      <c r="M1416" s="48">
        <f t="shared" si="93"/>
        <v>45822</v>
      </c>
      <c r="N1416" s="26">
        <f t="shared" si="91"/>
        <v>3</v>
      </c>
      <c r="O1416" s="27">
        <v>990</v>
      </c>
      <c r="P1416" s="27">
        <v>990</v>
      </c>
      <c r="Q1416" s="27">
        <v>28</v>
      </c>
      <c r="R1416" s="27">
        <v>25</v>
      </c>
      <c r="S1416" s="27" t="s">
        <v>2496</v>
      </c>
      <c r="T1416" s="27"/>
      <c r="U1416" s="27">
        <v>5299</v>
      </c>
      <c r="V1416" s="27" t="s">
        <v>959</v>
      </c>
      <c r="W1416" s="27" t="s">
        <v>960</v>
      </c>
      <c r="X1416" s="128" t="s">
        <v>4075</v>
      </c>
      <c r="Y1416" s="73" t="str">
        <f>VLOOKUP(X1416,Choferes!$B$3:C426,2,FALSE)</f>
        <v>+55 53 9991-5557</v>
      </c>
      <c r="Z1416" s="73" t="s">
        <v>4076</v>
      </c>
    </row>
    <row r="1417" spans="1:26" hidden="1" x14ac:dyDescent="0.25">
      <c r="A1417" s="33">
        <v>24</v>
      </c>
      <c r="B1417" s="71" t="s">
        <v>29</v>
      </c>
      <c r="C1417" s="39" t="s">
        <v>3994</v>
      </c>
      <c r="D1417" s="106" t="s">
        <v>2474</v>
      </c>
      <c r="E1417" s="47">
        <v>45820</v>
      </c>
      <c r="F1417" s="31" t="str">
        <f>VLOOKUP($C1417,Carpetas!$C$5:$M$2666,2,FALSE)</f>
        <v>BRB062</v>
      </c>
      <c r="G1417" s="23" t="str">
        <f>VLOOKUP($C1417,Carpetas!$C$5:$M$2666,10,FALSE)</f>
        <v>152,72,63</v>
      </c>
      <c r="H1417" s="27" t="str">
        <f>VLOOKUP($C1417,Carpetas!$C$5:$M$2666,6,FALSE)</f>
        <v>Zanini</v>
      </c>
      <c r="I1417" s="220"/>
      <c r="J1417" s="47">
        <f>E1417+1</f>
        <v>45821</v>
      </c>
      <c r="K1417" s="72" t="str">
        <f>VLOOKUP($C1417,Carpetas!$C$5:$M$2666,5,FALSE)</f>
        <v>Rio Branco</v>
      </c>
      <c r="L1417" s="32"/>
      <c r="M1417" s="48">
        <f t="shared" si="93"/>
        <v>45822</v>
      </c>
      <c r="N1417" s="26">
        <f t="shared" si="91"/>
        <v>2</v>
      </c>
      <c r="O1417" s="27">
        <v>918</v>
      </c>
      <c r="P1417" s="27">
        <v>918</v>
      </c>
      <c r="Q1417" s="27">
        <v>26</v>
      </c>
      <c r="R1417" s="27">
        <v>25</v>
      </c>
      <c r="S1417" s="27" t="s">
        <v>4077</v>
      </c>
      <c r="T1417" s="27"/>
      <c r="U1417" s="27">
        <v>904</v>
      </c>
      <c r="V1417" s="27" t="s">
        <v>2339</v>
      </c>
      <c r="W1417" s="27" t="s">
        <v>2340</v>
      </c>
      <c r="X1417" s="128" t="s">
        <v>1413</v>
      </c>
      <c r="Y1417" s="73" t="str">
        <f>VLOOKUP(X1417,Choferes!$B$3:C416,2,FALSE)</f>
        <v>+59899406679</v>
      </c>
      <c r="Z1417" s="73" t="s">
        <v>4078</v>
      </c>
    </row>
    <row r="1418" spans="1:26" hidden="1" x14ac:dyDescent="0.25">
      <c r="A1418" s="33">
        <v>24</v>
      </c>
      <c r="B1418" s="71" t="s">
        <v>29</v>
      </c>
      <c r="C1418" s="39" t="s">
        <v>3994</v>
      </c>
      <c r="D1418" s="106" t="s">
        <v>2202</v>
      </c>
      <c r="E1418" s="47">
        <v>45821</v>
      </c>
      <c r="F1418" s="31" t="str">
        <f>VLOOKUP($C1418,Carpetas!$C$5:$M$2666,2,FALSE)</f>
        <v>BRB062</v>
      </c>
      <c r="G1418" s="23" t="str">
        <f>VLOOKUP($C1418,Carpetas!$C$5:$M$2666,10,FALSE)</f>
        <v>152,72,63</v>
      </c>
      <c r="H1418" s="27" t="str">
        <f>VLOOKUP($C1418,Carpetas!$C$5:$M$2666,6,FALSE)</f>
        <v>Zanini</v>
      </c>
      <c r="I1418" s="220"/>
      <c r="J1418" s="47">
        <f t="shared" ref="J1418:J1425" si="94">E1418+3</f>
        <v>45824</v>
      </c>
      <c r="K1418" s="72" t="str">
        <f>VLOOKUP($C1418,Carpetas!$C$5:$M$2666,5,FALSE)</f>
        <v>Rio Branco</v>
      </c>
      <c r="L1418" s="32"/>
      <c r="M1418" s="48">
        <f t="shared" si="93"/>
        <v>45825</v>
      </c>
      <c r="N1418" s="26">
        <f t="shared" si="91"/>
        <v>4</v>
      </c>
      <c r="O1418" s="27">
        <v>918</v>
      </c>
      <c r="P1418" s="27">
        <v>918</v>
      </c>
      <c r="Q1418" s="27">
        <v>26</v>
      </c>
      <c r="R1418" s="27">
        <v>25</v>
      </c>
      <c r="S1418" s="27" t="s">
        <v>4079</v>
      </c>
      <c r="T1418" s="27"/>
      <c r="U1418" s="27">
        <v>5300</v>
      </c>
      <c r="V1418" s="27" t="s">
        <v>821</v>
      </c>
      <c r="W1418" s="27" t="s">
        <v>822</v>
      </c>
      <c r="X1418" s="128" t="s">
        <v>1960</v>
      </c>
      <c r="Y1418" s="73" t="str">
        <f>VLOOKUP(X1418,Choferes!$B$3:C417,2,FALSE)</f>
        <v>+5555999462209</v>
      </c>
      <c r="Z1418" s="73" t="s">
        <v>4080</v>
      </c>
    </row>
    <row r="1419" spans="1:26" hidden="1" x14ac:dyDescent="0.25">
      <c r="A1419" s="33">
        <v>24</v>
      </c>
      <c r="B1419" s="71" t="s">
        <v>298</v>
      </c>
      <c r="C1419" s="39" t="s">
        <v>299</v>
      </c>
      <c r="D1419" s="106" t="s">
        <v>38</v>
      </c>
      <c r="E1419" s="47">
        <v>45821</v>
      </c>
      <c r="F1419" s="31" t="str">
        <f>VLOOKUP($C1419,Carpetas!$C$5:$M$2666,2,FALSE)</f>
        <v>BRB</v>
      </c>
      <c r="G1419" s="23" t="str">
        <f>VLOOKUP($C1419,Carpetas!$C$5:$M$2666,10,FALSE)</f>
        <v>xx</v>
      </c>
      <c r="H1419" s="27" t="str">
        <f>VLOOKUP($C1419,Carpetas!$C$5:$M$2666,5,FALSE)</f>
        <v>xx</v>
      </c>
      <c r="I1419" s="220">
        <f>VLOOKUP($C1419,Carpetas!$C$5:$M$2666,4,FALSE)</f>
        <v>0</v>
      </c>
      <c r="J1419" s="47">
        <f t="shared" si="94"/>
        <v>45824</v>
      </c>
      <c r="K1419" s="72" t="str">
        <f>VLOOKUP($C1419,Carpetas!$C$5:$M$2666,5,FALSE)</f>
        <v>xx</v>
      </c>
      <c r="L1419" s="32"/>
      <c r="M1419" s="48">
        <f t="shared" si="93"/>
        <v>45825</v>
      </c>
      <c r="N1419" s="26">
        <f t="shared" si="91"/>
        <v>4</v>
      </c>
      <c r="O1419" s="27">
        <v>1400</v>
      </c>
      <c r="P1419" s="27"/>
      <c r="Q1419" s="27"/>
      <c r="R1419" s="27"/>
      <c r="S1419" s="27"/>
      <c r="T1419" s="27"/>
      <c r="U1419" s="27"/>
      <c r="V1419" s="27"/>
      <c r="W1419" s="27"/>
      <c r="X1419" s="128"/>
      <c r="Y1419" s="73" t="e">
        <f>VLOOKUP(X1419,Choferes!$B$3:C418,2,FALSE)</f>
        <v>#N/A</v>
      </c>
      <c r="Z1419" s="73" t="s">
        <v>4081</v>
      </c>
    </row>
    <row r="1420" spans="1:26" ht="30" hidden="1" x14ac:dyDescent="0.25">
      <c r="A1420" s="33">
        <v>24</v>
      </c>
      <c r="B1420" s="71" t="s">
        <v>29</v>
      </c>
      <c r="C1420" s="39" t="s">
        <v>4035</v>
      </c>
      <c r="D1420" s="106" t="s">
        <v>110</v>
      </c>
      <c r="E1420" s="47">
        <v>45821</v>
      </c>
      <c r="F1420" s="31" t="str">
        <f>VLOOKUP($C1420,Carpetas!$C$5:$M$2666,2,FALSE)</f>
        <v>BRB066</v>
      </c>
      <c r="G1420" s="23" t="str">
        <f>VLOOKUP($C1420,Carpetas!$C$5:$M$2666,10,FALSE)</f>
        <v>152,72,64</v>
      </c>
      <c r="H1420" s="27" t="str">
        <f>VLOOKUP($C1420,Carpetas!$C$5:$M$2666,6,FALSE)</f>
        <v xml:space="preserve">Silvio </v>
      </c>
      <c r="I1420" s="220"/>
      <c r="J1420" s="47">
        <f t="shared" si="94"/>
        <v>45824</v>
      </c>
      <c r="K1420" s="72" t="str">
        <f>VLOOKUP($C1420,Carpetas!$C$5:$M$2666,5,FALSE)</f>
        <v>Chuy</v>
      </c>
      <c r="L1420" s="32"/>
      <c r="M1420" s="48">
        <f t="shared" si="93"/>
        <v>45825</v>
      </c>
      <c r="N1420" s="26">
        <f t="shared" si="91"/>
        <v>4</v>
      </c>
      <c r="O1420" s="27">
        <v>918</v>
      </c>
      <c r="P1420" s="27"/>
      <c r="Q1420" s="27"/>
      <c r="R1420" s="27"/>
      <c r="S1420" s="27" t="s">
        <v>2447</v>
      </c>
      <c r="T1420" s="27"/>
      <c r="U1420" s="27"/>
      <c r="V1420" s="27" t="s">
        <v>4082</v>
      </c>
      <c r="W1420" s="27" t="s">
        <v>4083</v>
      </c>
      <c r="X1420" s="128"/>
      <c r="Y1420" s="73" t="e">
        <f>VLOOKUP(X1420,Choferes!$B$3:C415,2,FALSE)</f>
        <v>#N/A</v>
      </c>
      <c r="Z1420" s="73" t="s">
        <v>4084</v>
      </c>
    </row>
    <row r="1421" spans="1:26" hidden="1" x14ac:dyDescent="0.25">
      <c r="A1421" s="33">
        <v>24</v>
      </c>
      <c r="B1421" s="71" t="s">
        <v>29</v>
      </c>
      <c r="C1421" s="39" t="s">
        <v>4029</v>
      </c>
      <c r="D1421" s="106" t="s">
        <v>747</v>
      </c>
      <c r="E1421" s="47">
        <v>45821</v>
      </c>
      <c r="F1421" s="31" t="str">
        <f>VLOOKUP($C1421,Carpetas!$C$5:$M$2666,2,FALSE)</f>
        <v>BRB065</v>
      </c>
      <c r="G1421" s="23" t="str">
        <f>VLOOKUP($C1421,Carpetas!$C$5:$M$2666,10,FALSE)</f>
        <v>152,73,05</v>
      </c>
      <c r="H1421" s="27" t="str">
        <f>VLOOKUP($C1421,Carpetas!$C$5:$M$2666,6,FALSE)</f>
        <v>Gral</v>
      </c>
      <c r="I1421" s="220"/>
      <c r="J1421" s="47">
        <f t="shared" si="94"/>
        <v>45824</v>
      </c>
      <c r="K1421" s="72" t="str">
        <f>VLOOKUP($C1421,Carpetas!$C$5:$M$2666,5,FALSE)</f>
        <v>Rio Branco</v>
      </c>
      <c r="L1421" s="32"/>
      <c r="M1421" s="48">
        <f t="shared" si="93"/>
        <v>45825</v>
      </c>
      <c r="N1421" s="26">
        <f t="shared" si="91"/>
        <v>4</v>
      </c>
      <c r="O1421" s="27">
        <v>918</v>
      </c>
      <c r="P1421" s="27">
        <v>919</v>
      </c>
      <c r="Q1421" s="27">
        <v>26</v>
      </c>
      <c r="R1421" s="27">
        <v>25</v>
      </c>
      <c r="S1421" s="27" t="s">
        <v>4085</v>
      </c>
      <c r="T1421" s="27"/>
      <c r="U1421" s="27">
        <v>7437</v>
      </c>
      <c r="V1421" s="27" t="s">
        <v>4086</v>
      </c>
      <c r="W1421" s="27" t="s">
        <v>4087</v>
      </c>
      <c r="X1421" s="128" t="s">
        <v>4088</v>
      </c>
      <c r="Y1421" s="73">
        <f>VLOOKUP(X1421,Choferes!$B$3:C419,2,FALSE)</f>
        <v>0</v>
      </c>
      <c r="Z1421" s="73" t="s">
        <v>4089</v>
      </c>
    </row>
    <row r="1422" spans="1:26" hidden="1" x14ac:dyDescent="0.25">
      <c r="A1422" s="33">
        <v>24</v>
      </c>
      <c r="B1422" s="71" t="s">
        <v>29</v>
      </c>
      <c r="C1422" s="39" t="s">
        <v>4066</v>
      </c>
      <c r="D1422" s="106" t="s">
        <v>249</v>
      </c>
      <c r="E1422" s="47">
        <v>45821</v>
      </c>
      <c r="F1422" s="31" t="str">
        <f>VLOOKUP($C1422,Carpetas!$C$5:$M$2666,2,FALSE)</f>
        <v>BRB067</v>
      </c>
      <c r="G1422" s="23" t="str">
        <f>VLOOKUP($C1422,Carpetas!$C$5:$M$2666,10,FALSE)</f>
        <v>152,77,92</v>
      </c>
      <c r="H1422" s="27" t="str">
        <f>VLOOKUP($C1422,Carpetas!$C$5:$M$2666,6,FALSE)</f>
        <v>FG</v>
      </c>
      <c r="I1422" s="220"/>
      <c r="J1422" s="47">
        <f t="shared" si="94"/>
        <v>45824</v>
      </c>
      <c r="K1422" s="72" t="str">
        <f>VLOOKUP($C1422,Carpetas!$C$5:$M$2666,5,FALSE)</f>
        <v>Rio Branco</v>
      </c>
      <c r="L1422" s="32"/>
      <c r="M1422" s="48">
        <f t="shared" si="93"/>
        <v>45825</v>
      </c>
      <c r="N1422" s="26">
        <f t="shared" si="91"/>
        <v>4</v>
      </c>
      <c r="O1422" s="27">
        <v>990</v>
      </c>
      <c r="P1422" s="27">
        <v>990</v>
      </c>
      <c r="Q1422" s="27">
        <v>28</v>
      </c>
      <c r="R1422" s="27">
        <v>25</v>
      </c>
      <c r="S1422" s="27" t="s">
        <v>4090</v>
      </c>
      <c r="T1422" s="27"/>
      <c r="U1422" s="27">
        <v>905</v>
      </c>
      <c r="V1422" s="27" t="s">
        <v>1726</v>
      </c>
      <c r="W1422" s="27" t="s">
        <v>1646</v>
      </c>
      <c r="X1422" s="128" t="s">
        <v>1576</v>
      </c>
      <c r="Y1422" s="73" t="str">
        <f>VLOOKUP(X1422,Choferes!$B$3:C428,2,FALSE)</f>
        <v>+55119971489722</v>
      </c>
      <c r="Z1422" s="73" t="s">
        <v>4091</v>
      </c>
    </row>
    <row r="1423" spans="1:26" hidden="1" x14ac:dyDescent="0.25">
      <c r="A1423" s="33">
        <v>24</v>
      </c>
      <c r="B1423" s="71" t="s">
        <v>29</v>
      </c>
      <c r="C1423" s="39" t="s">
        <v>4066</v>
      </c>
      <c r="D1423" s="106" t="s">
        <v>880</v>
      </c>
      <c r="E1423" s="47">
        <v>45821</v>
      </c>
      <c r="F1423" s="31" t="str">
        <f>VLOOKUP($C1423,Carpetas!$C$5:$M$2666,2,FALSE)</f>
        <v>BRB067</v>
      </c>
      <c r="G1423" s="23" t="str">
        <f>VLOOKUP($C1423,Carpetas!$C$5:$M$2666,10,FALSE)</f>
        <v>152,77,92</v>
      </c>
      <c r="H1423" s="27" t="str">
        <f>VLOOKUP($C1423,Carpetas!$C$5:$M$2666,6,FALSE)</f>
        <v>FG</v>
      </c>
      <c r="I1423" s="220"/>
      <c r="J1423" s="47">
        <f t="shared" si="94"/>
        <v>45824</v>
      </c>
      <c r="K1423" s="72" t="str">
        <f>VLOOKUP($C1423,Carpetas!$C$5:$M$2666,5,FALSE)</f>
        <v>Rio Branco</v>
      </c>
      <c r="L1423" s="32"/>
      <c r="M1423" s="48">
        <f t="shared" si="93"/>
        <v>45825</v>
      </c>
      <c r="N1423" s="26">
        <f t="shared" si="91"/>
        <v>4</v>
      </c>
      <c r="O1423" s="27">
        <v>990</v>
      </c>
      <c r="P1423" s="27">
        <v>990</v>
      </c>
      <c r="Q1423" s="27">
        <v>28</v>
      </c>
      <c r="R1423" s="27">
        <v>26</v>
      </c>
      <c r="S1423" s="27" t="s">
        <v>4092</v>
      </c>
      <c r="T1423" s="27"/>
      <c r="U1423" s="27">
        <v>907</v>
      </c>
      <c r="V1423" s="27" t="s">
        <v>4093</v>
      </c>
      <c r="W1423" s="27" t="s">
        <v>4094</v>
      </c>
      <c r="X1423" s="128" t="s">
        <v>4095</v>
      </c>
      <c r="Y1423" s="73" t="str">
        <f>VLOOKUP(X1423,Choferes!$B$3:C428,2,FALSE)</f>
        <v>+55 53 8474-9701</v>
      </c>
      <c r="Z1423" s="73" t="s">
        <v>4096</v>
      </c>
    </row>
    <row r="1424" spans="1:26" hidden="1" x14ac:dyDescent="0.25">
      <c r="A1424" s="33">
        <v>24</v>
      </c>
      <c r="B1424" s="71" t="s">
        <v>29</v>
      </c>
      <c r="C1424" s="39" t="s">
        <v>4066</v>
      </c>
      <c r="D1424" s="106" t="s">
        <v>2474</v>
      </c>
      <c r="E1424" s="47">
        <v>45821</v>
      </c>
      <c r="F1424" s="31" t="str">
        <f>VLOOKUP($C1424,Carpetas!$C$5:$M$2666,2,FALSE)</f>
        <v>BRB067</v>
      </c>
      <c r="G1424" s="23" t="str">
        <f>VLOOKUP($C1424,Carpetas!$C$5:$M$2666,10,FALSE)</f>
        <v>152,77,92</v>
      </c>
      <c r="H1424" s="27" t="str">
        <f>VLOOKUP($C1424,Carpetas!$C$5:$M$2666,6,FALSE)</f>
        <v>FG</v>
      </c>
      <c r="I1424" s="220"/>
      <c r="J1424" s="47">
        <f t="shared" si="94"/>
        <v>45824</v>
      </c>
      <c r="K1424" s="72" t="str">
        <f>VLOOKUP($C1424,Carpetas!$C$5:$M$2666,5,FALSE)</f>
        <v>Rio Branco</v>
      </c>
      <c r="L1424" s="32"/>
      <c r="M1424" s="48">
        <f t="shared" si="93"/>
        <v>45825</v>
      </c>
      <c r="N1424" s="26">
        <f t="shared" si="91"/>
        <v>4</v>
      </c>
      <c r="O1424" s="27">
        <v>990</v>
      </c>
      <c r="P1424" s="27">
        <v>990</v>
      </c>
      <c r="Q1424" s="27">
        <v>28</v>
      </c>
      <c r="R1424" s="27">
        <v>26</v>
      </c>
      <c r="S1424" s="27" t="s">
        <v>4097</v>
      </c>
      <c r="T1424" s="27"/>
      <c r="U1424" s="27">
        <v>906</v>
      </c>
      <c r="V1424" s="27" t="s">
        <v>3669</v>
      </c>
      <c r="W1424" s="27" t="s">
        <v>912</v>
      </c>
      <c r="X1424" s="128" t="s">
        <v>2336</v>
      </c>
      <c r="Y1424" s="73" t="str">
        <f>VLOOKUP(X1424,Choferes!$B$3:C429,2,FALSE)</f>
        <v>+5553984414060</v>
      </c>
      <c r="Z1424" s="73" t="s">
        <v>4098</v>
      </c>
    </row>
    <row r="1425" spans="1:26" hidden="1" x14ac:dyDescent="0.25">
      <c r="A1425" s="33">
        <v>24</v>
      </c>
      <c r="B1425" s="71" t="s">
        <v>29</v>
      </c>
      <c r="C1425" s="39" t="s">
        <v>4066</v>
      </c>
      <c r="D1425" s="106" t="s">
        <v>2474</v>
      </c>
      <c r="E1425" s="47">
        <v>45821</v>
      </c>
      <c r="F1425" s="31" t="str">
        <f>VLOOKUP($C1425,Carpetas!$C$5:$M$2666,2,FALSE)</f>
        <v>BRB067</v>
      </c>
      <c r="G1425" s="23" t="str">
        <f>VLOOKUP($C1425,Carpetas!$C$5:$M$2666,10,FALSE)</f>
        <v>152,77,92</v>
      </c>
      <c r="H1425" s="27" t="str">
        <f>VLOOKUP($C1425,Carpetas!$C$5:$M$2666,6,FALSE)</f>
        <v>FG</v>
      </c>
      <c r="I1425" s="220"/>
      <c r="J1425" s="47">
        <f t="shared" si="94"/>
        <v>45824</v>
      </c>
      <c r="K1425" s="72" t="str">
        <f>VLOOKUP($C1425,Carpetas!$C$5:$M$2666,5,FALSE)</f>
        <v>Rio Branco</v>
      </c>
      <c r="L1425" s="32"/>
      <c r="M1425" s="48">
        <f t="shared" si="93"/>
        <v>45825</v>
      </c>
      <c r="N1425" s="26">
        <f t="shared" si="91"/>
        <v>4</v>
      </c>
      <c r="O1425" s="27">
        <v>990</v>
      </c>
      <c r="P1425" s="27">
        <v>990</v>
      </c>
      <c r="Q1425" s="27">
        <v>28</v>
      </c>
      <c r="R1425" s="27">
        <v>26</v>
      </c>
      <c r="S1425" s="27" t="s">
        <v>4099</v>
      </c>
      <c r="T1425" s="27"/>
      <c r="U1425" s="27">
        <v>904</v>
      </c>
      <c r="V1425" s="27" t="s">
        <v>2339</v>
      </c>
      <c r="W1425" s="27" t="s">
        <v>2340</v>
      </c>
      <c r="X1425" s="128" t="s">
        <v>3550</v>
      </c>
      <c r="Y1425" s="73" t="str">
        <f>VLOOKUP(X1425,Choferes!$B$3:C430,2,FALSE)</f>
        <v>+55 53 8484-4541</v>
      </c>
      <c r="Z1425" s="73" t="s">
        <v>4096</v>
      </c>
    </row>
    <row r="1426" spans="1:26" hidden="1" x14ac:dyDescent="0.25">
      <c r="A1426" s="33">
        <v>24</v>
      </c>
      <c r="B1426" s="71" t="s">
        <v>29</v>
      </c>
      <c r="C1426" s="39" t="s">
        <v>4066</v>
      </c>
      <c r="D1426" s="106" t="s">
        <v>2474</v>
      </c>
      <c r="E1426" s="47">
        <v>45822</v>
      </c>
      <c r="F1426" s="31" t="str">
        <f>VLOOKUP($C1426,Carpetas!$C$5:$M$2666,2,FALSE)</f>
        <v>BRB067</v>
      </c>
      <c r="G1426" s="23" t="str">
        <f>VLOOKUP($C1426,Carpetas!$C$5:$M$2666,10,FALSE)</f>
        <v>152,77,92</v>
      </c>
      <c r="H1426" s="27" t="str">
        <f>VLOOKUP($C1426,Carpetas!$C$5:$M$2666,6,FALSE)</f>
        <v>FG</v>
      </c>
      <c r="I1426" s="220"/>
      <c r="J1426" s="47">
        <f>E1426+2</f>
        <v>45824</v>
      </c>
      <c r="K1426" s="72" t="str">
        <f>VLOOKUP($C1426,Carpetas!$C$5:$M$2666,5,FALSE)</f>
        <v>Rio Branco</v>
      </c>
      <c r="L1426" s="32"/>
      <c r="M1426" s="48">
        <f t="shared" si="93"/>
        <v>45825</v>
      </c>
      <c r="N1426" s="26">
        <f t="shared" ref="N1426:N1489" si="95">IF(E1426&lt;&gt;"",M1426-E1426,"-")</f>
        <v>3</v>
      </c>
      <c r="O1426" s="27">
        <v>990</v>
      </c>
      <c r="P1426" s="27">
        <v>990</v>
      </c>
      <c r="Q1426" s="27">
        <v>28</v>
      </c>
      <c r="R1426" s="27">
        <v>26</v>
      </c>
      <c r="S1426" s="27" t="s">
        <v>4100</v>
      </c>
      <c r="T1426" s="27"/>
      <c r="U1426" s="27">
        <v>909</v>
      </c>
      <c r="V1426" s="27" t="s">
        <v>1645</v>
      </c>
      <c r="W1426" s="27" t="s">
        <v>1631</v>
      </c>
      <c r="X1426" s="128" t="s">
        <v>3808</v>
      </c>
      <c r="Y1426" s="73" t="str">
        <f>VLOOKUP(X1426,Choferes!$B$3:C426,2,FALSE)</f>
        <v>+55 53 8412-9466</v>
      </c>
      <c r="Z1426" s="73" t="s">
        <v>4096</v>
      </c>
    </row>
    <row r="1427" spans="1:26" ht="30" hidden="1" x14ac:dyDescent="0.25">
      <c r="A1427" s="33">
        <v>24</v>
      </c>
      <c r="B1427" s="71" t="s">
        <v>29</v>
      </c>
      <c r="C1427" s="39" t="s">
        <v>4066</v>
      </c>
      <c r="D1427" s="106" t="s">
        <v>747</v>
      </c>
      <c r="E1427" s="47">
        <v>45822</v>
      </c>
      <c r="F1427" s="31" t="str">
        <f>VLOOKUP($C1427,Carpetas!$C$5:$M$2666,2,FALSE)</f>
        <v>BRB067</v>
      </c>
      <c r="G1427" s="23" t="str">
        <f>VLOOKUP($C1427,Carpetas!$C$5:$M$2666,10,FALSE)</f>
        <v>152,77,92</v>
      </c>
      <c r="H1427" s="27" t="str">
        <f>VLOOKUP($C1427,Carpetas!$C$5:$M$2666,6,FALSE)</f>
        <v>FG</v>
      </c>
      <c r="I1427" s="220"/>
      <c r="J1427" s="47">
        <v>45825</v>
      </c>
      <c r="K1427" s="72" t="str">
        <f>VLOOKUP($C1427,Carpetas!$C$5:$M$2666,5,FALSE)</f>
        <v>Rio Branco</v>
      </c>
      <c r="L1427" s="32"/>
      <c r="M1427" s="48">
        <f t="shared" si="93"/>
        <v>45826</v>
      </c>
      <c r="N1427" s="26">
        <f t="shared" si="95"/>
        <v>4</v>
      </c>
      <c r="O1427" s="27">
        <v>990</v>
      </c>
      <c r="P1427" s="27">
        <v>990</v>
      </c>
      <c r="Q1427" s="27">
        <v>28</v>
      </c>
      <c r="R1427" s="27">
        <v>25.5</v>
      </c>
      <c r="S1427" s="27" t="s">
        <v>4101</v>
      </c>
      <c r="T1427" s="27"/>
      <c r="U1427" s="27">
        <v>908</v>
      </c>
      <c r="V1427" s="27" t="s">
        <v>1722</v>
      </c>
      <c r="W1427" s="27" t="s">
        <v>1637</v>
      </c>
      <c r="X1427" s="128" t="s">
        <v>2119</v>
      </c>
      <c r="Y1427" s="73" t="str">
        <f>VLOOKUP(X1427,Choferes!$B$3:C425,2,FALSE)</f>
        <v>+5553981528085</v>
      </c>
      <c r="Z1427" s="73" t="s">
        <v>4102</v>
      </c>
    </row>
    <row r="1428" spans="1:26" ht="30" hidden="1" x14ac:dyDescent="0.25">
      <c r="A1428" s="33">
        <v>24</v>
      </c>
      <c r="B1428" s="71" t="s">
        <v>29</v>
      </c>
      <c r="C1428" s="39" t="s">
        <v>4013</v>
      </c>
      <c r="D1428" s="106" t="s">
        <v>2474</v>
      </c>
      <c r="E1428" s="47">
        <v>45822</v>
      </c>
      <c r="F1428" s="31" t="str">
        <f>VLOOKUP($C1428,Carpetas!$C$5:$M$2666,2,FALSE)</f>
        <v>BRB063</v>
      </c>
      <c r="G1428" s="23" t="str">
        <f>VLOOKUP($C1428,Carpetas!$C$5:$M$2666,10,FALSE)</f>
        <v>152,72,64</v>
      </c>
      <c r="H1428" s="27" t="str">
        <f>VLOOKUP($C1428,Carpetas!$C$5:$M$2666,6,FALSE)</f>
        <v>Amaro</v>
      </c>
      <c r="I1428" s="220"/>
      <c r="J1428" s="47">
        <v>45826</v>
      </c>
      <c r="K1428" s="72" t="str">
        <f>VLOOKUP($C1428,Carpetas!$C$5:$M$2666,5,FALSE)</f>
        <v>Rio Branco</v>
      </c>
      <c r="L1428" s="32"/>
      <c r="M1428" s="48">
        <f t="shared" si="93"/>
        <v>45827</v>
      </c>
      <c r="N1428" s="26">
        <f t="shared" si="95"/>
        <v>5</v>
      </c>
      <c r="O1428" s="27">
        <v>990</v>
      </c>
      <c r="P1428" s="27">
        <v>990</v>
      </c>
      <c r="Q1428" s="27">
        <v>28</v>
      </c>
      <c r="R1428" s="27">
        <v>25.5</v>
      </c>
      <c r="S1428" s="27" t="s">
        <v>4103</v>
      </c>
      <c r="T1428" s="27"/>
      <c r="U1428" s="27">
        <v>26308</v>
      </c>
      <c r="V1428" s="27" t="s">
        <v>4104</v>
      </c>
      <c r="W1428" s="27" t="s">
        <v>4105</v>
      </c>
      <c r="X1428" s="128" t="s">
        <v>4106</v>
      </c>
      <c r="Y1428" s="73" t="str">
        <f>VLOOKUP(X1428,Choferes!$B$3:C418,2,FALSE)</f>
        <v>+59897722274</v>
      </c>
      <c r="Z1428" s="73" t="s">
        <v>4107</v>
      </c>
    </row>
    <row r="1429" spans="1:26" hidden="1" x14ac:dyDescent="0.25">
      <c r="A1429" s="33">
        <v>25</v>
      </c>
      <c r="B1429" s="71" t="s">
        <v>29</v>
      </c>
      <c r="C1429" s="39" t="s">
        <v>4108</v>
      </c>
      <c r="D1429" s="106" t="s">
        <v>747</v>
      </c>
      <c r="E1429" s="47">
        <v>45828</v>
      </c>
      <c r="F1429" s="31" t="str">
        <f>VLOOKUP($C1429,Carpetas!$C$5:$M$2666,2,FALSE)</f>
        <v>BRB068</v>
      </c>
      <c r="G1429" s="23" t="str">
        <f>VLOOKUP($C1429,Carpetas!$C$5:$M$2666,10,FALSE)</f>
        <v>152,81,46</v>
      </c>
      <c r="H1429" s="27" t="str">
        <f>VLOOKUP($C1429,Carpetas!$C$5:$M$2666,6,FALSE)</f>
        <v>FG</v>
      </c>
      <c r="I1429" s="220"/>
      <c r="J1429" s="47">
        <f>E1429+3</f>
        <v>45831</v>
      </c>
      <c r="K1429" s="72" t="str">
        <f>VLOOKUP($C1429,Carpetas!$C$5:$M$2666,5,FALSE)</f>
        <v>Rio Branco</v>
      </c>
      <c r="L1429" s="32"/>
      <c r="M1429" s="48">
        <f t="shared" si="93"/>
        <v>45832</v>
      </c>
      <c r="N1429" s="26">
        <f t="shared" si="95"/>
        <v>4</v>
      </c>
      <c r="O1429" s="27">
        <v>990</v>
      </c>
      <c r="P1429" s="27">
        <v>1026</v>
      </c>
      <c r="Q1429" s="27">
        <v>28</v>
      </c>
      <c r="R1429" s="27">
        <v>26</v>
      </c>
      <c r="S1429" s="27" t="s">
        <v>4109</v>
      </c>
      <c r="T1429" s="27"/>
      <c r="U1429" s="27">
        <v>918</v>
      </c>
      <c r="V1429" s="27" t="s">
        <v>1680</v>
      </c>
      <c r="W1429" s="27" t="s">
        <v>1723</v>
      </c>
      <c r="X1429" s="128" t="s">
        <v>4064</v>
      </c>
      <c r="Y1429" s="73" t="str">
        <f>VLOOKUP(X1429,Choferes!$B$3:C426,2,FALSE)</f>
        <v>+55 53 9905-0337</v>
      </c>
      <c r="Z1429" s="73" t="s">
        <v>4110</v>
      </c>
    </row>
    <row r="1430" spans="1:26" hidden="1" x14ac:dyDescent="0.25">
      <c r="A1430" s="33">
        <v>25</v>
      </c>
      <c r="B1430" s="71" t="s">
        <v>29</v>
      </c>
      <c r="C1430" s="39" t="s">
        <v>4108</v>
      </c>
      <c r="D1430" s="106" t="s">
        <v>2474</v>
      </c>
      <c r="E1430" s="47">
        <v>45828</v>
      </c>
      <c r="F1430" s="31" t="str">
        <f>VLOOKUP($C1430,Carpetas!$C$5:$M$2666,2,FALSE)</f>
        <v>BRB068</v>
      </c>
      <c r="G1430" s="23" t="str">
        <f>VLOOKUP($C1430,Carpetas!$C$5:$M$2666,10,FALSE)</f>
        <v>152,81,46</v>
      </c>
      <c r="H1430" s="27" t="str">
        <f>VLOOKUP($C1430,Carpetas!$C$5:$M$2666,6,FALSE)</f>
        <v>FG</v>
      </c>
      <c r="I1430" s="220"/>
      <c r="J1430" s="47">
        <f>E1430+3</f>
        <v>45831</v>
      </c>
      <c r="K1430" s="72" t="str">
        <f>VLOOKUP($C1430,Carpetas!$C$5:$M$2666,5,FALSE)</f>
        <v>Rio Branco</v>
      </c>
      <c r="L1430" s="32"/>
      <c r="M1430" s="48">
        <f t="shared" si="93"/>
        <v>45832</v>
      </c>
      <c r="N1430" s="26">
        <f t="shared" si="95"/>
        <v>4</v>
      </c>
      <c r="O1430" s="27">
        <v>990</v>
      </c>
      <c r="P1430" s="27">
        <v>954</v>
      </c>
      <c r="Q1430" s="27">
        <v>27</v>
      </c>
      <c r="R1430" s="27">
        <v>26</v>
      </c>
      <c r="S1430" s="27" t="s">
        <v>4111</v>
      </c>
      <c r="T1430" s="27"/>
      <c r="U1430" s="27">
        <v>919</v>
      </c>
      <c r="V1430" s="27" t="s">
        <v>3411</v>
      </c>
      <c r="W1430" s="27" t="s">
        <v>3412</v>
      </c>
      <c r="X1430" s="128" t="s">
        <v>3559</v>
      </c>
      <c r="Y1430" s="73" t="str">
        <f>VLOOKUP(X1430,Choferes!$B$3:C427,2,FALSE)</f>
        <v>+55 53 9713-4372</v>
      </c>
      <c r="Z1430" s="73" t="s">
        <v>4112</v>
      </c>
    </row>
    <row r="1431" spans="1:26" hidden="1" x14ac:dyDescent="0.25">
      <c r="A1431" s="33">
        <v>25</v>
      </c>
      <c r="B1431" s="71" t="s">
        <v>29</v>
      </c>
      <c r="C1431" s="39" t="s">
        <v>3994</v>
      </c>
      <c r="D1431" s="106" t="s">
        <v>110</v>
      </c>
      <c r="E1431" s="47">
        <v>45828</v>
      </c>
      <c r="F1431" s="31" t="str">
        <f>VLOOKUP($C1431,Carpetas!$C$5:$M$2666,2,FALSE)</f>
        <v>BRB062</v>
      </c>
      <c r="G1431" s="23" t="str">
        <f>VLOOKUP($C1431,Carpetas!$C$5:$M$2666,10,FALSE)</f>
        <v>152,72,63</v>
      </c>
      <c r="H1431" s="27" t="str">
        <f>VLOOKUP($C1431,Carpetas!$C$5:$M$2666,6,FALSE)</f>
        <v>Zanini</v>
      </c>
      <c r="I1431" s="220"/>
      <c r="J1431" s="47">
        <f>E1431+3</f>
        <v>45831</v>
      </c>
      <c r="K1431" s="72" t="str">
        <f>VLOOKUP($C1431,Carpetas!$C$5:$M$2666,5,FALSE)</f>
        <v>Rio Branco</v>
      </c>
      <c r="L1431" s="32"/>
      <c r="M1431" s="48">
        <f t="shared" si="93"/>
        <v>45832</v>
      </c>
      <c r="N1431" s="26">
        <f t="shared" si="95"/>
        <v>4</v>
      </c>
      <c r="O1431" s="27">
        <v>918</v>
      </c>
      <c r="P1431" s="27">
        <v>918</v>
      </c>
      <c r="Q1431" s="27">
        <v>26</v>
      </c>
      <c r="R1431" s="27">
        <v>25</v>
      </c>
      <c r="S1431" s="27" t="s">
        <v>2514</v>
      </c>
      <c r="T1431" s="27"/>
      <c r="U1431" s="27">
        <v>5319</v>
      </c>
      <c r="V1431" s="27" t="s">
        <v>1687</v>
      </c>
      <c r="W1431" s="27" t="s">
        <v>3215</v>
      </c>
      <c r="X1431" s="128" t="s">
        <v>60</v>
      </c>
      <c r="Y1431" s="73" t="str">
        <f>VLOOKUP(X1431,Choferes!$B$3:C429,2,FALSE)</f>
        <v>+5547991777362</v>
      </c>
      <c r="Z1431" s="73" t="s">
        <v>4113</v>
      </c>
    </row>
    <row r="1432" spans="1:26" hidden="1" x14ac:dyDescent="0.25">
      <c r="A1432" s="33">
        <v>25</v>
      </c>
      <c r="B1432" s="71" t="s">
        <v>29</v>
      </c>
      <c r="C1432" s="39" t="s">
        <v>4114</v>
      </c>
      <c r="D1432" s="106" t="s">
        <v>2202</v>
      </c>
      <c r="E1432" s="47">
        <v>45828</v>
      </c>
      <c r="F1432" s="31" t="str">
        <f>VLOOKUP($C1432,Carpetas!$C$5:$M$2666,2,FALSE)</f>
        <v>BRB069</v>
      </c>
      <c r="G1432" s="23" t="str">
        <f>VLOOKUP($C1432,Carpetas!$C$5:$M$2666,10,FALSE)</f>
        <v>152,84,36</v>
      </c>
      <c r="H1432" s="27" t="str">
        <f>VLOOKUP($C1432,Carpetas!$C$5:$M$2666,6,FALSE)</f>
        <v>Gral</v>
      </c>
      <c r="I1432" s="220"/>
      <c r="J1432" s="47">
        <f>E1432+3</f>
        <v>45831</v>
      </c>
      <c r="K1432" s="72" t="str">
        <f>VLOOKUP($C1432,Carpetas!$C$5:$M$2666,5,FALSE)</f>
        <v>Chuy</v>
      </c>
      <c r="L1432" s="32"/>
      <c r="M1432" s="48">
        <f t="shared" si="93"/>
        <v>45832</v>
      </c>
      <c r="N1432" s="26">
        <f t="shared" si="95"/>
        <v>4</v>
      </c>
      <c r="O1432" s="27">
        <v>918</v>
      </c>
      <c r="P1432" s="27">
        <v>919</v>
      </c>
      <c r="Q1432" s="27">
        <v>26</v>
      </c>
      <c r="R1432" s="27">
        <v>25</v>
      </c>
      <c r="S1432" s="27" t="s">
        <v>2533</v>
      </c>
      <c r="T1432" s="27"/>
      <c r="U1432" s="27"/>
      <c r="V1432" s="27" t="s">
        <v>4115</v>
      </c>
      <c r="W1432" s="27" t="s">
        <v>4116</v>
      </c>
      <c r="X1432" s="128"/>
      <c r="Y1432" s="73" t="e">
        <f>VLOOKUP(X1432,Choferes!$B$3:C430,2,FALSE)</f>
        <v>#N/A</v>
      </c>
      <c r="Z1432" s="73" t="s">
        <v>4117</v>
      </c>
    </row>
    <row r="1433" spans="1:26" hidden="1" x14ac:dyDescent="0.25">
      <c r="A1433" s="33">
        <v>25</v>
      </c>
      <c r="B1433" s="71" t="s">
        <v>29</v>
      </c>
      <c r="C1433" s="39" t="s">
        <v>4108</v>
      </c>
      <c r="D1433" s="106" t="s">
        <v>2474</v>
      </c>
      <c r="E1433" s="47">
        <v>45829</v>
      </c>
      <c r="F1433" s="31" t="str">
        <f>VLOOKUP($C1433,Carpetas!$C$5:$M$2666,2,FALSE)</f>
        <v>BRB068</v>
      </c>
      <c r="G1433" s="23" t="str">
        <f>VLOOKUP($C1433,Carpetas!$C$5:$M$2666,10,FALSE)</f>
        <v>152,81,46</v>
      </c>
      <c r="H1433" s="27" t="str">
        <f>VLOOKUP($C1433,Carpetas!$C$5:$M$2666,6,FALSE)</f>
        <v>FG</v>
      </c>
      <c r="I1433" s="220"/>
      <c r="J1433" s="47">
        <v>45831</v>
      </c>
      <c r="K1433" s="72" t="str">
        <f>VLOOKUP($C1433,Carpetas!$C$5:$M$2666,5,FALSE)</f>
        <v>Rio Branco</v>
      </c>
      <c r="L1433" s="32"/>
      <c r="M1433" s="48">
        <f t="shared" si="93"/>
        <v>45832</v>
      </c>
      <c r="N1433" s="26">
        <f t="shared" si="95"/>
        <v>3</v>
      </c>
      <c r="O1433" s="27">
        <v>990</v>
      </c>
      <c r="P1433" s="27">
        <v>990</v>
      </c>
      <c r="Q1433" s="27">
        <v>28</v>
      </c>
      <c r="R1433" s="27">
        <v>26</v>
      </c>
      <c r="S1433" s="27" t="s">
        <v>4118</v>
      </c>
      <c r="T1433" s="27"/>
      <c r="U1433" s="27">
        <v>920</v>
      </c>
      <c r="V1433" s="27" t="s">
        <v>1636</v>
      </c>
      <c r="W1433" s="27" t="s">
        <v>1736</v>
      </c>
      <c r="X1433" s="128" t="s">
        <v>1413</v>
      </c>
      <c r="Y1433" s="73" t="str">
        <f>VLOOKUP(X1433,Choferes!$B$3:C428,2,FALSE)</f>
        <v>+59899406679</v>
      </c>
      <c r="Z1433" s="73" t="s">
        <v>4119</v>
      </c>
    </row>
    <row r="1434" spans="1:26" hidden="1" x14ac:dyDescent="0.25">
      <c r="A1434" s="33">
        <v>25</v>
      </c>
      <c r="B1434" s="71" t="s">
        <v>29</v>
      </c>
      <c r="C1434" s="39" t="s">
        <v>4108</v>
      </c>
      <c r="D1434" s="106" t="s">
        <v>249</v>
      </c>
      <c r="E1434" s="47">
        <v>45829</v>
      </c>
      <c r="F1434" s="31" t="str">
        <f>VLOOKUP($C1434,Carpetas!$C$5:$M$2666,2,FALSE)</f>
        <v>BRB068</v>
      </c>
      <c r="G1434" s="23" t="str">
        <f>VLOOKUP($C1434,Carpetas!$C$5:$M$2666,10,FALSE)</f>
        <v>152,81,46</v>
      </c>
      <c r="H1434" s="27" t="str">
        <f>VLOOKUP($C1434,Carpetas!$C$5:$M$2666,6,FALSE)</f>
        <v>FG</v>
      </c>
      <c r="I1434" s="220"/>
      <c r="J1434" s="47">
        <v>45831</v>
      </c>
      <c r="K1434" s="72" t="str">
        <f>VLOOKUP($C1434,Carpetas!$C$5:$M$2666,5,FALSE)</f>
        <v>Rio Branco</v>
      </c>
      <c r="L1434" s="32"/>
      <c r="M1434" s="48">
        <f t="shared" si="93"/>
        <v>45832</v>
      </c>
      <c r="N1434" s="26">
        <f t="shared" si="95"/>
        <v>3</v>
      </c>
      <c r="O1434" s="27">
        <v>990</v>
      </c>
      <c r="P1434" s="27">
        <v>990</v>
      </c>
      <c r="Q1434" s="27">
        <v>28</v>
      </c>
      <c r="R1434" s="27">
        <v>26</v>
      </c>
      <c r="S1434" s="27" t="s">
        <v>4120</v>
      </c>
      <c r="T1434" s="27"/>
      <c r="U1434" s="27">
        <v>921</v>
      </c>
      <c r="V1434" s="27" t="s">
        <v>1042</v>
      </c>
      <c r="W1434" s="27" t="s">
        <v>3818</v>
      </c>
      <c r="X1434" s="128" t="s">
        <v>1623</v>
      </c>
      <c r="Y1434" s="73" t="str">
        <f>VLOOKUP(X1434,Choferes!$B$3:C414,2,FALSE)</f>
        <v>+5553991254560</v>
      </c>
      <c r="Z1434" s="73" t="s">
        <v>4121</v>
      </c>
    </row>
    <row r="1435" spans="1:26" hidden="1" x14ac:dyDescent="0.25">
      <c r="A1435" s="33">
        <v>26</v>
      </c>
      <c r="B1435" s="71" t="s">
        <v>29</v>
      </c>
      <c r="C1435" s="39" t="s">
        <v>4108</v>
      </c>
      <c r="D1435" s="106" t="s">
        <v>249</v>
      </c>
      <c r="E1435" s="47">
        <v>45832</v>
      </c>
      <c r="F1435" s="31" t="str">
        <f>VLOOKUP($C1435,Carpetas!$C$5:$M$2666,2,FALSE)</f>
        <v>BRB068</v>
      </c>
      <c r="G1435" s="23" t="str">
        <f>VLOOKUP($C1435,Carpetas!$C$5:$M$2666,10,FALSE)</f>
        <v>152,81,46</v>
      </c>
      <c r="H1435" s="27" t="str">
        <f>VLOOKUP($C1435,Carpetas!$C$5:$M$2666,6,FALSE)</f>
        <v>FG</v>
      </c>
      <c r="I1435" s="220"/>
      <c r="J1435" s="47">
        <v>45833</v>
      </c>
      <c r="K1435" s="72" t="str">
        <f>VLOOKUP($C1435,Carpetas!$C$5:$M$2666,5,FALSE)</f>
        <v>Rio Branco</v>
      </c>
      <c r="L1435" s="32"/>
      <c r="M1435" s="48">
        <f t="shared" si="93"/>
        <v>45834</v>
      </c>
      <c r="N1435" s="26">
        <f t="shared" si="95"/>
        <v>2</v>
      </c>
      <c r="O1435" s="27">
        <v>990</v>
      </c>
      <c r="P1435" s="27">
        <v>990</v>
      </c>
      <c r="Q1435" s="27">
        <v>28</v>
      </c>
      <c r="R1435" s="27">
        <v>26</v>
      </c>
      <c r="S1435" s="27" t="s">
        <v>4122</v>
      </c>
      <c r="T1435" s="27"/>
      <c r="U1435" s="27">
        <v>922</v>
      </c>
      <c r="V1435" s="27" t="s">
        <v>1722</v>
      </c>
      <c r="W1435" s="27" t="s">
        <v>1637</v>
      </c>
      <c r="X1435" s="128" t="s">
        <v>2119</v>
      </c>
      <c r="Y1435" s="73" t="str">
        <f>VLOOKUP(X1435,Choferes!$B$3:C418,2,FALSE)</f>
        <v>+5553981528085</v>
      </c>
      <c r="Z1435" s="73" t="s">
        <v>4123</v>
      </c>
    </row>
    <row r="1436" spans="1:26" hidden="1" x14ac:dyDescent="0.25">
      <c r="A1436" s="33">
        <v>26</v>
      </c>
      <c r="B1436" s="71" t="s">
        <v>29</v>
      </c>
      <c r="C1436" s="39" t="s">
        <v>4124</v>
      </c>
      <c r="D1436" s="106" t="s">
        <v>78</v>
      </c>
      <c r="E1436" s="47">
        <v>45832</v>
      </c>
      <c r="F1436" s="31" t="str">
        <f>VLOOKUP($C1436,Carpetas!$C$5:$M$2666,2,FALSE)</f>
        <v>BRB071</v>
      </c>
      <c r="G1436" s="23" t="str">
        <f>VLOOKUP($C1436,Carpetas!$C$5:$M$2666,10,FALSE)</f>
        <v>152,86,54</v>
      </c>
      <c r="H1436" s="27" t="str">
        <f>VLOOKUP($C1436,Carpetas!$C$5:$M$2666,6,FALSE)</f>
        <v>Zanini</v>
      </c>
      <c r="I1436" s="220"/>
      <c r="J1436" s="47">
        <v>45833</v>
      </c>
      <c r="K1436" s="72" t="str">
        <f>VLOOKUP($C1436,Carpetas!$C$5:$M$2666,5,FALSE)</f>
        <v>Rio Branco</v>
      </c>
      <c r="L1436" s="32"/>
      <c r="M1436" s="48">
        <f t="shared" si="93"/>
        <v>45834</v>
      </c>
      <c r="N1436" s="26">
        <f t="shared" si="95"/>
        <v>2</v>
      </c>
      <c r="O1436" s="27">
        <v>918</v>
      </c>
      <c r="P1436" s="27">
        <v>918</v>
      </c>
      <c r="Q1436" s="27">
        <v>26</v>
      </c>
      <c r="R1436" s="27">
        <v>25</v>
      </c>
      <c r="S1436" s="27" t="s">
        <v>820</v>
      </c>
      <c r="T1436" s="27"/>
      <c r="U1436" s="27">
        <v>5320</v>
      </c>
      <c r="V1436" s="27" t="s">
        <v>1557</v>
      </c>
      <c r="W1436" s="27" t="s">
        <v>1558</v>
      </c>
      <c r="X1436" s="128" t="s">
        <v>4125</v>
      </c>
      <c r="Y1436" s="73" t="str">
        <f>VLOOKUP(X1436,Choferes!$B$3:C419,2,FALSE)</f>
        <v>+5542991616275</v>
      </c>
      <c r="Z1436" s="73" t="s">
        <v>4126</v>
      </c>
    </row>
    <row r="1437" spans="1:26" hidden="1" x14ac:dyDescent="0.25">
      <c r="A1437" s="33">
        <v>26</v>
      </c>
      <c r="B1437" s="71" t="s">
        <v>29</v>
      </c>
      <c r="C1437" s="39" t="s">
        <v>4127</v>
      </c>
      <c r="D1437" s="106" t="s">
        <v>2474</v>
      </c>
      <c r="E1437" s="47">
        <v>45832</v>
      </c>
      <c r="F1437" s="31" t="str">
        <f>VLOOKUP($C1437,Carpetas!$C$5:$M$2666,2,FALSE)</f>
        <v>BRB070</v>
      </c>
      <c r="G1437" s="23" t="str">
        <f>VLOOKUP($C1437,Carpetas!$C$5:$M$2666,10,FALSE)</f>
        <v>152,86,18</v>
      </c>
      <c r="H1437" s="27" t="str">
        <f>VLOOKUP($C1437,Carpetas!$C$5:$M$2666,6,FALSE)</f>
        <v>Chabat</v>
      </c>
      <c r="I1437" s="220"/>
      <c r="J1437" s="47">
        <v>45833</v>
      </c>
      <c r="K1437" s="72" t="str">
        <f>VLOOKUP($C1437,Carpetas!$C$5:$M$2666,5,FALSE)</f>
        <v>Rio Branco</v>
      </c>
      <c r="L1437" s="32"/>
      <c r="M1437" s="48">
        <f t="shared" si="93"/>
        <v>45834</v>
      </c>
      <c r="N1437" s="26">
        <f t="shared" si="95"/>
        <v>2</v>
      </c>
      <c r="O1437" s="27">
        <v>990</v>
      </c>
      <c r="P1437" s="27">
        <v>990</v>
      </c>
      <c r="Q1437" s="27">
        <v>28</v>
      </c>
      <c r="R1437" s="27">
        <v>26</v>
      </c>
      <c r="S1437" s="27" t="s">
        <v>4128</v>
      </c>
      <c r="T1437" s="27"/>
      <c r="U1437" s="27">
        <v>2384</v>
      </c>
      <c r="V1437" s="27" t="s">
        <v>4129</v>
      </c>
      <c r="W1437" s="27" t="s">
        <v>4130</v>
      </c>
      <c r="X1437" s="128" t="s">
        <v>4131</v>
      </c>
      <c r="Y1437" s="73" t="str">
        <f>VLOOKUP(X1437,Choferes!$B$3:C428,2,FALSE)</f>
        <v>+598 91 694 331</v>
      </c>
      <c r="Z1437" s="73" t="s">
        <v>4132</v>
      </c>
    </row>
    <row r="1438" spans="1:26" hidden="1" x14ac:dyDescent="0.25">
      <c r="A1438" s="33">
        <v>26</v>
      </c>
      <c r="B1438" s="71" t="s">
        <v>29</v>
      </c>
      <c r="C1438" s="39" t="s">
        <v>4127</v>
      </c>
      <c r="D1438" s="106" t="s">
        <v>2474</v>
      </c>
      <c r="E1438" s="47">
        <v>45832</v>
      </c>
      <c r="F1438" s="31" t="str">
        <f>VLOOKUP($C1438,Carpetas!$C$5:$M$2666,2,FALSE)</f>
        <v>BRB070</v>
      </c>
      <c r="G1438" s="23" t="str">
        <f>VLOOKUP($C1438,Carpetas!$C$5:$M$2666,10,FALSE)</f>
        <v>152,86,18</v>
      </c>
      <c r="H1438" s="27" t="str">
        <f>VLOOKUP($C1438,Carpetas!$C$5:$M$2666,6,FALSE)</f>
        <v>Chabat</v>
      </c>
      <c r="I1438" s="220"/>
      <c r="J1438" s="47">
        <v>45833</v>
      </c>
      <c r="K1438" s="72" t="str">
        <f>VLOOKUP($C1438,Carpetas!$C$5:$M$2666,5,FALSE)</f>
        <v>Rio Branco</v>
      </c>
      <c r="L1438" s="32"/>
      <c r="M1438" s="48">
        <f t="shared" si="93"/>
        <v>45834</v>
      </c>
      <c r="N1438" s="26">
        <f t="shared" si="95"/>
        <v>2</v>
      </c>
      <c r="O1438" s="27">
        <v>990</v>
      </c>
      <c r="P1438" s="27">
        <v>990</v>
      </c>
      <c r="Q1438" s="27">
        <v>28</v>
      </c>
      <c r="R1438" s="27">
        <v>26</v>
      </c>
      <c r="S1438" s="27" t="s">
        <v>4133</v>
      </c>
      <c r="T1438" s="27"/>
      <c r="U1438" s="27">
        <v>2387</v>
      </c>
      <c r="V1438" s="27" t="s">
        <v>4134</v>
      </c>
      <c r="W1438" s="27" t="s">
        <v>4135</v>
      </c>
      <c r="X1438" s="128" t="s">
        <v>4136</v>
      </c>
      <c r="Y1438" s="73" t="str">
        <f>VLOOKUP(X1438,Choferes!$B$3:C429,2,FALSE)</f>
        <v>+55 53 8406-9723</v>
      </c>
      <c r="Z1438" s="73" t="s">
        <v>4132</v>
      </c>
    </row>
    <row r="1439" spans="1:26" hidden="1" x14ac:dyDescent="0.25">
      <c r="A1439" s="33">
        <v>26</v>
      </c>
      <c r="B1439" s="71" t="s">
        <v>29</v>
      </c>
      <c r="C1439" s="39" t="s">
        <v>4035</v>
      </c>
      <c r="D1439" s="106" t="s">
        <v>110</v>
      </c>
      <c r="E1439" s="47">
        <v>45832</v>
      </c>
      <c r="F1439" s="31" t="str">
        <f>VLOOKUP($C1439,Carpetas!$C$5:$M$2666,2,FALSE)</f>
        <v>BRB066</v>
      </c>
      <c r="G1439" s="23" t="str">
        <f>VLOOKUP($C1439,Carpetas!$C$5:$M$2666,10,FALSE)</f>
        <v>152,72,64</v>
      </c>
      <c r="H1439" s="27" t="str">
        <f>VLOOKUP($C1439,Carpetas!$C$5:$M$2666,6,FALSE)</f>
        <v xml:space="preserve">Silvio </v>
      </c>
      <c r="I1439" s="220"/>
      <c r="J1439" s="47">
        <v>45834</v>
      </c>
      <c r="K1439" s="72" t="str">
        <f>VLOOKUP($C1439,Carpetas!$C$5:$M$2666,5,FALSE)</f>
        <v>Chuy</v>
      </c>
      <c r="L1439" s="32"/>
      <c r="M1439" s="48">
        <f t="shared" si="93"/>
        <v>45835</v>
      </c>
      <c r="N1439" s="26">
        <f t="shared" si="95"/>
        <v>3</v>
      </c>
      <c r="O1439" s="27">
        <v>918</v>
      </c>
      <c r="P1439" s="27">
        <v>918</v>
      </c>
      <c r="Q1439" s="27">
        <v>26</v>
      </c>
      <c r="R1439" s="27">
        <v>25</v>
      </c>
      <c r="S1439" s="27" t="s">
        <v>2603</v>
      </c>
      <c r="T1439" s="27"/>
      <c r="U1439" s="27"/>
      <c r="V1439" s="27" t="s">
        <v>4137</v>
      </c>
      <c r="W1439" s="27" t="s">
        <v>2525</v>
      </c>
      <c r="X1439" s="128"/>
      <c r="Y1439" s="73" t="e">
        <f>VLOOKUP(X1439,Choferes!$B$3:C415,2,FALSE)</f>
        <v>#N/A</v>
      </c>
      <c r="Z1439" s="73" t="s">
        <v>4138</v>
      </c>
    </row>
    <row r="1440" spans="1:26" hidden="1" x14ac:dyDescent="0.25">
      <c r="A1440" s="33">
        <v>26</v>
      </c>
      <c r="B1440" s="71" t="s">
        <v>29</v>
      </c>
      <c r="C1440" s="39" t="s">
        <v>4013</v>
      </c>
      <c r="D1440" s="106" t="s">
        <v>803</v>
      </c>
      <c r="E1440" s="47">
        <v>45832</v>
      </c>
      <c r="F1440" s="31" t="str">
        <f>VLOOKUP($C1440,Carpetas!$C$5:$M$2666,2,FALSE)</f>
        <v>BRB063</v>
      </c>
      <c r="G1440" s="23" t="str">
        <f>VLOOKUP($C1440,Carpetas!$C$5:$M$2666,10,FALSE)</f>
        <v>152,72,64</v>
      </c>
      <c r="H1440" s="27" t="str">
        <f>VLOOKUP($C1440,Carpetas!$C$5:$M$2666,6,FALSE)</f>
        <v>Amaro</v>
      </c>
      <c r="I1440" s="220"/>
      <c r="J1440" s="47">
        <v>45834</v>
      </c>
      <c r="K1440" s="72" t="str">
        <f>VLOOKUP($C1440,Carpetas!$C$5:$M$2666,5,FALSE)</f>
        <v>Rio Branco</v>
      </c>
      <c r="L1440" s="32"/>
      <c r="M1440" s="48">
        <f t="shared" si="93"/>
        <v>45835</v>
      </c>
      <c r="N1440" s="26">
        <f t="shared" si="95"/>
        <v>3</v>
      </c>
      <c r="O1440" s="27">
        <v>990</v>
      </c>
      <c r="P1440" s="27">
        <v>990</v>
      </c>
      <c r="Q1440" s="27">
        <v>28</v>
      </c>
      <c r="R1440" s="27">
        <v>26</v>
      </c>
      <c r="S1440" s="27" t="s">
        <v>2451</v>
      </c>
      <c r="T1440" s="27"/>
      <c r="U1440" s="27">
        <v>26332</v>
      </c>
      <c r="V1440" s="27" t="s">
        <v>2339</v>
      </c>
      <c r="W1440" s="27" t="s">
        <v>2340</v>
      </c>
      <c r="X1440" s="128" t="s">
        <v>3550</v>
      </c>
      <c r="Y1440" s="73" t="str">
        <f>VLOOKUP(X1440,Choferes!$B$3:C426,2,FALSE)</f>
        <v>+55 53 8484-4541</v>
      </c>
      <c r="Z1440" s="73" t="s">
        <v>4139</v>
      </c>
    </row>
    <row r="1441" spans="1:26" ht="30" hidden="1" x14ac:dyDescent="0.25">
      <c r="A1441" s="33">
        <v>25</v>
      </c>
      <c r="B1441" s="71" t="s">
        <v>29</v>
      </c>
      <c r="C1441" s="39" t="s">
        <v>4140</v>
      </c>
      <c r="D1441" s="106" t="s">
        <v>38</v>
      </c>
      <c r="E1441" s="47">
        <v>45829</v>
      </c>
      <c r="F1441" s="31" t="str">
        <f>VLOOKUP($C1441,Carpetas!$C$5:$M$2666,2,FALSE)</f>
        <v>BRE026</v>
      </c>
      <c r="G1441" s="23" t="str">
        <f>VLOOKUP($C1441,Carpetas!$C$5:$M$2666,10,FALSE)</f>
        <v>1528485/1528484/1528486</v>
      </c>
      <c r="H1441" s="27" t="str">
        <f>VLOOKUP($C1441,Carpetas!$C$5:$M$2666,6,FALSE)</f>
        <v>VPN</v>
      </c>
      <c r="I1441" s="220">
        <f>VLOOKUP($C1441,Carpetas!$C$5:$M$2666,4,FALSE)</f>
        <v>0</v>
      </c>
      <c r="J1441" s="47">
        <v>45834</v>
      </c>
      <c r="K1441" s="72" t="str">
        <f>VLOOKUP($C1441,Carpetas!$C$5:$M$2666,5,FALSE)</f>
        <v>Chuy</v>
      </c>
      <c r="L1441" s="32"/>
      <c r="M1441" s="48">
        <f>J1441+1+1</f>
        <v>45836</v>
      </c>
      <c r="N1441" s="26">
        <f t="shared" si="95"/>
        <v>7</v>
      </c>
      <c r="O1441" s="27">
        <v>1151</v>
      </c>
      <c r="P1441" s="27">
        <v>1151</v>
      </c>
      <c r="Q1441" s="27">
        <v>26</v>
      </c>
      <c r="R1441" s="27">
        <v>25</v>
      </c>
      <c r="S1441" s="27" t="s">
        <v>4141</v>
      </c>
      <c r="T1441" s="27"/>
      <c r="U1441" s="27"/>
      <c r="V1441" s="27"/>
      <c r="W1441" s="27"/>
      <c r="X1441" s="128"/>
      <c r="Y1441" s="73" t="e">
        <f>VLOOKUP(X1441,Choferes!$B$3:C428,2,FALSE)</f>
        <v>#N/A</v>
      </c>
      <c r="Z1441" s="73" t="s">
        <v>4142</v>
      </c>
    </row>
    <row r="1442" spans="1:26" ht="30" hidden="1" x14ac:dyDescent="0.25">
      <c r="A1442" s="33">
        <v>26</v>
      </c>
      <c r="B1442" s="71" t="s">
        <v>29</v>
      </c>
      <c r="C1442" s="39" t="s">
        <v>4029</v>
      </c>
      <c r="D1442" s="106" t="s">
        <v>2202</v>
      </c>
      <c r="E1442" s="47">
        <v>45832</v>
      </c>
      <c r="F1442" s="31" t="str">
        <f>VLOOKUP($C1442,Carpetas!$C$5:$M$2666,2,FALSE)</f>
        <v>BRB065</v>
      </c>
      <c r="G1442" s="23" t="str">
        <f>VLOOKUP($C1442,Carpetas!$C$5:$M$2666,10,FALSE)</f>
        <v>152,73,05</v>
      </c>
      <c r="H1442" s="27" t="str">
        <f>VLOOKUP($C1442,Carpetas!$C$5:$M$2666,6,FALSE)</f>
        <v>Gral</v>
      </c>
      <c r="I1442" s="220"/>
      <c r="J1442" s="47">
        <v>45834</v>
      </c>
      <c r="K1442" s="72" t="str">
        <f>VLOOKUP($C1442,Carpetas!$C$5:$M$2666,5,FALSE)</f>
        <v>Rio Branco</v>
      </c>
      <c r="L1442" s="32"/>
      <c r="M1442" s="48">
        <f>J1442+1+1</f>
        <v>45836</v>
      </c>
      <c r="N1442" s="26">
        <f t="shared" si="95"/>
        <v>4</v>
      </c>
      <c r="O1442" s="27">
        <v>918</v>
      </c>
      <c r="P1442" s="27">
        <v>919</v>
      </c>
      <c r="Q1442" s="27">
        <v>26</v>
      </c>
      <c r="R1442" s="27">
        <v>25</v>
      </c>
      <c r="S1442" s="27" t="s">
        <v>2582</v>
      </c>
      <c r="T1442" s="27"/>
      <c r="U1442" s="27">
        <v>7438</v>
      </c>
      <c r="V1442" s="27" t="s">
        <v>4143</v>
      </c>
      <c r="W1442" s="27" t="s">
        <v>4144</v>
      </c>
      <c r="X1442" s="128" t="s">
        <v>4145</v>
      </c>
      <c r="Y1442" s="73" t="str">
        <f>VLOOKUP(X1442,Choferes!$B$3:C428,2,FALSE)</f>
        <v>+55 73 8177-8043</v>
      </c>
      <c r="Z1442" s="73" t="s">
        <v>4146</v>
      </c>
    </row>
    <row r="1443" spans="1:26" ht="30" hidden="1" x14ac:dyDescent="0.25">
      <c r="A1443" s="33">
        <v>25</v>
      </c>
      <c r="B1443" s="71" t="s">
        <v>29</v>
      </c>
      <c r="C1443" s="39" t="s">
        <v>4147</v>
      </c>
      <c r="D1443" s="106" t="s">
        <v>38</v>
      </c>
      <c r="E1443" s="47">
        <v>45830</v>
      </c>
      <c r="F1443" s="31" t="str">
        <f>VLOOKUP($C1443,Carpetas!$C$5:$M$2666,2,FALSE)</f>
        <v>BRE025</v>
      </c>
      <c r="G1443" s="23" t="str">
        <f>VLOOKUP($C1443,Carpetas!$C$5:$M$2666,10,FALSE)</f>
        <v>1528818/1528487/</v>
      </c>
      <c r="H1443" s="27" t="str">
        <f>VLOOKUP($C1443,Carpetas!$C$5:$M$2666,6,FALSE)</f>
        <v>Zanini</v>
      </c>
      <c r="I1443" s="220">
        <f>VLOOKUP($C1443,Carpetas!$C$5:$M$2666,4,FALSE)</f>
        <v>0</v>
      </c>
      <c r="J1443" s="47">
        <v>45835</v>
      </c>
      <c r="K1443" s="72" t="str">
        <f>VLOOKUP($C1443,Carpetas!$C$5:$M$2666,5,FALSE)</f>
        <v>Rio Branco</v>
      </c>
      <c r="L1443" s="32"/>
      <c r="M1443" s="48">
        <f t="shared" ref="M1443:M1457" si="96">J1443+1</f>
        <v>45836</v>
      </c>
      <c r="N1443" s="26">
        <f t="shared" si="95"/>
        <v>6</v>
      </c>
      <c r="O1443" s="27">
        <v>1456</v>
      </c>
      <c r="P1443" s="27">
        <v>1456</v>
      </c>
      <c r="Q1443" s="27">
        <v>26</v>
      </c>
      <c r="R1443" s="27">
        <v>26</v>
      </c>
      <c r="S1443" s="27" t="s">
        <v>1566</v>
      </c>
      <c r="T1443" s="27"/>
      <c r="U1443" s="27">
        <v>5325</v>
      </c>
      <c r="V1443" s="27" t="s">
        <v>669</v>
      </c>
      <c r="W1443" s="27" t="s">
        <v>670</v>
      </c>
      <c r="X1443" s="128" t="s">
        <v>4148</v>
      </c>
      <c r="Y1443" s="73" t="str">
        <f>VLOOKUP(X1443,Choferes!$B$3:C429,2,FALSE)</f>
        <v>+55 55 9999-0960</v>
      </c>
      <c r="Z1443" s="73" t="s">
        <v>4149</v>
      </c>
    </row>
    <row r="1444" spans="1:26" ht="30" hidden="1" x14ac:dyDescent="0.25">
      <c r="A1444" s="33">
        <v>26</v>
      </c>
      <c r="B1444" s="71" t="s">
        <v>29</v>
      </c>
      <c r="C1444" s="39" t="s">
        <v>4108</v>
      </c>
      <c r="D1444" s="106" t="s">
        <v>2474</v>
      </c>
      <c r="E1444" s="47">
        <v>45833</v>
      </c>
      <c r="F1444" s="31" t="str">
        <f>VLOOKUP($C1444,Carpetas!$C$5:$M$2666,2,FALSE)</f>
        <v>BRB068</v>
      </c>
      <c r="G1444" s="23" t="str">
        <f>VLOOKUP($C1444,Carpetas!$C$5:$M$2666,10,FALSE)</f>
        <v>152,81,46</v>
      </c>
      <c r="H1444" s="27" t="str">
        <f>VLOOKUP($C1444,Carpetas!$C$5:$M$2666,6,FALSE)</f>
        <v>FG</v>
      </c>
      <c r="I1444" s="220"/>
      <c r="J1444" s="47">
        <f t="shared" ref="J1444:J1453" si="97">E1444+3</f>
        <v>45836</v>
      </c>
      <c r="K1444" s="72" t="str">
        <f>VLOOKUP($C1444,Carpetas!$C$5:$M$2666,5,FALSE)</f>
        <v>Rio Branco</v>
      </c>
      <c r="L1444" s="32"/>
      <c r="M1444" s="48">
        <f t="shared" si="96"/>
        <v>45837</v>
      </c>
      <c r="N1444" s="26">
        <f t="shared" si="95"/>
        <v>4</v>
      </c>
      <c r="O1444" s="27">
        <v>990</v>
      </c>
      <c r="P1444" s="27">
        <v>990</v>
      </c>
      <c r="Q1444" s="27">
        <v>28</v>
      </c>
      <c r="R1444" s="27">
        <v>25</v>
      </c>
      <c r="S1444" s="27" t="s">
        <v>4150</v>
      </c>
      <c r="T1444" s="27"/>
      <c r="U1444" s="27">
        <v>928</v>
      </c>
      <c r="V1444" s="27" t="s">
        <v>1735</v>
      </c>
      <c r="W1444" s="27" t="s">
        <v>1681</v>
      </c>
      <c r="X1444" s="128" t="s">
        <v>1465</v>
      </c>
      <c r="Y1444" s="73" t="str">
        <f>VLOOKUP(X1444,Choferes!$B$3:C419,2,FALSE)</f>
        <v>+59893339027</v>
      </c>
      <c r="Z1444" s="73" t="s">
        <v>4151</v>
      </c>
    </row>
    <row r="1445" spans="1:26" ht="30" hidden="1" x14ac:dyDescent="0.25">
      <c r="A1445" s="33">
        <v>26</v>
      </c>
      <c r="B1445" s="71" t="s">
        <v>29</v>
      </c>
      <c r="C1445" s="39" t="s">
        <v>4108</v>
      </c>
      <c r="D1445" s="106" t="s">
        <v>747</v>
      </c>
      <c r="E1445" s="47">
        <v>45833</v>
      </c>
      <c r="F1445" s="31" t="str">
        <f>VLOOKUP($C1445,Carpetas!$C$5:$M$2666,2,FALSE)</f>
        <v>BRB068</v>
      </c>
      <c r="G1445" s="23" t="str">
        <f>VLOOKUP($C1445,Carpetas!$C$5:$M$2666,10,FALSE)</f>
        <v>152,81,46</v>
      </c>
      <c r="H1445" s="27" t="str">
        <f>VLOOKUP($C1445,Carpetas!$C$5:$M$2666,6,FALSE)</f>
        <v>FG</v>
      </c>
      <c r="I1445" s="220"/>
      <c r="J1445" s="47">
        <f t="shared" si="97"/>
        <v>45836</v>
      </c>
      <c r="K1445" s="72" t="str">
        <f>VLOOKUP($C1445,Carpetas!$C$5:$M$2666,5,FALSE)</f>
        <v>Rio Branco</v>
      </c>
      <c r="L1445" s="32"/>
      <c r="M1445" s="48">
        <f t="shared" si="96"/>
        <v>45837</v>
      </c>
      <c r="N1445" s="26">
        <f t="shared" si="95"/>
        <v>4</v>
      </c>
      <c r="O1445" s="27">
        <v>990</v>
      </c>
      <c r="P1445" s="27">
        <v>991</v>
      </c>
      <c r="Q1445" s="27">
        <v>28</v>
      </c>
      <c r="R1445" s="27">
        <v>24.5</v>
      </c>
      <c r="S1445" s="27" t="s">
        <v>4152</v>
      </c>
      <c r="T1445" s="27"/>
      <c r="U1445" s="27">
        <v>927</v>
      </c>
      <c r="V1445" s="27" t="s">
        <v>1630</v>
      </c>
      <c r="W1445" s="27" t="s">
        <v>1934</v>
      </c>
      <c r="X1445" s="128" t="s">
        <v>1935</v>
      </c>
      <c r="Y1445" s="73" t="str">
        <f>VLOOKUP(X1445,Choferes!$B$3:C420,2,FALSE)</f>
        <v>+5554984377792</v>
      </c>
      <c r="Z1445" s="73" t="s">
        <v>4153</v>
      </c>
    </row>
    <row r="1446" spans="1:26" ht="30" hidden="1" x14ac:dyDescent="0.25">
      <c r="A1446" s="33">
        <v>26</v>
      </c>
      <c r="B1446" s="71" t="s">
        <v>29</v>
      </c>
      <c r="C1446" s="39" t="s">
        <v>4154</v>
      </c>
      <c r="D1446" s="106" t="s">
        <v>2474</v>
      </c>
      <c r="E1446" s="47">
        <v>45834</v>
      </c>
      <c r="F1446" s="31" t="str">
        <f>VLOOKUP($C1446,Carpetas!$C$5:$M$2666,2,FALSE)</f>
        <v>BRB072</v>
      </c>
      <c r="G1446" s="23" t="str">
        <f>VLOOKUP($C1446,Carpetas!$C$5:$M$2666,10,FALSE)</f>
        <v>152,89,50</v>
      </c>
      <c r="H1446" s="27" t="str">
        <f>VLOOKUP($C1446,Carpetas!$C$5:$M$2666,6,FALSE)</f>
        <v>Amaro</v>
      </c>
      <c r="I1446" s="220"/>
      <c r="J1446" s="47">
        <f t="shared" si="97"/>
        <v>45837</v>
      </c>
      <c r="K1446" s="72" t="str">
        <f>VLOOKUP($C1446,Carpetas!$C$5:$M$2666,5,FALSE)</f>
        <v>Rio Branco</v>
      </c>
      <c r="L1446" s="32"/>
      <c r="M1446" s="48">
        <f t="shared" si="96"/>
        <v>45838</v>
      </c>
      <c r="N1446" s="26">
        <f t="shared" si="95"/>
        <v>4</v>
      </c>
      <c r="O1446" s="27">
        <v>990</v>
      </c>
      <c r="P1446" s="27">
        <v>990</v>
      </c>
      <c r="Q1446" s="27">
        <v>28</v>
      </c>
      <c r="R1446" s="27">
        <v>26</v>
      </c>
      <c r="S1446" s="27" t="s">
        <v>4155</v>
      </c>
      <c r="T1446" s="27"/>
      <c r="U1446" s="27">
        <v>26369</v>
      </c>
      <c r="V1446" s="27" t="s">
        <v>1991</v>
      </c>
      <c r="W1446" s="27" t="s">
        <v>2728</v>
      </c>
      <c r="X1446" s="128" t="s">
        <v>3599</v>
      </c>
      <c r="Y1446" s="73" t="str">
        <f>VLOOKUP(X1446,Choferes!$B$3:C427,2,FALSE)</f>
        <v>+55 53 8453-1303</v>
      </c>
      <c r="Z1446" s="73" t="s">
        <v>4156</v>
      </c>
    </row>
    <row r="1447" spans="1:26" hidden="1" x14ac:dyDescent="0.25">
      <c r="A1447" s="33">
        <v>26</v>
      </c>
      <c r="B1447" s="71" t="s">
        <v>29</v>
      </c>
      <c r="C1447" s="39" t="s">
        <v>4157</v>
      </c>
      <c r="D1447" s="106" t="s">
        <v>110</v>
      </c>
      <c r="E1447" s="47">
        <v>45835</v>
      </c>
      <c r="F1447" s="31" t="str">
        <f>VLOOKUP($C1447,Carpetas!$C$5:$M$2666,2,FALSE)</f>
        <v>BRB074</v>
      </c>
      <c r="G1447" s="23" t="str">
        <f>VLOOKUP($C1447,Carpetas!$C$5:$M$2666,10,FALSE)</f>
        <v>152,89,75</v>
      </c>
      <c r="H1447" s="27" t="str">
        <f>VLOOKUP($C1447,Carpetas!$C$5:$M$2666,6,FALSE)</f>
        <v xml:space="preserve">Silvio </v>
      </c>
      <c r="I1447" s="220"/>
      <c r="J1447" s="47">
        <f t="shared" si="97"/>
        <v>45838</v>
      </c>
      <c r="K1447" s="72" t="str">
        <f>VLOOKUP($C1447,Carpetas!$C$5:$M$2666,5,FALSE)</f>
        <v>Chuy</v>
      </c>
      <c r="L1447" s="32"/>
      <c r="M1447" s="48">
        <f t="shared" si="96"/>
        <v>45839</v>
      </c>
      <c r="N1447" s="26">
        <f t="shared" si="95"/>
        <v>4</v>
      </c>
      <c r="O1447" s="27">
        <v>918</v>
      </c>
      <c r="P1447" s="27">
        <v>918</v>
      </c>
      <c r="Q1447" s="27">
        <v>26</v>
      </c>
      <c r="R1447" s="27">
        <v>25</v>
      </c>
      <c r="S1447" s="27" t="s">
        <v>2667</v>
      </c>
      <c r="T1447" s="27"/>
      <c r="U1447" s="27"/>
      <c r="V1447" s="27"/>
      <c r="W1447" s="27"/>
      <c r="X1447" s="128"/>
      <c r="Y1447" s="73" t="e">
        <f>VLOOKUP(X1447,Choferes!$B$3:C416,2,FALSE)</f>
        <v>#N/A</v>
      </c>
      <c r="Z1447" s="73" t="s">
        <v>4158</v>
      </c>
    </row>
    <row r="1448" spans="1:26" hidden="1" x14ac:dyDescent="0.25">
      <c r="A1448" s="33">
        <v>26</v>
      </c>
      <c r="B1448" s="71" t="s">
        <v>29</v>
      </c>
      <c r="C1448" s="39" t="s">
        <v>4124</v>
      </c>
      <c r="D1448" s="106" t="s">
        <v>2202</v>
      </c>
      <c r="E1448" s="47">
        <v>45835</v>
      </c>
      <c r="F1448" s="31" t="str">
        <f>VLOOKUP($C1448,Carpetas!$C$5:$M$2666,2,FALSE)</f>
        <v>BRB071</v>
      </c>
      <c r="G1448" s="23" t="str">
        <f>VLOOKUP($C1448,Carpetas!$C$5:$M$2666,10,FALSE)</f>
        <v>152,86,54</v>
      </c>
      <c r="H1448" s="27" t="str">
        <f>VLOOKUP($C1448,Carpetas!$C$5:$M$2666,6,FALSE)</f>
        <v>Zanini</v>
      </c>
      <c r="I1448" s="220"/>
      <c r="J1448" s="47">
        <f t="shared" si="97"/>
        <v>45838</v>
      </c>
      <c r="K1448" s="72" t="str">
        <f>VLOOKUP($C1448,Carpetas!$C$5:$M$2666,5,FALSE)</f>
        <v>Rio Branco</v>
      </c>
      <c r="L1448" s="32"/>
      <c r="M1448" s="48">
        <f t="shared" si="96"/>
        <v>45839</v>
      </c>
      <c r="N1448" s="26">
        <f t="shared" si="95"/>
        <v>4</v>
      </c>
      <c r="O1448" s="27">
        <v>918</v>
      </c>
      <c r="P1448" s="27">
        <v>918</v>
      </c>
      <c r="Q1448" s="27">
        <v>26</v>
      </c>
      <c r="R1448" s="27">
        <v>25</v>
      </c>
      <c r="S1448" s="27" t="s">
        <v>2625</v>
      </c>
      <c r="T1448" s="27"/>
      <c r="U1448" s="27">
        <v>5329</v>
      </c>
      <c r="V1448" s="27" t="s">
        <v>292</v>
      </c>
      <c r="W1448" s="27" t="s">
        <v>293</v>
      </c>
      <c r="X1448" s="128" t="s">
        <v>3631</v>
      </c>
      <c r="Y1448" s="73" t="str">
        <f>VLOOKUP(X1448,Choferes!$B$3:C417,2,FALSE)</f>
        <v>+5551981741752</v>
      </c>
      <c r="Z1448" s="73" t="s">
        <v>4159</v>
      </c>
    </row>
    <row r="1449" spans="1:26" hidden="1" x14ac:dyDescent="0.25">
      <c r="A1449" s="33">
        <v>26</v>
      </c>
      <c r="B1449" s="71" t="s">
        <v>29</v>
      </c>
      <c r="C1449" s="39" t="s">
        <v>4160</v>
      </c>
      <c r="D1449" s="106" t="s">
        <v>2474</v>
      </c>
      <c r="E1449" s="47">
        <v>45835</v>
      </c>
      <c r="F1449" s="31" t="str">
        <f>VLOOKUP($C1449,Carpetas!$C$5:$M$2666,2,FALSE)</f>
        <v>BRB073</v>
      </c>
      <c r="G1449" s="23" t="str">
        <f>VLOOKUP($C1449,Carpetas!$C$5:$M$2666,10,FALSE)</f>
        <v>152,89,49</v>
      </c>
      <c r="H1449" s="27" t="str">
        <f>VLOOKUP($C1449,Carpetas!$C$5:$M$2666,6,FALSE)</f>
        <v>FG</v>
      </c>
      <c r="I1449" s="220"/>
      <c r="J1449" s="47">
        <f t="shared" si="97"/>
        <v>45838</v>
      </c>
      <c r="K1449" s="72" t="str">
        <f>VLOOKUP($C1449,Carpetas!$C$5:$M$2666,5,FALSE)</f>
        <v>Rio Branco</v>
      </c>
      <c r="L1449" s="32"/>
      <c r="M1449" s="48">
        <f t="shared" si="96"/>
        <v>45839</v>
      </c>
      <c r="N1449" s="26">
        <f t="shared" si="95"/>
        <v>4</v>
      </c>
      <c r="O1449" s="27">
        <v>990</v>
      </c>
      <c r="P1449" s="27">
        <v>990</v>
      </c>
      <c r="Q1449" s="27">
        <v>28</v>
      </c>
      <c r="R1449" s="27">
        <v>26</v>
      </c>
      <c r="S1449" s="27" t="s">
        <v>4161</v>
      </c>
      <c r="T1449" s="27"/>
      <c r="U1449" s="27">
        <v>937</v>
      </c>
      <c r="V1449" s="27" t="s">
        <v>1636</v>
      </c>
      <c r="W1449" s="27" t="s">
        <v>1736</v>
      </c>
      <c r="X1449" s="128" t="s">
        <v>1413</v>
      </c>
      <c r="Y1449" s="73" t="str">
        <f>VLOOKUP(X1449,Choferes!$B$3:C421,2,FALSE)</f>
        <v>+59899406679</v>
      </c>
      <c r="Z1449" s="73" t="s">
        <v>4162</v>
      </c>
    </row>
    <row r="1450" spans="1:26" hidden="1" x14ac:dyDescent="0.25">
      <c r="A1450" s="33">
        <v>26</v>
      </c>
      <c r="B1450" s="71" t="s">
        <v>29</v>
      </c>
      <c r="C1450" s="39" t="s">
        <v>4108</v>
      </c>
      <c r="D1450" s="106" t="s">
        <v>249</v>
      </c>
      <c r="E1450" s="47">
        <v>45835</v>
      </c>
      <c r="F1450" s="31" t="str">
        <f>VLOOKUP($C1450,Carpetas!$C$5:$M$2666,2,FALSE)</f>
        <v>BRB068</v>
      </c>
      <c r="G1450" s="23" t="str">
        <f>VLOOKUP($C1450,Carpetas!$C$5:$M$2666,10,FALSE)</f>
        <v>152,81,46</v>
      </c>
      <c r="H1450" s="27" t="str">
        <f>VLOOKUP($C1450,Carpetas!$C$5:$M$2666,6,FALSE)</f>
        <v>FG</v>
      </c>
      <c r="I1450" s="220"/>
      <c r="J1450" s="47">
        <f t="shared" si="97"/>
        <v>45838</v>
      </c>
      <c r="K1450" s="72" t="str">
        <f>VLOOKUP($C1450,Carpetas!$C$5:$M$2666,5,FALSE)</f>
        <v>Rio Branco</v>
      </c>
      <c r="L1450" s="32"/>
      <c r="M1450" s="48">
        <f t="shared" si="96"/>
        <v>45839</v>
      </c>
      <c r="N1450" s="26">
        <f t="shared" si="95"/>
        <v>4</v>
      </c>
      <c r="O1450" s="27">
        <v>990</v>
      </c>
      <c r="P1450" s="27">
        <v>990</v>
      </c>
      <c r="Q1450" s="27">
        <v>28</v>
      </c>
      <c r="R1450" s="27">
        <v>26</v>
      </c>
      <c r="S1450" s="27" t="s">
        <v>4163</v>
      </c>
      <c r="T1450" s="27"/>
      <c r="U1450" s="27">
        <v>935</v>
      </c>
      <c r="V1450" s="27" t="s">
        <v>3411</v>
      </c>
      <c r="W1450" s="27" t="s">
        <v>3412</v>
      </c>
      <c r="X1450" s="128" t="s">
        <v>3559</v>
      </c>
      <c r="Y1450" s="73" t="str">
        <f>VLOOKUP(X1450,Choferes!$B$3:C422,2,FALSE)</f>
        <v>+55 53 9713-4372</v>
      </c>
      <c r="Z1450" s="73" t="s">
        <v>4164</v>
      </c>
    </row>
    <row r="1451" spans="1:26" hidden="1" x14ac:dyDescent="0.25">
      <c r="A1451" s="33">
        <v>26</v>
      </c>
      <c r="B1451" s="71" t="s">
        <v>29</v>
      </c>
      <c r="C1451" s="39" t="s">
        <v>4160</v>
      </c>
      <c r="D1451" s="106" t="s">
        <v>2474</v>
      </c>
      <c r="E1451" s="47">
        <v>45836</v>
      </c>
      <c r="F1451" s="31" t="str">
        <f>VLOOKUP($C1451,Carpetas!$C$5:$M$2666,2,FALSE)</f>
        <v>BRB073</v>
      </c>
      <c r="G1451" s="23" t="str">
        <f>VLOOKUP($C1451,Carpetas!$C$5:$M$2666,10,FALSE)</f>
        <v>152,89,49</v>
      </c>
      <c r="H1451" s="27" t="str">
        <f>VLOOKUP($C1451,Carpetas!$C$5:$M$2666,6,FALSE)</f>
        <v>FG</v>
      </c>
      <c r="I1451" s="220"/>
      <c r="J1451" s="47">
        <f t="shared" si="97"/>
        <v>45839</v>
      </c>
      <c r="K1451" s="72" t="str">
        <f>VLOOKUP($C1451,Carpetas!$C$5:$M$2666,5,FALSE)</f>
        <v>Rio Branco</v>
      </c>
      <c r="L1451" s="32"/>
      <c r="M1451" s="48">
        <f t="shared" si="96"/>
        <v>45840</v>
      </c>
      <c r="N1451" s="26">
        <f t="shared" si="95"/>
        <v>4</v>
      </c>
      <c r="O1451" s="27">
        <v>990</v>
      </c>
      <c r="P1451" s="27">
        <v>990</v>
      </c>
      <c r="Q1451" s="27">
        <v>28</v>
      </c>
      <c r="R1451" s="27">
        <v>26</v>
      </c>
      <c r="S1451" s="27" t="s">
        <v>4165</v>
      </c>
      <c r="T1451" s="27"/>
      <c r="U1451" s="27">
        <v>938</v>
      </c>
      <c r="V1451" s="27" t="s">
        <v>1430</v>
      </c>
      <c r="W1451" s="27" t="s">
        <v>1669</v>
      </c>
      <c r="X1451" s="128" t="s">
        <v>1923</v>
      </c>
      <c r="Y1451" s="73" t="str">
        <f>VLOOKUP(X1451,Choferes!$B$3:C423,2,FALSE)</f>
        <v>+5553999049426</v>
      </c>
      <c r="Z1451" s="73" t="s">
        <v>4162</v>
      </c>
    </row>
    <row r="1452" spans="1:26" hidden="1" x14ac:dyDescent="0.25">
      <c r="A1452" s="33">
        <v>26</v>
      </c>
      <c r="B1452" s="71" t="s">
        <v>29</v>
      </c>
      <c r="C1452" s="39" t="s">
        <v>4108</v>
      </c>
      <c r="D1452" s="106" t="s">
        <v>747</v>
      </c>
      <c r="E1452" s="47">
        <v>45836</v>
      </c>
      <c r="F1452" s="31" t="str">
        <f>VLOOKUP($C1452,Carpetas!$C$5:$M$2666,2,FALSE)</f>
        <v>BRB068</v>
      </c>
      <c r="G1452" s="23" t="str">
        <f>VLOOKUP($C1452,Carpetas!$C$5:$M$2666,10,FALSE)</f>
        <v>152,81,46</v>
      </c>
      <c r="H1452" s="27" t="str">
        <f>VLOOKUP($C1452,Carpetas!$C$5:$M$2666,6,FALSE)</f>
        <v>FG</v>
      </c>
      <c r="I1452" s="220"/>
      <c r="J1452" s="47">
        <f t="shared" si="97"/>
        <v>45839</v>
      </c>
      <c r="K1452" s="72" t="str">
        <f>VLOOKUP($C1452,Carpetas!$C$5:$M$2666,5,FALSE)</f>
        <v>Rio Branco</v>
      </c>
      <c r="L1452" s="32"/>
      <c r="M1452" s="48">
        <f t="shared" si="96"/>
        <v>45840</v>
      </c>
      <c r="N1452" s="26">
        <f t="shared" si="95"/>
        <v>4</v>
      </c>
      <c r="O1452" s="27">
        <v>990</v>
      </c>
      <c r="P1452" s="27">
        <v>991</v>
      </c>
      <c r="Q1452" s="27">
        <v>28</v>
      </c>
      <c r="R1452" s="27">
        <v>26</v>
      </c>
      <c r="S1452" s="27" t="s">
        <v>4166</v>
      </c>
      <c r="T1452" s="27"/>
      <c r="U1452" s="27">
        <v>936</v>
      </c>
      <c r="V1452" s="27" t="s">
        <v>1680</v>
      </c>
      <c r="W1452" s="27" t="s">
        <v>3818</v>
      </c>
      <c r="X1452" s="128" t="s">
        <v>1623</v>
      </c>
      <c r="Y1452" s="73" t="str">
        <f>VLOOKUP(X1452,Choferes!$B$3:C424,2,FALSE)</f>
        <v>+5553991254560</v>
      </c>
      <c r="Z1452" s="73" t="s">
        <v>4162</v>
      </c>
    </row>
    <row r="1453" spans="1:26" hidden="1" x14ac:dyDescent="0.25">
      <c r="A1453" s="33">
        <v>26</v>
      </c>
      <c r="B1453" s="71" t="s">
        <v>29</v>
      </c>
      <c r="C1453" s="39" t="s">
        <v>4160</v>
      </c>
      <c r="D1453" s="106" t="s">
        <v>803</v>
      </c>
      <c r="E1453" s="47">
        <v>45836</v>
      </c>
      <c r="F1453" s="31" t="str">
        <f>VLOOKUP($C1453,Carpetas!$C$5:$M$2666,2,FALSE)</f>
        <v>BRB073</v>
      </c>
      <c r="G1453" s="23" t="str">
        <f>VLOOKUP($C1453,Carpetas!$C$5:$M$2666,10,FALSE)</f>
        <v>152,89,49</v>
      </c>
      <c r="H1453" s="27" t="str">
        <f>VLOOKUP($C1453,Carpetas!$C$5:$M$2666,6,FALSE)</f>
        <v>FG</v>
      </c>
      <c r="I1453" s="220"/>
      <c r="J1453" s="47">
        <f t="shared" si="97"/>
        <v>45839</v>
      </c>
      <c r="K1453" s="72" t="str">
        <f>VLOOKUP($C1453,Carpetas!$C$5:$M$2666,5,FALSE)</f>
        <v>Rio Branco</v>
      </c>
      <c r="L1453" s="32"/>
      <c r="M1453" s="48">
        <f t="shared" si="96"/>
        <v>45840</v>
      </c>
      <c r="N1453" s="26">
        <f t="shared" si="95"/>
        <v>4</v>
      </c>
      <c r="O1453" s="27">
        <v>990</v>
      </c>
      <c r="P1453" s="27">
        <v>990</v>
      </c>
      <c r="Q1453" s="27">
        <v>28</v>
      </c>
      <c r="R1453" s="27">
        <v>26</v>
      </c>
      <c r="S1453" s="27" t="s">
        <v>2462</v>
      </c>
      <c r="T1453" s="27"/>
      <c r="U1453" s="27">
        <v>939</v>
      </c>
      <c r="V1453" s="27" t="s">
        <v>1617</v>
      </c>
      <c r="W1453" s="27" t="s">
        <v>1618</v>
      </c>
      <c r="X1453" s="128" t="s">
        <v>1619</v>
      </c>
      <c r="Y1453" s="73" t="str">
        <f>VLOOKUP(X1453,Choferes!$B$3:C417,2,FALSE)</f>
        <v>+5553984318842</v>
      </c>
      <c r="Z1453" s="73" t="s">
        <v>4167</v>
      </c>
    </row>
    <row r="1454" spans="1:26" hidden="1" x14ac:dyDescent="0.25">
      <c r="A1454" s="33">
        <v>27</v>
      </c>
      <c r="B1454" s="71" t="s">
        <v>298</v>
      </c>
      <c r="C1454" s="39" t="s">
        <v>299</v>
      </c>
      <c r="D1454" s="106" t="s">
        <v>747</v>
      </c>
      <c r="E1454" s="47">
        <v>45838</v>
      </c>
      <c r="F1454" s="31" t="str">
        <f>VLOOKUP($C1454,Carpetas!$C$5:$M$2666,2,FALSE)</f>
        <v>BRB</v>
      </c>
      <c r="G1454" s="23" t="e">
        <f>VLOOKUP($C1454,Carpetas!$C$5:$M$2666,9,FALSE)</f>
        <v>#REF!</v>
      </c>
      <c r="H1454" s="27" t="str">
        <f>VLOOKUP($C1454,Carpetas!$C$5:$M$2666,5,FALSE)</f>
        <v>xx</v>
      </c>
      <c r="I1454" s="220"/>
      <c r="J1454" s="47">
        <f>E1454+2</f>
        <v>45840</v>
      </c>
      <c r="K1454" s="72">
        <f>VLOOKUP($C1454,Carpetas!$C$5:$M$2666,4,FALSE)</f>
        <v>0</v>
      </c>
      <c r="L1454" s="32"/>
      <c r="M1454" s="48">
        <f t="shared" si="96"/>
        <v>45841</v>
      </c>
      <c r="N1454" s="26">
        <f t="shared" si="95"/>
        <v>3</v>
      </c>
      <c r="O1454" s="27">
        <v>990</v>
      </c>
      <c r="P1454" s="27"/>
      <c r="Q1454" s="27"/>
      <c r="R1454" s="27"/>
      <c r="S1454" s="27"/>
      <c r="T1454" s="27"/>
      <c r="U1454" s="27"/>
      <c r="V1454" s="27"/>
      <c r="W1454" s="27"/>
      <c r="X1454" s="128"/>
      <c r="Y1454" s="73" t="e">
        <f>VLOOKUP(X1454,Choferes!$B$3:C420,2,FALSE)</f>
        <v>#N/A</v>
      </c>
      <c r="Z1454" s="73"/>
    </row>
    <row r="1455" spans="1:26" hidden="1" x14ac:dyDescent="0.25">
      <c r="A1455" s="33">
        <v>27</v>
      </c>
      <c r="B1455" s="71" t="s">
        <v>29</v>
      </c>
      <c r="C1455" s="39" t="s">
        <v>4160</v>
      </c>
      <c r="D1455" s="106" t="s">
        <v>2474</v>
      </c>
      <c r="E1455" s="47">
        <v>45839</v>
      </c>
      <c r="F1455" s="31" t="str">
        <f>VLOOKUP($C1455,Carpetas!$C$5:$M$2666,2,FALSE)</f>
        <v>BRB073</v>
      </c>
      <c r="G1455" s="23" t="str">
        <f>VLOOKUP($C1455,Carpetas!$C$5:$M$2666,10,FALSE)</f>
        <v>152,89,49</v>
      </c>
      <c r="H1455" s="27" t="str">
        <f>VLOOKUP($C1455,Carpetas!$C$5:$M$2666,6,FALSE)</f>
        <v>FG</v>
      </c>
      <c r="I1455" s="220"/>
      <c r="J1455" s="47">
        <f>E1455+2</f>
        <v>45841</v>
      </c>
      <c r="K1455" s="72" t="str">
        <f>VLOOKUP($C1455,Carpetas!$C$5:$M$2666,5,FALSE)</f>
        <v>Rio Branco</v>
      </c>
      <c r="L1455" s="32"/>
      <c r="M1455" s="48">
        <f t="shared" si="96"/>
        <v>45842</v>
      </c>
      <c r="N1455" s="26">
        <f t="shared" si="95"/>
        <v>3</v>
      </c>
      <c r="O1455" s="27">
        <v>990</v>
      </c>
      <c r="P1455" s="27">
        <v>990</v>
      </c>
      <c r="Q1455" s="27">
        <v>28</v>
      </c>
      <c r="R1455" s="27">
        <v>26</v>
      </c>
      <c r="S1455" s="27" t="s">
        <v>4168</v>
      </c>
      <c r="T1455" s="27"/>
      <c r="U1455" s="27">
        <v>942</v>
      </c>
      <c r="V1455" s="27" t="s">
        <v>3669</v>
      </c>
      <c r="W1455" s="27" t="s">
        <v>912</v>
      </c>
      <c r="X1455" s="128" t="s">
        <v>2336</v>
      </c>
      <c r="Y1455" s="73" t="str">
        <f>VLOOKUP(X1455,Choferes!$B$3:C421,2,FALSE)</f>
        <v>+5553984414060</v>
      </c>
      <c r="Z1455" s="73" t="s">
        <v>4169</v>
      </c>
    </row>
    <row r="1456" spans="1:26" hidden="1" x14ac:dyDescent="0.25">
      <c r="A1456" s="33">
        <v>27</v>
      </c>
      <c r="B1456" s="71" t="s">
        <v>29</v>
      </c>
      <c r="C1456" s="39" t="s">
        <v>4114</v>
      </c>
      <c r="D1456" s="106" t="s">
        <v>110</v>
      </c>
      <c r="E1456" s="47">
        <v>45839</v>
      </c>
      <c r="F1456" s="31" t="str">
        <f>VLOOKUP($C1456,Carpetas!$C$5:$M$2666,2,FALSE)</f>
        <v>BRB069</v>
      </c>
      <c r="G1456" s="23" t="str">
        <f>VLOOKUP($C1456,Carpetas!$C$5:$M$2666,10,FALSE)</f>
        <v>152,84,36</v>
      </c>
      <c r="H1456" s="27" t="str">
        <f>VLOOKUP($C1456,Carpetas!$C$5:$M$2666,6,FALSE)</f>
        <v>Gral</v>
      </c>
      <c r="I1456" s="220"/>
      <c r="J1456" s="47">
        <f>E1456+2</f>
        <v>45841</v>
      </c>
      <c r="K1456" s="72" t="str">
        <f>VLOOKUP($C1456,Carpetas!$C$5:$M$2666,5,FALSE)</f>
        <v>Chuy</v>
      </c>
      <c r="L1456" s="32"/>
      <c r="M1456" s="48">
        <f t="shared" si="96"/>
        <v>45842</v>
      </c>
      <c r="N1456" s="26">
        <f t="shared" si="95"/>
        <v>3</v>
      </c>
      <c r="O1456" s="27">
        <v>918</v>
      </c>
      <c r="P1456" s="27">
        <v>919</v>
      </c>
      <c r="Q1456" s="27">
        <v>26</v>
      </c>
      <c r="R1456" s="27">
        <v>25</v>
      </c>
      <c r="S1456" s="27" t="s">
        <v>2738</v>
      </c>
      <c r="T1456" s="27"/>
      <c r="U1456" s="27"/>
      <c r="V1456" s="27" t="s">
        <v>4170</v>
      </c>
      <c r="W1456" s="27"/>
      <c r="X1456" s="128"/>
      <c r="Y1456" s="73" t="e">
        <f>VLOOKUP(X1456,Choferes!$B$3:C425,2,FALSE)</f>
        <v>#N/A</v>
      </c>
      <c r="Z1456" s="73" t="s">
        <v>4171</v>
      </c>
    </row>
    <row r="1457" spans="1:26" hidden="1" x14ac:dyDescent="0.25">
      <c r="A1457" s="33">
        <v>27</v>
      </c>
      <c r="B1457" s="71" t="s">
        <v>29</v>
      </c>
      <c r="C1457" s="39" t="s">
        <v>3932</v>
      </c>
      <c r="D1457" s="106" t="s">
        <v>2202</v>
      </c>
      <c r="E1457" s="47">
        <v>45840</v>
      </c>
      <c r="F1457" s="31" t="str">
        <f>VLOOKUP($C1457,Carpetas!$C$5:$M$2666,2,FALSE)</f>
        <v>BRB059</v>
      </c>
      <c r="G1457" s="23" t="str">
        <f>VLOOKUP($C1457,Carpetas!$C$5:$M$2666,10,FALSE)</f>
        <v>152,65,78</v>
      </c>
      <c r="H1457" s="27" t="str">
        <f>VLOOKUP($C1457,Carpetas!$C$5:$M$2666,6,FALSE)</f>
        <v>Silvio</v>
      </c>
      <c r="I1457" s="220"/>
      <c r="J1457" s="47">
        <f>E1457+2</f>
        <v>45842</v>
      </c>
      <c r="K1457" s="72" t="str">
        <f>VLOOKUP($C1457,Carpetas!$C$5:$M$2666,5,FALSE)</f>
        <v>Rio Branco</v>
      </c>
      <c r="L1457" s="32"/>
      <c r="M1457" s="48">
        <f t="shared" si="96"/>
        <v>45843</v>
      </c>
      <c r="N1457" s="26">
        <f t="shared" si="95"/>
        <v>3</v>
      </c>
      <c r="O1457" s="27">
        <v>918</v>
      </c>
      <c r="P1457" s="27">
        <v>919</v>
      </c>
      <c r="Q1457" s="27">
        <v>26</v>
      </c>
      <c r="R1457" s="27">
        <v>25</v>
      </c>
      <c r="S1457" s="27" t="s">
        <v>2734</v>
      </c>
      <c r="T1457" s="27"/>
      <c r="U1457" s="27">
        <v>7423</v>
      </c>
      <c r="V1457" s="27" t="s">
        <v>4172</v>
      </c>
      <c r="W1457" s="27" t="s">
        <v>4173</v>
      </c>
      <c r="X1457" s="128" t="s">
        <v>4174</v>
      </c>
      <c r="Y1457" s="73" t="str">
        <f>VLOOKUP(X1457,Choferes!$B$3:C418,2,FALSE)</f>
        <v>+55 55 9979-8055</v>
      </c>
      <c r="Z1457" s="73" t="s">
        <v>4175</v>
      </c>
    </row>
    <row r="1458" spans="1:26" hidden="1" x14ac:dyDescent="0.25">
      <c r="A1458" s="33">
        <v>25</v>
      </c>
      <c r="B1458" s="71" t="s">
        <v>29</v>
      </c>
      <c r="C1458" s="39" t="s">
        <v>4176</v>
      </c>
      <c r="D1458" s="106" t="s">
        <v>38</v>
      </c>
      <c r="E1458" s="47">
        <v>45827</v>
      </c>
      <c r="F1458" s="31" t="str">
        <f>VLOOKUP($C1458,Carpetas!$C$5:$M$2666,2,FALSE)</f>
        <v>BRE024</v>
      </c>
      <c r="G1458" s="23">
        <f>VLOOKUP($C1458,Carpetas!$C$5:$M$2666,10,FALSE)</f>
        <v>0</v>
      </c>
      <c r="H1458" s="27" t="str">
        <f>VLOOKUP($C1458,Carpetas!$C$5:$M$2666,6,FALSE)</f>
        <v xml:space="preserve">Silvio </v>
      </c>
      <c r="I1458" s="220">
        <f>VLOOKUP($C1458,Carpetas!$C$5:$M$2666,4,FALSE)</f>
        <v>0</v>
      </c>
      <c r="J1458" s="47">
        <v>45835</v>
      </c>
      <c r="K1458" s="72" t="str">
        <f>VLOOKUP($C1458,Carpetas!$C$5:$M$2666,5,FALSE)</f>
        <v>Rio Branco</v>
      </c>
      <c r="L1458" s="32"/>
      <c r="M1458" s="48">
        <v>45846</v>
      </c>
      <c r="N1458" s="26">
        <f t="shared" si="95"/>
        <v>19</v>
      </c>
      <c r="O1458" s="27">
        <v>2520</v>
      </c>
      <c r="P1458" s="27">
        <v>2520</v>
      </c>
      <c r="Q1458" s="27">
        <v>28</v>
      </c>
      <c r="R1458" s="27">
        <v>8.8000000000000007</v>
      </c>
      <c r="S1458" s="27" t="s">
        <v>3506</v>
      </c>
      <c r="T1458" s="27"/>
      <c r="U1458" s="27">
        <v>7450</v>
      </c>
      <c r="V1458" s="27" t="s">
        <v>3961</v>
      </c>
      <c r="W1458" s="27" t="s">
        <v>3962</v>
      </c>
      <c r="X1458" s="128" t="s">
        <v>3963</v>
      </c>
      <c r="Y1458" s="73" t="str">
        <f>VLOOKUP(X1458,Choferes!$B$3:C427,2,FALSE)</f>
        <v>+55 21 97022-8539</v>
      </c>
      <c r="Z1458" s="73" t="s">
        <v>4177</v>
      </c>
    </row>
    <row r="1459" spans="1:26" ht="30" hidden="1" x14ac:dyDescent="0.25">
      <c r="A1459" s="33">
        <v>27</v>
      </c>
      <c r="B1459" s="71" t="s">
        <v>29</v>
      </c>
      <c r="C1459" s="39" t="s">
        <v>4160</v>
      </c>
      <c r="D1459" s="106" t="s">
        <v>2474</v>
      </c>
      <c r="E1459" s="47">
        <v>45841</v>
      </c>
      <c r="F1459" s="31" t="str">
        <f>VLOOKUP($C1459,Carpetas!$C$5:$M$2666,2,FALSE)</f>
        <v>BRB073</v>
      </c>
      <c r="G1459" s="23" t="str">
        <f>VLOOKUP($C1459,Carpetas!$C$5:$M$2666,10,FALSE)</f>
        <v>152,89,49</v>
      </c>
      <c r="H1459" s="27" t="str">
        <f>VLOOKUP($C1459,Carpetas!$C$5:$M$2666,6,FALSE)</f>
        <v>FG</v>
      </c>
      <c r="I1459" s="220"/>
      <c r="J1459" s="47">
        <v>45845</v>
      </c>
      <c r="K1459" s="72" t="str">
        <f>VLOOKUP($C1459,Carpetas!$C$5:$M$2666,5,FALSE)</f>
        <v>Rio Branco</v>
      </c>
      <c r="L1459" s="32"/>
      <c r="M1459" s="48">
        <f t="shared" ref="M1459:M1481" si="98">J1459+1</f>
        <v>45846</v>
      </c>
      <c r="N1459" s="26">
        <f t="shared" si="95"/>
        <v>5</v>
      </c>
      <c r="O1459" s="27">
        <v>990</v>
      </c>
      <c r="P1459" s="27">
        <v>972</v>
      </c>
      <c r="Q1459" s="27">
        <v>28</v>
      </c>
      <c r="R1459" s="27">
        <v>26</v>
      </c>
      <c r="S1459" s="27" t="s">
        <v>4178</v>
      </c>
      <c r="T1459" s="27"/>
      <c r="U1459" s="27">
        <v>945</v>
      </c>
      <c r="V1459" s="27" t="s">
        <v>1626</v>
      </c>
      <c r="W1459" s="27" t="s">
        <v>1627</v>
      </c>
      <c r="X1459" s="128" t="s">
        <v>1489</v>
      </c>
      <c r="Y1459" s="73" t="str">
        <f>VLOOKUP(X1459,Choferes!$B$3:C422,2,FALSE)</f>
        <v>+5553984039582</v>
      </c>
      <c r="Z1459" s="73" t="s">
        <v>4179</v>
      </c>
    </row>
    <row r="1460" spans="1:26" hidden="1" x14ac:dyDescent="0.25">
      <c r="A1460" s="33">
        <v>27</v>
      </c>
      <c r="B1460" s="71" t="s">
        <v>29</v>
      </c>
      <c r="C1460" s="39" t="s">
        <v>4124</v>
      </c>
      <c r="D1460" s="106" t="s">
        <v>110</v>
      </c>
      <c r="E1460" s="47">
        <v>45842</v>
      </c>
      <c r="F1460" s="31" t="str">
        <f>VLOOKUP($C1460,Carpetas!$C$5:$M$2666,2,FALSE)</f>
        <v>BRB071</v>
      </c>
      <c r="G1460" s="23" t="str">
        <f>VLOOKUP($C1460,Carpetas!$C$5:$M$2666,10,FALSE)</f>
        <v>152,86,54</v>
      </c>
      <c r="H1460" s="27" t="str">
        <f>VLOOKUP($C1460,Carpetas!$C$5:$M$2666,6,FALSE)</f>
        <v>Zanini</v>
      </c>
      <c r="I1460" s="220"/>
      <c r="J1460" s="47">
        <v>45845</v>
      </c>
      <c r="K1460" s="72" t="str">
        <f>VLOOKUP($C1460,Carpetas!$C$5:$M$2666,5,FALSE)</f>
        <v>Rio Branco</v>
      </c>
      <c r="L1460" s="32"/>
      <c r="M1460" s="48">
        <f t="shared" si="98"/>
        <v>45846</v>
      </c>
      <c r="N1460" s="26">
        <f t="shared" si="95"/>
        <v>4</v>
      </c>
      <c r="O1460" s="27">
        <v>918</v>
      </c>
      <c r="P1460" s="27">
        <v>919</v>
      </c>
      <c r="Q1460" s="27">
        <v>26</v>
      </c>
      <c r="R1460" s="27">
        <v>25</v>
      </c>
      <c r="S1460" s="27" t="s">
        <v>2798</v>
      </c>
      <c r="T1460" s="27"/>
      <c r="U1460" s="27">
        <v>5343</v>
      </c>
      <c r="V1460" s="27" t="s">
        <v>147</v>
      </c>
      <c r="W1460" s="27" t="s">
        <v>3309</v>
      </c>
      <c r="X1460" s="128" t="s">
        <v>4180</v>
      </c>
      <c r="Y1460" s="73" t="str">
        <f>VLOOKUP(X1460,Choferes!$B$3:C419,2,FALSE)</f>
        <v>+55 41 9687-3997</v>
      </c>
      <c r="Z1460" s="73" t="s">
        <v>4181</v>
      </c>
    </row>
    <row r="1461" spans="1:26" hidden="1" x14ac:dyDescent="0.25">
      <c r="A1461" s="33">
        <v>27</v>
      </c>
      <c r="B1461" s="71" t="s">
        <v>29</v>
      </c>
      <c r="C1461" s="39" t="s">
        <v>4160</v>
      </c>
      <c r="D1461" s="106" t="s">
        <v>2202</v>
      </c>
      <c r="E1461" s="47">
        <v>45842</v>
      </c>
      <c r="F1461" s="31" t="str">
        <f>VLOOKUP($C1461,Carpetas!$C$5:$M$2666,2,FALSE)</f>
        <v>BRB073</v>
      </c>
      <c r="G1461" s="23" t="str">
        <f>VLOOKUP($C1461,Carpetas!$C$5:$M$2666,10,FALSE)</f>
        <v>152,89,49</v>
      </c>
      <c r="H1461" s="27" t="str">
        <f>VLOOKUP($C1461,Carpetas!$C$5:$M$2666,6,FALSE)</f>
        <v>FG</v>
      </c>
      <c r="I1461" s="220"/>
      <c r="J1461" s="47">
        <v>45845</v>
      </c>
      <c r="K1461" s="72" t="str">
        <f>VLOOKUP($C1461,Carpetas!$C$5:$M$2666,5,FALSE)</f>
        <v>Rio Branco</v>
      </c>
      <c r="L1461" s="32"/>
      <c r="M1461" s="48">
        <f t="shared" si="98"/>
        <v>45846</v>
      </c>
      <c r="N1461" s="26">
        <f t="shared" si="95"/>
        <v>4</v>
      </c>
      <c r="O1461" s="27">
        <v>990</v>
      </c>
      <c r="P1461" s="27">
        <v>990</v>
      </c>
      <c r="Q1461" s="27">
        <v>28</v>
      </c>
      <c r="R1461" s="27">
        <v>26</v>
      </c>
      <c r="S1461" s="27" t="s">
        <v>2768</v>
      </c>
      <c r="T1461" s="27"/>
      <c r="U1461" s="27">
        <v>948</v>
      </c>
      <c r="V1461" s="27" t="s">
        <v>1430</v>
      </c>
      <c r="W1461" s="27" t="s">
        <v>1669</v>
      </c>
      <c r="X1461" s="128" t="s">
        <v>1923</v>
      </c>
      <c r="Y1461" s="73" t="str">
        <f>VLOOKUP(X1461,Choferes!$B$3:C423,2,FALSE)</f>
        <v>+5553999049426</v>
      </c>
      <c r="Z1461" s="73" t="s">
        <v>4182</v>
      </c>
    </row>
    <row r="1462" spans="1:26" hidden="1" x14ac:dyDescent="0.25">
      <c r="A1462" s="33">
        <v>27</v>
      </c>
      <c r="B1462" s="71" t="s">
        <v>29</v>
      </c>
      <c r="C1462" s="39" t="s">
        <v>4160</v>
      </c>
      <c r="D1462" s="106" t="s">
        <v>747</v>
      </c>
      <c r="E1462" s="47">
        <v>45842</v>
      </c>
      <c r="F1462" s="31" t="str">
        <f>VLOOKUP($C1462,Carpetas!$C$5:$M$2666,2,FALSE)</f>
        <v>BRB073</v>
      </c>
      <c r="G1462" s="23" t="str">
        <f>VLOOKUP($C1462,Carpetas!$C$5:$M$2666,10,FALSE)</f>
        <v>152,89,49</v>
      </c>
      <c r="H1462" s="27" t="str">
        <f>VLOOKUP($C1462,Carpetas!$C$5:$M$2666,6,FALSE)</f>
        <v>FG</v>
      </c>
      <c r="I1462" s="220"/>
      <c r="J1462" s="47">
        <v>45845</v>
      </c>
      <c r="K1462" s="72" t="str">
        <f>VLOOKUP($C1462,Carpetas!$C$5:$M$2666,5,FALSE)</f>
        <v>Rio Branco</v>
      </c>
      <c r="L1462" s="32"/>
      <c r="M1462" s="48">
        <f t="shared" si="98"/>
        <v>45846</v>
      </c>
      <c r="N1462" s="26">
        <f t="shared" si="95"/>
        <v>4</v>
      </c>
      <c r="O1462" s="27">
        <v>990</v>
      </c>
      <c r="P1462" s="27">
        <v>1028</v>
      </c>
      <c r="Q1462" s="27">
        <v>28</v>
      </c>
      <c r="R1462" s="27">
        <v>26</v>
      </c>
      <c r="S1462" s="27" t="s">
        <v>4183</v>
      </c>
      <c r="T1462" s="27"/>
      <c r="U1462" s="27">
        <v>949</v>
      </c>
      <c r="V1462" s="27" t="s">
        <v>1636</v>
      </c>
      <c r="W1462" s="27" t="s">
        <v>1736</v>
      </c>
      <c r="X1462" s="128" t="s">
        <v>1413</v>
      </c>
      <c r="Y1462" s="73" t="str">
        <f>VLOOKUP(X1462,Choferes!$B$3:C407,2,FALSE)</f>
        <v>+59899406679</v>
      </c>
      <c r="Z1462" s="73" t="s">
        <v>4184</v>
      </c>
    </row>
    <row r="1463" spans="1:26" hidden="1" x14ac:dyDescent="0.25">
      <c r="A1463" s="33">
        <v>27</v>
      </c>
      <c r="B1463" s="71" t="s">
        <v>29</v>
      </c>
      <c r="C1463" s="39" t="s">
        <v>4160</v>
      </c>
      <c r="D1463" s="106" t="s">
        <v>249</v>
      </c>
      <c r="E1463" s="47">
        <v>45842</v>
      </c>
      <c r="F1463" s="31" t="str">
        <f>VLOOKUP($C1463,Carpetas!$C$5:$M$2666,2,FALSE)</f>
        <v>BRB073</v>
      </c>
      <c r="G1463" s="23" t="str">
        <f>VLOOKUP($C1463,Carpetas!$C$5:$M$2666,10,FALSE)</f>
        <v>152,89,49</v>
      </c>
      <c r="H1463" s="27" t="str">
        <f>VLOOKUP($C1463,Carpetas!$C$5:$M$2666,6,FALSE)</f>
        <v>FG</v>
      </c>
      <c r="I1463" s="220"/>
      <c r="J1463" s="47">
        <v>45845</v>
      </c>
      <c r="K1463" s="72" t="str">
        <f>VLOOKUP($C1463,Carpetas!$C$5:$M$2666,5,FALSE)</f>
        <v>Rio Branco</v>
      </c>
      <c r="L1463" s="32"/>
      <c r="M1463" s="48">
        <f t="shared" si="98"/>
        <v>45846</v>
      </c>
      <c r="N1463" s="26">
        <f t="shared" si="95"/>
        <v>4</v>
      </c>
      <c r="O1463" s="27">
        <v>990</v>
      </c>
      <c r="P1463" s="27">
        <v>990</v>
      </c>
      <c r="Q1463" s="27">
        <v>28</v>
      </c>
      <c r="R1463" s="27">
        <v>26</v>
      </c>
      <c r="S1463" s="27" t="s">
        <v>4185</v>
      </c>
      <c r="T1463" s="27"/>
      <c r="U1463" s="27">
        <v>947</v>
      </c>
      <c r="V1463" s="27" t="s">
        <v>1680</v>
      </c>
      <c r="W1463" s="27" t="s">
        <v>3818</v>
      </c>
      <c r="X1463" s="128" t="s">
        <v>1623</v>
      </c>
      <c r="Y1463" s="73" t="str">
        <f>VLOOKUP(X1463,Choferes!$B$3:C424,2,FALSE)</f>
        <v>+5553991254560</v>
      </c>
      <c r="Z1463" s="73" t="s">
        <v>4186</v>
      </c>
    </row>
    <row r="1464" spans="1:26" ht="30" hidden="1" x14ac:dyDescent="0.25">
      <c r="A1464" s="33">
        <v>27</v>
      </c>
      <c r="B1464" s="71" t="s">
        <v>29</v>
      </c>
      <c r="C1464" s="39" t="s">
        <v>4160</v>
      </c>
      <c r="D1464" s="106" t="s">
        <v>2474</v>
      </c>
      <c r="E1464" s="47">
        <v>45843</v>
      </c>
      <c r="F1464" s="31" t="str">
        <f>VLOOKUP($C1464,Carpetas!$C$5:$M$2666,2,FALSE)</f>
        <v>BRB073</v>
      </c>
      <c r="G1464" s="23" t="str">
        <f>VLOOKUP($C1464,Carpetas!$C$5:$M$2666,10,FALSE)</f>
        <v>152,89,49</v>
      </c>
      <c r="H1464" s="27" t="str">
        <f>VLOOKUP($C1464,Carpetas!$C$5:$M$2666,6,FALSE)</f>
        <v>FG</v>
      </c>
      <c r="I1464" s="220"/>
      <c r="J1464" s="47">
        <f t="shared" ref="J1464:J1469" si="99">E1464+2</f>
        <v>45845</v>
      </c>
      <c r="K1464" s="72" t="str">
        <f>VLOOKUP($C1464,Carpetas!$C$5:$M$2666,5,FALSE)</f>
        <v>Rio Branco</v>
      </c>
      <c r="L1464" s="32"/>
      <c r="M1464" s="48">
        <f t="shared" si="98"/>
        <v>45846</v>
      </c>
      <c r="N1464" s="26">
        <f t="shared" si="95"/>
        <v>3</v>
      </c>
      <c r="O1464" s="27">
        <v>990</v>
      </c>
      <c r="P1464" s="27">
        <v>970</v>
      </c>
      <c r="Q1464" s="27">
        <v>28</v>
      </c>
      <c r="R1464" s="27">
        <v>26</v>
      </c>
      <c r="S1464" s="27" t="s">
        <v>4187</v>
      </c>
      <c r="T1464" s="27"/>
      <c r="U1464" s="27">
        <v>946</v>
      </c>
      <c r="V1464" s="27" t="s">
        <v>3411</v>
      </c>
      <c r="W1464" s="27" t="s">
        <v>3412</v>
      </c>
      <c r="X1464" s="128" t="s">
        <v>3559</v>
      </c>
      <c r="Y1464" s="73" t="str">
        <f>VLOOKUP(X1464,Choferes!$B$3:C423,2,FALSE)</f>
        <v>+55 53 9713-4372</v>
      </c>
      <c r="Z1464" s="73" t="s">
        <v>4188</v>
      </c>
    </row>
    <row r="1465" spans="1:26" hidden="1" x14ac:dyDescent="0.25">
      <c r="A1465" s="33">
        <v>27</v>
      </c>
      <c r="B1465" s="71" t="s">
        <v>29</v>
      </c>
      <c r="C1465" s="39" t="s">
        <v>4127</v>
      </c>
      <c r="D1465" s="106" t="s">
        <v>2474</v>
      </c>
      <c r="E1465" s="47">
        <v>45843</v>
      </c>
      <c r="F1465" s="31" t="str">
        <f>VLOOKUP($C1465,Carpetas!$C$5:$M$2666,2,FALSE)</f>
        <v>BRB070</v>
      </c>
      <c r="G1465" s="23" t="str">
        <f>VLOOKUP($C1465,Carpetas!$C$5:$M$2666,10,FALSE)</f>
        <v>152,86,18</v>
      </c>
      <c r="H1465" s="27" t="str">
        <f>VLOOKUP($C1465,Carpetas!$C$5:$M$2666,6,FALSE)</f>
        <v>Chabat</v>
      </c>
      <c r="I1465" s="220"/>
      <c r="J1465" s="47">
        <f t="shared" si="99"/>
        <v>45845</v>
      </c>
      <c r="K1465" s="72" t="str">
        <f>VLOOKUP($C1465,Carpetas!$C$5:$M$2666,5,FALSE)</f>
        <v>Rio Branco</v>
      </c>
      <c r="L1465" s="32"/>
      <c r="M1465" s="48">
        <f t="shared" si="98"/>
        <v>45846</v>
      </c>
      <c r="N1465" s="26">
        <f t="shared" si="95"/>
        <v>3</v>
      </c>
      <c r="O1465" s="27">
        <v>990</v>
      </c>
      <c r="P1465" s="27">
        <v>990</v>
      </c>
      <c r="Q1465" s="27">
        <v>28</v>
      </c>
      <c r="R1465" s="27">
        <v>26</v>
      </c>
      <c r="S1465" s="27" t="s">
        <v>4189</v>
      </c>
      <c r="T1465" s="27"/>
      <c r="U1465" s="27">
        <v>2395</v>
      </c>
      <c r="V1465" s="27" t="s">
        <v>4134</v>
      </c>
      <c r="W1465" s="27" t="s">
        <v>4135</v>
      </c>
      <c r="X1465" s="128"/>
      <c r="Y1465" s="73" t="e">
        <f>VLOOKUP(X1465,Choferes!$B$3:C410,2,FALSE)</f>
        <v>#N/A</v>
      </c>
      <c r="Z1465" s="73" t="s">
        <v>4190</v>
      </c>
    </row>
    <row r="1466" spans="1:26" hidden="1" x14ac:dyDescent="0.25">
      <c r="A1466" s="33">
        <v>28</v>
      </c>
      <c r="B1466" s="71" t="s">
        <v>298</v>
      </c>
      <c r="C1466" s="39" t="s">
        <v>299</v>
      </c>
      <c r="D1466" s="106" t="s">
        <v>249</v>
      </c>
      <c r="E1466" s="47">
        <v>45843</v>
      </c>
      <c r="F1466" s="31" t="str">
        <f>VLOOKUP($C1466,Carpetas!$C$5:$M$2666,2,FALSE)</f>
        <v>BRB</v>
      </c>
      <c r="G1466" s="23" t="e">
        <f>VLOOKUP($C1466,Carpetas!$C$5:$M$2666,9,FALSE)</f>
        <v>#REF!</v>
      </c>
      <c r="H1466" s="27" t="str">
        <f>VLOOKUP($C1466,Carpetas!$C$5:$M$2666,5,FALSE)</f>
        <v>xx</v>
      </c>
      <c r="I1466" s="220"/>
      <c r="J1466" s="47">
        <f t="shared" si="99"/>
        <v>45845</v>
      </c>
      <c r="K1466" s="72">
        <f>VLOOKUP($C1466,Carpetas!$C$5:$M$2666,4,FALSE)</f>
        <v>0</v>
      </c>
      <c r="L1466" s="32"/>
      <c r="M1466" s="48">
        <f t="shared" si="98"/>
        <v>45846</v>
      </c>
      <c r="N1466" s="26">
        <f t="shared" si="95"/>
        <v>3</v>
      </c>
      <c r="O1466" s="27">
        <v>990</v>
      </c>
      <c r="P1466" s="27"/>
      <c r="Q1466" s="27"/>
      <c r="R1466" s="27"/>
      <c r="S1466" s="27"/>
      <c r="T1466" s="27"/>
      <c r="U1466" s="27"/>
      <c r="V1466" s="27"/>
      <c r="W1466" s="27"/>
      <c r="X1466" s="128"/>
      <c r="Y1466" s="73" t="e">
        <f>VLOOKUP(X1466,Choferes!$B$3:C424,2,FALSE)</f>
        <v>#N/A</v>
      </c>
      <c r="Z1466" s="73"/>
    </row>
    <row r="1467" spans="1:26" hidden="1" x14ac:dyDescent="0.25">
      <c r="A1467" s="33">
        <v>28</v>
      </c>
      <c r="B1467" s="71" t="s">
        <v>29</v>
      </c>
      <c r="C1467" s="39" t="s">
        <v>4191</v>
      </c>
      <c r="D1467" s="106" t="s">
        <v>747</v>
      </c>
      <c r="E1467" s="47">
        <v>45845</v>
      </c>
      <c r="F1467" s="31" t="str">
        <f>VLOOKUP($C1467,Carpetas!$C$5:$M$2666,2,FALSE)</f>
        <v>BRB075</v>
      </c>
      <c r="G1467" s="23" t="str">
        <f>VLOOKUP($C1467,Carpetas!$C$5:$M$2666,10,FALSE)</f>
        <v>152,97,88</v>
      </c>
      <c r="H1467" s="27" t="str">
        <f>VLOOKUP($C1467,Carpetas!$C$5:$M$2666,6,FALSE)</f>
        <v>FG</v>
      </c>
      <c r="I1467" s="220"/>
      <c r="J1467" s="47">
        <f t="shared" si="99"/>
        <v>45847</v>
      </c>
      <c r="K1467" s="72" t="str">
        <f>VLOOKUP($C1467,Carpetas!$C$5:$M$2666,5,FALSE)</f>
        <v>Rio Branco</v>
      </c>
      <c r="L1467" s="32"/>
      <c r="M1467" s="48">
        <f t="shared" si="98"/>
        <v>45848</v>
      </c>
      <c r="N1467" s="26">
        <f t="shared" si="95"/>
        <v>3</v>
      </c>
      <c r="O1467" s="27">
        <v>990</v>
      </c>
      <c r="P1467" s="27">
        <v>991</v>
      </c>
      <c r="Q1467" s="27">
        <v>28</v>
      </c>
      <c r="R1467" s="27">
        <v>26</v>
      </c>
      <c r="S1467" s="27" t="s">
        <v>4192</v>
      </c>
      <c r="T1467" s="27"/>
      <c r="U1467" s="27">
        <v>952</v>
      </c>
      <c r="V1467" s="27" t="s">
        <v>4193</v>
      </c>
      <c r="W1467" s="27" t="s">
        <v>4194</v>
      </c>
      <c r="X1467" s="128" t="s">
        <v>4195</v>
      </c>
      <c r="Y1467" s="73" t="str">
        <f>VLOOKUP(X1467,Choferes!$B$3:C417,2,FALSE)</f>
        <v>+55 53 9972-5431</v>
      </c>
      <c r="Z1467" s="73" t="s">
        <v>4196</v>
      </c>
    </row>
    <row r="1468" spans="1:26" hidden="1" x14ac:dyDescent="0.25">
      <c r="A1468" s="33">
        <v>28</v>
      </c>
      <c r="B1468" s="71" t="s">
        <v>29</v>
      </c>
      <c r="C1468" s="39" t="s">
        <v>4191</v>
      </c>
      <c r="D1468" s="106" t="s">
        <v>2474</v>
      </c>
      <c r="E1468" s="47">
        <v>45845</v>
      </c>
      <c r="F1468" s="31" t="str">
        <f>VLOOKUP($C1468,Carpetas!$C$5:$M$2666,2,FALSE)</f>
        <v>BRB075</v>
      </c>
      <c r="G1468" s="23" t="str">
        <f>VLOOKUP($C1468,Carpetas!$C$5:$M$2666,10,FALSE)</f>
        <v>152,97,88</v>
      </c>
      <c r="H1468" s="27" t="str">
        <f>VLOOKUP($C1468,Carpetas!$C$5:$M$2666,6,FALSE)</f>
        <v>FG</v>
      </c>
      <c r="I1468" s="220"/>
      <c r="J1468" s="47">
        <f t="shared" si="99"/>
        <v>45847</v>
      </c>
      <c r="K1468" s="72" t="str">
        <f>VLOOKUP($C1468,Carpetas!$C$5:$M$2666,5,FALSE)</f>
        <v>Rio Branco</v>
      </c>
      <c r="L1468" s="32"/>
      <c r="M1468" s="48">
        <f t="shared" si="98"/>
        <v>45848</v>
      </c>
      <c r="N1468" s="26">
        <f t="shared" si="95"/>
        <v>3</v>
      </c>
      <c r="O1468" s="27">
        <v>990</v>
      </c>
      <c r="P1468" s="27">
        <v>990</v>
      </c>
      <c r="Q1468" s="27">
        <v>28</v>
      </c>
      <c r="R1468" s="27">
        <v>26</v>
      </c>
      <c r="S1468" s="27" t="s">
        <v>4197</v>
      </c>
      <c r="T1468" s="27"/>
      <c r="U1468" s="27">
        <v>950</v>
      </c>
      <c r="V1468" s="27" t="s">
        <v>1722</v>
      </c>
      <c r="W1468" s="27" t="s">
        <v>1637</v>
      </c>
      <c r="X1468" s="128" t="s">
        <v>2119</v>
      </c>
      <c r="Y1468" s="73" t="str">
        <f>VLOOKUP(X1468,Choferes!$B$3:C418,2,FALSE)</f>
        <v>+5553981528085</v>
      </c>
      <c r="Z1468" s="73" t="s">
        <v>4198</v>
      </c>
    </row>
    <row r="1469" spans="1:26" hidden="1" x14ac:dyDescent="0.25">
      <c r="A1469" s="33">
        <v>28</v>
      </c>
      <c r="B1469" s="71" t="s">
        <v>29</v>
      </c>
      <c r="C1469" s="39" t="s">
        <v>4191</v>
      </c>
      <c r="D1469" s="106" t="s">
        <v>110</v>
      </c>
      <c r="E1469" s="47">
        <v>45846</v>
      </c>
      <c r="F1469" s="31" t="str">
        <f>VLOOKUP($C1469,Carpetas!$C$5:$M$2666,2,FALSE)</f>
        <v>BRB075</v>
      </c>
      <c r="G1469" s="23" t="str">
        <f>VLOOKUP($C1469,Carpetas!$C$5:$M$2666,10,FALSE)</f>
        <v>152,97,88</v>
      </c>
      <c r="H1469" s="27" t="str">
        <f>VLOOKUP($C1469,Carpetas!$C$5:$M$2666,6,FALSE)</f>
        <v>FG</v>
      </c>
      <c r="I1469" s="220"/>
      <c r="J1469" s="47">
        <f t="shared" si="99"/>
        <v>45848</v>
      </c>
      <c r="K1469" s="72" t="str">
        <f>VLOOKUP($C1469,Carpetas!$C$5:$M$2666,5,FALSE)</f>
        <v>Rio Branco</v>
      </c>
      <c r="L1469" s="32"/>
      <c r="M1469" s="48">
        <f t="shared" si="98"/>
        <v>45849</v>
      </c>
      <c r="N1469" s="26">
        <f t="shared" si="95"/>
        <v>3</v>
      </c>
      <c r="O1469" s="27">
        <v>990</v>
      </c>
      <c r="P1469" s="27">
        <v>990</v>
      </c>
      <c r="Q1469" s="27">
        <v>28</v>
      </c>
      <c r="R1469" s="27">
        <v>26</v>
      </c>
      <c r="S1469" s="27" t="s">
        <v>2871</v>
      </c>
      <c r="T1469" s="27"/>
      <c r="U1469" s="27">
        <v>953</v>
      </c>
      <c r="V1469" s="27" t="s">
        <v>3774</v>
      </c>
      <c r="W1469" s="27" t="s">
        <v>3775</v>
      </c>
      <c r="X1469" s="128" t="s">
        <v>3776</v>
      </c>
      <c r="Y1469" s="73" t="str">
        <f>VLOOKUP(X1469,Choferes!$B$3:C418,2,FALSE)</f>
        <v>+55 53 8432-5009</v>
      </c>
      <c r="Z1469" s="73" t="s">
        <v>4199</v>
      </c>
    </row>
    <row r="1470" spans="1:26" hidden="1" x14ac:dyDescent="0.25">
      <c r="A1470" s="33">
        <v>28</v>
      </c>
      <c r="B1470" s="71" t="s">
        <v>29</v>
      </c>
      <c r="C1470" s="39" t="s">
        <v>4191</v>
      </c>
      <c r="D1470" s="106" t="s">
        <v>803</v>
      </c>
      <c r="E1470" s="47">
        <v>45847</v>
      </c>
      <c r="F1470" s="31" t="str">
        <f>VLOOKUP($C1470,Carpetas!$C$5:$M$2666,2,FALSE)</f>
        <v>BRB075</v>
      </c>
      <c r="G1470" s="23" t="str">
        <f>VLOOKUP($C1470,Carpetas!$C$5:$M$2666,10,FALSE)</f>
        <v>152,97,88</v>
      </c>
      <c r="H1470" s="27" t="str">
        <f>VLOOKUP($C1470,Carpetas!$C$5:$M$2666,6,FALSE)</f>
        <v>FG</v>
      </c>
      <c r="I1470" s="220"/>
      <c r="J1470" s="47">
        <v>45848</v>
      </c>
      <c r="K1470" s="72" t="str">
        <f>VLOOKUP($C1470,Carpetas!$C$5:$M$2666,5,FALSE)</f>
        <v>Rio Branco</v>
      </c>
      <c r="L1470" s="32"/>
      <c r="M1470" s="48">
        <f t="shared" si="98"/>
        <v>45849</v>
      </c>
      <c r="N1470" s="26">
        <f t="shared" si="95"/>
        <v>2</v>
      </c>
      <c r="O1470" s="27">
        <v>990</v>
      </c>
      <c r="P1470" s="27">
        <v>990</v>
      </c>
      <c r="Q1470" s="27">
        <v>28</v>
      </c>
      <c r="R1470" s="27">
        <v>26</v>
      </c>
      <c r="S1470" s="27" t="s">
        <v>2519</v>
      </c>
      <c r="T1470" s="27"/>
      <c r="U1470" s="27">
        <v>960</v>
      </c>
      <c r="V1470" s="27" t="s">
        <v>1726</v>
      </c>
      <c r="W1470" s="27" t="s">
        <v>1646</v>
      </c>
      <c r="X1470" s="128" t="s">
        <v>1576</v>
      </c>
      <c r="Y1470" s="73" t="str">
        <f>VLOOKUP(X1470,Choferes!$B$3:C424,2,FALSE)</f>
        <v>+55119971489722</v>
      </c>
      <c r="Z1470" s="73" t="s">
        <v>4200</v>
      </c>
    </row>
    <row r="1471" spans="1:26" hidden="1" x14ac:dyDescent="0.25">
      <c r="A1471" s="33">
        <v>28</v>
      </c>
      <c r="B1471" s="71" t="s">
        <v>29</v>
      </c>
      <c r="C1471" s="39" t="s">
        <v>4191</v>
      </c>
      <c r="D1471" s="106" t="s">
        <v>2202</v>
      </c>
      <c r="E1471" s="47">
        <v>45846</v>
      </c>
      <c r="F1471" s="31" t="str">
        <f>VLOOKUP($C1471,Carpetas!$C$5:$M$2666,2,FALSE)</f>
        <v>BRB075</v>
      </c>
      <c r="G1471" s="23" t="str">
        <f>VLOOKUP($C1471,Carpetas!$C$5:$M$2666,10,FALSE)</f>
        <v>152,97,88</v>
      </c>
      <c r="H1471" s="27" t="str">
        <f>VLOOKUP($C1471,Carpetas!$C$5:$M$2666,6,FALSE)</f>
        <v>FG</v>
      </c>
      <c r="I1471" s="220"/>
      <c r="J1471" s="47">
        <v>45849</v>
      </c>
      <c r="K1471" s="72" t="str">
        <f>VLOOKUP($C1471,Carpetas!$C$5:$M$2666,5,FALSE)</f>
        <v>Rio Branco</v>
      </c>
      <c r="L1471" s="32"/>
      <c r="M1471" s="48">
        <f t="shared" si="98"/>
        <v>45850</v>
      </c>
      <c r="N1471" s="26">
        <f t="shared" si="95"/>
        <v>4</v>
      </c>
      <c r="O1471" s="27">
        <v>990</v>
      </c>
      <c r="P1471" s="27">
        <v>991</v>
      </c>
      <c r="Q1471" s="27">
        <v>28</v>
      </c>
      <c r="R1471" s="27">
        <v>26</v>
      </c>
      <c r="S1471" s="27" t="s">
        <v>4201</v>
      </c>
      <c r="T1471" s="27"/>
      <c r="U1471" s="27">
        <v>958</v>
      </c>
      <c r="V1471" s="27" t="s">
        <v>1630</v>
      </c>
      <c r="W1471" s="27" t="s">
        <v>1934</v>
      </c>
      <c r="X1471" s="128" t="s">
        <v>1935</v>
      </c>
      <c r="Y1471" s="73" t="str">
        <f>VLOOKUP(X1471,Choferes!$B$3:C419,2,FALSE)</f>
        <v>+5554984377792</v>
      </c>
      <c r="Z1471" s="73" t="s">
        <v>4202</v>
      </c>
    </row>
    <row r="1472" spans="1:26" hidden="1" x14ac:dyDescent="0.25">
      <c r="A1472" s="33">
        <v>28</v>
      </c>
      <c r="B1472" s="71" t="s">
        <v>29</v>
      </c>
      <c r="C1472" s="39" t="s">
        <v>4191</v>
      </c>
      <c r="D1472" s="106" t="s">
        <v>747</v>
      </c>
      <c r="E1472" s="47">
        <v>45847</v>
      </c>
      <c r="F1472" s="31" t="str">
        <f>VLOOKUP($C1472,Carpetas!$C$5:$M$2666,2,FALSE)</f>
        <v>BRB075</v>
      </c>
      <c r="G1472" s="23" t="str">
        <f>VLOOKUP($C1472,Carpetas!$C$5:$M$2666,10,FALSE)</f>
        <v>152,97,88</v>
      </c>
      <c r="H1472" s="27" t="str">
        <f>VLOOKUP($C1472,Carpetas!$C$5:$M$2666,6,FALSE)</f>
        <v>FG</v>
      </c>
      <c r="I1472" s="220"/>
      <c r="J1472" s="47">
        <f>E1472+2</f>
        <v>45849</v>
      </c>
      <c r="K1472" s="72" t="str">
        <f>VLOOKUP($C1472,Carpetas!$C$5:$M$2666,5,FALSE)</f>
        <v>Rio Branco</v>
      </c>
      <c r="L1472" s="32"/>
      <c r="M1472" s="48">
        <f t="shared" si="98"/>
        <v>45850</v>
      </c>
      <c r="N1472" s="26">
        <f t="shared" si="95"/>
        <v>3</v>
      </c>
      <c r="O1472" s="27">
        <v>990</v>
      </c>
      <c r="P1472" s="27">
        <v>991</v>
      </c>
      <c r="Q1472" s="27">
        <v>28</v>
      </c>
      <c r="R1472" s="27">
        <v>26</v>
      </c>
      <c r="S1472" s="27" t="s">
        <v>4203</v>
      </c>
      <c r="T1472" s="27"/>
      <c r="U1472" s="27">
        <v>957</v>
      </c>
      <c r="V1472" s="27" t="s">
        <v>1645</v>
      </c>
      <c r="W1472" s="27" t="s">
        <v>1631</v>
      </c>
      <c r="X1472" s="128" t="s">
        <v>3808</v>
      </c>
      <c r="Y1472" s="73" t="str">
        <f>VLOOKUP(X1472,Choferes!$B$3:C420,2,FALSE)</f>
        <v>+55 53 8412-9466</v>
      </c>
      <c r="Z1472" s="73" t="s">
        <v>4202</v>
      </c>
    </row>
    <row r="1473" spans="1:26" hidden="1" x14ac:dyDescent="0.25">
      <c r="A1473" s="33">
        <v>28</v>
      </c>
      <c r="B1473" s="71" t="s">
        <v>29</v>
      </c>
      <c r="C1473" s="39" t="s">
        <v>4191</v>
      </c>
      <c r="D1473" s="106" t="s">
        <v>2474</v>
      </c>
      <c r="E1473" s="47">
        <v>45847</v>
      </c>
      <c r="F1473" s="31" t="str">
        <f>VLOOKUP($C1473,Carpetas!$C$5:$M$2666,2,FALSE)</f>
        <v>BRB075</v>
      </c>
      <c r="G1473" s="23" t="str">
        <f>VLOOKUP($C1473,Carpetas!$C$5:$M$2666,10,FALSE)</f>
        <v>152,97,88</v>
      </c>
      <c r="H1473" s="27" t="str">
        <f>VLOOKUP($C1473,Carpetas!$C$5:$M$2666,6,FALSE)</f>
        <v>FG</v>
      </c>
      <c r="I1473" s="220"/>
      <c r="J1473" s="47">
        <f>E1473+2</f>
        <v>45849</v>
      </c>
      <c r="K1473" s="72" t="str">
        <f>VLOOKUP($C1473,Carpetas!$C$5:$M$2666,5,FALSE)</f>
        <v>Rio Branco</v>
      </c>
      <c r="L1473" s="32"/>
      <c r="M1473" s="48">
        <f t="shared" si="98"/>
        <v>45850</v>
      </c>
      <c r="N1473" s="26">
        <f t="shared" si="95"/>
        <v>3</v>
      </c>
      <c r="O1473" s="27">
        <v>990</v>
      </c>
      <c r="P1473" s="27"/>
      <c r="Q1473" s="27"/>
      <c r="R1473" s="27"/>
      <c r="S1473" s="27" t="s">
        <v>4204</v>
      </c>
      <c r="T1473" s="27"/>
      <c r="U1473" s="27">
        <v>959</v>
      </c>
      <c r="V1473" s="27" t="s">
        <v>3669</v>
      </c>
      <c r="W1473" s="27" t="s">
        <v>912</v>
      </c>
      <c r="X1473" s="128" t="s">
        <v>2336</v>
      </c>
      <c r="Y1473" s="73" t="str">
        <f>VLOOKUP(X1473,Choferes!$B$3:C421,2,FALSE)</f>
        <v>+5553984414060</v>
      </c>
      <c r="Z1473" s="73" t="s">
        <v>4200</v>
      </c>
    </row>
    <row r="1474" spans="1:26" hidden="1" x14ac:dyDescent="0.25">
      <c r="A1474" s="33">
        <v>28</v>
      </c>
      <c r="B1474" s="71" t="s">
        <v>29</v>
      </c>
      <c r="C1474" s="39" t="s">
        <v>4154</v>
      </c>
      <c r="D1474" s="106" t="s">
        <v>249</v>
      </c>
      <c r="E1474" s="47">
        <v>45847</v>
      </c>
      <c r="F1474" s="31" t="str">
        <f>VLOOKUP($C1474,Carpetas!$C$5:$M$2666,2,FALSE)</f>
        <v>BRB072</v>
      </c>
      <c r="G1474" s="23" t="str">
        <f>VLOOKUP($C1474,Carpetas!$C$5:$M$2666,10,FALSE)</f>
        <v>152,89,50</v>
      </c>
      <c r="H1474" s="27" t="str">
        <f>VLOOKUP($C1474,Carpetas!$C$5:$M$2666,6,FALSE)</f>
        <v>Amaro</v>
      </c>
      <c r="I1474" s="220"/>
      <c r="J1474" s="47">
        <f>E1474+2</f>
        <v>45849</v>
      </c>
      <c r="K1474" s="72" t="str">
        <f>VLOOKUP($C1474,Carpetas!$C$5:$M$2666,5,FALSE)</f>
        <v>Rio Branco</v>
      </c>
      <c r="L1474" s="32"/>
      <c r="M1474" s="48">
        <f t="shared" si="98"/>
        <v>45850</v>
      </c>
      <c r="N1474" s="26">
        <f t="shared" si="95"/>
        <v>3</v>
      </c>
      <c r="O1474" s="27">
        <v>990</v>
      </c>
      <c r="P1474" s="27">
        <v>990</v>
      </c>
      <c r="Q1474" s="27">
        <v>28</v>
      </c>
      <c r="R1474" s="27">
        <v>26</v>
      </c>
      <c r="S1474" s="27" t="s">
        <v>4205</v>
      </c>
      <c r="T1474" s="27"/>
      <c r="U1474" s="27">
        <v>26433</v>
      </c>
      <c r="V1474" s="27" t="s">
        <v>4206</v>
      </c>
      <c r="W1474" s="27" t="s">
        <v>4207</v>
      </c>
      <c r="X1474" s="128" t="s">
        <v>4208</v>
      </c>
      <c r="Y1474" s="73" t="str">
        <f>VLOOKUP(X1474,Choferes!$B$3:C413,2,FALSE)</f>
        <v>+55 55 9674-9281</v>
      </c>
      <c r="Z1474" s="73" t="s">
        <v>4209</v>
      </c>
    </row>
    <row r="1475" spans="1:26" ht="30" hidden="1" x14ac:dyDescent="0.25">
      <c r="A1475" s="33">
        <v>27</v>
      </c>
      <c r="B1475" s="71" t="s">
        <v>29</v>
      </c>
      <c r="C1475" s="39" t="s">
        <v>4210</v>
      </c>
      <c r="D1475" s="106" t="s">
        <v>38</v>
      </c>
      <c r="E1475" s="47">
        <v>45848</v>
      </c>
      <c r="F1475" s="31" t="str">
        <f>VLOOKUP($C1475,Carpetas!$C$5:$M$2666,2,FALSE)</f>
        <v>BRE028</v>
      </c>
      <c r="G1475" s="23">
        <f>VLOOKUP($C1475,Carpetas!$C$5:$M$2666,10,FALSE)</f>
        <v>1530001</v>
      </c>
      <c r="H1475" s="27" t="str">
        <f>VLOOKUP($C1475,Carpetas!$C$5:$M$2666,6,FALSE)</f>
        <v>Zanini</v>
      </c>
      <c r="I1475" s="220">
        <f>VLOOKUP($C1475,Carpetas!$C$5:$M$2666,4,FALSE)</f>
        <v>0</v>
      </c>
      <c r="J1475" s="47">
        <v>45849</v>
      </c>
      <c r="K1475" s="72" t="str">
        <f>VLOOKUP($C1475,Carpetas!$C$5:$M$2666,5,FALSE)</f>
        <v>Rio Branco</v>
      </c>
      <c r="L1475" s="32"/>
      <c r="M1475" s="48">
        <f t="shared" si="98"/>
        <v>45850</v>
      </c>
      <c r="N1475" s="26">
        <f t="shared" si="95"/>
        <v>2</v>
      </c>
      <c r="O1475" s="27">
        <v>1400</v>
      </c>
      <c r="P1475" s="27">
        <v>1327</v>
      </c>
      <c r="Q1475" s="27"/>
      <c r="R1475" s="27">
        <v>15.56</v>
      </c>
      <c r="S1475" s="27" t="s">
        <v>4211</v>
      </c>
      <c r="T1475" s="27"/>
      <c r="U1475" s="27">
        <v>5356</v>
      </c>
      <c r="V1475" s="27" t="s">
        <v>4212</v>
      </c>
      <c r="W1475" s="27" t="s">
        <v>4213</v>
      </c>
      <c r="X1475" s="128" t="s">
        <v>3845</v>
      </c>
      <c r="Y1475" s="73" t="str">
        <f>VLOOKUP(X1475,Choferes!$B$3:C412,2,FALSE)</f>
        <v>+5555997005936</v>
      </c>
      <c r="Z1475" s="73" t="s">
        <v>4214</v>
      </c>
    </row>
    <row r="1476" spans="1:26" hidden="1" x14ac:dyDescent="0.25">
      <c r="A1476" s="33">
        <v>28</v>
      </c>
      <c r="B1476" s="71" t="s">
        <v>29</v>
      </c>
      <c r="C1476" s="39" t="s">
        <v>4154</v>
      </c>
      <c r="D1476" s="106" t="s">
        <v>2474</v>
      </c>
      <c r="E1476" s="47">
        <v>45849</v>
      </c>
      <c r="F1476" s="31" t="str">
        <f>VLOOKUP($C1476,Carpetas!$C$5:$M$2666,2,FALSE)</f>
        <v>BRB072</v>
      </c>
      <c r="G1476" s="23" t="str">
        <f>VLOOKUP($C1476,Carpetas!$C$5:$M$2666,10,FALSE)</f>
        <v>152,89,50</v>
      </c>
      <c r="H1476" s="27" t="str">
        <f>VLOOKUP($C1476,Carpetas!$C$5:$M$2666,6,FALSE)</f>
        <v>Amaro</v>
      </c>
      <c r="I1476" s="220"/>
      <c r="J1476" s="47">
        <v>45849</v>
      </c>
      <c r="K1476" s="72" t="str">
        <f>VLOOKUP($C1476,Carpetas!$C$5:$M$2666,5,FALSE)</f>
        <v>Rio Branco</v>
      </c>
      <c r="L1476" s="32"/>
      <c r="M1476" s="48">
        <f t="shared" si="98"/>
        <v>45850</v>
      </c>
      <c r="N1476" s="26">
        <f t="shared" si="95"/>
        <v>1</v>
      </c>
      <c r="O1476" s="27">
        <v>990</v>
      </c>
      <c r="P1476" s="27">
        <v>990</v>
      </c>
      <c r="Q1476" s="27">
        <v>28</v>
      </c>
      <c r="R1476" s="27">
        <v>26</v>
      </c>
      <c r="S1476" s="27" t="s">
        <v>4215</v>
      </c>
      <c r="T1476" s="27"/>
      <c r="U1476" s="27">
        <v>26446</v>
      </c>
      <c r="V1476" s="27" t="s">
        <v>2619</v>
      </c>
      <c r="W1476" s="27" t="s">
        <v>997</v>
      </c>
      <c r="X1476" s="128"/>
      <c r="Y1476" s="73" t="e">
        <f>VLOOKUP(X1476,Choferes!$B$3:C414,2,FALSE)</f>
        <v>#N/A</v>
      </c>
      <c r="Z1476" s="73" t="s">
        <v>4200</v>
      </c>
    </row>
    <row r="1477" spans="1:26" hidden="1" x14ac:dyDescent="0.25">
      <c r="A1477" s="33">
        <v>28</v>
      </c>
      <c r="B1477" s="71" t="s">
        <v>29</v>
      </c>
      <c r="C1477" s="39" t="s">
        <v>4191</v>
      </c>
      <c r="D1477" s="106" t="s">
        <v>2202</v>
      </c>
      <c r="E1477" s="47">
        <v>45848</v>
      </c>
      <c r="F1477" s="31" t="str">
        <f>VLOOKUP($C1477,Carpetas!$C$5:$M$2666,2,FALSE)</f>
        <v>BRB075</v>
      </c>
      <c r="G1477" s="23" t="str">
        <f>VLOOKUP($C1477,Carpetas!$C$5:$M$2666,10,FALSE)</f>
        <v>152,97,88</v>
      </c>
      <c r="H1477" s="27" t="str">
        <f>VLOOKUP($C1477,Carpetas!$C$5:$M$2666,6,FALSE)</f>
        <v>FG</v>
      </c>
      <c r="I1477" s="220"/>
      <c r="J1477" s="47">
        <f>E1477+2</f>
        <v>45850</v>
      </c>
      <c r="K1477" s="72" t="str">
        <f>VLOOKUP($C1477,Carpetas!$C$5:$M$2666,5,FALSE)</f>
        <v>Rio Branco</v>
      </c>
      <c r="L1477" s="32"/>
      <c r="M1477" s="48">
        <f t="shared" si="98"/>
        <v>45851</v>
      </c>
      <c r="N1477" s="26">
        <f t="shared" si="95"/>
        <v>3</v>
      </c>
      <c r="O1477" s="27">
        <v>990</v>
      </c>
      <c r="P1477" s="27">
        <v>990</v>
      </c>
      <c r="Q1477" s="27">
        <v>28</v>
      </c>
      <c r="R1477" s="27">
        <v>26</v>
      </c>
      <c r="S1477" s="27" t="s">
        <v>4216</v>
      </c>
      <c r="T1477" s="27"/>
      <c r="U1477" s="27">
        <v>961</v>
      </c>
      <c r="V1477" s="27" t="s">
        <v>3613</v>
      </c>
      <c r="W1477" s="27" t="s">
        <v>3614</v>
      </c>
      <c r="X1477" s="128" t="s">
        <v>3615</v>
      </c>
      <c r="Y1477" s="73" t="str">
        <f>VLOOKUP(X1477,Choferes!$B$3:C422,2,FALSE)</f>
        <v>+55 53 8122-3386</v>
      </c>
      <c r="Z1477" s="73" t="s">
        <v>4217</v>
      </c>
    </row>
    <row r="1478" spans="1:26" hidden="1" x14ac:dyDescent="0.25">
      <c r="A1478" s="33">
        <v>28</v>
      </c>
      <c r="B1478" s="71" t="s">
        <v>29</v>
      </c>
      <c r="C1478" s="39" t="s">
        <v>4218</v>
      </c>
      <c r="D1478" s="106" t="s">
        <v>1757</v>
      </c>
      <c r="E1478" s="47">
        <v>45846</v>
      </c>
      <c r="F1478" s="31" t="str">
        <f>VLOOKUP($C1478,Carpetas!$C$5:$M$2666,2,FALSE)</f>
        <v>BRB076</v>
      </c>
      <c r="G1478" s="23">
        <f>VLOOKUP($C1478,Carpetas!$C$5:$M$2666,10,FALSE)</f>
        <v>1529899</v>
      </c>
      <c r="H1478" s="27" t="str">
        <f>VLOOKUP($C1478,Carpetas!$C$5:$M$2666,6,FALSE)</f>
        <v>Gral</v>
      </c>
      <c r="I1478" s="220"/>
      <c r="J1478" s="47">
        <f>E1478+5</f>
        <v>45851</v>
      </c>
      <c r="K1478" s="72" t="str">
        <f>VLOOKUP($C1478,Carpetas!$C$5:$M$2666,5,FALSE)</f>
        <v>Rio Branco</v>
      </c>
      <c r="L1478" s="32"/>
      <c r="M1478" s="48">
        <f t="shared" si="98"/>
        <v>45852</v>
      </c>
      <c r="N1478" s="26">
        <f t="shared" si="95"/>
        <v>6</v>
      </c>
      <c r="O1478" s="27">
        <v>936</v>
      </c>
      <c r="P1478" s="27">
        <v>936</v>
      </c>
      <c r="Q1478" s="27">
        <v>26</v>
      </c>
      <c r="R1478" s="27">
        <v>26</v>
      </c>
      <c r="S1478" s="27" t="s">
        <v>3274</v>
      </c>
      <c r="T1478" s="27"/>
      <c r="U1478" s="27">
        <v>7498</v>
      </c>
      <c r="V1478" s="27" t="s">
        <v>4219</v>
      </c>
      <c r="W1478" s="27" t="s">
        <v>4220</v>
      </c>
      <c r="X1478" s="128"/>
      <c r="Y1478" s="73" t="e">
        <f>VLOOKUP(X1478,Choferes!$B$3:C415,2,FALSE)</f>
        <v>#N/A</v>
      </c>
      <c r="Z1478" s="73" t="s">
        <v>4221</v>
      </c>
    </row>
    <row r="1479" spans="1:26" hidden="1" x14ac:dyDescent="0.25">
      <c r="A1479" s="33">
        <v>28</v>
      </c>
      <c r="B1479" s="71" t="s">
        <v>29</v>
      </c>
      <c r="C1479" s="39" t="s">
        <v>4127</v>
      </c>
      <c r="D1479" s="106" t="s">
        <v>803</v>
      </c>
      <c r="E1479" s="47">
        <v>45849</v>
      </c>
      <c r="F1479" s="31" t="str">
        <f>VLOOKUP($C1479,Carpetas!$C$5:$M$2666,2,FALSE)</f>
        <v>BRB070</v>
      </c>
      <c r="G1479" s="23" t="str">
        <f>VLOOKUP($C1479,Carpetas!$C$5:$M$2666,10,FALSE)</f>
        <v>152,86,18</v>
      </c>
      <c r="H1479" s="27" t="str">
        <f>VLOOKUP($C1479,Carpetas!$C$5:$M$2666,6,FALSE)</f>
        <v>Chabat</v>
      </c>
      <c r="I1479" s="220"/>
      <c r="J1479" s="47">
        <f>E1479+2</f>
        <v>45851</v>
      </c>
      <c r="K1479" s="72" t="str">
        <f>VLOOKUP($C1479,Carpetas!$C$5:$M$2666,5,FALSE)</f>
        <v>Rio Branco</v>
      </c>
      <c r="L1479" s="32"/>
      <c r="M1479" s="48">
        <f t="shared" si="98"/>
        <v>45852</v>
      </c>
      <c r="N1479" s="26">
        <f t="shared" si="95"/>
        <v>3</v>
      </c>
      <c r="O1479" s="27">
        <v>990</v>
      </c>
      <c r="P1479" s="27">
        <v>990</v>
      </c>
      <c r="Q1479" s="27">
        <v>28</v>
      </c>
      <c r="R1479" s="27">
        <v>26</v>
      </c>
      <c r="S1479" s="27" t="s">
        <v>4222</v>
      </c>
      <c r="T1479" s="27"/>
      <c r="U1479" s="27">
        <v>2400</v>
      </c>
      <c r="V1479" s="27" t="s">
        <v>4129</v>
      </c>
      <c r="W1479" s="27" t="s">
        <v>4223</v>
      </c>
      <c r="X1479" s="128" t="s">
        <v>4131</v>
      </c>
      <c r="Y1479" s="73" t="str">
        <f>VLOOKUP(X1479,Choferes!$B$3:C425,2,FALSE)</f>
        <v>+598 91 694 331</v>
      </c>
      <c r="Z1479" s="73" t="s">
        <v>4217</v>
      </c>
    </row>
    <row r="1480" spans="1:26" hidden="1" x14ac:dyDescent="0.25">
      <c r="A1480" s="33">
        <v>28</v>
      </c>
      <c r="B1480" s="71" t="s">
        <v>29</v>
      </c>
      <c r="C1480" s="39" t="s">
        <v>4191</v>
      </c>
      <c r="D1480" s="106" t="s">
        <v>110</v>
      </c>
      <c r="E1480" s="47">
        <v>45849</v>
      </c>
      <c r="F1480" s="31" t="str">
        <f>VLOOKUP($C1480,Carpetas!$C$5:$M$2666,2,FALSE)</f>
        <v>BRB075</v>
      </c>
      <c r="G1480" s="23" t="str">
        <f>VLOOKUP($C1480,Carpetas!$C$5:$M$2666,10,FALSE)</f>
        <v>152,97,88</v>
      </c>
      <c r="H1480" s="27" t="str">
        <f>VLOOKUP($C1480,Carpetas!$C$5:$M$2666,6,FALSE)</f>
        <v>FG</v>
      </c>
      <c r="I1480" s="220"/>
      <c r="J1480" s="47">
        <f>E1480+2</f>
        <v>45851</v>
      </c>
      <c r="K1480" s="72" t="str">
        <f>VLOOKUP($C1480,Carpetas!$C$5:$M$2666,5,FALSE)</f>
        <v>Rio Branco</v>
      </c>
      <c r="L1480" s="32"/>
      <c r="M1480" s="48">
        <f t="shared" si="98"/>
        <v>45852</v>
      </c>
      <c r="N1480" s="26">
        <f t="shared" si="95"/>
        <v>3</v>
      </c>
      <c r="O1480" s="27">
        <v>990</v>
      </c>
      <c r="P1480" s="27">
        <v>990</v>
      </c>
      <c r="Q1480" s="27">
        <v>28</v>
      </c>
      <c r="R1480" s="27">
        <v>26</v>
      </c>
      <c r="S1480" s="27" t="s">
        <v>4224</v>
      </c>
      <c r="T1480" s="27"/>
      <c r="U1480" s="27">
        <v>965</v>
      </c>
      <c r="V1480" s="27" t="s">
        <v>1430</v>
      </c>
      <c r="W1480" s="27" t="s">
        <v>1669</v>
      </c>
      <c r="X1480" s="128" t="s">
        <v>1923</v>
      </c>
      <c r="Y1480" s="73" t="str">
        <f>VLOOKUP(X1480,Choferes!$B$3:C423,2,FALSE)</f>
        <v>+5553999049426</v>
      </c>
      <c r="Z1480" s="73" t="s">
        <v>4225</v>
      </c>
    </row>
    <row r="1481" spans="1:26" ht="30" hidden="1" x14ac:dyDescent="0.25">
      <c r="A1481" s="33">
        <v>28</v>
      </c>
      <c r="B1481" s="71" t="s">
        <v>29</v>
      </c>
      <c r="C1481" s="39" t="s">
        <v>4124</v>
      </c>
      <c r="D1481" s="106" t="s">
        <v>2202</v>
      </c>
      <c r="E1481" s="47">
        <v>45849</v>
      </c>
      <c r="F1481" s="31" t="str">
        <f>VLOOKUP($C1481,Carpetas!$C$5:$M$2666,2,FALSE)</f>
        <v>BRB071</v>
      </c>
      <c r="G1481" s="23" t="str">
        <f>VLOOKUP($C1481,Carpetas!$C$5:$M$2666,10,FALSE)</f>
        <v>152,86,54</v>
      </c>
      <c r="H1481" s="27" t="str">
        <f>VLOOKUP($C1481,Carpetas!$C$5:$M$2666,6,FALSE)</f>
        <v>Zanini</v>
      </c>
      <c r="I1481" s="220"/>
      <c r="J1481" s="47">
        <f>E1481+2</f>
        <v>45851</v>
      </c>
      <c r="K1481" s="72" t="str">
        <f>VLOOKUP($C1481,Carpetas!$C$5:$M$2666,5,FALSE)</f>
        <v>Rio Branco</v>
      </c>
      <c r="L1481" s="32"/>
      <c r="M1481" s="48">
        <f t="shared" si="98"/>
        <v>45852</v>
      </c>
      <c r="N1481" s="26">
        <f t="shared" si="95"/>
        <v>3</v>
      </c>
      <c r="O1481" s="27">
        <v>918</v>
      </c>
      <c r="P1481" s="27">
        <v>919</v>
      </c>
      <c r="Q1481" s="27">
        <v>26</v>
      </c>
      <c r="R1481" s="27">
        <v>25</v>
      </c>
      <c r="S1481" s="27" t="s">
        <v>4226</v>
      </c>
      <c r="T1481" s="27"/>
      <c r="U1481" s="27">
        <v>5360</v>
      </c>
      <c r="V1481" s="27" t="s">
        <v>4227</v>
      </c>
      <c r="W1481" s="27" t="s">
        <v>4228</v>
      </c>
      <c r="X1481" s="128" t="s">
        <v>3733</v>
      </c>
      <c r="Y1481" s="73" t="str">
        <f>VLOOKUP(X1481,Choferes!$B$3:C411,2,FALSE)</f>
        <v>+55 55 9708-9597</v>
      </c>
      <c r="Z1481" s="73" t="s">
        <v>4229</v>
      </c>
    </row>
    <row r="1482" spans="1:26" ht="30" hidden="1" x14ac:dyDescent="0.25">
      <c r="A1482" s="33">
        <v>27</v>
      </c>
      <c r="B1482" s="71" t="s">
        <v>29</v>
      </c>
      <c r="C1482" s="39" t="s">
        <v>4230</v>
      </c>
      <c r="D1482" s="106" t="s">
        <v>38</v>
      </c>
      <c r="E1482" s="47">
        <v>45842</v>
      </c>
      <c r="F1482" s="31" t="str">
        <f>VLOOKUP($C1482,Carpetas!$C$5:$M$2666,2,FALSE)</f>
        <v>BRE027</v>
      </c>
      <c r="G1482" s="23">
        <f>VLOOKUP($C1482,Carpetas!$C$5:$M$2666,10,FALSE)</f>
        <v>0</v>
      </c>
      <c r="H1482" s="27" t="str">
        <f>VLOOKUP($C1482,Carpetas!$C$5:$M$2666,6,FALSE)</f>
        <v>Silvio</v>
      </c>
      <c r="I1482" s="220">
        <f>VLOOKUP($C1482,Carpetas!$C$5:$M$2666,4,FALSE)</f>
        <v>0</v>
      </c>
      <c r="J1482" s="47">
        <v>45849</v>
      </c>
      <c r="K1482" s="72" t="str">
        <f>VLOOKUP($C1482,Carpetas!$C$5:$M$2666,5,FALSE)</f>
        <v>Chuy</v>
      </c>
      <c r="L1482" s="32"/>
      <c r="M1482" s="48">
        <f>J1482+1+3</f>
        <v>45853</v>
      </c>
      <c r="N1482" s="26">
        <f t="shared" si="95"/>
        <v>11</v>
      </c>
      <c r="O1482" s="27">
        <v>1578</v>
      </c>
      <c r="P1482" s="27">
        <v>1578</v>
      </c>
      <c r="Q1482" s="27">
        <v>28</v>
      </c>
      <c r="R1482" s="27">
        <v>15</v>
      </c>
      <c r="S1482" s="27" t="s">
        <v>4231</v>
      </c>
      <c r="T1482" s="27"/>
      <c r="U1482" s="27"/>
      <c r="V1482" s="27" t="s">
        <v>4232</v>
      </c>
      <c r="W1482" s="27"/>
      <c r="X1482" s="128"/>
      <c r="Y1482" s="73" t="e">
        <f>VLOOKUP(X1482,Choferes!$B$3:C410,2,FALSE)</f>
        <v>#N/A</v>
      </c>
      <c r="Z1482" s="73" t="s">
        <v>4233</v>
      </c>
    </row>
    <row r="1483" spans="1:26" hidden="1" x14ac:dyDescent="0.25">
      <c r="A1483" s="33">
        <v>28</v>
      </c>
      <c r="B1483" s="71" t="s">
        <v>29</v>
      </c>
      <c r="C1483" s="39" t="s">
        <v>4234</v>
      </c>
      <c r="D1483" s="106" t="s">
        <v>2474</v>
      </c>
      <c r="E1483" s="47">
        <v>45850</v>
      </c>
      <c r="F1483" s="31" t="str">
        <f>VLOOKUP($C1483,Carpetas!$C$5:$M$2666,2,FALSE)</f>
        <v>BRB078</v>
      </c>
      <c r="G1483" s="23" t="str">
        <f>VLOOKUP($C1483,Carpetas!$C$5:$M$2666,10,FALSE)</f>
        <v>153,04,36</v>
      </c>
      <c r="H1483" s="27" t="str">
        <f>VLOOKUP($C1483,Carpetas!$C$5:$M$2666,6,FALSE)</f>
        <v>Zanini</v>
      </c>
      <c r="I1483" s="220"/>
      <c r="J1483" s="47">
        <f>E1483+2</f>
        <v>45852</v>
      </c>
      <c r="K1483" s="72" t="str">
        <f>VLOOKUP($C1483,Carpetas!$C$5:$M$2666,5,FALSE)</f>
        <v>Rio Branco</v>
      </c>
      <c r="L1483" s="32"/>
      <c r="M1483" s="48">
        <f>J1483+1</f>
        <v>45853</v>
      </c>
      <c r="N1483" s="26">
        <f t="shared" si="95"/>
        <v>3</v>
      </c>
      <c r="O1483" s="27">
        <v>918</v>
      </c>
      <c r="P1483" s="27">
        <v>918</v>
      </c>
      <c r="Q1483" s="27">
        <v>26</v>
      </c>
      <c r="R1483" s="27">
        <v>25</v>
      </c>
      <c r="S1483" s="27" t="s">
        <v>4235</v>
      </c>
      <c r="T1483" s="27"/>
      <c r="U1483" s="27">
        <v>5361</v>
      </c>
      <c r="V1483" s="27" t="s">
        <v>89</v>
      </c>
      <c r="W1483" s="27" t="s">
        <v>90</v>
      </c>
      <c r="X1483" s="128" t="s">
        <v>229</v>
      </c>
      <c r="Y1483" s="73" t="str">
        <f>VLOOKUP(X1483,Choferes!$B$3:C412,2,FALSE)</f>
        <v>+5555996886269</v>
      </c>
      <c r="Z1483" s="73" t="s">
        <v>4236</v>
      </c>
    </row>
    <row r="1484" spans="1:26" hidden="1" x14ac:dyDescent="0.25">
      <c r="A1484" s="33">
        <v>28</v>
      </c>
      <c r="B1484" s="71" t="s">
        <v>29</v>
      </c>
      <c r="C1484" s="39" t="s">
        <v>4237</v>
      </c>
      <c r="D1484" s="106" t="s">
        <v>747</v>
      </c>
      <c r="E1484" s="47">
        <v>45850</v>
      </c>
      <c r="F1484" s="31" t="str">
        <f>VLOOKUP($C1484,Carpetas!$C$5:$M$2666,2,FALSE)</f>
        <v>BRB077</v>
      </c>
      <c r="G1484" s="23" t="str">
        <f>VLOOKUP($C1484,Carpetas!$C$5:$M$2666,10,FALSE)</f>
        <v>153,04,35</v>
      </c>
      <c r="H1484" s="27" t="str">
        <f>VLOOKUP($C1484,Carpetas!$C$5:$M$2666,6,FALSE)</f>
        <v>FG</v>
      </c>
      <c r="I1484" s="220"/>
      <c r="J1484" s="47">
        <f>E1484+2</f>
        <v>45852</v>
      </c>
      <c r="K1484" s="72" t="str">
        <f>VLOOKUP($C1484,Carpetas!$C$5:$M$2666,5,FALSE)</f>
        <v>Rio Branco</v>
      </c>
      <c r="L1484" s="32"/>
      <c r="M1484" s="48">
        <f>J1484+1</f>
        <v>45853</v>
      </c>
      <c r="N1484" s="26">
        <f t="shared" si="95"/>
        <v>3</v>
      </c>
      <c r="O1484" s="27">
        <v>990</v>
      </c>
      <c r="P1484" s="27">
        <v>991</v>
      </c>
      <c r="Q1484" s="27">
        <v>28</v>
      </c>
      <c r="R1484" s="27">
        <v>26</v>
      </c>
      <c r="S1484" s="27" t="s">
        <v>4238</v>
      </c>
      <c r="T1484" s="27"/>
      <c r="U1484" s="27">
        <v>967</v>
      </c>
      <c r="V1484" s="27" t="s">
        <v>3572</v>
      </c>
      <c r="W1484" s="27" t="s">
        <v>1723</v>
      </c>
      <c r="X1484" s="128" t="s">
        <v>1495</v>
      </c>
      <c r="Y1484" s="73" t="str">
        <f>VLOOKUP(X1484,Choferes!$B$3:C424,2,FALSE)</f>
        <v>+5553984382803</v>
      </c>
      <c r="Z1484" s="73" t="s">
        <v>4217</v>
      </c>
    </row>
    <row r="1485" spans="1:26" hidden="1" x14ac:dyDescent="0.25">
      <c r="A1485" s="33">
        <v>28</v>
      </c>
      <c r="B1485" s="71" t="s">
        <v>29</v>
      </c>
      <c r="C1485" s="39" t="s">
        <v>4239</v>
      </c>
      <c r="D1485" s="106" t="s">
        <v>2474</v>
      </c>
      <c r="E1485" s="47">
        <v>45850</v>
      </c>
      <c r="F1485" s="31" t="str">
        <f>VLOOKUP($C1485,Carpetas!$C$5:$M$2666,2,FALSE)</f>
        <v>BRB079</v>
      </c>
      <c r="G1485" s="23" t="str">
        <f>VLOOKUP($C1485,Carpetas!$C$5:$M$2666,10,FALSE)</f>
        <v>153,04,74</v>
      </c>
      <c r="H1485" s="27" t="str">
        <f>VLOOKUP($C1485,Carpetas!$C$5:$M$2666,6,FALSE)</f>
        <v>Silvio</v>
      </c>
      <c r="I1485" s="220"/>
      <c r="J1485" s="47">
        <f>E1485+2</f>
        <v>45852</v>
      </c>
      <c r="K1485" s="72" t="str">
        <f>VLOOKUP($C1485,Carpetas!$C$5:$M$2666,5,FALSE)</f>
        <v>Rio Branco</v>
      </c>
      <c r="L1485" s="32"/>
      <c r="M1485" s="48">
        <f>J1485+1</f>
        <v>45853</v>
      </c>
      <c r="N1485" s="26">
        <f t="shared" si="95"/>
        <v>3</v>
      </c>
      <c r="O1485" s="27">
        <v>918</v>
      </c>
      <c r="P1485" s="27">
        <v>918</v>
      </c>
      <c r="Q1485" s="27">
        <v>26</v>
      </c>
      <c r="R1485" s="27">
        <v>25</v>
      </c>
      <c r="S1485" s="27" t="s">
        <v>4240</v>
      </c>
      <c r="T1485" s="27"/>
      <c r="U1485" s="27">
        <v>7474</v>
      </c>
      <c r="V1485" s="27" t="s">
        <v>3315</v>
      </c>
      <c r="W1485" s="27" t="s">
        <v>3316</v>
      </c>
      <c r="X1485" s="128" t="s">
        <v>3635</v>
      </c>
      <c r="Y1485" s="73" t="str">
        <f>VLOOKUP(X1485,Choferes!$B$3:C425,2,FALSE)</f>
        <v>+5547996273107</v>
      </c>
      <c r="Z1485" s="73" t="s">
        <v>4241</v>
      </c>
    </row>
    <row r="1486" spans="1:26" hidden="1" x14ac:dyDescent="0.25">
      <c r="A1486" s="33">
        <v>29</v>
      </c>
      <c r="B1486" s="71" t="s">
        <v>29</v>
      </c>
      <c r="C1486" s="39" t="s">
        <v>4237</v>
      </c>
      <c r="D1486" s="106" t="s">
        <v>803</v>
      </c>
      <c r="E1486" s="47">
        <v>45852</v>
      </c>
      <c r="F1486" s="31" t="str">
        <f>VLOOKUP($C1486,Carpetas!$C$5:$M$2666,2,FALSE)</f>
        <v>BRB077</v>
      </c>
      <c r="G1486" s="23" t="str">
        <f>VLOOKUP($C1486,Carpetas!$C$5:$M$2666,10,FALSE)</f>
        <v>153,04,35</v>
      </c>
      <c r="H1486" s="27" t="str">
        <f>VLOOKUP($C1486,Carpetas!$C$5:$M$2666,6,FALSE)</f>
        <v>FG</v>
      </c>
      <c r="I1486" s="220"/>
      <c r="J1486" s="47">
        <v>45853</v>
      </c>
      <c r="K1486" s="72" t="str">
        <f>VLOOKUP($C1486,Carpetas!$C$5:$M$2666,5,FALSE)</f>
        <v>Rio Branco</v>
      </c>
      <c r="L1486" s="32"/>
      <c r="M1486" s="48">
        <f>J1486+1</f>
        <v>45854</v>
      </c>
      <c r="N1486" s="26">
        <f t="shared" si="95"/>
        <v>2</v>
      </c>
      <c r="O1486" s="27">
        <v>990</v>
      </c>
      <c r="P1486" s="27">
        <v>990</v>
      </c>
      <c r="Q1486" s="27">
        <v>28</v>
      </c>
      <c r="R1486" s="27">
        <v>26</v>
      </c>
      <c r="S1486" s="27" t="s">
        <v>2554</v>
      </c>
      <c r="T1486" s="27"/>
      <c r="U1486" s="27">
        <v>970</v>
      </c>
      <c r="V1486" s="27" t="s">
        <v>1956</v>
      </c>
      <c r="W1486" s="27" t="s">
        <v>1957</v>
      </c>
      <c r="X1486" s="128" t="s">
        <v>1520</v>
      </c>
      <c r="Y1486" s="73" t="str">
        <f>VLOOKUP(X1486,Choferes!$B$3:C408,2,FALSE)</f>
        <v>+5553999595710</v>
      </c>
      <c r="Z1486" s="73" t="s">
        <v>4242</v>
      </c>
    </row>
    <row r="1487" spans="1:26" hidden="1" x14ac:dyDescent="0.25">
      <c r="A1487" s="33">
        <v>27</v>
      </c>
      <c r="B1487" s="71" t="s">
        <v>29</v>
      </c>
      <c r="C1487" s="39" t="s">
        <v>4243</v>
      </c>
      <c r="D1487" s="106" t="s">
        <v>38</v>
      </c>
      <c r="E1487" s="47">
        <v>45848</v>
      </c>
      <c r="F1487" s="31" t="str">
        <f>VLOOKUP($C1487,Carpetas!$C$5:$M$2666,2,FALSE)</f>
        <v>BRE023</v>
      </c>
      <c r="G1487" s="23" t="str">
        <f>VLOOKUP($C1487,Carpetas!$C$5:$M$2666,10,FALSE)</f>
        <v>152,77,46</v>
      </c>
      <c r="H1487" s="27" t="str">
        <f>VLOOKUP($C1487,Carpetas!$C$5:$M$2666,6,FALSE)</f>
        <v>Zanini</v>
      </c>
      <c r="I1487" s="220">
        <f>VLOOKUP($C1487,Carpetas!$C$5:$M$2666,4,FALSE)</f>
        <v>0</v>
      </c>
      <c r="J1487" s="47">
        <v>45852</v>
      </c>
      <c r="K1487" s="72" t="str">
        <f>VLOOKUP($C1487,Carpetas!$C$5:$M$2666,5,FALSE)</f>
        <v>Rio Branco</v>
      </c>
      <c r="L1487" s="32"/>
      <c r="M1487" s="48">
        <f>J1487+1+2</f>
        <v>45855</v>
      </c>
      <c r="N1487" s="26">
        <f t="shared" si="95"/>
        <v>7</v>
      </c>
      <c r="O1487" s="27">
        <v>1400</v>
      </c>
      <c r="P1487" s="27">
        <v>1159</v>
      </c>
      <c r="Q1487" s="27">
        <v>16.2</v>
      </c>
      <c r="R1487" s="27"/>
      <c r="S1487" s="27" t="s">
        <v>4211</v>
      </c>
      <c r="T1487" s="27"/>
      <c r="U1487" s="27">
        <v>5351</v>
      </c>
      <c r="V1487" s="27" t="s">
        <v>4244</v>
      </c>
      <c r="W1487" s="27" t="s">
        <v>4245</v>
      </c>
      <c r="X1487" s="128" t="s">
        <v>4246</v>
      </c>
      <c r="Y1487" s="73" t="str">
        <f>VLOOKUP(X1487,Choferes!$B$3:C411,2,FALSE)</f>
        <v>+5551997205052</v>
      </c>
      <c r="Z1487" s="73" t="s">
        <v>4247</v>
      </c>
    </row>
    <row r="1488" spans="1:26" ht="30" hidden="1" x14ac:dyDescent="0.25">
      <c r="A1488" s="33">
        <v>29</v>
      </c>
      <c r="B1488" s="71" t="s">
        <v>29</v>
      </c>
      <c r="C1488" s="39" t="s">
        <v>4248</v>
      </c>
      <c r="D1488" s="106" t="s">
        <v>38</v>
      </c>
      <c r="E1488" s="47">
        <v>45850</v>
      </c>
      <c r="F1488" s="31" t="str">
        <f>VLOOKUP($C1488,Carpetas!$C$5:$M$2666,2,FALSE)</f>
        <v>BRE029</v>
      </c>
      <c r="G1488" s="23" t="str">
        <f>VLOOKUP($C1488,Carpetas!$C$5:$M$2666,10,FALSE)</f>
        <v>1530138/39/40</v>
      </c>
      <c r="H1488" s="27" t="str">
        <f>VLOOKUP($C1488,Carpetas!$C$5:$M$2666,6,FALSE)</f>
        <v>VPN</v>
      </c>
      <c r="I1488" s="220">
        <f>VLOOKUP($C1488,Carpetas!$C$5:$M$2666,4,FALSE)</f>
        <v>0</v>
      </c>
      <c r="J1488" s="47">
        <v>45854</v>
      </c>
      <c r="K1488" s="72" t="str">
        <f>VLOOKUP($C1488,Carpetas!$C$5:$M$2666,5,FALSE)</f>
        <v>Chuy</v>
      </c>
      <c r="L1488" s="32"/>
      <c r="M1488" s="48">
        <f>J1488+1</f>
        <v>45855</v>
      </c>
      <c r="N1488" s="26">
        <f t="shared" si="95"/>
        <v>5</v>
      </c>
      <c r="O1488" s="27">
        <v>1136</v>
      </c>
      <c r="P1488" s="27">
        <v>1134</v>
      </c>
      <c r="Q1488" s="27">
        <v>26</v>
      </c>
      <c r="R1488" s="27"/>
      <c r="S1488" s="27" t="s">
        <v>2537</v>
      </c>
      <c r="T1488" s="27"/>
      <c r="U1488" s="27"/>
      <c r="V1488" s="27" t="s">
        <v>4249</v>
      </c>
      <c r="W1488" s="27"/>
      <c r="X1488" s="128"/>
      <c r="Y1488" s="73"/>
      <c r="Z1488" s="73" t="s">
        <v>4250</v>
      </c>
    </row>
    <row r="1489" spans="1:26" ht="30" hidden="1" x14ac:dyDescent="0.25">
      <c r="A1489" s="33">
        <v>29</v>
      </c>
      <c r="B1489" s="71" t="s">
        <v>29</v>
      </c>
      <c r="C1489" s="39" t="s">
        <v>4237</v>
      </c>
      <c r="D1489" s="106" t="s">
        <v>747</v>
      </c>
      <c r="E1489" s="47">
        <v>45852</v>
      </c>
      <c r="F1489" s="31" t="str">
        <f>VLOOKUP($C1489,Carpetas!$C$5:$M$2666,2,FALSE)</f>
        <v>BRB077</v>
      </c>
      <c r="G1489" s="23" t="str">
        <f>VLOOKUP($C1489,Carpetas!$C$5:$M$2666,10,FALSE)</f>
        <v>153,04,35</v>
      </c>
      <c r="H1489" s="27" t="str">
        <f>VLOOKUP($C1489,Carpetas!$C$5:$M$2666,6,FALSE)</f>
        <v>FG</v>
      </c>
      <c r="I1489" s="220"/>
      <c r="J1489" s="47">
        <f>E1489+2</f>
        <v>45854</v>
      </c>
      <c r="K1489" s="72" t="str">
        <f>VLOOKUP($C1489,Carpetas!$C$5:$M$2666,5,FALSE)</f>
        <v>Rio Branco</v>
      </c>
      <c r="L1489" s="32"/>
      <c r="M1489" s="48">
        <f>J1489+1</f>
        <v>45855</v>
      </c>
      <c r="N1489" s="26">
        <f t="shared" si="95"/>
        <v>3</v>
      </c>
      <c r="O1489" s="27">
        <v>990</v>
      </c>
      <c r="P1489" s="27">
        <v>991</v>
      </c>
      <c r="Q1489" s="27">
        <v>28</v>
      </c>
      <c r="R1489" s="27">
        <v>25.5</v>
      </c>
      <c r="S1489" s="27" t="s">
        <v>4251</v>
      </c>
      <c r="T1489" s="27"/>
      <c r="U1489" s="27">
        <v>969</v>
      </c>
      <c r="V1489" s="27" t="s">
        <v>4252</v>
      </c>
      <c r="W1489" s="27" t="s">
        <v>4253</v>
      </c>
      <c r="X1489" s="128" t="s">
        <v>4254</v>
      </c>
      <c r="Y1489" s="73" t="str">
        <f>VLOOKUP(X1489,Choferes!$B$3:C407,2,FALSE)</f>
        <v>+55 53 8485-1806</v>
      </c>
      <c r="Z1489" s="73" t="s">
        <v>4255</v>
      </c>
    </row>
    <row r="1490" spans="1:26" ht="30" hidden="1" x14ac:dyDescent="0.25">
      <c r="A1490" s="33">
        <v>29</v>
      </c>
      <c r="B1490" s="71" t="s">
        <v>29</v>
      </c>
      <c r="C1490" s="39" t="s">
        <v>4256</v>
      </c>
      <c r="D1490" s="106" t="s">
        <v>38</v>
      </c>
      <c r="E1490" s="47">
        <v>45852</v>
      </c>
      <c r="F1490" s="31" t="str">
        <f>VLOOKUP($C1490,Carpetas!$C$5:$M$2666,2,FALSE)</f>
        <v>BRE030</v>
      </c>
      <c r="G1490" s="23">
        <f>VLOOKUP($C1490,Carpetas!$C$5:$M$2666,10,FALSE)</f>
        <v>0</v>
      </c>
      <c r="H1490" s="27" t="str">
        <f>VLOOKUP($C1490,Carpetas!$C$5:$M$2666,6,FALSE)</f>
        <v>Marvel</v>
      </c>
      <c r="I1490" s="220">
        <f>VLOOKUP($C1490,Carpetas!$C$5:$M$2666,4,FALSE)</f>
        <v>0</v>
      </c>
      <c r="J1490" s="47">
        <v>45854</v>
      </c>
      <c r="K1490" s="72" t="str">
        <f>VLOOKUP($C1490,Carpetas!$C$5:$M$2666,5,FALSE)</f>
        <v>Chuy</v>
      </c>
      <c r="L1490" s="32"/>
      <c r="M1490" s="48">
        <f>J1490+1</f>
        <v>45855</v>
      </c>
      <c r="N1490" s="26">
        <f t="shared" ref="N1490:N1553" si="100">IF(E1490&lt;&gt;"",M1490-E1490,"-")</f>
        <v>3</v>
      </c>
      <c r="O1490" s="27">
        <v>2016</v>
      </c>
      <c r="P1490" s="27">
        <v>2016</v>
      </c>
      <c r="Q1490" s="27">
        <v>28</v>
      </c>
      <c r="R1490" s="27">
        <v>11</v>
      </c>
      <c r="S1490" s="27" t="s">
        <v>4257</v>
      </c>
      <c r="T1490" s="27"/>
      <c r="U1490" s="27"/>
      <c r="V1490" s="27" t="s">
        <v>4258</v>
      </c>
      <c r="W1490" s="27"/>
      <c r="X1490" s="128"/>
      <c r="Y1490" s="73" t="e">
        <f>VLOOKUP(X1490,Choferes!$B$3:C407,2,FALSE)</f>
        <v>#N/A</v>
      </c>
      <c r="Z1490" s="73" t="s">
        <v>4259</v>
      </c>
    </row>
    <row r="1491" spans="1:26" ht="30" hidden="1" x14ac:dyDescent="0.25">
      <c r="A1491" s="33">
        <v>29</v>
      </c>
      <c r="B1491" s="71" t="s">
        <v>29</v>
      </c>
      <c r="C1491" s="39" t="s">
        <v>4237</v>
      </c>
      <c r="D1491" s="106" t="s">
        <v>2474</v>
      </c>
      <c r="E1491" s="47">
        <v>45852</v>
      </c>
      <c r="F1491" s="31" t="str">
        <f>VLOOKUP($C1491,Carpetas!$C$5:$M$2666,2,FALSE)</f>
        <v>BRB077</v>
      </c>
      <c r="G1491" s="23" t="str">
        <f>VLOOKUP($C1491,Carpetas!$C$5:$M$2666,10,FALSE)</f>
        <v>153,04,35</v>
      </c>
      <c r="H1491" s="27" t="str">
        <f>VLOOKUP($C1491,Carpetas!$C$5:$M$2666,6,FALSE)</f>
        <v>FG</v>
      </c>
      <c r="I1491" s="220"/>
      <c r="J1491" s="47">
        <f>E1491+2</f>
        <v>45854</v>
      </c>
      <c r="K1491" s="72" t="str">
        <f>VLOOKUP($C1491,Carpetas!$C$5:$M$2666,5,FALSE)</f>
        <v>Rio Branco</v>
      </c>
      <c r="L1491" s="32"/>
      <c r="M1491" s="48">
        <f>J1491+1+1</f>
        <v>45856</v>
      </c>
      <c r="N1491" s="26">
        <f t="shared" si="100"/>
        <v>4</v>
      </c>
      <c r="O1491" s="27">
        <v>990</v>
      </c>
      <c r="P1491" s="27">
        <v>990</v>
      </c>
      <c r="Q1491" s="27">
        <v>28</v>
      </c>
      <c r="R1491" s="27">
        <v>26</v>
      </c>
      <c r="S1491" s="27" t="s">
        <v>4260</v>
      </c>
      <c r="T1491" s="27"/>
      <c r="U1491" s="27">
        <v>971</v>
      </c>
      <c r="V1491" s="27" t="s">
        <v>3411</v>
      </c>
      <c r="W1491" s="27" t="s">
        <v>3412</v>
      </c>
      <c r="X1491" s="128" t="s">
        <v>3559</v>
      </c>
      <c r="Y1491" s="73" t="str">
        <f>VLOOKUP(X1491,Choferes!$B$3:C406,2,FALSE)</f>
        <v>+55 53 9713-4372</v>
      </c>
      <c r="Z1491" s="73" t="s">
        <v>4261</v>
      </c>
    </row>
    <row r="1492" spans="1:26" ht="30" hidden="1" x14ac:dyDescent="0.25">
      <c r="A1492" s="33">
        <v>29</v>
      </c>
      <c r="B1492" s="71" t="s">
        <v>29</v>
      </c>
      <c r="C1492" s="39" t="s">
        <v>4237</v>
      </c>
      <c r="D1492" s="106" t="s">
        <v>2474</v>
      </c>
      <c r="E1492" s="47">
        <v>45853</v>
      </c>
      <c r="F1492" s="31" t="str">
        <f>VLOOKUP($C1492,Carpetas!$C$5:$M$2666,2,FALSE)</f>
        <v>BRB077</v>
      </c>
      <c r="G1492" s="23" t="str">
        <f>VLOOKUP($C1492,Carpetas!$C$5:$M$2666,10,FALSE)</f>
        <v>153,04,35</v>
      </c>
      <c r="H1492" s="27" t="str">
        <f>VLOOKUP($C1492,Carpetas!$C$5:$M$2666,6,FALSE)</f>
        <v>FG</v>
      </c>
      <c r="I1492" s="220"/>
      <c r="J1492" s="47">
        <v>45854</v>
      </c>
      <c r="K1492" s="72" t="str">
        <f>VLOOKUP($C1492,Carpetas!$C$5:$M$2666,5,FALSE)</f>
        <v>Rio Branco</v>
      </c>
      <c r="L1492" s="32"/>
      <c r="M1492" s="48">
        <f>J1492+1+1</f>
        <v>45856</v>
      </c>
      <c r="N1492" s="26">
        <f t="shared" si="100"/>
        <v>3</v>
      </c>
      <c r="O1492" s="27">
        <v>990</v>
      </c>
      <c r="P1492" s="27">
        <v>990</v>
      </c>
      <c r="Q1492" s="27">
        <v>28</v>
      </c>
      <c r="R1492" s="27">
        <v>25</v>
      </c>
      <c r="S1492" s="27" t="s">
        <v>4262</v>
      </c>
      <c r="T1492" s="27"/>
      <c r="U1492" s="27">
        <v>974</v>
      </c>
      <c r="V1492" s="27" t="s">
        <v>911</v>
      </c>
      <c r="W1492" s="27" t="s">
        <v>1622</v>
      </c>
      <c r="X1492" s="128" t="s">
        <v>1397</v>
      </c>
      <c r="Y1492" s="73" t="str">
        <f>VLOOKUP(X1492,Choferes!$B$3:C409,2,FALSE)</f>
        <v>+5551996322594</v>
      </c>
      <c r="Z1492" s="73" t="s">
        <v>4263</v>
      </c>
    </row>
    <row r="1493" spans="1:26" hidden="1" x14ac:dyDescent="0.25">
      <c r="A1493" s="33">
        <v>29</v>
      </c>
      <c r="B1493" s="71" t="s">
        <v>29</v>
      </c>
      <c r="C1493" s="39" t="s">
        <v>4264</v>
      </c>
      <c r="D1493" s="106" t="s">
        <v>2202</v>
      </c>
      <c r="E1493" s="47">
        <v>45853</v>
      </c>
      <c r="F1493" s="31" t="str">
        <f>VLOOKUP($C1493,Carpetas!$C$5:$M$2666,2,FALSE)</f>
        <v>BRB080</v>
      </c>
      <c r="G1493" s="23" t="str">
        <f>VLOOKUP($C1493,Carpetas!$C$5:$M$2666,10,FALSE)</f>
        <v>153,06,64</v>
      </c>
      <c r="H1493" s="27" t="str">
        <f>VLOOKUP($C1493,Carpetas!$C$5:$M$2666,6,FALSE)</f>
        <v>Amaro</v>
      </c>
      <c r="I1493" s="220"/>
      <c r="J1493" s="47">
        <v>45854</v>
      </c>
      <c r="K1493" s="72" t="str">
        <f>VLOOKUP($C1493,Carpetas!$C$5:$M$2666,5,FALSE)</f>
        <v>Chuy</v>
      </c>
      <c r="L1493" s="32"/>
      <c r="M1493" s="48">
        <f>J1493+1+1</f>
        <v>45856</v>
      </c>
      <c r="N1493" s="26">
        <f t="shared" si="100"/>
        <v>3</v>
      </c>
      <c r="O1493" s="27">
        <v>990</v>
      </c>
      <c r="P1493" s="27">
        <v>991</v>
      </c>
      <c r="Q1493" s="27">
        <v>28</v>
      </c>
      <c r="R1493" s="27">
        <v>26</v>
      </c>
      <c r="S1493" s="27" t="s">
        <v>4265</v>
      </c>
      <c r="T1493" s="27"/>
      <c r="U1493" s="27"/>
      <c r="V1493" s="27"/>
      <c r="W1493" s="27"/>
      <c r="X1493" s="128"/>
      <c r="Y1493" s="73" t="e">
        <f>VLOOKUP(X1493,Choferes!$B$3:C415,2,FALSE)</f>
        <v>#N/A</v>
      </c>
      <c r="Z1493" s="73" t="s">
        <v>4266</v>
      </c>
    </row>
    <row r="1494" spans="1:26" hidden="1" x14ac:dyDescent="0.25">
      <c r="A1494" s="33">
        <v>28</v>
      </c>
      <c r="B1494" s="71" t="s">
        <v>29</v>
      </c>
      <c r="C1494" s="39" t="s">
        <v>4218</v>
      </c>
      <c r="D1494" s="106" t="s">
        <v>1757</v>
      </c>
      <c r="E1494" s="47">
        <v>45850</v>
      </c>
      <c r="F1494" s="31" t="str">
        <f>VLOOKUP($C1494,Carpetas!$C$5:$M$2666,2,FALSE)</f>
        <v>BRB076</v>
      </c>
      <c r="G1494" s="23">
        <f>VLOOKUP($C1494,Carpetas!$C$5:$M$2666,10,FALSE)</f>
        <v>1529899</v>
      </c>
      <c r="H1494" s="27" t="str">
        <f>VLOOKUP($C1494,Carpetas!$C$5:$M$2666,6,FALSE)</f>
        <v>Gral</v>
      </c>
      <c r="I1494" s="220"/>
      <c r="J1494" s="47">
        <f>E1494+5</f>
        <v>45855</v>
      </c>
      <c r="K1494" s="72" t="str">
        <f>VLOOKUP($C1494,Carpetas!$C$5:$M$2666,5,FALSE)</f>
        <v>Rio Branco</v>
      </c>
      <c r="L1494" s="32"/>
      <c r="M1494" s="48">
        <f>J1494+1</f>
        <v>45856</v>
      </c>
      <c r="N1494" s="26">
        <f t="shared" si="100"/>
        <v>6</v>
      </c>
      <c r="O1494" s="27">
        <v>936</v>
      </c>
      <c r="P1494" s="27">
        <v>936</v>
      </c>
      <c r="Q1494" s="27">
        <v>26</v>
      </c>
      <c r="R1494" s="27">
        <v>25</v>
      </c>
      <c r="S1494" s="27" t="s">
        <v>3319</v>
      </c>
      <c r="T1494" s="27"/>
      <c r="U1494" s="27">
        <v>7500</v>
      </c>
      <c r="V1494" s="27" t="s">
        <v>4267</v>
      </c>
      <c r="W1494" s="27" t="s">
        <v>4268</v>
      </c>
      <c r="X1494" s="128" t="s">
        <v>4269</v>
      </c>
      <c r="Y1494" s="73" t="str">
        <f>VLOOKUP(X1494,Choferes!$B$3:C403,2,FALSE)</f>
        <v>+55 49 8411-6446</v>
      </c>
      <c r="Z1494" s="73" t="s">
        <v>4270</v>
      </c>
    </row>
    <row r="1495" spans="1:26" hidden="1" x14ac:dyDescent="0.25">
      <c r="A1495" s="33">
        <v>29</v>
      </c>
      <c r="B1495" s="71" t="s">
        <v>29</v>
      </c>
      <c r="C1495" s="39" t="s">
        <v>4237</v>
      </c>
      <c r="D1495" s="106" t="s">
        <v>110</v>
      </c>
      <c r="E1495" s="47">
        <v>45853</v>
      </c>
      <c r="F1495" s="31" t="str">
        <f>VLOOKUP($C1495,Carpetas!$C$5:$M$2666,2,FALSE)</f>
        <v>BRB077</v>
      </c>
      <c r="G1495" s="23" t="str">
        <f>VLOOKUP($C1495,Carpetas!$C$5:$M$2666,10,FALSE)</f>
        <v>153,04,35</v>
      </c>
      <c r="H1495" s="27" t="str">
        <f>VLOOKUP($C1495,Carpetas!$C$5:$M$2666,6,FALSE)</f>
        <v>FG</v>
      </c>
      <c r="I1495" s="220"/>
      <c r="J1495" s="47">
        <f t="shared" ref="J1495:J1507" si="101">E1495+2</f>
        <v>45855</v>
      </c>
      <c r="K1495" s="72" t="str">
        <f>VLOOKUP($C1495,Carpetas!$C$5:$M$2666,5,FALSE)</f>
        <v>Rio Branco</v>
      </c>
      <c r="L1495" s="32"/>
      <c r="M1495" s="48">
        <f>J1495+1</f>
        <v>45856</v>
      </c>
      <c r="N1495" s="26">
        <f t="shared" si="100"/>
        <v>3</v>
      </c>
      <c r="O1495" s="27">
        <v>990</v>
      </c>
      <c r="P1495" s="27">
        <v>991</v>
      </c>
      <c r="Q1495" s="27">
        <v>28</v>
      </c>
      <c r="R1495" s="27">
        <v>26</v>
      </c>
      <c r="S1495" s="27" t="s">
        <v>4271</v>
      </c>
      <c r="T1495" s="27"/>
      <c r="U1495" s="27">
        <v>973</v>
      </c>
      <c r="V1495" s="27" t="s">
        <v>1630</v>
      </c>
      <c r="W1495" s="27" t="s">
        <v>1934</v>
      </c>
      <c r="X1495" s="128" t="s">
        <v>1935</v>
      </c>
      <c r="Y1495" s="73" t="str">
        <f>VLOOKUP(X1495,Choferes!$B$3:C410,2,FALSE)</f>
        <v>+5554984377792</v>
      </c>
      <c r="Z1495" s="73" t="s">
        <v>4272</v>
      </c>
    </row>
    <row r="1496" spans="1:26" ht="30" hidden="1" x14ac:dyDescent="0.25">
      <c r="A1496" s="33">
        <v>29</v>
      </c>
      <c r="B1496" s="71" t="s">
        <v>29</v>
      </c>
      <c r="C1496" s="39" t="s">
        <v>4237</v>
      </c>
      <c r="D1496" s="106" t="s">
        <v>803</v>
      </c>
      <c r="E1496" s="47">
        <v>45853</v>
      </c>
      <c r="F1496" s="31" t="str">
        <f>VLOOKUP($C1496,Carpetas!$C$5:$M$2666,2,FALSE)</f>
        <v>BRB077</v>
      </c>
      <c r="G1496" s="23" t="str">
        <f>VLOOKUP($C1496,Carpetas!$C$5:$M$2666,10,FALSE)</f>
        <v>153,04,35</v>
      </c>
      <c r="H1496" s="27" t="str">
        <f>VLOOKUP($C1496,Carpetas!$C$5:$M$2666,6,FALSE)</f>
        <v>FG</v>
      </c>
      <c r="I1496" s="220"/>
      <c r="J1496" s="47">
        <f t="shared" si="101"/>
        <v>45855</v>
      </c>
      <c r="K1496" s="72" t="str">
        <f>VLOOKUP($C1496,Carpetas!$C$5:$M$2666,5,FALSE)</f>
        <v>Rio Branco</v>
      </c>
      <c r="L1496" s="32"/>
      <c r="M1496" s="48">
        <v>45857</v>
      </c>
      <c r="N1496" s="26">
        <f t="shared" si="100"/>
        <v>4</v>
      </c>
      <c r="O1496" s="27">
        <v>990</v>
      </c>
      <c r="P1496" s="27">
        <v>990</v>
      </c>
      <c r="Q1496" s="27">
        <v>28</v>
      </c>
      <c r="R1496" s="27">
        <v>26</v>
      </c>
      <c r="S1496" s="27" t="s">
        <v>2616</v>
      </c>
      <c r="T1496" s="27"/>
      <c r="U1496" s="27">
        <v>975</v>
      </c>
      <c r="V1496" s="27" t="s">
        <v>3669</v>
      </c>
      <c r="W1496" s="27" t="s">
        <v>912</v>
      </c>
      <c r="X1496" s="128" t="s">
        <v>2336</v>
      </c>
      <c r="Y1496" s="73" t="str">
        <f>VLOOKUP(X1496,Choferes!$B$3:C411,2,FALSE)</f>
        <v>+5553984414060</v>
      </c>
      <c r="Z1496" s="73" t="s">
        <v>4273</v>
      </c>
    </row>
    <row r="1497" spans="1:26" hidden="1" x14ac:dyDescent="0.25">
      <c r="A1497" s="33">
        <v>29</v>
      </c>
      <c r="B1497" s="71" t="s">
        <v>29</v>
      </c>
      <c r="C1497" s="39" t="s">
        <v>4274</v>
      </c>
      <c r="D1497" s="106" t="s">
        <v>249</v>
      </c>
      <c r="E1497" s="47">
        <v>45855</v>
      </c>
      <c r="F1497" s="31" t="str">
        <f>VLOOKUP($C1497,Carpetas!$C$5:$M$2666,2,FALSE)</f>
        <v>BRB082</v>
      </c>
      <c r="G1497" s="23" t="str">
        <f>VLOOKUP($C1497,Carpetas!$C$5:$M$2666,10,FALSE)</f>
        <v>153,09,86</v>
      </c>
      <c r="H1497" s="27" t="str">
        <f>VLOOKUP($C1497,Carpetas!$C$5:$M$2666,6,FALSE)</f>
        <v>Chabat</v>
      </c>
      <c r="I1497" s="220"/>
      <c r="J1497" s="47">
        <f t="shared" si="101"/>
        <v>45857</v>
      </c>
      <c r="K1497" s="72" t="str">
        <f>VLOOKUP($C1497,Carpetas!$C$5:$M$2666,5,FALSE)</f>
        <v>Rio Branco</v>
      </c>
      <c r="L1497" s="32"/>
      <c r="M1497" s="48">
        <f t="shared" ref="M1497:M1534" si="102">J1497+1</f>
        <v>45858</v>
      </c>
      <c r="N1497" s="26">
        <f t="shared" si="100"/>
        <v>3</v>
      </c>
      <c r="O1497" s="27">
        <v>990</v>
      </c>
      <c r="P1497" s="27">
        <v>990</v>
      </c>
      <c r="Q1497" s="27">
        <v>28</v>
      </c>
      <c r="R1497" s="27">
        <v>26</v>
      </c>
      <c r="S1497" s="27" t="s">
        <v>4275</v>
      </c>
      <c r="T1497" s="27"/>
      <c r="U1497" s="27">
        <v>2403</v>
      </c>
      <c r="V1497" s="27" t="s">
        <v>4276</v>
      </c>
      <c r="W1497" s="27" t="s">
        <v>4277</v>
      </c>
      <c r="X1497" s="128"/>
      <c r="Y1497" s="73" t="e">
        <f>VLOOKUP(X1497,Choferes!$B$3:C403,2,FALSE)</f>
        <v>#N/A</v>
      </c>
      <c r="Z1497" s="73" t="s">
        <v>4278</v>
      </c>
    </row>
    <row r="1498" spans="1:26" hidden="1" x14ac:dyDescent="0.25">
      <c r="A1498" s="33">
        <v>29</v>
      </c>
      <c r="B1498" s="71" t="s">
        <v>29</v>
      </c>
      <c r="C1498" s="39" t="s">
        <v>4279</v>
      </c>
      <c r="D1498" s="106" t="s">
        <v>38</v>
      </c>
      <c r="E1498" s="47">
        <v>45856</v>
      </c>
      <c r="F1498" s="31" t="str">
        <f>VLOOKUP($C1498,Carpetas!$C$5:$M$2666,2,FALSE)</f>
        <v>BRE031</v>
      </c>
      <c r="G1498" s="23" t="str">
        <f>VLOOKUP($C1498,Carpetas!$C$5:$M$2666,10,FALSE)</f>
        <v>153,10,55</v>
      </c>
      <c r="H1498" s="27" t="str">
        <f>VLOOKUP($C1498,Carpetas!$C$5:$M$2666,6,FALSE)</f>
        <v>Zanini</v>
      </c>
      <c r="I1498" s="220">
        <f>VLOOKUP($C1498,Carpetas!$C$5:$M$2666,4,FALSE)</f>
        <v>0</v>
      </c>
      <c r="J1498" s="47">
        <f t="shared" si="101"/>
        <v>45858</v>
      </c>
      <c r="K1498" s="72" t="str">
        <f>VLOOKUP($C1498,Carpetas!$C$5:$M$2666,5,FALSE)</f>
        <v>Rio Branco</v>
      </c>
      <c r="L1498" s="32"/>
      <c r="M1498" s="48">
        <f t="shared" si="102"/>
        <v>45859</v>
      </c>
      <c r="N1498" s="26">
        <f t="shared" si="100"/>
        <v>3</v>
      </c>
      <c r="O1498" s="27">
        <v>1400</v>
      </c>
      <c r="P1498" s="27">
        <v>1405</v>
      </c>
      <c r="Q1498" s="27"/>
      <c r="R1498" s="27">
        <v>15.5</v>
      </c>
      <c r="S1498" s="27" t="s">
        <v>4211</v>
      </c>
      <c r="T1498" s="27"/>
      <c r="U1498" s="27">
        <v>5380</v>
      </c>
      <c r="V1498" s="27" t="s">
        <v>3198</v>
      </c>
      <c r="W1498" s="27" t="s">
        <v>3199</v>
      </c>
      <c r="X1498" s="128" t="s">
        <v>4280</v>
      </c>
      <c r="Y1498" s="73" t="str">
        <f>VLOOKUP(X1498,Choferes!$B$3:C409,2,FALSE)</f>
        <v>+55 49 8816-0696</v>
      </c>
      <c r="Z1498" s="73" t="s">
        <v>4281</v>
      </c>
    </row>
    <row r="1499" spans="1:26" hidden="1" x14ac:dyDescent="0.25">
      <c r="A1499" s="33">
        <v>29</v>
      </c>
      <c r="B1499" s="71" t="s">
        <v>298</v>
      </c>
      <c r="C1499" s="39" t="s">
        <v>299</v>
      </c>
      <c r="D1499" s="106" t="s">
        <v>78</v>
      </c>
      <c r="E1499" s="47">
        <v>45856</v>
      </c>
      <c r="F1499" s="31" t="str">
        <f>VLOOKUP($C1499,Carpetas!$C$5:$M$2666,2,FALSE)</f>
        <v>BRB</v>
      </c>
      <c r="G1499" s="23" t="e">
        <f>VLOOKUP($C1499,Carpetas!$C$5:$M$2666,9,FALSE)</f>
        <v>#REF!</v>
      </c>
      <c r="H1499" s="27" t="str">
        <f>VLOOKUP($C1499,Carpetas!$C$5:$M$2666,5,FALSE)</f>
        <v>xx</v>
      </c>
      <c r="I1499" s="220"/>
      <c r="J1499" s="47">
        <f t="shared" si="101"/>
        <v>45858</v>
      </c>
      <c r="K1499" s="72">
        <f>VLOOKUP($C1499,Carpetas!$C$5:$M$2666,4,FALSE)</f>
        <v>0</v>
      </c>
      <c r="L1499" s="32"/>
      <c r="M1499" s="48">
        <f t="shared" si="102"/>
        <v>45859</v>
      </c>
      <c r="N1499" s="26">
        <f t="shared" si="100"/>
        <v>3</v>
      </c>
      <c r="O1499" s="27">
        <v>918</v>
      </c>
      <c r="P1499" s="27"/>
      <c r="Q1499" s="27"/>
      <c r="R1499" s="27"/>
      <c r="S1499" s="27"/>
      <c r="T1499" s="27"/>
      <c r="U1499" s="27"/>
      <c r="V1499" s="27"/>
      <c r="W1499" s="27"/>
      <c r="X1499" s="128"/>
      <c r="Y1499" s="73" t="e">
        <f>VLOOKUP(X1499,Choferes!$B$3:C404,2,FALSE)</f>
        <v>#N/A</v>
      </c>
      <c r="Z1499" s="73"/>
    </row>
    <row r="1500" spans="1:26" hidden="1" x14ac:dyDescent="0.25">
      <c r="A1500" s="33">
        <v>29</v>
      </c>
      <c r="B1500" s="71" t="s">
        <v>29</v>
      </c>
      <c r="C1500" s="39" t="s">
        <v>4274</v>
      </c>
      <c r="D1500" s="106" t="s">
        <v>2474</v>
      </c>
      <c r="E1500" s="47">
        <v>45856</v>
      </c>
      <c r="F1500" s="31" t="str">
        <f>VLOOKUP($C1500,Carpetas!$C$5:$M$2666,2,FALSE)</f>
        <v>BRB082</v>
      </c>
      <c r="G1500" s="23" t="str">
        <f>VLOOKUP($C1500,Carpetas!$C$5:$M$2666,10,FALSE)</f>
        <v>153,09,86</v>
      </c>
      <c r="H1500" s="27" t="str">
        <f>VLOOKUP($C1500,Carpetas!$C$5:$M$2666,6,FALSE)</f>
        <v>Chabat</v>
      </c>
      <c r="I1500" s="220"/>
      <c r="J1500" s="47">
        <f t="shared" si="101"/>
        <v>45858</v>
      </c>
      <c r="K1500" s="72" t="str">
        <f>VLOOKUP($C1500,Carpetas!$C$5:$M$2666,5,FALSE)</f>
        <v>Rio Branco</v>
      </c>
      <c r="L1500" s="32"/>
      <c r="M1500" s="48">
        <f t="shared" si="102"/>
        <v>45859</v>
      </c>
      <c r="N1500" s="26">
        <f t="shared" si="100"/>
        <v>3</v>
      </c>
      <c r="O1500" s="27">
        <v>990</v>
      </c>
      <c r="P1500" s="27">
        <v>990</v>
      </c>
      <c r="Q1500" s="27">
        <v>28</v>
      </c>
      <c r="R1500" s="27">
        <v>26</v>
      </c>
      <c r="S1500" s="27" t="s">
        <v>4282</v>
      </c>
      <c r="T1500" s="27"/>
      <c r="U1500" s="27">
        <v>2402</v>
      </c>
      <c r="V1500" s="27" t="s">
        <v>4134</v>
      </c>
      <c r="W1500" s="27" t="s">
        <v>4283</v>
      </c>
      <c r="X1500" s="128"/>
      <c r="Y1500" s="73" t="e">
        <f>VLOOKUP(X1500,Choferes!$B$3:C404,2,FALSE)</f>
        <v>#N/A</v>
      </c>
      <c r="Z1500" s="73" t="s">
        <v>4278</v>
      </c>
    </row>
    <row r="1501" spans="1:26" hidden="1" x14ac:dyDescent="0.25">
      <c r="A1501" s="33">
        <v>29</v>
      </c>
      <c r="B1501" s="71" t="s">
        <v>29</v>
      </c>
      <c r="C1501" s="39" t="s">
        <v>4234</v>
      </c>
      <c r="D1501" s="106" t="s">
        <v>2474</v>
      </c>
      <c r="E1501" s="47">
        <v>45856</v>
      </c>
      <c r="F1501" s="31" t="str">
        <f>VLOOKUP($C1501,Carpetas!$C$5:$M$2666,2,FALSE)</f>
        <v>BRB078</v>
      </c>
      <c r="G1501" s="23" t="str">
        <f>VLOOKUP($C1501,Carpetas!$C$5:$M$2666,10,FALSE)</f>
        <v>153,04,36</v>
      </c>
      <c r="H1501" s="27" t="str">
        <f>VLOOKUP($C1501,Carpetas!$C$5:$M$2666,6,FALSE)</f>
        <v>Zanini</v>
      </c>
      <c r="I1501" s="220"/>
      <c r="J1501" s="47">
        <f t="shared" si="101"/>
        <v>45858</v>
      </c>
      <c r="K1501" s="72" t="str">
        <f>VLOOKUP($C1501,Carpetas!$C$5:$M$2666,5,FALSE)</f>
        <v>Rio Branco</v>
      </c>
      <c r="L1501" s="32"/>
      <c r="M1501" s="48">
        <f t="shared" si="102"/>
        <v>45859</v>
      </c>
      <c r="N1501" s="26">
        <f t="shared" si="100"/>
        <v>3</v>
      </c>
      <c r="O1501" s="27">
        <v>918</v>
      </c>
      <c r="P1501" s="27">
        <v>846</v>
      </c>
      <c r="Q1501" s="27">
        <v>24</v>
      </c>
      <c r="R1501" s="27">
        <v>25</v>
      </c>
      <c r="S1501" s="27" t="s">
        <v>4284</v>
      </c>
      <c r="T1501" s="27"/>
      <c r="U1501" s="27">
        <v>5376</v>
      </c>
      <c r="V1501" s="27" t="s">
        <v>1898</v>
      </c>
      <c r="W1501" s="27" t="s">
        <v>1899</v>
      </c>
      <c r="X1501" s="128" t="s">
        <v>1900</v>
      </c>
      <c r="Y1501" s="73" t="str">
        <f>VLOOKUP(X1501,Choferes!$B$3:C405,2,FALSE)</f>
        <v>+5542999737345</v>
      </c>
      <c r="Z1501" s="73" t="s">
        <v>4285</v>
      </c>
    </row>
    <row r="1502" spans="1:26" hidden="1" x14ac:dyDescent="0.25">
      <c r="A1502" s="33">
        <v>29</v>
      </c>
      <c r="B1502" s="71" t="s">
        <v>29</v>
      </c>
      <c r="C1502" s="39" t="s">
        <v>4286</v>
      </c>
      <c r="D1502" s="106" t="s">
        <v>747</v>
      </c>
      <c r="E1502" s="47">
        <v>45856</v>
      </c>
      <c r="F1502" s="31" t="str">
        <f>VLOOKUP($C1502,Carpetas!$C$5:$M$2666,2,FALSE)</f>
        <v>BRB081</v>
      </c>
      <c r="G1502" s="23" t="str">
        <f>VLOOKUP($C1502,Carpetas!$C$5:$M$2666,10,FALSE)</f>
        <v>153,09,85</v>
      </c>
      <c r="H1502" s="27" t="str">
        <f>VLOOKUP($C1502,Carpetas!$C$5:$M$2666,6,FALSE)</f>
        <v>FG</v>
      </c>
      <c r="I1502" s="220"/>
      <c r="J1502" s="47">
        <f t="shared" si="101"/>
        <v>45858</v>
      </c>
      <c r="K1502" s="72" t="str">
        <f>VLOOKUP($C1502,Carpetas!$C$5:$M$2666,5,FALSE)</f>
        <v>Rio Branco</v>
      </c>
      <c r="L1502" s="32"/>
      <c r="M1502" s="48">
        <f t="shared" si="102"/>
        <v>45859</v>
      </c>
      <c r="N1502" s="26">
        <f t="shared" si="100"/>
        <v>3</v>
      </c>
      <c r="O1502" s="27">
        <v>990</v>
      </c>
      <c r="P1502" s="27">
        <v>991</v>
      </c>
      <c r="Q1502" s="27">
        <v>28</v>
      </c>
      <c r="R1502" s="27">
        <v>26</v>
      </c>
      <c r="S1502" s="27" t="s">
        <v>4287</v>
      </c>
      <c r="T1502" s="27"/>
      <c r="U1502" s="27">
        <v>981</v>
      </c>
      <c r="V1502" s="27" t="s">
        <v>1657</v>
      </c>
      <c r="W1502" s="27" t="s">
        <v>1815</v>
      </c>
      <c r="X1502" s="128" t="s">
        <v>1468</v>
      </c>
      <c r="Y1502" s="73" t="str">
        <f>VLOOKUP(X1502,Choferes!$B$3:C412,2,FALSE)</f>
        <v>+5553984274141</v>
      </c>
      <c r="Z1502" s="73" t="s">
        <v>4288</v>
      </c>
    </row>
    <row r="1503" spans="1:26" hidden="1" x14ac:dyDescent="0.25">
      <c r="A1503" s="33">
        <v>29</v>
      </c>
      <c r="B1503" s="71" t="s">
        <v>29</v>
      </c>
      <c r="C1503" s="39" t="s">
        <v>4237</v>
      </c>
      <c r="D1503" s="106" t="s">
        <v>110</v>
      </c>
      <c r="E1503" s="47">
        <v>45856</v>
      </c>
      <c r="F1503" s="31" t="str">
        <f>VLOOKUP($C1503,Carpetas!$C$5:$M$2666,2,FALSE)</f>
        <v>BRB077</v>
      </c>
      <c r="G1503" s="23" t="str">
        <f>VLOOKUP($C1503,Carpetas!$C$5:$M$2666,10,FALSE)</f>
        <v>153,04,35</v>
      </c>
      <c r="H1503" s="27" t="str">
        <f>VLOOKUP($C1503,Carpetas!$C$5:$M$2666,6,FALSE)</f>
        <v>FG</v>
      </c>
      <c r="I1503" s="220"/>
      <c r="J1503" s="47">
        <f t="shared" si="101"/>
        <v>45858</v>
      </c>
      <c r="K1503" s="72" t="str">
        <f>VLOOKUP($C1503,Carpetas!$C$5:$M$2666,5,FALSE)</f>
        <v>Rio Branco</v>
      </c>
      <c r="L1503" s="32"/>
      <c r="M1503" s="48">
        <f t="shared" si="102"/>
        <v>45859</v>
      </c>
      <c r="N1503" s="26">
        <f t="shared" si="100"/>
        <v>3</v>
      </c>
      <c r="O1503" s="27">
        <v>990</v>
      </c>
      <c r="P1503" s="27">
        <v>990</v>
      </c>
      <c r="Q1503" s="27">
        <v>28</v>
      </c>
      <c r="R1503" s="27">
        <v>26</v>
      </c>
      <c r="S1503" s="27" t="s">
        <v>4289</v>
      </c>
      <c r="T1503" s="27"/>
      <c r="U1503" s="27">
        <v>979</v>
      </c>
      <c r="V1503" s="27" t="s">
        <v>1042</v>
      </c>
      <c r="W1503" s="27" t="s">
        <v>3818</v>
      </c>
      <c r="X1503" s="128" t="s">
        <v>1623</v>
      </c>
      <c r="Y1503" s="73" t="str">
        <f>VLOOKUP(X1503,Choferes!$B$3:C413,2,FALSE)</f>
        <v>+5553991254560</v>
      </c>
      <c r="Z1503" s="73" t="s">
        <v>4290</v>
      </c>
    </row>
    <row r="1504" spans="1:26" hidden="1" x14ac:dyDescent="0.25">
      <c r="A1504" s="33">
        <v>29</v>
      </c>
      <c r="B1504" s="71" t="s">
        <v>29</v>
      </c>
      <c r="C1504" s="39" t="s">
        <v>4237</v>
      </c>
      <c r="D1504" s="106" t="s">
        <v>2474</v>
      </c>
      <c r="E1504" s="47">
        <v>45856</v>
      </c>
      <c r="F1504" s="31" t="str">
        <f>VLOOKUP($C1504,Carpetas!$C$5:$M$2666,2,FALSE)</f>
        <v>BRB077</v>
      </c>
      <c r="G1504" s="23" t="str">
        <f>VLOOKUP($C1504,Carpetas!$C$5:$M$2666,10,FALSE)</f>
        <v>153,04,35</v>
      </c>
      <c r="H1504" s="27" t="str">
        <f>VLOOKUP($C1504,Carpetas!$C$5:$M$2666,6,FALSE)</f>
        <v>FG</v>
      </c>
      <c r="I1504" s="220"/>
      <c r="J1504" s="47">
        <f t="shared" si="101"/>
        <v>45858</v>
      </c>
      <c r="K1504" s="72" t="str">
        <f>VLOOKUP($C1504,Carpetas!$C$5:$M$2666,5,FALSE)</f>
        <v>Rio Branco</v>
      </c>
      <c r="L1504" s="32"/>
      <c r="M1504" s="48">
        <f t="shared" si="102"/>
        <v>45859</v>
      </c>
      <c r="N1504" s="26">
        <f t="shared" si="100"/>
        <v>3</v>
      </c>
      <c r="O1504" s="27">
        <v>990</v>
      </c>
      <c r="P1504" s="27">
        <v>990</v>
      </c>
      <c r="Q1504" s="27">
        <v>28</v>
      </c>
      <c r="R1504" s="27">
        <v>26</v>
      </c>
      <c r="S1504" s="27" t="s">
        <v>4291</v>
      </c>
      <c r="T1504" s="27"/>
      <c r="U1504" s="27">
        <v>980</v>
      </c>
      <c r="V1504" s="27" t="s">
        <v>3572</v>
      </c>
      <c r="W1504" s="27" t="s">
        <v>1723</v>
      </c>
      <c r="X1504" s="128" t="s">
        <v>1495</v>
      </c>
      <c r="Y1504" s="73" t="str">
        <f>VLOOKUP(X1504,Choferes!$B$3:C414,2,FALSE)</f>
        <v>+5553984382803</v>
      </c>
      <c r="Z1504" s="73" t="s">
        <v>4292</v>
      </c>
    </row>
    <row r="1505" spans="1:26" hidden="1" x14ac:dyDescent="0.25">
      <c r="A1505" s="33">
        <v>29</v>
      </c>
      <c r="B1505" s="71" t="s">
        <v>29</v>
      </c>
      <c r="C1505" s="39" t="s">
        <v>4264</v>
      </c>
      <c r="D1505" s="106" t="s">
        <v>2202</v>
      </c>
      <c r="E1505" s="47">
        <v>45856</v>
      </c>
      <c r="F1505" s="31" t="str">
        <f>VLOOKUP($C1505,Carpetas!$C$5:$M$2666,2,FALSE)</f>
        <v>BRB080</v>
      </c>
      <c r="G1505" s="23" t="str">
        <f>VLOOKUP($C1505,Carpetas!$C$5:$M$2666,10,FALSE)</f>
        <v>153,06,64</v>
      </c>
      <c r="H1505" s="27" t="str">
        <f>VLOOKUP($C1505,Carpetas!$C$5:$M$2666,6,FALSE)</f>
        <v>Amaro</v>
      </c>
      <c r="I1505" s="220"/>
      <c r="J1505" s="47">
        <f t="shared" si="101"/>
        <v>45858</v>
      </c>
      <c r="K1505" s="72" t="str">
        <f>VLOOKUP($C1505,Carpetas!$C$5:$M$2666,5,FALSE)</f>
        <v>Chuy</v>
      </c>
      <c r="L1505" s="32"/>
      <c r="M1505" s="48">
        <f t="shared" si="102"/>
        <v>45859</v>
      </c>
      <c r="N1505" s="26">
        <f t="shared" si="100"/>
        <v>3</v>
      </c>
      <c r="O1505" s="27">
        <v>990</v>
      </c>
      <c r="P1505" s="27">
        <v>990</v>
      </c>
      <c r="Q1505" s="27">
        <v>28</v>
      </c>
      <c r="R1505" s="27">
        <v>26</v>
      </c>
      <c r="S1505" s="27" t="s">
        <v>4293</v>
      </c>
      <c r="T1505" s="27"/>
      <c r="U1505" s="27"/>
      <c r="V1505" s="27" t="s">
        <v>2339</v>
      </c>
      <c r="W1505" s="27" t="s">
        <v>2340</v>
      </c>
      <c r="X1505" s="128"/>
      <c r="Y1505" s="73" t="e">
        <f>VLOOKUP(X1505,Choferes!$B$3:C416,2,FALSE)</f>
        <v>#N/A</v>
      </c>
      <c r="Z1505" s="73" t="s">
        <v>4278</v>
      </c>
    </row>
    <row r="1506" spans="1:26" hidden="1" x14ac:dyDescent="0.25">
      <c r="A1506" s="33">
        <v>29</v>
      </c>
      <c r="B1506" s="71" t="s">
        <v>29</v>
      </c>
      <c r="C1506" s="39" t="s">
        <v>4286</v>
      </c>
      <c r="D1506" s="106" t="s">
        <v>747</v>
      </c>
      <c r="E1506" s="47">
        <v>45857</v>
      </c>
      <c r="F1506" s="31" t="str">
        <f>VLOOKUP($C1506,Carpetas!$C$5:$M$2666,2,FALSE)</f>
        <v>BRB081</v>
      </c>
      <c r="G1506" s="23" t="str">
        <f>VLOOKUP($C1506,Carpetas!$C$5:$M$2666,10,FALSE)</f>
        <v>153,09,85</v>
      </c>
      <c r="H1506" s="27" t="str">
        <f>VLOOKUP($C1506,Carpetas!$C$5:$M$2666,6,FALSE)</f>
        <v>FG</v>
      </c>
      <c r="I1506" s="220"/>
      <c r="J1506" s="47">
        <f t="shared" si="101"/>
        <v>45859</v>
      </c>
      <c r="K1506" s="72" t="str">
        <f>VLOOKUP($C1506,Carpetas!$C$5:$M$2666,5,FALSE)</f>
        <v>Rio Branco</v>
      </c>
      <c r="L1506" s="32"/>
      <c r="M1506" s="48">
        <f t="shared" si="102"/>
        <v>45860</v>
      </c>
      <c r="N1506" s="26">
        <f t="shared" si="100"/>
        <v>3</v>
      </c>
      <c r="O1506" s="27">
        <v>990</v>
      </c>
      <c r="P1506" s="27">
        <v>991</v>
      </c>
      <c r="Q1506" s="27">
        <v>28</v>
      </c>
      <c r="R1506" s="27">
        <v>26</v>
      </c>
      <c r="S1506" s="27" t="s">
        <v>4294</v>
      </c>
      <c r="T1506" s="27"/>
      <c r="U1506" s="27">
        <v>982</v>
      </c>
      <c r="V1506" s="27" t="s">
        <v>1735</v>
      </c>
      <c r="W1506" s="27" t="s">
        <v>1681</v>
      </c>
      <c r="X1506" s="128" t="s">
        <v>1465</v>
      </c>
      <c r="Y1506" s="73" t="str">
        <f>VLOOKUP(X1506,Choferes!$B$3:C413,2,FALSE)</f>
        <v>+59893339027</v>
      </c>
      <c r="Z1506" s="73" t="s">
        <v>4288</v>
      </c>
    </row>
    <row r="1507" spans="1:26" hidden="1" x14ac:dyDescent="0.25">
      <c r="A1507" s="33">
        <v>30</v>
      </c>
      <c r="B1507" s="71" t="s">
        <v>29</v>
      </c>
      <c r="C1507" s="39" t="s">
        <v>4274</v>
      </c>
      <c r="D1507" s="106" t="s">
        <v>2474</v>
      </c>
      <c r="E1507" s="47">
        <v>45859</v>
      </c>
      <c r="F1507" s="31" t="str">
        <f>VLOOKUP($C1507,Carpetas!$C$5:$M$2666,2,FALSE)</f>
        <v>BRB082</v>
      </c>
      <c r="G1507" s="23" t="str">
        <f>VLOOKUP($C1507,Carpetas!$C$5:$M$2666,10,FALSE)</f>
        <v>153,09,86</v>
      </c>
      <c r="H1507" s="27" t="str">
        <f>VLOOKUP($C1507,Carpetas!$C$5:$M$2666,6,FALSE)</f>
        <v>Chabat</v>
      </c>
      <c r="I1507" s="220"/>
      <c r="J1507" s="47">
        <f t="shared" si="101"/>
        <v>45861</v>
      </c>
      <c r="K1507" s="72" t="str">
        <f>VLOOKUP($C1507,Carpetas!$C$5:$M$2666,5,FALSE)</f>
        <v>Rio Branco</v>
      </c>
      <c r="L1507" s="32"/>
      <c r="M1507" s="48">
        <f t="shared" si="102"/>
        <v>45862</v>
      </c>
      <c r="N1507" s="26">
        <f t="shared" si="100"/>
        <v>3</v>
      </c>
      <c r="O1507" s="27">
        <v>990</v>
      </c>
      <c r="P1507" s="27">
        <v>990</v>
      </c>
      <c r="Q1507" s="27">
        <v>28</v>
      </c>
      <c r="R1507" s="27">
        <v>26</v>
      </c>
      <c r="S1507" s="27" t="s">
        <v>4295</v>
      </c>
      <c r="T1507" s="27"/>
      <c r="U1507" s="27">
        <v>2404</v>
      </c>
      <c r="V1507" s="27" t="s">
        <v>4129</v>
      </c>
      <c r="W1507" s="27" t="s">
        <v>4223</v>
      </c>
      <c r="X1507" s="128" t="s">
        <v>4131</v>
      </c>
      <c r="Y1507" s="73" t="str">
        <f>VLOOKUP(X1507,Choferes!$B$3:C404,2,FALSE)</f>
        <v>+598 91 694 331</v>
      </c>
      <c r="Z1507" s="73" t="s">
        <v>4296</v>
      </c>
    </row>
    <row r="1508" spans="1:26" hidden="1" x14ac:dyDescent="0.25">
      <c r="A1508" s="33">
        <v>30</v>
      </c>
      <c r="B1508" s="71" t="s">
        <v>29</v>
      </c>
      <c r="C1508" s="39" t="s">
        <v>4286</v>
      </c>
      <c r="D1508" s="106" t="s">
        <v>2474</v>
      </c>
      <c r="E1508" s="47">
        <v>45860</v>
      </c>
      <c r="F1508" s="31" t="str">
        <f>VLOOKUP($C1508,Carpetas!$C$5:$M$2666,2,FALSE)</f>
        <v>BRB081</v>
      </c>
      <c r="G1508" s="23" t="str">
        <f>VLOOKUP($C1508,Carpetas!$C$5:$M$2666,10,FALSE)</f>
        <v>153,09,85</v>
      </c>
      <c r="H1508" s="27" t="str">
        <f>VLOOKUP($C1508,Carpetas!$C$5:$M$2666,6,FALSE)</f>
        <v>FG</v>
      </c>
      <c r="I1508" s="220"/>
      <c r="J1508" s="47">
        <v>45861</v>
      </c>
      <c r="K1508" s="72" t="str">
        <f>VLOOKUP($C1508,Carpetas!$C$5:$M$2666,5,FALSE)</f>
        <v>Rio Branco</v>
      </c>
      <c r="L1508" s="32"/>
      <c r="M1508" s="48">
        <f t="shared" si="102"/>
        <v>45862</v>
      </c>
      <c r="N1508" s="26">
        <f t="shared" si="100"/>
        <v>2</v>
      </c>
      <c r="O1508" s="27">
        <v>990</v>
      </c>
      <c r="P1508" s="27">
        <v>990</v>
      </c>
      <c r="Q1508" s="27">
        <v>28</v>
      </c>
      <c r="R1508" s="27">
        <v>26</v>
      </c>
      <c r="S1508" s="27" t="s">
        <v>4297</v>
      </c>
      <c r="T1508" s="27"/>
      <c r="U1508" s="27">
        <v>991</v>
      </c>
      <c r="V1508" s="27" t="s">
        <v>3613</v>
      </c>
      <c r="W1508" s="27" t="s">
        <v>3614</v>
      </c>
      <c r="X1508" s="128" t="s">
        <v>3615</v>
      </c>
      <c r="Y1508" s="73" t="str">
        <f>VLOOKUP(X1508,Choferes!$B$3:C406,2,FALSE)</f>
        <v>+55 53 8122-3386</v>
      </c>
      <c r="Z1508" s="73" t="s">
        <v>4296</v>
      </c>
    </row>
    <row r="1509" spans="1:26" hidden="1" x14ac:dyDescent="0.25">
      <c r="A1509" s="33">
        <v>29</v>
      </c>
      <c r="B1509" s="71" t="s">
        <v>298</v>
      </c>
      <c r="C1509" s="39" t="s">
        <v>299</v>
      </c>
      <c r="D1509" s="106" t="s">
        <v>1757</v>
      </c>
      <c r="E1509" s="47">
        <v>45855</v>
      </c>
      <c r="F1509" s="31" t="str">
        <f>VLOOKUP($C1509,Carpetas!$C$5:$M$2666,2,FALSE)</f>
        <v>BRB</v>
      </c>
      <c r="G1509" s="23" t="e">
        <f>VLOOKUP($C1509,Carpetas!$C$5:$M$2666,9,FALSE)</f>
        <v>#REF!</v>
      </c>
      <c r="H1509" s="27" t="str">
        <f>VLOOKUP($C1509,Carpetas!$C$5:$M$2666,5,FALSE)</f>
        <v>xx</v>
      </c>
      <c r="I1509" s="220"/>
      <c r="J1509" s="47">
        <f>E1509+7</f>
        <v>45862</v>
      </c>
      <c r="K1509" s="72">
        <f>VLOOKUP($C1509,Carpetas!$C$5:$M$2666,4,FALSE)</f>
        <v>0</v>
      </c>
      <c r="L1509" s="32"/>
      <c r="M1509" s="48">
        <f t="shared" si="102"/>
        <v>45863</v>
      </c>
      <c r="N1509" s="26">
        <f t="shared" si="100"/>
        <v>8</v>
      </c>
      <c r="O1509" s="27">
        <v>936</v>
      </c>
      <c r="P1509" s="27"/>
      <c r="Q1509" s="27"/>
      <c r="R1509" s="27"/>
      <c r="S1509" s="27"/>
      <c r="T1509" s="27"/>
      <c r="U1509" s="27"/>
      <c r="V1509" s="27"/>
      <c r="W1509" s="27"/>
      <c r="X1509" s="128"/>
      <c r="Y1509" s="73" t="e">
        <f>VLOOKUP(X1509,Choferes!$B$3:C403,2,FALSE)</f>
        <v>#N/A</v>
      </c>
      <c r="Z1509" s="73"/>
    </row>
    <row r="1510" spans="1:26" hidden="1" x14ac:dyDescent="0.25">
      <c r="A1510" s="33">
        <v>30</v>
      </c>
      <c r="B1510" s="71" t="s">
        <v>29</v>
      </c>
      <c r="C1510" s="39" t="s">
        <v>4286</v>
      </c>
      <c r="D1510" s="106" t="s">
        <v>110</v>
      </c>
      <c r="E1510" s="47">
        <v>45860</v>
      </c>
      <c r="F1510" s="31" t="str">
        <f>VLOOKUP($C1510,Carpetas!$C$5:$M$2666,2,FALSE)</f>
        <v>BRB081</v>
      </c>
      <c r="G1510" s="23" t="str">
        <f>VLOOKUP($C1510,Carpetas!$C$5:$M$2666,10,FALSE)</f>
        <v>153,09,85</v>
      </c>
      <c r="H1510" s="27" t="str">
        <f>VLOOKUP($C1510,Carpetas!$C$5:$M$2666,6,FALSE)</f>
        <v>FG</v>
      </c>
      <c r="I1510" s="220"/>
      <c r="J1510" s="47">
        <f>E1510+2</f>
        <v>45862</v>
      </c>
      <c r="K1510" s="72" t="str">
        <f>VLOOKUP($C1510,Carpetas!$C$5:$M$2666,5,FALSE)</f>
        <v>Rio Branco</v>
      </c>
      <c r="L1510" s="32"/>
      <c r="M1510" s="48">
        <f t="shared" si="102"/>
        <v>45863</v>
      </c>
      <c r="N1510" s="26">
        <f t="shared" si="100"/>
        <v>3</v>
      </c>
      <c r="O1510" s="27">
        <v>990</v>
      </c>
      <c r="P1510" s="27">
        <v>990</v>
      </c>
      <c r="Q1510" s="27">
        <v>28</v>
      </c>
      <c r="R1510" s="27">
        <v>26</v>
      </c>
      <c r="S1510" s="27" t="s">
        <v>4298</v>
      </c>
      <c r="T1510" s="27"/>
      <c r="U1510" s="27">
        <v>992</v>
      </c>
      <c r="V1510" s="27" t="s">
        <v>1636</v>
      </c>
      <c r="W1510" s="27" t="s">
        <v>1736</v>
      </c>
      <c r="X1510" s="128" t="s">
        <v>1413</v>
      </c>
      <c r="Y1510" s="73" t="str">
        <f>VLOOKUP(X1510,Choferes!$B$3:C407,2,FALSE)</f>
        <v>+59899406679</v>
      </c>
      <c r="Z1510" s="73" t="s">
        <v>4299</v>
      </c>
    </row>
    <row r="1511" spans="1:26" ht="30" hidden="1" x14ac:dyDescent="0.25">
      <c r="A1511" s="33">
        <v>29</v>
      </c>
      <c r="B1511" s="71" t="s">
        <v>29</v>
      </c>
      <c r="C1511" s="39" t="s">
        <v>4300</v>
      </c>
      <c r="D1511" s="106" t="s">
        <v>38</v>
      </c>
      <c r="E1511" s="47">
        <v>45856</v>
      </c>
      <c r="F1511" s="31" t="str">
        <f>VLOOKUP($C1511,Carpetas!$C$5:$M$2666,2,FALSE)</f>
        <v>BRE033</v>
      </c>
      <c r="G1511" s="23">
        <f>VLOOKUP($C1511,Carpetas!$C$5:$M$2666,10,FALSE)</f>
        <v>1530690</v>
      </c>
      <c r="H1511" s="27" t="str">
        <f>VLOOKUP($C1511,Carpetas!$C$5:$M$2666,6,FALSE)</f>
        <v>Pampeana</v>
      </c>
      <c r="I1511" s="220">
        <f>VLOOKUP($C1511,Carpetas!$C$5:$M$2666,4,FALSE)</f>
        <v>0</v>
      </c>
      <c r="J1511" s="47">
        <f>E1511+7</f>
        <v>45863</v>
      </c>
      <c r="K1511" s="72" t="str">
        <f>VLOOKUP($C1511,Carpetas!$C$5:$M$2666,5,FALSE)</f>
        <v>Chuy</v>
      </c>
      <c r="L1511" s="32"/>
      <c r="M1511" s="48">
        <f t="shared" si="102"/>
        <v>45864</v>
      </c>
      <c r="N1511" s="26">
        <f t="shared" si="100"/>
        <v>8</v>
      </c>
      <c r="O1511" s="27">
        <v>5184</v>
      </c>
      <c r="P1511" s="27">
        <v>5184</v>
      </c>
      <c r="Q1511" s="27">
        <v>24</v>
      </c>
      <c r="R1511" s="27"/>
      <c r="S1511" s="27" t="s">
        <v>4053</v>
      </c>
      <c r="T1511" s="27"/>
      <c r="U1511" s="27"/>
      <c r="V1511" s="27" t="s">
        <v>4054</v>
      </c>
      <c r="W1511" s="27"/>
      <c r="X1511" s="128"/>
      <c r="Y1511" s="73" t="e">
        <f>VLOOKUP(X1511,Choferes!$B$3:C408,2,FALSE)</f>
        <v>#N/A</v>
      </c>
      <c r="Z1511" s="73" t="s">
        <v>4301</v>
      </c>
    </row>
    <row r="1512" spans="1:26" hidden="1" x14ac:dyDescent="0.25">
      <c r="A1512" s="33">
        <v>30</v>
      </c>
      <c r="B1512" s="71" t="s">
        <v>29</v>
      </c>
      <c r="C1512" s="39" t="s">
        <v>4302</v>
      </c>
      <c r="D1512" s="106" t="s">
        <v>38</v>
      </c>
      <c r="E1512" s="47">
        <v>45859</v>
      </c>
      <c r="F1512" s="31" t="str">
        <f>VLOOKUP($C1512,Carpetas!$C$5:$M$2666,2,FALSE)</f>
        <v>BRE032</v>
      </c>
      <c r="G1512" s="23" t="str">
        <f>VLOOKUP($C1512,Carpetas!$C$5:$M$2666,10,FALSE)</f>
        <v>153,11,84</v>
      </c>
      <c r="H1512" s="27" t="str">
        <f>VLOOKUP($C1512,Carpetas!$C$5:$M$2666,6,FALSE)</f>
        <v>Zanini</v>
      </c>
      <c r="I1512" s="220">
        <f>VLOOKUP($C1512,Carpetas!$C$5:$M$2666,4,FALSE)</f>
        <v>0</v>
      </c>
      <c r="J1512" s="47">
        <v>45863</v>
      </c>
      <c r="K1512" s="72" t="str">
        <f>VLOOKUP($C1512,Carpetas!$C$5:$M$2666,5,FALSE)</f>
        <v>Rio Branco</v>
      </c>
      <c r="L1512" s="32"/>
      <c r="M1512" s="48">
        <f t="shared" si="102"/>
        <v>45864</v>
      </c>
      <c r="N1512" s="26">
        <f t="shared" si="100"/>
        <v>5</v>
      </c>
      <c r="O1512" s="27">
        <v>1638</v>
      </c>
      <c r="P1512" s="27">
        <v>1638</v>
      </c>
      <c r="Q1512" s="27">
        <v>26</v>
      </c>
      <c r="R1512" s="27">
        <v>15.1</v>
      </c>
      <c r="S1512" s="27" t="s">
        <v>4303</v>
      </c>
      <c r="T1512" s="27"/>
      <c r="U1512" s="27">
        <v>5387</v>
      </c>
      <c r="V1512" s="27" t="s">
        <v>4304</v>
      </c>
      <c r="W1512" s="27" t="s">
        <v>4305</v>
      </c>
      <c r="X1512" s="128" t="s">
        <v>4306</v>
      </c>
      <c r="Y1512" s="73" t="str">
        <f>VLOOKUP(X1512,Choferes!$B$3:C406,2,FALSE)</f>
        <v>+55 49 9984-6132</v>
      </c>
      <c r="Z1512" s="73" t="s">
        <v>4307</v>
      </c>
    </row>
    <row r="1513" spans="1:26" hidden="1" x14ac:dyDescent="0.25">
      <c r="A1513" s="33">
        <v>30</v>
      </c>
      <c r="B1513" s="71" t="s">
        <v>29</v>
      </c>
      <c r="C1513" s="39" t="s">
        <v>4286</v>
      </c>
      <c r="D1513" s="106" t="s">
        <v>2202</v>
      </c>
      <c r="E1513" s="47">
        <v>45862</v>
      </c>
      <c r="F1513" s="31" t="str">
        <f>VLOOKUP($C1513,Carpetas!$C$5:$M$2666,2,FALSE)</f>
        <v>BRB081</v>
      </c>
      <c r="G1513" s="23" t="str">
        <f>VLOOKUP($C1513,Carpetas!$C$5:$M$2666,10,FALSE)</f>
        <v>153,09,85</v>
      </c>
      <c r="H1513" s="27" t="str">
        <f>VLOOKUP($C1513,Carpetas!$C$5:$M$2666,6,FALSE)</f>
        <v>FG</v>
      </c>
      <c r="I1513" s="220"/>
      <c r="J1513" s="47">
        <v>45863</v>
      </c>
      <c r="K1513" s="72" t="str">
        <f>VLOOKUP($C1513,Carpetas!$C$5:$M$2666,5,FALSE)</f>
        <v>Rio Branco</v>
      </c>
      <c r="L1513" s="32"/>
      <c r="M1513" s="48">
        <f t="shared" si="102"/>
        <v>45864</v>
      </c>
      <c r="N1513" s="26">
        <f t="shared" si="100"/>
        <v>2</v>
      </c>
      <c r="O1513" s="27">
        <v>990</v>
      </c>
      <c r="P1513" s="27">
        <v>991</v>
      </c>
      <c r="Q1513" s="27">
        <v>28</v>
      </c>
      <c r="R1513" s="27">
        <v>26</v>
      </c>
      <c r="S1513" s="27" t="s">
        <v>4308</v>
      </c>
      <c r="T1513" s="27"/>
      <c r="U1513" s="27">
        <v>996</v>
      </c>
      <c r="V1513" s="27" t="s">
        <v>1630</v>
      </c>
      <c r="W1513" s="27" t="s">
        <v>1934</v>
      </c>
      <c r="X1513" s="128" t="s">
        <v>1935</v>
      </c>
      <c r="Y1513" s="73" t="str">
        <f>VLOOKUP(X1513,Choferes!$B$3:C408,2,FALSE)</f>
        <v>+5554984377792</v>
      </c>
      <c r="Z1513" s="73" t="s">
        <v>4309</v>
      </c>
    </row>
    <row r="1514" spans="1:26" hidden="1" x14ac:dyDescent="0.25">
      <c r="A1514" s="33">
        <v>30</v>
      </c>
      <c r="B1514" s="71" t="s">
        <v>29</v>
      </c>
      <c r="C1514" s="39" t="s">
        <v>4286</v>
      </c>
      <c r="D1514" s="106" t="s">
        <v>2474</v>
      </c>
      <c r="E1514" s="47">
        <v>45862</v>
      </c>
      <c r="F1514" s="31" t="str">
        <f>VLOOKUP($C1514,Carpetas!$C$5:$M$2666,2,FALSE)</f>
        <v>BRB081</v>
      </c>
      <c r="G1514" s="23" t="str">
        <f>VLOOKUP($C1514,Carpetas!$C$5:$M$2666,10,FALSE)</f>
        <v>153,09,85</v>
      </c>
      <c r="H1514" s="27" t="str">
        <f>VLOOKUP($C1514,Carpetas!$C$5:$M$2666,6,FALSE)</f>
        <v>FG</v>
      </c>
      <c r="I1514" s="220"/>
      <c r="J1514" s="47">
        <v>45863</v>
      </c>
      <c r="K1514" s="72" t="str">
        <f>VLOOKUP($C1514,Carpetas!$C$5:$M$2666,5,FALSE)</f>
        <v>Rio Branco</v>
      </c>
      <c r="L1514" s="32"/>
      <c r="M1514" s="48">
        <f t="shared" si="102"/>
        <v>45864</v>
      </c>
      <c r="N1514" s="26">
        <f t="shared" si="100"/>
        <v>2</v>
      </c>
      <c r="O1514" s="27">
        <v>990</v>
      </c>
      <c r="P1514" s="27">
        <v>990</v>
      </c>
      <c r="Q1514" s="27">
        <v>28</v>
      </c>
      <c r="R1514" s="27">
        <v>26</v>
      </c>
      <c r="S1514" s="27" t="s">
        <v>4310</v>
      </c>
      <c r="T1514" s="27"/>
      <c r="U1514" s="27">
        <v>995</v>
      </c>
      <c r="V1514" s="27" t="s">
        <v>1645</v>
      </c>
      <c r="W1514" s="27" t="s">
        <v>1637</v>
      </c>
      <c r="X1514" s="128" t="s">
        <v>2119</v>
      </c>
      <c r="Y1514" s="73" t="str">
        <f>VLOOKUP(X1514,Choferes!$B$3:C409,2,FALSE)</f>
        <v>+5553981528085</v>
      </c>
      <c r="Z1514" s="73" t="s">
        <v>4311</v>
      </c>
    </row>
    <row r="1515" spans="1:26" hidden="1" x14ac:dyDescent="0.25">
      <c r="A1515" s="33">
        <v>30</v>
      </c>
      <c r="B1515" s="71" t="s">
        <v>298</v>
      </c>
      <c r="C1515" s="39" t="s">
        <v>299</v>
      </c>
      <c r="D1515" s="106" t="s">
        <v>78</v>
      </c>
      <c r="E1515" s="47">
        <v>45863</v>
      </c>
      <c r="F1515" s="31" t="str">
        <f>VLOOKUP($C1515,Carpetas!$C$5:$M$2666,2,FALSE)</f>
        <v>BRB</v>
      </c>
      <c r="G1515" s="23" t="e">
        <f>VLOOKUP($C1515,Carpetas!$C$5:$M$2666,9,FALSE)</f>
        <v>#REF!</v>
      </c>
      <c r="H1515" s="27" t="str">
        <f>VLOOKUP($C1515,Carpetas!$C$5:$M$2666,5,FALSE)</f>
        <v>xx</v>
      </c>
      <c r="I1515" s="220"/>
      <c r="J1515" s="47">
        <f>E1515+2</f>
        <v>45865</v>
      </c>
      <c r="K1515" s="72">
        <f>VLOOKUP($C1515,Carpetas!$C$5:$M$2666,4,FALSE)</f>
        <v>0</v>
      </c>
      <c r="L1515" s="32"/>
      <c r="M1515" s="48">
        <f t="shared" si="102"/>
        <v>45866</v>
      </c>
      <c r="N1515" s="26">
        <f t="shared" si="100"/>
        <v>3</v>
      </c>
      <c r="O1515" s="27">
        <v>918</v>
      </c>
      <c r="P1515" s="27"/>
      <c r="Q1515" s="27"/>
      <c r="R1515" s="27"/>
      <c r="S1515" s="27"/>
      <c r="T1515" s="27"/>
      <c r="U1515" s="27"/>
      <c r="V1515" s="27"/>
      <c r="W1515" s="27"/>
      <c r="X1515" s="128"/>
      <c r="Y1515" s="73" t="e">
        <f>VLOOKUP(X1515,Choferes!$B$3:C402,2,FALSE)</f>
        <v>#N/A</v>
      </c>
      <c r="Z1515" s="73"/>
    </row>
    <row r="1516" spans="1:26" hidden="1" x14ac:dyDescent="0.25">
      <c r="A1516" s="33">
        <v>30</v>
      </c>
      <c r="B1516" s="71" t="s">
        <v>29</v>
      </c>
      <c r="C1516" s="39" t="s">
        <v>4157</v>
      </c>
      <c r="D1516" s="106" t="s">
        <v>249</v>
      </c>
      <c r="E1516" s="47">
        <v>45863</v>
      </c>
      <c r="F1516" s="31" t="str">
        <f>VLOOKUP($C1516,Carpetas!$C$5:$M$2666,2,FALSE)</f>
        <v>BRB074</v>
      </c>
      <c r="G1516" s="23" t="str">
        <f>VLOOKUP($C1516,Carpetas!$C$5:$M$2666,10,FALSE)</f>
        <v>152,89,75</v>
      </c>
      <c r="H1516" s="27" t="str">
        <f>VLOOKUP($C1516,Carpetas!$C$5:$M$2666,6,FALSE)</f>
        <v xml:space="preserve">Silvio </v>
      </c>
      <c r="I1516" s="220"/>
      <c r="J1516" s="47">
        <v>45866</v>
      </c>
      <c r="K1516" s="72" t="str">
        <f>VLOOKUP($C1516,Carpetas!$C$5:$M$2666,5,FALSE)</f>
        <v>Chuy</v>
      </c>
      <c r="L1516" s="32"/>
      <c r="M1516" s="48">
        <f t="shared" si="102"/>
        <v>45867</v>
      </c>
      <c r="N1516" s="26">
        <f t="shared" si="100"/>
        <v>4</v>
      </c>
      <c r="O1516" s="27">
        <v>918</v>
      </c>
      <c r="P1516" s="27">
        <v>918</v>
      </c>
      <c r="Q1516" s="27">
        <v>26</v>
      </c>
      <c r="R1516" s="27">
        <v>25</v>
      </c>
      <c r="S1516" s="27" t="s">
        <v>4312</v>
      </c>
      <c r="T1516" s="27"/>
      <c r="U1516" s="27"/>
      <c r="V1516" s="27" t="s">
        <v>2524</v>
      </c>
      <c r="W1516" s="27" t="s">
        <v>2525</v>
      </c>
      <c r="X1516" s="128"/>
      <c r="Y1516" s="73" t="e">
        <f>VLOOKUP(X1516,Choferes!$B$3:C404,2,FALSE)</f>
        <v>#N/A</v>
      </c>
      <c r="Z1516" s="73" t="s">
        <v>4313</v>
      </c>
    </row>
    <row r="1517" spans="1:26" hidden="1" x14ac:dyDescent="0.25">
      <c r="A1517" s="33">
        <v>30</v>
      </c>
      <c r="B1517" s="71" t="s">
        <v>29</v>
      </c>
      <c r="C1517" s="39" t="s">
        <v>4314</v>
      </c>
      <c r="D1517" s="106" t="s">
        <v>747</v>
      </c>
      <c r="E1517" s="47">
        <v>45863</v>
      </c>
      <c r="F1517" s="31" t="str">
        <f>VLOOKUP($C1517,Carpetas!$C$5:$M$2666,2,FALSE)</f>
        <v>BRB084</v>
      </c>
      <c r="G1517" s="23" t="str">
        <f>VLOOKUP($C1517,Carpetas!$C$5:$M$2666,10,FALSE)</f>
        <v>153,15,35</v>
      </c>
      <c r="H1517" s="27" t="str">
        <f>VLOOKUP($C1517,Carpetas!$C$5:$M$2666,6,FALSE)</f>
        <v>FG</v>
      </c>
      <c r="I1517" s="220"/>
      <c r="J1517" s="47">
        <v>45866</v>
      </c>
      <c r="K1517" s="72" t="str">
        <f>VLOOKUP($C1517,Carpetas!$C$5:$M$2666,5,FALSE)</f>
        <v>Rio Branco</v>
      </c>
      <c r="L1517" s="32"/>
      <c r="M1517" s="48">
        <f t="shared" si="102"/>
        <v>45867</v>
      </c>
      <c r="N1517" s="26">
        <f t="shared" si="100"/>
        <v>4</v>
      </c>
      <c r="O1517" s="27">
        <v>990</v>
      </c>
      <c r="P1517" s="27">
        <v>990</v>
      </c>
      <c r="Q1517" s="27">
        <v>28</v>
      </c>
      <c r="R1517" s="27">
        <v>26</v>
      </c>
      <c r="S1517" s="27" t="s">
        <v>4315</v>
      </c>
      <c r="T1517" s="27"/>
      <c r="U1517" s="27">
        <v>1001</v>
      </c>
      <c r="V1517" s="27" t="s">
        <v>3411</v>
      </c>
      <c r="W1517" s="27" t="s">
        <v>3412</v>
      </c>
      <c r="X1517" s="128" t="s">
        <v>3559</v>
      </c>
      <c r="Y1517" s="73" t="str">
        <f>VLOOKUP(X1517,Choferes!$B$3:C410,2,FALSE)</f>
        <v>+55 53 9713-4372</v>
      </c>
      <c r="Z1517" s="73" t="s">
        <v>4316</v>
      </c>
    </row>
    <row r="1518" spans="1:26" hidden="1" x14ac:dyDescent="0.25">
      <c r="A1518" s="33">
        <v>30</v>
      </c>
      <c r="B1518" s="71" t="s">
        <v>29</v>
      </c>
      <c r="C1518" s="39" t="s">
        <v>4286</v>
      </c>
      <c r="D1518" s="106" t="s">
        <v>110</v>
      </c>
      <c r="E1518" s="47">
        <v>45863</v>
      </c>
      <c r="F1518" s="31" t="str">
        <f>VLOOKUP($C1518,Carpetas!$C$5:$M$2666,2,FALSE)</f>
        <v>BRB081</v>
      </c>
      <c r="G1518" s="23" t="str">
        <f>VLOOKUP($C1518,Carpetas!$C$5:$M$2666,10,FALSE)</f>
        <v>153,09,85</v>
      </c>
      <c r="H1518" s="27" t="str">
        <f>VLOOKUP($C1518,Carpetas!$C$5:$M$2666,6,FALSE)</f>
        <v>FG</v>
      </c>
      <c r="I1518" s="220"/>
      <c r="J1518" s="47">
        <v>45866</v>
      </c>
      <c r="K1518" s="72" t="str">
        <f>VLOOKUP($C1518,Carpetas!$C$5:$M$2666,5,FALSE)</f>
        <v>Rio Branco</v>
      </c>
      <c r="L1518" s="32"/>
      <c r="M1518" s="48">
        <f t="shared" si="102"/>
        <v>45867</v>
      </c>
      <c r="N1518" s="26">
        <f t="shared" si="100"/>
        <v>4</v>
      </c>
      <c r="O1518" s="27">
        <v>990</v>
      </c>
      <c r="P1518" s="27">
        <v>991</v>
      </c>
      <c r="Q1518" s="27">
        <v>28</v>
      </c>
      <c r="R1518" s="27">
        <v>26</v>
      </c>
      <c r="S1518" s="27" t="s">
        <v>4317</v>
      </c>
      <c r="T1518" s="27"/>
      <c r="U1518" s="27">
        <v>997</v>
      </c>
      <c r="V1518" s="27" t="s">
        <v>1680</v>
      </c>
      <c r="W1518" s="27" t="s">
        <v>1631</v>
      </c>
      <c r="X1518" s="128" t="s">
        <v>3808</v>
      </c>
      <c r="Y1518" s="73" t="str">
        <f>VLOOKUP(X1518,Choferes!$B$3:C411,2,FALSE)</f>
        <v>+55 53 8412-9466</v>
      </c>
      <c r="Z1518" s="73" t="s">
        <v>4316</v>
      </c>
    </row>
    <row r="1519" spans="1:26" hidden="1" x14ac:dyDescent="0.25">
      <c r="A1519" s="33">
        <v>30</v>
      </c>
      <c r="B1519" s="71" t="s">
        <v>29</v>
      </c>
      <c r="C1519" s="39" t="s">
        <v>4314</v>
      </c>
      <c r="D1519" s="106" t="s">
        <v>803</v>
      </c>
      <c r="E1519" s="47">
        <v>45863</v>
      </c>
      <c r="F1519" s="31" t="str">
        <f>VLOOKUP($C1519,Carpetas!$C$5:$M$2666,2,FALSE)</f>
        <v>BRB084</v>
      </c>
      <c r="G1519" s="23" t="str">
        <f>VLOOKUP($C1519,Carpetas!$C$5:$M$2666,10,FALSE)</f>
        <v>153,15,35</v>
      </c>
      <c r="H1519" s="27" t="str">
        <f>VLOOKUP($C1519,Carpetas!$C$5:$M$2666,6,FALSE)</f>
        <v>FG</v>
      </c>
      <c r="I1519" s="220"/>
      <c r="J1519" s="47">
        <v>45866</v>
      </c>
      <c r="K1519" s="72" t="str">
        <f>VLOOKUP($C1519,Carpetas!$C$5:$M$2666,5,FALSE)</f>
        <v>Rio Branco</v>
      </c>
      <c r="L1519" s="32"/>
      <c r="M1519" s="48">
        <f t="shared" si="102"/>
        <v>45867</v>
      </c>
      <c r="N1519" s="26">
        <f t="shared" si="100"/>
        <v>4</v>
      </c>
      <c r="O1519" s="27">
        <v>990</v>
      </c>
      <c r="P1519" s="27">
        <v>990</v>
      </c>
      <c r="Q1519" s="27">
        <v>28</v>
      </c>
      <c r="R1519" s="27">
        <v>26</v>
      </c>
      <c r="S1519" s="27" t="s">
        <v>4318</v>
      </c>
      <c r="T1519" s="27"/>
      <c r="U1519" s="27">
        <v>1002</v>
      </c>
      <c r="V1519" s="27" t="s">
        <v>4319</v>
      </c>
      <c r="W1519" s="27" t="s">
        <v>1523</v>
      </c>
      <c r="X1519" s="128" t="s">
        <v>4320</v>
      </c>
      <c r="Y1519" s="73" t="str">
        <f>VLOOKUP(X1519,Choferes!$B$3:C412,2,FALSE)</f>
        <v>+598 98 562 952</v>
      </c>
      <c r="Z1519" s="73" t="s">
        <v>4321</v>
      </c>
    </row>
    <row r="1520" spans="1:26" hidden="1" x14ac:dyDescent="0.25">
      <c r="A1520" s="33">
        <v>30</v>
      </c>
      <c r="B1520" s="71" t="s">
        <v>29</v>
      </c>
      <c r="C1520" s="39" t="s">
        <v>4286</v>
      </c>
      <c r="D1520" s="106" t="s">
        <v>2474</v>
      </c>
      <c r="E1520" s="47">
        <v>45863</v>
      </c>
      <c r="F1520" s="31" t="str">
        <f>VLOOKUP($C1520,Carpetas!$C$5:$M$2666,2,FALSE)</f>
        <v>BRB081</v>
      </c>
      <c r="G1520" s="23" t="str">
        <f>VLOOKUP($C1520,Carpetas!$C$5:$M$2666,10,FALSE)</f>
        <v>153,09,85</v>
      </c>
      <c r="H1520" s="27" t="str">
        <f>VLOOKUP($C1520,Carpetas!$C$5:$M$2666,6,FALSE)</f>
        <v>FG</v>
      </c>
      <c r="I1520" s="220"/>
      <c r="J1520" s="47">
        <v>45866</v>
      </c>
      <c r="K1520" s="72" t="str">
        <f>VLOOKUP($C1520,Carpetas!$C$5:$M$2666,5,FALSE)</f>
        <v>Rio Branco</v>
      </c>
      <c r="L1520" s="32"/>
      <c r="M1520" s="48">
        <f t="shared" si="102"/>
        <v>45867</v>
      </c>
      <c r="N1520" s="26">
        <f t="shared" si="100"/>
        <v>4</v>
      </c>
      <c r="O1520" s="27">
        <v>990</v>
      </c>
      <c r="P1520" s="27">
        <v>990</v>
      </c>
      <c r="Q1520" s="27">
        <v>28</v>
      </c>
      <c r="R1520" s="27">
        <v>26</v>
      </c>
      <c r="S1520" s="27" t="s">
        <v>4322</v>
      </c>
      <c r="T1520" s="27"/>
      <c r="U1520" s="27">
        <v>998</v>
      </c>
      <c r="V1520" s="27" t="s">
        <v>3572</v>
      </c>
      <c r="W1520" s="27" t="s">
        <v>1723</v>
      </c>
      <c r="X1520" s="128" t="s">
        <v>1495</v>
      </c>
      <c r="Y1520" s="73" t="str">
        <f>VLOOKUP(X1520,Choferes!$B$3:C413,2,FALSE)</f>
        <v>+5553984382803</v>
      </c>
      <c r="Z1520" s="73" t="s">
        <v>4321</v>
      </c>
    </row>
    <row r="1521" spans="1:26" hidden="1" x14ac:dyDescent="0.25">
      <c r="A1521" s="33">
        <v>30</v>
      </c>
      <c r="B1521" s="71" t="s">
        <v>29</v>
      </c>
      <c r="C1521" s="39" t="s">
        <v>4154</v>
      </c>
      <c r="D1521" s="106" t="s">
        <v>2474</v>
      </c>
      <c r="E1521" s="47">
        <v>45864</v>
      </c>
      <c r="F1521" s="31" t="str">
        <f>VLOOKUP($C1521,Carpetas!$C$5:$M$2666,2,FALSE)</f>
        <v>BRB072</v>
      </c>
      <c r="G1521" s="23" t="str">
        <f>VLOOKUP($C1521,Carpetas!$C$5:$M$2666,10,FALSE)</f>
        <v>152,89,50</v>
      </c>
      <c r="H1521" s="27" t="str">
        <f>VLOOKUP($C1521,Carpetas!$C$5:$M$2666,6,FALSE)</f>
        <v>Amaro</v>
      </c>
      <c r="I1521" s="220"/>
      <c r="J1521" s="47">
        <v>45866</v>
      </c>
      <c r="K1521" s="72" t="str">
        <f>VLOOKUP($C1521,Carpetas!$C$5:$M$2666,5,FALSE)</f>
        <v>Rio Branco</v>
      </c>
      <c r="L1521" s="32"/>
      <c r="M1521" s="48">
        <f t="shared" si="102"/>
        <v>45867</v>
      </c>
      <c r="N1521" s="26">
        <f t="shared" si="100"/>
        <v>3</v>
      </c>
      <c r="O1521" s="27">
        <v>990</v>
      </c>
      <c r="P1521" s="27">
        <v>990</v>
      </c>
      <c r="Q1521" s="27">
        <v>28</v>
      </c>
      <c r="R1521" s="27">
        <v>26</v>
      </c>
      <c r="S1521" s="27" t="s">
        <v>4323</v>
      </c>
      <c r="T1521" s="27"/>
      <c r="U1521" s="27">
        <v>26547</v>
      </c>
      <c r="V1521" s="27" t="s">
        <v>1657</v>
      </c>
      <c r="W1521" s="27" t="s">
        <v>1815</v>
      </c>
      <c r="X1521" s="128" t="s">
        <v>3950</v>
      </c>
      <c r="Y1521" s="73" t="str">
        <f>VLOOKUP(X1521,Choferes!$B$3:C403,2,FALSE)</f>
        <v>+55 53 8478-6279</v>
      </c>
      <c r="Z1521" s="73" t="s">
        <v>4321</v>
      </c>
    </row>
    <row r="1522" spans="1:26" hidden="1" x14ac:dyDescent="0.25">
      <c r="A1522" s="33">
        <v>30</v>
      </c>
      <c r="B1522" s="71" t="s">
        <v>29</v>
      </c>
      <c r="C1522" s="39" t="s">
        <v>4314</v>
      </c>
      <c r="D1522" s="106" t="s">
        <v>747</v>
      </c>
      <c r="E1522" s="47">
        <v>45864</v>
      </c>
      <c r="F1522" s="31" t="str">
        <f>VLOOKUP($C1522,Carpetas!$C$5:$M$2666,2,FALSE)</f>
        <v>BRB084</v>
      </c>
      <c r="G1522" s="23" t="str">
        <f>VLOOKUP($C1522,Carpetas!$C$5:$M$2666,10,FALSE)</f>
        <v>153,15,35</v>
      </c>
      <c r="H1522" s="27" t="str">
        <f>VLOOKUP($C1522,Carpetas!$C$5:$M$2666,6,FALSE)</f>
        <v>FG</v>
      </c>
      <c r="I1522" s="220"/>
      <c r="J1522" s="47">
        <v>45866</v>
      </c>
      <c r="K1522" s="72" t="str">
        <f>VLOOKUP($C1522,Carpetas!$C$5:$M$2666,5,FALSE)</f>
        <v>Rio Branco</v>
      </c>
      <c r="L1522" s="32"/>
      <c r="M1522" s="48">
        <f t="shared" si="102"/>
        <v>45867</v>
      </c>
      <c r="N1522" s="26">
        <f t="shared" si="100"/>
        <v>3</v>
      </c>
      <c r="O1522" s="27">
        <v>990</v>
      </c>
      <c r="P1522" s="27">
        <v>990</v>
      </c>
      <c r="Q1522" s="27">
        <v>28</v>
      </c>
      <c r="R1522" s="27">
        <v>26</v>
      </c>
      <c r="S1522" s="27" t="s">
        <v>4324</v>
      </c>
      <c r="T1522" s="27"/>
      <c r="U1522" s="27">
        <v>1003</v>
      </c>
      <c r="V1522" s="27" t="s">
        <v>1626</v>
      </c>
      <c r="W1522" s="27" t="s">
        <v>1627</v>
      </c>
      <c r="X1522" s="128" t="s">
        <v>1489</v>
      </c>
      <c r="Y1522" s="73" t="str">
        <f>VLOOKUP(X1522,Choferes!$B$3:C414,2,FALSE)</f>
        <v>+5553984039582</v>
      </c>
      <c r="Z1522" s="73" t="s">
        <v>4316</v>
      </c>
    </row>
    <row r="1523" spans="1:26" hidden="1" x14ac:dyDescent="0.25">
      <c r="A1523" s="33">
        <v>30</v>
      </c>
      <c r="B1523" s="71" t="s">
        <v>29</v>
      </c>
      <c r="C1523" s="39" t="s">
        <v>4286</v>
      </c>
      <c r="D1523" s="106" t="s">
        <v>2202</v>
      </c>
      <c r="E1523" s="47">
        <v>45864</v>
      </c>
      <c r="F1523" s="31" t="str">
        <f>VLOOKUP($C1523,Carpetas!$C$5:$M$2666,2,FALSE)</f>
        <v>BRB081</v>
      </c>
      <c r="G1523" s="23" t="str">
        <f>VLOOKUP($C1523,Carpetas!$C$5:$M$2666,10,FALSE)</f>
        <v>153,09,85</v>
      </c>
      <c r="H1523" s="27" t="str">
        <f>VLOOKUP($C1523,Carpetas!$C$5:$M$2666,6,FALSE)</f>
        <v>FG</v>
      </c>
      <c r="I1523" s="220"/>
      <c r="J1523" s="47">
        <v>45866</v>
      </c>
      <c r="K1523" s="72" t="str">
        <f>VLOOKUP($C1523,Carpetas!$C$5:$M$2666,5,FALSE)</f>
        <v>Rio Branco</v>
      </c>
      <c r="L1523" s="32"/>
      <c r="M1523" s="48">
        <f t="shared" si="102"/>
        <v>45867</v>
      </c>
      <c r="N1523" s="26">
        <f t="shared" si="100"/>
        <v>3</v>
      </c>
      <c r="O1523" s="27">
        <v>990</v>
      </c>
      <c r="P1523" s="27">
        <v>990</v>
      </c>
      <c r="Q1523" s="27">
        <v>28</v>
      </c>
      <c r="R1523" s="27">
        <v>26</v>
      </c>
      <c r="S1523" s="27" t="s">
        <v>4325</v>
      </c>
      <c r="T1523" s="27"/>
      <c r="U1523" s="27">
        <v>999</v>
      </c>
      <c r="V1523" s="27" t="s">
        <v>1735</v>
      </c>
      <c r="W1523" s="27" t="s">
        <v>1681</v>
      </c>
      <c r="X1523" s="128" t="s">
        <v>1465</v>
      </c>
      <c r="Y1523" s="73" t="str">
        <f>VLOOKUP(X1523,Choferes!$B$3:C414,2,FALSE)</f>
        <v>+59893339027</v>
      </c>
      <c r="Z1523" s="73" t="s">
        <v>4326</v>
      </c>
    </row>
    <row r="1524" spans="1:26" hidden="1" x14ac:dyDescent="0.25">
      <c r="A1524" s="33">
        <v>30</v>
      </c>
      <c r="B1524" s="71" t="s">
        <v>29</v>
      </c>
      <c r="C1524" s="39" t="s">
        <v>4314</v>
      </c>
      <c r="D1524" s="106" t="s">
        <v>803</v>
      </c>
      <c r="E1524" s="47">
        <v>45864</v>
      </c>
      <c r="F1524" s="31" t="str">
        <f>VLOOKUP($C1524,Carpetas!$C$5:$M$2666,2,FALSE)</f>
        <v>BRB084</v>
      </c>
      <c r="G1524" s="23" t="str">
        <f>VLOOKUP($C1524,Carpetas!$C$5:$M$2666,10,FALSE)</f>
        <v>153,15,35</v>
      </c>
      <c r="H1524" s="27" t="str">
        <f>VLOOKUP($C1524,Carpetas!$C$5:$M$2666,6,FALSE)</f>
        <v>FG</v>
      </c>
      <c r="I1524" s="220"/>
      <c r="J1524" s="47">
        <v>45866</v>
      </c>
      <c r="K1524" s="72" t="str">
        <f>VLOOKUP($C1524,Carpetas!$C$5:$M$2666,5,FALSE)</f>
        <v>Rio Branco</v>
      </c>
      <c r="L1524" s="32"/>
      <c r="M1524" s="48">
        <f t="shared" si="102"/>
        <v>45867</v>
      </c>
      <c r="N1524" s="26">
        <f t="shared" si="100"/>
        <v>3</v>
      </c>
      <c r="O1524" s="27">
        <v>990</v>
      </c>
      <c r="P1524" s="27">
        <v>990</v>
      </c>
      <c r="Q1524" s="27">
        <v>28</v>
      </c>
      <c r="R1524" s="27">
        <v>26</v>
      </c>
      <c r="S1524" s="27" t="s">
        <v>2671</v>
      </c>
      <c r="T1524" s="27"/>
      <c r="U1524" s="27">
        <v>1004</v>
      </c>
      <c r="V1524" s="27" t="s">
        <v>1430</v>
      </c>
      <c r="W1524" s="27" t="s">
        <v>1669</v>
      </c>
      <c r="X1524" s="128" t="s">
        <v>1923</v>
      </c>
      <c r="Y1524" s="73" t="str">
        <f>VLOOKUP(X1524,Choferes!$B$3:C415,2,FALSE)</f>
        <v>+5553999049426</v>
      </c>
      <c r="Z1524" s="73" t="s">
        <v>4321</v>
      </c>
    </row>
    <row r="1525" spans="1:26" hidden="1" x14ac:dyDescent="0.25">
      <c r="A1525" s="33">
        <v>30</v>
      </c>
      <c r="B1525" s="71" t="s">
        <v>29</v>
      </c>
      <c r="C1525" s="39" t="s">
        <v>4327</v>
      </c>
      <c r="D1525" s="106" t="s">
        <v>1757</v>
      </c>
      <c r="E1525" s="47">
        <v>45861</v>
      </c>
      <c r="F1525" s="31" t="str">
        <f>VLOOKUP($C1525,Carpetas!$C$5:$M$2666,2,FALSE)</f>
        <v>BRB083</v>
      </c>
      <c r="G1525" s="23" t="str">
        <f>VLOOKUP($C1525,Carpetas!$C$5:$M$2666,10,FALSE)</f>
        <v>153,12,63</v>
      </c>
      <c r="H1525" s="27" t="str">
        <f>VLOOKUP($C1525,Carpetas!$C$5:$M$2666,6,FALSE)</f>
        <v>Gral</v>
      </c>
      <c r="I1525" s="220"/>
      <c r="J1525" s="47">
        <v>45867</v>
      </c>
      <c r="K1525" s="72" t="str">
        <f>VLOOKUP($C1525,Carpetas!$C$5:$M$2666,5,FALSE)</f>
        <v>Rio Branco</v>
      </c>
      <c r="L1525" s="32"/>
      <c r="M1525" s="48">
        <f t="shared" si="102"/>
        <v>45868</v>
      </c>
      <c r="N1525" s="26">
        <f t="shared" si="100"/>
        <v>7</v>
      </c>
      <c r="O1525" s="27">
        <v>936</v>
      </c>
      <c r="P1525" s="27">
        <v>936</v>
      </c>
      <c r="Q1525" s="27">
        <v>26</v>
      </c>
      <c r="R1525" s="27">
        <v>25</v>
      </c>
      <c r="S1525" s="27" t="s">
        <v>3399</v>
      </c>
      <c r="T1525" s="27"/>
      <c r="U1525" s="27">
        <v>7525</v>
      </c>
      <c r="V1525" s="27" t="s">
        <v>4328</v>
      </c>
      <c r="W1525" s="27" t="s">
        <v>4329</v>
      </c>
      <c r="X1525" s="128"/>
      <c r="Y1525" s="73" t="e">
        <f>VLOOKUP(X1525,Choferes!$B$3:C392,2,FALSE)</f>
        <v>#N/A</v>
      </c>
      <c r="Z1525" s="73" t="s">
        <v>4330</v>
      </c>
    </row>
    <row r="1526" spans="1:26" hidden="1" x14ac:dyDescent="0.25">
      <c r="A1526" s="33">
        <v>30</v>
      </c>
      <c r="B1526" s="71" t="s">
        <v>29</v>
      </c>
      <c r="C1526" s="39" t="s">
        <v>4331</v>
      </c>
      <c r="D1526" s="106" t="s">
        <v>38</v>
      </c>
      <c r="E1526" s="47">
        <v>45863</v>
      </c>
      <c r="F1526" s="31" t="str">
        <f>VLOOKUP($C1526,Carpetas!$C$5:$M$2666,2,FALSE)</f>
        <v>BRE034</v>
      </c>
      <c r="G1526" s="23" t="str">
        <f>VLOOKUP($C1526,Carpetas!$C$5:$M$2666,10,FALSE)</f>
        <v>153,15,60</v>
      </c>
      <c r="H1526" s="27" t="str">
        <f>VLOOKUP($C1526,Carpetas!$C$5:$M$2666,6,FALSE)</f>
        <v>Miltex</v>
      </c>
      <c r="I1526" s="220">
        <f>VLOOKUP($C1526,Carpetas!$C$5:$M$2666,4,FALSE)</f>
        <v>0</v>
      </c>
      <c r="J1526" s="47">
        <v>45867</v>
      </c>
      <c r="K1526" s="72" t="str">
        <f>VLOOKUP($C1526,Carpetas!$C$5:$M$2666,5,FALSE)</f>
        <v>Rio Branco</v>
      </c>
      <c r="L1526" s="32"/>
      <c r="M1526" s="48">
        <f t="shared" si="102"/>
        <v>45868</v>
      </c>
      <c r="N1526" s="26">
        <f t="shared" si="100"/>
        <v>5</v>
      </c>
      <c r="O1526" s="27">
        <v>24500</v>
      </c>
      <c r="P1526" s="27"/>
      <c r="Q1526" s="27"/>
      <c r="R1526" s="27"/>
      <c r="S1526" s="27"/>
      <c r="T1526" s="27"/>
      <c r="U1526" s="27">
        <v>156</v>
      </c>
      <c r="V1526" s="27" t="s">
        <v>4332</v>
      </c>
      <c r="W1526" s="27" t="s">
        <v>4333</v>
      </c>
      <c r="X1526" s="128"/>
      <c r="Y1526" s="73" t="e">
        <f>VLOOKUP(X1526,Choferes!$B$3:C394,2,FALSE)</f>
        <v>#N/A</v>
      </c>
      <c r="Z1526" s="73" t="s">
        <v>1273</v>
      </c>
    </row>
    <row r="1527" spans="1:26" ht="30" hidden="1" x14ac:dyDescent="0.25">
      <c r="A1527" s="33">
        <v>31</v>
      </c>
      <c r="B1527" s="71" t="s">
        <v>29</v>
      </c>
      <c r="C1527" s="39" t="s">
        <v>4314</v>
      </c>
      <c r="D1527" s="106" t="s">
        <v>747</v>
      </c>
      <c r="E1527" s="47">
        <v>45866</v>
      </c>
      <c r="F1527" s="31" t="str">
        <f>VLOOKUP($C1527,Carpetas!$C$5:$M$2666,2,FALSE)</f>
        <v>BRB084</v>
      </c>
      <c r="G1527" s="23" t="str">
        <f>VLOOKUP($C1527,Carpetas!$C$5:$M$2666,10,FALSE)</f>
        <v>153,15,35</v>
      </c>
      <c r="H1527" s="27" t="str">
        <f>VLOOKUP($C1527,Carpetas!$C$5:$M$2666,6,FALSE)</f>
        <v>FG</v>
      </c>
      <c r="I1527" s="220"/>
      <c r="J1527" s="47">
        <v>45867</v>
      </c>
      <c r="K1527" s="72" t="str">
        <f>VLOOKUP($C1527,Carpetas!$C$5:$M$2666,5,FALSE)</f>
        <v>Rio Branco</v>
      </c>
      <c r="L1527" s="32"/>
      <c r="M1527" s="48">
        <f t="shared" si="102"/>
        <v>45868</v>
      </c>
      <c r="N1527" s="26">
        <f t="shared" si="100"/>
        <v>2</v>
      </c>
      <c r="O1527" s="27">
        <v>990</v>
      </c>
      <c r="P1527" s="27">
        <v>991</v>
      </c>
      <c r="Q1527" s="27">
        <v>28</v>
      </c>
      <c r="R1527" s="27">
        <v>25</v>
      </c>
      <c r="S1527" s="27" t="s">
        <v>4334</v>
      </c>
      <c r="T1527" s="27"/>
      <c r="U1527" s="27">
        <v>1005</v>
      </c>
      <c r="V1527" s="27" t="s">
        <v>2339</v>
      </c>
      <c r="W1527" s="27" t="s">
        <v>2340</v>
      </c>
      <c r="X1527" s="128"/>
      <c r="Y1527" s="73" t="e">
        <f>VLOOKUP(X1527,Choferes!$B$3:C399,2,FALSE)</f>
        <v>#N/A</v>
      </c>
      <c r="Z1527" s="73" t="s">
        <v>4335</v>
      </c>
    </row>
    <row r="1528" spans="1:26" hidden="1" x14ac:dyDescent="0.25">
      <c r="A1528" s="33">
        <v>31</v>
      </c>
      <c r="B1528" s="71" t="s">
        <v>29</v>
      </c>
      <c r="C1528" s="39" t="s">
        <v>4314</v>
      </c>
      <c r="D1528" s="106" t="s">
        <v>2202</v>
      </c>
      <c r="E1528" s="47">
        <v>45867</v>
      </c>
      <c r="F1528" s="31" t="str">
        <f>VLOOKUP($C1528,Carpetas!$C$5:$M$2666,2,FALSE)</f>
        <v>BRB084</v>
      </c>
      <c r="G1528" s="23" t="str">
        <f>VLOOKUP($C1528,Carpetas!$C$5:$M$2666,10,FALSE)</f>
        <v>153,15,35</v>
      </c>
      <c r="H1528" s="27" t="str">
        <f>VLOOKUP($C1528,Carpetas!$C$5:$M$2666,6,FALSE)</f>
        <v>FG</v>
      </c>
      <c r="I1528" s="220"/>
      <c r="J1528" s="47">
        <v>45868</v>
      </c>
      <c r="K1528" s="72" t="str">
        <f>VLOOKUP($C1528,Carpetas!$C$5:$M$2666,5,FALSE)</f>
        <v>Rio Branco</v>
      </c>
      <c r="L1528" s="32"/>
      <c r="M1528" s="48">
        <f t="shared" si="102"/>
        <v>45869</v>
      </c>
      <c r="N1528" s="26">
        <f t="shared" si="100"/>
        <v>2</v>
      </c>
      <c r="O1528" s="27">
        <v>990</v>
      </c>
      <c r="P1528" s="27">
        <v>991</v>
      </c>
      <c r="Q1528" s="27">
        <v>28</v>
      </c>
      <c r="R1528" s="27">
        <v>26</v>
      </c>
      <c r="S1528" s="27" t="s">
        <v>4336</v>
      </c>
      <c r="T1528" s="27"/>
      <c r="U1528" s="27">
        <v>1012</v>
      </c>
      <c r="V1528" s="27" t="s">
        <v>1956</v>
      </c>
      <c r="W1528" s="27" t="s">
        <v>1957</v>
      </c>
      <c r="X1528" s="128" t="s">
        <v>1520</v>
      </c>
      <c r="Y1528" s="73" t="str">
        <f>VLOOKUP(X1528,Choferes!$B$3:C402,2,FALSE)</f>
        <v>+5553999595710</v>
      </c>
      <c r="Z1528" s="73" t="s">
        <v>4337</v>
      </c>
    </row>
    <row r="1529" spans="1:26" hidden="1" x14ac:dyDescent="0.25">
      <c r="A1529" s="33">
        <v>31</v>
      </c>
      <c r="B1529" s="71" t="s">
        <v>29</v>
      </c>
      <c r="C1529" s="39" t="s">
        <v>4274</v>
      </c>
      <c r="D1529" s="106" t="s">
        <v>2474</v>
      </c>
      <c r="E1529" s="47">
        <v>45866</v>
      </c>
      <c r="F1529" s="31" t="str">
        <f>VLOOKUP($C1529,Carpetas!$C$5:$M$2666,2,FALSE)</f>
        <v>BRB082</v>
      </c>
      <c r="G1529" s="23" t="str">
        <f>VLOOKUP($C1529,Carpetas!$C$5:$M$2666,10,FALSE)</f>
        <v>153,09,86</v>
      </c>
      <c r="H1529" s="27" t="str">
        <f>VLOOKUP($C1529,Carpetas!$C$5:$M$2666,6,FALSE)</f>
        <v>Chabat</v>
      </c>
      <c r="I1529" s="220"/>
      <c r="J1529" s="47">
        <v>45869</v>
      </c>
      <c r="K1529" s="72" t="str">
        <f>VLOOKUP($C1529,Carpetas!$C$5:$M$2666,5,FALSE)</f>
        <v>Rio Branco</v>
      </c>
      <c r="L1529" s="32"/>
      <c r="M1529" s="48">
        <f t="shared" si="102"/>
        <v>45870</v>
      </c>
      <c r="N1529" s="26">
        <f t="shared" si="100"/>
        <v>4</v>
      </c>
      <c r="O1529" s="27">
        <v>990</v>
      </c>
      <c r="P1529" s="27">
        <v>990</v>
      </c>
      <c r="Q1529" s="27">
        <v>28</v>
      </c>
      <c r="R1529" s="27">
        <v>26</v>
      </c>
      <c r="S1529" s="27" t="s">
        <v>4338</v>
      </c>
      <c r="T1529" s="27"/>
      <c r="U1529" s="27">
        <v>2406</v>
      </c>
      <c r="V1529" s="27" t="s">
        <v>4339</v>
      </c>
      <c r="W1529" s="27" t="s">
        <v>4340</v>
      </c>
      <c r="X1529" s="128"/>
      <c r="Y1529" s="73" t="e">
        <f>VLOOKUP(X1529,Choferes!$B$3:C403,2,FALSE)</f>
        <v>#N/A</v>
      </c>
      <c r="Z1529" s="73" t="s">
        <v>4341</v>
      </c>
    </row>
    <row r="1530" spans="1:26" hidden="1" x14ac:dyDescent="0.25">
      <c r="A1530" s="33">
        <v>31</v>
      </c>
      <c r="B1530" s="71" t="s">
        <v>29</v>
      </c>
      <c r="C1530" s="39" t="s">
        <v>4342</v>
      </c>
      <c r="D1530" s="106" t="s">
        <v>48</v>
      </c>
      <c r="E1530" s="47">
        <v>45866</v>
      </c>
      <c r="F1530" s="31" t="str">
        <f>VLOOKUP($C1530,Carpetas!$C$5:$M$2666,2,FALSE)</f>
        <v>PYB029</v>
      </c>
      <c r="G1530" s="23" t="str">
        <f>VLOOKUP($C1530,Carpetas!$C$5:$M$2666,10,FALSE)</f>
        <v>153,16,24</v>
      </c>
      <c r="H1530" s="27">
        <f>VLOOKUP($C1530,Carpetas!$C$5:$M$2666,6,FALSE)</f>
        <v>0</v>
      </c>
      <c r="I1530" s="220"/>
      <c r="J1530" s="47">
        <f>E1530+3</f>
        <v>45869</v>
      </c>
      <c r="K1530" s="72" t="str">
        <f>VLOOKUP($C1530,Carpetas!$C$5:$M$2666,5,FALSE)</f>
        <v>Salto</v>
      </c>
      <c r="L1530" s="32"/>
      <c r="M1530" s="48">
        <f t="shared" si="102"/>
        <v>45870</v>
      </c>
      <c r="N1530" s="26">
        <f t="shared" si="100"/>
        <v>4</v>
      </c>
      <c r="O1530" s="27">
        <v>960</v>
      </c>
      <c r="P1530" s="27">
        <v>960</v>
      </c>
      <c r="Q1530" s="27">
        <v>28</v>
      </c>
      <c r="R1530" s="27">
        <v>26</v>
      </c>
      <c r="S1530" s="27" t="s">
        <v>4343</v>
      </c>
      <c r="T1530" s="27"/>
      <c r="U1530" s="27"/>
      <c r="V1530" s="27"/>
      <c r="W1530" s="27"/>
      <c r="X1530" s="128"/>
      <c r="Y1530" s="73" t="e">
        <f>VLOOKUP(X1530,Choferes!$B$3:C409,2,FALSE)</f>
        <v>#N/A</v>
      </c>
      <c r="Z1530" s="73" t="s">
        <v>4344</v>
      </c>
    </row>
    <row r="1531" spans="1:26" hidden="1" x14ac:dyDescent="0.25">
      <c r="A1531" s="33">
        <v>31</v>
      </c>
      <c r="B1531" s="71" t="s">
        <v>29</v>
      </c>
      <c r="C1531" s="39" t="s">
        <v>4314</v>
      </c>
      <c r="D1531" s="106" t="s">
        <v>2474</v>
      </c>
      <c r="E1531" s="47">
        <v>45867</v>
      </c>
      <c r="F1531" s="31" t="str">
        <f>VLOOKUP($C1531,Carpetas!$C$5:$M$2666,2,FALSE)</f>
        <v>BRB084</v>
      </c>
      <c r="G1531" s="23" t="str">
        <f>VLOOKUP($C1531,Carpetas!$C$5:$M$2666,10,FALSE)</f>
        <v>153,15,35</v>
      </c>
      <c r="H1531" s="27" t="str">
        <f>VLOOKUP($C1531,Carpetas!$C$5:$M$2666,6,FALSE)</f>
        <v>FG</v>
      </c>
      <c r="I1531" s="220"/>
      <c r="J1531" s="47">
        <f>E1531+2</f>
        <v>45869</v>
      </c>
      <c r="K1531" s="72" t="str">
        <f>VLOOKUP($C1531,Carpetas!$C$5:$M$2666,5,FALSE)</f>
        <v>Rio Branco</v>
      </c>
      <c r="L1531" s="32"/>
      <c r="M1531" s="48">
        <f t="shared" si="102"/>
        <v>45870</v>
      </c>
      <c r="N1531" s="26">
        <f t="shared" si="100"/>
        <v>3</v>
      </c>
      <c r="O1531" s="27">
        <v>990</v>
      </c>
      <c r="P1531" s="27">
        <v>990</v>
      </c>
      <c r="Q1531" s="27">
        <v>28</v>
      </c>
      <c r="R1531" s="27">
        <v>26</v>
      </c>
      <c r="S1531" s="27" t="s">
        <v>4345</v>
      </c>
      <c r="T1531" s="27"/>
      <c r="U1531" s="27">
        <v>1016</v>
      </c>
      <c r="V1531" s="27" t="s">
        <v>1636</v>
      </c>
      <c r="W1531" s="27" t="s">
        <v>1736</v>
      </c>
      <c r="X1531" s="128" t="s">
        <v>1413</v>
      </c>
      <c r="Y1531" s="73" t="str">
        <f>VLOOKUP(X1531,Choferes!$B$3:C400,2,FALSE)</f>
        <v>+59899406679</v>
      </c>
      <c r="Z1531" s="73" t="s">
        <v>4341</v>
      </c>
    </row>
    <row r="1532" spans="1:26" hidden="1" x14ac:dyDescent="0.25">
      <c r="A1532" s="33">
        <v>31</v>
      </c>
      <c r="B1532" s="71" t="s">
        <v>29</v>
      </c>
      <c r="C1532" s="39" t="s">
        <v>4314</v>
      </c>
      <c r="D1532" s="106" t="s">
        <v>803</v>
      </c>
      <c r="E1532" s="47">
        <v>45867</v>
      </c>
      <c r="F1532" s="31" t="str">
        <f>VLOOKUP($C1532,Carpetas!$C$5:$M$2666,2,FALSE)</f>
        <v>BRB084</v>
      </c>
      <c r="G1532" s="23" t="str">
        <f>VLOOKUP($C1532,Carpetas!$C$5:$M$2666,10,FALSE)</f>
        <v>153,15,35</v>
      </c>
      <c r="H1532" s="27" t="str">
        <f>VLOOKUP($C1532,Carpetas!$C$5:$M$2666,6,FALSE)</f>
        <v>FG</v>
      </c>
      <c r="I1532" s="220"/>
      <c r="J1532" s="47">
        <f>E1532+2</f>
        <v>45869</v>
      </c>
      <c r="K1532" s="72" t="str">
        <f>VLOOKUP($C1532,Carpetas!$C$5:$M$2666,5,FALSE)</f>
        <v>Rio Branco</v>
      </c>
      <c r="L1532" s="32"/>
      <c r="M1532" s="48">
        <f t="shared" si="102"/>
        <v>45870</v>
      </c>
      <c r="N1532" s="26">
        <f t="shared" si="100"/>
        <v>3</v>
      </c>
      <c r="O1532" s="27">
        <v>990</v>
      </c>
      <c r="P1532" s="27">
        <v>990</v>
      </c>
      <c r="Q1532" s="27">
        <v>28</v>
      </c>
      <c r="R1532" s="27">
        <v>26</v>
      </c>
      <c r="S1532" s="27" t="s">
        <v>2736</v>
      </c>
      <c r="T1532" s="27"/>
      <c r="U1532" s="27">
        <v>1015</v>
      </c>
      <c r="V1532" s="27" t="s">
        <v>3669</v>
      </c>
      <c r="W1532" s="27" t="s">
        <v>912</v>
      </c>
      <c r="X1532" s="128" t="s">
        <v>2336</v>
      </c>
      <c r="Y1532" s="73" t="str">
        <f>VLOOKUP(X1532,Choferes!$B$3:C401,2,FALSE)</f>
        <v>+5553984414060</v>
      </c>
      <c r="Z1532" s="73" t="s">
        <v>4341</v>
      </c>
    </row>
    <row r="1533" spans="1:26" hidden="1" x14ac:dyDescent="0.25">
      <c r="A1533" s="33">
        <v>31</v>
      </c>
      <c r="B1533" s="71" t="s">
        <v>29</v>
      </c>
      <c r="C1533" s="39" t="s">
        <v>4314</v>
      </c>
      <c r="D1533" s="106" t="s">
        <v>3300</v>
      </c>
      <c r="E1533" s="47">
        <v>45867</v>
      </c>
      <c r="F1533" s="31" t="str">
        <f>VLOOKUP($C1533,Carpetas!$C$5:$M$2666,2,FALSE)</f>
        <v>BRB084</v>
      </c>
      <c r="G1533" s="23" t="str">
        <f>VLOOKUP($C1533,Carpetas!$C$5:$M$2666,10,FALSE)</f>
        <v>153,15,35</v>
      </c>
      <c r="H1533" s="27" t="str">
        <f>VLOOKUP($C1533,Carpetas!$C$5:$M$2666,6,FALSE)</f>
        <v>FG</v>
      </c>
      <c r="I1533" s="220"/>
      <c r="J1533" s="47">
        <f>E1533+2</f>
        <v>45869</v>
      </c>
      <c r="K1533" s="72" t="str">
        <f>VLOOKUP($C1533,Carpetas!$C$5:$M$2666,5,FALSE)</f>
        <v>Rio Branco</v>
      </c>
      <c r="L1533" s="32"/>
      <c r="M1533" s="48">
        <f t="shared" si="102"/>
        <v>45870</v>
      </c>
      <c r="N1533" s="26">
        <f t="shared" si="100"/>
        <v>3</v>
      </c>
      <c r="O1533" s="27">
        <v>990</v>
      </c>
      <c r="P1533" s="27">
        <v>990</v>
      </c>
      <c r="Q1533" s="27">
        <v>28</v>
      </c>
      <c r="R1533" s="27">
        <v>26</v>
      </c>
      <c r="S1533" s="27" t="s">
        <v>4346</v>
      </c>
      <c r="T1533" s="27"/>
      <c r="U1533" s="27">
        <v>1013</v>
      </c>
      <c r="V1533" s="27" t="s">
        <v>1617</v>
      </c>
      <c r="W1533" s="27" t="s">
        <v>1618</v>
      </c>
      <c r="X1533" s="128" t="s">
        <v>1619</v>
      </c>
      <c r="Y1533" s="73" t="str">
        <f>VLOOKUP(X1533,Choferes!$B$3:C404,2,FALSE)</f>
        <v>+5553984318842</v>
      </c>
      <c r="Z1533" s="73" t="s">
        <v>4341</v>
      </c>
    </row>
    <row r="1534" spans="1:26" hidden="1" x14ac:dyDescent="0.25">
      <c r="A1534" s="33">
        <v>31</v>
      </c>
      <c r="B1534" s="71" t="s">
        <v>29</v>
      </c>
      <c r="C1534" s="39" t="s">
        <v>4114</v>
      </c>
      <c r="D1534" s="106" t="s">
        <v>110</v>
      </c>
      <c r="E1534" s="47">
        <v>45867</v>
      </c>
      <c r="F1534" s="31" t="str">
        <f>VLOOKUP($C1534,Carpetas!$C$5:$M$2666,2,FALSE)</f>
        <v>BRB069</v>
      </c>
      <c r="G1534" s="23" t="str">
        <f>VLOOKUP($C1534,Carpetas!$C$5:$M$2666,10,FALSE)</f>
        <v>152,84,36</v>
      </c>
      <c r="H1534" s="27" t="str">
        <f>VLOOKUP($C1534,Carpetas!$C$5:$M$2666,6,FALSE)</f>
        <v>Gral</v>
      </c>
      <c r="I1534" s="220"/>
      <c r="J1534" s="47">
        <f>E1534+2</f>
        <v>45869</v>
      </c>
      <c r="K1534" s="72" t="str">
        <f>VLOOKUP($C1534,Carpetas!$C$5:$M$2666,5,FALSE)</f>
        <v>Chuy</v>
      </c>
      <c r="L1534" s="32"/>
      <c r="M1534" s="48">
        <f t="shared" si="102"/>
        <v>45870</v>
      </c>
      <c r="N1534" s="26">
        <f t="shared" si="100"/>
        <v>3</v>
      </c>
      <c r="O1534" s="27">
        <v>918</v>
      </c>
      <c r="P1534" s="27">
        <v>919</v>
      </c>
      <c r="Q1534" s="27">
        <v>26</v>
      </c>
      <c r="R1534" s="27">
        <v>25</v>
      </c>
      <c r="S1534" s="27" t="s">
        <v>4347</v>
      </c>
      <c r="T1534" s="27"/>
      <c r="U1534" s="27"/>
      <c r="V1534" s="27"/>
      <c r="W1534" s="27"/>
      <c r="X1534" s="128"/>
      <c r="Y1534" s="73" t="e">
        <f>VLOOKUP(X1534,Choferes!$B$3:C408,2,FALSE)</f>
        <v>#N/A</v>
      </c>
      <c r="Z1534" s="73" t="s">
        <v>4348</v>
      </c>
    </row>
    <row r="1535" spans="1:26" hidden="1" x14ac:dyDescent="0.25">
      <c r="A1535" s="33">
        <v>30</v>
      </c>
      <c r="B1535" s="71" t="s">
        <v>29</v>
      </c>
      <c r="C1535" s="39" t="s">
        <v>4349</v>
      </c>
      <c r="D1535" s="106" t="s">
        <v>38</v>
      </c>
      <c r="E1535" s="47">
        <v>45865</v>
      </c>
      <c r="F1535" s="31" t="str">
        <f>VLOOKUP($C1535,Carpetas!$C$5:$M$2666,2,FALSE)</f>
        <v>BRE035</v>
      </c>
      <c r="G1535" s="23" t="str">
        <f>VLOOKUP($C1535,Carpetas!$C$5:$M$2666,10,FALSE)</f>
        <v>153,16,42</v>
      </c>
      <c r="H1535" s="27" t="str">
        <f>VLOOKUP($C1535,Carpetas!$C$5:$M$2666,6,FALSE)</f>
        <v>Zanini</v>
      </c>
      <c r="I1535" s="220">
        <f>VLOOKUP($C1535,Carpetas!$C$5:$M$2666,4,FALSE)</f>
        <v>0</v>
      </c>
      <c r="J1535" s="47">
        <v>45867</v>
      </c>
      <c r="K1535" s="72" t="str">
        <f>VLOOKUP($C1535,Carpetas!$C$5:$M$2666,5,FALSE)</f>
        <v>Rio Branco</v>
      </c>
      <c r="L1535" s="32"/>
      <c r="M1535" s="48">
        <v>45871</v>
      </c>
      <c r="N1535" s="26">
        <f t="shared" si="100"/>
        <v>6</v>
      </c>
      <c r="O1535" s="27">
        <v>1400</v>
      </c>
      <c r="P1535" s="27"/>
      <c r="Q1535" s="27"/>
      <c r="R1535" s="27"/>
      <c r="S1535" s="27"/>
      <c r="T1535" s="27"/>
      <c r="U1535" s="27">
        <v>5416</v>
      </c>
      <c r="V1535" s="27" t="s">
        <v>4350</v>
      </c>
      <c r="W1535" s="27" t="s">
        <v>4351</v>
      </c>
      <c r="X1535" s="128" t="s">
        <v>4352</v>
      </c>
      <c r="Y1535" s="73" t="str">
        <f>VLOOKUP(X1535,Choferes!$B$3:C395,2,FALSE)</f>
        <v>+55 42 8409-9400</v>
      </c>
      <c r="Z1535" s="73" t="s">
        <v>4081</v>
      </c>
    </row>
    <row r="1536" spans="1:26" hidden="1" x14ac:dyDescent="0.25">
      <c r="A1536" s="33">
        <v>31</v>
      </c>
      <c r="B1536" s="71" t="s">
        <v>29</v>
      </c>
      <c r="C1536" s="39" t="s">
        <v>4353</v>
      </c>
      <c r="D1536" s="106" t="s">
        <v>803</v>
      </c>
      <c r="E1536" s="47">
        <v>45868</v>
      </c>
      <c r="F1536" s="31" t="str">
        <f>VLOOKUP($C1536,Carpetas!$C$5:$M$2666,2,FALSE)</f>
        <v>BRB085</v>
      </c>
      <c r="G1536" s="23" t="str">
        <f>VLOOKUP($C1536,Carpetas!$C$5:$M$2666,10,FALSE)</f>
        <v>153,19,67</v>
      </c>
      <c r="H1536" s="27" t="str">
        <f>VLOOKUP($C1536,Carpetas!$C$5:$M$2666,6,FALSE)</f>
        <v>FG</v>
      </c>
      <c r="I1536" s="220"/>
      <c r="J1536" s="47">
        <f>E1536+2</f>
        <v>45870</v>
      </c>
      <c r="K1536" s="72" t="str">
        <f>VLOOKUP($C1536,Carpetas!$C$5:$M$2666,5,FALSE)</f>
        <v>Rio Branco</v>
      </c>
      <c r="L1536" s="32"/>
      <c r="M1536" s="48">
        <f t="shared" ref="M1536:M1567" si="103">J1536+1</f>
        <v>45871</v>
      </c>
      <c r="N1536" s="26">
        <f t="shared" si="100"/>
        <v>3</v>
      </c>
      <c r="O1536" s="27">
        <v>990</v>
      </c>
      <c r="P1536" s="27">
        <v>990</v>
      </c>
      <c r="Q1536" s="27">
        <v>28</v>
      </c>
      <c r="R1536" s="27">
        <v>26</v>
      </c>
      <c r="S1536" s="27" t="s">
        <v>2750</v>
      </c>
      <c r="T1536" s="27"/>
      <c r="U1536" s="27">
        <v>1018</v>
      </c>
      <c r="V1536" s="27" t="s">
        <v>1649</v>
      </c>
      <c r="W1536" s="27" t="s">
        <v>1650</v>
      </c>
      <c r="X1536" s="128" t="s">
        <v>1462</v>
      </c>
      <c r="Y1536" s="73" t="str">
        <f>VLOOKUP(X1536,Choferes!$B$3:C403,2,FALSE)</f>
        <v>+5553997081676</v>
      </c>
      <c r="Z1536" s="73" t="s">
        <v>4354</v>
      </c>
    </row>
    <row r="1537" spans="1:26" hidden="1" x14ac:dyDescent="0.25">
      <c r="A1537" s="33">
        <v>31</v>
      </c>
      <c r="B1537" s="71" t="s">
        <v>29</v>
      </c>
      <c r="C1537" s="39" t="s">
        <v>4353</v>
      </c>
      <c r="D1537" s="106" t="s">
        <v>2202</v>
      </c>
      <c r="E1537" s="47">
        <v>45868</v>
      </c>
      <c r="F1537" s="31" t="str">
        <f>VLOOKUP($C1537,Carpetas!$C$5:$M$2666,2,FALSE)</f>
        <v>BRB085</v>
      </c>
      <c r="G1537" s="23" t="str">
        <f>VLOOKUP($C1537,Carpetas!$C$5:$M$2666,10,FALSE)</f>
        <v>153,19,67</v>
      </c>
      <c r="H1537" s="27" t="str">
        <f>VLOOKUP($C1537,Carpetas!$C$5:$M$2666,6,FALSE)</f>
        <v>FG</v>
      </c>
      <c r="I1537" s="220"/>
      <c r="J1537" s="47">
        <f>E1537+2</f>
        <v>45870</v>
      </c>
      <c r="K1537" s="72" t="str">
        <f>VLOOKUP($C1537,Carpetas!$C$5:$M$2666,5,FALSE)</f>
        <v>Rio Branco</v>
      </c>
      <c r="L1537" s="32"/>
      <c r="M1537" s="48">
        <f t="shared" si="103"/>
        <v>45871</v>
      </c>
      <c r="N1537" s="26">
        <f t="shared" si="100"/>
        <v>3</v>
      </c>
      <c r="O1537" s="27">
        <v>990</v>
      </c>
      <c r="P1537" s="27">
        <v>991</v>
      </c>
      <c r="Q1537" s="27">
        <v>28</v>
      </c>
      <c r="R1537" s="27">
        <v>26</v>
      </c>
      <c r="S1537" s="27" t="s">
        <v>4355</v>
      </c>
      <c r="T1537" s="27"/>
      <c r="U1537" s="27">
        <v>1020</v>
      </c>
      <c r="V1537" s="27" t="s">
        <v>4356</v>
      </c>
      <c r="W1537" s="27" t="s">
        <v>4357</v>
      </c>
      <c r="X1537" s="128" t="s">
        <v>4358</v>
      </c>
      <c r="Y1537" s="73" t="str">
        <f>VLOOKUP(X1537,Choferes!$B$3:C400,2,FALSE)</f>
        <v>+55 53 9981-7077</v>
      </c>
      <c r="Z1537" s="73" t="s">
        <v>4359</v>
      </c>
    </row>
    <row r="1538" spans="1:26" hidden="1" x14ac:dyDescent="0.25">
      <c r="A1538" s="33">
        <v>31</v>
      </c>
      <c r="B1538" s="71" t="s">
        <v>29</v>
      </c>
      <c r="C1538" s="39" t="s">
        <v>4353</v>
      </c>
      <c r="D1538" s="106" t="s">
        <v>953</v>
      </c>
      <c r="E1538" s="47">
        <v>45868</v>
      </c>
      <c r="F1538" s="31" t="str">
        <f>VLOOKUP($C1538,Carpetas!$C$5:$M$2666,2,FALSE)</f>
        <v>BRB085</v>
      </c>
      <c r="G1538" s="23" t="str">
        <f>VLOOKUP($C1538,Carpetas!$C$5:$M$2666,10,FALSE)</f>
        <v>153,19,67</v>
      </c>
      <c r="H1538" s="27" t="str">
        <f>VLOOKUP($C1538,Carpetas!$C$5:$M$2666,6,FALSE)</f>
        <v>FG</v>
      </c>
      <c r="I1538" s="220"/>
      <c r="J1538" s="47">
        <f>E1538+2</f>
        <v>45870</v>
      </c>
      <c r="K1538" s="72" t="str">
        <f>VLOOKUP($C1538,Carpetas!$C$5:$M$2666,5,FALSE)</f>
        <v>Rio Branco</v>
      </c>
      <c r="L1538" s="32"/>
      <c r="M1538" s="48">
        <f t="shared" si="103"/>
        <v>45871</v>
      </c>
      <c r="N1538" s="26">
        <f t="shared" si="100"/>
        <v>3</v>
      </c>
      <c r="O1538" s="27">
        <v>990</v>
      </c>
      <c r="P1538" s="27">
        <v>990</v>
      </c>
      <c r="Q1538" s="27">
        <v>28</v>
      </c>
      <c r="R1538" s="27">
        <v>26</v>
      </c>
      <c r="S1538" s="27" t="s">
        <v>1262</v>
      </c>
      <c r="T1538" s="27"/>
      <c r="U1538" s="27">
        <v>1019</v>
      </c>
      <c r="V1538" s="27" t="s">
        <v>1680</v>
      </c>
      <c r="W1538" s="27" t="s">
        <v>1637</v>
      </c>
      <c r="X1538" s="128" t="s">
        <v>2119</v>
      </c>
      <c r="Y1538" s="73" t="str">
        <f>VLOOKUP(X1538,Choferes!$B$3:C405,2,FALSE)</f>
        <v>+5553981528085</v>
      </c>
      <c r="Z1538" s="73" t="s">
        <v>4354</v>
      </c>
    </row>
    <row r="1539" spans="1:26" hidden="1" x14ac:dyDescent="0.25">
      <c r="A1539" s="33">
        <v>31</v>
      </c>
      <c r="B1539" s="71" t="s">
        <v>298</v>
      </c>
      <c r="C1539" s="39" t="s">
        <v>299</v>
      </c>
      <c r="D1539" s="106" t="s">
        <v>78</v>
      </c>
      <c r="E1539" s="47">
        <v>45870</v>
      </c>
      <c r="F1539" s="31" t="str">
        <f>VLOOKUP($C1539,Carpetas!$C$5:$M$2666,2,FALSE)</f>
        <v>BRB</v>
      </c>
      <c r="G1539" s="23" t="e">
        <f>VLOOKUP($C1539,Carpetas!$C$5:$M$2666,9,FALSE)</f>
        <v>#REF!</v>
      </c>
      <c r="H1539" s="27" t="str">
        <f>VLOOKUP($C1539,Carpetas!$C$5:$M$2666,5,FALSE)</f>
        <v>xx</v>
      </c>
      <c r="I1539" s="220"/>
      <c r="J1539" s="47">
        <f>E1539+2</f>
        <v>45872</v>
      </c>
      <c r="K1539" s="72">
        <f>VLOOKUP($C1539,Carpetas!$C$5:$M$2666,4,FALSE)</f>
        <v>0</v>
      </c>
      <c r="L1539" s="32"/>
      <c r="M1539" s="48">
        <f t="shared" si="103"/>
        <v>45873</v>
      </c>
      <c r="N1539" s="26">
        <f t="shared" si="100"/>
        <v>3</v>
      </c>
      <c r="O1539" s="27">
        <v>918</v>
      </c>
      <c r="P1539" s="27"/>
      <c r="Q1539" s="27"/>
      <c r="R1539" s="27"/>
      <c r="S1539" s="27"/>
      <c r="T1539" s="27"/>
      <c r="U1539" s="27"/>
      <c r="V1539" s="27"/>
      <c r="W1539" s="27"/>
      <c r="X1539" s="128"/>
      <c r="Y1539" s="73" t="e">
        <f>VLOOKUP(X1539,Choferes!$B$3:C398,2,FALSE)</f>
        <v>#N/A</v>
      </c>
      <c r="Z1539" s="73" t="s">
        <v>1273</v>
      </c>
    </row>
    <row r="1540" spans="1:26" hidden="1" x14ac:dyDescent="0.25">
      <c r="A1540" s="33">
        <v>31</v>
      </c>
      <c r="B1540" s="71" t="s">
        <v>29</v>
      </c>
      <c r="C1540" s="39" t="s">
        <v>4353</v>
      </c>
      <c r="D1540" s="106" t="s">
        <v>2474</v>
      </c>
      <c r="E1540" s="47">
        <v>45869</v>
      </c>
      <c r="F1540" s="31" t="str">
        <f>VLOOKUP($C1540,Carpetas!$C$5:$M$2666,2,FALSE)</f>
        <v>BRB085</v>
      </c>
      <c r="G1540" s="23" t="str">
        <f>VLOOKUP($C1540,Carpetas!$C$5:$M$2666,10,FALSE)</f>
        <v>153,19,67</v>
      </c>
      <c r="H1540" s="27" t="str">
        <f>VLOOKUP($C1540,Carpetas!$C$5:$M$2666,6,FALSE)</f>
        <v>FG</v>
      </c>
      <c r="I1540" s="220"/>
      <c r="J1540" s="47">
        <v>45873</v>
      </c>
      <c r="K1540" s="72" t="str">
        <f>VLOOKUP($C1540,Carpetas!$C$5:$M$2666,5,FALSE)</f>
        <v>Rio Branco</v>
      </c>
      <c r="L1540" s="32"/>
      <c r="M1540" s="48">
        <f t="shared" si="103"/>
        <v>45874</v>
      </c>
      <c r="N1540" s="26">
        <f t="shared" si="100"/>
        <v>5</v>
      </c>
      <c r="O1540" s="27">
        <v>990</v>
      </c>
      <c r="P1540" s="27">
        <v>990</v>
      </c>
      <c r="Q1540" s="27">
        <v>28</v>
      </c>
      <c r="R1540" s="27">
        <v>26</v>
      </c>
      <c r="S1540" s="27" t="s">
        <v>4360</v>
      </c>
      <c r="T1540" s="27"/>
      <c r="U1540" s="27">
        <v>1024</v>
      </c>
      <c r="V1540" s="27" t="s">
        <v>1645</v>
      </c>
      <c r="W1540" s="27" t="s">
        <v>1645</v>
      </c>
      <c r="X1540" s="128" t="s">
        <v>3808</v>
      </c>
      <c r="Y1540" s="73" t="str">
        <f>VLOOKUP(X1540,Choferes!$B$3:C406,2,FALSE)</f>
        <v>+55 53 8412-9466</v>
      </c>
      <c r="Z1540" s="73" t="s">
        <v>4361</v>
      </c>
    </row>
    <row r="1541" spans="1:26" hidden="1" x14ac:dyDescent="0.25">
      <c r="A1541" s="33">
        <v>31</v>
      </c>
      <c r="B1541" s="71" t="s">
        <v>29</v>
      </c>
      <c r="C1541" s="39" t="s">
        <v>4362</v>
      </c>
      <c r="D1541" s="106" t="s">
        <v>2474</v>
      </c>
      <c r="E1541" s="47">
        <v>45870</v>
      </c>
      <c r="F1541" s="31" t="str">
        <f>VLOOKUP($C1541,Carpetas!$C$5:$M$2666,2,FALSE)</f>
        <v>BRB086</v>
      </c>
      <c r="G1541" s="23" t="str">
        <f>VLOOKUP($C1541,Carpetas!$C$5:$M$2666,10,FALSE)</f>
        <v>153,19,71</v>
      </c>
      <c r="H1541" s="27" t="str">
        <f>VLOOKUP($C1541,Carpetas!$C$5:$M$2666,6,FALSE)</f>
        <v>Chabat</v>
      </c>
      <c r="I1541" s="220"/>
      <c r="J1541" s="47">
        <v>45873</v>
      </c>
      <c r="K1541" s="72" t="str">
        <f>VLOOKUP($C1541,Carpetas!$C$5:$M$2666,5,FALSE)</f>
        <v>Rio Branco</v>
      </c>
      <c r="L1541" s="32"/>
      <c r="M1541" s="48">
        <f t="shared" si="103"/>
        <v>45874</v>
      </c>
      <c r="N1541" s="26">
        <f t="shared" si="100"/>
        <v>4</v>
      </c>
      <c r="O1541" s="27">
        <v>990</v>
      </c>
      <c r="P1541" s="27">
        <v>990</v>
      </c>
      <c r="Q1541" s="27">
        <v>28</v>
      </c>
      <c r="R1541" s="27">
        <v>26</v>
      </c>
      <c r="S1541" s="27" t="s">
        <v>4363</v>
      </c>
      <c r="T1541" s="27"/>
      <c r="U1541" s="27">
        <v>2409</v>
      </c>
      <c r="V1541" s="27" t="s">
        <v>4134</v>
      </c>
      <c r="W1541" s="27" t="s">
        <v>4283</v>
      </c>
      <c r="X1541" s="128"/>
      <c r="Y1541" s="73" t="e">
        <f>VLOOKUP(X1541,Choferes!$B$3:C404,2,FALSE)</f>
        <v>#N/A</v>
      </c>
      <c r="Z1541" s="73" t="s">
        <v>4361</v>
      </c>
    </row>
    <row r="1542" spans="1:26" hidden="1" x14ac:dyDescent="0.25">
      <c r="A1542" s="33">
        <v>31</v>
      </c>
      <c r="B1542" s="71" t="s">
        <v>29</v>
      </c>
      <c r="C1542" s="39" t="s">
        <v>4353</v>
      </c>
      <c r="D1542" s="106" t="s">
        <v>747</v>
      </c>
      <c r="E1542" s="47">
        <v>45870</v>
      </c>
      <c r="F1542" s="31" t="str">
        <f>VLOOKUP($C1542,Carpetas!$C$5:$M$2666,2,FALSE)</f>
        <v>BRB085</v>
      </c>
      <c r="G1542" s="23" t="str">
        <f>VLOOKUP($C1542,Carpetas!$C$5:$M$2666,10,FALSE)</f>
        <v>153,19,67</v>
      </c>
      <c r="H1542" s="27" t="str">
        <f>VLOOKUP($C1542,Carpetas!$C$5:$M$2666,6,FALSE)</f>
        <v>FG</v>
      </c>
      <c r="I1542" s="220"/>
      <c r="J1542" s="47">
        <v>45873</v>
      </c>
      <c r="K1542" s="72" t="str">
        <f>VLOOKUP($C1542,Carpetas!$C$5:$M$2666,5,FALSE)</f>
        <v>Rio Branco</v>
      </c>
      <c r="L1542" s="32"/>
      <c r="M1542" s="48">
        <f t="shared" si="103"/>
        <v>45874</v>
      </c>
      <c r="N1542" s="26">
        <f t="shared" si="100"/>
        <v>4</v>
      </c>
      <c r="O1542" s="27">
        <v>990</v>
      </c>
      <c r="P1542" s="27">
        <v>978</v>
      </c>
      <c r="Q1542" s="27">
        <v>28</v>
      </c>
      <c r="R1542" s="27">
        <v>26</v>
      </c>
      <c r="S1542" s="27" t="s">
        <v>4364</v>
      </c>
      <c r="T1542" s="27"/>
      <c r="U1542" s="27">
        <v>1025</v>
      </c>
      <c r="V1542" s="27" t="s">
        <v>3411</v>
      </c>
      <c r="W1542" s="27" t="s">
        <v>3412</v>
      </c>
      <c r="X1542" s="128" t="s">
        <v>3559</v>
      </c>
      <c r="Y1542" s="73" t="str">
        <f>VLOOKUP(X1542,Choferes!$B$3:C404,2,FALSE)</f>
        <v>+55 53 9713-4372</v>
      </c>
      <c r="Z1542" s="73" t="s">
        <v>4365</v>
      </c>
    </row>
    <row r="1543" spans="1:26" ht="45" hidden="1" x14ac:dyDescent="0.25">
      <c r="A1543" s="33">
        <v>31</v>
      </c>
      <c r="B1543" s="71" t="s">
        <v>29</v>
      </c>
      <c r="C1543" s="39" t="s">
        <v>4353</v>
      </c>
      <c r="D1543" s="106" t="s">
        <v>803</v>
      </c>
      <c r="E1543" s="47">
        <v>45870</v>
      </c>
      <c r="F1543" s="31" t="str">
        <f>VLOOKUP($C1543,Carpetas!$C$5:$M$2666,2,FALSE)</f>
        <v>BRB085</v>
      </c>
      <c r="G1543" s="23" t="str">
        <f>VLOOKUP($C1543,Carpetas!$C$5:$M$2666,10,FALSE)</f>
        <v>153,19,67</v>
      </c>
      <c r="H1543" s="27" t="str">
        <f>VLOOKUP($C1543,Carpetas!$C$5:$M$2666,6,FALSE)</f>
        <v>FG</v>
      </c>
      <c r="I1543" s="220"/>
      <c r="J1543" s="47">
        <v>45873</v>
      </c>
      <c r="K1543" s="72" t="str">
        <f>VLOOKUP($C1543,Carpetas!$C$5:$M$2666,5,FALSE)</f>
        <v>Rio Branco</v>
      </c>
      <c r="L1543" s="32"/>
      <c r="M1543" s="48">
        <f t="shared" si="103"/>
        <v>45874</v>
      </c>
      <c r="N1543" s="26">
        <f t="shared" si="100"/>
        <v>4</v>
      </c>
      <c r="O1543" s="27">
        <v>990</v>
      </c>
      <c r="P1543" s="27">
        <v>1002</v>
      </c>
      <c r="Q1543" s="27">
        <v>28</v>
      </c>
      <c r="R1543" s="27">
        <v>26</v>
      </c>
      <c r="S1543" s="27" t="s">
        <v>2800</v>
      </c>
      <c r="T1543" s="27"/>
      <c r="U1543" s="27">
        <v>1022</v>
      </c>
      <c r="V1543" s="27" t="s">
        <v>1735</v>
      </c>
      <c r="W1543" s="27" t="s">
        <v>1681</v>
      </c>
      <c r="X1543" s="128" t="s">
        <v>1465</v>
      </c>
      <c r="Y1543" s="73" t="str">
        <f>VLOOKUP(X1543,Choferes!$B$3:C405,2,FALSE)</f>
        <v>+59893339027</v>
      </c>
      <c r="Z1543" s="73" t="s">
        <v>4366</v>
      </c>
    </row>
    <row r="1544" spans="1:26" hidden="1" x14ac:dyDescent="0.25">
      <c r="A1544" s="33">
        <v>31</v>
      </c>
      <c r="B1544" s="71" t="s">
        <v>29</v>
      </c>
      <c r="C1544" s="39" t="s">
        <v>4353</v>
      </c>
      <c r="D1544" s="106" t="s">
        <v>2202</v>
      </c>
      <c r="E1544" s="47">
        <v>45870</v>
      </c>
      <c r="F1544" s="31" t="str">
        <f>VLOOKUP($C1544,Carpetas!$C$5:$M$2666,2,FALSE)</f>
        <v>BRB085</v>
      </c>
      <c r="G1544" s="23" t="str">
        <f>VLOOKUP($C1544,Carpetas!$C$5:$M$2666,10,FALSE)</f>
        <v>153,19,67</v>
      </c>
      <c r="H1544" s="27" t="str">
        <f>VLOOKUP($C1544,Carpetas!$C$5:$M$2666,6,FALSE)</f>
        <v>FG</v>
      </c>
      <c r="I1544" s="220"/>
      <c r="J1544" s="47">
        <v>45873</v>
      </c>
      <c r="K1544" s="72" t="str">
        <f>VLOOKUP($C1544,Carpetas!$C$5:$M$2666,5,FALSE)</f>
        <v>Rio Branco</v>
      </c>
      <c r="L1544" s="32"/>
      <c r="M1544" s="48">
        <f t="shared" si="103"/>
        <v>45874</v>
      </c>
      <c r="N1544" s="26">
        <f t="shared" si="100"/>
        <v>4</v>
      </c>
      <c r="O1544" s="27">
        <v>990</v>
      </c>
      <c r="P1544" s="27">
        <v>991</v>
      </c>
      <c r="Q1544" s="27">
        <v>28</v>
      </c>
      <c r="R1544" s="27">
        <v>26</v>
      </c>
      <c r="S1544" s="27" t="s">
        <v>4367</v>
      </c>
      <c r="T1544" s="27"/>
      <c r="U1544" s="27">
        <v>1026</v>
      </c>
      <c r="V1544" s="27" t="s">
        <v>1726</v>
      </c>
      <c r="W1544" s="27" t="s">
        <v>1646</v>
      </c>
      <c r="X1544" s="128" t="s">
        <v>1576</v>
      </c>
      <c r="Y1544" s="73" t="str">
        <f>VLOOKUP(X1544,Choferes!$B$3:C406,2,FALSE)</f>
        <v>+55119971489722</v>
      </c>
      <c r="Z1544" s="73" t="s">
        <v>4368</v>
      </c>
    </row>
    <row r="1545" spans="1:26" hidden="1" x14ac:dyDescent="0.25">
      <c r="A1545" s="33">
        <v>31</v>
      </c>
      <c r="B1545" s="71" t="s">
        <v>29</v>
      </c>
      <c r="C1545" s="39" t="s">
        <v>4114</v>
      </c>
      <c r="D1545" s="106" t="s">
        <v>110</v>
      </c>
      <c r="E1545" s="47">
        <v>45870</v>
      </c>
      <c r="F1545" s="31" t="str">
        <f>VLOOKUP($C1545,Carpetas!$C$5:$M$2666,2,FALSE)</f>
        <v>BRB069</v>
      </c>
      <c r="G1545" s="23" t="str">
        <f>VLOOKUP($C1545,Carpetas!$C$5:$M$2666,10,FALSE)</f>
        <v>152,84,36</v>
      </c>
      <c r="H1545" s="27" t="str">
        <f>VLOOKUP($C1545,Carpetas!$C$5:$M$2666,6,FALSE)</f>
        <v>Gral</v>
      </c>
      <c r="I1545" s="220"/>
      <c r="J1545" s="47">
        <v>45873</v>
      </c>
      <c r="K1545" s="72" t="str">
        <f>VLOOKUP($C1545,Carpetas!$C$5:$M$2666,5,FALSE)</f>
        <v>Chuy</v>
      </c>
      <c r="L1545" s="32"/>
      <c r="M1545" s="48">
        <f t="shared" si="103"/>
        <v>45874</v>
      </c>
      <c r="N1545" s="26">
        <f t="shared" si="100"/>
        <v>4</v>
      </c>
      <c r="O1545" s="27">
        <v>918</v>
      </c>
      <c r="P1545" s="27">
        <v>919</v>
      </c>
      <c r="Q1545" s="27">
        <v>26</v>
      </c>
      <c r="R1545" s="27">
        <v>25</v>
      </c>
      <c r="S1545" s="27" t="s">
        <v>4369</v>
      </c>
      <c r="T1545" s="27"/>
      <c r="U1545" s="27"/>
      <c r="V1545" s="27" t="s">
        <v>4370</v>
      </c>
      <c r="W1545" s="27" t="s">
        <v>4371</v>
      </c>
      <c r="X1545" s="128"/>
      <c r="Y1545" s="73" t="e">
        <f>VLOOKUP(X1545,Choferes!$B$3:C408,2,FALSE)</f>
        <v>#N/A</v>
      </c>
      <c r="Z1545" s="73" t="s">
        <v>4372</v>
      </c>
    </row>
    <row r="1546" spans="1:26" hidden="1" x14ac:dyDescent="0.25">
      <c r="A1546" s="33">
        <v>31</v>
      </c>
      <c r="B1546" s="71" t="s">
        <v>29</v>
      </c>
      <c r="C1546" s="39" t="s">
        <v>4373</v>
      </c>
      <c r="D1546" s="106" t="s">
        <v>2474</v>
      </c>
      <c r="E1546" s="47">
        <v>45871</v>
      </c>
      <c r="F1546" s="31" t="str">
        <f>VLOOKUP($C1546,Carpetas!$C$5:$M$2666,2,FALSE)</f>
        <v>BRB087</v>
      </c>
      <c r="G1546" s="23" t="str">
        <f>VLOOKUP($C1546,Carpetas!$C$5:$M$2666,10,FALSE)</f>
        <v>153,19,69</v>
      </c>
      <c r="H1546" s="27" t="str">
        <f>VLOOKUP($C1546,Carpetas!$C$5:$M$2666,6,FALSE)</f>
        <v>Amaro</v>
      </c>
      <c r="I1546" s="220"/>
      <c r="J1546" s="47">
        <v>45873</v>
      </c>
      <c r="K1546" s="72" t="str">
        <f>VLOOKUP($C1546,Carpetas!$C$5:$M$2666,5,FALSE)</f>
        <v>Rio Branco</v>
      </c>
      <c r="L1546" s="32"/>
      <c r="M1546" s="48">
        <f t="shared" si="103"/>
        <v>45874</v>
      </c>
      <c r="N1546" s="26">
        <f t="shared" si="100"/>
        <v>3</v>
      </c>
      <c r="O1546" s="27">
        <v>990</v>
      </c>
      <c r="P1546" s="27"/>
      <c r="Q1546" s="27"/>
      <c r="R1546" s="27"/>
      <c r="S1546" s="27" t="s">
        <v>4374</v>
      </c>
      <c r="T1546" s="27"/>
      <c r="U1546" s="27">
        <v>26590</v>
      </c>
      <c r="V1546" s="27" t="s">
        <v>2727</v>
      </c>
      <c r="W1546" s="27" t="s">
        <v>4375</v>
      </c>
      <c r="X1546" s="128" t="s">
        <v>4376</v>
      </c>
      <c r="Y1546" s="73" t="str">
        <f>VLOOKUP(X1546,Choferes!$B$3:C394,2,FALSE)</f>
        <v>+5553984482248</v>
      </c>
      <c r="Z1546" s="73" t="s">
        <v>4377</v>
      </c>
    </row>
    <row r="1547" spans="1:26" hidden="1" x14ac:dyDescent="0.25">
      <c r="A1547" s="33">
        <v>31</v>
      </c>
      <c r="B1547" s="71" t="s">
        <v>29</v>
      </c>
      <c r="C1547" s="39" t="s">
        <v>4327</v>
      </c>
      <c r="D1547" s="106" t="s">
        <v>1757</v>
      </c>
      <c r="E1547" s="47">
        <v>45868</v>
      </c>
      <c r="F1547" s="31" t="str">
        <f>VLOOKUP($C1547,Carpetas!$C$5:$M$2666,2,FALSE)</f>
        <v>BRB083</v>
      </c>
      <c r="G1547" s="23" t="str">
        <f>VLOOKUP($C1547,Carpetas!$C$5:$M$2666,10,FALSE)</f>
        <v>153,12,63</v>
      </c>
      <c r="H1547" s="27" t="str">
        <f>VLOOKUP($C1547,Carpetas!$C$5:$M$2666,6,FALSE)</f>
        <v>Gral</v>
      </c>
      <c r="I1547" s="220"/>
      <c r="J1547" s="47">
        <v>45874</v>
      </c>
      <c r="K1547" s="72" t="str">
        <f>VLOOKUP($C1547,Carpetas!$C$5:$M$2666,5,FALSE)</f>
        <v>Rio Branco</v>
      </c>
      <c r="L1547" s="32"/>
      <c r="M1547" s="48">
        <f t="shared" si="103"/>
        <v>45875</v>
      </c>
      <c r="N1547" s="26">
        <f t="shared" si="100"/>
        <v>7</v>
      </c>
      <c r="O1547" s="27">
        <v>936</v>
      </c>
      <c r="P1547" s="27">
        <v>936</v>
      </c>
      <c r="Q1547" s="27">
        <v>26</v>
      </c>
      <c r="R1547" s="27">
        <v>24</v>
      </c>
      <c r="S1547" s="27" t="s">
        <v>3406</v>
      </c>
      <c r="T1547" s="27"/>
      <c r="U1547" s="27">
        <v>7526</v>
      </c>
      <c r="V1547" s="27" t="s">
        <v>4378</v>
      </c>
      <c r="W1547" s="27" t="s">
        <v>4379</v>
      </c>
      <c r="X1547" s="128"/>
      <c r="Y1547" s="73" t="e">
        <f>VLOOKUP(X1547,Choferes!$B$3:C398,2,FALSE)</f>
        <v>#N/A</v>
      </c>
      <c r="Z1547" s="73" t="s">
        <v>4380</v>
      </c>
    </row>
    <row r="1548" spans="1:26" hidden="1" x14ac:dyDescent="0.25">
      <c r="A1548" s="33">
        <v>31</v>
      </c>
      <c r="B1548" s="71" t="s">
        <v>29</v>
      </c>
      <c r="C1548" s="39" t="s">
        <v>4239</v>
      </c>
      <c r="D1548" s="106" t="s">
        <v>249</v>
      </c>
      <c r="E1548" s="47">
        <v>45870</v>
      </c>
      <c r="F1548" s="31" t="str">
        <f>VLOOKUP($C1548,Carpetas!$C$5:$M$2666,2,FALSE)</f>
        <v>BRB079</v>
      </c>
      <c r="G1548" s="23" t="str">
        <f>VLOOKUP($C1548,Carpetas!$C$5:$M$2666,10,FALSE)</f>
        <v>153,04,74</v>
      </c>
      <c r="H1548" s="27" t="str">
        <f>VLOOKUP($C1548,Carpetas!$C$5:$M$2666,6,FALSE)</f>
        <v>Silvio</v>
      </c>
      <c r="I1548" s="220"/>
      <c r="J1548" s="47">
        <v>45875</v>
      </c>
      <c r="K1548" s="72" t="str">
        <f>VLOOKUP($C1548,Carpetas!$C$5:$M$2666,5,FALSE)</f>
        <v>Rio Branco</v>
      </c>
      <c r="L1548" s="32"/>
      <c r="M1548" s="48">
        <f t="shared" si="103"/>
        <v>45876</v>
      </c>
      <c r="N1548" s="26">
        <f t="shared" si="100"/>
        <v>6</v>
      </c>
      <c r="O1548" s="27">
        <v>918</v>
      </c>
      <c r="P1548" s="27">
        <v>918</v>
      </c>
      <c r="Q1548" s="27">
        <v>26</v>
      </c>
      <c r="R1548" s="27">
        <v>25</v>
      </c>
      <c r="S1548" s="27" t="s">
        <v>4381</v>
      </c>
      <c r="T1548" s="27"/>
      <c r="U1548" s="27">
        <v>7475</v>
      </c>
      <c r="V1548" s="27" t="s">
        <v>4382</v>
      </c>
      <c r="W1548" s="27" t="s">
        <v>4383</v>
      </c>
      <c r="X1548" s="128"/>
      <c r="Y1548" s="73" t="e">
        <f>VLOOKUP(X1548,Choferes!$B$3:C397,2,FALSE)</f>
        <v>#N/A</v>
      </c>
      <c r="Z1548" s="73" t="s">
        <v>4384</v>
      </c>
    </row>
    <row r="1549" spans="1:26" hidden="1" x14ac:dyDescent="0.25">
      <c r="A1549" s="33">
        <v>31</v>
      </c>
      <c r="B1549" s="71" t="s">
        <v>29</v>
      </c>
      <c r="C1549" s="39" t="s">
        <v>4353</v>
      </c>
      <c r="D1549" s="106" t="s">
        <v>2474</v>
      </c>
      <c r="E1549" s="47">
        <v>45874</v>
      </c>
      <c r="F1549" s="31" t="str">
        <f>VLOOKUP($C1549,Carpetas!$C$5:$M$2666,2,FALSE)</f>
        <v>BRB085</v>
      </c>
      <c r="G1549" s="23" t="str">
        <f>VLOOKUP($C1549,Carpetas!$C$5:$M$2666,10,FALSE)</f>
        <v>153,19,67</v>
      </c>
      <c r="H1549" s="27" t="str">
        <f>VLOOKUP($C1549,Carpetas!$C$5:$M$2666,6,FALSE)</f>
        <v>FG</v>
      </c>
      <c r="I1549" s="220"/>
      <c r="J1549" s="47">
        <f>E1549+2</f>
        <v>45876</v>
      </c>
      <c r="K1549" s="72" t="str">
        <f>VLOOKUP($C1549,Carpetas!$C$5:$M$2666,5,FALSE)</f>
        <v>Rio Branco</v>
      </c>
      <c r="L1549" s="32"/>
      <c r="M1549" s="48">
        <f t="shared" si="103"/>
        <v>45877</v>
      </c>
      <c r="N1549" s="26">
        <f t="shared" si="100"/>
        <v>3</v>
      </c>
      <c r="O1549" s="27">
        <v>990</v>
      </c>
      <c r="P1549" s="27">
        <v>990</v>
      </c>
      <c r="Q1549" s="27">
        <v>990</v>
      </c>
      <c r="R1549" s="27">
        <v>28</v>
      </c>
      <c r="S1549" s="27" t="s">
        <v>4385</v>
      </c>
      <c r="T1549" s="27"/>
      <c r="U1549" s="27">
        <v>1028</v>
      </c>
      <c r="V1549" s="27" t="s">
        <v>1042</v>
      </c>
      <c r="W1549" s="27" t="s">
        <v>3818</v>
      </c>
      <c r="X1549" s="128" t="s">
        <v>1623</v>
      </c>
      <c r="Y1549" s="73" t="str">
        <f>VLOOKUP(X1549,Choferes!$B$3:C401,2,FALSE)</f>
        <v>+5553991254560</v>
      </c>
      <c r="Z1549" s="73" t="s">
        <v>4386</v>
      </c>
    </row>
    <row r="1550" spans="1:26" hidden="1" x14ac:dyDescent="0.25">
      <c r="A1550" s="33">
        <v>31</v>
      </c>
      <c r="B1550" s="71" t="s">
        <v>29</v>
      </c>
      <c r="C1550" s="39" t="s">
        <v>4387</v>
      </c>
      <c r="D1550" s="106" t="s">
        <v>38</v>
      </c>
      <c r="E1550" s="47">
        <v>45873</v>
      </c>
      <c r="F1550" s="31" t="str">
        <f>VLOOKUP($C1550,Carpetas!$C$5:$M$2666,2,FALSE)</f>
        <v>BRE036</v>
      </c>
      <c r="G1550" s="23" t="str">
        <f>VLOOKUP($C1550,Carpetas!$C$5:$M$2666,10,FALSE)</f>
        <v>153,24,06</v>
      </c>
      <c r="H1550" s="27" t="str">
        <f>VLOOKUP($C1550,Carpetas!$C$5:$M$2666,6,FALSE)</f>
        <v>Miltex</v>
      </c>
      <c r="I1550" s="220">
        <f>VLOOKUP($C1550,Carpetas!$C$5:$M$2666,4,FALSE)</f>
        <v>0</v>
      </c>
      <c r="J1550" s="47">
        <v>45877</v>
      </c>
      <c r="K1550" s="72" t="str">
        <f>VLOOKUP($C1550,Carpetas!$C$5:$M$2666,5,FALSE)</f>
        <v>Rio Branco</v>
      </c>
      <c r="L1550" s="32"/>
      <c r="M1550" s="48">
        <f t="shared" si="103"/>
        <v>45878</v>
      </c>
      <c r="N1550" s="26">
        <f t="shared" si="100"/>
        <v>5</v>
      </c>
      <c r="O1550" s="27">
        <v>24500</v>
      </c>
      <c r="P1550" s="27"/>
      <c r="Q1550" s="27"/>
      <c r="R1550" s="27"/>
      <c r="S1550" s="27"/>
      <c r="T1550" s="27"/>
      <c r="U1550" s="27">
        <v>159</v>
      </c>
      <c r="V1550" s="27" t="s">
        <v>4388</v>
      </c>
      <c r="W1550" s="27" t="s">
        <v>4389</v>
      </c>
      <c r="X1550" s="128"/>
      <c r="Y1550" s="73" t="e">
        <f>VLOOKUP(X1550,Choferes!$B$3:C405,2,FALSE)</f>
        <v>#N/A</v>
      </c>
      <c r="Z1550" s="73" t="s">
        <v>1273</v>
      </c>
    </row>
    <row r="1551" spans="1:26" hidden="1" x14ac:dyDescent="0.25">
      <c r="A1551" s="33">
        <v>32</v>
      </c>
      <c r="B1551" s="71" t="s">
        <v>29</v>
      </c>
      <c r="C1551" s="39" t="s">
        <v>4373</v>
      </c>
      <c r="D1551" s="106" t="s">
        <v>3300</v>
      </c>
      <c r="E1551" s="47">
        <v>45875</v>
      </c>
      <c r="F1551" s="31" t="str">
        <f>VLOOKUP($C1551,Carpetas!$C$5:$M$2666,2,FALSE)</f>
        <v>BRB087</v>
      </c>
      <c r="G1551" s="23" t="str">
        <f>VLOOKUP($C1551,Carpetas!$C$5:$M$2666,10,FALSE)</f>
        <v>153,19,69</v>
      </c>
      <c r="H1551" s="27" t="str">
        <f>VLOOKUP($C1551,Carpetas!$C$5:$M$2666,6,FALSE)</f>
        <v>Amaro</v>
      </c>
      <c r="I1551" s="220"/>
      <c r="J1551" s="47">
        <f>E1551+2</f>
        <v>45877</v>
      </c>
      <c r="K1551" s="72" t="str">
        <f>VLOOKUP($C1551,Carpetas!$C$5:$M$2666,5,FALSE)</f>
        <v>Rio Branco</v>
      </c>
      <c r="L1551" s="32"/>
      <c r="M1551" s="48">
        <f t="shared" si="103"/>
        <v>45878</v>
      </c>
      <c r="N1551" s="26">
        <f t="shared" si="100"/>
        <v>3</v>
      </c>
      <c r="O1551" s="27">
        <v>990</v>
      </c>
      <c r="P1551" s="27">
        <v>990</v>
      </c>
      <c r="Q1551" s="27">
        <v>28</v>
      </c>
      <c r="R1551" s="27">
        <v>26</v>
      </c>
      <c r="S1551" s="27" t="s">
        <v>4390</v>
      </c>
      <c r="T1551" s="27"/>
      <c r="U1551" s="27">
        <v>26610</v>
      </c>
      <c r="V1551" s="27" t="s">
        <v>4391</v>
      </c>
      <c r="W1551" s="27" t="s">
        <v>2551</v>
      </c>
      <c r="X1551" s="128" t="s">
        <v>3836</v>
      </c>
      <c r="Y1551" s="73" t="str">
        <f>VLOOKUP(X1551,Choferes!$B$3:C396,2,FALSE)</f>
        <v>+55 53 9932-5838</v>
      </c>
      <c r="Z1551" s="73" t="s">
        <v>4386</v>
      </c>
    </row>
    <row r="1552" spans="1:26" hidden="1" x14ac:dyDescent="0.25">
      <c r="A1552" s="33">
        <v>32</v>
      </c>
      <c r="B1552" s="71" t="s">
        <v>29</v>
      </c>
      <c r="C1552" s="39" t="s">
        <v>4392</v>
      </c>
      <c r="D1552" s="106" t="s">
        <v>803</v>
      </c>
      <c r="E1552" s="47">
        <v>45875</v>
      </c>
      <c r="F1552" s="31" t="str">
        <f>VLOOKUP($C1552,Carpetas!$C$5:$M$2666,2,FALSE)</f>
        <v>BRB088</v>
      </c>
      <c r="G1552" s="23" t="str">
        <f>VLOOKUP($C1552,Carpetas!$C$5:$M$2666,10,FALSE)</f>
        <v>153,25,77</v>
      </c>
      <c r="H1552" s="27" t="str">
        <f>VLOOKUP($C1552,Carpetas!$C$5:$M$2666,6,FALSE)</f>
        <v>FG</v>
      </c>
      <c r="I1552" s="220"/>
      <c r="J1552" s="47">
        <f>E1552+2</f>
        <v>45877</v>
      </c>
      <c r="K1552" s="72" t="str">
        <f>VLOOKUP($C1552,Carpetas!$C$5:$M$2666,5,FALSE)</f>
        <v>Rio Branco</v>
      </c>
      <c r="L1552" s="32"/>
      <c r="M1552" s="48">
        <f t="shared" si="103"/>
        <v>45878</v>
      </c>
      <c r="N1552" s="26">
        <f t="shared" si="100"/>
        <v>3</v>
      </c>
      <c r="O1552" s="27">
        <v>990</v>
      </c>
      <c r="P1552" s="27">
        <v>990</v>
      </c>
      <c r="Q1552" s="27">
        <v>28</v>
      </c>
      <c r="R1552" s="27">
        <v>26</v>
      </c>
      <c r="S1552" s="27" t="s">
        <v>4393</v>
      </c>
      <c r="T1552" s="27"/>
      <c r="U1552" s="27">
        <v>1035</v>
      </c>
      <c r="V1552" s="27" t="s">
        <v>1630</v>
      </c>
      <c r="W1552" s="27" t="s">
        <v>1934</v>
      </c>
      <c r="X1552" s="128" t="s">
        <v>1935</v>
      </c>
      <c r="Y1552" s="73" t="str">
        <f>VLOOKUP(X1552,Choferes!$B$3:C405,2,FALSE)</f>
        <v>+5554984377792</v>
      </c>
      <c r="Z1552" s="73" t="s">
        <v>4394</v>
      </c>
    </row>
    <row r="1553" spans="1:26" hidden="1" x14ac:dyDescent="0.25">
      <c r="A1553" s="33">
        <v>32</v>
      </c>
      <c r="B1553" s="71" t="s">
        <v>29</v>
      </c>
      <c r="C1553" s="39" t="s">
        <v>4392</v>
      </c>
      <c r="D1553" s="106" t="s">
        <v>2474</v>
      </c>
      <c r="E1553" s="47">
        <v>45876</v>
      </c>
      <c r="F1553" s="31" t="str">
        <f>VLOOKUP($C1553,Carpetas!$C$5:$M$2666,2,FALSE)</f>
        <v>BRB088</v>
      </c>
      <c r="G1553" s="23" t="str">
        <f>VLOOKUP($C1553,Carpetas!$C$5:$M$2666,10,FALSE)</f>
        <v>153,25,77</v>
      </c>
      <c r="H1553" s="27" t="str">
        <f>VLOOKUP($C1553,Carpetas!$C$5:$M$2666,6,FALSE)</f>
        <v>FG</v>
      </c>
      <c r="I1553" s="220"/>
      <c r="J1553" s="47">
        <v>45877</v>
      </c>
      <c r="K1553" s="72" t="str">
        <f>VLOOKUP($C1553,Carpetas!$C$5:$M$2666,5,FALSE)</f>
        <v>Rio Branco</v>
      </c>
      <c r="L1553" s="32"/>
      <c r="M1553" s="48">
        <f t="shared" si="103"/>
        <v>45878</v>
      </c>
      <c r="N1553" s="26">
        <f t="shared" si="100"/>
        <v>2</v>
      </c>
      <c r="O1553" s="27">
        <v>990</v>
      </c>
      <c r="P1553" s="27"/>
      <c r="Q1553" s="27"/>
      <c r="R1553" s="27"/>
      <c r="S1553" s="27" t="s">
        <v>4395</v>
      </c>
      <c r="T1553" s="27"/>
      <c r="U1553" s="27">
        <v>1038</v>
      </c>
      <c r="V1553" s="27" t="s">
        <v>911</v>
      </c>
      <c r="W1553" s="27" t="s">
        <v>1622</v>
      </c>
      <c r="X1553" s="128" t="s">
        <v>1397</v>
      </c>
      <c r="Y1553" s="73" t="str">
        <f>VLOOKUP(X1553,Choferes!$B$3:C402,2,FALSE)</f>
        <v>+5551996322594</v>
      </c>
      <c r="Z1553" s="73" t="s">
        <v>4394</v>
      </c>
    </row>
    <row r="1554" spans="1:26" hidden="1" x14ac:dyDescent="0.25">
      <c r="A1554" s="33">
        <v>32</v>
      </c>
      <c r="B1554" s="71" t="s">
        <v>29</v>
      </c>
      <c r="C1554" s="39" t="s">
        <v>4353</v>
      </c>
      <c r="D1554" s="106" t="s">
        <v>2202</v>
      </c>
      <c r="E1554" s="47">
        <v>45876</v>
      </c>
      <c r="F1554" s="31" t="str">
        <f>VLOOKUP($C1554,Carpetas!$C$5:$M$2666,2,FALSE)</f>
        <v>BRB085</v>
      </c>
      <c r="G1554" s="23" t="str">
        <f>VLOOKUP($C1554,Carpetas!$C$5:$M$2666,10,FALSE)</f>
        <v>153,19,67</v>
      </c>
      <c r="H1554" s="27" t="str">
        <f>VLOOKUP($C1554,Carpetas!$C$5:$M$2666,6,FALSE)</f>
        <v>FG</v>
      </c>
      <c r="I1554" s="220"/>
      <c r="J1554" s="47">
        <v>45877</v>
      </c>
      <c r="K1554" s="72" t="str">
        <f>VLOOKUP($C1554,Carpetas!$C$5:$M$2666,5,FALSE)</f>
        <v>Rio Branco</v>
      </c>
      <c r="L1554" s="32"/>
      <c r="M1554" s="48">
        <f t="shared" si="103"/>
        <v>45878</v>
      </c>
      <c r="N1554" s="26">
        <f t="shared" ref="N1554:N1617" si="104">IF(E1554&lt;&gt;"",M1554-E1554,"-")</f>
        <v>2</v>
      </c>
      <c r="O1554" s="27">
        <v>990</v>
      </c>
      <c r="P1554" s="27">
        <v>991</v>
      </c>
      <c r="Q1554" s="27">
        <v>28</v>
      </c>
      <c r="R1554" s="27">
        <v>26</v>
      </c>
      <c r="S1554" s="27" t="s">
        <v>4396</v>
      </c>
      <c r="T1554" s="27"/>
      <c r="U1554" s="27">
        <v>1037</v>
      </c>
      <c r="V1554" s="27" t="s">
        <v>1636</v>
      </c>
      <c r="W1554" s="27" t="s">
        <v>1736</v>
      </c>
      <c r="X1554" s="128" t="s">
        <v>1413</v>
      </c>
      <c r="Y1554" s="73" t="str">
        <f>VLOOKUP(X1554,Choferes!$B$3:C406,2,FALSE)</f>
        <v>+59899406679</v>
      </c>
      <c r="Z1554" s="73" t="s">
        <v>4397</v>
      </c>
    </row>
    <row r="1555" spans="1:26" hidden="1" x14ac:dyDescent="0.25">
      <c r="A1555" s="33">
        <v>32</v>
      </c>
      <c r="B1555" s="71" t="s">
        <v>29</v>
      </c>
      <c r="C1555" s="39" t="s">
        <v>4157</v>
      </c>
      <c r="D1555" s="106" t="s">
        <v>110</v>
      </c>
      <c r="E1555" s="47">
        <v>45876</v>
      </c>
      <c r="F1555" s="31" t="str">
        <f>VLOOKUP($C1555,Carpetas!$C$5:$M$2666,2,FALSE)</f>
        <v>BRB074</v>
      </c>
      <c r="G1555" s="23" t="str">
        <f>VLOOKUP($C1555,Carpetas!$C$5:$M$2666,10,FALSE)</f>
        <v>152,89,75</v>
      </c>
      <c r="H1555" s="27" t="str">
        <f>VLOOKUP($C1555,Carpetas!$C$5:$M$2666,6,FALSE)</f>
        <v xml:space="preserve">Silvio </v>
      </c>
      <c r="I1555" s="220"/>
      <c r="J1555" s="47">
        <v>45877</v>
      </c>
      <c r="K1555" s="72" t="str">
        <f>VLOOKUP($C1555,Carpetas!$C$5:$M$2666,5,FALSE)</f>
        <v>Chuy</v>
      </c>
      <c r="L1555" s="32"/>
      <c r="M1555" s="48">
        <f t="shared" si="103"/>
        <v>45878</v>
      </c>
      <c r="N1555" s="26">
        <f t="shared" si="104"/>
        <v>2</v>
      </c>
      <c r="O1555" s="27">
        <v>918</v>
      </c>
      <c r="P1555" s="27">
        <v>919</v>
      </c>
      <c r="Q1555" s="27">
        <v>26</v>
      </c>
      <c r="R1555" s="27">
        <v>25</v>
      </c>
      <c r="S1555" s="27" t="s">
        <v>4398</v>
      </c>
      <c r="T1555" s="27"/>
      <c r="U1555" s="27"/>
      <c r="V1555" s="27"/>
      <c r="W1555" s="27"/>
      <c r="X1555" s="128"/>
      <c r="Y1555" s="73" t="e">
        <f>VLOOKUP(X1555,Choferes!$B$3:C400,2,FALSE)</f>
        <v>#N/A</v>
      </c>
      <c r="Z1555" s="73" t="s">
        <v>4399</v>
      </c>
    </row>
    <row r="1556" spans="1:26" hidden="1" x14ac:dyDescent="0.25">
      <c r="A1556" s="33">
        <v>32</v>
      </c>
      <c r="B1556" s="71" t="s">
        <v>29</v>
      </c>
      <c r="C1556" s="39" t="s">
        <v>4157</v>
      </c>
      <c r="D1556" s="106" t="s">
        <v>110</v>
      </c>
      <c r="E1556" s="47">
        <v>45876</v>
      </c>
      <c r="F1556" s="31" t="str">
        <f>VLOOKUP($C1556,Carpetas!$C$5:$M$2666,2,FALSE)</f>
        <v>BRB074</v>
      </c>
      <c r="G1556" s="23" t="str">
        <f>VLOOKUP($C1556,Carpetas!$C$5:$M$2666,10,FALSE)</f>
        <v>152,89,75</v>
      </c>
      <c r="H1556" s="27" t="str">
        <f>VLOOKUP($C1556,Carpetas!$C$5:$M$2666,6,FALSE)</f>
        <v xml:space="preserve">Silvio </v>
      </c>
      <c r="I1556" s="220"/>
      <c r="J1556" s="47">
        <v>45880</v>
      </c>
      <c r="K1556" s="72" t="str">
        <f>VLOOKUP($C1556,Carpetas!$C$5:$M$2666,5,FALSE)</f>
        <v>Chuy</v>
      </c>
      <c r="L1556" s="32"/>
      <c r="M1556" s="48">
        <f t="shared" si="103"/>
        <v>45881</v>
      </c>
      <c r="N1556" s="26">
        <f t="shared" si="104"/>
        <v>5</v>
      </c>
      <c r="O1556" s="27">
        <v>918</v>
      </c>
      <c r="P1556" s="27">
        <v>918</v>
      </c>
      <c r="Q1556" s="27">
        <v>26</v>
      </c>
      <c r="R1556" s="27">
        <v>25</v>
      </c>
      <c r="S1556" s="27" t="s">
        <v>4400</v>
      </c>
      <c r="T1556" s="27"/>
      <c r="U1556" s="27"/>
      <c r="V1556" s="27"/>
      <c r="W1556" s="27"/>
      <c r="X1556" s="128"/>
      <c r="Y1556" s="73" t="e">
        <f>VLOOKUP(X1556,Choferes!$B$3:C399,2,FALSE)</f>
        <v>#N/A</v>
      </c>
      <c r="Z1556" s="73" t="s">
        <v>4401</v>
      </c>
    </row>
    <row r="1557" spans="1:26" hidden="1" x14ac:dyDescent="0.25">
      <c r="A1557" s="33">
        <v>32</v>
      </c>
      <c r="B1557" s="71" t="s">
        <v>29</v>
      </c>
      <c r="C1557" s="39" t="s">
        <v>4234</v>
      </c>
      <c r="D1557" s="106" t="s">
        <v>2202</v>
      </c>
      <c r="E1557" s="47">
        <v>45877</v>
      </c>
      <c r="F1557" s="31" t="str">
        <f>VLOOKUP($C1557,Carpetas!$C$5:$M$2666,2,FALSE)</f>
        <v>BRB078</v>
      </c>
      <c r="G1557" s="23" t="str">
        <f>VLOOKUP($C1557,Carpetas!$C$5:$M$2666,10,FALSE)</f>
        <v>153,04,36</v>
      </c>
      <c r="H1557" s="27" t="str">
        <f>VLOOKUP($C1557,Carpetas!$C$5:$M$2666,6,FALSE)</f>
        <v>Zanini</v>
      </c>
      <c r="I1557" s="220"/>
      <c r="J1557" s="47">
        <v>45880</v>
      </c>
      <c r="K1557" s="72" t="str">
        <f>VLOOKUP($C1557,Carpetas!$C$5:$M$2666,5,FALSE)</f>
        <v>Rio Branco</v>
      </c>
      <c r="L1557" s="32"/>
      <c r="M1557" s="48">
        <f t="shared" si="103"/>
        <v>45881</v>
      </c>
      <c r="N1557" s="26">
        <f t="shared" si="104"/>
        <v>4</v>
      </c>
      <c r="O1557" s="27">
        <v>918</v>
      </c>
      <c r="P1557" s="27">
        <v>918</v>
      </c>
      <c r="Q1557" s="27">
        <v>26</v>
      </c>
      <c r="R1557" s="27">
        <v>25</v>
      </c>
      <c r="S1557" s="27" t="s">
        <v>4402</v>
      </c>
      <c r="T1557" s="27"/>
      <c r="U1557" s="27">
        <v>5425</v>
      </c>
      <c r="V1557" s="27" t="s">
        <v>1669</v>
      </c>
      <c r="W1557" s="27" t="s">
        <v>4403</v>
      </c>
      <c r="X1557" s="128"/>
      <c r="Y1557" s="73" t="e">
        <f>VLOOKUP(X1557,Choferes!$B$3:C395,2,FALSE)</f>
        <v>#N/A</v>
      </c>
      <c r="Z1557" s="73" t="s">
        <v>4404</v>
      </c>
    </row>
    <row r="1558" spans="1:26" hidden="1" x14ac:dyDescent="0.25">
      <c r="A1558" s="33">
        <v>32</v>
      </c>
      <c r="B1558" s="71" t="s">
        <v>29</v>
      </c>
      <c r="C1558" s="39" t="s">
        <v>4362</v>
      </c>
      <c r="D1558" s="106" t="s">
        <v>249</v>
      </c>
      <c r="E1558" s="47">
        <v>45877</v>
      </c>
      <c r="F1558" s="31" t="str">
        <f>VLOOKUP($C1558,Carpetas!$C$5:$M$2666,2,FALSE)</f>
        <v>BRB086</v>
      </c>
      <c r="G1558" s="23" t="str">
        <f>VLOOKUP($C1558,Carpetas!$C$5:$M$2666,10,FALSE)</f>
        <v>153,19,71</v>
      </c>
      <c r="H1558" s="27" t="str">
        <f>VLOOKUP($C1558,Carpetas!$C$5:$M$2666,6,FALSE)</f>
        <v>Chabat</v>
      </c>
      <c r="I1558" s="220"/>
      <c r="J1558" s="47">
        <v>45880</v>
      </c>
      <c r="K1558" s="72" t="str">
        <f>VLOOKUP($C1558,Carpetas!$C$5:$M$2666,5,FALSE)</f>
        <v>Rio Branco</v>
      </c>
      <c r="L1558" s="32"/>
      <c r="M1558" s="48">
        <f t="shared" si="103"/>
        <v>45881</v>
      </c>
      <c r="N1558" s="26">
        <f t="shared" si="104"/>
        <v>4</v>
      </c>
      <c r="O1558" s="27">
        <v>990</v>
      </c>
      <c r="P1558" s="27">
        <v>990</v>
      </c>
      <c r="Q1558" s="27">
        <v>28</v>
      </c>
      <c r="R1558" s="27">
        <v>26</v>
      </c>
      <c r="S1558" s="27" t="s">
        <v>4405</v>
      </c>
      <c r="T1558" s="27"/>
      <c r="U1558" s="27">
        <v>2411</v>
      </c>
      <c r="V1558" s="27" t="s">
        <v>4339</v>
      </c>
      <c r="W1558" s="27" t="s">
        <v>4340</v>
      </c>
      <c r="X1558" s="128"/>
      <c r="Y1558" s="73" t="e">
        <f>VLOOKUP(X1558,Choferes!$B$3:C398,2,FALSE)</f>
        <v>#N/A</v>
      </c>
      <c r="Z1558" s="73" t="s">
        <v>4406</v>
      </c>
    </row>
    <row r="1559" spans="1:26" hidden="1" x14ac:dyDescent="0.25">
      <c r="A1559" s="33">
        <v>32</v>
      </c>
      <c r="B1559" s="71" t="s">
        <v>29</v>
      </c>
      <c r="C1559" s="39" t="s">
        <v>4392</v>
      </c>
      <c r="D1559" s="106" t="s">
        <v>2474</v>
      </c>
      <c r="E1559" s="47">
        <v>45877</v>
      </c>
      <c r="F1559" s="31" t="str">
        <f>VLOOKUP($C1559,Carpetas!$C$5:$M$2666,2,FALSE)</f>
        <v>BRB088</v>
      </c>
      <c r="G1559" s="23" t="str">
        <f>VLOOKUP($C1559,Carpetas!$C$5:$M$2666,10,FALSE)</f>
        <v>153,25,77</v>
      </c>
      <c r="H1559" s="27" t="str">
        <f>VLOOKUP($C1559,Carpetas!$C$5:$M$2666,6,FALSE)</f>
        <v>FG</v>
      </c>
      <c r="I1559" s="220"/>
      <c r="J1559" s="47">
        <v>45880</v>
      </c>
      <c r="K1559" s="72" t="str">
        <f>VLOOKUP($C1559,Carpetas!$C$5:$M$2666,5,FALSE)</f>
        <v>Rio Branco</v>
      </c>
      <c r="L1559" s="32"/>
      <c r="M1559" s="48">
        <f t="shared" si="103"/>
        <v>45881</v>
      </c>
      <c r="N1559" s="26">
        <f t="shared" si="104"/>
        <v>4</v>
      </c>
      <c r="O1559" s="27">
        <v>990</v>
      </c>
      <c r="P1559" s="27">
        <v>990</v>
      </c>
      <c r="Q1559" s="27">
        <v>28</v>
      </c>
      <c r="R1559" s="27">
        <v>26</v>
      </c>
      <c r="S1559" s="27" t="s">
        <v>4407</v>
      </c>
      <c r="T1559" s="27"/>
      <c r="U1559" s="27">
        <v>1044</v>
      </c>
      <c r="V1559" s="27" t="s">
        <v>1430</v>
      </c>
      <c r="W1559" s="27" t="s">
        <v>1669</v>
      </c>
      <c r="X1559" s="128" t="s">
        <v>1923</v>
      </c>
      <c r="Y1559" s="73" t="str">
        <f>VLOOKUP(X1559,Choferes!$B$3:C403,2,FALSE)</f>
        <v>+5553999049426</v>
      </c>
      <c r="Z1559" s="73" t="s">
        <v>4408</v>
      </c>
    </row>
    <row r="1560" spans="1:26" hidden="1" x14ac:dyDescent="0.25">
      <c r="A1560" s="33">
        <v>32</v>
      </c>
      <c r="B1560" s="71" t="s">
        <v>29</v>
      </c>
      <c r="C1560" s="39" t="s">
        <v>4392</v>
      </c>
      <c r="D1560" s="106" t="s">
        <v>747</v>
      </c>
      <c r="E1560" s="47">
        <v>45877</v>
      </c>
      <c r="F1560" s="31" t="str">
        <f>VLOOKUP($C1560,Carpetas!$C$5:$M$2666,2,FALSE)</f>
        <v>BRB088</v>
      </c>
      <c r="G1560" s="23" t="str">
        <f>VLOOKUP($C1560,Carpetas!$C$5:$M$2666,10,FALSE)</f>
        <v>153,25,77</v>
      </c>
      <c r="H1560" s="27" t="str">
        <f>VLOOKUP($C1560,Carpetas!$C$5:$M$2666,6,FALSE)</f>
        <v>FG</v>
      </c>
      <c r="I1560" s="220"/>
      <c r="J1560" s="47">
        <v>45880</v>
      </c>
      <c r="K1560" s="72" t="str">
        <f>VLOOKUP($C1560,Carpetas!$C$5:$M$2666,5,FALSE)</f>
        <v>Rio Branco</v>
      </c>
      <c r="L1560" s="32"/>
      <c r="M1560" s="48">
        <f t="shared" si="103"/>
        <v>45881</v>
      </c>
      <c r="N1560" s="26">
        <f t="shared" si="104"/>
        <v>4</v>
      </c>
      <c r="O1560" s="27">
        <v>990</v>
      </c>
      <c r="P1560" s="27">
        <v>990</v>
      </c>
      <c r="Q1560" s="27">
        <v>28</v>
      </c>
      <c r="R1560" s="27">
        <v>26</v>
      </c>
      <c r="S1560" s="27" t="s">
        <v>4409</v>
      </c>
      <c r="T1560" s="27"/>
      <c r="U1560" s="27">
        <v>1040</v>
      </c>
      <c r="V1560" s="27" t="s">
        <v>1735</v>
      </c>
      <c r="W1560" s="27" t="s">
        <v>1681</v>
      </c>
      <c r="X1560" s="128" t="s">
        <v>1465</v>
      </c>
      <c r="Y1560" s="73" t="str">
        <f>VLOOKUP(X1560,Choferes!$B$3:C404,2,FALSE)</f>
        <v>+59893339027</v>
      </c>
      <c r="Z1560" s="73" t="s">
        <v>4410</v>
      </c>
    </row>
    <row r="1561" spans="1:26" hidden="1" x14ac:dyDescent="0.25">
      <c r="A1561" s="33">
        <v>32</v>
      </c>
      <c r="B1561" s="71" t="s">
        <v>29</v>
      </c>
      <c r="C1561" s="39" t="s">
        <v>4392</v>
      </c>
      <c r="D1561" s="106" t="s">
        <v>803</v>
      </c>
      <c r="E1561" s="47">
        <v>45877</v>
      </c>
      <c r="F1561" s="31" t="str">
        <f>VLOOKUP($C1561,Carpetas!$C$5:$M$2666,2,FALSE)</f>
        <v>BRB088</v>
      </c>
      <c r="G1561" s="23" t="str">
        <f>VLOOKUP($C1561,Carpetas!$C$5:$M$2666,10,FALSE)</f>
        <v>153,25,77</v>
      </c>
      <c r="H1561" s="27" t="str">
        <f>VLOOKUP($C1561,Carpetas!$C$5:$M$2666,6,FALSE)</f>
        <v>FG</v>
      </c>
      <c r="I1561" s="220"/>
      <c r="J1561" s="47">
        <v>45880</v>
      </c>
      <c r="K1561" s="72" t="str">
        <f>VLOOKUP($C1561,Carpetas!$C$5:$M$2666,5,FALSE)</f>
        <v>Rio Branco</v>
      </c>
      <c r="L1561" s="32"/>
      <c r="M1561" s="48">
        <f t="shared" si="103"/>
        <v>45881</v>
      </c>
      <c r="N1561" s="26">
        <f t="shared" si="104"/>
        <v>4</v>
      </c>
      <c r="O1561" s="27">
        <v>990</v>
      </c>
      <c r="P1561" s="27">
        <v>990</v>
      </c>
      <c r="Q1561" s="27">
        <v>28</v>
      </c>
      <c r="R1561" s="27">
        <v>26</v>
      </c>
      <c r="S1561" s="27" t="s">
        <v>4411</v>
      </c>
      <c r="T1561" s="27"/>
      <c r="U1561" s="27">
        <v>1042</v>
      </c>
      <c r="V1561" s="27" t="s">
        <v>1617</v>
      </c>
      <c r="W1561" s="27" t="s">
        <v>1618</v>
      </c>
      <c r="X1561" s="128" t="s">
        <v>1619</v>
      </c>
      <c r="Y1561" s="73" t="str">
        <f>VLOOKUP(X1561,Choferes!$B$3:C406,2,FALSE)</f>
        <v>+5553984318842</v>
      </c>
      <c r="Z1561" s="73" t="s">
        <v>4410</v>
      </c>
    </row>
    <row r="1562" spans="1:26" hidden="1" x14ac:dyDescent="0.25">
      <c r="A1562" s="33">
        <v>32</v>
      </c>
      <c r="B1562" s="71" t="s">
        <v>29</v>
      </c>
      <c r="C1562" s="39" t="s">
        <v>4412</v>
      </c>
      <c r="D1562" s="106" t="s">
        <v>2474</v>
      </c>
      <c r="E1562" s="47">
        <v>45878</v>
      </c>
      <c r="F1562" s="31" t="str">
        <f>VLOOKUP($C1562,Carpetas!$C$5:$M$2666,2,FALSE)</f>
        <v>BRB089</v>
      </c>
      <c r="G1562" s="23" t="str">
        <f>VLOOKUP($C1562,Carpetas!$C$5:$M$2666,10,FALSE)</f>
        <v>153,28,73</v>
      </c>
      <c r="H1562" s="27" t="str">
        <f>VLOOKUP($C1562,Carpetas!$C$5:$M$2666,6,FALSE)</f>
        <v>Gral</v>
      </c>
      <c r="I1562" s="220"/>
      <c r="J1562" s="47">
        <f t="shared" ref="J1562:J1567" si="105">E1562+2</f>
        <v>45880</v>
      </c>
      <c r="K1562" s="72" t="str">
        <f>VLOOKUP($C1562,Carpetas!$C$5:$M$2666,5,FALSE)</f>
        <v>Rio Branco</v>
      </c>
      <c r="L1562" s="32"/>
      <c r="M1562" s="48">
        <f t="shared" si="103"/>
        <v>45881</v>
      </c>
      <c r="N1562" s="26">
        <f t="shared" si="104"/>
        <v>3</v>
      </c>
      <c r="O1562" s="27">
        <v>918</v>
      </c>
      <c r="P1562" s="27">
        <v>918</v>
      </c>
      <c r="Q1562" s="27">
        <v>26</v>
      </c>
      <c r="R1562" s="27">
        <v>25</v>
      </c>
      <c r="S1562" s="27" t="s">
        <v>4413</v>
      </c>
      <c r="T1562" s="27"/>
      <c r="U1562" s="27">
        <v>7570</v>
      </c>
      <c r="V1562" s="27" t="s">
        <v>4414</v>
      </c>
      <c r="W1562" s="27" t="s">
        <v>4415</v>
      </c>
      <c r="X1562" s="128"/>
      <c r="Y1562" s="73" t="e">
        <f>VLOOKUP(X1562,Choferes!$B$3:C397,2,FALSE)</f>
        <v>#N/A</v>
      </c>
      <c r="Z1562" s="73" t="s">
        <v>4416</v>
      </c>
    </row>
    <row r="1563" spans="1:26" hidden="1" x14ac:dyDescent="0.25">
      <c r="A1563" s="33">
        <v>32</v>
      </c>
      <c r="B1563" s="71" t="s">
        <v>29</v>
      </c>
      <c r="C1563" s="39" t="s">
        <v>4392</v>
      </c>
      <c r="D1563" s="106" t="s">
        <v>747</v>
      </c>
      <c r="E1563" s="47">
        <v>45878</v>
      </c>
      <c r="F1563" s="31" t="str">
        <f>VLOOKUP($C1563,Carpetas!$C$5:$M$2666,2,FALSE)</f>
        <v>BRB088</v>
      </c>
      <c r="G1563" s="23" t="str">
        <f>VLOOKUP($C1563,Carpetas!$C$5:$M$2666,10,FALSE)</f>
        <v>153,25,77</v>
      </c>
      <c r="H1563" s="27" t="str">
        <f>VLOOKUP($C1563,Carpetas!$C$5:$M$2666,6,FALSE)</f>
        <v>FG</v>
      </c>
      <c r="I1563" s="220"/>
      <c r="J1563" s="47">
        <f t="shared" si="105"/>
        <v>45880</v>
      </c>
      <c r="K1563" s="72" t="str">
        <f>VLOOKUP($C1563,Carpetas!$C$5:$M$2666,5,FALSE)</f>
        <v>Rio Branco</v>
      </c>
      <c r="L1563" s="32"/>
      <c r="M1563" s="48">
        <f t="shared" si="103"/>
        <v>45881</v>
      </c>
      <c r="N1563" s="26">
        <f t="shared" si="104"/>
        <v>3</v>
      </c>
      <c r="O1563" s="27">
        <v>990</v>
      </c>
      <c r="P1563" s="27">
        <v>990</v>
      </c>
      <c r="Q1563" s="27">
        <v>28</v>
      </c>
      <c r="R1563" s="27">
        <v>26</v>
      </c>
      <c r="S1563" s="27" t="s">
        <v>4417</v>
      </c>
      <c r="T1563" s="27"/>
      <c r="U1563" s="27">
        <v>1041</v>
      </c>
      <c r="V1563" s="27" t="s">
        <v>3411</v>
      </c>
      <c r="W1563" s="27" t="s">
        <v>3412</v>
      </c>
      <c r="X1563" s="128" t="s">
        <v>3559</v>
      </c>
      <c r="Y1563" s="73" t="str">
        <f>VLOOKUP(X1563,Choferes!$B$3:C405,2,FALSE)</f>
        <v>+55 53 9713-4372</v>
      </c>
      <c r="Z1563" s="73" t="s">
        <v>4408</v>
      </c>
    </row>
    <row r="1564" spans="1:26" hidden="1" x14ac:dyDescent="0.25">
      <c r="A1564" s="33">
        <v>32</v>
      </c>
      <c r="B1564" s="71" t="s">
        <v>29</v>
      </c>
      <c r="C1564" s="39" t="s">
        <v>4392</v>
      </c>
      <c r="D1564" s="106" t="s">
        <v>803</v>
      </c>
      <c r="E1564" s="47">
        <v>45878</v>
      </c>
      <c r="F1564" s="31" t="str">
        <f>VLOOKUP($C1564,Carpetas!$C$5:$M$2666,2,FALSE)</f>
        <v>BRB088</v>
      </c>
      <c r="G1564" s="23" t="str">
        <f>VLOOKUP($C1564,Carpetas!$C$5:$M$2666,10,FALSE)</f>
        <v>153,25,77</v>
      </c>
      <c r="H1564" s="27" t="str">
        <f>VLOOKUP($C1564,Carpetas!$C$5:$M$2666,6,FALSE)</f>
        <v>FG</v>
      </c>
      <c r="I1564" s="220"/>
      <c r="J1564" s="47">
        <f t="shared" si="105"/>
        <v>45880</v>
      </c>
      <c r="K1564" s="72" t="str">
        <f>VLOOKUP($C1564,Carpetas!$C$5:$M$2666,5,FALSE)</f>
        <v>Rio Branco</v>
      </c>
      <c r="L1564" s="32"/>
      <c r="M1564" s="48">
        <f t="shared" si="103"/>
        <v>45881</v>
      </c>
      <c r="N1564" s="26">
        <f t="shared" si="104"/>
        <v>3</v>
      </c>
      <c r="O1564" s="27">
        <v>990</v>
      </c>
      <c r="P1564" s="27">
        <v>990</v>
      </c>
      <c r="Q1564" s="27">
        <v>28</v>
      </c>
      <c r="R1564" s="27">
        <v>26</v>
      </c>
      <c r="S1564" s="27" t="s">
        <v>4418</v>
      </c>
      <c r="T1564" s="27"/>
      <c r="U1564" s="27">
        <v>1043</v>
      </c>
      <c r="V1564" s="27" t="s">
        <v>1726</v>
      </c>
      <c r="W1564" s="27" t="s">
        <v>1646</v>
      </c>
      <c r="X1564" s="128" t="s">
        <v>1576</v>
      </c>
      <c r="Y1564" s="73" t="str">
        <f>VLOOKUP(X1564,Choferes!$B$3:C404,2,FALSE)</f>
        <v>+55119971489722</v>
      </c>
      <c r="Z1564" s="73" t="s">
        <v>4410</v>
      </c>
    </row>
    <row r="1565" spans="1:26" hidden="1" x14ac:dyDescent="0.25">
      <c r="A1565" s="33">
        <v>32</v>
      </c>
      <c r="B1565" s="71" t="s">
        <v>29</v>
      </c>
      <c r="C1565" s="39" t="s">
        <v>4419</v>
      </c>
      <c r="D1565" s="106" t="s">
        <v>38</v>
      </c>
      <c r="E1565" s="47">
        <v>45878</v>
      </c>
      <c r="F1565" s="31" t="str">
        <f>VLOOKUP($C1565,Carpetas!$C$5:$M$2666,2,FALSE)</f>
        <v>BRE037</v>
      </c>
      <c r="G1565" s="23" t="str">
        <f>VLOOKUP($C1565,Carpetas!$C$5:$M$2666,10,FALSE)</f>
        <v>153,28,88</v>
      </c>
      <c r="H1565" s="27" t="str">
        <f>VLOOKUP($C1565,Carpetas!$C$5:$M$2666,6,FALSE)</f>
        <v>Zanini</v>
      </c>
      <c r="I1565" s="220">
        <f>VLOOKUP($C1565,Carpetas!$C$5:$M$2666,4,FALSE)</f>
        <v>0</v>
      </c>
      <c r="J1565" s="47">
        <f t="shared" si="105"/>
        <v>45880</v>
      </c>
      <c r="K1565" s="72" t="str">
        <f>VLOOKUP($C1565,Carpetas!$C$5:$M$2666,5,FALSE)</f>
        <v>Rio Branco</v>
      </c>
      <c r="L1565" s="32"/>
      <c r="M1565" s="48">
        <f t="shared" si="103"/>
        <v>45881</v>
      </c>
      <c r="N1565" s="26">
        <f t="shared" si="104"/>
        <v>3</v>
      </c>
      <c r="O1565" s="27">
        <v>1400</v>
      </c>
      <c r="P1565" s="27"/>
      <c r="Q1565" s="27"/>
      <c r="R1565" s="27"/>
      <c r="S1565" s="27"/>
      <c r="T1565" s="27"/>
      <c r="U1565" s="27">
        <v>5428</v>
      </c>
      <c r="V1565" s="27" t="s">
        <v>4420</v>
      </c>
      <c r="W1565" s="27" t="s">
        <v>4421</v>
      </c>
      <c r="X1565" s="128" t="s">
        <v>4422</v>
      </c>
      <c r="Y1565" s="73" t="str">
        <f>VLOOKUP(X1565,Choferes!$B$3:C406,2,FALSE)</f>
        <v>+55 55 9606-8595</v>
      </c>
      <c r="Z1565" s="73" t="s">
        <v>4081</v>
      </c>
    </row>
    <row r="1566" spans="1:26" hidden="1" x14ac:dyDescent="0.25">
      <c r="A1566" s="33">
        <v>33</v>
      </c>
      <c r="B1566" s="71" t="s">
        <v>29</v>
      </c>
      <c r="C1566" s="39" t="s">
        <v>4392</v>
      </c>
      <c r="D1566" s="106" t="s">
        <v>803</v>
      </c>
      <c r="E1566" s="47">
        <v>45880</v>
      </c>
      <c r="F1566" s="31" t="str">
        <f>VLOOKUP($C1566,Carpetas!$C$5:$M$2666,2,FALSE)</f>
        <v>BRB088</v>
      </c>
      <c r="G1566" s="23" t="str">
        <f>VLOOKUP($C1566,Carpetas!$C$5:$M$2666,10,FALSE)</f>
        <v>153,25,77</v>
      </c>
      <c r="H1566" s="27" t="str">
        <f>VLOOKUP($C1566,Carpetas!$C$5:$M$2666,6,FALSE)</f>
        <v>FG</v>
      </c>
      <c r="I1566" s="220"/>
      <c r="J1566" s="47">
        <f t="shared" si="105"/>
        <v>45882</v>
      </c>
      <c r="K1566" s="72" t="str">
        <f>VLOOKUP($C1566,Carpetas!$C$5:$M$2666,5,FALSE)</f>
        <v>Rio Branco</v>
      </c>
      <c r="L1566" s="32"/>
      <c r="M1566" s="48">
        <f t="shared" si="103"/>
        <v>45883</v>
      </c>
      <c r="N1566" s="26">
        <f t="shared" si="104"/>
        <v>3</v>
      </c>
      <c r="O1566" s="27">
        <v>990</v>
      </c>
      <c r="P1566" s="27">
        <v>990</v>
      </c>
      <c r="Q1566" s="27">
        <v>28</v>
      </c>
      <c r="R1566" s="27">
        <v>26</v>
      </c>
      <c r="S1566" s="27" t="s">
        <v>4423</v>
      </c>
      <c r="T1566" s="27"/>
      <c r="U1566" s="27">
        <v>1047</v>
      </c>
      <c r="V1566" s="27" t="s">
        <v>1657</v>
      </c>
      <c r="W1566" s="27" t="s">
        <v>1815</v>
      </c>
      <c r="X1566" s="128" t="s">
        <v>3950</v>
      </c>
      <c r="Y1566" s="73" t="str">
        <f>VLOOKUP(X1566,Choferes!$B$3:C413,2,FALSE)</f>
        <v>+55 53 8478-6279</v>
      </c>
      <c r="Z1566" s="73" t="s">
        <v>4424</v>
      </c>
    </row>
    <row r="1567" spans="1:26" hidden="1" x14ac:dyDescent="0.25">
      <c r="A1567" s="33">
        <v>33</v>
      </c>
      <c r="B1567" s="71" t="s">
        <v>29</v>
      </c>
      <c r="C1567" s="39" t="s">
        <v>4392</v>
      </c>
      <c r="D1567" s="106" t="s">
        <v>747</v>
      </c>
      <c r="E1567" s="47">
        <v>45880</v>
      </c>
      <c r="F1567" s="31" t="str">
        <f>VLOOKUP($C1567,Carpetas!$C$5:$M$2666,2,FALSE)</f>
        <v>BRB088</v>
      </c>
      <c r="G1567" s="23" t="str">
        <f>VLOOKUP($C1567,Carpetas!$C$5:$M$2666,10,FALSE)</f>
        <v>153,25,77</v>
      </c>
      <c r="H1567" s="27" t="str">
        <f>VLOOKUP($C1567,Carpetas!$C$5:$M$2666,6,FALSE)</f>
        <v>FG</v>
      </c>
      <c r="I1567" s="220"/>
      <c r="J1567" s="47">
        <f t="shared" si="105"/>
        <v>45882</v>
      </c>
      <c r="K1567" s="72" t="str">
        <f>VLOOKUP($C1567,Carpetas!$C$5:$M$2666,5,FALSE)</f>
        <v>Rio Branco</v>
      </c>
      <c r="L1567" s="32"/>
      <c r="M1567" s="48">
        <f t="shared" si="103"/>
        <v>45883</v>
      </c>
      <c r="N1567" s="26">
        <f t="shared" si="104"/>
        <v>3</v>
      </c>
      <c r="O1567" s="27">
        <v>990</v>
      </c>
      <c r="P1567" s="27">
        <v>990</v>
      </c>
      <c r="Q1567" s="27">
        <v>28</v>
      </c>
      <c r="R1567" s="27">
        <v>26</v>
      </c>
      <c r="S1567" s="27" t="s">
        <v>4425</v>
      </c>
      <c r="T1567" s="27"/>
      <c r="U1567" s="27">
        <v>1045</v>
      </c>
      <c r="V1567" s="27" t="s">
        <v>4319</v>
      </c>
      <c r="W1567" s="27" t="s">
        <v>1523</v>
      </c>
      <c r="X1567" s="128" t="s">
        <v>4320</v>
      </c>
      <c r="Y1567" s="73" t="str">
        <f>VLOOKUP(X1567,Choferes!$B$3:C414,2,FALSE)</f>
        <v>+598 98 562 952</v>
      </c>
      <c r="Z1567" s="73" t="s">
        <v>4424</v>
      </c>
    </row>
    <row r="1568" spans="1:26" hidden="1" x14ac:dyDescent="0.25">
      <c r="A1568" s="33">
        <v>33</v>
      </c>
      <c r="B1568" s="71" t="s">
        <v>29</v>
      </c>
      <c r="C1568" s="39" t="s">
        <v>4426</v>
      </c>
      <c r="D1568" s="106" t="s">
        <v>803</v>
      </c>
      <c r="E1568" s="47">
        <v>45882</v>
      </c>
      <c r="F1568" s="31" t="str">
        <f>VLOOKUP($C1568,Carpetas!$C$5:$M$2666,2,FALSE)</f>
        <v>BRB090</v>
      </c>
      <c r="G1568" s="23" t="str">
        <f>VLOOKUP($C1568,Carpetas!$C$5:$M$2666,10,FALSE)</f>
        <v>153,30,66</v>
      </c>
      <c r="H1568" s="27" t="str">
        <f>VLOOKUP($C1568,Carpetas!$C$5:$M$2666,6,FALSE)</f>
        <v>FG</v>
      </c>
      <c r="I1568" s="220"/>
      <c r="J1568" s="47">
        <v>45883</v>
      </c>
      <c r="K1568" s="72" t="str">
        <f>VLOOKUP($C1568,Carpetas!$C$5:$M$2666,5,FALSE)</f>
        <v>Rio Branco</v>
      </c>
      <c r="L1568" s="32"/>
      <c r="M1568" s="48">
        <f t="shared" ref="M1568:M1585" si="106">J1568+1</f>
        <v>45884</v>
      </c>
      <c r="N1568" s="26">
        <f t="shared" si="104"/>
        <v>2</v>
      </c>
      <c r="O1568" s="27">
        <v>990</v>
      </c>
      <c r="P1568" s="27">
        <v>990</v>
      </c>
      <c r="Q1568" s="27">
        <v>28</v>
      </c>
      <c r="R1568" s="27">
        <v>26</v>
      </c>
      <c r="S1568" s="27" t="s">
        <v>4427</v>
      </c>
      <c r="T1568" s="27"/>
      <c r="U1568" s="27">
        <v>1057</v>
      </c>
      <c r="V1568" s="27" t="s">
        <v>911</v>
      </c>
      <c r="W1568" s="27" t="s">
        <v>1622</v>
      </c>
      <c r="X1568" s="128" t="s">
        <v>1397</v>
      </c>
      <c r="Y1568" s="73" t="str">
        <f>VLOOKUP(X1568,Choferes!$B$3:C415,2,FALSE)</f>
        <v>+5551996322594</v>
      </c>
      <c r="Z1568" s="73" t="s">
        <v>4428</v>
      </c>
    </row>
    <row r="1569" spans="1:26" hidden="1" x14ac:dyDescent="0.25">
      <c r="A1569" s="33">
        <v>33</v>
      </c>
      <c r="B1569" s="71" t="s">
        <v>29</v>
      </c>
      <c r="C1569" s="39" t="s">
        <v>4426</v>
      </c>
      <c r="D1569" s="106" t="s">
        <v>2474</v>
      </c>
      <c r="E1569" s="47">
        <v>45881</v>
      </c>
      <c r="F1569" s="31" t="str">
        <f>VLOOKUP($C1569,Carpetas!$C$5:$M$2666,2,FALSE)</f>
        <v>BRB090</v>
      </c>
      <c r="G1569" s="23" t="str">
        <f>VLOOKUP($C1569,Carpetas!$C$5:$M$2666,10,FALSE)</f>
        <v>153,30,66</v>
      </c>
      <c r="H1569" s="27" t="str">
        <f>VLOOKUP($C1569,Carpetas!$C$5:$M$2666,6,FALSE)</f>
        <v>FG</v>
      </c>
      <c r="I1569" s="220"/>
      <c r="J1569" s="47">
        <f>E1569+2</f>
        <v>45883</v>
      </c>
      <c r="K1569" s="72" t="str">
        <f>VLOOKUP($C1569,Carpetas!$C$5:$M$2666,5,FALSE)</f>
        <v>Rio Branco</v>
      </c>
      <c r="L1569" s="32"/>
      <c r="M1569" s="48">
        <f t="shared" si="106"/>
        <v>45884</v>
      </c>
      <c r="N1569" s="26">
        <f t="shared" si="104"/>
        <v>3</v>
      </c>
      <c r="O1569" s="27">
        <v>990</v>
      </c>
      <c r="P1569" s="27">
        <v>990</v>
      </c>
      <c r="Q1569" s="27">
        <v>28</v>
      </c>
      <c r="R1569" s="27">
        <v>26</v>
      </c>
      <c r="S1569" s="27" t="s">
        <v>4429</v>
      </c>
      <c r="T1569" s="27"/>
      <c r="U1569" s="27">
        <v>1048</v>
      </c>
      <c r="V1569" s="27" t="s">
        <v>3572</v>
      </c>
      <c r="W1569" s="27" t="s">
        <v>1723</v>
      </c>
      <c r="X1569" s="128" t="s">
        <v>1495</v>
      </c>
      <c r="Y1569" s="73" t="str">
        <f>VLOOKUP(X1569,Choferes!$B$3:C416,2,FALSE)</f>
        <v>+5553984382803</v>
      </c>
      <c r="Z1569" s="73" t="s">
        <v>4428</v>
      </c>
    </row>
    <row r="1570" spans="1:26" hidden="1" x14ac:dyDescent="0.25">
      <c r="A1570" s="33">
        <v>33</v>
      </c>
      <c r="B1570" s="71" t="s">
        <v>29</v>
      </c>
      <c r="C1570" s="39" t="s">
        <v>4426</v>
      </c>
      <c r="D1570" s="106" t="s">
        <v>110</v>
      </c>
      <c r="E1570" s="47">
        <v>45881</v>
      </c>
      <c r="F1570" s="31" t="str">
        <f>VLOOKUP($C1570,Carpetas!$C$5:$M$2666,2,FALSE)</f>
        <v>BRB090</v>
      </c>
      <c r="G1570" s="23" t="str">
        <f>VLOOKUP($C1570,Carpetas!$C$5:$M$2666,10,FALSE)</f>
        <v>153,30,66</v>
      </c>
      <c r="H1570" s="27" t="str">
        <f>VLOOKUP($C1570,Carpetas!$C$5:$M$2666,6,FALSE)</f>
        <v>FG</v>
      </c>
      <c r="I1570" s="220"/>
      <c r="J1570" s="47">
        <f>E1570+2</f>
        <v>45883</v>
      </c>
      <c r="K1570" s="72" t="str">
        <f>VLOOKUP($C1570,Carpetas!$C$5:$M$2666,5,FALSE)</f>
        <v>Rio Branco</v>
      </c>
      <c r="L1570" s="32"/>
      <c r="M1570" s="48">
        <f t="shared" si="106"/>
        <v>45884</v>
      </c>
      <c r="N1570" s="26">
        <f t="shared" si="104"/>
        <v>3</v>
      </c>
      <c r="O1570" s="27">
        <v>990</v>
      </c>
      <c r="P1570" s="27">
        <v>991</v>
      </c>
      <c r="Q1570" s="27">
        <v>28</v>
      </c>
      <c r="R1570" s="27">
        <v>26</v>
      </c>
      <c r="S1570" s="27" t="s">
        <v>4430</v>
      </c>
      <c r="T1570" s="27"/>
      <c r="U1570" s="27">
        <v>1050</v>
      </c>
      <c r="V1570" s="27" t="s">
        <v>1636</v>
      </c>
      <c r="W1570" s="27" t="s">
        <v>1736</v>
      </c>
      <c r="X1570" s="128" t="s">
        <v>1413</v>
      </c>
      <c r="Y1570" s="73" t="str">
        <f>VLOOKUP(X1570,Choferes!$B$3:C417,2,FALSE)</f>
        <v>+59899406679</v>
      </c>
      <c r="Z1570" s="73" t="s">
        <v>4431</v>
      </c>
    </row>
    <row r="1571" spans="1:26" hidden="1" x14ac:dyDescent="0.25">
      <c r="A1571" s="33">
        <v>33</v>
      </c>
      <c r="B1571" s="71" t="s">
        <v>29</v>
      </c>
      <c r="C1571" s="39" t="s">
        <v>4426</v>
      </c>
      <c r="D1571" s="106" t="s">
        <v>953</v>
      </c>
      <c r="E1571" s="47">
        <v>45881</v>
      </c>
      <c r="F1571" s="31" t="str">
        <f>VLOOKUP($C1571,Carpetas!$C$5:$M$2666,2,FALSE)</f>
        <v>BRB090</v>
      </c>
      <c r="G1571" s="23" t="str">
        <f>VLOOKUP($C1571,Carpetas!$C$5:$M$2666,10,FALSE)</f>
        <v>153,30,66</v>
      </c>
      <c r="H1571" s="27" t="str">
        <f>VLOOKUP($C1571,Carpetas!$C$5:$M$2666,6,FALSE)</f>
        <v>FG</v>
      </c>
      <c r="I1571" s="220"/>
      <c r="J1571" s="47">
        <f>E1571+2</f>
        <v>45883</v>
      </c>
      <c r="K1571" s="72" t="str">
        <f>VLOOKUP($C1571,Carpetas!$C$5:$M$2666,5,FALSE)</f>
        <v>Rio Branco</v>
      </c>
      <c r="L1571" s="32"/>
      <c r="M1571" s="48">
        <f t="shared" si="106"/>
        <v>45884</v>
      </c>
      <c r="N1571" s="26">
        <f t="shared" si="104"/>
        <v>3</v>
      </c>
      <c r="O1571" s="27">
        <v>990</v>
      </c>
      <c r="P1571" s="27">
        <v>990</v>
      </c>
      <c r="Q1571" s="27">
        <v>28</v>
      </c>
      <c r="R1571" s="27">
        <v>26</v>
      </c>
      <c r="S1571" s="27" t="s">
        <v>1291</v>
      </c>
      <c r="T1571" s="27"/>
      <c r="U1571" s="27">
        <v>1052</v>
      </c>
      <c r="V1571" s="27" t="s">
        <v>1630</v>
      </c>
      <c r="W1571" s="27" t="s">
        <v>1934</v>
      </c>
      <c r="X1571" s="128" t="s">
        <v>1935</v>
      </c>
      <c r="Y1571" s="73" t="str">
        <f>VLOOKUP(X1571,Choferes!$B$3:C418,2,FALSE)</f>
        <v>+5554984377792</v>
      </c>
      <c r="Z1571" s="73" t="s">
        <v>4428</v>
      </c>
    </row>
    <row r="1572" spans="1:26" hidden="1" x14ac:dyDescent="0.25">
      <c r="A1572" s="33">
        <v>33</v>
      </c>
      <c r="B1572" s="71" t="s">
        <v>29</v>
      </c>
      <c r="C1572" s="39" t="s">
        <v>4426</v>
      </c>
      <c r="D1572" s="106" t="s">
        <v>2202</v>
      </c>
      <c r="E1572" s="47">
        <v>45882</v>
      </c>
      <c r="F1572" s="31" t="str">
        <f>VLOOKUP($C1572,Carpetas!$C$5:$M$2666,2,FALSE)</f>
        <v>BRB090</v>
      </c>
      <c r="G1572" s="23" t="str">
        <f>VLOOKUP($C1572,Carpetas!$C$5:$M$2666,10,FALSE)</f>
        <v>153,30,66</v>
      </c>
      <c r="H1572" s="27" t="str">
        <f>VLOOKUP($C1572,Carpetas!$C$5:$M$2666,6,FALSE)</f>
        <v>FG</v>
      </c>
      <c r="I1572" s="220"/>
      <c r="J1572" s="47">
        <v>45883</v>
      </c>
      <c r="K1572" s="72" t="str">
        <f>VLOOKUP($C1572,Carpetas!$C$5:$M$2666,5,FALSE)</f>
        <v>Rio Branco</v>
      </c>
      <c r="L1572" s="32"/>
      <c r="M1572" s="48">
        <f t="shared" si="106"/>
        <v>45884</v>
      </c>
      <c r="N1572" s="26">
        <f t="shared" si="104"/>
        <v>2</v>
      </c>
      <c r="O1572" s="27">
        <v>990</v>
      </c>
      <c r="P1572" s="27">
        <v>990</v>
      </c>
      <c r="Q1572" s="27">
        <v>28</v>
      </c>
      <c r="R1572" s="27">
        <v>26</v>
      </c>
      <c r="S1572" s="27" t="s">
        <v>4432</v>
      </c>
      <c r="T1572" s="27"/>
      <c r="U1572" s="27">
        <v>1051</v>
      </c>
      <c r="V1572" s="27" t="s">
        <v>3669</v>
      </c>
      <c r="W1572" s="27" t="s">
        <v>912</v>
      </c>
      <c r="X1572" s="128" t="s">
        <v>2336</v>
      </c>
      <c r="Y1572" s="73" t="str">
        <f>VLOOKUP(X1572,Choferes!$B$3:C411,2,FALSE)</f>
        <v>+5553984414060</v>
      </c>
      <c r="Z1572" s="73" t="s">
        <v>4428</v>
      </c>
    </row>
    <row r="1573" spans="1:26" hidden="1" x14ac:dyDescent="0.25">
      <c r="A1573" s="33">
        <v>33</v>
      </c>
      <c r="B1573" s="71" t="s">
        <v>29</v>
      </c>
      <c r="C1573" s="39" t="s">
        <v>4426</v>
      </c>
      <c r="D1573" s="106" t="s">
        <v>2474</v>
      </c>
      <c r="E1573" s="47">
        <v>45882</v>
      </c>
      <c r="F1573" s="31" t="str">
        <f>VLOOKUP($C1573,Carpetas!$C$5:$M$2666,2,FALSE)</f>
        <v>BRB090</v>
      </c>
      <c r="G1573" s="23" t="str">
        <f>VLOOKUP($C1573,Carpetas!$C$5:$M$2666,10,FALSE)</f>
        <v>153,30,66</v>
      </c>
      <c r="H1573" s="27" t="str">
        <f>VLOOKUP($C1573,Carpetas!$C$5:$M$2666,6,FALSE)</f>
        <v>FG</v>
      </c>
      <c r="I1573" s="220"/>
      <c r="J1573" s="47">
        <f>E1573+1</f>
        <v>45883</v>
      </c>
      <c r="K1573" s="72" t="str">
        <f>VLOOKUP($C1573,Carpetas!$C$5:$M$2666,5,FALSE)</f>
        <v>Rio Branco</v>
      </c>
      <c r="L1573" s="32"/>
      <c r="M1573" s="48">
        <f t="shared" si="106"/>
        <v>45884</v>
      </c>
      <c r="N1573" s="26">
        <f t="shared" si="104"/>
        <v>2</v>
      </c>
      <c r="O1573" s="27">
        <v>990</v>
      </c>
      <c r="P1573" s="27">
        <v>990</v>
      </c>
      <c r="Q1573" s="27">
        <v>28</v>
      </c>
      <c r="R1573" s="27">
        <v>26</v>
      </c>
      <c r="S1573" s="27" t="s">
        <v>4433</v>
      </c>
      <c r="T1573" s="27"/>
      <c r="U1573" s="27">
        <v>1056</v>
      </c>
      <c r="V1573" s="27" t="s">
        <v>1042</v>
      </c>
      <c r="W1573" s="27" t="s">
        <v>3818</v>
      </c>
      <c r="X1573" s="128" t="s">
        <v>1623</v>
      </c>
      <c r="Y1573" s="73" t="str">
        <f>VLOOKUP(X1573,Choferes!$B$3:C419,2,FALSE)</f>
        <v>+5553991254560</v>
      </c>
      <c r="Z1573" s="73" t="s">
        <v>4428</v>
      </c>
    </row>
    <row r="1574" spans="1:26" hidden="1" x14ac:dyDescent="0.25">
      <c r="A1574" s="33">
        <v>33</v>
      </c>
      <c r="B1574" s="71" t="s">
        <v>29</v>
      </c>
      <c r="C1574" s="39" t="s">
        <v>4234</v>
      </c>
      <c r="D1574" s="106" t="s">
        <v>2474</v>
      </c>
      <c r="E1574" s="47">
        <v>45882</v>
      </c>
      <c r="F1574" s="31" t="str">
        <f>VLOOKUP($C1574,Carpetas!$C$5:$M$2666,2,FALSE)</f>
        <v>BRB078</v>
      </c>
      <c r="G1574" s="23" t="str">
        <f>VLOOKUP($C1574,Carpetas!$C$5:$M$2666,10,FALSE)</f>
        <v>153,04,36</v>
      </c>
      <c r="H1574" s="27" t="str">
        <f>VLOOKUP($C1574,Carpetas!$C$5:$M$2666,6,FALSE)</f>
        <v>Zanini</v>
      </c>
      <c r="I1574" s="220"/>
      <c r="J1574" s="47">
        <f>E1574+2</f>
        <v>45884</v>
      </c>
      <c r="K1574" s="72" t="str">
        <f>VLOOKUP($C1574,Carpetas!$C$5:$M$2666,5,FALSE)</f>
        <v>Rio Branco</v>
      </c>
      <c r="L1574" s="32"/>
      <c r="M1574" s="48">
        <f t="shared" si="106"/>
        <v>45885</v>
      </c>
      <c r="N1574" s="26">
        <f t="shared" si="104"/>
        <v>3</v>
      </c>
      <c r="O1574" s="27">
        <v>918</v>
      </c>
      <c r="P1574" s="27">
        <v>919</v>
      </c>
      <c r="Q1574" s="27">
        <v>26</v>
      </c>
      <c r="R1574" s="27">
        <v>26</v>
      </c>
      <c r="S1574" s="27" t="s">
        <v>4434</v>
      </c>
      <c r="T1574" s="27"/>
      <c r="U1574" s="27"/>
      <c r="V1574" s="27" t="s">
        <v>4435</v>
      </c>
      <c r="W1574" s="27"/>
      <c r="X1574" s="128"/>
      <c r="Y1574" s="73" t="e">
        <f>VLOOKUP(X1574,Choferes!$B$3:C407,2,FALSE)</f>
        <v>#N/A</v>
      </c>
      <c r="Z1574" s="73" t="s">
        <v>4436</v>
      </c>
    </row>
    <row r="1575" spans="1:26" hidden="1" x14ac:dyDescent="0.25">
      <c r="A1575" s="33">
        <v>32</v>
      </c>
      <c r="B1575" s="71" t="s">
        <v>29</v>
      </c>
      <c r="C1575" s="39" t="s">
        <v>4437</v>
      </c>
      <c r="D1575" s="106" t="s">
        <v>38</v>
      </c>
      <c r="E1575" s="47">
        <v>45874</v>
      </c>
      <c r="F1575" s="31" t="str">
        <f>VLOOKUP($C1575,Carpetas!$C$5:$M$2666,2,FALSE)</f>
        <v>BRE038</v>
      </c>
      <c r="G1575" s="23" t="str">
        <f>VLOOKUP($C1575,Carpetas!$C$5:$M$2666,10,FALSE)</f>
        <v>153,18,80</v>
      </c>
      <c r="H1575" s="27" t="str">
        <f>VLOOKUP($C1575,Carpetas!$C$5:$M$2666,6,FALSE)</f>
        <v xml:space="preserve">VPM </v>
      </c>
      <c r="I1575" s="220">
        <f>VLOOKUP($C1575,Carpetas!$C$5:$M$2666,4,FALSE)</f>
        <v>0</v>
      </c>
      <c r="J1575" s="47">
        <v>45884</v>
      </c>
      <c r="K1575" s="72" t="str">
        <f>VLOOKUP($C1575,Carpetas!$C$5:$M$2666,5,FALSE)</f>
        <v>Chuy</v>
      </c>
      <c r="L1575" s="32"/>
      <c r="M1575" s="48">
        <f t="shared" si="106"/>
        <v>45885</v>
      </c>
      <c r="N1575" s="26">
        <f t="shared" si="104"/>
        <v>11</v>
      </c>
      <c r="O1575" s="27">
        <v>2520</v>
      </c>
      <c r="P1575" s="27"/>
      <c r="Q1575" s="27">
        <v>28</v>
      </c>
      <c r="R1575" s="27"/>
      <c r="S1575" s="27"/>
      <c r="T1575" s="27"/>
      <c r="U1575" s="27"/>
      <c r="V1575" s="27" t="s">
        <v>4438</v>
      </c>
      <c r="W1575" s="27"/>
      <c r="X1575" s="128"/>
      <c r="Y1575" s="73" t="e">
        <f>VLOOKUP(X1575,Choferes!$B$3:C406,2,FALSE)</f>
        <v>#N/A</v>
      </c>
      <c r="Z1575" s="73" t="s">
        <v>4439</v>
      </c>
    </row>
    <row r="1576" spans="1:26" hidden="1" x14ac:dyDescent="0.25">
      <c r="A1576" s="33">
        <v>33</v>
      </c>
      <c r="B1576" s="71" t="s">
        <v>29</v>
      </c>
      <c r="C1576" s="39" t="s">
        <v>4362</v>
      </c>
      <c r="D1576" s="106" t="s">
        <v>110</v>
      </c>
      <c r="E1576" s="47">
        <v>45882</v>
      </c>
      <c r="F1576" s="31" t="str">
        <f>VLOOKUP($C1576,Carpetas!$C$5:$M$2666,2,FALSE)</f>
        <v>BRB086</v>
      </c>
      <c r="G1576" s="23" t="str">
        <f>VLOOKUP($C1576,Carpetas!$C$5:$M$2666,10,FALSE)</f>
        <v>153,19,71</v>
      </c>
      <c r="H1576" s="27" t="str">
        <f>VLOOKUP($C1576,Carpetas!$C$5:$M$2666,6,FALSE)</f>
        <v>Chabat</v>
      </c>
      <c r="I1576" s="220"/>
      <c r="J1576" s="47">
        <f>E1576+2</f>
        <v>45884</v>
      </c>
      <c r="K1576" s="72" t="str">
        <f>VLOOKUP($C1576,Carpetas!$C$5:$M$2666,5,FALSE)</f>
        <v>Rio Branco</v>
      </c>
      <c r="L1576" s="32"/>
      <c r="M1576" s="48">
        <f t="shared" si="106"/>
        <v>45885</v>
      </c>
      <c r="N1576" s="26">
        <f t="shared" si="104"/>
        <v>3</v>
      </c>
      <c r="O1576" s="27">
        <v>990</v>
      </c>
      <c r="P1576" s="27">
        <v>990</v>
      </c>
      <c r="Q1576" s="27">
        <v>28</v>
      </c>
      <c r="R1576" s="27">
        <v>25</v>
      </c>
      <c r="S1576" s="27" t="s">
        <v>4440</v>
      </c>
      <c r="T1576" s="27"/>
      <c r="U1576" s="27"/>
      <c r="V1576" s="27" t="s">
        <v>4129</v>
      </c>
      <c r="W1576" s="27" t="s">
        <v>4223</v>
      </c>
      <c r="X1576" s="128"/>
      <c r="Y1576" s="73" t="e">
        <f>VLOOKUP(X1576,Choferes!$B$3:C409,2,FALSE)</f>
        <v>#N/A</v>
      </c>
      <c r="Z1576" s="73" t="s">
        <v>4441</v>
      </c>
    </row>
    <row r="1577" spans="1:26" hidden="1" x14ac:dyDescent="0.25">
      <c r="A1577" s="33">
        <v>33</v>
      </c>
      <c r="B1577" s="71" t="s">
        <v>29</v>
      </c>
      <c r="C1577" s="39" t="s">
        <v>4412</v>
      </c>
      <c r="D1577" s="106" t="s">
        <v>2202</v>
      </c>
      <c r="E1577" s="47">
        <v>45882</v>
      </c>
      <c r="F1577" s="31" t="str">
        <f>VLOOKUP($C1577,Carpetas!$C$5:$M$2666,2,FALSE)</f>
        <v>BRB089</v>
      </c>
      <c r="G1577" s="23" t="str">
        <f>VLOOKUP($C1577,Carpetas!$C$5:$M$2666,10,FALSE)</f>
        <v>153,28,73</v>
      </c>
      <c r="H1577" s="27" t="str">
        <f>VLOOKUP($C1577,Carpetas!$C$5:$M$2666,6,FALSE)</f>
        <v>Gral</v>
      </c>
      <c r="I1577" s="220"/>
      <c r="J1577" s="47">
        <f>E1577+2</f>
        <v>45884</v>
      </c>
      <c r="K1577" s="72" t="str">
        <f>VLOOKUP($C1577,Carpetas!$C$5:$M$2666,5,FALSE)</f>
        <v>Rio Branco</v>
      </c>
      <c r="L1577" s="32"/>
      <c r="M1577" s="48">
        <f t="shared" si="106"/>
        <v>45885</v>
      </c>
      <c r="N1577" s="26">
        <f t="shared" si="104"/>
        <v>3</v>
      </c>
      <c r="O1577" s="27">
        <v>918</v>
      </c>
      <c r="P1577" s="27">
        <v>919</v>
      </c>
      <c r="Q1577" s="27">
        <v>26</v>
      </c>
      <c r="R1577" s="27">
        <v>26</v>
      </c>
      <c r="S1577" s="27" t="s">
        <v>4442</v>
      </c>
      <c r="T1577" s="27"/>
      <c r="U1577" s="27"/>
      <c r="V1577" s="27"/>
      <c r="W1577" s="27"/>
      <c r="X1577" s="128"/>
      <c r="Y1577" s="73" t="e">
        <f>VLOOKUP(X1577,Choferes!$B$3:C412,2,FALSE)</f>
        <v>#N/A</v>
      </c>
      <c r="Z1577" s="73" t="s">
        <v>4436</v>
      </c>
    </row>
    <row r="1578" spans="1:26" ht="30" hidden="1" x14ac:dyDescent="0.25">
      <c r="A1578" s="33">
        <v>32</v>
      </c>
      <c r="B1578" s="71" t="s">
        <v>29</v>
      </c>
      <c r="C1578" s="39" t="s">
        <v>4443</v>
      </c>
      <c r="D1578" s="106" t="s">
        <v>38</v>
      </c>
      <c r="E1578" s="47">
        <v>45883</v>
      </c>
      <c r="F1578" s="31" t="str">
        <f>VLOOKUP($C1578,Carpetas!$C$5:$M$2666,2,FALSE)</f>
        <v>BRE039</v>
      </c>
      <c r="G1578" s="23" t="str">
        <f>VLOOKUP($C1578,Carpetas!$C$5:$M$2666,10,FALSE)</f>
        <v>153,3278/1532462/1532461/1532905</v>
      </c>
      <c r="H1578" s="27" t="str">
        <f>VLOOKUP($C1578,Carpetas!$C$5:$M$2666,6,FALSE)</f>
        <v>Zanini</v>
      </c>
      <c r="I1578" s="220">
        <f>VLOOKUP($C1578,Carpetas!$C$5:$M$2666,4,FALSE)</f>
        <v>0</v>
      </c>
      <c r="J1578" s="47">
        <v>45884</v>
      </c>
      <c r="K1578" s="72" t="str">
        <f>VLOOKUP($C1578,Carpetas!$C$5:$M$2666,5,FALSE)</f>
        <v>Rio Branco</v>
      </c>
      <c r="L1578" s="32"/>
      <c r="M1578" s="48">
        <f t="shared" si="106"/>
        <v>45885</v>
      </c>
      <c r="N1578" s="26">
        <f t="shared" si="104"/>
        <v>2</v>
      </c>
      <c r="O1578" s="27">
        <v>1158</v>
      </c>
      <c r="P1578" s="27">
        <v>1158</v>
      </c>
      <c r="Q1578" s="27">
        <v>26</v>
      </c>
      <c r="R1578" s="27">
        <v>25</v>
      </c>
      <c r="S1578" s="27" t="s">
        <v>4444</v>
      </c>
      <c r="T1578" s="27"/>
      <c r="U1578" s="27"/>
      <c r="V1578" s="27"/>
      <c r="W1578" s="27"/>
      <c r="X1578" s="128"/>
      <c r="Y1578" s="73" t="e">
        <f>VLOOKUP(X1578,Choferes!$B$3:C390,2,FALSE)</f>
        <v>#N/A</v>
      </c>
      <c r="Z1578" s="73" t="s">
        <v>4445</v>
      </c>
    </row>
    <row r="1579" spans="1:26" hidden="1" x14ac:dyDescent="0.25">
      <c r="A1579" s="33">
        <v>33</v>
      </c>
      <c r="B1579" s="71" t="s">
        <v>298</v>
      </c>
      <c r="C1579" s="39" t="s">
        <v>299</v>
      </c>
      <c r="D1579" s="106" t="s">
        <v>2202</v>
      </c>
      <c r="E1579" s="47">
        <v>45884</v>
      </c>
      <c r="F1579" s="31" t="str">
        <f>VLOOKUP($C1579,Carpetas!$C$5:$M$2666,2,FALSE)</f>
        <v>BRB</v>
      </c>
      <c r="G1579" s="23" t="e">
        <f>VLOOKUP($C1579,Carpetas!$C$5:$M$2666,9,FALSE)</f>
        <v>#REF!</v>
      </c>
      <c r="H1579" s="27" t="str">
        <f>VLOOKUP($C1579,Carpetas!$C$5:$M$2666,5,FALSE)</f>
        <v>xx</v>
      </c>
      <c r="I1579" s="220"/>
      <c r="J1579" s="47">
        <f>E1579+2</f>
        <v>45886</v>
      </c>
      <c r="K1579" s="72">
        <f>VLOOKUP($C1579,Carpetas!$C$5:$M$2666,4,FALSE)</f>
        <v>0</v>
      </c>
      <c r="L1579" s="32"/>
      <c r="M1579" s="48">
        <f t="shared" si="106"/>
        <v>45887</v>
      </c>
      <c r="N1579" s="26">
        <f t="shared" si="104"/>
        <v>3</v>
      </c>
      <c r="O1579" s="27">
        <v>918</v>
      </c>
      <c r="P1579" s="27"/>
      <c r="Q1579" s="27"/>
      <c r="R1579" s="27"/>
      <c r="S1579" s="27"/>
      <c r="T1579" s="27"/>
      <c r="U1579" s="27"/>
      <c r="V1579" s="27"/>
      <c r="W1579" s="27"/>
      <c r="X1579" s="128"/>
      <c r="Y1579" s="73" t="e">
        <f>VLOOKUP(X1579,Choferes!$B$3:C412,2,FALSE)</f>
        <v>#N/A</v>
      </c>
      <c r="Z1579" s="73"/>
    </row>
    <row r="1580" spans="1:26" hidden="1" x14ac:dyDescent="0.25">
      <c r="A1580" s="33">
        <v>33</v>
      </c>
      <c r="B1580" s="71" t="s">
        <v>298</v>
      </c>
      <c r="C1580" s="39" t="s">
        <v>299</v>
      </c>
      <c r="D1580" s="106" t="s">
        <v>2474</v>
      </c>
      <c r="E1580" s="47">
        <v>45884</v>
      </c>
      <c r="F1580" s="31" t="str">
        <f>VLOOKUP($C1580,Carpetas!$C$5:$M$2666,2,FALSE)</f>
        <v>BRB</v>
      </c>
      <c r="G1580" s="23" t="e">
        <f>VLOOKUP($C1580,Carpetas!$C$5:$M$2666,9,FALSE)</f>
        <v>#REF!</v>
      </c>
      <c r="H1580" s="27" t="str">
        <f>VLOOKUP($C1580,Carpetas!$C$5:$M$2666,5,FALSE)</f>
        <v>xx</v>
      </c>
      <c r="I1580" s="220"/>
      <c r="J1580" s="47">
        <f>E1580+2</f>
        <v>45886</v>
      </c>
      <c r="K1580" s="72">
        <f>VLOOKUP($C1580,Carpetas!$C$5:$M$2666,4,FALSE)</f>
        <v>0</v>
      </c>
      <c r="L1580" s="32"/>
      <c r="M1580" s="48">
        <f t="shared" si="106"/>
        <v>45887</v>
      </c>
      <c r="N1580" s="26">
        <f t="shared" si="104"/>
        <v>3</v>
      </c>
      <c r="O1580" s="27">
        <v>990</v>
      </c>
      <c r="P1580" s="27"/>
      <c r="Q1580" s="27"/>
      <c r="R1580" s="27"/>
      <c r="S1580" s="27"/>
      <c r="T1580" s="27"/>
      <c r="U1580" s="27"/>
      <c r="V1580" s="27"/>
      <c r="W1580" s="27"/>
      <c r="X1580" s="128"/>
      <c r="Y1580" s="73" t="e">
        <f>VLOOKUP(X1580,Choferes!$B$3:C420,2,FALSE)</f>
        <v>#N/A</v>
      </c>
      <c r="Z1580" s="73"/>
    </row>
    <row r="1581" spans="1:26" hidden="1" x14ac:dyDescent="0.25">
      <c r="A1581" s="33">
        <v>33</v>
      </c>
      <c r="B1581" s="71" t="s">
        <v>298</v>
      </c>
      <c r="C1581" s="39" t="s">
        <v>299</v>
      </c>
      <c r="D1581" s="106" t="s">
        <v>249</v>
      </c>
      <c r="E1581" s="47">
        <v>45884</v>
      </c>
      <c r="F1581" s="31" t="str">
        <f>VLOOKUP($C1581,Carpetas!$C$5:$M$2666,2,FALSE)</f>
        <v>BRB</v>
      </c>
      <c r="G1581" s="23" t="e">
        <f>VLOOKUP($C1581,Carpetas!$C$5:$M$2666,9,FALSE)</f>
        <v>#REF!</v>
      </c>
      <c r="H1581" s="27" t="str">
        <f>VLOOKUP($C1581,Carpetas!$C$5:$M$2666,5,FALSE)</f>
        <v>xx</v>
      </c>
      <c r="I1581" s="220"/>
      <c r="J1581" s="47">
        <f>E1581+2</f>
        <v>45886</v>
      </c>
      <c r="K1581" s="72">
        <f>VLOOKUP($C1581,Carpetas!$C$5:$M$2666,4,FALSE)</f>
        <v>0</v>
      </c>
      <c r="L1581" s="32"/>
      <c r="M1581" s="48">
        <f t="shared" si="106"/>
        <v>45887</v>
      </c>
      <c r="N1581" s="26">
        <f t="shared" si="104"/>
        <v>3</v>
      </c>
      <c r="O1581" s="27">
        <v>990</v>
      </c>
      <c r="P1581" s="27"/>
      <c r="Q1581" s="27"/>
      <c r="R1581" s="27"/>
      <c r="S1581" s="27"/>
      <c r="T1581" s="27"/>
      <c r="U1581" s="27"/>
      <c r="V1581" s="27"/>
      <c r="W1581" s="27"/>
      <c r="X1581" s="128"/>
      <c r="Y1581" s="73" t="e">
        <f>VLOOKUP(X1581,Choferes!$B$3:C421,2,FALSE)</f>
        <v>#N/A</v>
      </c>
      <c r="Z1581" s="73"/>
    </row>
    <row r="1582" spans="1:26" hidden="1" x14ac:dyDescent="0.25">
      <c r="A1582" s="33">
        <v>33</v>
      </c>
      <c r="B1582" s="71" t="s">
        <v>298</v>
      </c>
      <c r="C1582" s="39" t="s">
        <v>299</v>
      </c>
      <c r="D1582" s="106" t="s">
        <v>747</v>
      </c>
      <c r="E1582" s="47">
        <v>45884</v>
      </c>
      <c r="F1582" s="31" t="str">
        <f>VLOOKUP($C1582,Carpetas!$C$5:$M$2666,2,FALSE)</f>
        <v>BRB</v>
      </c>
      <c r="G1582" s="23" t="e">
        <f>VLOOKUP($C1582,Carpetas!$C$5:$M$2666,9,FALSE)</f>
        <v>#REF!</v>
      </c>
      <c r="H1582" s="27" t="str">
        <f>VLOOKUP($C1582,Carpetas!$C$5:$M$2666,5,FALSE)</f>
        <v>xx</v>
      </c>
      <c r="I1582" s="220"/>
      <c r="J1582" s="47">
        <f>E1582+2</f>
        <v>45886</v>
      </c>
      <c r="K1582" s="72">
        <f>VLOOKUP($C1582,Carpetas!$C$5:$M$2666,4,FALSE)</f>
        <v>0</v>
      </c>
      <c r="L1582" s="32"/>
      <c r="M1582" s="48">
        <f t="shared" si="106"/>
        <v>45887</v>
      </c>
      <c r="N1582" s="26">
        <f t="shared" si="104"/>
        <v>3</v>
      </c>
      <c r="O1582" s="27">
        <v>990</v>
      </c>
      <c r="P1582" s="27"/>
      <c r="Q1582" s="27"/>
      <c r="R1582" s="27"/>
      <c r="S1582" s="27"/>
      <c r="T1582" s="27"/>
      <c r="U1582" s="27"/>
      <c r="V1582" s="27"/>
      <c r="W1582" s="27"/>
      <c r="X1582" s="128"/>
      <c r="Y1582" s="73" t="e">
        <f>VLOOKUP(X1582,Choferes!$B$3:C422,2,FALSE)</f>
        <v>#N/A</v>
      </c>
      <c r="Z1582" s="73"/>
    </row>
    <row r="1583" spans="1:26" hidden="1" x14ac:dyDescent="0.25">
      <c r="A1583" s="33">
        <v>33</v>
      </c>
      <c r="B1583" s="71" t="s">
        <v>29</v>
      </c>
      <c r="C1583" s="39" t="s">
        <v>4362</v>
      </c>
      <c r="D1583" s="106" t="s">
        <v>110</v>
      </c>
      <c r="E1583" s="47">
        <v>45884</v>
      </c>
      <c r="F1583" s="31" t="str">
        <f>VLOOKUP($C1583,Carpetas!$C$5:$M$2666,2,FALSE)</f>
        <v>BRB086</v>
      </c>
      <c r="G1583" s="23" t="str">
        <f>VLOOKUP($C1583,Carpetas!$C$5:$M$2666,10,FALSE)</f>
        <v>153,19,71</v>
      </c>
      <c r="H1583" s="27" t="str">
        <f>VLOOKUP($C1583,Carpetas!$C$5:$M$2666,6,FALSE)</f>
        <v>Chabat</v>
      </c>
      <c r="I1583" s="220"/>
      <c r="J1583" s="47">
        <v>45887</v>
      </c>
      <c r="K1583" s="72" t="str">
        <f>VLOOKUP($C1583,Carpetas!$C$5:$M$2666,5,FALSE)</f>
        <v>Rio Branco</v>
      </c>
      <c r="L1583" s="32"/>
      <c r="M1583" s="48">
        <f t="shared" si="106"/>
        <v>45888</v>
      </c>
      <c r="N1583" s="26">
        <f t="shared" si="104"/>
        <v>4</v>
      </c>
      <c r="O1583" s="27">
        <v>990</v>
      </c>
      <c r="P1583" s="27">
        <v>991</v>
      </c>
      <c r="Q1583" s="27">
        <v>28</v>
      </c>
      <c r="R1583" s="27">
        <v>26</v>
      </c>
      <c r="S1583" s="27" t="s">
        <v>4446</v>
      </c>
      <c r="T1583" s="27"/>
      <c r="U1583" s="27">
        <v>2415</v>
      </c>
      <c r="V1583" s="27" t="s">
        <v>4339</v>
      </c>
      <c r="W1583" s="27" t="s">
        <v>4340</v>
      </c>
      <c r="X1583" s="128"/>
      <c r="Y1583" s="73" t="e">
        <f>VLOOKUP(X1583,Choferes!$B$3:C410,2,FALSE)</f>
        <v>#N/A</v>
      </c>
      <c r="Z1583" s="73" t="s">
        <v>4447</v>
      </c>
    </row>
    <row r="1584" spans="1:26" hidden="1" x14ac:dyDescent="0.25">
      <c r="A1584" s="33">
        <v>33</v>
      </c>
      <c r="B1584" s="71" t="s">
        <v>29</v>
      </c>
      <c r="C1584" s="39" t="s">
        <v>4448</v>
      </c>
      <c r="D1584" s="106" t="s">
        <v>2474</v>
      </c>
      <c r="E1584" s="47">
        <v>45885</v>
      </c>
      <c r="F1584" s="31" t="str">
        <f>VLOOKUP($C1584,Carpetas!$C$5:$M$2666,2,FALSE)</f>
        <v>BRB091</v>
      </c>
      <c r="G1584" s="23" t="str">
        <f>VLOOKUP($C1584,Carpetas!$C$5:$M$2666,10,FALSE)</f>
        <v>153,32,80</v>
      </c>
      <c r="H1584" s="27" t="str">
        <f>VLOOKUP($C1584,Carpetas!$C$5:$M$2666,6,FALSE)</f>
        <v>Zanini</v>
      </c>
      <c r="I1584" s="220"/>
      <c r="J1584" s="47">
        <f>E1584+2</f>
        <v>45887</v>
      </c>
      <c r="K1584" s="72" t="str">
        <f>VLOOKUP($C1584,Carpetas!$C$5:$M$2666,5,FALSE)</f>
        <v>Rio Branco</v>
      </c>
      <c r="L1584" s="32"/>
      <c r="M1584" s="48">
        <f t="shared" si="106"/>
        <v>45888</v>
      </c>
      <c r="N1584" s="26">
        <f t="shared" si="104"/>
        <v>3</v>
      </c>
      <c r="O1584" s="27">
        <v>918</v>
      </c>
      <c r="P1584" s="27">
        <v>918</v>
      </c>
      <c r="Q1584" s="27">
        <v>26</v>
      </c>
      <c r="R1584" s="27">
        <v>25</v>
      </c>
      <c r="S1584" s="27" t="s">
        <v>4449</v>
      </c>
      <c r="T1584" s="27"/>
      <c r="U1584" s="27">
        <v>5441</v>
      </c>
      <c r="V1584" s="27" t="s">
        <v>142</v>
      </c>
      <c r="W1584" s="27" t="s">
        <v>143</v>
      </c>
      <c r="X1584" s="128"/>
      <c r="Y1584" s="73" t="e">
        <f>VLOOKUP(X1584,Choferes!$B$3:C408,2,FALSE)</f>
        <v>#N/A</v>
      </c>
      <c r="Z1584" s="73" t="s">
        <v>4450</v>
      </c>
    </row>
    <row r="1585" spans="1:26" hidden="1" x14ac:dyDescent="0.25">
      <c r="A1585" s="33">
        <v>33</v>
      </c>
      <c r="B1585" s="71" t="s">
        <v>29</v>
      </c>
      <c r="C1585" s="39" t="s">
        <v>4426</v>
      </c>
      <c r="D1585" s="106" t="s">
        <v>803</v>
      </c>
      <c r="E1585" s="47">
        <v>45885</v>
      </c>
      <c r="F1585" s="31" t="str">
        <f>VLOOKUP($C1585,Carpetas!$C$5:$M$2666,2,FALSE)</f>
        <v>BRB090</v>
      </c>
      <c r="G1585" s="23" t="str">
        <f>VLOOKUP($C1585,Carpetas!$C$5:$M$2666,10,FALSE)</f>
        <v>153,30,66</v>
      </c>
      <c r="H1585" s="27" t="str">
        <f>VLOOKUP($C1585,Carpetas!$C$5:$M$2666,6,FALSE)</f>
        <v>FG</v>
      </c>
      <c r="I1585" s="220"/>
      <c r="J1585" s="47">
        <f>E1585+2</f>
        <v>45887</v>
      </c>
      <c r="K1585" s="72" t="str">
        <f>VLOOKUP($C1585,Carpetas!$C$5:$M$2666,5,FALSE)</f>
        <v>Rio Branco</v>
      </c>
      <c r="L1585" s="32"/>
      <c r="M1585" s="48">
        <f t="shared" si="106"/>
        <v>45888</v>
      </c>
      <c r="N1585" s="26">
        <f t="shared" si="104"/>
        <v>3</v>
      </c>
      <c r="O1585" s="27">
        <v>990</v>
      </c>
      <c r="P1585" s="27">
        <v>990</v>
      </c>
      <c r="Q1585" s="27">
        <v>28</v>
      </c>
      <c r="R1585" s="27">
        <v>26</v>
      </c>
      <c r="S1585" s="27" t="s">
        <v>4451</v>
      </c>
      <c r="T1585" s="27"/>
      <c r="U1585" s="27">
        <v>1064</v>
      </c>
      <c r="V1585" s="27" t="s">
        <v>1735</v>
      </c>
      <c r="W1585" s="27" t="s">
        <v>1681</v>
      </c>
      <c r="X1585" s="128" t="s">
        <v>1465</v>
      </c>
      <c r="Y1585" s="73" t="str">
        <f>VLOOKUP(X1585,Choferes!$B$3:C410,2,FALSE)</f>
        <v>+59893339027</v>
      </c>
      <c r="Z1585" s="73" t="s">
        <v>4452</v>
      </c>
    </row>
    <row r="1586" spans="1:26" hidden="1" x14ac:dyDescent="0.25">
      <c r="A1586" s="33">
        <v>33</v>
      </c>
      <c r="B1586" s="71" t="s">
        <v>29</v>
      </c>
      <c r="C1586" s="39" t="s">
        <v>4426</v>
      </c>
      <c r="D1586" s="106" t="s">
        <v>953</v>
      </c>
      <c r="E1586" s="47">
        <v>45885</v>
      </c>
      <c r="F1586" s="31" t="str">
        <f>VLOOKUP($C1586,Carpetas!$C$5:$M$2666,2,FALSE)</f>
        <v>BRB090</v>
      </c>
      <c r="G1586" s="23" t="str">
        <f>VLOOKUP($C1586,Carpetas!$C$5:$M$2666,10,FALSE)</f>
        <v>153,30,66</v>
      </c>
      <c r="H1586" s="27" t="str">
        <f>VLOOKUP($C1586,Carpetas!$C$5:$M$2666,6,FALSE)</f>
        <v>FG</v>
      </c>
      <c r="I1586" s="220"/>
      <c r="J1586" s="47">
        <f>E1586+2</f>
        <v>45887</v>
      </c>
      <c r="K1586" s="72" t="str">
        <f>VLOOKUP($C1586,Carpetas!$C$5:$M$2666,5,FALSE)</f>
        <v>Rio Branco</v>
      </c>
      <c r="L1586" s="32"/>
      <c r="M1586" s="48">
        <v>45889</v>
      </c>
      <c r="N1586" s="26">
        <f t="shared" si="104"/>
        <v>4</v>
      </c>
      <c r="O1586" s="27">
        <v>990</v>
      </c>
      <c r="P1586" s="27">
        <v>990</v>
      </c>
      <c r="Q1586" s="27">
        <v>28</v>
      </c>
      <c r="R1586" s="27">
        <v>26</v>
      </c>
      <c r="S1586" s="27" t="s">
        <v>1342</v>
      </c>
      <c r="T1586" s="27"/>
      <c r="U1586" s="27">
        <v>1065</v>
      </c>
      <c r="V1586" s="27" t="s">
        <v>4453</v>
      </c>
      <c r="W1586" s="27" t="s">
        <v>4454</v>
      </c>
      <c r="X1586" s="128"/>
      <c r="Y1586" s="73" t="e">
        <f>VLOOKUP(X1586,Choferes!$B$3:C411,2,FALSE)</f>
        <v>#N/A</v>
      </c>
      <c r="Z1586" s="73" t="s">
        <v>4455</v>
      </c>
    </row>
    <row r="1587" spans="1:26" hidden="1" x14ac:dyDescent="0.25">
      <c r="A1587" s="33">
        <v>33</v>
      </c>
      <c r="B1587" s="71" t="s">
        <v>29</v>
      </c>
      <c r="C1587" s="39" t="s">
        <v>4456</v>
      </c>
      <c r="D1587" s="106" t="s">
        <v>38</v>
      </c>
      <c r="E1587" s="47">
        <v>45884</v>
      </c>
      <c r="F1587" s="31" t="str">
        <f>VLOOKUP($C1587,Carpetas!$C$5:$M$2666,2,FALSE)</f>
        <v>BRE040</v>
      </c>
      <c r="G1587" s="23" t="str">
        <f>VLOOKUP($C1587,Carpetas!$C$5:$M$2666,10,FALSE)</f>
        <v>153,33,15</v>
      </c>
      <c r="H1587" s="27" t="str">
        <f>VLOOKUP($C1587,Carpetas!$C$5:$M$2666,6,FALSE)</f>
        <v>Miltex</v>
      </c>
      <c r="I1587" s="220">
        <f>VLOOKUP($C1587,Carpetas!$C$5:$M$2666,4,FALSE)</f>
        <v>0</v>
      </c>
      <c r="J1587" s="47">
        <v>45888</v>
      </c>
      <c r="K1587" s="72" t="str">
        <f>VLOOKUP($C1587,Carpetas!$C$5:$M$2666,5,FALSE)</f>
        <v>Rio Branco</v>
      </c>
      <c r="L1587" s="32"/>
      <c r="M1587" s="48">
        <f t="shared" ref="M1587:M1601" si="107">J1587+1</f>
        <v>45889</v>
      </c>
      <c r="N1587" s="26">
        <f t="shared" si="104"/>
        <v>5</v>
      </c>
      <c r="O1587" s="27">
        <v>24300</v>
      </c>
      <c r="P1587" s="27"/>
      <c r="Q1587" s="27"/>
      <c r="R1587" s="27"/>
      <c r="S1587" s="27"/>
      <c r="T1587" s="27"/>
      <c r="U1587" s="27">
        <v>161</v>
      </c>
      <c r="V1587" s="27" t="s">
        <v>4457</v>
      </c>
      <c r="W1587" s="27" t="s">
        <v>4458</v>
      </c>
      <c r="X1587" s="128"/>
      <c r="Y1587" s="73" t="e">
        <f>VLOOKUP(X1587,Choferes!$B$3:C419,2,FALSE)</f>
        <v>#N/A</v>
      </c>
      <c r="Z1587" s="73" t="s">
        <v>1273</v>
      </c>
    </row>
    <row r="1588" spans="1:26" hidden="1" x14ac:dyDescent="0.25">
      <c r="A1588" s="33">
        <v>34</v>
      </c>
      <c r="B1588" s="71" t="s">
        <v>29</v>
      </c>
      <c r="C1588" s="39" t="s">
        <v>4373</v>
      </c>
      <c r="D1588" s="106" t="s">
        <v>2202</v>
      </c>
      <c r="E1588" s="47">
        <v>45888</v>
      </c>
      <c r="F1588" s="31" t="str">
        <f>VLOOKUP($C1588,Carpetas!$C$5:$M$2666,2,FALSE)</f>
        <v>BRB087</v>
      </c>
      <c r="G1588" s="23" t="str">
        <f>VLOOKUP($C1588,Carpetas!$C$5:$M$2666,10,FALSE)</f>
        <v>153,19,69</v>
      </c>
      <c r="H1588" s="27" t="str">
        <f>VLOOKUP($C1588,Carpetas!$C$5:$M$2666,6,FALSE)</f>
        <v>Amaro</v>
      </c>
      <c r="I1588" s="220"/>
      <c r="J1588" s="47">
        <f>E1588+1</f>
        <v>45889</v>
      </c>
      <c r="K1588" s="72" t="str">
        <f>VLOOKUP($C1588,Carpetas!$C$5:$M$2666,5,FALSE)</f>
        <v>Rio Branco</v>
      </c>
      <c r="L1588" s="32"/>
      <c r="M1588" s="48">
        <f t="shared" si="107"/>
        <v>45890</v>
      </c>
      <c r="N1588" s="26">
        <f t="shared" si="104"/>
        <v>2</v>
      </c>
      <c r="O1588" s="27">
        <v>990</v>
      </c>
      <c r="P1588" s="27">
        <v>990</v>
      </c>
      <c r="Q1588" s="27">
        <v>28</v>
      </c>
      <c r="R1588" s="27">
        <v>26</v>
      </c>
      <c r="S1588" s="27" t="s">
        <v>4459</v>
      </c>
      <c r="T1588" s="27"/>
      <c r="U1588" s="27">
        <v>26702</v>
      </c>
      <c r="V1588" s="27" t="s">
        <v>4460</v>
      </c>
      <c r="W1588" s="27" t="s">
        <v>4461</v>
      </c>
      <c r="X1588" s="128"/>
      <c r="Y1588" s="73" t="e">
        <f>VLOOKUP(X1588,Choferes!$B$3:C423,2,FALSE)</f>
        <v>#N/A</v>
      </c>
      <c r="Z1588" s="73" t="s">
        <v>4462</v>
      </c>
    </row>
    <row r="1589" spans="1:26" hidden="1" x14ac:dyDescent="0.25">
      <c r="A1589" s="33">
        <v>34</v>
      </c>
      <c r="B1589" s="71" t="s">
        <v>29</v>
      </c>
      <c r="C1589" s="39" t="s">
        <v>4426</v>
      </c>
      <c r="D1589" s="106" t="s">
        <v>803</v>
      </c>
      <c r="E1589" s="47">
        <v>45887</v>
      </c>
      <c r="F1589" s="31" t="str">
        <f>VLOOKUP($C1589,Carpetas!$C$5:$M$2666,2,FALSE)</f>
        <v>BRB090</v>
      </c>
      <c r="G1589" s="23" t="str">
        <f>VLOOKUP($C1589,Carpetas!$C$5:$M$2666,10,FALSE)</f>
        <v>153,30,66</v>
      </c>
      <c r="H1589" s="27" t="str">
        <f>VLOOKUP($C1589,Carpetas!$C$5:$M$2666,6,FALSE)</f>
        <v>FG</v>
      </c>
      <c r="I1589" s="220"/>
      <c r="J1589" s="47">
        <f>E1589+2</f>
        <v>45889</v>
      </c>
      <c r="K1589" s="72" t="str">
        <f>VLOOKUP($C1589,Carpetas!$C$5:$M$2666,5,FALSE)</f>
        <v>Rio Branco</v>
      </c>
      <c r="L1589" s="32"/>
      <c r="M1589" s="48">
        <f t="shared" si="107"/>
        <v>45890</v>
      </c>
      <c r="N1589" s="26">
        <f t="shared" si="104"/>
        <v>3</v>
      </c>
      <c r="O1589" s="27">
        <v>990</v>
      </c>
      <c r="P1589" s="27">
        <v>990</v>
      </c>
      <c r="Q1589" s="27">
        <v>28</v>
      </c>
      <c r="R1589" s="27">
        <v>26</v>
      </c>
      <c r="S1589" s="27" t="s">
        <v>4463</v>
      </c>
      <c r="T1589" s="27"/>
      <c r="U1589" s="27">
        <v>1066</v>
      </c>
      <c r="V1589" s="27" t="s">
        <v>1645</v>
      </c>
      <c r="W1589" s="27" t="s">
        <v>1631</v>
      </c>
      <c r="X1589" s="128" t="s">
        <v>3808</v>
      </c>
      <c r="Y1589" s="73" t="str">
        <f>VLOOKUP(X1589,Choferes!$B$3:C415,2,FALSE)</f>
        <v>+55 53 8412-9466</v>
      </c>
      <c r="Z1589" s="73" t="s">
        <v>4464</v>
      </c>
    </row>
    <row r="1590" spans="1:26" hidden="1" x14ac:dyDescent="0.25">
      <c r="A1590" s="33">
        <v>34</v>
      </c>
      <c r="B1590" s="71" t="s">
        <v>29</v>
      </c>
      <c r="C1590" s="39" t="s">
        <v>4465</v>
      </c>
      <c r="D1590" s="106" t="s">
        <v>2474</v>
      </c>
      <c r="E1590" s="47">
        <v>45888</v>
      </c>
      <c r="F1590" s="31" t="str">
        <f>VLOOKUP($C1590,Carpetas!$C$5:$M$2666,2,FALSE)</f>
        <v>BRB092</v>
      </c>
      <c r="G1590" s="23" t="str">
        <f>VLOOKUP($C1590,Carpetas!$C$5:$M$2666,10,FALSE)</f>
        <v>153,36,54</v>
      </c>
      <c r="H1590" s="27" t="str">
        <f>VLOOKUP($C1590,Carpetas!$C$5:$M$2666,6,FALSE)</f>
        <v>FG</v>
      </c>
      <c r="I1590" s="220"/>
      <c r="J1590" s="47">
        <f>E1590+2</f>
        <v>45890</v>
      </c>
      <c r="K1590" s="72" t="str">
        <f>VLOOKUP($C1590,Carpetas!$C$5:$M$2666,5,FALSE)</f>
        <v>Rio Branco</v>
      </c>
      <c r="L1590" s="32"/>
      <c r="M1590" s="48">
        <f t="shared" si="107"/>
        <v>45891</v>
      </c>
      <c r="N1590" s="26">
        <f t="shared" si="104"/>
        <v>3</v>
      </c>
      <c r="O1590" s="27">
        <v>990</v>
      </c>
      <c r="P1590" s="27">
        <v>990</v>
      </c>
      <c r="Q1590" s="27">
        <v>28</v>
      </c>
      <c r="R1590" s="27">
        <v>26</v>
      </c>
      <c r="S1590" s="27" t="s">
        <v>4466</v>
      </c>
      <c r="T1590" s="27"/>
      <c r="U1590" s="27">
        <v>1068</v>
      </c>
      <c r="V1590" s="27" t="s">
        <v>1042</v>
      </c>
      <c r="W1590" s="27" t="s">
        <v>3818</v>
      </c>
      <c r="X1590" s="128" t="s">
        <v>1623</v>
      </c>
      <c r="Y1590" s="73" t="str">
        <f>VLOOKUP(X1590,Choferes!$B$3:C414,2,FALSE)</f>
        <v>+5553991254560</v>
      </c>
      <c r="Z1590" s="73" t="s">
        <v>4467</v>
      </c>
    </row>
    <row r="1591" spans="1:26" hidden="1" x14ac:dyDescent="0.25">
      <c r="A1591" s="33">
        <v>34</v>
      </c>
      <c r="B1591" s="71" t="s">
        <v>29</v>
      </c>
      <c r="C1591" s="39" t="s">
        <v>4465</v>
      </c>
      <c r="D1591" s="106" t="s">
        <v>2474</v>
      </c>
      <c r="E1591" s="47">
        <v>45889</v>
      </c>
      <c r="F1591" s="31" t="str">
        <f>VLOOKUP($C1591,Carpetas!$C$5:$M$2666,2,FALSE)</f>
        <v>BRB092</v>
      </c>
      <c r="G1591" s="23" t="str">
        <f>VLOOKUP($C1591,Carpetas!$C$5:$M$2666,10,FALSE)</f>
        <v>153,36,54</v>
      </c>
      <c r="H1591" s="27" t="str">
        <f>VLOOKUP($C1591,Carpetas!$C$5:$M$2666,6,FALSE)</f>
        <v>FG</v>
      </c>
      <c r="I1591" s="220"/>
      <c r="J1591" s="47">
        <v>45890</v>
      </c>
      <c r="K1591" s="72" t="str">
        <f>VLOOKUP($C1591,Carpetas!$C$5:$M$2666,5,FALSE)</f>
        <v>Rio Branco</v>
      </c>
      <c r="L1591" s="32"/>
      <c r="M1591" s="48">
        <f t="shared" si="107"/>
        <v>45891</v>
      </c>
      <c r="N1591" s="26">
        <f t="shared" si="104"/>
        <v>2</v>
      </c>
      <c r="O1591" s="27">
        <v>990</v>
      </c>
      <c r="P1591" s="27"/>
      <c r="Q1591" s="27"/>
      <c r="R1591" s="27"/>
      <c r="S1591" s="27" t="s">
        <v>4468</v>
      </c>
      <c r="T1591" s="27"/>
      <c r="U1591" s="27">
        <v>1073</v>
      </c>
      <c r="V1591" s="27" t="s">
        <v>1636</v>
      </c>
      <c r="W1591" s="27" t="s">
        <v>1736</v>
      </c>
      <c r="X1591" s="128" t="s">
        <v>1413</v>
      </c>
      <c r="Y1591" s="73" t="str">
        <f>VLOOKUP(X1591,Choferes!$B$3:C416,2,FALSE)</f>
        <v>+59899406679</v>
      </c>
      <c r="Z1591" s="73" t="s">
        <v>4469</v>
      </c>
    </row>
    <row r="1592" spans="1:26" hidden="1" x14ac:dyDescent="0.25">
      <c r="A1592" s="33">
        <v>34</v>
      </c>
      <c r="B1592" s="71" t="s">
        <v>29</v>
      </c>
      <c r="C1592" s="39" t="s">
        <v>4465</v>
      </c>
      <c r="D1592" s="106" t="s">
        <v>110</v>
      </c>
      <c r="E1592" s="47">
        <v>45889</v>
      </c>
      <c r="F1592" s="31" t="str">
        <f>VLOOKUP($C1592,Carpetas!$C$5:$M$2666,2,FALSE)</f>
        <v>BRB092</v>
      </c>
      <c r="G1592" s="23" t="str">
        <f>VLOOKUP($C1592,Carpetas!$C$5:$M$2666,10,FALSE)</f>
        <v>153,36,54</v>
      </c>
      <c r="H1592" s="27" t="str">
        <f>VLOOKUP($C1592,Carpetas!$C$5:$M$2666,6,FALSE)</f>
        <v>FG</v>
      </c>
      <c r="I1592" s="220"/>
      <c r="J1592" s="47">
        <v>45890</v>
      </c>
      <c r="K1592" s="72" t="str">
        <f>VLOOKUP($C1592,Carpetas!$C$5:$M$2666,5,FALSE)</f>
        <v>Rio Branco</v>
      </c>
      <c r="L1592" s="32"/>
      <c r="M1592" s="48">
        <f t="shared" si="107"/>
        <v>45891</v>
      </c>
      <c r="N1592" s="26">
        <f t="shared" si="104"/>
        <v>2</v>
      </c>
      <c r="O1592" s="27">
        <v>990</v>
      </c>
      <c r="P1592" s="27">
        <v>991</v>
      </c>
      <c r="Q1592" s="27">
        <v>28</v>
      </c>
      <c r="R1592" s="27">
        <v>26</v>
      </c>
      <c r="S1592" s="27" t="s">
        <v>4470</v>
      </c>
      <c r="T1592" s="27"/>
      <c r="U1592" s="27">
        <v>1071</v>
      </c>
      <c r="V1592" s="27" t="s">
        <v>3572</v>
      </c>
      <c r="W1592" s="27" t="s">
        <v>1723</v>
      </c>
      <c r="X1592" s="128" t="s">
        <v>1495</v>
      </c>
      <c r="Y1592" s="73" t="str">
        <f>VLOOKUP(X1592,Choferes!$B$3:C408,2,FALSE)</f>
        <v>+5553984382803</v>
      </c>
      <c r="Z1592" s="73" t="s">
        <v>4471</v>
      </c>
    </row>
    <row r="1593" spans="1:26" hidden="1" x14ac:dyDescent="0.25">
      <c r="A1593" s="33">
        <v>34</v>
      </c>
      <c r="B1593" s="71" t="s">
        <v>29</v>
      </c>
      <c r="C1593" s="39" t="s">
        <v>4465</v>
      </c>
      <c r="D1593" s="106" t="s">
        <v>803</v>
      </c>
      <c r="E1593" s="47">
        <v>45889</v>
      </c>
      <c r="F1593" s="31" t="str">
        <f>VLOOKUP($C1593,Carpetas!$C$5:$M$2666,2,FALSE)</f>
        <v>BRB092</v>
      </c>
      <c r="G1593" s="23" t="str">
        <f>VLOOKUP($C1593,Carpetas!$C$5:$M$2666,10,FALSE)</f>
        <v>153,36,54</v>
      </c>
      <c r="H1593" s="27" t="str">
        <f>VLOOKUP($C1593,Carpetas!$C$5:$M$2666,6,FALSE)</f>
        <v>FG</v>
      </c>
      <c r="I1593" s="220"/>
      <c r="J1593" s="47">
        <v>45890</v>
      </c>
      <c r="K1593" s="72" t="str">
        <f>VLOOKUP($C1593,Carpetas!$C$5:$M$2666,5,FALSE)</f>
        <v>Rio Branco</v>
      </c>
      <c r="L1593" s="32"/>
      <c r="M1593" s="48">
        <f t="shared" si="107"/>
        <v>45891</v>
      </c>
      <c r="N1593" s="26">
        <f t="shared" si="104"/>
        <v>2</v>
      </c>
      <c r="O1593" s="27">
        <v>990</v>
      </c>
      <c r="P1593" s="27">
        <v>990</v>
      </c>
      <c r="Q1593" s="27">
        <v>28</v>
      </c>
      <c r="R1593" s="27">
        <v>26</v>
      </c>
      <c r="S1593" s="27" t="s">
        <v>4472</v>
      </c>
      <c r="T1593" s="27"/>
      <c r="U1593" s="27">
        <v>1072</v>
      </c>
      <c r="V1593" s="27" t="s">
        <v>1722</v>
      </c>
      <c r="W1593" s="27" t="s">
        <v>1637</v>
      </c>
      <c r="X1593" s="128" t="s">
        <v>2119</v>
      </c>
      <c r="Y1593" s="73" t="str">
        <f>VLOOKUP(X1593,Choferes!$B$3:C417,2,FALSE)</f>
        <v>+5553981528085</v>
      </c>
      <c r="Z1593" s="73" t="s">
        <v>4473</v>
      </c>
    </row>
    <row r="1594" spans="1:26" hidden="1" x14ac:dyDescent="0.25">
      <c r="A1594" s="33">
        <v>34</v>
      </c>
      <c r="B1594" s="71" t="s">
        <v>29</v>
      </c>
      <c r="C1594" s="39" t="s">
        <v>4474</v>
      </c>
      <c r="D1594" s="106" t="s">
        <v>48</v>
      </c>
      <c r="E1594" s="47">
        <v>45888</v>
      </c>
      <c r="F1594" s="31" t="str">
        <f>VLOOKUP($C1594,Carpetas!$C$5:$M$2666,2,FALSE)</f>
        <v>PYB030</v>
      </c>
      <c r="G1594" s="23" t="str">
        <f>VLOOKUP($C1594,Carpetas!$C$5:$M$2666,10,FALSE)</f>
        <v>153,35,37</v>
      </c>
      <c r="H1594" s="27">
        <f>VLOOKUP($C1594,Carpetas!$C$5:$M$2666,6,FALSE)</f>
        <v>0</v>
      </c>
      <c r="I1594" s="220"/>
      <c r="J1594" s="47">
        <v>45891</v>
      </c>
      <c r="K1594" s="72" t="str">
        <f>VLOOKUP($C1594,Carpetas!$C$5:$M$2666,5,FALSE)</f>
        <v>Salto</v>
      </c>
      <c r="L1594" s="32"/>
      <c r="M1594" s="48">
        <f t="shared" si="107"/>
        <v>45892</v>
      </c>
      <c r="N1594" s="26">
        <f t="shared" si="104"/>
        <v>4</v>
      </c>
      <c r="O1594" s="27">
        <v>960</v>
      </c>
      <c r="P1594" s="27">
        <v>960</v>
      </c>
      <c r="Q1594" s="27">
        <v>28</v>
      </c>
      <c r="R1594" s="27">
        <v>26</v>
      </c>
      <c r="S1594" s="27" t="s">
        <v>4475</v>
      </c>
      <c r="T1594" s="27"/>
      <c r="U1594" s="27"/>
      <c r="V1594" s="27"/>
      <c r="W1594" s="27"/>
      <c r="X1594" s="128"/>
      <c r="Y1594" s="73" t="e">
        <f>VLOOKUP(X1594,Choferes!$B$3:C419,2,FALSE)</f>
        <v>#N/A</v>
      </c>
      <c r="Z1594" s="73" t="s">
        <v>4476</v>
      </c>
    </row>
    <row r="1595" spans="1:26" hidden="1" x14ac:dyDescent="0.25">
      <c r="A1595" s="33">
        <v>34</v>
      </c>
      <c r="B1595" s="71" t="s">
        <v>29</v>
      </c>
      <c r="C1595" s="39" t="s">
        <v>4477</v>
      </c>
      <c r="D1595" s="106" t="s">
        <v>2202</v>
      </c>
      <c r="E1595" s="47">
        <v>45890</v>
      </c>
      <c r="F1595" s="31" t="str">
        <f>VLOOKUP($C1595,Carpetas!$C$5:$M$2666,2,FALSE)</f>
        <v>BRB093</v>
      </c>
      <c r="G1595" s="23" t="str">
        <f>VLOOKUP($C1595,Carpetas!$C$5:$M$2666,10,FALSE)</f>
        <v>153,39,38</v>
      </c>
      <c r="H1595" s="27" t="str">
        <f>VLOOKUP($C1595,Carpetas!$C$5:$M$2666,6,FALSE)</f>
        <v>Chabat</v>
      </c>
      <c r="I1595" s="220"/>
      <c r="J1595" s="47">
        <v>45893</v>
      </c>
      <c r="K1595" s="72" t="str">
        <f>VLOOKUP($C1595,Carpetas!$C$5:$M$2666,5,FALSE)</f>
        <v>Chuy</v>
      </c>
      <c r="L1595" s="32"/>
      <c r="M1595" s="48">
        <f t="shared" si="107"/>
        <v>45894</v>
      </c>
      <c r="N1595" s="26">
        <f t="shared" si="104"/>
        <v>4</v>
      </c>
      <c r="O1595" s="27">
        <v>990</v>
      </c>
      <c r="P1595" s="27">
        <v>991</v>
      </c>
      <c r="Q1595" s="27">
        <v>28</v>
      </c>
      <c r="R1595" s="27">
        <v>26</v>
      </c>
      <c r="S1595" s="27" t="s">
        <v>4478</v>
      </c>
      <c r="T1595" s="27"/>
      <c r="U1595" s="27"/>
      <c r="V1595" s="27"/>
      <c r="W1595" s="27"/>
      <c r="X1595" s="128"/>
      <c r="Y1595" s="73" t="e">
        <f>VLOOKUP(X1595,Choferes!$B$3:C424,2,FALSE)</f>
        <v>#N/A</v>
      </c>
      <c r="Z1595" s="73" t="s">
        <v>4479</v>
      </c>
    </row>
    <row r="1596" spans="1:26" hidden="1" x14ac:dyDescent="0.25">
      <c r="A1596" s="33">
        <v>34</v>
      </c>
      <c r="B1596" s="71" t="s">
        <v>29</v>
      </c>
      <c r="C1596" s="39" t="s">
        <v>4448</v>
      </c>
      <c r="D1596" s="106" t="s">
        <v>110</v>
      </c>
      <c r="E1596" s="47">
        <v>45891</v>
      </c>
      <c r="F1596" s="31" t="str">
        <f>VLOOKUP($C1596,Carpetas!$C$5:$M$2666,2,FALSE)</f>
        <v>BRB091</v>
      </c>
      <c r="G1596" s="23" t="str">
        <f>VLOOKUP($C1596,Carpetas!$C$5:$M$2666,10,FALSE)</f>
        <v>153,32,80</v>
      </c>
      <c r="H1596" s="27" t="str">
        <f>VLOOKUP($C1596,Carpetas!$C$5:$M$2666,6,FALSE)</f>
        <v>Zanini</v>
      </c>
      <c r="I1596" s="220"/>
      <c r="J1596" s="47">
        <f t="shared" ref="J1596:J1601" si="108">E1596+2</f>
        <v>45893</v>
      </c>
      <c r="K1596" s="72" t="str">
        <f>VLOOKUP($C1596,Carpetas!$C$5:$M$2666,5,FALSE)</f>
        <v>Rio Branco</v>
      </c>
      <c r="L1596" s="32"/>
      <c r="M1596" s="48">
        <f t="shared" si="107"/>
        <v>45894</v>
      </c>
      <c r="N1596" s="26">
        <f t="shared" si="104"/>
        <v>3</v>
      </c>
      <c r="O1596" s="27">
        <v>918</v>
      </c>
      <c r="P1596" s="27">
        <v>919</v>
      </c>
      <c r="Q1596" s="27">
        <v>26</v>
      </c>
      <c r="R1596" s="27">
        <v>25</v>
      </c>
      <c r="S1596" s="27" t="s">
        <v>4480</v>
      </c>
      <c r="T1596" s="27"/>
      <c r="U1596" s="27">
        <v>5454</v>
      </c>
      <c r="V1596" s="27" t="s">
        <v>89</v>
      </c>
      <c r="W1596" s="27" t="s">
        <v>90</v>
      </c>
      <c r="X1596" s="128" t="s">
        <v>229</v>
      </c>
      <c r="Y1596" s="73" t="str">
        <f>VLOOKUP(X1596,Choferes!$B$3:C413,2,FALSE)</f>
        <v>+5555996886269</v>
      </c>
      <c r="Z1596" s="73" t="s">
        <v>4481</v>
      </c>
    </row>
    <row r="1597" spans="1:26" hidden="1" x14ac:dyDescent="0.25">
      <c r="A1597" s="33">
        <v>34</v>
      </c>
      <c r="B1597" s="71" t="s">
        <v>29</v>
      </c>
      <c r="C1597" s="39" t="s">
        <v>4465</v>
      </c>
      <c r="D1597" s="106" t="s">
        <v>2474</v>
      </c>
      <c r="E1597" s="47">
        <v>45891</v>
      </c>
      <c r="F1597" s="31" t="str">
        <f>VLOOKUP($C1597,Carpetas!$C$5:$M$2666,2,FALSE)</f>
        <v>BRB092</v>
      </c>
      <c r="G1597" s="23" t="str">
        <f>VLOOKUP($C1597,Carpetas!$C$5:$M$2666,10,FALSE)</f>
        <v>153,36,54</v>
      </c>
      <c r="H1597" s="27" t="str">
        <f>VLOOKUP($C1597,Carpetas!$C$5:$M$2666,6,FALSE)</f>
        <v>FG</v>
      </c>
      <c r="I1597" s="220"/>
      <c r="J1597" s="47">
        <f t="shared" si="108"/>
        <v>45893</v>
      </c>
      <c r="K1597" s="72" t="str">
        <f>VLOOKUP($C1597,Carpetas!$C$5:$M$2666,5,FALSE)</f>
        <v>Rio Branco</v>
      </c>
      <c r="L1597" s="32"/>
      <c r="M1597" s="48">
        <f t="shared" si="107"/>
        <v>45894</v>
      </c>
      <c r="N1597" s="26">
        <f t="shared" si="104"/>
        <v>3</v>
      </c>
      <c r="O1597" s="27">
        <v>990</v>
      </c>
      <c r="P1597" s="27">
        <v>990</v>
      </c>
      <c r="Q1597" s="27">
        <v>28</v>
      </c>
      <c r="R1597" s="27">
        <v>26</v>
      </c>
      <c r="S1597" s="27" t="s">
        <v>4482</v>
      </c>
      <c r="T1597" s="27"/>
      <c r="U1597" s="27">
        <v>1077</v>
      </c>
      <c r="V1597" s="27" t="s">
        <v>1726</v>
      </c>
      <c r="W1597" s="27" t="s">
        <v>1646</v>
      </c>
      <c r="X1597" s="128" t="s">
        <v>1576</v>
      </c>
      <c r="Y1597" s="73" t="str">
        <f>VLOOKUP(X1597,Choferes!$B$3:C418,2,FALSE)</f>
        <v>+55119971489722</v>
      </c>
      <c r="Z1597" s="73" t="s">
        <v>4483</v>
      </c>
    </row>
    <row r="1598" spans="1:26" hidden="1" x14ac:dyDescent="0.25">
      <c r="A1598" s="33">
        <v>34</v>
      </c>
      <c r="B1598" s="71" t="s">
        <v>298</v>
      </c>
      <c r="C1598" s="39" t="s">
        <v>299</v>
      </c>
      <c r="D1598" s="106" t="s">
        <v>249</v>
      </c>
      <c r="E1598" s="47">
        <v>45891</v>
      </c>
      <c r="F1598" s="31" t="str">
        <f>VLOOKUP($C1598,Carpetas!$C$5:$M$2666,2,FALSE)</f>
        <v>BRB</v>
      </c>
      <c r="G1598" s="23" t="e">
        <f>VLOOKUP($C1598,Carpetas!$C$5:$M$2666,9,FALSE)</f>
        <v>#REF!</v>
      </c>
      <c r="H1598" s="27" t="str">
        <f>VLOOKUP($C1598,Carpetas!$C$5:$M$2666,5,FALSE)</f>
        <v>xx</v>
      </c>
      <c r="I1598" s="220"/>
      <c r="J1598" s="47">
        <f t="shared" si="108"/>
        <v>45893</v>
      </c>
      <c r="K1598" s="72">
        <f>VLOOKUP($C1598,Carpetas!$C$5:$M$2666,4,FALSE)</f>
        <v>0</v>
      </c>
      <c r="L1598" s="32"/>
      <c r="M1598" s="48">
        <f t="shared" si="107"/>
        <v>45894</v>
      </c>
      <c r="N1598" s="26">
        <f t="shared" si="104"/>
        <v>3</v>
      </c>
      <c r="O1598" s="27">
        <v>990</v>
      </c>
      <c r="P1598" s="27"/>
      <c r="Q1598" s="27"/>
      <c r="R1598" s="27"/>
      <c r="S1598" s="27"/>
      <c r="T1598" s="27"/>
      <c r="U1598" s="27"/>
      <c r="V1598" s="27"/>
      <c r="W1598" s="27"/>
      <c r="X1598" s="128"/>
      <c r="Y1598" s="73" t="e">
        <f>VLOOKUP(X1598,Choferes!$B$3:C424,2,FALSE)</f>
        <v>#N/A</v>
      </c>
      <c r="Z1598" s="73"/>
    </row>
    <row r="1599" spans="1:26" hidden="1" x14ac:dyDescent="0.25">
      <c r="A1599" s="33">
        <v>34</v>
      </c>
      <c r="B1599" s="71" t="s">
        <v>29</v>
      </c>
      <c r="C1599" s="39" t="s">
        <v>4465</v>
      </c>
      <c r="D1599" s="106" t="s">
        <v>747</v>
      </c>
      <c r="E1599" s="47">
        <v>45892</v>
      </c>
      <c r="F1599" s="31" t="str">
        <f>VLOOKUP($C1599,Carpetas!$C$5:$M$2666,2,FALSE)</f>
        <v>BRB092</v>
      </c>
      <c r="G1599" s="23" t="str">
        <f>VLOOKUP($C1599,Carpetas!$C$5:$M$2666,10,FALSE)</f>
        <v>153,36,54</v>
      </c>
      <c r="H1599" s="27" t="str">
        <f>VLOOKUP($C1599,Carpetas!$C$5:$M$2666,6,FALSE)</f>
        <v>FG</v>
      </c>
      <c r="I1599" s="220"/>
      <c r="J1599" s="47">
        <f t="shared" si="108"/>
        <v>45894</v>
      </c>
      <c r="K1599" s="72" t="str">
        <f>VLOOKUP($C1599,Carpetas!$C$5:$M$2666,5,FALSE)</f>
        <v>Rio Branco</v>
      </c>
      <c r="L1599" s="32"/>
      <c r="M1599" s="48">
        <f t="shared" si="107"/>
        <v>45895</v>
      </c>
      <c r="N1599" s="26">
        <f t="shared" si="104"/>
        <v>3</v>
      </c>
      <c r="O1599" s="27">
        <v>990</v>
      </c>
      <c r="P1599" s="27">
        <v>990</v>
      </c>
      <c r="Q1599" s="27">
        <v>28</v>
      </c>
      <c r="R1599" s="27">
        <v>26</v>
      </c>
      <c r="S1599" s="27" t="s">
        <v>4484</v>
      </c>
      <c r="T1599" s="27"/>
      <c r="U1599" s="27">
        <v>1079</v>
      </c>
      <c r="V1599" s="27" t="s">
        <v>1626</v>
      </c>
      <c r="W1599" s="27" t="s">
        <v>1627</v>
      </c>
      <c r="X1599" s="128" t="s">
        <v>1489</v>
      </c>
      <c r="Y1599" s="73" t="str">
        <f>VLOOKUP(X1599,Choferes!$B$3:C421,2,FALSE)</f>
        <v>+5553984039582</v>
      </c>
      <c r="Z1599" s="73" t="s">
        <v>4483</v>
      </c>
    </row>
    <row r="1600" spans="1:26" hidden="1" x14ac:dyDescent="0.25">
      <c r="A1600" s="33">
        <v>34</v>
      </c>
      <c r="B1600" s="71" t="s">
        <v>29</v>
      </c>
      <c r="C1600" s="39" t="s">
        <v>4465</v>
      </c>
      <c r="D1600" s="106" t="s">
        <v>2202</v>
      </c>
      <c r="E1600" s="47">
        <v>45892</v>
      </c>
      <c r="F1600" s="31" t="str">
        <f>VLOOKUP($C1600,Carpetas!$C$5:$M$2666,2,FALSE)</f>
        <v>BRB092</v>
      </c>
      <c r="G1600" s="23" t="str">
        <f>VLOOKUP($C1600,Carpetas!$C$5:$M$2666,10,FALSE)</f>
        <v>153,36,54</v>
      </c>
      <c r="H1600" s="27" t="str">
        <f>VLOOKUP($C1600,Carpetas!$C$5:$M$2666,6,FALSE)</f>
        <v>FG</v>
      </c>
      <c r="I1600" s="220"/>
      <c r="J1600" s="47">
        <f t="shared" si="108"/>
        <v>45894</v>
      </c>
      <c r="K1600" s="72" t="str">
        <f>VLOOKUP($C1600,Carpetas!$C$5:$M$2666,5,FALSE)</f>
        <v>Rio Branco</v>
      </c>
      <c r="L1600" s="32"/>
      <c r="M1600" s="48">
        <f t="shared" si="107"/>
        <v>45895</v>
      </c>
      <c r="N1600" s="26">
        <f t="shared" si="104"/>
        <v>3</v>
      </c>
      <c r="O1600" s="27">
        <v>990</v>
      </c>
      <c r="P1600" s="27">
        <v>990</v>
      </c>
      <c r="Q1600" s="27">
        <v>28</v>
      </c>
      <c r="R1600" s="27">
        <v>26</v>
      </c>
      <c r="S1600" s="27" t="s">
        <v>4485</v>
      </c>
      <c r="T1600" s="27"/>
      <c r="U1600" s="27">
        <v>1078</v>
      </c>
      <c r="V1600" s="27" t="s">
        <v>1430</v>
      </c>
      <c r="W1600" s="27" t="s">
        <v>1669</v>
      </c>
      <c r="X1600" s="128" t="s">
        <v>1923</v>
      </c>
      <c r="Y1600" s="73" t="str">
        <f>VLOOKUP(X1600,Choferes!$B$3:C421,2,FALSE)</f>
        <v>+5553999049426</v>
      </c>
      <c r="Z1600" s="73" t="s">
        <v>4486</v>
      </c>
    </row>
    <row r="1601" spans="1:26" hidden="1" x14ac:dyDescent="0.25">
      <c r="A1601" s="33">
        <v>34</v>
      </c>
      <c r="B1601" s="71" t="s">
        <v>298</v>
      </c>
      <c r="C1601" s="39" t="s">
        <v>299</v>
      </c>
      <c r="D1601" s="106" t="s">
        <v>803</v>
      </c>
      <c r="E1601" s="47">
        <v>45892</v>
      </c>
      <c r="F1601" s="31" t="str">
        <f>VLOOKUP($C1601,Carpetas!$C$5:$M$2666,2,FALSE)</f>
        <v>BRB</v>
      </c>
      <c r="G1601" s="23" t="e">
        <f>VLOOKUP($C1601,Carpetas!$C$5:$M$2666,9,FALSE)</f>
        <v>#REF!</v>
      </c>
      <c r="H1601" s="27" t="str">
        <f>VLOOKUP($C1601,Carpetas!$C$5:$M$2666,5,FALSE)</f>
        <v>xx</v>
      </c>
      <c r="I1601" s="220"/>
      <c r="J1601" s="47">
        <f t="shared" si="108"/>
        <v>45894</v>
      </c>
      <c r="K1601" s="72">
        <f>VLOOKUP($C1601,Carpetas!$C$5:$M$2666,4,FALSE)</f>
        <v>0</v>
      </c>
      <c r="L1601" s="32"/>
      <c r="M1601" s="48">
        <f t="shared" si="107"/>
        <v>45895</v>
      </c>
      <c r="N1601" s="26">
        <f t="shared" si="104"/>
        <v>3</v>
      </c>
      <c r="O1601" s="27">
        <v>990</v>
      </c>
      <c r="P1601" s="27"/>
      <c r="Q1601" s="27"/>
      <c r="R1601" s="27"/>
      <c r="S1601" s="27"/>
      <c r="T1601" s="27"/>
      <c r="U1601" s="27"/>
      <c r="V1601" s="27"/>
      <c r="W1601" s="27"/>
      <c r="X1601" s="128"/>
      <c r="Y1601" s="73" t="e">
        <f>VLOOKUP(X1601,Choferes!$B$3:C420,2,FALSE)</f>
        <v>#N/A</v>
      </c>
      <c r="Z1601" s="73"/>
    </row>
    <row r="1602" spans="1:26" hidden="1" x14ac:dyDescent="0.25">
      <c r="A1602" s="33">
        <v>34</v>
      </c>
      <c r="B1602" s="71" t="s">
        <v>29</v>
      </c>
      <c r="C1602" s="39" t="s">
        <v>4465</v>
      </c>
      <c r="D1602" s="106" t="s">
        <v>4487</v>
      </c>
      <c r="E1602" s="47">
        <v>45891</v>
      </c>
      <c r="F1602" s="31" t="str">
        <f>VLOOKUP($C1602,Carpetas!$C$5:$M$2666,2,FALSE)</f>
        <v>BRB092</v>
      </c>
      <c r="G1602" s="23" t="str">
        <f>VLOOKUP($C1602,Carpetas!$C$5:$M$2666,10,FALSE)</f>
        <v>153,36,54</v>
      </c>
      <c r="H1602" s="27" t="str">
        <f>VLOOKUP($C1602,Carpetas!$C$5:$M$2666,6,FALSE)</f>
        <v>FG</v>
      </c>
      <c r="I1602" s="220"/>
      <c r="J1602" s="47">
        <v>45894</v>
      </c>
      <c r="K1602" s="72" t="str">
        <f>VLOOKUP($C1602,Carpetas!$C$5:$M$2666,5,FALSE)</f>
        <v>Rio Branco</v>
      </c>
      <c r="L1602" s="32"/>
      <c r="M1602" s="48">
        <v>45896</v>
      </c>
      <c r="N1602" s="26">
        <f t="shared" si="104"/>
        <v>5</v>
      </c>
      <c r="O1602" s="27">
        <v>990</v>
      </c>
      <c r="P1602" s="27">
        <v>990</v>
      </c>
      <c r="Q1602" s="27">
        <v>28</v>
      </c>
      <c r="R1602" s="27">
        <v>26</v>
      </c>
      <c r="S1602" s="27" t="s">
        <v>4488</v>
      </c>
      <c r="T1602" s="27"/>
      <c r="U1602" s="27">
        <v>1076</v>
      </c>
      <c r="V1602" s="27" t="s">
        <v>1617</v>
      </c>
      <c r="W1602" s="27" t="s">
        <v>4489</v>
      </c>
      <c r="X1602" s="128" t="s">
        <v>1619</v>
      </c>
      <c r="Y1602" s="73" t="str">
        <f>VLOOKUP(X1602,Choferes!$B$3:C419,2,FALSE)</f>
        <v>+5553984318842</v>
      </c>
      <c r="Z1602" s="73" t="s">
        <v>4490</v>
      </c>
    </row>
    <row r="1603" spans="1:26" hidden="1" x14ac:dyDescent="0.25">
      <c r="A1603" s="33">
        <v>34</v>
      </c>
      <c r="B1603" s="71" t="s">
        <v>29</v>
      </c>
      <c r="C1603" s="39" t="s">
        <v>4239</v>
      </c>
      <c r="D1603" s="106" t="s">
        <v>953</v>
      </c>
      <c r="E1603" s="47">
        <v>45891</v>
      </c>
      <c r="F1603" s="31" t="str">
        <f>VLOOKUP($C1603,Carpetas!$C$5:$M$2666,2,FALSE)</f>
        <v>BRB079</v>
      </c>
      <c r="G1603" s="23" t="str">
        <f>VLOOKUP($C1603,Carpetas!$C$5:$M$2666,10,FALSE)</f>
        <v>153,04,74</v>
      </c>
      <c r="H1603" s="27" t="str">
        <f>VLOOKUP($C1603,Carpetas!$C$5:$M$2666,6,FALSE)</f>
        <v>Silvio</v>
      </c>
      <c r="I1603" s="220"/>
      <c r="J1603" s="47">
        <f t="shared" ref="J1603:J1608" si="109">E1603+2</f>
        <v>45893</v>
      </c>
      <c r="K1603" s="72" t="str">
        <f>VLOOKUP($C1603,Carpetas!$C$5:$M$2666,5,FALSE)</f>
        <v>Rio Branco</v>
      </c>
      <c r="L1603" s="32"/>
      <c r="M1603" s="48">
        <v>45896</v>
      </c>
      <c r="N1603" s="26">
        <f t="shared" si="104"/>
        <v>5</v>
      </c>
      <c r="O1603" s="27">
        <v>918</v>
      </c>
      <c r="P1603" s="27">
        <v>918</v>
      </c>
      <c r="Q1603" s="27">
        <v>26</v>
      </c>
      <c r="R1603" s="27">
        <v>25</v>
      </c>
      <c r="S1603" s="27" t="s">
        <v>4491</v>
      </c>
      <c r="T1603" s="27"/>
      <c r="U1603" s="27">
        <v>7476</v>
      </c>
      <c r="V1603" s="27" t="s">
        <v>3315</v>
      </c>
      <c r="W1603" s="27" t="s">
        <v>3316</v>
      </c>
      <c r="X1603" s="128" t="s">
        <v>3635</v>
      </c>
      <c r="Y1603" s="73" t="str">
        <f>VLOOKUP(X1603,Choferes!$B$3:C412,2,FALSE)</f>
        <v>+5547996273107</v>
      </c>
      <c r="Z1603" s="73" t="s">
        <v>4492</v>
      </c>
    </row>
    <row r="1604" spans="1:26" hidden="1" x14ac:dyDescent="0.25">
      <c r="A1604" s="33">
        <v>34</v>
      </c>
      <c r="B1604" s="71" t="s">
        <v>298</v>
      </c>
      <c r="C1604" s="39" t="s">
        <v>299</v>
      </c>
      <c r="D1604" s="106" t="s">
        <v>38</v>
      </c>
      <c r="E1604" s="47">
        <v>45893</v>
      </c>
      <c r="F1604" s="31" t="str">
        <f>VLOOKUP($C1604,Carpetas!$C$5:$M$2666,2,FALSE)</f>
        <v>BRB</v>
      </c>
      <c r="G1604" s="23" t="str">
        <f>VLOOKUP($C1604,Carpetas!$C$5:$M$2666,10,FALSE)</f>
        <v>xx</v>
      </c>
      <c r="H1604" s="27" t="str">
        <f>VLOOKUP($C1604,Carpetas!$C$5:$M$2666,5,FALSE)</f>
        <v>xx</v>
      </c>
      <c r="I1604" s="220">
        <f>VLOOKUP($C1604,Carpetas!$C$5:$M$2666,4,FALSE)</f>
        <v>0</v>
      </c>
      <c r="J1604" s="47">
        <f t="shared" si="109"/>
        <v>45895</v>
      </c>
      <c r="K1604" s="72" t="str">
        <f>VLOOKUP($C1604,Carpetas!$C$5:$M$2666,5,FALSE)</f>
        <v>xx</v>
      </c>
      <c r="L1604" s="32"/>
      <c r="M1604" s="48">
        <f t="shared" ref="M1604:M1625" si="110">J1604+1</f>
        <v>45896</v>
      </c>
      <c r="N1604" s="26">
        <f t="shared" si="104"/>
        <v>3</v>
      </c>
      <c r="O1604" s="27">
        <v>1400</v>
      </c>
      <c r="P1604" s="27"/>
      <c r="Q1604" s="27"/>
      <c r="R1604" s="27"/>
      <c r="S1604" s="27"/>
      <c r="T1604" s="27"/>
      <c r="U1604" s="27"/>
      <c r="V1604" s="27"/>
      <c r="W1604" s="27"/>
      <c r="X1604" s="128"/>
      <c r="Y1604" s="73" t="e">
        <f>VLOOKUP(X1604,Choferes!$B$3:C409,2,FALSE)</f>
        <v>#N/A</v>
      </c>
      <c r="Z1604" s="73"/>
    </row>
    <row r="1605" spans="1:26" hidden="1" x14ac:dyDescent="0.25">
      <c r="A1605" s="33">
        <v>35</v>
      </c>
      <c r="B1605" s="71" t="s">
        <v>29</v>
      </c>
      <c r="C1605" s="39" t="s">
        <v>4465</v>
      </c>
      <c r="D1605" s="106" t="s">
        <v>249</v>
      </c>
      <c r="E1605" s="47">
        <v>45895</v>
      </c>
      <c r="F1605" s="31" t="str">
        <f>VLOOKUP($C1605,Carpetas!$C$5:$M$2666,2,FALSE)</f>
        <v>BRB092</v>
      </c>
      <c r="G1605" s="23" t="str">
        <f>VLOOKUP($C1605,Carpetas!$C$5:$M$2666,10,FALSE)</f>
        <v>153,36,54</v>
      </c>
      <c r="H1605" s="27" t="str">
        <f>VLOOKUP($C1605,Carpetas!$C$5:$M$2666,6,FALSE)</f>
        <v>FG</v>
      </c>
      <c r="I1605" s="220"/>
      <c r="J1605" s="47">
        <f t="shared" si="109"/>
        <v>45897</v>
      </c>
      <c r="K1605" s="72" t="str">
        <f>VLOOKUP($C1605,Carpetas!$C$5:$M$2666,5,FALSE)</f>
        <v>Rio Branco</v>
      </c>
      <c r="L1605" s="32"/>
      <c r="M1605" s="48">
        <f t="shared" si="110"/>
        <v>45898</v>
      </c>
      <c r="N1605" s="26">
        <f t="shared" si="104"/>
        <v>3</v>
      </c>
      <c r="O1605" s="27">
        <v>990</v>
      </c>
      <c r="P1605" s="27">
        <v>990</v>
      </c>
      <c r="Q1605" s="27">
        <v>28</v>
      </c>
      <c r="R1605" s="27">
        <v>26</v>
      </c>
      <c r="S1605" s="27" t="s">
        <v>4493</v>
      </c>
      <c r="T1605" s="27"/>
      <c r="U1605" s="27">
        <v>1081</v>
      </c>
      <c r="V1605" s="27" t="s">
        <v>4193</v>
      </c>
      <c r="W1605" s="27" t="s">
        <v>4194</v>
      </c>
      <c r="X1605" s="128" t="s">
        <v>4195</v>
      </c>
      <c r="Y1605" s="73" t="str">
        <f>VLOOKUP(X1605,Choferes!$B$3:C416,2,FALSE)</f>
        <v>+55 53 9972-5431</v>
      </c>
      <c r="Z1605" s="73" t="s">
        <v>4494</v>
      </c>
    </row>
    <row r="1606" spans="1:26" ht="30" hidden="1" x14ac:dyDescent="0.25">
      <c r="A1606" s="33">
        <v>35</v>
      </c>
      <c r="B1606" s="71" t="s">
        <v>29</v>
      </c>
      <c r="C1606" s="39" t="s">
        <v>4448</v>
      </c>
      <c r="D1606" s="106" t="s">
        <v>2474</v>
      </c>
      <c r="E1606" s="47">
        <v>45896</v>
      </c>
      <c r="F1606" s="31" t="str">
        <f>VLOOKUP($C1606,Carpetas!$C$5:$M$2666,2,FALSE)</f>
        <v>BRB091</v>
      </c>
      <c r="G1606" s="23" t="str">
        <f>VLOOKUP($C1606,Carpetas!$C$5:$M$2666,10,FALSE)</f>
        <v>153,32,80</v>
      </c>
      <c r="H1606" s="27" t="str">
        <f>VLOOKUP($C1606,Carpetas!$C$5:$M$2666,6,FALSE)</f>
        <v>Zanini</v>
      </c>
      <c r="I1606" s="220"/>
      <c r="J1606" s="47">
        <f t="shared" si="109"/>
        <v>45898</v>
      </c>
      <c r="K1606" s="72" t="str">
        <f>VLOOKUP($C1606,Carpetas!$C$5:$M$2666,5,FALSE)</f>
        <v>Rio Branco</v>
      </c>
      <c r="L1606" s="32"/>
      <c r="M1606" s="48">
        <f t="shared" si="110"/>
        <v>45899</v>
      </c>
      <c r="N1606" s="26">
        <f t="shared" si="104"/>
        <v>3</v>
      </c>
      <c r="O1606" s="27">
        <v>918</v>
      </c>
      <c r="P1606" s="27">
        <v>918</v>
      </c>
      <c r="Q1606" s="27">
        <v>26</v>
      </c>
      <c r="R1606" s="27">
        <v>25</v>
      </c>
      <c r="S1606" s="27" t="s">
        <v>4495</v>
      </c>
      <c r="T1606" s="27"/>
      <c r="U1606" s="27">
        <v>5467</v>
      </c>
      <c r="V1606" s="27" t="s">
        <v>2493</v>
      </c>
      <c r="W1606" s="27" t="s">
        <v>2494</v>
      </c>
      <c r="X1606" s="128" t="s">
        <v>4005</v>
      </c>
      <c r="Y1606" s="73" t="str">
        <f>VLOOKUP(X1606,Choferes!$B$3:C411,2,FALSE)</f>
        <v>+55 55 8428-9650</v>
      </c>
      <c r="Z1606" s="73" t="s">
        <v>4496</v>
      </c>
    </row>
    <row r="1607" spans="1:26" ht="30" hidden="1" x14ac:dyDescent="0.25">
      <c r="A1607" s="33">
        <v>35</v>
      </c>
      <c r="B1607" s="71" t="s">
        <v>29</v>
      </c>
      <c r="C1607" s="39" t="s">
        <v>4497</v>
      </c>
      <c r="D1607" s="106" t="s">
        <v>803</v>
      </c>
      <c r="E1607" s="47">
        <v>45896</v>
      </c>
      <c r="F1607" s="31" t="str">
        <f>VLOOKUP($C1607,Carpetas!$C$5:$M$2666,2,FALSE)</f>
        <v>BRB094</v>
      </c>
      <c r="G1607" s="23" t="str">
        <f>VLOOKUP($C1607,Carpetas!$C$5:$M$2666,10,FALSE)</f>
        <v>153.43.49</v>
      </c>
      <c r="H1607" s="27" t="str">
        <f>VLOOKUP($C1607,Carpetas!$C$5:$M$2666,6,FALSE)</f>
        <v>FG</v>
      </c>
      <c r="I1607" s="220"/>
      <c r="J1607" s="47">
        <f t="shared" si="109"/>
        <v>45898</v>
      </c>
      <c r="K1607" s="72" t="str">
        <f>VLOOKUP($C1607,Carpetas!$C$5:$M$2666,5,FALSE)</f>
        <v>Rio Branco</v>
      </c>
      <c r="L1607" s="32"/>
      <c r="M1607" s="48">
        <f t="shared" si="110"/>
        <v>45899</v>
      </c>
      <c r="N1607" s="26">
        <f t="shared" si="104"/>
        <v>3</v>
      </c>
      <c r="O1607" s="27">
        <v>990</v>
      </c>
      <c r="P1607" s="27">
        <v>990</v>
      </c>
      <c r="Q1607" s="27">
        <v>28</v>
      </c>
      <c r="R1607" s="27">
        <v>25</v>
      </c>
      <c r="S1607" s="27" t="s">
        <v>4498</v>
      </c>
      <c r="T1607" s="27"/>
      <c r="U1607" s="27">
        <v>1087</v>
      </c>
      <c r="V1607" s="27" t="s">
        <v>911</v>
      </c>
      <c r="W1607" s="27" t="s">
        <v>1622</v>
      </c>
      <c r="X1607" s="128" t="s">
        <v>1397</v>
      </c>
      <c r="Y1607" s="73" t="str">
        <f>VLOOKUP(X1607,Choferes!$B$3:C413,2,FALSE)</f>
        <v>+5551996322594</v>
      </c>
      <c r="Z1607" s="73" t="s">
        <v>4499</v>
      </c>
    </row>
    <row r="1608" spans="1:26" hidden="1" x14ac:dyDescent="0.25">
      <c r="A1608" s="33">
        <v>35</v>
      </c>
      <c r="B1608" s="71" t="s">
        <v>29</v>
      </c>
      <c r="C1608" s="39" t="s">
        <v>4477</v>
      </c>
      <c r="D1608" s="106" t="s">
        <v>110</v>
      </c>
      <c r="E1608" s="47">
        <v>45896</v>
      </c>
      <c r="F1608" s="31" t="str">
        <f>VLOOKUP($C1608,Carpetas!$C$5:$M$2666,2,FALSE)</f>
        <v>BRB093</v>
      </c>
      <c r="G1608" s="23" t="str">
        <f>VLOOKUP($C1608,Carpetas!$C$5:$M$2666,10,FALSE)</f>
        <v>153,39,38</v>
      </c>
      <c r="H1608" s="27" t="str">
        <f>VLOOKUP($C1608,Carpetas!$C$5:$M$2666,6,FALSE)</f>
        <v>Chabat</v>
      </c>
      <c r="I1608" s="220"/>
      <c r="J1608" s="47">
        <f t="shared" si="109"/>
        <v>45898</v>
      </c>
      <c r="K1608" s="72" t="str">
        <f>VLOOKUP($C1608,Carpetas!$C$5:$M$2666,5,FALSE)</f>
        <v>Chuy</v>
      </c>
      <c r="L1608" s="32"/>
      <c r="M1608" s="48">
        <f t="shared" si="110"/>
        <v>45899</v>
      </c>
      <c r="N1608" s="26">
        <f t="shared" si="104"/>
        <v>3</v>
      </c>
      <c r="O1608" s="27">
        <v>990</v>
      </c>
      <c r="P1608" s="27">
        <v>991</v>
      </c>
      <c r="Q1608" s="27">
        <v>28</v>
      </c>
      <c r="R1608" s="27">
        <v>26</v>
      </c>
      <c r="S1608" s="27" t="s">
        <v>4500</v>
      </c>
      <c r="T1608" s="27"/>
      <c r="U1608" s="27"/>
      <c r="V1608" s="27"/>
      <c r="W1608" s="27"/>
      <c r="X1608" s="128"/>
      <c r="Y1608" s="73" t="e">
        <f>VLOOKUP(X1608,Choferes!$B$3:C421,2,FALSE)</f>
        <v>#N/A</v>
      </c>
      <c r="Z1608" s="73" t="s">
        <v>4501</v>
      </c>
    </row>
    <row r="1609" spans="1:26" hidden="1" x14ac:dyDescent="0.25">
      <c r="A1609" s="33">
        <v>35</v>
      </c>
      <c r="B1609" s="71" t="s">
        <v>29</v>
      </c>
      <c r="C1609" s="39" t="s">
        <v>4497</v>
      </c>
      <c r="D1609" s="106" t="s">
        <v>2202</v>
      </c>
      <c r="E1609" s="47">
        <v>45897</v>
      </c>
      <c r="F1609" s="31" t="str">
        <f>VLOOKUP($C1609,Carpetas!$C$5:$M$2666,2,FALSE)</f>
        <v>BRB094</v>
      </c>
      <c r="G1609" s="23" t="str">
        <f>VLOOKUP($C1609,Carpetas!$C$5:$M$2666,10,FALSE)</f>
        <v>153.43.49</v>
      </c>
      <c r="H1609" s="27" t="str">
        <f>VLOOKUP($C1609,Carpetas!$C$5:$M$2666,6,FALSE)</f>
        <v>FG</v>
      </c>
      <c r="I1609" s="220"/>
      <c r="J1609" s="47">
        <v>45901</v>
      </c>
      <c r="K1609" s="72" t="str">
        <f>VLOOKUP($C1609,Carpetas!$C$5:$M$2666,5,FALSE)</f>
        <v>Rio Branco</v>
      </c>
      <c r="L1609" s="32"/>
      <c r="M1609" s="48">
        <f t="shared" si="110"/>
        <v>45902</v>
      </c>
      <c r="N1609" s="26">
        <f t="shared" si="104"/>
        <v>5</v>
      </c>
      <c r="O1609" s="27">
        <v>990</v>
      </c>
      <c r="P1609" s="27">
        <v>990</v>
      </c>
      <c r="Q1609" s="27">
        <v>28</v>
      </c>
      <c r="R1609" s="27">
        <v>26</v>
      </c>
      <c r="S1609" s="27" t="s">
        <v>4502</v>
      </c>
      <c r="T1609" s="27"/>
      <c r="U1609" s="27">
        <v>1089</v>
      </c>
      <c r="V1609" s="27" t="s">
        <v>1042</v>
      </c>
      <c r="W1609" s="27" t="s">
        <v>3818</v>
      </c>
      <c r="X1609" s="128" t="s">
        <v>1623</v>
      </c>
      <c r="Y1609" s="73" t="str">
        <f>VLOOKUP(X1609,Choferes!$B$3:C417,2,FALSE)</f>
        <v>+5553991254560</v>
      </c>
      <c r="Z1609" s="73" t="s">
        <v>4503</v>
      </c>
    </row>
    <row r="1610" spans="1:26" hidden="1" x14ac:dyDescent="0.25">
      <c r="A1610" s="33">
        <v>35</v>
      </c>
      <c r="B1610" s="71" t="s">
        <v>29</v>
      </c>
      <c r="C1610" s="39" t="s">
        <v>4497</v>
      </c>
      <c r="D1610" s="106" t="s">
        <v>803</v>
      </c>
      <c r="E1610" s="47">
        <v>45898</v>
      </c>
      <c r="F1610" s="31" t="str">
        <f>VLOOKUP($C1610,Carpetas!$C$5:$M$2666,2,FALSE)</f>
        <v>BRB094</v>
      </c>
      <c r="G1610" s="23" t="str">
        <f>VLOOKUP($C1610,Carpetas!$C$5:$M$2666,10,FALSE)</f>
        <v>153.43.49</v>
      </c>
      <c r="H1610" s="27" t="str">
        <f>VLOOKUP($C1610,Carpetas!$C$5:$M$2666,6,FALSE)</f>
        <v>FG</v>
      </c>
      <c r="I1610" s="220"/>
      <c r="J1610" s="47">
        <v>45901</v>
      </c>
      <c r="K1610" s="72" t="str">
        <f>VLOOKUP($C1610,Carpetas!$C$5:$M$2666,5,FALSE)</f>
        <v>Rio Branco</v>
      </c>
      <c r="L1610" s="32"/>
      <c r="M1610" s="48">
        <f t="shared" si="110"/>
        <v>45902</v>
      </c>
      <c r="N1610" s="26">
        <f t="shared" si="104"/>
        <v>4</v>
      </c>
      <c r="O1610" s="27">
        <v>990</v>
      </c>
      <c r="P1610" s="27">
        <v>990</v>
      </c>
      <c r="Q1610" s="27">
        <v>28</v>
      </c>
      <c r="R1610" s="27">
        <v>26</v>
      </c>
      <c r="S1610" s="27" t="s">
        <v>4504</v>
      </c>
      <c r="T1610" s="27"/>
      <c r="U1610" s="27">
        <v>1092</v>
      </c>
      <c r="V1610" s="27" t="s">
        <v>1735</v>
      </c>
      <c r="W1610" s="27" t="s">
        <v>1681</v>
      </c>
      <c r="X1610" s="128" t="s">
        <v>1465</v>
      </c>
      <c r="Y1610" s="73" t="str">
        <f>VLOOKUP(X1610,Choferes!$B$3:C414,2,FALSE)</f>
        <v>+59893339027</v>
      </c>
      <c r="Z1610" s="73" t="s">
        <v>4505</v>
      </c>
    </row>
    <row r="1611" spans="1:26" hidden="1" x14ac:dyDescent="0.25">
      <c r="A1611" s="33">
        <v>35</v>
      </c>
      <c r="B1611" s="71" t="s">
        <v>29</v>
      </c>
      <c r="C1611" s="39" t="s">
        <v>4497</v>
      </c>
      <c r="D1611" s="106" t="s">
        <v>747</v>
      </c>
      <c r="E1611" s="47">
        <v>45898</v>
      </c>
      <c r="F1611" s="31" t="str">
        <f>VLOOKUP($C1611,Carpetas!$C$5:$M$2666,2,FALSE)</f>
        <v>BRB094</v>
      </c>
      <c r="G1611" s="23" t="str">
        <f>VLOOKUP($C1611,Carpetas!$C$5:$M$2666,10,FALSE)</f>
        <v>153.43.49</v>
      </c>
      <c r="H1611" s="27" t="str">
        <f>VLOOKUP($C1611,Carpetas!$C$5:$M$2666,6,FALSE)</f>
        <v>FG</v>
      </c>
      <c r="I1611" s="220"/>
      <c r="J1611" s="47">
        <v>45901</v>
      </c>
      <c r="K1611" s="72" t="str">
        <f>VLOOKUP($C1611,Carpetas!$C$5:$M$2666,5,FALSE)</f>
        <v>Rio Branco</v>
      </c>
      <c r="L1611" s="32"/>
      <c r="M1611" s="48">
        <f t="shared" si="110"/>
        <v>45902</v>
      </c>
      <c r="N1611" s="26">
        <f t="shared" si="104"/>
        <v>4</v>
      </c>
      <c r="O1611" s="27">
        <v>990</v>
      </c>
      <c r="P1611" s="27">
        <v>990</v>
      </c>
      <c r="Q1611" s="27">
        <v>26</v>
      </c>
      <c r="R1611" s="27">
        <v>28</v>
      </c>
      <c r="S1611" s="27" t="s">
        <v>4506</v>
      </c>
      <c r="T1611" s="27"/>
      <c r="U1611" s="27">
        <v>1090</v>
      </c>
      <c r="V1611" s="27" t="s">
        <v>1626</v>
      </c>
      <c r="W1611" s="27" t="s">
        <v>1627</v>
      </c>
      <c r="X1611" s="128" t="s">
        <v>1489</v>
      </c>
      <c r="Y1611" s="73" t="str">
        <f>VLOOKUP(X1611,Choferes!$B$3:C418,2,FALSE)</f>
        <v>+5553984039582</v>
      </c>
      <c r="Z1611" s="73" t="s">
        <v>4507</v>
      </c>
    </row>
    <row r="1612" spans="1:26" hidden="1" x14ac:dyDescent="0.25">
      <c r="A1612" s="33">
        <v>35</v>
      </c>
      <c r="B1612" s="71" t="s">
        <v>29</v>
      </c>
      <c r="C1612" s="39" t="s">
        <v>4373</v>
      </c>
      <c r="D1612" s="106" t="s">
        <v>2202</v>
      </c>
      <c r="E1612" s="47">
        <v>45898</v>
      </c>
      <c r="F1612" s="31" t="str">
        <f>VLOOKUP($C1612,Carpetas!$C$5:$M$2666,2,FALSE)</f>
        <v>BRB087</v>
      </c>
      <c r="G1612" s="23" t="str">
        <f>VLOOKUP($C1612,Carpetas!$C$5:$M$2666,10,FALSE)</f>
        <v>153,19,69</v>
      </c>
      <c r="H1612" s="27" t="str">
        <f>VLOOKUP($C1612,Carpetas!$C$5:$M$2666,6,FALSE)</f>
        <v>Amaro</v>
      </c>
      <c r="I1612" s="220"/>
      <c r="J1612" s="47">
        <v>45901</v>
      </c>
      <c r="K1612" s="72" t="str">
        <f>VLOOKUP($C1612,Carpetas!$C$5:$M$2666,5,FALSE)</f>
        <v>Rio Branco</v>
      </c>
      <c r="L1612" s="32"/>
      <c r="M1612" s="48">
        <f t="shared" si="110"/>
        <v>45902</v>
      </c>
      <c r="N1612" s="26">
        <f t="shared" si="104"/>
        <v>4</v>
      </c>
      <c r="O1612" s="27">
        <v>990</v>
      </c>
      <c r="P1612" s="27">
        <v>990</v>
      </c>
      <c r="Q1612" s="27">
        <v>28</v>
      </c>
      <c r="R1612" s="27">
        <v>26</v>
      </c>
      <c r="S1612" s="27" t="s">
        <v>4508</v>
      </c>
      <c r="T1612" s="27"/>
      <c r="U1612" s="27">
        <v>26763</v>
      </c>
      <c r="V1612" s="27" t="s">
        <v>4509</v>
      </c>
      <c r="W1612" s="27" t="s">
        <v>4510</v>
      </c>
      <c r="X1612" s="128"/>
      <c r="Y1612" s="73" t="e">
        <f>VLOOKUP(X1612,Choferes!$B$3:C419,2,FALSE)</f>
        <v>#N/A</v>
      </c>
      <c r="Z1612" s="73" t="s">
        <v>4507</v>
      </c>
    </row>
    <row r="1613" spans="1:26" hidden="1" x14ac:dyDescent="0.25">
      <c r="A1613" s="33">
        <v>35</v>
      </c>
      <c r="B1613" s="71" t="s">
        <v>29</v>
      </c>
      <c r="C1613" s="39" t="s">
        <v>4412</v>
      </c>
      <c r="D1613" s="106" t="s">
        <v>2474</v>
      </c>
      <c r="E1613" s="47">
        <v>45898</v>
      </c>
      <c r="F1613" s="31" t="str">
        <f>VLOOKUP($C1613,Carpetas!$C$5:$M$2666,2,FALSE)</f>
        <v>BRB089</v>
      </c>
      <c r="G1613" s="23" t="str">
        <f>VLOOKUP($C1613,Carpetas!$C$5:$M$2666,10,FALSE)</f>
        <v>153,28,73</v>
      </c>
      <c r="H1613" s="27" t="str">
        <f>VLOOKUP($C1613,Carpetas!$C$5:$M$2666,6,FALSE)</f>
        <v>Gral</v>
      </c>
      <c r="I1613" s="220"/>
      <c r="J1613" s="47">
        <v>45901</v>
      </c>
      <c r="K1613" s="72" t="str">
        <f>VLOOKUP($C1613,Carpetas!$C$5:$M$2666,5,FALSE)</f>
        <v>Rio Branco</v>
      </c>
      <c r="L1613" s="32"/>
      <c r="M1613" s="48">
        <f t="shared" si="110"/>
        <v>45902</v>
      </c>
      <c r="N1613" s="26">
        <f t="shared" si="104"/>
        <v>4</v>
      </c>
      <c r="O1613" s="27">
        <v>918</v>
      </c>
      <c r="P1613" s="27">
        <v>918</v>
      </c>
      <c r="Q1613" s="27">
        <v>26</v>
      </c>
      <c r="R1613" s="27">
        <v>25</v>
      </c>
      <c r="S1613" s="27" t="s">
        <v>4511</v>
      </c>
      <c r="T1613" s="27"/>
      <c r="U1613" s="27">
        <v>7572</v>
      </c>
      <c r="V1613" s="27" t="s">
        <v>4512</v>
      </c>
      <c r="W1613" s="27" t="s">
        <v>4513</v>
      </c>
      <c r="X1613" s="128"/>
      <c r="Y1613" s="73" t="e">
        <f>VLOOKUP(X1613,Choferes!$B$3:C420,2,FALSE)</f>
        <v>#N/A</v>
      </c>
      <c r="Z1613" s="73" t="s">
        <v>4514</v>
      </c>
    </row>
    <row r="1614" spans="1:26" hidden="1" x14ac:dyDescent="0.25">
      <c r="A1614" s="33">
        <v>35</v>
      </c>
      <c r="B1614" s="71" t="s">
        <v>29</v>
      </c>
      <c r="C1614" s="39" t="s">
        <v>4477</v>
      </c>
      <c r="D1614" s="106" t="s">
        <v>110</v>
      </c>
      <c r="E1614" s="47">
        <v>45898</v>
      </c>
      <c r="F1614" s="31" t="str">
        <f>VLOOKUP($C1614,Carpetas!$C$5:$M$2666,2,FALSE)</f>
        <v>BRB093</v>
      </c>
      <c r="G1614" s="23" t="str">
        <f>VLOOKUP($C1614,Carpetas!$C$5:$M$2666,10,FALSE)</f>
        <v>153,39,38</v>
      </c>
      <c r="H1614" s="27" t="str">
        <f>VLOOKUP($C1614,Carpetas!$C$5:$M$2666,6,FALSE)</f>
        <v>Chabat</v>
      </c>
      <c r="I1614" s="220"/>
      <c r="J1614" s="47">
        <v>45901</v>
      </c>
      <c r="K1614" s="72" t="str">
        <f>VLOOKUP($C1614,Carpetas!$C$5:$M$2666,5,FALSE)</f>
        <v>Chuy</v>
      </c>
      <c r="L1614" s="32"/>
      <c r="M1614" s="48">
        <f t="shared" si="110"/>
        <v>45902</v>
      </c>
      <c r="N1614" s="26">
        <f t="shared" si="104"/>
        <v>4</v>
      </c>
      <c r="O1614" s="27">
        <v>990</v>
      </c>
      <c r="P1614" s="27">
        <v>991</v>
      </c>
      <c r="Q1614" s="27">
        <v>28</v>
      </c>
      <c r="R1614" s="27">
        <v>26</v>
      </c>
      <c r="S1614" s="27" t="s">
        <v>4515</v>
      </c>
      <c r="T1614" s="27"/>
      <c r="U1614" s="27"/>
      <c r="V1614" s="27"/>
      <c r="W1614" s="27"/>
      <c r="X1614" s="128"/>
      <c r="Y1614" s="73" t="e">
        <f>VLOOKUP(X1614,Choferes!$B$3:C422,2,FALSE)</f>
        <v>#N/A</v>
      </c>
      <c r="Z1614" s="73" t="s">
        <v>4516</v>
      </c>
    </row>
    <row r="1615" spans="1:26" hidden="1" x14ac:dyDescent="0.25">
      <c r="A1615" s="33">
        <v>35</v>
      </c>
      <c r="B1615" s="71" t="s">
        <v>29</v>
      </c>
      <c r="C1615" s="39" t="s">
        <v>4517</v>
      </c>
      <c r="D1615" s="106" t="s">
        <v>2474</v>
      </c>
      <c r="E1615" s="47">
        <v>45899</v>
      </c>
      <c r="F1615" s="31" t="str">
        <f>VLOOKUP($C1615,Carpetas!$C$5:$M$2666,2,FALSE)</f>
        <v>BRB096</v>
      </c>
      <c r="G1615" s="23" t="str">
        <f>VLOOKUP($C1615,Carpetas!$C$5:$M$2666,10,FALSE)</f>
        <v>153,50,45</v>
      </c>
      <c r="H1615" s="27" t="str">
        <f>VLOOKUP($C1615,Carpetas!$C$5:$M$2666,6,FALSE)</f>
        <v xml:space="preserve">Silvio </v>
      </c>
      <c r="I1615" s="220"/>
      <c r="J1615" s="47">
        <v>45901</v>
      </c>
      <c r="K1615" s="72" t="str">
        <f>VLOOKUP($C1615,Carpetas!$C$5:$M$2666,5,FALSE)</f>
        <v>Rio Branco</v>
      </c>
      <c r="L1615" s="32"/>
      <c r="M1615" s="48">
        <f t="shared" si="110"/>
        <v>45902</v>
      </c>
      <c r="N1615" s="26">
        <f t="shared" si="104"/>
        <v>3</v>
      </c>
      <c r="O1615" s="27">
        <v>918</v>
      </c>
      <c r="P1615" s="27">
        <v>918</v>
      </c>
      <c r="Q1615" s="27">
        <v>26</v>
      </c>
      <c r="R1615" s="27">
        <v>25</v>
      </c>
      <c r="S1615" s="27" t="s">
        <v>4518</v>
      </c>
      <c r="T1615" s="27"/>
      <c r="U1615" s="27">
        <v>7477</v>
      </c>
      <c r="V1615" s="27" t="s">
        <v>4519</v>
      </c>
      <c r="W1615" s="27" t="s">
        <v>4520</v>
      </c>
      <c r="X1615" s="128"/>
      <c r="Y1615" s="73" t="e">
        <f>VLOOKUP(X1615,Choferes!$B$3:C410,2,FALSE)</f>
        <v>#N/A</v>
      </c>
      <c r="Z1615" s="73" t="s">
        <v>4521</v>
      </c>
    </row>
    <row r="1616" spans="1:26" ht="12" hidden="1" customHeight="1" x14ac:dyDescent="0.25">
      <c r="A1616" s="33">
        <v>35</v>
      </c>
      <c r="B1616" s="71" t="s">
        <v>29</v>
      </c>
      <c r="C1616" s="39" t="s">
        <v>4448</v>
      </c>
      <c r="D1616" s="106" t="s">
        <v>803</v>
      </c>
      <c r="E1616" s="47">
        <v>45899</v>
      </c>
      <c r="F1616" s="31" t="str">
        <f>VLOOKUP($C1616,Carpetas!$C$5:$M$2666,2,FALSE)</f>
        <v>BRB091</v>
      </c>
      <c r="G1616" s="23" t="str">
        <f>VLOOKUP($C1616,Carpetas!$C$5:$M$2666,10,FALSE)</f>
        <v>153,32,80</v>
      </c>
      <c r="H1616" s="27" t="str">
        <f>VLOOKUP($C1616,Carpetas!$C$5:$M$2666,6,FALSE)</f>
        <v>Zanini</v>
      </c>
      <c r="I1616" s="220"/>
      <c r="J1616" s="47">
        <v>45901</v>
      </c>
      <c r="K1616" s="72" t="str">
        <f>VLOOKUP($C1616,Carpetas!$C$5:$M$2666,5,FALSE)</f>
        <v>Rio Branco</v>
      </c>
      <c r="L1616" s="32"/>
      <c r="M1616" s="48">
        <f t="shared" si="110"/>
        <v>45902</v>
      </c>
      <c r="N1616" s="26">
        <f t="shared" si="104"/>
        <v>3</v>
      </c>
      <c r="O1616" s="27">
        <v>918</v>
      </c>
      <c r="P1616" s="27">
        <v>918</v>
      </c>
      <c r="Q1616" s="27">
        <v>26</v>
      </c>
      <c r="R1616" s="27">
        <v>25</v>
      </c>
      <c r="S1616" s="27" t="s">
        <v>4522</v>
      </c>
      <c r="T1616" s="27"/>
      <c r="U1616" s="27">
        <v>5473</v>
      </c>
      <c r="V1616" s="27" t="s">
        <v>1762</v>
      </c>
      <c r="W1616" s="27" t="s">
        <v>1763</v>
      </c>
      <c r="X1616" s="128" t="s">
        <v>1844</v>
      </c>
      <c r="Y1616" s="73" t="str">
        <f>VLOOKUP(X1616,Choferes!$B$3:C412,2,FALSE)</f>
        <v>+5549988127179</v>
      </c>
      <c r="Z1616" s="73" t="s">
        <v>4523</v>
      </c>
    </row>
    <row r="1617" spans="1:26" ht="12" hidden="1" customHeight="1" x14ac:dyDescent="0.25">
      <c r="A1617" s="33">
        <v>35</v>
      </c>
      <c r="B1617" s="71" t="s">
        <v>29</v>
      </c>
      <c r="C1617" s="39" t="s">
        <v>4497</v>
      </c>
      <c r="D1617" s="106" t="s">
        <v>953</v>
      </c>
      <c r="E1617" s="47">
        <v>45899</v>
      </c>
      <c r="F1617" s="31" t="str">
        <f>VLOOKUP($C1617,Carpetas!$C$5:$M$2666,2,FALSE)</f>
        <v>BRB094</v>
      </c>
      <c r="G1617" s="23" t="str">
        <f>VLOOKUP($C1617,Carpetas!$C$5:$M$2666,10,FALSE)</f>
        <v>153.43.49</v>
      </c>
      <c r="H1617" s="27" t="str">
        <f>VLOOKUP($C1617,Carpetas!$C$5:$M$2666,6,FALSE)</f>
        <v>FG</v>
      </c>
      <c r="I1617" s="220"/>
      <c r="J1617" s="47">
        <v>45901</v>
      </c>
      <c r="K1617" s="72" t="str">
        <f>VLOOKUP($C1617,Carpetas!$C$5:$M$2666,5,FALSE)</f>
        <v>Rio Branco</v>
      </c>
      <c r="L1617" s="32"/>
      <c r="M1617" s="48">
        <f t="shared" si="110"/>
        <v>45902</v>
      </c>
      <c r="N1617" s="26">
        <f t="shared" si="104"/>
        <v>3</v>
      </c>
      <c r="O1617" s="27">
        <v>990</v>
      </c>
      <c r="P1617" s="27">
        <v>990</v>
      </c>
      <c r="Q1617" s="27">
        <v>28</v>
      </c>
      <c r="R1617" s="27">
        <v>26</v>
      </c>
      <c r="S1617" s="27" t="s">
        <v>1420</v>
      </c>
      <c r="T1617" s="27"/>
      <c r="U1617" s="27">
        <v>1093</v>
      </c>
      <c r="V1617" s="27" t="s">
        <v>1726</v>
      </c>
      <c r="W1617" s="27" t="s">
        <v>1646</v>
      </c>
      <c r="X1617" s="128" t="s">
        <v>1576</v>
      </c>
      <c r="Y1617" s="73" t="str">
        <f>VLOOKUP(X1617,Choferes!$B$3:C415,2,FALSE)</f>
        <v>+55119971489722</v>
      </c>
      <c r="Z1617" s="73" t="s">
        <v>4507</v>
      </c>
    </row>
    <row r="1618" spans="1:26" ht="30" hidden="1" x14ac:dyDescent="0.25">
      <c r="A1618" s="33">
        <v>36</v>
      </c>
      <c r="B1618" s="71" t="s">
        <v>29</v>
      </c>
      <c r="C1618" s="39" t="s">
        <v>4497</v>
      </c>
      <c r="D1618" s="106" t="s">
        <v>2474</v>
      </c>
      <c r="E1618" s="47">
        <v>45901</v>
      </c>
      <c r="F1618" s="31" t="str">
        <f>VLOOKUP($C1618,Carpetas!$C$5:$M$2666,2,FALSE)</f>
        <v>BRB094</v>
      </c>
      <c r="G1618" s="23" t="str">
        <f>VLOOKUP($C1618,Carpetas!$C$5:$M$2666,10,FALSE)</f>
        <v>153.43.49</v>
      </c>
      <c r="H1618" s="27" t="str">
        <f>VLOOKUP($C1618,Carpetas!$C$5:$M$2666,6,FALSE)</f>
        <v>FG</v>
      </c>
      <c r="I1618" s="220"/>
      <c r="J1618" s="47">
        <f>E1618+2</f>
        <v>45903</v>
      </c>
      <c r="K1618" s="72" t="str">
        <f>VLOOKUP($C1618,Carpetas!$C$5:$M$2666,5,FALSE)</f>
        <v>Rio Branco</v>
      </c>
      <c r="L1618" s="32"/>
      <c r="M1618" s="48">
        <f t="shared" si="110"/>
        <v>45904</v>
      </c>
      <c r="N1618" s="26">
        <f t="shared" ref="N1618:N1681" si="111">IF(E1618&lt;&gt;"",M1618-E1618,"-")</f>
        <v>3</v>
      </c>
      <c r="O1618" s="27">
        <v>990</v>
      </c>
      <c r="P1618" s="27">
        <v>990</v>
      </c>
      <c r="Q1618" s="27">
        <v>28</v>
      </c>
      <c r="R1618" s="27">
        <v>25</v>
      </c>
      <c r="S1618" s="27" t="s">
        <v>4524</v>
      </c>
      <c r="T1618" s="27"/>
      <c r="U1618" s="27">
        <v>1094</v>
      </c>
      <c r="V1618" s="27" t="s">
        <v>4319</v>
      </c>
      <c r="W1618" s="27" t="s">
        <v>1523</v>
      </c>
      <c r="X1618" s="128" t="s">
        <v>4320</v>
      </c>
      <c r="Y1618" s="73" t="str">
        <f>VLOOKUP(X1618,Choferes!$B$3:C407,2,FALSE)</f>
        <v>+598 98 562 952</v>
      </c>
      <c r="Z1618" s="73" t="s">
        <v>4525</v>
      </c>
    </row>
    <row r="1619" spans="1:26" ht="30" hidden="1" x14ac:dyDescent="0.25">
      <c r="A1619" s="33">
        <v>36</v>
      </c>
      <c r="B1619" s="71" t="s">
        <v>29</v>
      </c>
      <c r="C1619" s="39" t="s">
        <v>4526</v>
      </c>
      <c r="D1619" s="106" t="s">
        <v>38</v>
      </c>
      <c r="E1619" s="47">
        <v>45901</v>
      </c>
      <c r="F1619" s="31" t="str">
        <f>VLOOKUP($C1619,Carpetas!$C$5:$M$2666,2,FALSE)</f>
        <v>BRE044</v>
      </c>
      <c r="G1619" s="23" t="str">
        <f>VLOOKUP($C1619,Carpetas!$C$5:$M$2666,10,FALSE)</f>
        <v>1534548/1534547/1534929/1534792</v>
      </c>
      <c r="H1619" s="27" t="str">
        <f>VLOOKUP($C1619,Carpetas!$C$5:$M$2666,6,FALSE)</f>
        <v>VPN</v>
      </c>
      <c r="I1619" s="220">
        <f>VLOOKUP($C1619,Carpetas!$C$5:$M$2666,4,FALSE)</f>
        <v>0</v>
      </c>
      <c r="J1619" s="47">
        <f>E1619+2</f>
        <v>45903</v>
      </c>
      <c r="K1619" s="72" t="str">
        <f>VLOOKUP($C1619,Carpetas!$C$5:$M$2666,5,FALSE)</f>
        <v>Chuy</v>
      </c>
      <c r="L1619" s="32"/>
      <c r="M1619" s="48">
        <f t="shared" si="110"/>
        <v>45904</v>
      </c>
      <c r="N1619" s="26">
        <f t="shared" si="111"/>
        <v>3</v>
      </c>
      <c r="O1619" s="27">
        <v>1186</v>
      </c>
      <c r="P1619" s="27">
        <v>1179</v>
      </c>
      <c r="Q1619" s="27">
        <v>26</v>
      </c>
      <c r="R1619" s="27">
        <v>24</v>
      </c>
      <c r="S1619" s="27" t="s">
        <v>4527</v>
      </c>
      <c r="T1619" s="27"/>
      <c r="U1619" s="27"/>
      <c r="V1619" s="27"/>
      <c r="W1619" s="27"/>
      <c r="X1619" s="128"/>
      <c r="Y1619" s="73" t="e">
        <f>VLOOKUP(X1619,Choferes!$B$3:C419,2,FALSE)</f>
        <v>#N/A</v>
      </c>
      <c r="Z1619" s="73" t="s">
        <v>4528</v>
      </c>
    </row>
    <row r="1620" spans="1:26" hidden="1" x14ac:dyDescent="0.25">
      <c r="A1620" s="33">
        <v>36</v>
      </c>
      <c r="B1620" s="71" t="s">
        <v>29</v>
      </c>
      <c r="C1620" s="39" t="s">
        <v>4529</v>
      </c>
      <c r="D1620" s="106" t="s">
        <v>78</v>
      </c>
      <c r="E1620" s="47">
        <v>45902</v>
      </c>
      <c r="F1620" s="31" t="str">
        <f>VLOOKUP($C1620,Carpetas!$C$5:$M$2666,2,FALSE)</f>
        <v>BRB097</v>
      </c>
      <c r="G1620" s="23" t="str">
        <f>VLOOKUP($C1620,Carpetas!$C$5:$M$2666,10,FALSE)</f>
        <v>153,50,54</v>
      </c>
      <c r="H1620" s="27" t="str">
        <f>VLOOKUP($C1620,Carpetas!$C$5:$M$2666,6,FALSE)</f>
        <v>Zanini</v>
      </c>
      <c r="I1620" s="220"/>
      <c r="J1620" s="47">
        <v>45903</v>
      </c>
      <c r="K1620" s="72" t="str">
        <f>VLOOKUP($C1620,Carpetas!$C$5:$M$2666,5,FALSE)</f>
        <v>Rio Branco</v>
      </c>
      <c r="L1620" s="32"/>
      <c r="M1620" s="48">
        <f t="shared" si="110"/>
        <v>45904</v>
      </c>
      <c r="N1620" s="26">
        <f t="shared" si="111"/>
        <v>2</v>
      </c>
      <c r="O1620" s="27">
        <v>918</v>
      </c>
      <c r="P1620" s="27">
        <v>919</v>
      </c>
      <c r="Q1620" s="27">
        <v>26</v>
      </c>
      <c r="R1620" s="27">
        <v>24</v>
      </c>
      <c r="S1620" s="27" t="s">
        <v>808</v>
      </c>
      <c r="T1620" s="27"/>
      <c r="U1620" s="27">
        <v>5480</v>
      </c>
      <c r="V1620" s="27" t="s">
        <v>4530</v>
      </c>
      <c r="W1620" s="27" t="s">
        <v>674</v>
      </c>
      <c r="X1620" s="128" t="s">
        <v>114</v>
      </c>
      <c r="Y1620" s="73" t="str">
        <f>VLOOKUP(X1620,Choferes!$B$3:C420,2,FALSE)</f>
        <v>+5542998101794</v>
      </c>
      <c r="Z1620" s="73" t="s">
        <v>4531</v>
      </c>
    </row>
    <row r="1621" spans="1:26" hidden="1" x14ac:dyDescent="0.25">
      <c r="A1621" s="33">
        <v>35</v>
      </c>
      <c r="B1621" s="71" t="s">
        <v>29</v>
      </c>
      <c r="C1621" s="39" t="s">
        <v>4532</v>
      </c>
      <c r="D1621" s="106" t="s">
        <v>38</v>
      </c>
      <c r="E1621" s="47">
        <v>45897</v>
      </c>
      <c r="F1621" s="31" t="str">
        <f>VLOOKUP($C1621,Carpetas!$C$5:$M$2666,2,FALSE)</f>
        <v>BRE043</v>
      </c>
      <c r="G1621" s="23">
        <f>VLOOKUP($C1621,Carpetas!$C$5:$M$2666,10,FALSE)</f>
        <v>0</v>
      </c>
      <c r="H1621" s="27" t="str">
        <f>VLOOKUP($C1621,Carpetas!$C$5:$M$2666,6,FALSE)</f>
        <v>Marvel</v>
      </c>
      <c r="I1621" s="220">
        <f>VLOOKUP($C1621,Carpetas!$C$5:$M$2666,4,FALSE)</f>
        <v>0</v>
      </c>
      <c r="J1621" s="47">
        <f>E1621+7</f>
        <v>45904</v>
      </c>
      <c r="K1621" s="72" t="str">
        <f>VLOOKUP($C1621,Carpetas!$C$5:$M$2666,5,FALSE)</f>
        <v>Chuy</v>
      </c>
      <c r="L1621" s="32"/>
      <c r="M1621" s="48">
        <f t="shared" si="110"/>
        <v>45905</v>
      </c>
      <c r="N1621" s="26">
        <f t="shared" si="111"/>
        <v>8</v>
      </c>
      <c r="O1621" s="27">
        <v>1560</v>
      </c>
      <c r="P1621" s="27">
        <v>1572</v>
      </c>
      <c r="Q1621" s="27">
        <v>28</v>
      </c>
      <c r="R1621" s="27"/>
      <c r="S1621" s="27"/>
      <c r="T1621" s="27"/>
      <c r="U1621" s="27"/>
      <c r="V1621" s="27" t="s">
        <v>4533</v>
      </c>
      <c r="W1621" s="27" t="s">
        <v>4534</v>
      </c>
      <c r="X1621" s="128"/>
      <c r="Y1621" s="73" t="e">
        <f>VLOOKUP(X1621,Choferes!$B$3:C419,2,FALSE)</f>
        <v>#N/A</v>
      </c>
      <c r="Z1621" s="73" t="s">
        <v>2165</v>
      </c>
    </row>
    <row r="1622" spans="1:26" hidden="1" x14ac:dyDescent="0.25">
      <c r="A1622" s="33">
        <v>36</v>
      </c>
      <c r="B1622" s="71" t="s">
        <v>29</v>
      </c>
      <c r="C1622" s="39" t="s">
        <v>4497</v>
      </c>
      <c r="D1622" s="106" t="s">
        <v>2202</v>
      </c>
      <c r="E1622" s="47">
        <v>45902</v>
      </c>
      <c r="F1622" s="31" t="str">
        <f>VLOOKUP($C1622,Carpetas!$C$5:$M$2666,2,FALSE)</f>
        <v>BRB094</v>
      </c>
      <c r="G1622" s="23" t="str">
        <f>VLOOKUP($C1622,Carpetas!$C$5:$M$2666,10,FALSE)</f>
        <v>153.43.49</v>
      </c>
      <c r="H1622" s="27" t="str">
        <f>VLOOKUP($C1622,Carpetas!$C$5:$M$2666,6,FALSE)</f>
        <v>FG</v>
      </c>
      <c r="I1622" s="220"/>
      <c r="J1622" s="47">
        <f>E1622+2</f>
        <v>45904</v>
      </c>
      <c r="K1622" s="72" t="str">
        <f>VLOOKUP($C1622,Carpetas!$C$5:$M$2666,5,FALSE)</f>
        <v>Rio Branco</v>
      </c>
      <c r="L1622" s="32"/>
      <c r="M1622" s="48">
        <f t="shared" si="110"/>
        <v>45905</v>
      </c>
      <c r="N1622" s="26">
        <f t="shared" si="111"/>
        <v>3</v>
      </c>
      <c r="O1622" s="27">
        <v>990</v>
      </c>
      <c r="P1622" s="27">
        <v>991</v>
      </c>
      <c r="Q1622" s="27">
        <v>28</v>
      </c>
      <c r="R1622" s="27">
        <v>25</v>
      </c>
      <c r="S1622" s="27" t="s">
        <v>4535</v>
      </c>
      <c r="T1622" s="27"/>
      <c r="U1622" s="27">
        <v>1098</v>
      </c>
      <c r="V1622" s="27" t="s">
        <v>911</v>
      </c>
      <c r="W1622" s="27" t="s">
        <v>1622</v>
      </c>
      <c r="X1622" s="128" t="s">
        <v>1397</v>
      </c>
      <c r="Y1622" s="73" t="str">
        <f>VLOOKUP(X1622,Choferes!$B$3:C410,2,FALSE)</f>
        <v>+5551996322594</v>
      </c>
      <c r="Z1622" s="73" t="s">
        <v>4536</v>
      </c>
    </row>
    <row r="1623" spans="1:26" ht="30" hidden="1" x14ac:dyDescent="0.25">
      <c r="A1623" s="33">
        <v>36</v>
      </c>
      <c r="B1623" s="71" t="s">
        <v>29</v>
      </c>
      <c r="C1623" s="39" t="s">
        <v>4497</v>
      </c>
      <c r="D1623" s="106" t="s">
        <v>803</v>
      </c>
      <c r="E1623" s="47">
        <v>45902</v>
      </c>
      <c r="F1623" s="31" t="str">
        <f>VLOOKUP($C1623,Carpetas!$C$5:$M$2666,2,FALSE)</f>
        <v>BRB094</v>
      </c>
      <c r="G1623" s="23" t="str">
        <f>VLOOKUP($C1623,Carpetas!$C$5:$M$2666,10,FALSE)</f>
        <v>153.43.49</v>
      </c>
      <c r="H1623" s="27" t="str">
        <f>VLOOKUP($C1623,Carpetas!$C$5:$M$2666,6,FALSE)</f>
        <v>FG</v>
      </c>
      <c r="I1623" s="220"/>
      <c r="J1623" s="47">
        <f>E1623+2</f>
        <v>45904</v>
      </c>
      <c r="K1623" s="72" t="str">
        <f>VLOOKUP($C1623,Carpetas!$C$5:$M$2666,5,FALSE)</f>
        <v>Rio Branco</v>
      </c>
      <c r="L1623" s="32"/>
      <c r="M1623" s="48">
        <f t="shared" si="110"/>
        <v>45905</v>
      </c>
      <c r="N1623" s="26">
        <f t="shared" si="111"/>
        <v>3</v>
      </c>
      <c r="O1623" s="27">
        <v>990</v>
      </c>
      <c r="P1623" s="27">
        <v>990</v>
      </c>
      <c r="Q1623" s="27">
        <v>28</v>
      </c>
      <c r="R1623" s="27">
        <v>24</v>
      </c>
      <c r="S1623" s="27" t="s">
        <v>4537</v>
      </c>
      <c r="T1623" s="27"/>
      <c r="U1623" s="27">
        <v>1097</v>
      </c>
      <c r="V1623" s="27" t="s">
        <v>1630</v>
      </c>
      <c r="W1623" s="27" t="s">
        <v>1934</v>
      </c>
      <c r="X1623" s="128" t="s">
        <v>1935</v>
      </c>
      <c r="Y1623" s="73" t="str">
        <f>VLOOKUP(X1623,Choferes!$B$3:C404,2,FALSE)</f>
        <v>+5554984377792</v>
      </c>
      <c r="Z1623" s="73" t="s">
        <v>4538</v>
      </c>
    </row>
    <row r="1624" spans="1:26" hidden="1" x14ac:dyDescent="0.25">
      <c r="A1624" s="33">
        <v>36</v>
      </c>
      <c r="B1624" s="71" t="s">
        <v>29</v>
      </c>
      <c r="C1624" s="39" t="s">
        <v>4477</v>
      </c>
      <c r="D1624" s="106" t="s">
        <v>110</v>
      </c>
      <c r="E1624" s="47">
        <v>45902</v>
      </c>
      <c r="F1624" s="31" t="str">
        <f>VLOOKUP($C1624,Carpetas!$C$5:$M$2666,2,FALSE)</f>
        <v>BRB093</v>
      </c>
      <c r="G1624" s="23" t="str">
        <f>VLOOKUP($C1624,Carpetas!$C$5:$M$2666,10,FALSE)</f>
        <v>153,39,38</v>
      </c>
      <c r="H1624" s="27" t="str">
        <f>VLOOKUP($C1624,Carpetas!$C$5:$M$2666,6,FALSE)</f>
        <v>Chabat</v>
      </c>
      <c r="I1624" s="220"/>
      <c r="J1624" s="47">
        <f>E1624+2</f>
        <v>45904</v>
      </c>
      <c r="K1624" s="72" t="str">
        <f>VLOOKUP($C1624,Carpetas!$C$5:$M$2666,5,FALSE)</f>
        <v>Chuy</v>
      </c>
      <c r="L1624" s="32"/>
      <c r="M1624" s="48">
        <f t="shared" si="110"/>
        <v>45905</v>
      </c>
      <c r="N1624" s="26">
        <f t="shared" si="111"/>
        <v>3</v>
      </c>
      <c r="O1624" s="27">
        <v>990</v>
      </c>
      <c r="P1624" s="27">
        <v>990</v>
      </c>
      <c r="Q1624" s="27">
        <v>28</v>
      </c>
      <c r="R1624" s="27">
        <v>25</v>
      </c>
      <c r="S1624" s="27" t="s">
        <v>4539</v>
      </c>
      <c r="T1624" s="27"/>
      <c r="U1624" s="27"/>
      <c r="V1624" s="27"/>
      <c r="W1624" s="27"/>
      <c r="X1624" s="128"/>
      <c r="Y1624" s="73" t="e">
        <f>VLOOKUP(X1624,Choferes!$B$3:C418,2,FALSE)</f>
        <v>#N/A</v>
      </c>
      <c r="Z1624" s="73" t="s">
        <v>4540</v>
      </c>
    </row>
    <row r="1625" spans="1:26" hidden="1" x14ac:dyDescent="0.25">
      <c r="A1625" s="33">
        <v>36</v>
      </c>
      <c r="B1625" s="71" t="s">
        <v>29</v>
      </c>
      <c r="C1625" s="39" t="s">
        <v>4541</v>
      </c>
      <c r="D1625" s="106" t="s">
        <v>747</v>
      </c>
      <c r="E1625" s="47">
        <v>45903</v>
      </c>
      <c r="F1625" s="31" t="str">
        <f>VLOOKUP($C1625,Carpetas!$C$5:$M$2666,2,FALSE)</f>
        <v>BRB099</v>
      </c>
      <c r="G1625" s="23" t="str">
        <f>VLOOKUP($C1625,Carpetas!$C$5:$M$2666,10,FALSE)</f>
        <v>153,52,77</v>
      </c>
      <c r="H1625" s="27" t="str">
        <f>VLOOKUP($C1625,Carpetas!$C$5:$M$2666,6,FALSE)</f>
        <v>FG</v>
      </c>
      <c r="I1625" s="220"/>
      <c r="J1625" s="47">
        <v>45904</v>
      </c>
      <c r="K1625" s="72" t="str">
        <f>VLOOKUP($C1625,Carpetas!$C$5:$M$2666,5,FALSE)</f>
        <v>Rio Branco</v>
      </c>
      <c r="L1625" s="32"/>
      <c r="M1625" s="48">
        <f t="shared" si="110"/>
        <v>45905</v>
      </c>
      <c r="N1625" s="26">
        <f t="shared" si="111"/>
        <v>2</v>
      </c>
      <c r="O1625" s="27">
        <v>990</v>
      </c>
      <c r="P1625" s="27">
        <v>991</v>
      </c>
      <c r="Q1625" s="27">
        <v>28</v>
      </c>
      <c r="R1625" s="27">
        <v>25</v>
      </c>
      <c r="S1625" s="27" t="s">
        <v>4542</v>
      </c>
      <c r="T1625" s="27"/>
      <c r="U1625" s="27">
        <v>1101</v>
      </c>
      <c r="V1625" s="27" t="s">
        <v>3669</v>
      </c>
      <c r="W1625" s="27" t="s">
        <v>912</v>
      </c>
      <c r="X1625" s="128" t="s">
        <v>2336</v>
      </c>
      <c r="Y1625" s="73" t="str">
        <f>VLOOKUP(X1625,Choferes!$B$3:C412,2,FALSE)</f>
        <v>+5553984414060</v>
      </c>
      <c r="Z1625" s="73" t="s">
        <v>4543</v>
      </c>
    </row>
    <row r="1626" spans="1:26" hidden="1" x14ac:dyDescent="0.25">
      <c r="A1626" s="33">
        <v>35</v>
      </c>
      <c r="B1626" s="71" t="s">
        <v>29</v>
      </c>
      <c r="C1626" s="39" t="s">
        <v>4544</v>
      </c>
      <c r="D1626" s="106" t="s">
        <v>38</v>
      </c>
      <c r="E1626" s="47">
        <v>45897</v>
      </c>
      <c r="F1626" s="31" t="str">
        <f>VLOOKUP($C1626,Carpetas!$C$5:$M$2666,2,FALSE)</f>
        <v>BRE042</v>
      </c>
      <c r="G1626" s="23" t="str">
        <f>VLOOKUP($C1626,Carpetas!$C$5:$M$2666,10,FALSE)</f>
        <v>153,43,09</v>
      </c>
      <c r="H1626" s="27" t="str">
        <f>VLOOKUP($C1626,Carpetas!$C$5:$M$2666,6,FALSE)</f>
        <v>Marvel</v>
      </c>
      <c r="I1626" s="220">
        <f>VLOOKUP($C1626,Carpetas!$C$5:$M$2666,4,FALSE)</f>
        <v>0</v>
      </c>
      <c r="J1626" s="47">
        <f>E1626+7</f>
        <v>45904</v>
      </c>
      <c r="K1626" s="72" t="str">
        <f>VLOOKUP($C1626,Carpetas!$C$5:$M$2666,5,FALSE)</f>
        <v>Chuy</v>
      </c>
      <c r="L1626" s="32"/>
      <c r="M1626" s="48">
        <f>J1626+1+1</f>
        <v>45906</v>
      </c>
      <c r="N1626" s="26">
        <f t="shared" si="111"/>
        <v>9</v>
      </c>
      <c r="O1626" s="27">
        <v>1572</v>
      </c>
      <c r="P1626" s="27">
        <v>1559</v>
      </c>
      <c r="Q1626" s="27"/>
      <c r="R1626" s="27"/>
      <c r="S1626" s="27"/>
      <c r="T1626" s="27"/>
      <c r="U1626" s="27"/>
      <c r="V1626" s="27"/>
      <c r="W1626" s="27"/>
      <c r="X1626" s="128"/>
      <c r="Y1626" s="73" t="e">
        <f>VLOOKUP(X1626,Choferes!$B$3:C403,2,FALSE)</f>
        <v>#N/A</v>
      </c>
      <c r="Z1626" s="73" t="s">
        <v>1134</v>
      </c>
    </row>
    <row r="1627" spans="1:26" hidden="1" x14ac:dyDescent="0.25">
      <c r="A1627" s="33">
        <v>36</v>
      </c>
      <c r="B1627" s="71" t="s">
        <v>29</v>
      </c>
      <c r="C1627" s="39" t="s">
        <v>4545</v>
      </c>
      <c r="D1627" s="106" t="s">
        <v>38</v>
      </c>
      <c r="E1627" s="47">
        <v>45901</v>
      </c>
      <c r="F1627" s="31" t="str">
        <f>VLOOKUP($C1627,Carpetas!$C$5:$M$2666,2,FALSE)</f>
        <v>BRE045</v>
      </c>
      <c r="G1627" s="23" t="str">
        <f>VLOOKUP($C1627,Carpetas!$C$5:$M$2666,10,FALSE)</f>
        <v>153,49,17</v>
      </c>
      <c r="H1627" s="27" t="str">
        <f>VLOOKUP($C1627,Carpetas!$C$5:$M$2666,6,FALSE)</f>
        <v>Miltex</v>
      </c>
      <c r="I1627" s="220">
        <f>VLOOKUP($C1627,Carpetas!$C$5:$M$2666,4,FALSE)</f>
        <v>0</v>
      </c>
      <c r="J1627" s="47">
        <v>45904</v>
      </c>
      <c r="K1627" s="72" t="str">
        <f>VLOOKUP($C1627,Carpetas!$C$5:$M$2666,5,FALSE)</f>
        <v>Rio Branco</v>
      </c>
      <c r="L1627" s="32"/>
      <c r="M1627" s="48">
        <f>J1627+1+1</f>
        <v>45906</v>
      </c>
      <c r="N1627" s="26">
        <f t="shared" si="111"/>
        <v>5</v>
      </c>
      <c r="O1627" s="27">
        <v>24500</v>
      </c>
      <c r="P1627" s="27"/>
      <c r="Q1627" s="27"/>
      <c r="R1627" s="27"/>
      <c r="S1627" s="27"/>
      <c r="T1627" s="27"/>
      <c r="U1627" s="27">
        <v>164</v>
      </c>
      <c r="V1627" s="27" t="s">
        <v>4546</v>
      </c>
      <c r="W1627" s="27" t="s">
        <v>4547</v>
      </c>
      <c r="X1627" s="128"/>
      <c r="Y1627" s="73" t="e">
        <f>VLOOKUP(X1627,Choferes!$B$3:C420,2,FALSE)</f>
        <v>#N/A</v>
      </c>
      <c r="Z1627" s="73" t="s">
        <v>1273</v>
      </c>
    </row>
    <row r="1628" spans="1:26" ht="30" hidden="1" x14ac:dyDescent="0.25">
      <c r="A1628" s="33">
        <v>36</v>
      </c>
      <c r="B1628" s="71" t="s">
        <v>29</v>
      </c>
      <c r="C1628" s="39" t="s">
        <v>4541</v>
      </c>
      <c r="D1628" s="106" t="s">
        <v>2474</v>
      </c>
      <c r="E1628" s="47">
        <v>45903</v>
      </c>
      <c r="F1628" s="31" t="str">
        <f>VLOOKUP($C1628,Carpetas!$C$5:$M$2666,2,FALSE)</f>
        <v>BRB099</v>
      </c>
      <c r="G1628" s="23" t="str">
        <f>VLOOKUP($C1628,Carpetas!$C$5:$M$2666,10,FALSE)</f>
        <v>153,52,77</v>
      </c>
      <c r="H1628" s="27" t="str">
        <f>VLOOKUP($C1628,Carpetas!$C$5:$M$2666,6,FALSE)</f>
        <v>FG</v>
      </c>
      <c r="I1628" s="220"/>
      <c r="J1628" s="47">
        <v>45904</v>
      </c>
      <c r="K1628" s="72" t="str">
        <f>VLOOKUP($C1628,Carpetas!$C$5:$M$2666,5,FALSE)</f>
        <v>Rio Branco</v>
      </c>
      <c r="L1628" s="32"/>
      <c r="M1628" s="48">
        <f>J1628+1+1</f>
        <v>45906</v>
      </c>
      <c r="N1628" s="26">
        <f t="shared" si="111"/>
        <v>3</v>
      </c>
      <c r="O1628" s="27">
        <v>990</v>
      </c>
      <c r="P1628" s="27">
        <v>990</v>
      </c>
      <c r="Q1628" s="27">
        <v>28</v>
      </c>
      <c r="R1628" s="27">
        <v>26</v>
      </c>
      <c r="S1628" s="27" t="s">
        <v>4548</v>
      </c>
      <c r="T1628" s="27"/>
      <c r="U1628" s="27">
        <v>1102</v>
      </c>
      <c r="V1628" s="27" t="s">
        <v>1722</v>
      </c>
      <c r="W1628" s="27" t="s">
        <v>1637</v>
      </c>
      <c r="X1628" s="128" t="s">
        <v>2119</v>
      </c>
      <c r="Y1628" s="73" t="str">
        <f>VLOOKUP(X1628,Choferes!$B$3:C408,2,FALSE)</f>
        <v>+5553981528085</v>
      </c>
      <c r="Z1628" s="73" t="s">
        <v>4549</v>
      </c>
    </row>
    <row r="1629" spans="1:26" ht="30" hidden="1" x14ac:dyDescent="0.25">
      <c r="A1629" s="33">
        <v>36</v>
      </c>
      <c r="B1629" s="71" t="s">
        <v>29</v>
      </c>
      <c r="C1629" s="39" t="s">
        <v>4497</v>
      </c>
      <c r="D1629" s="106" t="s">
        <v>803</v>
      </c>
      <c r="E1629" s="47">
        <v>45903</v>
      </c>
      <c r="F1629" s="31" t="str">
        <f>VLOOKUP($C1629,Carpetas!$C$5:$M$2666,2,FALSE)</f>
        <v>BRB094</v>
      </c>
      <c r="G1629" s="23" t="str">
        <f>VLOOKUP($C1629,Carpetas!$C$5:$M$2666,10,FALSE)</f>
        <v>153.43.49</v>
      </c>
      <c r="H1629" s="27" t="str">
        <f>VLOOKUP($C1629,Carpetas!$C$5:$M$2666,6,FALSE)</f>
        <v>FG</v>
      </c>
      <c r="I1629" s="220"/>
      <c r="J1629" s="47">
        <f>E1629+2</f>
        <v>45905</v>
      </c>
      <c r="K1629" s="72" t="str">
        <f>VLOOKUP($C1629,Carpetas!$C$5:$M$2666,5,FALSE)</f>
        <v>Rio Branco</v>
      </c>
      <c r="L1629" s="32"/>
      <c r="M1629" s="48">
        <f t="shared" ref="M1629:M1636" si="112">J1629+1</f>
        <v>45906</v>
      </c>
      <c r="N1629" s="26">
        <f t="shared" si="111"/>
        <v>3</v>
      </c>
      <c r="O1629" s="27">
        <v>990</v>
      </c>
      <c r="P1629" s="27">
        <v>990</v>
      </c>
      <c r="Q1629" s="27">
        <v>28</v>
      </c>
      <c r="R1629" s="27">
        <v>25</v>
      </c>
      <c r="S1629" s="27" t="s">
        <v>4550</v>
      </c>
      <c r="T1629" s="27"/>
      <c r="U1629" s="27">
        <v>1099</v>
      </c>
      <c r="V1629" s="27" t="s">
        <v>1636</v>
      </c>
      <c r="W1629" s="27" t="s">
        <v>1736</v>
      </c>
      <c r="X1629" s="128" t="s">
        <v>1413</v>
      </c>
      <c r="Y1629" s="73" t="str">
        <f>VLOOKUP(X1629,Choferes!$B$3:C405,2,FALSE)</f>
        <v>+59899406679</v>
      </c>
      <c r="Z1629" s="73" t="s">
        <v>4551</v>
      </c>
    </row>
    <row r="1630" spans="1:26" ht="30" hidden="1" x14ac:dyDescent="0.25">
      <c r="A1630" s="33">
        <v>36</v>
      </c>
      <c r="B1630" s="71" t="s">
        <v>29</v>
      </c>
      <c r="C1630" s="39" t="s">
        <v>4552</v>
      </c>
      <c r="D1630" s="106" t="s">
        <v>48</v>
      </c>
      <c r="E1630" s="47">
        <v>45905</v>
      </c>
      <c r="F1630" s="31" t="str">
        <f>VLOOKUP($C1630,Carpetas!$C$5:$M$2666,2,FALSE)</f>
        <v>PYB031</v>
      </c>
      <c r="G1630" s="23" t="str">
        <f>VLOOKUP($C1630,Carpetas!$C$5:$M$2666,10,FALSE)</f>
        <v>153.51.14</v>
      </c>
      <c r="H1630" s="27">
        <f>VLOOKUP($C1630,Carpetas!$C$5:$M$2666,6,FALSE)</f>
        <v>0</v>
      </c>
      <c r="I1630" s="220"/>
      <c r="J1630" s="47">
        <v>45905</v>
      </c>
      <c r="K1630" s="72" t="str">
        <f>VLOOKUP($C1630,Carpetas!$C$5:$M$2666,5,FALSE)</f>
        <v>Salto</v>
      </c>
      <c r="L1630" s="32"/>
      <c r="M1630" s="48">
        <f t="shared" si="112"/>
        <v>45906</v>
      </c>
      <c r="N1630" s="26">
        <f t="shared" si="111"/>
        <v>1</v>
      </c>
      <c r="O1630" s="27">
        <v>990</v>
      </c>
      <c r="P1630" s="27">
        <v>990</v>
      </c>
      <c r="Q1630" s="27">
        <v>28</v>
      </c>
      <c r="R1630" s="27">
        <v>24.5</v>
      </c>
      <c r="S1630" s="27" t="s">
        <v>4553</v>
      </c>
      <c r="T1630" s="27"/>
      <c r="U1630" s="27"/>
      <c r="V1630" s="27" t="s">
        <v>4554</v>
      </c>
      <c r="W1630" s="27"/>
      <c r="X1630" s="128"/>
      <c r="Y1630" s="73" t="e">
        <f>VLOOKUP(X1630,Choferes!$B$3:C418,2,FALSE)</f>
        <v>#N/A</v>
      </c>
      <c r="Z1630" s="73" t="s">
        <v>4555</v>
      </c>
    </row>
    <row r="1631" spans="1:26" hidden="1" x14ac:dyDescent="0.25">
      <c r="A1631" s="33">
        <v>36</v>
      </c>
      <c r="B1631" s="71" t="s">
        <v>29</v>
      </c>
      <c r="C1631" s="39" t="s">
        <v>4552</v>
      </c>
      <c r="D1631" s="106" t="s">
        <v>48</v>
      </c>
      <c r="E1631" s="47">
        <v>45905</v>
      </c>
      <c r="F1631" s="31" t="str">
        <f>VLOOKUP($C1631,Carpetas!$C$5:$M$2666,2,FALSE)</f>
        <v>PYB031</v>
      </c>
      <c r="G1631" s="23" t="str">
        <f>VLOOKUP($C1631,Carpetas!$C$5:$M$2666,10,FALSE)</f>
        <v>153.51.14</v>
      </c>
      <c r="H1631" s="27">
        <f>VLOOKUP($C1631,Carpetas!$C$5:$M$2666,6,FALSE)</f>
        <v>0</v>
      </c>
      <c r="I1631" s="220"/>
      <c r="J1631" s="47">
        <v>45908</v>
      </c>
      <c r="K1631" s="72" t="str">
        <f>VLOOKUP($C1631,Carpetas!$C$5:$M$2666,5,FALSE)</f>
        <v>Salto</v>
      </c>
      <c r="L1631" s="32"/>
      <c r="M1631" s="48">
        <f t="shared" si="112"/>
        <v>45909</v>
      </c>
      <c r="N1631" s="26">
        <f t="shared" si="111"/>
        <v>4</v>
      </c>
      <c r="O1631" s="27">
        <v>990</v>
      </c>
      <c r="P1631" s="27">
        <v>990</v>
      </c>
      <c r="Q1631" s="27">
        <v>28</v>
      </c>
      <c r="R1631" s="27">
        <v>23</v>
      </c>
      <c r="S1631" s="27" t="s">
        <v>4556</v>
      </c>
      <c r="T1631" s="27"/>
      <c r="U1631" s="27"/>
      <c r="V1631" s="27"/>
      <c r="W1631" s="27"/>
      <c r="X1631" s="128"/>
      <c r="Y1631" s="73" t="e">
        <f>VLOOKUP(X1631,Choferes!$B$3:C417,2,FALSE)</f>
        <v>#N/A</v>
      </c>
      <c r="Z1631" s="73" t="s">
        <v>4557</v>
      </c>
    </row>
    <row r="1632" spans="1:26" hidden="1" x14ac:dyDescent="0.25">
      <c r="A1632" s="33">
        <v>36</v>
      </c>
      <c r="B1632" s="71" t="s">
        <v>29</v>
      </c>
      <c r="C1632" s="39" t="s">
        <v>4541</v>
      </c>
      <c r="D1632" s="106" t="s">
        <v>747</v>
      </c>
      <c r="E1632" s="47">
        <v>45905</v>
      </c>
      <c r="F1632" s="31" t="str">
        <f>VLOOKUP($C1632,Carpetas!$C$5:$M$2666,2,FALSE)</f>
        <v>BRB099</v>
      </c>
      <c r="G1632" s="23" t="str">
        <f>VLOOKUP($C1632,Carpetas!$C$5:$M$2666,10,FALSE)</f>
        <v>153,52,77</v>
      </c>
      <c r="H1632" s="27" t="str">
        <f>VLOOKUP($C1632,Carpetas!$C$5:$M$2666,6,FALSE)</f>
        <v>FG</v>
      </c>
      <c r="I1632" s="220"/>
      <c r="J1632" s="47">
        <v>45908</v>
      </c>
      <c r="K1632" s="72" t="str">
        <f>VLOOKUP($C1632,Carpetas!$C$5:$M$2666,5,FALSE)</f>
        <v>Rio Branco</v>
      </c>
      <c r="L1632" s="32"/>
      <c r="M1632" s="48">
        <f t="shared" si="112"/>
        <v>45909</v>
      </c>
      <c r="N1632" s="26">
        <f t="shared" si="111"/>
        <v>4</v>
      </c>
      <c r="O1632" s="27">
        <v>990</v>
      </c>
      <c r="P1632" s="27">
        <v>990</v>
      </c>
      <c r="Q1632" s="27">
        <v>28</v>
      </c>
      <c r="R1632" s="27">
        <v>25</v>
      </c>
      <c r="S1632" s="27" t="s">
        <v>4558</v>
      </c>
      <c r="T1632" s="27"/>
      <c r="U1632" s="27">
        <v>1107</v>
      </c>
      <c r="V1632" s="27" t="s">
        <v>3601</v>
      </c>
      <c r="W1632" s="27" t="s">
        <v>3602</v>
      </c>
      <c r="X1632" s="128" t="s">
        <v>3603</v>
      </c>
      <c r="Y1632" s="73" t="str">
        <f>VLOOKUP(X1632,Choferes!$B$3:C413,2,FALSE)</f>
        <v>+598 92 396 977</v>
      </c>
      <c r="Z1632" s="73" t="s">
        <v>4559</v>
      </c>
    </row>
    <row r="1633" spans="1:26" ht="30" hidden="1" x14ac:dyDescent="0.25">
      <c r="A1633" s="33">
        <v>36</v>
      </c>
      <c r="B1633" s="71" t="s">
        <v>29</v>
      </c>
      <c r="C1633" s="39" t="s">
        <v>4541</v>
      </c>
      <c r="D1633" s="106" t="s">
        <v>803</v>
      </c>
      <c r="E1633" s="47">
        <v>45906</v>
      </c>
      <c r="F1633" s="31" t="str">
        <f>VLOOKUP($C1633,Carpetas!$C$5:$M$2666,2,FALSE)</f>
        <v>BRB099</v>
      </c>
      <c r="G1633" s="23" t="str">
        <f>VLOOKUP($C1633,Carpetas!$C$5:$M$2666,10,FALSE)</f>
        <v>153,52,77</v>
      </c>
      <c r="H1633" s="27" t="str">
        <f>VLOOKUP($C1633,Carpetas!$C$5:$M$2666,6,FALSE)</f>
        <v>FG</v>
      </c>
      <c r="I1633" s="220"/>
      <c r="J1633" s="47">
        <v>45908</v>
      </c>
      <c r="K1633" s="72" t="str">
        <f>VLOOKUP($C1633,Carpetas!$C$5:$M$2666,5,FALSE)</f>
        <v>Rio Branco</v>
      </c>
      <c r="L1633" s="32"/>
      <c r="M1633" s="48">
        <f t="shared" si="112"/>
        <v>45909</v>
      </c>
      <c r="N1633" s="26">
        <f t="shared" si="111"/>
        <v>3</v>
      </c>
      <c r="O1633" s="27">
        <v>990</v>
      </c>
      <c r="P1633" s="27">
        <v>990</v>
      </c>
      <c r="Q1633" s="27">
        <v>28</v>
      </c>
      <c r="R1633" s="27">
        <v>24</v>
      </c>
      <c r="S1633" s="27" t="s">
        <v>4560</v>
      </c>
      <c r="T1633" s="27"/>
      <c r="U1633" s="27">
        <v>1109</v>
      </c>
      <c r="V1633" s="27" t="s">
        <v>1042</v>
      </c>
      <c r="W1633" s="27" t="s">
        <v>3818</v>
      </c>
      <c r="X1633" s="128" t="s">
        <v>1623</v>
      </c>
      <c r="Y1633" s="73" t="str">
        <f>VLOOKUP(X1633,Choferes!$B$3:C409,2,FALSE)</f>
        <v>+5553991254560</v>
      </c>
      <c r="Z1633" s="73" t="s">
        <v>4561</v>
      </c>
    </row>
    <row r="1634" spans="1:26" ht="30" hidden="1" x14ac:dyDescent="0.25">
      <c r="A1634" s="33">
        <v>36</v>
      </c>
      <c r="B1634" s="71" t="s">
        <v>29</v>
      </c>
      <c r="C1634" s="39" t="s">
        <v>4541</v>
      </c>
      <c r="D1634" s="106" t="s">
        <v>803</v>
      </c>
      <c r="E1634" s="47">
        <v>45905</v>
      </c>
      <c r="F1634" s="31" t="str">
        <f>VLOOKUP($C1634,Carpetas!$C$5:$M$2666,2,FALSE)</f>
        <v>BRB099</v>
      </c>
      <c r="G1634" s="23" t="str">
        <f>VLOOKUP($C1634,Carpetas!$C$5:$M$2666,10,FALSE)</f>
        <v>153,52,77</v>
      </c>
      <c r="H1634" s="27" t="str">
        <f>VLOOKUP($C1634,Carpetas!$C$5:$M$2666,6,FALSE)</f>
        <v>FG</v>
      </c>
      <c r="I1634" s="220"/>
      <c r="J1634" s="47">
        <v>45908</v>
      </c>
      <c r="K1634" s="72" t="str">
        <f>VLOOKUP($C1634,Carpetas!$C$5:$M$2666,5,FALSE)</f>
        <v>Rio Branco</v>
      </c>
      <c r="L1634" s="32"/>
      <c r="M1634" s="48">
        <f t="shared" si="112"/>
        <v>45909</v>
      </c>
      <c r="N1634" s="26">
        <f t="shared" si="111"/>
        <v>4</v>
      </c>
      <c r="O1634" s="27">
        <v>990</v>
      </c>
      <c r="P1634" s="27">
        <v>990</v>
      </c>
      <c r="Q1634" s="27">
        <v>28</v>
      </c>
      <c r="R1634" s="27">
        <v>25</v>
      </c>
      <c r="S1634" s="27" t="s">
        <v>4562</v>
      </c>
      <c r="T1634" s="27"/>
      <c r="U1634" s="27">
        <v>1103</v>
      </c>
      <c r="V1634" s="27" t="s">
        <v>1726</v>
      </c>
      <c r="W1634" s="27" t="s">
        <v>1646</v>
      </c>
      <c r="X1634" s="128" t="s">
        <v>1576</v>
      </c>
      <c r="Y1634" s="73" t="str">
        <f>VLOOKUP(X1634,Choferes!$B$3:C406,2,FALSE)</f>
        <v>+55119971489722</v>
      </c>
      <c r="Z1634" s="73" t="s">
        <v>4563</v>
      </c>
    </row>
    <row r="1635" spans="1:26" ht="30" hidden="1" x14ac:dyDescent="0.25">
      <c r="A1635" s="33">
        <v>36</v>
      </c>
      <c r="B1635" s="71" t="s">
        <v>29</v>
      </c>
      <c r="C1635" s="39" t="s">
        <v>4541</v>
      </c>
      <c r="D1635" s="106" t="s">
        <v>249</v>
      </c>
      <c r="E1635" s="47">
        <v>45905</v>
      </c>
      <c r="F1635" s="31" t="str">
        <f>VLOOKUP($C1635,Carpetas!$C$5:$M$2666,2,FALSE)</f>
        <v>BRB099</v>
      </c>
      <c r="G1635" s="23" t="str">
        <f>VLOOKUP($C1635,Carpetas!$C$5:$M$2666,10,FALSE)</f>
        <v>153,52,77</v>
      </c>
      <c r="H1635" s="27" t="str">
        <f>VLOOKUP($C1635,Carpetas!$C$5:$M$2666,6,FALSE)</f>
        <v>FG</v>
      </c>
      <c r="I1635" s="220"/>
      <c r="J1635" s="47">
        <v>45908</v>
      </c>
      <c r="K1635" s="72" t="str">
        <f>VLOOKUP($C1635,Carpetas!$C$5:$M$2666,5,FALSE)</f>
        <v>Rio Branco</v>
      </c>
      <c r="L1635" s="32"/>
      <c r="M1635" s="48">
        <f t="shared" si="112"/>
        <v>45909</v>
      </c>
      <c r="N1635" s="26">
        <f t="shared" si="111"/>
        <v>4</v>
      </c>
      <c r="O1635" s="27">
        <v>990</v>
      </c>
      <c r="P1635" s="27">
        <v>990</v>
      </c>
      <c r="Q1635" s="27">
        <v>28</v>
      </c>
      <c r="R1635" s="27">
        <v>25</v>
      </c>
      <c r="S1635" s="27" t="s">
        <v>4564</v>
      </c>
      <c r="T1635" s="27"/>
      <c r="U1635" s="27">
        <v>1106</v>
      </c>
      <c r="V1635" s="27" t="s">
        <v>1430</v>
      </c>
      <c r="W1635" s="27" t="s">
        <v>1669</v>
      </c>
      <c r="X1635" s="128" t="s">
        <v>1923</v>
      </c>
      <c r="Y1635" s="73" t="str">
        <f>VLOOKUP(X1635,Choferes!$B$3:C414,2,FALSE)</f>
        <v>+5553999049426</v>
      </c>
      <c r="Z1635" s="73" t="s">
        <v>4565</v>
      </c>
    </row>
    <row r="1636" spans="1:26" hidden="1" x14ac:dyDescent="0.25">
      <c r="A1636" s="33">
        <v>36</v>
      </c>
      <c r="B1636" s="71" t="s">
        <v>29</v>
      </c>
      <c r="C1636" s="39" t="s">
        <v>4541</v>
      </c>
      <c r="D1636" s="106" t="s">
        <v>2202</v>
      </c>
      <c r="E1636" s="47">
        <v>45905</v>
      </c>
      <c r="F1636" s="31" t="str">
        <f>VLOOKUP($C1636,Carpetas!$C$5:$M$2666,2,FALSE)</f>
        <v>BRB099</v>
      </c>
      <c r="G1636" s="23" t="str">
        <f>VLOOKUP($C1636,Carpetas!$C$5:$M$2666,10,FALSE)</f>
        <v>153,52,77</v>
      </c>
      <c r="H1636" s="27" t="str">
        <f>VLOOKUP($C1636,Carpetas!$C$5:$M$2666,6,FALSE)</f>
        <v>FG</v>
      </c>
      <c r="I1636" s="220"/>
      <c r="J1636" s="47">
        <v>45908</v>
      </c>
      <c r="K1636" s="72" t="str">
        <f>VLOOKUP($C1636,Carpetas!$C$5:$M$2666,5,FALSE)</f>
        <v>Rio Branco</v>
      </c>
      <c r="L1636" s="32"/>
      <c r="M1636" s="48">
        <f t="shared" si="112"/>
        <v>45909</v>
      </c>
      <c r="N1636" s="26">
        <f t="shared" si="111"/>
        <v>4</v>
      </c>
      <c r="O1636" s="27">
        <v>990</v>
      </c>
      <c r="P1636" s="27">
        <v>990</v>
      </c>
      <c r="Q1636" s="27">
        <v>28</v>
      </c>
      <c r="R1636" s="27">
        <v>25</v>
      </c>
      <c r="S1636" s="27" t="s">
        <v>4566</v>
      </c>
      <c r="T1636" s="27"/>
      <c r="U1636" s="27">
        <v>1108</v>
      </c>
      <c r="V1636" s="27" t="s">
        <v>4567</v>
      </c>
      <c r="W1636" s="27" t="s">
        <v>4568</v>
      </c>
      <c r="X1636" s="128"/>
      <c r="Y1636" s="73" t="e">
        <f>VLOOKUP(X1636,Choferes!$B$3:C411,2,FALSE)</f>
        <v>#N/A</v>
      </c>
      <c r="Z1636" s="73" t="s">
        <v>4569</v>
      </c>
    </row>
    <row r="1637" spans="1:26" hidden="1" x14ac:dyDescent="0.25">
      <c r="A1637" s="33">
        <v>36</v>
      </c>
      <c r="B1637" s="71" t="s">
        <v>29</v>
      </c>
      <c r="C1637" s="39" t="s">
        <v>4570</v>
      </c>
      <c r="D1637" s="106" t="s">
        <v>2202</v>
      </c>
      <c r="E1637" s="47">
        <v>45904</v>
      </c>
      <c r="F1637" s="31" t="str">
        <f>VLOOKUP($C1637,Carpetas!$C$5:$M$2666,2,FALSE)</f>
        <v>BRB100</v>
      </c>
      <c r="G1637" s="23" t="str">
        <f>VLOOKUP($C1637,Carpetas!$C$5:$M$2666,10,FALSE)</f>
        <v>153,53,66</v>
      </c>
      <c r="H1637" s="27" t="str">
        <f>VLOOKUP($C1637,Carpetas!$C$5:$M$2666,6,FALSE)</f>
        <v>Amaro</v>
      </c>
      <c r="I1637" s="220"/>
      <c r="J1637" s="47">
        <v>45908</v>
      </c>
      <c r="K1637" s="72" t="str">
        <f>VLOOKUP($C1637,Carpetas!$C$5:$M$2666,5,FALSE)</f>
        <v>Rio Branco</v>
      </c>
      <c r="L1637" s="32"/>
      <c r="M1637" s="48">
        <f t="shared" ref="M1637:M1642" si="113">J1637+1+1</f>
        <v>45910</v>
      </c>
      <c r="N1637" s="26">
        <f t="shared" si="111"/>
        <v>6</v>
      </c>
      <c r="O1637" s="27">
        <v>990</v>
      </c>
      <c r="P1637" s="27">
        <v>991</v>
      </c>
      <c r="Q1637" s="27">
        <v>26</v>
      </c>
      <c r="R1637" s="27">
        <v>25</v>
      </c>
      <c r="S1637" s="27" t="s">
        <v>4571</v>
      </c>
      <c r="T1637" s="27"/>
      <c r="U1637" s="27">
        <v>26809</v>
      </c>
      <c r="V1637" s="27" t="s">
        <v>3617</v>
      </c>
      <c r="W1637" s="27" t="s">
        <v>3618</v>
      </c>
      <c r="X1637" s="128"/>
      <c r="Y1637" s="73" t="e">
        <f>VLOOKUP(X1637,Choferes!$B$3:C413,2,FALSE)</f>
        <v>#N/A</v>
      </c>
      <c r="Z1637" s="73" t="s">
        <v>4572</v>
      </c>
    </row>
    <row r="1638" spans="1:26" hidden="1" x14ac:dyDescent="0.25">
      <c r="A1638" s="33">
        <v>36</v>
      </c>
      <c r="B1638" s="71" t="s">
        <v>29</v>
      </c>
      <c r="C1638" s="39" t="s">
        <v>4517</v>
      </c>
      <c r="D1638" s="106" t="s">
        <v>953</v>
      </c>
      <c r="E1638" s="47">
        <v>45904</v>
      </c>
      <c r="F1638" s="31" t="str">
        <f>VLOOKUP($C1638,Carpetas!$C$5:$M$2666,2,FALSE)</f>
        <v>BRB096</v>
      </c>
      <c r="G1638" s="23" t="str">
        <f>VLOOKUP($C1638,Carpetas!$C$5:$M$2666,10,FALSE)</f>
        <v>153,50,45</v>
      </c>
      <c r="H1638" s="27" t="str">
        <f>VLOOKUP($C1638,Carpetas!$C$5:$M$2666,6,FALSE)</f>
        <v xml:space="preserve">Silvio </v>
      </c>
      <c r="I1638" s="220"/>
      <c r="J1638" s="47">
        <v>45908</v>
      </c>
      <c r="K1638" s="72" t="str">
        <f>VLOOKUP($C1638,Carpetas!$C$5:$M$2666,5,FALSE)</f>
        <v>Rio Branco</v>
      </c>
      <c r="L1638" s="32"/>
      <c r="M1638" s="48">
        <f t="shared" si="113"/>
        <v>45910</v>
      </c>
      <c r="N1638" s="26">
        <f t="shared" si="111"/>
        <v>6</v>
      </c>
      <c r="O1638" s="27">
        <v>918</v>
      </c>
      <c r="P1638" s="27">
        <v>918</v>
      </c>
      <c r="Q1638" s="27">
        <v>26</v>
      </c>
      <c r="R1638" s="27">
        <v>24</v>
      </c>
      <c r="S1638" s="27" t="s">
        <v>1436</v>
      </c>
      <c r="T1638" s="27"/>
      <c r="U1638" s="27">
        <v>7523</v>
      </c>
      <c r="V1638" s="27" t="s">
        <v>665</v>
      </c>
      <c r="W1638" s="27" t="s">
        <v>252</v>
      </c>
      <c r="X1638" s="128"/>
      <c r="Y1638" s="73" t="e">
        <f>VLOOKUP(X1638,Choferes!$B$3:C415,2,FALSE)</f>
        <v>#N/A</v>
      </c>
      <c r="Z1638" s="73" t="s">
        <v>4573</v>
      </c>
    </row>
    <row r="1639" spans="1:26" ht="30" hidden="1" x14ac:dyDescent="0.25">
      <c r="A1639" s="33">
        <v>36</v>
      </c>
      <c r="B1639" s="71" t="s">
        <v>29</v>
      </c>
      <c r="C1639" s="39" t="s">
        <v>4570</v>
      </c>
      <c r="D1639" s="106" t="s">
        <v>2474</v>
      </c>
      <c r="E1639" s="47">
        <v>45904</v>
      </c>
      <c r="F1639" s="31" t="str">
        <f>VLOOKUP($C1639,Carpetas!$C$5:$M$2666,2,FALSE)</f>
        <v>BRB100</v>
      </c>
      <c r="G1639" s="23" t="str">
        <f>VLOOKUP($C1639,Carpetas!$C$5:$M$2666,10,FALSE)</f>
        <v>153,53,66</v>
      </c>
      <c r="H1639" s="27" t="str">
        <f>VLOOKUP($C1639,Carpetas!$C$5:$M$2666,6,FALSE)</f>
        <v>Amaro</v>
      </c>
      <c r="I1639" s="220"/>
      <c r="J1639" s="47">
        <v>45908</v>
      </c>
      <c r="K1639" s="72" t="str">
        <f>VLOOKUP($C1639,Carpetas!$C$5:$M$2666,5,FALSE)</f>
        <v>Rio Branco</v>
      </c>
      <c r="L1639" s="32"/>
      <c r="M1639" s="48">
        <f t="shared" si="113"/>
        <v>45910</v>
      </c>
      <c r="N1639" s="26">
        <f t="shared" si="111"/>
        <v>6</v>
      </c>
      <c r="O1639" s="27">
        <v>990</v>
      </c>
      <c r="P1639" s="27">
        <v>990</v>
      </c>
      <c r="Q1639" s="27">
        <v>26</v>
      </c>
      <c r="R1639" s="27">
        <v>25</v>
      </c>
      <c r="S1639" s="27" t="s">
        <v>4574</v>
      </c>
      <c r="T1639" s="27"/>
      <c r="U1639" s="27">
        <v>26811</v>
      </c>
      <c r="V1639" s="27" t="s">
        <v>4009</v>
      </c>
      <c r="W1639" s="27" t="s">
        <v>4010</v>
      </c>
      <c r="X1639" s="128"/>
      <c r="Y1639" s="73" t="e">
        <f>VLOOKUP(X1639,Choferes!$B$3:C414,2,FALSE)</f>
        <v>#N/A</v>
      </c>
      <c r="Z1639" s="73" t="s">
        <v>4575</v>
      </c>
    </row>
    <row r="1640" spans="1:26" hidden="1" x14ac:dyDescent="0.25">
      <c r="A1640" s="33">
        <v>36</v>
      </c>
      <c r="B1640" s="71" t="s">
        <v>29</v>
      </c>
      <c r="C1640" s="39" t="s">
        <v>4576</v>
      </c>
      <c r="D1640" s="106" t="s">
        <v>110</v>
      </c>
      <c r="E1640" s="47">
        <v>45905</v>
      </c>
      <c r="F1640" s="31" t="str">
        <f>VLOOKUP($C1640,Carpetas!$C$5:$M$2666,2,FALSE)</f>
        <v>BRB098</v>
      </c>
      <c r="G1640" s="23" t="str">
        <f>VLOOKUP($C1640,Carpetas!$C$5:$M$2666,10,FALSE)</f>
        <v>153,54,72</v>
      </c>
      <c r="H1640" s="27" t="str">
        <f>VLOOKUP($C1640,Carpetas!$C$5:$M$2666,6,FALSE)</f>
        <v>Chabat</v>
      </c>
      <c r="I1640" s="220"/>
      <c r="J1640" s="47">
        <v>45908</v>
      </c>
      <c r="K1640" s="72" t="str">
        <f>VLOOKUP($C1640,Carpetas!$C$5:$M$2666,5,FALSE)</f>
        <v>Chuy</v>
      </c>
      <c r="L1640" s="32"/>
      <c r="M1640" s="48">
        <f t="shared" si="113"/>
        <v>45910</v>
      </c>
      <c r="N1640" s="26">
        <f t="shared" si="111"/>
        <v>5</v>
      </c>
      <c r="O1640" s="27">
        <v>990</v>
      </c>
      <c r="P1640" s="27">
        <v>990</v>
      </c>
      <c r="Q1640" s="27">
        <v>28</v>
      </c>
      <c r="R1640" s="27">
        <v>26</v>
      </c>
      <c r="S1640" s="27" t="s">
        <v>4577</v>
      </c>
      <c r="T1640" s="27"/>
      <c r="U1640" s="27"/>
      <c r="V1640" s="27"/>
      <c r="W1640" s="27"/>
      <c r="X1640" s="128"/>
      <c r="Y1640" s="73" t="e">
        <f>VLOOKUP(X1640,Choferes!$B$3:C419,2,FALSE)</f>
        <v>#N/A</v>
      </c>
      <c r="Z1640" s="73" t="s">
        <v>4578</v>
      </c>
    </row>
    <row r="1641" spans="1:26" hidden="1" x14ac:dyDescent="0.25">
      <c r="A1641" s="33">
        <v>36</v>
      </c>
      <c r="B1641" s="71" t="s">
        <v>29</v>
      </c>
      <c r="C1641" s="39" t="s">
        <v>4529</v>
      </c>
      <c r="D1641" s="106" t="s">
        <v>953</v>
      </c>
      <c r="E1641" s="47">
        <v>45906</v>
      </c>
      <c r="F1641" s="31" t="str">
        <f>VLOOKUP($C1641,Carpetas!$C$5:$M$2666,2,FALSE)</f>
        <v>BRB097</v>
      </c>
      <c r="G1641" s="23" t="str">
        <f>VLOOKUP($C1641,Carpetas!$C$5:$M$2666,10,FALSE)</f>
        <v>153,50,54</v>
      </c>
      <c r="H1641" s="27" t="str">
        <f>VLOOKUP($C1641,Carpetas!$C$5:$M$2666,6,FALSE)</f>
        <v>Zanini</v>
      </c>
      <c r="I1641" s="220"/>
      <c r="J1641" s="47">
        <v>45908</v>
      </c>
      <c r="K1641" s="72" t="str">
        <f>VLOOKUP($C1641,Carpetas!$C$5:$M$2666,5,FALSE)</f>
        <v>Rio Branco</v>
      </c>
      <c r="L1641" s="32"/>
      <c r="M1641" s="48">
        <f t="shared" si="113"/>
        <v>45910</v>
      </c>
      <c r="N1641" s="26">
        <f t="shared" si="111"/>
        <v>4</v>
      </c>
      <c r="O1641" s="27">
        <v>918</v>
      </c>
      <c r="P1641" s="27">
        <v>918</v>
      </c>
      <c r="Q1641" s="27">
        <v>26</v>
      </c>
      <c r="R1641" s="27">
        <v>24</v>
      </c>
      <c r="S1641" s="27" t="s">
        <v>1417</v>
      </c>
      <c r="T1641" s="27"/>
      <c r="U1641" s="27">
        <v>5485</v>
      </c>
      <c r="V1641" s="27" t="s">
        <v>792</v>
      </c>
      <c r="W1641" s="27" t="s">
        <v>793</v>
      </c>
      <c r="X1641" s="128" t="s">
        <v>1782</v>
      </c>
      <c r="Y1641" s="73" t="str">
        <f>VLOOKUP(X1641,Choferes!$B$3:C416,2,FALSE)</f>
        <v>+5555991021206</v>
      </c>
      <c r="Z1641" s="73" t="s">
        <v>4579</v>
      </c>
    </row>
    <row r="1642" spans="1:26" hidden="1" x14ac:dyDescent="0.25">
      <c r="A1642" s="33">
        <v>36</v>
      </c>
      <c r="B1642" s="71" t="s">
        <v>29</v>
      </c>
      <c r="C1642" s="39" t="s">
        <v>4580</v>
      </c>
      <c r="D1642" s="106" t="s">
        <v>1757</v>
      </c>
      <c r="E1642" s="47">
        <v>45904</v>
      </c>
      <c r="F1642" s="31" t="str">
        <f>VLOOKUP($C1642,Carpetas!$C$5:$M$2666,2,FALSE)</f>
        <v>BRB095</v>
      </c>
      <c r="G1642" s="23" t="str">
        <f>VLOOKUP($C1642,Carpetas!$C$5:$M$2666,10,FALSE)</f>
        <v>153,50,36</v>
      </c>
      <c r="H1642" s="27" t="str">
        <f>VLOOKUP($C1642,Carpetas!$C$5:$M$2666,6,FALSE)</f>
        <v>Gral</v>
      </c>
      <c r="I1642" s="220"/>
      <c r="J1642" s="47">
        <v>45908</v>
      </c>
      <c r="K1642" s="72" t="str">
        <f>VLOOKUP($C1642,Carpetas!$C$5:$M$2666,5,FALSE)</f>
        <v>Rio Branco</v>
      </c>
      <c r="L1642" s="32"/>
      <c r="M1642" s="48">
        <f t="shared" si="113"/>
        <v>45910</v>
      </c>
      <c r="N1642" s="26">
        <f t="shared" si="111"/>
        <v>6</v>
      </c>
      <c r="O1642" s="27">
        <v>936</v>
      </c>
      <c r="P1642" s="27">
        <v>936</v>
      </c>
      <c r="Q1642" s="27">
        <v>26</v>
      </c>
      <c r="R1642" s="27">
        <v>25</v>
      </c>
      <c r="S1642" s="27" t="s">
        <v>3467</v>
      </c>
      <c r="T1642" s="27"/>
      <c r="U1642" s="27">
        <v>7634</v>
      </c>
      <c r="V1642" s="27" t="s">
        <v>4581</v>
      </c>
      <c r="W1642" s="27" t="s">
        <v>4582</v>
      </c>
      <c r="X1642" s="128"/>
      <c r="Y1642" s="73" t="e">
        <f>VLOOKUP(X1642,Choferes!$B$3:C401,2,FALSE)</f>
        <v>#N/A</v>
      </c>
      <c r="Z1642" s="73" t="s">
        <v>4583</v>
      </c>
    </row>
    <row r="1643" spans="1:26" hidden="1" x14ac:dyDescent="0.25">
      <c r="A1643" s="33">
        <v>36</v>
      </c>
      <c r="B1643" s="71" t="s">
        <v>29</v>
      </c>
      <c r="C1643" s="39" t="s">
        <v>4580</v>
      </c>
      <c r="D1643" s="106" t="s">
        <v>1757</v>
      </c>
      <c r="E1643" s="47">
        <v>45902</v>
      </c>
      <c r="F1643" s="31" t="str">
        <f>VLOOKUP($C1643,Carpetas!$C$5:$M$2666,2,FALSE)</f>
        <v>BRB095</v>
      </c>
      <c r="G1643" s="23" t="str">
        <f>VLOOKUP($C1643,Carpetas!$C$5:$M$2666,10,FALSE)</f>
        <v>153,50,36</v>
      </c>
      <c r="H1643" s="27" t="str">
        <f>VLOOKUP($C1643,Carpetas!$C$5:$M$2666,6,FALSE)</f>
        <v>Gral</v>
      </c>
      <c r="I1643" s="220"/>
      <c r="J1643" s="47">
        <v>45909</v>
      </c>
      <c r="K1643" s="72" t="str">
        <f>VLOOKUP($C1643,Carpetas!$C$5:$M$2666,5,FALSE)</f>
        <v>Rio Branco</v>
      </c>
      <c r="L1643" s="32"/>
      <c r="M1643" s="48">
        <f t="shared" ref="M1643:M1662" si="114">J1643+1</f>
        <v>45910</v>
      </c>
      <c r="N1643" s="26">
        <f t="shared" si="111"/>
        <v>8</v>
      </c>
      <c r="O1643" s="27">
        <v>936</v>
      </c>
      <c r="P1643" s="27">
        <v>936</v>
      </c>
      <c r="Q1643" s="27">
        <v>26</v>
      </c>
      <c r="R1643" s="27">
        <v>25</v>
      </c>
      <c r="S1643" s="27" t="s">
        <v>4584</v>
      </c>
      <c r="T1643" s="27"/>
      <c r="U1643" s="27">
        <v>7616</v>
      </c>
      <c r="V1643" s="27" t="s">
        <v>4585</v>
      </c>
      <c r="W1643" s="27" t="s">
        <v>4586</v>
      </c>
      <c r="X1643" s="128"/>
      <c r="Y1643" s="73" t="e">
        <f>VLOOKUP(X1643,Choferes!$B$3:C417,2,FALSE)</f>
        <v>#N/A</v>
      </c>
      <c r="Z1643" s="73" t="s">
        <v>4587</v>
      </c>
    </row>
    <row r="1644" spans="1:26" ht="30" hidden="1" x14ac:dyDescent="0.25">
      <c r="A1644" s="33">
        <v>37</v>
      </c>
      <c r="B1644" s="71" t="s">
        <v>29</v>
      </c>
      <c r="C1644" s="39" t="s">
        <v>4588</v>
      </c>
      <c r="D1644" s="106" t="s">
        <v>2474</v>
      </c>
      <c r="E1644" s="47">
        <v>45908</v>
      </c>
      <c r="F1644" s="31" t="str">
        <f>VLOOKUP($C1644,Carpetas!$C$5:$M$2666,2,FALSE)</f>
        <v>BRB101</v>
      </c>
      <c r="G1644" s="23" t="str">
        <f>VLOOKUP($C1644,Carpetas!$C$5:$M$2666,10,FALSE)</f>
        <v>153.57.39</v>
      </c>
      <c r="H1644" s="27" t="str">
        <f>VLOOKUP($C1644,Carpetas!$C$5:$M$2666,6,FALSE)</f>
        <v>Chabat</v>
      </c>
      <c r="I1644" s="220"/>
      <c r="J1644" s="47">
        <v>45909</v>
      </c>
      <c r="K1644" s="72" t="str">
        <f>VLOOKUP($C1644,Carpetas!$C$5:$M$2666,5,FALSE)</f>
        <v>Rio Branco</v>
      </c>
      <c r="L1644" s="32"/>
      <c r="M1644" s="48">
        <f t="shared" si="114"/>
        <v>45910</v>
      </c>
      <c r="N1644" s="26">
        <f t="shared" si="111"/>
        <v>2</v>
      </c>
      <c r="O1644" s="27">
        <v>990</v>
      </c>
      <c r="P1644" s="27">
        <v>990</v>
      </c>
      <c r="Q1644" s="27">
        <v>28</v>
      </c>
      <c r="R1644" s="27">
        <v>25</v>
      </c>
      <c r="S1644" s="27" t="s">
        <v>4589</v>
      </c>
      <c r="T1644" s="27"/>
      <c r="U1644" s="27"/>
      <c r="V1644" s="27"/>
      <c r="W1644" s="27"/>
      <c r="X1644" s="128"/>
      <c r="Y1644" s="73" t="e">
        <f>VLOOKUP(X1644,Choferes!$B$3:C414,2,FALSE)</f>
        <v>#N/A</v>
      </c>
      <c r="Z1644" s="73" t="s">
        <v>4590</v>
      </c>
    </row>
    <row r="1645" spans="1:26" ht="45" hidden="1" x14ac:dyDescent="0.25">
      <c r="A1645" s="33">
        <v>37</v>
      </c>
      <c r="B1645" s="71" t="s">
        <v>29</v>
      </c>
      <c r="C1645" s="39" t="s">
        <v>4541</v>
      </c>
      <c r="D1645" s="106" t="s">
        <v>3124</v>
      </c>
      <c r="E1645" s="47">
        <v>45908</v>
      </c>
      <c r="F1645" s="31" t="str">
        <f>VLOOKUP($C1645,Carpetas!$C$5:$M$2666,2,FALSE)</f>
        <v>BRB099</v>
      </c>
      <c r="G1645" s="23" t="str">
        <f>VLOOKUP($C1645,Carpetas!$C$5:$M$2666,10,FALSE)</f>
        <v>153,52,77</v>
      </c>
      <c r="H1645" s="27" t="str">
        <f>VLOOKUP($C1645,Carpetas!$C$5:$M$2666,6,FALSE)</f>
        <v>FG</v>
      </c>
      <c r="I1645" s="220"/>
      <c r="J1645" s="47">
        <v>45911</v>
      </c>
      <c r="K1645" s="72" t="str">
        <f>VLOOKUP($C1645,Carpetas!$C$5:$M$2666,5,FALSE)</f>
        <v>Rio Branco</v>
      </c>
      <c r="L1645" s="32"/>
      <c r="M1645" s="48">
        <f t="shared" si="114"/>
        <v>45912</v>
      </c>
      <c r="N1645" s="26">
        <f t="shared" si="111"/>
        <v>4</v>
      </c>
      <c r="O1645" s="27">
        <v>990</v>
      </c>
      <c r="P1645" s="27">
        <v>990</v>
      </c>
      <c r="Q1645" s="27">
        <v>28</v>
      </c>
      <c r="R1645" s="27">
        <v>25</v>
      </c>
      <c r="S1645" s="27" t="s">
        <v>4591</v>
      </c>
      <c r="T1645" s="27"/>
      <c r="U1645" s="27">
        <v>1112</v>
      </c>
      <c r="V1645" s="27" t="s">
        <v>1630</v>
      </c>
      <c r="W1645" s="27" t="s">
        <v>1934</v>
      </c>
      <c r="X1645" s="128" t="s">
        <v>1935</v>
      </c>
      <c r="Y1645" s="73" t="str">
        <f>VLOOKUP(X1645,Choferes!$B$3:C406,2,FALSE)</f>
        <v>+5554984377792</v>
      </c>
      <c r="Z1645" s="73" t="s">
        <v>4592</v>
      </c>
    </row>
    <row r="1646" spans="1:26" hidden="1" x14ac:dyDescent="0.25">
      <c r="A1646" s="33">
        <v>37</v>
      </c>
      <c r="B1646" s="71" t="s">
        <v>29</v>
      </c>
      <c r="C1646" s="39" t="s">
        <v>4541</v>
      </c>
      <c r="D1646" s="106" t="s">
        <v>803</v>
      </c>
      <c r="E1646" s="47">
        <v>45909</v>
      </c>
      <c r="F1646" s="31" t="str">
        <f>VLOOKUP($C1646,Carpetas!$C$5:$M$2666,2,FALSE)</f>
        <v>BRB099</v>
      </c>
      <c r="G1646" s="23" t="str">
        <f>VLOOKUP($C1646,Carpetas!$C$5:$M$2666,10,FALSE)</f>
        <v>153,52,77</v>
      </c>
      <c r="H1646" s="27" t="str">
        <f>VLOOKUP($C1646,Carpetas!$C$5:$M$2666,6,FALSE)</f>
        <v>FG</v>
      </c>
      <c r="I1646" s="220"/>
      <c r="J1646" s="47">
        <f>E1646+2</f>
        <v>45911</v>
      </c>
      <c r="K1646" s="72" t="str">
        <f>VLOOKUP($C1646,Carpetas!$C$5:$M$2666,5,FALSE)</f>
        <v>Rio Branco</v>
      </c>
      <c r="L1646" s="32"/>
      <c r="M1646" s="48">
        <f t="shared" si="114"/>
        <v>45912</v>
      </c>
      <c r="N1646" s="26">
        <f t="shared" si="111"/>
        <v>3</v>
      </c>
      <c r="O1646" s="27">
        <v>990</v>
      </c>
      <c r="P1646" s="27">
        <v>990</v>
      </c>
      <c r="Q1646" s="27">
        <v>28</v>
      </c>
      <c r="R1646" s="27">
        <v>25</v>
      </c>
      <c r="S1646" s="27" t="s">
        <v>4593</v>
      </c>
      <c r="T1646" s="27"/>
      <c r="U1646" s="27">
        <v>1110</v>
      </c>
      <c r="V1646" s="27" t="s">
        <v>4319</v>
      </c>
      <c r="W1646" s="27" t="s">
        <v>1523</v>
      </c>
      <c r="X1646" s="128" t="s">
        <v>4320</v>
      </c>
      <c r="Y1646" s="73" t="str">
        <f>VLOOKUP(X1646,Choferes!$B$3:C405,2,FALSE)</f>
        <v>+598 98 562 952</v>
      </c>
      <c r="Z1646" s="73" t="s">
        <v>4594</v>
      </c>
    </row>
    <row r="1647" spans="1:26" ht="30" hidden="1" x14ac:dyDescent="0.25">
      <c r="A1647" s="33">
        <v>37</v>
      </c>
      <c r="B1647" s="71" t="s">
        <v>29</v>
      </c>
      <c r="C1647" s="39" t="s">
        <v>4595</v>
      </c>
      <c r="D1647" s="106" t="s">
        <v>2474</v>
      </c>
      <c r="E1647" s="47">
        <v>45910</v>
      </c>
      <c r="F1647" s="31" t="str">
        <f>VLOOKUP($C1647,Carpetas!$C$5:$M$2666,2,FALSE)</f>
        <v>BRB103</v>
      </c>
      <c r="G1647" s="23" t="str">
        <f>VLOOKUP($C1647,Carpetas!$C$5:$M$2666,10,FALSE)</f>
        <v>153,60,68</v>
      </c>
      <c r="H1647" s="27" t="str">
        <f>VLOOKUP($C1647,Carpetas!$C$5:$M$2666,6,FALSE)</f>
        <v>FG</v>
      </c>
      <c r="I1647" s="220"/>
      <c r="J1647" s="47">
        <v>45911</v>
      </c>
      <c r="K1647" s="72" t="str">
        <f>VLOOKUP($C1647,Carpetas!$C$5:$M$2666,5,FALSE)</f>
        <v>Rio Branco</v>
      </c>
      <c r="L1647" s="32"/>
      <c r="M1647" s="48">
        <f t="shared" si="114"/>
        <v>45912</v>
      </c>
      <c r="N1647" s="26">
        <f t="shared" si="111"/>
        <v>2</v>
      </c>
      <c r="O1647" s="27">
        <v>990</v>
      </c>
      <c r="P1647" s="27">
        <v>990</v>
      </c>
      <c r="Q1647" s="27">
        <v>28</v>
      </c>
      <c r="R1647" s="27">
        <v>25</v>
      </c>
      <c r="S1647" s="27" t="s">
        <v>4596</v>
      </c>
      <c r="T1647" s="27"/>
      <c r="U1647" s="27">
        <v>1115</v>
      </c>
      <c r="V1647" s="27" t="s">
        <v>1636</v>
      </c>
      <c r="W1647" s="27" t="s">
        <v>1736</v>
      </c>
      <c r="X1647" s="128" t="s">
        <v>1413</v>
      </c>
      <c r="Y1647" s="73" t="str">
        <f>VLOOKUP(X1647,Choferes!$B$3:C408,2,FALSE)</f>
        <v>+59899406679</v>
      </c>
      <c r="Z1647" s="73" t="s">
        <v>4597</v>
      </c>
    </row>
    <row r="1648" spans="1:26" hidden="1" x14ac:dyDescent="0.25">
      <c r="A1648" s="33">
        <v>37</v>
      </c>
      <c r="B1648" s="71" t="s">
        <v>29</v>
      </c>
      <c r="C1648" s="39" t="s">
        <v>4576</v>
      </c>
      <c r="D1648" s="106" t="s">
        <v>110</v>
      </c>
      <c r="E1648" s="47">
        <v>45910</v>
      </c>
      <c r="F1648" s="31" t="str">
        <f>VLOOKUP($C1648,Carpetas!$C$5:$M$2666,2,FALSE)</f>
        <v>BRB098</v>
      </c>
      <c r="G1648" s="23" t="str">
        <f>VLOOKUP($C1648,Carpetas!$C$5:$M$2666,10,FALSE)</f>
        <v>153,54,72</v>
      </c>
      <c r="H1648" s="27" t="str">
        <f>VLOOKUP($C1648,Carpetas!$C$5:$M$2666,6,FALSE)</f>
        <v>Chabat</v>
      </c>
      <c r="I1648" s="220"/>
      <c r="J1648" s="47">
        <v>45911</v>
      </c>
      <c r="K1648" s="72" t="str">
        <f>VLOOKUP($C1648,Carpetas!$C$5:$M$2666,5,FALSE)</f>
        <v>Chuy</v>
      </c>
      <c r="L1648" s="32"/>
      <c r="M1648" s="48">
        <f t="shared" si="114"/>
        <v>45912</v>
      </c>
      <c r="N1648" s="26">
        <f t="shared" si="111"/>
        <v>2</v>
      </c>
      <c r="O1648" s="27">
        <v>990</v>
      </c>
      <c r="P1648" s="27">
        <v>991</v>
      </c>
      <c r="Q1648" s="27">
        <v>28</v>
      </c>
      <c r="R1648" s="27">
        <v>25</v>
      </c>
      <c r="S1648" s="27" t="s">
        <v>4598</v>
      </c>
      <c r="T1648" s="27"/>
      <c r="U1648" s="27"/>
      <c r="V1648" s="27" t="s">
        <v>4129</v>
      </c>
      <c r="W1648" s="27" t="s">
        <v>4599</v>
      </c>
      <c r="X1648" s="128"/>
      <c r="Y1648" s="73" t="e">
        <f>VLOOKUP(X1648,Choferes!$B$3:C415,2,FALSE)</f>
        <v>#N/A</v>
      </c>
      <c r="Z1648" s="73" t="s">
        <v>4600</v>
      </c>
    </row>
    <row r="1649" spans="1:26" ht="30" hidden="1" x14ac:dyDescent="0.25">
      <c r="A1649" s="33">
        <v>37</v>
      </c>
      <c r="B1649" s="71" t="s">
        <v>29</v>
      </c>
      <c r="C1649" s="39" t="s">
        <v>4595</v>
      </c>
      <c r="D1649" s="106" t="s">
        <v>803</v>
      </c>
      <c r="E1649" s="47">
        <v>45910</v>
      </c>
      <c r="F1649" s="31" t="str">
        <f>VLOOKUP($C1649,Carpetas!$C$5:$M$2666,2,FALSE)</f>
        <v>BRB103</v>
      </c>
      <c r="G1649" s="23" t="str">
        <f>VLOOKUP($C1649,Carpetas!$C$5:$M$2666,10,FALSE)</f>
        <v>153,60,68</v>
      </c>
      <c r="H1649" s="27" t="str">
        <f>VLOOKUP($C1649,Carpetas!$C$5:$M$2666,6,FALSE)</f>
        <v>FG</v>
      </c>
      <c r="I1649" s="220"/>
      <c r="J1649" s="47">
        <f>E1649+2</f>
        <v>45912</v>
      </c>
      <c r="K1649" s="72" t="str">
        <f>VLOOKUP($C1649,Carpetas!$C$5:$M$2666,5,FALSE)</f>
        <v>Rio Branco</v>
      </c>
      <c r="L1649" s="32"/>
      <c r="M1649" s="48">
        <f t="shared" si="114"/>
        <v>45913</v>
      </c>
      <c r="N1649" s="26">
        <f t="shared" si="111"/>
        <v>3</v>
      </c>
      <c r="O1649" s="27">
        <v>990</v>
      </c>
      <c r="P1649" s="27">
        <v>990</v>
      </c>
      <c r="Q1649" s="27">
        <v>28</v>
      </c>
      <c r="R1649" s="27">
        <v>23</v>
      </c>
      <c r="S1649" s="27" t="s">
        <v>4601</v>
      </c>
      <c r="T1649" s="27"/>
      <c r="U1649" s="27">
        <v>1116</v>
      </c>
      <c r="V1649" s="27" t="s">
        <v>1722</v>
      </c>
      <c r="W1649" s="27" t="s">
        <v>1637</v>
      </c>
      <c r="X1649" s="128" t="s">
        <v>2119</v>
      </c>
      <c r="Y1649" s="73" t="str">
        <f>VLOOKUP(X1649,Choferes!$B$3:C407,2,FALSE)</f>
        <v>+5553981528085</v>
      </c>
      <c r="Z1649" s="73" t="s">
        <v>4602</v>
      </c>
    </row>
    <row r="1650" spans="1:26" ht="30" hidden="1" x14ac:dyDescent="0.25">
      <c r="A1650" s="33">
        <v>37</v>
      </c>
      <c r="B1650" s="71" t="s">
        <v>29</v>
      </c>
      <c r="C1650" s="39" t="s">
        <v>4570</v>
      </c>
      <c r="D1650" s="106" t="s">
        <v>2202</v>
      </c>
      <c r="E1650" s="47">
        <v>45910</v>
      </c>
      <c r="F1650" s="31" t="str">
        <f>VLOOKUP($C1650,Carpetas!$C$5:$M$2666,2,FALSE)</f>
        <v>BRB100</v>
      </c>
      <c r="G1650" s="23" t="str">
        <f>VLOOKUP($C1650,Carpetas!$C$5:$M$2666,10,FALSE)</f>
        <v>153,53,66</v>
      </c>
      <c r="H1650" s="27" t="str">
        <f>VLOOKUP($C1650,Carpetas!$C$5:$M$2666,6,FALSE)</f>
        <v>Amaro</v>
      </c>
      <c r="I1650" s="220"/>
      <c r="J1650" s="47">
        <f>E1650+2</f>
        <v>45912</v>
      </c>
      <c r="K1650" s="72" t="str">
        <f>VLOOKUP($C1650,Carpetas!$C$5:$M$2666,5,FALSE)</f>
        <v>Rio Branco</v>
      </c>
      <c r="L1650" s="32"/>
      <c r="M1650" s="48">
        <f t="shared" si="114"/>
        <v>45913</v>
      </c>
      <c r="N1650" s="26">
        <f t="shared" si="111"/>
        <v>3</v>
      </c>
      <c r="O1650" s="27">
        <v>990</v>
      </c>
      <c r="P1650" s="27">
        <v>991</v>
      </c>
      <c r="Q1650" s="27">
        <v>28</v>
      </c>
      <c r="R1650" s="27">
        <v>26</v>
      </c>
      <c r="S1650" s="27" t="s">
        <v>4603</v>
      </c>
      <c r="T1650" s="27"/>
      <c r="U1650" s="27">
        <v>26841</v>
      </c>
      <c r="V1650" s="27" t="s">
        <v>2739</v>
      </c>
      <c r="W1650" s="27" t="s">
        <v>2620</v>
      </c>
      <c r="X1650" s="128"/>
      <c r="Y1650" s="73" t="e">
        <f>VLOOKUP(X1650,Choferes!$B$3:C414,2,FALSE)</f>
        <v>#N/A</v>
      </c>
      <c r="Z1650" s="73" t="s">
        <v>4604</v>
      </c>
    </row>
    <row r="1651" spans="1:26" ht="30" hidden="1" x14ac:dyDescent="0.25">
      <c r="A1651" s="33">
        <v>37</v>
      </c>
      <c r="B1651" s="71" t="s">
        <v>29</v>
      </c>
      <c r="C1651" s="39" t="s">
        <v>4595</v>
      </c>
      <c r="D1651" s="106" t="s">
        <v>2474</v>
      </c>
      <c r="E1651" s="47">
        <v>45911</v>
      </c>
      <c r="F1651" s="31" t="str">
        <f>VLOOKUP($C1651,Carpetas!$C$5:$M$2666,2,FALSE)</f>
        <v>BRB103</v>
      </c>
      <c r="G1651" s="23" t="str">
        <f>VLOOKUP($C1651,Carpetas!$C$5:$M$2666,10,FALSE)</f>
        <v>153,60,68</v>
      </c>
      <c r="H1651" s="27" t="str">
        <f>VLOOKUP($C1651,Carpetas!$C$5:$M$2666,6,FALSE)</f>
        <v>FG</v>
      </c>
      <c r="I1651" s="220"/>
      <c r="J1651" s="47">
        <v>45912</v>
      </c>
      <c r="K1651" s="72" t="str">
        <f>VLOOKUP($C1651,Carpetas!$C$5:$M$2666,5,FALSE)</f>
        <v>Rio Branco</v>
      </c>
      <c r="L1651" s="32"/>
      <c r="M1651" s="48">
        <f t="shared" si="114"/>
        <v>45913</v>
      </c>
      <c r="N1651" s="26">
        <f t="shared" si="111"/>
        <v>2</v>
      </c>
      <c r="O1651" s="27">
        <v>990</v>
      </c>
      <c r="P1651" s="27">
        <v>990</v>
      </c>
      <c r="Q1651" s="27">
        <v>28</v>
      </c>
      <c r="R1651" s="27">
        <v>25</v>
      </c>
      <c r="S1651" s="27" t="s">
        <v>4605</v>
      </c>
      <c r="T1651" s="27"/>
      <c r="U1651" s="27">
        <v>1117</v>
      </c>
      <c r="V1651" s="27" t="s">
        <v>3572</v>
      </c>
      <c r="W1651" s="27" t="s">
        <v>1723</v>
      </c>
      <c r="X1651" s="128" t="s">
        <v>1495</v>
      </c>
      <c r="Y1651" s="73" t="str">
        <f>VLOOKUP(X1651,Choferes!$B$3:C406,2,FALSE)</f>
        <v>+5553984382803</v>
      </c>
      <c r="Z1651" s="73" t="s">
        <v>4606</v>
      </c>
    </row>
    <row r="1652" spans="1:26" hidden="1" x14ac:dyDescent="0.25">
      <c r="A1652" s="33">
        <v>37</v>
      </c>
      <c r="B1652" s="71" t="s">
        <v>298</v>
      </c>
      <c r="C1652" s="39" t="s">
        <v>299</v>
      </c>
      <c r="D1652" s="106" t="s">
        <v>249</v>
      </c>
      <c r="E1652" s="47">
        <v>45912</v>
      </c>
      <c r="F1652" s="31" t="str">
        <f>VLOOKUP($C1652,Carpetas!$C$5:$M$2666,2,FALSE)</f>
        <v>BRB</v>
      </c>
      <c r="G1652" s="23" t="e">
        <f>VLOOKUP($C1652,Carpetas!$C$5:$M$2666,9,FALSE)</f>
        <v>#REF!</v>
      </c>
      <c r="H1652" s="27" t="str">
        <f>VLOOKUP($C1652,Carpetas!$C$5:$M$2666,5,FALSE)</f>
        <v>xx</v>
      </c>
      <c r="I1652" s="220"/>
      <c r="J1652" s="47">
        <f>E1652+2</f>
        <v>45914</v>
      </c>
      <c r="K1652" s="72">
        <f>VLOOKUP($C1652,Carpetas!$C$5:$M$2666,4,FALSE)</f>
        <v>0</v>
      </c>
      <c r="L1652" s="32"/>
      <c r="M1652" s="48">
        <f t="shared" si="114"/>
        <v>45915</v>
      </c>
      <c r="N1652" s="26">
        <f t="shared" si="111"/>
        <v>3</v>
      </c>
      <c r="O1652" s="27">
        <v>918</v>
      </c>
      <c r="P1652" s="27"/>
      <c r="Q1652" s="27"/>
      <c r="R1652" s="27"/>
      <c r="S1652" s="27"/>
      <c r="T1652" s="27"/>
      <c r="U1652" s="27"/>
      <c r="V1652" s="27"/>
      <c r="W1652" s="27"/>
      <c r="X1652" s="128"/>
      <c r="Y1652" s="73" t="e">
        <f>VLOOKUP(X1652,Choferes!$B$3:C417,2,FALSE)</f>
        <v>#N/A</v>
      </c>
      <c r="Z1652" s="73"/>
    </row>
    <row r="1653" spans="1:26" hidden="1" x14ac:dyDescent="0.25">
      <c r="A1653" s="33">
        <v>37</v>
      </c>
      <c r="B1653" s="71" t="s">
        <v>29</v>
      </c>
      <c r="C1653" s="39" t="s">
        <v>4576</v>
      </c>
      <c r="D1653" s="106" t="s">
        <v>110</v>
      </c>
      <c r="E1653" s="47">
        <v>45912</v>
      </c>
      <c r="F1653" s="31" t="str">
        <f>VLOOKUP($C1653,Carpetas!$C$5:$M$2666,2,FALSE)</f>
        <v>BRB098</v>
      </c>
      <c r="G1653" s="23" t="str">
        <f>VLOOKUP($C1653,Carpetas!$C$5:$M$2666,10,FALSE)</f>
        <v>153,54,72</v>
      </c>
      <c r="H1653" s="27" t="str">
        <f>VLOOKUP($C1653,Carpetas!$C$5:$M$2666,6,FALSE)</f>
        <v>Chabat</v>
      </c>
      <c r="I1653" s="220"/>
      <c r="J1653" s="47">
        <v>45915</v>
      </c>
      <c r="K1653" s="72" t="str">
        <f>VLOOKUP($C1653,Carpetas!$C$5:$M$2666,5,FALSE)</f>
        <v>Chuy</v>
      </c>
      <c r="L1653" s="32"/>
      <c r="M1653" s="48">
        <f t="shared" si="114"/>
        <v>45916</v>
      </c>
      <c r="N1653" s="26">
        <f t="shared" si="111"/>
        <v>4</v>
      </c>
      <c r="O1653" s="27">
        <v>990</v>
      </c>
      <c r="P1653" s="27">
        <v>991</v>
      </c>
      <c r="Q1653" s="27">
        <v>28</v>
      </c>
      <c r="R1653" s="27">
        <v>26</v>
      </c>
      <c r="S1653" s="27" t="s">
        <v>4607</v>
      </c>
      <c r="T1653" s="27"/>
      <c r="U1653" s="27"/>
      <c r="V1653" s="27" t="s">
        <v>4608</v>
      </c>
      <c r="W1653" s="27" t="s">
        <v>4283</v>
      </c>
      <c r="X1653" s="128"/>
      <c r="Y1653" s="73" t="e">
        <f>VLOOKUP(X1653,Choferes!$B$3:C416,2,FALSE)</f>
        <v>#N/A</v>
      </c>
      <c r="Z1653" s="73" t="s">
        <v>4609</v>
      </c>
    </row>
    <row r="1654" spans="1:26" hidden="1" x14ac:dyDescent="0.25">
      <c r="A1654" s="33">
        <v>37</v>
      </c>
      <c r="B1654" s="71" t="s">
        <v>29</v>
      </c>
      <c r="C1654" s="39" t="s">
        <v>4517</v>
      </c>
      <c r="D1654" s="106" t="s">
        <v>2202</v>
      </c>
      <c r="E1654" s="47">
        <v>45911</v>
      </c>
      <c r="F1654" s="31" t="str">
        <f>VLOOKUP($C1654,Carpetas!$C$5:$M$2666,2,FALSE)</f>
        <v>BRB096</v>
      </c>
      <c r="G1654" s="23" t="str">
        <f>VLOOKUP($C1654,Carpetas!$C$5:$M$2666,10,FALSE)</f>
        <v>153,50,45</v>
      </c>
      <c r="H1654" s="27" t="str">
        <f>VLOOKUP($C1654,Carpetas!$C$5:$M$2666,6,FALSE)</f>
        <v xml:space="preserve">Silvio </v>
      </c>
      <c r="I1654" s="220"/>
      <c r="J1654" s="47">
        <f>E1654+4</f>
        <v>45915</v>
      </c>
      <c r="K1654" s="72" t="str">
        <f>VLOOKUP($C1654,Carpetas!$C$5:$M$2666,5,FALSE)</f>
        <v>Rio Branco</v>
      </c>
      <c r="L1654" s="32"/>
      <c r="M1654" s="48">
        <f t="shared" si="114"/>
        <v>45916</v>
      </c>
      <c r="N1654" s="26">
        <f t="shared" si="111"/>
        <v>5</v>
      </c>
      <c r="O1654" s="27">
        <v>918</v>
      </c>
      <c r="P1654" s="27">
        <v>918</v>
      </c>
      <c r="Q1654" s="27">
        <v>26</v>
      </c>
      <c r="R1654" s="27">
        <v>25</v>
      </c>
      <c r="S1654" s="27" t="s">
        <v>4610</v>
      </c>
      <c r="T1654" s="27"/>
      <c r="U1654" s="27">
        <v>7524</v>
      </c>
      <c r="V1654" s="27" t="s">
        <v>3315</v>
      </c>
      <c r="W1654" s="27" t="s">
        <v>3316</v>
      </c>
      <c r="X1654" s="128" t="s">
        <v>3635</v>
      </c>
      <c r="Y1654" s="73" t="str">
        <f>VLOOKUP(X1654,Choferes!$B$3:C402,2,FALSE)</f>
        <v>+5547996273107</v>
      </c>
      <c r="Z1654" s="73" t="s">
        <v>4611</v>
      </c>
    </row>
    <row r="1655" spans="1:26" hidden="1" x14ac:dyDescent="0.25">
      <c r="A1655" s="33">
        <v>37</v>
      </c>
      <c r="B1655" s="71" t="s">
        <v>29</v>
      </c>
      <c r="C1655" s="39" t="s">
        <v>4529</v>
      </c>
      <c r="D1655" s="106" t="s">
        <v>2202</v>
      </c>
      <c r="E1655" s="47">
        <v>45912</v>
      </c>
      <c r="F1655" s="31" t="str">
        <f>VLOOKUP($C1655,Carpetas!$C$5:$M$2666,2,FALSE)</f>
        <v>BRB097</v>
      </c>
      <c r="G1655" s="23" t="str">
        <f>VLOOKUP($C1655,Carpetas!$C$5:$M$2666,10,FALSE)</f>
        <v>153,50,54</v>
      </c>
      <c r="H1655" s="27" t="str">
        <f>VLOOKUP($C1655,Carpetas!$C$5:$M$2666,6,FALSE)</f>
        <v>Zanini</v>
      </c>
      <c r="I1655" s="220"/>
      <c r="J1655" s="47">
        <f>E1655+3</f>
        <v>45915</v>
      </c>
      <c r="K1655" s="72" t="str">
        <f>VLOOKUP($C1655,Carpetas!$C$5:$M$2666,5,FALSE)</f>
        <v>Rio Branco</v>
      </c>
      <c r="L1655" s="32"/>
      <c r="M1655" s="48">
        <f t="shared" si="114"/>
        <v>45916</v>
      </c>
      <c r="N1655" s="26">
        <f t="shared" si="111"/>
        <v>4</v>
      </c>
      <c r="O1655" s="27">
        <v>918</v>
      </c>
      <c r="P1655" s="27">
        <v>919</v>
      </c>
      <c r="Q1655" s="27">
        <v>26</v>
      </c>
      <c r="R1655" s="27">
        <v>25</v>
      </c>
      <c r="S1655" s="27" t="s">
        <v>4612</v>
      </c>
      <c r="T1655" s="27"/>
      <c r="U1655" s="27">
        <v>5498</v>
      </c>
      <c r="V1655" s="27" t="s">
        <v>3014</v>
      </c>
      <c r="W1655" s="27" t="s">
        <v>3015</v>
      </c>
      <c r="X1655" s="128" t="s">
        <v>4613</v>
      </c>
      <c r="Y1655" s="73" t="str">
        <f>VLOOKUP(X1655,Choferes!$B$3:C403,2,FALSE)</f>
        <v>+5554999782229</v>
      </c>
      <c r="Z1655" s="73" t="s">
        <v>4614</v>
      </c>
    </row>
    <row r="1656" spans="1:26" hidden="1" x14ac:dyDescent="0.25">
      <c r="A1656" s="33">
        <v>37</v>
      </c>
      <c r="B1656" s="71" t="s">
        <v>29</v>
      </c>
      <c r="C1656" s="39" t="s">
        <v>4595</v>
      </c>
      <c r="D1656" s="106" t="s">
        <v>803</v>
      </c>
      <c r="E1656" s="47">
        <v>45912</v>
      </c>
      <c r="F1656" s="31" t="str">
        <f>VLOOKUP($C1656,Carpetas!$C$5:$M$2666,2,FALSE)</f>
        <v>BRB103</v>
      </c>
      <c r="G1656" s="23" t="str">
        <f>VLOOKUP($C1656,Carpetas!$C$5:$M$2666,10,FALSE)</f>
        <v>153,60,68</v>
      </c>
      <c r="H1656" s="27" t="str">
        <f>VLOOKUP($C1656,Carpetas!$C$5:$M$2666,6,FALSE)</f>
        <v>FG</v>
      </c>
      <c r="I1656" s="220"/>
      <c r="J1656" s="47">
        <f>E1656+3</f>
        <v>45915</v>
      </c>
      <c r="K1656" s="72" t="str">
        <f>VLOOKUP($C1656,Carpetas!$C$5:$M$2666,5,FALSE)</f>
        <v>Rio Branco</v>
      </c>
      <c r="L1656" s="32"/>
      <c r="M1656" s="48">
        <f t="shared" si="114"/>
        <v>45916</v>
      </c>
      <c r="N1656" s="26">
        <f t="shared" si="111"/>
        <v>4</v>
      </c>
      <c r="O1656" s="27">
        <v>990</v>
      </c>
      <c r="P1656" s="27">
        <v>990</v>
      </c>
      <c r="Q1656" s="27">
        <v>28</v>
      </c>
      <c r="R1656" s="27">
        <v>25</v>
      </c>
      <c r="S1656" s="27" t="s">
        <v>4615</v>
      </c>
      <c r="T1656" s="27"/>
      <c r="U1656" s="27">
        <v>1122</v>
      </c>
      <c r="V1656" s="27" t="s">
        <v>1735</v>
      </c>
      <c r="W1656" s="27" t="s">
        <v>1669</v>
      </c>
      <c r="X1656" s="128" t="s">
        <v>4064</v>
      </c>
      <c r="Y1656" s="73" t="str">
        <f>VLOOKUP(X1656,Choferes!$B$3:C409,2,FALSE)</f>
        <v>+55 53 9905-0337</v>
      </c>
      <c r="Z1656" s="73" t="s">
        <v>4616</v>
      </c>
    </row>
    <row r="1657" spans="1:26" ht="30" hidden="1" x14ac:dyDescent="0.25">
      <c r="A1657" s="33">
        <v>37</v>
      </c>
      <c r="B1657" s="71" t="s">
        <v>29</v>
      </c>
      <c r="C1657" s="39" t="s">
        <v>4595</v>
      </c>
      <c r="D1657" s="106" t="s">
        <v>2474</v>
      </c>
      <c r="E1657" s="47">
        <v>45912</v>
      </c>
      <c r="F1657" s="31" t="str">
        <f>VLOOKUP($C1657,Carpetas!$C$5:$M$2666,2,FALSE)</f>
        <v>BRB103</v>
      </c>
      <c r="G1657" s="23" t="str">
        <f>VLOOKUP($C1657,Carpetas!$C$5:$M$2666,10,FALSE)</f>
        <v>153,60,68</v>
      </c>
      <c r="H1657" s="27" t="str">
        <f>VLOOKUP($C1657,Carpetas!$C$5:$M$2666,6,FALSE)</f>
        <v>FG</v>
      </c>
      <c r="I1657" s="220"/>
      <c r="J1657" s="47">
        <f>E1657+3</f>
        <v>45915</v>
      </c>
      <c r="K1657" s="72" t="str">
        <f>VLOOKUP($C1657,Carpetas!$C$5:$M$2666,5,FALSE)</f>
        <v>Rio Branco</v>
      </c>
      <c r="L1657" s="32"/>
      <c r="M1657" s="48">
        <f t="shared" si="114"/>
        <v>45916</v>
      </c>
      <c r="N1657" s="26">
        <f t="shared" si="111"/>
        <v>4</v>
      </c>
      <c r="O1657" s="27">
        <v>990</v>
      </c>
      <c r="P1657" s="27">
        <v>990</v>
      </c>
      <c r="Q1657" s="27">
        <v>28</v>
      </c>
      <c r="R1657" s="27">
        <v>25</v>
      </c>
      <c r="S1657" s="27" t="s">
        <v>4617</v>
      </c>
      <c r="T1657" s="27"/>
      <c r="U1657" s="27">
        <v>1120</v>
      </c>
      <c r="V1657" s="27" t="s">
        <v>1726</v>
      </c>
      <c r="W1657" s="27" t="s">
        <v>1646</v>
      </c>
      <c r="X1657" s="128" t="s">
        <v>1576</v>
      </c>
      <c r="Y1657" s="73" t="str">
        <f>VLOOKUP(X1657,Choferes!$B$3:C410,2,FALSE)</f>
        <v>+55119971489722</v>
      </c>
      <c r="Z1657" s="73" t="s">
        <v>4618</v>
      </c>
    </row>
    <row r="1658" spans="1:26" hidden="1" x14ac:dyDescent="0.25">
      <c r="A1658" s="33">
        <v>37</v>
      </c>
      <c r="B1658" s="71" t="s">
        <v>29</v>
      </c>
      <c r="C1658" s="39" t="s">
        <v>4595</v>
      </c>
      <c r="D1658" s="106" t="s">
        <v>747</v>
      </c>
      <c r="E1658" s="47">
        <v>45912</v>
      </c>
      <c r="F1658" s="31" t="str">
        <f>VLOOKUP($C1658,Carpetas!$C$5:$M$2666,2,FALSE)</f>
        <v>BRB103</v>
      </c>
      <c r="G1658" s="23" t="str">
        <f>VLOOKUP($C1658,Carpetas!$C$5:$M$2666,10,FALSE)</f>
        <v>153,60,68</v>
      </c>
      <c r="H1658" s="27" t="str">
        <f>VLOOKUP($C1658,Carpetas!$C$5:$M$2666,6,FALSE)</f>
        <v>FG</v>
      </c>
      <c r="I1658" s="220"/>
      <c r="J1658" s="47">
        <f>E1658+3</f>
        <v>45915</v>
      </c>
      <c r="K1658" s="72" t="str">
        <f>VLOOKUP($C1658,Carpetas!$C$5:$M$2666,5,FALSE)</f>
        <v>Rio Branco</v>
      </c>
      <c r="L1658" s="32"/>
      <c r="M1658" s="48">
        <f t="shared" si="114"/>
        <v>45916</v>
      </c>
      <c r="N1658" s="26">
        <f t="shared" si="111"/>
        <v>4</v>
      </c>
      <c r="O1658" s="27">
        <v>990</v>
      </c>
      <c r="P1658" s="27">
        <v>990</v>
      </c>
      <c r="Q1658" s="27">
        <v>28</v>
      </c>
      <c r="R1658" s="27">
        <v>25</v>
      </c>
      <c r="S1658" s="27" t="s">
        <v>4619</v>
      </c>
      <c r="T1658" s="27"/>
      <c r="U1658" s="27">
        <v>1119</v>
      </c>
      <c r="V1658" s="27" t="s">
        <v>1626</v>
      </c>
      <c r="W1658" s="27" t="s">
        <v>1627</v>
      </c>
      <c r="X1658" s="128" t="s">
        <v>1489</v>
      </c>
      <c r="Y1658" s="73" t="str">
        <f>VLOOKUP(X1658,Choferes!$B$3:C411,2,FALSE)</f>
        <v>+5553984039582</v>
      </c>
      <c r="Z1658" s="73" t="s">
        <v>4620</v>
      </c>
    </row>
    <row r="1659" spans="1:26" ht="30" hidden="1" x14ac:dyDescent="0.25">
      <c r="A1659" s="33">
        <v>37</v>
      </c>
      <c r="B1659" s="71" t="s">
        <v>29</v>
      </c>
      <c r="C1659" s="39" t="s">
        <v>4595</v>
      </c>
      <c r="D1659" s="106" t="s">
        <v>803</v>
      </c>
      <c r="E1659" s="47">
        <v>45913</v>
      </c>
      <c r="F1659" s="31" t="str">
        <f>VLOOKUP($C1659,Carpetas!$C$5:$M$2666,2,FALSE)</f>
        <v>BRB103</v>
      </c>
      <c r="G1659" s="23" t="str">
        <f>VLOOKUP($C1659,Carpetas!$C$5:$M$2666,10,FALSE)</f>
        <v>153,60,68</v>
      </c>
      <c r="H1659" s="27" t="str">
        <f>VLOOKUP($C1659,Carpetas!$C$5:$M$2666,6,FALSE)</f>
        <v>FG</v>
      </c>
      <c r="I1659" s="220"/>
      <c r="J1659" s="47">
        <f>E1659+2</f>
        <v>45915</v>
      </c>
      <c r="K1659" s="72" t="str">
        <f>VLOOKUP($C1659,Carpetas!$C$5:$M$2666,5,FALSE)</f>
        <v>Rio Branco</v>
      </c>
      <c r="L1659" s="32"/>
      <c r="M1659" s="48">
        <f t="shared" si="114"/>
        <v>45916</v>
      </c>
      <c r="N1659" s="26">
        <f t="shared" si="111"/>
        <v>3</v>
      </c>
      <c r="O1659" s="27">
        <v>990</v>
      </c>
      <c r="P1659" s="27">
        <v>990</v>
      </c>
      <c r="Q1659" s="27">
        <v>28</v>
      </c>
      <c r="R1659" s="27">
        <v>24</v>
      </c>
      <c r="S1659" s="27" t="s">
        <v>4621</v>
      </c>
      <c r="T1659" s="27"/>
      <c r="U1659" s="27">
        <v>1121</v>
      </c>
      <c r="V1659" s="27" t="s">
        <v>1042</v>
      </c>
      <c r="W1659" s="27" t="s">
        <v>3818</v>
      </c>
      <c r="X1659" s="128" t="s">
        <v>1623</v>
      </c>
      <c r="Y1659" s="73" t="str">
        <f>VLOOKUP(X1659,Choferes!$B$3:C412,2,FALSE)</f>
        <v>+5553991254560</v>
      </c>
      <c r="Z1659" s="73" t="s">
        <v>4622</v>
      </c>
    </row>
    <row r="1660" spans="1:26" hidden="1" x14ac:dyDescent="0.25">
      <c r="A1660" s="33">
        <v>37</v>
      </c>
      <c r="B1660" s="71" t="s">
        <v>29</v>
      </c>
      <c r="C1660" s="39" t="s">
        <v>4623</v>
      </c>
      <c r="D1660" s="106" t="s">
        <v>1757</v>
      </c>
      <c r="E1660" s="47">
        <v>45911</v>
      </c>
      <c r="F1660" s="31" t="str">
        <f>VLOOKUP($C1660,Carpetas!$C$5:$M$2666,2,FALSE)</f>
        <v>BRB102</v>
      </c>
      <c r="G1660" s="23" t="str">
        <f>VLOOKUP($C1660,Carpetas!$C$5:$M$2666,10,FALSE)</f>
        <v>153,56,67</v>
      </c>
      <c r="H1660" s="27" t="str">
        <f>VLOOKUP($C1660,Carpetas!$C$5:$M$2666,6,FALSE)</f>
        <v>Gral</v>
      </c>
      <c r="I1660" s="220"/>
      <c r="J1660" s="47">
        <v>45915</v>
      </c>
      <c r="K1660" s="72" t="str">
        <f>VLOOKUP($C1660,Carpetas!$C$5:$M$2666,5,FALSE)</f>
        <v>Rio Branco</v>
      </c>
      <c r="L1660" s="32"/>
      <c r="M1660" s="48">
        <f t="shared" si="114"/>
        <v>45916</v>
      </c>
      <c r="N1660" s="26">
        <f t="shared" si="111"/>
        <v>5</v>
      </c>
      <c r="O1660" s="27">
        <v>936</v>
      </c>
      <c r="P1660" s="27">
        <v>936</v>
      </c>
      <c r="Q1660" s="27">
        <v>26</v>
      </c>
      <c r="R1660" s="27">
        <v>25</v>
      </c>
      <c r="S1660" s="27" t="s">
        <v>3494</v>
      </c>
      <c r="T1660" s="27"/>
      <c r="U1660" s="27">
        <v>7642</v>
      </c>
      <c r="V1660" s="27" t="s">
        <v>4624</v>
      </c>
      <c r="W1660" s="27" t="s">
        <v>4625</v>
      </c>
      <c r="X1660" s="128"/>
      <c r="Y1660" s="73" t="e">
        <f>VLOOKUP(X1660,Choferes!$B$3:C427,2,FALSE)</f>
        <v>#N/A</v>
      </c>
      <c r="Z1660" s="73" t="s">
        <v>4626</v>
      </c>
    </row>
    <row r="1661" spans="1:26" hidden="1" x14ac:dyDescent="0.25">
      <c r="A1661" s="33">
        <v>37</v>
      </c>
      <c r="B1661" s="71" t="s">
        <v>298</v>
      </c>
      <c r="C1661" s="39" t="s">
        <v>299</v>
      </c>
      <c r="D1661" s="106" t="s">
        <v>2474</v>
      </c>
      <c r="E1661" s="47">
        <v>45913</v>
      </c>
      <c r="F1661" s="31" t="str">
        <f>VLOOKUP($C1661,Carpetas!$C$5:$M$2666,2,FALSE)</f>
        <v>BRB</v>
      </c>
      <c r="G1661" s="23" t="e">
        <f>VLOOKUP($C1661,Carpetas!$C$5:$M$2666,9,FALSE)</f>
        <v>#REF!</v>
      </c>
      <c r="H1661" s="27" t="str">
        <f>VLOOKUP($C1661,Carpetas!$C$5:$M$2666,5,FALSE)</f>
        <v>xx</v>
      </c>
      <c r="I1661" s="220"/>
      <c r="J1661" s="47">
        <f>E1661+2</f>
        <v>45915</v>
      </c>
      <c r="K1661" s="72">
        <f>VLOOKUP($C1661,Carpetas!$C$5:$M$2666,4,FALSE)</f>
        <v>0</v>
      </c>
      <c r="L1661" s="32"/>
      <c r="M1661" s="48">
        <f t="shared" si="114"/>
        <v>45916</v>
      </c>
      <c r="N1661" s="26">
        <f t="shared" si="111"/>
        <v>3</v>
      </c>
      <c r="O1661" s="27">
        <v>918</v>
      </c>
      <c r="P1661" s="27"/>
      <c r="Q1661" s="27"/>
      <c r="R1661" s="27"/>
      <c r="S1661" s="27"/>
      <c r="T1661" s="27"/>
      <c r="U1661" s="27"/>
      <c r="V1661" s="27"/>
      <c r="W1661" s="27"/>
      <c r="X1661" s="128"/>
      <c r="Y1661" s="73" t="e">
        <f>VLOOKUP(X1661,Choferes!$B$3:C404,2,FALSE)</f>
        <v>#N/A</v>
      </c>
      <c r="Z1661" s="73"/>
    </row>
    <row r="1662" spans="1:26" hidden="1" x14ac:dyDescent="0.25">
      <c r="A1662" s="33">
        <v>37</v>
      </c>
      <c r="B1662" s="71" t="s">
        <v>298</v>
      </c>
      <c r="C1662" s="39" t="s">
        <v>299</v>
      </c>
      <c r="D1662" s="106" t="s">
        <v>1158</v>
      </c>
      <c r="E1662" s="47">
        <v>45913</v>
      </c>
      <c r="F1662" s="31" t="str">
        <f>VLOOKUP($C1662,Carpetas!$C$5:$M$2666,2,FALSE)</f>
        <v>BRB</v>
      </c>
      <c r="G1662" s="23" t="e">
        <f>VLOOKUP($C1662,Carpetas!$C$5:$M$2666,9,FALSE)</f>
        <v>#REF!</v>
      </c>
      <c r="H1662" s="27" t="str">
        <f>VLOOKUP($C1662,Carpetas!$C$5:$M$2666,5,FALSE)</f>
        <v>xx</v>
      </c>
      <c r="I1662" s="220"/>
      <c r="J1662" s="47">
        <f>E1662+2</f>
        <v>45915</v>
      </c>
      <c r="K1662" s="72">
        <f>VLOOKUP($C1662,Carpetas!$C$5:$M$2666,4,FALSE)</f>
        <v>0</v>
      </c>
      <c r="L1662" s="32"/>
      <c r="M1662" s="48">
        <f t="shared" si="114"/>
        <v>45916</v>
      </c>
      <c r="N1662" s="26">
        <f t="shared" si="111"/>
        <v>3</v>
      </c>
      <c r="O1662" s="27">
        <v>990</v>
      </c>
      <c r="P1662" s="27"/>
      <c r="Q1662" s="27"/>
      <c r="R1662" s="27"/>
      <c r="S1662" s="27"/>
      <c r="T1662" s="27"/>
      <c r="U1662" s="27"/>
      <c r="V1662" s="27"/>
      <c r="W1662" s="27"/>
      <c r="X1662" s="128"/>
      <c r="Y1662" s="73" t="e">
        <f>VLOOKUP(X1662,Choferes!$B$3:C413,2,FALSE)</f>
        <v>#N/A</v>
      </c>
      <c r="Z1662" s="73"/>
    </row>
    <row r="1663" spans="1:26" hidden="1" x14ac:dyDescent="0.25">
      <c r="A1663" s="33">
        <v>37</v>
      </c>
      <c r="B1663" s="71" t="s">
        <v>29</v>
      </c>
      <c r="C1663" s="39" t="s">
        <v>4627</v>
      </c>
      <c r="D1663" s="106" t="s">
        <v>38</v>
      </c>
      <c r="E1663" s="47">
        <v>45910</v>
      </c>
      <c r="F1663" s="31" t="str">
        <f>VLOOKUP($C1663,Carpetas!$C$5:$M$2666,2,FALSE)</f>
        <v>BRE046</v>
      </c>
      <c r="G1663" s="23" t="str">
        <f>VLOOKUP($C1663,Carpetas!$C$5:$M$2666,10,FALSE)</f>
        <v>1535946/1535945/1535944/1535714</v>
      </c>
      <c r="H1663" s="27" t="str">
        <f>VLOOKUP($C1663,Carpetas!$C$5:$M$2666,6,FALSE)</f>
        <v>VPN</v>
      </c>
      <c r="I1663" s="220">
        <f>VLOOKUP($C1663,Carpetas!$C$5:$M$2666,4,FALSE)</f>
        <v>0</v>
      </c>
      <c r="J1663" s="47">
        <v>45915</v>
      </c>
      <c r="K1663" s="72" t="str">
        <f>VLOOKUP($C1663,Carpetas!$C$5:$M$2666,5,FALSE)</f>
        <v>Chuy</v>
      </c>
      <c r="L1663" s="32"/>
      <c r="M1663" s="48">
        <f>J1663+1+1</f>
        <v>45917</v>
      </c>
      <c r="N1663" s="26">
        <f t="shared" si="111"/>
        <v>7</v>
      </c>
      <c r="O1663" s="27">
        <v>1064</v>
      </c>
      <c r="P1663" s="27"/>
      <c r="Q1663" s="27"/>
      <c r="R1663" s="27"/>
      <c r="S1663" s="27"/>
      <c r="T1663" s="27"/>
      <c r="U1663" s="27"/>
      <c r="V1663" s="27"/>
      <c r="W1663" s="27"/>
      <c r="X1663" s="128"/>
      <c r="Y1663" s="73" t="e">
        <f>VLOOKUP(X1663,Choferes!$B$3:C406,2,FALSE)</f>
        <v>#N/A</v>
      </c>
      <c r="Z1663" s="73" t="s">
        <v>4628</v>
      </c>
    </row>
    <row r="1664" spans="1:26" hidden="1" x14ac:dyDescent="0.25">
      <c r="A1664" s="33">
        <v>37</v>
      </c>
      <c r="B1664" s="71" t="s">
        <v>29</v>
      </c>
      <c r="C1664" s="39" t="s">
        <v>4629</v>
      </c>
      <c r="D1664" s="106" t="s">
        <v>38</v>
      </c>
      <c r="E1664" s="47">
        <v>45910</v>
      </c>
      <c r="F1664" s="31" t="str">
        <f>VLOOKUP($C1664,Carpetas!$C$5:$M$2666,2,FALSE)</f>
        <v>BRE047</v>
      </c>
      <c r="G1664" s="23" t="str">
        <f>VLOOKUP($C1664,Carpetas!$C$5:$M$2666,10,FALSE)</f>
        <v>153,59,08</v>
      </c>
      <c r="H1664" s="27" t="str">
        <f>VLOOKUP($C1664,Carpetas!$C$5:$M$2666,6,FALSE)</f>
        <v>Miltex</v>
      </c>
      <c r="I1664" s="220">
        <f>VLOOKUP($C1664,Carpetas!$C$5:$M$2666,4,FALSE)</f>
        <v>0</v>
      </c>
      <c r="J1664" s="47">
        <v>45916</v>
      </c>
      <c r="K1664" s="72" t="str">
        <f>VLOOKUP($C1664,Carpetas!$C$5:$M$2666,5,FALSE)</f>
        <v>Rio Branco</v>
      </c>
      <c r="L1664" s="32"/>
      <c r="M1664" s="48">
        <f t="shared" ref="M1664:M1695" si="115">J1664+1</f>
        <v>45917</v>
      </c>
      <c r="N1664" s="26">
        <f t="shared" si="111"/>
        <v>7</v>
      </c>
      <c r="O1664" s="27">
        <v>24500</v>
      </c>
      <c r="P1664" s="27"/>
      <c r="Q1664" s="27"/>
      <c r="R1664" s="27"/>
      <c r="S1664" s="27"/>
      <c r="T1664" s="27"/>
      <c r="U1664" s="27">
        <v>166</v>
      </c>
      <c r="V1664" s="27" t="s">
        <v>4630</v>
      </c>
      <c r="W1664" s="27" t="s">
        <v>4631</v>
      </c>
      <c r="X1664" s="128"/>
      <c r="Y1664" s="73" t="e">
        <f>VLOOKUP(X1664,Choferes!$B$3:C405,2,FALSE)</f>
        <v>#N/A</v>
      </c>
      <c r="Z1664" s="73" t="s">
        <v>4632</v>
      </c>
    </row>
    <row r="1665" spans="1:26" hidden="1" x14ac:dyDescent="0.25">
      <c r="A1665" s="33">
        <v>38</v>
      </c>
      <c r="B1665" s="71" t="s">
        <v>29</v>
      </c>
      <c r="C1665" s="39" t="s">
        <v>4576</v>
      </c>
      <c r="D1665" s="106" t="s">
        <v>2202</v>
      </c>
      <c r="E1665" s="47">
        <v>45916</v>
      </c>
      <c r="F1665" s="31" t="str">
        <f>VLOOKUP($C1665,Carpetas!$C$5:$M$2666,2,FALSE)</f>
        <v>BRB098</v>
      </c>
      <c r="G1665" s="23" t="str">
        <f>VLOOKUP($C1665,Carpetas!$C$5:$M$2666,10,FALSE)</f>
        <v>153,54,72</v>
      </c>
      <c r="H1665" s="27" t="str">
        <f>VLOOKUP($C1665,Carpetas!$C$5:$M$2666,6,FALSE)</f>
        <v>Chabat</v>
      </c>
      <c r="I1665" s="220"/>
      <c r="J1665" s="47">
        <f>E1665+2</f>
        <v>45918</v>
      </c>
      <c r="K1665" s="72" t="str">
        <f>VLOOKUP($C1665,Carpetas!$C$5:$M$2666,5,FALSE)</f>
        <v>Chuy</v>
      </c>
      <c r="L1665" s="32"/>
      <c r="M1665" s="48">
        <f t="shared" si="115"/>
        <v>45919</v>
      </c>
      <c r="N1665" s="26">
        <f t="shared" si="111"/>
        <v>3</v>
      </c>
      <c r="O1665" s="27">
        <v>990</v>
      </c>
      <c r="P1665" s="27">
        <v>991</v>
      </c>
      <c r="Q1665" s="27">
        <v>28</v>
      </c>
      <c r="R1665" s="27">
        <v>25</v>
      </c>
      <c r="S1665" s="27" t="s">
        <v>4633</v>
      </c>
      <c r="T1665" s="27"/>
      <c r="U1665" s="27"/>
      <c r="V1665" s="27" t="s">
        <v>4634</v>
      </c>
      <c r="W1665" s="27" t="s">
        <v>4635</v>
      </c>
      <c r="X1665" s="128"/>
      <c r="Y1665" s="73" t="e">
        <f>VLOOKUP(X1665,Choferes!$B$3:C406,2,FALSE)</f>
        <v>#N/A</v>
      </c>
      <c r="Z1665" s="73" t="s">
        <v>4636</v>
      </c>
    </row>
    <row r="1666" spans="1:26" ht="30" hidden="1" x14ac:dyDescent="0.25">
      <c r="A1666" s="33">
        <v>38</v>
      </c>
      <c r="B1666" s="71" t="s">
        <v>29</v>
      </c>
      <c r="C1666" s="39" t="s">
        <v>4595</v>
      </c>
      <c r="D1666" s="106" t="s">
        <v>2474</v>
      </c>
      <c r="E1666" s="47">
        <v>45916</v>
      </c>
      <c r="F1666" s="31" t="str">
        <f>VLOOKUP($C1666,Carpetas!$C$5:$M$2666,2,FALSE)</f>
        <v>BRB103</v>
      </c>
      <c r="G1666" s="23" t="str">
        <f>VLOOKUP($C1666,Carpetas!$C$5:$M$2666,10,FALSE)</f>
        <v>153,60,68</v>
      </c>
      <c r="H1666" s="27" t="str">
        <f>VLOOKUP($C1666,Carpetas!$C$5:$M$2666,6,FALSE)</f>
        <v>FG</v>
      </c>
      <c r="I1666" s="220"/>
      <c r="J1666" s="47">
        <f>E1666+2</f>
        <v>45918</v>
      </c>
      <c r="K1666" s="72" t="str">
        <f>VLOOKUP($C1666,Carpetas!$C$5:$M$2666,5,FALSE)</f>
        <v>Rio Branco</v>
      </c>
      <c r="L1666" s="32"/>
      <c r="M1666" s="48">
        <f t="shared" si="115"/>
        <v>45919</v>
      </c>
      <c r="N1666" s="26">
        <f t="shared" si="111"/>
        <v>3</v>
      </c>
      <c r="O1666" s="27">
        <v>990</v>
      </c>
      <c r="P1666" s="27">
        <v>990</v>
      </c>
      <c r="Q1666" s="27">
        <v>28</v>
      </c>
      <c r="R1666" s="27">
        <v>24</v>
      </c>
      <c r="S1666" s="27" t="s">
        <v>4637</v>
      </c>
      <c r="T1666" s="27"/>
      <c r="U1666" s="27">
        <v>1128</v>
      </c>
      <c r="V1666" s="27" t="s">
        <v>1630</v>
      </c>
      <c r="W1666" s="27" t="s">
        <v>1934</v>
      </c>
      <c r="X1666" s="128" t="s">
        <v>1935</v>
      </c>
      <c r="Y1666" s="73" t="str">
        <f>VLOOKUP(X1666,Choferes!$B$3:C411,2,FALSE)</f>
        <v>+5554984377792</v>
      </c>
      <c r="Z1666" s="73" t="s">
        <v>4638</v>
      </c>
    </row>
    <row r="1667" spans="1:26" hidden="1" x14ac:dyDescent="0.25">
      <c r="A1667" s="33">
        <v>38</v>
      </c>
      <c r="B1667" s="71" t="s">
        <v>29</v>
      </c>
      <c r="C1667" s="39" t="s">
        <v>4595</v>
      </c>
      <c r="D1667" s="106" t="s">
        <v>803</v>
      </c>
      <c r="E1667" s="47">
        <v>45916</v>
      </c>
      <c r="F1667" s="31" t="str">
        <f>VLOOKUP($C1667,Carpetas!$C$5:$M$2666,2,FALSE)</f>
        <v>BRB103</v>
      </c>
      <c r="G1667" s="23" t="str">
        <f>VLOOKUP($C1667,Carpetas!$C$5:$M$2666,10,FALSE)</f>
        <v>153,60,68</v>
      </c>
      <c r="H1667" s="27" t="str">
        <f>VLOOKUP($C1667,Carpetas!$C$5:$M$2666,6,FALSE)</f>
        <v>FG</v>
      </c>
      <c r="I1667" s="220"/>
      <c r="J1667" s="47">
        <f>E1667+2</f>
        <v>45918</v>
      </c>
      <c r="K1667" s="72" t="str">
        <f>VLOOKUP($C1667,Carpetas!$C$5:$M$2666,5,FALSE)</f>
        <v>Rio Branco</v>
      </c>
      <c r="L1667" s="32"/>
      <c r="M1667" s="48">
        <f t="shared" si="115"/>
        <v>45919</v>
      </c>
      <c r="N1667" s="26">
        <f t="shared" si="111"/>
        <v>3</v>
      </c>
      <c r="O1667" s="27">
        <v>990</v>
      </c>
      <c r="P1667" s="27">
        <v>990</v>
      </c>
      <c r="Q1667" s="27">
        <v>28</v>
      </c>
      <c r="R1667" s="27">
        <v>24</v>
      </c>
      <c r="S1667" s="27" t="s">
        <v>4639</v>
      </c>
      <c r="T1667" s="27"/>
      <c r="U1667" s="27">
        <v>1123</v>
      </c>
      <c r="V1667" s="27" t="s">
        <v>3669</v>
      </c>
      <c r="W1667" s="27" t="s">
        <v>912</v>
      </c>
      <c r="X1667" s="128" t="s">
        <v>2336</v>
      </c>
      <c r="Y1667" s="73" t="str">
        <f>VLOOKUP(X1667,Choferes!$B$3:C410,2,FALSE)</f>
        <v>+5553984414060</v>
      </c>
      <c r="Z1667" s="73" t="s">
        <v>4640</v>
      </c>
    </row>
    <row r="1668" spans="1:26" hidden="1" x14ac:dyDescent="0.25">
      <c r="A1668" s="33">
        <v>37</v>
      </c>
      <c r="B1668" s="71" t="s">
        <v>29</v>
      </c>
      <c r="C1668" s="39" t="s">
        <v>4641</v>
      </c>
      <c r="D1668" s="106" t="s">
        <v>38</v>
      </c>
      <c r="E1668" s="47">
        <v>45912</v>
      </c>
      <c r="F1668" s="31" t="str">
        <f>VLOOKUP($C1668,Carpetas!$C$5:$M$2666,2,FALSE)</f>
        <v>BRE048</v>
      </c>
      <c r="G1668" s="23" t="str">
        <f>VLOOKUP($C1668,Carpetas!$C$5:$M$2666,10,FALSE)</f>
        <v>153,62,25</v>
      </c>
      <c r="H1668" s="27" t="str">
        <f>VLOOKUP($C1668,Carpetas!$C$5:$M$2666,6,FALSE)</f>
        <v>Miltex</v>
      </c>
      <c r="I1668" s="220">
        <f>VLOOKUP($C1668,Carpetas!$C$5:$M$2666,4,FALSE)</f>
        <v>0</v>
      </c>
      <c r="J1668" s="47">
        <v>45918</v>
      </c>
      <c r="K1668" s="72" t="str">
        <f>VLOOKUP($C1668,Carpetas!$C$5:$M$2666,5,FALSE)</f>
        <v>Rio Branco</v>
      </c>
      <c r="L1668" s="32"/>
      <c r="M1668" s="48">
        <f t="shared" si="115"/>
        <v>45919</v>
      </c>
      <c r="N1668" s="26">
        <f t="shared" si="111"/>
        <v>7</v>
      </c>
      <c r="O1668" s="27">
        <v>24500</v>
      </c>
      <c r="P1668" s="27"/>
      <c r="Q1668" s="27"/>
      <c r="R1668" s="27"/>
      <c r="S1668" s="27"/>
      <c r="T1668" s="27"/>
      <c r="U1668" s="27">
        <v>167</v>
      </c>
      <c r="V1668" s="27" t="s">
        <v>4642</v>
      </c>
      <c r="W1668" s="27" t="s">
        <v>4643</v>
      </c>
      <c r="X1668" s="128"/>
      <c r="Y1668" s="73" t="e">
        <f>VLOOKUP(X1668,Choferes!$B$3:C407,2,FALSE)</f>
        <v>#N/A</v>
      </c>
      <c r="Z1668" s="73" t="s">
        <v>2302</v>
      </c>
    </row>
    <row r="1669" spans="1:26" hidden="1" x14ac:dyDescent="0.25">
      <c r="A1669" s="33">
        <v>38</v>
      </c>
      <c r="B1669" s="71" t="s">
        <v>29</v>
      </c>
      <c r="C1669" s="39" t="s">
        <v>4644</v>
      </c>
      <c r="D1669" s="106" t="s">
        <v>953</v>
      </c>
      <c r="E1669" s="47">
        <v>45917</v>
      </c>
      <c r="F1669" s="31" t="str">
        <f>VLOOKUP($C1669,Carpetas!$C$5:$M$2666,2,FALSE)</f>
        <v>BRB104</v>
      </c>
      <c r="G1669" s="23" t="str">
        <f>VLOOKUP($C1669,Carpetas!$C$5:$M$2666,10,FALSE)</f>
        <v>153,66,31</v>
      </c>
      <c r="H1669" s="27" t="str">
        <f>VLOOKUP($C1669,Carpetas!$C$5:$M$2666,6,FALSE)</f>
        <v>Amaro</v>
      </c>
      <c r="I1669" s="220"/>
      <c r="J1669" s="47">
        <v>45918</v>
      </c>
      <c r="K1669" s="72" t="str">
        <f>VLOOKUP($C1669,Carpetas!$C$5:$M$2666,5,FALSE)</f>
        <v>Rio Branco</v>
      </c>
      <c r="L1669" s="32"/>
      <c r="M1669" s="48">
        <f t="shared" si="115"/>
        <v>45919</v>
      </c>
      <c r="N1669" s="26">
        <f t="shared" si="111"/>
        <v>2</v>
      </c>
      <c r="O1669" s="27">
        <v>990</v>
      </c>
      <c r="P1669" s="27">
        <v>990</v>
      </c>
      <c r="Q1669" s="27">
        <v>28</v>
      </c>
      <c r="R1669" s="27">
        <v>24</v>
      </c>
      <c r="S1669" s="27" t="s">
        <v>1461</v>
      </c>
      <c r="T1669" s="27"/>
      <c r="U1669" s="27">
        <v>26876</v>
      </c>
      <c r="V1669" s="27" t="s">
        <v>4645</v>
      </c>
      <c r="W1669" s="27" t="s">
        <v>1650</v>
      </c>
      <c r="X1669" s="128" t="s">
        <v>1468</v>
      </c>
      <c r="Y1669" s="73" t="str">
        <f>VLOOKUP(X1669,Choferes!$B$3:C405,2,FALSE)</f>
        <v>+5553984274141</v>
      </c>
      <c r="Z1669" s="73" t="s">
        <v>4646</v>
      </c>
    </row>
    <row r="1670" spans="1:26" hidden="1" x14ac:dyDescent="0.25">
      <c r="A1670" s="33">
        <v>38</v>
      </c>
      <c r="B1670" s="71" t="s">
        <v>29</v>
      </c>
      <c r="C1670" s="39" t="s">
        <v>4647</v>
      </c>
      <c r="D1670" s="106" t="s">
        <v>110</v>
      </c>
      <c r="E1670" s="47">
        <v>45917</v>
      </c>
      <c r="F1670" s="31" t="str">
        <f>VLOOKUP($C1670,Carpetas!$C$5:$M$2666,2,FALSE)</f>
        <v>BRB106</v>
      </c>
      <c r="G1670" s="23" t="str">
        <f>VLOOKUP($C1670,Carpetas!$C$5:$M$2666,10,FALSE)</f>
        <v>153,66,53</v>
      </c>
      <c r="H1670" s="27" t="str">
        <f>VLOOKUP($C1670,Carpetas!$C$5:$M$2666,6,FALSE)</f>
        <v>FG</v>
      </c>
      <c r="I1670" s="220"/>
      <c r="J1670" s="47">
        <v>45918</v>
      </c>
      <c r="K1670" s="72" t="str">
        <f>VLOOKUP($C1670,Carpetas!$C$5:$M$2666,5,FALSE)</f>
        <v>Rio Branco</v>
      </c>
      <c r="L1670" s="32"/>
      <c r="M1670" s="48">
        <f t="shared" si="115"/>
        <v>45919</v>
      </c>
      <c r="N1670" s="26">
        <f t="shared" si="111"/>
        <v>2</v>
      </c>
      <c r="O1670" s="27">
        <v>990</v>
      </c>
      <c r="P1670" s="27">
        <v>991</v>
      </c>
      <c r="Q1670" s="27">
        <v>28</v>
      </c>
      <c r="R1670" s="27">
        <v>25</v>
      </c>
      <c r="S1670" s="27" t="s">
        <v>4648</v>
      </c>
      <c r="T1670" s="27"/>
      <c r="U1670" s="27">
        <v>1132</v>
      </c>
      <c r="V1670" s="27" t="s">
        <v>1645</v>
      </c>
      <c r="W1670" s="27" t="s">
        <v>1631</v>
      </c>
      <c r="X1670" s="128" t="s">
        <v>3808</v>
      </c>
      <c r="Y1670" s="73" t="str">
        <f>VLOOKUP(X1670,Choferes!$B$3:C413,2,FALSE)</f>
        <v>+55 53 8412-9466</v>
      </c>
      <c r="Z1670" s="73" t="s">
        <v>4649</v>
      </c>
    </row>
    <row r="1671" spans="1:26" hidden="1" x14ac:dyDescent="0.25">
      <c r="A1671" s="33">
        <v>38</v>
      </c>
      <c r="B1671" s="71" t="s">
        <v>29</v>
      </c>
      <c r="C1671" s="39" t="s">
        <v>4650</v>
      </c>
      <c r="D1671" s="106" t="s">
        <v>48</v>
      </c>
      <c r="E1671" s="47">
        <v>45916</v>
      </c>
      <c r="F1671" s="31" t="str">
        <f>VLOOKUP($C1671,Carpetas!$C$5:$M$2666,2,FALSE)</f>
        <v>PYB032</v>
      </c>
      <c r="G1671" s="23" t="str">
        <f>VLOOKUP($C1671,Carpetas!$C$5:$M$2666,10,FALSE)</f>
        <v>153,65,99</v>
      </c>
      <c r="H1671" s="27">
        <f>VLOOKUP($C1671,Carpetas!$C$5:$M$2666,6,FALSE)</f>
        <v>0</v>
      </c>
      <c r="I1671" s="220"/>
      <c r="J1671" s="47">
        <v>45918</v>
      </c>
      <c r="K1671" s="72" t="str">
        <f>VLOOKUP($C1671,Carpetas!$C$5:$M$2666,5,FALSE)</f>
        <v>Salto</v>
      </c>
      <c r="L1671" s="32"/>
      <c r="M1671" s="48">
        <f t="shared" si="115"/>
        <v>45919</v>
      </c>
      <c r="N1671" s="26">
        <f t="shared" si="111"/>
        <v>3</v>
      </c>
      <c r="O1671" s="27">
        <v>990</v>
      </c>
      <c r="P1671" s="27">
        <v>991</v>
      </c>
      <c r="Q1671" s="27">
        <v>28</v>
      </c>
      <c r="R1671" s="27">
        <v>25</v>
      </c>
      <c r="S1671" s="27" t="s">
        <v>4651</v>
      </c>
      <c r="T1671" s="27"/>
      <c r="U1671" s="27"/>
      <c r="V1671" s="27"/>
      <c r="W1671" s="27"/>
      <c r="X1671" s="128"/>
      <c r="Y1671" s="73" t="e">
        <f>VLOOKUP(X1671,Choferes!$B$3:C403,2,FALSE)</f>
        <v>#N/A</v>
      </c>
      <c r="Z1671" s="73" t="s">
        <v>4652</v>
      </c>
    </row>
    <row r="1672" spans="1:26" ht="30" hidden="1" x14ac:dyDescent="0.25">
      <c r="A1672" s="33">
        <v>38</v>
      </c>
      <c r="B1672" s="71" t="s">
        <v>29</v>
      </c>
      <c r="C1672" s="39" t="s">
        <v>4653</v>
      </c>
      <c r="D1672" s="106" t="s">
        <v>803</v>
      </c>
      <c r="E1672" s="47">
        <v>45917</v>
      </c>
      <c r="F1672" s="31" t="str">
        <f>VLOOKUP($C1672,Carpetas!$C$5:$M$2666,2,FALSE)</f>
        <v>BRB107</v>
      </c>
      <c r="G1672" s="23" t="str">
        <f>VLOOKUP($C1672,Carpetas!$C$5:$M$2666,10,FALSE)</f>
        <v>153,68,22</v>
      </c>
      <c r="H1672" s="27" t="str">
        <f>VLOOKUP($C1672,Carpetas!$C$5:$M$2666,6,FALSE)</f>
        <v>Chabat</v>
      </c>
      <c r="I1672" s="220"/>
      <c r="J1672" s="47">
        <f>E1672+2</f>
        <v>45919</v>
      </c>
      <c r="K1672" s="72" t="str">
        <f>VLOOKUP($C1672,Carpetas!$C$5:$M$2666,5,FALSE)</f>
        <v>Rio Branco</v>
      </c>
      <c r="L1672" s="32"/>
      <c r="M1672" s="48">
        <f t="shared" si="115"/>
        <v>45920</v>
      </c>
      <c r="N1672" s="26">
        <f t="shared" si="111"/>
        <v>3</v>
      </c>
      <c r="O1672" s="27">
        <v>990</v>
      </c>
      <c r="P1672" s="27">
        <v>990</v>
      </c>
      <c r="Q1672" s="27">
        <v>28</v>
      </c>
      <c r="R1672" s="27">
        <v>25</v>
      </c>
      <c r="S1672" s="27" t="s">
        <v>4654</v>
      </c>
      <c r="T1672" s="27"/>
      <c r="U1672" s="27">
        <v>2431</v>
      </c>
      <c r="V1672" s="27" t="s">
        <v>4339</v>
      </c>
      <c r="W1672" s="27" t="s">
        <v>4340</v>
      </c>
      <c r="X1672" s="128"/>
      <c r="Y1672" s="73" t="e">
        <f>VLOOKUP(X1672,Choferes!$B$3:C413,2,FALSE)</f>
        <v>#N/A</v>
      </c>
      <c r="Z1672" s="73" t="s">
        <v>4655</v>
      </c>
    </row>
    <row r="1673" spans="1:26" hidden="1" x14ac:dyDescent="0.25">
      <c r="A1673" s="33">
        <v>38</v>
      </c>
      <c r="B1673" s="71" t="s">
        <v>29</v>
      </c>
      <c r="C1673" s="39" t="s">
        <v>4647</v>
      </c>
      <c r="D1673" s="106" t="s">
        <v>2474</v>
      </c>
      <c r="E1673" s="47">
        <v>45917</v>
      </c>
      <c r="F1673" s="31" t="str">
        <f>VLOOKUP($C1673,Carpetas!$C$5:$M$2666,2,FALSE)</f>
        <v>BRB106</v>
      </c>
      <c r="G1673" s="23" t="str">
        <f>VLOOKUP($C1673,Carpetas!$C$5:$M$2666,10,FALSE)</f>
        <v>153,66,53</v>
      </c>
      <c r="H1673" s="27" t="str">
        <f>VLOOKUP($C1673,Carpetas!$C$5:$M$2666,6,FALSE)</f>
        <v>FG</v>
      </c>
      <c r="I1673" s="220"/>
      <c r="J1673" s="47">
        <f>E1673+2</f>
        <v>45919</v>
      </c>
      <c r="K1673" s="72" t="str">
        <f>VLOOKUP($C1673,Carpetas!$C$5:$M$2666,5,FALSE)</f>
        <v>Rio Branco</v>
      </c>
      <c r="L1673" s="32"/>
      <c r="M1673" s="48">
        <f t="shared" si="115"/>
        <v>45920</v>
      </c>
      <c r="N1673" s="26">
        <f t="shared" si="111"/>
        <v>3</v>
      </c>
      <c r="O1673" s="27">
        <v>990</v>
      </c>
      <c r="P1673" s="27">
        <v>990</v>
      </c>
      <c r="Q1673" s="27">
        <v>28</v>
      </c>
      <c r="R1673" s="27">
        <v>25</v>
      </c>
      <c r="S1673" s="27" t="s">
        <v>4656</v>
      </c>
      <c r="T1673" s="27"/>
      <c r="U1673" s="27">
        <v>1131</v>
      </c>
      <c r="V1673" s="27" t="s">
        <v>1722</v>
      </c>
      <c r="W1673" s="27" t="s">
        <v>1637</v>
      </c>
      <c r="X1673" s="128" t="s">
        <v>2119</v>
      </c>
      <c r="Y1673" s="73" t="str">
        <f>VLOOKUP(X1673,Choferes!$B$3:C412,2,FALSE)</f>
        <v>+5553981528085</v>
      </c>
      <c r="Z1673" s="73" t="s">
        <v>4657</v>
      </c>
    </row>
    <row r="1674" spans="1:26" hidden="1" x14ac:dyDescent="0.25">
      <c r="A1674" s="33">
        <v>38</v>
      </c>
      <c r="B1674" s="71" t="s">
        <v>29</v>
      </c>
      <c r="C1674" s="39" t="s">
        <v>4658</v>
      </c>
      <c r="D1674" s="106" t="s">
        <v>2474</v>
      </c>
      <c r="E1674" s="47">
        <v>45918</v>
      </c>
      <c r="F1674" s="31" t="str">
        <f>VLOOKUP($C1674,Carpetas!$C$5:$M$2666,2,FALSE)</f>
        <v>BRB108</v>
      </c>
      <c r="G1674" s="23" t="str">
        <f>VLOOKUP($C1674,Carpetas!$C$5:$M$2666,10,FALSE)</f>
        <v>153,68,21</v>
      </c>
      <c r="H1674" s="27" t="str">
        <f>VLOOKUP($C1674,Carpetas!$C$5:$M$2666,6,FALSE)</f>
        <v>Zanini</v>
      </c>
      <c r="I1674" s="220"/>
      <c r="J1674" s="47">
        <v>45919</v>
      </c>
      <c r="K1674" s="72" t="str">
        <f>VLOOKUP($C1674,Carpetas!$C$5:$M$2666,5,FALSE)</f>
        <v>Rio Branco</v>
      </c>
      <c r="L1674" s="32"/>
      <c r="M1674" s="48">
        <f t="shared" si="115"/>
        <v>45920</v>
      </c>
      <c r="N1674" s="26">
        <f t="shared" si="111"/>
        <v>2</v>
      </c>
      <c r="O1674" s="27">
        <v>918</v>
      </c>
      <c r="P1674" s="27">
        <v>918</v>
      </c>
      <c r="Q1674" s="27">
        <v>26</v>
      </c>
      <c r="R1674" s="27">
        <v>25</v>
      </c>
      <c r="S1674" s="27" t="s">
        <v>4659</v>
      </c>
      <c r="T1674" s="27"/>
      <c r="U1674" s="27">
        <v>5506</v>
      </c>
      <c r="V1674" s="27" t="s">
        <v>3155</v>
      </c>
      <c r="W1674" s="27" t="s">
        <v>3156</v>
      </c>
      <c r="X1674" s="128" t="s">
        <v>1613</v>
      </c>
      <c r="Y1674" s="73" t="str">
        <f>VLOOKUP(X1674,Choferes!$B$3:C404,2,FALSE)</f>
        <v>+5547988461729</v>
      </c>
      <c r="Z1674" s="73" t="s">
        <v>4660</v>
      </c>
    </row>
    <row r="1675" spans="1:26" hidden="1" x14ac:dyDescent="0.25">
      <c r="A1675" s="33">
        <v>38</v>
      </c>
      <c r="B1675" s="71" t="s">
        <v>29</v>
      </c>
      <c r="C1675" s="39" t="s">
        <v>4661</v>
      </c>
      <c r="D1675" s="106" t="s">
        <v>2202</v>
      </c>
      <c r="E1675" s="47">
        <v>45918</v>
      </c>
      <c r="F1675" s="31" t="str">
        <f>VLOOKUP($C1675,Carpetas!$C$5:$M$2666,2,FALSE)</f>
        <v>BRB109</v>
      </c>
      <c r="G1675" s="23" t="str">
        <f>VLOOKUP($C1675,Carpetas!$C$5:$M$2666,10,FALSE)</f>
        <v>153,66,54</v>
      </c>
      <c r="H1675" s="27" t="str">
        <f>VLOOKUP($C1675,Carpetas!$C$5:$M$2666,6,FALSE)</f>
        <v>Chabat</v>
      </c>
      <c r="I1675" s="220"/>
      <c r="J1675" s="47">
        <f>E1675+2</f>
        <v>45920</v>
      </c>
      <c r="K1675" s="72" t="str">
        <f>VLOOKUP($C1675,Carpetas!$C$5:$M$2666,5,FALSE)</f>
        <v>Chuy</v>
      </c>
      <c r="L1675" s="32"/>
      <c r="M1675" s="48">
        <f t="shared" si="115"/>
        <v>45921</v>
      </c>
      <c r="N1675" s="26">
        <f t="shared" si="111"/>
        <v>3</v>
      </c>
      <c r="O1675" s="27">
        <v>990</v>
      </c>
      <c r="P1675" s="27">
        <v>991</v>
      </c>
      <c r="Q1675" s="27">
        <v>28</v>
      </c>
      <c r="R1675" s="27">
        <v>25</v>
      </c>
      <c r="S1675" s="27" t="s">
        <v>4662</v>
      </c>
      <c r="T1675" s="27"/>
      <c r="U1675" s="27"/>
      <c r="V1675" s="27" t="s">
        <v>4663</v>
      </c>
      <c r="W1675" s="27" t="s">
        <v>4223</v>
      </c>
      <c r="X1675" s="128"/>
      <c r="Y1675" s="73" t="e">
        <f>VLOOKUP(X1675,Choferes!$B$3:C407,2,FALSE)</f>
        <v>#N/A</v>
      </c>
      <c r="Z1675" s="73" t="s">
        <v>4664</v>
      </c>
    </row>
    <row r="1676" spans="1:26" hidden="1" x14ac:dyDescent="0.25">
      <c r="A1676" s="33">
        <v>38</v>
      </c>
      <c r="B1676" s="71" t="s">
        <v>29</v>
      </c>
      <c r="C1676" s="39" t="s">
        <v>4647</v>
      </c>
      <c r="D1676" s="106" t="s">
        <v>803</v>
      </c>
      <c r="E1676" s="47">
        <v>45918</v>
      </c>
      <c r="F1676" s="31" t="str">
        <f>VLOOKUP($C1676,Carpetas!$C$5:$M$2666,2,FALSE)</f>
        <v>BRB106</v>
      </c>
      <c r="G1676" s="23" t="str">
        <f>VLOOKUP($C1676,Carpetas!$C$5:$M$2666,10,FALSE)</f>
        <v>153,66,53</v>
      </c>
      <c r="H1676" s="27" t="str">
        <f>VLOOKUP($C1676,Carpetas!$C$5:$M$2666,6,FALSE)</f>
        <v>FG</v>
      </c>
      <c r="I1676" s="220"/>
      <c r="J1676" s="47">
        <f>E1676+2</f>
        <v>45920</v>
      </c>
      <c r="K1676" s="72" t="str">
        <f>VLOOKUP($C1676,Carpetas!$C$5:$M$2666,5,FALSE)</f>
        <v>Rio Branco</v>
      </c>
      <c r="L1676" s="32"/>
      <c r="M1676" s="48">
        <f t="shared" si="115"/>
        <v>45921</v>
      </c>
      <c r="N1676" s="26">
        <f t="shared" si="111"/>
        <v>3</v>
      </c>
      <c r="O1676" s="27">
        <v>990</v>
      </c>
      <c r="P1676" s="27">
        <v>990</v>
      </c>
      <c r="Q1676" s="27">
        <v>28</v>
      </c>
      <c r="R1676" s="27">
        <v>25</v>
      </c>
      <c r="S1676" s="27" t="s">
        <v>4665</v>
      </c>
      <c r="T1676" s="27"/>
      <c r="U1676" s="27">
        <v>1133</v>
      </c>
      <c r="V1676" s="27" t="s">
        <v>1042</v>
      </c>
      <c r="W1676" s="27" t="s">
        <v>3818</v>
      </c>
      <c r="X1676" s="128" t="s">
        <v>1623</v>
      </c>
      <c r="Y1676" s="73" t="str">
        <f>VLOOKUP(X1676,Choferes!$B$3:C414,2,FALSE)</f>
        <v>+5553991254560</v>
      </c>
      <c r="Z1676" s="73" t="s">
        <v>4666</v>
      </c>
    </row>
    <row r="1677" spans="1:26" hidden="1" x14ac:dyDescent="0.25">
      <c r="A1677" s="33">
        <v>38</v>
      </c>
      <c r="B1677" s="71" t="s">
        <v>29</v>
      </c>
      <c r="C1677" s="39" t="s">
        <v>4661</v>
      </c>
      <c r="D1677" s="106" t="s">
        <v>2202</v>
      </c>
      <c r="E1677" s="47">
        <v>45919</v>
      </c>
      <c r="F1677" s="31" t="str">
        <f>VLOOKUP($C1677,Carpetas!$C$5:$M$2666,2,FALSE)</f>
        <v>BRB109</v>
      </c>
      <c r="G1677" s="23" t="str">
        <f>VLOOKUP($C1677,Carpetas!$C$5:$M$2666,10,FALSE)</f>
        <v>153,66,54</v>
      </c>
      <c r="H1677" s="27" t="str">
        <f>VLOOKUP($C1677,Carpetas!$C$5:$M$2666,6,FALSE)</f>
        <v>Chabat</v>
      </c>
      <c r="I1677" s="220"/>
      <c r="J1677" s="47">
        <v>45920</v>
      </c>
      <c r="K1677" s="72" t="str">
        <f>VLOOKUP($C1677,Carpetas!$C$5:$M$2666,5,FALSE)</f>
        <v>Chuy</v>
      </c>
      <c r="L1677" s="32"/>
      <c r="M1677" s="48">
        <f t="shared" si="115"/>
        <v>45921</v>
      </c>
      <c r="N1677" s="26">
        <f t="shared" si="111"/>
        <v>2</v>
      </c>
      <c r="O1677" s="27">
        <v>990</v>
      </c>
      <c r="P1677" s="27">
        <v>991</v>
      </c>
      <c r="Q1677" s="27">
        <v>28</v>
      </c>
      <c r="R1677" s="27">
        <v>25</v>
      </c>
      <c r="S1677" s="27" t="s">
        <v>4667</v>
      </c>
      <c r="T1677" s="27"/>
      <c r="U1677" s="27"/>
      <c r="V1677" s="27" t="s">
        <v>4608</v>
      </c>
      <c r="W1677" s="27" t="s">
        <v>4283</v>
      </c>
      <c r="X1677" s="128"/>
      <c r="Y1677" s="73" t="e">
        <f>VLOOKUP(X1677,Choferes!$B$3:C408,2,FALSE)</f>
        <v>#N/A</v>
      </c>
      <c r="Z1677" s="73" t="s">
        <v>4668</v>
      </c>
    </row>
    <row r="1678" spans="1:26" ht="30" hidden="1" x14ac:dyDescent="0.25">
      <c r="A1678" s="33">
        <v>38</v>
      </c>
      <c r="B1678" s="71" t="s">
        <v>29</v>
      </c>
      <c r="C1678" s="39" t="s">
        <v>4647</v>
      </c>
      <c r="D1678" s="106" t="s">
        <v>249</v>
      </c>
      <c r="E1678" s="47">
        <v>45919</v>
      </c>
      <c r="F1678" s="31" t="str">
        <f>VLOOKUP($C1678,Carpetas!$C$5:$M$2666,2,FALSE)</f>
        <v>BRB106</v>
      </c>
      <c r="G1678" s="23" t="str">
        <f>VLOOKUP($C1678,Carpetas!$C$5:$M$2666,10,FALSE)</f>
        <v>153,66,53</v>
      </c>
      <c r="H1678" s="27" t="str">
        <f>VLOOKUP($C1678,Carpetas!$C$5:$M$2666,6,FALSE)</f>
        <v>FG</v>
      </c>
      <c r="I1678" s="220"/>
      <c r="J1678" s="47">
        <f>E1678+2</f>
        <v>45921</v>
      </c>
      <c r="K1678" s="72" t="str">
        <f>VLOOKUP($C1678,Carpetas!$C$5:$M$2666,5,FALSE)</f>
        <v>Rio Branco</v>
      </c>
      <c r="L1678" s="32"/>
      <c r="M1678" s="48">
        <f t="shared" si="115"/>
        <v>45922</v>
      </c>
      <c r="N1678" s="26">
        <f t="shared" si="111"/>
        <v>3</v>
      </c>
      <c r="O1678" s="27">
        <v>990</v>
      </c>
      <c r="P1678" s="27">
        <v>990</v>
      </c>
      <c r="Q1678" s="27">
        <v>28</v>
      </c>
      <c r="R1678" s="27">
        <v>26</v>
      </c>
      <c r="S1678" s="27" t="s">
        <v>4669</v>
      </c>
      <c r="T1678" s="27"/>
      <c r="U1678" s="27">
        <v>1134</v>
      </c>
      <c r="V1678" s="27" t="s">
        <v>1430</v>
      </c>
      <c r="W1678" s="27" t="s">
        <v>1669</v>
      </c>
      <c r="X1678" s="128" t="s">
        <v>1923</v>
      </c>
      <c r="Y1678" s="73" t="str">
        <f>VLOOKUP(X1678,Choferes!$B$3:C415,2,FALSE)</f>
        <v>+5553999049426</v>
      </c>
      <c r="Z1678" s="73" t="s">
        <v>4670</v>
      </c>
    </row>
    <row r="1679" spans="1:26" hidden="1" x14ac:dyDescent="0.25">
      <c r="A1679" s="33">
        <v>38</v>
      </c>
      <c r="B1679" s="71" t="s">
        <v>29</v>
      </c>
      <c r="C1679" s="39" t="s">
        <v>4647</v>
      </c>
      <c r="D1679" s="106" t="s">
        <v>747</v>
      </c>
      <c r="E1679" s="47">
        <v>45919</v>
      </c>
      <c r="F1679" s="31" t="str">
        <f>VLOOKUP($C1679,Carpetas!$C$5:$M$2666,2,FALSE)</f>
        <v>BRB106</v>
      </c>
      <c r="G1679" s="23" t="str">
        <f>VLOOKUP($C1679,Carpetas!$C$5:$M$2666,10,FALSE)</f>
        <v>153,66,53</v>
      </c>
      <c r="H1679" s="27" t="str">
        <f>VLOOKUP($C1679,Carpetas!$C$5:$M$2666,6,FALSE)</f>
        <v>FG</v>
      </c>
      <c r="I1679" s="220"/>
      <c r="J1679" s="47">
        <f>E1679+2</f>
        <v>45921</v>
      </c>
      <c r="K1679" s="72" t="str">
        <f>VLOOKUP($C1679,Carpetas!$C$5:$M$2666,5,FALSE)</f>
        <v>Rio Branco</v>
      </c>
      <c r="L1679" s="32"/>
      <c r="M1679" s="48">
        <f t="shared" si="115"/>
        <v>45922</v>
      </c>
      <c r="N1679" s="26">
        <f t="shared" si="111"/>
        <v>3</v>
      </c>
      <c r="O1679" s="27">
        <v>990</v>
      </c>
      <c r="P1679" s="27">
        <v>991</v>
      </c>
      <c r="Q1679" s="27">
        <v>28</v>
      </c>
      <c r="R1679" s="27">
        <v>25</v>
      </c>
      <c r="S1679" s="27" t="s">
        <v>4671</v>
      </c>
      <c r="T1679" s="27"/>
      <c r="U1679" s="27">
        <v>1135</v>
      </c>
      <c r="V1679" s="27" t="s">
        <v>1626</v>
      </c>
      <c r="W1679" s="27" t="s">
        <v>1627</v>
      </c>
      <c r="X1679" s="128" t="s">
        <v>1489</v>
      </c>
      <c r="Y1679" s="73" t="str">
        <f>VLOOKUP(X1679,Choferes!$B$3:C416,2,FALSE)</f>
        <v>+5553984039582</v>
      </c>
      <c r="Z1679" s="73" t="s">
        <v>4672</v>
      </c>
    </row>
    <row r="1680" spans="1:26" hidden="1" x14ac:dyDescent="0.25">
      <c r="A1680" s="33">
        <v>38</v>
      </c>
      <c r="B1680" s="71" t="s">
        <v>29</v>
      </c>
      <c r="C1680" s="39" t="s">
        <v>4673</v>
      </c>
      <c r="D1680" s="106" t="s">
        <v>1757</v>
      </c>
      <c r="E1680" s="47">
        <v>45916</v>
      </c>
      <c r="F1680" s="31" t="str">
        <f>VLOOKUP($C1680,Carpetas!$C$5:$M$2666,2,FALSE)</f>
        <v>BRB105</v>
      </c>
      <c r="G1680" s="23" t="str">
        <f>VLOOKUP($C1680,Carpetas!$C$5:$M$2666,10,FALSE)</f>
        <v>153,66,32</v>
      </c>
      <c r="H1680" s="27" t="str">
        <f>VLOOKUP($C1680,Carpetas!$C$5:$M$2666,6,FALSE)</f>
        <v>Gral</v>
      </c>
      <c r="I1680" s="220"/>
      <c r="J1680" s="47">
        <f>E1680+5</f>
        <v>45921</v>
      </c>
      <c r="K1680" s="72" t="str">
        <f>VLOOKUP($C1680,Carpetas!$C$5:$M$2666,5,FALSE)</f>
        <v>Rio Branco</v>
      </c>
      <c r="L1680" s="32"/>
      <c r="M1680" s="48">
        <f t="shared" si="115"/>
        <v>45922</v>
      </c>
      <c r="N1680" s="26">
        <f t="shared" si="111"/>
        <v>6</v>
      </c>
      <c r="O1680" s="27">
        <v>936</v>
      </c>
      <c r="P1680" s="27">
        <v>936</v>
      </c>
      <c r="Q1680" s="27">
        <v>26</v>
      </c>
      <c r="R1680" s="27">
        <v>25</v>
      </c>
      <c r="S1680" s="27" t="s">
        <v>3499</v>
      </c>
      <c r="T1680" s="27"/>
      <c r="U1680" s="27">
        <v>7649</v>
      </c>
      <c r="V1680" s="27" t="s">
        <v>4674</v>
      </c>
      <c r="W1680" s="27" t="s">
        <v>4675</v>
      </c>
      <c r="X1680" s="128"/>
      <c r="Y1680" s="73" t="e">
        <f>VLOOKUP(X1680,Choferes!$B$3:C410,2,FALSE)</f>
        <v>#N/A</v>
      </c>
      <c r="Z1680" s="217" t="s">
        <v>4676</v>
      </c>
    </row>
    <row r="1681" spans="1:26" hidden="1" x14ac:dyDescent="0.25">
      <c r="A1681" s="33">
        <v>38</v>
      </c>
      <c r="B1681" s="71" t="s">
        <v>29</v>
      </c>
      <c r="C1681" s="39" t="s">
        <v>4412</v>
      </c>
      <c r="D1681" s="106" t="s">
        <v>2474</v>
      </c>
      <c r="E1681" s="47">
        <v>45920</v>
      </c>
      <c r="F1681" s="31" t="str">
        <f>VLOOKUP($C1681,Carpetas!$C$5:$M$2666,2,FALSE)</f>
        <v>BRB089</v>
      </c>
      <c r="G1681" s="23" t="str">
        <f>VLOOKUP($C1681,Carpetas!$C$5:$M$2666,10,FALSE)</f>
        <v>153,28,73</v>
      </c>
      <c r="H1681" s="27" t="str">
        <f>VLOOKUP($C1681,Carpetas!$C$5:$M$2666,6,FALSE)</f>
        <v>Gral</v>
      </c>
      <c r="I1681" s="220"/>
      <c r="J1681" s="47">
        <f>E1681+2</f>
        <v>45922</v>
      </c>
      <c r="K1681" s="72" t="str">
        <f>VLOOKUP($C1681,Carpetas!$C$5:$M$2666,5,FALSE)</f>
        <v>Rio Branco</v>
      </c>
      <c r="L1681" s="32"/>
      <c r="M1681" s="48">
        <f t="shared" si="115"/>
        <v>45923</v>
      </c>
      <c r="N1681" s="26">
        <f t="shared" si="111"/>
        <v>3</v>
      </c>
      <c r="O1681" s="27">
        <v>918</v>
      </c>
      <c r="P1681" s="27">
        <v>918</v>
      </c>
      <c r="Q1681" s="27">
        <v>26</v>
      </c>
      <c r="R1681" s="27">
        <v>25</v>
      </c>
      <c r="S1681" s="27" t="s">
        <v>4677</v>
      </c>
      <c r="T1681" s="27"/>
      <c r="U1681" s="27">
        <v>7573</v>
      </c>
      <c r="V1681" s="27" t="s">
        <v>4678</v>
      </c>
      <c r="W1681" s="27" t="s">
        <v>4679</v>
      </c>
      <c r="X1681" s="128"/>
      <c r="Y1681" s="73" t="e">
        <f>VLOOKUP(X1681,Choferes!$B$3:C409,2,FALSE)</f>
        <v>#N/A</v>
      </c>
      <c r="Z1681" s="73" t="s">
        <v>4680</v>
      </c>
    </row>
    <row r="1682" spans="1:26" ht="30" hidden="1" x14ac:dyDescent="0.25">
      <c r="A1682" s="33">
        <v>38</v>
      </c>
      <c r="B1682" s="71" t="s">
        <v>29</v>
      </c>
      <c r="C1682" s="39" t="s">
        <v>4647</v>
      </c>
      <c r="D1682" s="106" t="s">
        <v>803</v>
      </c>
      <c r="E1682" s="47">
        <v>45920</v>
      </c>
      <c r="F1682" s="31" t="str">
        <f>VLOOKUP($C1682,Carpetas!$C$5:$M$2666,2,FALSE)</f>
        <v>BRB106</v>
      </c>
      <c r="G1682" s="23" t="str">
        <f>VLOOKUP($C1682,Carpetas!$C$5:$M$2666,10,FALSE)</f>
        <v>153,66,53</v>
      </c>
      <c r="H1682" s="27" t="str">
        <f>VLOOKUP($C1682,Carpetas!$C$5:$M$2666,6,FALSE)</f>
        <v>FG</v>
      </c>
      <c r="I1682" s="220"/>
      <c r="J1682" s="47">
        <f>E1682+2</f>
        <v>45922</v>
      </c>
      <c r="K1682" s="72" t="str">
        <f>VLOOKUP($C1682,Carpetas!$C$5:$M$2666,5,FALSE)</f>
        <v>Rio Branco</v>
      </c>
      <c r="L1682" s="32"/>
      <c r="M1682" s="48">
        <f t="shared" si="115"/>
        <v>45923</v>
      </c>
      <c r="N1682" s="26">
        <f t="shared" ref="N1682:N1745" si="116">IF(E1682&lt;&gt;"",M1682-E1682,"-")</f>
        <v>3</v>
      </c>
      <c r="O1682" s="27">
        <v>990</v>
      </c>
      <c r="P1682" s="27">
        <v>990</v>
      </c>
      <c r="Q1682" s="27">
        <v>28</v>
      </c>
      <c r="R1682" s="27">
        <v>25</v>
      </c>
      <c r="S1682" s="27" t="s">
        <v>4681</v>
      </c>
      <c r="T1682" s="27"/>
      <c r="U1682" s="27">
        <v>1136</v>
      </c>
      <c r="V1682" s="27" t="s">
        <v>1735</v>
      </c>
      <c r="W1682" s="27" t="s">
        <v>1681</v>
      </c>
      <c r="X1682" s="128" t="s">
        <v>4064</v>
      </c>
      <c r="Y1682" s="73" t="str">
        <f>VLOOKUP(X1682,Choferes!$B$3:C417,2,FALSE)</f>
        <v>+55 53 9905-0337</v>
      </c>
      <c r="Z1682" s="73" t="s">
        <v>4682</v>
      </c>
    </row>
    <row r="1683" spans="1:26" hidden="1" x14ac:dyDescent="0.25">
      <c r="A1683" s="33">
        <v>38</v>
      </c>
      <c r="B1683" s="71" t="s">
        <v>298</v>
      </c>
      <c r="C1683" s="39" t="s">
        <v>299</v>
      </c>
      <c r="D1683" s="106" t="s">
        <v>747</v>
      </c>
      <c r="E1683" s="47">
        <v>45920</v>
      </c>
      <c r="F1683" s="31" t="str">
        <f>VLOOKUP($C1683,Carpetas!$C$5:$M$2666,2,FALSE)</f>
        <v>BRB</v>
      </c>
      <c r="G1683" s="23" t="e">
        <f>VLOOKUP($C1683,Carpetas!$C$5:$M$2666,9,FALSE)</f>
        <v>#REF!</v>
      </c>
      <c r="H1683" s="27" t="str">
        <f>VLOOKUP($C1683,Carpetas!$C$5:$M$2666,5,FALSE)</f>
        <v>xx</v>
      </c>
      <c r="I1683" s="220"/>
      <c r="J1683" s="47">
        <f>E1683+2</f>
        <v>45922</v>
      </c>
      <c r="K1683" s="72">
        <f>VLOOKUP($C1683,Carpetas!$C$5:$M$2666,4,FALSE)</f>
        <v>0</v>
      </c>
      <c r="L1683" s="32"/>
      <c r="M1683" s="48">
        <f t="shared" si="115"/>
        <v>45923</v>
      </c>
      <c r="N1683" s="26">
        <f t="shared" si="116"/>
        <v>3</v>
      </c>
      <c r="O1683" s="27">
        <v>990</v>
      </c>
      <c r="P1683" s="27"/>
      <c r="Q1683" s="27"/>
      <c r="R1683" s="27"/>
      <c r="S1683" s="27"/>
      <c r="T1683" s="27"/>
      <c r="U1683" s="27"/>
      <c r="V1683" s="27"/>
      <c r="W1683" s="27"/>
      <c r="X1683" s="128"/>
      <c r="Y1683" s="73" t="e">
        <f>VLOOKUP(X1683,Choferes!$B$3:C418,2,FALSE)</f>
        <v>#N/A</v>
      </c>
      <c r="Z1683" s="73"/>
    </row>
    <row r="1684" spans="1:26" hidden="1" x14ac:dyDescent="0.25">
      <c r="A1684" s="33">
        <v>37</v>
      </c>
      <c r="B1684" s="71" t="s">
        <v>29</v>
      </c>
      <c r="C1684" s="39" t="s">
        <v>4623</v>
      </c>
      <c r="D1684" s="106" t="s">
        <v>1757</v>
      </c>
      <c r="E1684" s="47">
        <v>45913</v>
      </c>
      <c r="F1684" s="31" t="str">
        <f>VLOOKUP($C1684,Carpetas!$C$5:$M$2666,2,FALSE)</f>
        <v>BRB102</v>
      </c>
      <c r="G1684" s="23" t="str">
        <f>VLOOKUP($C1684,Carpetas!$C$5:$M$2666,10,FALSE)</f>
        <v>153,56,67</v>
      </c>
      <c r="H1684" s="27" t="str">
        <f>VLOOKUP($C1684,Carpetas!$C$5:$M$2666,6,FALSE)</f>
        <v>Gral</v>
      </c>
      <c r="I1684" s="220"/>
      <c r="J1684" s="47">
        <v>45923</v>
      </c>
      <c r="K1684" s="72" t="str">
        <f>VLOOKUP($C1684,Carpetas!$C$5:$M$2666,5,FALSE)</f>
        <v>Rio Branco</v>
      </c>
      <c r="L1684" s="32"/>
      <c r="M1684" s="48">
        <f t="shared" si="115"/>
        <v>45924</v>
      </c>
      <c r="N1684" s="26">
        <f t="shared" si="116"/>
        <v>11</v>
      </c>
      <c r="O1684" s="27">
        <v>936</v>
      </c>
      <c r="P1684" s="27">
        <v>936</v>
      </c>
      <c r="Q1684" s="27">
        <v>26</v>
      </c>
      <c r="R1684" s="27">
        <v>25</v>
      </c>
      <c r="S1684" s="27" t="s">
        <v>4683</v>
      </c>
      <c r="T1684" s="27"/>
      <c r="U1684" s="27">
        <v>7643</v>
      </c>
      <c r="V1684" s="27" t="s">
        <v>4684</v>
      </c>
      <c r="W1684" s="27" t="s">
        <v>4685</v>
      </c>
      <c r="X1684" s="128"/>
      <c r="Y1684" s="73" t="e">
        <f>VLOOKUP(X1684,Choferes!$B$3:C402,2,FALSE)</f>
        <v>#N/A</v>
      </c>
      <c r="Z1684" s="73" t="s">
        <v>4686</v>
      </c>
    </row>
    <row r="1685" spans="1:26" hidden="1" x14ac:dyDescent="0.25">
      <c r="A1685" s="33">
        <v>39</v>
      </c>
      <c r="B1685" s="71" t="s">
        <v>29</v>
      </c>
      <c r="C1685" s="39" t="s">
        <v>4687</v>
      </c>
      <c r="D1685" s="106" t="s">
        <v>121</v>
      </c>
      <c r="E1685" s="47">
        <v>45921</v>
      </c>
      <c r="F1685" s="31" t="str">
        <f>VLOOKUP($C1685,Carpetas!$C$5:$M$2666,2,FALSE)</f>
        <v>PYB033</v>
      </c>
      <c r="G1685" s="23">
        <f>VLOOKUP($C1685,Carpetas!$C$5:$M$2666,10,FALSE)</f>
        <v>1536968</v>
      </c>
      <c r="H1685" s="27">
        <f>VLOOKUP($C1685,Carpetas!$C$5:$M$2666,6,FALSE)</f>
        <v>0</v>
      </c>
      <c r="I1685" s="220"/>
      <c r="J1685" s="47">
        <v>45923</v>
      </c>
      <c r="K1685" s="72" t="str">
        <f>VLOOKUP($C1685,Carpetas!$C$5:$M$2666,5,FALSE)</f>
        <v>Salto</v>
      </c>
      <c r="L1685" s="32"/>
      <c r="M1685" s="48">
        <f t="shared" si="115"/>
        <v>45924</v>
      </c>
      <c r="N1685" s="26">
        <f t="shared" si="116"/>
        <v>3</v>
      </c>
      <c r="O1685" s="27">
        <v>980</v>
      </c>
      <c r="P1685" s="27">
        <v>980</v>
      </c>
      <c r="Q1685" s="27">
        <v>28</v>
      </c>
      <c r="R1685" s="27">
        <v>26.5</v>
      </c>
      <c r="S1685" s="27" t="s">
        <v>718</v>
      </c>
      <c r="T1685" s="27"/>
      <c r="U1685" s="27"/>
      <c r="V1685" s="27"/>
      <c r="W1685" s="27"/>
      <c r="X1685" s="128"/>
      <c r="Y1685" s="73" t="e">
        <f>VLOOKUP(X1685,Choferes!$B$3:C416,2,FALSE)</f>
        <v>#N/A</v>
      </c>
      <c r="Z1685" s="73" t="s">
        <v>4688</v>
      </c>
    </row>
    <row r="1686" spans="1:26" hidden="1" x14ac:dyDescent="0.25">
      <c r="A1686" s="33">
        <v>38</v>
      </c>
      <c r="B1686" s="71" t="s">
        <v>29</v>
      </c>
      <c r="C1686" s="39" t="s">
        <v>4673</v>
      </c>
      <c r="D1686" s="106" t="s">
        <v>1757</v>
      </c>
      <c r="E1686" s="47">
        <v>45918</v>
      </c>
      <c r="F1686" s="31" t="str">
        <f>VLOOKUP($C1686,Carpetas!$C$5:$M$2666,2,FALSE)</f>
        <v>BRB105</v>
      </c>
      <c r="G1686" s="23" t="str">
        <f>VLOOKUP($C1686,Carpetas!$C$5:$M$2666,10,FALSE)</f>
        <v>153,66,32</v>
      </c>
      <c r="H1686" s="27" t="str">
        <f>VLOOKUP($C1686,Carpetas!$C$5:$M$2666,6,FALSE)</f>
        <v>Gral</v>
      </c>
      <c r="I1686" s="220"/>
      <c r="J1686" s="47">
        <v>45924</v>
      </c>
      <c r="K1686" s="72" t="str">
        <f>VLOOKUP($C1686,Carpetas!$C$5:$M$2666,5,FALSE)</f>
        <v>Rio Branco</v>
      </c>
      <c r="L1686" s="32"/>
      <c r="M1686" s="48">
        <f t="shared" si="115"/>
        <v>45925</v>
      </c>
      <c r="N1686" s="26">
        <f t="shared" si="116"/>
        <v>7</v>
      </c>
      <c r="O1686" s="27">
        <v>936</v>
      </c>
      <c r="P1686" s="27">
        <v>936</v>
      </c>
      <c r="Q1686" s="27">
        <v>26</v>
      </c>
      <c r="R1686" s="27">
        <v>25</v>
      </c>
      <c r="S1686" s="27" t="s">
        <v>4689</v>
      </c>
      <c r="T1686" s="27"/>
      <c r="U1686" s="27">
        <v>7669</v>
      </c>
      <c r="V1686" s="27" t="s">
        <v>4690</v>
      </c>
      <c r="W1686" s="27" t="s">
        <v>4691</v>
      </c>
      <c r="X1686" s="128"/>
      <c r="Y1686" s="73" t="e">
        <f>VLOOKUP(X1686,Choferes!$B$3:C411,2,FALSE)</f>
        <v>#N/A</v>
      </c>
      <c r="Z1686" s="73" t="s">
        <v>4692</v>
      </c>
    </row>
    <row r="1687" spans="1:26" ht="30" hidden="1" x14ac:dyDescent="0.25">
      <c r="A1687" s="33">
        <v>39</v>
      </c>
      <c r="B1687" s="71" t="s">
        <v>29</v>
      </c>
      <c r="C1687" s="39" t="s">
        <v>4693</v>
      </c>
      <c r="D1687" s="106" t="s">
        <v>38</v>
      </c>
      <c r="E1687" s="47">
        <v>45920</v>
      </c>
      <c r="F1687" s="31" t="str">
        <f>VLOOKUP($C1687,Carpetas!$C$5:$M$2666,2,FALSE)</f>
        <v>BRE049</v>
      </c>
      <c r="G1687" s="23" t="str">
        <f>VLOOKUP($C1687,Carpetas!$C$5:$M$2666,10,FALSE)</f>
        <v>1536865/1536866/1536867/1537059</v>
      </c>
      <c r="H1687" s="27" t="str">
        <f>VLOOKUP($C1687,Carpetas!$C$5:$M$2666,6,FALSE)</f>
        <v>VPN</v>
      </c>
      <c r="I1687" s="220">
        <f>VLOOKUP($C1687,Carpetas!$C$5:$M$2666,4,FALSE)</f>
        <v>0</v>
      </c>
      <c r="J1687" s="47">
        <v>45924</v>
      </c>
      <c r="K1687" s="72" t="str">
        <f>VLOOKUP($C1687,Carpetas!$C$5:$M$2666,5,FALSE)</f>
        <v>Rio Branco</v>
      </c>
      <c r="L1687" s="32"/>
      <c r="M1687" s="48">
        <f t="shared" si="115"/>
        <v>45925</v>
      </c>
      <c r="N1687" s="26">
        <f t="shared" si="116"/>
        <v>5</v>
      </c>
      <c r="O1687" s="27">
        <v>1064</v>
      </c>
      <c r="P1687" s="27">
        <v>1064</v>
      </c>
      <c r="Q1687" s="27"/>
      <c r="R1687" s="27"/>
      <c r="S1687" s="27"/>
      <c r="T1687" s="27"/>
      <c r="U1687" s="27"/>
      <c r="V1687" s="27"/>
      <c r="W1687" s="27"/>
      <c r="X1687" s="128"/>
      <c r="Y1687" s="73" t="e">
        <f>VLOOKUP(X1687,Choferes!$B$3:C420,2,FALSE)</f>
        <v>#N/A</v>
      </c>
      <c r="Z1687" s="73" t="s">
        <v>4694</v>
      </c>
    </row>
    <row r="1688" spans="1:26" hidden="1" x14ac:dyDescent="0.25">
      <c r="A1688" s="33">
        <v>39</v>
      </c>
      <c r="B1688" s="71" t="s">
        <v>29</v>
      </c>
      <c r="C1688" s="39" t="s">
        <v>4647</v>
      </c>
      <c r="D1688" s="106" t="s">
        <v>803</v>
      </c>
      <c r="E1688" s="47">
        <v>45923</v>
      </c>
      <c r="F1688" s="31" t="str">
        <f>VLOOKUP($C1688,Carpetas!$C$5:$M$2666,2,FALSE)</f>
        <v>BRB106</v>
      </c>
      <c r="G1688" s="23" t="str">
        <f>VLOOKUP($C1688,Carpetas!$C$5:$M$2666,10,FALSE)</f>
        <v>153,66,53</v>
      </c>
      <c r="H1688" s="27" t="str">
        <f>VLOOKUP($C1688,Carpetas!$C$5:$M$2666,6,FALSE)</f>
        <v>FG</v>
      </c>
      <c r="I1688" s="220"/>
      <c r="J1688" s="47">
        <f>E1688+2</f>
        <v>45925</v>
      </c>
      <c r="K1688" s="72" t="str">
        <f>VLOOKUP($C1688,Carpetas!$C$5:$M$2666,5,FALSE)</f>
        <v>Rio Branco</v>
      </c>
      <c r="L1688" s="32"/>
      <c r="M1688" s="48">
        <f t="shared" si="115"/>
        <v>45926</v>
      </c>
      <c r="N1688" s="26">
        <f t="shared" si="116"/>
        <v>3</v>
      </c>
      <c r="O1688" s="27">
        <v>990</v>
      </c>
      <c r="P1688" s="27">
        <v>990</v>
      </c>
      <c r="Q1688" s="27">
        <v>28</v>
      </c>
      <c r="R1688" s="27">
        <v>25</v>
      </c>
      <c r="S1688" s="27" t="s">
        <v>4695</v>
      </c>
      <c r="T1688" s="27"/>
      <c r="U1688" s="27">
        <v>1139</v>
      </c>
      <c r="V1688" s="27" t="s">
        <v>3669</v>
      </c>
      <c r="W1688" s="27" t="s">
        <v>912</v>
      </c>
      <c r="X1688" s="128" t="s">
        <v>2336</v>
      </c>
      <c r="Y1688" s="73" t="str">
        <f>VLOOKUP(X1688,Choferes!$B$3:C407,2,FALSE)</f>
        <v>+5553984414060</v>
      </c>
      <c r="Z1688" s="73" t="s">
        <v>4696</v>
      </c>
    </row>
    <row r="1689" spans="1:26" hidden="1" x14ac:dyDescent="0.25">
      <c r="A1689" s="33">
        <v>39</v>
      </c>
      <c r="B1689" s="71" t="s">
        <v>29</v>
      </c>
      <c r="C1689" s="39" t="s">
        <v>4647</v>
      </c>
      <c r="D1689" s="106" t="s">
        <v>747</v>
      </c>
      <c r="E1689" s="47">
        <v>45923</v>
      </c>
      <c r="F1689" s="31" t="str">
        <f>VLOOKUP($C1689,Carpetas!$C$5:$M$2666,2,FALSE)</f>
        <v>BRB106</v>
      </c>
      <c r="G1689" s="23" t="str">
        <f>VLOOKUP($C1689,Carpetas!$C$5:$M$2666,10,FALSE)</f>
        <v>153,66,53</v>
      </c>
      <c r="H1689" s="27" t="str">
        <f>VLOOKUP($C1689,Carpetas!$C$5:$M$2666,6,FALSE)</f>
        <v>FG</v>
      </c>
      <c r="I1689" s="220"/>
      <c r="J1689" s="47">
        <f>E1689+2</f>
        <v>45925</v>
      </c>
      <c r="K1689" s="72" t="str">
        <f>VLOOKUP($C1689,Carpetas!$C$5:$M$2666,5,FALSE)</f>
        <v>Rio Branco</v>
      </c>
      <c r="L1689" s="32"/>
      <c r="M1689" s="48">
        <f t="shared" si="115"/>
        <v>45926</v>
      </c>
      <c r="N1689" s="26">
        <f t="shared" si="116"/>
        <v>3</v>
      </c>
      <c r="O1689" s="27">
        <v>990</v>
      </c>
      <c r="P1689" s="27">
        <v>991</v>
      </c>
      <c r="Q1689" s="27">
        <v>28</v>
      </c>
      <c r="R1689" s="27">
        <v>25</v>
      </c>
      <c r="S1689" s="27" t="s">
        <v>4697</v>
      </c>
      <c r="T1689" s="27"/>
      <c r="U1689" s="27">
        <v>1140</v>
      </c>
      <c r="V1689" s="27" t="s">
        <v>911</v>
      </c>
      <c r="W1689" s="27" t="s">
        <v>1622</v>
      </c>
      <c r="X1689" s="128" t="s">
        <v>1397</v>
      </c>
      <c r="Y1689" s="73" t="str">
        <f>VLOOKUP(X1689,Choferes!$B$3:C413,2,FALSE)</f>
        <v>+5551996322594</v>
      </c>
      <c r="Z1689" s="73" t="s">
        <v>4698</v>
      </c>
    </row>
    <row r="1690" spans="1:26" hidden="1" x14ac:dyDescent="0.25">
      <c r="A1690" s="33">
        <v>39</v>
      </c>
      <c r="B1690" s="71" t="s">
        <v>29</v>
      </c>
      <c r="C1690" s="39" t="s">
        <v>4658</v>
      </c>
      <c r="D1690" s="106" t="s">
        <v>110</v>
      </c>
      <c r="E1690" s="47">
        <v>45924</v>
      </c>
      <c r="F1690" s="31" t="str">
        <f>VLOOKUP($C1690,Carpetas!$C$5:$M$2666,2,FALSE)</f>
        <v>BRB108</v>
      </c>
      <c r="G1690" s="23" t="str">
        <f>VLOOKUP($C1690,Carpetas!$C$5:$M$2666,10,FALSE)</f>
        <v>153,68,21</v>
      </c>
      <c r="H1690" s="27" t="str">
        <f>VLOOKUP($C1690,Carpetas!$C$5:$M$2666,6,FALSE)</f>
        <v>Zanini</v>
      </c>
      <c r="I1690" s="220"/>
      <c r="J1690" s="47">
        <v>45925</v>
      </c>
      <c r="K1690" s="72" t="str">
        <f>VLOOKUP($C1690,Carpetas!$C$5:$M$2666,5,FALSE)</f>
        <v>Rio Branco</v>
      </c>
      <c r="L1690" s="32"/>
      <c r="M1690" s="48">
        <f t="shared" si="115"/>
        <v>45926</v>
      </c>
      <c r="N1690" s="26">
        <f t="shared" si="116"/>
        <v>2</v>
      </c>
      <c r="O1690" s="27">
        <v>918</v>
      </c>
      <c r="P1690" s="27">
        <v>919</v>
      </c>
      <c r="Q1690" s="27">
        <v>25</v>
      </c>
      <c r="R1690" s="27">
        <v>26</v>
      </c>
      <c r="S1690" s="27" t="s">
        <v>4699</v>
      </c>
      <c r="T1690" s="27"/>
      <c r="U1690" s="27">
        <v>5522</v>
      </c>
      <c r="V1690" s="27" t="s">
        <v>4700</v>
      </c>
      <c r="W1690" s="27" t="s">
        <v>4701</v>
      </c>
      <c r="X1690" s="128" t="s">
        <v>35</v>
      </c>
      <c r="Y1690" s="73" t="str">
        <f>VLOOKUP(X1690,Choferes!$B$3:C402,2,FALSE)</f>
        <v>+5555991366995</v>
      </c>
      <c r="Z1690" s="73" t="s">
        <v>4702</v>
      </c>
    </row>
    <row r="1691" spans="1:26" ht="30" hidden="1" x14ac:dyDescent="0.25">
      <c r="A1691" s="33">
        <v>39</v>
      </c>
      <c r="B1691" s="71" t="s">
        <v>29</v>
      </c>
      <c r="C1691" s="39" t="s">
        <v>4703</v>
      </c>
      <c r="D1691" s="106" t="s">
        <v>2474</v>
      </c>
      <c r="E1691" s="47">
        <v>45924</v>
      </c>
      <c r="F1691" s="31" t="str">
        <f>VLOOKUP($C1691,Carpetas!$C$5:$M$2666,2,FALSE)</f>
        <v>BRB110</v>
      </c>
      <c r="G1691" s="23">
        <f>VLOOKUP($C1691,Carpetas!$C$5:$M$2666,10,FALSE)</f>
        <v>1537456</v>
      </c>
      <c r="H1691" s="27" t="str">
        <f>VLOOKUP($C1691,Carpetas!$C$5:$M$2666,6,FALSE)</f>
        <v>FG</v>
      </c>
      <c r="I1691" s="220"/>
      <c r="J1691" s="47">
        <v>45925</v>
      </c>
      <c r="K1691" s="72" t="str">
        <f>VLOOKUP($C1691,Carpetas!$C$5:$M$2666,5,FALSE)</f>
        <v>Rio Branco</v>
      </c>
      <c r="L1691" s="32"/>
      <c r="M1691" s="48">
        <f t="shared" si="115"/>
        <v>45926</v>
      </c>
      <c r="N1691" s="26">
        <f t="shared" si="116"/>
        <v>2</v>
      </c>
      <c r="O1691" s="27">
        <v>990</v>
      </c>
      <c r="P1691" s="27">
        <v>990</v>
      </c>
      <c r="Q1691" s="27">
        <v>25</v>
      </c>
      <c r="R1691" s="27">
        <v>28</v>
      </c>
      <c r="S1691" s="27" t="s">
        <v>4704</v>
      </c>
      <c r="T1691" s="27"/>
      <c r="U1691" s="27">
        <v>1143</v>
      </c>
      <c r="V1691" s="27" t="s">
        <v>1722</v>
      </c>
      <c r="W1691" s="27" t="s">
        <v>1637</v>
      </c>
      <c r="X1691" s="128" t="s">
        <v>2119</v>
      </c>
      <c r="Y1691" s="73" t="str">
        <f>VLOOKUP(X1691,Choferes!$B$3:C411,2,FALSE)</f>
        <v>+5553981528085</v>
      </c>
      <c r="Z1691" s="73" t="s">
        <v>4705</v>
      </c>
    </row>
    <row r="1692" spans="1:26" hidden="1" x14ac:dyDescent="0.25">
      <c r="A1692" s="33">
        <v>39</v>
      </c>
      <c r="B1692" s="71" t="s">
        <v>29</v>
      </c>
      <c r="C1692" s="39" t="s">
        <v>4706</v>
      </c>
      <c r="D1692" s="106" t="s">
        <v>38</v>
      </c>
      <c r="E1692" s="47">
        <v>45922</v>
      </c>
      <c r="F1692" s="31" t="str">
        <f>VLOOKUP($C1692,Carpetas!$C$5:$M$2666,2,FALSE)</f>
        <v>BRE050</v>
      </c>
      <c r="G1692" s="23">
        <f>VLOOKUP($C1692,Carpetas!$C$5:$M$2666,10,FALSE)</f>
        <v>1537155</v>
      </c>
      <c r="H1692" s="27" t="str">
        <f>VLOOKUP($C1692,Carpetas!$C$5:$M$2666,6,FALSE)</f>
        <v>Miltex</v>
      </c>
      <c r="I1692" s="220">
        <f>VLOOKUP($C1692,Carpetas!$C$5:$M$2666,4,FALSE)</f>
        <v>0</v>
      </c>
      <c r="J1692" s="47">
        <v>45925</v>
      </c>
      <c r="K1692" s="72" t="str">
        <f>VLOOKUP($C1692,Carpetas!$C$5:$M$2666,5,FALSE)</f>
        <v>Rio Branco</v>
      </c>
      <c r="L1692" s="32"/>
      <c r="M1692" s="48">
        <f t="shared" si="115"/>
        <v>45926</v>
      </c>
      <c r="N1692" s="26">
        <f t="shared" si="116"/>
        <v>4</v>
      </c>
      <c r="O1692" s="27">
        <v>24500</v>
      </c>
      <c r="P1692" s="27">
        <v>24500</v>
      </c>
      <c r="Q1692" s="27"/>
      <c r="R1692" s="27"/>
      <c r="S1692" s="27"/>
      <c r="T1692" s="27"/>
      <c r="U1692" s="27">
        <v>172</v>
      </c>
      <c r="V1692" s="27" t="s">
        <v>4707</v>
      </c>
      <c r="W1692" s="27" t="s">
        <v>4708</v>
      </c>
      <c r="X1692" s="128"/>
      <c r="Y1692" s="73" t="e">
        <f>VLOOKUP(X1692,Choferes!$B$3:C418,2,FALSE)</f>
        <v>#N/A</v>
      </c>
      <c r="Z1692" s="73" t="s">
        <v>4709</v>
      </c>
    </row>
    <row r="1693" spans="1:26" hidden="1" x14ac:dyDescent="0.25">
      <c r="A1693" s="33">
        <v>39</v>
      </c>
      <c r="B1693" s="71" t="s">
        <v>29</v>
      </c>
      <c r="C1693" s="39" t="s">
        <v>4661</v>
      </c>
      <c r="D1693" s="106" t="s">
        <v>2202</v>
      </c>
      <c r="E1693" s="47">
        <v>45923</v>
      </c>
      <c r="F1693" s="31" t="str">
        <f>VLOOKUP($C1693,Carpetas!$C$5:$M$2666,2,FALSE)</f>
        <v>BRB109</v>
      </c>
      <c r="G1693" s="23" t="str">
        <f>VLOOKUP($C1693,Carpetas!$C$5:$M$2666,10,FALSE)</f>
        <v>153,66,54</v>
      </c>
      <c r="H1693" s="27" t="str">
        <f>VLOOKUP($C1693,Carpetas!$C$5:$M$2666,6,FALSE)</f>
        <v>Chabat</v>
      </c>
      <c r="I1693" s="220"/>
      <c r="J1693" s="47">
        <v>45926</v>
      </c>
      <c r="K1693" s="72" t="str">
        <f>VLOOKUP($C1693,Carpetas!$C$5:$M$2666,5,FALSE)</f>
        <v>Chuy</v>
      </c>
      <c r="L1693" s="32"/>
      <c r="M1693" s="48">
        <f t="shared" si="115"/>
        <v>45927</v>
      </c>
      <c r="N1693" s="26">
        <f t="shared" si="116"/>
        <v>4</v>
      </c>
      <c r="O1693" s="27">
        <v>990</v>
      </c>
      <c r="P1693" s="27">
        <v>991</v>
      </c>
      <c r="Q1693" s="27">
        <v>28</v>
      </c>
      <c r="R1693" s="27">
        <v>26</v>
      </c>
      <c r="S1693" s="27" t="s">
        <v>4710</v>
      </c>
      <c r="T1693" s="27"/>
      <c r="U1693" s="27"/>
      <c r="V1693" s="27" t="s">
        <v>4339</v>
      </c>
      <c r="W1693" s="27" t="s">
        <v>4340</v>
      </c>
      <c r="X1693" s="128"/>
      <c r="Y1693" s="73" t="e">
        <f>VLOOKUP(X1693,Choferes!$B$3:C404,2,FALSE)</f>
        <v>#N/A</v>
      </c>
      <c r="Z1693" s="73" t="s">
        <v>4711</v>
      </c>
    </row>
    <row r="1694" spans="1:26" hidden="1" x14ac:dyDescent="0.25">
      <c r="A1694" s="33">
        <v>39</v>
      </c>
      <c r="B1694" s="71" t="s">
        <v>29</v>
      </c>
      <c r="C1694" s="39" t="s">
        <v>4661</v>
      </c>
      <c r="D1694" s="106" t="s">
        <v>2202</v>
      </c>
      <c r="E1694" s="47">
        <v>45924</v>
      </c>
      <c r="F1694" s="31" t="str">
        <f>VLOOKUP($C1694,Carpetas!$C$5:$M$2666,2,FALSE)</f>
        <v>BRB109</v>
      </c>
      <c r="G1694" s="23" t="str">
        <f>VLOOKUP($C1694,Carpetas!$C$5:$M$2666,10,FALSE)</f>
        <v>153,66,54</v>
      </c>
      <c r="H1694" s="27" t="str">
        <f>VLOOKUP($C1694,Carpetas!$C$5:$M$2666,6,FALSE)</f>
        <v>Chabat</v>
      </c>
      <c r="I1694" s="220"/>
      <c r="J1694" s="47">
        <f>E1694+2</f>
        <v>45926</v>
      </c>
      <c r="K1694" s="72" t="str">
        <f>VLOOKUP($C1694,Carpetas!$C$5:$M$2666,5,FALSE)</f>
        <v>Chuy</v>
      </c>
      <c r="L1694" s="32"/>
      <c r="M1694" s="48">
        <f t="shared" si="115"/>
        <v>45927</v>
      </c>
      <c r="N1694" s="26">
        <f t="shared" si="116"/>
        <v>3</v>
      </c>
      <c r="O1694" s="27">
        <v>990</v>
      </c>
      <c r="P1694" s="27">
        <v>990</v>
      </c>
      <c r="Q1694" s="27">
        <v>28</v>
      </c>
      <c r="R1694" s="27">
        <v>26</v>
      </c>
      <c r="S1694" s="27" t="s">
        <v>4712</v>
      </c>
      <c r="T1694" s="27"/>
      <c r="U1694" s="27"/>
      <c r="V1694" s="27" t="s">
        <v>4713</v>
      </c>
      <c r="W1694" s="27" t="s">
        <v>4223</v>
      </c>
      <c r="X1694" s="128"/>
      <c r="Y1694" s="73" t="e">
        <f>VLOOKUP(X1694,Choferes!$B$3:C405,2,FALSE)</f>
        <v>#N/A</v>
      </c>
      <c r="Z1694" s="73" t="s">
        <v>4714</v>
      </c>
    </row>
    <row r="1695" spans="1:26" hidden="1" x14ac:dyDescent="0.25">
      <c r="A1695" s="33">
        <v>39</v>
      </c>
      <c r="B1695" s="71" t="s">
        <v>29</v>
      </c>
      <c r="C1695" s="39" t="s">
        <v>4647</v>
      </c>
      <c r="D1695" s="106" t="s">
        <v>803</v>
      </c>
      <c r="E1695" s="47">
        <v>45924</v>
      </c>
      <c r="F1695" s="31" t="str">
        <f>VLOOKUP($C1695,Carpetas!$C$5:$M$2666,2,FALSE)</f>
        <v>BRB106</v>
      </c>
      <c r="G1695" s="23" t="str">
        <f>VLOOKUP($C1695,Carpetas!$C$5:$M$2666,10,FALSE)</f>
        <v>153,66,53</v>
      </c>
      <c r="H1695" s="27" t="str">
        <f>VLOOKUP($C1695,Carpetas!$C$5:$M$2666,6,FALSE)</f>
        <v>FG</v>
      </c>
      <c r="I1695" s="220"/>
      <c r="J1695" s="47">
        <f>E1695+2</f>
        <v>45926</v>
      </c>
      <c r="K1695" s="72" t="str">
        <f>VLOOKUP($C1695,Carpetas!$C$5:$M$2666,5,FALSE)</f>
        <v>Rio Branco</v>
      </c>
      <c r="L1695" s="32"/>
      <c r="M1695" s="48">
        <f t="shared" si="115"/>
        <v>45927</v>
      </c>
      <c r="N1695" s="26">
        <f t="shared" si="116"/>
        <v>3</v>
      </c>
      <c r="O1695" s="27">
        <v>990</v>
      </c>
      <c r="P1695" s="27">
        <v>990</v>
      </c>
      <c r="Q1695" s="27">
        <v>28</v>
      </c>
      <c r="R1695" s="27">
        <v>26</v>
      </c>
      <c r="S1695" s="27" t="s">
        <v>4715</v>
      </c>
      <c r="T1695" s="27"/>
      <c r="U1695" s="27">
        <v>1142</v>
      </c>
      <c r="V1695" s="27" t="s">
        <v>4716</v>
      </c>
      <c r="W1695" s="27" t="s">
        <v>1631</v>
      </c>
      <c r="X1695" s="128" t="s">
        <v>3808</v>
      </c>
      <c r="Y1695" s="73" t="str">
        <f>VLOOKUP(X1695,Choferes!$B$3:C408,2,FALSE)</f>
        <v>+55 53 8412-9466</v>
      </c>
      <c r="Z1695" s="73" t="s">
        <v>4717</v>
      </c>
    </row>
    <row r="1696" spans="1:26" ht="30" hidden="1" x14ac:dyDescent="0.25">
      <c r="A1696" s="33">
        <v>39</v>
      </c>
      <c r="B1696" s="71" t="s">
        <v>29</v>
      </c>
      <c r="C1696" s="39" t="s">
        <v>4718</v>
      </c>
      <c r="D1696" s="106" t="s">
        <v>38</v>
      </c>
      <c r="E1696" s="47">
        <v>45924</v>
      </c>
      <c r="F1696" s="31" t="str">
        <f>VLOOKUP($C1696,Carpetas!$C$5:$M$2666,2,FALSE)</f>
        <v>BRE051</v>
      </c>
      <c r="G1696" s="23" t="str">
        <f>VLOOKUP($C1696,Carpetas!$C$5:$M$2666,10,FALSE)</f>
        <v>1537169/1537170</v>
      </c>
      <c r="H1696" s="27" t="str">
        <f>VLOOKUP($C1696,Carpetas!$C$5:$M$2666,6,FALSE)</f>
        <v>Zanini</v>
      </c>
      <c r="I1696" s="220">
        <f>VLOOKUP($C1696,Carpetas!$C$5:$M$2666,4,FALSE)</f>
        <v>0</v>
      </c>
      <c r="J1696" s="47">
        <f>E1696+2</f>
        <v>45926</v>
      </c>
      <c r="K1696" s="72" t="str">
        <f>VLOOKUP($C1696,Carpetas!$C$5:$M$2666,5,FALSE)</f>
        <v>Chuy</v>
      </c>
      <c r="L1696" s="32"/>
      <c r="M1696" s="48">
        <f t="shared" ref="M1696:M1727" si="117">J1696+1</f>
        <v>45927</v>
      </c>
      <c r="N1696" s="26">
        <f t="shared" si="116"/>
        <v>3</v>
      </c>
      <c r="O1696" s="27">
        <v>1008</v>
      </c>
      <c r="P1696" s="27">
        <v>1008</v>
      </c>
      <c r="Q1696" s="27">
        <v>26</v>
      </c>
      <c r="R1696" s="27">
        <v>25</v>
      </c>
      <c r="S1696" s="27" t="s">
        <v>4719</v>
      </c>
      <c r="T1696" s="27"/>
      <c r="U1696" s="27"/>
      <c r="V1696" s="27"/>
      <c r="W1696" s="27"/>
      <c r="X1696" s="128"/>
      <c r="Y1696" s="73" t="e">
        <f>VLOOKUP(X1696,Choferes!$B$3:C418,2,FALSE)</f>
        <v>#N/A</v>
      </c>
      <c r="Z1696" s="73" t="s">
        <v>4720</v>
      </c>
    </row>
    <row r="1697" spans="1:26" hidden="1" x14ac:dyDescent="0.25">
      <c r="A1697" s="33">
        <v>39</v>
      </c>
      <c r="B1697" s="71" t="s">
        <v>29</v>
      </c>
      <c r="C1697" s="39" t="s">
        <v>4721</v>
      </c>
      <c r="D1697" s="106" t="s">
        <v>2474</v>
      </c>
      <c r="E1697" s="47">
        <v>45925</v>
      </c>
      <c r="F1697" s="31" t="str">
        <f>VLOOKUP($C1697,Carpetas!$C$5:$M$2666,2,FALSE)</f>
        <v>BRB111</v>
      </c>
      <c r="G1697" s="23" t="str">
        <f>VLOOKUP($C1697,Carpetas!$C$5:$M$2666,10,FALSE)</f>
        <v>153.74.79</v>
      </c>
      <c r="H1697" s="27" t="str">
        <f>VLOOKUP($C1697,Carpetas!$C$5:$M$2666,6,FALSE)</f>
        <v xml:space="preserve">Silvio </v>
      </c>
      <c r="I1697" s="220"/>
      <c r="J1697" s="47">
        <v>45926</v>
      </c>
      <c r="K1697" s="72" t="str">
        <f>VLOOKUP($C1697,Carpetas!$C$5:$M$2666,5,FALSE)</f>
        <v>Rio Branco</v>
      </c>
      <c r="L1697" s="32"/>
      <c r="M1697" s="48">
        <f t="shared" si="117"/>
        <v>45927</v>
      </c>
      <c r="N1697" s="26">
        <f t="shared" si="116"/>
        <v>2</v>
      </c>
      <c r="O1697" s="27">
        <v>918</v>
      </c>
      <c r="P1697" s="27">
        <v>918</v>
      </c>
      <c r="Q1697" s="27">
        <v>26</v>
      </c>
      <c r="R1697" s="27">
        <v>25</v>
      </c>
      <c r="S1697" s="27" t="s">
        <v>4722</v>
      </c>
      <c r="T1697" s="27"/>
      <c r="U1697" s="27">
        <v>7539</v>
      </c>
      <c r="V1697" s="27" t="s">
        <v>1205</v>
      </c>
      <c r="W1697" s="27" t="s">
        <v>801</v>
      </c>
      <c r="X1697" s="128"/>
      <c r="Y1697" s="73" t="e">
        <f>VLOOKUP(X1697,Choferes!$B$3:C413,2,FALSE)</f>
        <v>#N/A</v>
      </c>
      <c r="Z1697" s="73" t="s">
        <v>4723</v>
      </c>
    </row>
    <row r="1698" spans="1:26" hidden="1" x14ac:dyDescent="0.25">
      <c r="A1698" s="33">
        <v>39</v>
      </c>
      <c r="B1698" s="71" t="s">
        <v>29</v>
      </c>
      <c r="C1698" s="39" t="s">
        <v>4724</v>
      </c>
      <c r="D1698" s="106" t="s">
        <v>48</v>
      </c>
      <c r="E1698" s="47">
        <v>45923</v>
      </c>
      <c r="F1698" s="31" t="str">
        <f>VLOOKUP($C1698,Carpetas!$C$5:$M$2666,2,FALSE)</f>
        <v>PYB034</v>
      </c>
      <c r="G1698" s="23" t="str">
        <f>VLOOKUP($C1698,Carpetas!$C$5:$M$2666,10,FALSE)</f>
        <v>153.75.12</v>
      </c>
      <c r="H1698" s="27">
        <f>VLOOKUP($C1698,Carpetas!$C$5:$M$2666,6,FALSE)</f>
        <v>0</v>
      </c>
      <c r="I1698" s="220"/>
      <c r="J1698" s="47">
        <v>45927</v>
      </c>
      <c r="K1698" s="72" t="str">
        <f>VLOOKUP($C1698,Carpetas!$C$5:$M$2666,5,FALSE)</f>
        <v>Salto</v>
      </c>
      <c r="L1698" s="32"/>
      <c r="M1698" s="48">
        <f t="shared" si="117"/>
        <v>45928</v>
      </c>
      <c r="N1698" s="26">
        <f t="shared" si="116"/>
        <v>5</v>
      </c>
      <c r="O1698" s="27">
        <v>980</v>
      </c>
      <c r="P1698" s="27">
        <v>990</v>
      </c>
      <c r="Q1698" s="27">
        <v>28</v>
      </c>
      <c r="R1698" s="27">
        <v>26</v>
      </c>
      <c r="S1698" s="27" t="s">
        <v>92</v>
      </c>
      <c r="T1698" s="27"/>
      <c r="U1698" s="27"/>
      <c r="V1698" s="27"/>
      <c r="W1698" s="27"/>
      <c r="X1698" s="128"/>
      <c r="Y1698" s="73" t="e">
        <f>VLOOKUP(X1698,Choferes!$B$3:C418,2,FALSE)</f>
        <v>#N/A</v>
      </c>
      <c r="Z1698" s="73" t="s">
        <v>4725</v>
      </c>
    </row>
    <row r="1699" spans="1:26" hidden="1" x14ac:dyDescent="0.25">
      <c r="A1699" s="33">
        <v>39</v>
      </c>
      <c r="B1699" s="71" t="s">
        <v>29</v>
      </c>
      <c r="C1699" s="39" t="s">
        <v>4726</v>
      </c>
      <c r="D1699" s="106" t="s">
        <v>38</v>
      </c>
      <c r="E1699" s="47">
        <v>45926</v>
      </c>
      <c r="F1699" s="31" t="str">
        <f>VLOOKUP($C1699,Carpetas!$C$5:$M$2666,2,FALSE)</f>
        <v>BRE054</v>
      </c>
      <c r="G1699" s="23">
        <f>VLOOKUP($C1699,Carpetas!$C$5:$M$2666,10,FALSE)</f>
        <v>1537476</v>
      </c>
      <c r="H1699" s="27" t="str">
        <f>VLOOKUP($C1699,Carpetas!$C$5:$M$2666,6,FALSE)</f>
        <v>Miltex</v>
      </c>
      <c r="I1699" s="220">
        <f>VLOOKUP($C1699,Carpetas!$C$5:$M$2666,4,FALSE)</f>
        <v>0</v>
      </c>
      <c r="J1699" s="47">
        <f>E1699+3</f>
        <v>45929</v>
      </c>
      <c r="K1699" s="72" t="str">
        <f>VLOOKUP($C1699,Carpetas!$C$5:$M$2666,5,FALSE)</f>
        <v>Rio Branco</v>
      </c>
      <c r="L1699" s="32"/>
      <c r="M1699" s="48">
        <f t="shared" si="117"/>
        <v>45930</v>
      </c>
      <c r="N1699" s="26">
        <f t="shared" si="116"/>
        <v>4</v>
      </c>
      <c r="O1699" s="27">
        <v>24500</v>
      </c>
      <c r="P1699" s="27"/>
      <c r="Q1699" s="27"/>
      <c r="R1699" s="27"/>
      <c r="S1699" s="27"/>
      <c r="T1699" s="27"/>
      <c r="U1699" s="27">
        <v>173</v>
      </c>
      <c r="V1699" s="27" t="s">
        <v>4727</v>
      </c>
      <c r="W1699" s="27" t="s">
        <v>4728</v>
      </c>
      <c r="X1699" s="128"/>
      <c r="Y1699" s="73" t="e">
        <f>VLOOKUP(X1699,Choferes!$B$3:C402,2,FALSE)</f>
        <v>#N/A</v>
      </c>
      <c r="Z1699" s="73" t="s">
        <v>2302</v>
      </c>
    </row>
    <row r="1700" spans="1:26" ht="30" hidden="1" x14ac:dyDescent="0.25">
      <c r="A1700" s="33">
        <v>39</v>
      </c>
      <c r="B1700" s="71" t="s">
        <v>29</v>
      </c>
      <c r="C1700" s="39" t="s">
        <v>4644</v>
      </c>
      <c r="D1700" s="106" t="s">
        <v>3124</v>
      </c>
      <c r="E1700" s="47">
        <v>45926</v>
      </c>
      <c r="F1700" s="31" t="str">
        <f>VLOOKUP($C1700,Carpetas!$C$5:$M$2666,2,FALSE)</f>
        <v>BRB104</v>
      </c>
      <c r="G1700" s="23" t="str">
        <f>VLOOKUP($C1700,Carpetas!$C$5:$M$2666,10,FALSE)</f>
        <v>153,66,31</v>
      </c>
      <c r="H1700" s="27" t="str">
        <f>VLOOKUP($C1700,Carpetas!$C$5:$M$2666,6,FALSE)</f>
        <v>Amaro</v>
      </c>
      <c r="I1700" s="220"/>
      <c r="J1700" s="47">
        <f>E1700+3</f>
        <v>45929</v>
      </c>
      <c r="K1700" s="72" t="str">
        <f>VLOOKUP($C1700,Carpetas!$C$5:$M$2666,5,FALSE)</f>
        <v>Rio Branco</v>
      </c>
      <c r="L1700" s="32"/>
      <c r="M1700" s="48">
        <f t="shared" si="117"/>
        <v>45930</v>
      </c>
      <c r="N1700" s="26">
        <f t="shared" si="116"/>
        <v>4</v>
      </c>
      <c r="O1700" s="27">
        <v>990</v>
      </c>
      <c r="P1700" s="27">
        <v>990</v>
      </c>
      <c r="Q1700" s="27">
        <v>28</v>
      </c>
      <c r="R1700" s="27">
        <v>26</v>
      </c>
      <c r="S1700" s="27" t="s">
        <v>4729</v>
      </c>
      <c r="T1700" s="27"/>
      <c r="U1700" s="27">
        <v>26956</v>
      </c>
      <c r="V1700" s="27" t="s">
        <v>4730</v>
      </c>
      <c r="W1700" s="27" t="s">
        <v>2785</v>
      </c>
      <c r="X1700" s="128" t="s">
        <v>4731</v>
      </c>
      <c r="Y1700" s="73" t="str">
        <f>VLOOKUP(X1700,Choferes!$B$3:C403,2,FALSE)</f>
        <v>+5553981336340</v>
      </c>
      <c r="Z1700" s="73" t="s">
        <v>4732</v>
      </c>
    </row>
    <row r="1701" spans="1:26" hidden="1" x14ac:dyDescent="0.25">
      <c r="A1701" s="33">
        <v>39</v>
      </c>
      <c r="B1701" s="71" t="s">
        <v>29</v>
      </c>
      <c r="C1701" s="39" t="s">
        <v>4703</v>
      </c>
      <c r="D1701" s="106" t="s">
        <v>803</v>
      </c>
      <c r="E1701" s="47">
        <v>45926</v>
      </c>
      <c r="F1701" s="31" t="str">
        <f>VLOOKUP($C1701,Carpetas!$C$5:$M$2666,2,FALSE)</f>
        <v>BRB110</v>
      </c>
      <c r="G1701" s="23">
        <f>VLOOKUP($C1701,Carpetas!$C$5:$M$2666,10,FALSE)</f>
        <v>1537456</v>
      </c>
      <c r="H1701" s="27" t="str">
        <f>VLOOKUP($C1701,Carpetas!$C$5:$M$2666,6,FALSE)</f>
        <v>FG</v>
      </c>
      <c r="I1701" s="220"/>
      <c r="J1701" s="47">
        <f>E1701+3</f>
        <v>45929</v>
      </c>
      <c r="K1701" s="72" t="str">
        <f>VLOOKUP($C1701,Carpetas!$C$5:$M$2666,5,FALSE)</f>
        <v>Rio Branco</v>
      </c>
      <c r="L1701" s="32"/>
      <c r="M1701" s="48">
        <f t="shared" si="117"/>
        <v>45930</v>
      </c>
      <c r="N1701" s="26">
        <f t="shared" si="116"/>
        <v>4</v>
      </c>
      <c r="O1701" s="27">
        <v>990</v>
      </c>
      <c r="P1701" s="27">
        <v>990</v>
      </c>
      <c r="Q1701" s="27">
        <v>28</v>
      </c>
      <c r="R1701" s="27">
        <v>26</v>
      </c>
      <c r="S1701" s="27" t="s">
        <v>4733</v>
      </c>
      <c r="T1701" s="27"/>
      <c r="U1701" s="27">
        <v>1144</v>
      </c>
      <c r="V1701" s="27" t="s">
        <v>4319</v>
      </c>
      <c r="W1701" s="27" t="s">
        <v>1523</v>
      </c>
      <c r="X1701" s="128" t="s">
        <v>4320</v>
      </c>
      <c r="Y1701" s="73" t="str">
        <f>VLOOKUP(X1701,Choferes!$B$3:C409,2,FALSE)</f>
        <v>+598 98 562 952</v>
      </c>
      <c r="Z1701" s="73" t="s">
        <v>4734</v>
      </c>
    </row>
    <row r="1702" spans="1:26" hidden="1" x14ac:dyDescent="0.25">
      <c r="A1702" s="33">
        <v>39</v>
      </c>
      <c r="B1702" s="71" t="s">
        <v>29</v>
      </c>
      <c r="C1702" s="39" t="s">
        <v>4703</v>
      </c>
      <c r="D1702" s="106" t="s">
        <v>2474</v>
      </c>
      <c r="E1702" s="47">
        <v>45926</v>
      </c>
      <c r="F1702" s="31" t="str">
        <f>VLOOKUP($C1702,Carpetas!$C$5:$M$2666,2,FALSE)</f>
        <v>BRB110</v>
      </c>
      <c r="G1702" s="23">
        <f>VLOOKUP($C1702,Carpetas!$C$5:$M$2666,10,FALSE)</f>
        <v>1537456</v>
      </c>
      <c r="H1702" s="27" t="str">
        <f>VLOOKUP($C1702,Carpetas!$C$5:$M$2666,6,FALSE)</f>
        <v>FG</v>
      </c>
      <c r="I1702" s="220"/>
      <c r="J1702" s="47">
        <f>E1702+3</f>
        <v>45929</v>
      </c>
      <c r="K1702" s="72" t="str">
        <f>VLOOKUP($C1702,Carpetas!$C$5:$M$2666,5,FALSE)</f>
        <v>Rio Branco</v>
      </c>
      <c r="L1702" s="32"/>
      <c r="M1702" s="48">
        <f t="shared" si="117"/>
        <v>45930</v>
      </c>
      <c r="N1702" s="26">
        <f t="shared" si="116"/>
        <v>4</v>
      </c>
      <c r="O1702" s="27">
        <v>990</v>
      </c>
      <c r="P1702" s="27">
        <v>990</v>
      </c>
      <c r="Q1702" s="27">
        <v>28</v>
      </c>
      <c r="R1702" s="27">
        <v>26</v>
      </c>
      <c r="S1702" s="27" t="s">
        <v>4735</v>
      </c>
      <c r="T1702" s="27"/>
      <c r="U1702" s="27">
        <v>1146</v>
      </c>
      <c r="V1702" s="27" t="s">
        <v>1430</v>
      </c>
      <c r="W1702" s="27" t="s">
        <v>1669</v>
      </c>
      <c r="X1702" s="128" t="s">
        <v>1923</v>
      </c>
      <c r="Y1702" s="73" t="str">
        <f>VLOOKUP(X1702,Choferes!$B$3:C412,2,FALSE)</f>
        <v>+5553999049426</v>
      </c>
      <c r="Z1702" s="73" t="s">
        <v>4734</v>
      </c>
    </row>
    <row r="1703" spans="1:26" hidden="1" x14ac:dyDescent="0.25">
      <c r="A1703" s="33">
        <v>39</v>
      </c>
      <c r="B1703" s="71" t="s">
        <v>29</v>
      </c>
      <c r="C1703" s="39" t="s">
        <v>4703</v>
      </c>
      <c r="D1703" s="106" t="s">
        <v>747</v>
      </c>
      <c r="E1703" s="47">
        <v>45926</v>
      </c>
      <c r="F1703" s="31" t="str">
        <f>VLOOKUP($C1703,Carpetas!$C$5:$M$2666,2,FALSE)</f>
        <v>BRB110</v>
      </c>
      <c r="G1703" s="23">
        <f>VLOOKUP($C1703,Carpetas!$C$5:$M$2666,10,FALSE)</f>
        <v>1537456</v>
      </c>
      <c r="H1703" s="27" t="str">
        <f>VLOOKUP($C1703,Carpetas!$C$5:$M$2666,6,FALSE)</f>
        <v>FG</v>
      </c>
      <c r="I1703" s="220"/>
      <c r="J1703" s="47">
        <f>E1703+3</f>
        <v>45929</v>
      </c>
      <c r="K1703" s="72" t="str">
        <f>VLOOKUP($C1703,Carpetas!$C$5:$M$2666,5,FALSE)</f>
        <v>Rio Branco</v>
      </c>
      <c r="L1703" s="32"/>
      <c r="M1703" s="48">
        <f t="shared" si="117"/>
        <v>45930</v>
      </c>
      <c r="N1703" s="26">
        <f t="shared" si="116"/>
        <v>4</v>
      </c>
      <c r="O1703" s="27">
        <v>990</v>
      </c>
      <c r="P1703" s="27">
        <v>990</v>
      </c>
      <c r="Q1703" s="27">
        <v>28</v>
      </c>
      <c r="R1703" s="27">
        <v>26</v>
      </c>
      <c r="S1703" s="27" t="s">
        <v>4736</v>
      </c>
      <c r="T1703" s="27"/>
      <c r="U1703" s="27">
        <v>1147</v>
      </c>
      <c r="V1703" s="27" t="s">
        <v>1636</v>
      </c>
      <c r="W1703" s="27" t="s">
        <v>1736</v>
      </c>
      <c r="X1703" s="128" t="s">
        <v>1413</v>
      </c>
      <c r="Y1703" s="73" t="str">
        <f>VLOOKUP(X1703,Choferes!$B$3:C414,2,FALSE)</f>
        <v>+59899406679</v>
      </c>
      <c r="Z1703" s="73" t="s">
        <v>4734</v>
      </c>
    </row>
    <row r="1704" spans="1:26" hidden="1" x14ac:dyDescent="0.25">
      <c r="A1704" s="33">
        <v>39</v>
      </c>
      <c r="B1704" s="71" t="s">
        <v>29</v>
      </c>
      <c r="C1704" s="39" t="s">
        <v>4703</v>
      </c>
      <c r="D1704" s="106" t="s">
        <v>2474</v>
      </c>
      <c r="E1704" s="47">
        <v>45927</v>
      </c>
      <c r="F1704" s="31" t="str">
        <f>VLOOKUP($C1704,Carpetas!$C$5:$M$2666,2,FALSE)</f>
        <v>BRB110</v>
      </c>
      <c r="G1704" s="23">
        <f>VLOOKUP($C1704,Carpetas!$C$5:$M$2666,10,FALSE)</f>
        <v>1537456</v>
      </c>
      <c r="H1704" s="27" t="str">
        <f>VLOOKUP($C1704,Carpetas!$C$5:$M$2666,6,FALSE)</f>
        <v>FG</v>
      </c>
      <c r="I1704" s="220"/>
      <c r="J1704" s="47">
        <f>E1704+2</f>
        <v>45929</v>
      </c>
      <c r="K1704" s="72" t="str">
        <f>VLOOKUP($C1704,Carpetas!$C$5:$M$2666,5,FALSE)</f>
        <v>Rio Branco</v>
      </c>
      <c r="L1704" s="32"/>
      <c r="M1704" s="48">
        <f t="shared" si="117"/>
        <v>45930</v>
      </c>
      <c r="N1704" s="26">
        <f t="shared" si="116"/>
        <v>3</v>
      </c>
      <c r="O1704" s="27">
        <v>990</v>
      </c>
      <c r="P1704" s="27">
        <v>991</v>
      </c>
      <c r="Q1704" s="27">
        <v>28</v>
      </c>
      <c r="R1704" s="27">
        <v>25</v>
      </c>
      <c r="S1704" s="27" t="s">
        <v>4737</v>
      </c>
      <c r="T1704" s="27"/>
      <c r="U1704" s="27">
        <v>1148</v>
      </c>
      <c r="V1704" s="27" t="s">
        <v>3572</v>
      </c>
      <c r="W1704" s="27" t="s">
        <v>1723</v>
      </c>
      <c r="X1704" s="128" t="s">
        <v>1495</v>
      </c>
      <c r="Y1704" s="73" t="str">
        <f>VLOOKUP(X1704,Choferes!$B$3:C413,2,FALSE)</f>
        <v>+5553984382803</v>
      </c>
      <c r="Z1704" s="73" t="s">
        <v>4738</v>
      </c>
    </row>
    <row r="1705" spans="1:26" hidden="1" x14ac:dyDescent="0.25">
      <c r="A1705" s="33">
        <v>39</v>
      </c>
      <c r="B1705" s="71" t="s">
        <v>29</v>
      </c>
      <c r="C1705" s="39" t="s">
        <v>4703</v>
      </c>
      <c r="D1705" s="106" t="s">
        <v>803</v>
      </c>
      <c r="E1705" s="47">
        <v>45927</v>
      </c>
      <c r="F1705" s="31" t="str">
        <f>VLOOKUP($C1705,Carpetas!$C$5:$M$2666,2,FALSE)</f>
        <v>BRB110</v>
      </c>
      <c r="G1705" s="23">
        <f>VLOOKUP($C1705,Carpetas!$C$5:$M$2666,10,FALSE)</f>
        <v>1537456</v>
      </c>
      <c r="H1705" s="27" t="str">
        <f>VLOOKUP($C1705,Carpetas!$C$5:$M$2666,6,FALSE)</f>
        <v>FG</v>
      </c>
      <c r="I1705" s="220"/>
      <c r="J1705" s="47">
        <f>E1705+2</f>
        <v>45929</v>
      </c>
      <c r="K1705" s="72" t="str">
        <f>VLOOKUP($C1705,Carpetas!$C$5:$M$2666,5,FALSE)</f>
        <v>Rio Branco</v>
      </c>
      <c r="L1705" s="32"/>
      <c r="M1705" s="48">
        <f t="shared" si="117"/>
        <v>45930</v>
      </c>
      <c r="N1705" s="26">
        <f t="shared" si="116"/>
        <v>3</v>
      </c>
      <c r="O1705" s="27">
        <v>990</v>
      </c>
      <c r="P1705" s="27">
        <v>990</v>
      </c>
      <c r="Q1705" s="27">
        <v>28</v>
      </c>
      <c r="R1705" s="27">
        <v>26</v>
      </c>
      <c r="S1705" s="27" t="s">
        <v>4739</v>
      </c>
      <c r="T1705" s="27"/>
      <c r="U1705" s="27">
        <v>1145</v>
      </c>
      <c r="V1705" s="27" t="s">
        <v>1042</v>
      </c>
      <c r="W1705" s="27" t="s">
        <v>3818</v>
      </c>
      <c r="X1705" s="128" t="s">
        <v>1623</v>
      </c>
      <c r="Y1705" s="73" t="str">
        <f>VLOOKUP(X1705,Choferes!$B$3:C410,2,FALSE)</f>
        <v>+5553991254560</v>
      </c>
      <c r="Z1705" s="73" t="s">
        <v>4734</v>
      </c>
    </row>
    <row r="1706" spans="1:26" hidden="1" x14ac:dyDescent="0.25">
      <c r="A1706" s="33">
        <v>39</v>
      </c>
      <c r="B1706" s="71" t="s">
        <v>29</v>
      </c>
      <c r="C1706" s="39" t="s">
        <v>4740</v>
      </c>
      <c r="D1706" s="106" t="s">
        <v>2202</v>
      </c>
      <c r="E1706" s="47">
        <v>45926</v>
      </c>
      <c r="F1706" s="31" t="str">
        <f>VLOOKUP($C1706,Carpetas!$C$5:$M$2666,2,FALSE)</f>
        <v>BRB113</v>
      </c>
      <c r="G1706" s="23" t="str">
        <f>VLOOKUP($C1706,Carpetas!$C$5:$M$2666,10,FALSE)</f>
        <v>153.75.62</v>
      </c>
      <c r="H1706" s="27" t="str">
        <f>VLOOKUP($C1706,Carpetas!$C$5:$M$2666,6,FALSE)</f>
        <v>Chabat</v>
      </c>
      <c r="I1706" s="220"/>
      <c r="J1706" s="47">
        <v>45930</v>
      </c>
      <c r="K1706" s="72" t="str">
        <f>VLOOKUP($C1706,Carpetas!$C$5:$M$2666,5,FALSE)</f>
        <v>Chuy</v>
      </c>
      <c r="L1706" s="32"/>
      <c r="M1706" s="48">
        <f t="shared" si="117"/>
        <v>45931</v>
      </c>
      <c r="N1706" s="26">
        <f t="shared" si="116"/>
        <v>5</v>
      </c>
      <c r="O1706" s="27">
        <v>990</v>
      </c>
      <c r="P1706" s="27">
        <v>991</v>
      </c>
      <c r="Q1706" s="27">
        <v>28</v>
      </c>
      <c r="R1706" s="27">
        <v>26</v>
      </c>
      <c r="S1706" s="27" t="s">
        <v>4741</v>
      </c>
      <c r="T1706" s="27"/>
      <c r="U1706" s="27"/>
      <c r="V1706" s="27" t="s">
        <v>4608</v>
      </c>
      <c r="W1706" s="27" t="s">
        <v>4283</v>
      </c>
      <c r="X1706" s="128"/>
      <c r="Y1706" s="73" t="e">
        <f>VLOOKUP(X1706,Choferes!$B$3:C406,2,FALSE)</f>
        <v>#N/A</v>
      </c>
      <c r="Z1706" s="73" t="s">
        <v>4742</v>
      </c>
    </row>
    <row r="1707" spans="1:26" hidden="1" x14ac:dyDescent="0.25">
      <c r="A1707" s="33">
        <v>39</v>
      </c>
      <c r="B1707" s="71" t="s">
        <v>29</v>
      </c>
      <c r="C1707" s="39" t="s">
        <v>4743</v>
      </c>
      <c r="D1707" s="106" t="s">
        <v>1757</v>
      </c>
      <c r="E1707" s="47">
        <v>45925</v>
      </c>
      <c r="F1707" s="31" t="str">
        <f>VLOOKUP($C1707,Carpetas!$C$5:$M$2666,2,FALSE)</f>
        <v>BRB112</v>
      </c>
      <c r="G1707" s="23" t="str">
        <f>VLOOKUP($C1707,Carpetas!$C$5:$M$2666,10,FALSE)</f>
        <v>153.71.62</v>
      </c>
      <c r="H1707" s="27" t="str">
        <f>VLOOKUP($C1707,Carpetas!$C$5:$M$2666,6,FALSE)</f>
        <v>Gral</v>
      </c>
      <c r="I1707" s="220"/>
      <c r="J1707" s="47">
        <f>E1707+5</f>
        <v>45930</v>
      </c>
      <c r="K1707" s="72" t="str">
        <f>VLOOKUP($C1707,Carpetas!$C$5:$M$2666,5,FALSE)</f>
        <v>Rio Branco</v>
      </c>
      <c r="L1707" s="32"/>
      <c r="M1707" s="48">
        <f t="shared" si="117"/>
        <v>45931</v>
      </c>
      <c r="N1707" s="26">
        <f t="shared" si="116"/>
        <v>6</v>
      </c>
      <c r="O1707" s="27">
        <v>936</v>
      </c>
      <c r="P1707" s="27">
        <v>936</v>
      </c>
      <c r="Q1707" s="27">
        <v>26</v>
      </c>
      <c r="R1707" s="27">
        <v>25</v>
      </c>
      <c r="S1707" s="27" t="s">
        <v>4744</v>
      </c>
      <c r="T1707" s="27"/>
      <c r="U1707" s="27">
        <v>7678</v>
      </c>
      <c r="V1707" s="27" t="s">
        <v>4745</v>
      </c>
      <c r="W1707" s="27" t="s">
        <v>4746</v>
      </c>
      <c r="X1707" s="128"/>
      <c r="Y1707" s="73" t="e">
        <f>VLOOKUP(X1707,Choferes!$B$3:C415,2,FALSE)</f>
        <v>#N/A</v>
      </c>
      <c r="Z1707" s="73" t="s">
        <v>4747</v>
      </c>
    </row>
    <row r="1708" spans="1:26" hidden="1" x14ac:dyDescent="0.25">
      <c r="A1708" s="33">
        <v>40</v>
      </c>
      <c r="B1708" s="71" t="s">
        <v>29</v>
      </c>
      <c r="C1708" s="39" t="s">
        <v>4703</v>
      </c>
      <c r="D1708" s="106" t="s">
        <v>2202</v>
      </c>
      <c r="E1708" s="47">
        <v>45929</v>
      </c>
      <c r="F1708" s="31" t="str">
        <f>VLOOKUP($C1708,Carpetas!$C$5:$M$2666,2,FALSE)</f>
        <v>BRB110</v>
      </c>
      <c r="G1708" s="23">
        <f>VLOOKUP($C1708,Carpetas!$C$5:$M$2666,10,FALSE)</f>
        <v>1537456</v>
      </c>
      <c r="H1708" s="27" t="str">
        <f>VLOOKUP($C1708,Carpetas!$C$5:$M$2666,6,FALSE)</f>
        <v>FG</v>
      </c>
      <c r="I1708" s="220"/>
      <c r="J1708" s="47">
        <f>E1708+2</f>
        <v>45931</v>
      </c>
      <c r="K1708" s="72" t="str">
        <f>VLOOKUP($C1708,Carpetas!$C$5:$M$2666,5,FALSE)</f>
        <v>Rio Branco</v>
      </c>
      <c r="L1708" s="32"/>
      <c r="M1708" s="48">
        <f t="shared" si="117"/>
        <v>45932</v>
      </c>
      <c r="N1708" s="26">
        <f t="shared" si="116"/>
        <v>3</v>
      </c>
      <c r="O1708" s="27">
        <v>990</v>
      </c>
      <c r="P1708" s="27">
        <v>990</v>
      </c>
      <c r="Q1708" s="27">
        <v>28</v>
      </c>
      <c r="R1708" s="27">
        <v>26</v>
      </c>
      <c r="S1708" s="27" t="s">
        <v>4748</v>
      </c>
      <c r="T1708" s="27"/>
      <c r="U1708" s="27">
        <v>1155</v>
      </c>
      <c r="V1708" s="27" t="s">
        <v>1956</v>
      </c>
      <c r="W1708" s="27" t="s">
        <v>1957</v>
      </c>
      <c r="X1708" s="128" t="s">
        <v>1520</v>
      </c>
      <c r="Y1708" s="73" t="str">
        <f>VLOOKUP(X1708,Choferes!$B$3:C405,2,FALSE)</f>
        <v>+5553999595710</v>
      </c>
      <c r="Z1708" s="73" t="s">
        <v>4749</v>
      </c>
    </row>
    <row r="1709" spans="1:26" hidden="1" x14ac:dyDescent="0.25">
      <c r="A1709" s="33">
        <v>39</v>
      </c>
      <c r="B1709" s="71" t="s">
        <v>29</v>
      </c>
      <c r="C1709" s="39" t="s">
        <v>4750</v>
      </c>
      <c r="D1709" s="106" t="s">
        <v>38</v>
      </c>
      <c r="E1709" s="47">
        <v>45927</v>
      </c>
      <c r="F1709" s="31" t="str">
        <f>VLOOKUP($C1709,Carpetas!$C$5:$M$2666,2,FALSE)</f>
        <v>BRE053</v>
      </c>
      <c r="G1709" s="23" t="str">
        <f>VLOOKUP($C1709,Carpetas!$C$5:$M$2666,10,FALSE)</f>
        <v>1537061 / 1537276</v>
      </c>
      <c r="H1709" s="27" t="str">
        <f>VLOOKUP($C1709,Carpetas!$C$5:$M$2666,6,FALSE)</f>
        <v>Zanini</v>
      </c>
      <c r="I1709" s="220">
        <f>VLOOKUP($C1709,Carpetas!$C$5:$M$2666,4,FALSE)</f>
        <v>0</v>
      </c>
      <c r="J1709" s="47">
        <f>E1709+4</f>
        <v>45931</v>
      </c>
      <c r="K1709" s="72" t="str">
        <f>VLOOKUP($C1709,Carpetas!$C$5:$M$2666,5,FALSE)</f>
        <v>Rio Branco</v>
      </c>
      <c r="L1709" s="32"/>
      <c r="M1709" s="48">
        <f t="shared" si="117"/>
        <v>45932</v>
      </c>
      <c r="N1709" s="26">
        <f t="shared" si="116"/>
        <v>5</v>
      </c>
      <c r="O1709" s="27"/>
      <c r="P1709" s="27"/>
      <c r="Q1709" s="27"/>
      <c r="R1709" s="27"/>
      <c r="S1709" s="27"/>
      <c r="T1709" s="27"/>
      <c r="U1709" s="27">
        <v>5536</v>
      </c>
      <c r="V1709" s="27" t="s">
        <v>80</v>
      </c>
      <c r="W1709" s="27" t="s">
        <v>81</v>
      </c>
      <c r="X1709" s="128" t="s">
        <v>4751</v>
      </c>
      <c r="Y1709" s="73" t="str">
        <f>VLOOKUP(X1709,Choferes!$B$3:C417,2,FALSE)</f>
        <v>+5555996399356</v>
      </c>
      <c r="Z1709" s="73" t="s">
        <v>4752</v>
      </c>
    </row>
    <row r="1710" spans="1:26" hidden="1" x14ac:dyDescent="0.25">
      <c r="A1710" s="33">
        <v>40</v>
      </c>
      <c r="B1710" s="71" t="s">
        <v>29</v>
      </c>
      <c r="C1710" s="39" t="s">
        <v>4753</v>
      </c>
      <c r="D1710" s="106" t="s">
        <v>747</v>
      </c>
      <c r="E1710" s="47">
        <v>45930</v>
      </c>
      <c r="F1710" s="31" t="str">
        <f>VLOOKUP($C1710,Carpetas!$C$5:$M$2666,2,FALSE)</f>
        <v>BRB115</v>
      </c>
      <c r="G1710" s="23">
        <f>VLOOKUP($C1710,Carpetas!$C$5:$M$2666,10,FALSE)</f>
        <v>1537622</v>
      </c>
      <c r="H1710" s="27" t="str">
        <f>VLOOKUP($C1710,Carpetas!$C$5:$M$2666,6,FALSE)</f>
        <v>FG</v>
      </c>
      <c r="I1710" s="220"/>
      <c r="J1710" s="47">
        <f>E1710+1</f>
        <v>45931</v>
      </c>
      <c r="K1710" s="72" t="str">
        <f>VLOOKUP($C1710,Carpetas!$C$5:$M$2666,5,FALSE)</f>
        <v>Rio Branco</v>
      </c>
      <c r="L1710" s="32"/>
      <c r="M1710" s="48">
        <f t="shared" si="117"/>
        <v>45932</v>
      </c>
      <c r="N1710" s="26">
        <f t="shared" si="116"/>
        <v>2</v>
      </c>
      <c r="O1710" s="27">
        <v>990</v>
      </c>
      <c r="P1710" s="27">
        <v>991</v>
      </c>
      <c r="Q1710" s="27">
        <v>28</v>
      </c>
      <c r="R1710" s="27">
        <v>26</v>
      </c>
      <c r="S1710" s="27" t="s">
        <v>4754</v>
      </c>
      <c r="T1710" s="27"/>
      <c r="U1710" s="27">
        <v>1156</v>
      </c>
      <c r="V1710" s="27" t="s">
        <v>4093</v>
      </c>
      <c r="W1710" s="27" t="s">
        <v>4094</v>
      </c>
      <c r="X1710" s="128" t="s">
        <v>4095</v>
      </c>
      <c r="Y1710" s="73" t="str">
        <f>VLOOKUP(X1710,Choferes!$B$3:C406,2,FALSE)</f>
        <v>+55 53 8474-9701</v>
      </c>
      <c r="Z1710" s="73" t="s">
        <v>4755</v>
      </c>
    </row>
    <row r="1711" spans="1:26" hidden="1" x14ac:dyDescent="0.25">
      <c r="A1711" s="33">
        <v>39</v>
      </c>
      <c r="B1711" s="71" t="s">
        <v>29</v>
      </c>
      <c r="C1711" s="39" t="s">
        <v>4756</v>
      </c>
      <c r="D1711" s="106" t="s">
        <v>38</v>
      </c>
      <c r="E1711" s="47">
        <v>45925</v>
      </c>
      <c r="F1711" s="31" t="str">
        <f>VLOOKUP($C1711,Carpetas!$C$5:$M$2666,2,FALSE)</f>
        <v>BRE055</v>
      </c>
      <c r="G1711" s="23" t="str">
        <f>VLOOKUP($C1711,Carpetas!$C$5:$M$2666,10,FALSE)</f>
        <v>153.74.58</v>
      </c>
      <c r="H1711" s="27" t="str">
        <f>VLOOKUP($C1711,Carpetas!$C$5:$M$2666,6,FALSE)</f>
        <v xml:space="preserve">Silvio </v>
      </c>
      <c r="I1711" s="220">
        <f>VLOOKUP($C1711,Carpetas!$C$5:$M$2666,4,FALSE)</f>
        <v>0</v>
      </c>
      <c r="J1711" s="47">
        <v>45932</v>
      </c>
      <c r="K1711" s="72" t="str">
        <f>VLOOKUP($C1711,Carpetas!$C$5:$M$2666,5,FALSE)</f>
        <v>Chuy</v>
      </c>
      <c r="L1711" s="32"/>
      <c r="M1711" s="48">
        <f t="shared" si="117"/>
        <v>45933</v>
      </c>
      <c r="N1711" s="26">
        <f t="shared" si="116"/>
        <v>8</v>
      </c>
      <c r="O1711" s="27">
        <v>1560</v>
      </c>
      <c r="P1711" s="27">
        <v>1560</v>
      </c>
      <c r="Q1711" s="27">
        <v>26</v>
      </c>
      <c r="R1711" s="27">
        <v>13</v>
      </c>
      <c r="S1711" s="27"/>
      <c r="T1711" s="27"/>
      <c r="U1711" s="27"/>
      <c r="V1711" s="27" t="s">
        <v>4757</v>
      </c>
      <c r="W1711" s="27"/>
      <c r="X1711" s="128"/>
      <c r="Y1711" s="73" t="e">
        <f>VLOOKUP(X1711,Choferes!$B$3:C419,2,FALSE)</f>
        <v>#N/A</v>
      </c>
      <c r="Z1711" s="73" t="s">
        <v>1134</v>
      </c>
    </row>
    <row r="1712" spans="1:26" hidden="1" x14ac:dyDescent="0.25">
      <c r="A1712" s="33">
        <v>39</v>
      </c>
      <c r="B1712" s="71" t="s">
        <v>29</v>
      </c>
      <c r="C1712" s="39" t="s">
        <v>4758</v>
      </c>
      <c r="D1712" s="106" t="s">
        <v>38</v>
      </c>
      <c r="E1712" s="47">
        <v>45925</v>
      </c>
      <c r="F1712" s="31" t="str">
        <f>VLOOKUP($C1712,Carpetas!$C$5:$M$2666,2,FALSE)</f>
        <v>BRE052</v>
      </c>
      <c r="G1712" s="23" t="str">
        <f>VLOOKUP($C1712,Carpetas!$C$5:$M$2666,10,FALSE)</f>
        <v>1537478 / 1537060</v>
      </c>
      <c r="H1712" s="27" t="str">
        <f>VLOOKUP($C1712,Carpetas!$C$5:$M$2666,6,FALSE)</f>
        <v>Marvel</v>
      </c>
      <c r="I1712" s="220">
        <f>VLOOKUP($C1712,Carpetas!$C$5:$M$2666,4,FALSE)</f>
        <v>0</v>
      </c>
      <c r="J1712" s="47">
        <f>E1712+7</f>
        <v>45932</v>
      </c>
      <c r="K1712" s="72" t="str">
        <f>VLOOKUP($C1712,Carpetas!$C$5:$M$2666,5,FALSE)</f>
        <v>Rio Branco</v>
      </c>
      <c r="L1712" s="32"/>
      <c r="M1712" s="48">
        <f t="shared" si="117"/>
        <v>45933</v>
      </c>
      <c r="N1712" s="26">
        <f t="shared" si="116"/>
        <v>8</v>
      </c>
      <c r="O1712" s="27">
        <v>504</v>
      </c>
      <c r="P1712" s="27">
        <v>3016</v>
      </c>
      <c r="Q1712" s="27">
        <v>26</v>
      </c>
      <c r="R1712" s="27">
        <v>24</v>
      </c>
      <c r="S1712" s="27"/>
      <c r="T1712" s="27"/>
      <c r="U1712" s="27">
        <v>11078</v>
      </c>
      <c r="V1712" s="27" t="s">
        <v>4759</v>
      </c>
      <c r="W1712" s="27" t="s">
        <v>4760</v>
      </c>
      <c r="X1712" s="128" t="s">
        <v>4761</v>
      </c>
      <c r="Y1712" s="73" t="str">
        <f>VLOOKUP(X1712,Choferes!$B$3:C416,2,FALSE)</f>
        <v>+5527998189742</v>
      </c>
      <c r="Z1712" s="73" t="s">
        <v>4762</v>
      </c>
    </row>
    <row r="1713" spans="1:26" hidden="1" x14ac:dyDescent="0.25">
      <c r="A1713" s="33">
        <v>39</v>
      </c>
      <c r="B1713" s="71" t="s">
        <v>29</v>
      </c>
      <c r="C1713" s="39" t="s">
        <v>4743</v>
      </c>
      <c r="D1713" s="106" t="s">
        <v>1757</v>
      </c>
      <c r="E1713" s="47">
        <v>45923</v>
      </c>
      <c r="F1713" s="31" t="str">
        <f>VLOOKUP($C1713,Carpetas!$C$5:$M$2666,2,FALSE)</f>
        <v>BRB112</v>
      </c>
      <c r="G1713" s="23" t="str">
        <f>VLOOKUP($C1713,Carpetas!$C$5:$M$2666,10,FALSE)</f>
        <v>153.71.62</v>
      </c>
      <c r="H1713" s="27" t="str">
        <f>VLOOKUP($C1713,Carpetas!$C$5:$M$2666,6,FALSE)</f>
        <v>Gral</v>
      </c>
      <c r="I1713" s="220"/>
      <c r="J1713" s="47">
        <v>45932</v>
      </c>
      <c r="K1713" s="72" t="str">
        <f>VLOOKUP($C1713,Carpetas!$C$5:$M$2666,5,FALSE)</f>
        <v>Rio Branco</v>
      </c>
      <c r="L1713" s="32"/>
      <c r="M1713" s="48">
        <f t="shared" si="117"/>
        <v>45933</v>
      </c>
      <c r="N1713" s="26">
        <f t="shared" si="116"/>
        <v>10</v>
      </c>
      <c r="O1713" s="27">
        <v>936</v>
      </c>
      <c r="P1713" s="27">
        <v>936</v>
      </c>
      <c r="Q1713" s="27">
        <v>26</v>
      </c>
      <c r="R1713" s="27">
        <v>25</v>
      </c>
      <c r="S1713" s="27" t="s">
        <v>4763</v>
      </c>
      <c r="T1713" s="27"/>
      <c r="U1713" s="27">
        <v>7677</v>
      </c>
      <c r="V1713" s="27" t="s">
        <v>4764</v>
      </c>
      <c r="W1713" s="27" t="s">
        <v>4765</v>
      </c>
      <c r="X1713" s="128"/>
      <c r="Y1713" s="73" t="e">
        <f>VLOOKUP(X1713,Choferes!$B$3:C415,2,FALSE)</f>
        <v>#N/A</v>
      </c>
      <c r="Z1713" s="73" t="s">
        <v>4766</v>
      </c>
    </row>
    <row r="1714" spans="1:26" hidden="1" x14ac:dyDescent="0.25">
      <c r="A1714" s="33">
        <v>40</v>
      </c>
      <c r="B1714" s="71" t="s">
        <v>29</v>
      </c>
      <c r="C1714" s="39" t="s">
        <v>4703</v>
      </c>
      <c r="D1714" s="106" t="s">
        <v>803</v>
      </c>
      <c r="E1714" s="47">
        <v>45930</v>
      </c>
      <c r="F1714" s="31" t="str">
        <f>VLOOKUP($C1714,Carpetas!$C$5:$M$2666,2,FALSE)</f>
        <v>BRB110</v>
      </c>
      <c r="G1714" s="23">
        <f>VLOOKUP($C1714,Carpetas!$C$5:$M$2666,10,FALSE)</f>
        <v>1537456</v>
      </c>
      <c r="H1714" s="27" t="str">
        <f>VLOOKUP($C1714,Carpetas!$C$5:$M$2666,6,FALSE)</f>
        <v>FG</v>
      </c>
      <c r="I1714" s="220"/>
      <c r="J1714" s="47">
        <f t="shared" ref="J1714:J1720" si="118">E1714+2</f>
        <v>45932</v>
      </c>
      <c r="K1714" s="72" t="str">
        <f>VLOOKUP($C1714,Carpetas!$C$5:$M$2666,5,FALSE)</f>
        <v>Rio Branco</v>
      </c>
      <c r="L1714" s="32"/>
      <c r="M1714" s="48">
        <f t="shared" si="117"/>
        <v>45933</v>
      </c>
      <c r="N1714" s="26">
        <f t="shared" si="116"/>
        <v>3</v>
      </c>
      <c r="O1714" s="27">
        <v>990</v>
      </c>
      <c r="P1714" s="27">
        <v>990</v>
      </c>
      <c r="Q1714" s="27">
        <v>28</v>
      </c>
      <c r="R1714" s="27">
        <v>26</v>
      </c>
      <c r="S1714" s="27" t="s">
        <v>4767</v>
      </c>
      <c r="T1714" s="27"/>
      <c r="U1714" s="27">
        <v>1158</v>
      </c>
      <c r="V1714" s="27" t="s">
        <v>3669</v>
      </c>
      <c r="W1714" s="27" t="s">
        <v>912</v>
      </c>
      <c r="X1714" s="128" t="s">
        <v>2336</v>
      </c>
      <c r="Y1714" s="73" t="str">
        <f>VLOOKUP(X1714,Choferes!$B$3:C404,2,FALSE)</f>
        <v>+5553984414060</v>
      </c>
      <c r="Z1714" s="73" t="s">
        <v>4768</v>
      </c>
    </row>
    <row r="1715" spans="1:26" hidden="1" x14ac:dyDescent="0.25">
      <c r="A1715" s="33">
        <v>40</v>
      </c>
      <c r="B1715" s="71" t="s">
        <v>29</v>
      </c>
      <c r="C1715" s="39" t="s">
        <v>4703</v>
      </c>
      <c r="D1715" s="106" t="s">
        <v>2474</v>
      </c>
      <c r="E1715" s="47">
        <v>45930</v>
      </c>
      <c r="F1715" s="31" t="str">
        <f>VLOOKUP($C1715,Carpetas!$C$5:$M$2666,2,FALSE)</f>
        <v>BRB110</v>
      </c>
      <c r="G1715" s="23">
        <f>VLOOKUP($C1715,Carpetas!$C$5:$M$2666,10,FALSE)</f>
        <v>1537456</v>
      </c>
      <c r="H1715" s="27" t="str">
        <f>VLOOKUP($C1715,Carpetas!$C$5:$M$2666,6,FALSE)</f>
        <v>FG</v>
      </c>
      <c r="I1715" s="220"/>
      <c r="J1715" s="47">
        <f t="shared" si="118"/>
        <v>45932</v>
      </c>
      <c r="K1715" s="72" t="str">
        <f>VLOOKUP($C1715,Carpetas!$C$5:$M$2666,5,FALSE)</f>
        <v>Rio Branco</v>
      </c>
      <c r="L1715" s="32"/>
      <c r="M1715" s="48">
        <f t="shared" si="117"/>
        <v>45933</v>
      </c>
      <c r="N1715" s="26">
        <f t="shared" si="116"/>
        <v>3</v>
      </c>
      <c r="O1715" s="27">
        <v>990</v>
      </c>
      <c r="P1715" s="27">
        <v>990</v>
      </c>
      <c r="Q1715" s="27">
        <v>28</v>
      </c>
      <c r="R1715" s="27">
        <v>26</v>
      </c>
      <c r="S1715" s="27" t="s">
        <v>4769</v>
      </c>
      <c r="T1715" s="27"/>
      <c r="U1715" s="27">
        <v>1157</v>
      </c>
      <c r="V1715" s="27" t="s">
        <v>911</v>
      </c>
      <c r="W1715" s="27" t="s">
        <v>1622</v>
      </c>
      <c r="X1715" s="128" t="s">
        <v>1397</v>
      </c>
      <c r="Y1715" s="73" t="str">
        <f>VLOOKUP(X1715,Choferes!$B$3:C405,2,FALSE)</f>
        <v>+5551996322594</v>
      </c>
      <c r="Z1715" s="73" t="s">
        <v>4770</v>
      </c>
    </row>
    <row r="1716" spans="1:26" hidden="1" x14ac:dyDescent="0.25">
      <c r="A1716" s="33">
        <v>40</v>
      </c>
      <c r="B1716" s="71" t="s">
        <v>29</v>
      </c>
      <c r="C1716" s="39" t="s">
        <v>4740</v>
      </c>
      <c r="D1716" s="106" t="s">
        <v>2202</v>
      </c>
      <c r="E1716" s="47">
        <v>45930</v>
      </c>
      <c r="F1716" s="31" t="str">
        <f>VLOOKUP($C1716,Carpetas!$C$5:$M$2666,2,FALSE)</f>
        <v>BRB113</v>
      </c>
      <c r="G1716" s="23" t="str">
        <f>VLOOKUP($C1716,Carpetas!$C$5:$M$2666,10,FALSE)</f>
        <v>153.75.62</v>
      </c>
      <c r="H1716" s="27" t="str">
        <f>VLOOKUP($C1716,Carpetas!$C$5:$M$2666,6,FALSE)</f>
        <v>Chabat</v>
      </c>
      <c r="I1716" s="220"/>
      <c r="J1716" s="47">
        <f t="shared" si="118"/>
        <v>45932</v>
      </c>
      <c r="K1716" s="72" t="str">
        <f>VLOOKUP($C1716,Carpetas!$C$5:$M$2666,5,FALSE)</f>
        <v>Chuy</v>
      </c>
      <c r="L1716" s="32"/>
      <c r="M1716" s="48">
        <f t="shared" si="117"/>
        <v>45933</v>
      </c>
      <c r="N1716" s="26">
        <f t="shared" si="116"/>
        <v>3</v>
      </c>
      <c r="O1716" s="27">
        <v>990</v>
      </c>
      <c r="P1716" s="27">
        <v>991</v>
      </c>
      <c r="Q1716" s="27">
        <v>28</v>
      </c>
      <c r="R1716" s="27">
        <v>26</v>
      </c>
      <c r="S1716" s="27" t="s">
        <v>4771</v>
      </c>
      <c r="T1716" s="27"/>
      <c r="U1716" s="27"/>
      <c r="V1716" s="27" t="s">
        <v>4276</v>
      </c>
      <c r="W1716" s="27" t="s">
        <v>4135</v>
      </c>
      <c r="X1716" s="128"/>
      <c r="Y1716" s="73" t="e">
        <f>VLOOKUP(X1716,Choferes!$B$3:C414,2,FALSE)</f>
        <v>#N/A</v>
      </c>
      <c r="Z1716" s="73" t="s">
        <v>4772</v>
      </c>
    </row>
    <row r="1717" spans="1:26" ht="98.25" hidden="1" customHeight="1" x14ac:dyDescent="0.25">
      <c r="A1717" s="33">
        <v>40</v>
      </c>
      <c r="B1717" s="71" t="s">
        <v>29</v>
      </c>
      <c r="C1717" s="39" t="s">
        <v>4753</v>
      </c>
      <c r="D1717" s="106" t="s">
        <v>803</v>
      </c>
      <c r="E1717" s="47">
        <v>45931</v>
      </c>
      <c r="F1717" s="31" t="str">
        <f>VLOOKUP($C1717,Carpetas!$C$5:$M$2666,2,FALSE)</f>
        <v>BRB115</v>
      </c>
      <c r="G1717" s="23">
        <f>VLOOKUP($C1717,Carpetas!$C$5:$M$2666,10,FALSE)</f>
        <v>1537622</v>
      </c>
      <c r="H1717" s="27" t="str">
        <f>VLOOKUP($C1717,Carpetas!$C$5:$M$2666,6,FALSE)</f>
        <v>FG</v>
      </c>
      <c r="I1717" s="220"/>
      <c r="J1717" s="47">
        <f t="shared" si="118"/>
        <v>45933</v>
      </c>
      <c r="K1717" s="72" t="str">
        <f>VLOOKUP($C1717,Carpetas!$C$5:$M$2666,5,FALSE)</f>
        <v>Rio Branco</v>
      </c>
      <c r="L1717" s="32"/>
      <c r="M1717" s="48">
        <f t="shared" si="117"/>
        <v>45934</v>
      </c>
      <c r="N1717" s="26">
        <f t="shared" si="116"/>
        <v>3</v>
      </c>
      <c r="O1717" s="27">
        <v>990</v>
      </c>
      <c r="P1717" s="27">
        <v>992</v>
      </c>
      <c r="Q1717" s="27">
        <v>28</v>
      </c>
      <c r="R1717" s="27">
        <v>26</v>
      </c>
      <c r="S1717" s="27" t="s">
        <v>4773</v>
      </c>
      <c r="T1717" s="27"/>
      <c r="U1717" s="27">
        <v>1161</v>
      </c>
      <c r="V1717" s="27" t="s">
        <v>4716</v>
      </c>
      <c r="W1717" s="27" t="s">
        <v>1631</v>
      </c>
      <c r="X1717" s="128" t="s">
        <v>3808</v>
      </c>
      <c r="Y1717" s="73" t="str">
        <f>VLOOKUP(X1717,Choferes!$B$3:C406,2,FALSE)</f>
        <v>+55 53 8412-9466</v>
      </c>
      <c r="Z1717" s="73" t="s">
        <v>4774</v>
      </c>
    </row>
    <row r="1718" spans="1:26" hidden="1" x14ac:dyDescent="0.25">
      <c r="A1718" s="33">
        <v>40</v>
      </c>
      <c r="B1718" s="71" t="s">
        <v>29</v>
      </c>
      <c r="C1718" s="39" t="s">
        <v>4753</v>
      </c>
      <c r="D1718" s="106" t="s">
        <v>110</v>
      </c>
      <c r="E1718" s="47">
        <v>45931</v>
      </c>
      <c r="F1718" s="31" t="str">
        <f>VLOOKUP($C1718,Carpetas!$C$5:$M$2666,2,FALSE)</f>
        <v>BRB115</v>
      </c>
      <c r="G1718" s="23">
        <f>VLOOKUP($C1718,Carpetas!$C$5:$M$2666,10,FALSE)</f>
        <v>1537622</v>
      </c>
      <c r="H1718" s="27" t="str">
        <f>VLOOKUP($C1718,Carpetas!$C$5:$M$2666,6,FALSE)</f>
        <v>FG</v>
      </c>
      <c r="I1718" s="220"/>
      <c r="J1718" s="47">
        <f t="shared" si="118"/>
        <v>45933</v>
      </c>
      <c r="K1718" s="72" t="str">
        <f>VLOOKUP($C1718,Carpetas!$C$5:$M$2666,5,FALSE)</f>
        <v>Rio Branco</v>
      </c>
      <c r="L1718" s="32"/>
      <c r="M1718" s="48">
        <f t="shared" si="117"/>
        <v>45934</v>
      </c>
      <c r="N1718" s="26">
        <f t="shared" si="116"/>
        <v>3</v>
      </c>
      <c r="O1718" s="27">
        <v>990</v>
      </c>
      <c r="P1718" s="27">
        <v>991</v>
      </c>
      <c r="Q1718" s="27">
        <v>28</v>
      </c>
      <c r="R1718" s="27">
        <v>26</v>
      </c>
      <c r="S1718" s="27" t="s">
        <v>4775</v>
      </c>
      <c r="T1718" s="27"/>
      <c r="U1718" s="27">
        <v>1160</v>
      </c>
      <c r="V1718" s="27" t="s">
        <v>3613</v>
      </c>
      <c r="W1718" s="27" t="s">
        <v>3614</v>
      </c>
      <c r="X1718" s="128" t="s">
        <v>3615</v>
      </c>
      <c r="Y1718" s="73" t="str">
        <f>VLOOKUP(X1718,Choferes!$B$3:C407,2,FALSE)</f>
        <v>+55 53 8122-3386</v>
      </c>
      <c r="Z1718" s="73" t="s">
        <v>4776</v>
      </c>
    </row>
    <row r="1719" spans="1:26" hidden="1" x14ac:dyDescent="0.25">
      <c r="A1719" s="33">
        <v>40</v>
      </c>
      <c r="B1719" s="71" t="s">
        <v>29</v>
      </c>
      <c r="C1719" s="39" t="s">
        <v>4753</v>
      </c>
      <c r="D1719" s="106" t="s">
        <v>747</v>
      </c>
      <c r="E1719" s="47">
        <v>45931</v>
      </c>
      <c r="F1719" s="31" t="str">
        <f>VLOOKUP($C1719,Carpetas!$C$5:$M$2666,2,FALSE)</f>
        <v>BRB115</v>
      </c>
      <c r="G1719" s="23">
        <f>VLOOKUP($C1719,Carpetas!$C$5:$M$2666,10,FALSE)</f>
        <v>1537622</v>
      </c>
      <c r="H1719" s="27" t="str">
        <f>VLOOKUP($C1719,Carpetas!$C$5:$M$2666,6,FALSE)</f>
        <v>FG</v>
      </c>
      <c r="I1719" s="220"/>
      <c r="J1719" s="47">
        <f t="shared" si="118"/>
        <v>45933</v>
      </c>
      <c r="K1719" s="72" t="str">
        <f>VLOOKUP($C1719,Carpetas!$C$5:$M$2666,5,FALSE)</f>
        <v>Rio Branco</v>
      </c>
      <c r="L1719" s="32"/>
      <c r="M1719" s="48">
        <f t="shared" si="117"/>
        <v>45934</v>
      </c>
      <c r="N1719" s="26">
        <f t="shared" si="116"/>
        <v>3</v>
      </c>
      <c r="O1719" s="27">
        <v>990</v>
      </c>
      <c r="P1719" s="27">
        <v>991</v>
      </c>
      <c r="Q1719" s="27">
        <v>28</v>
      </c>
      <c r="R1719" s="27">
        <v>26</v>
      </c>
      <c r="S1719" s="27" t="s">
        <v>4777</v>
      </c>
      <c r="T1719" s="27"/>
      <c r="U1719" s="27">
        <v>1159</v>
      </c>
      <c r="V1719" s="27" t="s">
        <v>3403</v>
      </c>
      <c r="W1719" s="27" t="s">
        <v>3404</v>
      </c>
      <c r="X1719" s="128" t="s">
        <v>1589</v>
      </c>
      <c r="Y1719" s="73" t="str">
        <f>VLOOKUP(X1719,Choferes!$B$3:C408,2,FALSE)</f>
        <v>+5551998970570</v>
      </c>
      <c r="Z1719" s="73" t="s">
        <v>4778</v>
      </c>
    </row>
    <row r="1720" spans="1:26" hidden="1" x14ac:dyDescent="0.25">
      <c r="A1720" s="33">
        <v>40</v>
      </c>
      <c r="B1720" s="71" t="s">
        <v>29</v>
      </c>
      <c r="C1720" s="39" t="s">
        <v>4721</v>
      </c>
      <c r="D1720" s="106" t="s">
        <v>2474</v>
      </c>
      <c r="E1720" s="47">
        <v>45931</v>
      </c>
      <c r="F1720" s="31" t="str">
        <f>VLOOKUP($C1720,Carpetas!$C$5:$M$2666,2,FALSE)</f>
        <v>BRB111</v>
      </c>
      <c r="G1720" s="23" t="str">
        <f>VLOOKUP($C1720,Carpetas!$C$5:$M$2666,10,FALSE)</f>
        <v>153.74.79</v>
      </c>
      <c r="H1720" s="27" t="str">
        <f>VLOOKUP($C1720,Carpetas!$C$5:$M$2666,6,FALSE)</f>
        <v xml:space="preserve">Silvio </v>
      </c>
      <c r="I1720" s="220"/>
      <c r="J1720" s="47">
        <f t="shared" si="118"/>
        <v>45933</v>
      </c>
      <c r="K1720" s="72" t="str">
        <f>VLOOKUP($C1720,Carpetas!$C$5:$M$2666,5,FALSE)</f>
        <v>Rio Branco</v>
      </c>
      <c r="L1720" s="32"/>
      <c r="M1720" s="48">
        <f t="shared" si="117"/>
        <v>45934</v>
      </c>
      <c r="N1720" s="26">
        <f t="shared" si="116"/>
        <v>3</v>
      </c>
      <c r="O1720" s="27">
        <v>918</v>
      </c>
      <c r="P1720" s="27">
        <v>918</v>
      </c>
      <c r="Q1720" s="27">
        <v>28</v>
      </c>
      <c r="R1720" s="27">
        <v>26</v>
      </c>
      <c r="S1720" s="27" t="s">
        <v>4779</v>
      </c>
      <c r="T1720" s="27"/>
      <c r="U1720" s="27">
        <v>7540</v>
      </c>
      <c r="V1720" s="27" t="s">
        <v>749</v>
      </c>
      <c r="W1720" s="27" t="s">
        <v>750</v>
      </c>
      <c r="X1720" s="128"/>
      <c r="Y1720" s="73" t="e">
        <f>VLOOKUP(X1720,Choferes!$B$3:C412,2,FALSE)</f>
        <v>#N/A</v>
      </c>
      <c r="Z1720" s="73" t="s">
        <v>4780</v>
      </c>
    </row>
    <row r="1721" spans="1:26" hidden="1" x14ac:dyDescent="0.25">
      <c r="A1721" s="33">
        <v>40</v>
      </c>
      <c r="B1721" s="71" t="s">
        <v>29</v>
      </c>
      <c r="C1721" s="39" t="s">
        <v>4781</v>
      </c>
      <c r="D1721" s="106" t="s">
        <v>1757</v>
      </c>
      <c r="E1721" s="47">
        <v>45930</v>
      </c>
      <c r="F1721" s="31" t="str">
        <f>VLOOKUP($C1721,Carpetas!$C$5:$M$2666,2,FALSE)</f>
        <v>BRB114</v>
      </c>
      <c r="G1721" s="23">
        <f>VLOOKUP($C1721,Carpetas!$C$5:$M$2666,10,FALSE)</f>
        <v>1537624</v>
      </c>
      <c r="H1721" s="27" t="str">
        <f>VLOOKUP($C1721,Carpetas!$C$5:$M$2666,6,FALSE)</f>
        <v>Gral</v>
      </c>
      <c r="I1721" s="220"/>
      <c r="J1721" s="47">
        <v>45936</v>
      </c>
      <c r="K1721" s="72" t="str">
        <f>VLOOKUP($C1721,Carpetas!$C$5:$M$2666,5,FALSE)</f>
        <v>Rio Branco</v>
      </c>
      <c r="L1721" s="32"/>
      <c r="M1721" s="48">
        <f t="shared" si="117"/>
        <v>45937</v>
      </c>
      <c r="N1721" s="26">
        <f t="shared" si="116"/>
        <v>7</v>
      </c>
      <c r="O1721" s="27">
        <v>936</v>
      </c>
      <c r="P1721" s="27">
        <v>936</v>
      </c>
      <c r="Q1721" s="27">
        <v>28</v>
      </c>
      <c r="R1721" s="27">
        <v>26</v>
      </c>
      <c r="S1721" s="27" t="s">
        <v>4782</v>
      </c>
      <c r="T1721" s="27"/>
      <c r="U1721" s="27">
        <v>7688</v>
      </c>
      <c r="V1721" s="27" t="s">
        <v>3480</v>
      </c>
      <c r="W1721" s="27" t="s">
        <v>4783</v>
      </c>
      <c r="X1721" s="128"/>
      <c r="Y1721" s="73" t="e">
        <f>VLOOKUP(X1721,Choferes!$B$3:C417,2,FALSE)</f>
        <v>#N/A</v>
      </c>
      <c r="Z1721" s="73" t="s">
        <v>4784</v>
      </c>
    </row>
    <row r="1722" spans="1:26" hidden="1" x14ac:dyDescent="0.25">
      <c r="A1722" s="33">
        <v>40</v>
      </c>
      <c r="B1722" s="71" t="s">
        <v>29</v>
      </c>
      <c r="C1722" s="39" t="s">
        <v>4753</v>
      </c>
      <c r="D1722" s="106" t="s">
        <v>803</v>
      </c>
      <c r="E1722" s="47">
        <v>45933</v>
      </c>
      <c r="F1722" s="31" t="str">
        <f>VLOOKUP($C1722,Carpetas!$C$5:$M$2666,2,FALSE)</f>
        <v>BRB115</v>
      </c>
      <c r="G1722" s="23">
        <f>VLOOKUP($C1722,Carpetas!$C$5:$M$2666,10,FALSE)</f>
        <v>1537622</v>
      </c>
      <c r="H1722" s="27" t="str">
        <f>VLOOKUP($C1722,Carpetas!$C$5:$M$2666,6,FALSE)</f>
        <v>FG</v>
      </c>
      <c r="I1722" s="220"/>
      <c r="J1722" s="47">
        <v>45936</v>
      </c>
      <c r="K1722" s="72" t="str">
        <f>VLOOKUP($C1722,Carpetas!$C$5:$M$2666,5,FALSE)</f>
        <v>Rio Branco</v>
      </c>
      <c r="L1722" s="32"/>
      <c r="M1722" s="48">
        <f t="shared" si="117"/>
        <v>45937</v>
      </c>
      <c r="N1722" s="26">
        <f t="shared" si="116"/>
        <v>4</v>
      </c>
      <c r="O1722" s="27">
        <v>990</v>
      </c>
      <c r="P1722" s="27">
        <v>990</v>
      </c>
      <c r="Q1722" s="27">
        <v>28</v>
      </c>
      <c r="R1722" s="27">
        <v>26</v>
      </c>
      <c r="S1722" s="27" t="s">
        <v>4785</v>
      </c>
      <c r="T1722" s="27"/>
      <c r="U1722" s="27">
        <v>1164</v>
      </c>
      <c r="V1722" s="27" t="s">
        <v>1617</v>
      </c>
      <c r="W1722" s="27" t="s">
        <v>1618</v>
      </c>
      <c r="X1722" s="128" t="s">
        <v>1619</v>
      </c>
      <c r="Y1722" s="73" t="str">
        <f>VLOOKUP(X1722,Choferes!$B$3:C409,2,FALSE)</f>
        <v>+5553984318842</v>
      </c>
      <c r="Z1722" s="73" t="s">
        <v>4786</v>
      </c>
    </row>
    <row r="1723" spans="1:26" ht="30" hidden="1" x14ac:dyDescent="0.25">
      <c r="A1723" s="33">
        <v>40</v>
      </c>
      <c r="B1723" s="71" t="s">
        <v>29</v>
      </c>
      <c r="C1723" s="39" t="s">
        <v>4753</v>
      </c>
      <c r="D1723" s="106" t="s">
        <v>249</v>
      </c>
      <c r="E1723" s="47">
        <v>45933</v>
      </c>
      <c r="F1723" s="31" t="str">
        <f>VLOOKUP($C1723,Carpetas!$C$5:$M$2666,2,FALSE)</f>
        <v>BRB115</v>
      </c>
      <c r="G1723" s="23">
        <f>VLOOKUP($C1723,Carpetas!$C$5:$M$2666,10,FALSE)</f>
        <v>1537622</v>
      </c>
      <c r="H1723" s="27" t="str">
        <f>VLOOKUP($C1723,Carpetas!$C$5:$M$2666,6,FALSE)</f>
        <v>FG</v>
      </c>
      <c r="I1723" s="220"/>
      <c r="J1723" s="47">
        <v>45936</v>
      </c>
      <c r="K1723" s="72" t="str">
        <f>VLOOKUP($C1723,Carpetas!$C$5:$M$2666,5,FALSE)</f>
        <v>Rio Branco</v>
      </c>
      <c r="L1723" s="32"/>
      <c r="M1723" s="48">
        <f t="shared" si="117"/>
        <v>45937</v>
      </c>
      <c r="N1723" s="26">
        <f t="shared" si="116"/>
        <v>4</v>
      </c>
      <c r="O1723" s="27">
        <v>990</v>
      </c>
      <c r="P1723" s="27">
        <v>990</v>
      </c>
      <c r="Q1723" s="27">
        <v>28</v>
      </c>
      <c r="R1723" s="27">
        <v>26</v>
      </c>
      <c r="S1723" s="27" t="s">
        <v>4787</v>
      </c>
      <c r="T1723" s="27"/>
      <c r="U1723" s="27">
        <v>1166</v>
      </c>
      <c r="V1723" s="27" t="s">
        <v>1636</v>
      </c>
      <c r="W1723" s="27" t="s">
        <v>1736</v>
      </c>
      <c r="X1723" s="128" t="s">
        <v>1413</v>
      </c>
      <c r="Y1723" s="73" t="str">
        <f>VLOOKUP(X1723,Choferes!$B$3:C410,2,FALSE)</f>
        <v>+59899406679</v>
      </c>
      <c r="Z1723" s="73" t="s">
        <v>4788</v>
      </c>
    </row>
    <row r="1724" spans="1:26" ht="30" hidden="1" x14ac:dyDescent="0.25">
      <c r="A1724" s="33">
        <v>40</v>
      </c>
      <c r="B1724" s="71" t="s">
        <v>29</v>
      </c>
      <c r="C1724" s="39" t="s">
        <v>4753</v>
      </c>
      <c r="D1724" s="106" t="s">
        <v>3124</v>
      </c>
      <c r="E1724" s="47">
        <v>45933</v>
      </c>
      <c r="F1724" s="31" t="str">
        <f>VLOOKUP($C1724,Carpetas!$C$5:$M$2666,2,FALSE)</f>
        <v>BRB115</v>
      </c>
      <c r="G1724" s="23">
        <f>VLOOKUP($C1724,Carpetas!$C$5:$M$2666,10,FALSE)</f>
        <v>1537622</v>
      </c>
      <c r="H1724" s="27" t="str">
        <f>VLOOKUP($C1724,Carpetas!$C$5:$M$2666,6,FALSE)</f>
        <v>FG</v>
      </c>
      <c r="I1724" s="220"/>
      <c r="J1724" s="47">
        <v>45936</v>
      </c>
      <c r="K1724" s="72" t="str">
        <f>VLOOKUP($C1724,Carpetas!$C$5:$M$2666,5,FALSE)</f>
        <v>Rio Branco</v>
      </c>
      <c r="L1724" s="32"/>
      <c r="M1724" s="48">
        <f t="shared" si="117"/>
        <v>45937</v>
      </c>
      <c r="N1724" s="26">
        <f t="shared" si="116"/>
        <v>4</v>
      </c>
      <c r="O1724" s="27">
        <v>990</v>
      </c>
      <c r="P1724" s="27">
        <v>978</v>
      </c>
      <c r="Q1724" s="27">
        <v>28</v>
      </c>
      <c r="R1724" s="27">
        <v>26</v>
      </c>
      <c r="S1724" s="27" t="s">
        <v>4789</v>
      </c>
      <c r="T1724" s="27"/>
      <c r="U1724" s="27">
        <v>1168</v>
      </c>
      <c r="V1724" s="27" t="s">
        <v>1430</v>
      </c>
      <c r="W1724" s="27" t="s">
        <v>1669</v>
      </c>
      <c r="X1724" s="128" t="s">
        <v>1923</v>
      </c>
      <c r="Y1724" s="73" t="str">
        <f>VLOOKUP(X1724,Choferes!$B$3:C411,2,FALSE)</f>
        <v>+5553999049426</v>
      </c>
      <c r="Z1724" s="73" t="s">
        <v>4790</v>
      </c>
    </row>
    <row r="1725" spans="1:26" ht="30" hidden="1" x14ac:dyDescent="0.25">
      <c r="A1725" s="33">
        <v>40</v>
      </c>
      <c r="B1725" s="71" t="s">
        <v>29</v>
      </c>
      <c r="C1725" s="39" t="s">
        <v>4740</v>
      </c>
      <c r="D1725" s="106" t="s">
        <v>2202</v>
      </c>
      <c r="E1725" s="47">
        <v>45933</v>
      </c>
      <c r="F1725" s="31" t="str">
        <f>VLOOKUP($C1725,Carpetas!$C$5:$M$2666,2,FALSE)</f>
        <v>BRB113</v>
      </c>
      <c r="G1725" s="23" t="str">
        <f>VLOOKUP($C1725,Carpetas!$C$5:$M$2666,10,FALSE)</f>
        <v>153.75.62</v>
      </c>
      <c r="H1725" s="27" t="str">
        <f>VLOOKUP($C1725,Carpetas!$C$5:$M$2666,6,FALSE)</f>
        <v>Chabat</v>
      </c>
      <c r="I1725" s="220"/>
      <c r="J1725" s="47">
        <v>45936</v>
      </c>
      <c r="K1725" s="72" t="str">
        <f>VLOOKUP($C1725,Carpetas!$C$5:$M$2666,5,FALSE)</f>
        <v>Chuy</v>
      </c>
      <c r="L1725" s="32"/>
      <c r="M1725" s="48">
        <f t="shared" si="117"/>
        <v>45937</v>
      </c>
      <c r="N1725" s="26">
        <f t="shared" si="116"/>
        <v>4</v>
      </c>
      <c r="O1725" s="27">
        <v>990</v>
      </c>
      <c r="P1725" s="27">
        <v>991</v>
      </c>
      <c r="Q1725" s="27">
        <v>28</v>
      </c>
      <c r="R1725" s="27">
        <v>26</v>
      </c>
      <c r="S1725" s="27" t="s">
        <v>4791</v>
      </c>
      <c r="T1725" s="27"/>
      <c r="U1725" s="27"/>
      <c r="V1725" s="27" t="s">
        <v>4339</v>
      </c>
      <c r="W1725" s="27" t="s">
        <v>4340</v>
      </c>
      <c r="X1725" s="128"/>
      <c r="Y1725" s="73" t="e">
        <f>VLOOKUP(X1725,Choferes!$B$3:C415,2,FALSE)</f>
        <v>#N/A</v>
      </c>
      <c r="Z1725" s="73" t="s">
        <v>4792</v>
      </c>
    </row>
    <row r="1726" spans="1:26" hidden="1" x14ac:dyDescent="0.25">
      <c r="A1726" s="33">
        <v>40</v>
      </c>
      <c r="B1726" s="71" t="s">
        <v>29</v>
      </c>
      <c r="C1726" s="39" t="s">
        <v>4740</v>
      </c>
      <c r="D1726" s="106" t="s">
        <v>2202</v>
      </c>
      <c r="E1726" s="47">
        <v>45933</v>
      </c>
      <c r="F1726" s="31" t="str">
        <f>VLOOKUP($C1726,Carpetas!$C$5:$M$2666,2,FALSE)</f>
        <v>BRB113</v>
      </c>
      <c r="G1726" s="23" t="str">
        <f>VLOOKUP($C1726,Carpetas!$C$5:$M$2666,10,FALSE)</f>
        <v>153.75.62</v>
      </c>
      <c r="H1726" s="27" t="str">
        <f>VLOOKUP($C1726,Carpetas!$C$5:$M$2666,6,FALSE)</f>
        <v>Chabat</v>
      </c>
      <c r="I1726" s="220"/>
      <c r="J1726" s="47">
        <v>45936</v>
      </c>
      <c r="K1726" s="72" t="str">
        <f>VLOOKUP($C1726,Carpetas!$C$5:$M$2666,5,FALSE)</f>
        <v>Chuy</v>
      </c>
      <c r="L1726" s="32"/>
      <c r="M1726" s="48">
        <f t="shared" si="117"/>
        <v>45937</v>
      </c>
      <c r="N1726" s="26">
        <f t="shared" si="116"/>
        <v>4</v>
      </c>
      <c r="O1726" s="27">
        <v>990</v>
      </c>
      <c r="P1726" s="27">
        <v>991</v>
      </c>
      <c r="Q1726" s="27">
        <v>28</v>
      </c>
      <c r="R1726" s="27">
        <v>26</v>
      </c>
      <c r="S1726" s="27" t="s">
        <v>4793</v>
      </c>
      <c r="T1726" s="27"/>
      <c r="U1726" s="27"/>
      <c r="V1726" s="27" t="s">
        <v>4794</v>
      </c>
      <c r="W1726" s="27" t="s">
        <v>4223</v>
      </c>
      <c r="X1726" s="128"/>
      <c r="Y1726" s="73" t="e">
        <f>VLOOKUP(X1726,Choferes!$B$3:C416,2,FALSE)</f>
        <v>#N/A</v>
      </c>
      <c r="Z1726" s="73" t="s">
        <v>4795</v>
      </c>
    </row>
    <row r="1727" spans="1:26" hidden="1" x14ac:dyDescent="0.25">
      <c r="A1727" s="33">
        <v>40</v>
      </c>
      <c r="B1727" s="71" t="s">
        <v>29</v>
      </c>
      <c r="C1727" s="39" t="s">
        <v>4753</v>
      </c>
      <c r="D1727" s="106" t="s">
        <v>803</v>
      </c>
      <c r="E1727" s="47">
        <v>45934</v>
      </c>
      <c r="F1727" s="31" t="str">
        <f>VLOOKUP($C1727,Carpetas!$C$5:$M$2666,2,FALSE)</f>
        <v>BRB115</v>
      </c>
      <c r="G1727" s="23">
        <f>VLOOKUP($C1727,Carpetas!$C$5:$M$2666,10,FALSE)</f>
        <v>1537622</v>
      </c>
      <c r="H1727" s="27" t="str">
        <f>VLOOKUP($C1727,Carpetas!$C$5:$M$2666,6,FALSE)</f>
        <v>FG</v>
      </c>
      <c r="I1727" s="220"/>
      <c r="J1727" s="47">
        <f>E1727+2</f>
        <v>45936</v>
      </c>
      <c r="K1727" s="72" t="str">
        <f>VLOOKUP($C1727,Carpetas!$C$5:$M$2666,5,FALSE)</f>
        <v>Rio Branco</v>
      </c>
      <c r="L1727" s="32"/>
      <c r="M1727" s="48">
        <f t="shared" si="117"/>
        <v>45937</v>
      </c>
      <c r="N1727" s="26">
        <f t="shared" si="116"/>
        <v>3</v>
      </c>
      <c r="O1727" s="27">
        <v>990</v>
      </c>
      <c r="P1727" s="27">
        <v>990</v>
      </c>
      <c r="Q1727" s="27">
        <v>28</v>
      </c>
      <c r="R1727" s="27">
        <v>26</v>
      </c>
      <c r="S1727" s="27" t="s">
        <v>4796</v>
      </c>
      <c r="T1727" s="27"/>
      <c r="U1727" s="27">
        <v>1167</v>
      </c>
      <c r="V1727" s="27" t="s">
        <v>1735</v>
      </c>
      <c r="W1727" s="27" t="s">
        <v>1681</v>
      </c>
      <c r="X1727" s="128" t="s">
        <v>1465</v>
      </c>
      <c r="Y1727" s="73" t="str">
        <f>VLOOKUP(X1727,Choferes!$B$3:C411,2,FALSE)</f>
        <v>+59893339027</v>
      </c>
      <c r="Z1727" s="73" t="s">
        <v>4786</v>
      </c>
    </row>
    <row r="1728" spans="1:26" ht="30" hidden="1" x14ac:dyDescent="0.25">
      <c r="A1728" s="33">
        <v>40</v>
      </c>
      <c r="B1728" s="71" t="s">
        <v>29</v>
      </c>
      <c r="C1728" s="39" t="s">
        <v>4797</v>
      </c>
      <c r="D1728" s="106" t="s">
        <v>747</v>
      </c>
      <c r="E1728" s="47">
        <v>45934</v>
      </c>
      <c r="F1728" s="31" t="str">
        <f>VLOOKUP($C1728,Carpetas!$C$5:$M$2666,2,FALSE)</f>
        <v>BRB116</v>
      </c>
      <c r="G1728" s="23" t="str">
        <f>VLOOKUP($C1728,Carpetas!$C$5:$M$2666,10,FALSE)</f>
        <v>153,76,23</v>
      </c>
      <c r="H1728" s="27" t="str">
        <f>VLOOKUP($C1728,Carpetas!$C$5:$M$2666,6,FALSE)</f>
        <v>FG</v>
      </c>
      <c r="I1728" s="220"/>
      <c r="J1728" s="47">
        <f>E1728+2</f>
        <v>45936</v>
      </c>
      <c r="K1728" s="72" t="str">
        <f>VLOOKUP($C1728,Carpetas!$C$5:$M$2666,5,FALSE)</f>
        <v>Rio Branco</v>
      </c>
      <c r="L1728" s="32"/>
      <c r="M1728" s="48">
        <f t="shared" ref="M1728:M1759" si="119">J1728+1</f>
        <v>45937</v>
      </c>
      <c r="N1728" s="26">
        <f t="shared" si="116"/>
        <v>3</v>
      </c>
      <c r="O1728" s="27">
        <v>990</v>
      </c>
      <c r="P1728" s="27">
        <v>991</v>
      </c>
      <c r="Q1728" s="27">
        <v>28</v>
      </c>
      <c r="R1728" s="27">
        <v>26</v>
      </c>
      <c r="S1728" s="27" t="s">
        <v>4798</v>
      </c>
      <c r="T1728" s="27"/>
      <c r="U1728" s="27">
        <v>1171</v>
      </c>
      <c r="V1728" s="27" t="s">
        <v>3572</v>
      </c>
      <c r="W1728" s="27" t="s">
        <v>1723</v>
      </c>
      <c r="X1728" s="128" t="s">
        <v>1495</v>
      </c>
      <c r="Y1728" s="73" t="str">
        <f>VLOOKUP(X1728,Choferes!$B$3:C412,2,FALSE)</f>
        <v>+5553984382803</v>
      </c>
      <c r="Z1728" s="73" t="s">
        <v>4799</v>
      </c>
    </row>
    <row r="1729" spans="1:27" hidden="1" x14ac:dyDescent="0.25">
      <c r="A1729" s="33">
        <v>40</v>
      </c>
      <c r="B1729" s="71" t="s">
        <v>29</v>
      </c>
      <c r="C1729" s="39" t="s">
        <v>4800</v>
      </c>
      <c r="D1729" s="106" t="s">
        <v>48</v>
      </c>
      <c r="E1729" s="47">
        <v>45931</v>
      </c>
      <c r="F1729" s="31" t="str">
        <f>VLOOKUP($C1729,Carpetas!$C$5:$M$2666,2,FALSE)</f>
        <v>PYB035</v>
      </c>
      <c r="G1729" s="23" t="str">
        <f>VLOOKUP($C1729,Carpetas!$C$5:$M$2666,10,FALSE)</f>
        <v>153.75.12</v>
      </c>
      <c r="H1729" s="27">
        <f>VLOOKUP($C1729,Carpetas!$C$5:$M$2666,6,FALSE)</f>
        <v>0</v>
      </c>
      <c r="I1729" s="220"/>
      <c r="J1729" s="47">
        <f>E1729+5</f>
        <v>45936</v>
      </c>
      <c r="K1729" s="72" t="str">
        <f>VLOOKUP($C1729,Carpetas!$C$5:$M$2666,5,FALSE)</f>
        <v>Salto</v>
      </c>
      <c r="L1729" s="32"/>
      <c r="M1729" s="48">
        <f t="shared" si="119"/>
        <v>45937</v>
      </c>
      <c r="N1729" s="26">
        <f t="shared" si="116"/>
        <v>6</v>
      </c>
      <c r="O1729" s="27">
        <v>990</v>
      </c>
      <c r="P1729" s="27">
        <v>990</v>
      </c>
      <c r="Q1729" s="27">
        <v>28</v>
      </c>
      <c r="R1729" s="27">
        <v>26</v>
      </c>
      <c r="S1729" s="27" t="s">
        <v>97</v>
      </c>
      <c r="T1729" s="27"/>
      <c r="U1729" s="27"/>
      <c r="V1729" s="27"/>
      <c r="W1729" s="27"/>
      <c r="X1729" s="128"/>
      <c r="Y1729" s="73" t="e">
        <f>VLOOKUP(X1729,Choferes!$B$3:C403,2,FALSE)</f>
        <v>#N/A</v>
      </c>
      <c r="Z1729" s="73" t="s">
        <v>4801</v>
      </c>
    </row>
    <row r="1730" spans="1:27" ht="30" hidden="1" x14ac:dyDescent="0.25">
      <c r="A1730" s="33">
        <v>40</v>
      </c>
      <c r="B1730" s="71" t="s">
        <v>29</v>
      </c>
      <c r="C1730" s="39" t="s">
        <v>4802</v>
      </c>
      <c r="D1730" s="106" t="s">
        <v>38</v>
      </c>
      <c r="E1730" s="47">
        <v>45931</v>
      </c>
      <c r="F1730" s="31" t="str">
        <f>VLOOKUP($C1730,Carpetas!$C$5:$M$2666,2,FALSE)</f>
        <v>BRE056</v>
      </c>
      <c r="G1730" s="23">
        <f>VLOOKUP($C1730,Carpetas!$C$5:$M$2666,10,FALSE)</f>
        <v>0</v>
      </c>
      <c r="H1730" s="27" t="str">
        <f>VLOOKUP($C1730,Carpetas!$C$5:$M$2666,6,FALSE)</f>
        <v>VPN</v>
      </c>
      <c r="I1730" s="220">
        <f>VLOOKUP($C1730,Carpetas!$C$5:$M$2666,4,FALSE)</f>
        <v>0</v>
      </c>
      <c r="J1730" s="47">
        <f>E1730+5</f>
        <v>45936</v>
      </c>
      <c r="K1730" s="72" t="str">
        <f>VLOOKUP($C1730,Carpetas!$C$5:$M$2666,5,FALSE)</f>
        <v>Chuy</v>
      </c>
      <c r="L1730" s="32"/>
      <c r="M1730" s="48">
        <f t="shared" si="119"/>
        <v>45937</v>
      </c>
      <c r="N1730" s="26">
        <f t="shared" si="116"/>
        <v>6</v>
      </c>
      <c r="O1730" s="27">
        <v>1114</v>
      </c>
      <c r="P1730" s="27">
        <v>1150</v>
      </c>
      <c r="Q1730" s="27">
        <v>26</v>
      </c>
      <c r="R1730" s="27">
        <v>25</v>
      </c>
      <c r="S1730" s="27" t="s">
        <v>4803</v>
      </c>
      <c r="T1730" s="27"/>
      <c r="U1730" s="27"/>
      <c r="V1730" s="27"/>
      <c r="W1730" s="27"/>
      <c r="X1730" s="128"/>
      <c r="Y1730" s="73" t="e">
        <f>VLOOKUP(X1730,Choferes!$B$3:C416,2,FALSE)</f>
        <v>#N/A</v>
      </c>
      <c r="Z1730" s="73" t="s">
        <v>4804</v>
      </c>
      <c r="AA1730" s="73"/>
    </row>
    <row r="1731" spans="1:27" hidden="1" x14ac:dyDescent="0.25">
      <c r="A1731" s="33">
        <v>40</v>
      </c>
      <c r="B1731" s="71" t="s">
        <v>29</v>
      </c>
      <c r="C1731" s="39" t="s">
        <v>4753</v>
      </c>
      <c r="D1731" s="106" t="s">
        <v>2474</v>
      </c>
      <c r="E1731" s="47">
        <v>45932</v>
      </c>
      <c r="F1731" s="31" t="str">
        <f>VLOOKUP($C1731,Carpetas!$C$5:$M$2666,2,FALSE)</f>
        <v>BRB115</v>
      </c>
      <c r="G1731" s="23">
        <f>VLOOKUP($C1731,Carpetas!$C$5:$M$2666,10,FALSE)</f>
        <v>1537622</v>
      </c>
      <c r="H1731" s="27" t="str">
        <f>VLOOKUP($C1731,Carpetas!$C$5:$M$2666,6,FALSE)</f>
        <v>FG</v>
      </c>
      <c r="I1731" s="220"/>
      <c r="J1731" s="47">
        <v>45936</v>
      </c>
      <c r="K1731" s="72" t="str">
        <f>VLOOKUP($C1731,Carpetas!$C$5:$M$2666,5,FALSE)</f>
        <v>Rio Branco</v>
      </c>
      <c r="L1731" s="32"/>
      <c r="M1731" s="48">
        <f t="shared" si="119"/>
        <v>45937</v>
      </c>
      <c r="N1731" s="26">
        <f t="shared" si="116"/>
        <v>5</v>
      </c>
      <c r="O1731" s="27">
        <v>990</v>
      </c>
      <c r="P1731" s="27">
        <v>1002</v>
      </c>
      <c r="Q1731" s="27">
        <v>28</v>
      </c>
      <c r="R1731" s="27">
        <v>26</v>
      </c>
      <c r="S1731" s="27" t="s">
        <v>4805</v>
      </c>
      <c r="T1731" s="27"/>
      <c r="U1731" s="27">
        <v>1165</v>
      </c>
      <c r="V1731" s="27" t="s">
        <v>1042</v>
      </c>
      <c r="W1731" s="27" t="s">
        <v>3818</v>
      </c>
      <c r="X1731" s="128" t="s">
        <v>1623</v>
      </c>
      <c r="Y1731" s="73" t="str">
        <f>VLOOKUP(X1731,Choferes!$B$3:C411,2,FALSE)</f>
        <v>+5553991254560</v>
      </c>
      <c r="Z1731" s="73" t="s">
        <v>4806</v>
      </c>
    </row>
    <row r="1732" spans="1:27" hidden="1" x14ac:dyDescent="0.25">
      <c r="A1732" s="33">
        <v>40</v>
      </c>
      <c r="B1732" s="71" t="s">
        <v>29</v>
      </c>
      <c r="C1732" s="39" t="s">
        <v>4644</v>
      </c>
      <c r="D1732" s="106" t="s">
        <v>2474</v>
      </c>
      <c r="E1732" s="47">
        <v>45933</v>
      </c>
      <c r="F1732" s="31" t="str">
        <f>VLOOKUP($C1732,Carpetas!$C$5:$M$2666,2,FALSE)</f>
        <v>BRB104</v>
      </c>
      <c r="G1732" s="23" t="str">
        <f>VLOOKUP($C1732,Carpetas!$C$5:$M$2666,10,FALSE)</f>
        <v>153,66,31</v>
      </c>
      <c r="H1732" s="27" t="str">
        <f>VLOOKUP($C1732,Carpetas!$C$5:$M$2666,6,FALSE)</f>
        <v>Amaro</v>
      </c>
      <c r="I1732" s="220"/>
      <c r="J1732" s="47">
        <v>45937</v>
      </c>
      <c r="K1732" s="72" t="str">
        <f>VLOOKUP($C1732,Carpetas!$C$5:$M$2666,5,FALSE)</f>
        <v>Rio Branco</v>
      </c>
      <c r="L1732" s="32"/>
      <c r="M1732" s="48">
        <f t="shared" si="119"/>
        <v>45938</v>
      </c>
      <c r="N1732" s="26">
        <f t="shared" si="116"/>
        <v>5</v>
      </c>
      <c r="O1732" s="27">
        <v>990</v>
      </c>
      <c r="P1732" s="27">
        <v>996</v>
      </c>
      <c r="Q1732" s="27">
        <v>28</v>
      </c>
      <c r="R1732" s="27">
        <v>26</v>
      </c>
      <c r="S1732" s="27" t="s">
        <v>4807</v>
      </c>
      <c r="T1732" s="27"/>
      <c r="U1732" s="27">
        <v>27014</v>
      </c>
      <c r="V1732" s="27" t="s">
        <v>4808</v>
      </c>
      <c r="W1732" s="27" t="s">
        <v>4809</v>
      </c>
      <c r="X1732" s="128" t="s">
        <v>1409</v>
      </c>
      <c r="Y1732" s="73" t="str">
        <f>VLOOKUP(X1732,Choferes!$B$3:C413,2,FALSE)</f>
        <v>+5553991154670</v>
      </c>
      <c r="Z1732" s="73" t="s">
        <v>4810</v>
      </c>
    </row>
    <row r="1733" spans="1:27" hidden="1" x14ac:dyDescent="0.25">
      <c r="A1733" s="33">
        <v>40</v>
      </c>
      <c r="B1733" s="71" t="s">
        <v>29</v>
      </c>
      <c r="C1733" s="39" t="s">
        <v>4658</v>
      </c>
      <c r="D1733" s="106" t="s">
        <v>953</v>
      </c>
      <c r="E1733" s="47">
        <v>45934</v>
      </c>
      <c r="F1733" s="31" t="str">
        <f>VLOOKUP($C1733,Carpetas!$C$5:$M$2666,2,FALSE)</f>
        <v>BRB108</v>
      </c>
      <c r="G1733" s="23" t="str">
        <f>VLOOKUP($C1733,Carpetas!$C$5:$M$2666,10,FALSE)</f>
        <v>153,68,21</v>
      </c>
      <c r="H1733" s="27" t="str">
        <f>VLOOKUP($C1733,Carpetas!$C$5:$M$2666,6,FALSE)</f>
        <v>Zanini</v>
      </c>
      <c r="I1733" s="220"/>
      <c r="J1733" s="47">
        <v>45937</v>
      </c>
      <c r="K1733" s="72" t="str">
        <f>VLOOKUP($C1733,Carpetas!$C$5:$M$2666,5,FALSE)</f>
        <v>Rio Branco</v>
      </c>
      <c r="L1733" s="32"/>
      <c r="M1733" s="48">
        <f t="shared" si="119"/>
        <v>45938</v>
      </c>
      <c r="N1733" s="26">
        <f t="shared" si="116"/>
        <v>4</v>
      </c>
      <c r="O1733" s="27">
        <v>918</v>
      </c>
      <c r="P1733" s="27">
        <v>918</v>
      </c>
      <c r="Q1733" s="27">
        <v>26</v>
      </c>
      <c r="R1733" s="27">
        <v>25</v>
      </c>
      <c r="S1733" s="27" t="s">
        <v>1478</v>
      </c>
      <c r="T1733" s="27"/>
      <c r="U1733" s="27">
        <v>5552</v>
      </c>
      <c r="V1733" s="27" t="s">
        <v>809</v>
      </c>
      <c r="W1733" s="27" t="s">
        <v>810</v>
      </c>
      <c r="X1733" s="128" t="s">
        <v>4811</v>
      </c>
      <c r="Y1733" s="73" t="str">
        <f>VLOOKUP(X1733,Choferes!$B$3:C403,2,FALSE)</f>
        <v>+5555997225305</v>
      </c>
      <c r="Z1733" s="73" t="s">
        <v>4812</v>
      </c>
    </row>
    <row r="1734" spans="1:27" hidden="1" x14ac:dyDescent="0.25">
      <c r="A1734" s="33">
        <v>40</v>
      </c>
      <c r="B1734" s="71" t="s">
        <v>29</v>
      </c>
      <c r="C1734" s="39" t="s">
        <v>4813</v>
      </c>
      <c r="D1734" s="106" t="s">
        <v>38</v>
      </c>
      <c r="E1734" s="47">
        <v>45933</v>
      </c>
      <c r="F1734" s="31" t="str">
        <f>VLOOKUP($C1734,Carpetas!$C$5:$M$2666,2,FALSE)</f>
        <v>BRE058</v>
      </c>
      <c r="G1734" s="23">
        <f>VLOOKUP($C1734,Carpetas!$C$5:$M$2666,10,FALSE)</f>
        <v>0</v>
      </c>
      <c r="H1734" s="27" t="str">
        <f>VLOOKUP($C1734,Carpetas!$C$5:$M$2666,6,FALSE)</f>
        <v>Miltex</v>
      </c>
      <c r="I1734" s="220">
        <f>VLOOKUP($C1734,Carpetas!$C$5:$M$2666,4,FALSE)</f>
        <v>0</v>
      </c>
      <c r="J1734" s="47">
        <v>45937</v>
      </c>
      <c r="K1734" s="72" t="str">
        <f>VLOOKUP($C1734,Carpetas!$C$5:$M$2666,5,FALSE)</f>
        <v>Rio Branco</v>
      </c>
      <c r="L1734" s="32"/>
      <c r="M1734" s="48">
        <f t="shared" si="119"/>
        <v>45938</v>
      </c>
      <c r="N1734" s="26">
        <f t="shared" si="116"/>
        <v>5</v>
      </c>
      <c r="O1734" s="27">
        <v>24500</v>
      </c>
      <c r="P1734" s="27">
        <v>24500</v>
      </c>
      <c r="Q1734" s="27"/>
      <c r="R1734" s="27"/>
      <c r="S1734" s="27"/>
      <c r="T1734" s="27"/>
      <c r="U1734" s="27">
        <v>174</v>
      </c>
      <c r="V1734" s="27" t="s">
        <v>4814</v>
      </c>
      <c r="W1734" s="27" t="s">
        <v>4815</v>
      </c>
      <c r="X1734" s="128"/>
      <c r="Y1734" s="73" t="e">
        <f>VLOOKUP(X1734,Choferes!$B$3:C399,2,FALSE)</f>
        <v>#N/A</v>
      </c>
      <c r="Z1734" s="73" t="s">
        <v>1273</v>
      </c>
    </row>
    <row r="1735" spans="1:27" hidden="1" x14ac:dyDescent="0.25">
      <c r="A1735" s="33">
        <v>40</v>
      </c>
      <c r="B1735" s="71" t="s">
        <v>29</v>
      </c>
      <c r="C1735" s="39" t="s">
        <v>4816</v>
      </c>
      <c r="D1735" s="106" t="s">
        <v>38</v>
      </c>
      <c r="E1735" s="47">
        <v>45932</v>
      </c>
      <c r="F1735" s="31" t="str">
        <f>VLOOKUP($C1735,Carpetas!$C$5:$M$2666,2,FALSE)</f>
        <v>BRE057</v>
      </c>
      <c r="G1735" s="23">
        <f>VLOOKUP($C1735,Carpetas!$C$5:$M$2666,10,FALSE)</f>
        <v>0</v>
      </c>
      <c r="H1735" s="27" t="str">
        <f>VLOOKUP($C1735,Carpetas!$C$5:$M$2666,6,FALSE)</f>
        <v>Marvel</v>
      </c>
      <c r="I1735" s="220">
        <f>VLOOKUP($C1735,Carpetas!$C$5:$M$2666,4,FALSE)</f>
        <v>0</v>
      </c>
      <c r="J1735" s="47">
        <v>45938</v>
      </c>
      <c r="K1735" s="72" t="str">
        <f>VLOOKUP($C1735,Carpetas!$C$5:$M$2666,5,FALSE)</f>
        <v>Chuy</v>
      </c>
      <c r="L1735" s="32"/>
      <c r="M1735" s="48">
        <f t="shared" si="119"/>
        <v>45939</v>
      </c>
      <c r="N1735" s="26">
        <f t="shared" si="116"/>
        <v>7</v>
      </c>
      <c r="O1735" s="27">
        <v>1512</v>
      </c>
      <c r="P1735" s="27">
        <v>1512</v>
      </c>
      <c r="Q1735" s="27">
        <v>28</v>
      </c>
      <c r="R1735" s="27"/>
      <c r="S1735" s="27"/>
      <c r="T1735" s="27"/>
      <c r="U1735" s="27"/>
      <c r="V1735" s="27" t="s">
        <v>4817</v>
      </c>
      <c r="W1735" s="27"/>
      <c r="X1735" s="128"/>
      <c r="Y1735" s="73" t="e">
        <f>VLOOKUP(X1735,Choferes!$B$3:C415,2,FALSE)</f>
        <v>#N/A</v>
      </c>
      <c r="Z1735" s="73" t="s">
        <v>4818</v>
      </c>
    </row>
    <row r="1736" spans="1:27" hidden="1" x14ac:dyDescent="0.25">
      <c r="A1736" s="33">
        <v>41</v>
      </c>
      <c r="B1736" s="71" t="s">
        <v>29</v>
      </c>
      <c r="C1736" s="39" t="s">
        <v>4819</v>
      </c>
      <c r="D1736" s="106" t="s">
        <v>2202</v>
      </c>
      <c r="E1736" s="47">
        <v>45936</v>
      </c>
      <c r="F1736" s="31" t="str">
        <f>VLOOKUP($C1736,Carpetas!$C$5:$M$2666,2,FALSE)</f>
        <v>BRB120</v>
      </c>
      <c r="G1736" s="23" t="str">
        <f>VLOOKUP($C1736,Carpetas!$C$5:$M$2666,10,FALSE)</f>
        <v>153,86,74</v>
      </c>
      <c r="H1736" s="27" t="str">
        <f>VLOOKUP($C1736,Carpetas!$C$5:$M$2666,6,FALSE)</f>
        <v>Chabat</v>
      </c>
      <c r="I1736" s="220"/>
      <c r="J1736" s="47">
        <f>E1736+2</f>
        <v>45938</v>
      </c>
      <c r="K1736" s="72" t="str">
        <f>VLOOKUP($C1736,Carpetas!$C$5:$M$2666,5,FALSE)</f>
        <v>Chuy</v>
      </c>
      <c r="L1736" s="32"/>
      <c r="M1736" s="48">
        <f t="shared" si="119"/>
        <v>45939</v>
      </c>
      <c r="N1736" s="26">
        <f t="shared" si="116"/>
        <v>3</v>
      </c>
      <c r="O1736" s="27">
        <v>990</v>
      </c>
      <c r="P1736" s="27">
        <v>990</v>
      </c>
      <c r="Q1736" s="27">
        <v>28</v>
      </c>
      <c r="R1736" s="27">
        <v>26</v>
      </c>
      <c r="S1736" s="27" t="s">
        <v>4820</v>
      </c>
      <c r="T1736" s="27"/>
      <c r="U1736" s="27"/>
      <c r="V1736" s="27" t="s">
        <v>4608</v>
      </c>
      <c r="W1736" s="27" t="s">
        <v>4283</v>
      </c>
      <c r="X1736" s="128"/>
      <c r="Y1736" s="73" t="e">
        <f>VLOOKUP(X1736,Choferes!$B$3:C408,2,FALSE)</f>
        <v>#N/A</v>
      </c>
      <c r="Z1736" s="73" t="s">
        <v>4821</v>
      </c>
    </row>
    <row r="1737" spans="1:27" hidden="1" x14ac:dyDescent="0.25">
      <c r="A1737" s="33">
        <v>41</v>
      </c>
      <c r="B1737" s="71" t="s">
        <v>29</v>
      </c>
      <c r="C1737" s="39" t="s">
        <v>4819</v>
      </c>
      <c r="D1737" s="106" t="s">
        <v>2202</v>
      </c>
      <c r="E1737" s="47">
        <v>45937</v>
      </c>
      <c r="F1737" s="31" t="str">
        <f>VLOOKUP($C1737,Carpetas!$C$5:$M$2666,2,FALSE)</f>
        <v>BRB120</v>
      </c>
      <c r="G1737" s="23" t="str">
        <f>VLOOKUP($C1737,Carpetas!$C$5:$M$2666,10,FALSE)</f>
        <v>153,86,74</v>
      </c>
      <c r="H1737" s="27" t="str">
        <f>VLOOKUP($C1737,Carpetas!$C$5:$M$2666,6,FALSE)</f>
        <v>Chabat</v>
      </c>
      <c r="I1737" s="220"/>
      <c r="J1737" s="47">
        <v>45938</v>
      </c>
      <c r="K1737" s="72" t="str">
        <f>VLOOKUP($C1737,Carpetas!$C$5:$M$2666,5,FALSE)</f>
        <v>Chuy</v>
      </c>
      <c r="L1737" s="32"/>
      <c r="M1737" s="48">
        <f t="shared" si="119"/>
        <v>45939</v>
      </c>
      <c r="N1737" s="26">
        <f t="shared" si="116"/>
        <v>2</v>
      </c>
      <c r="O1737" s="27">
        <v>991</v>
      </c>
      <c r="P1737" s="27">
        <v>990</v>
      </c>
      <c r="Q1737" s="27">
        <v>28</v>
      </c>
      <c r="R1737" s="27">
        <v>25</v>
      </c>
      <c r="S1737" s="27" t="s">
        <v>4822</v>
      </c>
      <c r="T1737" s="27"/>
      <c r="U1737" s="27"/>
      <c r="V1737" s="27" t="s">
        <v>3403</v>
      </c>
      <c r="W1737" s="27" t="s">
        <v>3404</v>
      </c>
      <c r="X1737" s="128"/>
      <c r="Y1737" s="73" t="e">
        <f>VLOOKUP(X1737,Choferes!$B$3:C409,2,FALSE)</f>
        <v>#N/A</v>
      </c>
      <c r="Z1737" s="73" t="s">
        <v>4823</v>
      </c>
    </row>
    <row r="1738" spans="1:27" hidden="1" x14ac:dyDescent="0.25">
      <c r="A1738" s="33">
        <v>41</v>
      </c>
      <c r="B1738" s="71" t="s">
        <v>29</v>
      </c>
      <c r="C1738" s="39" t="s">
        <v>4797</v>
      </c>
      <c r="D1738" s="106" t="s">
        <v>747</v>
      </c>
      <c r="E1738" s="47">
        <v>45937</v>
      </c>
      <c r="F1738" s="31" t="str">
        <f>VLOOKUP($C1738,Carpetas!$C$5:$M$2666,2,FALSE)</f>
        <v>BRB116</v>
      </c>
      <c r="G1738" s="23" t="str">
        <f>VLOOKUP($C1738,Carpetas!$C$5:$M$2666,10,FALSE)</f>
        <v>153,76,23</v>
      </c>
      <c r="H1738" s="27" t="str">
        <f>VLOOKUP($C1738,Carpetas!$C$5:$M$2666,6,FALSE)</f>
        <v>FG</v>
      </c>
      <c r="I1738" s="220"/>
      <c r="J1738" s="47">
        <v>45938</v>
      </c>
      <c r="K1738" s="72" t="str">
        <f>VLOOKUP($C1738,Carpetas!$C$5:$M$2666,5,FALSE)</f>
        <v>Rio Branco</v>
      </c>
      <c r="L1738" s="32"/>
      <c r="M1738" s="48">
        <f t="shared" si="119"/>
        <v>45939</v>
      </c>
      <c r="N1738" s="26">
        <f t="shared" si="116"/>
        <v>2</v>
      </c>
      <c r="O1738" s="27">
        <v>990</v>
      </c>
      <c r="P1738" s="27">
        <v>990</v>
      </c>
      <c r="Q1738" s="27">
        <v>28</v>
      </c>
      <c r="R1738" s="27">
        <v>26</v>
      </c>
      <c r="S1738" s="27" t="s">
        <v>4824</v>
      </c>
      <c r="T1738" s="27"/>
      <c r="U1738" s="27">
        <v>1173</v>
      </c>
      <c r="V1738" s="27" t="s">
        <v>3411</v>
      </c>
      <c r="W1738" s="27" t="s">
        <v>3412</v>
      </c>
      <c r="X1738" s="128" t="s">
        <v>3559</v>
      </c>
      <c r="Y1738" s="73" t="str">
        <f>VLOOKUP(X1738,Choferes!$B$3:C406,2,FALSE)</f>
        <v>+55 53 9713-4372</v>
      </c>
      <c r="Z1738" s="73" t="s">
        <v>4825</v>
      </c>
    </row>
    <row r="1739" spans="1:27" hidden="1" x14ac:dyDescent="0.25">
      <c r="A1739" s="33">
        <v>40</v>
      </c>
      <c r="B1739" s="71" t="s">
        <v>29</v>
      </c>
      <c r="C1739" s="39" t="s">
        <v>4781</v>
      </c>
      <c r="D1739" s="106" t="s">
        <v>1757</v>
      </c>
      <c r="E1739" s="47">
        <v>45932</v>
      </c>
      <c r="F1739" s="31" t="str">
        <f>VLOOKUP($C1739,Carpetas!$C$5:$M$2666,2,FALSE)</f>
        <v>BRB114</v>
      </c>
      <c r="G1739" s="23">
        <f>VLOOKUP($C1739,Carpetas!$C$5:$M$2666,10,FALSE)</f>
        <v>1537624</v>
      </c>
      <c r="H1739" s="27" t="str">
        <f>VLOOKUP($C1739,Carpetas!$C$5:$M$2666,6,FALSE)</f>
        <v>Gral</v>
      </c>
      <c r="I1739" s="220"/>
      <c r="J1739" s="47">
        <v>45939</v>
      </c>
      <c r="K1739" s="72" t="str">
        <f>VLOOKUP($C1739,Carpetas!$C$5:$M$2666,5,FALSE)</f>
        <v>Rio Branco</v>
      </c>
      <c r="L1739" s="32"/>
      <c r="M1739" s="48">
        <f t="shared" si="119"/>
        <v>45940</v>
      </c>
      <c r="N1739" s="26">
        <f t="shared" si="116"/>
        <v>8</v>
      </c>
      <c r="O1739" s="27">
        <v>936</v>
      </c>
      <c r="P1739" s="27">
        <v>936</v>
      </c>
      <c r="Q1739" s="27">
        <v>26</v>
      </c>
      <c r="R1739" s="27">
        <v>25</v>
      </c>
      <c r="S1739" s="27" t="s">
        <v>4826</v>
      </c>
      <c r="T1739" s="27"/>
      <c r="U1739" s="27">
        <v>7689</v>
      </c>
      <c r="V1739" s="27" t="s">
        <v>4827</v>
      </c>
      <c r="W1739" s="27" t="s">
        <v>4828</v>
      </c>
      <c r="X1739" s="128"/>
      <c r="Y1739" s="73" t="e">
        <f>VLOOKUP(X1739,Choferes!$B$3:C418,2,FALSE)</f>
        <v>#N/A</v>
      </c>
      <c r="Z1739" s="73" t="s">
        <v>4829</v>
      </c>
    </row>
    <row r="1740" spans="1:27" hidden="1" x14ac:dyDescent="0.25">
      <c r="A1740" s="33">
        <v>41</v>
      </c>
      <c r="B1740" s="71" t="s">
        <v>29</v>
      </c>
      <c r="C1740" s="39" t="s">
        <v>4797</v>
      </c>
      <c r="D1740" s="106" t="s">
        <v>803</v>
      </c>
      <c r="E1740" s="47">
        <v>45936</v>
      </c>
      <c r="F1740" s="31" t="str">
        <f>VLOOKUP($C1740,Carpetas!$C$5:$M$2666,2,FALSE)</f>
        <v>BRB116</v>
      </c>
      <c r="G1740" s="23" t="str">
        <f>VLOOKUP($C1740,Carpetas!$C$5:$M$2666,10,FALSE)</f>
        <v>153,76,23</v>
      </c>
      <c r="H1740" s="27" t="str">
        <f>VLOOKUP($C1740,Carpetas!$C$5:$M$2666,6,FALSE)</f>
        <v>FG</v>
      </c>
      <c r="I1740" s="220"/>
      <c r="J1740" s="47">
        <v>45939</v>
      </c>
      <c r="K1740" s="72" t="str">
        <f>VLOOKUP($C1740,Carpetas!$C$5:$M$2666,5,FALSE)</f>
        <v>Rio Branco</v>
      </c>
      <c r="L1740" s="32"/>
      <c r="M1740" s="48">
        <f t="shared" si="119"/>
        <v>45940</v>
      </c>
      <c r="N1740" s="26">
        <f t="shared" si="116"/>
        <v>4</v>
      </c>
      <c r="O1740" s="27">
        <v>990</v>
      </c>
      <c r="P1740" s="27">
        <v>990</v>
      </c>
      <c r="Q1740" s="27">
        <v>28</v>
      </c>
      <c r="R1740" s="27">
        <v>26</v>
      </c>
      <c r="S1740" s="27" t="s">
        <v>4830</v>
      </c>
      <c r="T1740" s="27"/>
      <c r="U1740" s="27">
        <v>1175</v>
      </c>
      <c r="V1740" s="27" t="s">
        <v>911</v>
      </c>
      <c r="W1740" s="27" t="s">
        <v>1622</v>
      </c>
      <c r="X1740" s="128" t="s">
        <v>1397</v>
      </c>
      <c r="Y1740" s="73" t="str">
        <f>VLOOKUP(X1740,Choferes!$B$3:C402,2,FALSE)</f>
        <v>+5551996322594</v>
      </c>
      <c r="Z1740" s="73" t="s">
        <v>4831</v>
      </c>
    </row>
    <row r="1741" spans="1:27" hidden="1" x14ac:dyDescent="0.25">
      <c r="A1741" s="33">
        <v>41</v>
      </c>
      <c r="B1741" s="71" t="s">
        <v>29</v>
      </c>
      <c r="C1741" s="39" t="s">
        <v>4832</v>
      </c>
      <c r="D1741" s="106" t="s">
        <v>2474</v>
      </c>
      <c r="E1741" s="47">
        <v>45937</v>
      </c>
      <c r="F1741" s="31" t="str">
        <f>VLOOKUP($C1741,Carpetas!$C$5:$M$2666,2,FALSE)</f>
        <v>BRB118</v>
      </c>
      <c r="G1741" s="23" t="str">
        <f>VLOOKUP($C1741,Carpetas!$C$5:$M$2666,10,FALSE)</f>
        <v>153,87,98</v>
      </c>
      <c r="H1741" s="27" t="str">
        <f>VLOOKUP($C1741,Carpetas!$C$5:$M$2666,6,FALSE)</f>
        <v>Gral</v>
      </c>
      <c r="I1741" s="220"/>
      <c r="J1741" s="47">
        <f>E1741+2</f>
        <v>45939</v>
      </c>
      <c r="K1741" s="72" t="str">
        <f>VLOOKUP($C1741,Carpetas!$C$5:$M$2666,5,FALSE)</f>
        <v>Rio Branco</v>
      </c>
      <c r="L1741" s="32"/>
      <c r="M1741" s="48">
        <f t="shared" si="119"/>
        <v>45940</v>
      </c>
      <c r="N1741" s="26">
        <f t="shared" si="116"/>
        <v>3</v>
      </c>
      <c r="O1741" s="27">
        <v>918</v>
      </c>
      <c r="P1741" s="27">
        <v>918</v>
      </c>
      <c r="Q1741" s="27">
        <v>26</v>
      </c>
      <c r="R1741" s="27">
        <v>25</v>
      </c>
      <c r="S1741" s="27" t="s">
        <v>4833</v>
      </c>
      <c r="T1741" s="27"/>
      <c r="U1741" s="27">
        <v>7712</v>
      </c>
      <c r="V1741" s="27" t="s">
        <v>4834</v>
      </c>
      <c r="W1741" s="27" t="s">
        <v>4835</v>
      </c>
      <c r="X1741" s="128"/>
      <c r="Y1741" s="73" t="e">
        <f>VLOOKUP(X1741,Choferes!$B$3:C412,2,FALSE)</f>
        <v>#N/A</v>
      </c>
      <c r="Z1741" s="73" t="s">
        <v>4836</v>
      </c>
    </row>
    <row r="1742" spans="1:27" ht="30" hidden="1" x14ac:dyDescent="0.25">
      <c r="A1742" s="33">
        <v>41</v>
      </c>
      <c r="B1742" s="71" t="s">
        <v>29</v>
      </c>
      <c r="C1742" s="39" t="s">
        <v>4837</v>
      </c>
      <c r="D1742" s="106" t="s">
        <v>110</v>
      </c>
      <c r="E1742" s="47">
        <v>45938</v>
      </c>
      <c r="F1742" s="31" t="str">
        <f>VLOOKUP($C1742,Carpetas!$C$5:$M$2666,2,FALSE)</f>
        <v>BRB119</v>
      </c>
      <c r="G1742" s="23" t="str">
        <f>VLOOKUP($C1742,Carpetas!$C$5:$M$2666,10,FALSE)</f>
        <v>153,87,99</v>
      </c>
      <c r="H1742" s="27" t="str">
        <f>VLOOKUP($C1742,Carpetas!$C$5:$M$2666,6,FALSE)</f>
        <v>Zanini</v>
      </c>
      <c r="I1742" s="220"/>
      <c r="J1742" s="47">
        <v>45939</v>
      </c>
      <c r="K1742" s="72" t="str">
        <f>VLOOKUP($C1742,Carpetas!$C$5:$M$2666,5,FALSE)</f>
        <v>Rio Branco</v>
      </c>
      <c r="L1742" s="32"/>
      <c r="M1742" s="48">
        <f t="shared" si="119"/>
        <v>45940</v>
      </c>
      <c r="N1742" s="26">
        <f t="shared" si="116"/>
        <v>2</v>
      </c>
      <c r="O1742" s="27">
        <v>918</v>
      </c>
      <c r="P1742" s="27">
        <v>919</v>
      </c>
      <c r="Q1742" s="27">
        <v>28</v>
      </c>
      <c r="R1742" s="27">
        <v>26</v>
      </c>
      <c r="S1742" s="27" t="s">
        <v>4838</v>
      </c>
      <c r="T1742" s="27"/>
      <c r="U1742" s="27">
        <v>5557</v>
      </c>
      <c r="V1742" s="27" t="s">
        <v>3869</v>
      </c>
      <c r="W1742" s="27" t="s">
        <v>3870</v>
      </c>
      <c r="X1742" s="128" t="s">
        <v>4075</v>
      </c>
      <c r="Y1742" s="73" t="str">
        <f>VLOOKUP(X1742,Choferes!$B$3:C400,2,FALSE)</f>
        <v>+55 53 9991-5557</v>
      </c>
      <c r="Z1742" s="73" t="s">
        <v>4839</v>
      </c>
    </row>
    <row r="1743" spans="1:27" hidden="1" x14ac:dyDescent="0.25">
      <c r="A1743" s="33">
        <v>41</v>
      </c>
      <c r="B1743" s="71" t="s">
        <v>29</v>
      </c>
      <c r="C1743" s="39" t="s">
        <v>4840</v>
      </c>
      <c r="D1743" s="106" t="s">
        <v>2474</v>
      </c>
      <c r="E1743" s="47">
        <v>45938</v>
      </c>
      <c r="F1743" s="31" t="str">
        <f>VLOOKUP($C1743,Carpetas!$C$5:$M$2666,2,FALSE)</f>
        <v>BRB117</v>
      </c>
      <c r="G1743" s="23" t="str">
        <f>VLOOKUP($C1743,Carpetas!$C$5:$M$2666,10,FALSE)</f>
        <v>153,87,97</v>
      </c>
      <c r="H1743" s="27" t="str">
        <f>VLOOKUP($C1743,Carpetas!$C$5:$M$2666,6,FALSE)</f>
        <v>Amaro</v>
      </c>
      <c r="I1743" s="220"/>
      <c r="J1743" s="47">
        <v>45939</v>
      </c>
      <c r="K1743" s="72" t="str">
        <f>VLOOKUP($C1743,Carpetas!$C$5:$M$2666,5,FALSE)</f>
        <v>Rio Branco</v>
      </c>
      <c r="L1743" s="32"/>
      <c r="M1743" s="48">
        <f t="shared" si="119"/>
        <v>45940</v>
      </c>
      <c r="N1743" s="26">
        <f t="shared" si="116"/>
        <v>2</v>
      </c>
      <c r="O1743" s="27">
        <v>990</v>
      </c>
      <c r="P1743" s="27">
        <v>990</v>
      </c>
      <c r="Q1743" s="27">
        <v>28</v>
      </c>
      <c r="R1743" s="27">
        <v>26</v>
      </c>
      <c r="S1743" s="27" t="s">
        <v>4841</v>
      </c>
      <c r="T1743" s="27"/>
      <c r="U1743" s="27">
        <v>27036</v>
      </c>
      <c r="V1743" s="27" t="s">
        <v>4645</v>
      </c>
      <c r="W1743" s="27" t="s">
        <v>4489</v>
      </c>
      <c r="X1743" s="128" t="s">
        <v>1468</v>
      </c>
      <c r="Y1743" s="73" t="str">
        <f>VLOOKUP(X1743,Choferes!$B$3:C410,2,FALSE)</f>
        <v>+5553984274141</v>
      </c>
      <c r="Z1743" s="73" t="s">
        <v>4831</v>
      </c>
    </row>
    <row r="1744" spans="1:27" hidden="1" x14ac:dyDescent="0.25">
      <c r="A1744" s="33">
        <v>41</v>
      </c>
      <c r="B1744" s="71" t="s">
        <v>29</v>
      </c>
      <c r="C1744" s="39" t="s">
        <v>4797</v>
      </c>
      <c r="D1744" s="106" t="s">
        <v>803</v>
      </c>
      <c r="E1744" s="47">
        <v>45937</v>
      </c>
      <c r="F1744" s="31" t="str">
        <f>VLOOKUP($C1744,Carpetas!$C$5:$M$2666,2,FALSE)</f>
        <v>BRB116</v>
      </c>
      <c r="G1744" s="23" t="str">
        <f>VLOOKUP($C1744,Carpetas!$C$5:$M$2666,10,FALSE)</f>
        <v>153,76,23</v>
      </c>
      <c r="H1744" s="27" t="str">
        <f>VLOOKUP($C1744,Carpetas!$C$5:$M$2666,6,FALSE)</f>
        <v>FG</v>
      </c>
      <c r="I1744" s="220"/>
      <c r="J1744" s="47">
        <f>E1744+3</f>
        <v>45940</v>
      </c>
      <c r="K1744" s="72" t="str">
        <f>VLOOKUP($C1744,Carpetas!$C$5:$M$2666,5,FALSE)</f>
        <v>Rio Branco</v>
      </c>
      <c r="L1744" s="32"/>
      <c r="M1744" s="48">
        <f t="shared" si="119"/>
        <v>45941</v>
      </c>
      <c r="N1744" s="26">
        <f t="shared" si="116"/>
        <v>4</v>
      </c>
      <c r="O1744" s="27">
        <v>990</v>
      </c>
      <c r="P1744" s="27">
        <v>990</v>
      </c>
      <c r="Q1744" s="27">
        <v>28</v>
      </c>
      <c r="R1744" s="27">
        <v>26</v>
      </c>
      <c r="S1744" s="27" t="s">
        <v>4842</v>
      </c>
      <c r="T1744" s="27"/>
      <c r="U1744" s="27">
        <v>1176</v>
      </c>
      <c r="V1744" s="27" t="s">
        <v>1630</v>
      </c>
      <c r="W1744" s="27" t="s">
        <v>1934</v>
      </c>
      <c r="X1744" s="128" t="s">
        <v>1935</v>
      </c>
      <c r="Y1744" s="73" t="str">
        <f>VLOOKUP(X1744,Choferes!$B$3:C403,2,FALSE)</f>
        <v>+5554984377792</v>
      </c>
      <c r="Z1744" s="73" t="s">
        <v>4843</v>
      </c>
    </row>
    <row r="1745" spans="1:26" hidden="1" x14ac:dyDescent="0.25">
      <c r="A1745" s="33">
        <v>41</v>
      </c>
      <c r="B1745" s="71" t="s">
        <v>29</v>
      </c>
      <c r="C1745" s="39" t="s">
        <v>4797</v>
      </c>
      <c r="D1745" s="106" t="s">
        <v>953</v>
      </c>
      <c r="E1745" s="47">
        <v>45938</v>
      </c>
      <c r="F1745" s="31" t="str">
        <f>VLOOKUP($C1745,Carpetas!$C$5:$M$2666,2,FALSE)</f>
        <v>BRB116</v>
      </c>
      <c r="G1745" s="23" t="str">
        <f>VLOOKUP($C1745,Carpetas!$C$5:$M$2666,10,FALSE)</f>
        <v>153,76,23</v>
      </c>
      <c r="H1745" s="27" t="str">
        <f>VLOOKUP($C1745,Carpetas!$C$5:$M$2666,6,FALSE)</f>
        <v>FG</v>
      </c>
      <c r="I1745" s="220"/>
      <c r="J1745" s="47">
        <f>E1745+2</f>
        <v>45940</v>
      </c>
      <c r="K1745" s="72" t="str">
        <f>VLOOKUP($C1745,Carpetas!$C$5:$M$2666,5,FALSE)</f>
        <v>Rio Branco</v>
      </c>
      <c r="L1745" s="32"/>
      <c r="M1745" s="48">
        <f t="shared" si="119"/>
        <v>45941</v>
      </c>
      <c r="N1745" s="26">
        <f t="shared" si="116"/>
        <v>3</v>
      </c>
      <c r="O1745" s="27">
        <v>990</v>
      </c>
      <c r="P1745" s="27">
        <v>990</v>
      </c>
      <c r="Q1745" s="27">
        <v>28</v>
      </c>
      <c r="R1745" s="27">
        <v>26</v>
      </c>
      <c r="S1745" s="27" t="s">
        <v>1503</v>
      </c>
      <c r="T1745" s="27"/>
      <c r="U1745" s="27">
        <v>1177</v>
      </c>
      <c r="V1745" s="27" t="s">
        <v>4716</v>
      </c>
      <c r="W1745" s="27" t="s">
        <v>1631</v>
      </c>
      <c r="X1745" s="128" t="s">
        <v>3808</v>
      </c>
      <c r="Y1745" s="73" t="str">
        <f>VLOOKUP(X1745,Choferes!$B$3:C408,2,FALSE)</f>
        <v>+55 53 8412-9466</v>
      </c>
      <c r="Z1745" s="73" t="s">
        <v>4843</v>
      </c>
    </row>
    <row r="1746" spans="1:26" hidden="1" x14ac:dyDescent="0.25">
      <c r="A1746" s="33">
        <v>41</v>
      </c>
      <c r="B1746" s="71" t="s">
        <v>29</v>
      </c>
      <c r="C1746" s="39" t="s">
        <v>4819</v>
      </c>
      <c r="D1746" s="106" t="s">
        <v>2202</v>
      </c>
      <c r="E1746" s="47">
        <v>45938</v>
      </c>
      <c r="F1746" s="31" t="str">
        <f>VLOOKUP($C1746,Carpetas!$C$5:$M$2666,2,FALSE)</f>
        <v>BRB120</v>
      </c>
      <c r="G1746" s="23" t="str">
        <f>VLOOKUP($C1746,Carpetas!$C$5:$M$2666,10,FALSE)</f>
        <v>153,86,74</v>
      </c>
      <c r="H1746" s="27" t="str">
        <f>VLOOKUP($C1746,Carpetas!$C$5:$M$2666,6,FALSE)</f>
        <v>Chabat</v>
      </c>
      <c r="I1746" s="220"/>
      <c r="J1746" s="47">
        <f>E1746+2</f>
        <v>45940</v>
      </c>
      <c r="K1746" s="72" t="str">
        <f>VLOOKUP($C1746,Carpetas!$C$5:$M$2666,5,FALSE)</f>
        <v>Chuy</v>
      </c>
      <c r="L1746" s="32"/>
      <c r="M1746" s="48">
        <f t="shared" si="119"/>
        <v>45941</v>
      </c>
      <c r="N1746" s="26">
        <f t="shared" ref="N1746:N1809" si="120">IF(E1746&lt;&gt;"",M1746-E1746,"-")</f>
        <v>3</v>
      </c>
      <c r="O1746" s="27">
        <v>990</v>
      </c>
      <c r="P1746" s="27">
        <v>990</v>
      </c>
      <c r="Q1746" s="27">
        <v>28</v>
      </c>
      <c r="R1746" s="27">
        <v>26</v>
      </c>
      <c r="S1746" s="27" t="s">
        <v>4844</v>
      </c>
      <c r="T1746" s="27"/>
      <c r="U1746" s="27"/>
      <c r="V1746" s="27" t="s">
        <v>4634</v>
      </c>
      <c r="W1746" s="27" t="s">
        <v>4635</v>
      </c>
      <c r="X1746" s="128"/>
      <c r="Y1746" s="73" t="e">
        <f>VLOOKUP(X1746,Choferes!$B$3:C410,2,FALSE)</f>
        <v>#N/A</v>
      </c>
      <c r="Z1746" s="73" t="s">
        <v>4843</v>
      </c>
    </row>
    <row r="1747" spans="1:26" hidden="1" x14ac:dyDescent="0.25">
      <c r="A1747" s="33">
        <v>41</v>
      </c>
      <c r="B1747" s="71" t="s">
        <v>29</v>
      </c>
      <c r="C1747" s="39" t="s">
        <v>4797</v>
      </c>
      <c r="D1747" s="106" t="s">
        <v>747</v>
      </c>
      <c r="E1747" s="47">
        <v>45940</v>
      </c>
      <c r="F1747" s="31" t="str">
        <f>VLOOKUP($C1747,Carpetas!$C$5:$M$2666,2,FALSE)</f>
        <v>BRB116</v>
      </c>
      <c r="G1747" s="23" t="str">
        <f>VLOOKUP($C1747,Carpetas!$C$5:$M$2666,10,FALSE)</f>
        <v>153,76,23</v>
      </c>
      <c r="H1747" s="27" t="str">
        <f>VLOOKUP($C1747,Carpetas!$C$5:$M$2666,6,FALSE)</f>
        <v>FG</v>
      </c>
      <c r="I1747" s="220"/>
      <c r="J1747" s="47">
        <v>45943</v>
      </c>
      <c r="K1747" s="72" t="str">
        <f>VLOOKUP($C1747,Carpetas!$C$5:$M$2666,5,FALSE)</f>
        <v>Rio Branco</v>
      </c>
      <c r="L1747" s="32"/>
      <c r="M1747" s="48">
        <f t="shared" si="119"/>
        <v>45944</v>
      </c>
      <c r="N1747" s="26">
        <f t="shared" si="120"/>
        <v>4</v>
      </c>
      <c r="O1747" s="27">
        <v>990</v>
      </c>
      <c r="P1747" s="27">
        <v>991</v>
      </c>
      <c r="Q1747" s="27">
        <v>28</v>
      </c>
      <c r="R1747" s="27">
        <v>26</v>
      </c>
      <c r="S1747" s="56" t="s">
        <v>4845</v>
      </c>
      <c r="T1747" s="56"/>
      <c r="U1747" s="27">
        <v>1182</v>
      </c>
      <c r="V1747" s="27" t="s">
        <v>3572</v>
      </c>
      <c r="W1747" s="27" t="s">
        <v>1723</v>
      </c>
      <c r="X1747" s="128" t="s">
        <v>1495</v>
      </c>
      <c r="Y1747" s="73" t="str">
        <f>VLOOKUP(X1747,Choferes!$B$3:C407,2,FALSE)</f>
        <v>+5553984382803</v>
      </c>
      <c r="Z1747" s="73" t="s">
        <v>4846</v>
      </c>
    </row>
    <row r="1748" spans="1:26" hidden="1" x14ac:dyDescent="0.25">
      <c r="A1748" s="33">
        <v>41</v>
      </c>
      <c r="B1748" s="71" t="s">
        <v>29</v>
      </c>
      <c r="C1748" s="39" t="s">
        <v>4797</v>
      </c>
      <c r="D1748" s="106" t="s">
        <v>803</v>
      </c>
      <c r="E1748" s="47">
        <v>45940</v>
      </c>
      <c r="F1748" s="31" t="str">
        <f>VLOOKUP($C1748,Carpetas!$C$5:$M$2666,2,FALSE)</f>
        <v>BRB116</v>
      </c>
      <c r="G1748" s="23" t="str">
        <f>VLOOKUP($C1748,Carpetas!$C$5:$M$2666,10,FALSE)</f>
        <v>153,76,23</v>
      </c>
      <c r="H1748" s="27" t="str">
        <f>VLOOKUP($C1748,Carpetas!$C$5:$M$2666,6,FALSE)</f>
        <v>FG</v>
      </c>
      <c r="I1748" s="220"/>
      <c r="J1748" s="47">
        <v>45943</v>
      </c>
      <c r="K1748" s="72" t="str">
        <f>VLOOKUP($C1748,Carpetas!$C$5:$M$2666,5,FALSE)</f>
        <v>Rio Branco</v>
      </c>
      <c r="L1748" s="32"/>
      <c r="M1748" s="48">
        <f t="shared" si="119"/>
        <v>45944</v>
      </c>
      <c r="N1748" s="26">
        <f t="shared" si="120"/>
        <v>4</v>
      </c>
      <c r="O1748" s="27">
        <v>990</v>
      </c>
      <c r="P1748" s="27">
        <v>990</v>
      </c>
      <c r="Q1748" s="27">
        <v>28</v>
      </c>
      <c r="R1748" s="27">
        <v>26</v>
      </c>
      <c r="S1748" s="27" t="s">
        <v>4847</v>
      </c>
      <c r="T1748" s="27"/>
      <c r="U1748" s="27">
        <v>1183</v>
      </c>
      <c r="V1748" s="27" t="s">
        <v>1042</v>
      </c>
      <c r="W1748" s="27" t="s">
        <v>3818</v>
      </c>
      <c r="X1748" s="128" t="s">
        <v>1623</v>
      </c>
      <c r="Y1748" s="73" t="str">
        <f>VLOOKUP(X1748,Choferes!$B$3:C404,2,FALSE)</f>
        <v>+5553991254560</v>
      </c>
      <c r="Z1748" s="73" t="s">
        <v>4848</v>
      </c>
    </row>
    <row r="1749" spans="1:26" hidden="1" x14ac:dyDescent="0.25">
      <c r="A1749" s="33">
        <v>41</v>
      </c>
      <c r="B1749" s="71" t="s">
        <v>29</v>
      </c>
      <c r="C1749" s="39" t="s">
        <v>4797</v>
      </c>
      <c r="D1749" s="106" t="s">
        <v>2474</v>
      </c>
      <c r="E1749" s="47">
        <v>45940</v>
      </c>
      <c r="F1749" s="31" t="str">
        <f>VLOOKUP($C1749,Carpetas!$C$5:$M$2666,2,FALSE)</f>
        <v>BRB116</v>
      </c>
      <c r="G1749" s="23" t="str">
        <f>VLOOKUP($C1749,Carpetas!$C$5:$M$2666,10,FALSE)</f>
        <v>153,76,23</v>
      </c>
      <c r="H1749" s="27" t="str">
        <f>VLOOKUP($C1749,Carpetas!$C$5:$M$2666,6,FALSE)</f>
        <v>FG</v>
      </c>
      <c r="I1749" s="220"/>
      <c r="J1749" s="47">
        <v>45943</v>
      </c>
      <c r="K1749" s="72" t="str">
        <f>VLOOKUP($C1749,Carpetas!$C$5:$M$2666,5,FALSE)</f>
        <v>Rio Branco</v>
      </c>
      <c r="L1749" s="32"/>
      <c r="M1749" s="48">
        <f t="shared" si="119"/>
        <v>45944</v>
      </c>
      <c r="N1749" s="26">
        <f t="shared" si="120"/>
        <v>4</v>
      </c>
      <c r="O1749" s="27">
        <v>990</v>
      </c>
      <c r="P1749" s="27">
        <v>990</v>
      </c>
      <c r="Q1749" s="27">
        <v>28</v>
      </c>
      <c r="R1749" s="27">
        <v>26</v>
      </c>
      <c r="S1749" s="27" t="s">
        <v>4849</v>
      </c>
      <c r="T1749" s="27"/>
      <c r="U1749" s="27">
        <v>1181</v>
      </c>
      <c r="V1749" s="27" t="s">
        <v>1430</v>
      </c>
      <c r="W1749" s="27" t="s">
        <v>1669</v>
      </c>
      <c r="X1749" s="128" t="s">
        <v>1923</v>
      </c>
      <c r="Y1749" s="73" t="str">
        <f>VLOOKUP(X1749,Choferes!$B$3:C409,2,FALSE)</f>
        <v>+5553999049426</v>
      </c>
      <c r="Z1749" s="73" t="s">
        <v>4848</v>
      </c>
    </row>
    <row r="1750" spans="1:26" hidden="1" x14ac:dyDescent="0.25">
      <c r="A1750" s="33">
        <v>41</v>
      </c>
      <c r="B1750" s="71" t="s">
        <v>29</v>
      </c>
      <c r="C1750" s="39" t="s">
        <v>4721</v>
      </c>
      <c r="D1750" s="106" t="s">
        <v>249</v>
      </c>
      <c r="E1750" s="47">
        <v>45940</v>
      </c>
      <c r="F1750" s="31" t="str">
        <f>VLOOKUP($C1750,Carpetas!$C$5:$M$2666,2,FALSE)</f>
        <v>BRB111</v>
      </c>
      <c r="G1750" s="23" t="str">
        <f>VLOOKUP($C1750,Carpetas!$C$5:$M$2666,10,FALSE)</f>
        <v>153.74.79</v>
      </c>
      <c r="H1750" s="27" t="str">
        <f>VLOOKUP($C1750,Carpetas!$C$5:$M$2666,6,FALSE)</f>
        <v xml:space="preserve">Silvio </v>
      </c>
      <c r="I1750" s="220"/>
      <c r="J1750" s="47">
        <v>45943</v>
      </c>
      <c r="K1750" s="72" t="str">
        <f>VLOOKUP($C1750,Carpetas!$C$5:$M$2666,5,FALSE)</f>
        <v>Rio Branco</v>
      </c>
      <c r="L1750" s="32"/>
      <c r="M1750" s="48">
        <f t="shared" si="119"/>
        <v>45944</v>
      </c>
      <c r="N1750" s="26">
        <f t="shared" si="120"/>
        <v>4</v>
      </c>
      <c r="O1750" s="27">
        <v>918</v>
      </c>
      <c r="P1750" s="27">
        <v>918</v>
      </c>
      <c r="Q1750" s="27">
        <v>26</v>
      </c>
      <c r="R1750" s="27">
        <v>25</v>
      </c>
      <c r="S1750" s="27" t="s">
        <v>4850</v>
      </c>
      <c r="T1750" s="27"/>
      <c r="U1750" s="27">
        <v>7541</v>
      </c>
      <c r="V1750" s="27" t="s">
        <v>3238</v>
      </c>
      <c r="W1750" s="27" t="s">
        <v>3239</v>
      </c>
      <c r="X1750" s="128" t="s">
        <v>3530</v>
      </c>
      <c r="Y1750" s="73" t="str">
        <f>VLOOKUP(X1750,Choferes!$B$3:C411,2,FALSE)</f>
        <v>+59897354091</v>
      </c>
      <c r="Z1750" s="73" t="s">
        <v>4851</v>
      </c>
    </row>
    <row r="1751" spans="1:26" hidden="1" x14ac:dyDescent="0.25">
      <c r="A1751" s="33">
        <v>41</v>
      </c>
      <c r="B1751" s="71" t="s">
        <v>29</v>
      </c>
      <c r="C1751" s="39" t="s">
        <v>4819</v>
      </c>
      <c r="D1751" s="106" t="s">
        <v>2202</v>
      </c>
      <c r="E1751" s="47">
        <v>45940</v>
      </c>
      <c r="F1751" s="31" t="str">
        <f>VLOOKUP($C1751,Carpetas!$C$5:$M$2666,2,FALSE)</f>
        <v>BRB120</v>
      </c>
      <c r="G1751" s="23" t="str">
        <f>VLOOKUP($C1751,Carpetas!$C$5:$M$2666,10,FALSE)</f>
        <v>153,86,74</v>
      </c>
      <c r="H1751" s="27" t="str">
        <f>VLOOKUP($C1751,Carpetas!$C$5:$M$2666,6,FALSE)</f>
        <v>Chabat</v>
      </c>
      <c r="I1751" s="220"/>
      <c r="J1751" s="47">
        <v>45943</v>
      </c>
      <c r="K1751" s="72" t="str">
        <f>VLOOKUP($C1751,Carpetas!$C$5:$M$2666,5,FALSE)</f>
        <v>Chuy</v>
      </c>
      <c r="L1751" s="32"/>
      <c r="M1751" s="48">
        <f t="shared" si="119"/>
        <v>45944</v>
      </c>
      <c r="N1751" s="26">
        <f t="shared" si="120"/>
        <v>4</v>
      </c>
      <c r="O1751" s="27">
        <v>990</v>
      </c>
      <c r="P1751" s="27">
        <v>991</v>
      </c>
      <c r="Q1751" s="27">
        <v>28</v>
      </c>
      <c r="R1751" s="27">
        <v>26</v>
      </c>
      <c r="S1751" s="27" t="s">
        <v>4852</v>
      </c>
      <c r="T1751" s="27"/>
      <c r="U1751" s="27"/>
      <c r="V1751" s="27" t="s">
        <v>4276</v>
      </c>
      <c r="W1751" s="27" t="s">
        <v>4135</v>
      </c>
      <c r="X1751" s="128"/>
      <c r="Y1751" s="73" t="e">
        <f>VLOOKUP(X1751,Choferes!$B$3:C411,2,FALSE)</f>
        <v>#N/A</v>
      </c>
      <c r="Z1751" s="73" t="s">
        <v>4846</v>
      </c>
    </row>
    <row r="1752" spans="1:26" hidden="1" x14ac:dyDescent="0.25">
      <c r="A1752" s="33">
        <v>41</v>
      </c>
      <c r="B1752" s="71" t="s">
        <v>29</v>
      </c>
      <c r="C1752" s="39" t="s">
        <v>4853</v>
      </c>
      <c r="D1752" s="106" t="s">
        <v>38</v>
      </c>
      <c r="E1752" s="47">
        <v>45936</v>
      </c>
      <c r="F1752" s="31" t="str">
        <f>VLOOKUP($C1752,Carpetas!$C$5:$M$2666,2,FALSE)</f>
        <v>BRE059</v>
      </c>
      <c r="G1752" s="23">
        <f>VLOOKUP($C1752,Carpetas!$C$5:$M$2666,10,FALSE)</f>
        <v>0</v>
      </c>
      <c r="H1752" s="27" t="str">
        <f>VLOOKUP($C1752,Carpetas!$C$5:$M$2666,6,FALSE)</f>
        <v>Miltex</v>
      </c>
      <c r="I1752" s="220">
        <f>VLOOKUP($C1752,Carpetas!$C$5:$M$2666,4,FALSE)</f>
        <v>0</v>
      </c>
      <c r="J1752" s="47">
        <v>45943</v>
      </c>
      <c r="K1752" s="72" t="str">
        <f>VLOOKUP($C1752,Carpetas!$C$5:$M$2666,5,FALSE)</f>
        <v>Rio Branco</v>
      </c>
      <c r="L1752" s="32"/>
      <c r="M1752" s="48">
        <f t="shared" si="119"/>
        <v>45944</v>
      </c>
      <c r="N1752" s="26">
        <f t="shared" si="120"/>
        <v>8</v>
      </c>
      <c r="O1752" s="27">
        <v>24500</v>
      </c>
      <c r="P1752" s="27">
        <v>24500</v>
      </c>
      <c r="Q1752" s="27"/>
      <c r="R1752" s="27"/>
      <c r="S1752" s="27"/>
      <c r="T1752" s="27"/>
      <c r="U1752" s="27">
        <v>176</v>
      </c>
      <c r="V1752" s="27" t="s">
        <v>4854</v>
      </c>
      <c r="W1752" s="27" t="s">
        <v>4855</v>
      </c>
      <c r="X1752" s="128"/>
      <c r="Y1752" s="73" t="e">
        <f>VLOOKUP(X1752,Choferes!$B$3:C411,2,FALSE)</f>
        <v>#N/A</v>
      </c>
      <c r="Z1752" s="73" t="s">
        <v>1273</v>
      </c>
    </row>
    <row r="1753" spans="1:26" hidden="1" x14ac:dyDescent="0.25">
      <c r="A1753" s="33">
        <v>41</v>
      </c>
      <c r="B1753" s="71" t="s">
        <v>29</v>
      </c>
      <c r="C1753" s="39" t="s">
        <v>4797</v>
      </c>
      <c r="D1753" s="106" t="s">
        <v>803</v>
      </c>
      <c r="E1753" s="47">
        <v>45941</v>
      </c>
      <c r="F1753" s="31" t="str">
        <f>VLOOKUP($C1753,Carpetas!$C$5:$M$2666,2,FALSE)</f>
        <v>BRB116</v>
      </c>
      <c r="G1753" s="23" t="str">
        <f>VLOOKUP($C1753,Carpetas!$C$5:$M$2666,10,FALSE)</f>
        <v>153,76,23</v>
      </c>
      <c r="H1753" s="27" t="str">
        <f>VLOOKUP($C1753,Carpetas!$C$5:$M$2666,6,FALSE)</f>
        <v>FG</v>
      </c>
      <c r="I1753" s="220"/>
      <c r="J1753" s="47">
        <f>E1753+2</f>
        <v>45943</v>
      </c>
      <c r="K1753" s="72" t="str">
        <f>VLOOKUP($C1753,Carpetas!$C$5:$M$2666,5,FALSE)</f>
        <v>Rio Branco</v>
      </c>
      <c r="L1753" s="32"/>
      <c r="M1753" s="48">
        <f t="shared" si="119"/>
        <v>45944</v>
      </c>
      <c r="N1753" s="26">
        <f t="shared" si="120"/>
        <v>3</v>
      </c>
      <c r="O1753" s="27">
        <v>990</v>
      </c>
      <c r="P1753" s="27">
        <v>990</v>
      </c>
      <c r="Q1753" s="27">
        <v>28</v>
      </c>
      <c r="R1753" s="27">
        <v>26</v>
      </c>
      <c r="S1753" s="27" t="s">
        <v>4856</v>
      </c>
      <c r="T1753" s="27"/>
      <c r="U1753" s="27">
        <v>1184</v>
      </c>
      <c r="V1753" s="27" t="s">
        <v>4319</v>
      </c>
      <c r="W1753" s="27" t="s">
        <v>1523</v>
      </c>
      <c r="X1753" s="128" t="s">
        <v>4320</v>
      </c>
      <c r="Y1753" s="73" t="str">
        <f>VLOOKUP(X1753,Choferes!$B$3:C405,2,FALSE)</f>
        <v>+598 98 562 952</v>
      </c>
      <c r="Z1753" s="73" t="s">
        <v>4857</v>
      </c>
    </row>
    <row r="1754" spans="1:26" hidden="1" x14ac:dyDescent="0.25">
      <c r="A1754" s="33">
        <v>41</v>
      </c>
      <c r="B1754" s="71" t="s">
        <v>29</v>
      </c>
      <c r="C1754" s="39" t="s">
        <v>4837</v>
      </c>
      <c r="D1754" s="106" t="s">
        <v>2474</v>
      </c>
      <c r="E1754" s="47">
        <v>45940</v>
      </c>
      <c r="F1754" s="31" t="str">
        <f>VLOOKUP($C1754,Carpetas!$C$5:$M$2666,2,FALSE)</f>
        <v>BRB119</v>
      </c>
      <c r="G1754" s="23" t="str">
        <f>VLOOKUP($C1754,Carpetas!$C$5:$M$2666,10,FALSE)</f>
        <v>153,87,99</v>
      </c>
      <c r="H1754" s="27" t="str">
        <f>VLOOKUP($C1754,Carpetas!$C$5:$M$2666,6,FALSE)</f>
        <v>Zanini</v>
      </c>
      <c r="I1754" s="220"/>
      <c r="J1754" s="47">
        <v>45943</v>
      </c>
      <c r="K1754" s="72" t="str">
        <f>VLOOKUP($C1754,Carpetas!$C$5:$M$2666,5,FALSE)</f>
        <v>Rio Branco</v>
      </c>
      <c r="L1754" s="32"/>
      <c r="M1754" s="48">
        <f t="shared" si="119"/>
        <v>45944</v>
      </c>
      <c r="N1754" s="26">
        <f t="shared" si="120"/>
        <v>4</v>
      </c>
      <c r="O1754" s="27">
        <v>918</v>
      </c>
      <c r="P1754" s="27">
        <v>918</v>
      </c>
      <c r="Q1754" s="27">
        <v>26</v>
      </c>
      <c r="R1754" s="27">
        <v>25</v>
      </c>
      <c r="S1754" s="27" t="s">
        <v>4858</v>
      </c>
      <c r="T1754" s="27"/>
      <c r="U1754" s="27">
        <v>5564</v>
      </c>
      <c r="V1754" s="27" t="s">
        <v>106</v>
      </c>
      <c r="W1754" s="27" t="s">
        <v>107</v>
      </c>
      <c r="X1754" s="128" t="s">
        <v>108</v>
      </c>
      <c r="Y1754" s="73" t="str">
        <f>VLOOKUP(X1754,Choferes!$B$3:C410,2,FALSE)</f>
        <v>+5542991092026</v>
      </c>
      <c r="Z1754" s="73" t="s">
        <v>4851</v>
      </c>
    </row>
    <row r="1755" spans="1:26" ht="30" hidden="1" x14ac:dyDescent="0.25">
      <c r="A1755" s="33">
        <v>41</v>
      </c>
      <c r="B1755" s="71" t="s">
        <v>29</v>
      </c>
      <c r="C1755" s="39" t="s">
        <v>4859</v>
      </c>
      <c r="D1755" s="106" t="s">
        <v>38</v>
      </c>
      <c r="E1755" s="47">
        <v>45941</v>
      </c>
      <c r="F1755" s="31" t="str">
        <f>VLOOKUP($C1755,Carpetas!$C$5:$M$2666,2,FALSE)</f>
        <v>BRE061</v>
      </c>
      <c r="G1755" s="23">
        <f>VLOOKUP($C1755,Carpetas!$C$5:$M$2666,10,FALSE)</f>
        <v>0</v>
      </c>
      <c r="H1755" s="27" t="str">
        <f>VLOOKUP($C1755,Carpetas!$C$5:$M$2666,6,FALSE)</f>
        <v>VPN</v>
      </c>
      <c r="I1755" s="220">
        <f>VLOOKUP($C1755,Carpetas!$C$5:$M$2666,4,FALSE)</f>
        <v>0</v>
      </c>
      <c r="J1755" s="47">
        <v>45943</v>
      </c>
      <c r="K1755" s="72" t="str">
        <f>VLOOKUP($C1755,Carpetas!$C$5:$M$2666,5,FALSE)</f>
        <v>Chuy</v>
      </c>
      <c r="L1755" s="32"/>
      <c r="M1755" s="48">
        <f t="shared" si="119"/>
        <v>45944</v>
      </c>
      <c r="N1755" s="26">
        <f t="shared" si="120"/>
        <v>3</v>
      </c>
      <c r="O1755" s="27">
        <v>1122</v>
      </c>
      <c r="P1755" s="27">
        <v>1122</v>
      </c>
      <c r="Q1755" s="27">
        <v>26</v>
      </c>
      <c r="R1755" s="27">
        <v>25</v>
      </c>
      <c r="S1755" s="27"/>
      <c r="T1755" s="27"/>
      <c r="U1755" s="27"/>
      <c r="V1755" s="27"/>
      <c r="W1755" s="27"/>
      <c r="X1755" s="128"/>
      <c r="Y1755" s="73" t="e">
        <f>VLOOKUP(X1755,Choferes!$B$3:C413,2,FALSE)</f>
        <v>#N/A</v>
      </c>
      <c r="Z1755" s="73" t="s">
        <v>4860</v>
      </c>
    </row>
    <row r="1756" spans="1:26" hidden="1" x14ac:dyDescent="0.25">
      <c r="A1756" s="33">
        <v>41</v>
      </c>
      <c r="B1756" s="71" t="s">
        <v>29</v>
      </c>
      <c r="C1756" s="39" t="s">
        <v>4861</v>
      </c>
      <c r="D1756" s="106" t="s">
        <v>38</v>
      </c>
      <c r="E1756" s="47">
        <v>45940</v>
      </c>
      <c r="F1756" s="31" t="str">
        <f>VLOOKUP($C1756,Carpetas!$C$5:$M$2666,2,FALSE)</f>
        <v>BRE062</v>
      </c>
      <c r="G1756" s="23">
        <f>VLOOKUP($C1756,Carpetas!$C$5:$M$2666,10,FALSE)</f>
        <v>0</v>
      </c>
      <c r="H1756" s="27" t="str">
        <f>VLOOKUP($C1756,Carpetas!$C$5:$M$2666,6,FALSE)</f>
        <v>Miltex</v>
      </c>
      <c r="I1756" s="220">
        <f>VLOOKUP($C1756,Carpetas!$C$5:$M$2666,4,FALSE)</f>
        <v>0</v>
      </c>
      <c r="J1756" s="47">
        <v>45944</v>
      </c>
      <c r="K1756" s="72" t="str">
        <f>VLOOKUP($C1756,Carpetas!$C$5:$M$2666,5,FALSE)</f>
        <v>Rio Branco</v>
      </c>
      <c r="L1756" s="32"/>
      <c r="M1756" s="48">
        <f t="shared" si="119"/>
        <v>45945</v>
      </c>
      <c r="N1756" s="26">
        <f t="shared" si="120"/>
        <v>5</v>
      </c>
      <c r="O1756" s="27">
        <v>24500</v>
      </c>
      <c r="P1756" s="27">
        <v>24500</v>
      </c>
      <c r="Q1756" s="27"/>
      <c r="R1756" s="27"/>
      <c r="S1756" s="27"/>
      <c r="T1756" s="27"/>
      <c r="U1756" s="27">
        <v>180</v>
      </c>
      <c r="V1756" s="27" t="s">
        <v>4862</v>
      </c>
      <c r="W1756" s="27" t="s">
        <v>3424</v>
      </c>
      <c r="X1756" s="128"/>
      <c r="Y1756" s="73" t="e">
        <f>VLOOKUP(X1756,Choferes!$B$3:C413,2,FALSE)</f>
        <v>#N/A</v>
      </c>
      <c r="Z1756" s="73" t="s">
        <v>1273</v>
      </c>
    </row>
    <row r="1757" spans="1:26" hidden="1" x14ac:dyDescent="0.25">
      <c r="A1757" s="33">
        <v>42</v>
      </c>
      <c r="B1757" s="71" t="s">
        <v>29</v>
      </c>
      <c r="C1757" s="39" t="s">
        <v>4863</v>
      </c>
      <c r="D1757" s="106" t="s">
        <v>2202</v>
      </c>
      <c r="E1757" s="47">
        <v>45943</v>
      </c>
      <c r="F1757" s="31" t="str">
        <f>VLOOKUP($C1757,Carpetas!$C$5:$M$2666,2,FALSE)</f>
        <v>BRB122</v>
      </c>
      <c r="G1757" s="23" t="str">
        <f>VLOOKUP($C1757,Carpetas!$C$5:$M$2666,10,FALSE)</f>
        <v>153.94.27</v>
      </c>
      <c r="H1757" s="27" t="str">
        <f>VLOOKUP($C1757,Carpetas!$C$5:$M$2666,6,FALSE)</f>
        <v>Chabat</v>
      </c>
      <c r="I1757" s="220"/>
      <c r="J1757" s="47">
        <f>E1757+2</f>
        <v>45945</v>
      </c>
      <c r="K1757" s="72" t="str">
        <f>VLOOKUP($C1757,Carpetas!$C$5:$M$2666,5,FALSE)</f>
        <v>Rio Branco</v>
      </c>
      <c r="L1757" s="32"/>
      <c r="M1757" s="48">
        <f t="shared" si="119"/>
        <v>45946</v>
      </c>
      <c r="N1757" s="26">
        <f t="shared" si="120"/>
        <v>3</v>
      </c>
      <c r="O1757" s="27">
        <v>990</v>
      </c>
      <c r="P1757" s="27">
        <v>991</v>
      </c>
      <c r="Q1757" s="27">
        <v>28</v>
      </c>
      <c r="R1757" s="27">
        <v>26</v>
      </c>
      <c r="S1757" s="27" t="s">
        <v>4864</v>
      </c>
      <c r="T1757" s="27"/>
      <c r="U1757" s="27"/>
      <c r="V1757" s="27" t="s">
        <v>4608</v>
      </c>
      <c r="W1757" s="27" t="s">
        <v>4283</v>
      </c>
      <c r="X1757" s="128"/>
      <c r="Y1757" s="73" t="e">
        <f>VLOOKUP(X1757,Choferes!$B$3:C418,2,FALSE)</f>
        <v>#N/A</v>
      </c>
      <c r="Z1757" s="73" t="s">
        <v>4865</v>
      </c>
    </row>
    <row r="1758" spans="1:26" hidden="1" x14ac:dyDescent="0.25">
      <c r="A1758" s="33">
        <v>42</v>
      </c>
      <c r="B1758" s="71" t="s">
        <v>29</v>
      </c>
      <c r="C1758" s="39" t="s">
        <v>4866</v>
      </c>
      <c r="D1758" s="106" t="s">
        <v>2474</v>
      </c>
      <c r="E1758" s="47">
        <v>45943</v>
      </c>
      <c r="F1758" s="31" t="str">
        <f>VLOOKUP($C1758,Carpetas!$C$5:$M$2666,2,FALSE)</f>
        <v>BRB121</v>
      </c>
      <c r="G1758" s="23" t="str">
        <f>VLOOKUP($C1758,Carpetas!$C$5:$M$2666,10,FALSE)</f>
        <v>153.95.01</v>
      </c>
      <c r="H1758" s="27" t="str">
        <f>VLOOKUP($C1758,Carpetas!$C$5:$M$2666,6,FALSE)</f>
        <v>FG</v>
      </c>
      <c r="I1758" s="220"/>
      <c r="J1758" s="47">
        <f>E1758+2</f>
        <v>45945</v>
      </c>
      <c r="K1758" s="72" t="str">
        <f>VLOOKUP($C1758,Carpetas!$C$5:$M$2666,5,FALSE)</f>
        <v>Rio Branco</v>
      </c>
      <c r="L1758" s="32"/>
      <c r="M1758" s="48">
        <f t="shared" si="119"/>
        <v>45946</v>
      </c>
      <c r="N1758" s="26">
        <f t="shared" si="120"/>
        <v>3</v>
      </c>
      <c r="O1758" s="27">
        <v>990</v>
      </c>
      <c r="P1758" s="27">
        <v>990</v>
      </c>
      <c r="Q1758" s="27">
        <v>28</v>
      </c>
      <c r="R1758" s="27">
        <v>26</v>
      </c>
      <c r="S1758" s="27" t="s">
        <v>4867</v>
      </c>
      <c r="T1758" s="27"/>
      <c r="U1758" s="27">
        <v>1185</v>
      </c>
      <c r="V1758" s="27" t="s">
        <v>3411</v>
      </c>
      <c r="W1758" s="27" t="s">
        <v>3412</v>
      </c>
      <c r="X1758" s="128" t="s">
        <v>3559</v>
      </c>
      <c r="Y1758" s="73" t="str">
        <f>VLOOKUP(X1758,Choferes!$B$3:C421,2,FALSE)</f>
        <v>+55 53 9713-4372</v>
      </c>
      <c r="Z1758" s="73" t="s">
        <v>4868</v>
      </c>
    </row>
    <row r="1759" spans="1:26" hidden="1" x14ac:dyDescent="0.25">
      <c r="A1759" s="33">
        <v>41</v>
      </c>
      <c r="B1759" s="71" t="s">
        <v>29</v>
      </c>
      <c r="C1759" s="39" t="s">
        <v>4869</v>
      </c>
      <c r="D1759" s="106" t="s">
        <v>38</v>
      </c>
      <c r="E1759" s="47">
        <v>45940</v>
      </c>
      <c r="F1759" s="31" t="str">
        <f>VLOOKUP($C1759,Carpetas!$C$5:$M$2666,2,FALSE)</f>
        <v>BRE064</v>
      </c>
      <c r="G1759" s="23">
        <f>VLOOKUP($C1759,Carpetas!$C$5:$M$2666,10,FALSE)</f>
        <v>0</v>
      </c>
      <c r="H1759" s="27" t="str">
        <f>VLOOKUP($C1759,Carpetas!$C$5:$M$2666,6,FALSE)</f>
        <v>Marvel</v>
      </c>
      <c r="I1759" s="220">
        <f>VLOOKUP($C1759,Carpetas!$C$5:$M$2666,4,FALSE)</f>
        <v>0</v>
      </c>
      <c r="J1759" s="47">
        <v>45945</v>
      </c>
      <c r="K1759" s="72" t="str">
        <f>VLOOKUP($C1759,Carpetas!$C$5:$M$2666,5,FALSE)</f>
        <v>Rio Branco</v>
      </c>
      <c r="L1759" s="32"/>
      <c r="M1759" s="48">
        <f t="shared" si="119"/>
        <v>45946</v>
      </c>
      <c r="N1759" s="26">
        <f t="shared" si="120"/>
        <v>6</v>
      </c>
      <c r="O1759" s="27">
        <v>1995</v>
      </c>
      <c r="P1759" s="27">
        <v>1995</v>
      </c>
      <c r="Q1759" s="27">
        <v>28</v>
      </c>
      <c r="R1759" s="27"/>
      <c r="S1759" s="27"/>
      <c r="T1759" s="27"/>
      <c r="U1759" s="27"/>
      <c r="V1759" s="27"/>
      <c r="W1759" s="27"/>
      <c r="X1759" s="128"/>
      <c r="Y1759" s="73" t="e">
        <f>VLOOKUP(X1759,Choferes!$B$3:C414,2,FALSE)</f>
        <v>#N/A</v>
      </c>
      <c r="Z1759" s="73" t="s">
        <v>4870</v>
      </c>
    </row>
    <row r="1760" spans="1:26" hidden="1" x14ac:dyDescent="0.25">
      <c r="A1760" s="33">
        <v>41</v>
      </c>
      <c r="B1760" s="71" t="s">
        <v>29</v>
      </c>
      <c r="C1760" s="39" t="s">
        <v>4871</v>
      </c>
      <c r="D1760" s="106" t="s">
        <v>38</v>
      </c>
      <c r="E1760" s="47">
        <v>45938</v>
      </c>
      <c r="F1760" s="31" t="str">
        <f>VLOOKUP($C1760,Carpetas!$C$5:$M$2666,2,FALSE)</f>
        <v>BRE060</v>
      </c>
      <c r="G1760" s="23">
        <f>VLOOKUP($C1760,Carpetas!$C$5:$M$2666,10,FALSE)</f>
        <v>0</v>
      </c>
      <c r="H1760" s="27" t="str">
        <f>VLOOKUP($C1760,Carpetas!$C$5:$M$2666,6,FALSE)</f>
        <v>Miltex</v>
      </c>
      <c r="I1760" s="220">
        <f>VLOOKUP($C1760,Carpetas!$C$5:$M$2666,4,FALSE)</f>
        <v>0</v>
      </c>
      <c r="J1760" s="47">
        <v>45945</v>
      </c>
      <c r="K1760" s="72" t="str">
        <f>VLOOKUP($C1760,Carpetas!$C$5:$M$2666,5,FALSE)</f>
        <v>Rio Branco</v>
      </c>
      <c r="L1760" s="32"/>
      <c r="M1760" s="48">
        <f>J1760+1+1</f>
        <v>45947</v>
      </c>
      <c r="N1760" s="26">
        <f t="shared" si="120"/>
        <v>9</v>
      </c>
      <c r="O1760" s="27">
        <v>24500</v>
      </c>
      <c r="P1760" s="27">
        <v>24500</v>
      </c>
      <c r="Q1760" s="27"/>
      <c r="R1760" s="27"/>
      <c r="S1760" s="27"/>
      <c r="T1760" s="27"/>
      <c r="U1760" s="27">
        <v>177</v>
      </c>
      <c r="V1760" s="27" t="s">
        <v>4872</v>
      </c>
      <c r="W1760" s="27" t="s">
        <v>4873</v>
      </c>
      <c r="X1760" s="128"/>
      <c r="Y1760" s="73" t="e">
        <f>VLOOKUP(X1760,Choferes!$B$3:C412,2,FALSE)</f>
        <v>#N/A</v>
      </c>
      <c r="Z1760" s="73" t="s">
        <v>1273</v>
      </c>
    </row>
    <row r="1761" spans="1:26" hidden="1" x14ac:dyDescent="0.25">
      <c r="A1761" s="33">
        <v>42</v>
      </c>
      <c r="B1761" s="71" t="s">
        <v>29</v>
      </c>
      <c r="C1761" s="39" t="s">
        <v>4863</v>
      </c>
      <c r="D1761" s="106" t="s">
        <v>2202</v>
      </c>
      <c r="E1761" s="47">
        <v>45944</v>
      </c>
      <c r="F1761" s="31" t="str">
        <f>VLOOKUP($C1761,Carpetas!$C$5:$M$2666,2,FALSE)</f>
        <v>BRB122</v>
      </c>
      <c r="G1761" s="23" t="str">
        <f>VLOOKUP($C1761,Carpetas!$C$5:$M$2666,10,FALSE)</f>
        <v>153.94.27</v>
      </c>
      <c r="H1761" s="27" t="str">
        <f>VLOOKUP($C1761,Carpetas!$C$5:$M$2666,6,FALSE)</f>
        <v>Chabat</v>
      </c>
      <c r="I1761" s="220"/>
      <c r="J1761" s="47">
        <f>E1761+2</f>
        <v>45946</v>
      </c>
      <c r="K1761" s="72" t="str">
        <f>VLOOKUP($C1761,Carpetas!$C$5:$M$2666,5,FALSE)</f>
        <v>Rio Branco</v>
      </c>
      <c r="L1761" s="32"/>
      <c r="M1761" s="48">
        <f t="shared" ref="M1761:M1792" si="121">J1761+1</f>
        <v>45947</v>
      </c>
      <c r="N1761" s="26">
        <f t="shared" si="120"/>
        <v>3</v>
      </c>
      <c r="O1761" s="27">
        <v>990</v>
      </c>
      <c r="P1761" s="27">
        <v>991</v>
      </c>
      <c r="Q1761" s="27">
        <v>28</v>
      </c>
      <c r="R1761" s="27">
        <v>26</v>
      </c>
      <c r="S1761" s="27" t="s">
        <v>4874</v>
      </c>
      <c r="T1761" s="27"/>
      <c r="U1761" s="27"/>
      <c r="V1761" s="27" t="s">
        <v>4663</v>
      </c>
      <c r="W1761" s="27" t="s">
        <v>4223</v>
      </c>
      <c r="X1761" s="128"/>
      <c r="Y1761" s="73" t="e">
        <f>VLOOKUP(X1761,Choferes!$B$3:C419,2,FALSE)</f>
        <v>#N/A</v>
      </c>
      <c r="Z1761" s="73" t="s">
        <v>4875</v>
      </c>
    </row>
    <row r="1762" spans="1:26" hidden="1" x14ac:dyDescent="0.25">
      <c r="A1762" s="33">
        <v>42</v>
      </c>
      <c r="B1762" s="71" t="s">
        <v>29</v>
      </c>
      <c r="C1762" s="39" t="s">
        <v>4866</v>
      </c>
      <c r="D1762" s="106" t="s">
        <v>803</v>
      </c>
      <c r="E1762" s="47">
        <v>45944</v>
      </c>
      <c r="F1762" s="31" t="str">
        <f>VLOOKUP($C1762,Carpetas!$C$5:$M$2666,2,FALSE)</f>
        <v>BRB121</v>
      </c>
      <c r="G1762" s="23" t="str">
        <f>VLOOKUP($C1762,Carpetas!$C$5:$M$2666,10,FALSE)</f>
        <v>153.95.01</v>
      </c>
      <c r="H1762" s="27" t="str">
        <f>VLOOKUP($C1762,Carpetas!$C$5:$M$2666,6,FALSE)</f>
        <v>FG</v>
      </c>
      <c r="I1762" s="220"/>
      <c r="J1762" s="47">
        <f>E1762+2</f>
        <v>45946</v>
      </c>
      <c r="K1762" s="72" t="str">
        <f>VLOOKUP($C1762,Carpetas!$C$5:$M$2666,5,FALSE)</f>
        <v>Rio Branco</v>
      </c>
      <c r="L1762" s="32"/>
      <c r="M1762" s="48">
        <f t="shared" si="121"/>
        <v>45947</v>
      </c>
      <c r="N1762" s="26">
        <f t="shared" si="120"/>
        <v>3</v>
      </c>
      <c r="O1762" s="27">
        <v>990</v>
      </c>
      <c r="P1762" s="27">
        <v>990</v>
      </c>
      <c r="Q1762" s="27">
        <v>28</v>
      </c>
      <c r="R1762" s="27">
        <v>26</v>
      </c>
      <c r="S1762" s="27" t="s">
        <v>4876</v>
      </c>
      <c r="T1762" s="27"/>
      <c r="U1762" s="27">
        <v>1188</v>
      </c>
      <c r="V1762" s="27" t="s">
        <v>1645</v>
      </c>
      <c r="W1762" s="27" t="s">
        <v>1631</v>
      </c>
      <c r="X1762" s="128" t="s">
        <v>3808</v>
      </c>
      <c r="Y1762" s="73" t="str">
        <f>VLOOKUP(X1762,Choferes!$B$3:C422,2,FALSE)</f>
        <v>+55 53 8412-9466</v>
      </c>
      <c r="Z1762" s="73" t="s">
        <v>4877</v>
      </c>
    </row>
    <row r="1763" spans="1:26" hidden="1" x14ac:dyDescent="0.25">
      <c r="A1763" s="33">
        <v>42</v>
      </c>
      <c r="B1763" s="71" t="s">
        <v>29</v>
      </c>
      <c r="C1763" s="39" t="s">
        <v>4866</v>
      </c>
      <c r="D1763" s="106" t="s">
        <v>747</v>
      </c>
      <c r="E1763" s="47">
        <v>45944</v>
      </c>
      <c r="F1763" s="31" t="str">
        <f>VLOOKUP($C1763,Carpetas!$C$5:$M$2666,2,FALSE)</f>
        <v>BRB121</v>
      </c>
      <c r="G1763" s="23" t="str">
        <f>VLOOKUP($C1763,Carpetas!$C$5:$M$2666,10,FALSE)</f>
        <v>153.95.01</v>
      </c>
      <c r="H1763" s="27" t="str">
        <f>VLOOKUP($C1763,Carpetas!$C$5:$M$2666,6,FALSE)</f>
        <v>FG</v>
      </c>
      <c r="I1763" s="220"/>
      <c r="J1763" s="47">
        <f>E1763+2</f>
        <v>45946</v>
      </c>
      <c r="K1763" s="72" t="str">
        <f>VLOOKUP($C1763,Carpetas!$C$5:$M$2666,5,FALSE)</f>
        <v>Rio Branco</v>
      </c>
      <c r="L1763" s="32"/>
      <c r="M1763" s="48">
        <f t="shared" si="121"/>
        <v>45947</v>
      </c>
      <c r="N1763" s="26">
        <f t="shared" si="120"/>
        <v>3</v>
      </c>
      <c r="O1763" s="27">
        <v>990</v>
      </c>
      <c r="P1763" s="27">
        <v>991</v>
      </c>
      <c r="Q1763" s="27">
        <v>28</v>
      </c>
      <c r="R1763" s="27">
        <v>26</v>
      </c>
      <c r="S1763" s="27" t="s">
        <v>4878</v>
      </c>
      <c r="T1763" s="27"/>
      <c r="U1763" s="27">
        <v>1187</v>
      </c>
      <c r="V1763" s="27" t="s">
        <v>4716</v>
      </c>
      <c r="W1763" s="27" t="s">
        <v>1622</v>
      </c>
      <c r="X1763" s="128" t="s">
        <v>1397</v>
      </c>
      <c r="Y1763" s="73" t="str">
        <f>VLOOKUP(X1763,Choferes!$B$3:C423,2,FALSE)</f>
        <v>+5551996322594</v>
      </c>
      <c r="Z1763" s="73" t="s">
        <v>4879</v>
      </c>
    </row>
    <row r="1764" spans="1:26" hidden="1" x14ac:dyDescent="0.25">
      <c r="A1764" s="33">
        <v>42</v>
      </c>
      <c r="B1764" s="71" t="s">
        <v>29</v>
      </c>
      <c r="C1764" s="39" t="s">
        <v>4866</v>
      </c>
      <c r="D1764" s="106" t="s">
        <v>803</v>
      </c>
      <c r="E1764" s="47">
        <v>45945</v>
      </c>
      <c r="F1764" s="31" t="str">
        <f>VLOOKUP($C1764,Carpetas!$C$5:$M$2666,2,FALSE)</f>
        <v>BRB121</v>
      </c>
      <c r="G1764" s="23" t="str">
        <f>VLOOKUP($C1764,Carpetas!$C$5:$M$2666,10,FALSE)</f>
        <v>153.95.01</v>
      </c>
      <c r="H1764" s="27" t="str">
        <f>VLOOKUP($C1764,Carpetas!$C$5:$M$2666,6,FALSE)</f>
        <v>FG</v>
      </c>
      <c r="I1764" s="220"/>
      <c r="J1764" s="47">
        <f>E1764+1</f>
        <v>45946</v>
      </c>
      <c r="K1764" s="72" t="str">
        <f>VLOOKUP($C1764,Carpetas!$C$5:$M$2666,5,FALSE)</f>
        <v>Rio Branco</v>
      </c>
      <c r="L1764" s="32"/>
      <c r="M1764" s="48">
        <f t="shared" si="121"/>
        <v>45947</v>
      </c>
      <c r="N1764" s="26">
        <f t="shared" si="120"/>
        <v>2</v>
      </c>
      <c r="O1764" s="27">
        <v>990</v>
      </c>
      <c r="P1764" s="27">
        <v>990</v>
      </c>
      <c r="Q1764" s="27">
        <v>28</v>
      </c>
      <c r="R1764" s="27">
        <v>26</v>
      </c>
      <c r="S1764" s="27" t="s">
        <v>4880</v>
      </c>
      <c r="T1764" s="27"/>
      <c r="U1764" s="27">
        <v>1193</v>
      </c>
      <c r="V1764" s="27" t="s">
        <v>1626</v>
      </c>
      <c r="W1764" s="27" t="s">
        <v>1627</v>
      </c>
      <c r="X1764" s="128" t="s">
        <v>1489</v>
      </c>
      <c r="Y1764" s="73" t="str">
        <f>VLOOKUP(X1764,Choferes!$B$3:C426,2,FALSE)</f>
        <v>+5553984039582</v>
      </c>
      <c r="Z1764" s="73" t="s">
        <v>4881</v>
      </c>
    </row>
    <row r="1765" spans="1:26" hidden="1" x14ac:dyDescent="0.25">
      <c r="A1765" s="33">
        <v>42</v>
      </c>
      <c r="B1765" s="71" t="s">
        <v>29</v>
      </c>
      <c r="C1765" s="39" t="s">
        <v>4840</v>
      </c>
      <c r="D1765" s="106" t="s">
        <v>953</v>
      </c>
      <c r="E1765" s="47">
        <v>45945</v>
      </c>
      <c r="F1765" s="31" t="str">
        <f>VLOOKUP($C1765,Carpetas!$C$5:$M$2666,2,FALSE)</f>
        <v>BRB117</v>
      </c>
      <c r="G1765" s="23" t="str">
        <f>VLOOKUP($C1765,Carpetas!$C$5:$M$2666,10,FALSE)</f>
        <v>153,87,97</v>
      </c>
      <c r="H1765" s="27" t="str">
        <f>VLOOKUP($C1765,Carpetas!$C$5:$M$2666,6,FALSE)</f>
        <v>Amaro</v>
      </c>
      <c r="I1765" s="220"/>
      <c r="J1765" s="47">
        <f>E1765+1</f>
        <v>45946</v>
      </c>
      <c r="K1765" s="72" t="str">
        <f>VLOOKUP($C1765,Carpetas!$C$5:$M$2666,5,FALSE)</f>
        <v>Rio Branco</v>
      </c>
      <c r="L1765" s="32"/>
      <c r="M1765" s="48">
        <f t="shared" si="121"/>
        <v>45947</v>
      </c>
      <c r="N1765" s="26">
        <f t="shared" si="120"/>
        <v>2</v>
      </c>
      <c r="O1765" s="27">
        <v>990</v>
      </c>
      <c r="P1765" s="27">
        <v>990</v>
      </c>
      <c r="Q1765" s="27">
        <v>28</v>
      </c>
      <c r="R1765" s="27">
        <v>26</v>
      </c>
      <c r="S1765" s="27" t="s">
        <v>1524</v>
      </c>
      <c r="T1765" s="27"/>
      <c r="U1765" s="27">
        <v>27088</v>
      </c>
      <c r="V1765" s="27" t="s">
        <v>4730</v>
      </c>
      <c r="W1765" s="27" t="s">
        <v>2620</v>
      </c>
      <c r="X1765" s="128" t="s">
        <v>4731</v>
      </c>
      <c r="Y1765" s="73" t="str">
        <f>VLOOKUP(X1765,Choferes!$B$3:C416,2,FALSE)</f>
        <v>+5553981336340</v>
      </c>
      <c r="Z1765" s="73" t="s">
        <v>4877</v>
      </c>
    </row>
    <row r="1766" spans="1:26" hidden="1" x14ac:dyDescent="0.25">
      <c r="A1766" s="33">
        <v>41</v>
      </c>
      <c r="B1766" s="71" t="s">
        <v>29</v>
      </c>
      <c r="C1766" s="39" t="s">
        <v>4882</v>
      </c>
      <c r="D1766" s="106" t="s">
        <v>38</v>
      </c>
      <c r="E1766" s="47">
        <v>45940</v>
      </c>
      <c r="F1766" s="31" t="str">
        <f>VLOOKUP($C1766,Carpetas!$C$5:$M$2666,2,FALSE)</f>
        <v>BRE063</v>
      </c>
      <c r="G1766" s="23">
        <f>VLOOKUP($C1766,Carpetas!$C$5:$M$2666,10,FALSE)</f>
        <v>1539052</v>
      </c>
      <c r="H1766" s="27" t="str">
        <f>VLOOKUP($C1766,Carpetas!$C$5:$M$2666,6,FALSE)</f>
        <v>Marvel</v>
      </c>
      <c r="I1766" s="220">
        <f>VLOOKUP($C1766,Carpetas!$C$5:$M$2666,4,FALSE)</f>
        <v>0</v>
      </c>
      <c r="J1766" s="47">
        <v>45947</v>
      </c>
      <c r="K1766" s="72" t="str">
        <f>VLOOKUP($C1766,Carpetas!$C$5:$M$2666,5,FALSE)</f>
        <v>Rio Branco</v>
      </c>
      <c r="L1766" s="32"/>
      <c r="M1766" s="48">
        <f t="shared" si="121"/>
        <v>45948</v>
      </c>
      <c r="N1766" s="26">
        <f t="shared" si="120"/>
        <v>8</v>
      </c>
      <c r="O1766" s="27">
        <v>5616</v>
      </c>
      <c r="P1766" s="27">
        <v>5616</v>
      </c>
      <c r="Q1766" s="27"/>
      <c r="R1766" s="27"/>
      <c r="S1766" s="27"/>
      <c r="T1766" s="27"/>
      <c r="U1766" s="27">
        <v>11112</v>
      </c>
      <c r="V1766" s="27" t="s">
        <v>4883</v>
      </c>
      <c r="W1766" s="27" t="s">
        <v>4884</v>
      </c>
      <c r="X1766" s="128"/>
      <c r="Y1766" s="73" t="e">
        <f>VLOOKUP(X1766,Choferes!$B$3:C413,2,FALSE)</f>
        <v>#N/A</v>
      </c>
      <c r="Z1766" s="73" t="s">
        <v>4885</v>
      </c>
    </row>
    <row r="1767" spans="1:26" hidden="1" x14ac:dyDescent="0.25">
      <c r="A1767" s="33">
        <v>42</v>
      </c>
      <c r="B1767" s="71" t="s">
        <v>298</v>
      </c>
      <c r="C1767" s="39" t="s">
        <v>299</v>
      </c>
      <c r="D1767" s="106" t="s">
        <v>2474</v>
      </c>
      <c r="E1767" s="47">
        <v>45945</v>
      </c>
      <c r="F1767" s="31" t="str">
        <f>VLOOKUP($C1767,Carpetas!$C$5:$M$2666,2,FALSE)</f>
        <v>BRB</v>
      </c>
      <c r="G1767" s="23" t="e">
        <f>VLOOKUP($C1767,Carpetas!$C$5:$M$2666,9,FALSE)</f>
        <v>#REF!</v>
      </c>
      <c r="H1767" s="27" t="str">
        <f>VLOOKUP($C1767,Carpetas!$C$5:$M$2666,5,FALSE)</f>
        <v>xx</v>
      </c>
      <c r="I1767" s="220"/>
      <c r="J1767" s="47">
        <f>E1767+2</f>
        <v>45947</v>
      </c>
      <c r="K1767" s="72">
        <f>VLOOKUP($C1767,Carpetas!$C$5:$M$2666,4,FALSE)</f>
        <v>0</v>
      </c>
      <c r="L1767" s="32"/>
      <c r="M1767" s="48">
        <f t="shared" si="121"/>
        <v>45948</v>
      </c>
      <c r="N1767" s="26">
        <f t="shared" si="120"/>
        <v>3</v>
      </c>
      <c r="O1767" s="27">
        <v>918</v>
      </c>
      <c r="P1767" s="27"/>
      <c r="Q1767" s="27"/>
      <c r="R1767" s="27"/>
      <c r="S1767" s="27"/>
      <c r="T1767" s="27"/>
      <c r="U1767" s="27"/>
      <c r="V1767" s="27"/>
      <c r="W1767" s="27"/>
      <c r="X1767" s="128"/>
      <c r="Y1767" s="73" t="e">
        <f>VLOOKUP(X1767,Choferes!$B$3:C413,2,FALSE)</f>
        <v>#N/A</v>
      </c>
      <c r="Z1767" s="73" t="s">
        <v>4886</v>
      </c>
    </row>
    <row r="1768" spans="1:26" hidden="1" x14ac:dyDescent="0.25">
      <c r="A1768" s="33">
        <v>42</v>
      </c>
      <c r="B1768" s="71" t="s">
        <v>29</v>
      </c>
      <c r="C1768" s="39" t="s">
        <v>4837</v>
      </c>
      <c r="D1768" s="106" t="s">
        <v>110</v>
      </c>
      <c r="E1768" s="47">
        <v>45945</v>
      </c>
      <c r="F1768" s="31" t="str">
        <f>VLOOKUP($C1768,Carpetas!$C$5:$M$2666,2,FALSE)</f>
        <v>BRB119</v>
      </c>
      <c r="G1768" s="23" t="str">
        <f>VLOOKUP($C1768,Carpetas!$C$5:$M$2666,10,FALSE)</f>
        <v>153,87,99</v>
      </c>
      <c r="H1768" s="27" t="str">
        <f>VLOOKUP($C1768,Carpetas!$C$5:$M$2666,6,FALSE)</f>
        <v>Zanini</v>
      </c>
      <c r="I1768" s="220"/>
      <c r="J1768" s="47">
        <f>E1768+2</f>
        <v>45947</v>
      </c>
      <c r="K1768" s="72" t="str">
        <f>VLOOKUP($C1768,Carpetas!$C$5:$M$2666,5,FALSE)</f>
        <v>Rio Branco</v>
      </c>
      <c r="L1768" s="32"/>
      <c r="M1768" s="48">
        <f t="shared" si="121"/>
        <v>45948</v>
      </c>
      <c r="N1768" s="26">
        <f t="shared" si="120"/>
        <v>3</v>
      </c>
      <c r="O1768" s="27">
        <v>918</v>
      </c>
      <c r="P1768" s="27">
        <v>919</v>
      </c>
      <c r="Q1768" s="27">
        <v>26</v>
      </c>
      <c r="R1768" s="27">
        <v>25</v>
      </c>
      <c r="S1768" s="27" t="s">
        <v>4887</v>
      </c>
      <c r="T1768" s="27"/>
      <c r="U1768" s="27">
        <v>5580</v>
      </c>
      <c r="V1768" s="27" t="s">
        <v>2623</v>
      </c>
      <c r="W1768" s="27" t="s">
        <v>1403</v>
      </c>
      <c r="X1768" s="128"/>
      <c r="Y1768" s="73" t="e">
        <f>VLOOKUP(X1768,Choferes!$B$3:C414,2,FALSE)</f>
        <v>#N/A</v>
      </c>
      <c r="Z1768" s="73" t="s">
        <v>4888</v>
      </c>
    </row>
    <row r="1769" spans="1:26" hidden="1" x14ac:dyDescent="0.25">
      <c r="A1769" s="33">
        <v>42</v>
      </c>
      <c r="B1769" s="71" t="s">
        <v>29</v>
      </c>
      <c r="C1769" s="39" t="s">
        <v>4863</v>
      </c>
      <c r="D1769" s="106" t="s">
        <v>2202</v>
      </c>
      <c r="E1769" s="47">
        <v>45947</v>
      </c>
      <c r="F1769" s="31" t="str">
        <f>VLOOKUP($C1769,Carpetas!$C$5:$M$2666,2,FALSE)</f>
        <v>BRB122</v>
      </c>
      <c r="G1769" s="23" t="str">
        <f>VLOOKUP($C1769,Carpetas!$C$5:$M$2666,10,FALSE)</f>
        <v>153.94.27</v>
      </c>
      <c r="H1769" s="27" t="str">
        <f>VLOOKUP($C1769,Carpetas!$C$5:$M$2666,6,FALSE)</f>
        <v>Chabat</v>
      </c>
      <c r="I1769" s="220"/>
      <c r="J1769" s="47">
        <v>45947</v>
      </c>
      <c r="K1769" s="72" t="str">
        <f>VLOOKUP($C1769,Carpetas!$C$5:$M$2666,5,FALSE)</f>
        <v>Rio Branco</v>
      </c>
      <c r="L1769" s="32"/>
      <c r="M1769" s="48">
        <f t="shared" si="121"/>
        <v>45948</v>
      </c>
      <c r="N1769" s="26">
        <f t="shared" si="120"/>
        <v>1</v>
      </c>
      <c r="O1769" s="27">
        <v>990</v>
      </c>
      <c r="P1769" s="27">
        <v>990</v>
      </c>
      <c r="Q1769" s="27">
        <v>28</v>
      </c>
      <c r="R1769" s="27">
        <v>26</v>
      </c>
      <c r="S1769" s="27" t="s">
        <v>4889</v>
      </c>
      <c r="T1769" s="27"/>
      <c r="U1769" s="27"/>
      <c r="V1769" s="27" t="s">
        <v>4634</v>
      </c>
      <c r="W1769" s="27" t="s">
        <v>4635</v>
      </c>
      <c r="X1769" s="128"/>
      <c r="Y1769" s="73" t="e">
        <f>VLOOKUP(X1769,Choferes!$B$3:C420,2,FALSE)</f>
        <v>#N/A</v>
      </c>
      <c r="Z1769" s="73" t="s">
        <v>4890</v>
      </c>
    </row>
    <row r="1770" spans="1:26" hidden="1" x14ac:dyDescent="0.25">
      <c r="A1770" s="33">
        <v>42</v>
      </c>
      <c r="B1770" s="71" t="s">
        <v>29</v>
      </c>
      <c r="C1770" s="39" t="s">
        <v>4891</v>
      </c>
      <c r="D1770" s="106" t="s">
        <v>2474</v>
      </c>
      <c r="E1770" s="47">
        <v>45947</v>
      </c>
      <c r="F1770" s="31" t="str">
        <f>VLOOKUP($C1770,Carpetas!$C$5:$M$2666,2,FALSE)</f>
        <v>BRB123</v>
      </c>
      <c r="G1770" s="23" t="str">
        <f>VLOOKUP($C1770,Carpetas!$C$5:$M$2666,10,FALSE)</f>
        <v>153.76.25</v>
      </c>
      <c r="H1770" s="27" t="str">
        <f>VLOOKUP($C1770,Carpetas!$C$5:$M$2666,6,FALSE)</f>
        <v xml:space="preserve">Silvio </v>
      </c>
      <c r="I1770" s="220"/>
      <c r="J1770" s="47">
        <f>E1770+2</f>
        <v>45949</v>
      </c>
      <c r="K1770" s="72" t="str">
        <f>VLOOKUP($C1770,Carpetas!$C$5:$M$2666,5,FALSE)</f>
        <v>Rio Branco</v>
      </c>
      <c r="L1770" s="32"/>
      <c r="M1770" s="48">
        <f t="shared" si="121"/>
        <v>45950</v>
      </c>
      <c r="N1770" s="26">
        <f t="shared" si="120"/>
        <v>3</v>
      </c>
      <c r="O1770" s="27">
        <v>918</v>
      </c>
      <c r="P1770" s="27">
        <v>918</v>
      </c>
      <c r="Q1770" s="27">
        <v>26</v>
      </c>
      <c r="R1770" s="27">
        <v>25</v>
      </c>
      <c r="S1770" s="27" t="s">
        <v>4892</v>
      </c>
      <c r="T1770" s="27"/>
      <c r="U1770" s="27">
        <v>7560</v>
      </c>
      <c r="V1770" s="27" t="s">
        <v>1731</v>
      </c>
      <c r="W1770" s="27" t="s">
        <v>1732</v>
      </c>
      <c r="X1770" s="128"/>
      <c r="Y1770" s="73" t="e">
        <f>VLOOKUP(X1770,Choferes!$B$3:C415,2,FALSE)</f>
        <v>#N/A</v>
      </c>
      <c r="Z1770" s="73" t="s">
        <v>4893</v>
      </c>
    </row>
    <row r="1771" spans="1:26" hidden="1" x14ac:dyDescent="0.25">
      <c r="A1771" s="33">
        <v>42</v>
      </c>
      <c r="B1771" s="71" t="s">
        <v>29</v>
      </c>
      <c r="C1771" s="39" t="s">
        <v>4894</v>
      </c>
      <c r="D1771" s="106" t="s">
        <v>38</v>
      </c>
      <c r="E1771" s="47">
        <v>45943</v>
      </c>
      <c r="F1771" s="31" t="str">
        <f>VLOOKUP($C1771,Carpetas!$C$5:$M$2666,2,FALSE)</f>
        <v>BRE065</v>
      </c>
      <c r="G1771" s="23">
        <f>VLOOKUP($C1771,Carpetas!$C$5:$M$2666,10,FALSE)</f>
        <v>0</v>
      </c>
      <c r="H1771" s="27" t="str">
        <f>VLOOKUP($C1771,Carpetas!$C$5:$M$2666,6,FALSE)</f>
        <v>Miltex</v>
      </c>
      <c r="I1771" s="220">
        <f>VLOOKUP($C1771,Carpetas!$C$5:$M$2666,4,FALSE)</f>
        <v>0</v>
      </c>
      <c r="J1771" s="47">
        <v>45950</v>
      </c>
      <c r="K1771" s="72" t="str">
        <f>VLOOKUP($C1771,Carpetas!$C$5:$M$2666,5,FALSE)</f>
        <v>Rio Branco</v>
      </c>
      <c r="L1771" s="32"/>
      <c r="M1771" s="48">
        <f t="shared" si="121"/>
        <v>45951</v>
      </c>
      <c r="N1771" s="26">
        <f t="shared" si="120"/>
        <v>8</v>
      </c>
      <c r="O1771" s="27">
        <v>24500</v>
      </c>
      <c r="P1771" s="27"/>
      <c r="Q1771" s="27"/>
      <c r="R1771" s="27"/>
      <c r="S1771" s="27"/>
      <c r="T1771" s="27"/>
      <c r="U1771" s="27">
        <v>184</v>
      </c>
      <c r="V1771" s="27" t="s">
        <v>4895</v>
      </c>
      <c r="W1771" s="27" t="s">
        <v>4896</v>
      </c>
      <c r="X1771" s="128"/>
      <c r="Y1771" s="73" t="e">
        <f>VLOOKUP(X1771,Choferes!$B$3:C428,2,FALSE)</f>
        <v>#N/A</v>
      </c>
      <c r="Z1771" s="73"/>
    </row>
    <row r="1772" spans="1:26" hidden="1" x14ac:dyDescent="0.25">
      <c r="A1772" s="33">
        <v>42</v>
      </c>
      <c r="B1772" s="71" t="s">
        <v>29</v>
      </c>
      <c r="C1772" s="39" t="s">
        <v>4832</v>
      </c>
      <c r="D1772" s="106" t="s">
        <v>249</v>
      </c>
      <c r="E1772" s="47">
        <v>45947</v>
      </c>
      <c r="F1772" s="31" t="str">
        <f>VLOOKUP($C1772,Carpetas!$C$5:$M$2666,2,FALSE)</f>
        <v>BRB118</v>
      </c>
      <c r="G1772" s="23" t="str">
        <f>VLOOKUP($C1772,Carpetas!$C$5:$M$2666,10,FALSE)</f>
        <v>153,87,98</v>
      </c>
      <c r="H1772" s="27" t="str">
        <f>VLOOKUP($C1772,Carpetas!$C$5:$M$2666,6,FALSE)</f>
        <v>Gral</v>
      </c>
      <c r="I1772" s="220"/>
      <c r="J1772" s="47">
        <v>45950</v>
      </c>
      <c r="K1772" s="72" t="str">
        <f>VLOOKUP($C1772,Carpetas!$C$5:$M$2666,5,FALSE)</f>
        <v>Rio Branco</v>
      </c>
      <c r="L1772" s="32"/>
      <c r="M1772" s="48">
        <f t="shared" si="121"/>
        <v>45951</v>
      </c>
      <c r="N1772" s="26">
        <f t="shared" si="120"/>
        <v>4</v>
      </c>
      <c r="O1772" s="27">
        <v>918</v>
      </c>
      <c r="P1772" s="27">
        <v>918</v>
      </c>
      <c r="Q1772" s="27">
        <v>26</v>
      </c>
      <c r="R1772" s="27">
        <v>25</v>
      </c>
      <c r="S1772" s="27" t="s">
        <v>4897</v>
      </c>
      <c r="T1772" s="27"/>
      <c r="U1772" s="27">
        <v>7729</v>
      </c>
      <c r="V1772" s="27" t="s">
        <v>4898</v>
      </c>
      <c r="W1772" s="27" t="s">
        <v>4899</v>
      </c>
      <c r="X1772" s="128"/>
      <c r="Y1772" s="73" t="e">
        <f>VLOOKUP(X1772,Choferes!$B$3:C417,2,FALSE)</f>
        <v>#N/A</v>
      </c>
      <c r="Z1772" s="73" t="s">
        <v>4900</v>
      </c>
    </row>
    <row r="1773" spans="1:26" hidden="1" x14ac:dyDescent="0.25">
      <c r="A1773" s="33">
        <v>42</v>
      </c>
      <c r="B1773" s="71" t="s">
        <v>29</v>
      </c>
      <c r="C1773" s="39" t="s">
        <v>4866</v>
      </c>
      <c r="D1773" s="106" t="s">
        <v>803</v>
      </c>
      <c r="E1773" s="47">
        <v>45947</v>
      </c>
      <c r="F1773" s="31" t="str">
        <f>VLOOKUP($C1773,Carpetas!$C$5:$M$2666,2,FALSE)</f>
        <v>BRB121</v>
      </c>
      <c r="G1773" s="23" t="str">
        <f>VLOOKUP($C1773,Carpetas!$C$5:$M$2666,10,FALSE)</f>
        <v>153.95.01</v>
      </c>
      <c r="H1773" s="27" t="str">
        <f>VLOOKUP($C1773,Carpetas!$C$5:$M$2666,6,FALSE)</f>
        <v>FG</v>
      </c>
      <c r="I1773" s="220"/>
      <c r="J1773" s="47">
        <v>45950</v>
      </c>
      <c r="K1773" s="72" t="str">
        <f>VLOOKUP($C1773,Carpetas!$C$5:$M$2666,5,FALSE)</f>
        <v>Rio Branco</v>
      </c>
      <c r="L1773" s="32"/>
      <c r="M1773" s="48">
        <f t="shared" si="121"/>
        <v>45951</v>
      </c>
      <c r="N1773" s="26">
        <f t="shared" si="120"/>
        <v>4</v>
      </c>
      <c r="O1773" s="27">
        <v>990</v>
      </c>
      <c r="P1773" s="27">
        <v>990</v>
      </c>
      <c r="Q1773" s="27">
        <v>28</v>
      </c>
      <c r="R1773" s="27">
        <v>26</v>
      </c>
      <c r="S1773" s="27" t="s">
        <v>4901</v>
      </c>
      <c r="T1773" s="27"/>
      <c r="U1773" s="27">
        <v>1197</v>
      </c>
      <c r="V1773" s="27" t="s">
        <v>3572</v>
      </c>
      <c r="W1773" s="27" t="s">
        <v>1723</v>
      </c>
      <c r="X1773" s="128" t="s">
        <v>1495</v>
      </c>
      <c r="Y1773" s="73" t="str">
        <f>VLOOKUP(X1773,Choferes!$B$3:C424,2,FALSE)</f>
        <v>+5553984382803</v>
      </c>
      <c r="Z1773" s="73" t="s">
        <v>4902</v>
      </c>
    </row>
    <row r="1774" spans="1:26" hidden="1" x14ac:dyDescent="0.25">
      <c r="A1774" s="33">
        <v>42</v>
      </c>
      <c r="B1774" s="71" t="s">
        <v>29</v>
      </c>
      <c r="C1774" s="39" t="s">
        <v>4866</v>
      </c>
      <c r="D1774" s="106" t="s">
        <v>747</v>
      </c>
      <c r="E1774" s="47">
        <v>45947</v>
      </c>
      <c r="F1774" s="31" t="str">
        <f>VLOOKUP($C1774,Carpetas!$C$5:$M$2666,2,FALSE)</f>
        <v>BRB121</v>
      </c>
      <c r="G1774" s="23" t="str">
        <f>VLOOKUP($C1774,Carpetas!$C$5:$M$2666,10,FALSE)</f>
        <v>153.95.01</v>
      </c>
      <c r="H1774" s="27" t="str">
        <f>VLOOKUP($C1774,Carpetas!$C$5:$M$2666,6,FALSE)</f>
        <v>FG</v>
      </c>
      <c r="I1774" s="220"/>
      <c r="J1774" s="47">
        <v>45950</v>
      </c>
      <c r="K1774" s="72" t="str">
        <f>VLOOKUP($C1774,Carpetas!$C$5:$M$2666,5,FALSE)</f>
        <v>Rio Branco</v>
      </c>
      <c r="L1774" s="32"/>
      <c r="M1774" s="48">
        <f t="shared" si="121"/>
        <v>45951</v>
      </c>
      <c r="N1774" s="26">
        <f t="shared" si="120"/>
        <v>4</v>
      </c>
      <c r="O1774" s="27">
        <v>990</v>
      </c>
      <c r="P1774" s="27">
        <v>991</v>
      </c>
      <c r="Q1774" s="27">
        <v>28</v>
      </c>
      <c r="R1774" s="27">
        <v>26</v>
      </c>
      <c r="S1774" s="27" t="s">
        <v>4903</v>
      </c>
      <c r="T1774" s="27"/>
      <c r="U1774" s="27">
        <v>1202</v>
      </c>
      <c r="V1774" s="27" t="s">
        <v>1735</v>
      </c>
      <c r="W1774" s="27" t="s">
        <v>1681</v>
      </c>
      <c r="X1774" s="128" t="s">
        <v>1465</v>
      </c>
      <c r="Y1774" s="73" t="str">
        <f>VLOOKUP(X1774,Choferes!$B$3:C425,2,FALSE)</f>
        <v>+59893339027</v>
      </c>
      <c r="Z1774" s="73" t="s">
        <v>4904</v>
      </c>
    </row>
    <row r="1775" spans="1:26" ht="30" hidden="1" x14ac:dyDescent="0.25">
      <c r="A1775" s="33">
        <v>42</v>
      </c>
      <c r="B1775" s="71" t="s">
        <v>29</v>
      </c>
      <c r="C1775" s="39" t="s">
        <v>4866</v>
      </c>
      <c r="D1775" s="106" t="s">
        <v>3124</v>
      </c>
      <c r="E1775" s="47">
        <v>45947</v>
      </c>
      <c r="F1775" s="31" t="str">
        <f>VLOOKUP($C1775,Carpetas!$C$5:$M$2666,2,FALSE)</f>
        <v>BRB121</v>
      </c>
      <c r="G1775" s="23" t="str">
        <f>VLOOKUP($C1775,Carpetas!$C$5:$M$2666,10,FALSE)</f>
        <v>153.95.01</v>
      </c>
      <c r="H1775" s="27" t="str">
        <f>VLOOKUP($C1775,Carpetas!$C$5:$M$2666,6,FALSE)</f>
        <v>FG</v>
      </c>
      <c r="I1775" s="220"/>
      <c r="J1775" s="47">
        <v>45950</v>
      </c>
      <c r="K1775" s="72" t="str">
        <f>VLOOKUP($C1775,Carpetas!$C$5:$M$2666,5,FALSE)</f>
        <v>Rio Branco</v>
      </c>
      <c r="L1775" s="32"/>
      <c r="M1775" s="48">
        <f t="shared" si="121"/>
        <v>45951</v>
      </c>
      <c r="N1775" s="26">
        <f t="shared" si="120"/>
        <v>4</v>
      </c>
      <c r="O1775" s="27">
        <v>990</v>
      </c>
      <c r="P1775" s="27"/>
      <c r="Q1775" s="27"/>
      <c r="R1775" s="27"/>
      <c r="S1775" s="27" t="s">
        <v>4905</v>
      </c>
      <c r="T1775" s="27"/>
      <c r="U1775" s="27">
        <v>1198</v>
      </c>
      <c r="V1775" s="27" t="s">
        <v>1430</v>
      </c>
      <c r="W1775" s="27" t="s">
        <v>1669</v>
      </c>
      <c r="X1775" s="128" t="s">
        <v>1923</v>
      </c>
      <c r="Y1775" s="73" t="str">
        <f>VLOOKUP(X1775,Choferes!$B$3:C429,2,FALSE)</f>
        <v>+5553999049426</v>
      </c>
      <c r="Z1775" s="73" t="s">
        <v>4902</v>
      </c>
    </row>
    <row r="1776" spans="1:26" hidden="1" x14ac:dyDescent="0.25">
      <c r="A1776" s="33">
        <v>42</v>
      </c>
      <c r="B1776" s="71" t="s">
        <v>29</v>
      </c>
      <c r="C1776" s="39" t="s">
        <v>4866</v>
      </c>
      <c r="D1776" s="106" t="s">
        <v>2474</v>
      </c>
      <c r="E1776" s="47">
        <v>45948</v>
      </c>
      <c r="F1776" s="31" t="str">
        <f>VLOOKUP($C1776,Carpetas!$C$5:$M$2666,2,FALSE)</f>
        <v>BRB121</v>
      </c>
      <c r="G1776" s="23" t="str">
        <f>VLOOKUP($C1776,Carpetas!$C$5:$M$2666,10,FALSE)</f>
        <v>153.95.01</v>
      </c>
      <c r="H1776" s="27" t="str">
        <f>VLOOKUP($C1776,Carpetas!$C$5:$M$2666,6,FALSE)</f>
        <v>FG</v>
      </c>
      <c r="I1776" s="220"/>
      <c r="J1776" s="47">
        <f>E1776+2</f>
        <v>45950</v>
      </c>
      <c r="K1776" s="72" t="str">
        <f>VLOOKUP($C1776,Carpetas!$C$5:$M$2666,5,FALSE)</f>
        <v>Rio Branco</v>
      </c>
      <c r="L1776" s="32"/>
      <c r="M1776" s="48">
        <f t="shared" si="121"/>
        <v>45951</v>
      </c>
      <c r="N1776" s="26">
        <f t="shared" si="120"/>
        <v>3</v>
      </c>
      <c r="O1776" s="27">
        <v>990</v>
      </c>
      <c r="P1776" s="27">
        <v>990</v>
      </c>
      <c r="Q1776" s="27">
        <v>28</v>
      </c>
      <c r="R1776" s="27">
        <v>26</v>
      </c>
      <c r="S1776" s="27" t="s">
        <v>4906</v>
      </c>
      <c r="T1776" s="27"/>
      <c r="U1776" s="27">
        <v>1201</v>
      </c>
      <c r="V1776" s="27" t="s">
        <v>1636</v>
      </c>
      <c r="W1776" s="27" t="s">
        <v>1736</v>
      </c>
      <c r="X1776" s="128" t="s">
        <v>1413</v>
      </c>
      <c r="Y1776" s="73" t="str">
        <f>VLOOKUP(X1776,Choferes!$B$3:C416,2,FALSE)</f>
        <v>+59899406679</v>
      </c>
      <c r="Z1776" s="73" t="s">
        <v>4907</v>
      </c>
    </row>
    <row r="1777" spans="1:26" ht="30" hidden="1" x14ac:dyDescent="0.25">
      <c r="A1777" s="33">
        <v>42</v>
      </c>
      <c r="B1777" s="71" t="s">
        <v>29</v>
      </c>
      <c r="C1777" s="39" t="s">
        <v>4866</v>
      </c>
      <c r="D1777" s="106" t="s">
        <v>803</v>
      </c>
      <c r="E1777" s="47">
        <v>45948</v>
      </c>
      <c r="F1777" s="31" t="str">
        <f>VLOOKUP($C1777,Carpetas!$C$5:$M$2666,2,FALSE)</f>
        <v>BRB121</v>
      </c>
      <c r="G1777" s="23" t="str">
        <f>VLOOKUP($C1777,Carpetas!$C$5:$M$2666,10,FALSE)</f>
        <v>153.95.01</v>
      </c>
      <c r="H1777" s="27" t="str">
        <f>VLOOKUP($C1777,Carpetas!$C$5:$M$2666,6,FALSE)</f>
        <v>FG</v>
      </c>
      <c r="I1777" s="220"/>
      <c r="J1777" s="47">
        <f>E1777+2</f>
        <v>45950</v>
      </c>
      <c r="K1777" s="72" t="str">
        <f>VLOOKUP($C1777,Carpetas!$C$5:$M$2666,5,FALSE)</f>
        <v>Rio Branco</v>
      </c>
      <c r="L1777" s="32"/>
      <c r="M1777" s="48">
        <f t="shared" si="121"/>
        <v>45951</v>
      </c>
      <c r="N1777" s="26">
        <f t="shared" si="120"/>
        <v>3</v>
      </c>
      <c r="O1777" s="27">
        <v>990</v>
      </c>
      <c r="P1777" s="27">
        <v>967</v>
      </c>
      <c r="Q1777" s="27">
        <v>27</v>
      </c>
      <c r="R1777" s="27">
        <v>26</v>
      </c>
      <c r="S1777" s="27" t="s">
        <v>4908</v>
      </c>
      <c r="T1777" s="27"/>
      <c r="U1777" s="27">
        <v>1200</v>
      </c>
      <c r="V1777" s="27" t="s">
        <v>1042</v>
      </c>
      <c r="W1777" s="27" t="s">
        <v>3818</v>
      </c>
      <c r="X1777" s="128" t="s">
        <v>1623</v>
      </c>
      <c r="Y1777" s="73" t="str">
        <f>VLOOKUP(X1777,Choferes!$B$3:C428,2,FALSE)</f>
        <v>+5553991254560</v>
      </c>
      <c r="Z1777" s="73" t="s">
        <v>4909</v>
      </c>
    </row>
    <row r="1778" spans="1:26" ht="30" hidden="1" x14ac:dyDescent="0.25">
      <c r="A1778" s="33">
        <v>42</v>
      </c>
      <c r="B1778" s="71" t="s">
        <v>29</v>
      </c>
      <c r="C1778" s="39" t="s">
        <v>4910</v>
      </c>
      <c r="D1778" s="106" t="s">
        <v>2202</v>
      </c>
      <c r="E1778" s="47">
        <v>45948</v>
      </c>
      <c r="F1778" s="31" t="str">
        <f>VLOOKUP($C1778,Carpetas!$C$5:$M$2666,2,FALSE)</f>
        <v>BRB124</v>
      </c>
      <c r="G1778" s="23" t="str">
        <f>VLOOKUP($C1778,Carpetas!$C$5:$M$2666,10,FALSE)</f>
        <v>153,97,95</v>
      </c>
      <c r="H1778" s="27" t="str">
        <f>VLOOKUP($C1778,Carpetas!$C$5:$M$2666,6,FALSE)</f>
        <v>FG</v>
      </c>
      <c r="I1778" s="220"/>
      <c r="J1778" s="47">
        <f>E1778+2</f>
        <v>45950</v>
      </c>
      <c r="K1778" s="72" t="str">
        <f>VLOOKUP($C1778,Carpetas!$C$5:$M$2666,5,FALSE)</f>
        <v>Rio Branco</v>
      </c>
      <c r="L1778" s="32"/>
      <c r="M1778" s="48">
        <f t="shared" si="121"/>
        <v>45951</v>
      </c>
      <c r="N1778" s="26">
        <f t="shared" si="120"/>
        <v>3</v>
      </c>
      <c r="O1778" s="27">
        <v>990</v>
      </c>
      <c r="P1778" s="27">
        <v>991</v>
      </c>
      <c r="Q1778" s="27">
        <v>28</v>
      </c>
      <c r="R1778" s="27">
        <v>26</v>
      </c>
      <c r="S1778" s="27" t="s">
        <v>4911</v>
      </c>
      <c r="T1778" s="27"/>
      <c r="U1778" s="27">
        <v>1203</v>
      </c>
      <c r="V1778" s="27" t="s">
        <v>1617</v>
      </c>
      <c r="W1778" s="27" t="s">
        <v>1618</v>
      </c>
      <c r="X1778" s="128" t="s">
        <v>1619</v>
      </c>
      <c r="Y1778" s="73" t="str">
        <f>VLOOKUP(X1778,Choferes!$B$3:C429,2,FALSE)</f>
        <v>+5553984318842</v>
      </c>
      <c r="Z1778" s="73" t="s">
        <v>4912</v>
      </c>
    </row>
    <row r="1779" spans="1:26" hidden="1" x14ac:dyDescent="0.25">
      <c r="A1779" s="33">
        <v>43</v>
      </c>
      <c r="B1779" s="71" t="s">
        <v>29</v>
      </c>
      <c r="C1779" s="39" t="s">
        <v>4913</v>
      </c>
      <c r="D1779" s="106" t="s">
        <v>2474</v>
      </c>
      <c r="E1779" s="47">
        <v>45950</v>
      </c>
      <c r="F1779" s="31" t="str">
        <f>VLOOKUP($C1779,Carpetas!$C$5:$M$2666,2,FALSE)</f>
        <v>BRB125</v>
      </c>
      <c r="G1779" s="23" t="str">
        <f>VLOOKUP($C1779,Carpetas!$C$5:$M$2666,10,FALSE)</f>
        <v>153,97,51</v>
      </c>
      <c r="H1779" s="27" t="str">
        <f>VLOOKUP($C1779,Carpetas!$C$5:$M$2666,6,FALSE)</f>
        <v>Chabat</v>
      </c>
      <c r="I1779" s="220"/>
      <c r="J1779" s="47">
        <f>E1779+1</f>
        <v>45951</v>
      </c>
      <c r="K1779" s="72" t="str">
        <f>VLOOKUP($C1779,Carpetas!$C$5:$M$2666,5,FALSE)</f>
        <v>Rio Branco</v>
      </c>
      <c r="L1779" s="32"/>
      <c r="M1779" s="48">
        <f t="shared" si="121"/>
        <v>45952</v>
      </c>
      <c r="N1779" s="26">
        <f t="shared" si="120"/>
        <v>2</v>
      </c>
      <c r="O1779" s="27">
        <v>990</v>
      </c>
      <c r="P1779" s="27">
        <v>990</v>
      </c>
      <c r="Q1779" s="27">
        <v>28</v>
      </c>
      <c r="R1779" s="27">
        <v>26</v>
      </c>
      <c r="S1779" s="27" t="s">
        <v>4914</v>
      </c>
      <c r="T1779" s="27"/>
      <c r="U1779" s="27">
        <v>2455</v>
      </c>
      <c r="V1779" s="27" t="s">
        <v>4339</v>
      </c>
      <c r="W1779" s="27" t="s">
        <v>4340</v>
      </c>
      <c r="X1779" s="128"/>
      <c r="Y1779" s="73" t="e">
        <f>VLOOKUP(X1779,Choferes!$B$3:C425,2,FALSE)</f>
        <v>#N/A</v>
      </c>
      <c r="Z1779" s="73" t="s">
        <v>4907</v>
      </c>
    </row>
    <row r="1780" spans="1:26" hidden="1" x14ac:dyDescent="0.25">
      <c r="A1780" s="33">
        <v>42</v>
      </c>
      <c r="B1780" s="71" t="s">
        <v>29</v>
      </c>
      <c r="C1780" s="39" t="s">
        <v>4915</v>
      </c>
      <c r="D1780" s="106" t="s">
        <v>38</v>
      </c>
      <c r="E1780" s="47">
        <v>45947</v>
      </c>
      <c r="F1780" s="31" t="str">
        <f>VLOOKUP($C1780,Carpetas!$C$5:$M$2666,2,FALSE)</f>
        <v>BRE067</v>
      </c>
      <c r="G1780" s="23">
        <f>VLOOKUP($C1780,Carpetas!$C$5:$M$2666,10,FALSE)</f>
        <v>1539810</v>
      </c>
      <c r="H1780" s="27" t="str">
        <f>VLOOKUP($C1780,Carpetas!$C$5:$M$2666,6,FALSE)</f>
        <v>Zanini</v>
      </c>
      <c r="I1780" s="220">
        <f>VLOOKUP($C1780,Carpetas!$C$5:$M$2666,4,FALSE)</f>
        <v>0</v>
      </c>
      <c r="J1780" s="47">
        <f>E1780+4</f>
        <v>45951</v>
      </c>
      <c r="K1780" s="72" t="str">
        <f>VLOOKUP($C1780,Carpetas!$C$5:$M$2666,5,FALSE)</f>
        <v>Rio Branco</v>
      </c>
      <c r="L1780" s="32"/>
      <c r="M1780" s="48">
        <f t="shared" si="121"/>
        <v>45952</v>
      </c>
      <c r="N1780" s="26">
        <f t="shared" si="120"/>
        <v>5</v>
      </c>
      <c r="O1780" s="27">
        <v>24500</v>
      </c>
      <c r="P1780" s="27">
        <v>24500</v>
      </c>
      <c r="Q1780" s="27"/>
      <c r="R1780" s="27"/>
      <c r="S1780" s="27"/>
      <c r="T1780" s="27"/>
      <c r="U1780" s="27">
        <v>5584</v>
      </c>
      <c r="V1780" s="27" t="s">
        <v>4916</v>
      </c>
      <c r="W1780" s="27" t="s">
        <v>4917</v>
      </c>
      <c r="X1780" s="128" t="s">
        <v>3692</v>
      </c>
      <c r="Y1780" s="73" t="str">
        <f>VLOOKUP(X1780,Choferes!$B$3:C416,2,FALSE)</f>
        <v>+55 55 8426-0540</v>
      </c>
      <c r="Z1780" s="73" t="s">
        <v>2046</v>
      </c>
    </row>
    <row r="1781" spans="1:26" hidden="1" x14ac:dyDescent="0.25">
      <c r="A1781" s="33">
        <v>42</v>
      </c>
      <c r="B1781" s="71" t="s">
        <v>29</v>
      </c>
      <c r="C1781" s="39" t="s">
        <v>4918</v>
      </c>
      <c r="D1781" s="106" t="s">
        <v>38</v>
      </c>
      <c r="E1781" s="47">
        <v>45946</v>
      </c>
      <c r="F1781" s="31" t="str">
        <f>VLOOKUP($C1781,Carpetas!$C$5:$M$2666,2,FALSE)</f>
        <v>BRE066</v>
      </c>
      <c r="G1781" s="23" t="str">
        <f>VLOOKUP($C1781,Carpetas!$C$5:$M$2666,10,FALSE)</f>
        <v>153,91,32</v>
      </c>
      <c r="H1781" s="27" t="str">
        <f>VLOOKUP($C1781,Carpetas!$C$5:$M$2666,6,FALSE)</f>
        <v>Miltex</v>
      </c>
      <c r="I1781" s="220">
        <f>VLOOKUP($C1781,Carpetas!$C$5:$M$2666,4,FALSE)</f>
        <v>0</v>
      </c>
      <c r="J1781" s="47">
        <f>E1781+7</f>
        <v>45953</v>
      </c>
      <c r="K1781" s="72" t="str">
        <f>VLOOKUP($C1781,Carpetas!$C$5:$M$2666,5,FALSE)</f>
        <v>Rio Branco</v>
      </c>
      <c r="L1781" s="32"/>
      <c r="M1781" s="48">
        <f t="shared" si="121"/>
        <v>45954</v>
      </c>
      <c r="N1781" s="26">
        <f t="shared" si="120"/>
        <v>8</v>
      </c>
      <c r="O1781" s="27">
        <v>24500</v>
      </c>
      <c r="P1781" s="27">
        <v>24500</v>
      </c>
      <c r="Q1781" s="27"/>
      <c r="R1781" s="27"/>
      <c r="S1781" s="27"/>
      <c r="T1781" s="27"/>
      <c r="U1781" s="27">
        <v>185</v>
      </c>
      <c r="V1781" s="27" t="s">
        <v>4919</v>
      </c>
      <c r="W1781" s="27" t="s">
        <v>4920</v>
      </c>
      <c r="X1781" s="128"/>
      <c r="Y1781" s="73" t="e">
        <f>VLOOKUP(X1781,Choferes!$B$3:C415,2,FALSE)</f>
        <v>#N/A</v>
      </c>
      <c r="Z1781" s="73" t="s">
        <v>2046</v>
      </c>
    </row>
    <row r="1782" spans="1:26" hidden="1" x14ac:dyDescent="0.25">
      <c r="A1782" s="33">
        <v>43</v>
      </c>
      <c r="B1782" s="71" t="s">
        <v>29</v>
      </c>
      <c r="C1782" s="39" t="s">
        <v>4921</v>
      </c>
      <c r="D1782" s="106" t="s">
        <v>2202</v>
      </c>
      <c r="E1782" s="47">
        <v>45951</v>
      </c>
      <c r="F1782" s="31" t="str">
        <f>VLOOKUP($C1782,Carpetas!$C$5:$M$2666,2,FALSE)</f>
        <v>BRB126</v>
      </c>
      <c r="G1782" s="23" t="str">
        <f>VLOOKUP($C1782,Carpetas!$C$5:$M$2666,10,FALSE)</f>
        <v>153,97,52</v>
      </c>
      <c r="H1782" s="27" t="str">
        <f>VLOOKUP($C1782,Carpetas!$C$5:$M$2666,6,FALSE)</f>
        <v>Zanini</v>
      </c>
      <c r="I1782" s="220"/>
      <c r="J1782" s="47">
        <f>E1782+2</f>
        <v>45953</v>
      </c>
      <c r="K1782" s="72" t="str">
        <f>VLOOKUP($C1782,Carpetas!$C$5:$M$2666,5,FALSE)</f>
        <v>Rio Branco</v>
      </c>
      <c r="L1782" s="32"/>
      <c r="M1782" s="48">
        <f t="shared" si="121"/>
        <v>45954</v>
      </c>
      <c r="N1782" s="26">
        <f t="shared" si="120"/>
        <v>3</v>
      </c>
      <c r="O1782" s="27">
        <v>918</v>
      </c>
      <c r="P1782" s="27">
        <v>919</v>
      </c>
      <c r="Q1782" s="27">
        <v>26</v>
      </c>
      <c r="R1782" s="27">
        <v>25</v>
      </c>
      <c r="S1782" s="27" t="s">
        <v>4922</v>
      </c>
      <c r="T1782" s="27"/>
      <c r="U1782" s="27">
        <v>5591</v>
      </c>
      <c r="V1782" s="27" t="s">
        <v>687</v>
      </c>
      <c r="W1782" s="27" t="s">
        <v>688</v>
      </c>
      <c r="X1782" s="128"/>
      <c r="Y1782" s="73" t="e">
        <f>VLOOKUP(X1782,Choferes!$B$3:C419,2,FALSE)</f>
        <v>#N/A</v>
      </c>
      <c r="Z1782" s="73" t="s">
        <v>4923</v>
      </c>
    </row>
    <row r="1783" spans="1:26" hidden="1" x14ac:dyDescent="0.25">
      <c r="A1783" s="33">
        <v>43</v>
      </c>
      <c r="B1783" s="71" t="s">
        <v>29</v>
      </c>
      <c r="C1783" s="39" t="s">
        <v>4910</v>
      </c>
      <c r="D1783" s="106" t="s">
        <v>803</v>
      </c>
      <c r="E1783" s="47">
        <v>45951</v>
      </c>
      <c r="F1783" s="31" t="str">
        <f>VLOOKUP($C1783,Carpetas!$C$5:$M$2666,2,FALSE)</f>
        <v>BRB124</v>
      </c>
      <c r="G1783" s="23" t="str">
        <f>VLOOKUP($C1783,Carpetas!$C$5:$M$2666,10,FALSE)</f>
        <v>153,97,95</v>
      </c>
      <c r="H1783" s="27" t="str">
        <f>VLOOKUP($C1783,Carpetas!$C$5:$M$2666,6,FALSE)</f>
        <v>FG</v>
      </c>
      <c r="I1783" s="220"/>
      <c r="J1783" s="47">
        <f>E1783+2</f>
        <v>45953</v>
      </c>
      <c r="K1783" s="72" t="str">
        <f>VLOOKUP($C1783,Carpetas!$C$5:$M$2666,5,FALSE)</f>
        <v>Rio Branco</v>
      </c>
      <c r="L1783" s="32"/>
      <c r="M1783" s="48">
        <f t="shared" si="121"/>
        <v>45954</v>
      </c>
      <c r="N1783" s="26">
        <f t="shared" si="120"/>
        <v>3</v>
      </c>
      <c r="O1783" s="27">
        <v>990</v>
      </c>
      <c r="P1783" s="27">
        <v>990</v>
      </c>
      <c r="Q1783" s="27">
        <v>28</v>
      </c>
      <c r="R1783" s="27">
        <v>26</v>
      </c>
      <c r="S1783" s="27" t="s">
        <v>4924</v>
      </c>
      <c r="T1783" s="27"/>
      <c r="U1783" s="27">
        <v>1206</v>
      </c>
      <c r="V1783" s="27" t="s">
        <v>1722</v>
      </c>
      <c r="W1783" s="27" t="s">
        <v>1637</v>
      </c>
      <c r="X1783" s="128" t="s">
        <v>2119</v>
      </c>
      <c r="Y1783" s="73" t="str">
        <f>VLOOKUP(X1783,Choferes!$B$3:C423,2,FALSE)</f>
        <v>+5553981528085</v>
      </c>
      <c r="Z1783" s="73" t="s">
        <v>4925</v>
      </c>
    </row>
    <row r="1784" spans="1:26" hidden="1" x14ac:dyDescent="0.25">
      <c r="A1784" s="33">
        <v>43</v>
      </c>
      <c r="B1784" s="71" t="s">
        <v>29</v>
      </c>
      <c r="C1784" s="39" t="s">
        <v>4913</v>
      </c>
      <c r="D1784" s="106" t="s">
        <v>110</v>
      </c>
      <c r="E1784" s="47">
        <v>45952</v>
      </c>
      <c r="F1784" s="31" t="str">
        <f>VLOOKUP($C1784,Carpetas!$C$5:$M$2666,2,FALSE)</f>
        <v>BRB125</v>
      </c>
      <c r="G1784" s="23" t="str">
        <f>VLOOKUP($C1784,Carpetas!$C$5:$M$2666,10,FALSE)</f>
        <v>153,97,51</v>
      </c>
      <c r="H1784" s="27" t="str">
        <f>VLOOKUP($C1784,Carpetas!$C$5:$M$2666,6,FALSE)</f>
        <v>Chabat</v>
      </c>
      <c r="I1784" s="220"/>
      <c r="J1784" s="47">
        <f>E1784+1</f>
        <v>45953</v>
      </c>
      <c r="K1784" s="72" t="str">
        <f>VLOOKUP($C1784,Carpetas!$C$5:$M$2666,5,FALSE)</f>
        <v>Rio Branco</v>
      </c>
      <c r="L1784" s="32"/>
      <c r="M1784" s="48">
        <f t="shared" si="121"/>
        <v>45954</v>
      </c>
      <c r="N1784" s="26">
        <f t="shared" si="120"/>
        <v>2</v>
      </c>
      <c r="O1784" s="27">
        <v>990</v>
      </c>
      <c r="P1784" s="27">
        <v>990</v>
      </c>
      <c r="Q1784" s="27">
        <v>28</v>
      </c>
      <c r="R1784" s="27">
        <v>26</v>
      </c>
      <c r="S1784" s="27" t="s">
        <v>4926</v>
      </c>
      <c r="T1784" s="27"/>
      <c r="U1784" s="27">
        <v>2456</v>
      </c>
      <c r="V1784" s="27" t="s">
        <v>4339</v>
      </c>
      <c r="W1784" s="27" t="s">
        <v>4635</v>
      </c>
      <c r="X1784" s="128"/>
      <c r="Y1784" s="73" t="e">
        <f>VLOOKUP(X1784,Choferes!$B$3:C426,2,FALSE)</f>
        <v>#N/A</v>
      </c>
      <c r="Z1784" s="73" t="s">
        <v>4925</v>
      </c>
    </row>
    <row r="1785" spans="1:26" hidden="1" x14ac:dyDescent="0.25">
      <c r="A1785" s="33">
        <v>43</v>
      </c>
      <c r="B1785" s="71" t="s">
        <v>29</v>
      </c>
      <c r="C1785" s="39" t="s">
        <v>4891</v>
      </c>
      <c r="D1785" s="106" t="s">
        <v>2474</v>
      </c>
      <c r="E1785" s="47">
        <v>45951</v>
      </c>
      <c r="F1785" s="31" t="str">
        <f>VLOOKUP($C1785,Carpetas!$C$5:$M$2666,2,FALSE)</f>
        <v>BRB123</v>
      </c>
      <c r="G1785" s="23" t="str">
        <f>VLOOKUP($C1785,Carpetas!$C$5:$M$2666,10,FALSE)</f>
        <v>153.76.25</v>
      </c>
      <c r="H1785" s="27" t="str">
        <f>VLOOKUP($C1785,Carpetas!$C$5:$M$2666,6,FALSE)</f>
        <v xml:space="preserve">Silvio </v>
      </c>
      <c r="I1785" s="220"/>
      <c r="J1785" s="47">
        <v>45954</v>
      </c>
      <c r="K1785" s="72" t="str">
        <f>VLOOKUP($C1785,Carpetas!$C$5:$M$2666,5,FALSE)</f>
        <v>Rio Branco</v>
      </c>
      <c r="L1785" s="32"/>
      <c r="M1785" s="48">
        <f t="shared" si="121"/>
        <v>45955</v>
      </c>
      <c r="N1785" s="26">
        <f t="shared" si="120"/>
        <v>4</v>
      </c>
      <c r="O1785" s="27">
        <v>918</v>
      </c>
      <c r="P1785" s="27">
        <v>918</v>
      </c>
      <c r="Q1785" s="27">
        <v>26</v>
      </c>
      <c r="R1785" s="27">
        <v>25</v>
      </c>
      <c r="S1785" s="27" t="s">
        <v>4927</v>
      </c>
      <c r="T1785" s="27"/>
      <c r="U1785" s="27">
        <v>7561</v>
      </c>
      <c r="V1785" s="27" t="s">
        <v>4928</v>
      </c>
      <c r="W1785" s="27" t="s">
        <v>4929</v>
      </c>
      <c r="X1785" s="128"/>
      <c r="Y1785" s="73" t="e">
        <f>VLOOKUP(X1785,Choferes!$B$3:C417,2,FALSE)</f>
        <v>#N/A</v>
      </c>
      <c r="Z1785" s="73" t="s">
        <v>4930</v>
      </c>
    </row>
    <row r="1786" spans="1:26" hidden="1" x14ac:dyDescent="0.25">
      <c r="A1786" s="33">
        <v>43</v>
      </c>
      <c r="B1786" s="71" t="s">
        <v>29</v>
      </c>
      <c r="C1786" s="39" t="s">
        <v>4910</v>
      </c>
      <c r="D1786" s="106" t="s">
        <v>1158</v>
      </c>
      <c r="E1786" s="47">
        <v>45952</v>
      </c>
      <c r="F1786" s="31" t="str">
        <f>VLOOKUP($C1786,Carpetas!$C$5:$M$2666,2,FALSE)</f>
        <v>BRB124</v>
      </c>
      <c r="G1786" s="23" t="str">
        <f>VLOOKUP($C1786,Carpetas!$C$5:$M$2666,10,FALSE)</f>
        <v>153,97,95</v>
      </c>
      <c r="H1786" s="27" t="str">
        <f>VLOOKUP($C1786,Carpetas!$C$5:$M$2666,6,FALSE)</f>
        <v>FG</v>
      </c>
      <c r="I1786" s="220"/>
      <c r="J1786" s="47">
        <f>E1786+2</f>
        <v>45954</v>
      </c>
      <c r="K1786" s="72" t="str">
        <f>VLOOKUP($C1786,Carpetas!$C$5:$M$2666,5,FALSE)</f>
        <v>Rio Branco</v>
      </c>
      <c r="L1786" s="32"/>
      <c r="M1786" s="48">
        <f t="shared" si="121"/>
        <v>45955</v>
      </c>
      <c r="N1786" s="26">
        <f t="shared" si="120"/>
        <v>3</v>
      </c>
      <c r="O1786" s="27">
        <v>990</v>
      </c>
      <c r="P1786" s="27">
        <v>990</v>
      </c>
      <c r="Q1786" s="27">
        <v>28</v>
      </c>
      <c r="R1786" s="27">
        <v>26</v>
      </c>
      <c r="S1786" s="27" t="s">
        <v>1578</v>
      </c>
      <c r="T1786" s="27"/>
      <c r="U1786" s="27">
        <v>1209</v>
      </c>
      <c r="V1786" s="27" t="s">
        <v>1630</v>
      </c>
      <c r="W1786" s="27" t="s">
        <v>1934</v>
      </c>
      <c r="X1786" s="128" t="s">
        <v>1935</v>
      </c>
      <c r="Y1786" s="73" t="str">
        <f>VLOOKUP(X1786,Choferes!$B$3:C423,2,FALSE)</f>
        <v>+5554984377792</v>
      </c>
      <c r="Z1786" s="73" t="s">
        <v>4931</v>
      </c>
    </row>
    <row r="1787" spans="1:26" ht="30" hidden="1" x14ac:dyDescent="0.25">
      <c r="A1787" s="33">
        <v>43</v>
      </c>
      <c r="B1787" s="71" t="s">
        <v>29</v>
      </c>
      <c r="C1787" s="39" t="s">
        <v>4921</v>
      </c>
      <c r="D1787" s="106" t="s">
        <v>2474</v>
      </c>
      <c r="E1787" s="47">
        <v>45953</v>
      </c>
      <c r="F1787" s="31" t="str">
        <f>VLOOKUP($C1787,Carpetas!$C$5:$M$2666,2,FALSE)</f>
        <v>BRB126</v>
      </c>
      <c r="G1787" s="23" t="str">
        <f>VLOOKUP($C1787,Carpetas!$C$5:$M$2666,10,FALSE)</f>
        <v>153,97,52</v>
      </c>
      <c r="H1787" s="27" t="str">
        <f>VLOOKUP($C1787,Carpetas!$C$5:$M$2666,6,FALSE)</f>
        <v>Zanini</v>
      </c>
      <c r="I1787" s="220"/>
      <c r="J1787" s="47">
        <v>45954</v>
      </c>
      <c r="K1787" s="72" t="str">
        <f>VLOOKUP($C1787,Carpetas!$C$5:$M$2666,5,FALSE)</f>
        <v>Rio Branco</v>
      </c>
      <c r="L1787" s="32"/>
      <c r="M1787" s="48">
        <f t="shared" si="121"/>
        <v>45955</v>
      </c>
      <c r="N1787" s="26">
        <f t="shared" si="120"/>
        <v>2</v>
      </c>
      <c r="O1787" s="27">
        <v>918</v>
      </c>
      <c r="P1787" s="27">
        <v>918</v>
      </c>
      <c r="Q1787" s="27">
        <v>26</v>
      </c>
      <c r="R1787" s="27">
        <v>25</v>
      </c>
      <c r="S1787" s="27" t="s">
        <v>4932</v>
      </c>
      <c r="T1787" s="27"/>
      <c r="U1787" s="27">
        <v>5596</v>
      </c>
      <c r="V1787" s="27" t="s">
        <v>2493</v>
      </c>
      <c r="W1787" s="27" t="s">
        <v>2494</v>
      </c>
      <c r="X1787" s="128" t="s">
        <v>4005</v>
      </c>
      <c r="Y1787" s="73" t="str">
        <f>VLOOKUP(X1787,Choferes!$B$3:C420,2,FALSE)</f>
        <v>+55 55 8428-9650</v>
      </c>
      <c r="Z1787" s="73" t="s">
        <v>4933</v>
      </c>
    </row>
    <row r="1788" spans="1:26" hidden="1" x14ac:dyDescent="0.25">
      <c r="A1788" s="33">
        <v>43</v>
      </c>
      <c r="B1788" s="71" t="s">
        <v>29</v>
      </c>
      <c r="C1788" s="39" t="s">
        <v>4910</v>
      </c>
      <c r="D1788" s="106" t="s">
        <v>747</v>
      </c>
      <c r="E1788" s="47">
        <v>45954</v>
      </c>
      <c r="F1788" s="31" t="str">
        <f>VLOOKUP($C1788,Carpetas!$C$5:$M$2666,2,FALSE)</f>
        <v>BRB124</v>
      </c>
      <c r="G1788" s="23" t="str">
        <f>VLOOKUP($C1788,Carpetas!$C$5:$M$2666,10,FALSE)</f>
        <v>153,97,95</v>
      </c>
      <c r="H1788" s="27" t="str">
        <f>VLOOKUP($C1788,Carpetas!$C$5:$M$2666,6,FALSE)</f>
        <v>FG</v>
      </c>
      <c r="I1788" s="220"/>
      <c r="J1788" s="47">
        <f>E1788+4</f>
        <v>45958</v>
      </c>
      <c r="K1788" s="72" t="str">
        <f>VLOOKUP($C1788,Carpetas!$C$5:$M$2666,5,FALSE)</f>
        <v>Rio Branco</v>
      </c>
      <c r="L1788" s="32"/>
      <c r="M1788" s="48">
        <f t="shared" si="121"/>
        <v>45959</v>
      </c>
      <c r="N1788" s="26">
        <f t="shared" si="120"/>
        <v>5</v>
      </c>
      <c r="O1788" s="27">
        <v>990</v>
      </c>
      <c r="P1788" s="27">
        <v>990</v>
      </c>
      <c r="Q1788" s="27">
        <v>28</v>
      </c>
      <c r="R1788" s="27">
        <v>26</v>
      </c>
      <c r="S1788" s="27" t="s">
        <v>4934</v>
      </c>
      <c r="T1788" s="27"/>
      <c r="U1788" s="27">
        <v>1213</v>
      </c>
      <c r="V1788" s="27" t="s">
        <v>1430</v>
      </c>
      <c r="W1788" s="27" t="s">
        <v>1669</v>
      </c>
      <c r="X1788" s="128" t="s">
        <v>1923</v>
      </c>
      <c r="Y1788" s="73" t="str">
        <f>VLOOKUP(X1788,Choferes!$B$3:C422,2,FALSE)</f>
        <v>+5553999049426</v>
      </c>
      <c r="Z1788" s="73" t="s">
        <v>4935</v>
      </c>
    </row>
    <row r="1789" spans="1:26" hidden="1" x14ac:dyDescent="0.25">
      <c r="A1789" s="33">
        <v>43</v>
      </c>
      <c r="B1789" s="71" t="s">
        <v>29</v>
      </c>
      <c r="C1789" s="39" t="s">
        <v>4891</v>
      </c>
      <c r="D1789" s="106" t="s">
        <v>2474</v>
      </c>
      <c r="E1789" s="47">
        <v>45955</v>
      </c>
      <c r="F1789" s="31" t="str">
        <f>VLOOKUP($C1789,Carpetas!$C$5:$M$2666,2,FALSE)</f>
        <v>BRB123</v>
      </c>
      <c r="G1789" s="23" t="str">
        <f>VLOOKUP($C1789,Carpetas!$C$5:$M$2666,10,FALSE)</f>
        <v>153.76.25</v>
      </c>
      <c r="H1789" s="27" t="str">
        <f>VLOOKUP($C1789,Carpetas!$C$5:$M$2666,6,FALSE)</f>
        <v xml:space="preserve">Silvio </v>
      </c>
      <c r="I1789" s="220"/>
      <c r="J1789" s="47">
        <f>E1789+3</f>
        <v>45958</v>
      </c>
      <c r="K1789" s="72" t="str">
        <f>VLOOKUP($C1789,Carpetas!$C$5:$M$2666,5,FALSE)</f>
        <v>Rio Branco</v>
      </c>
      <c r="L1789" s="32"/>
      <c r="M1789" s="48">
        <f t="shared" si="121"/>
        <v>45959</v>
      </c>
      <c r="N1789" s="26">
        <f t="shared" si="120"/>
        <v>4</v>
      </c>
      <c r="O1789" s="27">
        <v>918</v>
      </c>
      <c r="P1789" s="27">
        <v>918</v>
      </c>
      <c r="Q1789" s="27">
        <v>26</v>
      </c>
      <c r="R1789" s="27">
        <v>25</v>
      </c>
      <c r="S1789" s="27" t="s">
        <v>4936</v>
      </c>
      <c r="T1789" s="27"/>
      <c r="U1789" s="27">
        <v>7567</v>
      </c>
      <c r="V1789" s="27" t="s">
        <v>4937</v>
      </c>
      <c r="W1789" s="27" t="s">
        <v>4938</v>
      </c>
      <c r="X1789" s="128" t="s">
        <v>1825</v>
      </c>
      <c r="Y1789" s="73" t="str">
        <f>VLOOKUP(X1789,Choferes!$B$3:C418,2,FALSE)</f>
        <v>+5555997126993</v>
      </c>
      <c r="Z1789" s="73" t="s">
        <v>4939</v>
      </c>
    </row>
    <row r="1790" spans="1:26" hidden="1" x14ac:dyDescent="0.25">
      <c r="A1790" s="33">
        <v>43</v>
      </c>
      <c r="B1790" s="71" t="s">
        <v>29</v>
      </c>
      <c r="C1790" s="39" t="s">
        <v>4910</v>
      </c>
      <c r="D1790" s="106" t="s">
        <v>2202</v>
      </c>
      <c r="E1790" s="47">
        <v>45955</v>
      </c>
      <c r="F1790" s="31" t="str">
        <f>VLOOKUP($C1790,Carpetas!$C$5:$M$2666,2,FALSE)</f>
        <v>BRB124</v>
      </c>
      <c r="G1790" s="23" t="str">
        <f>VLOOKUP($C1790,Carpetas!$C$5:$M$2666,10,FALSE)</f>
        <v>153,97,95</v>
      </c>
      <c r="H1790" s="27" t="str">
        <f>VLOOKUP($C1790,Carpetas!$C$5:$M$2666,6,FALSE)</f>
        <v>FG</v>
      </c>
      <c r="I1790" s="220"/>
      <c r="J1790" s="47">
        <f>E1790+3</f>
        <v>45958</v>
      </c>
      <c r="K1790" s="72" t="str">
        <f>VLOOKUP($C1790,Carpetas!$C$5:$M$2666,5,FALSE)</f>
        <v>Rio Branco</v>
      </c>
      <c r="L1790" s="32"/>
      <c r="M1790" s="48">
        <f t="shared" si="121"/>
        <v>45959</v>
      </c>
      <c r="N1790" s="26">
        <f t="shared" si="120"/>
        <v>4</v>
      </c>
      <c r="O1790" s="27">
        <v>990</v>
      </c>
      <c r="P1790" s="27">
        <v>990</v>
      </c>
      <c r="Q1790" s="27">
        <v>28</v>
      </c>
      <c r="R1790" s="27">
        <v>26</v>
      </c>
      <c r="S1790" s="27" t="s">
        <v>4940</v>
      </c>
      <c r="T1790" s="27"/>
      <c r="U1790" s="27">
        <v>1214</v>
      </c>
      <c r="V1790" s="27" t="s">
        <v>1735</v>
      </c>
      <c r="W1790" s="27" t="s">
        <v>1681</v>
      </c>
      <c r="X1790" s="128" t="s">
        <v>1465</v>
      </c>
      <c r="Y1790" s="73" t="str">
        <f>VLOOKUP(X1790,Choferes!$B$3:C421,2,FALSE)</f>
        <v>+59893339027</v>
      </c>
      <c r="Z1790" s="73" t="s">
        <v>4941</v>
      </c>
    </row>
    <row r="1791" spans="1:26" hidden="1" x14ac:dyDescent="0.25">
      <c r="A1791" s="33">
        <v>43</v>
      </c>
      <c r="B1791" s="71" t="s">
        <v>29</v>
      </c>
      <c r="C1791" s="39" t="s">
        <v>4910</v>
      </c>
      <c r="D1791" s="106" t="s">
        <v>803</v>
      </c>
      <c r="E1791" s="47">
        <v>45955</v>
      </c>
      <c r="F1791" s="31" t="str">
        <f>VLOOKUP($C1791,Carpetas!$C$5:$M$2666,2,FALSE)</f>
        <v>BRB124</v>
      </c>
      <c r="G1791" s="23" t="str">
        <f>VLOOKUP($C1791,Carpetas!$C$5:$M$2666,10,FALSE)</f>
        <v>153,97,95</v>
      </c>
      <c r="H1791" s="27" t="str">
        <f>VLOOKUP($C1791,Carpetas!$C$5:$M$2666,6,FALSE)</f>
        <v>FG</v>
      </c>
      <c r="I1791" s="220"/>
      <c r="J1791" s="47">
        <f>E1791+3</f>
        <v>45958</v>
      </c>
      <c r="K1791" s="72" t="str">
        <f>VLOOKUP($C1791,Carpetas!$C$5:$M$2666,5,FALSE)</f>
        <v>Rio Branco</v>
      </c>
      <c r="L1791" s="32"/>
      <c r="M1791" s="48">
        <f t="shared" si="121"/>
        <v>45959</v>
      </c>
      <c r="N1791" s="26">
        <f t="shared" si="120"/>
        <v>4</v>
      </c>
      <c r="O1791" s="27">
        <v>990</v>
      </c>
      <c r="P1791" s="27">
        <v>990</v>
      </c>
      <c r="Q1791" s="27">
        <v>28</v>
      </c>
      <c r="R1791" s="27">
        <v>26</v>
      </c>
      <c r="S1791" s="27" t="s">
        <v>4942</v>
      </c>
      <c r="T1791" s="27"/>
      <c r="U1791" s="27">
        <v>1210</v>
      </c>
      <c r="V1791" s="27" t="s">
        <v>1042</v>
      </c>
      <c r="W1791" s="27" t="s">
        <v>3818</v>
      </c>
      <c r="X1791" s="128" t="s">
        <v>1623</v>
      </c>
      <c r="Y1791" s="73" t="str">
        <f>VLOOKUP(X1791,Choferes!$B$3:C424,2,FALSE)</f>
        <v>+5553991254560</v>
      </c>
      <c r="Z1791" s="73" t="s">
        <v>4935</v>
      </c>
    </row>
    <row r="1792" spans="1:26" hidden="1" x14ac:dyDescent="0.25">
      <c r="A1792" s="33">
        <v>43</v>
      </c>
      <c r="B1792" s="71" t="s">
        <v>29</v>
      </c>
      <c r="C1792" s="39" t="s">
        <v>4943</v>
      </c>
      <c r="D1792" s="106" t="s">
        <v>249</v>
      </c>
      <c r="E1792" s="47">
        <v>45954</v>
      </c>
      <c r="F1792" s="31" t="str">
        <f>VLOOKUP($C1792,Carpetas!$C$5:$M$2666,2,FALSE)</f>
        <v>BRB128</v>
      </c>
      <c r="G1792" s="23">
        <f>VLOOKUP($C1792,Carpetas!$C$5:$M$2666,10,FALSE)</f>
        <v>1540044</v>
      </c>
      <c r="H1792" s="27" t="str">
        <f>VLOOKUP($C1792,Carpetas!$C$5:$M$2666,6,FALSE)</f>
        <v>Gral</v>
      </c>
      <c r="I1792" s="220"/>
      <c r="J1792" s="47">
        <v>45958</v>
      </c>
      <c r="K1792" s="72" t="str">
        <f>VLOOKUP($C1792,Carpetas!$C$5:$M$2666,5,FALSE)</f>
        <v>Chuy</v>
      </c>
      <c r="L1792" s="32"/>
      <c r="M1792" s="48">
        <f t="shared" si="121"/>
        <v>45959</v>
      </c>
      <c r="N1792" s="26">
        <f t="shared" si="120"/>
        <v>5</v>
      </c>
      <c r="O1792" s="27">
        <v>918</v>
      </c>
      <c r="P1792" s="27">
        <v>918</v>
      </c>
      <c r="Q1792" s="27">
        <v>26</v>
      </c>
      <c r="R1792" s="27">
        <v>25</v>
      </c>
      <c r="S1792" s="27" t="s">
        <v>4944</v>
      </c>
      <c r="T1792" s="27"/>
      <c r="U1792" s="27"/>
      <c r="V1792" s="27" t="s">
        <v>4945</v>
      </c>
      <c r="W1792" s="27" t="s">
        <v>4946</v>
      </c>
      <c r="X1792" s="128"/>
      <c r="Y1792" s="73" t="e">
        <f>VLOOKUP(X1792,Choferes!$B$3:C428,2,FALSE)</f>
        <v>#N/A</v>
      </c>
      <c r="Z1792" s="73" t="s">
        <v>4947</v>
      </c>
    </row>
    <row r="1793" spans="1:26" hidden="1" x14ac:dyDescent="0.25">
      <c r="A1793" s="33">
        <v>43</v>
      </c>
      <c r="B1793" s="71" t="s">
        <v>29</v>
      </c>
      <c r="C1793" s="39" t="s">
        <v>4948</v>
      </c>
      <c r="D1793" s="106" t="s">
        <v>38</v>
      </c>
      <c r="E1793" s="47">
        <v>45952</v>
      </c>
      <c r="F1793" s="31" t="str">
        <f>VLOOKUP($C1793,Carpetas!$C$5:$M$2666,2,FALSE)</f>
        <v>BRE069</v>
      </c>
      <c r="G1793" s="23">
        <f>VLOOKUP($C1793,Carpetas!$C$5:$M$2666,10,FALSE)</f>
        <v>1540344</v>
      </c>
      <c r="H1793" s="27" t="str">
        <f>VLOOKUP($C1793,Carpetas!$C$5:$M$2666,6,FALSE)</f>
        <v>Miltex</v>
      </c>
      <c r="I1793" s="220">
        <f>VLOOKUP($C1793,Carpetas!$C$5:$M$2666,4,FALSE)</f>
        <v>0</v>
      </c>
      <c r="J1793" s="47">
        <f>E1793+6</f>
        <v>45958</v>
      </c>
      <c r="K1793" s="72" t="str">
        <f>VLOOKUP($C1793,Carpetas!$C$5:$M$2666,5,FALSE)</f>
        <v>Rio Branco</v>
      </c>
      <c r="L1793" s="32"/>
      <c r="M1793" s="48">
        <f t="shared" ref="M1793:M1824" si="122">J1793+1</f>
        <v>45959</v>
      </c>
      <c r="N1793" s="26">
        <f t="shared" si="120"/>
        <v>7</v>
      </c>
      <c r="O1793" s="27">
        <v>24500</v>
      </c>
      <c r="P1793" s="27">
        <v>24500</v>
      </c>
      <c r="Q1793" s="27"/>
      <c r="R1793" s="27"/>
      <c r="S1793" s="27"/>
      <c r="T1793" s="27"/>
      <c r="U1793" s="27">
        <v>189</v>
      </c>
      <c r="V1793" s="27" t="s">
        <v>4814</v>
      </c>
      <c r="W1793" s="27" t="s">
        <v>4815</v>
      </c>
      <c r="X1793" s="128"/>
      <c r="Y1793" s="73" t="e">
        <f>VLOOKUP(X1793,Choferes!$B$3:C425,2,FALSE)</f>
        <v>#N/A</v>
      </c>
      <c r="Z1793" s="73"/>
    </row>
    <row r="1794" spans="1:26" hidden="1" x14ac:dyDescent="0.25">
      <c r="A1794" s="33">
        <v>43</v>
      </c>
      <c r="B1794" s="71" t="s">
        <v>298</v>
      </c>
      <c r="C1794" s="39" t="s">
        <v>299</v>
      </c>
      <c r="D1794" s="106" t="s">
        <v>2474</v>
      </c>
      <c r="E1794" s="47">
        <v>45955</v>
      </c>
      <c r="F1794" s="31" t="str">
        <f>VLOOKUP($C1794,Carpetas!$C$5:$M$2666,2,FALSE)</f>
        <v>BRB</v>
      </c>
      <c r="G1794" s="23" t="e">
        <f>VLOOKUP($C1794,Carpetas!$C$5:$M$2666,9,FALSE)</f>
        <v>#REF!</v>
      </c>
      <c r="H1794" s="27" t="str">
        <f>VLOOKUP($C1794,Carpetas!$C$5:$M$2666,5,FALSE)</f>
        <v>xx</v>
      </c>
      <c r="I1794" s="220"/>
      <c r="J1794" s="47">
        <f>E1794+3</f>
        <v>45958</v>
      </c>
      <c r="K1794" s="72">
        <f>VLOOKUP($C1794,Carpetas!$C$5:$M$2666,4,FALSE)</f>
        <v>0</v>
      </c>
      <c r="L1794" s="32"/>
      <c r="M1794" s="48">
        <f t="shared" si="122"/>
        <v>45959</v>
      </c>
      <c r="N1794" s="26">
        <f t="shared" si="120"/>
        <v>4</v>
      </c>
      <c r="O1794" s="27">
        <v>990</v>
      </c>
      <c r="P1794" s="27"/>
      <c r="Q1794" s="27"/>
      <c r="R1794" s="27"/>
      <c r="S1794" s="27"/>
      <c r="T1794" s="27"/>
      <c r="U1794" s="27"/>
      <c r="V1794" s="27"/>
      <c r="W1794" s="27"/>
      <c r="X1794" s="128"/>
      <c r="Y1794" s="73" t="e">
        <f>VLOOKUP(X1794,Choferes!$B$3:C427,2,FALSE)</f>
        <v>#N/A</v>
      </c>
      <c r="Z1794" s="73"/>
    </row>
    <row r="1795" spans="1:26" hidden="1" x14ac:dyDescent="0.25">
      <c r="A1795" s="33">
        <v>43</v>
      </c>
      <c r="B1795" s="71" t="s">
        <v>29</v>
      </c>
      <c r="C1795" s="39" t="s">
        <v>4949</v>
      </c>
      <c r="D1795" s="106" t="s">
        <v>38</v>
      </c>
      <c r="E1795" s="47">
        <v>45954</v>
      </c>
      <c r="F1795" s="31" t="str">
        <f>VLOOKUP($C1795,Carpetas!$C$5:$M$2666,2,FALSE)</f>
        <v>BRE070</v>
      </c>
      <c r="G1795" s="23">
        <f>VLOOKUP($C1795,Carpetas!$C$5:$M$2666,10,FALSE)</f>
        <v>1540345</v>
      </c>
      <c r="H1795" s="27" t="str">
        <f>VLOOKUP($C1795,Carpetas!$C$5:$M$2666,6,FALSE)</f>
        <v>Miltex</v>
      </c>
      <c r="I1795" s="220">
        <f>VLOOKUP($C1795,Carpetas!$C$5:$M$2666,4,FALSE)</f>
        <v>0</v>
      </c>
      <c r="J1795" s="47">
        <v>45958</v>
      </c>
      <c r="K1795" s="72" t="str">
        <f>VLOOKUP($C1795,Carpetas!$C$5:$M$2666,5,FALSE)</f>
        <v>Rio Branco</v>
      </c>
      <c r="L1795" s="32"/>
      <c r="M1795" s="48">
        <f t="shared" si="122"/>
        <v>45959</v>
      </c>
      <c r="N1795" s="26">
        <f t="shared" si="120"/>
        <v>5</v>
      </c>
      <c r="O1795" s="27">
        <v>24000</v>
      </c>
      <c r="P1795" s="27">
        <v>24000</v>
      </c>
      <c r="Q1795" s="27"/>
      <c r="R1795" s="27"/>
      <c r="S1795" s="27"/>
      <c r="T1795" s="27"/>
      <c r="U1795" s="27">
        <v>190</v>
      </c>
      <c r="V1795" s="27" t="s">
        <v>4950</v>
      </c>
      <c r="W1795" s="27" t="s">
        <v>4951</v>
      </c>
      <c r="X1795" s="128"/>
      <c r="Y1795" s="73" t="e">
        <f>VLOOKUP(X1795,Choferes!$B$3:C411,2,FALSE)</f>
        <v>#N/A</v>
      </c>
      <c r="Z1795" s="73"/>
    </row>
    <row r="1796" spans="1:26" hidden="1" x14ac:dyDescent="0.25">
      <c r="A1796" s="33">
        <v>43</v>
      </c>
      <c r="B1796" s="71" t="s">
        <v>29</v>
      </c>
      <c r="C1796" s="39" t="s">
        <v>4952</v>
      </c>
      <c r="D1796" s="106" t="s">
        <v>38</v>
      </c>
      <c r="E1796" s="47">
        <v>45950</v>
      </c>
      <c r="F1796" s="31" t="str">
        <f>VLOOKUP($C1796,Carpetas!$C$5:$M$2666,2,FALSE)</f>
        <v>BRE068</v>
      </c>
      <c r="G1796" s="23">
        <f>VLOOKUP($C1796,Carpetas!$C$5:$M$2666,10,FALSE)</f>
        <v>1540045</v>
      </c>
      <c r="H1796" s="27" t="str">
        <f>VLOOKUP($C1796,Carpetas!$C$5:$M$2666,6,FALSE)</f>
        <v>Miltex</v>
      </c>
      <c r="I1796" s="220">
        <f>VLOOKUP($C1796,Carpetas!$C$5:$M$2666,4,FALSE)</f>
        <v>0</v>
      </c>
      <c r="J1796" s="47">
        <v>45959</v>
      </c>
      <c r="K1796" s="72" t="str">
        <f>VLOOKUP($C1796,Carpetas!$C$5:$M$2666,5,FALSE)</f>
        <v>Rio Branco</v>
      </c>
      <c r="L1796" s="32"/>
      <c r="M1796" s="48">
        <f t="shared" si="122"/>
        <v>45960</v>
      </c>
      <c r="N1796" s="26">
        <f t="shared" si="120"/>
        <v>10</v>
      </c>
      <c r="O1796" s="27">
        <v>24500</v>
      </c>
      <c r="P1796" s="27">
        <v>24500</v>
      </c>
      <c r="Q1796" s="27"/>
      <c r="R1796" s="27"/>
      <c r="S1796" s="27"/>
      <c r="T1796" s="27"/>
      <c r="U1796" s="27">
        <v>188</v>
      </c>
      <c r="V1796" s="27" t="s">
        <v>4727</v>
      </c>
      <c r="W1796" s="27" t="s">
        <v>4728</v>
      </c>
      <c r="X1796" s="128"/>
      <c r="Y1796" s="73" t="e">
        <f>VLOOKUP(X1796,Choferes!$B$3:C424,2,FALSE)</f>
        <v>#N/A</v>
      </c>
      <c r="Z1796" s="73"/>
    </row>
    <row r="1797" spans="1:26" hidden="1" x14ac:dyDescent="0.25">
      <c r="A1797" s="33">
        <v>43</v>
      </c>
      <c r="B1797" s="71" t="s">
        <v>29</v>
      </c>
      <c r="C1797" s="39" t="s">
        <v>4953</v>
      </c>
      <c r="D1797" s="106" t="s">
        <v>1757</v>
      </c>
      <c r="E1797" s="47">
        <v>45955</v>
      </c>
      <c r="F1797" s="31" t="str">
        <f>VLOOKUP($C1797,Carpetas!$C$5:$M$2666,2,FALSE)</f>
        <v>BRB127</v>
      </c>
      <c r="G1797" s="23" t="str">
        <f>VLOOKUP($C1797,Carpetas!$C$5:$M$2666,10,FALSE)</f>
        <v>153,97,53</v>
      </c>
      <c r="H1797" s="27" t="str">
        <f>VLOOKUP($C1797,Carpetas!$C$5:$M$2666,6,FALSE)</f>
        <v>Gral</v>
      </c>
      <c r="I1797" s="220"/>
      <c r="J1797" s="47">
        <f>E1797+4</f>
        <v>45959</v>
      </c>
      <c r="K1797" s="72" t="str">
        <f>VLOOKUP($C1797,Carpetas!$C$5:$M$2666,5,FALSE)</f>
        <v>Rio Branco</v>
      </c>
      <c r="L1797" s="32"/>
      <c r="M1797" s="48">
        <f t="shared" si="122"/>
        <v>45960</v>
      </c>
      <c r="N1797" s="26">
        <f t="shared" si="120"/>
        <v>5</v>
      </c>
      <c r="O1797" s="27">
        <v>936</v>
      </c>
      <c r="P1797" s="27">
        <v>936</v>
      </c>
      <c r="Q1797" s="27">
        <v>26</v>
      </c>
      <c r="R1797" s="27">
        <v>25</v>
      </c>
      <c r="S1797" s="27" t="s">
        <v>4954</v>
      </c>
      <c r="T1797" s="27"/>
      <c r="U1797" s="27">
        <v>7760</v>
      </c>
      <c r="V1797" s="27" t="s">
        <v>4955</v>
      </c>
      <c r="W1797" s="27" t="s">
        <v>4956</v>
      </c>
      <c r="X1797" s="128"/>
      <c r="Y1797" s="73" t="e">
        <f>VLOOKUP(X1797,Choferes!$B$3:C421,2,FALSE)</f>
        <v>#N/A</v>
      </c>
      <c r="Z1797" s="73" t="s">
        <v>4957</v>
      </c>
    </row>
    <row r="1798" spans="1:26" hidden="1" x14ac:dyDescent="0.25">
      <c r="A1798" s="33">
        <v>43</v>
      </c>
      <c r="B1798" s="71" t="s">
        <v>29</v>
      </c>
      <c r="C1798" s="39" t="s">
        <v>4953</v>
      </c>
      <c r="D1798" s="106" t="s">
        <v>1757</v>
      </c>
      <c r="E1798" s="47">
        <v>45954</v>
      </c>
      <c r="F1798" s="31" t="str">
        <f>VLOOKUP($C1798,Carpetas!$C$5:$M$2666,2,FALSE)</f>
        <v>BRB127</v>
      </c>
      <c r="G1798" s="23" t="str">
        <f>VLOOKUP($C1798,Carpetas!$C$5:$M$2666,10,FALSE)</f>
        <v>153,97,53</v>
      </c>
      <c r="H1798" s="27" t="str">
        <f>VLOOKUP($C1798,Carpetas!$C$5:$M$2666,6,FALSE)</f>
        <v>Gral</v>
      </c>
      <c r="I1798" s="220"/>
      <c r="J1798" s="47">
        <v>45959</v>
      </c>
      <c r="K1798" s="72" t="str">
        <f>VLOOKUP($C1798,Carpetas!$C$5:$M$2666,5,FALSE)</f>
        <v>Rio Branco</v>
      </c>
      <c r="L1798" s="32"/>
      <c r="M1798" s="48">
        <f t="shared" si="122"/>
        <v>45960</v>
      </c>
      <c r="N1798" s="26">
        <f t="shared" si="120"/>
        <v>6</v>
      </c>
      <c r="O1798" s="27">
        <v>936</v>
      </c>
      <c r="P1798" s="27">
        <v>936</v>
      </c>
      <c r="Q1798" s="27">
        <v>26</v>
      </c>
      <c r="R1798" s="27">
        <v>25</v>
      </c>
      <c r="S1798" s="27" t="s">
        <v>4958</v>
      </c>
      <c r="T1798" s="27"/>
      <c r="U1798" s="27">
        <v>7755</v>
      </c>
      <c r="V1798" s="27" t="s">
        <v>4959</v>
      </c>
      <c r="W1798" s="27" t="s">
        <v>4960</v>
      </c>
      <c r="X1798" s="128"/>
      <c r="Y1798" s="73" t="e">
        <f>VLOOKUP(X1798,Choferes!$B$3:C420,2,FALSE)</f>
        <v>#N/A</v>
      </c>
      <c r="Z1798" s="73" t="s">
        <v>4957</v>
      </c>
    </row>
    <row r="1799" spans="1:26" hidden="1" x14ac:dyDescent="0.25">
      <c r="A1799" s="33">
        <v>44</v>
      </c>
      <c r="B1799" s="71" t="s">
        <v>29</v>
      </c>
      <c r="C1799" s="39" t="s">
        <v>4921</v>
      </c>
      <c r="D1799" s="106" t="s">
        <v>2202</v>
      </c>
      <c r="E1799" s="47">
        <v>45958</v>
      </c>
      <c r="F1799" s="31" t="str">
        <f>VLOOKUP($C1799,Carpetas!$C$5:$M$2666,2,FALSE)</f>
        <v>BRB126</v>
      </c>
      <c r="G1799" s="23" t="str">
        <f>VLOOKUP($C1799,Carpetas!$C$5:$M$2666,10,FALSE)</f>
        <v>153,97,52</v>
      </c>
      <c r="H1799" s="27" t="str">
        <f>VLOOKUP($C1799,Carpetas!$C$5:$M$2666,6,FALSE)</f>
        <v>Zanini</v>
      </c>
      <c r="I1799" s="220"/>
      <c r="J1799" s="47">
        <f>E1799+2</f>
        <v>45960</v>
      </c>
      <c r="K1799" s="72" t="str">
        <f>VLOOKUP($C1799,Carpetas!$C$5:$M$2666,5,FALSE)</f>
        <v>Rio Branco</v>
      </c>
      <c r="L1799" s="32"/>
      <c r="M1799" s="48">
        <f t="shared" si="122"/>
        <v>45961</v>
      </c>
      <c r="N1799" s="26">
        <f t="shared" si="120"/>
        <v>3</v>
      </c>
      <c r="O1799" s="27">
        <v>918</v>
      </c>
      <c r="P1799" s="27">
        <v>918</v>
      </c>
      <c r="Q1799" s="27">
        <v>25</v>
      </c>
      <c r="R1799" s="27">
        <v>26</v>
      </c>
      <c r="S1799" s="27" t="s">
        <v>4961</v>
      </c>
      <c r="T1799" s="27"/>
      <c r="U1799" s="27">
        <v>5611</v>
      </c>
      <c r="V1799" s="27" t="s">
        <v>2623</v>
      </c>
      <c r="W1799" s="27" t="s">
        <v>1403</v>
      </c>
      <c r="X1799" s="128" t="s">
        <v>3723</v>
      </c>
      <c r="Y1799" s="73" t="str">
        <f>VLOOKUP(X1799,Choferes!$B$3:C412,2,FALSE)</f>
        <v>+55 55 9930-6979</v>
      </c>
      <c r="Z1799" s="73" t="s">
        <v>4962</v>
      </c>
    </row>
    <row r="1800" spans="1:26" hidden="1" x14ac:dyDescent="0.25">
      <c r="A1800" s="33">
        <v>44</v>
      </c>
      <c r="B1800" s="71" t="s">
        <v>29</v>
      </c>
      <c r="C1800" s="39" t="s">
        <v>4863</v>
      </c>
      <c r="D1800" s="106" t="s">
        <v>2474</v>
      </c>
      <c r="E1800" s="47">
        <v>45958</v>
      </c>
      <c r="F1800" s="31" t="str">
        <f>VLOOKUP($C1800,Carpetas!$C$5:$M$2666,2,FALSE)</f>
        <v>BRB122</v>
      </c>
      <c r="G1800" s="23" t="str">
        <f>VLOOKUP($C1800,Carpetas!$C$5:$M$2666,10,FALSE)</f>
        <v>153.94.27</v>
      </c>
      <c r="H1800" s="27" t="str">
        <f>VLOOKUP($C1800,Carpetas!$C$5:$M$2666,6,FALSE)</f>
        <v>Chabat</v>
      </c>
      <c r="I1800" s="220"/>
      <c r="J1800" s="47">
        <f>E1800+2</f>
        <v>45960</v>
      </c>
      <c r="K1800" s="72" t="str">
        <f>VLOOKUP($C1800,Carpetas!$C$5:$M$2666,5,FALSE)</f>
        <v>Rio Branco</v>
      </c>
      <c r="L1800" s="32"/>
      <c r="M1800" s="48">
        <f t="shared" si="122"/>
        <v>45961</v>
      </c>
      <c r="N1800" s="26">
        <f t="shared" si="120"/>
        <v>3</v>
      </c>
      <c r="O1800" s="27">
        <v>990</v>
      </c>
      <c r="P1800" s="27">
        <v>990</v>
      </c>
      <c r="Q1800" s="27">
        <v>28</v>
      </c>
      <c r="R1800" s="27">
        <v>26</v>
      </c>
      <c r="S1800" s="27" t="s">
        <v>4963</v>
      </c>
      <c r="T1800" s="27"/>
      <c r="U1800" s="27"/>
      <c r="V1800" s="27" t="s">
        <v>4964</v>
      </c>
      <c r="W1800" s="27" t="s">
        <v>4965</v>
      </c>
      <c r="X1800" s="128"/>
      <c r="Y1800" s="73" t="e">
        <f>VLOOKUP(X1800,Choferes!$B$3:C420,2,FALSE)</f>
        <v>#N/A</v>
      </c>
      <c r="Z1800" s="73" t="s">
        <v>4966</v>
      </c>
    </row>
    <row r="1801" spans="1:26" hidden="1" x14ac:dyDescent="0.25">
      <c r="A1801" s="33">
        <v>44</v>
      </c>
      <c r="B1801" s="71" t="s">
        <v>29</v>
      </c>
      <c r="C1801" s="39" t="s">
        <v>4910</v>
      </c>
      <c r="D1801" s="106" t="s">
        <v>803</v>
      </c>
      <c r="E1801" s="47">
        <v>45958</v>
      </c>
      <c r="F1801" s="31" t="str">
        <f>VLOOKUP($C1801,Carpetas!$C$5:$M$2666,2,FALSE)</f>
        <v>BRB124</v>
      </c>
      <c r="G1801" s="23" t="str">
        <f>VLOOKUP($C1801,Carpetas!$C$5:$M$2666,10,FALSE)</f>
        <v>153,97,95</v>
      </c>
      <c r="H1801" s="27" t="str">
        <f>VLOOKUP($C1801,Carpetas!$C$5:$M$2666,6,FALSE)</f>
        <v>FG</v>
      </c>
      <c r="I1801" s="220"/>
      <c r="J1801" s="47">
        <f>E1801+2</f>
        <v>45960</v>
      </c>
      <c r="K1801" s="72" t="str">
        <f>VLOOKUP($C1801,Carpetas!$C$5:$M$2666,5,FALSE)</f>
        <v>Rio Branco</v>
      </c>
      <c r="L1801" s="32"/>
      <c r="M1801" s="48">
        <f t="shared" si="122"/>
        <v>45961</v>
      </c>
      <c r="N1801" s="26">
        <f t="shared" si="120"/>
        <v>3</v>
      </c>
      <c r="O1801" s="27">
        <v>990</v>
      </c>
      <c r="P1801" s="27">
        <v>990</v>
      </c>
      <c r="Q1801" s="27">
        <v>28</v>
      </c>
      <c r="R1801" s="27">
        <v>25</v>
      </c>
      <c r="S1801" s="27" t="s">
        <v>4967</v>
      </c>
      <c r="T1801" s="27"/>
      <c r="U1801" s="27">
        <v>1215</v>
      </c>
      <c r="V1801" s="27" t="s">
        <v>3411</v>
      </c>
      <c r="W1801" s="27" t="s">
        <v>3412</v>
      </c>
      <c r="X1801" s="128" t="s">
        <v>3559</v>
      </c>
      <c r="Y1801" s="73" t="str">
        <f>VLOOKUP(X1801,Choferes!$B$3:C429,2,FALSE)</f>
        <v>+55 53 9713-4372</v>
      </c>
      <c r="Z1801" s="73" t="s">
        <v>4966</v>
      </c>
    </row>
    <row r="1802" spans="1:26" hidden="1" x14ac:dyDescent="0.25">
      <c r="A1802" s="33">
        <v>43</v>
      </c>
      <c r="B1802" s="71" t="s">
        <v>29</v>
      </c>
      <c r="C1802" s="39" t="s">
        <v>4968</v>
      </c>
      <c r="D1802" s="106" t="s">
        <v>38</v>
      </c>
      <c r="E1802" s="47">
        <v>45953</v>
      </c>
      <c r="F1802" s="31" t="str">
        <f>VLOOKUP($C1802,Carpetas!$C$5:$M$2666,2,FALSE)</f>
        <v>BRE071</v>
      </c>
      <c r="G1802" s="23">
        <f>VLOOKUP($C1802,Carpetas!$C$5:$M$2666,10,FALSE)</f>
        <v>0</v>
      </c>
      <c r="H1802" s="27" t="str">
        <f>VLOOKUP($C1802,Carpetas!$C$5:$M$2666,6,FALSE)</f>
        <v>Marvel</v>
      </c>
      <c r="I1802" s="220">
        <f>VLOOKUP($C1802,Carpetas!$C$5:$M$2666,4,FALSE)</f>
        <v>0</v>
      </c>
      <c r="J1802" s="47">
        <v>45961</v>
      </c>
      <c r="K1802" s="72" t="str">
        <f>VLOOKUP($C1802,Carpetas!$C$5:$M$2666,5,FALSE)</f>
        <v>Rio Branco</v>
      </c>
      <c r="L1802" s="32"/>
      <c r="M1802" s="48">
        <f t="shared" si="122"/>
        <v>45962</v>
      </c>
      <c r="N1802" s="26">
        <f t="shared" si="120"/>
        <v>9</v>
      </c>
      <c r="O1802" s="27">
        <v>1512</v>
      </c>
      <c r="P1802" s="27"/>
      <c r="Q1802" s="27"/>
      <c r="R1802" s="27"/>
      <c r="S1802" s="27"/>
      <c r="T1802" s="27"/>
      <c r="U1802" s="27"/>
      <c r="V1802" s="27"/>
      <c r="W1802" s="27"/>
      <c r="X1802" s="128"/>
      <c r="Y1802" s="73" t="e">
        <f>VLOOKUP(X1802,Choferes!$B$3:C427,2,FALSE)</f>
        <v>#N/A</v>
      </c>
      <c r="Z1802" s="73" t="s">
        <v>2165</v>
      </c>
    </row>
    <row r="1803" spans="1:26" hidden="1" x14ac:dyDescent="0.25">
      <c r="A1803" s="33">
        <v>43</v>
      </c>
      <c r="B1803" s="71" t="s">
        <v>29</v>
      </c>
      <c r="C1803" s="39" t="s">
        <v>4969</v>
      </c>
      <c r="D1803" s="106" t="s">
        <v>38</v>
      </c>
      <c r="E1803" s="47">
        <v>45953</v>
      </c>
      <c r="F1803" s="31" t="str">
        <f>VLOOKUP($C1803,Carpetas!$C$5:$M$2666,2,FALSE)</f>
        <v>BRE072</v>
      </c>
      <c r="G1803" s="23">
        <f>VLOOKUP($C1803,Carpetas!$C$5:$M$2666,10,FALSE)</f>
        <v>0</v>
      </c>
      <c r="H1803" s="27" t="str">
        <f>VLOOKUP($C1803,Carpetas!$C$5:$M$2666,6,FALSE)</f>
        <v>Marvel</v>
      </c>
      <c r="I1803" s="220">
        <f>VLOOKUP($C1803,Carpetas!$C$5:$M$2666,4,FALSE)</f>
        <v>0</v>
      </c>
      <c r="J1803" s="47">
        <v>45961</v>
      </c>
      <c r="K1803" s="72" t="str">
        <f>VLOOKUP($C1803,Carpetas!$C$5:$M$2666,5,FALSE)</f>
        <v>Rio Branco</v>
      </c>
      <c r="L1803" s="32"/>
      <c r="M1803" s="48">
        <f t="shared" si="122"/>
        <v>45962</v>
      </c>
      <c r="N1803" s="26">
        <f t="shared" si="120"/>
        <v>9</v>
      </c>
      <c r="O1803" s="27">
        <v>1560</v>
      </c>
      <c r="P1803" s="27"/>
      <c r="Q1803" s="27"/>
      <c r="R1803" s="27"/>
      <c r="S1803" s="27"/>
      <c r="T1803" s="27"/>
      <c r="U1803" s="27"/>
      <c r="V1803" s="27"/>
      <c r="W1803" s="27"/>
      <c r="X1803" s="128"/>
      <c r="Y1803" s="73" t="e">
        <f>VLOOKUP(X1803,Choferes!$B$3:C428,2,FALSE)</f>
        <v>#N/A</v>
      </c>
      <c r="Z1803" s="73" t="s">
        <v>1134</v>
      </c>
    </row>
    <row r="1804" spans="1:26" hidden="1" x14ac:dyDescent="0.25">
      <c r="A1804" s="33">
        <v>44</v>
      </c>
      <c r="B1804" s="71" t="s">
        <v>29</v>
      </c>
      <c r="C1804" s="39" t="s">
        <v>4970</v>
      </c>
      <c r="D1804" s="106" t="s">
        <v>2202</v>
      </c>
      <c r="E1804" s="47">
        <v>45959</v>
      </c>
      <c r="F1804" s="31" t="str">
        <f>VLOOKUP($C1804,Carpetas!$C$5:$M$2666,2,FALSE)</f>
        <v>BRB130</v>
      </c>
      <c r="G1804" s="23" t="str">
        <f>VLOOKUP($C1804,Carpetas!$C$5:$M$2666,10,FALSE)</f>
        <v>154,06,26</v>
      </c>
      <c r="H1804" s="27" t="str">
        <f>VLOOKUP($C1804,Carpetas!$C$5:$M$2666,6,FALSE)</f>
        <v>Zanini</v>
      </c>
      <c r="I1804" s="220"/>
      <c r="J1804" s="47">
        <f>E1804+2</f>
        <v>45961</v>
      </c>
      <c r="K1804" s="72" t="str">
        <f>VLOOKUP($C1804,Carpetas!$C$5:$M$2666,5,FALSE)</f>
        <v>Rio Branco</v>
      </c>
      <c r="L1804" s="32"/>
      <c r="M1804" s="48">
        <f t="shared" si="122"/>
        <v>45962</v>
      </c>
      <c r="N1804" s="26">
        <f t="shared" si="120"/>
        <v>3</v>
      </c>
      <c r="O1804" s="27">
        <v>918</v>
      </c>
      <c r="P1804" s="27">
        <v>918</v>
      </c>
      <c r="Q1804" s="27">
        <v>26</v>
      </c>
      <c r="R1804" s="27">
        <v>26</v>
      </c>
      <c r="S1804" s="27" t="s">
        <v>4971</v>
      </c>
      <c r="T1804" s="27"/>
      <c r="U1804" s="27">
        <v>5621</v>
      </c>
      <c r="V1804" s="27" t="s">
        <v>1386</v>
      </c>
      <c r="W1804" s="27" t="s">
        <v>1387</v>
      </c>
      <c r="X1804" s="128" t="s">
        <v>1704</v>
      </c>
      <c r="Y1804" s="73" t="str">
        <f>VLOOKUP(X1804,Choferes!$B$3:C413,2,FALSE)</f>
        <v>+5542998003432</v>
      </c>
      <c r="Z1804" s="73" t="s">
        <v>4972</v>
      </c>
    </row>
    <row r="1805" spans="1:26" hidden="1" x14ac:dyDescent="0.25">
      <c r="A1805" s="33">
        <v>44</v>
      </c>
      <c r="B1805" s="71" t="s">
        <v>29</v>
      </c>
      <c r="C1805" s="39" t="s">
        <v>4973</v>
      </c>
      <c r="D1805" s="106" t="s">
        <v>2474</v>
      </c>
      <c r="E1805" s="47">
        <v>45960</v>
      </c>
      <c r="F1805" s="31" t="str">
        <f>VLOOKUP($C1805,Carpetas!$C$5:$M$2666,2,FALSE)</f>
        <v>BRB132</v>
      </c>
      <c r="G1805" s="23" t="str">
        <f>VLOOKUP($C1805,Carpetas!$C$5:$M$2666,10,FALSE)</f>
        <v>154,10,13</v>
      </c>
      <c r="H1805" s="27" t="str">
        <f>VLOOKUP($C1805,Carpetas!$C$5:$M$2666,6,FALSE)</f>
        <v>Chabat</v>
      </c>
      <c r="I1805" s="220"/>
      <c r="J1805" s="47">
        <f>E1805+2</f>
        <v>45962</v>
      </c>
      <c r="K1805" s="72" t="str">
        <f>VLOOKUP($C1805,Carpetas!$C$5:$M$2666,5,FALSE)</f>
        <v>Rio Branco</v>
      </c>
      <c r="L1805" s="32"/>
      <c r="M1805" s="48">
        <f t="shared" si="122"/>
        <v>45963</v>
      </c>
      <c r="N1805" s="26">
        <f t="shared" si="120"/>
        <v>3</v>
      </c>
      <c r="O1805" s="27">
        <v>990</v>
      </c>
      <c r="P1805" s="27">
        <v>990</v>
      </c>
      <c r="Q1805" s="27">
        <v>28</v>
      </c>
      <c r="R1805" s="27">
        <v>25</v>
      </c>
      <c r="S1805" s="27" t="s">
        <v>4974</v>
      </c>
      <c r="T1805" s="27"/>
      <c r="U1805" s="27"/>
      <c r="V1805" s="27" t="s">
        <v>4975</v>
      </c>
      <c r="W1805" s="27" t="s">
        <v>4976</v>
      </c>
      <c r="X1805" s="128"/>
      <c r="Y1805" s="73" t="e">
        <f>VLOOKUP(X1805,Choferes!$B$3:C421,2,FALSE)</f>
        <v>#N/A</v>
      </c>
      <c r="Z1805" s="73" t="s">
        <v>4977</v>
      </c>
    </row>
    <row r="1806" spans="1:26" hidden="1" x14ac:dyDescent="0.25">
      <c r="A1806" s="33">
        <v>44</v>
      </c>
      <c r="B1806" s="71" t="s">
        <v>29</v>
      </c>
      <c r="C1806" s="39" t="s">
        <v>4840</v>
      </c>
      <c r="D1806" s="106" t="s">
        <v>110</v>
      </c>
      <c r="E1806" s="47">
        <v>45961</v>
      </c>
      <c r="F1806" s="31" t="str">
        <f>VLOOKUP($C1806,Carpetas!$C$5:$M$2666,2,FALSE)</f>
        <v>BRB117</v>
      </c>
      <c r="G1806" s="23" t="str">
        <f>VLOOKUP($C1806,Carpetas!$C$5:$M$2666,10,FALSE)</f>
        <v>153,87,97</v>
      </c>
      <c r="H1806" s="27" t="str">
        <f>VLOOKUP($C1806,Carpetas!$C$5:$M$2666,6,FALSE)</f>
        <v>Amaro</v>
      </c>
      <c r="I1806" s="220"/>
      <c r="J1806" s="47">
        <v>45964</v>
      </c>
      <c r="K1806" s="72" t="str">
        <f>VLOOKUP($C1806,Carpetas!$C$5:$M$2666,5,FALSE)</f>
        <v>Rio Branco</v>
      </c>
      <c r="L1806" s="32"/>
      <c r="M1806" s="48">
        <f t="shared" si="122"/>
        <v>45965</v>
      </c>
      <c r="N1806" s="26">
        <f t="shared" si="120"/>
        <v>4</v>
      </c>
      <c r="O1806" s="27">
        <v>990</v>
      </c>
      <c r="P1806" s="27">
        <v>990</v>
      </c>
      <c r="Q1806" s="27">
        <v>28</v>
      </c>
      <c r="R1806" s="27">
        <v>26</v>
      </c>
      <c r="S1806" s="27" t="s">
        <v>4978</v>
      </c>
      <c r="T1806" s="27"/>
      <c r="U1806" s="27">
        <v>27227</v>
      </c>
      <c r="V1806" s="27" t="s">
        <v>3029</v>
      </c>
      <c r="W1806" s="27" t="s">
        <v>4979</v>
      </c>
      <c r="X1806" s="128"/>
      <c r="Y1806" s="73" t="e">
        <f>VLOOKUP(X1806,Choferes!$B$3:C419,2,FALSE)</f>
        <v>#N/A</v>
      </c>
      <c r="Z1806" s="73" t="s">
        <v>4980</v>
      </c>
    </row>
    <row r="1807" spans="1:26" hidden="1" x14ac:dyDescent="0.25">
      <c r="A1807" s="33">
        <v>44</v>
      </c>
      <c r="B1807" s="71" t="s">
        <v>29</v>
      </c>
      <c r="C1807" s="39" t="s">
        <v>4832</v>
      </c>
      <c r="D1807" s="106" t="s">
        <v>2202</v>
      </c>
      <c r="E1807" s="47">
        <v>45961</v>
      </c>
      <c r="F1807" s="31" t="str">
        <f>VLOOKUP($C1807,Carpetas!$C$5:$M$2666,2,FALSE)</f>
        <v>BRB118</v>
      </c>
      <c r="G1807" s="23" t="str">
        <f>VLOOKUP($C1807,Carpetas!$C$5:$M$2666,10,FALSE)</f>
        <v>153,87,98</v>
      </c>
      <c r="H1807" s="27" t="str">
        <f>VLOOKUP($C1807,Carpetas!$C$5:$M$2666,6,FALSE)</f>
        <v>Gral</v>
      </c>
      <c r="I1807" s="220"/>
      <c r="J1807" s="47">
        <v>45964</v>
      </c>
      <c r="K1807" s="72" t="str">
        <f>VLOOKUP($C1807,Carpetas!$C$5:$M$2666,5,FALSE)</f>
        <v>Rio Branco</v>
      </c>
      <c r="L1807" s="32"/>
      <c r="M1807" s="48">
        <f t="shared" si="122"/>
        <v>45965</v>
      </c>
      <c r="N1807" s="26">
        <f t="shared" si="120"/>
        <v>4</v>
      </c>
      <c r="O1807" s="27">
        <v>918</v>
      </c>
      <c r="P1807" s="27">
        <v>918</v>
      </c>
      <c r="Q1807" s="27">
        <v>26</v>
      </c>
      <c r="R1807" s="27">
        <v>25</v>
      </c>
      <c r="S1807" s="27" t="s">
        <v>4981</v>
      </c>
      <c r="T1807" s="27"/>
      <c r="U1807" s="27">
        <v>7714</v>
      </c>
      <c r="V1807" s="27" t="s">
        <v>3337</v>
      </c>
      <c r="W1807" s="27" t="s">
        <v>3338</v>
      </c>
      <c r="X1807" s="128"/>
      <c r="Y1807" s="73" t="e">
        <f>VLOOKUP(X1807,Choferes!$B$3:C414,2,FALSE)</f>
        <v>#N/A</v>
      </c>
      <c r="Z1807" s="73" t="s">
        <v>4982</v>
      </c>
    </row>
    <row r="1808" spans="1:26" hidden="1" x14ac:dyDescent="0.25">
      <c r="A1808" s="33">
        <v>44</v>
      </c>
      <c r="B1808" s="71" t="s">
        <v>29</v>
      </c>
      <c r="C1808" s="39" t="s">
        <v>4910</v>
      </c>
      <c r="D1808" s="106" t="s">
        <v>249</v>
      </c>
      <c r="E1808" s="47">
        <v>45961</v>
      </c>
      <c r="F1808" s="31" t="str">
        <f>VLOOKUP($C1808,Carpetas!$C$5:$M$2666,2,FALSE)</f>
        <v>BRB124</v>
      </c>
      <c r="G1808" s="23" t="str">
        <f>VLOOKUP($C1808,Carpetas!$C$5:$M$2666,10,FALSE)</f>
        <v>153,97,95</v>
      </c>
      <c r="H1808" s="27" t="str">
        <f>VLOOKUP($C1808,Carpetas!$C$5:$M$2666,6,FALSE)</f>
        <v>FG</v>
      </c>
      <c r="I1808" s="220"/>
      <c r="J1808" s="47">
        <v>45964</v>
      </c>
      <c r="K1808" s="72" t="str">
        <f>VLOOKUP($C1808,Carpetas!$C$5:$M$2666,5,FALSE)</f>
        <v>Rio Branco</v>
      </c>
      <c r="L1808" s="32"/>
      <c r="M1808" s="48">
        <f t="shared" si="122"/>
        <v>45965</v>
      </c>
      <c r="N1808" s="26">
        <f t="shared" si="120"/>
        <v>4</v>
      </c>
      <c r="O1808" s="27">
        <v>990</v>
      </c>
      <c r="P1808" s="27">
        <v>990</v>
      </c>
      <c r="Q1808" s="27">
        <v>28</v>
      </c>
      <c r="R1808" s="27">
        <v>26</v>
      </c>
      <c r="S1808" s="27" t="s">
        <v>4983</v>
      </c>
      <c r="T1808" s="27"/>
      <c r="U1808" s="27">
        <v>1225</v>
      </c>
      <c r="V1808" s="27" t="s">
        <v>1645</v>
      </c>
      <c r="W1808" s="27" t="s">
        <v>1631</v>
      </c>
      <c r="X1808" s="128" t="s">
        <v>3808</v>
      </c>
      <c r="Y1808" s="73" t="str">
        <f>VLOOKUP(X1808,Choferes!$B$3:C415,2,FALSE)</f>
        <v>+55 53 8412-9466</v>
      </c>
      <c r="Z1808" s="73" t="s">
        <v>4984</v>
      </c>
    </row>
    <row r="1809" spans="1:26" hidden="1" x14ac:dyDescent="0.25">
      <c r="A1809" s="33">
        <v>44</v>
      </c>
      <c r="B1809" s="71" t="s">
        <v>29</v>
      </c>
      <c r="C1809" s="39" t="s">
        <v>4910</v>
      </c>
      <c r="D1809" s="106" t="s">
        <v>747</v>
      </c>
      <c r="E1809" s="47">
        <v>45961</v>
      </c>
      <c r="F1809" s="31" t="str">
        <f>VLOOKUP($C1809,Carpetas!$C$5:$M$2666,2,FALSE)</f>
        <v>BRB124</v>
      </c>
      <c r="G1809" s="23" t="str">
        <f>VLOOKUP($C1809,Carpetas!$C$5:$M$2666,10,FALSE)</f>
        <v>153,97,95</v>
      </c>
      <c r="H1809" s="27" t="str">
        <f>VLOOKUP($C1809,Carpetas!$C$5:$M$2666,6,FALSE)</f>
        <v>FG</v>
      </c>
      <c r="I1809" s="220"/>
      <c r="J1809" s="47">
        <v>45964</v>
      </c>
      <c r="K1809" s="72" t="str">
        <f>VLOOKUP($C1809,Carpetas!$C$5:$M$2666,5,FALSE)</f>
        <v>Rio Branco</v>
      </c>
      <c r="L1809" s="32"/>
      <c r="M1809" s="48">
        <f t="shared" si="122"/>
        <v>45965</v>
      </c>
      <c r="N1809" s="26">
        <f t="shared" si="120"/>
        <v>4</v>
      </c>
      <c r="O1809" s="27">
        <v>990</v>
      </c>
      <c r="P1809" s="27">
        <v>991</v>
      </c>
      <c r="Q1809" s="27">
        <v>28</v>
      </c>
      <c r="R1809" s="27">
        <v>26</v>
      </c>
      <c r="S1809" s="27" t="s">
        <v>4985</v>
      </c>
      <c r="T1809" s="27"/>
      <c r="U1809" s="27">
        <v>1224</v>
      </c>
      <c r="V1809" s="27" t="s">
        <v>1726</v>
      </c>
      <c r="W1809" s="27" t="s">
        <v>1646</v>
      </c>
      <c r="X1809" s="128" t="s">
        <v>1576</v>
      </c>
      <c r="Y1809" s="73" t="str">
        <f>VLOOKUP(X1809,Choferes!$B$3:C416,2,FALSE)</f>
        <v>+55119971489722</v>
      </c>
      <c r="Z1809" s="73" t="s">
        <v>4986</v>
      </c>
    </row>
    <row r="1810" spans="1:26" hidden="1" x14ac:dyDescent="0.25">
      <c r="A1810" s="33">
        <v>44</v>
      </c>
      <c r="B1810" s="71" t="s">
        <v>29</v>
      </c>
      <c r="C1810" s="39" t="s">
        <v>4987</v>
      </c>
      <c r="D1810" s="106" t="s">
        <v>803</v>
      </c>
      <c r="E1810" s="47">
        <v>45961</v>
      </c>
      <c r="F1810" s="31" t="str">
        <f>VLOOKUP($C1810,Carpetas!$C$5:$M$2666,2,FALSE)</f>
        <v>BRB131</v>
      </c>
      <c r="G1810" s="23" t="str">
        <f>VLOOKUP($C1810,Carpetas!$C$5:$M$2666,10,FALSE)</f>
        <v>154,12,09</v>
      </c>
      <c r="H1810" s="27" t="str">
        <f>VLOOKUP($C1810,Carpetas!$C$5:$M$2666,6,FALSE)</f>
        <v>FG</v>
      </c>
      <c r="I1810" s="220"/>
      <c r="J1810" s="47">
        <v>45964</v>
      </c>
      <c r="K1810" s="72" t="str">
        <f>VLOOKUP($C1810,Carpetas!$C$5:$M$2666,5,FALSE)</f>
        <v>Rio Branco</v>
      </c>
      <c r="L1810" s="32"/>
      <c r="M1810" s="48">
        <f t="shared" si="122"/>
        <v>45965</v>
      </c>
      <c r="N1810" s="26">
        <f t="shared" ref="N1810:N1873" si="123">IF(E1810&lt;&gt;"",M1810-E1810,"-")</f>
        <v>4</v>
      </c>
      <c r="O1810" s="27">
        <v>990</v>
      </c>
      <c r="P1810" s="27">
        <v>990</v>
      </c>
      <c r="Q1810" s="27">
        <v>28</v>
      </c>
      <c r="R1810" s="27">
        <v>26</v>
      </c>
      <c r="S1810" s="27" t="s">
        <v>4988</v>
      </c>
      <c r="T1810" s="27"/>
      <c r="U1810" s="27">
        <v>1226</v>
      </c>
      <c r="V1810" s="27" t="s">
        <v>3572</v>
      </c>
      <c r="W1810" s="27" t="s">
        <v>1723</v>
      </c>
      <c r="X1810" s="128" t="s">
        <v>1495</v>
      </c>
      <c r="Y1810" s="73" t="str">
        <f>VLOOKUP(X1810,Choferes!$B$3:C417,2,FALSE)</f>
        <v>+5553984382803</v>
      </c>
      <c r="Z1810" s="73" t="s">
        <v>4989</v>
      </c>
    </row>
    <row r="1811" spans="1:26" hidden="1" x14ac:dyDescent="0.25">
      <c r="A1811" s="33">
        <v>44</v>
      </c>
      <c r="B1811" s="71" t="s">
        <v>29</v>
      </c>
      <c r="C1811" s="39" t="s">
        <v>4973</v>
      </c>
      <c r="D1811" s="106" t="s">
        <v>2474</v>
      </c>
      <c r="E1811" s="47">
        <v>45962</v>
      </c>
      <c r="F1811" s="31" t="str">
        <f>VLOOKUP($C1811,Carpetas!$C$5:$M$2666,2,FALSE)</f>
        <v>BRB132</v>
      </c>
      <c r="G1811" s="23" t="str">
        <f>VLOOKUP($C1811,Carpetas!$C$5:$M$2666,10,FALSE)</f>
        <v>154,10,13</v>
      </c>
      <c r="H1811" s="27" t="str">
        <f>VLOOKUP($C1811,Carpetas!$C$5:$M$2666,6,FALSE)</f>
        <v>Chabat</v>
      </c>
      <c r="I1811" s="220"/>
      <c r="J1811" s="47">
        <v>45964</v>
      </c>
      <c r="K1811" s="72" t="str">
        <f>VLOOKUP($C1811,Carpetas!$C$5:$M$2666,5,FALSE)</f>
        <v>Rio Branco</v>
      </c>
      <c r="L1811" s="32"/>
      <c r="M1811" s="48">
        <f t="shared" si="122"/>
        <v>45965</v>
      </c>
      <c r="N1811" s="26">
        <f t="shared" si="123"/>
        <v>3</v>
      </c>
      <c r="O1811" s="27">
        <v>990</v>
      </c>
      <c r="P1811" s="27">
        <v>990</v>
      </c>
      <c r="Q1811" s="27">
        <v>28</v>
      </c>
      <c r="R1811" s="27">
        <v>26</v>
      </c>
      <c r="S1811" s="27" t="s">
        <v>4990</v>
      </c>
      <c r="T1811" s="27"/>
      <c r="U1811" s="27"/>
      <c r="V1811" s="27" t="s">
        <v>4991</v>
      </c>
      <c r="W1811" s="27" t="s">
        <v>4992</v>
      </c>
      <c r="X1811" s="128"/>
      <c r="Y1811" s="73" t="e">
        <f>VLOOKUP(X1811,Choferes!$B$3:C422,2,FALSE)</f>
        <v>#N/A</v>
      </c>
      <c r="Z1811" s="73" t="s">
        <v>4980</v>
      </c>
    </row>
    <row r="1812" spans="1:26" hidden="1" x14ac:dyDescent="0.25">
      <c r="A1812" s="33">
        <v>44</v>
      </c>
      <c r="B1812" s="71" t="s">
        <v>29</v>
      </c>
      <c r="C1812" s="39" t="s">
        <v>4987</v>
      </c>
      <c r="D1812" s="106" t="s">
        <v>803</v>
      </c>
      <c r="E1812" s="47">
        <v>45962</v>
      </c>
      <c r="F1812" s="31" t="str">
        <f>VLOOKUP($C1812,Carpetas!$C$5:$M$2666,2,FALSE)</f>
        <v>BRB131</v>
      </c>
      <c r="G1812" s="23" t="str">
        <f>VLOOKUP($C1812,Carpetas!$C$5:$M$2666,10,FALSE)</f>
        <v>154,12,09</v>
      </c>
      <c r="H1812" s="27" t="str">
        <f>VLOOKUP($C1812,Carpetas!$C$5:$M$2666,6,FALSE)</f>
        <v>FG</v>
      </c>
      <c r="I1812" s="220"/>
      <c r="J1812" s="47">
        <v>45964</v>
      </c>
      <c r="K1812" s="72" t="str">
        <f>VLOOKUP($C1812,Carpetas!$C$5:$M$2666,5,FALSE)</f>
        <v>Rio Branco</v>
      </c>
      <c r="L1812" s="32"/>
      <c r="M1812" s="48">
        <f t="shared" si="122"/>
        <v>45965</v>
      </c>
      <c r="N1812" s="26">
        <f t="shared" si="123"/>
        <v>3</v>
      </c>
      <c r="O1812" s="27">
        <v>990</v>
      </c>
      <c r="P1812" s="27">
        <v>990</v>
      </c>
      <c r="Q1812" s="27">
        <v>28</v>
      </c>
      <c r="R1812" s="27">
        <v>26</v>
      </c>
      <c r="S1812" s="27" t="s">
        <v>4993</v>
      </c>
      <c r="T1812" s="27"/>
      <c r="U1812" s="27">
        <v>1227</v>
      </c>
      <c r="V1812" s="27" t="s">
        <v>1735</v>
      </c>
      <c r="W1812" s="27" t="s">
        <v>1681</v>
      </c>
      <c r="X1812" s="128" t="s">
        <v>1465</v>
      </c>
      <c r="Y1812" s="73" t="str">
        <f>VLOOKUP(X1812,Choferes!$B$3:C418,2,FALSE)</f>
        <v>+59893339027</v>
      </c>
      <c r="Z1812" s="73" t="s">
        <v>4989</v>
      </c>
    </row>
    <row r="1813" spans="1:26" hidden="1" x14ac:dyDescent="0.25">
      <c r="A1813" s="33">
        <v>44</v>
      </c>
      <c r="B1813" s="71" t="s">
        <v>29</v>
      </c>
      <c r="C1813" s="39" t="s">
        <v>4994</v>
      </c>
      <c r="D1813" s="106" t="s">
        <v>1757</v>
      </c>
      <c r="E1813" s="47">
        <v>45957</v>
      </c>
      <c r="F1813" s="31" t="str">
        <f>VLOOKUP($C1813,Carpetas!$C$5:$M$2666,2,FALSE)</f>
        <v>BRB129</v>
      </c>
      <c r="G1813" s="23" t="str">
        <f>VLOOKUP($C1813,Carpetas!$C$5:$M$2666,10,FALSE)</f>
        <v>154,09,25</v>
      </c>
      <c r="H1813" s="27" t="str">
        <f>VLOOKUP($C1813,Carpetas!$C$5:$M$2666,6,FALSE)</f>
        <v>Gral</v>
      </c>
      <c r="I1813" s="220"/>
      <c r="J1813" s="47">
        <f>E1813+8</f>
        <v>45965</v>
      </c>
      <c r="K1813" s="72" t="str">
        <f>VLOOKUP($C1813,Carpetas!$C$5:$M$2666,5,FALSE)</f>
        <v>Rio Branco</v>
      </c>
      <c r="L1813" s="32"/>
      <c r="M1813" s="48">
        <f t="shared" si="122"/>
        <v>45966</v>
      </c>
      <c r="N1813" s="26">
        <f t="shared" si="123"/>
        <v>9</v>
      </c>
      <c r="O1813" s="27">
        <v>936</v>
      </c>
      <c r="P1813" s="27">
        <v>936</v>
      </c>
      <c r="Q1813" s="27">
        <v>26</v>
      </c>
      <c r="R1813" s="27">
        <v>25</v>
      </c>
      <c r="S1813" s="27" t="s">
        <v>4995</v>
      </c>
      <c r="T1813" s="27"/>
      <c r="U1813" s="27">
        <v>7774</v>
      </c>
      <c r="V1813" s="27" t="s">
        <v>4996</v>
      </c>
      <c r="W1813" s="27" t="s">
        <v>4997</v>
      </c>
      <c r="X1813" s="128"/>
      <c r="Y1813" s="73" t="e">
        <f>VLOOKUP(X1813,Choferes!$B$3:C423,2,FALSE)</f>
        <v>#N/A</v>
      </c>
      <c r="Z1813" s="73" t="s">
        <v>4998</v>
      </c>
    </row>
    <row r="1814" spans="1:26" hidden="1" x14ac:dyDescent="0.25">
      <c r="A1814" s="33">
        <v>44</v>
      </c>
      <c r="B1814" s="71" t="s">
        <v>29</v>
      </c>
      <c r="C1814" s="39" t="s">
        <v>4994</v>
      </c>
      <c r="D1814" s="106" t="s">
        <v>1757</v>
      </c>
      <c r="E1814" s="47">
        <v>45959</v>
      </c>
      <c r="F1814" s="31" t="str">
        <f>VLOOKUP($C1814,Carpetas!$C$5:$M$2666,2,FALSE)</f>
        <v>BRB129</v>
      </c>
      <c r="G1814" s="23" t="str">
        <f>VLOOKUP($C1814,Carpetas!$C$5:$M$2666,10,FALSE)</f>
        <v>154,09,25</v>
      </c>
      <c r="H1814" s="27" t="str">
        <f>VLOOKUP($C1814,Carpetas!$C$5:$M$2666,6,FALSE)</f>
        <v>Gral</v>
      </c>
      <c r="I1814" s="220"/>
      <c r="J1814" s="47">
        <f>E1814+7</f>
        <v>45966</v>
      </c>
      <c r="K1814" s="72" t="str">
        <f>VLOOKUP($C1814,Carpetas!$C$5:$M$2666,5,FALSE)</f>
        <v>Rio Branco</v>
      </c>
      <c r="L1814" s="32"/>
      <c r="M1814" s="48">
        <f t="shared" si="122"/>
        <v>45967</v>
      </c>
      <c r="N1814" s="26">
        <f t="shared" si="123"/>
        <v>8</v>
      </c>
      <c r="O1814" s="27">
        <v>936</v>
      </c>
      <c r="P1814" s="27">
        <v>936</v>
      </c>
      <c r="Q1814" s="27">
        <v>26</v>
      </c>
      <c r="R1814" s="27">
        <v>25</v>
      </c>
      <c r="S1814" s="27" t="s">
        <v>4999</v>
      </c>
      <c r="T1814" s="27"/>
      <c r="U1814" s="27">
        <v>7773</v>
      </c>
      <c r="V1814" s="27" t="s">
        <v>5000</v>
      </c>
      <c r="W1814" s="27" t="s">
        <v>5001</v>
      </c>
      <c r="X1814" s="128"/>
      <c r="Y1814" s="73" t="e">
        <f>VLOOKUP(X1814,Choferes!$B$3:C424,2,FALSE)</f>
        <v>#N/A</v>
      </c>
      <c r="Z1814" s="73" t="s">
        <v>5002</v>
      </c>
    </row>
    <row r="1815" spans="1:26" hidden="1" x14ac:dyDescent="0.25">
      <c r="A1815" s="33">
        <v>45</v>
      </c>
      <c r="B1815" s="71" t="s">
        <v>29</v>
      </c>
      <c r="C1815" s="39" t="s">
        <v>4970</v>
      </c>
      <c r="D1815" s="106" t="s">
        <v>2202</v>
      </c>
      <c r="E1815" s="47">
        <v>45965</v>
      </c>
      <c r="F1815" s="31" t="str">
        <f>VLOOKUP($C1815,Carpetas!$C$5:$M$2666,2,FALSE)</f>
        <v>BRB130</v>
      </c>
      <c r="G1815" s="23" t="str">
        <f>VLOOKUP($C1815,Carpetas!$C$5:$M$2666,10,FALSE)</f>
        <v>154,06,26</v>
      </c>
      <c r="H1815" s="27" t="str">
        <f>VLOOKUP($C1815,Carpetas!$C$5:$M$2666,6,FALSE)</f>
        <v>Zanini</v>
      </c>
      <c r="I1815" s="220"/>
      <c r="J1815" s="47">
        <f>E1815+2</f>
        <v>45967</v>
      </c>
      <c r="K1815" s="72" t="str">
        <f>VLOOKUP($C1815,Carpetas!$C$5:$M$2666,5,FALSE)</f>
        <v>Rio Branco</v>
      </c>
      <c r="L1815" s="48"/>
      <c r="M1815" s="48">
        <f t="shared" si="122"/>
        <v>45968</v>
      </c>
      <c r="N1815" s="26">
        <f t="shared" si="123"/>
        <v>3</v>
      </c>
      <c r="O1815" s="27">
        <v>918</v>
      </c>
      <c r="P1815" s="27">
        <v>918</v>
      </c>
      <c r="Q1815" s="27">
        <v>26</v>
      </c>
      <c r="R1815" s="27">
        <v>25</v>
      </c>
      <c r="S1815" s="27" t="s">
        <v>5003</v>
      </c>
      <c r="T1815" s="27"/>
      <c r="U1815" s="27">
        <v>5626</v>
      </c>
      <c r="V1815" s="27" t="s">
        <v>759</v>
      </c>
      <c r="W1815" s="27" t="s">
        <v>760</v>
      </c>
      <c r="X1815" s="128"/>
      <c r="Y1815" s="73" t="e">
        <f>VLOOKUP(X1815,Choferes!$B$3:C426,2,FALSE)</f>
        <v>#N/A</v>
      </c>
      <c r="Z1815" s="73" t="s">
        <v>5004</v>
      </c>
    </row>
    <row r="1816" spans="1:26" hidden="1" x14ac:dyDescent="0.25">
      <c r="A1816" s="33">
        <v>44</v>
      </c>
      <c r="B1816" s="71" t="s">
        <v>29</v>
      </c>
      <c r="C1816" s="39" t="s">
        <v>4994</v>
      </c>
      <c r="D1816" s="106" t="s">
        <v>1757</v>
      </c>
      <c r="E1816" s="47">
        <v>45961</v>
      </c>
      <c r="F1816" s="31" t="str">
        <f>VLOOKUP($C1816,Carpetas!$C$5:$M$2666,2,FALSE)</f>
        <v>BRB129</v>
      </c>
      <c r="G1816" s="23" t="str">
        <f>VLOOKUP($C1816,Carpetas!$C$5:$M$2666,10,FALSE)</f>
        <v>154,09,25</v>
      </c>
      <c r="H1816" s="27" t="str">
        <f>VLOOKUP($C1816,Carpetas!$C$5:$M$2666,6,FALSE)</f>
        <v>Gral</v>
      </c>
      <c r="I1816" s="220"/>
      <c r="J1816" s="47">
        <f>E1816+7</f>
        <v>45968</v>
      </c>
      <c r="K1816" s="72" t="str">
        <f>VLOOKUP($C1816,Carpetas!$C$5:$M$2666,5,FALSE)</f>
        <v>Rio Branco</v>
      </c>
      <c r="L1816" s="48"/>
      <c r="M1816" s="48">
        <f t="shared" si="122"/>
        <v>45969</v>
      </c>
      <c r="N1816" s="26">
        <f t="shared" si="123"/>
        <v>8</v>
      </c>
      <c r="O1816" s="27">
        <v>936</v>
      </c>
      <c r="P1816" s="27">
        <v>936</v>
      </c>
      <c r="Q1816" s="27">
        <v>26</v>
      </c>
      <c r="R1816" s="27">
        <v>25</v>
      </c>
      <c r="S1816" s="27" t="s">
        <v>5005</v>
      </c>
      <c r="T1816" s="27"/>
      <c r="U1816" s="27">
        <v>7775</v>
      </c>
      <c r="V1816" s="27" t="s">
        <v>3605</v>
      </c>
      <c r="W1816" s="27" t="s">
        <v>5006</v>
      </c>
      <c r="X1816" s="128"/>
      <c r="Y1816" s="73" t="e">
        <f>VLOOKUP(X1816,Choferes!$B$3:C425,2,FALSE)</f>
        <v>#N/A</v>
      </c>
      <c r="Z1816" s="73" t="s">
        <v>5007</v>
      </c>
    </row>
    <row r="1817" spans="1:26" hidden="1" x14ac:dyDescent="0.25">
      <c r="A1817" s="33">
        <v>45</v>
      </c>
      <c r="B1817" s="71" t="s">
        <v>29</v>
      </c>
      <c r="C1817" s="39" t="s">
        <v>4987</v>
      </c>
      <c r="D1817" s="106" t="s">
        <v>110</v>
      </c>
      <c r="E1817" s="47">
        <v>45966</v>
      </c>
      <c r="F1817" s="31" t="str">
        <f>VLOOKUP($C1817,Carpetas!$C$5:$M$2666,2,FALSE)</f>
        <v>BRB131</v>
      </c>
      <c r="G1817" s="23" t="str">
        <f>VLOOKUP($C1817,Carpetas!$C$5:$M$2666,10,FALSE)</f>
        <v>154,12,09</v>
      </c>
      <c r="H1817" s="27" t="str">
        <f>VLOOKUP($C1817,Carpetas!$C$5:$M$2666,6,FALSE)</f>
        <v>FG</v>
      </c>
      <c r="I1817" s="220"/>
      <c r="J1817" s="47">
        <f>E1817+2</f>
        <v>45968</v>
      </c>
      <c r="K1817" s="72" t="str">
        <f>VLOOKUP($C1817,Carpetas!$C$5:$M$2666,5,FALSE)</f>
        <v>Rio Branco</v>
      </c>
      <c r="L1817" s="48"/>
      <c r="M1817" s="48">
        <f t="shared" si="122"/>
        <v>45969</v>
      </c>
      <c r="N1817" s="26">
        <f t="shared" si="123"/>
        <v>3</v>
      </c>
      <c r="O1817" s="27">
        <v>990</v>
      </c>
      <c r="P1817" s="27">
        <v>991</v>
      </c>
      <c r="Q1817" s="27">
        <v>28</v>
      </c>
      <c r="R1817" s="27">
        <v>26</v>
      </c>
      <c r="S1817" s="27" t="s">
        <v>5008</v>
      </c>
      <c r="T1817" s="27"/>
      <c r="U1817" s="27">
        <v>1233</v>
      </c>
      <c r="V1817" s="27" t="s">
        <v>1722</v>
      </c>
      <c r="W1817" s="27" t="s">
        <v>1637</v>
      </c>
      <c r="X1817" s="128" t="s">
        <v>5009</v>
      </c>
      <c r="Y1817" s="73" t="str">
        <f>VLOOKUP(X1817,Choferes!$B$3:C429,2,FALSE)</f>
        <v>+598 98 195 659</v>
      </c>
      <c r="Z1817" s="73" t="s">
        <v>5010</v>
      </c>
    </row>
    <row r="1818" spans="1:26" ht="30" hidden="1" x14ac:dyDescent="0.25">
      <c r="A1818" s="33">
        <v>45</v>
      </c>
      <c r="B1818" s="71" t="s">
        <v>29</v>
      </c>
      <c r="C1818" s="39" t="s">
        <v>4970</v>
      </c>
      <c r="D1818" s="106" t="s">
        <v>2202</v>
      </c>
      <c r="E1818" s="47">
        <v>45968</v>
      </c>
      <c r="F1818" s="31" t="str">
        <f>VLOOKUP($C1818,Carpetas!$C$5:$M$2666,2,FALSE)</f>
        <v>BRB130</v>
      </c>
      <c r="G1818" s="23" t="str">
        <f>VLOOKUP($C1818,Carpetas!$C$5:$M$2666,10,FALSE)</f>
        <v>154,06,26</v>
      </c>
      <c r="H1818" s="27" t="str">
        <f>VLOOKUP($C1818,Carpetas!$C$5:$M$2666,6,FALSE)</f>
        <v>Zanini</v>
      </c>
      <c r="I1818" s="220"/>
      <c r="J1818" s="47">
        <f>E1818+3</f>
        <v>45971</v>
      </c>
      <c r="K1818" s="72" t="str">
        <f>VLOOKUP($C1818,Carpetas!$C$5:$M$2666,5,FALSE)</f>
        <v>Rio Branco</v>
      </c>
      <c r="L1818" s="48"/>
      <c r="M1818" s="48">
        <f t="shared" si="122"/>
        <v>45972</v>
      </c>
      <c r="N1818" s="26">
        <f t="shared" si="123"/>
        <v>4</v>
      </c>
      <c r="O1818" s="27">
        <v>918</v>
      </c>
      <c r="P1818" s="27">
        <v>919</v>
      </c>
      <c r="Q1818" s="27">
        <v>26</v>
      </c>
      <c r="R1818" s="27">
        <v>25</v>
      </c>
      <c r="S1818" s="27" t="s">
        <v>5011</v>
      </c>
      <c r="T1818" s="27"/>
      <c r="U1818" s="27">
        <v>5635</v>
      </c>
      <c r="V1818" s="27" t="s">
        <v>2493</v>
      </c>
      <c r="W1818" s="27" t="s">
        <v>2494</v>
      </c>
      <c r="X1818" s="128" t="s">
        <v>4005</v>
      </c>
      <c r="Y1818" s="73" t="str">
        <f>VLOOKUP(X1818,Choferes!$B$3:C427,2,FALSE)</f>
        <v>+55 55 8428-9650</v>
      </c>
      <c r="Z1818" s="73" t="s">
        <v>5012</v>
      </c>
    </row>
    <row r="1819" spans="1:26" hidden="1" x14ac:dyDescent="0.25">
      <c r="A1819" s="33">
        <v>45</v>
      </c>
      <c r="B1819" s="71" t="s">
        <v>29</v>
      </c>
      <c r="C1819" s="39" t="s">
        <v>4987</v>
      </c>
      <c r="D1819" s="106" t="s">
        <v>803</v>
      </c>
      <c r="E1819" s="47">
        <v>45968</v>
      </c>
      <c r="F1819" s="31" t="str">
        <f>VLOOKUP($C1819,Carpetas!$C$5:$M$2666,2,FALSE)</f>
        <v>BRB131</v>
      </c>
      <c r="G1819" s="23" t="str">
        <f>VLOOKUP($C1819,Carpetas!$C$5:$M$2666,10,FALSE)</f>
        <v>154,12,09</v>
      </c>
      <c r="H1819" s="27" t="str">
        <f>VLOOKUP($C1819,Carpetas!$C$5:$M$2666,6,FALSE)</f>
        <v>FG</v>
      </c>
      <c r="I1819" s="220"/>
      <c r="J1819" s="47">
        <f>E1819+3</f>
        <v>45971</v>
      </c>
      <c r="K1819" s="72" t="str">
        <f>VLOOKUP($C1819,Carpetas!$C$5:$M$2666,5,FALSE)</f>
        <v>Rio Branco</v>
      </c>
      <c r="L1819" s="48"/>
      <c r="M1819" s="48">
        <f t="shared" si="122"/>
        <v>45972</v>
      </c>
      <c r="N1819" s="26">
        <f t="shared" si="123"/>
        <v>4</v>
      </c>
      <c r="O1819" s="27">
        <v>990</v>
      </c>
      <c r="P1819" s="27">
        <v>990</v>
      </c>
      <c r="Q1819" s="27">
        <v>28</v>
      </c>
      <c r="R1819" s="27">
        <v>26</v>
      </c>
      <c r="S1819" s="27" t="s">
        <v>5013</v>
      </c>
      <c r="T1819" s="27"/>
      <c r="U1819" s="27">
        <v>1234</v>
      </c>
      <c r="V1819" s="27" t="s">
        <v>1735</v>
      </c>
      <c r="W1819" s="27" t="s">
        <v>1681</v>
      </c>
      <c r="X1819" s="128" t="s">
        <v>1465</v>
      </c>
      <c r="Y1819" s="73" t="str">
        <f>VLOOKUP(X1819,Choferes!$B$3:C430,2,FALSE)</f>
        <v>+59893339027</v>
      </c>
      <c r="Z1819" s="73" t="s">
        <v>5014</v>
      </c>
    </row>
    <row r="1820" spans="1:26" hidden="1" x14ac:dyDescent="0.25">
      <c r="A1820" s="33">
        <v>45</v>
      </c>
      <c r="B1820" s="71" t="s">
        <v>29</v>
      </c>
      <c r="C1820" s="39" t="s">
        <v>5015</v>
      </c>
      <c r="D1820" s="106" t="s">
        <v>747</v>
      </c>
      <c r="E1820" s="47">
        <v>45968</v>
      </c>
      <c r="F1820" s="31" t="str">
        <f>VLOOKUP($C1820,Carpetas!$C$5:$M$2666,2,FALSE)</f>
        <v>BRB135</v>
      </c>
      <c r="G1820" s="23" t="str">
        <f>VLOOKUP($C1820,Carpetas!$C$5:$M$2666,10,FALSE)</f>
        <v>154,16,22</v>
      </c>
      <c r="H1820" s="27" t="str">
        <f>VLOOKUP($C1820,Carpetas!$C$5:$M$2666,6,FALSE)</f>
        <v>FG</v>
      </c>
      <c r="I1820" s="220"/>
      <c r="J1820" s="47">
        <f>E1820+3</f>
        <v>45971</v>
      </c>
      <c r="K1820" s="72" t="str">
        <f>VLOOKUP($C1820,Carpetas!$C$5:$M$2666,5,FALSE)</f>
        <v>Rio Branco</v>
      </c>
      <c r="L1820" s="48"/>
      <c r="M1820" s="48">
        <f t="shared" si="122"/>
        <v>45972</v>
      </c>
      <c r="N1820" s="26">
        <f t="shared" si="123"/>
        <v>4</v>
      </c>
      <c r="O1820" s="27">
        <v>990</v>
      </c>
      <c r="P1820" s="27">
        <v>991</v>
      </c>
      <c r="Q1820" s="27">
        <v>28</v>
      </c>
      <c r="R1820" s="27">
        <v>26</v>
      </c>
      <c r="S1820" s="27" t="s">
        <v>5016</v>
      </c>
      <c r="T1820" s="27"/>
      <c r="U1820" s="27">
        <v>1236</v>
      </c>
      <c r="V1820" s="27" t="s">
        <v>1042</v>
      </c>
      <c r="W1820" s="27" t="s">
        <v>1523</v>
      </c>
      <c r="X1820" s="128" t="s">
        <v>3808</v>
      </c>
      <c r="Y1820" s="73" t="str">
        <f>VLOOKUP(X1820,Choferes!$B$3:C431,2,FALSE)</f>
        <v>+55 53 8412-9466</v>
      </c>
      <c r="Z1820" s="73" t="s">
        <v>5017</v>
      </c>
    </row>
    <row r="1821" spans="1:26" hidden="1" x14ac:dyDescent="0.25">
      <c r="A1821" s="33">
        <v>45</v>
      </c>
      <c r="B1821" s="71" t="s">
        <v>29</v>
      </c>
      <c r="C1821" s="39" t="s">
        <v>4987</v>
      </c>
      <c r="D1821" s="106" t="s">
        <v>249</v>
      </c>
      <c r="E1821" s="47">
        <v>45968</v>
      </c>
      <c r="F1821" s="31" t="str">
        <f>VLOOKUP($C1821,Carpetas!$C$5:$M$2666,2,FALSE)</f>
        <v>BRB131</v>
      </c>
      <c r="G1821" s="23" t="str">
        <f>VLOOKUP($C1821,Carpetas!$C$5:$M$2666,10,FALSE)</f>
        <v>154,12,09</v>
      </c>
      <c r="H1821" s="27" t="str">
        <f>VLOOKUP($C1821,Carpetas!$C$5:$M$2666,6,FALSE)</f>
        <v>FG</v>
      </c>
      <c r="I1821" s="220"/>
      <c r="J1821" s="47">
        <f>E1821+3</f>
        <v>45971</v>
      </c>
      <c r="K1821" s="72" t="str">
        <f>VLOOKUP($C1821,Carpetas!$C$5:$M$2666,5,FALSE)</f>
        <v>Rio Branco</v>
      </c>
      <c r="L1821" s="48"/>
      <c r="M1821" s="48">
        <f t="shared" si="122"/>
        <v>45972</v>
      </c>
      <c r="N1821" s="26">
        <f t="shared" si="123"/>
        <v>4</v>
      </c>
      <c r="O1821" s="27">
        <v>990</v>
      </c>
      <c r="P1821" s="27">
        <v>990</v>
      </c>
      <c r="Q1821" s="27">
        <v>28</v>
      </c>
      <c r="R1821" s="27">
        <v>26</v>
      </c>
      <c r="S1821" s="27" t="s">
        <v>5018</v>
      </c>
      <c r="T1821" s="27"/>
      <c r="U1821" s="27">
        <v>1235</v>
      </c>
      <c r="V1821" s="27" t="s">
        <v>1430</v>
      </c>
      <c r="W1821" s="27" t="s">
        <v>1669</v>
      </c>
      <c r="X1821" s="128" t="s">
        <v>1923</v>
      </c>
      <c r="Y1821" s="73" t="str">
        <f>VLOOKUP(X1821,Choferes!$B$3:C432,2,FALSE)</f>
        <v>+5553999049426</v>
      </c>
      <c r="Z1821" s="73" t="s">
        <v>5019</v>
      </c>
    </row>
    <row r="1822" spans="1:26" hidden="1" x14ac:dyDescent="0.25">
      <c r="A1822" s="33">
        <v>45</v>
      </c>
      <c r="B1822" s="71" t="s">
        <v>29</v>
      </c>
      <c r="C1822" s="39" t="s">
        <v>4973</v>
      </c>
      <c r="D1822" s="106" t="s">
        <v>2474</v>
      </c>
      <c r="E1822" s="47">
        <v>45968</v>
      </c>
      <c r="F1822" s="31" t="str">
        <f>VLOOKUP($C1822,Carpetas!$C$5:$M$2666,2,FALSE)</f>
        <v>BRB132</v>
      </c>
      <c r="G1822" s="23" t="str">
        <f>VLOOKUP($C1822,Carpetas!$C$5:$M$2666,10,FALSE)</f>
        <v>154,10,13</v>
      </c>
      <c r="H1822" s="27" t="str">
        <f>VLOOKUP($C1822,Carpetas!$C$5:$M$2666,6,FALSE)</f>
        <v>Chabat</v>
      </c>
      <c r="I1822" s="220"/>
      <c r="J1822" s="47">
        <f>E1822+3</f>
        <v>45971</v>
      </c>
      <c r="K1822" s="72" t="str">
        <f>VLOOKUP($C1822,Carpetas!$C$5:$M$2666,5,FALSE)</f>
        <v>Rio Branco</v>
      </c>
      <c r="L1822" s="48"/>
      <c r="M1822" s="48">
        <f t="shared" si="122"/>
        <v>45972</v>
      </c>
      <c r="N1822" s="26">
        <f t="shared" si="123"/>
        <v>4</v>
      </c>
      <c r="O1822" s="27">
        <v>990</v>
      </c>
      <c r="P1822" s="27">
        <v>990</v>
      </c>
      <c r="Q1822" s="27">
        <v>28</v>
      </c>
      <c r="R1822" s="27">
        <v>26</v>
      </c>
      <c r="S1822" s="27" t="s">
        <v>5020</v>
      </c>
      <c r="T1822" s="27"/>
      <c r="U1822" s="27"/>
      <c r="V1822" s="27" t="s">
        <v>4975</v>
      </c>
      <c r="W1822" s="27" t="s">
        <v>5021</v>
      </c>
      <c r="X1822" s="128"/>
      <c r="Y1822" s="73" t="e">
        <f>VLOOKUP(X1822,Choferes!$B$3:C433,2,FALSE)</f>
        <v>#N/A</v>
      </c>
      <c r="Z1822" s="73" t="s">
        <v>5022</v>
      </c>
    </row>
    <row r="1823" spans="1:26" hidden="1" x14ac:dyDescent="0.25">
      <c r="A1823" s="33">
        <v>45</v>
      </c>
      <c r="B1823" s="71" t="s">
        <v>29</v>
      </c>
      <c r="C1823" s="39" t="s">
        <v>4970</v>
      </c>
      <c r="D1823" s="106" t="s">
        <v>2202</v>
      </c>
      <c r="E1823" s="47">
        <v>45969</v>
      </c>
      <c r="F1823" s="31" t="str">
        <f>VLOOKUP($C1823,Carpetas!$C$5:$M$2666,2,FALSE)</f>
        <v>BRB130</v>
      </c>
      <c r="G1823" s="23" t="str">
        <f>VLOOKUP($C1823,Carpetas!$C$5:$M$2666,10,FALSE)</f>
        <v>154,06,26</v>
      </c>
      <c r="H1823" s="27" t="str">
        <f>VLOOKUP($C1823,Carpetas!$C$5:$M$2666,6,FALSE)</f>
        <v>Zanini</v>
      </c>
      <c r="I1823" s="220"/>
      <c r="J1823" s="47">
        <f>E1823+2</f>
        <v>45971</v>
      </c>
      <c r="K1823" s="72" t="str">
        <f>VLOOKUP($C1823,Carpetas!$C$5:$M$2666,5,FALSE)</f>
        <v>Rio Branco</v>
      </c>
      <c r="L1823" s="48"/>
      <c r="M1823" s="48">
        <f t="shared" si="122"/>
        <v>45972</v>
      </c>
      <c r="N1823" s="26">
        <f t="shared" si="123"/>
        <v>3</v>
      </c>
      <c r="O1823" s="27">
        <v>918</v>
      </c>
      <c r="P1823" s="27">
        <v>919</v>
      </c>
      <c r="Q1823" s="27">
        <v>26</v>
      </c>
      <c r="R1823" s="27">
        <v>25</v>
      </c>
      <c r="S1823" s="27" t="s">
        <v>5023</v>
      </c>
      <c r="T1823" s="27"/>
      <c r="U1823" s="27">
        <v>5336</v>
      </c>
      <c r="V1823" s="27" t="s">
        <v>284</v>
      </c>
      <c r="W1823" s="27" t="s">
        <v>285</v>
      </c>
      <c r="X1823" s="128" t="s">
        <v>5024</v>
      </c>
      <c r="Y1823" s="73" t="str">
        <f>VLOOKUP(X1823,Choferes!$B$3:C428,2,FALSE)</f>
        <v>+5549999843090</v>
      </c>
      <c r="Z1823" s="73" t="s">
        <v>5012</v>
      </c>
    </row>
    <row r="1824" spans="1:26" hidden="1" x14ac:dyDescent="0.25">
      <c r="A1824" s="33">
        <v>45</v>
      </c>
      <c r="B1824" s="71" t="s">
        <v>29</v>
      </c>
      <c r="C1824" s="39" t="s">
        <v>4973</v>
      </c>
      <c r="D1824" s="106" t="s">
        <v>2474</v>
      </c>
      <c r="E1824" s="47">
        <v>45969</v>
      </c>
      <c r="F1824" s="31" t="str">
        <f>VLOOKUP($C1824,Carpetas!$C$5:$M$2666,2,FALSE)</f>
        <v>BRB132</v>
      </c>
      <c r="G1824" s="23" t="str">
        <f>VLOOKUP($C1824,Carpetas!$C$5:$M$2666,10,FALSE)</f>
        <v>154,10,13</v>
      </c>
      <c r="H1824" s="27" t="str">
        <f>VLOOKUP($C1824,Carpetas!$C$5:$M$2666,6,FALSE)</f>
        <v>Chabat</v>
      </c>
      <c r="I1824" s="220"/>
      <c r="J1824" s="47">
        <f>E1824+2</f>
        <v>45971</v>
      </c>
      <c r="K1824" s="72" t="str">
        <f>VLOOKUP($C1824,Carpetas!$C$5:$M$2666,5,FALSE)</f>
        <v>Rio Branco</v>
      </c>
      <c r="L1824" s="48"/>
      <c r="M1824" s="48">
        <f t="shared" si="122"/>
        <v>45972</v>
      </c>
      <c r="N1824" s="26">
        <f t="shared" si="123"/>
        <v>3</v>
      </c>
      <c r="O1824" s="27">
        <v>990</v>
      </c>
      <c r="P1824" s="27">
        <v>990</v>
      </c>
      <c r="Q1824" s="27">
        <v>28</v>
      </c>
      <c r="R1824" s="27">
        <v>26</v>
      </c>
      <c r="S1824" s="27" t="s">
        <v>5025</v>
      </c>
      <c r="T1824" s="27"/>
      <c r="U1824" s="27"/>
      <c r="V1824" s="27" t="s">
        <v>4991</v>
      </c>
      <c r="W1824" s="27" t="s">
        <v>5026</v>
      </c>
      <c r="X1824" s="128"/>
      <c r="Y1824" s="73" t="e">
        <f>VLOOKUP(X1824,Choferes!$B$3:C434,2,FALSE)</f>
        <v>#N/A</v>
      </c>
      <c r="Z1824" s="73" t="s">
        <v>5027</v>
      </c>
    </row>
    <row r="1825" spans="1:26" hidden="1" x14ac:dyDescent="0.25">
      <c r="A1825" s="33">
        <v>45</v>
      </c>
      <c r="B1825" s="71" t="s">
        <v>29</v>
      </c>
      <c r="C1825" s="39" t="s">
        <v>5028</v>
      </c>
      <c r="D1825" s="106" t="s">
        <v>1757</v>
      </c>
      <c r="E1825" s="47">
        <v>45966</v>
      </c>
      <c r="F1825" s="31" t="str">
        <f>VLOOKUP($C1825,Carpetas!$C$5:$M$2666,2,FALSE)</f>
        <v>BRB133</v>
      </c>
      <c r="G1825" s="23" t="str">
        <f>VLOOKUP($C1825,Carpetas!$C$5:$M$2666,10,FALSE)</f>
        <v>154,13,24</v>
      </c>
      <c r="H1825" s="27" t="str">
        <f>VLOOKUP($C1825,Carpetas!$C$5:$M$2666,6,FALSE)</f>
        <v>Marvel</v>
      </c>
      <c r="I1825" s="220"/>
      <c r="J1825" s="47">
        <v>45971</v>
      </c>
      <c r="K1825" s="72" t="str">
        <f>VLOOKUP($C1825,Carpetas!$C$5:$M$2666,5,FALSE)</f>
        <v>Rio Branco</v>
      </c>
      <c r="L1825" s="48"/>
      <c r="M1825" s="48">
        <f t="shared" ref="M1825:M1837" si="124">J1825+1</f>
        <v>45972</v>
      </c>
      <c r="N1825" s="26">
        <f t="shared" si="123"/>
        <v>6</v>
      </c>
      <c r="O1825" s="27">
        <v>936</v>
      </c>
      <c r="P1825" s="27">
        <v>936</v>
      </c>
      <c r="Q1825" s="27">
        <v>26</v>
      </c>
      <c r="R1825" s="27">
        <v>25</v>
      </c>
      <c r="S1825" s="27" t="s">
        <v>5029</v>
      </c>
      <c r="T1825" s="27"/>
      <c r="U1825" s="27">
        <v>11179</v>
      </c>
      <c r="V1825" s="128" t="s">
        <v>5030</v>
      </c>
      <c r="W1825" s="27" t="s">
        <v>5031</v>
      </c>
      <c r="X1825" s="128"/>
      <c r="Y1825" s="73" t="e">
        <f>VLOOKUP(X1825,Choferes!$B$3:C436,2,FALSE)</f>
        <v>#N/A</v>
      </c>
      <c r="Z1825" s="73" t="s">
        <v>5032</v>
      </c>
    </row>
    <row r="1826" spans="1:26" hidden="1" x14ac:dyDescent="0.25">
      <c r="A1826" s="33">
        <v>45</v>
      </c>
      <c r="B1826" s="71" t="s">
        <v>29</v>
      </c>
      <c r="C1826" s="39" t="s">
        <v>4994</v>
      </c>
      <c r="D1826" s="106" t="s">
        <v>1757</v>
      </c>
      <c r="E1826" s="47">
        <v>45965</v>
      </c>
      <c r="F1826" s="31" t="str">
        <f>VLOOKUP($C1826,Carpetas!$C$5:$M$2666,2,FALSE)</f>
        <v>BRB129</v>
      </c>
      <c r="G1826" s="23" t="str">
        <f>VLOOKUP($C1826,Carpetas!$C$5:$M$2666,10,FALSE)</f>
        <v>154,09,25</v>
      </c>
      <c r="H1826" s="27" t="str">
        <f>VLOOKUP($C1826,Carpetas!$C$5:$M$2666,6,FALSE)</f>
        <v>Gral</v>
      </c>
      <c r="I1826" s="220"/>
      <c r="J1826" s="47">
        <f>E1826+7</f>
        <v>45972</v>
      </c>
      <c r="K1826" s="72" t="str">
        <f>VLOOKUP($C1826,Carpetas!$C$5:$M$2666,5,FALSE)</f>
        <v>Rio Branco</v>
      </c>
      <c r="L1826" s="48"/>
      <c r="M1826" s="48">
        <f t="shared" si="124"/>
        <v>45973</v>
      </c>
      <c r="N1826" s="26">
        <f t="shared" si="123"/>
        <v>8</v>
      </c>
      <c r="O1826" s="27">
        <v>936</v>
      </c>
      <c r="P1826" s="27">
        <v>936</v>
      </c>
      <c r="Q1826" s="27">
        <v>26</v>
      </c>
      <c r="R1826" s="27">
        <v>25</v>
      </c>
      <c r="S1826" s="27" t="s">
        <v>5033</v>
      </c>
      <c r="T1826" s="27"/>
      <c r="U1826" s="27">
        <v>7788</v>
      </c>
      <c r="V1826" s="128" t="s">
        <v>5034</v>
      </c>
      <c r="W1826" s="27" t="s">
        <v>5035</v>
      </c>
      <c r="X1826" s="128"/>
      <c r="Y1826" s="73" t="e">
        <f>VLOOKUP(X1826,Choferes!$B$3:C435,2,FALSE)</f>
        <v>#N/A</v>
      </c>
      <c r="Z1826" s="73" t="s">
        <v>5036</v>
      </c>
    </row>
    <row r="1827" spans="1:26" ht="30" hidden="1" x14ac:dyDescent="0.25">
      <c r="A1827" s="33">
        <v>45</v>
      </c>
      <c r="B1827" s="71" t="s">
        <v>29</v>
      </c>
      <c r="C1827" s="39" t="s">
        <v>5037</v>
      </c>
      <c r="D1827" s="106" t="s">
        <v>38</v>
      </c>
      <c r="E1827" s="47">
        <v>45969</v>
      </c>
      <c r="F1827" s="31" t="str">
        <f>VLOOKUP($C1827,Carpetas!$C$5:$M$2666,2,FALSE)</f>
        <v>BRE074</v>
      </c>
      <c r="G1827" s="23" t="str">
        <f>VLOOKUP($C1827,Carpetas!$C$5:$M$2666,10,FALSE)</f>
        <v>154152/1541531/1541533/1541526</v>
      </c>
      <c r="H1827" s="27" t="str">
        <f>VLOOKUP($C1827,Carpetas!$C$5:$M$2666,6,FALSE)</f>
        <v>VPN</v>
      </c>
      <c r="I1827" s="220">
        <f>VLOOKUP($C1827,Carpetas!$C$5:$M$2666,4,FALSE)</f>
        <v>0</v>
      </c>
      <c r="J1827" s="47">
        <v>45972</v>
      </c>
      <c r="K1827" s="72" t="str">
        <f>VLOOKUP($C1827,Carpetas!$C$5:$M$2666,5,FALSE)</f>
        <v>Chuy</v>
      </c>
      <c r="L1827" s="32"/>
      <c r="M1827" s="48">
        <f t="shared" si="124"/>
        <v>45973</v>
      </c>
      <c r="N1827" s="26">
        <f t="shared" si="123"/>
        <v>4</v>
      </c>
      <c r="O1827" s="27">
        <v>1294</v>
      </c>
      <c r="P1827" s="27">
        <v>1294</v>
      </c>
      <c r="Q1827" s="27">
        <v>26</v>
      </c>
      <c r="R1827" s="27">
        <v>25</v>
      </c>
      <c r="S1827" s="27" t="s">
        <v>5038</v>
      </c>
      <c r="T1827" s="27"/>
      <c r="U1827" s="27"/>
      <c r="V1827" s="128" t="s">
        <v>5039</v>
      </c>
      <c r="W1827" s="27" t="s">
        <v>5040</v>
      </c>
      <c r="X1827" s="128"/>
      <c r="Y1827" s="73" t="e">
        <f>VLOOKUP(X1827,Choferes!$B$3:C440,2,FALSE)</f>
        <v>#N/A</v>
      </c>
      <c r="Z1827" s="73" t="s">
        <v>5041</v>
      </c>
    </row>
    <row r="1828" spans="1:26" hidden="1" x14ac:dyDescent="0.25">
      <c r="A1828" s="33">
        <v>46</v>
      </c>
      <c r="B1828" s="71" t="s">
        <v>29</v>
      </c>
      <c r="C1828" s="39" t="s">
        <v>5042</v>
      </c>
      <c r="D1828" s="106" t="s">
        <v>2202</v>
      </c>
      <c r="E1828" s="47">
        <v>45972</v>
      </c>
      <c r="F1828" s="31" t="str">
        <f>VLOOKUP($C1828,Carpetas!$C$5:$M$2666,2,FALSE)</f>
        <v>BRB136</v>
      </c>
      <c r="G1828" s="23" t="str">
        <f>VLOOKUP($C1828,Carpetas!$C$5:$M$2666,10,FALSE)</f>
        <v>154,22,10</v>
      </c>
      <c r="H1828" s="27" t="str">
        <f>VLOOKUP($C1828,Carpetas!$C$5:$M$2666,6,FALSE)</f>
        <v>Zanini</v>
      </c>
      <c r="I1828" s="220"/>
      <c r="J1828" s="47">
        <v>45973</v>
      </c>
      <c r="K1828" s="72" t="str">
        <f>VLOOKUP($C1828,Carpetas!$C$5:$M$2666,5,FALSE)</f>
        <v>Rio Branco</v>
      </c>
      <c r="L1828" s="32"/>
      <c r="M1828" s="48">
        <f t="shared" si="124"/>
        <v>45974</v>
      </c>
      <c r="N1828" s="26">
        <f t="shared" si="123"/>
        <v>2</v>
      </c>
      <c r="O1828" s="27">
        <v>918</v>
      </c>
      <c r="P1828" s="27">
        <v>919</v>
      </c>
      <c r="Q1828" s="27">
        <v>26</v>
      </c>
      <c r="R1828" s="27">
        <v>25</v>
      </c>
      <c r="S1828" s="27" t="s">
        <v>5043</v>
      </c>
      <c r="T1828" s="27"/>
      <c r="U1828" s="27">
        <v>5648</v>
      </c>
      <c r="V1828" s="27" t="s">
        <v>5044</v>
      </c>
      <c r="W1828" s="27" t="s">
        <v>5045</v>
      </c>
      <c r="X1828" s="128"/>
      <c r="Y1828" s="73" t="e">
        <f>VLOOKUP(X1828,Choferes!$B$3:C425,2,FALSE)</f>
        <v>#N/A</v>
      </c>
      <c r="Z1828" s="73" t="s">
        <v>5046</v>
      </c>
    </row>
    <row r="1829" spans="1:26" hidden="1" x14ac:dyDescent="0.25">
      <c r="A1829" s="33">
        <v>45</v>
      </c>
      <c r="B1829" s="71" t="s">
        <v>29</v>
      </c>
      <c r="C1829" s="39" t="s">
        <v>5028</v>
      </c>
      <c r="D1829" s="106" t="s">
        <v>1757</v>
      </c>
      <c r="E1829" s="47">
        <v>45969</v>
      </c>
      <c r="F1829" s="31" t="str">
        <f>VLOOKUP($C1829,Carpetas!$C$5:$M$2666,2,FALSE)</f>
        <v>BRB133</v>
      </c>
      <c r="G1829" s="23" t="str">
        <f>VLOOKUP($C1829,Carpetas!$C$5:$M$2666,10,FALSE)</f>
        <v>154,13,24</v>
      </c>
      <c r="H1829" s="27" t="str">
        <f>VLOOKUP($C1829,Carpetas!$C$5:$M$2666,6,FALSE)</f>
        <v>Marvel</v>
      </c>
      <c r="I1829" s="220"/>
      <c r="J1829" s="47">
        <v>45973</v>
      </c>
      <c r="K1829" s="72" t="str">
        <f>VLOOKUP($C1829,Carpetas!$C$5:$M$2666,5,FALSE)</f>
        <v>Rio Branco</v>
      </c>
      <c r="L1829" s="48"/>
      <c r="M1829" s="48">
        <f t="shared" si="124"/>
        <v>45974</v>
      </c>
      <c r="N1829" s="26">
        <f t="shared" si="123"/>
        <v>5</v>
      </c>
      <c r="O1829" s="27">
        <v>936</v>
      </c>
      <c r="P1829" s="27">
        <v>936</v>
      </c>
      <c r="Q1829" s="27">
        <v>26</v>
      </c>
      <c r="R1829" s="27">
        <v>25</v>
      </c>
      <c r="S1829" s="27" t="s">
        <v>5047</v>
      </c>
      <c r="T1829" s="27"/>
      <c r="U1829" s="27">
        <v>11180</v>
      </c>
      <c r="V1829" s="27" t="s">
        <v>5048</v>
      </c>
      <c r="W1829" s="27" t="s">
        <v>5049</v>
      </c>
      <c r="X1829" s="128"/>
      <c r="Y1829" s="73" t="e">
        <f>VLOOKUP(X1829,Choferes!$B$3:C439,2,FALSE)</f>
        <v>#N/A</v>
      </c>
      <c r="Z1829" s="73" t="s">
        <v>5050</v>
      </c>
    </row>
    <row r="1830" spans="1:26" hidden="1" x14ac:dyDescent="0.25">
      <c r="A1830" s="33">
        <v>45</v>
      </c>
      <c r="B1830" s="71" t="s">
        <v>29</v>
      </c>
      <c r="C1830" s="39" t="s">
        <v>5051</v>
      </c>
      <c r="D1830" s="106" t="s">
        <v>38</v>
      </c>
      <c r="E1830" s="47">
        <v>45968</v>
      </c>
      <c r="F1830" s="31" t="str">
        <f>VLOOKUP($C1830,Carpetas!$C$5:$M$2666,2,FALSE)</f>
        <v>BRE073</v>
      </c>
      <c r="G1830" s="23">
        <f>VLOOKUP($C1830,Carpetas!$C$5:$M$2666,10,FALSE)</f>
        <v>1541137</v>
      </c>
      <c r="H1830" s="27" t="str">
        <f>VLOOKUP($C1830,Carpetas!$C$5:$M$2666,6,FALSE)</f>
        <v>Marvel</v>
      </c>
      <c r="I1830" s="220">
        <f>VLOOKUP($C1830,Carpetas!$C$5:$M$2666,4,FALSE)</f>
        <v>0</v>
      </c>
      <c r="J1830" s="47">
        <v>45974</v>
      </c>
      <c r="K1830" s="72" t="str">
        <f>VLOOKUP($C1830,Carpetas!$C$5:$M$2666,5,FALSE)</f>
        <v>Rio Branco</v>
      </c>
      <c r="L1830" s="32"/>
      <c r="M1830" s="48">
        <f t="shared" si="124"/>
        <v>45975</v>
      </c>
      <c r="N1830" s="26">
        <f t="shared" si="123"/>
        <v>7</v>
      </c>
      <c r="O1830" s="27">
        <v>5616</v>
      </c>
      <c r="P1830" s="27"/>
      <c r="Q1830" s="27"/>
      <c r="R1830" s="27"/>
      <c r="S1830" s="27"/>
      <c r="T1830" s="27"/>
      <c r="U1830" s="27">
        <v>11185</v>
      </c>
      <c r="V1830" s="27" t="s">
        <v>5052</v>
      </c>
      <c r="W1830" s="27" t="s">
        <v>5053</v>
      </c>
      <c r="X1830" s="128"/>
      <c r="Y1830" s="73" t="e">
        <f>VLOOKUP(X1830,Choferes!$B$3:C442,2,FALSE)</f>
        <v>#N/A</v>
      </c>
      <c r="Z1830" s="73" t="s">
        <v>5054</v>
      </c>
    </row>
    <row r="1831" spans="1:26" hidden="1" x14ac:dyDescent="0.25">
      <c r="A1831" s="33">
        <v>45</v>
      </c>
      <c r="B1831" s="71" t="s">
        <v>29</v>
      </c>
      <c r="C1831" s="39" t="s">
        <v>5028</v>
      </c>
      <c r="D1831" s="106" t="s">
        <v>1757</v>
      </c>
      <c r="E1831" s="47">
        <v>45967</v>
      </c>
      <c r="F1831" s="31" t="str">
        <f>VLOOKUP($C1831,Carpetas!$C$5:$M$2666,2,FALSE)</f>
        <v>BRB133</v>
      </c>
      <c r="G1831" s="23" t="str">
        <f>VLOOKUP($C1831,Carpetas!$C$5:$M$2666,10,FALSE)</f>
        <v>154,13,24</v>
      </c>
      <c r="H1831" s="27" t="str">
        <f>VLOOKUP($C1831,Carpetas!$C$5:$M$2666,6,FALSE)</f>
        <v>Marvel</v>
      </c>
      <c r="I1831" s="220"/>
      <c r="J1831" s="47">
        <f>E1831+7</f>
        <v>45974</v>
      </c>
      <c r="K1831" s="72" t="str">
        <f>VLOOKUP($C1831,Carpetas!$C$5:$M$2666,5,FALSE)</f>
        <v>Rio Branco</v>
      </c>
      <c r="L1831" s="48"/>
      <c r="M1831" s="48">
        <f t="shared" si="124"/>
        <v>45975</v>
      </c>
      <c r="N1831" s="26">
        <f t="shared" si="123"/>
        <v>8</v>
      </c>
      <c r="O1831" s="27">
        <v>936</v>
      </c>
      <c r="P1831" s="27">
        <v>936</v>
      </c>
      <c r="Q1831" s="27">
        <v>26</v>
      </c>
      <c r="R1831" s="27">
        <v>25</v>
      </c>
      <c r="S1831" s="27" t="s">
        <v>5055</v>
      </c>
      <c r="T1831" s="27"/>
      <c r="U1831" s="27">
        <v>11181</v>
      </c>
      <c r="V1831" s="128" t="s">
        <v>5056</v>
      </c>
      <c r="W1831" s="27" t="s">
        <v>5057</v>
      </c>
      <c r="X1831" s="128"/>
      <c r="Y1831" s="73" t="e">
        <f>VLOOKUP(X1831,Choferes!$B$3:C437,2,FALSE)</f>
        <v>#N/A</v>
      </c>
      <c r="Z1831" s="73" t="s">
        <v>5058</v>
      </c>
    </row>
    <row r="1832" spans="1:26" hidden="1" x14ac:dyDescent="0.25">
      <c r="A1832" s="33">
        <v>46</v>
      </c>
      <c r="B1832" s="71" t="s">
        <v>29</v>
      </c>
      <c r="C1832" s="39" t="s">
        <v>4913</v>
      </c>
      <c r="D1832" s="106" t="s">
        <v>2474</v>
      </c>
      <c r="E1832" s="47">
        <v>45972</v>
      </c>
      <c r="F1832" s="31" t="str">
        <f>VLOOKUP($C1832,Carpetas!$C$5:$M$2666,2,FALSE)</f>
        <v>BRB125</v>
      </c>
      <c r="G1832" s="23" t="str">
        <f>VLOOKUP($C1832,Carpetas!$C$5:$M$2666,10,FALSE)</f>
        <v>153,97,51</v>
      </c>
      <c r="H1832" s="27" t="str">
        <f>VLOOKUP($C1832,Carpetas!$C$5:$M$2666,6,FALSE)</f>
        <v>Chabat</v>
      </c>
      <c r="I1832" s="220"/>
      <c r="J1832" s="47">
        <f>E1832+2</f>
        <v>45974</v>
      </c>
      <c r="K1832" s="72" t="str">
        <f>VLOOKUP($C1832,Carpetas!$C$5:$M$2666,5,FALSE)</f>
        <v>Rio Branco</v>
      </c>
      <c r="L1832" s="32"/>
      <c r="M1832" s="48">
        <f t="shared" si="124"/>
        <v>45975</v>
      </c>
      <c r="N1832" s="26">
        <f t="shared" si="123"/>
        <v>3</v>
      </c>
      <c r="O1832" s="27">
        <v>990</v>
      </c>
      <c r="P1832" s="27">
        <v>990</v>
      </c>
      <c r="Q1832" s="27">
        <v>28</v>
      </c>
      <c r="R1832" s="27">
        <v>26</v>
      </c>
      <c r="S1832" s="27" t="s">
        <v>5059</v>
      </c>
      <c r="T1832" s="27"/>
      <c r="U1832" s="27">
        <v>2465</v>
      </c>
      <c r="V1832" s="27" t="s">
        <v>4339</v>
      </c>
      <c r="W1832" s="27" t="s">
        <v>4340</v>
      </c>
      <c r="X1832" s="128"/>
      <c r="Y1832" s="73" t="e">
        <f>VLOOKUP(X1832,Choferes!$B$3:C431,2,FALSE)</f>
        <v>#N/A</v>
      </c>
      <c r="Z1832" s="73" t="s">
        <v>5060</v>
      </c>
    </row>
    <row r="1833" spans="1:26" hidden="1" x14ac:dyDescent="0.25">
      <c r="A1833" s="33">
        <v>46</v>
      </c>
      <c r="B1833" s="71" t="s">
        <v>29</v>
      </c>
      <c r="C1833" s="39" t="s">
        <v>5015</v>
      </c>
      <c r="D1833" s="106" t="s">
        <v>803</v>
      </c>
      <c r="E1833" s="47">
        <v>45973</v>
      </c>
      <c r="F1833" s="31" t="str">
        <f>VLOOKUP($C1833,Carpetas!$C$5:$M$2666,2,FALSE)</f>
        <v>BRB135</v>
      </c>
      <c r="G1833" s="23" t="str">
        <f>VLOOKUP($C1833,Carpetas!$C$5:$M$2666,10,FALSE)</f>
        <v>154,16,22</v>
      </c>
      <c r="H1833" s="27" t="str">
        <f>VLOOKUP($C1833,Carpetas!$C$5:$M$2666,6,FALSE)</f>
        <v>FG</v>
      </c>
      <c r="I1833" s="220"/>
      <c r="J1833" s="47">
        <v>45974</v>
      </c>
      <c r="K1833" s="72" t="str">
        <f>VLOOKUP($C1833,Carpetas!$C$5:$M$2666,5,FALSE)</f>
        <v>Rio Branco</v>
      </c>
      <c r="L1833" s="32"/>
      <c r="M1833" s="48">
        <f t="shared" si="124"/>
        <v>45975</v>
      </c>
      <c r="N1833" s="26">
        <f t="shared" si="123"/>
        <v>2</v>
      </c>
      <c r="O1833" s="27">
        <v>990</v>
      </c>
      <c r="P1833" s="27">
        <v>990</v>
      </c>
      <c r="Q1833" s="27">
        <v>28</v>
      </c>
      <c r="R1833" s="27">
        <v>26</v>
      </c>
      <c r="S1833" s="27" t="s">
        <v>5061</v>
      </c>
      <c r="T1833" s="27"/>
      <c r="U1833" s="27">
        <v>1239</v>
      </c>
      <c r="V1833" s="27" t="s">
        <v>911</v>
      </c>
      <c r="W1833" s="27" t="s">
        <v>1622</v>
      </c>
      <c r="X1833" s="128" t="s">
        <v>1397</v>
      </c>
      <c r="Y1833" s="73" t="str">
        <f>VLOOKUP(X1833,Choferes!$B$3:C427,2,FALSE)</f>
        <v>+5551996322594</v>
      </c>
      <c r="Z1833" s="73" t="s">
        <v>5062</v>
      </c>
    </row>
    <row r="1834" spans="1:26" hidden="1" x14ac:dyDescent="0.25">
      <c r="A1834" s="33">
        <v>45</v>
      </c>
      <c r="B1834" s="71" t="s">
        <v>29</v>
      </c>
      <c r="C1834" s="39" t="s">
        <v>5063</v>
      </c>
      <c r="D1834" s="106" t="s">
        <v>1757</v>
      </c>
      <c r="E1834" s="47">
        <v>45970</v>
      </c>
      <c r="F1834" s="31" t="str">
        <f>VLOOKUP($C1834,Carpetas!$C$5:$M$2666,2,FALSE)</f>
        <v>BRB134</v>
      </c>
      <c r="G1834" s="23" t="str">
        <f>VLOOKUP($C1834,Carpetas!$C$5:$M$2666,10,FALSE)</f>
        <v>154,16,23</v>
      </c>
      <c r="H1834" s="27" t="str">
        <f>VLOOKUP($C1834,Carpetas!$C$5:$M$2666,6,FALSE)</f>
        <v>Gral</v>
      </c>
      <c r="I1834" s="220"/>
      <c r="J1834" s="47">
        <v>45974</v>
      </c>
      <c r="K1834" s="72" t="str">
        <f>VLOOKUP($C1834,Carpetas!$C$5:$M$2666,5,FALSE)</f>
        <v>Rio Branco</v>
      </c>
      <c r="L1834" s="32"/>
      <c r="M1834" s="48">
        <f t="shared" si="124"/>
        <v>45975</v>
      </c>
      <c r="N1834" s="26">
        <f t="shared" si="123"/>
        <v>5</v>
      </c>
      <c r="O1834" s="27">
        <v>936</v>
      </c>
      <c r="P1834" s="27">
        <v>936</v>
      </c>
      <c r="Q1834" s="27">
        <v>26</v>
      </c>
      <c r="R1834" s="27">
        <v>25</v>
      </c>
      <c r="S1834" s="27" t="s">
        <v>5064</v>
      </c>
      <c r="T1834" s="27"/>
      <c r="U1834" s="27">
        <v>7818</v>
      </c>
      <c r="V1834" s="27" t="s">
        <v>5065</v>
      </c>
      <c r="W1834" s="27" t="s">
        <v>5066</v>
      </c>
      <c r="X1834" s="128"/>
      <c r="Y1834" s="73" t="e">
        <f>VLOOKUP(X1834,Choferes!$B$3:C424,2,FALSE)</f>
        <v>#N/A</v>
      </c>
      <c r="Z1834" s="73" t="s">
        <v>5067</v>
      </c>
    </row>
    <row r="1835" spans="1:26" hidden="1" x14ac:dyDescent="0.25">
      <c r="A1835" s="33">
        <v>45</v>
      </c>
      <c r="B1835" s="71" t="s">
        <v>29</v>
      </c>
      <c r="C1835" s="39" t="s">
        <v>5063</v>
      </c>
      <c r="D1835" s="106" t="s">
        <v>1757</v>
      </c>
      <c r="E1835" s="47">
        <v>45968</v>
      </c>
      <c r="F1835" s="31" t="str">
        <f>VLOOKUP($C1835,Carpetas!$C$5:$M$2666,2,FALSE)</f>
        <v>BRB134</v>
      </c>
      <c r="G1835" s="23" t="str">
        <f>VLOOKUP($C1835,Carpetas!$C$5:$M$2666,10,FALSE)</f>
        <v>154,16,23</v>
      </c>
      <c r="H1835" s="27" t="str">
        <f>VLOOKUP($C1835,Carpetas!$C$5:$M$2666,6,FALSE)</f>
        <v>Gral</v>
      </c>
      <c r="I1835" s="220"/>
      <c r="J1835" s="47">
        <v>45974</v>
      </c>
      <c r="K1835" s="72" t="str">
        <f>VLOOKUP($C1835,Carpetas!$C$5:$M$2666,5,FALSE)</f>
        <v>Rio Branco</v>
      </c>
      <c r="L1835" s="48"/>
      <c r="M1835" s="48">
        <f t="shared" si="124"/>
        <v>45975</v>
      </c>
      <c r="N1835" s="26">
        <f t="shared" si="123"/>
        <v>7</v>
      </c>
      <c r="O1835" s="27">
        <v>936</v>
      </c>
      <c r="P1835" s="27">
        <v>936</v>
      </c>
      <c r="Q1835" s="27">
        <v>26</v>
      </c>
      <c r="R1835" s="27">
        <v>25</v>
      </c>
      <c r="S1835" s="27" t="s">
        <v>5068</v>
      </c>
      <c r="T1835" s="27"/>
      <c r="U1835" s="27">
        <v>7817</v>
      </c>
      <c r="V1835" s="27" t="s">
        <v>5069</v>
      </c>
      <c r="W1835" s="27" t="s">
        <v>3576</v>
      </c>
      <c r="X1835" s="128"/>
      <c r="Y1835" s="73" t="e">
        <f>VLOOKUP(X1835,Choferes!$B$3:C438,2,FALSE)</f>
        <v>#N/A</v>
      </c>
      <c r="Z1835" s="73" t="s">
        <v>5070</v>
      </c>
    </row>
    <row r="1836" spans="1:26" hidden="1" x14ac:dyDescent="0.25">
      <c r="A1836" s="33">
        <v>46</v>
      </c>
      <c r="B1836" s="71" t="s">
        <v>29</v>
      </c>
      <c r="C1836" s="39" t="s">
        <v>5015</v>
      </c>
      <c r="D1836" s="106" t="s">
        <v>110</v>
      </c>
      <c r="E1836" s="47">
        <v>45973</v>
      </c>
      <c r="F1836" s="31" t="str">
        <f>VLOOKUP($C1836,Carpetas!$C$5:$M$2666,2,FALSE)</f>
        <v>BRB135</v>
      </c>
      <c r="G1836" s="23" t="str">
        <f>VLOOKUP($C1836,Carpetas!$C$5:$M$2666,10,FALSE)</f>
        <v>154,16,22</v>
      </c>
      <c r="H1836" s="27" t="str">
        <f>VLOOKUP($C1836,Carpetas!$C$5:$M$2666,6,FALSE)</f>
        <v>FG</v>
      </c>
      <c r="I1836" s="220"/>
      <c r="J1836" s="47">
        <f>E1836+2</f>
        <v>45975</v>
      </c>
      <c r="K1836" s="72" t="str">
        <f>VLOOKUP($C1836,Carpetas!$C$5:$M$2666,5,FALSE)</f>
        <v>Rio Branco</v>
      </c>
      <c r="L1836" s="32"/>
      <c r="M1836" s="48">
        <f t="shared" si="124"/>
        <v>45976</v>
      </c>
      <c r="N1836" s="26">
        <f t="shared" si="123"/>
        <v>3</v>
      </c>
      <c r="O1836" s="27">
        <v>990</v>
      </c>
      <c r="P1836" s="27">
        <v>990</v>
      </c>
      <c r="Q1836" s="27">
        <v>28</v>
      </c>
      <c r="R1836" s="27">
        <v>25.5</v>
      </c>
      <c r="S1836" s="27" t="s">
        <v>5071</v>
      </c>
      <c r="T1836" s="27"/>
      <c r="U1836" s="27">
        <v>1242</v>
      </c>
      <c r="V1836" s="27" t="s">
        <v>1722</v>
      </c>
      <c r="W1836" s="27" t="s">
        <v>1637</v>
      </c>
      <c r="X1836" s="128" t="s">
        <v>5009</v>
      </c>
      <c r="Y1836" s="73" t="str">
        <f>VLOOKUP(X1836,Choferes!$B$3:C426,2,FALSE)</f>
        <v>+598 98 195 659</v>
      </c>
      <c r="Z1836" s="73" t="s">
        <v>5072</v>
      </c>
    </row>
    <row r="1837" spans="1:26" hidden="1" x14ac:dyDescent="0.25">
      <c r="A1837" s="33">
        <v>46</v>
      </c>
      <c r="B1837" s="71" t="s">
        <v>29</v>
      </c>
      <c r="C1837" s="39" t="s">
        <v>5073</v>
      </c>
      <c r="D1837" s="106" t="s">
        <v>2474</v>
      </c>
      <c r="E1837" s="47">
        <v>45974</v>
      </c>
      <c r="F1837" s="31" t="str">
        <f>VLOOKUP($C1837,Carpetas!$C$5:$M$2666,2,FALSE)</f>
        <v>BRB138</v>
      </c>
      <c r="G1837" s="23" t="str">
        <f>VLOOKUP($C1837,Carpetas!$C$5:$M$2666,10,FALSE)</f>
        <v>154,24,20</v>
      </c>
      <c r="H1837" s="27" t="str">
        <f>VLOOKUP($C1837,Carpetas!$C$5:$M$2666,6,FALSE)</f>
        <v>Chabat</v>
      </c>
      <c r="I1837" s="220"/>
      <c r="J1837" s="47">
        <v>45975</v>
      </c>
      <c r="K1837" s="72" t="str">
        <f>VLOOKUP($C1837,Carpetas!$C$5:$M$2666,5,FALSE)</f>
        <v>Rio Branco</v>
      </c>
      <c r="L1837" s="32"/>
      <c r="M1837" s="48">
        <f t="shared" si="124"/>
        <v>45976</v>
      </c>
      <c r="N1837" s="26">
        <f t="shared" si="123"/>
        <v>2</v>
      </c>
      <c r="O1837" s="27">
        <v>990</v>
      </c>
      <c r="P1837" s="27">
        <v>990</v>
      </c>
      <c r="Q1837" s="27">
        <v>28</v>
      </c>
      <c r="R1837" s="27">
        <v>26</v>
      </c>
      <c r="S1837" s="27" t="s">
        <v>5074</v>
      </c>
      <c r="T1837" s="27"/>
      <c r="U1837" s="27"/>
      <c r="V1837" s="27" t="s">
        <v>5075</v>
      </c>
      <c r="W1837" s="27" t="s">
        <v>5076</v>
      </c>
      <c r="X1837" s="128"/>
      <c r="Y1837" s="73" t="e">
        <f>VLOOKUP(X1837,Choferes!$B$3:C432,2,FALSE)</f>
        <v>#N/A</v>
      </c>
      <c r="Z1837" s="73" t="s">
        <v>5060</v>
      </c>
    </row>
    <row r="1838" spans="1:26" hidden="1" x14ac:dyDescent="0.25">
      <c r="A1838" s="33">
        <v>46</v>
      </c>
      <c r="B1838" s="71" t="s">
        <v>29</v>
      </c>
      <c r="C1838" s="39" t="s">
        <v>5015</v>
      </c>
      <c r="D1838" s="106" t="s">
        <v>747</v>
      </c>
      <c r="E1838" s="47">
        <v>45975</v>
      </c>
      <c r="F1838" s="31" t="str">
        <f>VLOOKUP($C1838,Carpetas!$C$5:$M$2666,2,FALSE)</f>
        <v>BRB135</v>
      </c>
      <c r="G1838" s="23" t="str">
        <f>VLOOKUP($C1838,Carpetas!$C$5:$M$2666,10,FALSE)</f>
        <v>154,16,22</v>
      </c>
      <c r="H1838" s="27" t="str">
        <f>VLOOKUP($C1838,Carpetas!$C$5:$M$2666,6,FALSE)</f>
        <v>FG</v>
      </c>
      <c r="I1838" s="220"/>
      <c r="J1838" s="47">
        <f t="shared" ref="J1838:J1843" si="125">E1838+2</f>
        <v>45977</v>
      </c>
      <c r="K1838" s="72" t="str">
        <f>VLOOKUP($C1838,Carpetas!$C$5:$M$2666,5,FALSE)</f>
        <v>Rio Branco</v>
      </c>
      <c r="L1838" s="32"/>
      <c r="M1838" s="48">
        <v>45979</v>
      </c>
      <c r="N1838" s="26">
        <f t="shared" si="123"/>
        <v>4</v>
      </c>
      <c r="O1838" s="27">
        <v>990</v>
      </c>
      <c r="P1838" s="27">
        <v>990</v>
      </c>
      <c r="Q1838" s="27">
        <v>28</v>
      </c>
      <c r="R1838" s="27">
        <v>26</v>
      </c>
      <c r="S1838" s="27" t="s">
        <v>5077</v>
      </c>
      <c r="T1838" s="27"/>
      <c r="U1838" s="27">
        <v>1246</v>
      </c>
      <c r="V1838" s="27" t="s">
        <v>1430</v>
      </c>
      <c r="W1838" s="27" t="s">
        <v>1669</v>
      </c>
      <c r="X1838" s="128" t="s">
        <v>1923</v>
      </c>
      <c r="Y1838" s="73" t="str">
        <f>VLOOKUP(X1838,Choferes!$B$3:C428,2,FALSE)</f>
        <v>+5553999049426</v>
      </c>
      <c r="Z1838" s="73" t="s">
        <v>5078</v>
      </c>
    </row>
    <row r="1839" spans="1:26" hidden="1" x14ac:dyDescent="0.25">
      <c r="A1839" s="33">
        <v>46</v>
      </c>
      <c r="B1839" s="71" t="s">
        <v>29</v>
      </c>
      <c r="C1839" s="39" t="s">
        <v>5015</v>
      </c>
      <c r="D1839" s="106" t="s">
        <v>803</v>
      </c>
      <c r="E1839" s="47">
        <v>45975</v>
      </c>
      <c r="F1839" s="31" t="str">
        <f>VLOOKUP($C1839,Carpetas!$C$5:$M$2666,2,FALSE)</f>
        <v>BRB135</v>
      </c>
      <c r="G1839" s="23" t="str">
        <f>VLOOKUP($C1839,Carpetas!$C$5:$M$2666,10,FALSE)</f>
        <v>154,16,22</v>
      </c>
      <c r="H1839" s="27" t="str">
        <f>VLOOKUP($C1839,Carpetas!$C$5:$M$2666,6,FALSE)</f>
        <v>FG</v>
      </c>
      <c r="I1839" s="220"/>
      <c r="J1839" s="47">
        <f t="shared" si="125"/>
        <v>45977</v>
      </c>
      <c r="K1839" s="72" t="str">
        <f>VLOOKUP($C1839,Carpetas!$C$5:$M$2666,5,FALSE)</f>
        <v>Rio Branco</v>
      </c>
      <c r="L1839" s="32"/>
      <c r="M1839" s="48">
        <v>45979</v>
      </c>
      <c r="N1839" s="26">
        <f t="shared" si="123"/>
        <v>4</v>
      </c>
      <c r="O1839" s="27">
        <v>990</v>
      </c>
      <c r="P1839" s="27">
        <v>990</v>
      </c>
      <c r="Q1839" s="27">
        <v>28</v>
      </c>
      <c r="R1839" s="27">
        <v>26</v>
      </c>
      <c r="S1839" s="27" t="s">
        <v>5079</v>
      </c>
      <c r="T1839" s="27"/>
      <c r="U1839" s="27">
        <v>1247</v>
      </c>
      <c r="V1839" s="27" t="s">
        <v>1626</v>
      </c>
      <c r="W1839" s="27" t="s">
        <v>1736</v>
      </c>
      <c r="X1839" s="128" t="s">
        <v>1413</v>
      </c>
      <c r="Y1839" s="73" t="str">
        <f>VLOOKUP(X1839,Choferes!$B$3:C429,2,FALSE)</f>
        <v>+59899406679</v>
      </c>
      <c r="Z1839" s="73" t="s">
        <v>5078</v>
      </c>
    </row>
    <row r="1840" spans="1:26" ht="30" hidden="1" x14ac:dyDescent="0.25">
      <c r="A1840" s="33">
        <v>46</v>
      </c>
      <c r="B1840" s="71" t="s">
        <v>29</v>
      </c>
      <c r="C1840" s="39" t="s">
        <v>5015</v>
      </c>
      <c r="D1840" s="106" t="s">
        <v>3124</v>
      </c>
      <c r="E1840" s="47">
        <v>45975</v>
      </c>
      <c r="F1840" s="31" t="str">
        <f>VLOOKUP($C1840,Carpetas!$C$5:$M$2666,2,FALSE)</f>
        <v>BRB135</v>
      </c>
      <c r="G1840" s="23" t="str">
        <f>VLOOKUP($C1840,Carpetas!$C$5:$M$2666,10,FALSE)</f>
        <v>154,16,22</v>
      </c>
      <c r="H1840" s="27" t="str">
        <f>VLOOKUP($C1840,Carpetas!$C$5:$M$2666,6,FALSE)</f>
        <v>FG</v>
      </c>
      <c r="I1840" s="220"/>
      <c r="J1840" s="47">
        <f t="shared" si="125"/>
        <v>45977</v>
      </c>
      <c r="K1840" s="72" t="str">
        <f>VLOOKUP($C1840,Carpetas!$C$5:$M$2666,5,FALSE)</f>
        <v>Rio Branco</v>
      </c>
      <c r="L1840" s="32"/>
      <c r="M1840" s="48">
        <v>45979</v>
      </c>
      <c r="N1840" s="26">
        <f t="shared" si="123"/>
        <v>4</v>
      </c>
      <c r="O1840" s="27">
        <v>990</v>
      </c>
      <c r="P1840" s="27">
        <v>990</v>
      </c>
      <c r="Q1840" s="27">
        <v>28</v>
      </c>
      <c r="R1840" s="27">
        <v>26</v>
      </c>
      <c r="S1840" s="27" t="s">
        <v>5080</v>
      </c>
      <c r="T1840" s="27"/>
      <c r="U1840" s="27">
        <v>1243</v>
      </c>
      <c r="V1840" s="27" t="s">
        <v>1735</v>
      </c>
      <c r="W1840" s="27" t="s">
        <v>1681</v>
      </c>
      <c r="X1840" s="128" t="s">
        <v>1465</v>
      </c>
      <c r="Y1840" s="73" t="str">
        <f>VLOOKUP(X1840,Choferes!$B$3:C430,2,FALSE)</f>
        <v>+59893339027</v>
      </c>
      <c r="Z1840" s="73" t="s">
        <v>5081</v>
      </c>
    </row>
    <row r="1841" spans="1:26" hidden="1" x14ac:dyDescent="0.25">
      <c r="A1841" s="33">
        <v>46</v>
      </c>
      <c r="B1841" s="71" t="s">
        <v>29</v>
      </c>
      <c r="C1841" s="39" t="s">
        <v>4943</v>
      </c>
      <c r="D1841" s="106" t="s">
        <v>2202</v>
      </c>
      <c r="E1841" s="47">
        <v>45975</v>
      </c>
      <c r="F1841" s="31" t="str">
        <f>VLOOKUP($C1841,Carpetas!$C$5:$M$2666,2,FALSE)</f>
        <v>BRB128</v>
      </c>
      <c r="G1841" s="23">
        <f>VLOOKUP($C1841,Carpetas!$C$5:$M$2666,10,FALSE)</f>
        <v>1540044</v>
      </c>
      <c r="H1841" s="27" t="str">
        <f>VLOOKUP($C1841,Carpetas!$C$5:$M$2666,6,FALSE)</f>
        <v>Gral</v>
      </c>
      <c r="I1841" s="220"/>
      <c r="J1841" s="47">
        <f t="shared" si="125"/>
        <v>45977</v>
      </c>
      <c r="K1841" s="72" t="str">
        <f>VLOOKUP($C1841,Carpetas!$C$5:$M$2666,5,FALSE)</f>
        <v>Chuy</v>
      </c>
      <c r="L1841" s="32"/>
      <c r="M1841" s="48">
        <v>45979</v>
      </c>
      <c r="N1841" s="26">
        <f t="shared" si="123"/>
        <v>4</v>
      </c>
      <c r="O1841" s="27">
        <v>918</v>
      </c>
      <c r="P1841" s="27">
        <v>919</v>
      </c>
      <c r="Q1841" s="27">
        <v>26</v>
      </c>
      <c r="R1841" s="27">
        <v>25</v>
      </c>
      <c r="S1841" s="27" t="s">
        <v>5082</v>
      </c>
      <c r="T1841" s="27"/>
      <c r="U1841" s="27"/>
      <c r="V1841" s="27" t="s">
        <v>5083</v>
      </c>
      <c r="W1841" s="27" t="s">
        <v>5084</v>
      </c>
      <c r="X1841" s="128"/>
      <c r="Y1841" s="73" t="e">
        <f>VLOOKUP(X1841,Choferes!$B$3:C434,2,FALSE)</f>
        <v>#N/A</v>
      </c>
      <c r="Z1841" s="73" t="s">
        <v>5085</v>
      </c>
    </row>
    <row r="1842" spans="1:26" hidden="1" x14ac:dyDescent="0.25">
      <c r="A1842" s="33">
        <v>46</v>
      </c>
      <c r="B1842" s="71" t="s">
        <v>29</v>
      </c>
      <c r="C1842" s="39" t="s">
        <v>5073</v>
      </c>
      <c r="D1842" s="106" t="s">
        <v>2474</v>
      </c>
      <c r="E1842" s="47">
        <v>45976</v>
      </c>
      <c r="F1842" s="31" t="str">
        <f>VLOOKUP($C1842,Carpetas!$C$5:$M$2666,2,FALSE)</f>
        <v>BRB138</v>
      </c>
      <c r="G1842" s="23" t="str">
        <f>VLOOKUP($C1842,Carpetas!$C$5:$M$2666,10,FALSE)</f>
        <v>154,24,20</v>
      </c>
      <c r="H1842" s="27" t="str">
        <f>VLOOKUP($C1842,Carpetas!$C$5:$M$2666,6,FALSE)</f>
        <v>Chabat</v>
      </c>
      <c r="I1842" s="220"/>
      <c r="J1842" s="47">
        <f t="shared" si="125"/>
        <v>45978</v>
      </c>
      <c r="K1842" s="72" t="str">
        <f>VLOOKUP($C1842,Carpetas!$C$5:$M$2666,5,FALSE)</f>
        <v>Rio Branco</v>
      </c>
      <c r="L1842" s="32"/>
      <c r="M1842" s="48">
        <f t="shared" ref="M1842:M1855" si="126">J1842+1</f>
        <v>45979</v>
      </c>
      <c r="N1842" s="26">
        <f t="shared" si="123"/>
        <v>3</v>
      </c>
      <c r="O1842" s="27">
        <v>990</v>
      </c>
      <c r="P1842" s="27">
        <v>990</v>
      </c>
      <c r="Q1842" s="27">
        <v>28</v>
      </c>
      <c r="R1842" s="27">
        <v>26</v>
      </c>
      <c r="S1842" s="27" t="s">
        <v>5086</v>
      </c>
      <c r="T1842" s="27"/>
      <c r="U1842" s="27"/>
      <c r="V1842" s="27" t="s">
        <v>4975</v>
      </c>
      <c r="W1842" s="27" t="s">
        <v>5087</v>
      </c>
      <c r="X1842" s="128"/>
      <c r="Y1842" s="73" t="e">
        <f>VLOOKUP(X1842,Choferes!$B$3:C433,2,FALSE)</f>
        <v>#N/A</v>
      </c>
      <c r="Z1842" s="73" t="s">
        <v>5081</v>
      </c>
    </row>
    <row r="1843" spans="1:26" hidden="1" x14ac:dyDescent="0.25">
      <c r="A1843" s="33">
        <v>46</v>
      </c>
      <c r="B1843" s="71" t="s">
        <v>29</v>
      </c>
      <c r="C1843" s="39" t="s">
        <v>4943</v>
      </c>
      <c r="D1843" s="106" t="s">
        <v>5088</v>
      </c>
      <c r="E1843" s="47">
        <v>45976</v>
      </c>
      <c r="F1843" s="31" t="str">
        <f>VLOOKUP($C1843,Carpetas!$C$5:$M$2666,2,FALSE)</f>
        <v>BRB128</v>
      </c>
      <c r="G1843" s="23">
        <f>VLOOKUP($C1843,Carpetas!$C$5:$M$2666,10,FALSE)</f>
        <v>1540044</v>
      </c>
      <c r="H1843" s="27" t="str">
        <f>VLOOKUP($C1843,Carpetas!$C$5:$M$2666,6,FALSE)</f>
        <v>Gral</v>
      </c>
      <c r="I1843" s="220"/>
      <c r="J1843" s="47">
        <f t="shared" si="125"/>
        <v>45978</v>
      </c>
      <c r="K1843" s="72" t="str">
        <f>VLOOKUP($C1843,Carpetas!$C$5:$M$2666,5,FALSE)</f>
        <v>Chuy</v>
      </c>
      <c r="L1843" s="32"/>
      <c r="M1843" s="48">
        <f t="shared" si="126"/>
        <v>45979</v>
      </c>
      <c r="N1843" s="26">
        <f t="shared" si="123"/>
        <v>3</v>
      </c>
      <c r="O1843" s="27">
        <v>918</v>
      </c>
      <c r="P1843" s="27">
        <v>919</v>
      </c>
      <c r="Q1843" s="27">
        <v>26</v>
      </c>
      <c r="R1843" s="27">
        <v>25</v>
      </c>
      <c r="S1843" s="27" t="s">
        <v>5089</v>
      </c>
      <c r="T1843" s="27"/>
      <c r="U1843" s="27"/>
      <c r="V1843" s="27" t="s">
        <v>5090</v>
      </c>
      <c r="W1843" s="27" t="s">
        <v>5091</v>
      </c>
      <c r="X1843" s="128"/>
      <c r="Y1843" s="73" t="e">
        <f>VLOOKUP(X1843,Choferes!$B$3:C435,2,FALSE)</f>
        <v>#N/A</v>
      </c>
      <c r="Z1843" s="73" t="s">
        <v>5085</v>
      </c>
    </row>
    <row r="1844" spans="1:26" hidden="1" x14ac:dyDescent="0.25">
      <c r="A1844" s="33">
        <v>46</v>
      </c>
      <c r="B1844" s="71" t="s">
        <v>29</v>
      </c>
      <c r="C1844" s="39" t="s">
        <v>5028</v>
      </c>
      <c r="D1844" s="106" t="s">
        <v>1757</v>
      </c>
      <c r="E1844" s="47">
        <v>45971</v>
      </c>
      <c r="F1844" s="31" t="str">
        <f>VLOOKUP($C1844,Carpetas!$C$5:$M$2666,2,FALSE)</f>
        <v>BRB133</v>
      </c>
      <c r="G1844" s="23" t="str">
        <f>VLOOKUP($C1844,Carpetas!$C$5:$M$2666,10,FALSE)</f>
        <v>154,13,24</v>
      </c>
      <c r="H1844" s="27" t="str">
        <f>VLOOKUP($C1844,Carpetas!$C$5:$M$2666,6,FALSE)</f>
        <v>Marvel</v>
      </c>
      <c r="I1844" s="220"/>
      <c r="J1844" s="47">
        <f>E1844+7</f>
        <v>45978</v>
      </c>
      <c r="K1844" s="72" t="str">
        <f>VLOOKUP($C1844,Carpetas!$C$5:$M$2666,5,FALSE)</f>
        <v>Rio Branco</v>
      </c>
      <c r="L1844" s="32"/>
      <c r="M1844" s="48">
        <f t="shared" si="126"/>
        <v>45979</v>
      </c>
      <c r="N1844" s="26">
        <f t="shared" si="123"/>
        <v>8</v>
      </c>
      <c r="O1844" s="27">
        <v>936</v>
      </c>
      <c r="P1844" s="27">
        <v>936</v>
      </c>
      <c r="Q1844" s="27">
        <v>26</v>
      </c>
      <c r="R1844" s="27">
        <v>25</v>
      </c>
      <c r="S1844" s="27" t="s">
        <v>5092</v>
      </c>
      <c r="T1844" s="27"/>
      <c r="U1844" s="27">
        <v>11182</v>
      </c>
      <c r="V1844" s="27" t="s">
        <v>5093</v>
      </c>
      <c r="W1844" s="27" t="s">
        <v>5094</v>
      </c>
      <c r="X1844" s="128"/>
      <c r="Y1844" s="73" t="e">
        <f>VLOOKUP(X1844,Choferes!$B$3:C436,2,FALSE)</f>
        <v>#N/A</v>
      </c>
      <c r="Z1844" s="73" t="s">
        <v>5095</v>
      </c>
    </row>
    <row r="1845" spans="1:26" hidden="1" x14ac:dyDescent="0.25">
      <c r="A1845" s="33">
        <v>46</v>
      </c>
      <c r="B1845" s="71" t="s">
        <v>29</v>
      </c>
      <c r="C1845" s="39" t="s">
        <v>5028</v>
      </c>
      <c r="D1845" s="106" t="s">
        <v>1757</v>
      </c>
      <c r="E1845" s="47">
        <v>45972</v>
      </c>
      <c r="F1845" s="31" t="str">
        <f>VLOOKUP($C1845,Carpetas!$C$5:$M$2666,2,FALSE)</f>
        <v>BRB133</v>
      </c>
      <c r="G1845" s="23" t="str">
        <f>VLOOKUP($C1845,Carpetas!$C$5:$M$2666,10,FALSE)</f>
        <v>154,13,24</v>
      </c>
      <c r="H1845" s="27" t="str">
        <f>VLOOKUP($C1845,Carpetas!$C$5:$M$2666,6,FALSE)</f>
        <v>Marvel</v>
      </c>
      <c r="I1845" s="220"/>
      <c r="J1845" s="47">
        <f>E1845+7</f>
        <v>45979</v>
      </c>
      <c r="K1845" s="72" t="str">
        <f>VLOOKUP($C1845,Carpetas!$C$5:$M$2666,5,FALSE)</f>
        <v>Rio Branco</v>
      </c>
      <c r="L1845" s="32"/>
      <c r="M1845" s="48">
        <f t="shared" si="126"/>
        <v>45980</v>
      </c>
      <c r="N1845" s="26">
        <f t="shared" si="123"/>
        <v>8</v>
      </c>
      <c r="O1845" s="27">
        <v>936</v>
      </c>
      <c r="P1845" s="27">
        <v>936</v>
      </c>
      <c r="Q1845" s="27">
        <v>26</v>
      </c>
      <c r="R1845" s="27">
        <v>25</v>
      </c>
      <c r="S1845" s="27" t="s">
        <v>5096</v>
      </c>
      <c r="T1845" s="27"/>
      <c r="U1845" s="27">
        <v>11183</v>
      </c>
      <c r="V1845" s="27" t="s">
        <v>5097</v>
      </c>
      <c r="W1845" s="27" t="s">
        <v>5098</v>
      </c>
      <c r="X1845" s="128"/>
      <c r="Y1845" s="73" t="e">
        <f>VLOOKUP(X1845,Choferes!$B$3:C437,2,FALSE)</f>
        <v>#N/A</v>
      </c>
      <c r="Z1845" s="73" t="s">
        <v>5099</v>
      </c>
    </row>
    <row r="1846" spans="1:26" hidden="1" x14ac:dyDescent="0.25">
      <c r="A1846" s="33">
        <v>46</v>
      </c>
      <c r="B1846" s="71" t="s">
        <v>29</v>
      </c>
      <c r="C1846" s="39" t="s">
        <v>5028</v>
      </c>
      <c r="D1846" s="106" t="s">
        <v>1757</v>
      </c>
      <c r="E1846" s="47">
        <v>45973</v>
      </c>
      <c r="F1846" s="31" t="str">
        <f>VLOOKUP($C1846,Carpetas!$C$5:$M$2666,2,FALSE)</f>
        <v>BRB133</v>
      </c>
      <c r="G1846" s="23" t="str">
        <f>VLOOKUP($C1846,Carpetas!$C$5:$M$2666,10,FALSE)</f>
        <v>154,13,24</v>
      </c>
      <c r="H1846" s="27" t="str">
        <f>VLOOKUP($C1846,Carpetas!$C$5:$M$2666,6,FALSE)</f>
        <v>Marvel</v>
      </c>
      <c r="I1846" s="220"/>
      <c r="J1846" s="47">
        <f>E1846+7</f>
        <v>45980</v>
      </c>
      <c r="K1846" s="72" t="str">
        <f>VLOOKUP($C1846,Carpetas!$C$5:$M$2666,5,FALSE)</f>
        <v>Rio Branco</v>
      </c>
      <c r="L1846" s="32"/>
      <c r="M1846" s="48">
        <f t="shared" si="126"/>
        <v>45981</v>
      </c>
      <c r="N1846" s="26">
        <f t="shared" si="123"/>
        <v>8</v>
      </c>
      <c r="O1846" s="27">
        <v>936</v>
      </c>
      <c r="P1846" s="27">
        <v>936</v>
      </c>
      <c r="Q1846" s="27">
        <v>28</v>
      </c>
      <c r="R1846" s="27">
        <v>26</v>
      </c>
      <c r="S1846" s="27" t="s">
        <v>5100</v>
      </c>
      <c r="T1846" s="27"/>
      <c r="U1846" s="27">
        <v>11184</v>
      </c>
      <c r="V1846" s="27" t="s">
        <v>5101</v>
      </c>
      <c r="W1846" s="27" t="s">
        <v>5102</v>
      </c>
      <c r="X1846" s="128"/>
      <c r="Y1846" s="73" t="e">
        <f>VLOOKUP(X1846,Choferes!$B$3:C438,2,FALSE)</f>
        <v>#N/A</v>
      </c>
      <c r="Z1846" s="73" t="s">
        <v>5103</v>
      </c>
    </row>
    <row r="1847" spans="1:26" hidden="1" x14ac:dyDescent="0.25">
      <c r="A1847" s="33">
        <v>46</v>
      </c>
      <c r="B1847" s="71" t="s">
        <v>29</v>
      </c>
      <c r="C1847" s="39" t="s">
        <v>5104</v>
      </c>
      <c r="D1847" s="106" t="s">
        <v>1757</v>
      </c>
      <c r="E1847" s="47">
        <v>45974</v>
      </c>
      <c r="F1847" s="31" t="str">
        <f>VLOOKUP($C1847,Carpetas!$C$5:$M$2666,2,FALSE)</f>
        <v>BRB137</v>
      </c>
      <c r="G1847" s="23" t="str">
        <f>VLOOKUP($C1847,Carpetas!$C$5:$M$2666,10,FALSE)</f>
        <v>154,26,06</v>
      </c>
      <c r="H1847" s="27" t="str">
        <f>VLOOKUP($C1847,Carpetas!$C$5:$M$2666,6,FALSE)</f>
        <v>Marvel</v>
      </c>
      <c r="I1847" s="220"/>
      <c r="J1847" s="47">
        <v>45980</v>
      </c>
      <c r="K1847" s="72" t="str">
        <f>VLOOKUP($C1847,Carpetas!$C$5:$M$2666,5,FALSE)</f>
        <v>Rio Branco</v>
      </c>
      <c r="L1847" s="32"/>
      <c r="M1847" s="48">
        <f t="shared" si="126"/>
        <v>45981</v>
      </c>
      <c r="N1847" s="26">
        <f t="shared" si="123"/>
        <v>7</v>
      </c>
      <c r="O1847" s="27">
        <v>936</v>
      </c>
      <c r="P1847" s="27">
        <v>936</v>
      </c>
      <c r="Q1847" s="27">
        <v>26</v>
      </c>
      <c r="R1847" s="27">
        <v>26</v>
      </c>
      <c r="S1847" s="27" t="s">
        <v>5105</v>
      </c>
      <c r="T1847" s="27"/>
      <c r="U1847" s="27">
        <v>11203</v>
      </c>
      <c r="V1847" s="27" t="s">
        <v>5106</v>
      </c>
      <c r="W1847" s="27" t="s">
        <v>5107</v>
      </c>
      <c r="X1847" s="128"/>
      <c r="Y1847" s="73" t="e">
        <f>VLOOKUP(X1847,Choferes!$B$3:C439,2,FALSE)</f>
        <v>#N/A</v>
      </c>
      <c r="Z1847" s="73" t="s">
        <v>5108</v>
      </c>
    </row>
    <row r="1848" spans="1:26" hidden="1" x14ac:dyDescent="0.25">
      <c r="A1848" s="33">
        <v>47</v>
      </c>
      <c r="B1848" s="71" t="s">
        <v>29</v>
      </c>
      <c r="C1848" s="39" t="s">
        <v>5109</v>
      </c>
      <c r="D1848" s="106" t="s">
        <v>2474</v>
      </c>
      <c r="E1848" s="47">
        <v>45979</v>
      </c>
      <c r="F1848" s="31" t="str">
        <f>VLOOKUP($C1848,Carpetas!$C$5:$M$2666,2,FALSE)</f>
        <v>BRB139</v>
      </c>
      <c r="G1848" s="23" t="str">
        <f>VLOOKUP($C1848,Carpetas!$C$5:$M$2666,10,FALSE)</f>
        <v>154,24,06</v>
      </c>
      <c r="H1848" s="27" t="str">
        <f>VLOOKUP($C1848,Carpetas!$C$5:$M$2666,6,FALSE)</f>
        <v>FG</v>
      </c>
      <c r="I1848" s="220"/>
      <c r="J1848" s="47">
        <f>E1848+1</f>
        <v>45980</v>
      </c>
      <c r="K1848" s="72" t="str">
        <f>VLOOKUP($C1848,Carpetas!$C$5:$M$2666,5,FALSE)</f>
        <v>Rio Branco</v>
      </c>
      <c r="L1848" s="32"/>
      <c r="M1848" s="48">
        <f t="shared" si="126"/>
        <v>45981</v>
      </c>
      <c r="N1848" s="26">
        <f t="shared" si="123"/>
        <v>2</v>
      </c>
      <c r="O1848" s="27">
        <v>990</v>
      </c>
      <c r="P1848" s="27">
        <v>990</v>
      </c>
      <c r="Q1848" s="27">
        <v>28</v>
      </c>
      <c r="R1848" s="27">
        <v>26</v>
      </c>
      <c r="S1848" s="27" t="s">
        <v>5110</v>
      </c>
      <c r="T1848" s="27"/>
      <c r="U1848" s="27">
        <v>1253</v>
      </c>
      <c r="V1848" s="27" t="s">
        <v>3572</v>
      </c>
      <c r="W1848" s="27" t="s">
        <v>1723</v>
      </c>
      <c r="X1848" s="128" t="s">
        <v>1495</v>
      </c>
      <c r="Y1848" s="73" t="str">
        <f>VLOOKUP(X1848,Choferes!$B$3:C439,2,FALSE)</f>
        <v>+5553984382803</v>
      </c>
      <c r="Z1848" s="73" t="s">
        <v>5111</v>
      </c>
    </row>
    <row r="1849" spans="1:26" hidden="1" x14ac:dyDescent="0.25">
      <c r="A1849" s="33">
        <v>46</v>
      </c>
      <c r="B1849" s="71" t="s">
        <v>29</v>
      </c>
      <c r="C1849" s="39" t="s">
        <v>5104</v>
      </c>
      <c r="D1849" s="106" t="s">
        <v>1757</v>
      </c>
      <c r="E1849" s="47">
        <v>45975</v>
      </c>
      <c r="F1849" s="31" t="str">
        <f>VLOOKUP($C1849,Carpetas!$C$5:$M$2666,2,FALSE)</f>
        <v>BRB137</v>
      </c>
      <c r="G1849" s="23" t="str">
        <f>VLOOKUP($C1849,Carpetas!$C$5:$M$2666,10,FALSE)</f>
        <v>154,26,06</v>
      </c>
      <c r="H1849" s="27" t="str">
        <f>VLOOKUP($C1849,Carpetas!$C$5:$M$2666,6,FALSE)</f>
        <v>Marvel</v>
      </c>
      <c r="I1849" s="220"/>
      <c r="J1849" s="47">
        <v>45981</v>
      </c>
      <c r="K1849" s="72" t="str">
        <f>VLOOKUP($C1849,Carpetas!$C$5:$M$2666,5,FALSE)</f>
        <v>Rio Branco</v>
      </c>
      <c r="L1849" s="32"/>
      <c r="M1849" s="48">
        <f t="shared" si="126"/>
        <v>45982</v>
      </c>
      <c r="N1849" s="26">
        <f t="shared" si="123"/>
        <v>7</v>
      </c>
      <c r="O1849" s="27">
        <v>936</v>
      </c>
      <c r="P1849" s="27">
        <v>936</v>
      </c>
      <c r="Q1849" s="27">
        <v>26</v>
      </c>
      <c r="R1849" s="27">
        <v>26</v>
      </c>
      <c r="S1849" s="27" t="s">
        <v>5112</v>
      </c>
      <c r="T1849" s="27"/>
      <c r="U1849" s="27">
        <v>11202</v>
      </c>
      <c r="V1849" s="27" t="s">
        <v>5113</v>
      </c>
      <c r="W1849" s="27" t="s">
        <v>5114</v>
      </c>
      <c r="X1849" s="128"/>
      <c r="Y1849" s="73" t="e">
        <f>VLOOKUP(X1849,Choferes!$B$3:C439,2,FALSE)</f>
        <v>#N/A</v>
      </c>
      <c r="Z1849" s="73" t="s">
        <v>5108</v>
      </c>
    </row>
    <row r="1850" spans="1:26" hidden="1" x14ac:dyDescent="0.25">
      <c r="A1850" s="33">
        <v>47</v>
      </c>
      <c r="B1850" s="71" t="s">
        <v>29</v>
      </c>
      <c r="C1850" s="39" t="s">
        <v>5109</v>
      </c>
      <c r="D1850" s="106" t="s">
        <v>803</v>
      </c>
      <c r="E1850" s="47">
        <v>45979</v>
      </c>
      <c r="F1850" s="31" t="str">
        <f>VLOOKUP($C1850,Carpetas!$C$5:$M$2666,2,FALSE)</f>
        <v>BRB139</v>
      </c>
      <c r="G1850" s="23" t="str">
        <f>VLOOKUP($C1850,Carpetas!$C$5:$M$2666,10,FALSE)</f>
        <v>154,24,06</v>
      </c>
      <c r="H1850" s="27" t="str">
        <f>VLOOKUP($C1850,Carpetas!$C$5:$M$2666,6,FALSE)</f>
        <v>FG</v>
      </c>
      <c r="I1850" s="220"/>
      <c r="J1850" s="47">
        <v>45982</v>
      </c>
      <c r="K1850" s="72" t="str">
        <f>VLOOKUP($C1850,Carpetas!$C$5:$M$2666,5,FALSE)</f>
        <v>Rio Branco</v>
      </c>
      <c r="L1850" s="32"/>
      <c r="M1850" s="48">
        <f t="shared" si="126"/>
        <v>45983</v>
      </c>
      <c r="N1850" s="26">
        <f t="shared" si="123"/>
        <v>4</v>
      </c>
      <c r="O1850" s="27">
        <v>990</v>
      </c>
      <c r="P1850" s="27">
        <v>990</v>
      </c>
      <c r="Q1850" s="27">
        <v>28</v>
      </c>
      <c r="R1850" s="27">
        <v>26</v>
      </c>
      <c r="S1850" s="27" t="s">
        <v>5115</v>
      </c>
      <c r="T1850" s="27"/>
      <c r="U1850" s="27">
        <v>1254</v>
      </c>
      <c r="V1850" s="27" t="s">
        <v>5116</v>
      </c>
      <c r="W1850" s="27" t="s">
        <v>5117</v>
      </c>
      <c r="X1850" s="128"/>
      <c r="Y1850" s="73" t="e">
        <f>VLOOKUP(X1850,Choferes!$B$3:C440,2,FALSE)</f>
        <v>#N/A</v>
      </c>
      <c r="Z1850" s="73" t="s">
        <v>5118</v>
      </c>
    </row>
    <row r="1851" spans="1:26" hidden="1" x14ac:dyDescent="0.25">
      <c r="A1851" s="33">
        <v>47</v>
      </c>
      <c r="B1851" s="71" t="s">
        <v>29</v>
      </c>
      <c r="C1851" s="39" t="s">
        <v>5119</v>
      </c>
      <c r="D1851" s="106" t="s">
        <v>2202</v>
      </c>
      <c r="E1851" s="47">
        <v>45978</v>
      </c>
      <c r="F1851" s="31" t="str">
        <f>VLOOKUP($C1851,Carpetas!$C$5:$M$2666,2,FALSE)</f>
        <v>BRB142</v>
      </c>
      <c r="G1851" s="23" t="str">
        <f>VLOOKUP($C1851,Carpetas!$C$5:$M$2666,10,FALSE)</f>
        <v>154,27,30</v>
      </c>
      <c r="H1851" s="27" t="str">
        <f>VLOOKUP($C1851,Carpetas!$C$5:$M$2666,6,FALSE)</f>
        <v>Zanini</v>
      </c>
      <c r="I1851" s="220"/>
      <c r="J1851" s="47">
        <v>45982</v>
      </c>
      <c r="K1851" s="72" t="str">
        <f>VLOOKUP($C1851,Carpetas!$C$5:$M$2666,5,FALSE)</f>
        <v>Chuy</v>
      </c>
      <c r="L1851" s="32"/>
      <c r="M1851" s="48">
        <f t="shared" si="126"/>
        <v>45983</v>
      </c>
      <c r="N1851" s="26">
        <f t="shared" si="123"/>
        <v>5</v>
      </c>
      <c r="O1851" s="27">
        <v>918</v>
      </c>
      <c r="P1851" s="27">
        <v>919</v>
      </c>
      <c r="Q1851" s="27">
        <v>26</v>
      </c>
      <c r="R1851" s="27">
        <v>25</v>
      </c>
      <c r="S1851" s="27" t="s">
        <v>5120</v>
      </c>
      <c r="T1851" s="27"/>
      <c r="U1851" s="27"/>
      <c r="V1851" s="27" t="s">
        <v>1687</v>
      </c>
      <c r="W1851" s="27" t="s">
        <v>3215</v>
      </c>
      <c r="X1851" s="128"/>
      <c r="Y1851" s="73" t="e">
        <f>VLOOKUP(X1851,Choferes!$B$3:C437,2,FALSE)</f>
        <v>#N/A</v>
      </c>
      <c r="Z1851" s="73" t="s">
        <v>5121</v>
      </c>
    </row>
    <row r="1852" spans="1:26" hidden="1" x14ac:dyDescent="0.25">
      <c r="A1852" s="33">
        <v>46</v>
      </c>
      <c r="B1852" s="71" t="s">
        <v>29</v>
      </c>
      <c r="C1852" s="39" t="s">
        <v>5104</v>
      </c>
      <c r="D1852" s="106" t="s">
        <v>1757</v>
      </c>
      <c r="E1852" s="47">
        <v>45976</v>
      </c>
      <c r="F1852" s="31" t="str">
        <f>VLOOKUP($C1852,Carpetas!$C$5:$M$2666,2,FALSE)</f>
        <v>BRB137</v>
      </c>
      <c r="G1852" s="23" t="str">
        <f>VLOOKUP($C1852,Carpetas!$C$5:$M$2666,10,FALSE)</f>
        <v>154,26,06</v>
      </c>
      <c r="H1852" s="27" t="str">
        <f>VLOOKUP($C1852,Carpetas!$C$5:$M$2666,6,FALSE)</f>
        <v>Marvel</v>
      </c>
      <c r="I1852" s="220"/>
      <c r="J1852" s="47">
        <v>45982</v>
      </c>
      <c r="K1852" s="72" t="str">
        <f>VLOOKUP($C1852,Carpetas!$C$5:$M$2666,5,FALSE)</f>
        <v>Rio Branco</v>
      </c>
      <c r="L1852" s="32"/>
      <c r="M1852" s="48">
        <f t="shared" si="126"/>
        <v>45983</v>
      </c>
      <c r="N1852" s="26">
        <f t="shared" si="123"/>
        <v>7</v>
      </c>
      <c r="O1852" s="27">
        <v>936</v>
      </c>
      <c r="P1852" s="27">
        <v>936</v>
      </c>
      <c r="Q1852" s="27">
        <v>26</v>
      </c>
      <c r="R1852" s="27">
        <v>26</v>
      </c>
      <c r="S1852" s="27" t="s">
        <v>5122</v>
      </c>
      <c r="T1852" s="27"/>
      <c r="U1852" s="27">
        <v>11204</v>
      </c>
      <c r="V1852" s="27" t="s">
        <v>5123</v>
      </c>
      <c r="W1852" s="27" t="s">
        <v>5124</v>
      </c>
      <c r="X1852" s="128"/>
      <c r="Y1852" s="73" t="e">
        <f>VLOOKUP(X1852,Choferes!$B$3:C439,2,FALSE)</f>
        <v>#N/A</v>
      </c>
      <c r="Z1852" s="73" t="s">
        <v>5125</v>
      </c>
    </row>
    <row r="1853" spans="1:26" hidden="1" x14ac:dyDescent="0.25">
      <c r="A1853" s="33">
        <v>47</v>
      </c>
      <c r="B1853" s="71" t="s">
        <v>29</v>
      </c>
      <c r="C1853" s="39" t="s">
        <v>5126</v>
      </c>
      <c r="D1853" s="106" t="s">
        <v>2474</v>
      </c>
      <c r="E1853" s="47">
        <v>45981</v>
      </c>
      <c r="F1853" s="31" t="str">
        <f>VLOOKUP($C1853,Carpetas!$C$5:$M$2666,2,FALSE)</f>
        <v>BRB140</v>
      </c>
      <c r="G1853" s="23" t="str">
        <f>VLOOKUP($C1853,Carpetas!$C$5:$M$2666,10,FALSE)</f>
        <v>154,28,29</v>
      </c>
      <c r="H1853" s="27" t="str">
        <f>VLOOKUP($C1853,Carpetas!$C$5:$M$2666,6,FALSE)</f>
        <v>Chabat</v>
      </c>
      <c r="I1853" s="220"/>
      <c r="J1853" s="47">
        <f>E1853+1</f>
        <v>45982</v>
      </c>
      <c r="K1853" s="72" t="str">
        <f>VLOOKUP($C1853,Carpetas!$C$5:$M$2666,5,FALSE)</f>
        <v>Rio Branco</v>
      </c>
      <c r="L1853" s="32"/>
      <c r="M1853" s="48">
        <f t="shared" si="126"/>
        <v>45983</v>
      </c>
      <c r="N1853" s="26">
        <f t="shared" si="123"/>
        <v>2</v>
      </c>
      <c r="O1853" s="27">
        <v>990</v>
      </c>
      <c r="P1853" s="27">
        <v>990</v>
      </c>
      <c r="Q1853" s="27">
        <v>28</v>
      </c>
      <c r="R1853" s="27">
        <v>26</v>
      </c>
      <c r="S1853" s="27" t="s">
        <v>5127</v>
      </c>
      <c r="T1853" s="27"/>
      <c r="U1853" s="27">
        <v>2469</v>
      </c>
      <c r="V1853" s="27" t="s">
        <v>4134</v>
      </c>
      <c r="W1853" s="27" t="s">
        <v>4283</v>
      </c>
      <c r="X1853" s="128"/>
      <c r="Y1853" s="73" t="e">
        <f>VLOOKUP(X1853,Choferes!$B$3:C445,2,FALSE)</f>
        <v>#N/A</v>
      </c>
      <c r="Z1853" s="73" t="s">
        <v>5128</v>
      </c>
    </row>
    <row r="1854" spans="1:26" hidden="1" x14ac:dyDescent="0.25">
      <c r="A1854" s="33">
        <v>47</v>
      </c>
      <c r="B1854" s="71" t="s">
        <v>29</v>
      </c>
      <c r="C1854" s="39" t="s">
        <v>5119</v>
      </c>
      <c r="D1854" s="106" t="s">
        <v>2202</v>
      </c>
      <c r="E1854" s="47">
        <v>45979</v>
      </c>
      <c r="F1854" s="31" t="str">
        <f>VLOOKUP($C1854,Carpetas!$C$5:$M$2666,2,FALSE)</f>
        <v>BRB142</v>
      </c>
      <c r="G1854" s="23" t="str">
        <f>VLOOKUP($C1854,Carpetas!$C$5:$M$2666,10,FALSE)</f>
        <v>154,27,30</v>
      </c>
      <c r="H1854" s="27" t="str">
        <f>VLOOKUP($C1854,Carpetas!$C$5:$M$2666,6,FALSE)</f>
        <v>Zanini</v>
      </c>
      <c r="I1854" s="220"/>
      <c r="J1854" s="47">
        <v>45982</v>
      </c>
      <c r="K1854" s="72" t="str">
        <f>VLOOKUP($C1854,Carpetas!$C$5:$M$2666,5,FALSE)</f>
        <v>Chuy</v>
      </c>
      <c r="L1854" s="32"/>
      <c r="M1854" s="48">
        <f t="shared" si="126"/>
        <v>45983</v>
      </c>
      <c r="N1854" s="26">
        <f t="shared" si="123"/>
        <v>4</v>
      </c>
      <c r="O1854" s="27">
        <v>918</v>
      </c>
      <c r="P1854" s="27">
        <v>919</v>
      </c>
      <c r="Q1854" s="27">
        <v>26</v>
      </c>
      <c r="R1854" s="27">
        <v>25</v>
      </c>
      <c r="S1854" s="27" t="s">
        <v>5129</v>
      </c>
      <c r="T1854" s="27"/>
      <c r="U1854" s="27"/>
      <c r="V1854" s="27" t="s">
        <v>5130</v>
      </c>
      <c r="W1854" s="27" t="s">
        <v>5131</v>
      </c>
      <c r="X1854" s="128"/>
      <c r="Y1854" s="73" t="e">
        <f>VLOOKUP(X1854,Choferes!$B$3:C438,2,FALSE)</f>
        <v>#N/A</v>
      </c>
      <c r="Z1854" s="73" t="s">
        <v>5132</v>
      </c>
    </row>
    <row r="1855" spans="1:26" hidden="1" x14ac:dyDescent="0.25">
      <c r="A1855" s="33">
        <v>47</v>
      </c>
      <c r="B1855" s="71" t="s">
        <v>29</v>
      </c>
      <c r="C1855" s="39" t="s">
        <v>5133</v>
      </c>
      <c r="D1855" s="106" t="s">
        <v>2202</v>
      </c>
      <c r="E1855" s="47">
        <v>45980</v>
      </c>
      <c r="F1855" s="31" t="str">
        <f>VLOOKUP($C1855,Carpetas!$C$5:$M$2666,2,FALSE)</f>
        <v>BRB143</v>
      </c>
      <c r="G1855" s="23" t="str">
        <f>VLOOKUP($C1855,Carpetas!$C$5:$M$2666,10,FALSE)</f>
        <v>154,27,31</v>
      </c>
      <c r="H1855" s="27" t="str">
        <f>VLOOKUP($C1855,Carpetas!$C$5:$M$2666,6,FALSE)</f>
        <v>Gral</v>
      </c>
      <c r="I1855" s="220"/>
      <c r="J1855" s="47">
        <v>45982</v>
      </c>
      <c r="K1855" s="72" t="str">
        <f>VLOOKUP($C1855,Carpetas!$C$5:$M$2666,5,FALSE)</f>
        <v>Chuy</v>
      </c>
      <c r="L1855" s="32"/>
      <c r="M1855" s="48">
        <f t="shared" si="126"/>
        <v>45983</v>
      </c>
      <c r="N1855" s="26">
        <f t="shared" si="123"/>
        <v>3</v>
      </c>
      <c r="O1855" s="27">
        <v>918</v>
      </c>
      <c r="P1855" s="27">
        <v>919</v>
      </c>
      <c r="Q1855" s="27">
        <v>26</v>
      </c>
      <c r="R1855" s="27">
        <v>25</v>
      </c>
      <c r="S1855" s="27" t="s">
        <v>5134</v>
      </c>
      <c r="T1855" s="27"/>
      <c r="U1855" s="27"/>
      <c r="V1855" s="27" t="s">
        <v>5135</v>
      </c>
      <c r="W1855" s="27" t="s">
        <v>5136</v>
      </c>
      <c r="X1855" s="128"/>
      <c r="Y1855" s="73" t="e">
        <f>VLOOKUP(X1855,Choferes!$B$3:C445,2,FALSE)</f>
        <v>#N/A</v>
      </c>
      <c r="Z1855" s="73" t="s">
        <v>5132</v>
      </c>
    </row>
    <row r="1856" spans="1:26" hidden="1" x14ac:dyDescent="0.25">
      <c r="A1856" s="33">
        <v>47</v>
      </c>
      <c r="B1856" s="71" t="s">
        <v>29</v>
      </c>
      <c r="C1856" s="39" t="s">
        <v>5109</v>
      </c>
      <c r="D1856" s="106" t="s">
        <v>747</v>
      </c>
      <c r="E1856" s="47">
        <v>45982</v>
      </c>
      <c r="F1856" s="31" t="str">
        <f>VLOOKUP($C1856,Carpetas!$C$5:$M$2666,2,FALSE)</f>
        <v>BRB139</v>
      </c>
      <c r="G1856" s="23" t="str">
        <f>VLOOKUP($C1856,Carpetas!$C$5:$M$2666,10,FALSE)</f>
        <v>154,24,06</v>
      </c>
      <c r="H1856" s="27" t="str">
        <f>VLOOKUP($C1856,Carpetas!$C$5:$M$2666,6,FALSE)</f>
        <v>FG</v>
      </c>
      <c r="I1856" s="220"/>
      <c r="J1856" s="47">
        <f>E1856+2</f>
        <v>45984</v>
      </c>
      <c r="K1856" s="72" t="str">
        <f>VLOOKUP($C1856,Carpetas!$C$5:$M$2666,5,FALSE)</f>
        <v>Rio Branco</v>
      </c>
      <c r="L1856" s="32"/>
      <c r="M1856" s="48">
        <v>45986</v>
      </c>
      <c r="N1856" s="26">
        <f t="shared" si="123"/>
        <v>4</v>
      </c>
      <c r="O1856" s="27">
        <v>990</v>
      </c>
      <c r="P1856" s="27">
        <v>991</v>
      </c>
      <c r="Q1856" s="27">
        <v>28</v>
      </c>
      <c r="R1856" s="27">
        <v>26</v>
      </c>
      <c r="S1856" s="27" t="s">
        <v>5137</v>
      </c>
      <c r="T1856" s="27"/>
      <c r="U1856" s="27">
        <v>1257</v>
      </c>
      <c r="V1856" s="27" t="s">
        <v>1726</v>
      </c>
      <c r="W1856" s="27" t="s">
        <v>1646</v>
      </c>
      <c r="X1856" s="128" t="s">
        <v>1576</v>
      </c>
      <c r="Y1856" s="73" t="str">
        <f>VLOOKUP(X1856,Choferes!$B$3:C441,2,FALSE)</f>
        <v>+55119971489722</v>
      </c>
      <c r="Z1856" s="73" t="s">
        <v>5138</v>
      </c>
    </row>
    <row r="1857" spans="1:26" hidden="1" x14ac:dyDescent="0.25">
      <c r="A1857" s="33">
        <v>47</v>
      </c>
      <c r="B1857" s="71" t="s">
        <v>29</v>
      </c>
      <c r="C1857" s="39" t="s">
        <v>5109</v>
      </c>
      <c r="D1857" s="106" t="s">
        <v>249</v>
      </c>
      <c r="E1857" s="47">
        <v>45982</v>
      </c>
      <c r="F1857" s="31" t="str">
        <f>VLOOKUP($C1857,Carpetas!$C$5:$M$2666,2,FALSE)</f>
        <v>BRB139</v>
      </c>
      <c r="G1857" s="23" t="str">
        <f>VLOOKUP($C1857,Carpetas!$C$5:$M$2666,10,FALSE)</f>
        <v>154,24,06</v>
      </c>
      <c r="H1857" s="27" t="str">
        <f>VLOOKUP($C1857,Carpetas!$C$5:$M$2666,6,FALSE)</f>
        <v>FG</v>
      </c>
      <c r="I1857" s="220"/>
      <c r="J1857" s="47">
        <f>E1857+2</f>
        <v>45984</v>
      </c>
      <c r="K1857" s="72" t="str">
        <f>VLOOKUP($C1857,Carpetas!$C$5:$M$2666,5,FALSE)</f>
        <v>Rio Branco</v>
      </c>
      <c r="L1857" s="32"/>
      <c r="M1857" s="48">
        <v>45986</v>
      </c>
      <c r="N1857" s="26">
        <f t="shared" si="123"/>
        <v>4</v>
      </c>
      <c r="O1857" s="27">
        <v>990</v>
      </c>
      <c r="P1857" s="27">
        <v>990</v>
      </c>
      <c r="Q1857" s="27">
        <v>28</v>
      </c>
      <c r="R1857" s="27">
        <v>26</v>
      </c>
      <c r="S1857" s="27" t="s">
        <v>5139</v>
      </c>
      <c r="T1857" s="27"/>
      <c r="U1857" s="27">
        <v>1258</v>
      </c>
      <c r="V1857" s="27" t="s">
        <v>3411</v>
      </c>
      <c r="W1857" s="27" t="s">
        <v>3412</v>
      </c>
      <c r="X1857" s="128" t="s">
        <v>3559</v>
      </c>
      <c r="Y1857" s="73" t="str">
        <f>VLOOKUP(X1857,Choferes!$B$3:C442,2,FALSE)</f>
        <v>+55 53 9713-4372</v>
      </c>
      <c r="Z1857" s="73" t="s">
        <v>5140</v>
      </c>
    </row>
    <row r="1858" spans="1:26" hidden="1" x14ac:dyDescent="0.25">
      <c r="A1858" s="33">
        <v>47</v>
      </c>
      <c r="B1858" s="71" t="s">
        <v>29</v>
      </c>
      <c r="C1858" s="39" t="s">
        <v>5109</v>
      </c>
      <c r="D1858" s="106" t="s">
        <v>803</v>
      </c>
      <c r="E1858" s="47">
        <v>45983</v>
      </c>
      <c r="F1858" s="31" t="str">
        <f>VLOOKUP($C1858,Carpetas!$C$5:$M$2666,2,FALSE)</f>
        <v>BRB139</v>
      </c>
      <c r="G1858" s="23" t="str">
        <f>VLOOKUP($C1858,Carpetas!$C$5:$M$2666,10,FALSE)</f>
        <v>154,24,06</v>
      </c>
      <c r="H1858" s="27" t="str">
        <f>VLOOKUP($C1858,Carpetas!$C$5:$M$2666,6,FALSE)</f>
        <v>FG</v>
      </c>
      <c r="I1858" s="220"/>
      <c r="J1858" s="47">
        <f>E1858+2</f>
        <v>45985</v>
      </c>
      <c r="K1858" s="72" t="str">
        <f>VLOOKUP($C1858,Carpetas!$C$5:$M$2666,5,FALSE)</f>
        <v>Rio Branco</v>
      </c>
      <c r="L1858" s="32"/>
      <c r="M1858" s="48">
        <f t="shared" ref="M1858:M1875" si="127">J1858+1</f>
        <v>45986</v>
      </c>
      <c r="N1858" s="26">
        <f t="shared" si="123"/>
        <v>3</v>
      </c>
      <c r="O1858" s="27">
        <v>990</v>
      </c>
      <c r="P1858" s="27">
        <v>990</v>
      </c>
      <c r="Q1858" s="27">
        <v>28</v>
      </c>
      <c r="R1858" s="27">
        <v>26</v>
      </c>
      <c r="S1858" s="27" t="s">
        <v>5141</v>
      </c>
      <c r="T1858" s="27"/>
      <c r="U1858" s="27">
        <v>1256</v>
      </c>
      <c r="V1858" s="27" t="s">
        <v>1430</v>
      </c>
      <c r="W1858" s="27" t="s">
        <v>1669</v>
      </c>
      <c r="X1858" s="128" t="s">
        <v>1923</v>
      </c>
      <c r="Y1858" s="73" t="str">
        <f>VLOOKUP(X1858,Choferes!$B$3:C443,2,FALSE)</f>
        <v>+5553999049426</v>
      </c>
      <c r="Z1858" s="73" t="s">
        <v>5142</v>
      </c>
    </row>
    <row r="1859" spans="1:26" hidden="1" x14ac:dyDescent="0.25">
      <c r="A1859" s="33">
        <v>47</v>
      </c>
      <c r="B1859" s="71" t="s">
        <v>29</v>
      </c>
      <c r="C1859" s="39" t="s">
        <v>5126</v>
      </c>
      <c r="D1859" s="106" t="s">
        <v>2474</v>
      </c>
      <c r="E1859" s="47">
        <v>45983</v>
      </c>
      <c r="F1859" s="31" t="str">
        <f>VLOOKUP($C1859,Carpetas!$C$5:$M$2666,2,FALSE)</f>
        <v>BRB140</v>
      </c>
      <c r="G1859" s="23" t="str">
        <f>VLOOKUP($C1859,Carpetas!$C$5:$M$2666,10,FALSE)</f>
        <v>154,28,29</v>
      </c>
      <c r="H1859" s="27" t="str">
        <f>VLOOKUP($C1859,Carpetas!$C$5:$M$2666,6,FALSE)</f>
        <v>Chabat</v>
      </c>
      <c r="I1859" s="220"/>
      <c r="J1859" s="47">
        <f>E1859+2</f>
        <v>45985</v>
      </c>
      <c r="K1859" s="72" t="str">
        <f>VLOOKUP($C1859,Carpetas!$C$5:$M$2666,5,FALSE)</f>
        <v>Rio Branco</v>
      </c>
      <c r="L1859" s="32"/>
      <c r="M1859" s="48">
        <f t="shared" si="127"/>
        <v>45986</v>
      </c>
      <c r="N1859" s="26">
        <f t="shared" si="123"/>
        <v>3</v>
      </c>
      <c r="O1859" s="27">
        <v>990</v>
      </c>
      <c r="P1859" s="27">
        <v>990</v>
      </c>
      <c r="Q1859" s="27">
        <v>28</v>
      </c>
      <c r="R1859" s="27">
        <v>26</v>
      </c>
      <c r="S1859" s="27" t="s">
        <v>5143</v>
      </c>
      <c r="T1859" s="27"/>
      <c r="U1859" s="27">
        <v>2470</v>
      </c>
      <c r="V1859" s="27" t="s">
        <v>4339</v>
      </c>
      <c r="W1859" s="27" t="s">
        <v>4340</v>
      </c>
      <c r="X1859" s="128"/>
      <c r="Y1859" s="73" t="e">
        <f>VLOOKUP(X1859,Choferes!$B$3:C446,2,FALSE)</f>
        <v>#N/A</v>
      </c>
      <c r="Z1859" s="73" t="s">
        <v>5144</v>
      </c>
    </row>
    <row r="1860" spans="1:26" hidden="1" x14ac:dyDescent="0.25">
      <c r="A1860" s="33">
        <v>47</v>
      </c>
      <c r="B1860" s="71" t="s">
        <v>29</v>
      </c>
      <c r="C1860" s="39" t="s">
        <v>5145</v>
      </c>
      <c r="D1860" s="106" t="s">
        <v>1757</v>
      </c>
      <c r="E1860" s="47">
        <v>45980</v>
      </c>
      <c r="F1860" s="31" t="str">
        <f>VLOOKUP($C1860,Carpetas!$C$5:$M$2666,2,FALSE)</f>
        <v>BRB141</v>
      </c>
      <c r="G1860" s="23" t="str">
        <f>VLOOKUP($C1860,Carpetas!$C$5:$M$2666,10,FALSE)</f>
        <v>154,28,21</v>
      </c>
      <c r="H1860" s="27" t="str">
        <f>VLOOKUP($C1860,Carpetas!$C$5:$M$2666,6,FALSE)</f>
        <v xml:space="preserve">Silvio </v>
      </c>
      <c r="I1860" s="220"/>
      <c r="J1860" s="47">
        <v>45985</v>
      </c>
      <c r="K1860" s="72" t="str">
        <f>VLOOKUP($C1860,Carpetas!$C$5:$M$2666,5,FALSE)</f>
        <v>Rio Branco</v>
      </c>
      <c r="L1860" s="32"/>
      <c r="M1860" s="48">
        <f t="shared" si="127"/>
        <v>45986</v>
      </c>
      <c r="N1860" s="26">
        <f t="shared" si="123"/>
        <v>6</v>
      </c>
      <c r="O1860" s="27">
        <v>936</v>
      </c>
      <c r="P1860" s="27">
        <v>936</v>
      </c>
      <c r="Q1860" s="27">
        <v>26</v>
      </c>
      <c r="R1860" s="27">
        <v>25</v>
      </c>
      <c r="S1860" s="27" t="s">
        <v>5146</v>
      </c>
      <c r="T1860" s="27"/>
      <c r="U1860" s="27">
        <v>7592</v>
      </c>
      <c r="V1860" s="27" t="s">
        <v>5147</v>
      </c>
      <c r="W1860" s="27" t="s">
        <v>5148</v>
      </c>
      <c r="X1860" s="128" t="s">
        <v>5149</v>
      </c>
      <c r="Y1860" s="73" t="str">
        <f>VLOOKUP(X1860,Choferes!$B$3:C435,2,FALSE)</f>
        <v>+5554991079474</v>
      </c>
      <c r="Z1860" s="73" t="s">
        <v>5150</v>
      </c>
    </row>
    <row r="1861" spans="1:26" hidden="1" x14ac:dyDescent="0.25">
      <c r="A1861" s="33">
        <v>47</v>
      </c>
      <c r="B1861" s="71" t="s">
        <v>29</v>
      </c>
      <c r="C1861" s="39" t="s">
        <v>5151</v>
      </c>
      <c r="D1861" s="106" t="s">
        <v>953</v>
      </c>
      <c r="E1861" s="47">
        <v>45983</v>
      </c>
      <c r="F1861" s="31" t="str">
        <f>VLOOKUP($C1861,Carpetas!$C$5:$M$2666,2,FALSE)</f>
        <v>BRB144</v>
      </c>
      <c r="G1861" s="23" t="str">
        <f>VLOOKUP($C1861,Carpetas!$C$5:$M$2666,10,FALSE)</f>
        <v>154,32,59</v>
      </c>
      <c r="H1861" s="27" t="str">
        <f>VLOOKUP($C1861,Carpetas!$C$5:$M$2666,6,FALSE)</f>
        <v>Amaro</v>
      </c>
      <c r="I1861" s="220"/>
      <c r="J1861" s="47">
        <f>E1861+2</f>
        <v>45985</v>
      </c>
      <c r="K1861" s="72" t="str">
        <f>VLOOKUP($C1861,Carpetas!$C$5:$M$2666,5,FALSE)</f>
        <v>Rio Branco</v>
      </c>
      <c r="L1861" s="32"/>
      <c r="M1861" s="48">
        <f t="shared" si="127"/>
        <v>45986</v>
      </c>
      <c r="N1861" s="26">
        <f t="shared" si="123"/>
        <v>3</v>
      </c>
      <c r="O1861" s="27">
        <v>990</v>
      </c>
      <c r="P1861" s="27">
        <v>990</v>
      </c>
      <c r="Q1861" s="27">
        <v>28</v>
      </c>
      <c r="R1861" s="27">
        <v>26</v>
      </c>
      <c r="S1861" s="27" t="s">
        <v>1585</v>
      </c>
      <c r="T1861" s="27"/>
      <c r="U1861" s="27">
        <v>27403</v>
      </c>
      <c r="V1861" s="27" t="s">
        <v>2080</v>
      </c>
      <c r="W1861" s="27" t="s">
        <v>2987</v>
      </c>
      <c r="X1861" s="128"/>
      <c r="Y1861" s="73" t="e">
        <f>VLOOKUP(X1861,Choferes!$B$3:C444,2,FALSE)</f>
        <v>#N/A</v>
      </c>
      <c r="Z1861" s="73" t="s">
        <v>5152</v>
      </c>
    </row>
    <row r="1862" spans="1:26" hidden="1" x14ac:dyDescent="0.25">
      <c r="A1862" s="33">
        <v>47</v>
      </c>
      <c r="B1862" s="71" t="s">
        <v>29</v>
      </c>
      <c r="C1862" s="39" t="s">
        <v>5104</v>
      </c>
      <c r="D1862" s="106" t="s">
        <v>1757</v>
      </c>
      <c r="E1862" s="47">
        <v>45979</v>
      </c>
      <c r="F1862" s="31" t="str">
        <f>VLOOKUP($C1862,Carpetas!$C$5:$M$2666,2,FALSE)</f>
        <v>BRB137</v>
      </c>
      <c r="G1862" s="23" t="str">
        <f>VLOOKUP($C1862,Carpetas!$C$5:$M$2666,10,FALSE)</f>
        <v>154,26,06</v>
      </c>
      <c r="H1862" s="27" t="str">
        <f>VLOOKUP($C1862,Carpetas!$C$5:$M$2666,6,FALSE)</f>
        <v>Marvel</v>
      </c>
      <c r="I1862" s="220"/>
      <c r="J1862" s="47">
        <v>45985</v>
      </c>
      <c r="K1862" s="72" t="str">
        <f>VLOOKUP($C1862,Carpetas!$C$5:$M$2666,5,FALSE)</f>
        <v>Rio Branco</v>
      </c>
      <c r="L1862" s="32"/>
      <c r="M1862" s="48">
        <f t="shared" si="127"/>
        <v>45986</v>
      </c>
      <c r="N1862" s="26">
        <f t="shared" si="123"/>
        <v>7</v>
      </c>
      <c r="O1862" s="27">
        <v>936</v>
      </c>
      <c r="P1862" s="27">
        <v>936</v>
      </c>
      <c r="Q1862" s="27">
        <v>26</v>
      </c>
      <c r="R1862" s="27">
        <v>25</v>
      </c>
      <c r="S1862" s="27" t="s">
        <v>5153</v>
      </c>
      <c r="T1862" s="27"/>
      <c r="U1862" s="27">
        <v>11205</v>
      </c>
      <c r="V1862" s="27" t="s">
        <v>5154</v>
      </c>
      <c r="W1862" s="27" t="s">
        <v>5155</v>
      </c>
      <c r="X1862" s="128"/>
      <c r="Y1862" s="73" t="e">
        <f>VLOOKUP(X1862,Choferes!$B$3:C432,2,FALSE)</f>
        <v>#N/A</v>
      </c>
      <c r="Z1862" s="73" t="s">
        <v>5156</v>
      </c>
    </row>
    <row r="1863" spans="1:26" hidden="1" x14ac:dyDescent="0.25">
      <c r="A1863" s="33">
        <v>47</v>
      </c>
      <c r="B1863" s="71" t="s">
        <v>29</v>
      </c>
      <c r="C1863" s="39" t="s">
        <v>5104</v>
      </c>
      <c r="D1863" s="106" t="s">
        <v>1757</v>
      </c>
      <c r="E1863" s="47">
        <v>45980</v>
      </c>
      <c r="F1863" s="31" t="str">
        <f>VLOOKUP($C1863,Carpetas!$C$5:$M$2666,2,FALSE)</f>
        <v>BRB137</v>
      </c>
      <c r="G1863" s="23" t="str">
        <f>VLOOKUP($C1863,Carpetas!$C$5:$M$2666,10,FALSE)</f>
        <v>154,26,06</v>
      </c>
      <c r="H1863" s="27" t="str">
        <f>VLOOKUP($C1863,Carpetas!$C$5:$M$2666,6,FALSE)</f>
        <v>Marvel</v>
      </c>
      <c r="I1863" s="220"/>
      <c r="J1863" s="47">
        <v>45986</v>
      </c>
      <c r="K1863" s="72" t="str">
        <f>VLOOKUP($C1863,Carpetas!$C$5:$M$2666,5,FALSE)</f>
        <v>Rio Branco</v>
      </c>
      <c r="L1863" s="32"/>
      <c r="M1863" s="48">
        <f t="shared" si="127"/>
        <v>45987</v>
      </c>
      <c r="N1863" s="26">
        <f t="shared" si="123"/>
        <v>7</v>
      </c>
      <c r="O1863" s="27">
        <v>936</v>
      </c>
      <c r="P1863" s="27">
        <v>936</v>
      </c>
      <c r="Q1863" s="27">
        <v>26</v>
      </c>
      <c r="R1863" s="27">
        <v>26</v>
      </c>
      <c r="S1863" s="27" t="s">
        <v>5157</v>
      </c>
      <c r="T1863" s="27"/>
      <c r="U1863" s="27">
        <v>11206</v>
      </c>
      <c r="V1863" s="27" t="s">
        <v>5158</v>
      </c>
      <c r="W1863" s="27" t="s">
        <v>5159</v>
      </c>
      <c r="X1863" s="128"/>
      <c r="Y1863" s="73" t="e">
        <f>VLOOKUP(X1863,Choferes!$B$3:C433,2,FALSE)</f>
        <v>#N/A</v>
      </c>
      <c r="Z1863" s="73" t="s">
        <v>5160</v>
      </c>
    </row>
    <row r="1864" spans="1:26" hidden="1" x14ac:dyDescent="0.25">
      <c r="A1864" s="33">
        <v>47</v>
      </c>
      <c r="B1864" s="71" t="s">
        <v>29</v>
      </c>
      <c r="C1864" s="39" t="s">
        <v>5104</v>
      </c>
      <c r="D1864" s="106" t="s">
        <v>1757</v>
      </c>
      <c r="E1864" s="47">
        <v>45981</v>
      </c>
      <c r="F1864" s="31" t="str">
        <f>VLOOKUP($C1864,Carpetas!$C$5:$M$2666,2,FALSE)</f>
        <v>BRB137</v>
      </c>
      <c r="G1864" s="23" t="str">
        <f>VLOOKUP($C1864,Carpetas!$C$5:$M$2666,10,FALSE)</f>
        <v>154,26,06</v>
      </c>
      <c r="H1864" s="27" t="str">
        <f>VLOOKUP($C1864,Carpetas!$C$5:$M$2666,6,FALSE)</f>
        <v>Marvel</v>
      </c>
      <c r="I1864" s="220"/>
      <c r="J1864" s="47">
        <v>45986</v>
      </c>
      <c r="K1864" s="72" t="str">
        <f>VLOOKUP($C1864,Carpetas!$C$5:$M$2666,5,FALSE)</f>
        <v>Rio Branco</v>
      </c>
      <c r="L1864" s="32"/>
      <c r="M1864" s="48">
        <f t="shared" si="127"/>
        <v>45987</v>
      </c>
      <c r="N1864" s="26">
        <f t="shared" si="123"/>
        <v>6</v>
      </c>
      <c r="O1864" s="27">
        <v>936</v>
      </c>
      <c r="P1864" s="27">
        <v>936</v>
      </c>
      <c r="Q1864" s="27">
        <v>26</v>
      </c>
      <c r="R1864" s="27">
        <v>25</v>
      </c>
      <c r="S1864" s="27" t="s">
        <v>5161</v>
      </c>
      <c r="T1864" s="27"/>
      <c r="U1864" s="27">
        <v>11207</v>
      </c>
      <c r="V1864" s="27" t="s">
        <v>5162</v>
      </c>
      <c r="W1864" s="27" t="s">
        <v>5163</v>
      </c>
      <c r="X1864" s="128"/>
      <c r="Y1864" s="73" t="e">
        <f>VLOOKUP(X1864,Choferes!$B$3:C434,2,FALSE)</f>
        <v>#N/A</v>
      </c>
      <c r="Z1864" s="73" t="s">
        <v>5164</v>
      </c>
    </row>
    <row r="1865" spans="1:26" hidden="1" x14ac:dyDescent="0.25">
      <c r="A1865" s="33">
        <v>47</v>
      </c>
      <c r="B1865" s="71" t="s">
        <v>29</v>
      </c>
      <c r="C1865" s="39" t="s">
        <v>5165</v>
      </c>
      <c r="D1865" s="106" t="s">
        <v>1757</v>
      </c>
      <c r="E1865" s="47">
        <v>45982</v>
      </c>
      <c r="F1865" s="31" t="str">
        <f>VLOOKUP($C1865,Carpetas!$C$5:$M$2666,2,FALSE)</f>
        <v>BRB145</v>
      </c>
      <c r="G1865" s="23" t="str">
        <f>VLOOKUP($C1865,Carpetas!$C$5:$M$2666,10,FALSE)</f>
        <v>154,28,24</v>
      </c>
      <c r="H1865" s="27" t="str">
        <f>VLOOKUP($C1865,Carpetas!$C$5:$M$2666,6,FALSE)</f>
        <v>Marvel</v>
      </c>
      <c r="I1865" s="220"/>
      <c r="J1865" s="47">
        <v>45987</v>
      </c>
      <c r="K1865" s="72" t="str">
        <f>VLOOKUP($C1865,Carpetas!$C$5:$M$2666,5,FALSE)</f>
        <v>Rio Branco</v>
      </c>
      <c r="L1865" s="32"/>
      <c r="M1865" s="48">
        <f t="shared" si="127"/>
        <v>45988</v>
      </c>
      <c r="N1865" s="26">
        <f t="shared" si="123"/>
        <v>6</v>
      </c>
      <c r="O1865" s="27">
        <v>936</v>
      </c>
      <c r="P1865" s="27">
        <v>936</v>
      </c>
      <c r="Q1865" s="27">
        <v>26</v>
      </c>
      <c r="R1865" s="27">
        <v>25</v>
      </c>
      <c r="S1865" s="27" t="s">
        <v>5166</v>
      </c>
      <c r="T1865" s="27"/>
      <c r="U1865" s="27">
        <v>11240</v>
      </c>
      <c r="V1865" s="27" t="s">
        <v>5167</v>
      </c>
      <c r="W1865" s="27" t="s">
        <v>5168</v>
      </c>
      <c r="X1865" s="128"/>
      <c r="Y1865" s="73" t="e">
        <f>VLOOKUP(X1865,Choferes!$B$3:C431,2,FALSE)</f>
        <v>#N/A</v>
      </c>
      <c r="Z1865" s="73" t="s">
        <v>5169</v>
      </c>
    </row>
    <row r="1866" spans="1:26" hidden="1" x14ac:dyDescent="0.25">
      <c r="A1866" s="33">
        <v>48</v>
      </c>
      <c r="B1866" s="71" t="s">
        <v>29</v>
      </c>
      <c r="C1866" s="39" t="s">
        <v>5042</v>
      </c>
      <c r="D1866" s="106" t="s">
        <v>2202</v>
      </c>
      <c r="E1866" s="47">
        <v>45986</v>
      </c>
      <c r="F1866" s="31" t="str">
        <f>VLOOKUP($C1866,Carpetas!$C$5:$M$2666,2,FALSE)</f>
        <v>BRB136</v>
      </c>
      <c r="G1866" s="23" t="str">
        <f>VLOOKUP($C1866,Carpetas!$C$5:$M$2666,10,FALSE)</f>
        <v>154,22,10</v>
      </c>
      <c r="H1866" s="27" t="str">
        <f>VLOOKUP($C1866,Carpetas!$C$5:$M$2666,6,FALSE)</f>
        <v>Zanini</v>
      </c>
      <c r="I1866" s="220"/>
      <c r="J1866" s="47">
        <v>45987</v>
      </c>
      <c r="K1866" s="72" t="str">
        <f>VLOOKUP($C1866,Carpetas!$C$5:$M$2666,5,FALSE)</f>
        <v>Rio Branco</v>
      </c>
      <c r="L1866" s="32"/>
      <c r="M1866" s="48">
        <f t="shared" si="127"/>
        <v>45988</v>
      </c>
      <c r="N1866" s="26">
        <f t="shared" si="123"/>
        <v>2</v>
      </c>
      <c r="O1866" s="27">
        <v>918</v>
      </c>
      <c r="P1866" s="27">
        <v>918</v>
      </c>
      <c r="Q1866" s="27">
        <v>26</v>
      </c>
      <c r="R1866" s="27">
        <v>25</v>
      </c>
      <c r="S1866" s="27" t="s">
        <v>5170</v>
      </c>
      <c r="T1866" s="27"/>
      <c r="U1866" s="27">
        <v>5677</v>
      </c>
      <c r="V1866" s="27" t="s">
        <v>5171</v>
      </c>
      <c r="W1866" s="27" t="s">
        <v>5172</v>
      </c>
      <c r="X1866" s="128" t="s">
        <v>5173</v>
      </c>
      <c r="Y1866" s="73" t="str">
        <f>VLOOKUP(X1866,Choferes!$B$3:C455,2,FALSE)</f>
        <v>+5549999081661</v>
      </c>
      <c r="Z1866" s="73" t="s">
        <v>5174</v>
      </c>
    </row>
    <row r="1867" spans="1:26" hidden="1" x14ac:dyDescent="0.25">
      <c r="A1867" s="33">
        <v>48</v>
      </c>
      <c r="B1867" s="71" t="s">
        <v>29</v>
      </c>
      <c r="C1867" s="39" t="s">
        <v>5109</v>
      </c>
      <c r="D1867" s="106" t="s">
        <v>803</v>
      </c>
      <c r="E1867" s="47">
        <v>45986</v>
      </c>
      <c r="F1867" s="31" t="str">
        <f>VLOOKUP($C1867,Carpetas!$C$5:$M$2666,2,FALSE)</f>
        <v>BRB139</v>
      </c>
      <c r="G1867" s="23" t="str">
        <f>VLOOKUP($C1867,Carpetas!$C$5:$M$2666,10,FALSE)</f>
        <v>154,24,06</v>
      </c>
      <c r="H1867" s="27" t="str">
        <f>VLOOKUP($C1867,Carpetas!$C$5:$M$2666,6,FALSE)</f>
        <v>FG</v>
      </c>
      <c r="I1867" s="220"/>
      <c r="J1867" s="47">
        <f>E1867+2</f>
        <v>45988</v>
      </c>
      <c r="K1867" s="72" t="str">
        <f>VLOOKUP($C1867,Carpetas!$C$5:$M$2666,5,FALSE)</f>
        <v>Rio Branco</v>
      </c>
      <c r="L1867" s="32"/>
      <c r="M1867" s="48">
        <f t="shared" si="127"/>
        <v>45989</v>
      </c>
      <c r="N1867" s="26">
        <f t="shared" si="123"/>
        <v>3</v>
      </c>
      <c r="O1867" s="27">
        <v>990</v>
      </c>
      <c r="P1867" s="27">
        <v>990</v>
      </c>
      <c r="Q1867" s="27">
        <v>28</v>
      </c>
      <c r="R1867" s="27">
        <v>26</v>
      </c>
      <c r="S1867" s="27" t="s">
        <v>5175</v>
      </c>
      <c r="T1867" s="27"/>
      <c r="U1867" s="27">
        <v>1263</v>
      </c>
      <c r="V1867" s="27" t="s">
        <v>5176</v>
      </c>
      <c r="W1867" s="27" t="s">
        <v>5177</v>
      </c>
      <c r="X1867" s="128" t="s">
        <v>5178</v>
      </c>
      <c r="Y1867" s="73" t="str">
        <f>VLOOKUP(X1867,Choferes!$B$3:C457,2,FALSE)</f>
        <v>+55 53 9933-6026</v>
      </c>
      <c r="Z1867" s="73" t="s">
        <v>5179</v>
      </c>
    </row>
    <row r="1868" spans="1:26" hidden="1" x14ac:dyDescent="0.25">
      <c r="A1868" s="33">
        <v>47</v>
      </c>
      <c r="B1868" s="71" t="s">
        <v>29</v>
      </c>
      <c r="C1868" s="39" t="s">
        <v>5145</v>
      </c>
      <c r="D1868" s="106" t="s">
        <v>1757</v>
      </c>
      <c r="E1868" s="47">
        <v>45983</v>
      </c>
      <c r="F1868" s="31" t="str">
        <f>VLOOKUP($C1868,Carpetas!$C$5:$M$2666,2,FALSE)</f>
        <v>BRB141</v>
      </c>
      <c r="G1868" s="23" t="str">
        <f>VLOOKUP($C1868,Carpetas!$C$5:$M$2666,10,FALSE)</f>
        <v>154,28,21</v>
      </c>
      <c r="H1868" s="27" t="str">
        <f>VLOOKUP($C1868,Carpetas!$C$5:$M$2666,6,FALSE)</f>
        <v xml:space="preserve">Silvio </v>
      </c>
      <c r="I1868" s="220"/>
      <c r="J1868" s="47">
        <v>45988</v>
      </c>
      <c r="K1868" s="72" t="str">
        <f>VLOOKUP($C1868,Carpetas!$C$5:$M$2666,5,FALSE)</f>
        <v>Rio Branco</v>
      </c>
      <c r="L1868" s="32"/>
      <c r="M1868" s="48">
        <f t="shared" si="127"/>
        <v>45989</v>
      </c>
      <c r="N1868" s="26">
        <f t="shared" si="123"/>
        <v>6</v>
      </c>
      <c r="O1868" s="27">
        <v>936</v>
      </c>
      <c r="P1868" s="27">
        <v>936</v>
      </c>
      <c r="Q1868" s="27">
        <v>26</v>
      </c>
      <c r="R1868" s="27">
        <v>26</v>
      </c>
      <c r="S1868" s="27" t="s">
        <v>5180</v>
      </c>
      <c r="T1868" s="27"/>
      <c r="U1868" s="27">
        <v>7596</v>
      </c>
      <c r="V1868" s="27" t="s">
        <v>5181</v>
      </c>
      <c r="W1868" s="27" t="s">
        <v>5182</v>
      </c>
      <c r="X1868" s="128"/>
      <c r="Y1868" s="73" t="e">
        <f>VLOOKUP(X1868,Choferes!$B$3:C426,2,FALSE)</f>
        <v>#N/A</v>
      </c>
      <c r="Z1868" s="73" t="s">
        <v>5183</v>
      </c>
    </row>
    <row r="1869" spans="1:26" ht="30" hidden="1" x14ac:dyDescent="0.25">
      <c r="A1869" s="33">
        <v>47</v>
      </c>
      <c r="B1869" s="71" t="s">
        <v>29</v>
      </c>
      <c r="C1869" s="39" t="s">
        <v>5184</v>
      </c>
      <c r="D1869" s="106" t="s">
        <v>38</v>
      </c>
      <c r="E1869" s="47">
        <v>45982</v>
      </c>
      <c r="F1869" s="31" t="str">
        <f>VLOOKUP($C1869,Carpetas!$C$5:$M$2666,2,FALSE)</f>
        <v>BRE075</v>
      </c>
      <c r="G1869" s="23" t="str">
        <f>VLOOKUP($C1869,Carpetas!$C$5:$M$2666,10,FALSE)</f>
        <v>1543090/15430090/1543091/1543109</v>
      </c>
      <c r="H1869" s="27" t="str">
        <f>VLOOKUP($C1869,Carpetas!$C$5:$M$2666,6,FALSE)</f>
        <v>VPN</v>
      </c>
      <c r="I1869" s="220">
        <f>VLOOKUP($C1869,Carpetas!$C$5:$M$2666,4,FALSE)</f>
        <v>0</v>
      </c>
      <c r="J1869" s="47">
        <f>E1869+7</f>
        <v>45989</v>
      </c>
      <c r="K1869" s="72" t="str">
        <f>VLOOKUP($C1869,Carpetas!$C$5:$M$2666,5,FALSE)</f>
        <v>Chuy</v>
      </c>
      <c r="L1869" s="32"/>
      <c r="M1869" s="48">
        <f t="shared" si="127"/>
        <v>45990</v>
      </c>
      <c r="N1869" s="26">
        <f t="shared" si="123"/>
        <v>8</v>
      </c>
      <c r="O1869" s="27">
        <v>1206</v>
      </c>
      <c r="P1869" s="27">
        <v>1206</v>
      </c>
      <c r="Q1869" s="27">
        <v>26</v>
      </c>
      <c r="R1869" s="27"/>
      <c r="S1869" s="27" t="s">
        <v>5185</v>
      </c>
      <c r="T1869" s="27"/>
      <c r="U1869" s="27"/>
      <c r="V1869" s="27"/>
      <c r="W1869" s="27"/>
      <c r="X1869" s="128"/>
      <c r="Y1869" s="73" t="e">
        <f>VLOOKUP(X1869,Choferes!$B$3:C436,2,FALSE)</f>
        <v>#N/A</v>
      </c>
      <c r="Z1869" s="73" t="s">
        <v>5186</v>
      </c>
    </row>
    <row r="1870" spans="1:26" hidden="1" x14ac:dyDescent="0.25">
      <c r="A1870" s="33">
        <v>48</v>
      </c>
      <c r="B1870" s="71" t="s">
        <v>29</v>
      </c>
      <c r="C1870" s="39" t="s">
        <v>5187</v>
      </c>
      <c r="D1870" s="106" t="s">
        <v>110</v>
      </c>
      <c r="E1870" s="47">
        <v>45987</v>
      </c>
      <c r="F1870" s="31" t="str">
        <f>VLOOKUP($C1870,Carpetas!$C$5:$M$2666,2,FALSE)</f>
        <v>BRB146</v>
      </c>
      <c r="G1870" s="23" t="str">
        <f>VLOOKUP($C1870,Carpetas!$C$5:$M$2666,10,FALSE)</f>
        <v>154,36,59</v>
      </c>
      <c r="H1870" s="27" t="str">
        <f>VLOOKUP($C1870,Carpetas!$C$5:$M$2666,6,FALSE)</f>
        <v>FG</v>
      </c>
      <c r="I1870" s="220"/>
      <c r="J1870" s="47">
        <f>E1870+2</f>
        <v>45989</v>
      </c>
      <c r="K1870" s="72" t="str">
        <f>VLOOKUP($C1870,Carpetas!$C$5:$M$2666,5,FALSE)</f>
        <v>Rio Branco</v>
      </c>
      <c r="L1870" s="32"/>
      <c r="M1870" s="48">
        <f t="shared" si="127"/>
        <v>45990</v>
      </c>
      <c r="N1870" s="26">
        <f t="shared" si="123"/>
        <v>3</v>
      </c>
      <c r="O1870" s="27">
        <v>990</v>
      </c>
      <c r="P1870" s="27">
        <v>991</v>
      </c>
      <c r="Q1870" s="27">
        <v>28</v>
      </c>
      <c r="R1870" s="27">
        <v>26</v>
      </c>
      <c r="S1870" s="27" t="s">
        <v>5188</v>
      </c>
      <c r="T1870" s="27"/>
      <c r="U1870" s="27">
        <v>1265</v>
      </c>
      <c r="V1870" s="27" t="s">
        <v>5189</v>
      </c>
      <c r="W1870" s="27" t="s">
        <v>1523</v>
      </c>
      <c r="X1870" s="128" t="s">
        <v>4320</v>
      </c>
      <c r="Y1870" s="73" t="str">
        <f>VLOOKUP(X1870,Choferes!$B$3:C458,2,FALSE)</f>
        <v>+598 98 562 952</v>
      </c>
      <c r="Z1870" s="73" t="s">
        <v>5190</v>
      </c>
    </row>
    <row r="1871" spans="1:26" hidden="1" x14ac:dyDescent="0.25">
      <c r="A1871" s="33">
        <v>48</v>
      </c>
      <c r="B1871" s="71" t="s">
        <v>29</v>
      </c>
      <c r="C1871" s="39" t="s">
        <v>5187</v>
      </c>
      <c r="D1871" s="106" t="s">
        <v>2474</v>
      </c>
      <c r="E1871" s="47">
        <v>45987</v>
      </c>
      <c r="F1871" s="31" t="str">
        <f>VLOOKUP($C1871,Carpetas!$C$5:$M$2666,2,FALSE)</f>
        <v>BRB146</v>
      </c>
      <c r="G1871" s="23" t="str">
        <f>VLOOKUP($C1871,Carpetas!$C$5:$M$2666,10,FALSE)</f>
        <v>154,36,59</v>
      </c>
      <c r="H1871" s="27" t="str">
        <f>VLOOKUP($C1871,Carpetas!$C$5:$M$2666,6,FALSE)</f>
        <v>FG</v>
      </c>
      <c r="I1871" s="220"/>
      <c r="J1871" s="47">
        <f>E1871+2</f>
        <v>45989</v>
      </c>
      <c r="K1871" s="72" t="str">
        <f>VLOOKUP($C1871,Carpetas!$C$5:$M$2666,5,FALSE)</f>
        <v>Rio Branco</v>
      </c>
      <c r="L1871" s="32"/>
      <c r="M1871" s="48">
        <f t="shared" si="127"/>
        <v>45990</v>
      </c>
      <c r="N1871" s="26">
        <f t="shared" si="123"/>
        <v>3</v>
      </c>
      <c r="O1871" s="27">
        <v>990</v>
      </c>
      <c r="P1871" s="27">
        <v>990</v>
      </c>
      <c r="Q1871" s="27">
        <v>28</v>
      </c>
      <c r="R1871" s="27">
        <v>26</v>
      </c>
      <c r="S1871" s="27" t="s">
        <v>5191</v>
      </c>
      <c r="T1871" s="27"/>
      <c r="U1871" s="27">
        <v>1264</v>
      </c>
      <c r="V1871" s="27" t="s">
        <v>1722</v>
      </c>
      <c r="W1871" s="27" t="s">
        <v>1637</v>
      </c>
      <c r="X1871" s="128" t="s">
        <v>5009</v>
      </c>
      <c r="Y1871" s="73" t="str">
        <f>VLOOKUP(X1871,Choferes!$B$3:C463,2,FALSE)</f>
        <v>+598 98 195 659</v>
      </c>
      <c r="Z1871" s="73" t="s">
        <v>5192</v>
      </c>
    </row>
    <row r="1872" spans="1:26" hidden="1" x14ac:dyDescent="0.25">
      <c r="A1872" s="33">
        <v>48</v>
      </c>
      <c r="B1872" s="71" t="s">
        <v>29</v>
      </c>
      <c r="C1872" s="39" t="s">
        <v>5073</v>
      </c>
      <c r="D1872" s="106" t="s">
        <v>2474</v>
      </c>
      <c r="E1872" s="47">
        <v>45988</v>
      </c>
      <c r="F1872" s="31" t="str">
        <f>VLOOKUP($C1872,Carpetas!$C$5:$M$2666,2,FALSE)</f>
        <v>BRB138</v>
      </c>
      <c r="G1872" s="23" t="str">
        <f>VLOOKUP($C1872,Carpetas!$C$5:$M$2666,10,FALSE)</f>
        <v>154,24,20</v>
      </c>
      <c r="H1872" s="27" t="str">
        <f>VLOOKUP($C1872,Carpetas!$C$5:$M$2666,6,FALSE)</f>
        <v>Chabat</v>
      </c>
      <c r="I1872" s="220"/>
      <c r="J1872" s="47">
        <v>45989</v>
      </c>
      <c r="K1872" s="72" t="str">
        <f>VLOOKUP($C1872,Carpetas!$C$5:$M$2666,5,FALSE)</f>
        <v>Rio Branco</v>
      </c>
      <c r="L1872" s="32"/>
      <c r="M1872" s="48">
        <f t="shared" si="127"/>
        <v>45990</v>
      </c>
      <c r="N1872" s="26">
        <f t="shared" si="123"/>
        <v>2</v>
      </c>
      <c r="O1872" s="27">
        <v>990</v>
      </c>
      <c r="P1872" s="27">
        <v>990</v>
      </c>
      <c r="Q1872" s="27">
        <v>28</v>
      </c>
      <c r="R1872" s="27">
        <v>26</v>
      </c>
      <c r="S1872" s="27" t="s">
        <v>5193</v>
      </c>
      <c r="T1872" s="27"/>
      <c r="U1872" s="27"/>
      <c r="V1872" s="27" t="s">
        <v>5194</v>
      </c>
      <c r="W1872" s="27" t="s">
        <v>5195</v>
      </c>
      <c r="X1872" s="128"/>
      <c r="Y1872" s="73" t="e">
        <f>VLOOKUP(X1872,Choferes!$B$3:C464,2,FALSE)</f>
        <v>#N/A</v>
      </c>
      <c r="Z1872" s="73" t="s">
        <v>5196</v>
      </c>
    </row>
    <row r="1873" spans="1:26" hidden="1" x14ac:dyDescent="0.25">
      <c r="A1873" s="33">
        <v>48</v>
      </c>
      <c r="B1873" s="71" t="s">
        <v>29</v>
      </c>
      <c r="C1873" s="39" t="s">
        <v>5165</v>
      </c>
      <c r="D1873" s="106" t="s">
        <v>1757</v>
      </c>
      <c r="E1873" s="47">
        <v>45984</v>
      </c>
      <c r="F1873" s="31" t="str">
        <f>VLOOKUP($C1873,Carpetas!$C$5:$M$2666,2,FALSE)</f>
        <v>BRB145</v>
      </c>
      <c r="G1873" s="23" t="str">
        <f>VLOOKUP($C1873,Carpetas!$C$5:$M$2666,10,FALSE)</f>
        <v>154,28,24</v>
      </c>
      <c r="H1873" s="27" t="str">
        <f>VLOOKUP($C1873,Carpetas!$C$5:$M$2666,6,FALSE)</f>
        <v>Marvel</v>
      </c>
      <c r="I1873" s="220"/>
      <c r="J1873" s="47">
        <v>45989</v>
      </c>
      <c r="K1873" s="72" t="str">
        <f>VLOOKUP($C1873,Carpetas!$C$5:$M$2666,5,FALSE)</f>
        <v>Rio Branco</v>
      </c>
      <c r="L1873" s="32"/>
      <c r="M1873" s="48">
        <f t="shared" si="127"/>
        <v>45990</v>
      </c>
      <c r="N1873" s="26">
        <f t="shared" si="123"/>
        <v>6</v>
      </c>
      <c r="O1873" s="27">
        <v>936</v>
      </c>
      <c r="P1873" s="27">
        <v>936</v>
      </c>
      <c r="Q1873" s="27">
        <v>26</v>
      </c>
      <c r="R1873" s="27">
        <v>25</v>
      </c>
      <c r="S1873" s="27" t="s">
        <v>5197</v>
      </c>
      <c r="T1873" s="27"/>
      <c r="U1873" s="27">
        <v>11241</v>
      </c>
      <c r="V1873" s="27" t="s">
        <v>5198</v>
      </c>
      <c r="W1873" s="27" t="s">
        <v>5199</v>
      </c>
      <c r="X1873" s="128"/>
      <c r="Y1873" s="73" t="e">
        <f>VLOOKUP(X1873,Choferes!$B$3:C420,2,FALSE)</f>
        <v>#N/A</v>
      </c>
      <c r="Z1873" s="73" t="s">
        <v>5200</v>
      </c>
    </row>
    <row r="1874" spans="1:26" hidden="1" x14ac:dyDescent="0.25">
      <c r="A1874" s="33">
        <v>48</v>
      </c>
      <c r="B1874" s="71" t="s">
        <v>29</v>
      </c>
      <c r="C1874" s="39" t="s">
        <v>5042</v>
      </c>
      <c r="D1874" s="106" t="s">
        <v>2202</v>
      </c>
      <c r="E1874" s="47">
        <v>45987</v>
      </c>
      <c r="F1874" s="31" t="str">
        <f>VLOOKUP($C1874,Carpetas!$C$5:$M$2666,2,FALSE)</f>
        <v>BRB136</v>
      </c>
      <c r="G1874" s="23" t="str">
        <f>VLOOKUP($C1874,Carpetas!$C$5:$M$2666,10,FALSE)</f>
        <v>154,22,10</v>
      </c>
      <c r="H1874" s="27" t="str">
        <f>VLOOKUP($C1874,Carpetas!$C$5:$M$2666,6,FALSE)</f>
        <v>Zanini</v>
      </c>
      <c r="I1874" s="220"/>
      <c r="J1874" s="47">
        <f t="shared" ref="J1874:J1881" si="128">E1874+2</f>
        <v>45989</v>
      </c>
      <c r="K1874" s="72" t="str">
        <f>VLOOKUP($C1874,Carpetas!$C$5:$M$2666,5,FALSE)</f>
        <v>Rio Branco</v>
      </c>
      <c r="L1874" s="32"/>
      <c r="M1874" s="48">
        <f t="shared" si="127"/>
        <v>45990</v>
      </c>
      <c r="N1874" s="26">
        <f t="shared" ref="N1874:N1937" si="129">IF(E1874&lt;&gt;"",M1874-E1874,"-")</f>
        <v>3</v>
      </c>
      <c r="O1874" s="27">
        <v>918</v>
      </c>
      <c r="P1874" s="27">
        <v>919</v>
      </c>
      <c r="Q1874" s="27">
        <v>26</v>
      </c>
      <c r="R1874" s="27">
        <v>25</v>
      </c>
      <c r="S1874" s="27" t="s">
        <v>5201</v>
      </c>
      <c r="T1874" s="27"/>
      <c r="U1874" s="27">
        <v>5683</v>
      </c>
      <c r="V1874" s="27" t="s">
        <v>842</v>
      </c>
      <c r="W1874" s="27" t="s">
        <v>843</v>
      </c>
      <c r="X1874" s="128" t="s">
        <v>5202</v>
      </c>
      <c r="Y1874" s="73" t="str">
        <f>VLOOKUP(X1874,Choferes!$B$3:C456,2,FALSE)</f>
        <v>+5555984565510</v>
      </c>
      <c r="Z1874" s="73" t="s">
        <v>5203</v>
      </c>
    </row>
    <row r="1875" spans="1:26" hidden="1" x14ac:dyDescent="0.25">
      <c r="A1875" s="33">
        <v>48</v>
      </c>
      <c r="B1875" s="71" t="s">
        <v>298</v>
      </c>
      <c r="C1875" s="39" t="s">
        <v>299</v>
      </c>
      <c r="D1875" s="106" t="s">
        <v>803</v>
      </c>
      <c r="E1875" s="47">
        <v>45989</v>
      </c>
      <c r="F1875" s="31" t="str">
        <f>VLOOKUP($C1875,Carpetas!$C$5:$M$2666,2,FALSE)</f>
        <v>BRB</v>
      </c>
      <c r="G1875" s="23" t="e">
        <f>VLOOKUP($C1875,Carpetas!$C$5:$M$2666,9,FALSE)</f>
        <v>#REF!</v>
      </c>
      <c r="H1875" s="27" t="str">
        <f>VLOOKUP($C1875,Carpetas!$C$5:$M$2666,5,FALSE)</f>
        <v>xx</v>
      </c>
      <c r="I1875" s="220"/>
      <c r="J1875" s="47">
        <f t="shared" si="128"/>
        <v>45991</v>
      </c>
      <c r="K1875" s="72">
        <f>VLOOKUP($C1875,Carpetas!$C$5:$M$2666,4,FALSE)</f>
        <v>0</v>
      </c>
      <c r="L1875" s="32"/>
      <c r="M1875" s="48">
        <f t="shared" si="127"/>
        <v>45992</v>
      </c>
      <c r="N1875" s="26">
        <f t="shared" si="129"/>
        <v>3</v>
      </c>
      <c r="O1875" s="27">
        <v>990</v>
      </c>
      <c r="P1875" s="27"/>
      <c r="Q1875" s="27"/>
      <c r="R1875" s="27"/>
      <c r="S1875" s="27"/>
      <c r="T1875" s="27"/>
      <c r="U1875" s="27"/>
      <c r="V1875" s="27"/>
      <c r="W1875" s="27"/>
      <c r="X1875" s="128"/>
      <c r="Y1875" s="73" t="e">
        <f>VLOOKUP(X1875,Choferes!$B$3:C459,2,FALSE)</f>
        <v>#N/A</v>
      </c>
      <c r="Z1875" s="73"/>
    </row>
    <row r="1876" spans="1:26" hidden="1" x14ac:dyDescent="0.25">
      <c r="A1876" s="33">
        <v>48</v>
      </c>
      <c r="B1876" s="71" t="s">
        <v>29</v>
      </c>
      <c r="C1876" s="39" t="s">
        <v>5151</v>
      </c>
      <c r="D1876" s="106" t="s">
        <v>747</v>
      </c>
      <c r="E1876" s="47">
        <v>45989</v>
      </c>
      <c r="F1876" s="31" t="str">
        <f>VLOOKUP($C1876,Carpetas!$C$5:$M$2666,2,FALSE)</f>
        <v>BRB144</v>
      </c>
      <c r="G1876" s="23" t="str">
        <f>VLOOKUP($C1876,Carpetas!$C$5:$M$2666,10,FALSE)</f>
        <v>154,32,59</v>
      </c>
      <c r="H1876" s="27" t="str">
        <f>VLOOKUP($C1876,Carpetas!$C$5:$M$2666,6,FALSE)</f>
        <v>Amaro</v>
      </c>
      <c r="I1876" s="220"/>
      <c r="J1876" s="47">
        <f t="shared" si="128"/>
        <v>45991</v>
      </c>
      <c r="K1876" s="72" t="str">
        <f>VLOOKUP($C1876,Carpetas!$C$5:$M$2666,5,FALSE)</f>
        <v>Rio Branco</v>
      </c>
      <c r="L1876" s="32"/>
      <c r="M1876" s="48">
        <v>45993</v>
      </c>
      <c r="N1876" s="26">
        <f t="shared" si="129"/>
        <v>4</v>
      </c>
      <c r="O1876" s="27">
        <v>990</v>
      </c>
      <c r="P1876" s="27">
        <v>990</v>
      </c>
      <c r="Q1876" s="27">
        <v>28</v>
      </c>
      <c r="R1876" s="27">
        <v>26</v>
      </c>
      <c r="S1876" s="27" t="s">
        <v>5204</v>
      </c>
      <c r="T1876" s="27"/>
      <c r="U1876" s="27">
        <v>27458</v>
      </c>
      <c r="V1876" s="27" t="s">
        <v>5205</v>
      </c>
      <c r="W1876" s="27" t="s">
        <v>2987</v>
      </c>
      <c r="X1876" s="128"/>
      <c r="Y1876" s="73" t="e">
        <f>VLOOKUP(X1876,Choferes!$B$3:C462,2,FALSE)</f>
        <v>#N/A</v>
      </c>
      <c r="Z1876" s="73" t="s">
        <v>5206</v>
      </c>
    </row>
    <row r="1877" spans="1:26" hidden="1" x14ac:dyDescent="0.25">
      <c r="A1877" s="33">
        <v>48</v>
      </c>
      <c r="B1877" s="71" t="s">
        <v>29</v>
      </c>
      <c r="C1877" s="39" t="s">
        <v>5187</v>
      </c>
      <c r="D1877" s="106" t="s">
        <v>2474</v>
      </c>
      <c r="E1877" s="47">
        <v>45990</v>
      </c>
      <c r="F1877" s="31" t="str">
        <f>VLOOKUP($C1877,Carpetas!$C$5:$M$2666,2,FALSE)</f>
        <v>BRB146</v>
      </c>
      <c r="G1877" s="23" t="str">
        <f>VLOOKUP($C1877,Carpetas!$C$5:$M$2666,10,FALSE)</f>
        <v>154,36,59</v>
      </c>
      <c r="H1877" s="27" t="str">
        <f>VLOOKUP($C1877,Carpetas!$C$5:$M$2666,6,FALSE)</f>
        <v>FG</v>
      </c>
      <c r="I1877" s="220"/>
      <c r="J1877" s="47">
        <f t="shared" si="128"/>
        <v>45992</v>
      </c>
      <c r="K1877" s="72" t="str">
        <f>VLOOKUP($C1877,Carpetas!$C$5:$M$2666,5,FALSE)</f>
        <v>Rio Branco</v>
      </c>
      <c r="L1877" s="32"/>
      <c r="M1877" s="48">
        <v>45993</v>
      </c>
      <c r="N1877" s="26">
        <f t="shared" si="129"/>
        <v>3</v>
      </c>
      <c r="O1877" s="27">
        <v>990</v>
      </c>
      <c r="P1877" s="27">
        <v>990</v>
      </c>
      <c r="Q1877" s="27">
        <v>28</v>
      </c>
      <c r="R1877" s="27">
        <v>26</v>
      </c>
      <c r="S1877" s="27" t="s">
        <v>5207</v>
      </c>
      <c r="T1877" s="27"/>
      <c r="U1877" s="27">
        <v>1268</v>
      </c>
      <c r="V1877" s="27" t="s">
        <v>1735</v>
      </c>
      <c r="W1877" s="27" t="s">
        <v>1681</v>
      </c>
      <c r="X1877" s="128" t="s">
        <v>1465</v>
      </c>
      <c r="Y1877" s="73" t="str">
        <f>VLOOKUP(X1877,Choferes!$B$3:C460,2,FALSE)</f>
        <v>+59893339027</v>
      </c>
      <c r="Z1877" s="73" t="s">
        <v>5208</v>
      </c>
    </row>
    <row r="1878" spans="1:26" hidden="1" x14ac:dyDescent="0.25">
      <c r="A1878" s="33">
        <v>48</v>
      </c>
      <c r="B1878" s="71" t="s">
        <v>29</v>
      </c>
      <c r="C1878" s="39" t="s">
        <v>5209</v>
      </c>
      <c r="D1878" s="106" t="s">
        <v>2202</v>
      </c>
      <c r="E1878" s="47">
        <v>45990</v>
      </c>
      <c r="F1878" s="31" t="str">
        <f>VLOOKUP($C1878,Carpetas!$C$5:$M$2666,2,FALSE)</f>
        <v>BRB148</v>
      </c>
      <c r="G1878" s="23" t="str">
        <f>VLOOKUP($C1878,Carpetas!$C$5:$M$2666,10,FALSE)</f>
        <v>154,39,05</v>
      </c>
      <c r="H1878" s="27" t="str">
        <f>VLOOKUP($C1878,Carpetas!$C$5:$M$2666,6,FALSE)</f>
        <v>Zanini</v>
      </c>
      <c r="I1878" s="220"/>
      <c r="J1878" s="47">
        <f t="shared" si="128"/>
        <v>45992</v>
      </c>
      <c r="K1878" s="72" t="str">
        <f>VLOOKUP($C1878,Carpetas!$C$5:$M$2666,5,FALSE)</f>
        <v>Rio Branco</v>
      </c>
      <c r="L1878" s="32"/>
      <c r="M1878" s="48">
        <f>J1878+1</f>
        <v>45993</v>
      </c>
      <c r="N1878" s="26">
        <f t="shared" si="129"/>
        <v>3</v>
      </c>
      <c r="O1878" s="27">
        <v>918</v>
      </c>
      <c r="P1878" s="27">
        <v>918</v>
      </c>
      <c r="Q1878" s="27">
        <v>26</v>
      </c>
      <c r="R1878" s="27">
        <v>25</v>
      </c>
      <c r="S1878" s="27" t="s">
        <v>5210</v>
      </c>
      <c r="T1878" s="27"/>
      <c r="U1878" s="27">
        <v>5694</v>
      </c>
      <c r="V1878" s="27" t="s">
        <v>2623</v>
      </c>
      <c r="W1878" s="27" t="s">
        <v>1403</v>
      </c>
      <c r="X1878" s="128" t="s">
        <v>3723</v>
      </c>
      <c r="Y1878" s="73" t="str">
        <f>VLOOKUP(X1878,Choferes!$B$3:C463,2,FALSE)</f>
        <v>+55 55 9930-6979</v>
      </c>
      <c r="Z1878" s="73" t="s">
        <v>5211</v>
      </c>
    </row>
    <row r="1879" spans="1:26" hidden="1" x14ac:dyDescent="0.25">
      <c r="A1879" s="33">
        <v>48</v>
      </c>
      <c r="B1879" s="71" t="s">
        <v>29</v>
      </c>
      <c r="C1879" s="39" t="s">
        <v>5212</v>
      </c>
      <c r="D1879" s="106" t="s">
        <v>2202</v>
      </c>
      <c r="E1879" s="47">
        <v>45990</v>
      </c>
      <c r="F1879" s="31" t="str">
        <f>VLOOKUP($C1879,Carpetas!$C$5:$M$2666,2,FALSE)</f>
        <v>BRB147</v>
      </c>
      <c r="G1879" s="23" t="str">
        <f>VLOOKUP($C1879,Carpetas!$C$5:$M$2666,10,FALSE)</f>
        <v>154,37,74</v>
      </c>
      <c r="H1879" s="27" t="str">
        <f>VLOOKUP($C1879,Carpetas!$C$5:$M$2666,6,FALSE)</f>
        <v>Gral</v>
      </c>
      <c r="I1879" s="220"/>
      <c r="J1879" s="47">
        <f t="shared" si="128"/>
        <v>45992</v>
      </c>
      <c r="K1879" s="72" t="str">
        <f>VLOOKUP($C1879,Carpetas!$C$5:$M$2666,5,FALSE)</f>
        <v>Rio Branco</v>
      </c>
      <c r="L1879" s="32"/>
      <c r="M1879" s="48">
        <f>J1879+1</f>
        <v>45993</v>
      </c>
      <c r="N1879" s="26">
        <f t="shared" si="129"/>
        <v>3</v>
      </c>
      <c r="O1879" s="27">
        <v>918</v>
      </c>
      <c r="P1879" s="27">
        <v>919</v>
      </c>
      <c r="Q1879" s="27">
        <v>26</v>
      </c>
      <c r="R1879" s="27">
        <v>25</v>
      </c>
      <c r="S1879" s="27" t="s">
        <v>5213</v>
      </c>
      <c r="T1879" s="27"/>
      <c r="U1879" s="27">
        <v>7874</v>
      </c>
      <c r="V1879" s="27" t="s">
        <v>5214</v>
      </c>
      <c r="W1879" s="27" t="s">
        <v>5215</v>
      </c>
      <c r="X1879" s="128"/>
      <c r="Y1879" s="73" t="e">
        <f>VLOOKUP(X1879,Choferes!$B$3:C464,2,FALSE)</f>
        <v>#N/A</v>
      </c>
      <c r="Z1879" s="73" t="s">
        <v>5216</v>
      </c>
    </row>
    <row r="1880" spans="1:26" ht="30" hidden="1" x14ac:dyDescent="0.25">
      <c r="A1880" s="33">
        <v>48</v>
      </c>
      <c r="B1880" s="71" t="s">
        <v>29</v>
      </c>
      <c r="C1880" s="39" t="s">
        <v>5187</v>
      </c>
      <c r="D1880" s="106" t="s">
        <v>3124</v>
      </c>
      <c r="E1880" s="47">
        <v>45990</v>
      </c>
      <c r="F1880" s="31" t="str">
        <f>VLOOKUP($C1880,Carpetas!$C$5:$M$2666,2,FALSE)</f>
        <v>BRB146</v>
      </c>
      <c r="G1880" s="23" t="str">
        <f>VLOOKUP($C1880,Carpetas!$C$5:$M$2666,10,FALSE)</f>
        <v>154,36,59</v>
      </c>
      <c r="H1880" s="27" t="str">
        <f>VLOOKUP($C1880,Carpetas!$C$5:$M$2666,6,FALSE)</f>
        <v>FG</v>
      </c>
      <c r="I1880" s="220"/>
      <c r="J1880" s="47">
        <f t="shared" si="128"/>
        <v>45992</v>
      </c>
      <c r="K1880" s="72" t="str">
        <f>VLOOKUP($C1880,Carpetas!$C$5:$M$2666,5,FALSE)</f>
        <v>Rio Branco</v>
      </c>
      <c r="L1880" s="32"/>
      <c r="M1880" s="48">
        <f>J1880+1</f>
        <v>45993</v>
      </c>
      <c r="N1880" s="26">
        <f t="shared" si="129"/>
        <v>3</v>
      </c>
      <c r="O1880" s="27">
        <v>990</v>
      </c>
      <c r="P1880" s="27">
        <v>990</v>
      </c>
      <c r="Q1880" s="27">
        <v>28</v>
      </c>
      <c r="R1880" s="27">
        <v>26</v>
      </c>
      <c r="S1880" s="27" t="s">
        <v>5217</v>
      </c>
      <c r="T1880" s="27"/>
      <c r="U1880" s="27">
        <v>1269</v>
      </c>
      <c r="V1880" s="27" t="s">
        <v>1626</v>
      </c>
      <c r="W1880" s="27" t="s">
        <v>1736</v>
      </c>
      <c r="X1880" s="128" t="s">
        <v>1413</v>
      </c>
      <c r="Y1880" s="73" t="str">
        <f>VLOOKUP(X1880,Choferes!$B$3:C461,2,FALSE)</f>
        <v>+59899406679</v>
      </c>
      <c r="Z1880" s="73" t="s">
        <v>5218</v>
      </c>
    </row>
    <row r="1881" spans="1:26" hidden="1" x14ac:dyDescent="0.25">
      <c r="A1881" s="33">
        <v>48</v>
      </c>
      <c r="B1881" s="71" t="s">
        <v>29</v>
      </c>
      <c r="C1881" s="39" t="s">
        <v>5073</v>
      </c>
      <c r="D1881" s="106" t="s">
        <v>2474</v>
      </c>
      <c r="E1881" s="47">
        <v>45989</v>
      </c>
      <c r="F1881" s="31" t="str">
        <f>VLOOKUP($C1881,Carpetas!$C$5:$M$2666,2,FALSE)</f>
        <v>BRB138</v>
      </c>
      <c r="G1881" s="23" t="str">
        <f>VLOOKUP($C1881,Carpetas!$C$5:$M$2666,10,FALSE)</f>
        <v>154,24,20</v>
      </c>
      <c r="H1881" s="27" t="str">
        <f>VLOOKUP($C1881,Carpetas!$C$5:$M$2666,6,FALSE)</f>
        <v>Chabat</v>
      </c>
      <c r="I1881" s="220"/>
      <c r="J1881" s="47">
        <f t="shared" si="128"/>
        <v>45991</v>
      </c>
      <c r="K1881" s="72" t="str">
        <f>VLOOKUP($C1881,Carpetas!$C$5:$M$2666,5,FALSE)</f>
        <v>Rio Branco</v>
      </c>
      <c r="L1881" s="32"/>
      <c r="M1881" s="48">
        <v>45993</v>
      </c>
      <c r="N1881" s="26">
        <f t="shared" si="129"/>
        <v>4</v>
      </c>
      <c r="O1881" s="27">
        <v>990</v>
      </c>
      <c r="P1881" s="27">
        <v>990</v>
      </c>
      <c r="Q1881" s="27">
        <v>28</v>
      </c>
      <c r="R1881" s="27">
        <v>26</v>
      </c>
      <c r="S1881" s="27" t="s">
        <v>5219</v>
      </c>
      <c r="T1881" s="27"/>
      <c r="U1881" s="27"/>
      <c r="V1881" s="27" t="s">
        <v>5220</v>
      </c>
      <c r="W1881" s="27" t="s">
        <v>4223</v>
      </c>
      <c r="X1881" s="128"/>
      <c r="Y1881" s="73" t="e">
        <f>VLOOKUP(X1881,Choferes!$B$3:C465,2,FALSE)</f>
        <v>#N/A</v>
      </c>
      <c r="Z1881" s="73" t="s">
        <v>5221</v>
      </c>
    </row>
    <row r="1882" spans="1:26" hidden="1" x14ac:dyDescent="0.25">
      <c r="A1882" s="33">
        <v>47</v>
      </c>
      <c r="B1882" s="71" t="s">
        <v>29</v>
      </c>
      <c r="C1882" s="39" t="s">
        <v>5222</v>
      </c>
      <c r="D1882" s="106" t="s">
        <v>38</v>
      </c>
      <c r="E1882" s="47">
        <v>45985</v>
      </c>
      <c r="F1882" s="31" t="str">
        <f>VLOOKUP($C1882,Carpetas!$C$5:$M$2666,2,FALSE)</f>
        <v>BRE076</v>
      </c>
      <c r="G1882" s="23" t="str">
        <f>VLOOKUP($C1882,Carpetas!$C$5:$M$2666,10,FALSE)</f>
        <v>1543092/1543094</v>
      </c>
      <c r="H1882" s="27" t="str">
        <f>VLOOKUP($C1882,Carpetas!$C$5:$M$2666,6,FALSE)</f>
        <v>Zanini</v>
      </c>
      <c r="I1882" s="220">
        <f>VLOOKUP($C1882,Carpetas!$C$5:$M$2666,4,FALSE)</f>
        <v>0</v>
      </c>
      <c r="J1882" s="47">
        <v>45993</v>
      </c>
      <c r="K1882" s="72" t="str">
        <f>VLOOKUP($C1882,Carpetas!$C$5:$M$2666,5,FALSE)</f>
        <v>Rio Branco</v>
      </c>
      <c r="L1882" s="32"/>
      <c r="M1882" s="48">
        <f t="shared" ref="M1882:M1912" si="130">J1882+1</f>
        <v>45994</v>
      </c>
      <c r="N1882" s="26">
        <f t="shared" si="129"/>
        <v>9</v>
      </c>
      <c r="O1882" s="27">
        <v>1758</v>
      </c>
      <c r="P1882" s="27" t="s">
        <v>5223</v>
      </c>
      <c r="Q1882" s="27">
        <v>28</v>
      </c>
      <c r="R1882" s="27"/>
      <c r="S1882" s="27"/>
      <c r="T1882" s="27"/>
      <c r="U1882" s="27">
        <v>5671</v>
      </c>
      <c r="V1882" s="27" t="s">
        <v>4530</v>
      </c>
      <c r="W1882" s="27" t="s">
        <v>674</v>
      </c>
      <c r="X1882" s="128" t="s">
        <v>114</v>
      </c>
      <c r="Y1882" s="73" t="str">
        <f>VLOOKUP(X1882,Choferes!$B$3:C437,2,FALSE)</f>
        <v>+5542998101794</v>
      </c>
      <c r="Z1882" s="73" t="s">
        <v>5224</v>
      </c>
    </row>
    <row r="1883" spans="1:26" hidden="1" x14ac:dyDescent="0.25">
      <c r="A1883" s="33">
        <v>48</v>
      </c>
      <c r="B1883" s="71" t="s">
        <v>29</v>
      </c>
      <c r="C1883" s="39" t="s">
        <v>5165</v>
      </c>
      <c r="D1883" s="106" t="s">
        <v>1757</v>
      </c>
      <c r="E1883" s="47">
        <v>45986</v>
      </c>
      <c r="F1883" s="31" t="str">
        <f>VLOOKUP($C1883,Carpetas!$C$5:$M$2666,2,FALSE)</f>
        <v>BRB145</v>
      </c>
      <c r="G1883" s="23" t="str">
        <f>VLOOKUP($C1883,Carpetas!$C$5:$M$2666,10,FALSE)</f>
        <v>154,28,24</v>
      </c>
      <c r="H1883" s="27" t="str">
        <f>VLOOKUP($C1883,Carpetas!$C$5:$M$2666,6,FALSE)</f>
        <v>Marvel</v>
      </c>
      <c r="I1883" s="220"/>
      <c r="J1883" s="47">
        <v>45994</v>
      </c>
      <c r="K1883" s="72" t="str">
        <f>VLOOKUP($C1883,Carpetas!$C$5:$M$2666,5,FALSE)</f>
        <v>Rio Branco</v>
      </c>
      <c r="L1883" s="32"/>
      <c r="M1883" s="48">
        <f t="shared" si="130"/>
        <v>45995</v>
      </c>
      <c r="N1883" s="26">
        <f t="shared" si="129"/>
        <v>9</v>
      </c>
      <c r="O1883" s="27">
        <v>936</v>
      </c>
      <c r="P1883" s="27">
        <v>936</v>
      </c>
      <c r="Q1883" s="27">
        <v>26</v>
      </c>
      <c r="R1883" s="27">
        <v>25</v>
      </c>
      <c r="S1883" s="27" t="s">
        <v>5225</v>
      </c>
      <c r="T1883" s="27"/>
      <c r="U1883" s="27">
        <v>11243</v>
      </c>
      <c r="V1883" s="27" t="s">
        <v>5226</v>
      </c>
      <c r="W1883" s="27" t="s">
        <v>5227</v>
      </c>
      <c r="X1883" s="128"/>
      <c r="Y1883" s="73" t="e">
        <f>VLOOKUP(X1883,Choferes!$B$3:C434,2,FALSE)</f>
        <v>#N/A</v>
      </c>
      <c r="Z1883" s="73" t="s">
        <v>5228</v>
      </c>
    </row>
    <row r="1884" spans="1:26" hidden="1" x14ac:dyDescent="0.25">
      <c r="A1884" s="33">
        <v>49</v>
      </c>
      <c r="B1884" s="71" t="s">
        <v>29</v>
      </c>
      <c r="C1884" s="39" t="s">
        <v>5229</v>
      </c>
      <c r="D1884" s="106" t="s">
        <v>2474</v>
      </c>
      <c r="E1884" s="47">
        <v>45993</v>
      </c>
      <c r="F1884" s="31" t="str">
        <f>VLOOKUP($C1884,Carpetas!$C$5:$M$2666,2,FALSE)</f>
        <v>BRB149</v>
      </c>
      <c r="G1884" s="23" t="str">
        <f>VLOOKUP($C1884,Carpetas!$C$5:$M$2666,10,FALSE)</f>
        <v>154,42,17</v>
      </c>
      <c r="H1884" s="27" t="str">
        <f>VLOOKUP($C1884,Carpetas!$C$5:$M$2666,6,FALSE)</f>
        <v>Chabat</v>
      </c>
      <c r="I1884" s="220"/>
      <c r="J1884" s="47">
        <v>45994</v>
      </c>
      <c r="K1884" s="72" t="str">
        <f>VLOOKUP($C1884,Carpetas!$C$5:$M$2666,5,FALSE)</f>
        <v>Rio Branco</v>
      </c>
      <c r="L1884" s="32"/>
      <c r="M1884" s="48">
        <f t="shared" si="130"/>
        <v>45995</v>
      </c>
      <c r="N1884" s="26">
        <f t="shared" si="129"/>
        <v>2</v>
      </c>
      <c r="O1884" s="27">
        <v>990</v>
      </c>
      <c r="P1884" s="27">
        <v>990</v>
      </c>
      <c r="Q1884" s="27">
        <v>28</v>
      </c>
      <c r="R1884" s="27">
        <v>26</v>
      </c>
      <c r="S1884" s="27" t="s">
        <v>5230</v>
      </c>
      <c r="T1884" s="27"/>
      <c r="U1884" s="27"/>
      <c r="V1884" s="27" t="s">
        <v>4339</v>
      </c>
      <c r="W1884" s="27" t="s">
        <v>4340</v>
      </c>
      <c r="X1884" s="128"/>
      <c r="Y1884" s="73" t="e">
        <f>VLOOKUP(X1884,Choferes!$B$3:C469,2,FALSE)</f>
        <v>#N/A</v>
      </c>
      <c r="Z1884" s="73" t="s">
        <v>5231</v>
      </c>
    </row>
    <row r="1885" spans="1:26" hidden="1" x14ac:dyDescent="0.25">
      <c r="A1885" s="33">
        <v>49</v>
      </c>
      <c r="B1885" s="71" t="s">
        <v>29</v>
      </c>
      <c r="C1885" s="39" t="s">
        <v>5209</v>
      </c>
      <c r="D1885" s="106" t="s">
        <v>2202</v>
      </c>
      <c r="E1885" s="47">
        <v>45993</v>
      </c>
      <c r="F1885" s="31" t="str">
        <f>VLOOKUP($C1885,Carpetas!$C$5:$M$2666,2,FALSE)</f>
        <v>BRB148</v>
      </c>
      <c r="G1885" s="23" t="str">
        <f>VLOOKUP($C1885,Carpetas!$C$5:$M$2666,10,FALSE)</f>
        <v>154,39,05</v>
      </c>
      <c r="H1885" s="27" t="str">
        <f>VLOOKUP($C1885,Carpetas!$C$5:$M$2666,6,FALSE)</f>
        <v>Zanini</v>
      </c>
      <c r="I1885" s="220"/>
      <c r="J1885" s="47">
        <f>E1885+2</f>
        <v>45995</v>
      </c>
      <c r="K1885" s="72" t="str">
        <f>VLOOKUP($C1885,Carpetas!$C$5:$M$2666,5,FALSE)</f>
        <v>Rio Branco</v>
      </c>
      <c r="L1885" s="32"/>
      <c r="M1885" s="48">
        <f t="shared" si="130"/>
        <v>45996</v>
      </c>
      <c r="N1885" s="26">
        <f t="shared" si="129"/>
        <v>3</v>
      </c>
      <c r="O1885" s="27">
        <v>918</v>
      </c>
      <c r="P1885" s="27">
        <v>918</v>
      </c>
      <c r="Q1885" s="27">
        <v>26</v>
      </c>
      <c r="R1885" s="27">
        <v>25</v>
      </c>
      <c r="S1885" s="27" t="s">
        <v>5232</v>
      </c>
      <c r="T1885" s="27"/>
      <c r="U1885" s="27">
        <v>5700</v>
      </c>
      <c r="V1885" s="27" t="s">
        <v>1285</v>
      </c>
      <c r="W1885" s="27" t="s">
        <v>1286</v>
      </c>
      <c r="X1885" s="128"/>
      <c r="Y1885" s="73" t="e">
        <f>VLOOKUP(X1885,Choferes!$B$3:C464,2,FALSE)</f>
        <v>#N/A</v>
      </c>
      <c r="Z1885" s="73" t="s">
        <v>5233</v>
      </c>
    </row>
    <row r="1886" spans="1:26" hidden="1" x14ac:dyDescent="0.25">
      <c r="A1886" s="33">
        <v>49</v>
      </c>
      <c r="B1886" s="71" t="s">
        <v>29</v>
      </c>
      <c r="C1886" s="39" t="s">
        <v>5234</v>
      </c>
      <c r="D1886" s="106" t="s">
        <v>803</v>
      </c>
      <c r="E1886" s="47">
        <v>45994</v>
      </c>
      <c r="F1886" s="31" t="str">
        <f>VLOOKUP($C1886,Carpetas!$C$5:$M$2666,2,FALSE)</f>
        <v>BRB150</v>
      </c>
      <c r="G1886" s="23" t="str">
        <f>VLOOKUP($C1886,Carpetas!$C$5:$M$2666,10,FALSE)</f>
        <v>154,39,07</v>
      </c>
      <c r="H1886" s="27" t="str">
        <f>VLOOKUP($C1886,Carpetas!$C$5:$M$2666,6,FALSE)</f>
        <v>FG</v>
      </c>
      <c r="I1886" s="220"/>
      <c r="J1886" s="47">
        <f>E1886+2</f>
        <v>45996</v>
      </c>
      <c r="K1886" s="72" t="str">
        <f>VLOOKUP($C1886,Carpetas!$C$5:$M$2666,5,FALSE)</f>
        <v>Rio Branco</v>
      </c>
      <c r="L1886" s="32"/>
      <c r="M1886" s="48">
        <f t="shared" si="130"/>
        <v>45997</v>
      </c>
      <c r="N1886" s="26">
        <f t="shared" si="129"/>
        <v>3</v>
      </c>
      <c r="O1886" s="27">
        <v>990</v>
      </c>
      <c r="P1886" s="27">
        <v>990</v>
      </c>
      <c r="Q1886" s="27">
        <v>28</v>
      </c>
      <c r="R1886" s="27">
        <v>26</v>
      </c>
      <c r="S1886" s="27" t="s">
        <v>5235</v>
      </c>
      <c r="T1886" s="27"/>
      <c r="U1886" s="27">
        <v>1276</v>
      </c>
      <c r="V1886" s="27" t="s">
        <v>5189</v>
      </c>
      <c r="W1886" s="27" t="s">
        <v>1523</v>
      </c>
      <c r="X1886" s="128"/>
      <c r="Y1886" s="73" t="e">
        <f>VLOOKUP(X1886,Choferes!$B$3:C467,2,FALSE)</f>
        <v>#N/A</v>
      </c>
      <c r="Z1886" s="73" t="s">
        <v>5236</v>
      </c>
    </row>
    <row r="1887" spans="1:26" hidden="1" x14ac:dyDescent="0.25">
      <c r="A1887" s="33">
        <v>49</v>
      </c>
      <c r="B1887" s="71" t="s">
        <v>29</v>
      </c>
      <c r="C1887" s="39" t="s">
        <v>5234</v>
      </c>
      <c r="D1887" s="106" t="s">
        <v>110</v>
      </c>
      <c r="E1887" s="47">
        <v>45994</v>
      </c>
      <c r="F1887" s="31" t="str">
        <f>VLOOKUP($C1887,Carpetas!$C$5:$M$2666,2,FALSE)</f>
        <v>BRB150</v>
      </c>
      <c r="G1887" s="23" t="str">
        <f>VLOOKUP($C1887,Carpetas!$C$5:$M$2666,10,FALSE)</f>
        <v>154,39,07</v>
      </c>
      <c r="H1887" s="27" t="str">
        <f>VLOOKUP($C1887,Carpetas!$C$5:$M$2666,6,FALSE)</f>
        <v>FG</v>
      </c>
      <c r="I1887" s="220"/>
      <c r="J1887" s="47">
        <f>E1887+2</f>
        <v>45996</v>
      </c>
      <c r="K1887" s="72" t="str">
        <f>VLOOKUP($C1887,Carpetas!$C$5:$M$2666,5,FALSE)</f>
        <v>Rio Branco</v>
      </c>
      <c r="L1887" s="32"/>
      <c r="M1887" s="48">
        <f t="shared" si="130"/>
        <v>45997</v>
      </c>
      <c r="N1887" s="26">
        <f t="shared" si="129"/>
        <v>3</v>
      </c>
      <c r="O1887" s="27">
        <v>990</v>
      </c>
      <c r="P1887" s="27">
        <v>990</v>
      </c>
      <c r="Q1887" s="27">
        <v>28</v>
      </c>
      <c r="R1887" s="27">
        <v>26</v>
      </c>
      <c r="S1887" s="27" t="s">
        <v>5237</v>
      </c>
      <c r="T1887" s="27"/>
      <c r="U1887" s="27">
        <v>1277</v>
      </c>
      <c r="V1887" s="27" t="s">
        <v>1722</v>
      </c>
      <c r="W1887" s="27" t="s">
        <v>1637</v>
      </c>
      <c r="X1887" s="128"/>
      <c r="Y1887" s="73" t="e">
        <f>VLOOKUP(X1887,Choferes!$B$3:C468,2,FALSE)</f>
        <v>#N/A</v>
      </c>
      <c r="Z1887" s="73" t="s">
        <v>5238</v>
      </c>
    </row>
    <row r="1888" spans="1:26" hidden="1" x14ac:dyDescent="0.25">
      <c r="A1888" s="33">
        <v>49</v>
      </c>
      <c r="B1888" s="71" t="s">
        <v>29</v>
      </c>
      <c r="C1888" s="39" t="s">
        <v>5229</v>
      </c>
      <c r="D1888" s="106" t="s">
        <v>2474</v>
      </c>
      <c r="E1888" s="47">
        <v>45995</v>
      </c>
      <c r="F1888" s="31" t="str">
        <f>VLOOKUP($C1888,Carpetas!$C$5:$M$2666,2,FALSE)</f>
        <v>BRB149</v>
      </c>
      <c r="G1888" s="23" t="str">
        <f>VLOOKUP($C1888,Carpetas!$C$5:$M$2666,10,FALSE)</f>
        <v>154,42,17</v>
      </c>
      <c r="H1888" s="27" t="str">
        <f>VLOOKUP($C1888,Carpetas!$C$5:$M$2666,6,FALSE)</f>
        <v>Chabat</v>
      </c>
      <c r="I1888" s="220"/>
      <c r="J1888" s="47">
        <v>45996</v>
      </c>
      <c r="K1888" s="72" t="str">
        <f>VLOOKUP($C1888,Carpetas!$C$5:$M$2666,5,FALSE)</f>
        <v>Rio Branco</v>
      </c>
      <c r="L1888" s="32"/>
      <c r="M1888" s="48">
        <f t="shared" si="130"/>
        <v>45997</v>
      </c>
      <c r="N1888" s="26">
        <f t="shared" si="129"/>
        <v>2</v>
      </c>
      <c r="O1888" s="27">
        <v>990</v>
      </c>
      <c r="P1888" s="27">
        <v>990</v>
      </c>
      <c r="Q1888" s="27">
        <v>28</v>
      </c>
      <c r="R1888" s="27">
        <v>26</v>
      </c>
      <c r="S1888" s="27" t="s">
        <v>5239</v>
      </c>
      <c r="T1888" s="27"/>
      <c r="U1888" s="27"/>
      <c r="V1888" s="27" t="s">
        <v>5240</v>
      </c>
      <c r="W1888" s="27" t="s">
        <v>4283</v>
      </c>
      <c r="X1888" s="128"/>
      <c r="Y1888" s="73" t="e">
        <f>VLOOKUP(X1888,Choferes!$B$3:C470,2,FALSE)</f>
        <v>#N/A</v>
      </c>
      <c r="Z1888" s="73" t="s">
        <v>5238</v>
      </c>
    </row>
    <row r="1889" spans="1:26" hidden="1" x14ac:dyDescent="0.25">
      <c r="A1889" s="33">
        <v>49</v>
      </c>
      <c r="B1889" s="71" t="s">
        <v>29</v>
      </c>
      <c r="C1889" s="39" t="s">
        <v>5234</v>
      </c>
      <c r="D1889" s="106" t="s">
        <v>803</v>
      </c>
      <c r="E1889" s="47">
        <v>45996</v>
      </c>
      <c r="F1889" s="31" t="str">
        <f>VLOOKUP($C1889,Carpetas!$C$5:$M$2666,2,FALSE)</f>
        <v>BRB150</v>
      </c>
      <c r="G1889" s="23" t="str">
        <f>VLOOKUP($C1889,Carpetas!$C$5:$M$2666,10,FALSE)</f>
        <v>154,39,07</v>
      </c>
      <c r="H1889" s="27" t="str">
        <f>VLOOKUP($C1889,Carpetas!$C$5:$M$2666,6,FALSE)</f>
        <v>FG</v>
      </c>
      <c r="I1889" s="220"/>
      <c r="J1889" s="47">
        <f>E1889+2</f>
        <v>45998</v>
      </c>
      <c r="K1889" s="72" t="str">
        <f>VLOOKUP($C1889,Carpetas!$C$5:$M$2666,5,FALSE)</f>
        <v>Rio Branco</v>
      </c>
      <c r="L1889" s="32"/>
      <c r="M1889" s="48">
        <f t="shared" si="130"/>
        <v>45999</v>
      </c>
      <c r="N1889" s="26">
        <f t="shared" si="129"/>
        <v>3</v>
      </c>
      <c r="O1889" s="27">
        <v>990</v>
      </c>
      <c r="P1889" s="27">
        <v>990</v>
      </c>
      <c r="Q1889" s="27">
        <v>28</v>
      </c>
      <c r="R1889" s="27">
        <v>26</v>
      </c>
      <c r="S1889" s="27" t="s">
        <v>5241</v>
      </c>
      <c r="T1889" s="27"/>
      <c r="U1889" s="27">
        <v>1280</v>
      </c>
      <c r="V1889" s="27" t="s">
        <v>1626</v>
      </c>
      <c r="W1889" s="27" t="s">
        <v>1736</v>
      </c>
      <c r="X1889" s="128"/>
      <c r="Y1889" s="73" t="e">
        <f>VLOOKUP(X1889,Choferes!$B$3:C469,2,FALSE)</f>
        <v>#N/A</v>
      </c>
      <c r="Z1889" s="73" t="s">
        <v>5242</v>
      </c>
    </row>
    <row r="1890" spans="1:26" hidden="1" x14ac:dyDescent="0.25">
      <c r="A1890" s="33">
        <v>48</v>
      </c>
      <c r="B1890" s="71" t="s">
        <v>29</v>
      </c>
      <c r="C1890" s="39" t="s">
        <v>5165</v>
      </c>
      <c r="D1890" s="106" t="s">
        <v>1757</v>
      </c>
      <c r="E1890" s="47">
        <v>45988</v>
      </c>
      <c r="F1890" s="31" t="str">
        <f>VLOOKUP($C1890,Carpetas!$C$5:$M$2666,2,FALSE)</f>
        <v>BRB145</v>
      </c>
      <c r="G1890" s="23" t="str">
        <f>VLOOKUP($C1890,Carpetas!$C$5:$M$2666,10,FALSE)</f>
        <v>154,28,24</v>
      </c>
      <c r="H1890" s="27" t="str">
        <f>VLOOKUP($C1890,Carpetas!$C$5:$M$2666,6,FALSE)</f>
        <v>Marvel</v>
      </c>
      <c r="I1890" s="220"/>
      <c r="J1890" s="47">
        <v>45999</v>
      </c>
      <c r="K1890" s="72" t="str">
        <f>VLOOKUP($C1890,Carpetas!$C$5:$M$2666,5,FALSE)</f>
        <v>Rio Branco</v>
      </c>
      <c r="L1890" s="32"/>
      <c r="M1890" s="48">
        <f t="shared" si="130"/>
        <v>46000</v>
      </c>
      <c r="N1890" s="26">
        <f t="shared" si="129"/>
        <v>12</v>
      </c>
      <c r="O1890" s="27">
        <v>936</v>
      </c>
      <c r="P1890" s="27">
        <v>936</v>
      </c>
      <c r="Q1890" s="27">
        <v>26</v>
      </c>
      <c r="R1890" s="27">
        <v>25</v>
      </c>
      <c r="S1890" s="27" t="s">
        <v>5243</v>
      </c>
      <c r="T1890" s="27"/>
      <c r="U1890" s="27">
        <v>11242</v>
      </c>
      <c r="V1890" s="27" t="s">
        <v>5244</v>
      </c>
      <c r="W1890" s="27" t="s">
        <v>5245</v>
      </c>
      <c r="X1890" s="128"/>
      <c r="Y1890" s="73" t="e">
        <f>VLOOKUP(X1890,Choferes!$B$3:C428,2,FALSE)</f>
        <v>#N/A</v>
      </c>
      <c r="Z1890" s="73" t="s">
        <v>5246</v>
      </c>
    </row>
    <row r="1891" spans="1:26" hidden="1" x14ac:dyDescent="0.25">
      <c r="A1891" s="33">
        <v>49</v>
      </c>
      <c r="B1891" s="71" t="s">
        <v>29</v>
      </c>
      <c r="C1891" s="39" t="s">
        <v>5209</v>
      </c>
      <c r="D1891" s="106" t="s">
        <v>2202</v>
      </c>
      <c r="E1891" s="47">
        <v>45995</v>
      </c>
      <c r="F1891" s="31" t="str">
        <f>VLOOKUP($C1891,Carpetas!$C$5:$M$2666,2,FALSE)</f>
        <v>BRB148</v>
      </c>
      <c r="G1891" s="23" t="str">
        <f>VLOOKUP($C1891,Carpetas!$C$5:$M$2666,10,FALSE)</f>
        <v>154,39,05</v>
      </c>
      <c r="H1891" s="27" t="str">
        <f>VLOOKUP($C1891,Carpetas!$C$5:$M$2666,6,FALSE)</f>
        <v>Zanini</v>
      </c>
      <c r="I1891" s="220"/>
      <c r="J1891" s="47">
        <v>45999</v>
      </c>
      <c r="K1891" s="72" t="str">
        <f>VLOOKUP($C1891,Carpetas!$C$5:$M$2666,5,FALSE)</f>
        <v>Rio Branco</v>
      </c>
      <c r="L1891" s="32"/>
      <c r="M1891" s="48">
        <f t="shared" si="130"/>
        <v>46000</v>
      </c>
      <c r="N1891" s="26">
        <f t="shared" si="129"/>
        <v>5</v>
      </c>
      <c r="O1891" s="27">
        <v>918</v>
      </c>
      <c r="P1891" s="27">
        <v>919</v>
      </c>
      <c r="Q1891" s="27">
        <v>26</v>
      </c>
      <c r="R1891" s="27">
        <v>25</v>
      </c>
      <c r="S1891" s="27" t="s">
        <v>5247</v>
      </c>
      <c r="T1891" s="27"/>
      <c r="U1891" s="27">
        <v>5706</v>
      </c>
      <c r="V1891" s="27" t="s">
        <v>349</v>
      </c>
      <c r="W1891" s="27" t="s">
        <v>350</v>
      </c>
      <c r="X1891" s="128"/>
      <c r="Y1891" s="73" t="e">
        <f>VLOOKUP(X1891,Choferes!$B$3:C465,2,FALSE)</f>
        <v>#N/A</v>
      </c>
      <c r="Z1891" s="73" t="s">
        <v>5248</v>
      </c>
    </row>
    <row r="1892" spans="1:26" hidden="1" x14ac:dyDescent="0.25">
      <c r="A1892" s="33">
        <v>49</v>
      </c>
      <c r="B1892" s="71" t="s">
        <v>29</v>
      </c>
      <c r="C1892" s="39" t="s">
        <v>5209</v>
      </c>
      <c r="D1892" s="106" t="s">
        <v>2202</v>
      </c>
      <c r="E1892" s="47">
        <v>45996</v>
      </c>
      <c r="F1892" s="31" t="str">
        <f>VLOOKUP($C1892,Carpetas!$C$5:$M$2666,2,FALSE)</f>
        <v>BRB148</v>
      </c>
      <c r="G1892" s="23" t="str">
        <f>VLOOKUP($C1892,Carpetas!$C$5:$M$2666,10,FALSE)</f>
        <v>154,39,05</v>
      </c>
      <c r="H1892" s="27" t="str">
        <f>VLOOKUP($C1892,Carpetas!$C$5:$M$2666,6,FALSE)</f>
        <v>Zanini</v>
      </c>
      <c r="I1892" s="220"/>
      <c r="J1892" s="47">
        <v>45999</v>
      </c>
      <c r="K1892" s="72" t="str">
        <f>VLOOKUP($C1892,Carpetas!$C$5:$M$2666,5,FALSE)</f>
        <v>Rio Branco</v>
      </c>
      <c r="L1892" s="32"/>
      <c r="M1892" s="48">
        <f t="shared" si="130"/>
        <v>46000</v>
      </c>
      <c r="N1892" s="26">
        <f t="shared" si="129"/>
        <v>4</v>
      </c>
      <c r="O1892" s="27">
        <v>918</v>
      </c>
      <c r="P1892" s="27">
        <v>919</v>
      </c>
      <c r="Q1892" s="27">
        <v>26</v>
      </c>
      <c r="R1892" s="27">
        <v>25</v>
      </c>
      <c r="S1892" s="27" t="s">
        <v>5249</v>
      </c>
      <c r="T1892" s="27"/>
      <c r="U1892" s="27">
        <v>5709</v>
      </c>
      <c r="V1892" s="27" t="s">
        <v>5250</v>
      </c>
      <c r="W1892" s="27" t="s">
        <v>5251</v>
      </c>
      <c r="X1892" s="128"/>
      <c r="Y1892" s="73" t="e">
        <f>VLOOKUP(X1892,Choferes!$B$3:C466,2,FALSE)</f>
        <v>#N/A</v>
      </c>
      <c r="Z1892" s="73" t="s">
        <v>5248</v>
      </c>
    </row>
    <row r="1893" spans="1:26" hidden="1" x14ac:dyDescent="0.25">
      <c r="A1893" s="33">
        <v>49</v>
      </c>
      <c r="B1893" s="71" t="s">
        <v>29</v>
      </c>
      <c r="C1893" s="39" t="s">
        <v>5187</v>
      </c>
      <c r="D1893" s="106" t="s">
        <v>747</v>
      </c>
      <c r="E1893" s="47">
        <v>45996</v>
      </c>
      <c r="F1893" s="31" t="str">
        <f>VLOOKUP($C1893,Carpetas!$C$5:$M$2666,2,FALSE)</f>
        <v>BRB146</v>
      </c>
      <c r="G1893" s="23" t="str">
        <f>VLOOKUP($C1893,Carpetas!$C$5:$M$2666,10,FALSE)</f>
        <v>154,36,59</v>
      </c>
      <c r="H1893" s="27" t="str">
        <f>VLOOKUP($C1893,Carpetas!$C$5:$M$2666,6,FALSE)</f>
        <v>FG</v>
      </c>
      <c r="I1893" s="220"/>
      <c r="J1893" s="47">
        <v>45999</v>
      </c>
      <c r="K1893" s="72" t="str">
        <f>VLOOKUP($C1893,Carpetas!$C$5:$M$2666,5,FALSE)</f>
        <v>Rio Branco</v>
      </c>
      <c r="L1893" s="32"/>
      <c r="M1893" s="48">
        <f t="shared" si="130"/>
        <v>46000</v>
      </c>
      <c r="N1893" s="26">
        <f t="shared" si="129"/>
        <v>4</v>
      </c>
      <c r="O1893" s="27">
        <v>990</v>
      </c>
      <c r="P1893" s="27">
        <v>990</v>
      </c>
      <c r="Q1893" s="27">
        <v>28</v>
      </c>
      <c r="R1893" s="27">
        <v>26</v>
      </c>
      <c r="S1893" s="27" t="s">
        <v>5252</v>
      </c>
      <c r="T1893" s="27"/>
      <c r="U1893" s="27">
        <v>1279</v>
      </c>
      <c r="V1893" s="27" t="s">
        <v>1735</v>
      </c>
      <c r="W1893" s="27" t="s">
        <v>1681</v>
      </c>
      <c r="X1893" s="128"/>
      <c r="Y1893" s="73" t="e">
        <f>VLOOKUP(X1893,Choferes!$B$3:C468,2,FALSE)</f>
        <v>#N/A</v>
      </c>
      <c r="Z1893" s="73" t="s">
        <v>5242</v>
      </c>
    </row>
    <row r="1894" spans="1:26" hidden="1" x14ac:dyDescent="0.25">
      <c r="A1894" s="33">
        <v>49</v>
      </c>
      <c r="B1894" s="71" t="s">
        <v>29</v>
      </c>
      <c r="C1894" s="39" t="s">
        <v>5229</v>
      </c>
      <c r="D1894" s="106" t="s">
        <v>2474</v>
      </c>
      <c r="E1894" s="47">
        <v>45996</v>
      </c>
      <c r="F1894" s="31" t="str">
        <f>VLOOKUP($C1894,Carpetas!$C$5:$M$2666,2,FALSE)</f>
        <v>BRB149</v>
      </c>
      <c r="G1894" s="23" t="str">
        <f>VLOOKUP($C1894,Carpetas!$C$5:$M$2666,10,FALSE)</f>
        <v>154,42,17</v>
      </c>
      <c r="H1894" s="27" t="str">
        <f>VLOOKUP($C1894,Carpetas!$C$5:$M$2666,6,FALSE)</f>
        <v>Chabat</v>
      </c>
      <c r="I1894" s="220"/>
      <c r="J1894" s="47">
        <v>45999</v>
      </c>
      <c r="K1894" s="72" t="str">
        <f>VLOOKUP($C1894,Carpetas!$C$5:$M$2666,5,FALSE)</f>
        <v>Rio Branco</v>
      </c>
      <c r="L1894" s="32"/>
      <c r="M1894" s="48">
        <f t="shared" si="130"/>
        <v>46000</v>
      </c>
      <c r="N1894" s="26">
        <f t="shared" si="129"/>
        <v>4</v>
      </c>
      <c r="O1894" s="27">
        <v>990</v>
      </c>
      <c r="P1894" s="27">
        <v>990</v>
      </c>
      <c r="Q1894" s="27">
        <v>990</v>
      </c>
      <c r="R1894" s="27">
        <v>28</v>
      </c>
      <c r="S1894" s="27" t="s">
        <v>5253</v>
      </c>
      <c r="T1894" s="27"/>
      <c r="U1894" s="27"/>
      <c r="V1894" s="27" t="s">
        <v>1657</v>
      </c>
      <c r="W1894" s="27" t="s">
        <v>1815</v>
      </c>
      <c r="X1894" s="128"/>
      <c r="Y1894" s="73" t="e">
        <f>VLOOKUP(X1894,Choferes!$B$3:C471,2,FALSE)</f>
        <v>#N/A</v>
      </c>
      <c r="Z1894" s="73" t="s">
        <v>5242</v>
      </c>
    </row>
    <row r="1895" spans="1:26" hidden="1" x14ac:dyDescent="0.25">
      <c r="A1895" s="33">
        <v>49</v>
      </c>
      <c r="B1895" s="71" t="s">
        <v>29</v>
      </c>
      <c r="C1895" s="39" t="s">
        <v>5151</v>
      </c>
      <c r="D1895" s="106" t="s">
        <v>2474</v>
      </c>
      <c r="E1895" s="47">
        <v>45997</v>
      </c>
      <c r="F1895" s="31" t="str">
        <f>VLOOKUP($C1895,Carpetas!$C$5:$M$2666,2,FALSE)</f>
        <v>BRB144</v>
      </c>
      <c r="G1895" s="23" t="str">
        <f>VLOOKUP($C1895,Carpetas!$C$5:$M$2666,10,FALSE)</f>
        <v>154,32,59</v>
      </c>
      <c r="H1895" s="27" t="str">
        <f>VLOOKUP($C1895,Carpetas!$C$5:$M$2666,6,FALSE)</f>
        <v>Amaro</v>
      </c>
      <c r="I1895" s="220"/>
      <c r="J1895" s="47">
        <f>E1895+2</f>
        <v>45999</v>
      </c>
      <c r="K1895" s="72" t="str">
        <f>VLOOKUP($C1895,Carpetas!$C$5:$M$2666,5,FALSE)</f>
        <v>Rio Branco</v>
      </c>
      <c r="L1895" s="32"/>
      <c r="M1895" s="48">
        <f t="shared" si="130"/>
        <v>46000</v>
      </c>
      <c r="N1895" s="26">
        <f t="shared" si="129"/>
        <v>3</v>
      </c>
      <c r="O1895" s="27">
        <v>990</v>
      </c>
      <c r="P1895" s="27">
        <v>990</v>
      </c>
      <c r="Q1895" s="27">
        <v>28</v>
      </c>
      <c r="R1895" s="27">
        <v>24</v>
      </c>
      <c r="S1895" s="27" t="s">
        <v>5254</v>
      </c>
      <c r="T1895" s="27"/>
      <c r="U1895" s="27">
        <v>27536</v>
      </c>
      <c r="V1895" s="27" t="s">
        <v>2080</v>
      </c>
      <c r="W1895" s="27" t="s">
        <v>5255</v>
      </c>
      <c r="X1895" s="128"/>
      <c r="Y1895" s="73" t="e">
        <f>VLOOKUP(X1895,Choferes!$B$3:C471,2,FALSE)</f>
        <v>#N/A</v>
      </c>
      <c r="Z1895" s="73" t="s">
        <v>5256</v>
      </c>
    </row>
    <row r="1896" spans="1:26" hidden="1" x14ac:dyDescent="0.25">
      <c r="A1896" s="33">
        <v>49</v>
      </c>
      <c r="B1896" s="71" t="s">
        <v>29</v>
      </c>
      <c r="C1896" s="39" t="s">
        <v>5257</v>
      </c>
      <c r="D1896" s="106" t="s">
        <v>1757</v>
      </c>
      <c r="E1896" s="47">
        <v>45995</v>
      </c>
      <c r="F1896" s="31" t="str">
        <f>VLOOKUP($C1896,Carpetas!$C$5:$M$2666,2,FALSE)</f>
        <v>BRB151</v>
      </c>
      <c r="G1896" s="23" t="str">
        <f>VLOOKUP($C1896,Carpetas!$C$5:$M$2666,10,FALSE)</f>
        <v>154.43.82</v>
      </c>
      <c r="H1896" s="27" t="str">
        <f>VLOOKUP($C1896,Carpetas!$C$5:$M$2666,6,FALSE)</f>
        <v>Gral</v>
      </c>
      <c r="I1896" s="220"/>
      <c r="J1896" s="47">
        <v>46000</v>
      </c>
      <c r="K1896" s="72" t="str">
        <f>VLOOKUP($C1896,Carpetas!$C$5:$M$2666,5,FALSE)</f>
        <v>Rio Branco</v>
      </c>
      <c r="L1896" s="32"/>
      <c r="M1896" s="48">
        <f t="shared" si="130"/>
        <v>46001</v>
      </c>
      <c r="N1896" s="26">
        <f t="shared" si="129"/>
        <v>6</v>
      </c>
      <c r="O1896" s="27">
        <v>936</v>
      </c>
      <c r="P1896" s="27">
        <v>936</v>
      </c>
      <c r="Q1896" s="27">
        <v>26</v>
      </c>
      <c r="R1896" s="27">
        <v>25</v>
      </c>
      <c r="S1896" s="27" t="s">
        <v>5258</v>
      </c>
      <c r="T1896" s="27"/>
      <c r="U1896" s="27">
        <v>7897</v>
      </c>
      <c r="V1896" s="27" t="s">
        <v>5259</v>
      </c>
      <c r="W1896" s="27" t="s">
        <v>5260</v>
      </c>
      <c r="X1896" s="128"/>
      <c r="Y1896" s="73" t="e">
        <f>VLOOKUP(X1896,Choferes!$B$3:C456,2,FALSE)</f>
        <v>#N/A</v>
      </c>
      <c r="Z1896" s="73" t="s">
        <v>5261</v>
      </c>
    </row>
    <row r="1897" spans="1:26" hidden="1" x14ac:dyDescent="0.25">
      <c r="A1897" s="33">
        <v>50</v>
      </c>
      <c r="B1897" s="71" t="s">
        <v>29</v>
      </c>
      <c r="C1897" s="39" t="s">
        <v>5262</v>
      </c>
      <c r="D1897" s="106" t="s">
        <v>2202</v>
      </c>
      <c r="E1897" s="47">
        <v>45999</v>
      </c>
      <c r="F1897" s="31" t="str">
        <f>VLOOKUP($C1897,Carpetas!$C$5:$M$2666,2,FALSE)</f>
        <v>BRB152</v>
      </c>
      <c r="G1897" s="23" t="str">
        <f>VLOOKUP($C1897,Carpetas!$C$5:$M$2666,10,FALSE)</f>
        <v>154.48.93</v>
      </c>
      <c r="H1897" s="27" t="str">
        <f>VLOOKUP($C1897,Carpetas!$C$5:$M$2666,6,FALSE)</f>
        <v>Zanini</v>
      </c>
      <c r="I1897" s="220"/>
      <c r="J1897" s="47">
        <v>46001</v>
      </c>
      <c r="K1897" s="72" t="str">
        <f>VLOOKUP($C1897,Carpetas!$C$5:$M$2666,5,FALSE)</f>
        <v>Chuy</v>
      </c>
      <c r="L1897" s="32"/>
      <c r="M1897" s="48">
        <f t="shared" si="130"/>
        <v>46002</v>
      </c>
      <c r="N1897" s="26">
        <f t="shared" si="129"/>
        <v>3</v>
      </c>
      <c r="O1897" s="27">
        <v>918</v>
      </c>
      <c r="P1897" s="27">
        <v>919</v>
      </c>
      <c r="Q1897" s="27">
        <v>26</v>
      </c>
      <c r="R1897" s="27">
        <v>25</v>
      </c>
      <c r="S1897" s="27" t="s">
        <v>5263</v>
      </c>
      <c r="T1897" s="27"/>
      <c r="U1897" s="27"/>
      <c r="V1897" s="27" t="s">
        <v>5264</v>
      </c>
      <c r="W1897" s="27" t="s">
        <v>5265</v>
      </c>
      <c r="X1897" s="128"/>
      <c r="Y1897" s="73" t="e">
        <f>VLOOKUP(X1897,Choferes!$B$3:C457,2,FALSE)</f>
        <v>#N/A</v>
      </c>
      <c r="Z1897" s="73" t="s">
        <v>5266</v>
      </c>
    </row>
    <row r="1898" spans="1:26" hidden="1" x14ac:dyDescent="0.25">
      <c r="A1898" s="33">
        <v>50</v>
      </c>
      <c r="B1898" s="71" t="s">
        <v>29</v>
      </c>
      <c r="C1898" s="39" t="s">
        <v>5126</v>
      </c>
      <c r="D1898" s="106" t="s">
        <v>2474</v>
      </c>
      <c r="E1898" s="47">
        <v>46000</v>
      </c>
      <c r="F1898" s="31" t="str">
        <f>VLOOKUP($C1898,Carpetas!$C$5:$M$2666,2,FALSE)</f>
        <v>BRB140</v>
      </c>
      <c r="G1898" s="23" t="str">
        <f>VLOOKUP($C1898,Carpetas!$C$5:$M$2666,10,FALSE)</f>
        <v>154,28,29</v>
      </c>
      <c r="H1898" s="27" t="str">
        <f>VLOOKUP($C1898,Carpetas!$C$5:$M$2666,6,FALSE)</f>
        <v>Chabat</v>
      </c>
      <c r="I1898" s="220"/>
      <c r="J1898" s="47">
        <v>46001</v>
      </c>
      <c r="K1898" s="72" t="str">
        <f>VLOOKUP($C1898,Carpetas!$C$5:$M$2666,5,FALSE)</f>
        <v>Rio Branco</v>
      </c>
      <c r="L1898" s="32"/>
      <c r="M1898" s="48">
        <f t="shared" si="130"/>
        <v>46002</v>
      </c>
      <c r="N1898" s="26">
        <f t="shared" si="129"/>
        <v>2</v>
      </c>
      <c r="O1898" s="27">
        <v>990</v>
      </c>
      <c r="P1898" s="27">
        <v>990</v>
      </c>
      <c r="Q1898" s="27">
        <v>28</v>
      </c>
      <c r="R1898" s="27">
        <v>26</v>
      </c>
      <c r="S1898" s="27" t="s">
        <v>5267</v>
      </c>
      <c r="T1898" s="27"/>
      <c r="U1898" s="27">
        <v>2481</v>
      </c>
      <c r="V1898" s="27" t="s">
        <v>4129</v>
      </c>
      <c r="W1898" s="27" t="s">
        <v>5268</v>
      </c>
      <c r="X1898" s="128"/>
      <c r="Y1898" s="73" t="e">
        <f>VLOOKUP(X1898,Choferes!$B$3:C468,2,FALSE)</f>
        <v>#N/A</v>
      </c>
      <c r="Z1898" s="73" t="s">
        <v>5269</v>
      </c>
    </row>
    <row r="1899" spans="1:26" ht="45" hidden="1" x14ac:dyDescent="0.25">
      <c r="A1899" s="33">
        <v>50</v>
      </c>
      <c r="B1899" s="71" t="s">
        <v>29</v>
      </c>
      <c r="C1899" s="39" t="s">
        <v>5270</v>
      </c>
      <c r="D1899" s="106" t="s">
        <v>38</v>
      </c>
      <c r="E1899" s="47">
        <v>45997</v>
      </c>
      <c r="F1899" s="31" t="str">
        <f>VLOOKUP($C1899,Carpetas!$C$5:$M$2666,2,FALSE)</f>
        <v>BRE077</v>
      </c>
      <c r="G1899" s="23" t="str">
        <f>VLOOKUP($C1899,Carpetas!$C$5:$M$2666,10,FALSE)</f>
        <v>154.47.32/33/35/34</v>
      </c>
      <c r="H1899" s="27" t="str">
        <f>VLOOKUP($C1899,Carpetas!$C$5:$M$2666,6,FALSE)</f>
        <v>VPN</v>
      </c>
      <c r="I1899" s="220">
        <f>VLOOKUP($C1899,Carpetas!$C$5:$M$2666,4,FALSE)</f>
        <v>0</v>
      </c>
      <c r="J1899" s="47">
        <v>46002</v>
      </c>
      <c r="K1899" s="72" t="str">
        <f>VLOOKUP($C1899,Carpetas!$C$5:$M$2666,5,FALSE)</f>
        <v>Rio Branco</v>
      </c>
      <c r="L1899" s="32"/>
      <c r="M1899" s="48">
        <f t="shared" si="130"/>
        <v>46003</v>
      </c>
      <c r="N1899" s="26">
        <f t="shared" si="129"/>
        <v>6</v>
      </c>
      <c r="O1899" s="27">
        <v>1268</v>
      </c>
      <c r="P1899" s="27">
        <v>1264</v>
      </c>
      <c r="Q1899" s="27">
        <v>26</v>
      </c>
      <c r="R1899" s="27">
        <v>25</v>
      </c>
      <c r="S1899" s="27" t="s">
        <v>1683</v>
      </c>
      <c r="T1899" s="27"/>
      <c r="U1899" s="27"/>
      <c r="V1899" s="27"/>
      <c r="W1899" s="27"/>
      <c r="X1899" s="128"/>
      <c r="Y1899" s="73" t="e">
        <f>VLOOKUP(X1899,Choferes!$B$3:C462,2,FALSE)</f>
        <v>#N/A</v>
      </c>
      <c r="Z1899" s="73" t="s">
        <v>5271</v>
      </c>
    </row>
    <row r="1900" spans="1:26" hidden="1" x14ac:dyDescent="0.25">
      <c r="A1900" s="33">
        <v>50</v>
      </c>
      <c r="B1900" s="71" t="s">
        <v>29</v>
      </c>
      <c r="C1900" s="39" t="s">
        <v>5262</v>
      </c>
      <c r="D1900" s="106" t="s">
        <v>2202</v>
      </c>
      <c r="E1900" s="47">
        <v>46000</v>
      </c>
      <c r="F1900" s="31" t="str">
        <f>VLOOKUP($C1900,Carpetas!$C$5:$M$2666,2,FALSE)</f>
        <v>BRB152</v>
      </c>
      <c r="G1900" s="23" t="str">
        <f>VLOOKUP($C1900,Carpetas!$C$5:$M$2666,10,FALSE)</f>
        <v>154.48.93</v>
      </c>
      <c r="H1900" s="27" t="str">
        <f>VLOOKUP($C1900,Carpetas!$C$5:$M$2666,6,FALSE)</f>
        <v>Zanini</v>
      </c>
      <c r="I1900" s="220"/>
      <c r="J1900" s="47">
        <f>E1900+2</f>
        <v>46002</v>
      </c>
      <c r="K1900" s="72" t="str">
        <f>VLOOKUP($C1900,Carpetas!$C$5:$M$2666,5,FALSE)</f>
        <v>Chuy</v>
      </c>
      <c r="L1900" s="32"/>
      <c r="M1900" s="48">
        <f t="shared" si="130"/>
        <v>46003</v>
      </c>
      <c r="N1900" s="26">
        <f t="shared" si="129"/>
        <v>3</v>
      </c>
      <c r="O1900" s="27">
        <v>918</v>
      </c>
      <c r="P1900" s="27">
        <v>919</v>
      </c>
      <c r="Q1900" s="27">
        <v>26</v>
      </c>
      <c r="R1900" s="27">
        <v>25</v>
      </c>
      <c r="S1900" s="27" t="s">
        <v>5272</v>
      </c>
      <c r="T1900" s="27"/>
      <c r="U1900" s="27"/>
      <c r="V1900" s="27" t="s">
        <v>5273</v>
      </c>
      <c r="W1900" s="27" t="s">
        <v>5274</v>
      </c>
      <c r="X1900" s="128"/>
      <c r="Y1900" s="73" t="e">
        <f>VLOOKUP(X1900,Choferes!$B$3:C458,2,FALSE)</f>
        <v>#N/A</v>
      </c>
      <c r="Z1900" s="73" t="s">
        <v>5275</v>
      </c>
    </row>
    <row r="1901" spans="1:26" hidden="1" x14ac:dyDescent="0.25">
      <c r="A1901" s="33">
        <v>50</v>
      </c>
      <c r="B1901" s="71" t="s">
        <v>29</v>
      </c>
      <c r="C1901" s="39" t="s">
        <v>5234</v>
      </c>
      <c r="D1901" s="106" t="s">
        <v>803</v>
      </c>
      <c r="E1901" s="47">
        <v>46000</v>
      </c>
      <c r="F1901" s="31" t="str">
        <f>VLOOKUP($C1901,Carpetas!$C$5:$M$2666,2,FALSE)</f>
        <v>BRB150</v>
      </c>
      <c r="G1901" s="23" t="str">
        <f>VLOOKUP($C1901,Carpetas!$C$5:$M$2666,10,FALSE)</f>
        <v>154,39,07</v>
      </c>
      <c r="H1901" s="27" t="str">
        <f>VLOOKUP($C1901,Carpetas!$C$5:$M$2666,6,FALSE)</f>
        <v>FG</v>
      </c>
      <c r="I1901" s="220"/>
      <c r="J1901" s="47">
        <v>46003</v>
      </c>
      <c r="K1901" s="72" t="str">
        <f>VLOOKUP($C1901,Carpetas!$C$5:$M$2666,5,FALSE)</f>
        <v>Rio Branco</v>
      </c>
      <c r="L1901" s="32"/>
      <c r="M1901" s="48">
        <f t="shared" si="130"/>
        <v>46004</v>
      </c>
      <c r="N1901" s="26">
        <f t="shared" si="129"/>
        <v>4</v>
      </c>
      <c r="O1901" s="27">
        <v>990</v>
      </c>
      <c r="P1901" s="27">
        <v>990</v>
      </c>
      <c r="Q1901" s="27">
        <v>28</v>
      </c>
      <c r="R1901" s="27">
        <v>26</v>
      </c>
      <c r="S1901" s="27" t="s">
        <v>5276</v>
      </c>
      <c r="T1901" s="27"/>
      <c r="U1901" s="27">
        <v>1285</v>
      </c>
      <c r="V1901" s="27" t="s">
        <v>1726</v>
      </c>
      <c r="W1901" s="27" t="s">
        <v>1646</v>
      </c>
      <c r="X1901" s="128"/>
      <c r="Y1901" s="73" t="e">
        <f>VLOOKUP(X1901,Choferes!$B$3:C461,2,FALSE)</f>
        <v>#N/A</v>
      </c>
      <c r="Z1901" s="73" t="s">
        <v>5277</v>
      </c>
    </row>
    <row r="1902" spans="1:26" hidden="1" x14ac:dyDescent="0.25">
      <c r="A1902" s="33">
        <v>50</v>
      </c>
      <c r="B1902" s="71" t="s">
        <v>29</v>
      </c>
      <c r="C1902" s="39" t="s">
        <v>5234</v>
      </c>
      <c r="D1902" s="106" t="s">
        <v>110</v>
      </c>
      <c r="E1902" s="47">
        <v>46001</v>
      </c>
      <c r="F1902" s="31" t="str">
        <f>VLOOKUP($C1902,Carpetas!$C$5:$M$2666,2,FALSE)</f>
        <v>BRB150</v>
      </c>
      <c r="G1902" s="23" t="str">
        <f>VLOOKUP($C1902,Carpetas!$C$5:$M$2666,10,FALSE)</f>
        <v>154,39,07</v>
      </c>
      <c r="H1902" s="27" t="str">
        <f>VLOOKUP($C1902,Carpetas!$C$5:$M$2666,6,FALSE)</f>
        <v>FG</v>
      </c>
      <c r="I1902" s="220"/>
      <c r="J1902" s="47">
        <f t="shared" ref="J1902:J1910" si="131">E1902+2</f>
        <v>46003</v>
      </c>
      <c r="K1902" s="72" t="str">
        <f>VLOOKUP($C1902,Carpetas!$C$5:$M$2666,5,FALSE)</f>
        <v>Rio Branco</v>
      </c>
      <c r="L1902" s="32"/>
      <c r="M1902" s="48">
        <f t="shared" si="130"/>
        <v>46004</v>
      </c>
      <c r="N1902" s="26">
        <f t="shared" si="129"/>
        <v>3</v>
      </c>
      <c r="O1902" s="27">
        <v>990</v>
      </c>
      <c r="P1902" s="27">
        <v>991</v>
      </c>
      <c r="Q1902" s="27">
        <v>28</v>
      </c>
      <c r="R1902" s="27">
        <v>26</v>
      </c>
      <c r="S1902" s="27" t="s">
        <v>5278</v>
      </c>
      <c r="T1902" s="27"/>
      <c r="U1902" s="27">
        <v>1283</v>
      </c>
      <c r="V1902" s="27" t="s">
        <v>1630</v>
      </c>
      <c r="W1902" s="27" t="s">
        <v>1934</v>
      </c>
      <c r="X1902" s="128"/>
      <c r="Y1902" s="73" t="e">
        <f>VLOOKUP(X1902,Choferes!$B$3:C462,2,FALSE)</f>
        <v>#N/A</v>
      </c>
      <c r="Z1902" s="73" t="s">
        <v>5279</v>
      </c>
    </row>
    <row r="1903" spans="1:26" hidden="1" x14ac:dyDescent="0.25">
      <c r="A1903" s="33">
        <v>50</v>
      </c>
      <c r="B1903" s="71" t="s">
        <v>29</v>
      </c>
      <c r="C1903" s="39" t="s">
        <v>5212</v>
      </c>
      <c r="D1903" s="106" t="s">
        <v>2474</v>
      </c>
      <c r="E1903" s="47">
        <v>46001</v>
      </c>
      <c r="F1903" s="31" t="str">
        <f>VLOOKUP($C1903,Carpetas!$C$5:$M$2666,2,FALSE)</f>
        <v>BRB147</v>
      </c>
      <c r="G1903" s="23" t="str">
        <f>VLOOKUP($C1903,Carpetas!$C$5:$M$2666,10,FALSE)</f>
        <v>154,37,74</v>
      </c>
      <c r="H1903" s="27" t="str">
        <f>VLOOKUP($C1903,Carpetas!$C$5:$M$2666,6,FALSE)</f>
        <v>Gral</v>
      </c>
      <c r="I1903" s="220"/>
      <c r="J1903" s="47">
        <f t="shared" si="131"/>
        <v>46003</v>
      </c>
      <c r="K1903" s="72" t="str">
        <f>VLOOKUP($C1903,Carpetas!$C$5:$M$2666,5,FALSE)</f>
        <v>Rio Branco</v>
      </c>
      <c r="L1903" s="32"/>
      <c r="M1903" s="48">
        <f t="shared" si="130"/>
        <v>46004</v>
      </c>
      <c r="N1903" s="26">
        <f t="shared" si="129"/>
        <v>3</v>
      </c>
      <c r="O1903" s="27">
        <v>918</v>
      </c>
      <c r="P1903" s="27">
        <v>918</v>
      </c>
      <c r="Q1903" s="27">
        <v>26</v>
      </c>
      <c r="R1903" s="27">
        <v>25</v>
      </c>
      <c r="S1903" s="27" t="s">
        <v>5280</v>
      </c>
      <c r="T1903" s="27"/>
      <c r="U1903" s="27"/>
      <c r="V1903" s="27" t="s">
        <v>5281</v>
      </c>
      <c r="W1903" s="27" t="s">
        <v>5282</v>
      </c>
      <c r="X1903" s="128"/>
      <c r="Y1903" s="73" t="e">
        <f>VLOOKUP(X1903,Choferes!$B$3:C470,2,FALSE)</f>
        <v>#N/A</v>
      </c>
      <c r="Z1903" s="73" t="s">
        <v>5283</v>
      </c>
    </row>
    <row r="1904" spans="1:26" ht="15.75" hidden="1" customHeight="1" x14ac:dyDescent="0.25">
      <c r="A1904" s="33">
        <v>50</v>
      </c>
      <c r="B1904" s="71" t="s">
        <v>29</v>
      </c>
      <c r="C1904" s="39" t="s">
        <v>5284</v>
      </c>
      <c r="D1904" s="106" t="s">
        <v>2474</v>
      </c>
      <c r="E1904" s="47">
        <v>46002</v>
      </c>
      <c r="F1904" s="31" t="str">
        <f>VLOOKUP($C1904,Carpetas!$C$5:$M$2666,2,FALSE)</f>
        <v>BRB154</v>
      </c>
      <c r="G1904" s="23" t="str">
        <f>VLOOKUP($C1904,Carpetas!$C$5:$M$2666,10,FALSE)</f>
        <v>154,32,58</v>
      </c>
      <c r="H1904" s="27" t="str">
        <f>VLOOKUP($C1904,Carpetas!$C$5:$M$2666,6,FALSE)</f>
        <v>Amaro</v>
      </c>
      <c r="I1904" s="220"/>
      <c r="J1904" s="47">
        <f t="shared" si="131"/>
        <v>46004</v>
      </c>
      <c r="K1904" s="72" t="str">
        <f>VLOOKUP($C1904,Carpetas!$C$5:$M$2666,5,FALSE)</f>
        <v>Rio Branco</v>
      </c>
      <c r="L1904" s="32"/>
      <c r="M1904" s="48">
        <f t="shared" si="130"/>
        <v>46005</v>
      </c>
      <c r="N1904" s="26">
        <f t="shared" si="129"/>
        <v>3</v>
      </c>
      <c r="O1904" s="27">
        <v>990</v>
      </c>
      <c r="P1904" s="27">
        <v>990</v>
      </c>
      <c r="Q1904" s="27">
        <v>28</v>
      </c>
      <c r="R1904" s="27">
        <v>26</v>
      </c>
      <c r="S1904" s="27" t="s">
        <v>5285</v>
      </c>
      <c r="T1904" s="27"/>
      <c r="U1904" s="27">
        <v>27586</v>
      </c>
      <c r="V1904" s="27" t="s">
        <v>4391</v>
      </c>
      <c r="W1904" s="27" t="s">
        <v>5286</v>
      </c>
      <c r="X1904" s="128"/>
      <c r="Y1904" s="73" t="e">
        <f>VLOOKUP(X1904,Choferes!$B$3:C467,2,FALSE)</f>
        <v>#N/A</v>
      </c>
      <c r="Z1904" s="73" t="s">
        <v>5287</v>
      </c>
    </row>
    <row r="1905" spans="1:26" hidden="1" x14ac:dyDescent="0.25">
      <c r="A1905" s="33">
        <v>50</v>
      </c>
      <c r="B1905" s="71" t="s">
        <v>29</v>
      </c>
      <c r="C1905" s="39" t="s">
        <v>5262</v>
      </c>
      <c r="D1905" s="106" t="s">
        <v>2202</v>
      </c>
      <c r="E1905" s="47">
        <v>46003</v>
      </c>
      <c r="F1905" s="31" t="str">
        <f>VLOOKUP($C1905,Carpetas!$C$5:$M$2666,2,FALSE)</f>
        <v>BRB152</v>
      </c>
      <c r="G1905" s="23" t="str">
        <f>VLOOKUP($C1905,Carpetas!$C$5:$M$2666,10,FALSE)</f>
        <v>154.48.93</v>
      </c>
      <c r="H1905" s="27" t="str">
        <f>VLOOKUP($C1905,Carpetas!$C$5:$M$2666,6,FALSE)</f>
        <v>Zanini</v>
      </c>
      <c r="I1905" s="220"/>
      <c r="J1905" s="47">
        <f t="shared" si="131"/>
        <v>46005</v>
      </c>
      <c r="K1905" s="72" t="str">
        <f>VLOOKUP($C1905,Carpetas!$C$5:$M$2666,5,FALSE)</f>
        <v>Chuy</v>
      </c>
      <c r="L1905" s="32"/>
      <c r="M1905" s="48">
        <f t="shared" si="130"/>
        <v>46006</v>
      </c>
      <c r="N1905" s="26">
        <f t="shared" si="129"/>
        <v>3</v>
      </c>
      <c r="O1905" s="27">
        <v>918</v>
      </c>
      <c r="P1905" s="27">
        <v>919</v>
      </c>
      <c r="Q1905" s="27">
        <v>26</v>
      </c>
      <c r="R1905" s="27">
        <v>25</v>
      </c>
      <c r="S1905" s="27" t="s">
        <v>5288</v>
      </c>
      <c r="T1905" s="27"/>
      <c r="U1905" s="27"/>
      <c r="V1905" s="27" t="s">
        <v>5289</v>
      </c>
      <c r="W1905" s="27" t="s">
        <v>5290</v>
      </c>
      <c r="X1905" s="128"/>
      <c r="Y1905" s="73" t="e">
        <f>VLOOKUP(X1905,Choferes!$B$3:C459,2,FALSE)</f>
        <v>#N/A</v>
      </c>
      <c r="Z1905" s="73" t="s">
        <v>5291</v>
      </c>
    </row>
    <row r="1906" spans="1:26" ht="14.25" hidden="1" customHeight="1" x14ac:dyDescent="0.25">
      <c r="A1906" s="33">
        <v>50</v>
      </c>
      <c r="B1906" s="71" t="s">
        <v>29</v>
      </c>
      <c r="C1906" s="39" t="s">
        <v>5234</v>
      </c>
      <c r="D1906" s="106" t="s">
        <v>249</v>
      </c>
      <c r="E1906" s="47">
        <v>46003</v>
      </c>
      <c r="F1906" s="31" t="str">
        <f>VLOOKUP($C1906,Carpetas!$C$5:$M$2666,2,FALSE)</f>
        <v>BRB150</v>
      </c>
      <c r="G1906" s="23" t="str">
        <f>VLOOKUP($C1906,Carpetas!$C$5:$M$2666,10,FALSE)</f>
        <v>154,39,07</v>
      </c>
      <c r="H1906" s="27" t="str">
        <f>VLOOKUP($C1906,Carpetas!$C$5:$M$2666,6,FALSE)</f>
        <v>FG</v>
      </c>
      <c r="I1906" s="220"/>
      <c r="J1906" s="47">
        <f t="shared" si="131"/>
        <v>46005</v>
      </c>
      <c r="K1906" s="72" t="str">
        <f>VLOOKUP($C1906,Carpetas!$C$5:$M$2666,5,FALSE)</f>
        <v>Rio Branco</v>
      </c>
      <c r="L1906" s="32"/>
      <c r="M1906" s="48">
        <f t="shared" si="130"/>
        <v>46006</v>
      </c>
      <c r="N1906" s="26">
        <f t="shared" si="129"/>
        <v>3</v>
      </c>
      <c r="O1906" s="27">
        <v>990</v>
      </c>
      <c r="P1906" s="27">
        <v>990</v>
      </c>
      <c r="Q1906" s="27">
        <v>28</v>
      </c>
      <c r="R1906" s="27">
        <v>26</v>
      </c>
      <c r="S1906" s="27" t="s">
        <v>5292</v>
      </c>
      <c r="T1906" s="27"/>
      <c r="U1906" s="27">
        <v>1284</v>
      </c>
      <c r="V1906" s="27" t="s">
        <v>1722</v>
      </c>
      <c r="W1906" s="27" t="s">
        <v>1723</v>
      </c>
      <c r="X1906" s="128"/>
      <c r="Y1906" s="73" t="e">
        <f>VLOOKUP(X1906,Choferes!$B$3:C463,2,FALSE)</f>
        <v>#N/A</v>
      </c>
      <c r="Z1906" s="73" t="s">
        <v>5277</v>
      </c>
    </row>
    <row r="1907" spans="1:26" hidden="1" x14ac:dyDescent="0.25">
      <c r="A1907" s="33">
        <v>50</v>
      </c>
      <c r="B1907" s="71" t="s">
        <v>29</v>
      </c>
      <c r="C1907" s="39" t="s">
        <v>5293</v>
      </c>
      <c r="D1907" s="106" t="s">
        <v>747</v>
      </c>
      <c r="E1907" s="47">
        <v>46003</v>
      </c>
      <c r="F1907" s="31" t="str">
        <f>VLOOKUP($C1907,Carpetas!$C$5:$M$2666,2,FALSE)</f>
        <v>BRB153</v>
      </c>
      <c r="G1907" s="23" t="str">
        <f>VLOOKUP($C1907,Carpetas!$C$5:$M$2666,10,FALSE)</f>
        <v>154.51.58</v>
      </c>
      <c r="H1907" s="27" t="str">
        <f>VLOOKUP($C1907,Carpetas!$C$5:$M$2666,6,FALSE)</f>
        <v>FG</v>
      </c>
      <c r="I1907" s="220"/>
      <c r="J1907" s="47">
        <f t="shared" si="131"/>
        <v>46005</v>
      </c>
      <c r="K1907" s="72" t="str">
        <f>VLOOKUP($C1907,Carpetas!$C$5:$M$2666,5,FALSE)</f>
        <v>Rio Branco</v>
      </c>
      <c r="L1907" s="32"/>
      <c r="M1907" s="48">
        <f t="shared" si="130"/>
        <v>46006</v>
      </c>
      <c r="N1907" s="26">
        <f t="shared" si="129"/>
        <v>3</v>
      </c>
      <c r="O1907" s="27">
        <v>990</v>
      </c>
      <c r="P1907" s="27">
        <v>990</v>
      </c>
      <c r="Q1907" s="27">
        <v>28</v>
      </c>
      <c r="R1907" s="27">
        <v>26</v>
      </c>
      <c r="S1907" s="27" t="s">
        <v>5294</v>
      </c>
      <c r="T1907" s="27"/>
      <c r="U1907" s="27"/>
      <c r="V1907" s="27" t="s">
        <v>1430</v>
      </c>
      <c r="W1907" s="27" t="s">
        <v>1669</v>
      </c>
      <c r="X1907" s="128"/>
      <c r="Y1907" s="73" t="e">
        <f>VLOOKUP(X1907,Choferes!$B$3:C464,2,FALSE)</f>
        <v>#N/A</v>
      </c>
      <c r="Z1907" s="73" t="s">
        <v>5277</v>
      </c>
    </row>
    <row r="1908" spans="1:26" hidden="1" x14ac:dyDescent="0.25">
      <c r="A1908" s="33">
        <v>50</v>
      </c>
      <c r="B1908" s="71" t="s">
        <v>29</v>
      </c>
      <c r="C1908" s="39" t="s">
        <v>5262</v>
      </c>
      <c r="D1908" s="106" t="s">
        <v>2202</v>
      </c>
      <c r="E1908" s="47">
        <v>46004</v>
      </c>
      <c r="F1908" s="31" t="str">
        <f>VLOOKUP($C1908,Carpetas!$C$5:$M$2666,2,FALSE)</f>
        <v>BRB152</v>
      </c>
      <c r="G1908" s="23" t="str">
        <f>VLOOKUP($C1908,Carpetas!$C$5:$M$2666,10,FALSE)</f>
        <v>154.48.93</v>
      </c>
      <c r="H1908" s="27" t="str">
        <f>VLOOKUP($C1908,Carpetas!$C$5:$M$2666,6,FALSE)</f>
        <v>Zanini</v>
      </c>
      <c r="I1908" s="220"/>
      <c r="J1908" s="47">
        <f t="shared" si="131"/>
        <v>46006</v>
      </c>
      <c r="K1908" s="72" t="str">
        <f>VLOOKUP($C1908,Carpetas!$C$5:$M$2666,5,FALSE)</f>
        <v>Chuy</v>
      </c>
      <c r="L1908" s="32"/>
      <c r="M1908" s="48">
        <f t="shared" si="130"/>
        <v>46007</v>
      </c>
      <c r="N1908" s="26">
        <f t="shared" si="129"/>
        <v>3</v>
      </c>
      <c r="O1908" s="27">
        <v>918</v>
      </c>
      <c r="P1908" s="27">
        <v>919</v>
      </c>
      <c r="Q1908" s="27">
        <v>26</v>
      </c>
      <c r="R1908" s="27">
        <v>25</v>
      </c>
      <c r="S1908" s="27" t="s">
        <v>5295</v>
      </c>
      <c r="T1908" s="27"/>
      <c r="U1908" s="27"/>
      <c r="V1908" s="27" t="s">
        <v>3381</v>
      </c>
      <c r="W1908" s="27" t="s">
        <v>3382</v>
      </c>
      <c r="X1908" s="128"/>
      <c r="Y1908" s="73" t="e">
        <f>VLOOKUP(X1908,Choferes!$B$3:C460,2,FALSE)</f>
        <v>#N/A</v>
      </c>
      <c r="Z1908" s="73" t="s">
        <v>5291</v>
      </c>
    </row>
    <row r="1909" spans="1:26" hidden="1" x14ac:dyDescent="0.25">
      <c r="A1909" s="33">
        <v>50</v>
      </c>
      <c r="B1909" s="71" t="s">
        <v>29</v>
      </c>
      <c r="C1909" s="39" t="s">
        <v>5293</v>
      </c>
      <c r="D1909" s="106" t="s">
        <v>803</v>
      </c>
      <c r="E1909" s="47">
        <v>46004</v>
      </c>
      <c r="F1909" s="31" t="str">
        <f>VLOOKUP($C1909,Carpetas!$C$5:$M$2666,2,FALSE)</f>
        <v>BRB153</v>
      </c>
      <c r="G1909" s="23" t="str">
        <f>VLOOKUP($C1909,Carpetas!$C$5:$M$2666,10,FALSE)</f>
        <v>154.51.58</v>
      </c>
      <c r="H1909" s="27" t="str">
        <f>VLOOKUP($C1909,Carpetas!$C$5:$M$2666,6,FALSE)</f>
        <v>FG</v>
      </c>
      <c r="I1909" s="220"/>
      <c r="J1909" s="47">
        <f t="shared" si="131"/>
        <v>46006</v>
      </c>
      <c r="K1909" s="72" t="str">
        <f>VLOOKUP($C1909,Carpetas!$C$5:$M$2666,5,FALSE)</f>
        <v>Rio Branco</v>
      </c>
      <c r="L1909" s="32"/>
      <c r="M1909" s="48">
        <f t="shared" si="130"/>
        <v>46007</v>
      </c>
      <c r="N1909" s="26">
        <f t="shared" si="129"/>
        <v>3</v>
      </c>
      <c r="O1909" s="27">
        <v>990</v>
      </c>
      <c r="P1909" s="27">
        <v>990</v>
      </c>
      <c r="Q1909" s="27">
        <v>28</v>
      </c>
      <c r="R1909" s="27">
        <v>26</v>
      </c>
      <c r="S1909" s="27" t="s">
        <v>5296</v>
      </c>
      <c r="T1909" s="27"/>
      <c r="U1909" s="27">
        <v>1291</v>
      </c>
      <c r="V1909" s="27" t="s">
        <v>1735</v>
      </c>
      <c r="W1909" s="27" t="s">
        <v>1681</v>
      </c>
      <c r="X1909" s="128"/>
      <c r="Y1909" s="73" t="e">
        <f>VLOOKUP(X1909,Choferes!$B$3:C465,2,FALSE)</f>
        <v>#N/A</v>
      </c>
      <c r="Z1909" s="73" t="s">
        <v>5297</v>
      </c>
    </row>
    <row r="1910" spans="1:26" hidden="1" x14ac:dyDescent="0.25">
      <c r="A1910" s="33">
        <v>50</v>
      </c>
      <c r="B1910" s="71" t="s">
        <v>29</v>
      </c>
      <c r="C1910" s="39" t="s">
        <v>5293</v>
      </c>
      <c r="D1910" s="106" t="s">
        <v>953</v>
      </c>
      <c r="E1910" s="47">
        <v>46004</v>
      </c>
      <c r="F1910" s="31" t="str">
        <f>VLOOKUP($C1910,Carpetas!$C$5:$M$2666,2,FALSE)</f>
        <v>BRB153</v>
      </c>
      <c r="G1910" s="23" t="str">
        <f>VLOOKUP($C1910,Carpetas!$C$5:$M$2666,10,FALSE)</f>
        <v>154.51.58</v>
      </c>
      <c r="H1910" s="27" t="str">
        <f>VLOOKUP($C1910,Carpetas!$C$5:$M$2666,6,FALSE)</f>
        <v>FG</v>
      </c>
      <c r="I1910" s="220"/>
      <c r="J1910" s="47">
        <f t="shared" si="131"/>
        <v>46006</v>
      </c>
      <c r="K1910" s="72" t="str">
        <f>VLOOKUP($C1910,Carpetas!$C$5:$M$2666,5,FALSE)</f>
        <v>Rio Branco</v>
      </c>
      <c r="L1910" s="32"/>
      <c r="M1910" s="48">
        <f t="shared" si="130"/>
        <v>46007</v>
      </c>
      <c r="N1910" s="26">
        <f t="shared" si="129"/>
        <v>3</v>
      </c>
      <c r="O1910" s="27">
        <v>990</v>
      </c>
      <c r="P1910" s="27">
        <v>990</v>
      </c>
      <c r="Q1910" s="27">
        <v>28</v>
      </c>
      <c r="R1910" s="27">
        <v>26</v>
      </c>
      <c r="S1910" s="27" t="s">
        <v>1745</v>
      </c>
      <c r="T1910" s="27"/>
      <c r="U1910" s="27">
        <v>1290</v>
      </c>
      <c r="V1910" s="27" t="s">
        <v>1626</v>
      </c>
      <c r="W1910" s="27" t="s">
        <v>1736</v>
      </c>
      <c r="X1910" s="128"/>
      <c r="Y1910" s="73" t="e">
        <f>VLOOKUP(X1910,Choferes!$B$3:C466,2,FALSE)</f>
        <v>#N/A</v>
      </c>
      <c r="Z1910" s="73" t="s">
        <v>5297</v>
      </c>
    </row>
    <row r="1911" spans="1:26" hidden="1" x14ac:dyDescent="0.25">
      <c r="A1911" s="33">
        <v>51</v>
      </c>
      <c r="B1911" s="71" t="s">
        <v>29</v>
      </c>
      <c r="C1911" s="39" t="s">
        <v>5293</v>
      </c>
      <c r="D1911" s="106" t="s">
        <v>803</v>
      </c>
      <c r="E1911" s="47">
        <v>46007</v>
      </c>
      <c r="F1911" s="31" t="str">
        <f>VLOOKUP($C1911,Carpetas!$C$5:$M$2666,2,FALSE)</f>
        <v>BRB153</v>
      </c>
      <c r="G1911" s="23" t="str">
        <f>VLOOKUP($C1911,Carpetas!$C$5:$M$2666,10,FALSE)</f>
        <v>154.51.58</v>
      </c>
      <c r="H1911" s="27" t="str">
        <f>VLOOKUP($C1911,Carpetas!$C$5:$M$2666,6,FALSE)</f>
        <v>FG</v>
      </c>
      <c r="I1911" s="220"/>
      <c r="J1911" s="47">
        <v>46008</v>
      </c>
      <c r="K1911" s="72" t="str">
        <f>VLOOKUP($C1911,Carpetas!$C$5:$M$2666,5,FALSE)</f>
        <v>Rio Branco</v>
      </c>
      <c r="L1911" s="32"/>
      <c r="M1911" s="48">
        <f t="shared" si="130"/>
        <v>46009</v>
      </c>
      <c r="N1911" s="26">
        <f t="shared" si="129"/>
        <v>2</v>
      </c>
      <c r="O1911" s="27">
        <v>990</v>
      </c>
      <c r="P1911" s="27">
        <v>990</v>
      </c>
      <c r="Q1911" s="27">
        <v>28</v>
      </c>
      <c r="R1911" s="27">
        <v>26</v>
      </c>
      <c r="S1911" s="27" t="s">
        <v>5298</v>
      </c>
      <c r="T1911" s="27"/>
      <c r="U1911" s="27">
        <v>1292</v>
      </c>
      <c r="V1911" s="27" t="s">
        <v>911</v>
      </c>
      <c r="W1911" s="27" t="s">
        <v>912</v>
      </c>
      <c r="X1911" s="128" t="s">
        <v>1397</v>
      </c>
      <c r="Y1911" s="73" t="str">
        <f>VLOOKUP(X1911,Choferes!$B$3:C471,2,FALSE)</f>
        <v>+5551996322594</v>
      </c>
      <c r="Z1911" s="73" t="s">
        <v>5299</v>
      </c>
    </row>
    <row r="1912" spans="1:26" hidden="1" x14ac:dyDescent="0.25">
      <c r="A1912" s="33">
        <v>51</v>
      </c>
      <c r="B1912" s="71" t="s">
        <v>29</v>
      </c>
      <c r="C1912" s="39" t="s">
        <v>5300</v>
      </c>
      <c r="D1912" s="106" t="s">
        <v>2202</v>
      </c>
      <c r="E1912" s="47">
        <v>46007</v>
      </c>
      <c r="F1912" s="31" t="str">
        <f>VLOOKUP($C1912,Carpetas!$C$5:$M$2666,2,FALSE)</f>
        <v>BRB155</v>
      </c>
      <c r="G1912" s="23" t="str">
        <f>VLOOKUP($C1912,Carpetas!$C$5:$M$2666,10,FALSE)</f>
        <v>154,55,19</v>
      </c>
      <c r="H1912" s="27" t="str">
        <f>VLOOKUP($C1912,Carpetas!$C$5:$M$2666,6,FALSE)</f>
        <v>Zanini</v>
      </c>
      <c r="I1912" s="220"/>
      <c r="J1912" s="47">
        <v>46008</v>
      </c>
      <c r="K1912" s="72" t="str">
        <f>VLOOKUP($C1912,Carpetas!$C$5:$M$2666,5,FALSE)</f>
        <v>Chuy</v>
      </c>
      <c r="L1912" s="32"/>
      <c r="M1912" s="48">
        <f t="shared" si="130"/>
        <v>46009</v>
      </c>
      <c r="N1912" s="26">
        <f t="shared" si="129"/>
        <v>2</v>
      </c>
      <c r="O1912" s="27">
        <v>918</v>
      </c>
      <c r="P1912" s="27">
        <v>918</v>
      </c>
      <c r="Q1912" s="27">
        <v>26</v>
      </c>
      <c r="R1912" s="27">
        <v>25</v>
      </c>
      <c r="S1912" s="27" t="s">
        <v>5301</v>
      </c>
      <c r="T1912" s="27"/>
      <c r="U1912" s="27"/>
      <c r="V1912" s="27" t="s">
        <v>5302</v>
      </c>
      <c r="W1912" s="27" t="s">
        <v>5303</v>
      </c>
      <c r="X1912" s="128"/>
      <c r="Y1912" s="73" t="e">
        <f>VLOOKUP(X1912,Choferes!$B$3:C467,2,FALSE)</f>
        <v>#N/A</v>
      </c>
      <c r="Z1912" s="73" t="s">
        <v>5304</v>
      </c>
    </row>
    <row r="1913" spans="1:26" hidden="1" x14ac:dyDescent="0.25">
      <c r="A1913" s="33">
        <v>50</v>
      </c>
      <c r="B1913" s="71" t="s">
        <v>29</v>
      </c>
      <c r="C1913" s="39" t="s">
        <v>5305</v>
      </c>
      <c r="D1913" s="106" t="s">
        <v>2480</v>
      </c>
      <c r="E1913" s="47">
        <v>46001</v>
      </c>
      <c r="F1913" s="31" t="str">
        <f>VLOOKUP($C1913,Carpetas!$C$5:$M$2666,2,FALSE)</f>
        <v>BRE078</v>
      </c>
      <c r="G1913" s="23" t="str">
        <f>VLOOKUP($C1913,Carpetas!$C$5:$M$2666,10,FALSE)</f>
        <v>154,45,12/154,50,73</v>
      </c>
      <c r="H1913" s="27" t="str">
        <f>VLOOKUP($C1913,Carpetas!$C$5:$M$2666,6,FALSE)</f>
        <v>Marvel</v>
      </c>
      <c r="I1913" s="220"/>
      <c r="J1913" s="47">
        <v>46008</v>
      </c>
      <c r="K1913" s="72" t="str">
        <f>VLOOKUP($C1913,Carpetas!$C$5:$M$2666,5,FALSE)</f>
        <v>Rio Branco</v>
      </c>
      <c r="L1913" s="32"/>
      <c r="M1913" s="48">
        <f>J1913+1+1</f>
        <v>46010</v>
      </c>
      <c r="N1913" s="26">
        <f t="shared" si="129"/>
        <v>9</v>
      </c>
      <c r="O1913" s="27">
        <v>2916</v>
      </c>
      <c r="P1913" s="27">
        <v>2916</v>
      </c>
      <c r="Q1913" s="27">
        <v>26</v>
      </c>
      <c r="R1913" s="27">
        <v>25</v>
      </c>
      <c r="S1913" s="27" t="s">
        <v>5306</v>
      </c>
      <c r="T1913" s="27"/>
      <c r="U1913" s="27">
        <v>11273</v>
      </c>
      <c r="V1913" s="27" t="s">
        <v>5307</v>
      </c>
      <c r="W1913" s="27" t="s">
        <v>5308</v>
      </c>
      <c r="X1913" s="128"/>
      <c r="Y1913" s="73" t="e">
        <f>VLOOKUP(X1913,Choferes!$B$3:C474,2,FALSE)</f>
        <v>#N/A</v>
      </c>
      <c r="Z1913" s="73" t="s">
        <v>5309</v>
      </c>
    </row>
    <row r="1914" spans="1:26" hidden="1" x14ac:dyDescent="0.25">
      <c r="A1914" s="33">
        <v>51</v>
      </c>
      <c r="B1914" s="71" t="s">
        <v>29</v>
      </c>
      <c r="C1914" s="39" t="s">
        <v>5126</v>
      </c>
      <c r="D1914" s="106" t="s">
        <v>2474</v>
      </c>
      <c r="E1914" s="47">
        <v>46007</v>
      </c>
      <c r="F1914" s="31" t="str">
        <f>VLOOKUP($C1914,Carpetas!$C$5:$M$2666,2,FALSE)</f>
        <v>BRB140</v>
      </c>
      <c r="G1914" s="23" t="str">
        <f>VLOOKUP($C1914,Carpetas!$C$5:$M$2666,10,FALSE)</f>
        <v>154,28,29</v>
      </c>
      <c r="H1914" s="27" t="str">
        <f>VLOOKUP($C1914,Carpetas!$C$5:$M$2666,6,FALSE)</f>
        <v>Chabat</v>
      </c>
      <c r="I1914" s="220"/>
      <c r="J1914" s="47">
        <f>E1914+2</f>
        <v>46009</v>
      </c>
      <c r="K1914" s="72" t="str">
        <f>VLOOKUP($C1914,Carpetas!$C$5:$M$2666,5,FALSE)</f>
        <v>Rio Branco</v>
      </c>
      <c r="L1914" s="32"/>
      <c r="M1914" s="48">
        <f t="shared" ref="M1914:M1924" si="132">J1914+1</f>
        <v>46010</v>
      </c>
      <c r="N1914" s="26">
        <f t="shared" si="129"/>
        <v>3</v>
      </c>
      <c r="O1914" s="27">
        <v>990</v>
      </c>
      <c r="P1914" s="27">
        <v>990</v>
      </c>
      <c r="Q1914" s="27">
        <v>28</v>
      </c>
      <c r="R1914" s="27">
        <v>26</v>
      </c>
      <c r="S1914" s="27" t="s">
        <v>5310</v>
      </c>
      <c r="T1914" s="27"/>
      <c r="U1914" s="27">
        <v>2483</v>
      </c>
      <c r="V1914" s="27" t="s">
        <v>4129</v>
      </c>
      <c r="W1914" s="27" t="s">
        <v>4223</v>
      </c>
      <c r="X1914" s="128"/>
      <c r="Y1914" s="73" t="e">
        <f>VLOOKUP(X1914,Choferes!$B$3:C474,2,FALSE)</f>
        <v>#N/A</v>
      </c>
      <c r="Z1914" s="73" t="s">
        <v>5311</v>
      </c>
    </row>
    <row r="1915" spans="1:26" hidden="1" x14ac:dyDescent="0.25">
      <c r="A1915" s="33">
        <v>51</v>
      </c>
      <c r="B1915" s="71" t="s">
        <v>29</v>
      </c>
      <c r="C1915" s="39" t="s">
        <v>5300</v>
      </c>
      <c r="D1915" s="106" t="s">
        <v>2202</v>
      </c>
      <c r="E1915" s="47">
        <v>46008</v>
      </c>
      <c r="F1915" s="31" t="str">
        <f>VLOOKUP($C1915,Carpetas!$C$5:$M$2666,2,FALSE)</f>
        <v>BRB155</v>
      </c>
      <c r="G1915" s="23" t="str">
        <f>VLOOKUP($C1915,Carpetas!$C$5:$M$2666,10,FALSE)</f>
        <v>154,55,19</v>
      </c>
      <c r="H1915" s="27" t="str">
        <f>VLOOKUP($C1915,Carpetas!$C$5:$M$2666,6,FALSE)</f>
        <v>Zanini</v>
      </c>
      <c r="I1915" s="220"/>
      <c r="J1915" s="47">
        <v>46009</v>
      </c>
      <c r="K1915" s="72" t="str">
        <f>VLOOKUP($C1915,Carpetas!$C$5:$M$2666,5,FALSE)</f>
        <v>Chuy</v>
      </c>
      <c r="L1915" s="32"/>
      <c r="M1915" s="48">
        <f t="shared" si="132"/>
        <v>46010</v>
      </c>
      <c r="N1915" s="26">
        <f t="shared" si="129"/>
        <v>2</v>
      </c>
      <c r="O1915" s="27">
        <v>918</v>
      </c>
      <c r="P1915" s="27">
        <v>918</v>
      </c>
      <c r="Q1915" s="27">
        <v>26</v>
      </c>
      <c r="R1915" s="27">
        <v>25</v>
      </c>
      <c r="S1915" s="27" t="s">
        <v>5312</v>
      </c>
      <c r="T1915" s="27"/>
      <c r="U1915" s="27"/>
      <c r="V1915" s="27" t="s">
        <v>5313</v>
      </c>
      <c r="W1915" s="27" t="s">
        <v>5314</v>
      </c>
      <c r="X1915" s="128"/>
      <c r="Y1915" s="73" t="e">
        <f>VLOOKUP(X1915,Choferes!$B$3:C468,2,FALSE)</f>
        <v>#N/A</v>
      </c>
      <c r="Z1915" s="73" t="s">
        <v>5315</v>
      </c>
    </row>
    <row r="1916" spans="1:26" hidden="1" x14ac:dyDescent="0.25">
      <c r="A1916" s="33">
        <v>51</v>
      </c>
      <c r="B1916" s="71" t="s">
        <v>29</v>
      </c>
      <c r="C1916" s="39" t="s">
        <v>5293</v>
      </c>
      <c r="D1916" s="106" t="s">
        <v>803</v>
      </c>
      <c r="E1916" s="47">
        <v>46008</v>
      </c>
      <c r="F1916" s="31" t="str">
        <f>VLOOKUP($C1916,Carpetas!$C$5:$M$2666,2,FALSE)</f>
        <v>BRB153</v>
      </c>
      <c r="G1916" s="23" t="str">
        <f>VLOOKUP($C1916,Carpetas!$C$5:$M$2666,10,FALSE)</f>
        <v>154.51.58</v>
      </c>
      <c r="H1916" s="27" t="str">
        <f>VLOOKUP($C1916,Carpetas!$C$5:$M$2666,6,FALSE)</f>
        <v>FG</v>
      </c>
      <c r="I1916" s="220"/>
      <c r="J1916" s="47">
        <f>E1916+2</f>
        <v>46010</v>
      </c>
      <c r="K1916" s="72" t="str">
        <f>VLOOKUP($C1916,Carpetas!$C$5:$M$2666,5,FALSE)</f>
        <v>Rio Branco</v>
      </c>
      <c r="L1916" s="32"/>
      <c r="M1916" s="48">
        <f t="shared" si="132"/>
        <v>46011</v>
      </c>
      <c r="N1916" s="26">
        <f t="shared" si="129"/>
        <v>3</v>
      </c>
      <c r="O1916" s="27">
        <v>990</v>
      </c>
      <c r="P1916" s="27">
        <v>990</v>
      </c>
      <c r="Q1916" s="27">
        <v>28</v>
      </c>
      <c r="R1916" s="27">
        <v>26</v>
      </c>
      <c r="S1916" s="27" t="s">
        <v>5316</v>
      </c>
      <c r="T1916" s="27"/>
      <c r="U1916" s="27">
        <v>1296</v>
      </c>
      <c r="V1916" s="27" t="s">
        <v>5317</v>
      </c>
      <c r="W1916" s="27" t="s">
        <v>5318</v>
      </c>
      <c r="X1916" s="128" t="s">
        <v>1489</v>
      </c>
      <c r="Y1916" s="73" t="str">
        <f>VLOOKUP(X1916,Choferes!$B$3:C472,2,FALSE)</f>
        <v>+5553984039582</v>
      </c>
      <c r="Z1916" s="73" t="s">
        <v>5319</v>
      </c>
    </row>
    <row r="1917" spans="1:26" hidden="1" x14ac:dyDescent="0.25">
      <c r="A1917" s="33">
        <v>51</v>
      </c>
      <c r="B1917" s="71" t="s">
        <v>29</v>
      </c>
      <c r="C1917" s="39" t="s">
        <v>5293</v>
      </c>
      <c r="D1917" s="106" t="s">
        <v>249</v>
      </c>
      <c r="E1917" s="47">
        <v>46008</v>
      </c>
      <c r="F1917" s="31" t="str">
        <f>VLOOKUP($C1917,Carpetas!$C$5:$M$2666,2,FALSE)</f>
        <v>BRB153</v>
      </c>
      <c r="G1917" s="23" t="str">
        <f>VLOOKUP($C1917,Carpetas!$C$5:$M$2666,10,FALSE)</f>
        <v>154.51.58</v>
      </c>
      <c r="H1917" s="27" t="str">
        <f>VLOOKUP($C1917,Carpetas!$C$5:$M$2666,6,FALSE)</f>
        <v>FG</v>
      </c>
      <c r="I1917" s="220"/>
      <c r="J1917" s="47">
        <f>E1917+2</f>
        <v>46010</v>
      </c>
      <c r="K1917" s="72" t="str">
        <f>VLOOKUP($C1917,Carpetas!$C$5:$M$2666,5,FALSE)</f>
        <v>Rio Branco</v>
      </c>
      <c r="L1917" s="32"/>
      <c r="M1917" s="48">
        <f t="shared" si="132"/>
        <v>46011</v>
      </c>
      <c r="N1917" s="26">
        <f t="shared" si="129"/>
        <v>3</v>
      </c>
      <c r="O1917" s="27">
        <v>990</v>
      </c>
      <c r="P1917" s="27">
        <v>990</v>
      </c>
      <c r="Q1917" s="27">
        <v>28</v>
      </c>
      <c r="R1917" s="27">
        <v>26</v>
      </c>
      <c r="S1917" s="27" t="s">
        <v>5320</v>
      </c>
      <c r="T1917" s="27"/>
      <c r="U1917" s="27">
        <v>1297</v>
      </c>
      <c r="V1917" s="27" t="s">
        <v>1630</v>
      </c>
      <c r="W1917" s="27" t="s">
        <v>1934</v>
      </c>
      <c r="X1917" s="128" t="s">
        <v>1935</v>
      </c>
      <c r="Y1917" s="73" t="str">
        <f>VLOOKUP(X1917,Choferes!$B$3:C473,2,FALSE)</f>
        <v>+5554984377792</v>
      </c>
      <c r="Z1917" s="73" t="s">
        <v>5319</v>
      </c>
    </row>
    <row r="1918" spans="1:26" hidden="1" x14ac:dyDescent="0.25">
      <c r="A1918" s="33">
        <v>51</v>
      </c>
      <c r="B1918" s="71" t="s">
        <v>29</v>
      </c>
      <c r="C1918" s="39" t="s">
        <v>5284</v>
      </c>
      <c r="D1918" s="106" t="s">
        <v>110</v>
      </c>
      <c r="E1918" s="47">
        <v>46008</v>
      </c>
      <c r="F1918" s="31" t="str">
        <f>VLOOKUP($C1918,Carpetas!$C$5:$M$2666,2,FALSE)</f>
        <v>BRB154</v>
      </c>
      <c r="G1918" s="23" t="str">
        <f>VLOOKUP($C1918,Carpetas!$C$5:$M$2666,10,FALSE)</f>
        <v>154,32,58</v>
      </c>
      <c r="H1918" s="27" t="str">
        <f>VLOOKUP($C1918,Carpetas!$C$5:$M$2666,6,FALSE)</f>
        <v>Amaro</v>
      </c>
      <c r="I1918" s="220"/>
      <c r="J1918" s="47">
        <f>E1918+2</f>
        <v>46010</v>
      </c>
      <c r="K1918" s="72" t="str">
        <f>VLOOKUP($C1918,Carpetas!$C$5:$M$2666,5,FALSE)</f>
        <v>Rio Branco</v>
      </c>
      <c r="L1918" s="32"/>
      <c r="M1918" s="48">
        <f t="shared" si="132"/>
        <v>46011</v>
      </c>
      <c r="N1918" s="26">
        <f t="shared" si="129"/>
        <v>3</v>
      </c>
      <c r="O1918" s="27">
        <v>1008</v>
      </c>
      <c r="P1918" s="27">
        <v>1008</v>
      </c>
      <c r="Q1918" s="27">
        <v>25</v>
      </c>
      <c r="R1918" s="27">
        <v>26</v>
      </c>
      <c r="S1918" s="27" t="s">
        <v>5321</v>
      </c>
      <c r="T1918" s="27"/>
      <c r="U1918" s="27">
        <v>27632</v>
      </c>
      <c r="V1918" s="27" t="s">
        <v>3305</v>
      </c>
      <c r="W1918" s="27" t="s">
        <v>1859</v>
      </c>
      <c r="X1918" s="128"/>
      <c r="Y1918" s="73" t="e">
        <f>VLOOKUP(X1918,Choferes!$B$3:C470,2,FALSE)</f>
        <v>#N/A</v>
      </c>
      <c r="Z1918" s="73" t="s">
        <v>5322</v>
      </c>
    </row>
    <row r="1919" spans="1:26" hidden="1" x14ac:dyDescent="0.25">
      <c r="A1919" s="33">
        <v>51</v>
      </c>
      <c r="B1919" s="71" t="s">
        <v>29</v>
      </c>
      <c r="C1919" s="39" t="s">
        <v>5300</v>
      </c>
      <c r="D1919" s="106" t="s">
        <v>2202</v>
      </c>
      <c r="E1919" s="47">
        <v>46009</v>
      </c>
      <c r="F1919" s="31" t="str">
        <f>VLOOKUP($C1919,Carpetas!$C$5:$M$2666,2,FALSE)</f>
        <v>BRB155</v>
      </c>
      <c r="G1919" s="23" t="str">
        <f>VLOOKUP($C1919,Carpetas!$C$5:$M$2666,10,FALSE)</f>
        <v>154,55,19</v>
      </c>
      <c r="H1919" s="27" t="str">
        <f>VLOOKUP($C1919,Carpetas!$C$5:$M$2666,6,FALSE)</f>
        <v>Zanini</v>
      </c>
      <c r="I1919" s="220"/>
      <c r="J1919" s="47">
        <v>46010</v>
      </c>
      <c r="K1919" s="72" t="str">
        <f>VLOOKUP($C1919,Carpetas!$C$5:$M$2666,5,FALSE)</f>
        <v>Chuy</v>
      </c>
      <c r="L1919" s="32"/>
      <c r="M1919" s="48">
        <f t="shared" si="132"/>
        <v>46011</v>
      </c>
      <c r="N1919" s="26">
        <f t="shared" si="129"/>
        <v>2</v>
      </c>
      <c r="O1919" s="27">
        <v>918</v>
      </c>
      <c r="P1919" s="27">
        <v>918</v>
      </c>
      <c r="Q1919" s="27">
        <v>26</v>
      </c>
      <c r="R1919" s="27">
        <v>25</v>
      </c>
      <c r="S1919" s="27" t="s">
        <v>5323</v>
      </c>
      <c r="T1919" s="27"/>
      <c r="U1919" s="27"/>
      <c r="V1919" s="27" t="s">
        <v>5324</v>
      </c>
      <c r="W1919" s="27" t="s">
        <v>3680</v>
      </c>
      <c r="X1919" s="128"/>
      <c r="Y1919" s="73" t="e">
        <f>VLOOKUP(X1919,Choferes!$B$3:C469,2,FALSE)</f>
        <v>#N/A</v>
      </c>
      <c r="Z1919" s="73" t="s">
        <v>5325</v>
      </c>
    </row>
    <row r="1920" spans="1:26" hidden="1" x14ac:dyDescent="0.25">
      <c r="A1920" s="33">
        <v>51</v>
      </c>
      <c r="B1920" s="71" t="s">
        <v>29</v>
      </c>
      <c r="C1920" s="39" t="s">
        <v>5326</v>
      </c>
      <c r="D1920" s="106" t="s">
        <v>747</v>
      </c>
      <c r="E1920" s="47">
        <v>46010</v>
      </c>
      <c r="F1920" s="31" t="str">
        <f>VLOOKUP($C1920,Carpetas!$C$5:$M$2666,2,FALSE)</f>
        <v>BRB157</v>
      </c>
      <c r="G1920" s="23" t="str">
        <f>VLOOKUP($C1920,Carpetas!$C$5:$M$2666,10,FALSE)</f>
        <v>154,58,61</v>
      </c>
      <c r="H1920" s="27" t="str">
        <f>VLOOKUP($C1920,Carpetas!$C$5:$M$2666,6,FALSE)</f>
        <v>FG</v>
      </c>
      <c r="I1920" s="220"/>
      <c r="J1920" s="47">
        <f>E1920+2</f>
        <v>46012</v>
      </c>
      <c r="K1920" s="72" t="str">
        <f>VLOOKUP($C1920,Carpetas!$C$5:$M$2666,5,FALSE)</f>
        <v>Rio Branco</v>
      </c>
      <c r="L1920" s="32"/>
      <c r="M1920" s="48">
        <f t="shared" si="132"/>
        <v>46013</v>
      </c>
      <c r="N1920" s="26">
        <f t="shared" si="129"/>
        <v>3</v>
      </c>
      <c r="O1920" s="27">
        <v>1008</v>
      </c>
      <c r="P1920" s="27">
        <v>1008</v>
      </c>
      <c r="Q1920" s="27">
        <v>28</v>
      </c>
      <c r="R1920" s="27">
        <v>26</v>
      </c>
      <c r="S1920" s="27" t="s">
        <v>5327</v>
      </c>
      <c r="T1920" s="27"/>
      <c r="U1920" s="27">
        <v>1301</v>
      </c>
      <c r="V1920" s="27" t="s">
        <v>3669</v>
      </c>
      <c r="W1920" s="27" t="s">
        <v>1627</v>
      </c>
      <c r="X1920" s="128" t="s">
        <v>2336</v>
      </c>
      <c r="Y1920" s="73" t="str">
        <f>VLOOKUP(X1920,Choferes!$B$3:C474,2,FALSE)</f>
        <v>+5553984414060</v>
      </c>
      <c r="Z1920" s="73" t="s">
        <v>5328</v>
      </c>
    </row>
    <row r="1921" spans="1:26" hidden="1" x14ac:dyDescent="0.25">
      <c r="A1921" s="33">
        <v>51</v>
      </c>
      <c r="B1921" s="71" t="s">
        <v>29</v>
      </c>
      <c r="C1921" s="39" t="s">
        <v>5329</v>
      </c>
      <c r="D1921" s="106" t="s">
        <v>2474</v>
      </c>
      <c r="E1921" s="47">
        <v>46009</v>
      </c>
      <c r="F1921" s="31" t="str">
        <f>VLOOKUP($C1921,Carpetas!$C$5:$M$2666,2,FALSE)</f>
        <v>BRB156</v>
      </c>
      <c r="G1921" s="23" t="str">
        <f>VLOOKUP($C1921,Carpetas!$C$5:$M$2666,10,FALSE)</f>
        <v>154,58,59</v>
      </c>
      <c r="H1921" s="27" t="str">
        <f>VLOOKUP($C1921,Carpetas!$C$5:$M$2666,6,FALSE)</f>
        <v>Gral</v>
      </c>
      <c r="I1921" s="220"/>
      <c r="J1921" s="47">
        <v>46013</v>
      </c>
      <c r="K1921" s="72" t="str">
        <f>VLOOKUP($C1921,Carpetas!$C$5:$M$2666,5,FALSE)</f>
        <v>Rio Branco</v>
      </c>
      <c r="L1921" s="32"/>
      <c r="M1921" s="48">
        <f t="shared" si="132"/>
        <v>46014</v>
      </c>
      <c r="N1921" s="26">
        <f t="shared" si="129"/>
        <v>5</v>
      </c>
      <c r="O1921" s="27">
        <v>936</v>
      </c>
      <c r="P1921" s="27">
        <v>936</v>
      </c>
      <c r="Q1921" s="27">
        <v>26</v>
      </c>
      <c r="R1921" s="27">
        <v>25</v>
      </c>
      <c r="S1921" s="27" t="s">
        <v>5330</v>
      </c>
      <c r="T1921" s="27"/>
      <c r="U1921" s="27">
        <v>7933</v>
      </c>
      <c r="V1921" s="27" t="s">
        <v>5331</v>
      </c>
      <c r="W1921" s="27" t="s">
        <v>5332</v>
      </c>
      <c r="X1921" s="128"/>
      <c r="Y1921" s="73" t="e">
        <f>VLOOKUP(X1921,Choferes!$B$3:C473,2,FALSE)</f>
        <v>#N/A</v>
      </c>
      <c r="Z1921" s="73" t="s">
        <v>5333</v>
      </c>
    </row>
    <row r="1922" spans="1:26" ht="30" hidden="1" x14ac:dyDescent="0.25">
      <c r="A1922" s="33">
        <v>51</v>
      </c>
      <c r="B1922" s="71" t="s">
        <v>29</v>
      </c>
      <c r="C1922" s="39" t="s">
        <v>5334</v>
      </c>
      <c r="D1922" s="106" t="s">
        <v>38</v>
      </c>
      <c r="E1922" s="47">
        <v>46010</v>
      </c>
      <c r="F1922" s="31" t="str">
        <f>VLOOKUP($C1922,Carpetas!$C$5:$M$2666,2,FALSE)</f>
        <v>BRE079</v>
      </c>
      <c r="G1922" s="23" t="str">
        <f>VLOOKUP($C1922,Carpetas!$C$5:$M$2666,10,FALSE)</f>
        <v>154,55,68/154,5564/1545571</v>
      </c>
      <c r="H1922" s="27" t="str">
        <f>VLOOKUP($C1922,Carpetas!$C$5:$M$2666,6,FALSE)</f>
        <v>VPN</v>
      </c>
      <c r="I1922" s="220">
        <f>VLOOKUP($C1922,Carpetas!$C$5:$M$2666,4,FALSE)</f>
        <v>0</v>
      </c>
      <c r="J1922" s="47">
        <v>46013</v>
      </c>
      <c r="K1922" s="72" t="str">
        <f>VLOOKUP($C1922,Carpetas!$C$5:$M$2666,5,FALSE)</f>
        <v>Rio Branco</v>
      </c>
      <c r="L1922" s="32"/>
      <c r="M1922" s="48">
        <f t="shared" si="132"/>
        <v>46014</v>
      </c>
      <c r="N1922" s="26">
        <f t="shared" si="129"/>
        <v>4</v>
      </c>
      <c r="O1922" s="27">
        <v>1268</v>
      </c>
      <c r="P1922" s="27">
        <v>1268</v>
      </c>
      <c r="Q1922" s="27">
        <v>1268</v>
      </c>
      <c r="R1922" s="27"/>
      <c r="S1922" s="27" t="s">
        <v>5335</v>
      </c>
      <c r="T1922" s="27"/>
      <c r="U1922" s="27"/>
      <c r="V1922" s="27"/>
      <c r="W1922" s="27"/>
      <c r="X1922" s="128"/>
      <c r="Y1922" s="73" t="e">
        <f>VLOOKUP(X1922,Choferes!$B$3:C466,2,FALSE)</f>
        <v>#N/A</v>
      </c>
      <c r="Z1922" s="73" t="s">
        <v>5336</v>
      </c>
    </row>
    <row r="1923" spans="1:26" hidden="1" x14ac:dyDescent="0.25">
      <c r="A1923" s="33">
        <v>51</v>
      </c>
      <c r="B1923" s="71" t="s">
        <v>29</v>
      </c>
      <c r="C1923" s="39" t="s">
        <v>5300</v>
      </c>
      <c r="D1923" s="106" t="s">
        <v>2202</v>
      </c>
      <c r="E1923" s="47">
        <v>46011</v>
      </c>
      <c r="F1923" s="31" t="str">
        <f>VLOOKUP($C1923,Carpetas!$C$5:$M$2666,2,FALSE)</f>
        <v>BRB155</v>
      </c>
      <c r="G1923" s="23" t="str">
        <f>VLOOKUP($C1923,Carpetas!$C$5:$M$2666,10,FALSE)</f>
        <v>154,55,19</v>
      </c>
      <c r="H1923" s="27" t="str">
        <f>VLOOKUP($C1923,Carpetas!$C$5:$M$2666,6,FALSE)</f>
        <v>Zanini</v>
      </c>
      <c r="I1923" s="220"/>
      <c r="J1923" s="47">
        <f>E1923+2</f>
        <v>46013</v>
      </c>
      <c r="K1923" s="72" t="str">
        <f>VLOOKUP($C1923,Carpetas!$C$5:$M$2666,5,FALSE)</f>
        <v>Chuy</v>
      </c>
      <c r="L1923" s="32"/>
      <c r="M1923" s="48">
        <f t="shared" si="132"/>
        <v>46014</v>
      </c>
      <c r="N1923" s="26">
        <f t="shared" si="129"/>
        <v>3</v>
      </c>
      <c r="O1923" s="27">
        <v>918</v>
      </c>
      <c r="P1923" s="27"/>
      <c r="Q1923" s="27">
        <v>919</v>
      </c>
      <c r="R1923" s="27">
        <v>26</v>
      </c>
      <c r="S1923" s="27" t="s">
        <v>5337</v>
      </c>
      <c r="T1923" s="27"/>
      <c r="U1923" s="27"/>
      <c r="V1923" s="27" t="s">
        <v>5338</v>
      </c>
      <c r="W1923" s="27" t="s">
        <v>3253</v>
      </c>
      <c r="X1923" s="128"/>
      <c r="Y1923" s="73" t="e">
        <f>VLOOKUP(X1923,Choferes!$B$3:C470,2,FALSE)</f>
        <v>#N/A</v>
      </c>
      <c r="Z1923" s="73" t="s">
        <v>5339</v>
      </c>
    </row>
    <row r="1924" spans="1:26" hidden="1" x14ac:dyDescent="0.25">
      <c r="A1924" s="33">
        <v>51</v>
      </c>
      <c r="B1924" s="71" t="s">
        <v>29</v>
      </c>
      <c r="C1924" s="39" t="s">
        <v>5340</v>
      </c>
      <c r="D1924" s="106" t="s">
        <v>2474</v>
      </c>
      <c r="E1924" s="47">
        <v>46011</v>
      </c>
      <c r="F1924" s="31" t="str">
        <f>VLOOKUP($C1924,Carpetas!$C$5:$M$2666,2,FALSE)</f>
        <v>BRB158</v>
      </c>
      <c r="G1924" s="23" t="str">
        <f>VLOOKUP($C1924,Carpetas!$C$5:$M$2666,10,FALSE)</f>
        <v>154,58,60</v>
      </c>
      <c r="H1924" s="27" t="str">
        <f>VLOOKUP($C1924,Carpetas!$C$5:$M$2666,6,FALSE)</f>
        <v>Chabat</v>
      </c>
      <c r="I1924" s="220"/>
      <c r="J1924" s="47">
        <f>E1924+2</f>
        <v>46013</v>
      </c>
      <c r="K1924" s="72" t="str">
        <f>VLOOKUP($C1924,Carpetas!$C$5:$M$2666,5,FALSE)</f>
        <v>Rio Branco</v>
      </c>
      <c r="L1924" s="32"/>
      <c r="M1924" s="48">
        <f t="shared" si="132"/>
        <v>46014</v>
      </c>
      <c r="N1924" s="26">
        <f t="shared" si="129"/>
        <v>3</v>
      </c>
      <c r="O1924" s="27">
        <v>1008</v>
      </c>
      <c r="P1924" s="27">
        <v>1008</v>
      </c>
      <c r="Q1924" s="27">
        <v>28</v>
      </c>
      <c r="R1924" s="27">
        <v>25</v>
      </c>
      <c r="S1924" s="27" t="s">
        <v>5341</v>
      </c>
      <c r="T1924" s="27"/>
      <c r="U1924" s="27">
        <v>2486</v>
      </c>
      <c r="V1924" s="27" t="s">
        <v>4339</v>
      </c>
      <c r="W1924" s="27" t="s">
        <v>4130</v>
      </c>
      <c r="X1924" s="128"/>
      <c r="Y1924" s="73" t="e">
        <f>VLOOKUP(X1924,Choferes!$B$3:C475,2,FALSE)</f>
        <v>#N/A</v>
      </c>
      <c r="Z1924" s="73" t="s">
        <v>5342</v>
      </c>
    </row>
    <row r="1925" spans="1:26" ht="30" hidden="1" x14ac:dyDescent="0.25">
      <c r="A1925" s="33">
        <v>52</v>
      </c>
      <c r="B1925" s="71" t="s">
        <v>29</v>
      </c>
      <c r="C1925" s="39" t="s">
        <v>5326</v>
      </c>
      <c r="D1925" s="106" t="s">
        <v>3124</v>
      </c>
      <c r="E1925" s="47">
        <v>46013</v>
      </c>
      <c r="F1925" s="31" t="str">
        <f>VLOOKUP($C1925,Carpetas!$C$5:$M$2666,2,FALSE)</f>
        <v>BRB157</v>
      </c>
      <c r="G1925" s="23" t="str">
        <f>VLOOKUP($C1925,Carpetas!$C$5:$M$2666,10,FALSE)</f>
        <v>154,58,61</v>
      </c>
      <c r="H1925" s="27" t="str">
        <f>VLOOKUP($C1925,Carpetas!$C$5:$M$2666,6,FALSE)</f>
        <v>FG</v>
      </c>
      <c r="I1925" s="220"/>
      <c r="J1925" s="47">
        <f>E1925+2</f>
        <v>46015</v>
      </c>
      <c r="K1925" s="72" t="str">
        <f>VLOOKUP($C1925,Carpetas!$C$5:$M$2666,5,FALSE)</f>
        <v>Rio Branco</v>
      </c>
      <c r="L1925" s="32"/>
      <c r="M1925" s="48">
        <v>46017</v>
      </c>
      <c r="N1925" s="26">
        <f t="shared" si="129"/>
        <v>4</v>
      </c>
      <c r="O1925" s="27">
        <v>1008</v>
      </c>
      <c r="P1925" s="27">
        <v>1009</v>
      </c>
      <c r="Q1925" s="27">
        <v>28</v>
      </c>
      <c r="R1925" s="27">
        <v>26</v>
      </c>
      <c r="S1925" s="27" t="s">
        <v>5343</v>
      </c>
      <c r="T1925" s="27"/>
      <c r="U1925" s="27">
        <v>1303</v>
      </c>
      <c r="V1925" s="27" t="s">
        <v>911</v>
      </c>
      <c r="W1925" s="27" t="s">
        <v>912</v>
      </c>
      <c r="X1925" s="128" t="s">
        <v>1397</v>
      </c>
      <c r="Y1925" s="73" t="str">
        <f>VLOOKUP(X1925,Choferes!$B$3:C469,2,FALSE)</f>
        <v>+5551996322594</v>
      </c>
      <c r="Z1925" s="73" t="s">
        <v>5344</v>
      </c>
    </row>
    <row r="1926" spans="1:26" hidden="1" x14ac:dyDescent="0.25">
      <c r="A1926" s="33">
        <v>52</v>
      </c>
      <c r="B1926" s="71" t="s">
        <v>29</v>
      </c>
      <c r="C1926" s="39" t="s">
        <v>5284</v>
      </c>
      <c r="D1926" s="106" t="s">
        <v>2202</v>
      </c>
      <c r="E1926" s="47">
        <v>46013</v>
      </c>
      <c r="F1926" s="31" t="str">
        <f>VLOOKUP($C1926,Carpetas!$C$5:$M$2666,2,FALSE)</f>
        <v>BRB154</v>
      </c>
      <c r="G1926" s="23" t="str">
        <f>VLOOKUP($C1926,Carpetas!$C$5:$M$2666,10,FALSE)</f>
        <v>154,32,58</v>
      </c>
      <c r="H1926" s="27" t="str">
        <f>VLOOKUP($C1926,Carpetas!$C$5:$M$2666,6,FALSE)</f>
        <v>Amaro</v>
      </c>
      <c r="I1926" s="220"/>
      <c r="J1926" s="47">
        <f>E1926+2</f>
        <v>46015</v>
      </c>
      <c r="K1926" s="72" t="str">
        <f>VLOOKUP($C1926,Carpetas!$C$5:$M$2666,5,FALSE)</f>
        <v>Rio Branco</v>
      </c>
      <c r="L1926" s="32"/>
      <c r="M1926" s="48">
        <v>46017</v>
      </c>
      <c r="N1926" s="26">
        <f t="shared" si="129"/>
        <v>4</v>
      </c>
      <c r="O1926" s="27">
        <v>1008</v>
      </c>
      <c r="P1926" s="27">
        <v>1008</v>
      </c>
      <c r="Q1926" s="27">
        <v>28</v>
      </c>
      <c r="R1926" s="27">
        <v>26</v>
      </c>
      <c r="S1926" s="27" t="s">
        <v>5345</v>
      </c>
      <c r="T1926" s="27"/>
      <c r="U1926" s="27">
        <v>27657</v>
      </c>
      <c r="V1926" s="27" t="s">
        <v>3416</v>
      </c>
      <c r="W1926" s="27" t="s">
        <v>3417</v>
      </c>
      <c r="X1926" s="128"/>
      <c r="Y1926" s="73" t="e">
        <f>VLOOKUP(X1926,Choferes!$B$3:C472,2,FALSE)</f>
        <v>#N/A</v>
      </c>
      <c r="Z1926" s="73" t="s">
        <v>5346</v>
      </c>
    </row>
    <row r="1927" spans="1:26" hidden="1" x14ac:dyDescent="0.25">
      <c r="A1927" s="33">
        <v>52</v>
      </c>
      <c r="B1927" s="71" t="s">
        <v>29</v>
      </c>
      <c r="C1927" s="39" t="s">
        <v>5347</v>
      </c>
      <c r="D1927" s="106" t="s">
        <v>2474</v>
      </c>
      <c r="E1927" s="47">
        <v>46013</v>
      </c>
      <c r="F1927" s="31" t="str">
        <f>VLOOKUP($C1927,Carpetas!$C$5:$M$2666,2,FALSE)</f>
        <v>BRB159</v>
      </c>
      <c r="G1927" s="23" t="str">
        <f>VLOOKUP($C1927,Carpetas!$C$5:$M$2666,10,FALSE)</f>
        <v>154,62,02</v>
      </c>
      <c r="H1927" s="27" t="str">
        <f>VLOOKUP($C1927,Carpetas!$C$5:$M$2666,6,FALSE)</f>
        <v>Zanini</v>
      </c>
      <c r="I1927" s="220"/>
      <c r="J1927" s="47">
        <f>E1927+2</f>
        <v>46015</v>
      </c>
      <c r="K1927" s="72" t="str">
        <f>VLOOKUP($C1927,Carpetas!$C$5:$M$2666,5,FALSE)</f>
        <v>Rio Branco</v>
      </c>
      <c r="L1927" s="32"/>
      <c r="M1927" s="48">
        <v>46017</v>
      </c>
      <c r="N1927" s="26">
        <f t="shared" si="129"/>
        <v>4</v>
      </c>
      <c r="O1927" s="27">
        <v>936</v>
      </c>
      <c r="P1927" s="27">
        <v>936</v>
      </c>
      <c r="Q1927" s="27">
        <v>26</v>
      </c>
      <c r="R1927" s="27">
        <v>25</v>
      </c>
      <c r="S1927" s="27" t="s">
        <v>5348</v>
      </c>
      <c r="T1927" s="27"/>
      <c r="U1927" s="27">
        <v>5751</v>
      </c>
      <c r="V1927" s="27" t="s">
        <v>759</v>
      </c>
      <c r="W1927" s="27" t="s">
        <v>760</v>
      </c>
      <c r="X1927" s="128"/>
      <c r="Y1927" s="73" t="e">
        <f>VLOOKUP(X1927,Choferes!$B$3:C468,2,FALSE)</f>
        <v>#N/A</v>
      </c>
      <c r="Z1927" s="73" t="s">
        <v>5349</v>
      </c>
    </row>
    <row r="1928" spans="1:26" hidden="1" x14ac:dyDescent="0.25">
      <c r="A1928" s="33">
        <v>51</v>
      </c>
      <c r="B1928" s="71" t="s">
        <v>29</v>
      </c>
      <c r="C1928" s="39" t="s">
        <v>5350</v>
      </c>
      <c r="D1928" s="106" t="s">
        <v>38</v>
      </c>
      <c r="E1928" s="47">
        <v>46008</v>
      </c>
      <c r="F1928" s="31" t="str">
        <f>VLOOKUP($C1928,Carpetas!$C$5:$M$2666,2,FALSE)</f>
        <v>BRE080</v>
      </c>
      <c r="G1928" s="23">
        <f>VLOOKUP($C1928,Carpetas!$C$5:$M$2666,10,FALSE)</f>
        <v>1545131</v>
      </c>
      <c r="H1928" s="27" t="str">
        <f>VLOOKUP($C1928,Carpetas!$C$5:$M$2666,6,FALSE)</f>
        <v>VPN</v>
      </c>
      <c r="I1928" s="220">
        <f>VLOOKUP($C1928,Carpetas!$C$5:$M$2666,4,FALSE)</f>
        <v>0</v>
      </c>
      <c r="J1928" s="47">
        <v>46017</v>
      </c>
      <c r="K1928" s="72" t="str">
        <f>VLOOKUP($C1928,Carpetas!$C$5:$M$2666,5,FALSE)</f>
        <v>Rio Branco</v>
      </c>
      <c r="L1928" s="32"/>
      <c r="M1928" s="48">
        <f>J1928+1</f>
        <v>46018</v>
      </c>
      <c r="N1928" s="26">
        <f t="shared" si="129"/>
        <v>10</v>
      </c>
      <c r="O1928" s="27">
        <v>5184</v>
      </c>
      <c r="P1928" s="27">
        <v>5183</v>
      </c>
      <c r="Q1928" s="27">
        <v>24</v>
      </c>
      <c r="R1928" s="27"/>
      <c r="S1928" s="27"/>
      <c r="T1928" s="27"/>
      <c r="U1928" s="27"/>
      <c r="V1928" s="27"/>
      <c r="W1928" s="27"/>
      <c r="X1928" s="128"/>
      <c r="Y1928" s="73" t="e">
        <f>VLOOKUP(X1928,Choferes!$B$3:C467,2,FALSE)</f>
        <v>#N/A</v>
      </c>
      <c r="Z1928" s="73" t="s">
        <v>5351</v>
      </c>
    </row>
    <row r="1929" spans="1:26" hidden="1" x14ac:dyDescent="0.25">
      <c r="A1929" s="33">
        <v>52</v>
      </c>
      <c r="B1929" s="71" t="s">
        <v>29</v>
      </c>
      <c r="C1929" s="39" t="s">
        <v>5347</v>
      </c>
      <c r="D1929" s="106" t="s">
        <v>2202</v>
      </c>
      <c r="E1929" s="47">
        <v>46017</v>
      </c>
      <c r="F1929" s="31" t="str">
        <f>VLOOKUP($C1929,Carpetas!$C$5:$M$2666,2,FALSE)</f>
        <v>BRB159</v>
      </c>
      <c r="G1929" s="23" t="str">
        <f>VLOOKUP($C1929,Carpetas!$C$5:$M$2666,10,FALSE)</f>
        <v>154,62,02</v>
      </c>
      <c r="H1929" s="27" t="str">
        <f>VLOOKUP($C1929,Carpetas!$C$5:$M$2666,6,FALSE)</f>
        <v>Zanini</v>
      </c>
      <c r="I1929" s="220"/>
      <c r="J1929" s="47">
        <v>46020</v>
      </c>
      <c r="K1929" s="72" t="str">
        <f>VLOOKUP($C1929,Carpetas!$C$5:$M$2666,5,FALSE)</f>
        <v>Rio Branco</v>
      </c>
      <c r="L1929" s="32"/>
      <c r="M1929" s="48">
        <f>J1929+1</f>
        <v>46021</v>
      </c>
      <c r="N1929" s="26">
        <f t="shared" si="129"/>
        <v>4</v>
      </c>
      <c r="O1929" s="27">
        <v>936</v>
      </c>
      <c r="P1929" s="27">
        <v>937</v>
      </c>
      <c r="Q1929" s="27">
        <v>28</v>
      </c>
      <c r="R1929" s="27">
        <v>26</v>
      </c>
      <c r="S1929" s="27" t="s">
        <v>5352</v>
      </c>
      <c r="T1929" s="27"/>
      <c r="U1929" s="27">
        <v>5757</v>
      </c>
      <c r="V1929" s="27" t="s">
        <v>5353</v>
      </c>
      <c r="W1929" s="27" t="s">
        <v>4403</v>
      </c>
      <c r="X1929" s="128"/>
      <c r="Y1929" s="73" t="e">
        <f>VLOOKUP(X1929,Choferes!$B$3:C470,2,FALSE)</f>
        <v>#N/A</v>
      </c>
      <c r="Z1929" s="73" t="s">
        <v>5354</v>
      </c>
    </row>
    <row r="1930" spans="1:26" ht="30" hidden="1" x14ac:dyDescent="0.25">
      <c r="A1930" s="33">
        <v>52</v>
      </c>
      <c r="B1930" s="71" t="s">
        <v>29</v>
      </c>
      <c r="C1930" s="39" t="s">
        <v>5355</v>
      </c>
      <c r="D1930" s="106" t="s">
        <v>38</v>
      </c>
      <c r="E1930" s="47">
        <v>46017</v>
      </c>
      <c r="F1930" s="31" t="str">
        <f>VLOOKUP($C1930,Carpetas!$C$5:$M$2666,2,FALSE)</f>
        <v>BRE081</v>
      </c>
      <c r="G1930" s="23" t="str">
        <f>VLOOKUP($C1930,Carpetas!$C$5:$M$2666,10,FALSE)</f>
        <v>1546444/1546443</v>
      </c>
      <c r="H1930" s="27" t="str">
        <f>VLOOKUP($C1930,Carpetas!$C$5:$M$2666,6,FALSE)</f>
        <v>VPN</v>
      </c>
      <c r="I1930" s="220">
        <f>VLOOKUP($C1930,Carpetas!$C$5:$M$2666,4,FALSE)</f>
        <v>0</v>
      </c>
      <c r="J1930" s="47">
        <v>46020</v>
      </c>
      <c r="K1930" s="72" t="str">
        <f>VLOOKUP($C1930,Carpetas!$C$5:$M$2666,5,FALSE)</f>
        <v>Rio Branco</v>
      </c>
      <c r="L1930" s="32"/>
      <c r="M1930" s="48">
        <f>J1930+1</f>
        <v>46021</v>
      </c>
      <c r="N1930" s="26">
        <f t="shared" si="129"/>
        <v>4</v>
      </c>
      <c r="O1930" s="27">
        <v>1290</v>
      </c>
      <c r="P1930" s="27">
        <v>1290</v>
      </c>
      <c r="Q1930" s="27">
        <v>24</v>
      </c>
      <c r="R1930" s="219"/>
      <c r="S1930" s="27" t="s">
        <v>3506</v>
      </c>
      <c r="T1930" s="27"/>
      <c r="U1930" s="27"/>
      <c r="V1930" s="27"/>
      <c r="W1930" s="27"/>
      <c r="X1930" s="128"/>
      <c r="Y1930" s="73" t="e">
        <f>VLOOKUP(X1930,Choferes!$B$3:C473,2,FALSE)</f>
        <v>#N/A</v>
      </c>
      <c r="Z1930" s="73" t="s">
        <v>5356</v>
      </c>
    </row>
    <row r="1931" spans="1:26" hidden="1" x14ac:dyDescent="0.25">
      <c r="A1931" s="33">
        <v>52</v>
      </c>
      <c r="B1931" s="71" t="s">
        <v>29</v>
      </c>
      <c r="C1931" s="39" t="s">
        <v>5347</v>
      </c>
      <c r="D1931" s="106" t="s">
        <v>2202</v>
      </c>
      <c r="E1931" s="47">
        <v>46018</v>
      </c>
      <c r="F1931" s="31" t="str">
        <f>VLOOKUP($C1931,Carpetas!$C$5:$M$2666,2,FALSE)</f>
        <v>BRB159</v>
      </c>
      <c r="G1931" s="23" t="str">
        <f>VLOOKUP($C1931,Carpetas!$C$5:$M$2666,10,FALSE)</f>
        <v>154,62,02</v>
      </c>
      <c r="H1931" s="27" t="str">
        <f>VLOOKUP($C1931,Carpetas!$C$5:$M$2666,6,FALSE)</f>
        <v>Zanini</v>
      </c>
      <c r="I1931" s="220"/>
      <c r="J1931" s="47">
        <f>E1931+2</f>
        <v>46020</v>
      </c>
      <c r="K1931" s="72" t="str">
        <f>VLOOKUP($C1931,Carpetas!$C$5:$M$2666,5,FALSE)</f>
        <v>Rio Branco</v>
      </c>
      <c r="L1931" s="32"/>
      <c r="M1931" s="48">
        <f>J1931+1</f>
        <v>46021</v>
      </c>
      <c r="N1931" s="26">
        <f t="shared" si="129"/>
        <v>3</v>
      </c>
      <c r="O1931" s="27">
        <v>936</v>
      </c>
      <c r="P1931" s="27">
        <v>936</v>
      </c>
      <c r="Q1931" s="27">
        <v>28</v>
      </c>
      <c r="R1931" s="27">
        <v>26</v>
      </c>
      <c r="S1931" s="27" t="s">
        <v>5357</v>
      </c>
      <c r="T1931" s="27"/>
      <c r="U1931" s="27">
        <v>5758</v>
      </c>
      <c r="V1931" s="27" t="s">
        <v>89</v>
      </c>
      <c r="W1931" s="27" t="s">
        <v>90</v>
      </c>
      <c r="X1931" s="128"/>
      <c r="Y1931" s="73" t="e">
        <f>VLOOKUP(X1931,Choferes!$B$3:C471,2,FALSE)</f>
        <v>#N/A</v>
      </c>
      <c r="Z1931" s="73" t="s">
        <v>5358</v>
      </c>
    </row>
    <row r="1932" spans="1:26" hidden="1" x14ac:dyDescent="0.25">
      <c r="A1932" s="33">
        <v>52</v>
      </c>
      <c r="B1932" s="71" t="s">
        <v>29</v>
      </c>
      <c r="C1932" s="39" t="s">
        <v>5326</v>
      </c>
      <c r="D1932" s="106" t="s">
        <v>953</v>
      </c>
      <c r="E1932" s="47">
        <v>46018</v>
      </c>
      <c r="F1932" s="31" t="str">
        <f>VLOOKUP($C1932,Carpetas!$C$5:$M$2666,2,FALSE)</f>
        <v>BRB157</v>
      </c>
      <c r="G1932" s="23" t="str">
        <f>VLOOKUP($C1932,Carpetas!$C$5:$M$2666,10,FALSE)</f>
        <v>154,58,61</v>
      </c>
      <c r="H1932" s="27" t="str">
        <f>VLOOKUP($C1932,Carpetas!$C$5:$M$2666,6,FALSE)</f>
        <v>FG</v>
      </c>
      <c r="I1932" s="220"/>
      <c r="J1932" s="47">
        <f>E1932+2</f>
        <v>46020</v>
      </c>
      <c r="K1932" s="72" t="str">
        <f>VLOOKUP($C1932,Carpetas!$C$5:$M$2666,5,FALSE)</f>
        <v>Rio Branco</v>
      </c>
      <c r="L1932" s="32"/>
      <c r="M1932" s="48">
        <f>J1932+1</f>
        <v>46021</v>
      </c>
      <c r="N1932" s="26">
        <f t="shared" si="129"/>
        <v>3</v>
      </c>
      <c r="O1932" s="27">
        <v>1008</v>
      </c>
      <c r="P1932" s="27">
        <v>1008</v>
      </c>
      <c r="Q1932" s="27">
        <v>28</v>
      </c>
      <c r="R1932" s="27">
        <v>24</v>
      </c>
      <c r="S1932" s="27" t="s">
        <v>1814</v>
      </c>
      <c r="T1932" s="27"/>
      <c r="U1932" s="27">
        <v>1304</v>
      </c>
      <c r="V1932" s="27" t="s">
        <v>1630</v>
      </c>
      <c r="W1932" s="27" t="s">
        <v>1934</v>
      </c>
      <c r="X1932" s="128"/>
      <c r="Y1932" s="73" t="e">
        <f>VLOOKUP(X1932,Choferes!$B$3:C466,2,FALSE)</f>
        <v>#N/A</v>
      </c>
      <c r="Z1932" s="73" t="s">
        <v>5359</v>
      </c>
    </row>
    <row r="1933" spans="1:26" hidden="1" x14ac:dyDescent="0.25">
      <c r="A1933" s="33">
        <v>1</v>
      </c>
      <c r="B1933" s="71" t="s">
        <v>29</v>
      </c>
      <c r="C1933" s="39" t="s">
        <v>5229</v>
      </c>
      <c r="D1933" s="106" t="s">
        <v>249</v>
      </c>
      <c r="E1933" s="47">
        <v>46020</v>
      </c>
      <c r="F1933" s="31" t="str">
        <f>VLOOKUP($C1933,Carpetas!$C$5:$M$2666,2,FALSE)</f>
        <v>BRB149</v>
      </c>
      <c r="G1933" s="23" t="str">
        <f>VLOOKUP($C1933,Carpetas!$C$5:$M$2666,10,FALSE)</f>
        <v>154,42,17</v>
      </c>
      <c r="H1933" s="27" t="str">
        <f>VLOOKUP($C1933,Carpetas!$C$5:$M$2666,6,FALSE)</f>
        <v>Chabat</v>
      </c>
      <c r="I1933" s="27"/>
      <c r="J1933" s="47">
        <v>46021</v>
      </c>
      <c r="K1933" s="72" t="str">
        <f>VLOOKUP($C1933,Carpetas!$C$5:$M$2666,5,FALSE)</f>
        <v>Rio Branco</v>
      </c>
      <c r="L1933" s="32"/>
      <c r="M1933" s="48">
        <v>46022</v>
      </c>
      <c r="N1933" s="26">
        <f t="shared" si="129"/>
        <v>2</v>
      </c>
      <c r="O1933" s="27">
        <v>990</v>
      </c>
      <c r="P1933" s="27">
        <v>990</v>
      </c>
      <c r="Q1933" s="27">
        <v>26</v>
      </c>
      <c r="R1933" s="27">
        <v>25</v>
      </c>
      <c r="S1933" s="27" t="s">
        <v>5360</v>
      </c>
      <c r="T1933" s="27"/>
      <c r="U1933" s="27"/>
      <c r="V1933" s="27" t="s">
        <v>5361</v>
      </c>
      <c r="W1933" s="27" t="s">
        <v>4635</v>
      </c>
      <c r="X1933" s="128"/>
      <c r="Y1933" s="73" t="e">
        <f>VLOOKUP(X1933,Choferes!$B$3:C468,2,FALSE)</f>
        <v>#N/A</v>
      </c>
      <c r="Z1933" s="73" t="s">
        <v>5362</v>
      </c>
    </row>
    <row r="1934" spans="1:26" ht="30" hidden="1" x14ac:dyDescent="0.25">
      <c r="A1934" s="33">
        <v>1</v>
      </c>
      <c r="B1934" s="71" t="s">
        <v>29</v>
      </c>
      <c r="C1934" s="39" t="s">
        <v>5363</v>
      </c>
      <c r="D1934" s="106" t="s">
        <v>3124</v>
      </c>
      <c r="E1934" s="47">
        <v>46020</v>
      </c>
      <c r="F1934" s="31" t="str">
        <f>VLOOKUP($C1934,Carpetas!$C$5:$M$2666,2,FALSE)</f>
        <v>BRB160</v>
      </c>
      <c r="G1934" s="23" t="str">
        <f>VLOOKUP($C1934,Carpetas!$C$5:$M$2666,10,FALSE)</f>
        <v>154,66,88</v>
      </c>
      <c r="H1934" s="27" t="str">
        <f>VLOOKUP($C1934,Carpetas!$C$5:$M$2666,6,FALSE)</f>
        <v>Zanini</v>
      </c>
      <c r="I1934" s="27" t="str">
        <f>VLOOKUP($C1934,Carpetas!$C$5:$M$2666,3,FALSE)</f>
        <v>Etimex</v>
      </c>
      <c r="J1934" s="47">
        <v>46021</v>
      </c>
      <c r="K1934" s="72" t="str">
        <f>VLOOKUP($C1934,Carpetas!$C$5:$M$2666,5,FALSE)</f>
        <v>Rio Branco</v>
      </c>
      <c r="L1934" s="32"/>
      <c r="M1934" s="48">
        <v>46024</v>
      </c>
      <c r="N1934" s="26">
        <f t="shared" si="129"/>
        <v>4</v>
      </c>
      <c r="O1934" s="27">
        <v>936</v>
      </c>
      <c r="P1934" s="27">
        <v>936</v>
      </c>
      <c r="Q1934" s="27">
        <v>26</v>
      </c>
      <c r="R1934" s="27">
        <v>25</v>
      </c>
      <c r="S1934" s="27" t="s">
        <v>5364</v>
      </c>
      <c r="T1934" s="27"/>
      <c r="U1934" s="27">
        <v>5760</v>
      </c>
      <c r="V1934" s="27" t="s">
        <v>3893</v>
      </c>
      <c r="W1934" s="27" t="s">
        <v>3894</v>
      </c>
      <c r="X1934" s="128"/>
      <c r="Y1934" s="73" t="e">
        <f>VLOOKUP(X1934,Choferes!$B$3:C470,2,FALSE)</f>
        <v>#N/A</v>
      </c>
      <c r="Z1934" s="73" t="s">
        <v>5365</v>
      </c>
    </row>
    <row r="1935" spans="1:26" hidden="1" x14ac:dyDescent="0.25">
      <c r="A1935" s="33">
        <v>1</v>
      </c>
      <c r="B1935" s="71" t="s">
        <v>29</v>
      </c>
      <c r="C1935" s="39" t="s">
        <v>5329</v>
      </c>
      <c r="D1935" s="106" t="s">
        <v>803</v>
      </c>
      <c r="E1935" s="47">
        <v>46020</v>
      </c>
      <c r="F1935" s="31" t="str">
        <f>VLOOKUP($C1935,Carpetas!$C$5:$M$2666,2,FALSE)</f>
        <v>BRB156</v>
      </c>
      <c r="G1935" s="23" t="str">
        <f>VLOOKUP($C1935,Carpetas!$C$5:$M$2666,10,FALSE)</f>
        <v>154,58,59</v>
      </c>
      <c r="H1935" s="27" t="str">
        <f>VLOOKUP($C1935,Carpetas!$C$5:$M$2666,6,FALSE)</f>
        <v>Gral</v>
      </c>
      <c r="I1935" s="27" t="str">
        <f>VLOOKUP($C1935,Carpetas!$C$5:$M$2666,3,FALSE)</f>
        <v>Etimex</v>
      </c>
      <c r="J1935" s="47">
        <v>46024</v>
      </c>
      <c r="K1935" s="72" t="str">
        <f>VLOOKUP($C1935,Carpetas!$C$5:$M$2666,5,FALSE)</f>
        <v>Rio Branco</v>
      </c>
      <c r="L1935" s="32"/>
      <c r="M1935" s="48">
        <f t="shared" ref="M1935:M1973" si="133">J1935+1</f>
        <v>46025</v>
      </c>
      <c r="N1935" s="26">
        <f t="shared" si="129"/>
        <v>5</v>
      </c>
      <c r="O1935" s="27">
        <v>936</v>
      </c>
      <c r="P1935" s="27">
        <v>936</v>
      </c>
      <c r="Q1935" s="27">
        <v>26</v>
      </c>
      <c r="R1935" s="27">
        <v>25</v>
      </c>
      <c r="S1935" s="27" t="s">
        <v>5366</v>
      </c>
      <c r="T1935" s="27"/>
      <c r="U1935" s="27">
        <v>7934</v>
      </c>
      <c r="V1935" s="27" t="s">
        <v>5367</v>
      </c>
      <c r="W1935" s="27" t="s">
        <v>5368</v>
      </c>
      <c r="X1935" s="128"/>
      <c r="Y1935" s="73" t="e">
        <f>VLOOKUP(X1935,Choferes!$B$3:C469,2,FALSE)</f>
        <v>#N/A</v>
      </c>
      <c r="Z1935" s="73" t="s">
        <v>5369</v>
      </c>
    </row>
    <row r="1936" spans="1:26" hidden="1" x14ac:dyDescent="0.25">
      <c r="A1936" s="33">
        <v>1</v>
      </c>
      <c r="B1936" s="71" t="s">
        <v>29</v>
      </c>
      <c r="C1936" s="39" t="s">
        <v>5133</v>
      </c>
      <c r="D1936" s="106" t="s">
        <v>2474</v>
      </c>
      <c r="E1936" s="47">
        <v>46020</v>
      </c>
      <c r="F1936" s="31" t="str">
        <f>VLOOKUP($C1936,Carpetas!$C$5:$M$2666,2,FALSE)</f>
        <v>BRB143</v>
      </c>
      <c r="G1936" s="23" t="str">
        <f>VLOOKUP($C1936,Carpetas!$C$5:$M$2666,10,FALSE)</f>
        <v>154,27,31</v>
      </c>
      <c r="H1936" s="27" t="str">
        <f>VLOOKUP($C1936,Carpetas!$C$5:$M$2666,6,FALSE)</f>
        <v>Gral</v>
      </c>
      <c r="I1936" s="220" t="str">
        <f>VLOOKUP($C1936,Carpetas!$C$5:$M$2666,3,FALSE)</f>
        <v>A&amp;A</v>
      </c>
      <c r="J1936" s="47">
        <v>46024</v>
      </c>
      <c r="K1936" s="72" t="str">
        <f>VLOOKUP($C1936,Carpetas!$C$5:$M$2666,5,FALSE)</f>
        <v>Chuy</v>
      </c>
      <c r="L1936" s="32"/>
      <c r="M1936" s="48">
        <f t="shared" si="133"/>
        <v>46025</v>
      </c>
      <c r="N1936" s="26">
        <f t="shared" si="129"/>
        <v>5</v>
      </c>
      <c r="O1936" s="27">
        <v>918</v>
      </c>
      <c r="P1936" s="27">
        <v>918</v>
      </c>
      <c r="Q1936" s="27">
        <v>26</v>
      </c>
      <c r="R1936" s="27">
        <v>25</v>
      </c>
      <c r="S1936" s="27" t="s">
        <v>2475</v>
      </c>
      <c r="T1936" s="27"/>
      <c r="U1936" s="27"/>
      <c r="V1936" s="27" t="s">
        <v>5370</v>
      </c>
      <c r="W1936" s="27" t="s">
        <v>5371</v>
      </c>
      <c r="X1936" s="128"/>
      <c r="Y1936" s="73" t="e">
        <f>VLOOKUP(X1936,Choferes!$B$3:C467,2,FALSE)</f>
        <v>#N/A</v>
      </c>
      <c r="Z1936" s="73" t="s">
        <v>5372</v>
      </c>
    </row>
    <row r="1937" spans="1:26" hidden="1" x14ac:dyDescent="0.25">
      <c r="A1937" s="33">
        <v>1</v>
      </c>
      <c r="B1937" s="71" t="s">
        <v>29</v>
      </c>
      <c r="C1937" s="39" t="s">
        <v>5326</v>
      </c>
      <c r="D1937" s="106" t="s">
        <v>2202</v>
      </c>
      <c r="E1937" s="47">
        <v>46024</v>
      </c>
      <c r="F1937" s="31" t="str">
        <f>VLOOKUP($C1937,Carpetas!$C$5:$M$2666,2,FALSE)</f>
        <v>BRB157</v>
      </c>
      <c r="G1937" s="23" t="str">
        <f>VLOOKUP($C1937,Carpetas!$C$5:$M$2666,10,FALSE)</f>
        <v>154,58,61</v>
      </c>
      <c r="H1937" s="27" t="str">
        <f>VLOOKUP($C1937,Carpetas!$C$5:$M$2666,6,FALSE)</f>
        <v>FG</v>
      </c>
      <c r="I1937" s="27" t="str">
        <f>VLOOKUP($C1937,Carpetas!$C$5:$M$2666,3,FALSE)</f>
        <v>Etimex</v>
      </c>
      <c r="J1937" s="47">
        <f t="shared" ref="J1937:J1944" si="134">E1937+2</f>
        <v>46026</v>
      </c>
      <c r="K1937" s="72" t="str">
        <f>VLOOKUP($C1937,Carpetas!$C$5:$M$2666,5,FALSE)</f>
        <v>Rio Branco</v>
      </c>
      <c r="L1937" s="32"/>
      <c r="M1937" s="48">
        <f t="shared" si="133"/>
        <v>46027</v>
      </c>
      <c r="N1937" s="26">
        <f t="shared" si="129"/>
        <v>3</v>
      </c>
      <c r="O1937" s="27">
        <v>1008</v>
      </c>
      <c r="P1937" s="27">
        <v>1009</v>
      </c>
      <c r="Q1937" s="27">
        <v>28</v>
      </c>
      <c r="R1937" s="27">
        <v>26</v>
      </c>
      <c r="S1937" s="27" t="s">
        <v>2257</v>
      </c>
      <c r="T1937" s="27"/>
      <c r="U1937" s="27">
        <v>1314</v>
      </c>
      <c r="V1937" s="27" t="s">
        <v>1626</v>
      </c>
      <c r="W1937" s="27" t="s">
        <v>1736</v>
      </c>
      <c r="X1937" s="128" t="s">
        <v>1413</v>
      </c>
      <c r="Y1937" s="73" t="str">
        <f>VLOOKUP(X1937,Choferes!$B$3:C472,2,FALSE)</f>
        <v>+59899406679</v>
      </c>
      <c r="Z1937" s="73" t="s">
        <v>5373</v>
      </c>
    </row>
    <row r="1938" spans="1:26" hidden="1" x14ac:dyDescent="0.25">
      <c r="A1938" s="33">
        <v>1</v>
      </c>
      <c r="B1938" s="71" t="s">
        <v>29</v>
      </c>
      <c r="C1938" s="39" t="s">
        <v>5326</v>
      </c>
      <c r="D1938" s="106" t="s">
        <v>747</v>
      </c>
      <c r="E1938" s="47">
        <v>46024</v>
      </c>
      <c r="F1938" s="31" t="str">
        <f>VLOOKUP($C1938,Carpetas!$C$5:$M$2666,2,FALSE)</f>
        <v>BRB157</v>
      </c>
      <c r="G1938" s="23" t="str">
        <f>VLOOKUP($C1938,Carpetas!$C$5:$M$2666,10,FALSE)</f>
        <v>154,58,61</v>
      </c>
      <c r="H1938" s="27" t="str">
        <f>VLOOKUP($C1938,Carpetas!$C$5:$M$2666,6,FALSE)</f>
        <v>FG</v>
      </c>
      <c r="I1938" s="27" t="str">
        <f>VLOOKUP($C1938,Carpetas!$C$5:$M$2666,3,FALSE)</f>
        <v>Etimex</v>
      </c>
      <c r="J1938" s="47">
        <f t="shared" si="134"/>
        <v>46026</v>
      </c>
      <c r="K1938" s="72" t="str">
        <f>VLOOKUP($C1938,Carpetas!$C$5:$M$2666,5,FALSE)</f>
        <v>Rio Branco</v>
      </c>
      <c r="L1938" s="32"/>
      <c r="M1938" s="48">
        <f t="shared" si="133"/>
        <v>46027</v>
      </c>
      <c r="N1938" s="26">
        <f t="shared" ref="N1938:N2001" si="135">IF(E1938&lt;&gt;"",M1938-E1938,"-")</f>
        <v>3</v>
      </c>
      <c r="O1938" s="27">
        <v>1008</v>
      </c>
      <c r="P1938" s="27">
        <v>1008</v>
      </c>
      <c r="Q1938" s="27">
        <v>28</v>
      </c>
      <c r="R1938" s="27">
        <v>26</v>
      </c>
      <c r="S1938" s="27" t="s">
        <v>5374</v>
      </c>
      <c r="T1938" s="27"/>
      <c r="U1938" s="27">
        <v>1313</v>
      </c>
      <c r="V1938" s="27" t="s">
        <v>1636</v>
      </c>
      <c r="W1938" s="27" t="s">
        <v>3818</v>
      </c>
      <c r="X1938" s="128" t="s">
        <v>1623</v>
      </c>
      <c r="Y1938" s="73" t="str">
        <f>VLOOKUP(X1938,Choferes!$B$3:C471,2,FALSE)</f>
        <v>+5553991254560</v>
      </c>
      <c r="Z1938" s="73" t="s">
        <v>5375</v>
      </c>
    </row>
    <row r="1939" spans="1:26" hidden="1" x14ac:dyDescent="0.25">
      <c r="A1939" s="33">
        <v>1</v>
      </c>
      <c r="B1939" s="71" t="s">
        <v>29</v>
      </c>
      <c r="C1939" s="39" t="s">
        <v>5363</v>
      </c>
      <c r="D1939" s="106" t="s">
        <v>2202</v>
      </c>
      <c r="E1939" s="47">
        <v>46024</v>
      </c>
      <c r="F1939" s="31" t="str">
        <f>VLOOKUP($C1939,Carpetas!$C$5:$M$2666,2,FALSE)</f>
        <v>BRB160</v>
      </c>
      <c r="G1939" s="23" t="str">
        <f>VLOOKUP($C1939,Carpetas!$C$5:$M$2666,10,FALSE)</f>
        <v>154,66,88</v>
      </c>
      <c r="H1939" s="27" t="str">
        <f>VLOOKUP($C1939,Carpetas!$C$5:$M$2666,6,FALSE)</f>
        <v>Zanini</v>
      </c>
      <c r="I1939" s="27" t="str">
        <f>VLOOKUP($C1939,Carpetas!$C$5:$M$2666,3,FALSE)</f>
        <v>Etimex</v>
      </c>
      <c r="J1939" s="47">
        <f t="shared" si="134"/>
        <v>46026</v>
      </c>
      <c r="K1939" s="72" t="str">
        <f>VLOOKUP($C1939,Carpetas!$C$5:$M$2666,5,FALSE)</f>
        <v>Rio Branco</v>
      </c>
      <c r="L1939" s="32"/>
      <c r="M1939" s="48">
        <f t="shared" si="133"/>
        <v>46027</v>
      </c>
      <c r="N1939" s="26">
        <f t="shared" si="135"/>
        <v>3</v>
      </c>
      <c r="O1939" s="27">
        <v>936</v>
      </c>
      <c r="P1939" s="27">
        <v>936</v>
      </c>
      <c r="Q1939" s="27">
        <v>26</v>
      </c>
      <c r="R1939" s="27">
        <v>25</v>
      </c>
      <c r="S1939" s="27" t="s">
        <v>2338</v>
      </c>
      <c r="T1939" s="27"/>
      <c r="U1939" s="27">
        <v>5766</v>
      </c>
      <c r="V1939" s="27" t="s">
        <v>917</v>
      </c>
      <c r="W1939" s="27" t="s">
        <v>918</v>
      </c>
      <c r="X1939" s="128" t="s">
        <v>4026</v>
      </c>
      <c r="Y1939" s="73" t="str">
        <f>VLOOKUP(X1939,Choferes!$B$3:C471,2,FALSE)</f>
        <v>+5555999696955</v>
      </c>
      <c r="Z1939" s="73" t="s">
        <v>5376</v>
      </c>
    </row>
    <row r="1940" spans="1:26" hidden="1" x14ac:dyDescent="0.25">
      <c r="A1940" s="33">
        <v>1</v>
      </c>
      <c r="B1940" s="71" t="s">
        <v>29</v>
      </c>
      <c r="C1940" s="39" t="s">
        <v>5326</v>
      </c>
      <c r="D1940" s="106" t="s">
        <v>803</v>
      </c>
      <c r="E1940" s="47">
        <v>46025</v>
      </c>
      <c r="F1940" s="31" t="str">
        <f>VLOOKUP($C1940,Carpetas!$C$5:$M$2666,2,FALSE)</f>
        <v>BRB157</v>
      </c>
      <c r="G1940" s="23" t="str">
        <f>VLOOKUP($C1940,Carpetas!$C$5:$M$2666,10,FALSE)</f>
        <v>154,58,61</v>
      </c>
      <c r="H1940" s="27" t="str">
        <f>VLOOKUP($C1940,Carpetas!$C$5:$M$2666,6,FALSE)</f>
        <v>FG</v>
      </c>
      <c r="I1940" s="27" t="str">
        <f>VLOOKUP($C1940,Carpetas!$C$5:$M$2666,3,FALSE)</f>
        <v>Etimex</v>
      </c>
      <c r="J1940" s="47">
        <f t="shared" si="134"/>
        <v>46027</v>
      </c>
      <c r="K1940" s="72" t="str">
        <f>VLOOKUP($C1940,Carpetas!$C$5:$M$2666,5,FALSE)</f>
        <v>Rio Branco</v>
      </c>
      <c r="L1940" s="32"/>
      <c r="M1940" s="48">
        <f t="shared" si="133"/>
        <v>46028</v>
      </c>
      <c r="N1940" s="26">
        <f t="shared" si="135"/>
        <v>3</v>
      </c>
      <c r="O1940" s="27">
        <v>1008</v>
      </c>
      <c r="P1940" s="27">
        <v>990</v>
      </c>
      <c r="Q1940" s="27">
        <v>28</v>
      </c>
      <c r="R1940" s="27">
        <v>26</v>
      </c>
      <c r="S1940" s="27" t="s">
        <v>876</v>
      </c>
      <c r="T1940" s="27"/>
      <c r="U1940" s="27">
        <v>1315</v>
      </c>
      <c r="V1940" s="27" t="s">
        <v>1630</v>
      </c>
      <c r="W1940" s="27" t="s">
        <v>1934</v>
      </c>
      <c r="X1940" s="128" t="s">
        <v>1935</v>
      </c>
      <c r="Y1940" s="73" t="str">
        <f>VLOOKUP(X1940,Choferes!$B$3:C472,2,FALSE)</f>
        <v>+5554984377792</v>
      </c>
      <c r="Z1940" s="73" t="s">
        <v>5377</v>
      </c>
    </row>
    <row r="1941" spans="1:26" hidden="1" x14ac:dyDescent="0.25">
      <c r="A1941" s="33">
        <v>1</v>
      </c>
      <c r="B1941" s="71" t="s">
        <v>29</v>
      </c>
      <c r="C1941" s="39" t="s">
        <v>5378</v>
      </c>
      <c r="D1941" s="106" t="s">
        <v>953</v>
      </c>
      <c r="E1941" s="47">
        <v>46025</v>
      </c>
      <c r="F1941" s="31" t="str">
        <f>VLOOKUP($C1941,Carpetas!$C$5:$M$2666,2,FALSE)</f>
        <v>BRB001-26</v>
      </c>
      <c r="G1941" s="23" t="str">
        <f>VLOOKUP($C1941,Carpetas!$C$5:$M$2666,10,FALSE)</f>
        <v>154,68,95</v>
      </c>
      <c r="H1941" s="27" t="str">
        <f>VLOOKUP($C1941,Carpetas!$C$5:$M$2666,6,FALSE)</f>
        <v>FG</v>
      </c>
      <c r="I1941" s="27" t="str">
        <f>VLOOKUP($C1941,Carpetas!$C$5:$M$2666,3,FALSE)</f>
        <v>Etimex</v>
      </c>
      <c r="J1941" s="47">
        <f t="shared" si="134"/>
        <v>46027</v>
      </c>
      <c r="K1941" s="72" t="str">
        <f>VLOOKUP($C1941,Carpetas!$C$5:$M$2666,5,FALSE)</f>
        <v>Rio Branco</v>
      </c>
      <c r="L1941" s="32"/>
      <c r="M1941" s="48">
        <f t="shared" si="133"/>
        <v>46028</v>
      </c>
      <c r="N1941" s="26">
        <f t="shared" si="135"/>
        <v>3</v>
      </c>
      <c r="O1941" s="27">
        <v>1008</v>
      </c>
      <c r="P1941" s="27">
        <v>1008</v>
      </c>
      <c r="Q1941" s="27">
        <v>28</v>
      </c>
      <c r="R1941" s="27">
        <v>26</v>
      </c>
      <c r="S1941" s="27" t="s">
        <v>3357</v>
      </c>
      <c r="T1941" s="27"/>
      <c r="U1941" s="27">
        <v>1316</v>
      </c>
      <c r="V1941" s="27" t="s">
        <v>1735</v>
      </c>
      <c r="W1941" s="27" t="s">
        <v>1681</v>
      </c>
      <c r="X1941" s="128" t="s">
        <v>1465</v>
      </c>
      <c r="Y1941" s="73" t="str">
        <f>VLOOKUP(X1941,Choferes!$B$3:C456,2,FALSE)</f>
        <v>+59893339027</v>
      </c>
      <c r="Z1941" s="73" t="s">
        <v>5379</v>
      </c>
    </row>
    <row r="1942" spans="1:26" hidden="1" x14ac:dyDescent="0.25">
      <c r="A1942" s="33">
        <v>2</v>
      </c>
      <c r="B1942" s="71" t="s">
        <v>29</v>
      </c>
      <c r="C1942" s="39" t="s">
        <v>5378</v>
      </c>
      <c r="D1942" s="106" t="s">
        <v>803</v>
      </c>
      <c r="E1942" s="47">
        <v>46027</v>
      </c>
      <c r="F1942" s="31" t="str">
        <f>VLOOKUP($C1942,Carpetas!$C$5:$M$2666,2,FALSE)</f>
        <v>BRB001-26</v>
      </c>
      <c r="G1942" s="23" t="str">
        <f>VLOOKUP($C1942,Carpetas!$C$5:$M$2666,10,FALSE)</f>
        <v>154,68,95</v>
      </c>
      <c r="H1942" s="27" t="str">
        <f>VLOOKUP($C1942,Carpetas!$C$5:$M$2666,6,FALSE)</f>
        <v>FG</v>
      </c>
      <c r="I1942" s="27" t="str">
        <f>VLOOKUP($C1942,Carpetas!$C$5:$M$2666,3,FALSE)</f>
        <v>Etimex</v>
      </c>
      <c r="J1942" s="47">
        <f t="shared" si="134"/>
        <v>46029</v>
      </c>
      <c r="K1942" s="72" t="str">
        <f>VLOOKUP($C1942,Carpetas!$C$5:$M$2666,5,FALSE)</f>
        <v>Rio Branco</v>
      </c>
      <c r="L1942" s="32"/>
      <c r="M1942" s="48">
        <f t="shared" si="133"/>
        <v>46030</v>
      </c>
      <c r="N1942" s="26">
        <f t="shared" si="135"/>
        <v>3</v>
      </c>
      <c r="O1942" s="27">
        <v>1008</v>
      </c>
      <c r="P1942" s="27">
        <v>1008</v>
      </c>
      <c r="Q1942" s="27">
        <v>28</v>
      </c>
      <c r="R1942" s="27">
        <v>26</v>
      </c>
      <c r="S1942" s="27" t="s">
        <v>889</v>
      </c>
      <c r="T1942" s="27"/>
      <c r="U1942" s="27">
        <v>1317</v>
      </c>
      <c r="V1942" s="27" t="s">
        <v>1657</v>
      </c>
      <c r="W1942" s="27" t="s">
        <v>1815</v>
      </c>
      <c r="X1942" s="128" t="s">
        <v>3950</v>
      </c>
      <c r="Y1942" s="73" t="str">
        <f>VLOOKUP(X1942,Choferes!$B$3:C457,2,FALSE)</f>
        <v>+55 53 8478-6279</v>
      </c>
      <c r="Z1942" s="73" t="s">
        <v>5380</v>
      </c>
    </row>
    <row r="1943" spans="1:26" ht="30" hidden="1" x14ac:dyDescent="0.25">
      <c r="A1943" s="33">
        <v>2</v>
      </c>
      <c r="B1943" s="71" t="s">
        <v>29</v>
      </c>
      <c r="C1943" s="39" t="s">
        <v>5378</v>
      </c>
      <c r="D1943" s="106" t="s">
        <v>3124</v>
      </c>
      <c r="E1943" s="47">
        <v>46027</v>
      </c>
      <c r="F1943" s="31" t="str">
        <f>VLOOKUP($C1943,Carpetas!$C$5:$M$2666,2,FALSE)</f>
        <v>BRB001-26</v>
      </c>
      <c r="G1943" s="23" t="str">
        <f>VLOOKUP($C1943,Carpetas!$C$5:$M$2666,10,FALSE)</f>
        <v>154,68,95</v>
      </c>
      <c r="H1943" s="27" t="str">
        <f>VLOOKUP($C1943,Carpetas!$C$5:$M$2666,6,FALSE)</f>
        <v>FG</v>
      </c>
      <c r="I1943" s="27" t="str">
        <f>VLOOKUP($C1943,Carpetas!$C$5:$M$2666,3,FALSE)</f>
        <v>Etimex</v>
      </c>
      <c r="J1943" s="47">
        <f t="shared" si="134"/>
        <v>46029</v>
      </c>
      <c r="K1943" s="72" t="str">
        <f>VLOOKUP($C1943,Carpetas!$C$5:$M$2666,5,FALSE)</f>
        <v>Rio Branco</v>
      </c>
      <c r="L1943" s="32"/>
      <c r="M1943" s="48">
        <f t="shared" si="133"/>
        <v>46030</v>
      </c>
      <c r="N1943" s="26">
        <f t="shared" si="135"/>
        <v>3</v>
      </c>
      <c r="O1943" s="27">
        <v>1008</v>
      </c>
      <c r="P1943" s="27">
        <v>1008</v>
      </c>
      <c r="Q1943" s="27">
        <v>28</v>
      </c>
      <c r="R1943" s="27">
        <v>26</v>
      </c>
      <c r="S1943" s="27" t="s">
        <v>5381</v>
      </c>
      <c r="T1943" s="27"/>
      <c r="U1943" s="27">
        <v>1319</v>
      </c>
      <c r="V1943" s="27" t="s">
        <v>911</v>
      </c>
      <c r="W1943" s="27" t="s">
        <v>912</v>
      </c>
      <c r="X1943" s="128" t="s">
        <v>1397</v>
      </c>
      <c r="Y1943" s="73" t="str">
        <f>VLOOKUP(X1943,Choferes!$B$3:C458,2,FALSE)</f>
        <v>+5551996322594</v>
      </c>
      <c r="Z1943" s="73" t="s">
        <v>5382</v>
      </c>
    </row>
    <row r="1944" spans="1:26" hidden="1" x14ac:dyDescent="0.25">
      <c r="A1944" s="33">
        <v>2</v>
      </c>
      <c r="B1944" s="71" t="s">
        <v>29</v>
      </c>
      <c r="C1944" s="39" t="s">
        <v>5378</v>
      </c>
      <c r="D1944" s="106" t="s">
        <v>747</v>
      </c>
      <c r="E1944" s="47">
        <v>46027</v>
      </c>
      <c r="F1944" s="31" t="str">
        <f>VLOOKUP($C1944,Carpetas!$C$5:$M$2666,2,FALSE)</f>
        <v>BRB001-26</v>
      </c>
      <c r="G1944" s="23" t="str">
        <f>VLOOKUP($C1944,Carpetas!$C$5:$M$2666,10,FALSE)</f>
        <v>154,68,95</v>
      </c>
      <c r="H1944" s="27" t="str">
        <f>VLOOKUP($C1944,Carpetas!$C$5:$M$2666,6,FALSE)</f>
        <v>FG</v>
      </c>
      <c r="I1944" s="27" t="str">
        <f>VLOOKUP($C1944,Carpetas!$C$5:$M$2666,3,FALSE)</f>
        <v>Etimex</v>
      </c>
      <c r="J1944" s="47">
        <f t="shared" si="134"/>
        <v>46029</v>
      </c>
      <c r="K1944" s="72" t="str">
        <f>VLOOKUP($C1944,Carpetas!$C$5:$M$2666,5,FALSE)</f>
        <v>Rio Branco</v>
      </c>
      <c r="L1944" s="32"/>
      <c r="M1944" s="48">
        <f t="shared" si="133"/>
        <v>46030</v>
      </c>
      <c r="N1944" s="26">
        <f t="shared" si="135"/>
        <v>3</v>
      </c>
      <c r="O1944" s="27">
        <v>1008</v>
      </c>
      <c r="P1944" s="27">
        <v>1009</v>
      </c>
      <c r="Q1944" s="27">
        <v>28</v>
      </c>
      <c r="R1944" s="27">
        <v>26</v>
      </c>
      <c r="S1944" s="27" t="s">
        <v>799</v>
      </c>
      <c r="T1944" s="27"/>
      <c r="U1944" s="27">
        <v>1318</v>
      </c>
      <c r="V1944" s="27" t="s">
        <v>4716</v>
      </c>
      <c r="W1944" s="27" t="s">
        <v>3412</v>
      </c>
      <c r="X1944" s="128" t="s">
        <v>3789</v>
      </c>
      <c r="Y1944" s="73" t="str">
        <f>VLOOKUP(X1944,Choferes!$B$3:C459,2,FALSE)</f>
        <v>+55 53 9900-8301</v>
      </c>
      <c r="Z1944" s="73" t="s">
        <v>5383</v>
      </c>
    </row>
    <row r="1945" spans="1:26" hidden="1" x14ac:dyDescent="0.25">
      <c r="A1945" s="33">
        <v>2</v>
      </c>
      <c r="B1945" s="71" t="s">
        <v>29</v>
      </c>
      <c r="C1945" s="39" t="s">
        <v>5384</v>
      </c>
      <c r="D1945" s="106" t="s">
        <v>2474</v>
      </c>
      <c r="E1945" s="47">
        <v>46027</v>
      </c>
      <c r="F1945" s="31" t="str">
        <f>VLOOKUP($C1945,Carpetas!$C$5:$M$2666,2,FALSE)</f>
        <v>BRB002-26</v>
      </c>
      <c r="G1945" s="23" t="str">
        <f>VLOOKUP($C1945,Carpetas!$C$5:$M$2666,10,FALSE)</f>
        <v>154,69,93</v>
      </c>
      <c r="H1945" s="27" t="str">
        <f>VLOOKUP($C1945,Carpetas!$C$5:$M$2666,6,FALSE)</f>
        <v xml:space="preserve">Silvio </v>
      </c>
      <c r="I1945" s="27" t="str">
        <f>VLOOKUP($C1945,Carpetas!$C$5:$M$2666,3,FALSE)</f>
        <v>Etimex</v>
      </c>
      <c r="J1945" s="47">
        <f>E1945+3</f>
        <v>46030</v>
      </c>
      <c r="K1945" s="72" t="str">
        <f>VLOOKUP($C1945,Carpetas!$C$5:$M$2666,5,FALSE)</f>
        <v>Rio Branco</v>
      </c>
      <c r="L1945" s="32"/>
      <c r="M1945" s="48">
        <f t="shared" si="133"/>
        <v>46031</v>
      </c>
      <c r="N1945" s="26">
        <f t="shared" si="135"/>
        <v>4</v>
      </c>
      <c r="O1945" s="27">
        <v>936</v>
      </c>
      <c r="P1945" s="27">
        <v>936</v>
      </c>
      <c r="Q1945" s="27">
        <v>26</v>
      </c>
      <c r="R1945" s="27">
        <v>25</v>
      </c>
      <c r="S1945" s="27" t="s">
        <v>2488</v>
      </c>
      <c r="T1945" s="27"/>
      <c r="U1945" s="27">
        <v>7628</v>
      </c>
      <c r="V1945" s="27" t="s">
        <v>5385</v>
      </c>
      <c r="W1945" s="27" t="s">
        <v>5386</v>
      </c>
      <c r="X1945" s="128"/>
      <c r="Y1945" s="73" t="e">
        <f>VLOOKUP(X1945,Choferes!$B$3:C460,2,FALSE)</f>
        <v>#N/A</v>
      </c>
      <c r="Z1945" s="73" t="s">
        <v>5387</v>
      </c>
    </row>
    <row r="1946" spans="1:26" hidden="1" x14ac:dyDescent="0.25">
      <c r="A1946" s="33">
        <v>2</v>
      </c>
      <c r="B1946" s="71" t="s">
        <v>29</v>
      </c>
      <c r="C1946" s="39" t="s">
        <v>5384</v>
      </c>
      <c r="D1946" s="106" t="s">
        <v>2474</v>
      </c>
      <c r="E1946" s="47">
        <v>46028</v>
      </c>
      <c r="F1946" s="31" t="str">
        <f>VLOOKUP($C1946,Carpetas!$C$5:$M$2666,2,FALSE)</f>
        <v>BRB002-26</v>
      </c>
      <c r="G1946" s="23" t="str">
        <f>VLOOKUP($C1946,Carpetas!$C$5:$M$2666,10,FALSE)</f>
        <v>154,69,93</v>
      </c>
      <c r="H1946" s="27" t="str">
        <f>VLOOKUP($C1946,Carpetas!$C$5:$M$2666,6,FALSE)</f>
        <v xml:space="preserve">Silvio </v>
      </c>
      <c r="I1946" s="27" t="str">
        <f>VLOOKUP($C1946,Carpetas!$C$5:$M$2666,3,FALSE)</f>
        <v>Etimex</v>
      </c>
      <c r="J1946" s="47">
        <f>E1946+2</f>
        <v>46030</v>
      </c>
      <c r="K1946" s="72" t="str">
        <f>VLOOKUP($C1946,Carpetas!$C$5:$M$2666,5,FALSE)</f>
        <v>Rio Branco</v>
      </c>
      <c r="L1946" s="32"/>
      <c r="M1946" s="48">
        <f t="shared" si="133"/>
        <v>46031</v>
      </c>
      <c r="N1946" s="26">
        <f t="shared" si="135"/>
        <v>3</v>
      </c>
      <c r="O1946" s="27">
        <v>936</v>
      </c>
      <c r="P1946" s="27">
        <v>936</v>
      </c>
      <c r="Q1946" s="27">
        <v>26</v>
      </c>
      <c r="R1946" s="27">
        <v>26</v>
      </c>
      <c r="S1946" s="27" t="s">
        <v>2540</v>
      </c>
      <c r="T1946" s="27"/>
      <c r="U1946" s="27">
        <v>7631</v>
      </c>
      <c r="V1946" s="27" t="s">
        <v>1926</v>
      </c>
      <c r="W1946" s="27" t="s">
        <v>5388</v>
      </c>
      <c r="X1946" s="128"/>
      <c r="Y1946" s="73" t="e">
        <f>VLOOKUP(X1946,Choferes!$B$3:C461,2,FALSE)</f>
        <v>#N/A</v>
      </c>
      <c r="Z1946" s="73" t="s">
        <v>5387</v>
      </c>
    </row>
    <row r="1947" spans="1:26" hidden="1" x14ac:dyDescent="0.25">
      <c r="A1947" s="33">
        <v>2</v>
      </c>
      <c r="B1947" s="71" t="s">
        <v>29</v>
      </c>
      <c r="C1947" s="39" t="s">
        <v>5389</v>
      </c>
      <c r="D1947" s="106" t="s">
        <v>2202</v>
      </c>
      <c r="E1947" s="47">
        <v>46028</v>
      </c>
      <c r="F1947" s="31" t="str">
        <f>VLOOKUP($C1947,Carpetas!$C$5:$M$2666,2,FALSE)</f>
        <v>BRB005-26</v>
      </c>
      <c r="G1947" s="23" t="str">
        <f>VLOOKUP($C1947,Carpetas!$C$5:$M$2666,10,FALSE)</f>
        <v>154,69,91</v>
      </c>
      <c r="H1947" s="27" t="str">
        <f>VLOOKUP($C1947,Carpetas!$C$5:$M$2666,6,FALSE)</f>
        <v>Zanini</v>
      </c>
      <c r="I1947" s="27" t="str">
        <f>VLOOKUP($C1947,Carpetas!$C$5:$M$2666,3,FALSE)</f>
        <v>A&amp;A</v>
      </c>
      <c r="J1947" s="47">
        <f>E1947+2</f>
        <v>46030</v>
      </c>
      <c r="K1947" s="72" t="str">
        <f>VLOOKUP($C1947,Carpetas!$C$5:$M$2666,5,FALSE)</f>
        <v>Chuy</v>
      </c>
      <c r="L1947" s="32"/>
      <c r="M1947" s="48">
        <f t="shared" si="133"/>
        <v>46031</v>
      </c>
      <c r="N1947" s="26">
        <f t="shared" si="135"/>
        <v>3</v>
      </c>
      <c r="O1947" s="27">
        <v>936</v>
      </c>
      <c r="P1947" s="27">
        <v>937</v>
      </c>
      <c r="Q1947" s="27">
        <v>26</v>
      </c>
      <c r="R1947" s="27">
        <v>25</v>
      </c>
      <c r="S1947" s="27" t="s">
        <v>2335</v>
      </c>
      <c r="T1947" s="27"/>
      <c r="U1947" s="27"/>
      <c r="V1947" s="27" t="s">
        <v>5324</v>
      </c>
      <c r="W1947" s="27" t="s">
        <v>3680</v>
      </c>
      <c r="X1947" s="128"/>
      <c r="Y1947" s="73" t="e">
        <f>VLOOKUP(X1947,Choferes!$B$3:C462,2,FALSE)</f>
        <v>#N/A</v>
      </c>
      <c r="Z1947" s="73" t="s">
        <v>5390</v>
      </c>
    </row>
    <row r="1948" spans="1:26" hidden="1" x14ac:dyDescent="0.25">
      <c r="A1948" s="33">
        <v>2</v>
      </c>
      <c r="B1948" s="71" t="s">
        <v>29</v>
      </c>
      <c r="C1948" s="39" t="s">
        <v>5391</v>
      </c>
      <c r="D1948" s="106" t="s">
        <v>110</v>
      </c>
      <c r="E1948" s="47">
        <v>46029</v>
      </c>
      <c r="F1948" s="31" t="str">
        <f>VLOOKUP($C1948,Carpetas!$C$5:$M$2666,2,FALSE)</f>
        <v>BRB006-26</v>
      </c>
      <c r="G1948" s="23" t="str">
        <f>VLOOKUP($C1948,Carpetas!$C$5:$M$2666,10,FALSE)</f>
        <v>154,69,90</v>
      </c>
      <c r="H1948" s="27" t="str">
        <f>VLOOKUP($C1948,Carpetas!$C$5:$M$2666,6,FALSE)</f>
        <v>Chabat</v>
      </c>
      <c r="I1948" s="27" t="str">
        <f>VLOOKUP($C1948,Carpetas!$C$5:$M$2666,3,FALSE)</f>
        <v>A&amp;A</v>
      </c>
      <c r="J1948" s="47">
        <v>46030</v>
      </c>
      <c r="K1948" s="72" t="str">
        <f>VLOOKUP($C1948,Carpetas!$C$5:$M$2666,5,FALSE)</f>
        <v>Rio Branco</v>
      </c>
      <c r="L1948" s="32"/>
      <c r="M1948" s="48">
        <f t="shared" si="133"/>
        <v>46031</v>
      </c>
      <c r="N1948" s="26">
        <f t="shared" si="135"/>
        <v>2</v>
      </c>
      <c r="O1948" s="27">
        <v>1008</v>
      </c>
      <c r="P1948" s="27">
        <v>1009</v>
      </c>
      <c r="Q1948" s="27">
        <v>28</v>
      </c>
      <c r="R1948" s="27">
        <v>27</v>
      </c>
      <c r="S1948" s="27" t="s">
        <v>254</v>
      </c>
      <c r="T1948" s="27"/>
      <c r="U1948" s="27"/>
      <c r="V1948" s="27" t="s">
        <v>4663</v>
      </c>
      <c r="W1948" s="27" t="s">
        <v>4223</v>
      </c>
      <c r="X1948" s="128"/>
      <c r="Y1948" s="73" t="e">
        <f>VLOOKUP(X1948,Choferes!$B$3:C468,2,FALSE)</f>
        <v>#N/A</v>
      </c>
      <c r="Z1948" s="73" t="s">
        <v>5392</v>
      </c>
    </row>
    <row r="1949" spans="1:26" ht="30" hidden="1" x14ac:dyDescent="0.25">
      <c r="A1949" s="33">
        <v>2</v>
      </c>
      <c r="B1949" s="71" t="s">
        <v>29</v>
      </c>
      <c r="C1949" s="39" t="s">
        <v>5393</v>
      </c>
      <c r="D1949" s="106" t="s">
        <v>249</v>
      </c>
      <c r="E1949" s="47">
        <v>46029</v>
      </c>
      <c r="F1949" s="31" t="str">
        <f>VLOOKUP($C1949,Carpetas!$C$5:$M$2666,2,FALSE)</f>
        <v>BRB003-26</v>
      </c>
      <c r="G1949" s="23" t="str">
        <f>VLOOKUP($C1949,Carpetas!$C$5:$M$2666,10,FALSE)</f>
        <v>154,69,94</v>
      </c>
      <c r="H1949" s="27" t="str">
        <f>VLOOKUP($C1949,Carpetas!$C$5:$M$2666,6,FALSE)</f>
        <v>Amaro</v>
      </c>
      <c r="I1949" s="27" t="str">
        <f>VLOOKUP($C1949,Carpetas!$C$5:$M$2666,3,FALSE)</f>
        <v>Etimex</v>
      </c>
      <c r="J1949" s="47">
        <v>46030</v>
      </c>
      <c r="K1949" s="72" t="str">
        <f>VLOOKUP($C1949,Carpetas!$C$5:$M$2666,5,FALSE)</f>
        <v>Rio Branco</v>
      </c>
      <c r="L1949" s="32"/>
      <c r="M1949" s="48">
        <f t="shared" si="133"/>
        <v>46031</v>
      </c>
      <c r="N1949" s="26">
        <f t="shared" si="135"/>
        <v>2</v>
      </c>
      <c r="O1949" s="27">
        <v>1008</v>
      </c>
      <c r="P1949" s="27">
        <v>1008</v>
      </c>
      <c r="Q1949" s="27">
        <v>28</v>
      </c>
      <c r="R1949" s="27">
        <v>26</v>
      </c>
      <c r="S1949" s="27" t="s">
        <v>3013</v>
      </c>
      <c r="T1949" s="27"/>
      <c r="U1949" s="27">
        <v>27745</v>
      </c>
      <c r="V1949" s="27" t="s">
        <v>2739</v>
      </c>
      <c r="W1949" s="27" t="s">
        <v>2740</v>
      </c>
      <c r="X1949" s="128"/>
      <c r="Y1949" s="73" t="e">
        <f>VLOOKUP(X1949,Choferes!$B$3:C463,2,FALSE)</f>
        <v>#N/A</v>
      </c>
      <c r="Z1949" s="73" t="s">
        <v>5394</v>
      </c>
    </row>
    <row r="1950" spans="1:26" hidden="1" x14ac:dyDescent="0.25">
      <c r="A1950" s="33">
        <v>2</v>
      </c>
      <c r="B1950" s="71" t="s">
        <v>29</v>
      </c>
      <c r="C1950" s="39" t="s">
        <v>5378</v>
      </c>
      <c r="D1950" s="106" t="s">
        <v>953</v>
      </c>
      <c r="E1950" s="47">
        <v>46029</v>
      </c>
      <c r="F1950" s="31" t="str">
        <f>VLOOKUP($C1950,Carpetas!$C$5:$M$2666,2,FALSE)</f>
        <v>BRB001-26</v>
      </c>
      <c r="G1950" s="23" t="str">
        <f>VLOOKUP($C1950,Carpetas!$C$5:$M$2666,10,FALSE)</f>
        <v>154,68,95</v>
      </c>
      <c r="H1950" s="27" t="str">
        <f>VLOOKUP($C1950,Carpetas!$C$5:$M$2666,6,FALSE)</f>
        <v>FG</v>
      </c>
      <c r="I1950" s="27" t="str">
        <f>VLOOKUP($C1950,Carpetas!$C$5:$M$2666,3,FALSE)</f>
        <v>Etimex</v>
      </c>
      <c r="J1950" s="47">
        <v>46030</v>
      </c>
      <c r="K1950" s="72" t="str">
        <f>VLOOKUP($C1950,Carpetas!$C$5:$M$2666,5,FALSE)</f>
        <v>Rio Branco</v>
      </c>
      <c r="L1950" s="32"/>
      <c r="M1950" s="48">
        <f t="shared" si="133"/>
        <v>46031</v>
      </c>
      <c r="N1950" s="26">
        <f t="shared" si="135"/>
        <v>2</v>
      </c>
      <c r="O1950" s="27">
        <v>1008</v>
      </c>
      <c r="P1950" s="27">
        <v>1008</v>
      </c>
      <c r="Q1950" s="27">
        <v>28</v>
      </c>
      <c r="R1950" s="27">
        <v>26</v>
      </c>
      <c r="S1950" s="27" t="s">
        <v>1035</v>
      </c>
      <c r="T1950" s="27"/>
      <c r="U1950" s="27">
        <v>1321</v>
      </c>
      <c r="V1950" s="27" t="s">
        <v>1617</v>
      </c>
      <c r="W1950" s="27" t="s">
        <v>1618</v>
      </c>
      <c r="X1950" s="128" t="s">
        <v>1619</v>
      </c>
      <c r="Y1950" s="73" t="str">
        <f>VLOOKUP(X1950,Choferes!$B$3:C464,2,FALSE)</f>
        <v>+5553984318842</v>
      </c>
      <c r="Z1950" s="73" t="s">
        <v>5395</v>
      </c>
    </row>
    <row r="1951" spans="1:26" hidden="1" x14ac:dyDescent="0.25">
      <c r="A1951" s="33">
        <v>2</v>
      </c>
      <c r="B1951" s="71" t="s">
        <v>29</v>
      </c>
      <c r="C1951" s="39" t="s">
        <v>5389</v>
      </c>
      <c r="D1951" s="106" t="s">
        <v>2202</v>
      </c>
      <c r="E1951" s="47">
        <v>46029</v>
      </c>
      <c r="F1951" s="31" t="str">
        <f>VLOOKUP($C1951,Carpetas!$C$5:$M$2666,2,FALSE)</f>
        <v>BRB005-26</v>
      </c>
      <c r="G1951" s="23" t="str">
        <f>VLOOKUP($C1951,Carpetas!$C$5:$M$2666,10,FALSE)</f>
        <v>154,69,91</v>
      </c>
      <c r="H1951" s="27" t="str">
        <f>VLOOKUP($C1951,Carpetas!$C$5:$M$2666,6,FALSE)</f>
        <v>Zanini</v>
      </c>
      <c r="I1951" s="27" t="str">
        <f>VLOOKUP($C1951,Carpetas!$C$5:$M$2666,3,FALSE)</f>
        <v>A&amp;A</v>
      </c>
      <c r="J1951" s="47">
        <v>46030</v>
      </c>
      <c r="K1951" s="72" t="str">
        <f>VLOOKUP($C1951,Carpetas!$C$5:$M$2666,5,FALSE)</f>
        <v>Chuy</v>
      </c>
      <c r="L1951" s="32"/>
      <c r="M1951" s="48">
        <f t="shared" si="133"/>
        <v>46031</v>
      </c>
      <c r="N1951" s="26">
        <f t="shared" si="135"/>
        <v>2</v>
      </c>
      <c r="O1951" s="27">
        <v>936</v>
      </c>
      <c r="P1951" s="27">
        <v>937</v>
      </c>
      <c r="Q1951" s="27">
        <v>26</v>
      </c>
      <c r="R1951" s="27">
        <v>28</v>
      </c>
      <c r="S1951" s="27" t="s">
        <v>2419</v>
      </c>
      <c r="T1951" s="27"/>
      <c r="U1951" s="27"/>
      <c r="V1951" s="27" t="s">
        <v>5396</v>
      </c>
      <c r="W1951" s="27" t="s">
        <v>5397</v>
      </c>
      <c r="X1951" s="128"/>
      <c r="Y1951" s="73" t="e">
        <f>VLOOKUP(X1951,Choferes!$B$3:C467,2,FALSE)</f>
        <v>#N/A</v>
      </c>
      <c r="Z1951" s="73" t="s">
        <v>5390</v>
      </c>
    </row>
    <row r="1952" spans="1:26" hidden="1" x14ac:dyDescent="0.25">
      <c r="A1952" s="33">
        <v>2</v>
      </c>
      <c r="B1952" s="71" t="s">
        <v>29</v>
      </c>
      <c r="C1952" s="39" t="s">
        <v>5378</v>
      </c>
      <c r="D1952" s="106" t="s">
        <v>803</v>
      </c>
      <c r="E1952" s="47">
        <v>46029</v>
      </c>
      <c r="F1952" s="31" t="str">
        <f>VLOOKUP($C1952,Carpetas!$C$5:$M$2666,2,FALSE)</f>
        <v>BRB001-26</v>
      </c>
      <c r="G1952" s="23" t="str">
        <f>VLOOKUP($C1952,Carpetas!$C$5:$M$2666,10,FALSE)</f>
        <v>154,68,95</v>
      </c>
      <c r="H1952" s="27" t="str">
        <f>VLOOKUP($C1952,Carpetas!$C$5:$M$2666,6,FALSE)</f>
        <v>FG</v>
      </c>
      <c r="I1952" s="27" t="str">
        <f>VLOOKUP($C1952,Carpetas!$C$5:$M$2666,3,FALSE)</f>
        <v>Etimex</v>
      </c>
      <c r="J1952" s="47">
        <f>E1952+2</f>
        <v>46031</v>
      </c>
      <c r="K1952" s="72" t="str">
        <f>VLOOKUP($C1952,Carpetas!$C$5:$M$2666,5,FALSE)</f>
        <v>Rio Branco</v>
      </c>
      <c r="L1952" s="32"/>
      <c r="M1952" s="48">
        <f t="shared" si="133"/>
        <v>46032</v>
      </c>
      <c r="N1952" s="26">
        <f t="shared" si="135"/>
        <v>3</v>
      </c>
      <c r="O1952" s="27">
        <v>1008</v>
      </c>
      <c r="P1952" s="27">
        <v>1008</v>
      </c>
      <c r="Q1952" s="27">
        <v>28</v>
      </c>
      <c r="R1952" s="27">
        <v>26</v>
      </c>
      <c r="S1952" s="27" t="s">
        <v>904</v>
      </c>
      <c r="T1952" s="27"/>
      <c r="U1952" s="27">
        <v>1324</v>
      </c>
      <c r="V1952" s="27" t="s">
        <v>3411</v>
      </c>
      <c r="W1952" s="27" t="s">
        <v>5398</v>
      </c>
      <c r="X1952" s="128" t="s">
        <v>3559</v>
      </c>
      <c r="Y1952" s="73" t="str">
        <f>VLOOKUP(X1952,Choferes!$B$3:C465,2,FALSE)</f>
        <v>+55 53 9713-4372</v>
      </c>
      <c r="Z1952" s="73" t="s">
        <v>5399</v>
      </c>
    </row>
    <row r="1953" spans="1:26" hidden="1" x14ac:dyDescent="0.25">
      <c r="A1953" s="33">
        <v>2</v>
      </c>
      <c r="B1953" s="71" t="s">
        <v>29</v>
      </c>
      <c r="C1953" s="39" t="s">
        <v>5400</v>
      </c>
      <c r="D1953" s="106" t="s">
        <v>747</v>
      </c>
      <c r="E1953" s="47">
        <v>46029</v>
      </c>
      <c r="F1953" s="31" t="str">
        <f>VLOOKUP($C1953,Carpetas!$C$5:$M$2666,2,FALSE)</f>
        <v>BRB004-26</v>
      </c>
      <c r="G1953" s="23" t="str">
        <f>VLOOKUP($C1953,Carpetas!$C$5:$M$2666,10,FALSE)</f>
        <v>154,69,95</v>
      </c>
      <c r="H1953" s="27" t="str">
        <f>VLOOKUP($C1953,Carpetas!$C$5:$M$2666,6,FALSE)</f>
        <v>FG</v>
      </c>
      <c r="I1953" s="27" t="str">
        <f>VLOOKUP($C1953,Carpetas!$C$5:$M$2666,3,FALSE)</f>
        <v>Etimex</v>
      </c>
      <c r="J1953" s="47">
        <f>E1953+2</f>
        <v>46031</v>
      </c>
      <c r="K1953" s="72" t="str">
        <f>VLOOKUP($C1953,Carpetas!$C$5:$M$2666,5,FALSE)</f>
        <v>Rio Branco</v>
      </c>
      <c r="L1953" s="32"/>
      <c r="M1953" s="48">
        <f t="shared" si="133"/>
        <v>46032</v>
      </c>
      <c r="N1953" s="26">
        <f t="shared" si="135"/>
        <v>3</v>
      </c>
      <c r="O1953" s="27">
        <v>1008</v>
      </c>
      <c r="P1953" s="27">
        <v>1009</v>
      </c>
      <c r="Q1953" s="27">
        <v>28</v>
      </c>
      <c r="R1953" s="27">
        <v>26</v>
      </c>
      <c r="S1953" s="27" t="s">
        <v>816</v>
      </c>
      <c r="T1953" s="27"/>
      <c r="U1953" s="27">
        <v>1325</v>
      </c>
      <c r="V1953" s="27" t="s">
        <v>1722</v>
      </c>
      <c r="W1953" s="27" t="s">
        <v>1723</v>
      </c>
      <c r="X1953" s="128" t="s">
        <v>5009</v>
      </c>
      <c r="Y1953" s="73" t="str">
        <f>VLOOKUP(X1953,Choferes!$B$3:C466,2,FALSE)</f>
        <v>+598 98 195 659</v>
      </c>
      <c r="Z1953" s="73" t="s">
        <v>5401</v>
      </c>
    </row>
    <row r="1954" spans="1:26" hidden="1" x14ac:dyDescent="0.25">
      <c r="A1954" s="33">
        <v>2</v>
      </c>
      <c r="B1954" s="71" t="s">
        <v>29</v>
      </c>
      <c r="C1954" s="39" t="s">
        <v>5384</v>
      </c>
      <c r="D1954" s="106" t="s">
        <v>2474</v>
      </c>
      <c r="E1954" s="47">
        <v>46030</v>
      </c>
      <c r="F1954" s="31" t="str">
        <f>VLOOKUP($C1954,Carpetas!$C$5:$M$2666,2,FALSE)</f>
        <v>BRB002-26</v>
      </c>
      <c r="G1954" s="23" t="str">
        <f>VLOOKUP($C1954,Carpetas!$C$5:$M$2666,10,FALSE)</f>
        <v>154,69,93</v>
      </c>
      <c r="H1954" s="27" t="str">
        <f>VLOOKUP($C1954,Carpetas!$C$5:$M$2666,6,FALSE)</f>
        <v xml:space="preserve">Silvio </v>
      </c>
      <c r="I1954" s="27" t="str">
        <f>VLOOKUP($C1954,Carpetas!$C$5:$M$2666,3,FALSE)</f>
        <v>Etimex</v>
      </c>
      <c r="J1954" s="47">
        <v>46031</v>
      </c>
      <c r="K1954" s="72" t="str">
        <f>VLOOKUP($C1954,Carpetas!$C$5:$M$2666,5,FALSE)</f>
        <v>Rio Branco</v>
      </c>
      <c r="L1954" s="32"/>
      <c r="M1954" s="48">
        <f t="shared" si="133"/>
        <v>46032</v>
      </c>
      <c r="N1954" s="26">
        <f t="shared" si="135"/>
        <v>2</v>
      </c>
      <c r="O1954" s="27">
        <v>936</v>
      </c>
      <c r="P1954" s="27">
        <v>936</v>
      </c>
      <c r="Q1954" s="27">
        <v>26</v>
      </c>
      <c r="R1954" s="27">
        <v>25</v>
      </c>
      <c r="S1954" s="27" t="s">
        <v>2527</v>
      </c>
      <c r="T1954" s="27"/>
      <c r="U1954" s="27">
        <v>7636</v>
      </c>
      <c r="V1954" s="27" t="s">
        <v>2086</v>
      </c>
      <c r="W1954" s="27" t="s">
        <v>2087</v>
      </c>
      <c r="X1954" s="128"/>
      <c r="Y1954" s="73" t="e">
        <f>VLOOKUP(X1954,Choferes!$B$3:C469,2,FALSE)</f>
        <v>#N/A</v>
      </c>
      <c r="Z1954" s="73" t="s">
        <v>5402</v>
      </c>
    </row>
    <row r="1955" spans="1:26" hidden="1" x14ac:dyDescent="0.25">
      <c r="A1955" s="33">
        <v>2</v>
      </c>
      <c r="B1955" s="71" t="s">
        <v>29</v>
      </c>
      <c r="C1955" s="39" t="s">
        <v>5391</v>
      </c>
      <c r="D1955" s="106" t="s">
        <v>2202</v>
      </c>
      <c r="E1955" s="47">
        <v>46030</v>
      </c>
      <c r="F1955" s="31" t="str">
        <f>VLOOKUP($C1955,Carpetas!$C$5:$M$2666,2,FALSE)</f>
        <v>BRB006-26</v>
      </c>
      <c r="G1955" s="23" t="str">
        <f>VLOOKUP($C1955,Carpetas!$C$5:$M$2666,10,FALSE)</f>
        <v>154,69,90</v>
      </c>
      <c r="H1955" s="27" t="str">
        <f>VLOOKUP($C1955,Carpetas!$C$5:$M$2666,6,FALSE)</f>
        <v>Chabat</v>
      </c>
      <c r="I1955" s="27" t="str">
        <f>VLOOKUP($C1955,Carpetas!$C$5:$M$2666,3,FALSE)</f>
        <v>A&amp;A</v>
      </c>
      <c r="J1955" s="47">
        <v>46031</v>
      </c>
      <c r="K1955" s="72" t="str">
        <f>VLOOKUP($C1955,Carpetas!$C$5:$M$2666,5,FALSE)</f>
        <v>Rio Branco</v>
      </c>
      <c r="L1955" s="32"/>
      <c r="M1955" s="48">
        <f t="shared" si="133"/>
        <v>46032</v>
      </c>
      <c r="N1955" s="26">
        <f t="shared" si="135"/>
        <v>2</v>
      </c>
      <c r="O1955" s="27">
        <v>1008</v>
      </c>
      <c r="P1955" s="27">
        <v>1008</v>
      </c>
      <c r="Q1955" s="27">
        <v>28</v>
      </c>
      <c r="R1955" s="27">
        <v>26</v>
      </c>
      <c r="S1955" s="27" t="s">
        <v>2467</v>
      </c>
      <c r="T1955" s="27"/>
      <c r="U1955" s="27"/>
      <c r="V1955" s="27" t="s">
        <v>5403</v>
      </c>
      <c r="W1955" s="27" t="s">
        <v>4135</v>
      </c>
      <c r="X1955" s="128"/>
      <c r="Y1955" s="73" t="e">
        <f>VLOOKUP(X1955,Choferes!$B$3:C471,2,FALSE)</f>
        <v>#N/A</v>
      </c>
      <c r="Z1955" s="73" t="s">
        <v>5399</v>
      </c>
    </row>
    <row r="1956" spans="1:26" ht="30" hidden="1" x14ac:dyDescent="0.25">
      <c r="A1956" s="33">
        <v>2</v>
      </c>
      <c r="B1956" s="71" t="s">
        <v>29</v>
      </c>
      <c r="C1956" s="39" t="s">
        <v>5393</v>
      </c>
      <c r="D1956" s="106" t="s">
        <v>249</v>
      </c>
      <c r="E1956" s="47">
        <v>46031</v>
      </c>
      <c r="F1956" s="31" t="str">
        <f>VLOOKUP($C1956,Carpetas!$C$5:$M$2666,2,FALSE)</f>
        <v>BRB003-26</v>
      </c>
      <c r="G1956" s="23" t="str">
        <f>VLOOKUP($C1956,Carpetas!$C$5:$M$2666,10,FALSE)</f>
        <v>154,69,94</v>
      </c>
      <c r="H1956" s="27" t="str">
        <f>VLOOKUP($C1956,Carpetas!$C$5:$M$2666,6,FALSE)</f>
        <v>Amaro</v>
      </c>
      <c r="I1956" s="27" t="str">
        <f>VLOOKUP($C1956,Carpetas!$C$5:$M$2666,3,FALSE)</f>
        <v>Etimex</v>
      </c>
      <c r="J1956" s="47">
        <f>E1956+2</f>
        <v>46033</v>
      </c>
      <c r="K1956" s="72" t="str">
        <f>VLOOKUP($C1956,Carpetas!$C$5:$M$2666,5,FALSE)</f>
        <v>Rio Branco</v>
      </c>
      <c r="L1956" s="32"/>
      <c r="M1956" s="48">
        <f t="shared" si="133"/>
        <v>46034</v>
      </c>
      <c r="N1956" s="26">
        <f t="shared" si="135"/>
        <v>3</v>
      </c>
      <c r="O1956" s="27">
        <v>1008</v>
      </c>
      <c r="P1956" s="27">
        <v>1008</v>
      </c>
      <c r="Q1956" s="27">
        <v>28</v>
      </c>
      <c r="R1956" s="27">
        <v>26</v>
      </c>
      <c r="S1956" s="27" t="s">
        <v>3031</v>
      </c>
      <c r="T1956" s="27"/>
      <c r="U1956" s="27">
        <v>27756</v>
      </c>
      <c r="V1956" s="27" t="s">
        <v>5404</v>
      </c>
      <c r="W1956" s="27" t="s">
        <v>5405</v>
      </c>
      <c r="X1956" s="128"/>
      <c r="Y1956" s="73" t="e">
        <f>VLOOKUP(X1956,Choferes!$B$3:C470,2,FALSE)</f>
        <v>#N/A</v>
      </c>
      <c r="Z1956" s="73" t="s">
        <v>5406</v>
      </c>
    </row>
    <row r="1957" spans="1:26" hidden="1" x14ac:dyDescent="0.25">
      <c r="A1957" s="33">
        <v>2</v>
      </c>
      <c r="B1957" s="71" t="s">
        <v>29</v>
      </c>
      <c r="C1957" s="39" t="s">
        <v>5400</v>
      </c>
      <c r="D1957" s="106" t="s">
        <v>747</v>
      </c>
      <c r="E1957" s="47">
        <v>46031</v>
      </c>
      <c r="F1957" s="31" t="str">
        <f>VLOOKUP($C1957,Carpetas!$C$5:$M$2666,2,FALSE)</f>
        <v>BRB004-26</v>
      </c>
      <c r="G1957" s="23" t="str">
        <f>VLOOKUP($C1957,Carpetas!$C$5:$M$2666,10,FALSE)</f>
        <v>154,69,95</v>
      </c>
      <c r="H1957" s="27" t="str">
        <f>VLOOKUP($C1957,Carpetas!$C$5:$M$2666,6,FALSE)</f>
        <v>FG</v>
      </c>
      <c r="I1957" s="27" t="str">
        <f>VLOOKUP($C1957,Carpetas!$C$5:$M$2666,3,FALSE)</f>
        <v>Etimex</v>
      </c>
      <c r="J1957" s="47">
        <f>E1957+2</f>
        <v>46033</v>
      </c>
      <c r="K1957" s="72" t="str">
        <f>VLOOKUP($C1957,Carpetas!$C$5:$M$2666,5,FALSE)</f>
        <v>Rio Branco</v>
      </c>
      <c r="L1957" s="32"/>
      <c r="M1957" s="48">
        <f t="shared" si="133"/>
        <v>46034</v>
      </c>
      <c r="N1957" s="26">
        <f t="shared" si="135"/>
        <v>3</v>
      </c>
      <c r="O1957" s="27">
        <v>1008</v>
      </c>
      <c r="P1957" s="27">
        <v>1008</v>
      </c>
      <c r="Q1957" s="27">
        <v>28</v>
      </c>
      <c r="R1957" s="27">
        <v>26</v>
      </c>
      <c r="S1957" s="27" t="s">
        <v>5407</v>
      </c>
      <c r="T1957" s="27"/>
      <c r="U1957" s="27">
        <v>1330</v>
      </c>
      <c r="V1957" s="27" t="s">
        <v>1626</v>
      </c>
      <c r="W1957" s="27" t="s">
        <v>1736</v>
      </c>
      <c r="X1957" s="128" t="s">
        <v>1413</v>
      </c>
      <c r="Y1957" s="73" t="str">
        <f>VLOOKUP(X1957,Choferes!$B$3:C471,2,FALSE)</f>
        <v>+59899406679</v>
      </c>
      <c r="Z1957" s="73" t="s">
        <v>5408</v>
      </c>
    </row>
    <row r="1958" spans="1:26" hidden="1" x14ac:dyDescent="0.25">
      <c r="A1958" s="33">
        <v>2</v>
      </c>
      <c r="B1958" s="71" t="s">
        <v>29</v>
      </c>
      <c r="C1958" s="39" t="s">
        <v>5384</v>
      </c>
      <c r="D1958" s="106" t="s">
        <v>2474</v>
      </c>
      <c r="E1958" s="47">
        <v>46032</v>
      </c>
      <c r="F1958" s="31" t="str">
        <f>VLOOKUP($C1958,Carpetas!$C$5:$M$2666,2,FALSE)</f>
        <v>BRB002-26</v>
      </c>
      <c r="G1958" s="23" t="str">
        <f>VLOOKUP($C1958,Carpetas!$C$5:$M$2666,10,FALSE)</f>
        <v>154,69,93</v>
      </c>
      <c r="H1958" s="27" t="str">
        <f>VLOOKUP($C1958,Carpetas!$C$5:$M$2666,6,FALSE)</f>
        <v xml:space="preserve">Silvio </v>
      </c>
      <c r="I1958" s="27" t="str">
        <f>VLOOKUP($C1958,Carpetas!$C$5:$M$2666,3,FALSE)</f>
        <v>Etimex</v>
      </c>
      <c r="J1958" s="47">
        <f>E1958+2</f>
        <v>46034</v>
      </c>
      <c r="K1958" s="72" t="str">
        <f>VLOOKUP($C1958,Carpetas!$C$5:$M$2666,5,FALSE)</f>
        <v>Rio Branco</v>
      </c>
      <c r="L1958" s="32"/>
      <c r="M1958" s="48">
        <f t="shared" si="133"/>
        <v>46035</v>
      </c>
      <c r="N1958" s="26">
        <f t="shared" si="135"/>
        <v>3</v>
      </c>
      <c r="O1958" s="27">
        <v>936</v>
      </c>
      <c r="P1958" s="27">
        <v>936</v>
      </c>
      <c r="Q1958" s="27">
        <v>28</v>
      </c>
      <c r="R1958" s="27">
        <v>25</v>
      </c>
      <c r="S1958" s="27" t="s">
        <v>2574</v>
      </c>
      <c r="T1958" s="27"/>
      <c r="U1958" s="27">
        <v>7637</v>
      </c>
      <c r="V1958" s="27" t="s">
        <v>3039</v>
      </c>
      <c r="W1958" s="27" t="s">
        <v>3040</v>
      </c>
      <c r="X1958" s="128" t="s">
        <v>1529</v>
      </c>
      <c r="Y1958" s="73" t="str">
        <f>VLOOKUP(X1958,Choferes!$B$3:C472,2,FALSE)</f>
        <v>+5555981257673</v>
      </c>
      <c r="Z1958" s="73" t="s">
        <v>5409</v>
      </c>
    </row>
    <row r="1959" spans="1:26" hidden="1" x14ac:dyDescent="0.25">
      <c r="A1959" s="33">
        <v>2</v>
      </c>
      <c r="B1959" s="71" t="s">
        <v>29</v>
      </c>
      <c r="C1959" s="39" t="s">
        <v>5389</v>
      </c>
      <c r="D1959" s="106" t="s">
        <v>2202</v>
      </c>
      <c r="E1959" s="47">
        <v>46032</v>
      </c>
      <c r="F1959" s="31" t="str">
        <f>VLOOKUP($C1959,Carpetas!$C$5:$M$2666,2,FALSE)</f>
        <v>BRB005-26</v>
      </c>
      <c r="G1959" s="23" t="str">
        <f>VLOOKUP($C1959,Carpetas!$C$5:$M$2666,10,FALSE)</f>
        <v>154,69,91</v>
      </c>
      <c r="H1959" s="27" t="str">
        <f>VLOOKUP($C1959,Carpetas!$C$5:$M$2666,6,FALSE)</f>
        <v>Zanini</v>
      </c>
      <c r="I1959" s="27" t="str">
        <f>VLOOKUP($C1959,Carpetas!$C$5:$M$2666,3,FALSE)</f>
        <v>A&amp;A</v>
      </c>
      <c r="J1959" s="47">
        <f>E1959+2</f>
        <v>46034</v>
      </c>
      <c r="K1959" s="72" t="str">
        <f>VLOOKUP($C1959,Carpetas!$C$5:$M$2666,5,FALSE)</f>
        <v>Chuy</v>
      </c>
      <c r="L1959" s="32"/>
      <c r="M1959" s="48">
        <f t="shared" si="133"/>
        <v>46035</v>
      </c>
      <c r="N1959" s="26">
        <f t="shared" si="135"/>
        <v>3</v>
      </c>
      <c r="O1959" s="27">
        <v>936</v>
      </c>
      <c r="P1959" s="27">
        <v>937</v>
      </c>
      <c r="Q1959" s="27">
        <v>28</v>
      </c>
      <c r="R1959" s="27">
        <v>25</v>
      </c>
      <c r="S1959" s="27" t="s">
        <v>2496</v>
      </c>
      <c r="T1959" s="27"/>
      <c r="U1959" s="27"/>
      <c r="V1959" s="27" t="s">
        <v>5410</v>
      </c>
      <c r="W1959" s="27" t="s">
        <v>5411</v>
      </c>
      <c r="X1959" s="128"/>
      <c r="Y1959" s="73" t="e">
        <f>VLOOKUP(X1959,Choferes!$B$3:C472,2,FALSE)</f>
        <v>#N/A</v>
      </c>
      <c r="Z1959" s="73" t="s">
        <v>5412</v>
      </c>
    </row>
    <row r="1960" spans="1:26" ht="30" hidden="1" x14ac:dyDescent="0.25">
      <c r="A1960" s="33">
        <v>2</v>
      </c>
      <c r="B1960" s="71" t="s">
        <v>29</v>
      </c>
      <c r="C1960" s="39" t="s">
        <v>5413</v>
      </c>
      <c r="D1960" s="106" t="s">
        <v>38</v>
      </c>
      <c r="E1960" s="47">
        <v>46032</v>
      </c>
      <c r="F1960" s="31" t="str">
        <f>VLOOKUP($C1960,Carpetas!$C$5:$M$2666,2,FALSE)</f>
        <v>BRE001-26</v>
      </c>
      <c r="G1960" s="23" t="str">
        <f>VLOOKUP($C1960,Carpetas!$C$5:$M$2666,10,FALSE)</f>
        <v>1547096-1547095</v>
      </c>
      <c r="H1960" s="27" t="str">
        <f>VLOOKUP($C1960,Carpetas!$C$5:$M$2666,6,FALSE)</f>
        <v>VPN</v>
      </c>
      <c r="I1960" s="27" t="str">
        <f>VLOOKUP($C1960,Carpetas!$C$5:$M$2666,3,FALSE)</f>
        <v>Dom Basto</v>
      </c>
      <c r="J1960" s="47">
        <v>46035</v>
      </c>
      <c r="K1960" s="72" t="str">
        <f>VLOOKUP($C1960,Carpetas!$C$5:$M$2666,5,FALSE)</f>
        <v>Rio Branco</v>
      </c>
      <c r="L1960" s="32"/>
      <c r="M1960" s="48">
        <f t="shared" si="133"/>
        <v>46036</v>
      </c>
      <c r="N1960" s="26">
        <f t="shared" si="135"/>
        <v>4</v>
      </c>
      <c r="O1960" s="27">
        <v>1492</v>
      </c>
      <c r="P1960" s="27">
        <v>1491</v>
      </c>
      <c r="Q1960" s="27">
        <v>26</v>
      </c>
      <c r="R1960" s="27">
        <v>25</v>
      </c>
      <c r="S1960" s="27" t="s">
        <v>5414</v>
      </c>
      <c r="T1960" s="27"/>
      <c r="U1960" s="27"/>
      <c r="V1960" s="27"/>
      <c r="W1960" s="27"/>
      <c r="X1960" s="128"/>
      <c r="Y1960" s="73" t="e">
        <f>VLOOKUP(X1960,Choferes!$B$3:C473,2,FALSE)</f>
        <v>#N/A</v>
      </c>
      <c r="Z1960" s="73" t="s">
        <v>5415</v>
      </c>
    </row>
    <row r="1961" spans="1:26" hidden="1" x14ac:dyDescent="0.25">
      <c r="A1961" s="33">
        <v>3</v>
      </c>
      <c r="B1961" s="71" t="s">
        <v>29</v>
      </c>
      <c r="C1961" s="39" t="s">
        <v>5416</v>
      </c>
      <c r="D1961" s="106" t="s">
        <v>183</v>
      </c>
      <c r="E1961" s="47">
        <v>46033</v>
      </c>
      <c r="F1961" s="31" t="str">
        <f>VLOOKUP($C1961,Carpetas!$C$5:$M$2666,2,FALSE)</f>
        <v>PYB001-26</v>
      </c>
      <c r="G1961" s="23" t="str">
        <f>VLOOKUP($C1961,Carpetas!$C$5:$M$2666,10,FALSE)</f>
        <v>154.70.65</v>
      </c>
      <c r="H1961" s="27" t="str">
        <f>VLOOKUP($C1961,Carpetas!$C$5:$M$2666,6,FALSE)</f>
        <v>3G</v>
      </c>
      <c r="I1961" s="27" t="str">
        <f>VLOOKUP($C1961,Carpetas!$C$5:$M$2666,3,FALSE)</f>
        <v>Hugo Franco</v>
      </c>
      <c r="J1961" s="47">
        <f t="shared" ref="J1961:J1966" si="136">E1961+2</f>
        <v>46035</v>
      </c>
      <c r="K1961" s="72" t="str">
        <f>VLOOKUP($C1961,Carpetas!$C$5:$M$2666,5,FALSE)</f>
        <v>Salto</v>
      </c>
      <c r="L1961" s="32"/>
      <c r="M1961" s="48">
        <f t="shared" si="133"/>
        <v>46036</v>
      </c>
      <c r="N1961" s="26">
        <f t="shared" si="135"/>
        <v>3</v>
      </c>
      <c r="O1961" s="27">
        <v>980</v>
      </c>
      <c r="P1961" s="27">
        <v>981</v>
      </c>
      <c r="Q1961" s="27">
        <v>26</v>
      </c>
      <c r="R1961" s="27">
        <v>27</v>
      </c>
      <c r="S1961" s="27" t="s">
        <v>184</v>
      </c>
      <c r="T1961" s="27"/>
      <c r="U1961" s="27"/>
      <c r="V1961" s="27" t="s">
        <v>3024</v>
      </c>
      <c r="W1961" s="27"/>
      <c r="X1961" s="128"/>
      <c r="Y1961" s="73" t="e">
        <f>VLOOKUP(X1961,Choferes!$B$3:C484,2,FALSE)</f>
        <v>#N/A</v>
      </c>
      <c r="Z1961" s="73" t="s">
        <v>5417</v>
      </c>
    </row>
    <row r="1962" spans="1:26" hidden="1" x14ac:dyDescent="0.25">
      <c r="A1962" s="33">
        <v>3</v>
      </c>
      <c r="B1962" s="71" t="s">
        <v>29</v>
      </c>
      <c r="C1962" s="39" t="s">
        <v>5416</v>
      </c>
      <c r="D1962" s="106" t="s">
        <v>183</v>
      </c>
      <c r="E1962" s="47">
        <v>46033</v>
      </c>
      <c r="F1962" s="31" t="str">
        <f>VLOOKUP($C1962,Carpetas!$C$5:$M$2666,2,FALSE)</f>
        <v>PYB001-26</v>
      </c>
      <c r="G1962" s="23" t="str">
        <f>VLOOKUP($C1962,Carpetas!$C$5:$M$2666,10,FALSE)</f>
        <v>154.70.65</v>
      </c>
      <c r="H1962" s="27" t="str">
        <f>VLOOKUP($C1962,Carpetas!$C$5:$M$2666,6,FALSE)</f>
        <v>3G</v>
      </c>
      <c r="I1962" s="27" t="str">
        <f>VLOOKUP($C1962,Carpetas!$C$5:$M$2666,3,FALSE)</f>
        <v>Hugo Franco</v>
      </c>
      <c r="J1962" s="47">
        <f t="shared" si="136"/>
        <v>46035</v>
      </c>
      <c r="K1962" s="72" t="str">
        <f>VLOOKUP($C1962,Carpetas!$C$5:$M$2666,5,FALSE)</f>
        <v>Salto</v>
      </c>
      <c r="L1962" s="32"/>
      <c r="M1962" s="48">
        <f t="shared" si="133"/>
        <v>46036</v>
      </c>
      <c r="N1962" s="26">
        <f t="shared" si="135"/>
        <v>3</v>
      </c>
      <c r="O1962" s="27">
        <v>980</v>
      </c>
      <c r="P1962" s="27">
        <v>980</v>
      </c>
      <c r="Q1962" s="27">
        <v>26</v>
      </c>
      <c r="R1962" s="27">
        <v>27</v>
      </c>
      <c r="S1962" s="27" t="s">
        <v>314</v>
      </c>
      <c r="T1962" s="27"/>
      <c r="U1962" s="27"/>
      <c r="V1962" s="27"/>
      <c r="W1962" s="27"/>
      <c r="X1962" s="128"/>
      <c r="Y1962" s="73" t="e">
        <f>VLOOKUP(X1962,Choferes!$B$3:C485,2,FALSE)</f>
        <v>#N/A</v>
      </c>
      <c r="Z1962" s="73" t="s">
        <v>5418</v>
      </c>
    </row>
    <row r="1963" spans="1:26" hidden="1" x14ac:dyDescent="0.25">
      <c r="A1963" s="33">
        <v>3</v>
      </c>
      <c r="B1963" s="71" t="s">
        <v>29</v>
      </c>
      <c r="C1963" s="39" t="s">
        <v>5400</v>
      </c>
      <c r="D1963" s="106" t="s">
        <v>747</v>
      </c>
      <c r="E1963" s="47">
        <v>46034</v>
      </c>
      <c r="F1963" s="31" t="str">
        <f>VLOOKUP($C1963,Carpetas!$C$5:$M$2666,2,FALSE)</f>
        <v>BRB004-26</v>
      </c>
      <c r="G1963" s="23" t="str">
        <f>VLOOKUP($C1963,Carpetas!$C$5:$M$2666,10,FALSE)</f>
        <v>154,69,95</v>
      </c>
      <c r="H1963" s="27" t="str">
        <f>VLOOKUP($C1963,Carpetas!$C$5:$M$2666,6,FALSE)</f>
        <v>FG</v>
      </c>
      <c r="I1963" s="27" t="str">
        <f>VLOOKUP($C1963,Carpetas!$C$5:$M$2666,3,FALSE)</f>
        <v>Etimex</v>
      </c>
      <c r="J1963" s="47">
        <f t="shared" si="136"/>
        <v>46036</v>
      </c>
      <c r="K1963" s="72" t="str">
        <f>VLOOKUP($C1963,Carpetas!$C$5:$M$2666,5,FALSE)</f>
        <v>Rio Branco</v>
      </c>
      <c r="L1963" s="32"/>
      <c r="M1963" s="48">
        <f t="shared" si="133"/>
        <v>46037</v>
      </c>
      <c r="N1963" s="26">
        <f t="shared" si="135"/>
        <v>3</v>
      </c>
      <c r="O1963" s="27">
        <v>1008</v>
      </c>
      <c r="P1963" s="27">
        <v>1008</v>
      </c>
      <c r="Q1963" s="27">
        <v>28</v>
      </c>
      <c r="R1963" s="27">
        <v>26</v>
      </c>
      <c r="S1963" s="27" t="s">
        <v>927</v>
      </c>
      <c r="T1963" s="27"/>
      <c r="U1963" s="27">
        <v>1332</v>
      </c>
      <c r="V1963" s="27" t="s">
        <v>911</v>
      </c>
      <c r="W1963" s="27" t="s">
        <v>912</v>
      </c>
      <c r="X1963" s="128" t="s">
        <v>1397</v>
      </c>
      <c r="Y1963" s="73" t="str">
        <f>VLOOKUP(X1963,Choferes!$B$3:C474,2,FALSE)</f>
        <v>+5551996322594</v>
      </c>
      <c r="Z1963" s="73" t="s">
        <v>5419</v>
      </c>
    </row>
    <row r="1964" spans="1:26" hidden="1" x14ac:dyDescent="0.25">
      <c r="A1964" s="33">
        <v>3</v>
      </c>
      <c r="B1964" s="71" t="s">
        <v>29</v>
      </c>
      <c r="C1964" s="39" t="s">
        <v>5340</v>
      </c>
      <c r="D1964" s="106" t="s">
        <v>2474</v>
      </c>
      <c r="E1964" s="47">
        <v>46035</v>
      </c>
      <c r="F1964" s="31" t="str">
        <f>VLOOKUP($C1964,Carpetas!$C$5:$M$2666,2,FALSE)</f>
        <v>BRB158</v>
      </c>
      <c r="G1964" s="23" t="str">
        <f>VLOOKUP($C1964,Carpetas!$C$5:$M$2666,10,FALSE)</f>
        <v>154,58,60</v>
      </c>
      <c r="H1964" s="27" t="str">
        <f>VLOOKUP($C1964,Carpetas!$C$5:$M$2666,6,FALSE)</f>
        <v>Chabat</v>
      </c>
      <c r="I1964" s="27" t="str">
        <f>VLOOKUP($C1964,Carpetas!$C$5:$M$2666,3,FALSE)</f>
        <v>Etimex</v>
      </c>
      <c r="J1964" s="47">
        <f t="shared" si="136"/>
        <v>46037</v>
      </c>
      <c r="K1964" s="72" t="str">
        <f>VLOOKUP($C1964,Carpetas!$C$5:$M$2666,5,FALSE)</f>
        <v>Rio Branco</v>
      </c>
      <c r="L1964" s="32"/>
      <c r="M1964" s="48">
        <f t="shared" si="133"/>
        <v>46038</v>
      </c>
      <c r="N1964" s="26">
        <f t="shared" si="135"/>
        <v>3</v>
      </c>
      <c r="O1964" s="27">
        <v>1008</v>
      </c>
      <c r="P1964" s="27">
        <v>1008</v>
      </c>
      <c r="Q1964" s="27">
        <v>28</v>
      </c>
      <c r="R1964" s="27">
        <v>26</v>
      </c>
      <c r="S1964" s="27" t="s">
        <v>2635</v>
      </c>
      <c r="T1964" s="27"/>
      <c r="U1964" s="27">
        <v>2491</v>
      </c>
      <c r="V1964" s="27" t="s">
        <v>4339</v>
      </c>
      <c r="W1964" s="27" t="s">
        <v>4340</v>
      </c>
      <c r="X1964" s="128"/>
      <c r="Y1964" s="73" t="e">
        <f>VLOOKUP(X1964,Choferes!$B$3:C475,2,FALSE)</f>
        <v>#N/A</v>
      </c>
      <c r="Z1964" s="73" t="s">
        <v>5420</v>
      </c>
    </row>
    <row r="1965" spans="1:26" hidden="1" x14ac:dyDescent="0.25">
      <c r="A1965" s="33">
        <v>3</v>
      </c>
      <c r="B1965" s="71" t="s">
        <v>29</v>
      </c>
      <c r="C1965" s="39" t="s">
        <v>5421</v>
      </c>
      <c r="D1965" s="106" t="s">
        <v>2202</v>
      </c>
      <c r="E1965" s="47">
        <v>46035</v>
      </c>
      <c r="F1965" s="31" t="str">
        <f>VLOOKUP($C1965,Carpetas!$C$5:$M$2666,2,FALSE)</f>
        <v>BRB007-26</v>
      </c>
      <c r="G1965" s="23">
        <f>VLOOKUP($C1965,Carpetas!$C$5:$M$2666,10,FALSE)</f>
        <v>1547430</v>
      </c>
      <c r="H1965" s="27" t="str">
        <f>VLOOKUP($C1965,Carpetas!$C$5:$M$2666,6,FALSE)</f>
        <v xml:space="preserve">Silvio </v>
      </c>
      <c r="I1965" s="27" t="str">
        <f>VLOOKUP($C1965,Carpetas!$C$5:$M$2666,3,FALSE)</f>
        <v>Etimex</v>
      </c>
      <c r="J1965" s="47">
        <f t="shared" si="136"/>
        <v>46037</v>
      </c>
      <c r="K1965" s="72" t="str">
        <f>VLOOKUP($C1965,Carpetas!$C$5:$M$2666,5,FALSE)</f>
        <v>Rio Branco</v>
      </c>
      <c r="L1965" s="32"/>
      <c r="M1965" s="48">
        <f t="shared" si="133"/>
        <v>46038</v>
      </c>
      <c r="N1965" s="26">
        <f t="shared" si="135"/>
        <v>3</v>
      </c>
      <c r="O1965" s="27">
        <v>936</v>
      </c>
      <c r="P1965" s="27">
        <v>937</v>
      </c>
      <c r="Q1965" s="27">
        <v>26</v>
      </c>
      <c r="R1965" s="27">
        <v>25</v>
      </c>
      <c r="S1965" s="27" t="s">
        <v>2510</v>
      </c>
      <c r="T1965" s="27"/>
      <c r="U1965" s="27">
        <v>7641</v>
      </c>
      <c r="V1965" s="27" t="s">
        <v>3018</v>
      </c>
      <c r="W1965" s="27" t="s">
        <v>1927</v>
      </c>
      <c r="X1965" s="128" t="s">
        <v>1928</v>
      </c>
      <c r="Y1965" s="73" t="str">
        <f>VLOOKUP(X1965,Choferes!$B$3:C476,2,FALSE)</f>
        <v>+5542991159306</v>
      </c>
      <c r="Z1965" s="73" t="s">
        <v>5422</v>
      </c>
    </row>
    <row r="1966" spans="1:26" hidden="1" x14ac:dyDescent="0.25">
      <c r="A1966" s="33">
        <v>3</v>
      </c>
      <c r="B1966" s="71" t="s">
        <v>29</v>
      </c>
      <c r="C1966" s="39" t="s">
        <v>5423</v>
      </c>
      <c r="D1966" s="106" t="s">
        <v>183</v>
      </c>
      <c r="E1966" s="47">
        <v>46035</v>
      </c>
      <c r="F1966" s="31" t="str">
        <f>VLOOKUP($C1966,Carpetas!$C$5:$M$2666,2,FALSE)</f>
        <v>PYB002-26</v>
      </c>
      <c r="G1966" s="23">
        <f>VLOOKUP($C1966,Carpetas!$C$5:$M$2666,10,FALSE)</f>
        <v>1547066</v>
      </c>
      <c r="H1966" s="27" t="str">
        <f>VLOOKUP($C1966,Carpetas!$C$5:$M$2666,6,FALSE)</f>
        <v>3G</v>
      </c>
      <c r="I1966" s="27" t="str">
        <f>VLOOKUP($C1966,Carpetas!$C$5:$M$2666,3,FALSE)</f>
        <v>Hugo Franco</v>
      </c>
      <c r="J1966" s="47">
        <f t="shared" si="136"/>
        <v>46037</v>
      </c>
      <c r="K1966" s="72" t="str">
        <f>VLOOKUP($C1966,Carpetas!$C$5:$M$2666,5,FALSE)</f>
        <v>Salto</v>
      </c>
      <c r="L1966" s="32"/>
      <c r="M1966" s="48">
        <f t="shared" si="133"/>
        <v>46038</v>
      </c>
      <c r="N1966" s="26">
        <f t="shared" si="135"/>
        <v>3</v>
      </c>
      <c r="O1966" s="27">
        <v>980</v>
      </c>
      <c r="P1966" s="27">
        <v>981</v>
      </c>
      <c r="Q1966" s="27">
        <v>26</v>
      </c>
      <c r="R1966" s="27">
        <v>26</v>
      </c>
      <c r="S1966" s="27" t="s">
        <v>2976</v>
      </c>
      <c r="T1966" s="27"/>
      <c r="U1966" s="27"/>
      <c r="V1966" s="27" t="s">
        <v>725</v>
      </c>
      <c r="W1966" s="27"/>
      <c r="X1966" s="128"/>
      <c r="Y1966" s="73" t="e">
        <f>VLOOKUP(X1966,Choferes!$B$3:C486,2,FALSE)</f>
        <v>#N/A</v>
      </c>
      <c r="Z1966" s="73" t="s">
        <v>5424</v>
      </c>
    </row>
    <row r="1967" spans="1:26" hidden="1" x14ac:dyDescent="0.25">
      <c r="A1967" s="33">
        <v>3</v>
      </c>
      <c r="B1967" s="71" t="s">
        <v>29</v>
      </c>
      <c r="C1967" s="39" t="s">
        <v>5400</v>
      </c>
      <c r="D1967" s="106" t="s">
        <v>747</v>
      </c>
      <c r="E1967" s="47">
        <v>46036</v>
      </c>
      <c r="F1967" s="31" t="str">
        <f>VLOOKUP($C1967,Carpetas!$C$5:$M$2666,2,FALSE)</f>
        <v>BRB004-26</v>
      </c>
      <c r="G1967" s="23" t="str">
        <f>VLOOKUP($C1967,Carpetas!$C$5:$M$2666,10,FALSE)</f>
        <v>154,69,95</v>
      </c>
      <c r="H1967" s="27" t="str">
        <f>VLOOKUP($C1967,Carpetas!$C$5:$M$2666,6,FALSE)</f>
        <v>FG</v>
      </c>
      <c r="I1967" s="27" t="str">
        <f>VLOOKUP($C1967,Carpetas!$C$5:$M$2666,3,FALSE)</f>
        <v>Etimex</v>
      </c>
      <c r="J1967" s="47">
        <v>46037</v>
      </c>
      <c r="K1967" s="72" t="str">
        <f>VLOOKUP($C1967,Carpetas!$C$5:$M$2666,5,FALSE)</f>
        <v>Rio Branco</v>
      </c>
      <c r="L1967" s="32"/>
      <c r="M1967" s="48">
        <f t="shared" si="133"/>
        <v>46038</v>
      </c>
      <c r="N1967" s="26">
        <f t="shared" si="135"/>
        <v>2</v>
      </c>
      <c r="O1967" s="27">
        <v>1008</v>
      </c>
      <c r="P1967" s="27">
        <v>1009</v>
      </c>
      <c r="Q1967" s="27">
        <v>28</v>
      </c>
      <c r="R1967" s="27">
        <v>26</v>
      </c>
      <c r="S1967" s="27" t="s">
        <v>995</v>
      </c>
      <c r="T1967" s="27"/>
      <c r="U1967" s="27">
        <v>1337</v>
      </c>
      <c r="V1967" s="27" t="s">
        <v>3411</v>
      </c>
      <c r="W1967" s="27" t="s">
        <v>5398</v>
      </c>
      <c r="X1967" s="128" t="s">
        <v>3559</v>
      </c>
      <c r="Y1967" s="73" t="str">
        <f>VLOOKUP(X1967,Choferes!$B$3:C478,2,FALSE)</f>
        <v>+55 53 9713-4372</v>
      </c>
      <c r="Z1967" s="73" t="s">
        <v>5425</v>
      </c>
    </row>
    <row r="1968" spans="1:26" hidden="1" x14ac:dyDescent="0.25">
      <c r="A1968" s="33">
        <v>3</v>
      </c>
      <c r="B1968" s="71" t="s">
        <v>29</v>
      </c>
      <c r="C1968" s="39" t="s">
        <v>5340</v>
      </c>
      <c r="D1968" s="106" t="s">
        <v>2474</v>
      </c>
      <c r="E1968" s="47">
        <v>46036</v>
      </c>
      <c r="F1968" s="31" t="str">
        <f>VLOOKUP($C1968,Carpetas!$C$5:$M$2666,2,FALSE)</f>
        <v>BRB158</v>
      </c>
      <c r="G1968" s="23" t="str">
        <f>VLOOKUP($C1968,Carpetas!$C$5:$M$2666,10,FALSE)</f>
        <v>154,58,60</v>
      </c>
      <c r="H1968" s="27" t="str">
        <f>VLOOKUP($C1968,Carpetas!$C$5:$M$2666,6,FALSE)</f>
        <v>Chabat</v>
      </c>
      <c r="I1968" s="27" t="str">
        <f>VLOOKUP($C1968,Carpetas!$C$5:$M$2666,3,FALSE)</f>
        <v>Etimex</v>
      </c>
      <c r="J1968" s="47">
        <v>46037</v>
      </c>
      <c r="K1968" s="72" t="str">
        <f>VLOOKUP($C1968,Carpetas!$C$5:$M$2666,5,FALSE)</f>
        <v>Rio Branco</v>
      </c>
      <c r="L1968" s="32"/>
      <c r="M1968" s="48">
        <f t="shared" si="133"/>
        <v>46038</v>
      </c>
      <c r="N1968" s="26">
        <f t="shared" si="135"/>
        <v>2</v>
      </c>
      <c r="O1968" s="27">
        <v>1008</v>
      </c>
      <c r="P1968" s="27">
        <v>1008</v>
      </c>
      <c r="Q1968" s="27">
        <v>28</v>
      </c>
      <c r="R1968" s="27">
        <v>26</v>
      </c>
      <c r="S1968" s="27" t="s">
        <v>2630</v>
      </c>
      <c r="T1968" s="27"/>
      <c r="U1968" s="27">
        <v>2492</v>
      </c>
      <c r="V1968" s="27" t="s">
        <v>4129</v>
      </c>
      <c r="W1968" s="27" t="s">
        <v>4223</v>
      </c>
      <c r="X1968" s="128"/>
      <c r="Y1968" s="73" t="e">
        <f>VLOOKUP(X1968,Choferes!$B$3:C481,2,FALSE)</f>
        <v>#N/A</v>
      </c>
      <c r="Z1968" s="73" t="s">
        <v>5426</v>
      </c>
    </row>
    <row r="1969" spans="1:26" hidden="1" x14ac:dyDescent="0.25">
      <c r="A1969" s="33">
        <v>3</v>
      </c>
      <c r="B1969" s="71" t="s">
        <v>29</v>
      </c>
      <c r="C1969" s="39" t="s">
        <v>5400</v>
      </c>
      <c r="D1969" s="106" t="s">
        <v>2474</v>
      </c>
      <c r="E1969" s="47">
        <v>46036</v>
      </c>
      <c r="F1969" s="31" t="str">
        <f>VLOOKUP($C1969,Carpetas!$C$5:$M$2666,2,FALSE)</f>
        <v>BRB004-26</v>
      </c>
      <c r="G1969" s="23" t="str">
        <f>VLOOKUP($C1969,Carpetas!$C$5:$M$2666,10,FALSE)</f>
        <v>154,69,95</v>
      </c>
      <c r="H1969" s="27" t="str">
        <f>VLOOKUP($C1969,Carpetas!$C$5:$M$2666,6,FALSE)</f>
        <v>FG</v>
      </c>
      <c r="I1969" s="27" t="str">
        <f>VLOOKUP($C1969,Carpetas!$C$5:$M$2666,3,FALSE)</f>
        <v>Etimex</v>
      </c>
      <c r="J1969" s="47">
        <v>46038</v>
      </c>
      <c r="K1969" s="72" t="str">
        <f>VLOOKUP($C1969,Carpetas!$C$5:$M$2666,5,FALSE)</f>
        <v>Rio Branco</v>
      </c>
      <c r="L1969" s="32"/>
      <c r="M1969" s="48">
        <f t="shared" si="133"/>
        <v>46039</v>
      </c>
      <c r="N1969" s="26">
        <f t="shared" si="135"/>
        <v>3</v>
      </c>
      <c r="O1969" s="27">
        <v>1008</v>
      </c>
      <c r="P1969" s="27">
        <v>1008</v>
      </c>
      <c r="Q1969" s="27">
        <v>28</v>
      </c>
      <c r="R1969" s="27">
        <v>26</v>
      </c>
      <c r="S1969" s="27" t="s">
        <v>2651</v>
      </c>
      <c r="T1969" s="27"/>
      <c r="U1969" s="27">
        <v>1336</v>
      </c>
      <c r="V1969" s="27" t="s">
        <v>1726</v>
      </c>
      <c r="W1969" s="27" t="s">
        <v>1646</v>
      </c>
      <c r="X1969" s="128" t="s">
        <v>1576</v>
      </c>
      <c r="Y1969" s="73" t="str">
        <f>VLOOKUP(X1969,Choferes!$B$3:C473,2,FALSE)</f>
        <v>+55119971489722</v>
      </c>
      <c r="Z1969" s="73" t="s">
        <v>5427</v>
      </c>
    </row>
    <row r="1970" spans="1:26" hidden="1" x14ac:dyDescent="0.25">
      <c r="A1970" s="33">
        <v>3</v>
      </c>
      <c r="B1970" s="71" t="s">
        <v>29</v>
      </c>
      <c r="C1970" s="39" t="s">
        <v>5400</v>
      </c>
      <c r="D1970" s="106" t="s">
        <v>110</v>
      </c>
      <c r="E1970" s="47">
        <v>46036</v>
      </c>
      <c r="F1970" s="31" t="str">
        <f>VLOOKUP($C1970,Carpetas!$C$5:$M$2666,2,FALSE)</f>
        <v>BRB004-26</v>
      </c>
      <c r="G1970" s="23" t="str">
        <f>VLOOKUP($C1970,Carpetas!$C$5:$M$2666,10,FALSE)</f>
        <v>154,69,95</v>
      </c>
      <c r="H1970" s="27" t="str">
        <f>VLOOKUP($C1970,Carpetas!$C$5:$M$2666,6,FALSE)</f>
        <v>FG</v>
      </c>
      <c r="I1970" s="27" t="str">
        <f>VLOOKUP($C1970,Carpetas!$C$5:$M$2666,3,FALSE)</f>
        <v>Etimex</v>
      </c>
      <c r="J1970" s="47">
        <v>46038</v>
      </c>
      <c r="K1970" s="72" t="str">
        <f>VLOOKUP($C1970,Carpetas!$C$5:$M$2666,5,FALSE)</f>
        <v>Rio Branco</v>
      </c>
      <c r="L1970" s="32"/>
      <c r="M1970" s="48">
        <f t="shared" si="133"/>
        <v>46039</v>
      </c>
      <c r="N1970" s="26">
        <f t="shared" si="135"/>
        <v>3</v>
      </c>
      <c r="O1970" s="27">
        <v>1008</v>
      </c>
      <c r="P1970" s="27">
        <v>1009</v>
      </c>
      <c r="Q1970" s="27">
        <v>28</v>
      </c>
      <c r="R1970" s="27">
        <v>26</v>
      </c>
      <c r="S1970" s="27" t="s">
        <v>3064</v>
      </c>
      <c r="T1970" s="27"/>
      <c r="U1970" s="27">
        <v>1338</v>
      </c>
      <c r="V1970" s="27" t="s">
        <v>1042</v>
      </c>
      <c r="W1970" s="27" t="s">
        <v>1669</v>
      </c>
      <c r="X1970" s="128" t="s">
        <v>3789</v>
      </c>
      <c r="Y1970" s="73" t="str">
        <f>VLOOKUP(X1970,Choferes!$B$3:C477,2,FALSE)</f>
        <v>+55 53 9900-8301</v>
      </c>
      <c r="Z1970" s="73" t="s">
        <v>5428</v>
      </c>
    </row>
    <row r="1971" spans="1:26" ht="30" hidden="1" x14ac:dyDescent="0.25">
      <c r="A1971" s="33">
        <v>3</v>
      </c>
      <c r="B1971" s="71" t="s">
        <v>29</v>
      </c>
      <c r="C1971" s="39" t="s">
        <v>5393</v>
      </c>
      <c r="D1971" s="106" t="s">
        <v>249</v>
      </c>
      <c r="E1971" s="47">
        <v>46036</v>
      </c>
      <c r="F1971" s="31" t="str">
        <f>VLOOKUP($C1971,Carpetas!$C$5:$M$2666,2,FALSE)</f>
        <v>BRB003-26</v>
      </c>
      <c r="G1971" s="23" t="str">
        <f>VLOOKUP($C1971,Carpetas!$C$5:$M$2666,10,FALSE)</f>
        <v>154,69,94</v>
      </c>
      <c r="H1971" s="27" t="str">
        <f>VLOOKUP($C1971,Carpetas!$C$5:$M$2666,6,FALSE)</f>
        <v>Amaro</v>
      </c>
      <c r="I1971" s="27" t="str">
        <f>VLOOKUP($C1971,Carpetas!$C$5:$M$2666,3,FALSE)</f>
        <v>Etimex</v>
      </c>
      <c r="J1971" s="47">
        <f>E1971+2</f>
        <v>46038</v>
      </c>
      <c r="K1971" s="72" t="str">
        <f>VLOOKUP($C1971,Carpetas!$C$5:$M$2666,5,FALSE)</f>
        <v>Rio Branco</v>
      </c>
      <c r="L1971" s="32"/>
      <c r="M1971" s="48">
        <f t="shared" si="133"/>
        <v>46039</v>
      </c>
      <c r="N1971" s="26">
        <f t="shared" si="135"/>
        <v>3</v>
      </c>
      <c r="O1971" s="27">
        <v>1008</v>
      </c>
      <c r="P1971" s="27">
        <v>1008</v>
      </c>
      <c r="Q1971" s="27">
        <v>28</v>
      </c>
      <c r="R1971" s="27">
        <v>26</v>
      </c>
      <c r="S1971" s="27" t="s">
        <v>664</v>
      </c>
      <c r="T1971" s="27"/>
      <c r="U1971" s="27">
        <v>27784</v>
      </c>
      <c r="V1971" s="27" t="s">
        <v>1944</v>
      </c>
      <c r="W1971" s="27" t="s">
        <v>1702</v>
      </c>
      <c r="X1971" s="128"/>
      <c r="Y1971" s="73" t="e">
        <f>VLOOKUP(X1971,Choferes!$B$3:C478,2,FALSE)</f>
        <v>#N/A</v>
      </c>
      <c r="Z1971" s="73" t="s">
        <v>5429</v>
      </c>
    </row>
    <row r="1972" spans="1:26" hidden="1" x14ac:dyDescent="0.25">
      <c r="A1972" s="33">
        <v>3</v>
      </c>
      <c r="B1972" s="71" t="s">
        <v>29</v>
      </c>
      <c r="C1972" s="39" t="s">
        <v>5421</v>
      </c>
      <c r="D1972" s="106" t="s">
        <v>2202</v>
      </c>
      <c r="E1972" s="47">
        <v>46037</v>
      </c>
      <c r="F1972" s="31" t="str">
        <f>VLOOKUP($C1972,Carpetas!$C$5:$M$2666,2,FALSE)</f>
        <v>BRB007-26</v>
      </c>
      <c r="G1972" s="23">
        <f>VLOOKUP($C1972,Carpetas!$C$5:$M$2666,10,FALSE)</f>
        <v>1547430</v>
      </c>
      <c r="H1972" s="27" t="str">
        <f>VLOOKUP($C1972,Carpetas!$C$5:$M$2666,6,FALSE)</f>
        <v xml:space="preserve">Silvio </v>
      </c>
      <c r="I1972" s="27" t="str">
        <f>VLOOKUP($C1972,Carpetas!$C$5:$M$2666,3,FALSE)</f>
        <v>Etimex</v>
      </c>
      <c r="J1972" s="47">
        <v>46038</v>
      </c>
      <c r="K1972" s="72" t="str">
        <f>VLOOKUP($C1972,Carpetas!$C$5:$M$2666,5,FALSE)</f>
        <v>Rio Branco</v>
      </c>
      <c r="L1972" s="32"/>
      <c r="M1972" s="48">
        <f t="shared" si="133"/>
        <v>46039</v>
      </c>
      <c r="N1972" s="26">
        <f t="shared" si="135"/>
        <v>2</v>
      </c>
      <c r="O1972" s="27">
        <v>936</v>
      </c>
      <c r="P1972" s="27">
        <v>936</v>
      </c>
      <c r="Q1972" s="27">
        <v>26</v>
      </c>
      <c r="R1972" s="27">
        <v>25</v>
      </c>
      <c r="S1972" s="27" t="s">
        <v>2533</v>
      </c>
      <c r="T1972" s="27"/>
      <c r="U1972" s="27">
        <v>7645</v>
      </c>
      <c r="V1972" s="27" t="s">
        <v>3315</v>
      </c>
      <c r="W1972" s="27" t="s">
        <v>3316</v>
      </c>
      <c r="X1972" s="128" t="s">
        <v>3635</v>
      </c>
      <c r="Y1972" s="73" t="str">
        <f>VLOOKUP(X1972,Choferes!$B$3:C482,2,FALSE)</f>
        <v>+5547996273107</v>
      </c>
      <c r="Z1972" s="73" t="s">
        <v>5430</v>
      </c>
    </row>
    <row r="1973" spans="1:26" hidden="1" x14ac:dyDescent="0.25">
      <c r="A1973" s="33">
        <v>3</v>
      </c>
      <c r="B1973" s="71" t="s">
        <v>29</v>
      </c>
      <c r="C1973" s="39" t="s">
        <v>5340</v>
      </c>
      <c r="D1973" s="106" t="s">
        <v>2474</v>
      </c>
      <c r="E1973" s="47">
        <v>46037</v>
      </c>
      <c r="F1973" s="31" t="str">
        <f>VLOOKUP($C1973,Carpetas!$C$5:$M$2666,2,FALSE)</f>
        <v>BRB158</v>
      </c>
      <c r="G1973" s="23" t="str">
        <f>VLOOKUP($C1973,Carpetas!$C$5:$M$2666,10,FALSE)</f>
        <v>154,58,60</v>
      </c>
      <c r="H1973" s="27" t="str">
        <f>VLOOKUP($C1973,Carpetas!$C$5:$M$2666,6,FALSE)</f>
        <v>Chabat</v>
      </c>
      <c r="I1973" s="27" t="str">
        <f>VLOOKUP($C1973,Carpetas!$C$5:$M$2666,3,FALSE)</f>
        <v>Etimex</v>
      </c>
      <c r="J1973" s="47">
        <v>46038</v>
      </c>
      <c r="K1973" s="72" t="str">
        <f>VLOOKUP($C1973,Carpetas!$C$5:$M$2666,5,FALSE)</f>
        <v>Rio Branco</v>
      </c>
      <c r="L1973" s="32"/>
      <c r="M1973" s="48">
        <f t="shared" si="133"/>
        <v>46039</v>
      </c>
      <c r="N1973" s="26">
        <f t="shared" si="135"/>
        <v>2</v>
      </c>
      <c r="O1973" s="27">
        <v>1008</v>
      </c>
      <c r="P1973" s="27">
        <v>1008</v>
      </c>
      <c r="Q1973" s="27">
        <v>28</v>
      </c>
      <c r="R1973" s="27">
        <v>26</v>
      </c>
      <c r="S1973" s="27" t="s">
        <v>2663</v>
      </c>
      <c r="T1973" s="27"/>
      <c r="U1973" s="27">
        <v>2493</v>
      </c>
      <c r="V1973" s="27" t="s">
        <v>4134</v>
      </c>
      <c r="W1973" s="27" t="s">
        <v>4283</v>
      </c>
      <c r="X1973" s="128"/>
      <c r="Y1973" s="73" t="e">
        <f>VLOOKUP(X1973,Choferes!$B$3:C482,2,FALSE)</f>
        <v>#N/A</v>
      </c>
      <c r="Z1973" s="73" t="s">
        <v>5427</v>
      </c>
    </row>
    <row r="1974" spans="1:26" hidden="1" x14ac:dyDescent="0.25">
      <c r="A1974" s="33">
        <v>3</v>
      </c>
      <c r="B1974" s="71" t="s">
        <v>29</v>
      </c>
      <c r="C1974" s="39" t="s">
        <v>5423</v>
      </c>
      <c r="D1974" s="106" t="s">
        <v>183</v>
      </c>
      <c r="E1974" s="47">
        <v>46037</v>
      </c>
      <c r="F1974" s="31" t="str">
        <f>VLOOKUP($C1974,Carpetas!$C$5:$M$2666,2,FALSE)</f>
        <v>PYB002-26</v>
      </c>
      <c r="G1974" s="23">
        <f>VLOOKUP($C1974,Carpetas!$C$5:$M$2666,10,FALSE)</f>
        <v>1547066</v>
      </c>
      <c r="H1974" s="27" t="str">
        <f>VLOOKUP($C1974,Carpetas!$C$5:$M$2666,6,FALSE)</f>
        <v>3G</v>
      </c>
      <c r="I1974" s="27" t="str">
        <f>VLOOKUP($C1974,Carpetas!$C$5:$M$2666,3,FALSE)</f>
        <v>Hugo Franco</v>
      </c>
      <c r="J1974" s="47">
        <f t="shared" ref="J1974:J1981" si="137">E1974+2</f>
        <v>46039</v>
      </c>
      <c r="K1974" s="72" t="str">
        <f>VLOOKUP($C1974,Carpetas!$C$5:$M$2666,5,FALSE)</f>
        <v>Salto</v>
      </c>
      <c r="L1974" s="32"/>
      <c r="M1974" s="48">
        <v>46041</v>
      </c>
      <c r="N1974" s="26">
        <f t="shared" si="135"/>
        <v>4</v>
      </c>
      <c r="O1974" s="27">
        <v>980</v>
      </c>
      <c r="P1974" s="27">
        <v>981</v>
      </c>
      <c r="Q1974" s="27">
        <v>26</v>
      </c>
      <c r="R1974" s="27">
        <v>27</v>
      </c>
      <c r="S1974" s="27" t="s">
        <v>5431</v>
      </c>
      <c r="T1974" s="27"/>
      <c r="U1974" s="27"/>
      <c r="V1974" s="27"/>
      <c r="W1974" s="27"/>
      <c r="X1974" s="128"/>
      <c r="Y1974" s="73" t="e">
        <f>VLOOKUP(X1974,Choferes!$B$3:C487,2,FALSE)</f>
        <v>#N/A</v>
      </c>
      <c r="Z1974" s="73" t="s">
        <v>5432</v>
      </c>
    </row>
    <row r="1975" spans="1:26" hidden="1" x14ac:dyDescent="0.25">
      <c r="A1975" s="33">
        <v>3</v>
      </c>
      <c r="B1975" s="71" t="s">
        <v>29</v>
      </c>
      <c r="C1975" s="39" t="s">
        <v>5433</v>
      </c>
      <c r="D1975" s="106" t="s">
        <v>747</v>
      </c>
      <c r="E1975" s="47">
        <v>46038</v>
      </c>
      <c r="F1975" s="31" t="str">
        <f>VLOOKUP($C1975,Carpetas!$C$5:$M$2666,2,FALSE)</f>
        <v>BRB008-26</v>
      </c>
      <c r="G1975" s="23">
        <f>VLOOKUP($C1975,Carpetas!$C$5:$M$2666,10,FALSE)</f>
        <v>1547572</v>
      </c>
      <c r="H1975" s="27" t="str">
        <f>VLOOKUP($C1975,Carpetas!$C$5:$M$2666,6,FALSE)</f>
        <v>FG</v>
      </c>
      <c r="I1975" s="27" t="str">
        <f>VLOOKUP($C1975,Carpetas!$C$5:$M$2666,3,FALSE)</f>
        <v>Etimex</v>
      </c>
      <c r="J1975" s="47">
        <f t="shared" si="137"/>
        <v>46040</v>
      </c>
      <c r="K1975" s="72" t="str">
        <f>VLOOKUP($C1975,Carpetas!$C$5:$M$2666,5,FALSE)</f>
        <v>Rio Branco</v>
      </c>
      <c r="L1975" s="32"/>
      <c r="M1975" s="48">
        <f t="shared" ref="M1975:M2004" si="138">J1975+1</f>
        <v>46041</v>
      </c>
      <c r="N1975" s="26">
        <f t="shared" si="135"/>
        <v>3</v>
      </c>
      <c r="O1975" s="27">
        <v>1008</v>
      </c>
      <c r="P1975" s="27">
        <v>1009</v>
      </c>
      <c r="Q1975" s="27">
        <v>28</v>
      </c>
      <c r="R1975" s="27">
        <v>26</v>
      </c>
      <c r="S1975" s="27" t="s">
        <v>1023</v>
      </c>
      <c r="T1975" s="27"/>
      <c r="U1975" s="27">
        <v>1340</v>
      </c>
      <c r="V1975" s="27" t="s">
        <v>3669</v>
      </c>
      <c r="W1975" s="27" t="s">
        <v>1627</v>
      </c>
      <c r="X1975" s="128" t="s">
        <v>2336</v>
      </c>
      <c r="Y1975" s="73" t="str">
        <f>VLOOKUP(X1975,Choferes!$B$3:C479,2,FALSE)</f>
        <v>+5553984414060</v>
      </c>
      <c r="Z1975" s="73" t="s">
        <v>5434</v>
      </c>
    </row>
    <row r="1976" spans="1:26" ht="30" hidden="1" x14ac:dyDescent="0.25">
      <c r="A1976" s="33">
        <v>3</v>
      </c>
      <c r="B1976" s="71" t="s">
        <v>29</v>
      </c>
      <c r="C1976" s="39" t="s">
        <v>5393</v>
      </c>
      <c r="D1976" s="106" t="s">
        <v>249</v>
      </c>
      <c r="E1976" s="47">
        <v>46038</v>
      </c>
      <c r="F1976" s="31" t="str">
        <f>VLOOKUP($C1976,Carpetas!$C$5:$M$2666,2,FALSE)</f>
        <v>BRB003-26</v>
      </c>
      <c r="G1976" s="23" t="str">
        <f>VLOOKUP($C1976,Carpetas!$C$5:$M$2666,10,FALSE)</f>
        <v>154,69,94</v>
      </c>
      <c r="H1976" s="27" t="str">
        <f>VLOOKUP($C1976,Carpetas!$C$5:$M$2666,6,FALSE)</f>
        <v>Amaro</v>
      </c>
      <c r="I1976" s="27" t="str">
        <f>VLOOKUP($C1976,Carpetas!$C$5:$M$2666,3,FALSE)</f>
        <v>Etimex</v>
      </c>
      <c r="J1976" s="47">
        <f t="shared" si="137"/>
        <v>46040</v>
      </c>
      <c r="K1976" s="72" t="str">
        <f>VLOOKUP($C1976,Carpetas!$C$5:$M$2666,5,FALSE)</f>
        <v>Rio Branco</v>
      </c>
      <c r="L1976" s="32"/>
      <c r="M1976" s="48">
        <f t="shared" si="138"/>
        <v>46041</v>
      </c>
      <c r="N1976" s="26">
        <f t="shared" si="135"/>
        <v>3</v>
      </c>
      <c r="O1976" s="27">
        <v>1008</v>
      </c>
      <c r="P1976" s="27"/>
      <c r="Q1976" s="27"/>
      <c r="R1976" s="27"/>
      <c r="S1976" s="27" t="s">
        <v>3084</v>
      </c>
      <c r="T1976" s="27"/>
      <c r="U1976" s="27">
        <v>27785</v>
      </c>
      <c r="V1976" s="27" t="s">
        <v>3416</v>
      </c>
      <c r="W1976" s="27" t="s">
        <v>3417</v>
      </c>
      <c r="X1976" s="128"/>
      <c r="Y1976" s="73" t="e">
        <f>VLOOKUP(X1976,Choferes!$B$3:C480,2,FALSE)</f>
        <v>#N/A</v>
      </c>
      <c r="Z1976" s="73" t="s">
        <v>5435</v>
      </c>
    </row>
    <row r="1977" spans="1:26" hidden="1" x14ac:dyDescent="0.25">
      <c r="A1977" s="33">
        <v>3</v>
      </c>
      <c r="B1977" s="71" t="s">
        <v>29</v>
      </c>
      <c r="C1977" s="39" t="s">
        <v>5421</v>
      </c>
      <c r="D1977" s="106" t="s">
        <v>2202</v>
      </c>
      <c r="E1977" s="47">
        <v>46038</v>
      </c>
      <c r="F1977" s="31" t="str">
        <f>VLOOKUP($C1977,Carpetas!$C$5:$M$2666,2,FALSE)</f>
        <v>BRB007-26</v>
      </c>
      <c r="G1977" s="23">
        <f>VLOOKUP($C1977,Carpetas!$C$5:$M$2666,10,FALSE)</f>
        <v>1547430</v>
      </c>
      <c r="H1977" s="27" t="str">
        <f>VLOOKUP($C1977,Carpetas!$C$5:$M$2666,6,FALSE)</f>
        <v xml:space="preserve">Silvio </v>
      </c>
      <c r="I1977" s="27" t="str">
        <f>VLOOKUP($C1977,Carpetas!$C$5:$M$2666,3,FALSE)</f>
        <v>Etimex</v>
      </c>
      <c r="J1977" s="47">
        <f t="shared" si="137"/>
        <v>46040</v>
      </c>
      <c r="K1977" s="72" t="str">
        <f>VLOOKUP($C1977,Carpetas!$C$5:$M$2666,5,FALSE)</f>
        <v>Rio Branco</v>
      </c>
      <c r="L1977" s="32"/>
      <c r="M1977" s="48">
        <f t="shared" si="138"/>
        <v>46041</v>
      </c>
      <c r="N1977" s="26">
        <f t="shared" si="135"/>
        <v>3</v>
      </c>
      <c r="O1977" s="27">
        <v>936</v>
      </c>
      <c r="P1977" s="27">
        <v>937</v>
      </c>
      <c r="Q1977" s="27">
        <v>26</v>
      </c>
      <c r="R1977" s="27">
        <v>25</v>
      </c>
      <c r="S1977" s="27" t="s">
        <v>2582</v>
      </c>
      <c r="T1977" s="27"/>
      <c r="U1977" s="27">
        <v>7650</v>
      </c>
      <c r="V1977" s="27" t="s">
        <v>5436</v>
      </c>
      <c r="W1977" s="27" t="s">
        <v>5437</v>
      </c>
      <c r="X1977" s="128"/>
      <c r="Y1977" s="73" t="e">
        <f>VLOOKUP(X1977,Choferes!$B$3:C483,2,FALSE)</f>
        <v>#N/A</v>
      </c>
      <c r="Z1977" s="73" t="s">
        <v>5438</v>
      </c>
    </row>
    <row r="1978" spans="1:26" hidden="1" x14ac:dyDescent="0.25">
      <c r="A1978" s="33">
        <v>3</v>
      </c>
      <c r="B1978" s="71" t="s">
        <v>29</v>
      </c>
      <c r="C1978" s="39" t="s">
        <v>5433</v>
      </c>
      <c r="D1978" s="106" t="s">
        <v>803</v>
      </c>
      <c r="E1978" s="47">
        <v>46039</v>
      </c>
      <c r="F1978" s="31" t="str">
        <f>VLOOKUP($C1978,Carpetas!$C$5:$M$2666,2,FALSE)</f>
        <v>BRB008-26</v>
      </c>
      <c r="G1978" s="23">
        <f>VLOOKUP($C1978,Carpetas!$C$5:$M$2666,10,FALSE)</f>
        <v>1547572</v>
      </c>
      <c r="H1978" s="27" t="str">
        <f>VLOOKUP($C1978,Carpetas!$C$5:$M$2666,6,FALSE)</f>
        <v>FG</v>
      </c>
      <c r="I1978" s="27" t="str">
        <f>VLOOKUP($C1978,Carpetas!$C$5:$M$2666,3,FALSE)</f>
        <v>Etimex</v>
      </c>
      <c r="J1978" s="47">
        <f t="shared" si="137"/>
        <v>46041</v>
      </c>
      <c r="K1978" s="72" t="str">
        <f>VLOOKUP($C1978,Carpetas!$C$5:$M$2666,5,FALSE)</f>
        <v>Rio Branco</v>
      </c>
      <c r="L1978" s="32"/>
      <c r="M1978" s="48">
        <f t="shared" si="138"/>
        <v>46042</v>
      </c>
      <c r="N1978" s="26">
        <f t="shared" si="135"/>
        <v>3</v>
      </c>
      <c r="O1978" s="27">
        <v>1008</v>
      </c>
      <c r="P1978" s="27">
        <v>1008</v>
      </c>
      <c r="Q1978" s="27">
        <v>28</v>
      </c>
      <c r="R1978" s="27">
        <v>26</v>
      </c>
      <c r="S1978" s="27" t="s">
        <v>942</v>
      </c>
      <c r="T1978" s="27"/>
      <c r="U1978" s="27">
        <v>1341</v>
      </c>
      <c r="V1978" s="27" t="s">
        <v>1636</v>
      </c>
      <c r="W1978" s="27" t="s">
        <v>3818</v>
      </c>
      <c r="X1978" s="128" t="s">
        <v>1623</v>
      </c>
      <c r="Y1978" s="73" t="str">
        <f>VLOOKUP(X1978,Choferes!$B$3:C472,2,FALSE)</f>
        <v>+5553991254560</v>
      </c>
      <c r="Z1978" s="73" t="s">
        <v>5439</v>
      </c>
    </row>
    <row r="1979" spans="1:26" hidden="1" x14ac:dyDescent="0.25">
      <c r="A1979" s="33">
        <v>3</v>
      </c>
      <c r="B1979" s="71" t="s">
        <v>29</v>
      </c>
      <c r="C1979" s="39" t="s">
        <v>5440</v>
      </c>
      <c r="D1979" s="106" t="s">
        <v>2474</v>
      </c>
      <c r="E1979" s="47">
        <v>46039</v>
      </c>
      <c r="F1979" s="31" t="str">
        <f>VLOOKUP($C1979,Carpetas!$C$5:$M$2666,2,FALSE)</f>
        <v>BRB009-26</v>
      </c>
      <c r="G1979" s="23">
        <f>VLOOKUP($C1979,Carpetas!$C$5:$M$2666,10,FALSE)</f>
        <v>1547732</v>
      </c>
      <c r="H1979" s="27" t="str">
        <f>VLOOKUP($C1979,Carpetas!$C$5:$M$2666,6,FALSE)</f>
        <v>Amaro</v>
      </c>
      <c r="I1979" s="27" t="str">
        <f>VLOOKUP($C1979,Carpetas!$C$5:$M$2666,3,FALSE)</f>
        <v>Etimex</v>
      </c>
      <c r="J1979" s="47">
        <f t="shared" si="137"/>
        <v>46041</v>
      </c>
      <c r="K1979" s="72" t="str">
        <f>VLOOKUP($C1979,Carpetas!$C$5:$M$2666,5,FALSE)</f>
        <v>Rio Branco</v>
      </c>
      <c r="L1979" s="32"/>
      <c r="M1979" s="48">
        <f t="shared" si="138"/>
        <v>46042</v>
      </c>
      <c r="N1979" s="26">
        <f t="shared" si="135"/>
        <v>3</v>
      </c>
      <c r="O1979" s="27">
        <v>1008</v>
      </c>
      <c r="P1979" s="27"/>
      <c r="Q1979" s="27"/>
      <c r="R1979" s="27"/>
      <c r="S1979" s="27" t="s">
        <v>2678</v>
      </c>
      <c r="T1979" s="27"/>
      <c r="U1979" s="27">
        <v>27792</v>
      </c>
      <c r="V1979" s="27" t="s">
        <v>4391</v>
      </c>
      <c r="W1979" s="27" t="s">
        <v>997</v>
      </c>
      <c r="X1979" s="128"/>
      <c r="Y1979" s="73" t="e">
        <f>VLOOKUP(X1979,Choferes!$B$3:C482,2,FALSE)</f>
        <v>#N/A</v>
      </c>
      <c r="Z1979" s="73" t="s">
        <v>5439</v>
      </c>
    </row>
    <row r="1980" spans="1:26" hidden="1" x14ac:dyDescent="0.25">
      <c r="A1980" s="33">
        <v>3</v>
      </c>
      <c r="B1980" s="71" t="s">
        <v>29</v>
      </c>
      <c r="C1980" s="39" t="s">
        <v>5391</v>
      </c>
      <c r="D1980" s="106" t="s">
        <v>2474</v>
      </c>
      <c r="E1980" s="47">
        <v>46039</v>
      </c>
      <c r="F1980" s="31" t="str">
        <f>VLOOKUP($C1980,Carpetas!$C$5:$M$2666,2,FALSE)</f>
        <v>BRB006-26</v>
      </c>
      <c r="G1980" s="23" t="str">
        <f>VLOOKUP($C1980,Carpetas!$C$5:$M$2666,10,FALSE)</f>
        <v>154,69,90</v>
      </c>
      <c r="H1980" s="27" t="str">
        <f>VLOOKUP($C1980,Carpetas!$C$5:$M$2666,6,FALSE)</f>
        <v>Chabat</v>
      </c>
      <c r="I1980" s="27" t="str">
        <f>VLOOKUP($C1980,Carpetas!$C$5:$M$2666,3,FALSE)</f>
        <v>A&amp;A</v>
      </c>
      <c r="J1980" s="47">
        <f t="shared" si="137"/>
        <v>46041</v>
      </c>
      <c r="K1980" s="72" t="str">
        <f>VLOOKUP($C1980,Carpetas!$C$5:$M$2666,5,FALSE)</f>
        <v>Rio Branco</v>
      </c>
      <c r="L1980" s="32"/>
      <c r="M1980" s="48">
        <f t="shared" si="138"/>
        <v>46042</v>
      </c>
      <c r="N1980" s="26">
        <f t="shared" si="135"/>
        <v>3</v>
      </c>
      <c r="O1980" s="27">
        <v>1008</v>
      </c>
      <c r="P1980" s="27">
        <v>1008</v>
      </c>
      <c r="Q1980" s="27">
        <v>28</v>
      </c>
      <c r="R1980" s="27">
        <v>24</v>
      </c>
      <c r="S1980" s="27" t="s">
        <v>2724</v>
      </c>
      <c r="T1980" s="27"/>
      <c r="U1980" s="27"/>
      <c r="V1980" s="27" t="s">
        <v>5403</v>
      </c>
      <c r="W1980" s="27" t="s">
        <v>4135</v>
      </c>
      <c r="X1980" s="128"/>
      <c r="Y1980" s="73" t="e">
        <f>VLOOKUP(X1980,Choferes!$B$3:C483,2,FALSE)</f>
        <v>#N/A</v>
      </c>
      <c r="Z1980" s="73" t="s">
        <v>5441</v>
      </c>
    </row>
    <row r="1981" spans="1:26" hidden="1" x14ac:dyDescent="0.25">
      <c r="A1981" s="33">
        <v>3</v>
      </c>
      <c r="B1981" s="71" t="s">
        <v>29</v>
      </c>
      <c r="C1981" s="39" t="s">
        <v>5421</v>
      </c>
      <c r="D1981" s="106" t="s">
        <v>2202</v>
      </c>
      <c r="E1981" s="47">
        <v>46039</v>
      </c>
      <c r="F1981" s="31" t="str">
        <f>VLOOKUP($C1981,Carpetas!$C$5:$M$2666,2,FALSE)</f>
        <v>BRB007-26</v>
      </c>
      <c r="G1981" s="23">
        <f>VLOOKUP($C1981,Carpetas!$C$5:$M$2666,10,FALSE)</f>
        <v>1547430</v>
      </c>
      <c r="H1981" s="27" t="str">
        <f>VLOOKUP($C1981,Carpetas!$C$5:$M$2666,6,FALSE)</f>
        <v xml:space="preserve">Silvio </v>
      </c>
      <c r="I1981" s="27" t="str">
        <f>VLOOKUP($C1981,Carpetas!$C$5:$M$2666,3,FALSE)</f>
        <v>Etimex</v>
      </c>
      <c r="J1981" s="47">
        <f t="shared" si="137"/>
        <v>46041</v>
      </c>
      <c r="K1981" s="72" t="str">
        <f>VLOOKUP($C1981,Carpetas!$C$5:$M$2666,5,FALSE)</f>
        <v>Rio Branco</v>
      </c>
      <c r="L1981" s="32"/>
      <c r="M1981" s="48">
        <f t="shared" si="138"/>
        <v>46042</v>
      </c>
      <c r="N1981" s="26">
        <f t="shared" si="135"/>
        <v>3</v>
      </c>
      <c r="O1981" s="27">
        <v>936</v>
      </c>
      <c r="P1981" s="27">
        <v>936</v>
      </c>
      <c r="Q1981" s="27">
        <v>26</v>
      </c>
      <c r="R1981" s="27">
        <v>24</v>
      </c>
      <c r="S1981" s="27" t="s">
        <v>2625</v>
      </c>
      <c r="T1981" s="27"/>
      <c r="U1981" s="27">
        <v>7649</v>
      </c>
      <c r="V1981" s="27" t="s">
        <v>251</v>
      </c>
      <c r="W1981" s="27" t="s">
        <v>710</v>
      </c>
      <c r="X1981" s="128"/>
      <c r="Y1981" s="73" t="e">
        <f>VLOOKUP(X1981,Choferes!$B$3:C484,2,FALSE)</f>
        <v>#N/A</v>
      </c>
      <c r="Z1981" s="73" t="s">
        <v>5442</v>
      </c>
    </row>
    <row r="1982" spans="1:26" hidden="1" x14ac:dyDescent="0.25">
      <c r="A1982" s="33">
        <v>4</v>
      </c>
      <c r="B1982" s="71" t="s">
        <v>29</v>
      </c>
      <c r="C1982" s="39" t="s">
        <v>5443</v>
      </c>
      <c r="D1982" s="106" t="s">
        <v>42</v>
      </c>
      <c r="E1982" s="47">
        <v>46039</v>
      </c>
      <c r="F1982" s="31" t="str">
        <f>VLOOKUP($C1982,Carpetas!$C$5:$M$2666,2,FALSE)</f>
        <v>PYB003-26</v>
      </c>
      <c r="G1982" s="23">
        <f>VLOOKUP($C1982,Carpetas!$C$5:$M$2666,10,FALSE)</f>
        <v>1547705</v>
      </c>
      <c r="H1982" s="27">
        <f>VLOOKUP($C1982,Carpetas!$C$5:$M$2666,6,FALSE)</f>
        <v>0</v>
      </c>
      <c r="I1982" s="27" t="str">
        <f>VLOOKUP($C1982,Carpetas!$C$5:$M$2666,3,FALSE)</f>
        <v>Servi Fel</v>
      </c>
      <c r="J1982" s="47">
        <v>46043</v>
      </c>
      <c r="K1982" s="72" t="str">
        <f>VLOOKUP($C1982,Carpetas!$C$5:$M$2666,5,FALSE)</f>
        <v>Salto</v>
      </c>
      <c r="L1982" s="32"/>
      <c r="M1982" s="48">
        <f t="shared" si="138"/>
        <v>46044</v>
      </c>
      <c r="N1982" s="26">
        <f t="shared" si="135"/>
        <v>5</v>
      </c>
      <c r="O1982" s="27">
        <v>980</v>
      </c>
      <c r="P1982" s="27">
        <v>980</v>
      </c>
      <c r="Q1982" s="27">
        <v>28</v>
      </c>
      <c r="R1982" s="27">
        <v>26</v>
      </c>
      <c r="S1982" s="27" t="s">
        <v>5444</v>
      </c>
      <c r="T1982" s="27"/>
      <c r="U1982" s="27"/>
      <c r="V1982" s="27"/>
      <c r="W1982" s="27"/>
      <c r="X1982" s="128"/>
      <c r="Y1982" s="73" t="e">
        <f>VLOOKUP(X1982,Choferes!$B$3:C509,2,FALSE)</f>
        <v>#N/A</v>
      </c>
      <c r="Z1982" s="73" t="s">
        <v>5445</v>
      </c>
    </row>
    <row r="1983" spans="1:26" hidden="1" x14ac:dyDescent="0.25">
      <c r="A1983" s="222">
        <v>4</v>
      </c>
      <c r="B1983" s="71" t="s">
        <v>298</v>
      </c>
      <c r="C1983" s="39" t="s">
        <v>299</v>
      </c>
      <c r="D1983" s="106" t="s">
        <v>2474</v>
      </c>
      <c r="E1983" s="47">
        <v>46041</v>
      </c>
      <c r="F1983" s="31" t="str">
        <f>VLOOKUP($C1983,Carpetas!$C$5:$M$2666,2,FALSE)</f>
        <v>BRB</v>
      </c>
      <c r="G1983" s="23" t="e">
        <f>VLOOKUP($C1983,Carpetas!$C$5:$M$2666,9,FALSE)</f>
        <v>#REF!</v>
      </c>
      <c r="H1983" s="27" t="str">
        <f>VLOOKUP($C1983,Carpetas!$C$5:$M$2666,5,FALSE)</f>
        <v>xx</v>
      </c>
      <c r="I1983" s="27" t="str">
        <f>VLOOKUP($C1983,Carpetas!$C$5:$M$2666,3,FALSE)</f>
        <v>xx</v>
      </c>
      <c r="J1983" s="47">
        <f>E1983+2</f>
        <v>46043</v>
      </c>
      <c r="K1983" s="72">
        <f>VLOOKUP($C1983,Carpetas!$C$5:$M$2666,4,FALSE)</f>
        <v>0</v>
      </c>
      <c r="L1983" s="32"/>
      <c r="M1983" s="48">
        <f t="shared" si="138"/>
        <v>46044</v>
      </c>
      <c r="N1983" s="26">
        <f t="shared" si="135"/>
        <v>3</v>
      </c>
      <c r="O1983" s="27">
        <v>1008</v>
      </c>
      <c r="P1983" s="27"/>
      <c r="Q1983" s="27"/>
      <c r="R1983" s="27"/>
      <c r="S1983" s="27"/>
      <c r="T1983" s="27"/>
      <c r="U1983" s="27"/>
      <c r="V1983" s="27"/>
      <c r="W1983" s="27"/>
      <c r="X1983" s="128"/>
      <c r="Y1983" s="73" t="e">
        <f>VLOOKUP(X1983,Choferes!$B$3:C482,2,FALSE)</f>
        <v>#N/A</v>
      </c>
      <c r="Z1983" s="73"/>
    </row>
    <row r="1984" spans="1:26" hidden="1" x14ac:dyDescent="0.25">
      <c r="A1984" s="33">
        <v>3</v>
      </c>
      <c r="B1984" s="71" t="s">
        <v>29</v>
      </c>
      <c r="C1984" s="39" t="s">
        <v>5446</v>
      </c>
      <c r="D1984" s="106" t="s">
        <v>38</v>
      </c>
      <c r="E1984" s="47">
        <v>46041</v>
      </c>
      <c r="F1984" s="31" t="str">
        <f>VLOOKUP($C1984,Carpetas!$C$5:$M$2666,2,FALSE)</f>
        <v>BRE002-26</v>
      </c>
      <c r="G1984" s="23" t="str">
        <f>VLOOKUP($C1984,Carpetas!$C$5:$M$2666,10,FALSE)</f>
        <v>1547163-1547506</v>
      </c>
      <c r="H1984" s="27" t="str">
        <f>VLOOKUP($C1984,Carpetas!$C$5:$M$2666,6,FALSE)</f>
        <v>VPN</v>
      </c>
      <c r="I1984" s="27" t="str">
        <f>VLOOKUP($C1984,Carpetas!$C$5:$M$2666,3,FALSE)</f>
        <v>Dom Basto</v>
      </c>
      <c r="J1984" s="47">
        <v>46043</v>
      </c>
      <c r="K1984" s="72" t="str">
        <f>VLOOKUP($C1984,Carpetas!$C$5:$M$2666,5,FALSE)</f>
        <v>Rio Branco</v>
      </c>
      <c r="L1984" s="32"/>
      <c r="M1984" s="48">
        <f t="shared" si="138"/>
        <v>46044</v>
      </c>
      <c r="N1984" s="26">
        <f t="shared" si="135"/>
        <v>3</v>
      </c>
      <c r="O1984" s="27">
        <v>3420</v>
      </c>
      <c r="P1984" s="27">
        <v>3420</v>
      </c>
      <c r="Q1984" s="27">
        <v>26</v>
      </c>
      <c r="R1984" s="27">
        <v>25</v>
      </c>
      <c r="S1984" s="27" t="s">
        <v>5447</v>
      </c>
      <c r="T1984" s="27"/>
      <c r="U1984" s="27"/>
      <c r="V1984" s="27"/>
      <c r="W1984" s="27"/>
      <c r="X1984" s="128"/>
      <c r="Y1984" s="73" t="e">
        <f>VLOOKUP(X1984,Choferes!$B$3:C472,2,FALSE)</f>
        <v>#N/A</v>
      </c>
      <c r="Z1984" s="73" t="s">
        <v>5448</v>
      </c>
    </row>
    <row r="1985" spans="1:26" hidden="1" x14ac:dyDescent="0.25">
      <c r="A1985" s="222">
        <v>4</v>
      </c>
      <c r="B1985" s="71" t="s">
        <v>29</v>
      </c>
      <c r="C1985" s="39" t="s">
        <v>5433</v>
      </c>
      <c r="D1985" s="106" t="s">
        <v>747</v>
      </c>
      <c r="E1985" s="47">
        <v>46041</v>
      </c>
      <c r="F1985" s="31" t="str">
        <f>VLOOKUP($C1985,Carpetas!$C$5:$M$2666,2,FALSE)</f>
        <v>BRB008-26</v>
      </c>
      <c r="G1985" s="23">
        <f>VLOOKUP($C1985,Carpetas!$C$5:$M$2666,10,FALSE)</f>
        <v>1547572</v>
      </c>
      <c r="H1985" s="27" t="str">
        <f>VLOOKUP($C1985,Carpetas!$C$5:$M$2666,6,FALSE)</f>
        <v>FG</v>
      </c>
      <c r="I1985" s="27" t="str">
        <f>VLOOKUP($C1985,Carpetas!$C$5:$M$2666,3,FALSE)</f>
        <v>Etimex</v>
      </c>
      <c r="J1985" s="47">
        <f>E1985+2</f>
        <v>46043</v>
      </c>
      <c r="K1985" s="72" t="str">
        <f>VLOOKUP($C1985,Carpetas!$C$5:$M$2666,5,FALSE)</f>
        <v>Rio Branco</v>
      </c>
      <c r="L1985" s="32"/>
      <c r="M1985" s="48">
        <f t="shared" si="138"/>
        <v>46044</v>
      </c>
      <c r="N1985" s="26">
        <f t="shared" si="135"/>
        <v>3</v>
      </c>
      <c r="O1985" s="27">
        <v>1008</v>
      </c>
      <c r="P1985" s="27">
        <v>1008</v>
      </c>
      <c r="Q1985" s="27">
        <v>28</v>
      </c>
      <c r="R1985" s="27">
        <v>25</v>
      </c>
      <c r="S1985" s="27" t="s">
        <v>1053</v>
      </c>
      <c r="T1985" s="27"/>
      <c r="U1985" s="27">
        <v>1342</v>
      </c>
      <c r="V1985" s="27" t="s">
        <v>1430</v>
      </c>
      <c r="W1985" s="27" t="s">
        <v>5449</v>
      </c>
      <c r="X1985" s="128" t="s">
        <v>1923</v>
      </c>
      <c r="Y1985" s="73" t="str">
        <f>VLOOKUP(X1985,Choferes!$B$3:C483,2,FALSE)</f>
        <v>+5553999049426</v>
      </c>
      <c r="Z1985" s="73" t="s">
        <v>5450</v>
      </c>
    </row>
    <row r="1986" spans="1:26" hidden="1" x14ac:dyDescent="0.25">
      <c r="A1986" s="33">
        <v>4</v>
      </c>
      <c r="B1986" s="71" t="s">
        <v>29</v>
      </c>
      <c r="C1986" s="39" t="s">
        <v>5451</v>
      </c>
      <c r="D1986" s="106" t="s">
        <v>183</v>
      </c>
      <c r="E1986" s="47">
        <v>46041</v>
      </c>
      <c r="F1986" s="31" t="str">
        <f>VLOOKUP($C1986,Carpetas!$C$5:$M$2666,2,FALSE)</f>
        <v>PYB004-26</v>
      </c>
      <c r="G1986" s="23">
        <f>VLOOKUP($C1986,Carpetas!$C$5:$M$2666,10,FALSE)</f>
        <v>1547734</v>
      </c>
      <c r="H1986" s="27">
        <f>VLOOKUP($C1986,Carpetas!$C$5:$M$2666,6,FALSE)</f>
        <v>0</v>
      </c>
      <c r="I1986" s="27" t="str">
        <f>VLOOKUP($C1986,Carpetas!$C$5:$M$2666,3,FALSE)</f>
        <v>Hugo Franco</v>
      </c>
      <c r="J1986" s="47">
        <f>E1986+3</f>
        <v>46044</v>
      </c>
      <c r="K1986" s="72" t="str">
        <f>VLOOKUP($C1986,Carpetas!$C$5:$M$2666,5,FALSE)</f>
        <v>Salto</v>
      </c>
      <c r="L1986" s="32"/>
      <c r="M1986" s="48">
        <f t="shared" si="138"/>
        <v>46045</v>
      </c>
      <c r="N1986" s="26">
        <f t="shared" si="135"/>
        <v>4</v>
      </c>
      <c r="O1986" s="27">
        <v>980</v>
      </c>
      <c r="P1986" s="27"/>
      <c r="Q1986" s="27"/>
      <c r="R1986" s="27"/>
      <c r="S1986" s="27" t="s">
        <v>436</v>
      </c>
      <c r="T1986" s="27"/>
      <c r="U1986" s="27"/>
      <c r="V1986" s="27"/>
      <c r="W1986" s="27"/>
      <c r="X1986" s="128"/>
      <c r="Y1986" s="73" t="e">
        <f>VLOOKUP(X1986,Choferes!$B$3:C507,2,FALSE)</f>
        <v>#N/A</v>
      </c>
      <c r="Z1986" s="73" t="s">
        <v>5452</v>
      </c>
    </row>
    <row r="1987" spans="1:26" hidden="1" x14ac:dyDescent="0.25">
      <c r="A1987" s="222">
        <v>4</v>
      </c>
      <c r="B1987" s="71" t="s">
        <v>29</v>
      </c>
      <c r="C1987" s="39" t="s">
        <v>5453</v>
      </c>
      <c r="D1987" s="106" t="s">
        <v>2202</v>
      </c>
      <c r="E1987" s="47">
        <v>46042</v>
      </c>
      <c r="F1987" s="31" t="str">
        <f>VLOOKUP($C1987,Carpetas!$C$5:$M$2666,2,FALSE)</f>
        <v>BRB010-26</v>
      </c>
      <c r="G1987" s="23">
        <f>VLOOKUP($C1987,Carpetas!$C$5:$M$2666,10,FALSE)</f>
        <v>1547976</v>
      </c>
      <c r="H1987" s="27" t="str">
        <f>VLOOKUP($C1987,Carpetas!$C$5:$M$2666,6,FALSE)</f>
        <v>AXT</v>
      </c>
      <c r="I1987" s="27" t="str">
        <f>VLOOKUP($C1987,Carpetas!$C$5:$M$2666,3,FALSE)</f>
        <v>A&amp;A</v>
      </c>
      <c r="J1987" s="47">
        <f>E1987+2</f>
        <v>46044</v>
      </c>
      <c r="K1987" s="72" t="str">
        <f>VLOOKUP($C1987,Carpetas!$C$5:$M$2666,5,FALSE)</f>
        <v>Chuy</v>
      </c>
      <c r="L1987" s="32"/>
      <c r="M1987" s="48">
        <f t="shared" si="138"/>
        <v>46045</v>
      </c>
      <c r="N1987" s="26">
        <f t="shared" si="135"/>
        <v>3</v>
      </c>
      <c r="O1987" s="27">
        <v>936</v>
      </c>
      <c r="P1987" s="27">
        <v>937</v>
      </c>
      <c r="Q1987" s="27">
        <v>26</v>
      </c>
      <c r="R1987" s="27">
        <v>25</v>
      </c>
      <c r="S1987" s="27" t="s">
        <v>2734</v>
      </c>
      <c r="T1987" s="27"/>
      <c r="U1987" s="27"/>
      <c r="V1987" s="27" t="s">
        <v>5454</v>
      </c>
      <c r="W1987" s="27" t="s">
        <v>5455</v>
      </c>
      <c r="X1987" s="128"/>
      <c r="Y1987" s="73" t="e">
        <f>VLOOKUP(X1987,Choferes!$B$3:C481,2,FALSE)</f>
        <v>#N/A</v>
      </c>
      <c r="Z1987" s="73" t="s">
        <v>5456</v>
      </c>
    </row>
    <row r="1988" spans="1:26" hidden="1" x14ac:dyDescent="0.25">
      <c r="A1988" s="222">
        <v>4</v>
      </c>
      <c r="B1988" s="71" t="s">
        <v>29</v>
      </c>
      <c r="C1988" s="39" t="s">
        <v>5433</v>
      </c>
      <c r="D1988" s="106" t="s">
        <v>2474</v>
      </c>
      <c r="E1988" s="47">
        <v>46042</v>
      </c>
      <c r="F1988" s="31" t="str">
        <f>VLOOKUP($C1988,Carpetas!$C$5:$M$2666,2,FALSE)</f>
        <v>BRB008-26</v>
      </c>
      <c r="G1988" s="23">
        <f>VLOOKUP($C1988,Carpetas!$C$5:$M$2666,10,FALSE)</f>
        <v>1547572</v>
      </c>
      <c r="H1988" s="27" t="str">
        <f>VLOOKUP($C1988,Carpetas!$C$5:$M$2666,6,FALSE)</f>
        <v>FG</v>
      </c>
      <c r="I1988" s="27" t="str">
        <f>VLOOKUP($C1988,Carpetas!$C$5:$M$2666,3,FALSE)</f>
        <v>Etimex</v>
      </c>
      <c r="J1988" s="47">
        <f>E1988+2</f>
        <v>46044</v>
      </c>
      <c r="K1988" s="72" t="str">
        <f>VLOOKUP($C1988,Carpetas!$C$5:$M$2666,5,FALSE)</f>
        <v>Rio Branco</v>
      </c>
      <c r="L1988" s="32"/>
      <c r="M1988" s="48">
        <f t="shared" si="138"/>
        <v>46045</v>
      </c>
      <c r="N1988" s="26">
        <f t="shared" si="135"/>
        <v>3</v>
      </c>
      <c r="O1988" s="27">
        <v>1008</v>
      </c>
      <c r="P1988" s="27">
        <v>1008</v>
      </c>
      <c r="Q1988" s="27">
        <v>28</v>
      </c>
      <c r="R1988" s="27">
        <v>25</v>
      </c>
      <c r="S1988" s="27" t="s">
        <v>2755</v>
      </c>
      <c r="T1988" s="27"/>
      <c r="U1988" s="27">
        <v>1345</v>
      </c>
      <c r="V1988" s="27" t="s">
        <v>1735</v>
      </c>
      <c r="W1988" s="27" t="s">
        <v>1681</v>
      </c>
      <c r="X1988" s="128" t="s">
        <v>1465</v>
      </c>
      <c r="Y1988" s="73" t="str">
        <f>VLOOKUP(X1988,Choferes!$B$3:C482,2,FALSE)</f>
        <v>+59893339027</v>
      </c>
      <c r="Z1988" s="73" t="s">
        <v>5450</v>
      </c>
    </row>
    <row r="1989" spans="1:26" hidden="1" x14ac:dyDescent="0.25">
      <c r="A1989" s="222">
        <v>4</v>
      </c>
      <c r="B1989" s="71" t="s">
        <v>29</v>
      </c>
      <c r="C1989" s="39" t="s">
        <v>5433</v>
      </c>
      <c r="D1989" s="106" t="s">
        <v>747</v>
      </c>
      <c r="E1989" s="47">
        <v>46043</v>
      </c>
      <c r="F1989" s="31" t="str">
        <f>VLOOKUP($C1989,Carpetas!$C$5:$M$2666,2,FALSE)</f>
        <v>BRB008-26</v>
      </c>
      <c r="G1989" s="23">
        <f>VLOOKUP($C1989,Carpetas!$C$5:$M$2666,10,FALSE)</f>
        <v>1547572</v>
      </c>
      <c r="H1989" s="27" t="str">
        <f>VLOOKUP($C1989,Carpetas!$C$5:$M$2666,6,FALSE)</f>
        <v>FG</v>
      </c>
      <c r="I1989" s="27" t="str">
        <f>VLOOKUP($C1989,Carpetas!$C$5:$M$2666,3,FALSE)</f>
        <v>Etimex</v>
      </c>
      <c r="J1989" s="47">
        <v>46044</v>
      </c>
      <c r="K1989" s="72" t="str">
        <f>VLOOKUP($C1989,Carpetas!$C$5:$M$2666,5,FALSE)</f>
        <v>Rio Branco</v>
      </c>
      <c r="L1989" s="32"/>
      <c r="M1989" s="48">
        <f t="shared" si="138"/>
        <v>46045</v>
      </c>
      <c r="N1989" s="26">
        <f t="shared" si="135"/>
        <v>2</v>
      </c>
      <c r="O1989" s="27">
        <v>1008</v>
      </c>
      <c r="P1989" s="27">
        <v>1008</v>
      </c>
      <c r="Q1989" s="27">
        <v>28</v>
      </c>
      <c r="R1989" s="27">
        <v>25</v>
      </c>
      <c r="S1989" s="27" t="s">
        <v>1115</v>
      </c>
      <c r="T1989" s="27"/>
      <c r="U1989" s="27">
        <v>1348</v>
      </c>
      <c r="V1989" s="27" t="s">
        <v>1042</v>
      </c>
      <c r="W1989" s="27" t="s">
        <v>1669</v>
      </c>
      <c r="X1989" s="128" t="s">
        <v>3789</v>
      </c>
      <c r="Y1989" s="73" t="str">
        <f>VLOOKUP(X1989,Choferes!$B$3:C481,2,FALSE)</f>
        <v>+55 53 9900-8301</v>
      </c>
      <c r="Z1989" s="73" t="s">
        <v>5457</v>
      </c>
    </row>
    <row r="1990" spans="1:26" hidden="1" x14ac:dyDescent="0.25">
      <c r="A1990" s="33">
        <v>4</v>
      </c>
      <c r="B1990" s="71" t="s">
        <v>29</v>
      </c>
      <c r="C1990" s="39" t="s">
        <v>5451</v>
      </c>
      <c r="D1990" s="106" t="s">
        <v>183</v>
      </c>
      <c r="E1990" s="47">
        <v>46042</v>
      </c>
      <c r="F1990" s="31" t="str">
        <f>VLOOKUP($C1990,Carpetas!$C$5:$M$2666,2,FALSE)</f>
        <v>PYB004-26</v>
      </c>
      <c r="G1990" s="23">
        <f>VLOOKUP($C1990,Carpetas!$C$5:$M$2666,10,FALSE)</f>
        <v>1547734</v>
      </c>
      <c r="H1990" s="27">
        <f>VLOOKUP($C1990,Carpetas!$C$5:$M$2666,6,FALSE)</f>
        <v>0</v>
      </c>
      <c r="I1990" s="27" t="str">
        <f>VLOOKUP($C1990,Carpetas!$C$5:$M$2666,3,FALSE)</f>
        <v>Hugo Franco</v>
      </c>
      <c r="J1990" s="47">
        <f>E1990+3</f>
        <v>46045</v>
      </c>
      <c r="K1990" s="72" t="str">
        <f>VLOOKUP($C1990,Carpetas!$C$5:$M$2666,5,FALSE)</f>
        <v>Salto</v>
      </c>
      <c r="L1990" s="32"/>
      <c r="M1990" s="48">
        <f t="shared" si="138"/>
        <v>46046</v>
      </c>
      <c r="N1990" s="26">
        <f t="shared" si="135"/>
        <v>4</v>
      </c>
      <c r="O1990" s="27">
        <v>980</v>
      </c>
      <c r="P1990" s="27">
        <v>980</v>
      </c>
      <c r="Q1990" s="27">
        <v>28</v>
      </c>
      <c r="R1990" s="27">
        <v>26</v>
      </c>
      <c r="S1990" s="27" t="s">
        <v>432</v>
      </c>
      <c r="T1990" s="27"/>
      <c r="U1990" s="27"/>
      <c r="V1990" s="27"/>
      <c r="W1990" s="27"/>
      <c r="X1990" s="128"/>
      <c r="Y1990" s="73" t="e">
        <f>VLOOKUP(X1990,Choferes!$B$3:C508,2,FALSE)</f>
        <v>#N/A</v>
      </c>
      <c r="Z1990" s="73" t="s">
        <v>5458</v>
      </c>
    </row>
    <row r="1991" spans="1:26" hidden="1" x14ac:dyDescent="0.25">
      <c r="A1991" s="222">
        <v>4</v>
      </c>
      <c r="B1991" s="71" t="s">
        <v>29</v>
      </c>
      <c r="C1991" s="39" t="s">
        <v>5440</v>
      </c>
      <c r="D1991" s="106" t="s">
        <v>2474</v>
      </c>
      <c r="E1991" s="47">
        <v>46043</v>
      </c>
      <c r="F1991" s="31" t="str">
        <f>VLOOKUP($C1991,Carpetas!$C$5:$M$2666,2,FALSE)</f>
        <v>BRB009-26</v>
      </c>
      <c r="G1991" s="23">
        <f>VLOOKUP($C1991,Carpetas!$C$5:$M$2666,10,FALSE)</f>
        <v>1547732</v>
      </c>
      <c r="H1991" s="27" t="str">
        <f>VLOOKUP($C1991,Carpetas!$C$5:$M$2666,6,FALSE)</f>
        <v>Amaro</v>
      </c>
      <c r="I1991" s="27" t="str">
        <f>VLOOKUP($C1991,Carpetas!$C$5:$M$2666,3,FALSE)</f>
        <v>Etimex</v>
      </c>
      <c r="J1991" s="47">
        <f t="shared" ref="J1991:J2002" si="139">E1991+2</f>
        <v>46045</v>
      </c>
      <c r="K1991" s="72" t="str">
        <f>VLOOKUP($C1991,Carpetas!$C$5:$M$2666,5,FALSE)</f>
        <v>Rio Branco</v>
      </c>
      <c r="L1991" s="32"/>
      <c r="M1991" s="48">
        <f t="shared" si="138"/>
        <v>46046</v>
      </c>
      <c r="N1991" s="26">
        <f t="shared" si="135"/>
        <v>3</v>
      </c>
      <c r="O1991" s="27">
        <v>1008</v>
      </c>
      <c r="P1991" s="27">
        <v>1008</v>
      </c>
      <c r="Q1991" s="27">
        <v>28</v>
      </c>
      <c r="R1991" s="27">
        <v>26</v>
      </c>
      <c r="S1991" s="27" t="s">
        <v>2852</v>
      </c>
      <c r="T1991" s="27"/>
      <c r="U1991" s="27">
        <v>27807</v>
      </c>
      <c r="V1991" s="27" t="s">
        <v>2080</v>
      </c>
      <c r="W1991" s="27" t="s">
        <v>5255</v>
      </c>
      <c r="X1991" s="128"/>
      <c r="Y1991" s="73" t="e">
        <f>VLOOKUP(X1991,Choferes!$B$3:C479,2,FALSE)</f>
        <v>#N/A</v>
      </c>
      <c r="Z1991" s="73" t="s">
        <v>5459</v>
      </c>
    </row>
    <row r="1992" spans="1:26" hidden="1" x14ac:dyDescent="0.25">
      <c r="A1992" s="222">
        <v>4</v>
      </c>
      <c r="B1992" s="71" t="s">
        <v>29</v>
      </c>
      <c r="C1992" s="39" t="s">
        <v>5453</v>
      </c>
      <c r="D1992" s="106" t="s">
        <v>2202</v>
      </c>
      <c r="E1992" s="47">
        <v>46043</v>
      </c>
      <c r="F1992" s="31" t="str">
        <f>VLOOKUP($C1992,Carpetas!$C$5:$M$2666,2,FALSE)</f>
        <v>BRB010-26</v>
      </c>
      <c r="G1992" s="23">
        <f>VLOOKUP($C1992,Carpetas!$C$5:$M$2666,10,FALSE)</f>
        <v>1547976</v>
      </c>
      <c r="H1992" s="27" t="str">
        <f>VLOOKUP($C1992,Carpetas!$C$5:$M$2666,6,FALSE)</f>
        <v>AXT</v>
      </c>
      <c r="I1992" s="27" t="str">
        <f>VLOOKUP($C1992,Carpetas!$C$5:$M$2666,3,FALSE)</f>
        <v>A&amp;A</v>
      </c>
      <c r="J1992" s="47">
        <f t="shared" si="139"/>
        <v>46045</v>
      </c>
      <c r="K1992" s="72" t="str">
        <f>VLOOKUP($C1992,Carpetas!$C$5:$M$2666,5,FALSE)</f>
        <v>Chuy</v>
      </c>
      <c r="L1992" s="32"/>
      <c r="M1992" s="48">
        <f t="shared" si="138"/>
        <v>46046</v>
      </c>
      <c r="N1992" s="26">
        <f t="shared" si="135"/>
        <v>3</v>
      </c>
      <c r="O1992" s="27">
        <v>936</v>
      </c>
      <c r="P1992" s="27">
        <v>937</v>
      </c>
      <c r="Q1992" s="27">
        <v>26</v>
      </c>
      <c r="R1992" s="27">
        <v>25</v>
      </c>
      <c r="S1992" s="27" t="s">
        <v>2768</v>
      </c>
      <c r="T1992" s="27"/>
      <c r="U1992" s="27"/>
      <c r="V1992" s="27" t="s">
        <v>5460</v>
      </c>
      <c r="W1992" s="27" t="s">
        <v>5461</v>
      </c>
      <c r="X1992" s="128"/>
      <c r="Y1992" s="73" t="e">
        <f>VLOOKUP(X1992,Choferes!$B$3:C480,2,FALSE)</f>
        <v>#N/A</v>
      </c>
      <c r="Z1992" s="73" t="s">
        <v>5462</v>
      </c>
    </row>
    <row r="1993" spans="1:26" hidden="1" x14ac:dyDescent="0.25">
      <c r="A1993" s="222">
        <v>4</v>
      </c>
      <c r="B1993" s="71" t="s">
        <v>29</v>
      </c>
      <c r="C1993" s="39" t="s">
        <v>5433</v>
      </c>
      <c r="D1993" s="106" t="s">
        <v>110</v>
      </c>
      <c r="E1993" s="47">
        <v>46043</v>
      </c>
      <c r="F1993" s="31" t="str">
        <f>VLOOKUP($C1993,Carpetas!$C$5:$M$2666,2,FALSE)</f>
        <v>BRB008-26</v>
      </c>
      <c r="G1993" s="23">
        <f>VLOOKUP($C1993,Carpetas!$C$5:$M$2666,10,FALSE)</f>
        <v>1547572</v>
      </c>
      <c r="H1993" s="27" t="str">
        <f>VLOOKUP($C1993,Carpetas!$C$5:$M$2666,6,FALSE)</f>
        <v>FG</v>
      </c>
      <c r="I1993" s="27" t="str">
        <f>VLOOKUP($C1993,Carpetas!$C$5:$M$2666,3,FALSE)</f>
        <v>Etimex</v>
      </c>
      <c r="J1993" s="47">
        <f t="shared" si="139"/>
        <v>46045</v>
      </c>
      <c r="K1993" s="72" t="str">
        <f>VLOOKUP($C1993,Carpetas!$C$5:$M$2666,5,FALSE)</f>
        <v>Rio Branco</v>
      </c>
      <c r="L1993" s="32"/>
      <c r="M1993" s="48">
        <f t="shared" si="138"/>
        <v>46046</v>
      </c>
      <c r="N1993" s="26">
        <f t="shared" si="135"/>
        <v>3</v>
      </c>
      <c r="O1993" s="27">
        <v>1008</v>
      </c>
      <c r="P1993" s="27"/>
      <c r="Q1993" s="27"/>
      <c r="R1993" s="27"/>
      <c r="S1993" s="27" t="s">
        <v>409</v>
      </c>
      <c r="T1993" s="27"/>
      <c r="U1993" s="27">
        <v>1347</v>
      </c>
      <c r="V1993" s="27" t="s">
        <v>1726</v>
      </c>
      <c r="W1993" s="27" t="s">
        <v>1646</v>
      </c>
      <c r="X1993" s="128" t="s">
        <v>1576</v>
      </c>
      <c r="Y1993" s="73" t="str">
        <f>VLOOKUP(X1993,Choferes!$B$3:C482,2,FALSE)</f>
        <v>+55119971489722</v>
      </c>
      <c r="Z1993" s="73" t="s">
        <v>5463</v>
      </c>
    </row>
    <row r="1994" spans="1:26" hidden="1" x14ac:dyDescent="0.25">
      <c r="A1994" s="222">
        <v>4</v>
      </c>
      <c r="B1994" s="71" t="s">
        <v>29</v>
      </c>
      <c r="C1994" s="39" t="s">
        <v>5433</v>
      </c>
      <c r="D1994" s="106" t="s">
        <v>2474</v>
      </c>
      <c r="E1994" s="47">
        <v>46043</v>
      </c>
      <c r="F1994" s="31" t="str">
        <f>VLOOKUP($C1994,Carpetas!$C$5:$M$2666,2,FALSE)</f>
        <v>BRB008-26</v>
      </c>
      <c r="G1994" s="23">
        <f>VLOOKUP($C1994,Carpetas!$C$5:$M$2666,10,FALSE)</f>
        <v>1547572</v>
      </c>
      <c r="H1994" s="27" t="str">
        <f>VLOOKUP($C1994,Carpetas!$C$5:$M$2666,6,FALSE)</f>
        <v>FG</v>
      </c>
      <c r="I1994" s="27" t="str">
        <f>VLOOKUP($C1994,Carpetas!$C$5:$M$2666,3,FALSE)</f>
        <v>Etimex</v>
      </c>
      <c r="J1994" s="47">
        <f t="shared" si="139"/>
        <v>46045</v>
      </c>
      <c r="K1994" s="72" t="str">
        <f>VLOOKUP($C1994,Carpetas!$C$5:$M$2666,5,FALSE)</f>
        <v>Rio Branco</v>
      </c>
      <c r="L1994" s="32"/>
      <c r="M1994" s="48">
        <f t="shared" si="138"/>
        <v>46046</v>
      </c>
      <c r="N1994" s="26">
        <f t="shared" si="135"/>
        <v>3</v>
      </c>
      <c r="O1994" s="27">
        <v>1008</v>
      </c>
      <c r="P1994" s="27">
        <v>1008</v>
      </c>
      <c r="Q1994" s="27">
        <v>28</v>
      </c>
      <c r="R1994" s="27">
        <v>25</v>
      </c>
      <c r="S1994" s="27" t="s">
        <v>2803</v>
      </c>
      <c r="T1994" s="27"/>
      <c r="U1994" s="27">
        <v>1346</v>
      </c>
      <c r="V1994" s="27" t="s">
        <v>5189</v>
      </c>
      <c r="W1994" s="27" t="s">
        <v>1523</v>
      </c>
      <c r="X1994" s="128" t="s">
        <v>4320</v>
      </c>
      <c r="Y1994" s="73" t="str">
        <f>VLOOKUP(X1994,Choferes!$B$3:C479,2,FALSE)</f>
        <v>+598 98 562 952</v>
      </c>
      <c r="Z1994" s="73" t="s">
        <v>5464</v>
      </c>
    </row>
    <row r="1995" spans="1:26" hidden="1" x14ac:dyDescent="0.25">
      <c r="A1995" s="222">
        <v>4</v>
      </c>
      <c r="B1995" s="71" t="s">
        <v>29</v>
      </c>
      <c r="C1995" s="39" t="s">
        <v>5453</v>
      </c>
      <c r="D1995" s="106" t="s">
        <v>2202</v>
      </c>
      <c r="E1995" s="47">
        <v>46044</v>
      </c>
      <c r="F1995" s="31" t="str">
        <f>VLOOKUP($C1995,Carpetas!$C$5:$M$2666,2,FALSE)</f>
        <v>BRB010-26</v>
      </c>
      <c r="G1995" s="23">
        <f>VLOOKUP($C1995,Carpetas!$C$5:$M$2666,10,FALSE)</f>
        <v>1547976</v>
      </c>
      <c r="H1995" s="27" t="str">
        <f>VLOOKUP($C1995,Carpetas!$C$5:$M$2666,6,FALSE)</f>
        <v>AXT</v>
      </c>
      <c r="I1995" s="27" t="str">
        <f>VLOOKUP($C1995,Carpetas!$C$5:$M$2666,3,FALSE)</f>
        <v>A&amp;A</v>
      </c>
      <c r="J1995" s="47">
        <f t="shared" si="139"/>
        <v>46046</v>
      </c>
      <c r="K1995" s="72" t="str">
        <f>VLOOKUP($C1995,Carpetas!$C$5:$M$2666,5,FALSE)</f>
        <v>Chuy</v>
      </c>
      <c r="L1995" s="32"/>
      <c r="M1995" s="48">
        <f t="shared" si="138"/>
        <v>46047</v>
      </c>
      <c r="N1995" s="26">
        <f t="shared" si="135"/>
        <v>3</v>
      </c>
      <c r="O1995" s="27">
        <v>936</v>
      </c>
      <c r="P1995" s="27">
        <v>937</v>
      </c>
      <c r="Q1995" s="27">
        <v>26</v>
      </c>
      <c r="R1995" s="27">
        <v>24</v>
      </c>
      <c r="S1995" s="27" t="s">
        <v>4201</v>
      </c>
      <c r="T1995" s="27"/>
      <c r="U1995" s="27"/>
      <c r="V1995" s="27" t="s">
        <v>5465</v>
      </c>
      <c r="W1995" s="27" t="s">
        <v>5466</v>
      </c>
      <c r="X1995" s="128"/>
      <c r="Y1995" s="73" t="e">
        <f>VLOOKUP(X1995,Choferes!$B$3:C480,2,FALSE)</f>
        <v>#N/A</v>
      </c>
      <c r="Z1995" s="73" t="s">
        <v>5456</v>
      </c>
    </row>
    <row r="1996" spans="1:26" hidden="1" x14ac:dyDescent="0.25">
      <c r="A1996" s="222">
        <v>4</v>
      </c>
      <c r="B1996" s="71" t="s">
        <v>29</v>
      </c>
      <c r="C1996" s="39" t="s">
        <v>5467</v>
      </c>
      <c r="D1996" s="106" t="s">
        <v>2474</v>
      </c>
      <c r="E1996" s="47">
        <v>46044</v>
      </c>
      <c r="F1996" s="31" t="str">
        <f>VLOOKUP($C1996,Carpetas!$C$5:$M$2666,2,FALSE)</f>
        <v>BRB011-26</v>
      </c>
      <c r="G1996" s="23">
        <f>VLOOKUP($C1996,Carpetas!$C$5:$M$2666,10,FALSE)</f>
        <v>1548166</v>
      </c>
      <c r="H1996" s="27" t="str">
        <f>VLOOKUP($C1996,Carpetas!$C$5:$M$2666,6,FALSE)</f>
        <v>FG</v>
      </c>
      <c r="I1996" s="27" t="str">
        <f>VLOOKUP($C1996,Carpetas!$C$5:$M$2666,3,FALSE)</f>
        <v>Etimex</v>
      </c>
      <c r="J1996" s="47">
        <f t="shared" si="139"/>
        <v>46046</v>
      </c>
      <c r="K1996" s="72" t="str">
        <f>VLOOKUP($C1996,Carpetas!$C$5:$M$2666,5,FALSE)</f>
        <v>Rio Branco</v>
      </c>
      <c r="L1996" s="32"/>
      <c r="M1996" s="48">
        <f t="shared" si="138"/>
        <v>46047</v>
      </c>
      <c r="N1996" s="26">
        <f t="shared" si="135"/>
        <v>3</v>
      </c>
      <c r="O1996" s="27">
        <v>1008</v>
      </c>
      <c r="P1996" s="27">
        <v>1008</v>
      </c>
      <c r="Q1996" s="27">
        <v>28</v>
      </c>
      <c r="R1996" s="27">
        <v>26</v>
      </c>
      <c r="S1996" s="27" t="s">
        <v>2814</v>
      </c>
      <c r="T1996" s="27"/>
      <c r="U1996" s="27">
        <v>1350</v>
      </c>
      <c r="V1996" s="27" t="s">
        <v>3411</v>
      </c>
      <c r="W1996" s="27" t="s">
        <v>5398</v>
      </c>
      <c r="X1996" s="128" t="s">
        <v>3559</v>
      </c>
      <c r="Y1996" s="73" t="str">
        <f>VLOOKUP(X1996,Choferes!$B$3:C481,2,FALSE)</f>
        <v>+55 53 9713-4372</v>
      </c>
      <c r="Z1996" s="73" t="s">
        <v>5459</v>
      </c>
    </row>
    <row r="1997" spans="1:26" ht="30" hidden="1" x14ac:dyDescent="0.25">
      <c r="A1997" s="222">
        <v>4</v>
      </c>
      <c r="B1997" s="71" t="s">
        <v>29</v>
      </c>
      <c r="C1997" s="39" t="s">
        <v>5467</v>
      </c>
      <c r="D1997" s="106" t="s">
        <v>249</v>
      </c>
      <c r="E1997" s="47">
        <v>46045</v>
      </c>
      <c r="F1997" s="31" t="str">
        <f>VLOOKUP($C1997,Carpetas!$C$5:$M$2666,2,FALSE)</f>
        <v>BRB011-26</v>
      </c>
      <c r="G1997" s="23">
        <f>VLOOKUP($C1997,Carpetas!$C$5:$M$2666,10,FALSE)</f>
        <v>1548166</v>
      </c>
      <c r="H1997" s="27" t="str">
        <f>VLOOKUP($C1997,Carpetas!$C$5:$M$2666,6,FALSE)</f>
        <v>FG</v>
      </c>
      <c r="I1997" s="27" t="str">
        <f>VLOOKUP($C1997,Carpetas!$C$5:$M$2666,3,FALSE)</f>
        <v>Etimex</v>
      </c>
      <c r="J1997" s="47">
        <f t="shared" si="139"/>
        <v>46047</v>
      </c>
      <c r="K1997" s="72" t="str">
        <f>VLOOKUP($C1997,Carpetas!$C$5:$M$2666,5,FALSE)</f>
        <v>Rio Branco</v>
      </c>
      <c r="L1997" s="32"/>
      <c r="M1997" s="48">
        <f t="shared" si="138"/>
        <v>46048</v>
      </c>
      <c r="N1997" s="26">
        <f t="shared" si="135"/>
        <v>3</v>
      </c>
      <c r="O1997" s="27">
        <v>1008</v>
      </c>
      <c r="P1997" s="27">
        <v>1008</v>
      </c>
      <c r="Q1997" s="27">
        <v>28</v>
      </c>
      <c r="R1997" s="27">
        <v>25</v>
      </c>
      <c r="S1997" s="27" t="s">
        <v>812</v>
      </c>
      <c r="T1997" s="27"/>
      <c r="U1997" s="27"/>
      <c r="V1997" s="27"/>
      <c r="W1997" s="27"/>
      <c r="X1997" s="128"/>
      <c r="Y1997" s="73" t="e">
        <f>VLOOKUP(X1997,Choferes!$B$3:C483,2,FALSE)</f>
        <v>#N/A</v>
      </c>
      <c r="Z1997" s="73" t="s">
        <v>5468</v>
      </c>
    </row>
    <row r="1998" spans="1:26" hidden="1" x14ac:dyDescent="0.25">
      <c r="A1998" s="222">
        <v>4</v>
      </c>
      <c r="B1998" s="71" t="s">
        <v>29</v>
      </c>
      <c r="C1998" s="39" t="s">
        <v>5453</v>
      </c>
      <c r="D1998" s="106" t="s">
        <v>2202</v>
      </c>
      <c r="E1998" s="47">
        <v>46045</v>
      </c>
      <c r="F1998" s="31" t="str">
        <f>VLOOKUP($C1998,Carpetas!$C$5:$M$2666,2,FALSE)</f>
        <v>BRB010-26</v>
      </c>
      <c r="G1998" s="23">
        <f>VLOOKUP($C1998,Carpetas!$C$5:$M$2666,10,FALSE)</f>
        <v>1547976</v>
      </c>
      <c r="H1998" s="27" t="str">
        <f>VLOOKUP($C1998,Carpetas!$C$5:$M$2666,6,FALSE)</f>
        <v>AXT</v>
      </c>
      <c r="I1998" s="27" t="str">
        <f>VLOOKUP($C1998,Carpetas!$C$5:$M$2666,3,FALSE)</f>
        <v>A&amp;A</v>
      </c>
      <c r="J1998" s="47">
        <f t="shared" si="139"/>
        <v>46047</v>
      </c>
      <c r="K1998" s="72" t="str">
        <f>VLOOKUP($C1998,Carpetas!$C$5:$M$2666,5,FALSE)</f>
        <v>Chuy</v>
      </c>
      <c r="L1998" s="32"/>
      <c r="M1998" s="48">
        <f t="shared" si="138"/>
        <v>46048</v>
      </c>
      <c r="N1998" s="26">
        <f t="shared" si="135"/>
        <v>3</v>
      </c>
      <c r="O1998" s="27">
        <v>936</v>
      </c>
      <c r="P1998" s="27">
        <v>937</v>
      </c>
      <c r="Q1998" s="27">
        <v>26</v>
      </c>
      <c r="R1998" s="27">
        <v>24</v>
      </c>
      <c r="S1998" s="27" t="s">
        <v>4226</v>
      </c>
      <c r="T1998" s="27"/>
      <c r="U1998" s="27"/>
      <c r="V1998" s="27" t="s">
        <v>1787</v>
      </c>
      <c r="W1998" s="27" t="s">
        <v>4071</v>
      </c>
      <c r="X1998" s="128"/>
      <c r="Y1998" s="73" t="e">
        <f>VLOOKUP(X1998,Choferes!$B$3:C477,2,FALSE)</f>
        <v>#N/A</v>
      </c>
      <c r="Z1998" s="73" t="s">
        <v>5469</v>
      </c>
    </row>
    <row r="1999" spans="1:26" hidden="1" x14ac:dyDescent="0.25">
      <c r="A1999" s="222">
        <v>4</v>
      </c>
      <c r="B1999" s="71" t="s">
        <v>29</v>
      </c>
      <c r="C1999" s="39" t="s">
        <v>5467</v>
      </c>
      <c r="D1999" s="106" t="s">
        <v>747</v>
      </c>
      <c r="E1999" s="47">
        <v>46045</v>
      </c>
      <c r="F1999" s="31" t="str">
        <f>VLOOKUP($C1999,Carpetas!$C$5:$M$2666,2,FALSE)</f>
        <v>BRB011-26</v>
      </c>
      <c r="G1999" s="23">
        <f>VLOOKUP($C1999,Carpetas!$C$5:$M$2666,10,FALSE)</f>
        <v>1548166</v>
      </c>
      <c r="H1999" s="27" t="str">
        <f>VLOOKUP($C1999,Carpetas!$C$5:$M$2666,6,FALSE)</f>
        <v>FG</v>
      </c>
      <c r="I1999" s="27" t="str">
        <f>VLOOKUP($C1999,Carpetas!$C$5:$M$2666,3,FALSE)</f>
        <v>Etimex</v>
      </c>
      <c r="J1999" s="47">
        <f t="shared" si="139"/>
        <v>46047</v>
      </c>
      <c r="K1999" s="72" t="str">
        <f>VLOOKUP($C1999,Carpetas!$C$5:$M$2666,5,FALSE)</f>
        <v>Rio Branco</v>
      </c>
      <c r="L1999" s="32"/>
      <c r="M1999" s="48">
        <f t="shared" si="138"/>
        <v>46048</v>
      </c>
      <c r="N1999" s="26">
        <f t="shared" si="135"/>
        <v>3</v>
      </c>
      <c r="O1999" s="27">
        <v>1008</v>
      </c>
      <c r="P1999" s="27">
        <v>1009</v>
      </c>
      <c r="Q1999" s="27">
        <v>28</v>
      </c>
      <c r="R1999" s="27">
        <v>26</v>
      </c>
      <c r="S1999" s="27" t="s">
        <v>1227</v>
      </c>
      <c r="T1999" s="27"/>
      <c r="U1999" s="27"/>
      <c r="V1999" s="27"/>
      <c r="W1999" s="27"/>
      <c r="X1999" s="128"/>
      <c r="Y1999" s="73" t="e">
        <f>VLOOKUP(X1999,Choferes!$B$3:C478,2,FALSE)</f>
        <v>#N/A</v>
      </c>
      <c r="Z1999" s="73" t="s">
        <v>5470</v>
      </c>
    </row>
    <row r="2000" spans="1:26" hidden="1" x14ac:dyDescent="0.25">
      <c r="A2000" s="222">
        <v>4</v>
      </c>
      <c r="B2000" s="71" t="s">
        <v>29</v>
      </c>
      <c r="C2000" s="39" t="s">
        <v>5467</v>
      </c>
      <c r="D2000" s="106" t="s">
        <v>2474</v>
      </c>
      <c r="E2000" s="47">
        <v>46046</v>
      </c>
      <c r="F2000" s="31" t="str">
        <f>VLOOKUP($C2000,Carpetas!$C$5:$M$2666,2,FALSE)</f>
        <v>BRB011-26</v>
      </c>
      <c r="G2000" s="23">
        <f>VLOOKUP($C2000,Carpetas!$C$5:$M$2666,10,FALSE)</f>
        <v>1548166</v>
      </c>
      <c r="H2000" s="27" t="str">
        <f>VLOOKUP($C2000,Carpetas!$C$5:$M$2666,6,FALSE)</f>
        <v>FG</v>
      </c>
      <c r="I2000" s="27" t="str">
        <f>VLOOKUP($C2000,Carpetas!$C$5:$M$2666,3,FALSE)</f>
        <v>Etimex</v>
      </c>
      <c r="J2000" s="47">
        <f t="shared" si="139"/>
        <v>46048</v>
      </c>
      <c r="K2000" s="72" t="str">
        <f>VLOOKUP($C2000,Carpetas!$C$5:$M$2666,5,FALSE)</f>
        <v>Rio Branco</v>
      </c>
      <c r="L2000" s="32"/>
      <c r="M2000" s="48">
        <f t="shared" si="138"/>
        <v>46049</v>
      </c>
      <c r="N2000" s="26">
        <f t="shared" si="135"/>
        <v>3</v>
      </c>
      <c r="O2000" s="27">
        <v>1008</v>
      </c>
      <c r="P2000" s="27">
        <v>1008</v>
      </c>
      <c r="Q2000" s="27">
        <v>28</v>
      </c>
      <c r="R2000" s="27">
        <v>26</v>
      </c>
      <c r="S2000" s="27" t="s">
        <v>3431</v>
      </c>
      <c r="T2000" s="27"/>
      <c r="U2000" s="27"/>
      <c r="V2000" s="27"/>
      <c r="W2000" s="27"/>
      <c r="X2000" s="128"/>
      <c r="Y2000" s="73" t="e">
        <f>VLOOKUP(X2000,Choferes!$B$3:C475,2,FALSE)</f>
        <v>#N/A</v>
      </c>
      <c r="Z2000" s="73" t="s">
        <v>5471</v>
      </c>
    </row>
    <row r="2001" spans="1:26" hidden="1" x14ac:dyDescent="0.25">
      <c r="A2001" s="222">
        <v>4</v>
      </c>
      <c r="B2001" s="71" t="s">
        <v>29</v>
      </c>
      <c r="C2001" s="39" t="s">
        <v>5453</v>
      </c>
      <c r="D2001" s="106" t="s">
        <v>2202</v>
      </c>
      <c r="E2001" s="47">
        <v>46046</v>
      </c>
      <c r="F2001" s="31" t="str">
        <f>VLOOKUP($C2001,Carpetas!$C$5:$M$2666,2,FALSE)</f>
        <v>BRB010-26</v>
      </c>
      <c r="G2001" s="23">
        <f>VLOOKUP($C2001,Carpetas!$C$5:$M$2666,10,FALSE)</f>
        <v>1547976</v>
      </c>
      <c r="H2001" s="27" t="str">
        <f>VLOOKUP($C2001,Carpetas!$C$5:$M$2666,6,FALSE)</f>
        <v>AXT</v>
      </c>
      <c r="I2001" s="27" t="str">
        <f>VLOOKUP($C2001,Carpetas!$C$5:$M$2666,3,FALSE)</f>
        <v>A&amp;A</v>
      </c>
      <c r="J2001" s="47">
        <f t="shared" si="139"/>
        <v>46048</v>
      </c>
      <c r="K2001" s="72" t="str">
        <f>VLOOKUP($C2001,Carpetas!$C$5:$M$2666,5,FALSE)</f>
        <v>Chuy</v>
      </c>
      <c r="L2001" s="32"/>
      <c r="M2001" s="48">
        <f t="shared" si="138"/>
        <v>46049</v>
      </c>
      <c r="N2001" s="26">
        <f t="shared" si="135"/>
        <v>3</v>
      </c>
      <c r="O2001" s="27">
        <v>936</v>
      </c>
      <c r="P2001" s="27">
        <v>937</v>
      </c>
      <c r="Q2001" s="27">
        <v>26</v>
      </c>
      <c r="R2001" s="27">
        <v>25</v>
      </c>
      <c r="S2001" s="27" t="s">
        <v>4216</v>
      </c>
      <c r="T2001" s="27"/>
      <c r="U2001" s="27"/>
      <c r="V2001" s="27" t="s">
        <v>3483</v>
      </c>
      <c r="W2001" s="27" t="s">
        <v>3484</v>
      </c>
      <c r="X2001" s="128"/>
      <c r="Y2001" s="73" t="e">
        <f>VLOOKUP(X2001,Choferes!$B$3:C476,2,FALSE)</f>
        <v>#N/A</v>
      </c>
      <c r="Z2001" s="73" t="s">
        <v>5472</v>
      </c>
    </row>
    <row r="2002" spans="1:26" hidden="1" x14ac:dyDescent="0.25">
      <c r="A2002" s="222">
        <v>4</v>
      </c>
      <c r="B2002" s="71" t="s">
        <v>29</v>
      </c>
      <c r="C2002" s="39" t="s">
        <v>5467</v>
      </c>
      <c r="D2002" s="106" t="s">
        <v>803</v>
      </c>
      <c r="E2002" s="47">
        <v>46046</v>
      </c>
      <c r="F2002" s="31" t="str">
        <f>VLOOKUP($C2002,Carpetas!$C$5:$M$2666,2,FALSE)</f>
        <v>BRB011-26</v>
      </c>
      <c r="G2002" s="23">
        <f>VLOOKUP($C2002,Carpetas!$C$5:$M$2666,10,FALSE)</f>
        <v>1548166</v>
      </c>
      <c r="H2002" s="27" t="str">
        <f>VLOOKUP($C2002,Carpetas!$C$5:$M$2666,6,FALSE)</f>
        <v>FG</v>
      </c>
      <c r="I2002" s="27" t="str">
        <f>VLOOKUP($C2002,Carpetas!$C$5:$M$2666,3,FALSE)</f>
        <v>Etimex</v>
      </c>
      <c r="J2002" s="47">
        <f t="shared" si="139"/>
        <v>46048</v>
      </c>
      <c r="K2002" s="72" t="str">
        <f>VLOOKUP($C2002,Carpetas!$C$5:$M$2666,5,FALSE)</f>
        <v>Rio Branco</v>
      </c>
      <c r="L2002" s="32"/>
      <c r="M2002" s="48">
        <f t="shared" si="138"/>
        <v>46049</v>
      </c>
      <c r="N2002" s="26">
        <f t="shared" ref="N2002:N2065" si="140">IF(E2002&lt;&gt;"",M2002-E2002,"-")</f>
        <v>3</v>
      </c>
      <c r="O2002" s="27">
        <v>1008</v>
      </c>
      <c r="P2002" s="27">
        <v>990</v>
      </c>
      <c r="Q2002" s="27">
        <v>28</v>
      </c>
      <c r="R2002" s="27">
        <v>25</v>
      </c>
      <c r="S2002" s="27" t="s">
        <v>966</v>
      </c>
      <c r="T2002" s="27"/>
      <c r="U2002" s="27"/>
      <c r="V2002" s="27"/>
      <c r="W2002" s="27"/>
      <c r="X2002" s="128"/>
      <c r="Y2002" s="73" t="e">
        <f>VLOOKUP(X2002,Choferes!$B$3:C477,2,FALSE)</f>
        <v>#N/A</v>
      </c>
      <c r="Z2002" s="73" t="s">
        <v>5473</v>
      </c>
    </row>
    <row r="2003" spans="1:26" hidden="1" x14ac:dyDescent="0.25">
      <c r="A2003" s="33">
        <v>5</v>
      </c>
      <c r="B2003" s="71" t="s">
        <v>29</v>
      </c>
      <c r="C2003" s="39" t="s">
        <v>5474</v>
      </c>
      <c r="D2003" s="106" t="s">
        <v>183</v>
      </c>
      <c r="E2003" s="47">
        <v>46048</v>
      </c>
      <c r="F2003" s="31" t="str">
        <f>VLOOKUP($C2003,Carpetas!$C$5:$M$2666,2,FALSE)</f>
        <v>PYB005-26</v>
      </c>
      <c r="G2003" s="23">
        <f>VLOOKUP($C2003,Carpetas!$C$5:$M$2666,10,FALSE)</f>
        <v>1548828</v>
      </c>
      <c r="H2003" s="27">
        <f>VLOOKUP($C2003,Carpetas!$C$5:$M$2666,6,FALSE)</f>
        <v>0</v>
      </c>
      <c r="I2003" s="27" t="str">
        <f>VLOOKUP($C2003,Carpetas!$C$5:$M$2666,3,FALSE)</f>
        <v>Hugo Franco</v>
      </c>
      <c r="J2003" s="47">
        <f>E2003+3</f>
        <v>46051</v>
      </c>
      <c r="K2003" s="72" t="str">
        <f>VLOOKUP($C2003,Carpetas!$C$5:$M$2666,5,FALSE)</f>
        <v>Salto</v>
      </c>
      <c r="L2003" s="32"/>
      <c r="M2003" s="48">
        <f t="shared" si="138"/>
        <v>46052</v>
      </c>
      <c r="N2003" s="26">
        <f t="shared" si="140"/>
        <v>4</v>
      </c>
      <c r="O2003" s="27">
        <v>980</v>
      </c>
      <c r="P2003" s="27">
        <v>980</v>
      </c>
      <c r="Q2003" s="27">
        <v>28</v>
      </c>
      <c r="R2003" s="27">
        <v>27</v>
      </c>
      <c r="S2003" s="27" t="s">
        <v>477</v>
      </c>
      <c r="T2003" s="27"/>
      <c r="U2003" s="27"/>
      <c r="V2003" s="27"/>
      <c r="W2003" s="27"/>
      <c r="X2003" s="128"/>
      <c r="Y2003" s="73" t="e">
        <f>VLOOKUP(X2003,Choferes!$B$3:C507,2,FALSE)</f>
        <v>#N/A</v>
      </c>
      <c r="Z2003" s="73" t="s">
        <v>5475</v>
      </c>
    </row>
    <row r="2004" spans="1:26" hidden="1" x14ac:dyDescent="0.25">
      <c r="A2004" s="33">
        <v>5</v>
      </c>
      <c r="B2004" s="71" t="s">
        <v>29</v>
      </c>
      <c r="C2004" s="39" t="s">
        <v>5474</v>
      </c>
      <c r="D2004" s="106" t="s">
        <v>183</v>
      </c>
      <c r="E2004" s="223">
        <v>46048</v>
      </c>
      <c r="F2004" s="31" t="str">
        <f>VLOOKUP($C2004,Carpetas!$C$5:$M$2666,2,FALSE)</f>
        <v>PYB005-26</v>
      </c>
      <c r="G2004" s="23">
        <f>VLOOKUP($C2004,Carpetas!$C$5:$M$2666,10,FALSE)</f>
        <v>1548828</v>
      </c>
      <c r="H2004" s="27">
        <f>VLOOKUP($C2004,Carpetas!$C$5:$M$2666,6,FALSE)</f>
        <v>0</v>
      </c>
      <c r="I2004" s="27" t="str">
        <f>VLOOKUP($C2004,Carpetas!$C$5:$M$2666,3,FALSE)</f>
        <v>Hugo Franco</v>
      </c>
      <c r="J2004" s="47">
        <f>E2004+3</f>
        <v>46051</v>
      </c>
      <c r="K2004" s="72" t="str">
        <f>VLOOKUP($C2004,Carpetas!$C$5:$M$2666,5,FALSE)</f>
        <v>Salto</v>
      </c>
      <c r="L2004" s="32"/>
      <c r="M2004" s="48">
        <f t="shared" si="138"/>
        <v>46052</v>
      </c>
      <c r="N2004" s="26">
        <f t="shared" si="140"/>
        <v>4</v>
      </c>
      <c r="O2004" s="27">
        <v>980</v>
      </c>
      <c r="P2004" s="27">
        <v>980</v>
      </c>
      <c r="Q2004" s="27">
        <v>28</v>
      </c>
      <c r="R2004" s="27">
        <v>27</v>
      </c>
      <c r="S2004" s="27" t="s">
        <v>492</v>
      </c>
      <c r="T2004" s="27"/>
      <c r="U2004" s="27"/>
      <c r="V2004" s="27"/>
      <c r="W2004" s="27"/>
      <c r="X2004" s="128"/>
      <c r="Y2004" s="73" t="e">
        <f>VLOOKUP(X2004,Choferes!$B$3:C504,2,FALSE)</f>
        <v>#N/A</v>
      </c>
      <c r="Z2004" s="73" t="s">
        <v>5475</v>
      </c>
    </row>
    <row r="2005" spans="1:26" ht="30" hidden="1" x14ac:dyDescent="0.25">
      <c r="A2005" s="33">
        <v>5</v>
      </c>
      <c r="B2005" s="71" t="s">
        <v>29</v>
      </c>
      <c r="C2005" s="39" t="s">
        <v>5476</v>
      </c>
      <c r="D2005" s="106" t="s">
        <v>121</v>
      </c>
      <c r="E2005" s="47">
        <v>46050</v>
      </c>
      <c r="F2005" s="31" t="str">
        <f>VLOOKUP($C2005,Carpetas!$C$5:$M$2666,2,FALSE)</f>
        <v>PYB006-26</v>
      </c>
      <c r="G2005" s="23">
        <f>VLOOKUP($C2005,Carpetas!$C$5:$M$2666,10,FALSE)</f>
        <v>1548298</v>
      </c>
      <c r="H2005" s="27" t="str">
        <f>VLOOKUP($C2005,Carpetas!$C$5:$M$2666,6,FALSE)</f>
        <v>Compass</v>
      </c>
      <c r="I2005" s="27" t="str">
        <f>VLOOKUP($C2005,Carpetas!$C$5:$M$2666,3,FALSE)</f>
        <v>Diego Fernandez</v>
      </c>
      <c r="J2005" s="47">
        <f>+E2005+3</f>
        <v>46053</v>
      </c>
      <c r="K2005" s="72" t="str">
        <f>VLOOKUP($C2005,Carpetas!$C$5:$M$2666,5,FALSE)</f>
        <v>Salto</v>
      </c>
      <c r="L2005" s="32"/>
      <c r="M2005" s="48">
        <v>46052</v>
      </c>
      <c r="N2005" s="26">
        <f t="shared" si="140"/>
        <v>2</v>
      </c>
      <c r="O2005" s="27">
        <v>980</v>
      </c>
      <c r="P2005" s="27"/>
      <c r="Q2005" s="27"/>
      <c r="R2005" s="27"/>
      <c r="S2005" s="27" t="s">
        <v>5477</v>
      </c>
      <c r="T2005" s="27"/>
      <c r="U2005" s="27"/>
      <c r="V2005" s="27"/>
      <c r="W2005" s="27"/>
      <c r="X2005" s="128"/>
      <c r="Y2005" s="73" t="e">
        <f>VLOOKUP(X2005,Choferes!$B$3:C508,2,FALSE)</f>
        <v>#N/A</v>
      </c>
      <c r="Z2005" s="73" t="s">
        <v>5478</v>
      </c>
    </row>
    <row r="2006" spans="1:26" hidden="1" x14ac:dyDescent="0.25">
      <c r="A2006" s="222">
        <v>5</v>
      </c>
      <c r="B2006" s="71" t="s">
        <v>29</v>
      </c>
      <c r="C2006" s="39" t="s">
        <v>5440</v>
      </c>
      <c r="D2006" s="106" t="s">
        <v>2474</v>
      </c>
      <c r="E2006" s="47">
        <v>46050</v>
      </c>
      <c r="F2006" s="31" t="str">
        <f>VLOOKUP($C2006,Carpetas!$C$5:$M$2666,2,FALSE)</f>
        <v>BRB009-26</v>
      </c>
      <c r="G2006" s="23">
        <f>VLOOKUP($C2006,Carpetas!$C$5:$M$2666,10,FALSE)</f>
        <v>1547732</v>
      </c>
      <c r="H2006" s="27" t="str">
        <f>VLOOKUP($C2006,Carpetas!$C$5:$M$2666,6,FALSE)</f>
        <v>Amaro</v>
      </c>
      <c r="I2006" s="27" t="str">
        <f>VLOOKUP($C2006,Carpetas!$C$5:$M$2666,3,FALSE)</f>
        <v>Etimex</v>
      </c>
      <c r="J2006" s="47">
        <f>E2006+2</f>
        <v>46052</v>
      </c>
      <c r="K2006" s="72" t="str">
        <f>VLOOKUP($C2006,Carpetas!$C$5:$M$2666,5,FALSE)</f>
        <v>Rio Branco</v>
      </c>
      <c r="L2006" s="32"/>
      <c r="M2006" s="48">
        <f t="shared" ref="M2006:M2011" si="141">J2006+1</f>
        <v>46053</v>
      </c>
      <c r="N2006" s="26">
        <f t="shared" si="140"/>
        <v>3</v>
      </c>
      <c r="O2006" s="27">
        <v>1008</v>
      </c>
      <c r="P2006" s="27">
        <v>1008</v>
      </c>
      <c r="Q2006" s="27">
        <v>28</v>
      </c>
      <c r="R2006" s="27">
        <v>27</v>
      </c>
      <c r="S2006" s="27" t="s">
        <v>5479</v>
      </c>
      <c r="T2006" s="27"/>
      <c r="U2006" s="27">
        <v>27854</v>
      </c>
      <c r="V2006" s="27" t="s">
        <v>3224</v>
      </c>
      <c r="W2006" s="27" t="s">
        <v>5480</v>
      </c>
      <c r="X2006" s="128" t="s">
        <v>3836</v>
      </c>
      <c r="Y2006" s="73" t="str">
        <f>VLOOKUP(X2006,Choferes!$B$3:C472,2,FALSE)</f>
        <v>+55 53 9932-5838</v>
      </c>
      <c r="Z2006" s="73" t="s">
        <v>5481</v>
      </c>
    </row>
    <row r="2007" spans="1:26" hidden="1" x14ac:dyDescent="0.25">
      <c r="A2007" s="222">
        <v>5</v>
      </c>
      <c r="B2007" s="71" t="s">
        <v>29</v>
      </c>
      <c r="C2007" s="39" t="s">
        <v>5482</v>
      </c>
      <c r="D2007" s="106" t="s">
        <v>2202</v>
      </c>
      <c r="E2007" s="47">
        <v>46050</v>
      </c>
      <c r="F2007" s="31" t="str">
        <f>VLOOKUP($C2007,Carpetas!$C$5:$M$2666,2,FALSE)</f>
        <v>BRB012-26</v>
      </c>
      <c r="G2007" s="23">
        <f>VLOOKUP($C2007,Carpetas!$C$5:$M$2666,10,FALSE)</f>
        <v>1548910</v>
      </c>
      <c r="H2007" s="27" t="str">
        <f>VLOOKUP($C2007,Carpetas!$C$5:$M$2666,6,FALSE)</f>
        <v>AXT</v>
      </c>
      <c r="I2007" s="27" t="str">
        <f>VLOOKUP($C2007,Carpetas!$C$5:$M$2666,3,FALSE)</f>
        <v>A&amp;A</v>
      </c>
      <c r="J2007" s="47">
        <f>E2007+2</f>
        <v>46052</v>
      </c>
      <c r="K2007" s="72" t="str">
        <f>VLOOKUP($C2007,Carpetas!$C$5:$M$2666,5,FALSE)</f>
        <v>Chuy</v>
      </c>
      <c r="L2007" s="32"/>
      <c r="M2007" s="48">
        <f t="shared" si="141"/>
        <v>46053</v>
      </c>
      <c r="N2007" s="26">
        <f t="shared" si="140"/>
        <v>3</v>
      </c>
      <c r="O2007" s="27">
        <v>936</v>
      </c>
      <c r="P2007" s="27">
        <v>937</v>
      </c>
      <c r="Q2007" s="27">
        <v>26</v>
      </c>
      <c r="R2007" s="27">
        <v>25</v>
      </c>
      <c r="S2007" s="27" t="s">
        <v>4265</v>
      </c>
      <c r="T2007" s="27"/>
      <c r="U2007" s="27"/>
      <c r="V2007" s="27" t="s">
        <v>5483</v>
      </c>
      <c r="W2007" s="27" t="s">
        <v>5484</v>
      </c>
      <c r="X2007" s="128"/>
      <c r="Y2007" s="73" t="e">
        <f>VLOOKUP(X2007,Choferes!$B$3:C473,2,FALSE)</f>
        <v>#N/A</v>
      </c>
      <c r="Z2007" s="73" t="s">
        <v>5485</v>
      </c>
    </row>
    <row r="2008" spans="1:26" hidden="1" x14ac:dyDescent="0.25">
      <c r="A2008" s="222">
        <v>5</v>
      </c>
      <c r="B2008" s="71" t="s">
        <v>29</v>
      </c>
      <c r="C2008" s="39" t="s">
        <v>5467</v>
      </c>
      <c r="D2008" s="106" t="s">
        <v>2474</v>
      </c>
      <c r="E2008" s="47">
        <v>46051</v>
      </c>
      <c r="F2008" s="31" t="str">
        <f>VLOOKUP($C2008,Carpetas!$C$5:$M$2666,2,FALSE)</f>
        <v>BRB011-26</v>
      </c>
      <c r="G2008" s="23">
        <f>VLOOKUP($C2008,Carpetas!$C$5:$M$2666,10,FALSE)</f>
        <v>1548166</v>
      </c>
      <c r="H2008" s="27" t="str">
        <f>VLOOKUP($C2008,Carpetas!$C$5:$M$2666,6,FALSE)</f>
        <v>FG</v>
      </c>
      <c r="I2008" s="27" t="str">
        <f>VLOOKUP($C2008,Carpetas!$C$5:$M$2666,3,FALSE)</f>
        <v>Etimex</v>
      </c>
      <c r="J2008" s="47">
        <v>46052</v>
      </c>
      <c r="K2008" s="72" t="str">
        <f>VLOOKUP($C2008,Carpetas!$C$5:$M$2666,5,FALSE)</f>
        <v>Rio Branco</v>
      </c>
      <c r="L2008" s="32"/>
      <c r="M2008" s="48">
        <f t="shared" si="141"/>
        <v>46053</v>
      </c>
      <c r="N2008" s="26">
        <f t="shared" si="140"/>
        <v>2</v>
      </c>
      <c r="O2008" s="27">
        <v>1008</v>
      </c>
      <c r="P2008" s="27">
        <v>1008</v>
      </c>
      <c r="Q2008" s="27">
        <v>28</v>
      </c>
      <c r="R2008" s="27">
        <v>25</v>
      </c>
      <c r="S2008" s="27" t="s">
        <v>3529</v>
      </c>
      <c r="T2008" s="27"/>
      <c r="U2008" s="27">
        <v>1359</v>
      </c>
      <c r="V2008" s="27" t="s">
        <v>911</v>
      </c>
      <c r="W2008" s="27" t="s">
        <v>912</v>
      </c>
      <c r="X2008" s="128" t="s">
        <v>1397</v>
      </c>
      <c r="Y2008" s="73" t="str">
        <f>VLOOKUP(X2008,Choferes!$B$3:C473,2,FALSE)</f>
        <v>+5551996322594</v>
      </c>
      <c r="Z2008" s="73" t="s">
        <v>5486</v>
      </c>
    </row>
    <row r="2009" spans="1:26" hidden="1" x14ac:dyDescent="0.25">
      <c r="A2009" s="33">
        <v>5</v>
      </c>
      <c r="B2009" s="71" t="s">
        <v>29</v>
      </c>
      <c r="C2009" s="39" t="s">
        <v>5474</v>
      </c>
      <c r="D2009" s="106" t="s">
        <v>183</v>
      </c>
      <c r="E2009" s="47">
        <v>46050</v>
      </c>
      <c r="F2009" s="31" t="str">
        <f>VLOOKUP($C2009,Carpetas!$C$5:$M$2666,2,FALSE)</f>
        <v>PYB005-26</v>
      </c>
      <c r="G2009" s="23">
        <f>VLOOKUP($C2009,Carpetas!$C$5:$M$2666,10,FALSE)</f>
        <v>1548828</v>
      </c>
      <c r="H2009" s="27">
        <f>VLOOKUP($C2009,Carpetas!$C$5:$M$2666,6,FALSE)</f>
        <v>0</v>
      </c>
      <c r="I2009" s="27" t="str">
        <f>VLOOKUP($C2009,Carpetas!$C$5:$M$2666,3,FALSE)</f>
        <v>Hugo Franco</v>
      </c>
      <c r="J2009" s="47">
        <f>E2009+3</f>
        <v>46053</v>
      </c>
      <c r="K2009" s="72" t="str">
        <f>VLOOKUP($C2009,Carpetas!$C$5:$M$2666,5,FALSE)</f>
        <v>Salto</v>
      </c>
      <c r="L2009" s="32"/>
      <c r="M2009" s="48">
        <f t="shared" si="141"/>
        <v>46054</v>
      </c>
      <c r="N2009" s="26">
        <f t="shared" si="140"/>
        <v>4</v>
      </c>
      <c r="O2009" s="27">
        <v>980</v>
      </c>
      <c r="P2009" s="27">
        <v>980</v>
      </c>
      <c r="Q2009" s="27">
        <v>28</v>
      </c>
      <c r="R2009" s="27">
        <v>26</v>
      </c>
      <c r="S2009" s="27" t="s">
        <v>522</v>
      </c>
      <c r="T2009" s="27"/>
      <c r="U2009" s="27"/>
      <c r="V2009" s="27"/>
      <c r="W2009" s="27"/>
      <c r="X2009" s="128"/>
      <c r="Y2009" s="73" t="e">
        <f>VLOOKUP(X2009,Choferes!$B$3:C505,2,FALSE)</f>
        <v>#N/A</v>
      </c>
      <c r="Z2009" s="73" t="s">
        <v>5487</v>
      </c>
    </row>
    <row r="2010" spans="1:26" hidden="1" x14ac:dyDescent="0.25">
      <c r="A2010" s="33">
        <v>5</v>
      </c>
      <c r="B2010" s="71" t="s">
        <v>29</v>
      </c>
      <c r="C2010" s="39" t="s">
        <v>5474</v>
      </c>
      <c r="D2010" s="106" t="s">
        <v>183</v>
      </c>
      <c r="E2010" s="47">
        <v>46050</v>
      </c>
      <c r="F2010" s="31" t="str">
        <f>VLOOKUP($C2010,Carpetas!$C$5:$M$2666,2,FALSE)</f>
        <v>PYB005-26</v>
      </c>
      <c r="G2010" s="23">
        <f>VLOOKUP($C2010,Carpetas!$C$5:$M$2666,10,FALSE)</f>
        <v>1548828</v>
      </c>
      <c r="H2010" s="27">
        <f>VLOOKUP($C2010,Carpetas!$C$5:$M$2666,6,FALSE)</f>
        <v>0</v>
      </c>
      <c r="I2010" s="27" t="str">
        <f>VLOOKUP($C2010,Carpetas!$C$5:$M$2666,3,FALSE)</f>
        <v>Hugo Franco</v>
      </c>
      <c r="J2010" s="47">
        <f>E2010+3</f>
        <v>46053</v>
      </c>
      <c r="K2010" s="72" t="str">
        <f>VLOOKUP($C2010,Carpetas!$C$5:$M$2666,5,FALSE)</f>
        <v>Salto</v>
      </c>
      <c r="L2010" s="32"/>
      <c r="M2010" s="48">
        <f t="shared" si="141"/>
        <v>46054</v>
      </c>
      <c r="N2010" s="26">
        <f t="shared" si="140"/>
        <v>4</v>
      </c>
      <c r="O2010" s="27">
        <v>980</v>
      </c>
      <c r="P2010" s="27">
        <v>980</v>
      </c>
      <c r="Q2010" s="27">
        <v>28</v>
      </c>
      <c r="R2010" s="27">
        <v>26</v>
      </c>
      <c r="S2010" s="27" t="s">
        <v>539</v>
      </c>
      <c r="T2010" s="27"/>
      <c r="U2010" s="27"/>
      <c r="V2010" s="27"/>
      <c r="W2010" s="27"/>
      <c r="X2010" s="128"/>
      <c r="Y2010" s="73" t="e">
        <f>VLOOKUP(X2010,Choferes!$B$3:C506,2,FALSE)</f>
        <v>#N/A</v>
      </c>
      <c r="Z2010" s="73" t="s">
        <v>5488</v>
      </c>
    </row>
    <row r="2011" spans="1:26" hidden="1" x14ac:dyDescent="0.25">
      <c r="A2011" s="222">
        <v>5</v>
      </c>
      <c r="B2011" s="71" t="s">
        <v>29</v>
      </c>
      <c r="C2011" s="39" t="s">
        <v>5482</v>
      </c>
      <c r="D2011" s="106" t="s">
        <v>2202</v>
      </c>
      <c r="E2011" s="47">
        <v>46052</v>
      </c>
      <c r="F2011" s="31" t="str">
        <f>VLOOKUP($C2011,Carpetas!$C$5:$M$2666,2,FALSE)</f>
        <v>BRB012-26</v>
      </c>
      <c r="G2011" s="23">
        <f>VLOOKUP($C2011,Carpetas!$C$5:$M$2666,10,FALSE)</f>
        <v>1548910</v>
      </c>
      <c r="H2011" s="27" t="str">
        <f>VLOOKUP($C2011,Carpetas!$C$5:$M$2666,6,FALSE)</f>
        <v>AXT</v>
      </c>
      <c r="I2011" s="27" t="str">
        <f>VLOOKUP($C2011,Carpetas!$C$5:$M$2666,3,FALSE)</f>
        <v>A&amp;A</v>
      </c>
      <c r="J2011" s="47">
        <v>46055</v>
      </c>
      <c r="K2011" s="72" t="str">
        <f>VLOOKUP($C2011,Carpetas!$C$5:$M$2666,5,FALSE)</f>
        <v>Chuy</v>
      </c>
      <c r="L2011" s="32"/>
      <c r="M2011" s="48">
        <f t="shared" si="141"/>
        <v>46056</v>
      </c>
      <c r="N2011" s="26">
        <f t="shared" si="140"/>
        <v>4</v>
      </c>
      <c r="O2011" s="27">
        <v>936</v>
      </c>
      <c r="P2011" s="27">
        <v>937</v>
      </c>
      <c r="Q2011" s="27">
        <v>26</v>
      </c>
      <c r="R2011" s="27">
        <v>25</v>
      </c>
      <c r="S2011" s="27" t="s">
        <v>4293</v>
      </c>
      <c r="T2011" s="27"/>
      <c r="U2011" s="27"/>
      <c r="V2011" s="27" t="s">
        <v>5489</v>
      </c>
      <c r="W2011" s="27" t="s">
        <v>5490</v>
      </c>
      <c r="X2011" s="128"/>
      <c r="Y2011" s="73" t="e">
        <f>VLOOKUP(X2011,Choferes!$B$3:C476,2,FALSE)</f>
        <v>#N/A</v>
      </c>
      <c r="Z2011" s="73" t="s">
        <v>5491</v>
      </c>
    </row>
    <row r="2012" spans="1:26" ht="30" hidden="1" x14ac:dyDescent="0.25">
      <c r="A2012" s="222">
        <v>6</v>
      </c>
      <c r="B2012" s="71" t="s">
        <v>29</v>
      </c>
      <c r="C2012" s="39" t="s">
        <v>5492</v>
      </c>
      <c r="D2012" s="106" t="s">
        <v>38</v>
      </c>
      <c r="E2012" s="47">
        <v>46053</v>
      </c>
      <c r="F2012" s="31" t="str">
        <f>VLOOKUP($C2012,Carpetas!$C$5:$M$2666,2,FALSE)</f>
        <v>BRE003-26</v>
      </c>
      <c r="G2012" s="23" t="str">
        <f>VLOOKUP($C2012,Carpetas!$C$5:$M$2666,10,FALSE)</f>
        <v>1548957-1548960</v>
      </c>
      <c r="H2012" s="27" t="str">
        <f>VLOOKUP($C2012,Carpetas!$C$5:$M$2666,6,FALSE)</f>
        <v>VPN</v>
      </c>
      <c r="I2012" s="27" t="str">
        <f>VLOOKUP($C2012,Carpetas!$C$5:$M$2666,3,FALSE)</f>
        <v>Dom Basto</v>
      </c>
      <c r="J2012" s="47">
        <f>E2012+2</f>
        <v>46055</v>
      </c>
      <c r="K2012" s="72" t="str">
        <f>VLOOKUP($C2012,Carpetas!$C$5:$M$2666,5,FALSE)</f>
        <v>Rio Branco</v>
      </c>
      <c r="L2012" s="32"/>
      <c r="M2012" s="48">
        <f>J2012+1+1</f>
        <v>46057</v>
      </c>
      <c r="N2012" s="26">
        <f t="shared" si="140"/>
        <v>4</v>
      </c>
      <c r="O2012" s="27">
        <v>1160</v>
      </c>
      <c r="P2012" s="27">
        <v>1160</v>
      </c>
      <c r="Q2012" s="27">
        <v>26</v>
      </c>
      <c r="R2012" s="27"/>
      <c r="S2012" s="27" t="s">
        <v>3506</v>
      </c>
      <c r="T2012" s="27"/>
      <c r="U2012" s="27"/>
      <c r="V2012" s="27"/>
      <c r="W2012" s="27"/>
      <c r="X2012" s="128"/>
      <c r="Y2012" s="73" t="e">
        <f>VLOOKUP(X2012,Choferes!$B$3:C470,2,FALSE)</f>
        <v>#N/A</v>
      </c>
      <c r="Z2012" s="73" t="s">
        <v>5493</v>
      </c>
    </row>
    <row r="2013" spans="1:26" hidden="1" x14ac:dyDescent="0.25">
      <c r="A2013" s="222">
        <v>5</v>
      </c>
      <c r="B2013" s="71" t="s">
        <v>29</v>
      </c>
      <c r="C2013" s="39" t="s">
        <v>5494</v>
      </c>
      <c r="D2013" s="106" t="s">
        <v>747</v>
      </c>
      <c r="E2013" s="47">
        <v>46052</v>
      </c>
      <c r="F2013" s="31" t="str">
        <f>VLOOKUP($C2013,Carpetas!$C$5:$M$2666,2,FALSE)</f>
        <v>BRB013-26</v>
      </c>
      <c r="G2013" s="23">
        <f>VLOOKUP($C2013,Carpetas!$C$5:$M$2666,10,FALSE)</f>
        <v>1549007</v>
      </c>
      <c r="H2013" s="27" t="str">
        <f>VLOOKUP($C2013,Carpetas!$C$5:$M$2666,6,FALSE)</f>
        <v>FG</v>
      </c>
      <c r="I2013" s="27" t="str">
        <f>VLOOKUP($C2013,Carpetas!$C$5:$M$2666,3,FALSE)</f>
        <v>Etimex</v>
      </c>
      <c r="J2013" s="47">
        <v>46055</v>
      </c>
      <c r="K2013" s="72" t="str">
        <f>VLOOKUP($C2013,Carpetas!$C$5:$M$2666,5,FALSE)</f>
        <v>Rio Branco</v>
      </c>
      <c r="L2013" s="32"/>
      <c r="M2013" s="48">
        <v>46057</v>
      </c>
      <c r="N2013" s="26">
        <f t="shared" si="140"/>
        <v>5</v>
      </c>
      <c r="O2013" s="27">
        <v>1008</v>
      </c>
      <c r="P2013" s="27">
        <v>1009</v>
      </c>
      <c r="Q2013" s="27">
        <v>28</v>
      </c>
      <c r="R2013" s="27">
        <v>26</v>
      </c>
      <c r="S2013" s="27" t="s">
        <v>1284</v>
      </c>
      <c r="T2013" s="27"/>
      <c r="U2013" s="27">
        <v>1361</v>
      </c>
      <c r="V2013" s="27" t="s">
        <v>3669</v>
      </c>
      <c r="W2013" s="27" t="s">
        <v>1627</v>
      </c>
      <c r="X2013" s="128" t="s">
        <v>2336</v>
      </c>
      <c r="Y2013" s="73" t="str">
        <f>VLOOKUP(X2013,Choferes!$B$3:C474,2,FALSE)</f>
        <v>+5553984414060</v>
      </c>
      <c r="Z2013" s="73" t="s">
        <v>5495</v>
      </c>
    </row>
    <row r="2014" spans="1:26" hidden="1" x14ac:dyDescent="0.25">
      <c r="A2014" s="222">
        <v>5</v>
      </c>
      <c r="B2014" s="71" t="s">
        <v>29</v>
      </c>
      <c r="C2014" s="39" t="s">
        <v>5496</v>
      </c>
      <c r="D2014" s="106" t="s">
        <v>2474</v>
      </c>
      <c r="E2014" s="47">
        <v>46052</v>
      </c>
      <c r="F2014" s="31" t="str">
        <f>VLOOKUP($C2014,Carpetas!$C$5:$M$2666,2,FALSE)</f>
        <v>BRB014-26</v>
      </c>
      <c r="G2014" s="23">
        <f>VLOOKUP($C2014,Carpetas!$C$5:$M$2666,10,FALSE)</f>
        <v>1549009</v>
      </c>
      <c r="H2014" s="27" t="str">
        <f>VLOOKUP($C2014,Carpetas!$C$5:$M$2666,6,FALSE)</f>
        <v>OCH</v>
      </c>
      <c r="I2014" s="27" t="str">
        <f>VLOOKUP($C2014,Carpetas!$C$5:$M$2666,3,FALSE)</f>
        <v>Etimex</v>
      </c>
      <c r="J2014" s="47">
        <v>46055</v>
      </c>
      <c r="K2014" s="72" t="str">
        <f>VLOOKUP($C2014,Carpetas!$C$5:$M$2666,5,FALSE)</f>
        <v>Rio Branco</v>
      </c>
      <c r="L2014" s="32"/>
      <c r="M2014" s="48">
        <v>46057</v>
      </c>
      <c r="N2014" s="26">
        <f t="shared" si="140"/>
        <v>5</v>
      </c>
      <c r="O2014" s="27">
        <v>1008</v>
      </c>
      <c r="P2014" s="27">
        <v>1008</v>
      </c>
      <c r="Q2014" s="27">
        <v>28</v>
      </c>
      <c r="R2014" s="27">
        <v>26</v>
      </c>
      <c r="S2014" s="27" t="s">
        <v>5497</v>
      </c>
      <c r="T2014" s="27"/>
      <c r="U2014" s="27">
        <v>2499</v>
      </c>
      <c r="V2014" s="27" t="s">
        <v>4129</v>
      </c>
      <c r="W2014" s="27" t="s">
        <v>4223</v>
      </c>
      <c r="X2014" s="128"/>
      <c r="Y2014" s="73" t="e">
        <f>VLOOKUP(X2014,Choferes!$B$3:C475,2,FALSE)</f>
        <v>#N/A</v>
      </c>
      <c r="Z2014" s="73" t="s">
        <v>5498</v>
      </c>
    </row>
    <row r="2015" spans="1:26" hidden="1" x14ac:dyDescent="0.25">
      <c r="A2015" s="222">
        <v>5</v>
      </c>
      <c r="B2015" s="71" t="s">
        <v>29</v>
      </c>
      <c r="C2015" s="39" t="s">
        <v>5494</v>
      </c>
      <c r="D2015" s="106" t="s">
        <v>5499</v>
      </c>
      <c r="E2015" s="47">
        <v>46052</v>
      </c>
      <c r="F2015" s="31" t="str">
        <f>VLOOKUP($C2015,Carpetas!$C$5:$M$2666,2,FALSE)</f>
        <v>BRB013-26</v>
      </c>
      <c r="G2015" s="23">
        <f>VLOOKUP($C2015,Carpetas!$C$5:$M$2666,10,FALSE)</f>
        <v>1549007</v>
      </c>
      <c r="H2015" s="27" t="str">
        <f>VLOOKUP($C2015,Carpetas!$C$5:$M$2666,6,FALSE)</f>
        <v>FG</v>
      </c>
      <c r="I2015" s="27" t="str">
        <f>VLOOKUP($C2015,Carpetas!$C$5:$M$2666,3,FALSE)</f>
        <v>Etimex</v>
      </c>
      <c r="J2015" s="47">
        <v>46055</v>
      </c>
      <c r="K2015" s="72" t="str">
        <f>VLOOKUP($C2015,Carpetas!$C$5:$M$2666,5,FALSE)</f>
        <v>Rio Branco</v>
      </c>
      <c r="L2015" s="32"/>
      <c r="M2015" s="48">
        <v>46057</v>
      </c>
      <c r="N2015" s="26">
        <f t="shared" si="140"/>
        <v>5</v>
      </c>
      <c r="O2015" s="27">
        <v>1008</v>
      </c>
      <c r="P2015" s="27">
        <v>1009</v>
      </c>
      <c r="Q2015" s="27">
        <v>28</v>
      </c>
      <c r="R2015" s="27">
        <v>25</v>
      </c>
      <c r="S2015" s="27" t="s">
        <v>5500</v>
      </c>
      <c r="T2015" s="27"/>
      <c r="U2015" s="27">
        <v>1360</v>
      </c>
      <c r="V2015" s="27" t="s">
        <v>1722</v>
      </c>
      <c r="W2015" s="27" t="s">
        <v>1723</v>
      </c>
      <c r="X2015" s="128" t="s">
        <v>5009</v>
      </c>
      <c r="Y2015" s="73" t="str">
        <f>VLOOKUP(X2015,Choferes!$B$3:C474,2,FALSE)</f>
        <v>+598 98 195 659</v>
      </c>
      <c r="Z2015" s="73" t="s">
        <v>5495</v>
      </c>
    </row>
    <row r="2016" spans="1:26" hidden="1" x14ac:dyDescent="0.25">
      <c r="A2016" s="222">
        <v>5</v>
      </c>
      <c r="B2016" s="71" t="s">
        <v>29</v>
      </c>
      <c r="C2016" s="39" t="s">
        <v>5494</v>
      </c>
      <c r="D2016" s="106" t="s">
        <v>2202</v>
      </c>
      <c r="E2016" s="47">
        <v>46053</v>
      </c>
      <c r="F2016" s="31" t="str">
        <f>VLOOKUP($C2016,Carpetas!$C$5:$M$2666,2,FALSE)</f>
        <v>BRB013-26</v>
      </c>
      <c r="G2016" s="23">
        <f>VLOOKUP($C2016,Carpetas!$C$5:$M$2666,10,FALSE)</f>
        <v>1549007</v>
      </c>
      <c r="H2016" s="27" t="str">
        <f>VLOOKUP($C2016,Carpetas!$C$5:$M$2666,6,FALSE)</f>
        <v>FG</v>
      </c>
      <c r="I2016" s="27" t="str">
        <f>VLOOKUP($C2016,Carpetas!$C$5:$M$2666,3,FALSE)</f>
        <v>Etimex</v>
      </c>
      <c r="J2016" s="47">
        <f t="shared" ref="J2016:J2022" si="142">E2016+2</f>
        <v>46055</v>
      </c>
      <c r="K2016" s="72" t="str">
        <f>VLOOKUP($C2016,Carpetas!$C$5:$M$2666,5,FALSE)</f>
        <v>Rio Branco</v>
      </c>
      <c r="L2016" s="32"/>
      <c r="M2016" s="48">
        <v>46057</v>
      </c>
      <c r="N2016" s="26">
        <f t="shared" si="140"/>
        <v>4</v>
      </c>
      <c r="O2016" s="27">
        <v>1008</v>
      </c>
      <c r="P2016" s="27">
        <v>1009</v>
      </c>
      <c r="Q2016" s="27">
        <v>28</v>
      </c>
      <c r="R2016" s="27">
        <v>26</v>
      </c>
      <c r="S2016" s="27" t="s">
        <v>4308</v>
      </c>
      <c r="T2016" s="27"/>
      <c r="U2016" s="27">
        <v>1362</v>
      </c>
      <c r="V2016" s="27" t="s">
        <v>3572</v>
      </c>
      <c r="W2016" s="27" t="s">
        <v>3412</v>
      </c>
      <c r="X2016" s="128" t="s">
        <v>1495</v>
      </c>
      <c r="Y2016" s="73" t="str">
        <f>VLOOKUP(X2016,Choferes!$B$3:C475,2,FALSE)</f>
        <v>+5553984382803</v>
      </c>
      <c r="Z2016" s="73" t="s">
        <v>5495</v>
      </c>
    </row>
    <row r="2017" spans="1:26" hidden="1" x14ac:dyDescent="0.25">
      <c r="A2017" s="222">
        <v>6</v>
      </c>
      <c r="B2017" s="71" t="s">
        <v>29</v>
      </c>
      <c r="C2017" s="39" t="s">
        <v>5501</v>
      </c>
      <c r="D2017" s="106" t="s">
        <v>183</v>
      </c>
      <c r="E2017" s="47">
        <v>46055</v>
      </c>
      <c r="F2017" s="31" t="str">
        <f>VLOOKUP($C2017,Carpetas!$C$5:$M$2666,2,FALSE)</f>
        <v>PYB008/26</v>
      </c>
      <c r="G2017" s="23" t="str">
        <f>VLOOKUP($C2017,Carpetas!$C$5:$M$2666,10,FALSE)</f>
        <v>154,93,37</v>
      </c>
      <c r="H2017" s="27" t="str">
        <f>VLOOKUP($C2017,Carpetas!$C$5:$M$2666,6,FALSE)</f>
        <v>TEYU´I E HIJOS S.R.L.</v>
      </c>
      <c r="I2017" s="27" t="str">
        <f>VLOOKUP($C2017,Carpetas!$C$5:$M$2666,3,FALSE)</f>
        <v>Hugo Franco</v>
      </c>
      <c r="J2017" s="47">
        <f t="shared" si="142"/>
        <v>46057</v>
      </c>
      <c r="K2017" s="72" t="str">
        <f>VLOOKUP($C2017,Carpetas!$C$5:$M$2666,5,FALSE)</f>
        <v>Salto</v>
      </c>
      <c r="L2017" s="32"/>
      <c r="M2017" s="48">
        <f t="shared" ref="M2017:M2023" si="143">J2017+1</f>
        <v>46058</v>
      </c>
      <c r="N2017" s="26">
        <f t="shared" si="140"/>
        <v>3</v>
      </c>
      <c r="O2017" s="27">
        <v>980</v>
      </c>
      <c r="P2017" s="27">
        <v>980</v>
      </c>
      <c r="Q2017" s="27">
        <v>28</v>
      </c>
      <c r="R2017" s="27">
        <v>26</v>
      </c>
      <c r="S2017" s="27" t="s">
        <v>542</v>
      </c>
      <c r="T2017" s="27"/>
      <c r="U2017" s="27"/>
      <c r="V2017" s="27"/>
      <c r="W2017" s="27"/>
      <c r="X2017" s="128"/>
      <c r="Y2017" s="73" t="e">
        <f>VLOOKUP(X2017,Choferes!$B$3:C471,2,FALSE)</f>
        <v>#N/A</v>
      </c>
      <c r="Z2017" s="73" t="s">
        <v>5502</v>
      </c>
    </row>
    <row r="2018" spans="1:26" hidden="1" x14ac:dyDescent="0.25">
      <c r="A2018" s="222">
        <v>6</v>
      </c>
      <c r="B2018" s="71" t="s">
        <v>29</v>
      </c>
      <c r="C2018" s="39" t="s">
        <v>5503</v>
      </c>
      <c r="D2018" s="106" t="s">
        <v>121</v>
      </c>
      <c r="E2018" s="47">
        <v>46055</v>
      </c>
      <c r="F2018" s="31" t="str">
        <f>VLOOKUP($C2018,Carpetas!$C$5:$M$2666,2,FALSE)</f>
        <v>PYB007-26</v>
      </c>
      <c r="G2018" s="23" t="str">
        <f>VLOOKUP($C2018,Carpetas!$C$5:$M$2666,10,FALSE)</f>
        <v>154,93,70</v>
      </c>
      <c r="H2018" s="27" t="str">
        <f>VLOOKUP($C2018,Carpetas!$C$5:$M$2666,6,FALSE)</f>
        <v>Compas</v>
      </c>
      <c r="I2018" s="27" t="str">
        <f>VLOOKUP($C2018,Carpetas!$C$5:$M$2666,3,FALSE)</f>
        <v>Diego Fernandez</v>
      </c>
      <c r="J2018" s="47">
        <f t="shared" si="142"/>
        <v>46057</v>
      </c>
      <c r="K2018" s="72" t="str">
        <f>VLOOKUP($C2018,Carpetas!$C$5:$M$2666,5,FALSE)</f>
        <v>Salto</v>
      </c>
      <c r="L2018" s="32"/>
      <c r="M2018" s="48">
        <f t="shared" si="143"/>
        <v>46058</v>
      </c>
      <c r="N2018" s="26">
        <f t="shared" si="140"/>
        <v>3</v>
      </c>
      <c r="O2018" s="27">
        <v>980</v>
      </c>
      <c r="P2018" s="27">
        <v>980</v>
      </c>
      <c r="Q2018" s="27">
        <v>28</v>
      </c>
      <c r="R2018" s="27">
        <v>27</v>
      </c>
      <c r="S2018" s="27" t="s">
        <v>215</v>
      </c>
      <c r="T2018" s="27"/>
      <c r="U2018" s="27"/>
      <c r="V2018" s="27"/>
      <c r="W2018" s="27"/>
      <c r="X2018" s="128"/>
      <c r="Y2018" s="73" t="e">
        <f>VLOOKUP(X2018,Choferes!$B$3:C476,2,FALSE)</f>
        <v>#N/A</v>
      </c>
      <c r="Z2018" s="73" t="s">
        <v>5504</v>
      </c>
    </row>
    <row r="2019" spans="1:26" hidden="1" x14ac:dyDescent="0.25">
      <c r="A2019" s="222">
        <v>6</v>
      </c>
      <c r="B2019" s="71" t="s">
        <v>29</v>
      </c>
      <c r="C2019" s="39" t="s">
        <v>5494</v>
      </c>
      <c r="D2019" s="106" t="s">
        <v>5499</v>
      </c>
      <c r="E2019" s="47">
        <v>46056</v>
      </c>
      <c r="F2019" s="31" t="str">
        <f>VLOOKUP($C2019,Carpetas!$C$5:$M$2666,2,FALSE)</f>
        <v>BRB013-26</v>
      </c>
      <c r="G2019" s="23">
        <f>VLOOKUP($C2019,Carpetas!$C$5:$M$2666,10,FALSE)</f>
        <v>1549007</v>
      </c>
      <c r="H2019" s="27" t="str">
        <f>VLOOKUP($C2019,Carpetas!$C$5:$M$2666,6,FALSE)</f>
        <v>FG</v>
      </c>
      <c r="I2019" s="27" t="str">
        <f>VLOOKUP($C2019,Carpetas!$C$5:$M$2666,3,FALSE)</f>
        <v>Etimex</v>
      </c>
      <c r="J2019" s="47">
        <f t="shared" si="142"/>
        <v>46058</v>
      </c>
      <c r="K2019" s="72" t="str">
        <f>VLOOKUP($C2019,Carpetas!$C$5:$M$2666,5,FALSE)</f>
        <v>Rio Branco</v>
      </c>
      <c r="L2019" s="32"/>
      <c r="M2019" s="48">
        <f t="shared" si="143"/>
        <v>46059</v>
      </c>
      <c r="N2019" s="26">
        <f t="shared" si="140"/>
        <v>3</v>
      </c>
      <c r="O2019" s="27">
        <v>216</v>
      </c>
      <c r="P2019" s="27">
        <v>1008</v>
      </c>
      <c r="Q2019" s="27">
        <v>28</v>
      </c>
      <c r="R2019" s="27">
        <v>26</v>
      </c>
      <c r="S2019" s="27" t="s">
        <v>5505</v>
      </c>
      <c r="T2019" s="27"/>
      <c r="U2019" s="27">
        <v>1366</v>
      </c>
      <c r="V2019" s="27" t="s">
        <v>1626</v>
      </c>
      <c r="W2019" s="27" t="s">
        <v>1736</v>
      </c>
      <c r="X2019" s="128" t="s">
        <v>1413</v>
      </c>
      <c r="Y2019" s="73" t="str">
        <f>VLOOKUP(X2019,Choferes!$B$3:C476,2,FALSE)</f>
        <v>+59899406679</v>
      </c>
      <c r="Z2019" s="73" t="s">
        <v>5506</v>
      </c>
    </row>
    <row r="2020" spans="1:26" ht="30" hidden="1" x14ac:dyDescent="0.25">
      <c r="A2020" s="222">
        <v>6</v>
      </c>
      <c r="B2020" s="71" t="s">
        <v>29</v>
      </c>
      <c r="C2020" s="39" t="s">
        <v>5494</v>
      </c>
      <c r="D2020" s="106" t="s">
        <v>5507</v>
      </c>
      <c r="E2020" s="47">
        <v>46056</v>
      </c>
      <c r="F2020" s="31" t="str">
        <f>VLOOKUP($C2020,Carpetas!$C$5:$M$2666,2,FALSE)</f>
        <v>BRB013-26</v>
      </c>
      <c r="G2020" s="23">
        <f>VLOOKUP($C2020,Carpetas!$C$5:$M$2666,10,FALSE)</f>
        <v>1549007</v>
      </c>
      <c r="H2020" s="27" t="str">
        <f>VLOOKUP($C2020,Carpetas!$C$5:$M$2666,6,FALSE)</f>
        <v>FG</v>
      </c>
      <c r="I2020" s="27" t="str">
        <f>VLOOKUP($C2020,Carpetas!$C$5:$M$2666,3,FALSE)</f>
        <v>Etimex</v>
      </c>
      <c r="J2020" s="47">
        <f t="shared" si="142"/>
        <v>46058</v>
      </c>
      <c r="K2020" s="72" t="str">
        <f>VLOOKUP($C2020,Carpetas!$C$5:$M$2666,5,FALSE)</f>
        <v>Rio Branco</v>
      </c>
      <c r="L2020" s="32"/>
      <c r="M2020" s="48">
        <f t="shared" si="143"/>
        <v>46059</v>
      </c>
      <c r="N2020" s="26">
        <f t="shared" si="140"/>
        <v>3</v>
      </c>
      <c r="O2020" s="27">
        <v>792</v>
      </c>
      <c r="P2020" s="27">
        <v>1008</v>
      </c>
      <c r="Q2020" s="27">
        <v>28</v>
      </c>
      <c r="R2020" s="27">
        <v>26</v>
      </c>
      <c r="S2020" s="167" t="s">
        <v>5508</v>
      </c>
      <c r="T2020" s="27"/>
      <c r="U2020" s="27">
        <v>1366</v>
      </c>
      <c r="V2020" s="27" t="s">
        <v>1626</v>
      </c>
      <c r="W2020" s="27" t="s">
        <v>1736</v>
      </c>
      <c r="X2020" s="128" t="s">
        <v>1413</v>
      </c>
      <c r="Y2020" s="73" t="str">
        <f>VLOOKUP(X2020,Choferes!$B$3:C477,2,FALSE)</f>
        <v>+59899406679</v>
      </c>
      <c r="Z2020" s="73" t="s">
        <v>5509</v>
      </c>
    </row>
    <row r="2021" spans="1:26" hidden="1" x14ac:dyDescent="0.25">
      <c r="A2021" s="222">
        <v>6</v>
      </c>
      <c r="B2021" s="71" t="s">
        <v>29</v>
      </c>
      <c r="C2021" s="39" t="s">
        <v>5482</v>
      </c>
      <c r="D2021" s="106" t="s">
        <v>2202</v>
      </c>
      <c r="E2021" s="47">
        <v>46056</v>
      </c>
      <c r="F2021" s="31" t="str">
        <f>VLOOKUP($C2021,Carpetas!$C$5:$M$2666,2,FALSE)</f>
        <v>BRB012-26</v>
      </c>
      <c r="G2021" s="23">
        <f>VLOOKUP($C2021,Carpetas!$C$5:$M$2666,10,FALSE)</f>
        <v>1548910</v>
      </c>
      <c r="H2021" s="27" t="str">
        <f>VLOOKUP($C2021,Carpetas!$C$5:$M$2666,6,FALSE)</f>
        <v>AXT</v>
      </c>
      <c r="I2021" s="27" t="str">
        <f>VLOOKUP($C2021,Carpetas!$C$5:$M$2666,3,FALSE)</f>
        <v>A&amp;A</v>
      </c>
      <c r="J2021" s="47">
        <f t="shared" si="142"/>
        <v>46058</v>
      </c>
      <c r="K2021" s="72" t="str">
        <f>VLOOKUP($C2021,Carpetas!$C$5:$M$2666,5,FALSE)</f>
        <v>Chuy</v>
      </c>
      <c r="L2021" s="32"/>
      <c r="M2021" s="48">
        <f t="shared" si="143"/>
        <v>46059</v>
      </c>
      <c r="N2021" s="26">
        <f t="shared" si="140"/>
        <v>3</v>
      </c>
      <c r="O2021" s="27">
        <v>936</v>
      </c>
      <c r="P2021" s="27">
        <v>937</v>
      </c>
      <c r="Q2021" s="27">
        <v>26</v>
      </c>
      <c r="R2021" s="27">
        <v>25</v>
      </c>
      <c r="S2021" s="27" t="s">
        <v>4325</v>
      </c>
      <c r="T2021" s="27"/>
      <c r="U2021" s="27"/>
      <c r="V2021" s="27" t="s">
        <v>5510</v>
      </c>
      <c r="W2021" s="27" t="s">
        <v>5511</v>
      </c>
      <c r="X2021" s="128"/>
      <c r="Y2021" s="73" t="e">
        <f>VLOOKUP(X2021,Choferes!$B$3:C479,2,FALSE)</f>
        <v>#N/A</v>
      </c>
      <c r="Z2021" s="73" t="s">
        <v>5512</v>
      </c>
    </row>
    <row r="2022" spans="1:26" ht="30" hidden="1" x14ac:dyDescent="0.25">
      <c r="A2022" s="222">
        <v>6</v>
      </c>
      <c r="B2022" s="71" t="s">
        <v>29</v>
      </c>
      <c r="C2022" s="39" t="s">
        <v>5494</v>
      </c>
      <c r="D2022" s="106" t="s">
        <v>249</v>
      </c>
      <c r="E2022" s="47">
        <v>46056</v>
      </c>
      <c r="F2022" s="31" t="str">
        <f>VLOOKUP($C2022,Carpetas!$C$5:$M$2666,2,FALSE)</f>
        <v>BRB013-26</v>
      </c>
      <c r="G2022" s="23">
        <f>VLOOKUP($C2022,Carpetas!$C$5:$M$2666,10,FALSE)</f>
        <v>1549007</v>
      </c>
      <c r="H2022" s="27" t="str">
        <f>VLOOKUP($C2022,Carpetas!$C$5:$M$2666,6,FALSE)</f>
        <v>FG</v>
      </c>
      <c r="I2022" s="27" t="str">
        <f>VLOOKUP($C2022,Carpetas!$C$5:$M$2666,3,FALSE)</f>
        <v>Etimex</v>
      </c>
      <c r="J2022" s="47">
        <f t="shared" si="142"/>
        <v>46058</v>
      </c>
      <c r="K2022" s="72" t="str">
        <f>VLOOKUP($C2022,Carpetas!$C$5:$M$2666,5,FALSE)</f>
        <v>Rio Branco</v>
      </c>
      <c r="L2022" s="32"/>
      <c r="M2022" s="48">
        <f t="shared" si="143"/>
        <v>46059</v>
      </c>
      <c r="N2022" s="26">
        <f t="shared" si="140"/>
        <v>3</v>
      </c>
      <c r="O2022" s="27">
        <v>1008</v>
      </c>
      <c r="P2022" s="27">
        <v>1008</v>
      </c>
      <c r="Q2022" s="27">
        <v>28</v>
      </c>
      <c r="R2022" s="27">
        <v>26</v>
      </c>
      <c r="S2022" s="27" t="s">
        <v>869</v>
      </c>
      <c r="T2022" s="27"/>
      <c r="U2022" s="27">
        <v>1365</v>
      </c>
      <c r="V2022" s="27" t="s">
        <v>5317</v>
      </c>
      <c r="W2022" s="27" t="s">
        <v>5318</v>
      </c>
      <c r="X2022" s="128" t="s">
        <v>1489</v>
      </c>
      <c r="Y2022" s="73" t="str">
        <f>VLOOKUP(X2022,Choferes!$B$3:C478,2,FALSE)</f>
        <v>+5553984039582</v>
      </c>
      <c r="Z2022" s="73" t="s">
        <v>5513</v>
      </c>
    </row>
    <row r="2023" spans="1:26" hidden="1" x14ac:dyDescent="0.25">
      <c r="A2023" s="222">
        <v>6</v>
      </c>
      <c r="B2023" s="71" t="s">
        <v>29</v>
      </c>
      <c r="C2023" s="39" t="s">
        <v>5496</v>
      </c>
      <c r="D2023" s="106" t="s">
        <v>2474</v>
      </c>
      <c r="E2023" s="47">
        <v>46057</v>
      </c>
      <c r="F2023" s="31" t="str">
        <f>VLOOKUP($C2023,Carpetas!$C$5:$M$2666,2,FALSE)</f>
        <v>BRB014-26</v>
      </c>
      <c r="G2023" s="23">
        <f>VLOOKUP($C2023,Carpetas!$C$5:$M$2666,10,FALSE)</f>
        <v>1549009</v>
      </c>
      <c r="H2023" s="27" t="str">
        <f>VLOOKUP($C2023,Carpetas!$C$5:$M$2666,6,FALSE)</f>
        <v>OCH</v>
      </c>
      <c r="I2023" s="27" t="str">
        <f>VLOOKUP($C2023,Carpetas!$C$5:$M$2666,3,FALSE)</f>
        <v>Etimex</v>
      </c>
      <c r="J2023" s="47">
        <v>46058</v>
      </c>
      <c r="K2023" s="72" t="str">
        <f>VLOOKUP($C2023,Carpetas!$C$5:$M$2666,5,FALSE)</f>
        <v>Rio Branco</v>
      </c>
      <c r="L2023" s="32"/>
      <c r="M2023" s="48">
        <f t="shared" si="143"/>
        <v>46059</v>
      </c>
      <c r="N2023" s="26">
        <f t="shared" si="140"/>
        <v>2</v>
      </c>
      <c r="O2023" s="27">
        <v>1008</v>
      </c>
      <c r="P2023" s="27">
        <v>1008</v>
      </c>
      <c r="Q2023" s="27">
        <v>28</v>
      </c>
      <c r="R2023" s="27">
        <v>26</v>
      </c>
      <c r="S2023" s="27" t="s">
        <v>5514</v>
      </c>
      <c r="T2023" s="27"/>
      <c r="U2023" s="27">
        <v>2500</v>
      </c>
      <c r="V2023" s="27" t="s">
        <v>1649</v>
      </c>
      <c r="W2023" s="27" t="s">
        <v>1650</v>
      </c>
      <c r="X2023" s="128" t="s">
        <v>1462</v>
      </c>
      <c r="Y2023" s="73" t="str">
        <f>VLOOKUP(X2023,Choferes!$B$3:C479,2,FALSE)</f>
        <v>+5553997081676</v>
      </c>
      <c r="Z2023" s="73" t="s">
        <v>5515</v>
      </c>
    </row>
    <row r="2024" spans="1:26" hidden="1" x14ac:dyDescent="0.25">
      <c r="A2024" s="222">
        <v>6</v>
      </c>
      <c r="B2024" s="71" t="s">
        <v>29</v>
      </c>
      <c r="C2024" s="39" t="s">
        <v>5501</v>
      </c>
      <c r="D2024" s="106" t="s">
        <v>183</v>
      </c>
      <c r="E2024" s="47">
        <v>46055</v>
      </c>
      <c r="F2024" s="31" t="str">
        <f>VLOOKUP($C2024,Carpetas!$C$5:$M$2666,2,FALSE)</f>
        <v>PYB008/26</v>
      </c>
      <c r="G2024" s="23" t="str">
        <f>VLOOKUP($C2024,Carpetas!$C$5:$M$2666,10,FALSE)</f>
        <v>154,93,37</v>
      </c>
      <c r="H2024" s="27" t="str">
        <f>VLOOKUP($C2024,Carpetas!$C$5:$M$2666,6,FALSE)</f>
        <v>TEYU´I E HIJOS S.R.L.</v>
      </c>
      <c r="I2024" s="27" t="str">
        <f>VLOOKUP($C2024,Carpetas!$C$5:$M$2666,3,FALSE)</f>
        <v>Hugo Franco</v>
      </c>
      <c r="J2024" s="47">
        <v>46058</v>
      </c>
      <c r="K2024" s="72" t="str">
        <f>VLOOKUP($C2024,Carpetas!$C$5:$M$2666,5,FALSE)</f>
        <v>Salto</v>
      </c>
      <c r="L2024" s="32"/>
      <c r="M2024" s="48">
        <f>J2024+1+1</f>
        <v>46060</v>
      </c>
      <c r="N2024" s="26">
        <f t="shared" si="140"/>
        <v>5</v>
      </c>
      <c r="O2024" s="27">
        <v>980</v>
      </c>
      <c r="P2024" s="27">
        <v>980</v>
      </c>
      <c r="Q2024" s="27">
        <v>28</v>
      </c>
      <c r="R2024" s="27">
        <v>25</v>
      </c>
      <c r="S2024" s="27" t="s">
        <v>5516</v>
      </c>
      <c r="T2024" s="27"/>
      <c r="U2024" s="27"/>
      <c r="V2024" s="27"/>
      <c r="W2024" s="27"/>
      <c r="X2024" s="128"/>
      <c r="Y2024" s="73" t="e">
        <f>VLOOKUP(X2024,Choferes!$B$3:C472,2,FALSE)</f>
        <v>#N/A</v>
      </c>
      <c r="Z2024" s="73" t="s">
        <v>5517</v>
      </c>
    </row>
    <row r="2025" spans="1:26" hidden="1" x14ac:dyDescent="0.25">
      <c r="A2025" s="222">
        <v>6</v>
      </c>
      <c r="B2025" s="71" t="s">
        <v>29</v>
      </c>
      <c r="C2025" s="39" t="s">
        <v>5501</v>
      </c>
      <c r="D2025" s="106" t="s">
        <v>183</v>
      </c>
      <c r="E2025" s="47">
        <v>46057</v>
      </c>
      <c r="F2025" s="31" t="str">
        <f>VLOOKUP($C2025,Carpetas!$C$5:$M$2666,2,FALSE)</f>
        <v>PYB008/26</v>
      </c>
      <c r="G2025" s="23" t="str">
        <f>VLOOKUP($C2025,Carpetas!$C$5:$M$2666,10,FALSE)</f>
        <v>154,93,37</v>
      </c>
      <c r="H2025" s="27" t="str">
        <f>VLOOKUP($C2025,Carpetas!$C$5:$M$2666,6,FALSE)</f>
        <v>TEYU´I E HIJOS S.R.L.</v>
      </c>
      <c r="I2025" s="27" t="str">
        <f>VLOOKUP($C2025,Carpetas!$C$5:$M$2666,3,FALSE)</f>
        <v>Hugo Franco</v>
      </c>
      <c r="J2025" s="47">
        <f>E2025+2</f>
        <v>46059</v>
      </c>
      <c r="K2025" s="72" t="str">
        <f>VLOOKUP($C2025,Carpetas!$C$5:$M$2666,5,FALSE)</f>
        <v>Salto</v>
      </c>
      <c r="L2025" s="32"/>
      <c r="M2025" s="48">
        <f>J2025+1</f>
        <v>46060</v>
      </c>
      <c r="N2025" s="26">
        <f t="shared" si="140"/>
        <v>3</v>
      </c>
      <c r="O2025" s="27">
        <v>980</v>
      </c>
      <c r="P2025" s="27">
        <v>979</v>
      </c>
      <c r="Q2025" s="27">
        <v>28</v>
      </c>
      <c r="R2025" s="27">
        <v>25</v>
      </c>
      <c r="S2025" s="27" t="s">
        <v>5518</v>
      </c>
      <c r="T2025" s="27"/>
      <c r="U2025" s="27"/>
      <c r="V2025" s="27"/>
      <c r="W2025" s="27"/>
      <c r="X2025" s="128"/>
      <c r="Y2025" s="73" t="e">
        <f>VLOOKUP(X2025,Choferes!$B$3:C473,2,FALSE)</f>
        <v>#N/A</v>
      </c>
      <c r="Z2025" s="73" t="s">
        <v>5519</v>
      </c>
    </row>
    <row r="2026" spans="1:26" hidden="1" x14ac:dyDescent="0.25">
      <c r="A2026" s="222">
        <v>6</v>
      </c>
      <c r="B2026" s="71" t="s">
        <v>29</v>
      </c>
      <c r="C2026" s="39" t="s">
        <v>5482</v>
      </c>
      <c r="D2026" s="106" t="s">
        <v>2202</v>
      </c>
      <c r="E2026" s="47">
        <v>46057</v>
      </c>
      <c r="F2026" s="31" t="str">
        <f>VLOOKUP($C2026,Carpetas!$C$5:$M$2666,2,FALSE)</f>
        <v>BRB012-26</v>
      </c>
      <c r="G2026" s="23">
        <f>VLOOKUP($C2026,Carpetas!$C$5:$M$2666,10,FALSE)</f>
        <v>1548910</v>
      </c>
      <c r="H2026" s="27" t="str">
        <f>VLOOKUP($C2026,Carpetas!$C$5:$M$2666,6,FALSE)</f>
        <v>AXT</v>
      </c>
      <c r="I2026" s="27" t="str">
        <f>VLOOKUP($C2026,Carpetas!$C$5:$M$2666,3,FALSE)</f>
        <v>A&amp;A</v>
      </c>
      <c r="J2026" s="47">
        <f>E2026+2</f>
        <v>46059</v>
      </c>
      <c r="K2026" s="72" t="str">
        <f>VLOOKUP($C2026,Carpetas!$C$5:$M$2666,5,FALSE)</f>
        <v>Chuy</v>
      </c>
      <c r="L2026" s="32"/>
      <c r="M2026" s="48">
        <f>J2026+1</f>
        <v>46060</v>
      </c>
      <c r="N2026" s="26">
        <f t="shared" si="140"/>
        <v>3</v>
      </c>
      <c r="O2026" s="27">
        <v>936</v>
      </c>
      <c r="P2026" s="27">
        <v>937</v>
      </c>
      <c r="Q2026" s="27">
        <v>26</v>
      </c>
      <c r="R2026" s="27">
        <v>25</v>
      </c>
      <c r="S2026" s="27" t="s">
        <v>4336</v>
      </c>
      <c r="T2026" s="27"/>
      <c r="U2026" s="27"/>
      <c r="V2026" s="27" t="s">
        <v>5520</v>
      </c>
      <c r="W2026" s="27" t="s">
        <v>1434</v>
      </c>
      <c r="X2026" s="128"/>
      <c r="Y2026" s="73" t="e">
        <f>VLOOKUP(X2026,Choferes!$B$3:C480,2,FALSE)</f>
        <v>#N/A</v>
      </c>
      <c r="Z2026" s="73" t="s">
        <v>5521</v>
      </c>
    </row>
    <row r="2027" spans="1:26" hidden="1" x14ac:dyDescent="0.25">
      <c r="A2027" s="222">
        <v>6</v>
      </c>
      <c r="B2027" s="71" t="s">
        <v>29</v>
      </c>
      <c r="C2027" s="39" t="s">
        <v>5494</v>
      </c>
      <c r="D2027" s="106" t="s">
        <v>110</v>
      </c>
      <c r="E2027" s="47">
        <v>46057</v>
      </c>
      <c r="F2027" s="31" t="str">
        <f>VLOOKUP($C2027,Carpetas!$C$5:$M$2666,2,FALSE)</f>
        <v>BRB013-26</v>
      </c>
      <c r="G2027" s="23">
        <f>VLOOKUP($C2027,Carpetas!$C$5:$M$2666,10,FALSE)</f>
        <v>1549007</v>
      </c>
      <c r="H2027" s="27" t="str">
        <f>VLOOKUP($C2027,Carpetas!$C$5:$M$2666,6,FALSE)</f>
        <v>FG</v>
      </c>
      <c r="I2027" s="27" t="str">
        <f>VLOOKUP($C2027,Carpetas!$C$5:$M$2666,3,FALSE)</f>
        <v>Etimex</v>
      </c>
      <c r="J2027" s="47">
        <f>E2027+2</f>
        <v>46059</v>
      </c>
      <c r="K2027" s="72" t="str">
        <f>VLOOKUP($C2027,Carpetas!$C$5:$M$2666,5,FALSE)</f>
        <v>Rio Branco</v>
      </c>
      <c r="L2027" s="32"/>
      <c r="M2027" s="48">
        <f>J2027+1</f>
        <v>46060</v>
      </c>
      <c r="N2027" s="26">
        <f t="shared" si="140"/>
        <v>3</v>
      </c>
      <c r="O2027" s="27">
        <v>1008</v>
      </c>
      <c r="P2027" s="27">
        <v>1009</v>
      </c>
      <c r="Q2027" s="27">
        <v>28</v>
      </c>
      <c r="R2027" s="27">
        <v>26</v>
      </c>
      <c r="S2027" s="27" t="s">
        <v>451</v>
      </c>
      <c r="T2027" s="27"/>
      <c r="U2027" s="27">
        <v>1369</v>
      </c>
      <c r="V2027" s="27" t="s">
        <v>1630</v>
      </c>
      <c r="W2027" s="27" t="s">
        <v>1934</v>
      </c>
      <c r="X2027" s="128" t="s">
        <v>1935</v>
      </c>
      <c r="Y2027" s="73" t="str">
        <f>VLOOKUP(X2027,Choferes!$B$3:C479,2,FALSE)</f>
        <v>+5554984377792</v>
      </c>
      <c r="Z2027" s="73" t="s">
        <v>5522</v>
      </c>
    </row>
    <row r="2028" spans="1:26" hidden="1" x14ac:dyDescent="0.25">
      <c r="A2028" s="222">
        <v>6</v>
      </c>
      <c r="B2028" s="71" t="s">
        <v>29</v>
      </c>
      <c r="C2028" s="39" t="s">
        <v>5523</v>
      </c>
      <c r="D2028" s="106" t="s">
        <v>747</v>
      </c>
      <c r="E2028" s="47">
        <v>46057</v>
      </c>
      <c r="F2028" s="31" t="str">
        <f>VLOOKUP($C2028,Carpetas!$C$5:$M$2666,2,FALSE)</f>
        <v>BRB015-26</v>
      </c>
      <c r="G2028" s="23">
        <f>VLOOKUP($C2028,Carpetas!$C$5:$M$2666,10,FALSE)</f>
        <v>154.95500000000001</v>
      </c>
      <c r="H2028" s="27" t="str">
        <f>VLOOKUP($C2028,Carpetas!$C$5:$M$2666,6,FALSE)</f>
        <v>FG</v>
      </c>
      <c r="I2028" s="27" t="str">
        <f>VLOOKUP($C2028,Carpetas!$C$5:$M$2666,3,FALSE)</f>
        <v>Etimex</v>
      </c>
      <c r="J2028" s="47">
        <f>E2028+2</f>
        <v>46059</v>
      </c>
      <c r="K2028" s="72" t="str">
        <f>VLOOKUP($C2028,Carpetas!$C$5:$M$2666,5,FALSE)</f>
        <v>Rio Branco</v>
      </c>
      <c r="L2028" s="32"/>
      <c r="M2028" s="48">
        <f>J2028+1</f>
        <v>46060</v>
      </c>
      <c r="N2028" s="26">
        <f t="shared" si="140"/>
        <v>3</v>
      </c>
      <c r="O2028" s="27">
        <v>1008</v>
      </c>
      <c r="P2028" s="27">
        <v>1009</v>
      </c>
      <c r="Q2028" s="27">
        <v>28</v>
      </c>
      <c r="R2028" s="27">
        <v>26</v>
      </c>
      <c r="S2028" s="27" t="s">
        <v>1279</v>
      </c>
      <c r="T2028" s="27"/>
      <c r="U2028" s="27">
        <v>1370</v>
      </c>
      <c r="V2028" s="27" t="s">
        <v>911</v>
      </c>
      <c r="W2028" s="27" t="s">
        <v>912</v>
      </c>
      <c r="X2028" s="128" t="s">
        <v>1397</v>
      </c>
      <c r="Y2028" s="73" t="str">
        <f>VLOOKUP(X2028,Choferes!$B$3:C481,2,FALSE)</f>
        <v>+5551996322594</v>
      </c>
      <c r="Z2028" s="73" t="s">
        <v>5522</v>
      </c>
    </row>
    <row r="2029" spans="1:26" hidden="1" x14ac:dyDescent="0.25">
      <c r="A2029" s="222">
        <v>6</v>
      </c>
      <c r="B2029" s="71" t="s">
        <v>29</v>
      </c>
      <c r="C2029" s="39" t="s">
        <v>5482</v>
      </c>
      <c r="D2029" s="106" t="s">
        <v>2202</v>
      </c>
      <c r="E2029" s="47">
        <v>46058</v>
      </c>
      <c r="F2029" s="31" t="str">
        <f>VLOOKUP($C2029,Carpetas!$C$5:$M$2666,2,FALSE)</f>
        <v>BRB012-26</v>
      </c>
      <c r="G2029" s="23">
        <f>VLOOKUP($C2029,Carpetas!$C$5:$M$2666,10,FALSE)</f>
        <v>1548910</v>
      </c>
      <c r="H2029" s="27" t="str">
        <f>VLOOKUP($C2029,Carpetas!$C$5:$M$2666,6,FALSE)</f>
        <v>AXT</v>
      </c>
      <c r="I2029" s="27" t="str">
        <f>VLOOKUP($C2029,Carpetas!$C$5:$M$2666,3,FALSE)</f>
        <v>A&amp;A</v>
      </c>
      <c r="J2029" s="47">
        <v>46059</v>
      </c>
      <c r="K2029" s="72" t="str">
        <f>VLOOKUP($C2029,Carpetas!$C$5:$M$2666,5,FALSE)</f>
        <v>Chuy</v>
      </c>
      <c r="L2029" s="32"/>
      <c r="M2029" s="48">
        <f>J2029+1</f>
        <v>46060</v>
      </c>
      <c r="N2029" s="26">
        <f t="shared" si="140"/>
        <v>2</v>
      </c>
      <c r="O2029" s="27">
        <v>936</v>
      </c>
      <c r="P2029" s="27">
        <v>937</v>
      </c>
      <c r="Q2029" s="27">
        <v>26</v>
      </c>
      <c r="R2029" s="27">
        <v>25</v>
      </c>
      <c r="S2029" s="27" t="s">
        <v>4355</v>
      </c>
      <c r="T2029" s="27"/>
      <c r="U2029" s="27"/>
      <c r="V2029" s="27" t="s">
        <v>1684</v>
      </c>
      <c r="W2029" s="27" t="s">
        <v>2756</v>
      </c>
      <c r="X2029" s="128"/>
      <c r="Y2029" s="73" t="e">
        <f>VLOOKUP(X2029,Choferes!$B$3:C481,2,FALSE)</f>
        <v>#N/A</v>
      </c>
      <c r="Z2029" s="73" t="s">
        <v>5521</v>
      </c>
    </row>
    <row r="2030" spans="1:26" hidden="1" x14ac:dyDescent="0.25">
      <c r="A2030" s="222">
        <v>6</v>
      </c>
      <c r="B2030" s="71" t="s">
        <v>29</v>
      </c>
      <c r="C2030" s="39" t="s">
        <v>5524</v>
      </c>
      <c r="D2030" s="106" t="s">
        <v>42</v>
      </c>
      <c r="E2030" s="47">
        <v>46056</v>
      </c>
      <c r="F2030" s="31" t="str">
        <f>VLOOKUP($C2030,Carpetas!$C$5:$M$2666,2,FALSE)</f>
        <v>PYB009/26</v>
      </c>
      <c r="G2030" s="23">
        <f>VLOOKUP($C2030,Carpetas!$C$5:$M$2666,10,FALSE)</f>
        <v>1549372</v>
      </c>
      <c r="H2030" s="27" t="str">
        <f>VLOOKUP($C2030,Carpetas!$C$5:$M$2666,6,FALSE)</f>
        <v>Surcentral</v>
      </c>
      <c r="I2030" s="27" t="str">
        <f>VLOOKUP($C2030,Carpetas!$C$5:$M$2666,3,FALSE)</f>
        <v>Servi Fel</v>
      </c>
      <c r="J2030" s="47">
        <v>46059</v>
      </c>
      <c r="K2030" s="72" t="str">
        <f>VLOOKUP($C2030,Carpetas!$C$5:$M$2666,5,FALSE)</f>
        <v>Salto</v>
      </c>
      <c r="L2030" s="32"/>
      <c r="M2030" s="48">
        <v>46061</v>
      </c>
      <c r="N2030" s="26">
        <f t="shared" si="140"/>
        <v>5</v>
      </c>
      <c r="O2030" s="27">
        <v>936</v>
      </c>
      <c r="P2030" s="27">
        <v>936</v>
      </c>
      <c r="Q2030" s="27">
        <v>26</v>
      </c>
      <c r="R2030" s="27">
        <v>27</v>
      </c>
      <c r="S2030" s="27" t="s">
        <v>2974</v>
      </c>
      <c r="T2030" s="27"/>
      <c r="U2030" s="27"/>
      <c r="V2030" s="27"/>
      <c r="W2030" s="27"/>
      <c r="X2030" s="128"/>
      <c r="Y2030" s="73" t="e">
        <f>VLOOKUP(X2030,Choferes!$B$3:C474,2,FALSE)</f>
        <v>#N/A</v>
      </c>
      <c r="Z2030" s="73" t="s">
        <v>5525</v>
      </c>
    </row>
    <row r="2031" spans="1:26" hidden="1" x14ac:dyDescent="0.25">
      <c r="A2031" s="222">
        <v>6</v>
      </c>
      <c r="B2031" s="71" t="s">
        <v>29</v>
      </c>
      <c r="C2031" s="39" t="s">
        <v>5524</v>
      </c>
      <c r="D2031" s="106" t="s">
        <v>42</v>
      </c>
      <c r="E2031" s="47">
        <v>46057</v>
      </c>
      <c r="F2031" s="31" t="str">
        <f>VLOOKUP($C2031,Carpetas!$C$5:$M$2666,2,FALSE)</f>
        <v>PYB009/26</v>
      </c>
      <c r="G2031" s="23">
        <f>VLOOKUP($C2031,Carpetas!$C$5:$M$2666,10,FALSE)</f>
        <v>1549372</v>
      </c>
      <c r="H2031" s="27" t="str">
        <f>VLOOKUP($C2031,Carpetas!$C$5:$M$2666,6,FALSE)</f>
        <v>Surcentral</v>
      </c>
      <c r="I2031" s="27" t="str">
        <f>VLOOKUP($C2031,Carpetas!$C$5:$M$2666,3,FALSE)</f>
        <v>Servi Fel</v>
      </c>
      <c r="J2031" s="47">
        <v>46060</v>
      </c>
      <c r="K2031" s="72" t="str">
        <f>VLOOKUP($C2031,Carpetas!$C$5:$M$2666,5,FALSE)</f>
        <v>Salto</v>
      </c>
      <c r="L2031" s="32"/>
      <c r="M2031" s="48">
        <f t="shared" ref="M2031:M2042" si="144">J2031+1</f>
        <v>46061</v>
      </c>
      <c r="N2031" s="26">
        <f t="shared" si="140"/>
        <v>4</v>
      </c>
      <c r="O2031" s="27">
        <v>936</v>
      </c>
      <c r="P2031" s="27">
        <v>936</v>
      </c>
      <c r="Q2031" s="27">
        <v>26</v>
      </c>
      <c r="R2031" s="27">
        <v>27</v>
      </c>
      <c r="S2031" s="27" t="s">
        <v>5526</v>
      </c>
      <c r="T2031" s="27"/>
      <c r="U2031" s="27"/>
      <c r="V2031" s="27"/>
      <c r="W2031" s="27"/>
      <c r="X2031" s="128"/>
      <c r="Y2031" s="73" t="e">
        <f>VLOOKUP(X2031,Choferes!$B$3:C475,2,FALSE)</f>
        <v>#N/A</v>
      </c>
      <c r="Z2031" s="73" t="s">
        <v>5527</v>
      </c>
    </row>
    <row r="2032" spans="1:26" hidden="1" x14ac:dyDescent="0.25">
      <c r="A2032" s="222">
        <v>6</v>
      </c>
      <c r="B2032" s="71" t="s">
        <v>29</v>
      </c>
      <c r="C2032" s="39" t="s">
        <v>5528</v>
      </c>
      <c r="D2032" s="106" t="s">
        <v>38</v>
      </c>
      <c r="E2032" s="47">
        <v>46055</v>
      </c>
      <c r="F2032" s="31" t="str">
        <f>VLOOKUP($C2032,Carpetas!$C$5:$M$2666,2,FALSE)</f>
        <v>BRE004-26</v>
      </c>
      <c r="G2032" s="23" t="str">
        <f>VLOOKUP($C2032,Carpetas!$C$5:$M$2666,10,FALSE)</f>
        <v>1548931/1548933</v>
      </c>
      <c r="H2032" s="27" t="str">
        <f>VLOOKUP($C2032,Carpetas!$C$5:$M$2666,6,FALSE)</f>
        <v>Zanini</v>
      </c>
      <c r="I2032" s="27" t="str">
        <f>VLOOKUP($C2032,Carpetas!$C$5:$M$2666,3,FALSE)</f>
        <v>Etimex</v>
      </c>
      <c r="J2032" s="47">
        <f>E2032+6</f>
        <v>46061</v>
      </c>
      <c r="K2032" s="72" t="str">
        <f>VLOOKUP($C2032,Carpetas!$C$5:$M$2666,5,FALSE)</f>
        <v>Rio Branco</v>
      </c>
      <c r="L2032" s="32"/>
      <c r="M2032" s="48">
        <f t="shared" si="144"/>
        <v>46062</v>
      </c>
      <c r="N2032" s="26">
        <f t="shared" si="140"/>
        <v>7</v>
      </c>
      <c r="O2032" s="27">
        <v>1190</v>
      </c>
      <c r="P2032" s="27"/>
      <c r="Q2032" s="27">
        <v>20</v>
      </c>
      <c r="R2032" s="27"/>
      <c r="S2032" s="27"/>
      <c r="T2032" s="27"/>
      <c r="U2032" s="27"/>
      <c r="V2032" s="27"/>
      <c r="W2032" s="27"/>
      <c r="X2032" s="128"/>
      <c r="Y2032" s="73" t="e">
        <f>VLOOKUP(X2032,Choferes!$B$3:C480,2,FALSE)</f>
        <v>#N/A</v>
      </c>
      <c r="Z2032" s="73" t="s">
        <v>5529</v>
      </c>
    </row>
    <row r="2033" spans="1:26" hidden="1" x14ac:dyDescent="0.25">
      <c r="A2033" s="222">
        <v>6</v>
      </c>
      <c r="B2033" s="71" t="s">
        <v>29</v>
      </c>
      <c r="C2033" s="39" t="s">
        <v>5482</v>
      </c>
      <c r="D2033" s="106" t="s">
        <v>2202</v>
      </c>
      <c r="E2033" s="47">
        <v>46059</v>
      </c>
      <c r="F2033" s="31" t="str">
        <f>VLOOKUP($C2033,Carpetas!$C$5:$M$2666,2,FALSE)</f>
        <v>BRB012-26</v>
      </c>
      <c r="G2033" s="23">
        <f>VLOOKUP($C2033,Carpetas!$C$5:$M$2666,10,FALSE)</f>
        <v>1548910</v>
      </c>
      <c r="H2033" s="27" t="str">
        <f>VLOOKUP($C2033,Carpetas!$C$5:$M$2666,6,FALSE)</f>
        <v>AXT</v>
      </c>
      <c r="I2033" s="27" t="str">
        <f>VLOOKUP($C2033,Carpetas!$C$5:$M$2666,3,FALSE)</f>
        <v>A&amp;A</v>
      </c>
      <c r="J2033" s="47">
        <v>46062</v>
      </c>
      <c r="K2033" s="72" t="str">
        <f>VLOOKUP($C2033,Carpetas!$C$5:$M$2666,5,FALSE)</f>
        <v>Chuy</v>
      </c>
      <c r="L2033" s="32"/>
      <c r="M2033" s="48">
        <f t="shared" si="144"/>
        <v>46063</v>
      </c>
      <c r="N2033" s="26">
        <f t="shared" si="140"/>
        <v>4</v>
      </c>
      <c r="O2033" s="27">
        <v>936</v>
      </c>
      <c r="P2033" s="27">
        <v>937</v>
      </c>
      <c r="Q2033" s="27">
        <v>26</v>
      </c>
      <c r="R2033" s="27">
        <v>26</v>
      </c>
      <c r="S2033" s="27" t="s">
        <v>4396</v>
      </c>
      <c r="T2033" s="27"/>
      <c r="U2033" s="27"/>
      <c r="V2033" s="27" t="s">
        <v>5530</v>
      </c>
      <c r="W2033" s="27"/>
      <c r="X2033" s="128"/>
      <c r="Y2033" s="73" t="e">
        <f>VLOOKUP(X2033,Choferes!$B$3:C482,2,FALSE)</f>
        <v>#N/A</v>
      </c>
      <c r="Z2033" s="73" t="s">
        <v>5531</v>
      </c>
    </row>
    <row r="2034" spans="1:26" hidden="1" x14ac:dyDescent="0.25">
      <c r="A2034" s="222">
        <v>6</v>
      </c>
      <c r="B2034" s="71" t="s">
        <v>29</v>
      </c>
      <c r="C2034" s="39" t="s">
        <v>5523</v>
      </c>
      <c r="D2034" s="106" t="s">
        <v>953</v>
      </c>
      <c r="E2034" s="47">
        <v>46059</v>
      </c>
      <c r="F2034" s="31" t="str">
        <f>VLOOKUP($C2034,Carpetas!$C$5:$M$2666,2,FALSE)</f>
        <v>BRB015-26</v>
      </c>
      <c r="G2034" s="23">
        <f>VLOOKUP($C2034,Carpetas!$C$5:$M$2666,10,FALSE)</f>
        <v>154.95500000000001</v>
      </c>
      <c r="H2034" s="27" t="str">
        <f>VLOOKUP($C2034,Carpetas!$C$5:$M$2666,6,FALSE)</f>
        <v>FG</v>
      </c>
      <c r="I2034" s="27" t="str">
        <f>VLOOKUP($C2034,Carpetas!$C$5:$M$2666,3,FALSE)</f>
        <v>Etimex</v>
      </c>
      <c r="J2034" s="47">
        <v>46062</v>
      </c>
      <c r="K2034" s="72" t="str">
        <f>VLOOKUP($C2034,Carpetas!$C$5:$M$2666,5,FALSE)</f>
        <v>Rio Branco</v>
      </c>
      <c r="L2034" s="32"/>
      <c r="M2034" s="48">
        <f t="shared" si="144"/>
        <v>46063</v>
      </c>
      <c r="N2034" s="26">
        <f t="shared" si="140"/>
        <v>4</v>
      </c>
      <c r="O2034" s="27">
        <v>1008</v>
      </c>
      <c r="P2034" s="27">
        <v>1008</v>
      </c>
      <c r="Q2034" s="27">
        <v>28</v>
      </c>
      <c r="R2034" s="27">
        <v>26</v>
      </c>
      <c r="S2034" s="27" t="s">
        <v>1104</v>
      </c>
      <c r="T2034" s="27"/>
      <c r="U2034" s="27"/>
      <c r="V2034" s="27"/>
      <c r="W2034" s="27"/>
      <c r="X2034" s="128"/>
      <c r="Y2034" s="73" t="e">
        <f>VLOOKUP(X2034,Choferes!$B$3:C482,2,FALSE)</f>
        <v>#N/A</v>
      </c>
      <c r="Z2034" s="73" t="s">
        <v>5532</v>
      </c>
    </row>
    <row r="2035" spans="1:26" hidden="1" x14ac:dyDescent="0.25">
      <c r="A2035" s="222">
        <v>6</v>
      </c>
      <c r="B2035" s="71" t="s">
        <v>29</v>
      </c>
      <c r="C2035" s="39" t="s">
        <v>5533</v>
      </c>
      <c r="D2035" s="106" t="s">
        <v>2202</v>
      </c>
      <c r="E2035" s="47">
        <v>46060</v>
      </c>
      <c r="F2035" s="31" t="str">
        <f>VLOOKUP($C2035,Carpetas!$C$5:$M$2666,2,FALSE)</f>
        <v>BRB016-26</v>
      </c>
      <c r="G2035" s="23" t="str">
        <f>VLOOKUP($C2035,Carpetas!$C$5:$M$2666,10,FALSE)</f>
        <v>154,98,98</v>
      </c>
      <c r="H2035" s="27" t="str">
        <f>VLOOKUP($C2035,Carpetas!$C$5:$M$2666,6,FALSE)</f>
        <v>AXT</v>
      </c>
      <c r="I2035" s="27" t="str">
        <f>VLOOKUP($C2035,Carpetas!$C$5:$M$2666,3,FALSE)</f>
        <v>A&amp;A</v>
      </c>
      <c r="J2035" s="47">
        <f>E2035+2</f>
        <v>46062</v>
      </c>
      <c r="K2035" s="72" t="str">
        <f>VLOOKUP($C2035,Carpetas!$C$5:$M$2666,5,FALSE)</f>
        <v>Chuy</v>
      </c>
      <c r="L2035" s="32"/>
      <c r="M2035" s="48">
        <f t="shared" si="144"/>
        <v>46063</v>
      </c>
      <c r="N2035" s="26">
        <f t="shared" si="140"/>
        <v>3</v>
      </c>
      <c r="O2035" s="27">
        <v>936</v>
      </c>
      <c r="P2035" s="27">
        <v>937</v>
      </c>
      <c r="Q2035" s="27">
        <v>26</v>
      </c>
      <c r="R2035" s="27">
        <v>25</v>
      </c>
      <c r="S2035" s="27" t="s">
        <v>4367</v>
      </c>
      <c r="T2035" s="27"/>
      <c r="U2035" s="27"/>
      <c r="V2035" s="27" t="s">
        <v>5534</v>
      </c>
      <c r="W2035" s="27" t="s">
        <v>5466</v>
      </c>
      <c r="X2035" s="128"/>
      <c r="Y2035" s="73" t="e">
        <f>VLOOKUP(X2035,Choferes!$B$3:C478,2,FALSE)</f>
        <v>#N/A</v>
      </c>
      <c r="Z2035" s="73" t="s">
        <v>5535</v>
      </c>
    </row>
    <row r="2036" spans="1:26" hidden="1" x14ac:dyDescent="0.25">
      <c r="A2036" s="222">
        <v>6</v>
      </c>
      <c r="B2036" s="71" t="s">
        <v>29</v>
      </c>
      <c r="C2036" s="39" t="s">
        <v>5440</v>
      </c>
      <c r="D2036" s="106" t="s">
        <v>2474</v>
      </c>
      <c r="E2036" s="47">
        <v>46060</v>
      </c>
      <c r="F2036" s="31" t="str">
        <f>VLOOKUP($C2036,Carpetas!$C$5:$M$2666,2,FALSE)</f>
        <v>BRB009-26</v>
      </c>
      <c r="G2036" s="23">
        <f>VLOOKUP($C2036,Carpetas!$C$5:$M$2666,10,FALSE)</f>
        <v>1547732</v>
      </c>
      <c r="H2036" s="27" t="str">
        <f>VLOOKUP($C2036,Carpetas!$C$5:$M$2666,6,FALSE)</f>
        <v>Amaro</v>
      </c>
      <c r="I2036" s="27" t="str">
        <f>VLOOKUP($C2036,Carpetas!$C$5:$M$2666,3,FALSE)</f>
        <v>Etimex</v>
      </c>
      <c r="J2036" s="47">
        <f>E2036+2</f>
        <v>46062</v>
      </c>
      <c r="K2036" s="72" t="str">
        <f>VLOOKUP($C2036,Carpetas!$C$5:$M$2666,5,FALSE)</f>
        <v>Rio Branco</v>
      </c>
      <c r="L2036" s="32"/>
      <c r="M2036" s="48">
        <f t="shared" si="144"/>
        <v>46063</v>
      </c>
      <c r="N2036" s="26">
        <f t="shared" si="140"/>
        <v>3</v>
      </c>
      <c r="O2036" s="27">
        <v>1008</v>
      </c>
      <c r="P2036" s="27">
        <v>1008</v>
      </c>
      <c r="Q2036" s="27">
        <v>28</v>
      </c>
      <c r="R2036" s="27">
        <v>26</v>
      </c>
      <c r="S2036" s="27" t="s">
        <v>3651</v>
      </c>
      <c r="T2036" s="27"/>
      <c r="U2036" s="27"/>
      <c r="V2036" s="27"/>
      <c r="W2036" s="27"/>
      <c r="X2036" s="128"/>
      <c r="Y2036" s="73" t="e">
        <f>VLOOKUP(X2036,Choferes!$B$3:C473,2,FALSE)</f>
        <v>#N/A</v>
      </c>
      <c r="Z2036" s="73" t="s">
        <v>5532</v>
      </c>
    </row>
    <row r="2037" spans="1:26" ht="30" hidden="1" x14ac:dyDescent="0.25">
      <c r="A2037" s="222">
        <v>6</v>
      </c>
      <c r="B2037" s="71" t="s">
        <v>29</v>
      </c>
      <c r="C2037" s="39" t="s">
        <v>5536</v>
      </c>
      <c r="D2037" s="106" t="s">
        <v>121</v>
      </c>
      <c r="E2037" s="47">
        <v>46060</v>
      </c>
      <c r="F2037" s="31" t="str">
        <f>VLOOKUP($C2037,Carpetas!$C$5:$M$2666,2,FALSE)</f>
        <v>PYB010/26</v>
      </c>
      <c r="G2037" s="23">
        <f>VLOOKUP($C2037,Carpetas!$C$5:$M$2666,10,FALSE)</f>
        <v>0</v>
      </c>
      <c r="H2037" s="27" t="str">
        <f>VLOOKUP($C2037,Carpetas!$C$5:$M$2666,6,FALSE)</f>
        <v>Surcentral</v>
      </c>
      <c r="I2037" s="27" t="str">
        <f>VLOOKUP($C2037,Carpetas!$C$5:$M$2666,3,FALSE)</f>
        <v>Diego Fernandez</v>
      </c>
      <c r="J2037" s="47">
        <v>46063</v>
      </c>
      <c r="K2037" s="72" t="str">
        <f>VLOOKUP($C2037,Carpetas!$C$5:$M$2666,5,FALSE)</f>
        <v>Salto</v>
      </c>
      <c r="L2037" s="32"/>
      <c r="M2037" s="48">
        <f t="shared" si="144"/>
        <v>46064</v>
      </c>
      <c r="N2037" s="26">
        <f t="shared" si="140"/>
        <v>4</v>
      </c>
      <c r="O2037" s="27">
        <f>894+169</f>
        <v>1063</v>
      </c>
      <c r="P2037" s="27">
        <v>1063</v>
      </c>
      <c r="Q2037" s="27">
        <v>26</v>
      </c>
      <c r="R2037" s="27">
        <v>27</v>
      </c>
      <c r="S2037" s="27" t="s">
        <v>211</v>
      </c>
      <c r="T2037" s="27"/>
      <c r="U2037" s="27"/>
      <c r="V2037" s="27"/>
      <c r="W2037" s="27"/>
      <c r="X2037" s="128"/>
      <c r="Y2037" s="73" t="e">
        <f>VLOOKUP(X2037,Choferes!$B$3:C477,2,FALSE)</f>
        <v>#N/A</v>
      </c>
      <c r="Z2037" s="73" t="s">
        <v>5537</v>
      </c>
    </row>
    <row r="2038" spans="1:26" hidden="1" x14ac:dyDescent="0.25">
      <c r="A2038" s="222">
        <v>6</v>
      </c>
      <c r="B2038" s="71" t="s">
        <v>29</v>
      </c>
      <c r="C2038" s="39" t="s">
        <v>5523</v>
      </c>
      <c r="D2038" s="106" t="s">
        <v>953</v>
      </c>
      <c r="E2038" s="47">
        <v>46062</v>
      </c>
      <c r="F2038" s="31" t="str">
        <f>VLOOKUP($C2038,Carpetas!$C$5:$M$2666,2,FALSE)</f>
        <v>BRB015-26</v>
      </c>
      <c r="G2038" s="23">
        <f>VLOOKUP($C2038,Carpetas!$C$5:$M$2666,10,FALSE)</f>
        <v>154.95500000000001</v>
      </c>
      <c r="H2038" s="27" t="str">
        <f>VLOOKUP($C2038,Carpetas!$C$5:$M$2666,6,FALSE)</f>
        <v>FG</v>
      </c>
      <c r="I2038" s="27" t="str">
        <f>VLOOKUP($C2038,Carpetas!$C$5:$M$2666,3,FALSE)</f>
        <v>Etimex</v>
      </c>
      <c r="J2038" s="47">
        <f>E2038+2</f>
        <v>46064</v>
      </c>
      <c r="K2038" s="72" t="str">
        <f>VLOOKUP($C2038,Carpetas!$C$5:$M$2666,5,FALSE)</f>
        <v>Rio Branco</v>
      </c>
      <c r="L2038" s="32"/>
      <c r="M2038" s="48">
        <f t="shared" si="144"/>
        <v>46065</v>
      </c>
      <c r="N2038" s="26">
        <f t="shared" si="140"/>
        <v>3</v>
      </c>
      <c r="O2038" s="27">
        <v>1008</v>
      </c>
      <c r="P2038" s="27">
        <v>1008</v>
      </c>
      <c r="Q2038" s="27">
        <v>28</v>
      </c>
      <c r="R2038" s="27">
        <v>26</v>
      </c>
      <c r="S2038" s="27" t="s">
        <v>1159</v>
      </c>
      <c r="T2038" s="27"/>
      <c r="U2038" s="27">
        <v>1376</v>
      </c>
      <c r="V2038" s="27" t="s">
        <v>1430</v>
      </c>
      <c r="W2038" s="27" t="s">
        <v>5449</v>
      </c>
      <c r="X2038" s="128" t="s">
        <v>1923</v>
      </c>
      <c r="Y2038" s="73" t="str">
        <f>VLOOKUP(X2038,Choferes!$B$3:C483,2,FALSE)</f>
        <v>+5553999049426</v>
      </c>
      <c r="Z2038" s="73" t="s">
        <v>5538</v>
      </c>
    </row>
    <row r="2039" spans="1:26" hidden="1" x14ac:dyDescent="0.25">
      <c r="A2039" s="222">
        <v>7</v>
      </c>
      <c r="B2039" s="71" t="s">
        <v>29</v>
      </c>
      <c r="C2039" s="39" t="s">
        <v>5539</v>
      </c>
      <c r="D2039" s="106" t="s">
        <v>121</v>
      </c>
      <c r="E2039" s="47">
        <v>46062</v>
      </c>
      <c r="F2039" s="31" t="str">
        <f>VLOOKUP($C2039,Carpetas!$C$5:$M$2666,2,FALSE)</f>
        <v>PYB013/26</v>
      </c>
      <c r="G2039" s="23">
        <f>VLOOKUP($C2039,Carpetas!$C$5:$M$2666,10,FALSE)</f>
        <v>1549911</v>
      </c>
      <c r="H2039" s="27" t="str">
        <f>VLOOKUP($C2039,Carpetas!$C$5:$M$2666,6,FALSE)</f>
        <v>Compass</v>
      </c>
      <c r="I2039" s="27" t="str">
        <f>VLOOKUP($C2039,Carpetas!$C$5:$M$2666,3,FALSE)</f>
        <v>Diego Fernandez</v>
      </c>
      <c r="J2039" s="47">
        <v>46064</v>
      </c>
      <c r="K2039" s="72" t="str">
        <f>VLOOKUP($C2039,Carpetas!$C$5:$M$2666,5,FALSE)</f>
        <v>Salto</v>
      </c>
      <c r="L2039" s="32"/>
      <c r="M2039" s="48">
        <f t="shared" si="144"/>
        <v>46065</v>
      </c>
      <c r="N2039" s="26">
        <f t="shared" si="140"/>
        <v>3</v>
      </c>
      <c r="O2039" s="27">
        <v>980</v>
      </c>
      <c r="P2039" s="27">
        <v>983</v>
      </c>
      <c r="Q2039" s="27">
        <v>28</v>
      </c>
      <c r="R2039" s="27">
        <v>26</v>
      </c>
      <c r="S2039" s="27" t="s">
        <v>5540</v>
      </c>
      <c r="T2039" s="27"/>
      <c r="U2039" s="27"/>
      <c r="V2039" s="27"/>
      <c r="W2039" s="27"/>
      <c r="X2039" s="128"/>
      <c r="Y2039" s="73" t="e">
        <f>VLOOKUP(X2039,Choferes!$B$3:C477,2,FALSE)</f>
        <v>#N/A</v>
      </c>
      <c r="Z2039" s="73" t="s">
        <v>5541</v>
      </c>
    </row>
    <row r="2040" spans="1:26" hidden="1" x14ac:dyDescent="0.25">
      <c r="A2040" s="222">
        <v>7</v>
      </c>
      <c r="B2040" s="71" t="s">
        <v>29</v>
      </c>
      <c r="C2040" s="39" t="s">
        <v>5523</v>
      </c>
      <c r="D2040" s="224" t="s">
        <v>5542</v>
      </c>
      <c r="E2040" s="47">
        <v>46063</v>
      </c>
      <c r="F2040" s="31" t="str">
        <f>VLOOKUP($C2040,Carpetas!$C$5:$M$2666,2,FALSE)</f>
        <v>BRB015-26</v>
      </c>
      <c r="G2040" s="23">
        <f>VLOOKUP($C2040,Carpetas!$C$5:$M$2666,10,FALSE)</f>
        <v>154.95500000000001</v>
      </c>
      <c r="H2040" s="27" t="str">
        <f>VLOOKUP($C2040,Carpetas!$C$5:$M$2666,6,FALSE)</f>
        <v>FG</v>
      </c>
      <c r="I2040" s="27" t="str">
        <f>VLOOKUP($C2040,Carpetas!$C$5:$M$2666,3,FALSE)</f>
        <v>Etimex</v>
      </c>
      <c r="J2040" s="47">
        <v>46064</v>
      </c>
      <c r="K2040" s="72" t="str">
        <f>VLOOKUP($C2040,Carpetas!$C$5:$M$2666,5,FALSE)</f>
        <v>Rio Branco</v>
      </c>
      <c r="L2040" s="32"/>
      <c r="M2040" s="48">
        <f t="shared" si="144"/>
        <v>46065</v>
      </c>
      <c r="N2040" s="26">
        <f t="shared" si="140"/>
        <v>2</v>
      </c>
      <c r="O2040" s="27">
        <v>1008</v>
      </c>
      <c r="P2040" s="27">
        <v>1008</v>
      </c>
      <c r="Q2040" s="27">
        <v>28</v>
      </c>
      <c r="R2040" s="27">
        <v>26</v>
      </c>
      <c r="S2040" s="167" t="s">
        <v>5543</v>
      </c>
      <c r="T2040" s="27"/>
      <c r="U2040" s="27">
        <v>1377</v>
      </c>
      <c r="V2040" s="27" t="s">
        <v>5544</v>
      </c>
      <c r="W2040" s="27" t="s">
        <v>2340</v>
      </c>
      <c r="X2040" s="128" t="s">
        <v>1534</v>
      </c>
      <c r="Y2040" s="73" t="str">
        <f>VLOOKUP(X2040,Choferes!$B$3:C476,2,FALSE)</f>
        <v>+5553999520871</v>
      </c>
      <c r="Z2040" s="226" t="s">
        <v>5545</v>
      </c>
    </row>
    <row r="2041" spans="1:26" hidden="1" x14ac:dyDescent="0.25">
      <c r="A2041" s="222">
        <v>7</v>
      </c>
      <c r="B2041" s="71" t="s">
        <v>29</v>
      </c>
      <c r="C2041" s="39" t="s">
        <v>5523</v>
      </c>
      <c r="D2041" s="106" t="s">
        <v>747</v>
      </c>
      <c r="E2041" s="47">
        <v>46063</v>
      </c>
      <c r="F2041" s="31" t="str">
        <f>VLOOKUP($C2041,Carpetas!$C$5:$M$2666,2,FALSE)</f>
        <v>BRB015-26</v>
      </c>
      <c r="G2041" s="23">
        <f>VLOOKUP($C2041,Carpetas!$C$5:$M$2666,10,FALSE)</f>
        <v>154.95500000000001</v>
      </c>
      <c r="H2041" s="27" t="str">
        <f>VLOOKUP($C2041,Carpetas!$C$5:$M$2666,6,FALSE)</f>
        <v>FG</v>
      </c>
      <c r="I2041" s="27" t="str">
        <f>VLOOKUP($C2041,Carpetas!$C$5:$M$2666,3,FALSE)</f>
        <v>Etimex</v>
      </c>
      <c r="J2041" s="47">
        <v>46064</v>
      </c>
      <c r="K2041" s="72" t="str">
        <f>VLOOKUP($C2041,Carpetas!$C$5:$M$2666,5,FALSE)</f>
        <v>Rio Branco</v>
      </c>
      <c r="L2041" s="32"/>
      <c r="M2041" s="48">
        <f t="shared" si="144"/>
        <v>46065</v>
      </c>
      <c r="N2041" s="26">
        <f t="shared" si="140"/>
        <v>2</v>
      </c>
      <c r="O2041" s="27">
        <v>1008</v>
      </c>
      <c r="P2041" s="27">
        <v>1009</v>
      </c>
      <c r="Q2041" s="27">
        <v>28</v>
      </c>
      <c r="R2041" s="27">
        <v>26</v>
      </c>
      <c r="S2041" s="27" t="s">
        <v>1348</v>
      </c>
      <c r="T2041" s="27"/>
      <c r="U2041" s="27">
        <v>1373</v>
      </c>
      <c r="V2041" s="27" t="s">
        <v>3669</v>
      </c>
      <c r="W2041" s="27" t="s">
        <v>1627</v>
      </c>
      <c r="X2041" s="128" t="s">
        <v>2336</v>
      </c>
      <c r="Y2041" s="73" t="str">
        <f>VLOOKUP(X2041,Choferes!$B$3:C477,2,FALSE)</f>
        <v>+5553984414060</v>
      </c>
      <c r="Z2041" s="73" t="s">
        <v>5546</v>
      </c>
    </row>
    <row r="2042" spans="1:26" hidden="1" x14ac:dyDescent="0.25">
      <c r="A2042" s="222">
        <v>7</v>
      </c>
      <c r="B2042" s="71" t="s">
        <v>29</v>
      </c>
      <c r="C2042" s="39" t="s">
        <v>5523</v>
      </c>
      <c r="D2042" s="106" t="s">
        <v>803</v>
      </c>
      <c r="E2042" s="47">
        <v>46063</v>
      </c>
      <c r="F2042" s="31" t="str">
        <f>VLOOKUP($C2042,Carpetas!$C$5:$M$2666,2,FALSE)</f>
        <v>BRB015-26</v>
      </c>
      <c r="G2042" s="23">
        <f>VLOOKUP($C2042,Carpetas!$C$5:$M$2666,10,FALSE)</f>
        <v>154.95500000000001</v>
      </c>
      <c r="H2042" s="27" t="str">
        <f>VLOOKUP($C2042,Carpetas!$C$5:$M$2666,6,FALSE)</f>
        <v>FG</v>
      </c>
      <c r="I2042" s="27" t="str">
        <f>VLOOKUP($C2042,Carpetas!$C$5:$M$2666,3,FALSE)</f>
        <v>Etimex</v>
      </c>
      <c r="J2042" s="47">
        <v>46064</v>
      </c>
      <c r="K2042" s="72" t="str">
        <f>VLOOKUP($C2042,Carpetas!$C$5:$M$2666,5,FALSE)</f>
        <v>Rio Branco</v>
      </c>
      <c r="L2042" s="32"/>
      <c r="M2042" s="48">
        <f t="shared" si="144"/>
        <v>46065</v>
      </c>
      <c r="N2042" s="26">
        <f t="shared" si="140"/>
        <v>2</v>
      </c>
      <c r="O2042" s="27">
        <v>1008</v>
      </c>
      <c r="P2042" s="27">
        <v>1008</v>
      </c>
      <c r="Q2042" s="27">
        <v>28</v>
      </c>
      <c r="R2042" s="27">
        <v>26</v>
      </c>
      <c r="S2042" s="27" t="s">
        <v>975</v>
      </c>
      <c r="T2042" s="27"/>
      <c r="U2042" s="27">
        <v>1379</v>
      </c>
      <c r="V2042" s="27" t="s">
        <v>1657</v>
      </c>
      <c r="W2042" s="27" t="s">
        <v>1815</v>
      </c>
      <c r="X2042" s="128" t="s">
        <v>3950</v>
      </c>
      <c r="Y2042" s="73" t="str">
        <f>VLOOKUP(X2042,Choferes!$B$3:C478,2,FALSE)</f>
        <v>+55 53 8478-6279</v>
      </c>
      <c r="Z2042" s="73" t="s">
        <v>5538</v>
      </c>
    </row>
    <row r="2043" spans="1:26" hidden="1" x14ac:dyDescent="0.25">
      <c r="A2043" s="222">
        <v>7</v>
      </c>
      <c r="B2043" s="71" t="s">
        <v>29</v>
      </c>
      <c r="C2043" s="39" t="s">
        <v>5547</v>
      </c>
      <c r="D2043" s="106" t="s">
        <v>183</v>
      </c>
      <c r="E2043" s="47">
        <v>46062</v>
      </c>
      <c r="F2043" s="31" t="str">
        <f>VLOOKUP($C2043,Carpetas!$C$5:$M$2666,2,FALSE)</f>
        <v>PYB012/26</v>
      </c>
      <c r="G2043" s="23">
        <f>VLOOKUP($C2043,Carpetas!$C$5:$M$2666,10,FALSE)</f>
        <v>1549966</v>
      </c>
      <c r="H2043" s="27" t="str">
        <f>VLOOKUP($C2043,Carpetas!$C$5:$M$2666,6,FALSE)</f>
        <v>Mega</v>
      </c>
      <c r="I2043" s="27" t="str">
        <f>VLOOKUP($C2043,Carpetas!$C$5:$M$2666,3,FALSE)</f>
        <v>Hugo Franco</v>
      </c>
      <c r="J2043" s="47">
        <v>46064</v>
      </c>
      <c r="K2043" s="72" t="str">
        <f>VLOOKUP($C2043,Carpetas!$C$5:$M$2666,5,FALSE)</f>
        <v>Salto</v>
      </c>
      <c r="L2043" s="32"/>
      <c r="M2043" s="48">
        <f>J2043+1+1</f>
        <v>46066</v>
      </c>
      <c r="N2043" s="26">
        <f t="shared" si="140"/>
        <v>4</v>
      </c>
      <c r="O2043" s="27">
        <v>980</v>
      </c>
      <c r="P2043" s="27">
        <v>980</v>
      </c>
      <c r="Q2043" s="27">
        <v>28</v>
      </c>
      <c r="R2043" s="27">
        <v>26</v>
      </c>
      <c r="S2043" s="27" t="s">
        <v>621</v>
      </c>
      <c r="T2043" s="27"/>
      <c r="U2043" s="27"/>
      <c r="V2043" s="27"/>
      <c r="W2043" s="27"/>
      <c r="X2043" s="128"/>
      <c r="Y2043" s="73" t="e">
        <f>VLOOKUP(X2043,Choferes!$B$3:C472,2,FALSE)</f>
        <v>#N/A</v>
      </c>
      <c r="Z2043" s="73" t="s">
        <v>5548</v>
      </c>
    </row>
    <row r="2044" spans="1:26" hidden="1" x14ac:dyDescent="0.25">
      <c r="A2044" s="222">
        <v>7</v>
      </c>
      <c r="B2044" s="71" t="s">
        <v>29</v>
      </c>
      <c r="C2044" s="39" t="s">
        <v>5496</v>
      </c>
      <c r="D2044" s="106" t="s">
        <v>2202</v>
      </c>
      <c r="E2044" s="47">
        <v>46062</v>
      </c>
      <c r="F2044" s="31" t="str">
        <f>VLOOKUP($C2044,Carpetas!$C$5:$M$2666,2,FALSE)</f>
        <v>BRB014-26</v>
      </c>
      <c r="G2044" s="23">
        <f>VLOOKUP($C2044,Carpetas!$C$5:$M$2666,10,FALSE)</f>
        <v>1549009</v>
      </c>
      <c r="H2044" s="27" t="str">
        <f>VLOOKUP($C2044,Carpetas!$C$5:$M$2666,6,FALSE)</f>
        <v>OCH</v>
      </c>
      <c r="I2044" s="27" t="str">
        <f>VLOOKUP($C2044,Carpetas!$C$5:$M$2666,3,FALSE)</f>
        <v>Etimex</v>
      </c>
      <c r="J2044" s="47">
        <v>46065</v>
      </c>
      <c r="K2044" s="72" t="str">
        <f>VLOOKUP($C2044,Carpetas!$C$5:$M$2666,5,FALSE)</f>
        <v>Rio Branco</v>
      </c>
      <c r="L2044" s="32"/>
      <c r="M2044" s="48">
        <f t="shared" ref="M2044:M2050" si="145">J2044+1</f>
        <v>46066</v>
      </c>
      <c r="N2044" s="26">
        <f t="shared" si="140"/>
        <v>4</v>
      </c>
      <c r="O2044" s="27">
        <v>1008</v>
      </c>
      <c r="P2044" s="27">
        <v>1008</v>
      </c>
      <c r="Q2044" s="27">
        <v>28</v>
      </c>
      <c r="R2044" s="27">
        <v>26</v>
      </c>
      <c r="S2044" s="27" t="s">
        <v>4402</v>
      </c>
      <c r="T2044" s="27"/>
      <c r="U2044" s="27">
        <v>2502</v>
      </c>
      <c r="V2044" s="27" t="s">
        <v>4276</v>
      </c>
      <c r="W2044" s="27" t="s">
        <v>4135</v>
      </c>
      <c r="X2044" s="128"/>
      <c r="Y2044" s="73" t="e">
        <f>VLOOKUP(X2044,Choferes!$B$3:C474,2,FALSE)</f>
        <v>#N/A</v>
      </c>
      <c r="Z2044" s="73" t="s">
        <v>5549</v>
      </c>
    </row>
    <row r="2045" spans="1:26" hidden="1" x14ac:dyDescent="0.25">
      <c r="A2045" s="222">
        <v>7</v>
      </c>
      <c r="B2045" s="71" t="s">
        <v>29</v>
      </c>
      <c r="C2045" s="39" t="s">
        <v>5496</v>
      </c>
      <c r="D2045" s="106" t="s">
        <v>2202</v>
      </c>
      <c r="E2045" s="47">
        <v>46063</v>
      </c>
      <c r="F2045" s="31" t="str">
        <f>VLOOKUP($C2045,Carpetas!$C$5:$M$2666,2,FALSE)</f>
        <v>BRB014-26</v>
      </c>
      <c r="G2045" s="23">
        <f>VLOOKUP($C2045,Carpetas!$C$5:$M$2666,10,FALSE)</f>
        <v>1549009</v>
      </c>
      <c r="H2045" s="27" t="str">
        <f>VLOOKUP($C2045,Carpetas!$C$5:$M$2666,6,FALSE)</f>
        <v>OCH</v>
      </c>
      <c r="I2045" s="27" t="str">
        <f>VLOOKUP($C2045,Carpetas!$C$5:$M$2666,3,FALSE)</f>
        <v>Etimex</v>
      </c>
      <c r="J2045" s="47">
        <f>E2045+2</f>
        <v>46065</v>
      </c>
      <c r="K2045" s="72" t="str">
        <f>VLOOKUP($C2045,Carpetas!$C$5:$M$2666,5,FALSE)</f>
        <v>Rio Branco</v>
      </c>
      <c r="L2045" s="32"/>
      <c r="M2045" s="48">
        <f t="shared" si="145"/>
        <v>46066</v>
      </c>
      <c r="N2045" s="26">
        <f t="shared" si="140"/>
        <v>3</v>
      </c>
      <c r="O2045" s="27">
        <v>1008</v>
      </c>
      <c r="P2045" s="27">
        <v>1008</v>
      </c>
      <c r="Q2045" s="27">
        <v>28</v>
      </c>
      <c r="R2045" s="27">
        <v>26</v>
      </c>
      <c r="S2045" s="27" t="s">
        <v>731</v>
      </c>
      <c r="T2045" s="27"/>
      <c r="U2045" s="27">
        <v>2503</v>
      </c>
      <c r="V2045" s="27" t="s">
        <v>4129</v>
      </c>
      <c r="W2045" s="27" t="s">
        <v>5268</v>
      </c>
      <c r="X2045" s="128"/>
      <c r="Y2045" s="73" t="e">
        <f>VLOOKUP(X2045,Choferes!$B$3:C475,2,FALSE)</f>
        <v>#N/A</v>
      </c>
      <c r="Z2045" s="73" t="s">
        <v>5549</v>
      </c>
    </row>
    <row r="2046" spans="1:26" hidden="1" x14ac:dyDescent="0.25">
      <c r="A2046" s="222">
        <v>7</v>
      </c>
      <c r="B2046" s="71" t="s">
        <v>29</v>
      </c>
      <c r="C2046" s="39" t="s">
        <v>5550</v>
      </c>
      <c r="D2046" s="106" t="s">
        <v>42</v>
      </c>
      <c r="E2046" s="47">
        <v>46062</v>
      </c>
      <c r="F2046" s="31" t="str">
        <f>VLOOKUP($C2046,Carpetas!$C$5:$M$2666,2,FALSE)</f>
        <v>PYB011/26</v>
      </c>
      <c r="G2046" s="23">
        <f>VLOOKUP($C2046,Carpetas!$C$5:$M$2666,10,FALSE)</f>
        <v>1549897</v>
      </c>
      <c r="H2046" s="27" t="str">
        <f>VLOOKUP($C2046,Carpetas!$C$5:$M$2666,6,FALSE)</f>
        <v>Surcentral</v>
      </c>
      <c r="I2046" s="27" t="str">
        <f>VLOOKUP($C2046,Carpetas!$C$5:$M$2666,3,FALSE)</f>
        <v>Servi Fel</v>
      </c>
      <c r="J2046" s="47">
        <v>46065</v>
      </c>
      <c r="K2046" s="72" t="str">
        <f>VLOOKUP($C2046,Carpetas!$C$5:$M$2666,5,FALSE)</f>
        <v>Salto</v>
      </c>
      <c r="L2046" s="32"/>
      <c r="M2046" s="48">
        <f t="shared" si="145"/>
        <v>46066</v>
      </c>
      <c r="N2046" s="26">
        <f t="shared" si="140"/>
        <v>4</v>
      </c>
      <c r="O2046" s="27">
        <v>980</v>
      </c>
      <c r="P2046" s="27">
        <v>979</v>
      </c>
      <c r="Q2046" s="27">
        <v>28</v>
      </c>
      <c r="R2046" s="27">
        <v>26</v>
      </c>
      <c r="S2046" s="27" t="s">
        <v>127</v>
      </c>
      <c r="T2046" s="27"/>
      <c r="U2046" s="27"/>
      <c r="V2046" s="27"/>
      <c r="W2046" s="27"/>
      <c r="X2046" s="128"/>
      <c r="Y2046" s="73" t="e">
        <f>VLOOKUP(X2046,Choferes!$B$3:C475,2,FALSE)</f>
        <v>#N/A</v>
      </c>
      <c r="Z2046" s="73" t="s">
        <v>5551</v>
      </c>
    </row>
    <row r="2047" spans="1:26" hidden="1" x14ac:dyDescent="0.25">
      <c r="A2047" s="222">
        <v>7</v>
      </c>
      <c r="B2047" s="71" t="s">
        <v>29</v>
      </c>
      <c r="C2047" s="39" t="s">
        <v>5539</v>
      </c>
      <c r="D2047" s="106" t="s">
        <v>121</v>
      </c>
      <c r="E2047" s="47">
        <v>46062</v>
      </c>
      <c r="F2047" s="31" t="str">
        <f>VLOOKUP($C2047,Carpetas!$C$5:$M$2666,2,FALSE)</f>
        <v>PYB013/26</v>
      </c>
      <c r="G2047" s="23">
        <f>VLOOKUP($C2047,Carpetas!$C$5:$M$2666,10,FALSE)</f>
        <v>1549911</v>
      </c>
      <c r="H2047" s="27" t="str">
        <f>VLOOKUP($C2047,Carpetas!$C$5:$M$2666,6,FALSE)</f>
        <v>Compass</v>
      </c>
      <c r="I2047" s="27" t="str">
        <f>VLOOKUP($C2047,Carpetas!$C$5:$M$2666,3,FALSE)</f>
        <v>Diego Fernandez</v>
      </c>
      <c r="J2047" s="47">
        <v>46065</v>
      </c>
      <c r="K2047" s="72" t="str">
        <f>VLOOKUP($C2047,Carpetas!$C$5:$M$2666,5,FALSE)</f>
        <v>Salto</v>
      </c>
      <c r="L2047" s="32"/>
      <c r="M2047" s="48">
        <f t="shared" si="145"/>
        <v>46066</v>
      </c>
      <c r="N2047" s="26">
        <f t="shared" si="140"/>
        <v>4</v>
      </c>
      <c r="O2047" s="27">
        <v>980</v>
      </c>
      <c r="P2047" s="27">
        <v>981</v>
      </c>
      <c r="Q2047" s="27">
        <v>28</v>
      </c>
      <c r="R2047" s="27">
        <v>27</v>
      </c>
      <c r="S2047" s="27" t="s">
        <v>309</v>
      </c>
      <c r="T2047" s="27"/>
      <c r="U2047" s="27"/>
      <c r="V2047" s="27"/>
      <c r="W2047" s="27"/>
      <c r="X2047" s="128"/>
      <c r="Y2047" s="73" t="e">
        <f>VLOOKUP(X2047,Choferes!$B$3:C478,2,FALSE)</f>
        <v>#N/A</v>
      </c>
      <c r="Z2047" s="73" t="s">
        <v>5552</v>
      </c>
    </row>
    <row r="2048" spans="1:26" hidden="1" x14ac:dyDescent="0.25">
      <c r="A2048" s="222">
        <v>7</v>
      </c>
      <c r="B2048" s="71" t="s">
        <v>29</v>
      </c>
      <c r="C2048" s="39" t="s">
        <v>5553</v>
      </c>
      <c r="D2048" s="106" t="s">
        <v>249</v>
      </c>
      <c r="E2048" s="47">
        <v>46064</v>
      </c>
      <c r="F2048" s="31" t="str">
        <f>VLOOKUP($C2048,Carpetas!$C$5:$M$2666,2,FALSE)</f>
        <v>BRB017-26</v>
      </c>
      <c r="G2048" s="23" t="str">
        <f>VLOOKUP($C2048,Carpetas!$C$5:$M$2666,10,FALSE)</f>
        <v>155,01,06</v>
      </c>
      <c r="H2048" s="27" t="str">
        <f>VLOOKUP($C2048,Carpetas!$C$5:$M$2666,6,FALSE)</f>
        <v>FG</v>
      </c>
      <c r="I2048" s="27" t="str">
        <f>VLOOKUP($C2048,Carpetas!$C$5:$M$2666,3,FALSE)</f>
        <v>Etimex</v>
      </c>
      <c r="J2048" s="47">
        <v>46065</v>
      </c>
      <c r="K2048" s="72" t="str">
        <f>VLOOKUP($C2048,Carpetas!$C$5:$M$2666,5,FALSE)</f>
        <v>Rio Branco</v>
      </c>
      <c r="L2048" s="32"/>
      <c r="M2048" s="48">
        <f t="shared" si="145"/>
        <v>46066</v>
      </c>
      <c r="N2048" s="26">
        <f t="shared" si="140"/>
        <v>2</v>
      </c>
      <c r="O2048" s="27">
        <v>1008</v>
      </c>
      <c r="P2048" s="27">
        <v>1008</v>
      </c>
      <c r="Q2048" s="27">
        <v>28</v>
      </c>
      <c r="R2048" s="27">
        <v>26</v>
      </c>
      <c r="S2048" s="27" t="s">
        <v>949</v>
      </c>
      <c r="T2048" s="27"/>
      <c r="U2048" s="27">
        <v>1385</v>
      </c>
      <c r="V2048" s="27" t="s">
        <v>5317</v>
      </c>
      <c r="W2048" s="27" t="s">
        <v>5318</v>
      </c>
      <c r="X2048" s="128" t="s">
        <v>1489</v>
      </c>
      <c r="Y2048" s="73" t="str">
        <f>VLOOKUP(X2048,Choferes!$B$3:C481,2,FALSE)</f>
        <v>+5553984039582</v>
      </c>
      <c r="Z2048" s="73" t="s">
        <v>5549</v>
      </c>
    </row>
    <row r="2049" spans="1:26" hidden="1" x14ac:dyDescent="0.25">
      <c r="A2049" s="222">
        <v>7</v>
      </c>
      <c r="B2049" s="71" t="s">
        <v>29</v>
      </c>
      <c r="C2049" s="39" t="s">
        <v>5523</v>
      </c>
      <c r="D2049" s="106" t="s">
        <v>747</v>
      </c>
      <c r="E2049" s="47">
        <v>46064</v>
      </c>
      <c r="F2049" s="31" t="str">
        <f>VLOOKUP($C2049,Carpetas!$C$5:$M$2666,2,FALSE)</f>
        <v>BRB015-26</v>
      </c>
      <c r="G2049" s="23">
        <f>VLOOKUP($C2049,Carpetas!$C$5:$M$2666,10,FALSE)</f>
        <v>154.95500000000001</v>
      </c>
      <c r="H2049" s="27" t="str">
        <f>VLOOKUP($C2049,Carpetas!$C$5:$M$2666,6,FALSE)</f>
        <v>FG</v>
      </c>
      <c r="I2049" s="27" t="str">
        <f>VLOOKUP($C2049,Carpetas!$C$5:$M$2666,3,FALSE)</f>
        <v>Etimex</v>
      </c>
      <c r="J2049" s="47">
        <v>46065</v>
      </c>
      <c r="K2049" s="72" t="str">
        <f>VLOOKUP($C2049,Carpetas!$C$5:$M$2666,5,FALSE)</f>
        <v>Rio Branco</v>
      </c>
      <c r="L2049" s="32"/>
      <c r="M2049" s="48">
        <f t="shared" si="145"/>
        <v>46066</v>
      </c>
      <c r="N2049" s="26">
        <f t="shared" si="140"/>
        <v>2</v>
      </c>
      <c r="O2049" s="27">
        <v>1008</v>
      </c>
      <c r="P2049" s="27">
        <v>1008</v>
      </c>
      <c r="Q2049" s="27">
        <v>28</v>
      </c>
      <c r="R2049" s="27">
        <v>26</v>
      </c>
      <c r="S2049" s="27" t="s">
        <v>1354</v>
      </c>
      <c r="T2049" s="27"/>
      <c r="U2049" s="27">
        <v>1380</v>
      </c>
      <c r="V2049" s="27" t="s">
        <v>911</v>
      </c>
      <c r="W2049" s="27" t="s">
        <v>912</v>
      </c>
      <c r="X2049" s="128" t="s">
        <v>1397</v>
      </c>
      <c r="Y2049" s="73" t="str">
        <f>VLOOKUP(X2049,Choferes!$B$3:C481,2,FALSE)</f>
        <v>+5551996322594</v>
      </c>
      <c r="Z2049" s="73" t="s">
        <v>5549</v>
      </c>
    </row>
    <row r="2050" spans="1:26" hidden="1" x14ac:dyDescent="0.25">
      <c r="A2050" s="222">
        <v>7</v>
      </c>
      <c r="B2050" s="71" t="s">
        <v>298</v>
      </c>
      <c r="C2050" s="39" t="s">
        <v>299</v>
      </c>
      <c r="D2050" s="106" t="s">
        <v>183</v>
      </c>
      <c r="E2050" s="47">
        <v>46062</v>
      </c>
      <c r="F2050" s="31" t="str">
        <f>VLOOKUP($C2050,Carpetas!$C$5:$M$2666,2,FALSE)</f>
        <v>BRB</v>
      </c>
      <c r="G2050" s="23" t="e">
        <f>VLOOKUP($C2050,Carpetas!$C$5:$M$2666,9,FALSE)</f>
        <v>#REF!</v>
      </c>
      <c r="H2050" s="27" t="str">
        <f>VLOOKUP($C2050,Carpetas!$C$5:$M$2666,5,FALSE)</f>
        <v>xx</v>
      </c>
      <c r="I2050" s="27" t="str">
        <f>VLOOKUP($C2050,Carpetas!$C$5:$M$2666,3,FALSE)</f>
        <v>xx</v>
      </c>
      <c r="J2050" s="47">
        <f>E2050+4</f>
        <v>46066</v>
      </c>
      <c r="K2050" s="72">
        <f>VLOOKUP($C2050,Carpetas!$C$5:$M$2666,4,FALSE)</f>
        <v>0</v>
      </c>
      <c r="L2050" s="32"/>
      <c r="M2050" s="48">
        <f t="shared" si="145"/>
        <v>46067</v>
      </c>
      <c r="N2050" s="26">
        <f t="shared" si="140"/>
        <v>5</v>
      </c>
      <c r="O2050" s="27">
        <v>980</v>
      </c>
      <c r="P2050" s="27"/>
      <c r="Q2050" s="27"/>
      <c r="R2050" s="27"/>
      <c r="S2050" s="27"/>
      <c r="T2050" s="27"/>
      <c r="U2050" s="27"/>
      <c r="V2050" s="27"/>
      <c r="W2050" s="27"/>
      <c r="X2050" s="128"/>
      <c r="Y2050" s="73" t="e">
        <f>VLOOKUP(X2050,Choferes!$B$3:C473,2,FALSE)</f>
        <v>#N/A</v>
      </c>
      <c r="Z2050" s="73"/>
    </row>
    <row r="2051" spans="1:26" ht="30" hidden="1" x14ac:dyDescent="0.25">
      <c r="A2051" s="222">
        <v>7</v>
      </c>
      <c r="B2051" s="71" t="s">
        <v>29</v>
      </c>
      <c r="C2051" s="39" t="s">
        <v>5554</v>
      </c>
      <c r="D2051" s="106" t="s">
        <v>38</v>
      </c>
      <c r="E2051" s="47">
        <v>46062</v>
      </c>
      <c r="F2051" s="31" t="str">
        <f>VLOOKUP($C2051,Carpetas!$C$5:$M$2666,2,FALSE)</f>
        <v>BRE005-26</v>
      </c>
      <c r="G2051" s="23">
        <f>VLOOKUP($C2051,Carpetas!$C$5:$M$2666,10,FALSE)</f>
        <v>1550025</v>
      </c>
      <c r="H2051" s="27" t="str">
        <f>VLOOKUP($C2051,Carpetas!$C$5:$M$2666,6,FALSE)</f>
        <v>VPN</v>
      </c>
      <c r="I2051" s="27" t="str">
        <f>VLOOKUP($C2051,Carpetas!$C$5:$M$2666,3,FALSE)</f>
        <v>Dom Basto</v>
      </c>
      <c r="J2051" s="47">
        <v>46065</v>
      </c>
      <c r="K2051" s="72" t="str">
        <f>VLOOKUP($C2051,Carpetas!$C$5:$M$2666,5,FALSE)</f>
        <v>Chuy</v>
      </c>
      <c r="L2051" s="32"/>
      <c r="M2051" s="48">
        <f>J2051+1+1</f>
        <v>46067</v>
      </c>
      <c r="N2051" s="26">
        <f t="shared" si="140"/>
        <v>5</v>
      </c>
      <c r="O2051" s="27">
        <v>1420</v>
      </c>
      <c r="P2051" s="27">
        <v>1420</v>
      </c>
      <c r="Q2051" s="27">
        <v>26</v>
      </c>
      <c r="R2051" s="27">
        <v>25</v>
      </c>
      <c r="S2051" s="27" t="s">
        <v>5555</v>
      </c>
      <c r="T2051" s="27"/>
      <c r="U2051" s="27"/>
      <c r="V2051" s="27" t="s">
        <v>5556</v>
      </c>
      <c r="W2051" s="27" t="s">
        <v>5556</v>
      </c>
      <c r="X2051" s="128"/>
      <c r="Y2051" s="73" t="e">
        <f>VLOOKUP(X2051,Choferes!$B$3:C482,2,FALSE)</f>
        <v>#N/A</v>
      </c>
      <c r="Z2051" s="73" t="s">
        <v>5557</v>
      </c>
    </row>
    <row r="2052" spans="1:26" hidden="1" x14ac:dyDescent="0.25">
      <c r="A2052" s="222">
        <v>7</v>
      </c>
      <c r="B2052" s="71" t="s">
        <v>29</v>
      </c>
      <c r="C2052" s="39" t="s">
        <v>5558</v>
      </c>
      <c r="D2052" s="106" t="s">
        <v>2202</v>
      </c>
      <c r="E2052" s="47">
        <v>46065</v>
      </c>
      <c r="F2052" s="31" t="str">
        <f>VLOOKUP($C2052,Carpetas!$C$5:$M$2666,2,FALSE)</f>
        <v>BRB018-26</v>
      </c>
      <c r="G2052" s="23" t="str">
        <f>VLOOKUP($C2052,Carpetas!$C$5:$M$2666,10,FALSE)</f>
        <v>155,01,07</v>
      </c>
      <c r="H2052" s="27" t="str">
        <f>VLOOKUP($C2052,Carpetas!$C$5:$M$2666,6,FALSE)</f>
        <v>Amaro</v>
      </c>
      <c r="I2052" s="27" t="str">
        <f>VLOOKUP($C2052,Carpetas!$C$5:$M$2666,3,FALSE)</f>
        <v>Etimex</v>
      </c>
      <c r="J2052" s="47">
        <v>46066</v>
      </c>
      <c r="K2052" s="72" t="str">
        <f>VLOOKUP($C2052,Carpetas!$C$5:$M$2666,5,FALSE)</f>
        <v>Rio Branco</v>
      </c>
      <c r="L2052" s="32"/>
      <c r="M2052" s="48">
        <f t="shared" ref="M2052:M2065" si="146">J2052+1</f>
        <v>46067</v>
      </c>
      <c r="N2052" s="26">
        <f t="shared" si="140"/>
        <v>2</v>
      </c>
      <c r="O2052" s="27">
        <v>1008</v>
      </c>
      <c r="P2052" s="27">
        <v>1009</v>
      </c>
      <c r="Q2052" s="27">
        <v>28</v>
      </c>
      <c r="R2052" s="27">
        <v>26</v>
      </c>
      <c r="S2052" s="27" t="s">
        <v>5559</v>
      </c>
      <c r="T2052" s="27"/>
      <c r="U2052" s="27"/>
      <c r="V2052" s="27"/>
      <c r="W2052" s="27"/>
      <c r="X2052" s="128"/>
      <c r="Y2052" s="73" t="e">
        <f>VLOOKUP(X2052,Choferes!$B$3:C479,2,FALSE)</f>
        <v>#N/A</v>
      </c>
      <c r="Z2052" s="73" t="s">
        <v>5560</v>
      </c>
    </row>
    <row r="2053" spans="1:26" hidden="1" x14ac:dyDescent="0.25">
      <c r="A2053" s="222">
        <v>7</v>
      </c>
      <c r="B2053" s="71" t="s">
        <v>29</v>
      </c>
      <c r="C2053" s="39" t="s">
        <v>5553</v>
      </c>
      <c r="D2053" s="106" t="s">
        <v>110</v>
      </c>
      <c r="E2053" s="47">
        <v>46064</v>
      </c>
      <c r="F2053" s="31" t="str">
        <f>VLOOKUP($C2053,Carpetas!$C$5:$M$2666,2,FALSE)</f>
        <v>BRB017-26</v>
      </c>
      <c r="G2053" s="23" t="str">
        <f>VLOOKUP($C2053,Carpetas!$C$5:$M$2666,10,FALSE)</f>
        <v>155,01,06</v>
      </c>
      <c r="H2053" s="27" t="str">
        <f>VLOOKUP($C2053,Carpetas!$C$5:$M$2666,6,FALSE)</f>
        <v>FG</v>
      </c>
      <c r="I2053" s="27" t="str">
        <f>VLOOKUP($C2053,Carpetas!$C$5:$M$2666,3,FALSE)</f>
        <v>Etimex</v>
      </c>
      <c r="J2053" s="47">
        <f>E2053+2</f>
        <v>46066</v>
      </c>
      <c r="K2053" s="72" t="str">
        <f>VLOOKUP($C2053,Carpetas!$C$5:$M$2666,5,FALSE)</f>
        <v>Rio Branco</v>
      </c>
      <c r="L2053" s="32"/>
      <c r="M2053" s="48">
        <f t="shared" si="146"/>
        <v>46067</v>
      </c>
      <c r="N2053" s="26">
        <f t="shared" si="140"/>
        <v>3</v>
      </c>
      <c r="O2053" s="27">
        <v>1008</v>
      </c>
      <c r="P2053" s="27">
        <v>996</v>
      </c>
      <c r="Q2053" s="27">
        <v>28</v>
      </c>
      <c r="R2053" s="27"/>
      <c r="S2053" s="27" t="s">
        <v>635</v>
      </c>
      <c r="T2053" s="27"/>
      <c r="U2053" s="27"/>
      <c r="V2053" s="27"/>
      <c r="W2053" s="27"/>
      <c r="X2053" s="128"/>
      <c r="Y2053" s="73" t="e">
        <f>VLOOKUP(X2053,Choferes!$B$3:C480,2,FALSE)</f>
        <v>#N/A</v>
      </c>
      <c r="Z2053" s="73" t="s">
        <v>5561</v>
      </c>
    </row>
    <row r="2054" spans="1:26" hidden="1" x14ac:dyDescent="0.25">
      <c r="A2054" s="222">
        <v>7</v>
      </c>
      <c r="B2054" s="71" t="s">
        <v>29</v>
      </c>
      <c r="C2054" s="39" t="s">
        <v>5523</v>
      </c>
      <c r="D2054" s="224" t="s">
        <v>5507</v>
      </c>
      <c r="E2054" s="47">
        <v>46064</v>
      </c>
      <c r="F2054" s="31" t="str">
        <f>VLOOKUP($C2054,Carpetas!$C$5:$M$2666,2,FALSE)</f>
        <v>BRB015-26</v>
      </c>
      <c r="G2054" s="23">
        <f>VLOOKUP($C2054,Carpetas!$C$5:$M$2666,10,FALSE)</f>
        <v>154.95500000000001</v>
      </c>
      <c r="H2054" s="27" t="str">
        <f>VLOOKUP($C2054,Carpetas!$C$5:$M$2666,6,FALSE)</f>
        <v>FG</v>
      </c>
      <c r="I2054" s="27" t="str">
        <f>VLOOKUP($C2054,Carpetas!$C$5:$M$2666,3,FALSE)</f>
        <v>Etimex</v>
      </c>
      <c r="J2054" s="47">
        <f>E2054+2</f>
        <v>46066</v>
      </c>
      <c r="K2054" s="72" t="str">
        <f>VLOOKUP($C2054,Carpetas!$C$5:$M$2666,5,FALSE)</f>
        <v>Rio Branco</v>
      </c>
      <c r="L2054" s="32"/>
      <c r="M2054" s="48">
        <f t="shared" si="146"/>
        <v>46067</v>
      </c>
      <c r="N2054" s="26">
        <f t="shared" si="140"/>
        <v>3</v>
      </c>
      <c r="O2054" s="27">
        <v>1008</v>
      </c>
      <c r="P2054" s="27"/>
      <c r="Q2054" s="27">
        <v>28</v>
      </c>
      <c r="R2054" s="27">
        <v>23</v>
      </c>
      <c r="S2054" s="167" t="s">
        <v>5562</v>
      </c>
      <c r="T2054" s="27"/>
      <c r="U2054" s="27"/>
      <c r="V2054" s="27"/>
      <c r="W2054" s="27"/>
      <c r="X2054" s="128"/>
      <c r="Y2054" s="73" t="e">
        <f>VLOOKUP(X2054,Choferes!$B$3:C480,2,FALSE)</f>
        <v>#N/A</v>
      </c>
      <c r="Z2054" s="226" t="s">
        <v>5563</v>
      </c>
    </row>
    <row r="2055" spans="1:26" hidden="1" x14ac:dyDescent="0.25">
      <c r="A2055" s="222">
        <v>7</v>
      </c>
      <c r="B2055" s="71" t="s">
        <v>298</v>
      </c>
      <c r="C2055" s="39" t="s">
        <v>299</v>
      </c>
      <c r="D2055" s="106" t="s">
        <v>953</v>
      </c>
      <c r="E2055" s="47">
        <v>46064</v>
      </c>
      <c r="F2055" s="31" t="str">
        <f>VLOOKUP($C2055,Carpetas!$C$5:$M$2666,2,FALSE)</f>
        <v>BRB</v>
      </c>
      <c r="G2055" s="23" t="e">
        <f>VLOOKUP($C2055,Carpetas!$C$5:$M$2666,9,FALSE)</f>
        <v>#REF!</v>
      </c>
      <c r="H2055" s="27" t="str">
        <f>VLOOKUP($C2055,Carpetas!$C$5:$M$2666,5,FALSE)</f>
        <v>xx</v>
      </c>
      <c r="I2055" s="27" t="str">
        <f>VLOOKUP($C2055,Carpetas!$C$5:$M$2666,3,FALSE)</f>
        <v>xx</v>
      </c>
      <c r="J2055" s="47">
        <f>E2055+2</f>
        <v>46066</v>
      </c>
      <c r="K2055" s="72">
        <f>VLOOKUP($C2055,Carpetas!$C$5:$M$2666,4,FALSE)</f>
        <v>0</v>
      </c>
      <c r="L2055" s="32"/>
      <c r="M2055" s="48">
        <f t="shared" si="146"/>
        <v>46067</v>
      </c>
      <c r="N2055" s="26">
        <f t="shared" si="140"/>
        <v>3</v>
      </c>
      <c r="O2055" s="27">
        <v>1008</v>
      </c>
      <c r="P2055" s="27"/>
      <c r="Q2055" s="27"/>
      <c r="R2055" s="27"/>
      <c r="S2055" s="27"/>
      <c r="T2055" s="27"/>
      <c r="U2055" s="27"/>
      <c r="V2055" s="27"/>
      <c r="W2055" s="27"/>
      <c r="X2055" s="128"/>
      <c r="Y2055" s="73" t="e">
        <f>VLOOKUP(X2055,Choferes!$B$3:C482,2,FALSE)</f>
        <v>#N/A</v>
      </c>
      <c r="Z2055" s="73"/>
    </row>
    <row r="2056" spans="1:26" hidden="1" x14ac:dyDescent="0.25">
      <c r="A2056" s="222">
        <v>7</v>
      </c>
      <c r="B2056" s="71" t="s">
        <v>29</v>
      </c>
      <c r="C2056" s="39" t="s">
        <v>5523</v>
      </c>
      <c r="D2056" s="106" t="s">
        <v>803</v>
      </c>
      <c r="E2056" s="47">
        <v>46064</v>
      </c>
      <c r="F2056" s="31" t="str">
        <f>VLOOKUP($C2056,Carpetas!$C$5:$M$2666,2,FALSE)</f>
        <v>BRB015-26</v>
      </c>
      <c r="G2056" s="23">
        <f>VLOOKUP($C2056,Carpetas!$C$5:$M$2666,10,FALSE)</f>
        <v>154.95500000000001</v>
      </c>
      <c r="H2056" s="27" t="str">
        <f>VLOOKUP($C2056,Carpetas!$C$5:$M$2666,6,FALSE)</f>
        <v>FG</v>
      </c>
      <c r="I2056" s="27" t="str">
        <f>VLOOKUP($C2056,Carpetas!$C$5:$M$2666,3,FALSE)</f>
        <v>Etimex</v>
      </c>
      <c r="J2056" s="47">
        <f>E2056+2</f>
        <v>46066</v>
      </c>
      <c r="K2056" s="72" t="str">
        <f>VLOOKUP($C2056,Carpetas!$C$5:$M$2666,5,FALSE)</f>
        <v>Rio Branco</v>
      </c>
      <c r="L2056" s="32"/>
      <c r="M2056" s="48">
        <f t="shared" si="146"/>
        <v>46067</v>
      </c>
      <c r="N2056" s="26">
        <f t="shared" si="140"/>
        <v>3</v>
      </c>
      <c r="O2056" s="27">
        <v>1008</v>
      </c>
      <c r="P2056" s="27">
        <v>1020</v>
      </c>
      <c r="Q2056" s="27">
        <v>28</v>
      </c>
      <c r="R2056" s="27"/>
      <c r="S2056" s="27" t="s">
        <v>1046</v>
      </c>
      <c r="T2056" s="27"/>
      <c r="U2056" s="27"/>
      <c r="V2056" s="27"/>
      <c r="W2056" s="27"/>
      <c r="X2056" s="128"/>
      <c r="Y2056" s="73" t="e">
        <f>VLOOKUP(X2056,Choferes!$B$3:C483,2,FALSE)</f>
        <v>#N/A</v>
      </c>
      <c r="Z2056" s="73" t="s">
        <v>5564</v>
      </c>
    </row>
    <row r="2057" spans="1:26" hidden="1" x14ac:dyDescent="0.25">
      <c r="A2057" s="222">
        <v>7</v>
      </c>
      <c r="B2057" s="71" t="s">
        <v>29</v>
      </c>
      <c r="C2057" s="39" t="s">
        <v>5547</v>
      </c>
      <c r="D2057" s="106" t="s">
        <v>183</v>
      </c>
      <c r="E2057" s="47">
        <v>46063</v>
      </c>
      <c r="F2057" s="31" t="str">
        <f>VLOOKUP($C2057,Carpetas!$C$5:$M$2666,2,FALSE)</f>
        <v>PYB012/26</v>
      </c>
      <c r="G2057" s="23">
        <f>VLOOKUP($C2057,Carpetas!$C$5:$M$2666,10,FALSE)</f>
        <v>1549966</v>
      </c>
      <c r="H2057" s="27" t="str">
        <f>VLOOKUP($C2057,Carpetas!$C$5:$M$2666,6,FALSE)</f>
        <v>Mega</v>
      </c>
      <c r="I2057" s="27" t="str">
        <f>VLOOKUP($C2057,Carpetas!$C$5:$M$2666,3,FALSE)</f>
        <v>Hugo Franco</v>
      </c>
      <c r="J2057" s="47">
        <f>E2057+4</f>
        <v>46067</v>
      </c>
      <c r="K2057" s="72" t="str">
        <f>VLOOKUP($C2057,Carpetas!$C$5:$M$2666,5,FALSE)</f>
        <v>Salto</v>
      </c>
      <c r="L2057" s="32"/>
      <c r="M2057" s="48">
        <f t="shared" si="146"/>
        <v>46068</v>
      </c>
      <c r="N2057" s="26">
        <f t="shared" si="140"/>
        <v>5</v>
      </c>
      <c r="O2057" s="27">
        <v>936</v>
      </c>
      <c r="P2057" s="27">
        <v>937</v>
      </c>
      <c r="Q2057" s="27">
        <v>26</v>
      </c>
      <c r="R2057" s="27">
        <v>27</v>
      </c>
      <c r="S2057" s="27" t="s">
        <v>600</v>
      </c>
      <c r="T2057" s="27"/>
      <c r="U2057" s="27"/>
      <c r="V2057" s="27"/>
      <c r="W2057" s="27"/>
      <c r="X2057" s="128"/>
      <c r="Y2057" s="73" t="e">
        <f>VLOOKUP(X2057,Choferes!$B$3:C474,2,FALSE)</f>
        <v>#N/A</v>
      </c>
      <c r="Z2057" s="73" t="s">
        <v>5565</v>
      </c>
    </row>
    <row r="2058" spans="1:26" hidden="1" x14ac:dyDescent="0.25">
      <c r="A2058" s="222">
        <v>7</v>
      </c>
      <c r="B2058" s="71" t="s">
        <v>29</v>
      </c>
      <c r="C2058" s="39" t="s">
        <v>5550</v>
      </c>
      <c r="D2058" s="106" t="s">
        <v>42</v>
      </c>
      <c r="E2058" s="47">
        <v>46063</v>
      </c>
      <c r="F2058" s="31" t="str">
        <f>VLOOKUP($C2058,Carpetas!$C$5:$M$2666,2,FALSE)</f>
        <v>PYB011/26</v>
      </c>
      <c r="G2058" s="23">
        <f>VLOOKUP($C2058,Carpetas!$C$5:$M$2666,10,FALSE)</f>
        <v>1549897</v>
      </c>
      <c r="H2058" s="27" t="str">
        <f>VLOOKUP($C2058,Carpetas!$C$5:$M$2666,6,FALSE)</f>
        <v>Surcentral</v>
      </c>
      <c r="I2058" s="27" t="str">
        <f>VLOOKUP($C2058,Carpetas!$C$5:$M$2666,3,FALSE)</f>
        <v>Servi Fel</v>
      </c>
      <c r="J2058" s="47">
        <f>E2058+4</f>
        <v>46067</v>
      </c>
      <c r="K2058" s="72" t="str">
        <f>VLOOKUP($C2058,Carpetas!$C$5:$M$2666,5,FALSE)</f>
        <v>Salto</v>
      </c>
      <c r="L2058" s="32"/>
      <c r="M2058" s="48">
        <f t="shared" si="146"/>
        <v>46068</v>
      </c>
      <c r="N2058" s="26">
        <f t="shared" si="140"/>
        <v>5</v>
      </c>
      <c r="O2058" s="27">
        <v>980</v>
      </c>
      <c r="P2058" s="27">
        <v>980</v>
      </c>
      <c r="Q2058" s="27">
        <v>28</v>
      </c>
      <c r="R2058" s="27">
        <v>26</v>
      </c>
      <c r="S2058" s="27" t="s">
        <v>155</v>
      </c>
      <c r="T2058" s="27"/>
      <c r="U2058" s="27"/>
      <c r="V2058" s="27"/>
      <c r="W2058" s="27"/>
      <c r="X2058" s="128"/>
      <c r="Y2058" s="73" t="e">
        <f>VLOOKUP(X2058,Choferes!$B$3:C476,2,FALSE)</f>
        <v>#N/A</v>
      </c>
      <c r="Z2058" s="73" t="s">
        <v>5566</v>
      </c>
    </row>
    <row r="2059" spans="1:26" hidden="1" x14ac:dyDescent="0.25">
      <c r="A2059" s="222">
        <v>8</v>
      </c>
      <c r="B2059" s="71" t="s">
        <v>29</v>
      </c>
      <c r="C2059" s="39" t="s">
        <v>5567</v>
      </c>
      <c r="D2059" s="106" t="s">
        <v>2202</v>
      </c>
      <c r="E2059" s="47">
        <v>46069</v>
      </c>
      <c r="F2059" s="31" t="str">
        <f>VLOOKUP($C2059,Carpetas!$C$5:$M$2666,2,FALSE)</f>
        <v>BRB019-26</v>
      </c>
      <c r="G2059" s="23">
        <f>VLOOKUP($C2059,Carpetas!$C$5:$M$2666,10,FALSE)</f>
        <v>1550406</v>
      </c>
      <c r="H2059" s="27" t="str">
        <f>VLOOKUP($C2059,Carpetas!$C$5:$M$2666,6,FALSE)</f>
        <v>AXT</v>
      </c>
      <c r="I2059" s="27" t="str">
        <f>VLOOKUP($C2059,Carpetas!$C$5:$M$2666,3,FALSE)</f>
        <v>A&amp;A</v>
      </c>
      <c r="J2059" s="47">
        <f>E2059+2</f>
        <v>46071</v>
      </c>
      <c r="K2059" s="72" t="str">
        <f>VLOOKUP($C2059,Carpetas!$C$5:$M$2666,5,FALSE)</f>
        <v>Chuy</v>
      </c>
      <c r="L2059" s="32"/>
      <c r="M2059" s="48">
        <f t="shared" si="146"/>
        <v>46072</v>
      </c>
      <c r="N2059" s="26">
        <f t="shared" si="140"/>
        <v>3</v>
      </c>
      <c r="O2059" s="27">
        <v>936</v>
      </c>
      <c r="P2059" s="27">
        <v>936</v>
      </c>
      <c r="Q2059" s="27">
        <v>26</v>
      </c>
      <c r="R2059" s="27">
        <v>25</v>
      </c>
      <c r="S2059" s="27" t="s">
        <v>4442</v>
      </c>
      <c r="T2059" s="27"/>
      <c r="U2059" s="27"/>
      <c r="V2059" s="27" t="s">
        <v>5483</v>
      </c>
      <c r="W2059" s="27" t="s">
        <v>5484</v>
      </c>
      <c r="X2059" s="128"/>
      <c r="Y2059" s="73" t="e">
        <f>VLOOKUP(X2059,Choferes!$B$3:C466,2,FALSE)</f>
        <v>#N/A</v>
      </c>
      <c r="Z2059" s="73" t="s">
        <v>5568</v>
      </c>
    </row>
    <row r="2060" spans="1:26" hidden="1" x14ac:dyDescent="0.25">
      <c r="A2060" s="222">
        <v>8</v>
      </c>
      <c r="B2060" s="71" t="s">
        <v>29</v>
      </c>
      <c r="C2060" s="39" t="s">
        <v>5567</v>
      </c>
      <c r="D2060" s="106" t="s">
        <v>2202</v>
      </c>
      <c r="E2060" s="47">
        <v>46070</v>
      </c>
      <c r="F2060" s="31" t="str">
        <f>VLOOKUP($C2060,Carpetas!$C$5:$M$2666,2,FALSE)</f>
        <v>BRB019-26</v>
      </c>
      <c r="G2060" s="23">
        <f>VLOOKUP($C2060,Carpetas!$C$5:$M$2666,10,FALSE)</f>
        <v>1550406</v>
      </c>
      <c r="H2060" s="27" t="str">
        <f>VLOOKUP($C2060,Carpetas!$C$5:$M$2666,6,FALSE)</f>
        <v>AXT</v>
      </c>
      <c r="I2060" s="27" t="str">
        <f>VLOOKUP($C2060,Carpetas!$C$5:$M$2666,3,FALSE)</f>
        <v>A&amp;A</v>
      </c>
      <c r="J2060" s="47">
        <f>E2060+2</f>
        <v>46072</v>
      </c>
      <c r="K2060" s="72" t="str">
        <f>VLOOKUP($C2060,Carpetas!$C$5:$M$2666,5,FALSE)</f>
        <v>Chuy</v>
      </c>
      <c r="L2060" s="32"/>
      <c r="M2060" s="48">
        <f t="shared" si="146"/>
        <v>46073</v>
      </c>
      <c r="N2060" s="26">
        <f t="shared" si="140"/>
        <v>3</v>
      </c>
      <c r="O2060" s="27">
        <v>936</v>
      </c>
      <c r="P2060" s="27">
        <v>937</v>
      </c>
      <c r="Q2060" s="27">
        <v>26</v>
      </c>
      <c r="R2060" s="27">
        <v>25</v>
      </c>
      <c r="S2060" s="27" t="s">
        <v>5569</v>
      </c>
      <c r="T2060" s="27"/>
      <c r="U2060" s="27"/>
      <c r="V2060" s="27" t="s">
        <v>5570</v>
      </c>
      <c r="W2060" s="27" t="s">
        <v>5571</v>
      </c>
      <c r="X2060" s="128"/>
      <c r="Y2060" s="73" t="e">
        <f>VLOOKUP(X2060,Choferes!$B$3:C467,2,FALSE)</f>
        <v>#N/A</v>
      </c>
      <c r="Z2060" s="73" t="s">
        <v>5572</v>
      </c>
    </row>
    <row r="2061" spans="1:26" hidden="1" x14ac:dyDescent="0.25">
      <c r="A2061" s="222">
        <v>8</v>
      </c>
      <c r="B2061" s="71" t="s">
        <v>29</v>
      </c>
      <c r="C2061" s="39" t="s">
        <v>5567</v>
      </c>
      <c r="D2061" s="106" t="s">
        <v>2202</v>
      </c>
      <c r="E2061" s="47">
        <v>46071</v>
      </c>
      <c r="F2061" s="31" t="str">
        <f>VLOOKUP($C2061,Carpetas!$C$5:$M$2666,2,FALSE)</f>
        <v>BRB019-26</v>
      </c>
      <c r="G2061" s="23">
        <f>VLOOKUP($C2061,Carpetas!$C$5:$M$2666,10,FALSE)</f>
        <v>1550406</v>
      </c>
      <c r="H2061" s="27" t="str">
        <f>VLOOKUP($C2061,Carpetas!$C$5:$M$2666,6,FALSE)</f>
        <v>AXT</v>
      </c>
      <c r="I2061" s="27" t="str">
        <f>VLOOKUP($C2061,Carpetas!$C$5:$M$2666,3,FALSE)</f>
        <v>A&amp;A</v>
      </c>
      <c r="J2061" s="47">
        <f>E2061+2</f>
        <v>46073</v>
      </c>
      <c r="K2061" s="72" t="str">
        <f>VLOOKUP($C2061,Carpetas!$C$5:$M$2666,5,FALSE)</f>
        <v>Chuy</v>
      </c>
      <c r="L2061" s="32"/>
      <c r="M2061" s="48">
        <f t="shared" si="146"/>
        <v>46074</v>
      </c>
      <c r="N2061" s="26">
        <f t="shared" si="140"/>
        <v>3</v>
      </c>
      <c r="O2061" s="27">
        <v>936</v>
      </c>
      <c r="P2061" s="27">
        <v>937</v>
      </c>
      <c r="Q2061" s="27">
        <v>26</v>
      </c>
      <c r="R2061" s="27">
        <v>25</v>
      </c>
      <c r="S2061" s="27" t="s">
        <v>4485</v>
      </c>
      <c r="T2061" s="27"/>
      <c r="U2061" s="27"/>
      <c r="V2061" s="27" t="s">
        <v>5573</v>
      </c>
      <c r="W2061" s="27" t="s">
        <v>1741</v>
      </c>
      <c r="X2061" s="128"/>
      <c r="Y2061" s="73" t="e">
        <f>VLOOKUP(X2061,Choferes!$B$3:C468,2,FALSE)</f>
        <v>#N/A</v>
      </c>
      <c r="Z2061" s="73" t="s">
        <v>5574</v>
      </c>
    </row>
    <row r="2062" spans="1:26" hidden="1" x14ac:dyDescent="0.25">
      <c r="A2062" s="222">
        <v>8</v>
      </c>
      <c r="B2062" s="71" t="s">
        <v>29</v>
      </c>
      <c r="C2062" s="39" t="s">
        <v>5553</v>
      </c>
      <c r="D2062" s="106" t="s">
        <v>747</v>
      </c>
      <c r="E2062" s="47">
        <v>46071</v>
      </c>
      <c r="F2062" s="31" t="str">
        <f>VLOOKUP($C2062,Carpetas!$C$5:$M$2666,2,FALSE)</f>
        <v>BRB017-26</v>
      </c>
      <c r="G2062" s="23" t="str">
        <f>VLOOKUP($C2062,Carpetas!$C$5:$M$2666,10,FALSE)</f>
        <v>155,01,06</v>
      </c>
      <c r="H2062" s="27" t="str">
        <f>VLOOKUP($C2062,Carpetas!$C$5:$M$2666,6,FALSE)</f>
        <v>FG</v>
      </c>
      <c r="I2062" s="27" t="str">
        <f>VLOOKUP($C2062,Carpetas!$C$5:$M$2666,3,FALSE)</f>
        <v>Etimex</v>
      </c>
      <c r="J2062" s="47">
        <f>E2062+2</f>
        <v>46073</v>
      </c>
      <c r="K2062" s="72" t="str">
        <f>VLOOKUP($C2062,Carpetas!$C$5:$M$2666,5,FALSE)</f>
        <v>Rio Branco</v>
      </c>
      <c r="L2062" s="32"/>
      <c r="M2062" s="48">
        <f t="shared" si="146"/>
        <v>46074</v>
      </c>
      <c r="N2062" s="26">
        <f t="shared" si="140"/>
        <v>3</v>
      </c>
      <c r="O2062" s="27">
        <v>1008</v>
      </c>
      <c r="P2062" s="27">
        <v>1008</v>
      </c>
      <c r="Q2062" s="27">
        <v>28</v>
      </c>
      <c r="R2062" s="27">
        <v>26</v>
      </c>
      <c r="S2062" s="27" t="s">
        <v>3216</v>
      </c>
      <c r="T2062" s="27"/>
      <c r="U2062" s="27">
        <v>1394</v>
      </c>
      <c r="V2062" s="27" t="s">
        <v>3411</v>
      </c>
      <c r="W2062" s="27" t="s">
        <v>5398</v>
      </c>
      <c r="X2062" s="128" t="s">
        <v>3559</v>
      </c>
      <c r="Y2062" s="73" t="str">
        <f>VLOOKUP(X2062,Choferes!$B$3:C471,2,FALSE)</f>
        <v>+55 53 9713-4372</v>
      </c>
      <c r="Z2062" s="73" t="s">
        <v>5575</v>
      </c>
    </row>
    <row r="2063" spans="1:26" hidden="1" x14ac:dyDescent="0.25">
      <c r="A2063" s="222">
        <v>8</v>
      </c>
      <c r="B2063" s="71" t="s">
        <v>29</v>
      </c>
      <c r="C2063" s="39" t="s">
        <v>5553</v>
      </c>
      <c r="D2063" s="106" t="s">
        <v>110</v>
      </c>
      <c r="E2063" s="47">
        <v>46071</v>
      </c>
      <c r="F2063" s="31" t="str">
        <f>VLOOKUP($C2063,Carpetas!$C$5:$M$2666,2,FALSE)</f>
        <v>BRB017-26</v>
      </c>
      <c r="G2063" s="23" t="str">
        <f>VLOOKUP($C2063,Carpetas!$C$5:$M$2666,10,FALSE)</f>
        <v>155,01,06</v>
      </c>
      <c r="H2063" s="27" t="str">
        <f>VLOOKUP($C2063,Carpetas!$C$5:$M$2666,6,FALSE)</f>
        <v>FG</v>
      </c>
      <c r="I2063" s="27" t="str">
        <f>VLOOKUP($C2063,Carpetas!$C$5:$M$2666,3,FALSE)</f>
        <v>Etimex</v>
      </c>
      <c r="J2063" s="47">
        <f>E2063+2</f>
        <v>46073</v>
      </c>
      <c r="K2063" s="72" t="str">
        <f>VLOOKUP($C2063,Carpetas!$C$5:$M$2666,5,FALSE)</f>
        <v>Rio Branco</v>
      </c>
      <c r="L2063" s="32"/>
      <c r="M2063" s="48">
        <f t="shared" si="146"/>
        <v>46074</v>
      </c>
      <c r="N2063" s="26">
        <f t="shared" si="140"/>
        <v>3</v>
      </c>
      <c r="O2063" s="27">
        <v>1008</v>
      </c>
      <c r="P2063" s="27">
        <v>997</v>
      </c>
      <c r="Q2063" s="27">
        <v>28</v>
      </c>
      <c r="R2063" s="27">
        <v>27</v>
      </c>
      <c r="S2063" s="27" t="s">
        <v>768</v>
      </c>
      <c r="T2063" s="27"/>
      <c r="U2063" s="27">
        <v>1397</v>
      </c>
      <c r="V2063" s="27" t="s">
        <v>3669</v>
      </c>
      <c r="W2063" s="27" t="s">
        <v>1627</v>
      </c>
      <c r="X2063" s="128" t="s">
        <v>2336</v>
      </c>
      <c r="Y2063" s="73" t="str">
        <f>VLOOKUP(X2063,Choferes!$B$3:C472,2,FALSE)</f>
        <v>+5553984414060</v>
      </c>
      <c r="Z2063" s="73" t="s">
        <v>5576</v>
      </c>
    </row>
    <row r="2064" spans="1:26" hidden="1" x14ac:dyDescent="0.25">
      <c r="A2064" s="222">
        <v>8</v>
      </c>
      <c r="B2064" s="71" t="s">
        <v>29</v>
      </c>
      <c r="C2064" s="39" t="s">
        <v>5577</v>
      </c>
      <c r="D2064" s="106" t="s">
        <v>121</v>
      </c>
      <c r="E2064" s="47">
        <v>46071</v>
      </c>
      <c r="F2064" s="31" t="str">
        <f>VLOOKUP($C2064,Carpetas!$C$5:$M$2666,2,FALSE)</f>
        <v>PYB014/26</v>
      </c>
      <c r="G2064" s="23">
        <f>VLOOKUP($C2064,Carpetas!$C$5:$M$2666,10,FALSE)</f>
        <v>1550492</v>
      </c>
      <c r="H2064" s="27" t="str">
        <f>VLOOKUP($C2064,Carpetas!$C$5:$M$2666,6,FALSE)</f>
        <v>Compass</v>
      </c>
      <c r="I2064" s="27" t="str">
        <f>VLOOKUP($C2064,Carpetas!$C$5:$M$2666,3,FALSE)</f>
        <v>Diego Fernandez</v>
      </c>
      <c r="J2064" s="47">
        <v>46073</v>
      </c>
      <c r="K2064" s="72" t="str">
        <f>VLOOKUP($C2064,Carpetas!$C$5:$M$2666,5,FALSE)</f>
        <v>Salto</v>
      </c>
      <c r="L2064" s="32"/>
      <c r="M2064" s="48">
        <f t="shared" si="146"/>
        <v>46074</v>
      </c>
      <c r="N2064" s="26">
        <f t="shared" si="140"/>
        <v>3</v>
      </c>
      <c r="O2064" s="27">
        <v>980</v>
      </c>
      <c r="P2064" s="27">
        <v>981</v>
      </c>
      <c r="Q2064" s="27">
        <v>28</v>
      </c>
      <c r="R2064" s="27">
        <v>26</v>
      </c>
      <c r="S2064" s="27" t="s">
        <v>3094</v>
      </c>
      <c r="T2064" s="27"/>
      <c r="U2064" s="27"/>
      <c r="V2064" s="27"/>
      <c r="W2064" s="27"/>
      <c r="X2064" s="128"/>
      <c r="Y2064" s="73" t="e">
        <f>VLOOKUP(X2064,Choferes!$B$3:C465,2,FALSE)</f>
        <v>#N/A</v>
      </c>
      <c r="Z2064" s="73" t="s">
        <v>5578</v>
      </c>
    </row>
    <row r="2065" spans="1:26" hidden="1" x14ac:dyDescent="0.25">
      <c r="A2065" s="222">
        <v>7</v>
      </c>
      <c r="B2065" s="71" t="s">
        <v>29</v>
      </c>
      <c r="C2065" s="39" t="s">
        <v>5579</v>
      </c>
      <c r="D2065" s="106" t="s">
        <v>38</v>
      </c>
      <c r="E2065" s="47">
        <v>46067</v>
      </c>
      <c r="F2065" s="31" t="str">
        <f>VLOOKUP($C2065,Carpetas!$C$5:$M$2666,2,FALSE)</f>
        <v>BRE006-26</v>
      </c>
      <c r="G2065" s="23" t="str">
        <f>VLOOKUP($C2065,Carpetas!$C$5:$M$2666,10,FALSE)</f>
        <v>155,01,25</v>
      </c>
      <c r="H2065" s="27" t="str">
        <f>VLOOKUP($C2065,Carpetas!$C$5:$M$2666,6,FALSE)</f>
        <v>Marvel</v>
      </c>
      <c r="I2065" s="27" t="str">
        <f>VLOOKUP($C2065,Carpetas!$C$5:$M$2666,3,FALSE)</f>
        <v>Etimex</v>
      </c>
      <c r="J2065" s="47">
        <v>46073</v>
      </c>
      <c r="K2065" s="72" t="str">
        <f>VLOOKUP($C2065,Carpetas!$C$5:$M$2666,5,FALSE)</f>
        <v>Rio Branco</v>
      </c>
      <c r="L2065" s="32"/>
      <c r="M2065" s="48">
        <f t="shared" si="146"/>
        <v>46074</v>
      </c>
      <c r="N2065" s="26">
        <f t="shared" si="140"/>
        <v>7</v>
      </c>
      <c r="O2065" s="27">
        <v>5616</v>
      </c>
      <c r="P2065" s="27">
        <v>5615</v>
      </c>
      <c r="Q2065" s="27">
        <v>26</v>
      </c>
      <c r="R2065" s="27"/>
      <c r="S2065" s="27"/>
      <c r="T2065" s="27"/>
      <c r="U2065" s="27">
        <v>11408</v>
      </c>
      <c r="V2065" s="27" t="s">
        <v>2195</v>
      </c>
      <c r="W2065" s="27" t="s">
        <v>2196</v>
      </c>
      <c r="X2065" s="128"/>
      <c r="Y2065" s="73" t="e">
        <f>VLOOKUP(X2065,Choferes!$B$3:C477,2,FALSE)</f>
        <v>#N/A</v>
      </c>
      <c r="Z2065" s="73" t="s">
        <v>5580</v>
      </c>
    </row>
    <row r="2066" spans="1:26" hidden="1" x14ac:dyDescent="0.25">
      <c r="A2066" s="222">
        <v>8</v>
      </c>
      <c r="B2066" s="71" t="s">
        <v>29</v>
      </c>
      <c r="C2066" s="39" t="s">
        <v>5581</v>
      </c>
      <c r="D2066" s="106" t="s">
        <v>42</v>
      </c>
      <c r="E2066" s="47">
        <v>46070</v>
      </c>
      <c r="F2066" s="31" t="str">
        <f>VLOOKUP($C2066,Carpetas!$C$5:$M$2666,2,FALSE)</f>
        <v>PYB015/26</v>
      </c>
      <c r="G2066" s="23" t="str">
        <f>VLOOKUP($C2066,Carpetas!$C$5:$M$2666,10,FALSE)</f>
        <v>155,04,91</v>
      </c>
      <c r="H2066" s="27">
        <f>VLOOKUP($C2066,Carpetas!$C$5:$M$2666,6,FALSE)</f>
        <v>0</v>
      </c>
      <c r="I2066" s="27" t="str">
        <f>VLOOKUP($C2066,Carpetas!$C$5:$M$2666,3,FALSE)</f>
        <v>Servi Fel</v>
      </c>
      <c r="J2066" s="47">
        <v>46076</v>
      </c>
      <c r="K2066" s="72" t="str">
        <f>VLOOKUP($C2066,Carpetas!$C$5:$M$2666,5,FALSE)</f>
        <v>Salto</v>
      </c>
      <c r="L2066" s="32"/>
      <c r="M2066" s="48">
        <v>46076</v>
      </c>
      <c r="N2066" s="26">
        <f t="shared" ref="N2066:N2129" si="147">IF(E2066&lt;&gt;"",M2066-E2066,"-")</f>
        <v>6</v>
      </c>
      <c r="O2066" s="27">
        <v>936</v>
      </c>
      <c r="P2066" s="27">
        <v>936</v>
      </c>
      <c r="Q2066" s="27">
        <v>26</v>
      </c>
      <c r="R2066" s="27">
        <v>25</v>
      </c>
      <c r="S2066" s="27" t="s">
        <v>169</v>
      </c>
      <c r="T2066" s="27"/>
      <c r="U2066" s="27"/>
      <c r="V2066" s="27"/>
      <c r="W2066" s="27"/>
      <c r="X2066" s="128"/>
      <c r="Y2066" s="73" t="e">
        <f>VLOOKUP(X2066,Choferes!$B$3:C463,2,FALSE)</f>
        <v>#N/A</v>
      </c>
      <c r="Z2066" s="73" t="s">
        <v>5582</v>
      </c>
    </row>
    <row r="2067" spans="1:26" hidden="1" x14ac:dyDescent="0.25">
      <c r="A2067" s="222">
        <v>8</v>
      </c>
      <c r="B2067" s="71" t="s">
        <v>29</v>
      </c>
      <c r="C2067" s="39" t="s">
        <v>5553</v>
      </c>
      <c r="D2067" s="106" t="s">
        <v>803</v>
      </c>
      <c r="E2067" s="47">
        <v>46073</v>
      </c>
      <c r="F2067" s="31" t="str">
        <f>VLOOKUP($C2067,Carpetas!$C$5:$M$2666,2,FALSE)</f>
        <v>BRB017-26</v>
      </c>
      <c r="G2067" s="23" t="str">
        <f>VLOOKUP($C2067,Carpetas!$C$5:$M$2666,10,FALSE)</f>
        <v>155,01,06</v>
      </c>
      <c r="H2067" s="27" t="str">
        <f>VLOOKUP($C2067,Carpetas!$C$5:$M$2666,6,FALSE)</f>
        <v>FG</v>
      </c>
      <c r="I2067" s="27" t="str">
        <f>VLOOKUP($C2067,Carpetas!$C$5:$M$2666,3,FALSE)</f>
        <v>Etimex</v>
      </c>
      <c r="J2067" s="47">
        <v>46076</v>
      </c>
      <c r="K2067" s="72" t="str">
        <f>VLOOKUP($C2067,Carpetas!$C$5:$M$2666,5,FALSE)</f>
        <v>Rio Branco</v>
      </c>
      <c r="L2067" s="32"/>
      <c r="M2067" s="48">
        <f t="shared" ref="M2067:M2106" si="148">J2067+1</f>
        <v>46077</v>
      </c>
      <c r="N2067" s="26">
        <f t="shared" si="147"/>
        <v>4</v>
      </c>
      <c r="O2067" s="27">
        <v>1008</v>
      </c>
      <c r="P2067" s="27">
        <v>1008</v>
      </c>
      <c r="Q2067" s="27">
        <v>28</v>
      </c>
      <c r="R2067" s="27">
        <v>26</v>
      </c>
      <c r="S2067" s="27" t="s">
        <v>1044</v>
      </c>
      <c r="T2067" s="27"/>
      <c r="U2067" s="27">
        <v>1396</v>
      </c>
      <c r="V2067" s="27" t="s">
        <v>1726</v>
      </c>
      <c r="W2067" s="27" t="s">
        <v>1646</v>
      </c>
      <c r="X2067" s="128"/>
      <c r="Y2067" s="73" t="e">
        <f>VLOOKUP(X2067,Choferes!$B$3:C473,2,FALSE)</f>
        <v>#N/A</v>
      </c>
      <c r="Z2067" s="73" t="s">
        <v>5583</v>
      </c>
    </row>
    <row r="2068" spans="1:26" ht="30" hidden="1" x14ac:dyDescent="0.25">
      <c r="A2068" s="222">
        <v>8</v>
      </c>
      <c r="B2068" s="71" t="s">
        <v>29</v>
      </c>
      <c r="C2068" s="39" t="s">
        <v>5553</v>
      </c>
      <c r="D2068" s="106" t="s">
        <v>249</v>
      </c>
      <c r="E2068" s="47">
        <v>46073</v>
      </c>
      <c r="F2068" s="31" t="str">
        <f>VLOOKUP($C2068,Carpetas!$C$5:$M$2666,2,FALSE)</f>
        <v>BRB017-26</v>
      </c>
      <c r="G2068" s="23" t="str">
        <f>VLOOKUP($C2068,Carpetas!$C$5:$M$2666,10,FALSE)</f>
        <v>155,01,06</v>
      </c>
      <c r="H2068" s="27" t="str">
        <f>VLOOKUP($C2068,Carpetas!$C$5:$M$2666,6,FALSE)</f>
        <v>FG</v>
      </c>
      <c r="I2068" s="27" t="str">
        <f>VLOOKUP($C2068,Carpetas!$C$5:$M$2666,3,FALSE)</f>
        <v>Etimex</v>
      </c>
      <c r="J2068" s="47">
        <v>46076</v>
      </c>
      <c r="K2068" s="72" t="str">
        <f>VLOOKUP($C2068,Carpetas!$C$5:$M$2666,5,FALSE)</f>
        <v>Rio Branco</v>
      </c>
      <c r="L2068" s="32"/>
      <c r="M2068" s="48">
        <f t="shared" si="148"/>
        <v>46077</v>
      </c>
      <c r="N2068" s="26">
        <f t="shared" si="147"/>
        <v>4</v>
      </c>
      <c r="O2068" s="27">
        <v>1008</v>
      </c>
      <c r="P2068" s="27">
        <v>1008</v>
      </c>
      <c r="Q2068" s="27">
        <v>28</v>
      </c>
      <c r="R2068" s="27">
        <v>26</v>
      </c>
      <c r="S2068" s="27" t="s">
        <v>5584</v>
      </c>
      <c r="T2068" s="27"/>
      <c r="U2068" s="27">
        <v>1395</v>
      </c>
      <c r="V2068" s="27" t="s">
        <v>911</v>
      </c>
      <c r="W2068" s="27" t="s">
        <v>912</v>
      </c>
      <c r="X2068" s="128"/>
      <c r="Y2068" s="73" t="e">
        <f>VLOOKUP(X2068,Choferes!$B$3:C475,2,FALSE)</f>
        <v>#N/A</v>
      </c>
      <c r="Z2068" s="73" t="s">
        <v>5585</v>
      </c>
    </row>
    <row r="2069" spans="1:26" hidden="1" x14ac:dyDescent="0.25">
      <c r="A2069" s="33">
        <v>8</v>
      </c>
      <c r="B2069" s="71" t="s">
        <v>29</v>
      </c>
      <c r="C2069" s="39" t="s">
        <v>5389</v>
      </c>
      <c r="D2069" s="106" t="s">
        <v>747</v>
      </c>
      <c r="E2069" s="47">
        <v>46073</v>
      </c>
      <c r="F2069" s="31" t="str">
        <f>VLOOKUP($C2069,Carpetas!$C$5:$M$2666,2,FALSE)</f>
        <v>BRB005-26</v>
      </c>
      <c r="G2069" s="23" t="str">
        <f>VLOOKUP($C2069,Carpetas!$C$5:$M$2666,10,FALSE)</f>
        <v>154,69,91</v>
      </c>
      <c r="H2069" s="27" t="str">
        <f>VLOOKUP($C2069,Carpetas!$C$5:$M$2666,6,FALSE)</f>
        <v>Zanini</v>
      </c>
      <c r="I2069" s="27" t="str">
        <f>VLOOKUP($C2069,Carpetas!$C$5:$M$2666,3,FALSE)</f>
        <v>A&amp;A</v>
      </c>
      <c r="J2069" s="47">
        <v>46076</v>
      </c>
      <c r="K2069" s="72" t="str">
        <f>VLOOKUP($C2069,Carpetas!$C$5:$M$2666,5,FALSE)</f>
        <v>Chuy</v>
      </c>
      <c r="L2069" s="32"/>
      <c r="M2069" s="48">
        <f t="shared" si="148"/>
        <v>46077</v>
      </c>
      <c r="N2069" s="26">
        <f t="shared" si="147"/>
        <v>4</v>
      </c>
      <c r="O2069" s="27">
        <v>918</v>
      </c>
      <c r="P2069" s="27">
        <v>919</v>
      </c>
      <c r="Q2069" s="27">
        <v>26</v>
      </c>
      <c r="R2069" s="27">
        <v>25</v>
      </c>
      <c r="S2069" s="27" t="s">
        <v>1401</v>
      </c>
      <c r="T2069" s="27"/>
      <c r="U2069" s="27"/>
      <c r="V2069" s="27" t="s">
        <v>5586</v>
      </c>
      <c r="W2069" s="27" t="s">
        <v>5587</v>
      </c>
      <c r="X2069" s="128"/>
      <c r="Y2069" s="73" t="e">
        <f>VLOOKUP(X2069,Choferes!$B$3:C475,2,FALSE)</f>
        <v>#N/A</v>
      </c>
      <c r="Z2069" s="73" t="s">
        <v>5588</v>
      </c>
    </row>
    <row r="2070" spans="1:26" hidden="1" x14ac:dyDescent="0.25">
      <c r="A2070" s="222">
        <v>8</v>
      </c>
      <c r="B2070" s="71" t="s">
        <v>29</v>
      </c>
      <c r="C2070" s="39" t="s">
        <v>5391</v>
      </c>
      <c r="D2070" s="224" t="s">
        <v>5542</v>
      </c>
      <c r="E2070" s="47">
        <v>46073</v>
      </c>
      <c r="F2070" s="31" t="str">
        <f>VLOOKUP($C2070,Carpetas!$C$5:$M$2666,2,FALSE)</f>
        <v>BRB006-26</v>
      </c>
      <c r="G2070" s="23" t="str">
        <f>VLOOKUP($C2070,Carpetas!$C$5:$M$2666,10,FALSE)</f>
        <v>154,69,90</v>
      </c>
      <c r="H2070" s="27" t="str">
        <f>VLOOKUP($C2070,Carpetas!$C$5:$M$2666,6,FALSE)</f>
        <v>Chabat</v>
      </c>
      <c r="I2070" s="27" t="str">
        <f>VLOOKUP($C2070,Carpetas!$C$5:$M$2666,3,FALSE)</f>
        <v>A&amp;A</v>
      </c>
      <c r="J2070" s="47">
        <v>46076</v>
      </c>
      <c r="K2070" s="72" t="str">
        <f>VLOOKUP($C2070,Carpetas!$C$5:$M$2666,5,FALSE)</f>
        <v>Rio Branco</v>
      </c>
      <c r="L2070" s="32"/>
      <c r="M2070" s="48">
        <f t="shared" si="148"/>
        <v>46077</v>
      </c>
      <c r="N2070" s="26">
        <f t="shared" si="147"/>
        <v>4</v>
      </c>
      <c r="O2070" s="27">
        <v>1008</v>
      </c>
      <c r="P2070" s="27">
        <v>1008</v>
      </c>
      <c r="Q2070" s="27">
        <v>28</v>
      </c>
      <c r="R2070" s="27">
        <v>26</v>
      </c>
      <c r="S2070" s="167" t="s">
        <v>5589</v>
      </c>
      <c r="T2070" s="27"/>
      <c r="U2070" s="27"/>
      <c r="V2070" s="27" t="s">
        <v>5590</v>
      </c>
      <c r="W2070" s="27" t="s">
        <v>5591</v>
      </c>
      <c r="X2070" s="128"/>
      <c r="Y2070" s="73" t="e">
        <f>VLOOKUP(X2070,Choferes!$B$3:C476,2,FALSE)</f>
        <v>#N/A</v>
      </c>
      <c r="Z2070" s="73" t="s">
        <v>5592</v>
      </c>
    </row>
    <row r="2071" spans="1:26" hidden="1" x14ac:dyDescent="0.25">
      <c r="A2071" s="222">
        <v>8</v>
      </c>
      <c r="B2071" s="71" t="s">
        <v>29</v>
      </c>
      <c r="C2071" s="39" t="s">
        <v>5567</v>
      </c>
      <c r="D2071" s="106" t="s">
        <v>2202</v>
      </c>
      <c r="E2071" s="47">
        <v>46073</v>
      </c>
      <c r="F2071" s="31" t="str">
        <f>VLOOKUP($C2071,Carpetas!$C$5:$M$2666,2,FALSE)</f>
        <v>BRB019-26</v>
      </c>
      <c r="G2071" s="23">
        <f>VLOOKUP($C2071,Carpetas!$C$5:$M$2666,10,FALSE)</f>
        <v>1550406</v>
      </c>
      <c r="H2071" s="27" t="str">
        <f>VLOOKUP($C2071,Carpetas!$C$5:$M$2666,6,FALSE)</f>
        <v>AXT</v>
      </c>
      <c r="I2071" s="27" t="str">
        <f>VLOOKUP($C2071,Carpetas!$C$5:$M$2666,3,FALSE)</f>
        <v>A&amp;A</v>
      </c>
      <c r="J2071" s="47">
        <v>46076</v>
      </c>
      <c r="K2071" s="72" t="str">
        <f>VLOOKUP($C2071,Carpetas!$C$5:$M$2666,5,FALSE)</f>
        <v>Chuy</v>
      </c>
      <c r="L2071" s="32"/>
      <c r="M2071" s="48">
        <f t="shared" si="148"/>
        <v>46077</v>
      </c>
      <c r="N2071" s="26">
        <f t="shared" si="147"/>
        <v>4</v>
      </c>
      <c r="O2071" s="27">
        <v>936</v>
      </c>
      <c r="P2071" s="27">
        <v>936</v>
      </c>
      <c r="Q2071" s="27">
        <v>26</v>
      </c>
      <c r="R2071" s="27">
        <v>25</v>
      </c>
      <c r="S2071" s="27" t="s">
        <v>4478</v>
      </c>
      <c r="T2071" s="27"/>
      <c r="U2071" s="27"/>
      <c r="V2071" s="27" t="s">
        <v>3160</v>
      </c>
      <c r="W2071" s="27" t="s">
        <v>5593</v>
      </c>
      <c r="X2071" s="128"/>
      <c r="Y2071" s="73" t="e">
        <f>VLOOKUP(X2071,Choferes!$B$3:C469,2,FALSE)</f>
        <v>#N/A</v>
      </c>
      <c r="Z2071" s="73" t="s">
        <v>5594</v>
      </c>
    </row>
    <row r="2072" spans="1:26" hidden="1" x14ac:dyDescent="0.25">
      <c r="A2072" s="222">
        <v>8</v>
      </c>
      <c r="B2072" s="71" t="s">
        <v>29</v>
      </c>
      <c r="C2072" s="39" t="s">
        <v>5567</v>
      </c>
      <c r="D2072" s="106" t="s">
        <v>2202</v>
      </c>
      <c r="E2072" s="47">
        <v>46074</v>
      </c>
      <c r="F2072" s="31" t="str">
        <f>VLOOKUP($C2072,Carpetas!$C$5:$M$2666,2,FALSE)</f>
        <v>BRB019-26</v>
      </c>
      <c r="G2072" s="23">
        <f>VLOOKUP($C2072,Carpetas!$C$5:$M$2666,10,FALSE)</f>
        <v>1550406</v>
      </c>
      <c r="H2072" s="27" t="str">
        <f>VLOOKUP($C2072,Carpetas!$C$5:$M$2666,6,FALSE)</f>
        <v>AXT</v>
      </c>
      <c r="I2072" s="27" t="str">
        <f>VLOOKUP($C2072,Carpetas!$C$5:$M$2666,3,FALSE)</f>
        <v>A&amp;A</v>
      </c>
      <c r="J2072" s="47">
        <f>E2072+2</f>
        <v>46076</v>
      </c>
      <c r="K2072" s="72" t="str">
        <f>VLOOKUP($C2072,Carpetas!$C$5:$M$2666,5,FALSE)</f>
        <v>Chuy</v>
      </c>
      <c r="L2072" s="32"/>
      <c r="M2072" s="48">
        <f t="shared" si="148"/>
        <v>46077</v>
      </c>
      <c r="N2072" s="26">
        <f t="shared" si="147"/>
        <v>3</v>
      </c>
      <c r="O2072" s="27">
        <v>936</v>
      </c>
      <c r="P2072" s="27">
        <v>936</v>
      </c>
      <c r="Q2072" s="27">
        <v>26</v>
      </c>
      <c r="R2072" s="27">
        <v>25</v>
      </c>
      <c r="S2072" s="27" t="s">
        <v>4502</v>
      </c>
      <c r="T2072" s="27"/>
      <c r="U2072" s="27"/>
      <c r="V2072" s="27" t="s">
        <v>5595</v>
      </c>
      <c r="W2072" s="27" t="s">
        <v>5455</v>
      </c>
      <c r="X2072" s="128"/>
      <c r="Y2072" s="73" t="e">
        <f>VLOOKUP(X2072,Choferes!$B$3:C470,2,FALSE)</f>
        <v>#N/A</v>
      </c>
      <c r="Z2072" s="73" t="s">
        <v>5594</v>
      </c>
    </row>
    <row r="2073" spans="1:26" hidden="1" x14ac:dyDescent="0.25">
      <c r="A2073" s="222">
        <v>8</v>
      </c>
      <c r="B2073" s="71" t="s">
        <v>29</v>
      </c>
      <c r="C2073" s="39" t="s">
        <v>5553</v>
      </c>
      <c r="D2073" s="106" t="s">
        <v>803</v>
      </c>
      <c r="E2073" s="47">
        <v>46074</v>
      </c>
      <c r="F2073" s="31" t="str">
        <f>VLOOKUP($C2073,Carpetas!$C$5:$M$2666,2,FALSE)</f>
        <v>BRB017-26</v>
      </c>
      <c r="G2073" s="23" t="str">
        <f>VLOOKUP($C2073,Carpetas!$C$5:$M$2666,10,FALSE)</f>
        <v>155,01,06</v>
      </c>
      <c r="H2073" s="27" t="str">
        <f>VLOOKUP($C2073,Carpetas!$C$5:$M$2666,6,FALSE)</f>
        <v>FG</v>
      </c>
      <c r="I2073" s="27" t="str">
        <f>VLOOKUP($C2073,Carpetas!$C$5:$M$2666,3,FALSE)</f>
        <v>Etimex</v>
      </c>
      <c r="J2073" s="47">
        <f>E2073+2</f>
        <v>46076</v>
      </c>
      <c r="K2073" s="72" t="str">
        <f>VLOOKUP($C2073,Carpetas!$C$5:$M$2666,5,FALSE)</f>
        <v>Rio Branco</v>
      </c>
      <c r="L2073" s="32"/>
      <c r="M2073" s="48">
        <f t="shared" si="148"/>
        <v>46077</v>
      </c>
      <c r="N2073" s="26">
        <f t="shared" si="147"/>
        <v>3</v>
      </c>
      <c r="O2073" s="27">
        <v>1008</v>
      </c>
      <c r="P2073" s="27">
        <v>1020</v>
      </c>
      <c r="Q2073" s="27">
        <v>28</v>
      </c>
      <c r="R2073" s="27">
        <v>26</v>
      </c>
      <c r="S2073" s="27" t="s">
        <v>1041</v>
      </c>
      <c r="T2073" s="27"/>
      <c r="U2073" s="27">
        <v>1400</v>
      </c>
      <c r="V2073" s="27" t="s">
        <v>1630</v>
      </c>
      <c r="W2073" s="27" t="s">
        <v>1934</v>
      </c>
      <c r="X2073" s="128"/>
      <c r="Y2073" s="73" t="e">
        <f>VLOOKUP(X2073,Choferes!$B$3:C457,2,FALSE)</f>
        <v>#N/A</v>
      </c>
      <c r="Z2073" s="73" t="s">
        <v>5596</v>
      </c>
    </row>
    <row r="2074" spans="1:26" hidden="1" x14ac:dyDescent="0.25">
      <c r="A2074" s="222">
        <v>8</v>
      </c>
      <c r="B2074" s="71" t="s">
        <v>29</v>
      </c>
      <c r="C2074" s="39" t="s">
        <v>5597</v>
      </c>
      <c r="D2074" s="106" t="s">
        <v>42</v>
      </c>
      <c r="E2074" s="47">
        <v>46074</v>
      </c>
      <c r="F2074" s="31" t="str">
        <f>VLOOKUP($C2074,Carpetas!$C$5:$M$2666,2,FALSE)</f>
        <v>PYB016/26</v>
      </c>
      <c r="G2074" s="23" t="str">
        <f>VLOOKUP($C2074,Carpetas!$C$5:$M$2666,10,FALSE)</f>
        <v>155,07,25</v>
      </c>
      <c r="H2074" s="27" t="str">
        <f>VLOOKUP($C2074,Carpetas!$C$5:$M$2666,6,FALSE)</f>
        <v>Surcentral</v>
      </c>
      <c r="I2074" s="27" t="str">
        <f>VLOOKUP($C2074,Carpetas!$C$5:$M$2666,3,FALSE)</f>
        <v>Servi Fel</v>
      </c>
      <c r="J2074" s="47">
        <v>46078</v>
      </c>
      <c r="K2074" s="72" t="str">
        <f>VLOOKUP($C2074,Carpetas!$C$5:$M$2666,5,FALSE)</f>
        <v>Salto</v>
      </c>
      <c r="L2074" s="32"/>
      <c r="M2074" s="48">
        <f t="shared" si="148"/>
        <v>46079</v>
      </c>
      <c r="N2074" s="26">
        <f t="shared" si="147"/>
        <v>5</v>
      </c>
      <c r="O2074" s="27">
        <v>936</v>
      </c>
      <c r="P2074" s="27">
        <v>938</v>
      </c>
      <c r="Q2074" s="27">
        <v>26</v>
      </c>
      <c r="R2074" s="27">
        <v>25</v>
      </c>
      <c r="S2074" s="27" t="s">
        <v>5598</v>
      </c>
      <c r="T2074" s="27"/>
      <c r="U2074" s="27"/>
      <c r="V2074" s="27"/>
      <c r="W2074" s="27"/>
      <c r="X2074" s="128"/>
      <c r="Y2074" s="73" t="e">
        <f>VLOOKUP(X2074,Choferes!$B$3:C464,2,FALSE)</f>
        <v>#N/A</v>
      </c>
      <c r="Z2074" s="73" t="s">
        <v>5599</v>
      </c>
    </row>
    <row r="2075" spans="1:26" hidden="1" x14ac:dyDescent="0.25">
      <c r="A2075" s="222">
        <v>9</v>
      </c>
      <c r="B2075" s="71" t="s">
        <v>29</v>
      </c>
      <c r="C2075" s="39" t="s">
        <v>5553</v>
      </c>
      <c r="D2075" s="106" t="s">
        <v>747</v>
      </c>
      <c r="E2075" s="47">
        <v>46076</v>
      </c>
      <c r="F2075" s="31" t="str">
        <f>VLOOKUP($C2075,Carpetas!$C$5:$M$2666,2,FALSE)</f>
        <v>BRB017-26</v>
      </c>
      <c r="G2075" s="23" t="str">
        <f>VLOOKUP($C2075,Carpetas!$C$5:$M$2666,10,FALSE)</f>
        <v>155,01,06</v>
      </c>
      <c r="H2075" s="27" t="str">
        <f>VLOOKUP($C2075,Carpetas!$C$5:$M$2666,6,FALSE)</f>
        <v>FG</v>
      </c>
      <c r="I2075" s="27" t="str">
        <f>VLOOKUP($C2075,Carpetas!$C$5:$M$2666,3,FALSE)</f>
        <v>Etimex</v>
      </c>
      <c r="J2075" s="47">
        <f>E2075+2</f>
        <v>46078</v>
      </c>
      <c r="K2075" s="72" t="str">
        <f>VLOOKUP($C2075,Carpetas!$C$5:$M$2666,5,FALSE)</f>
        <v>Rio Branco</v>
      </c>
      <c r="L2075" s="32"/>
      <c r="M2075" s="48">
        <f t="shared" si="148"/>
        <v>46079</v>
      </c>
      <c r="N2075" s="26">
        <f t="shared" si="147"/>
        <v>3</v>
      </c>
      <c r="O2075" s="27">
        <v>1008</v>
      </c>
      <c r="P2075" s="27">
        <v>1009</v>
      </c>
      <c r="Q2075" s="27">
        <v>28</v>
      </c>
      <c r="R2075" s="27">
        <v>26</v>
      </c>
      <c r="S2075" s="27" t="s">
        <v>1475</v>
      </c>
      <c r="T2075" s="27"/>
      <c r="U2075" s="27">
        <v>1403</v>
      </c>
      <c r="V2075" s="27" t="s">
        <v>1636</v>
      </c>
      <c r="W2075" s="27" t="s">
        <v>3818</v>
      </c>
      <c r="X2075" s="128" t="s">
        <v>1623</v>
      </c>
      <c r="Y2075" s="73" t="str">
        <f>VLOOKUP(X2075,Choferes!$B$3:C459,2,FALSE)</f>
        <v>+5553991254560</v>
      </c>
      <c r="Z2075" s="73" t="s">
        <v>5600</v>
      </c>
    </row>
    <row r="2076" spans="1:26" hidden="1" x14ac:dyDescent="0.25">
      <c r="A2076" s="222">
        <v>9</v>
      </c>
      <c r="B2076" s="71" t="s">
        <v>29</v>
      </c>
      <c r="C2076" s="39" t="s">
        <v>5601</v>
      </c>
      <c r="D2076" s="106" t="s">
        <v>183</v>
      </c>
      <c r="E2076" s="47">
        <v>46076</v>
      </c>
      <c r="F2076" s="31" t="str">
        <f>VLOOKUP($C2076,Carpetas!$C$5:$M$2666,2,FALSE)</f>
        <v>PYB017/26</v>
      </c>
      <c r="G2076" s="23" t="str">
        <f>VLOOKUP($C2076,Carpetas!$C$5:$M$2666,10,FALSE)</f>
        <v>155.10.43</v>
      </c>
      <c r="H2076" s="27" t="str">
        <f>VLOOKUP($C2076,Carpetas!$C$5:$M$2666,6,FALSE)</f>
        <v>Mega</v>
      </c>
      <c r="I2076" s="27" t="str">
        <f>VLOOKUP($C2076,Carpetas!$C$5:$M$2666,3,FALSE)</f>
        <v>Hugo Franco</v>
      </c>
      <c r="J2076" s="47">
        <v>46078</v>
      </c>
      <c r="K2076" s="72" t="str">
        <f>VLOOKUP($C2076,Carpetas!$C$5:$M$2666,5,FALSE)</f>
        <v>Salto</v>
      </c>
      <c r="L2076" s="32"/>
      <c r="M2076" s="48">
        <f t="shared" si="148"/>
        <v>46079</v>
      </c>
      <c r="N2076" s="26">
        <f t="shared" si="147"/>
        <v>3</v>
      </c>
      <c r="O2076" s="27">
        <v>936</v>
      </c>
      <c r="P2076" s="27">
        <v>936</v>
      </c>
      <c r="Q2076" s="27">
        <v>26</v>
      </c>
      <c r="R2076" s="27">
        <v>27</v>
      </c>
      <c r="S2076" s="27" t="s">
        <v>5602</v>
      </c>
      <c r="T2076" s="27"/>
      <c r="U2076" s="27"/>
      <c r="V2076" s="27"/>
      <c r="W2076" s="27"/>
      <c r="X2076" s="128"/>
      <c r="Y2076" s="73" t="e">
        <f>VLOOKUP(X2076,Choferes!$B$3:C472,2,FALSE)</f>
        <v>#N/A</v>
      </c>
      <c r="Z2076" s="73" t="s">
        <v>5603</v>
      </c>
    </row>
    <row r="2077" spans="1:26" hidden="1" x14ac:dyDescent="0.25">
      <c r="A2077" s="222">
        <v>9</v>
      </c>
      <c r="B2077" s="71" t="s">
        <v>29</v>
      </c>
      <c r="C2077" s="39" t="s">
        <v>5604</v>
      </c>
      <c r="D2077" s="106" t="s">
        <v>2202</v>
      </c>
      <c r="E2077" s="47">
        <v>46077</v>
      </c>
      <c r="F2077" s="31" t="str">
        <f>VLOOKUP($C2077,Carpetas!$C$5:$M$2666,2,FALSE)</f>
        <v>BRB020-26</v>
      </c>
      <c r="G2077" s="23" t="str">
        <f>VLOOKUP($C2077,Carpetas!$C$5:$M$2666,10,FALSE)</f>
        <v>155.10.40</v>
      </c>
      <c r="H2077" s="27" t="str">
        <f>VLOOKUP($C2077,Carpetas!$C$5:$M$2666,6,FALSE)</f>
        <v>AXT</v>
      </c>
      <c r="I2077" s="27" t="str">
        <f>VLOOKUP($C2077,Carpetas!$C$5:$M$2666,3,FALSE)</f>
        <v>A&amp;A</v>
      </c>
      <c r="J2077" s="47">
        <f>E2077+2</f>
        <v>46079</v>
      </c>
      <c r="K2077" s="72" t="str">
        <f>VLOOKUP($C2077,Carpetas!$C$5:$M$2666,5,FALSE)</f>
        <v>Chuy</v>
      </c>
      <c r="L2077" s="32"/>
      <c r="M2077" s="48">
        <f t="shared" si="148"/>
        <v>46080</v>
      </c>
      <c r="N2077" s="26">
        <f t="shared" si="147"/>
        <v>3</v>
      </c>
      <c r="O2077" s="27">
        <v>936</v>
      </c>
      <c r="P2077" s="27">
        <v>936</v>
      </c>
      <c r="Q2077" s="27">
        <v>26</v>
      </c>
      <c r="R2077" s="27">
        <v>25</v>
      </c>
      <c r="S2077" s="27" t="s">
        <v>4508</v>
      </c>
      <c r="T2077" s="27"/>
      <c r="U2077" s="27"/>
      <c r="V2077" s="27" t="s">
        <v>5605</v>
      </c>
      <c r="W2077" s="27" t="s">
        <v>5606</v>
      </c>
      <c r="X2077" s="128"/>
      <c r="Y2077" s="73" t="e">
        <f>VLOOKUP(X2077,Choferes!$B$3:C467,2,FALSE)</f>
        <v>#N/A</v>
      </c>
      <c r="Z2077" s="73" t="s">
        <v>5607</v>
      </c>
    </row>
    <row r="2078" spans="1:26" hidden="1" x14ac:dyDescent="0.25">
      <c r="A2078" s="222">
        <v>9</v>
      </c>
      <c r="B2078" s="71" t="s">
        <v>29</v>
      </c>
      <c r="C2078" s="39" t="s">
        <v>5608</v>
      </c>
      <c r="D2078" s="106" t="s">
        <v>42</v>
      </c>
      <c r="E2078" s="47">
        <v>46076</v>
      </c>
      <c r="F2078" s="31" t="str">
        <f>VLOOKUP($C2078,Carpetas!$C$5:$M$2666,2,FALSE)</f>
        <v>PYB018/26</v>
      </c>
      <c r="G2078" s="23" t="str">
        <f>VLOOKUP($C2078,Carpetas!$C$5:$M$2666,10,FALSE)</f>
        <v>155.09.93</v>
      </c>
      <c r="H2078" s="27" t="str">
        <f>VLOOKUP($C2078,Carpetas!$C$5:$M$2666,6,FALSE)</f>
        <v>Surcentral</v>
      </c>
      <c r="I2078" s="27" t="str">
        <f>VLOOKUP($C2078,Carpetas!$C$5:$M$2666,3,FALSE)</f>
        <v>Servi Fel</v>
      </c>
      <c r="J2078" s="47">
        <v>46079</v>
      </c>
      <c r="K2078" s="72" t="str">
        <f>VLOOKUP($C2078,Carpetas!$C$5:$M$2666,5,FALSE)</f>
        <v>Salto</v>
      </c>
      <c r="L2078" s="32"/>
      <c r="M2078" s="48">
        <f t="shared" si="148"/>
        <v>46080</v>
      </c>
      <c r="N2078" s="26">
        <f t="shared" si="147"/>
        <v>4</v>
      </c>
      <c r="O2078" s="27">
        <v>980</v>
      </c>
      <c r="P2078" s="27">
        <v>982</v>
      </c>
      <c r="Q2078" s="27">
        <v>28</v>
      </c>
      <c r="R2078" s="27">
        <v>27</v>
      </c>
      <c r="S2078" s="27" t="s">
        <v>239</v>
      </c>
      <c r="T2078" s="27"/>
      <c r="U2078" s="27"/>
      <c r="V2078" s="27"/>
      <c r="W2078" s="27"/>
      <c r="X2078" s="128"/>
      <c r="Y2078" s="73" t="e">
        <f>VLOOKUP(X2078,Choferes!$B$3:C473,2,FALSE)</f>
        <v>#N/A</v>
      </c>
      <c r="Z2078" s="73" t="s">
        <v>5609</v>
      </c>
    </row>
    <row r="2079" spans="1:26" hidden="1" x14ac:dyDescent="0.25">
      <c r="A2079" s="222">
        <v>9</v>
      </c>
      <c r="B2079" s="71" t="s">
        <v>29</v>
      </c>
      <c r="C2079" s="39" t="s">
        <v>5553</v>
      </c>
      <c r="D2079" s="106" t="s">
        <v>803</v>
      </c>
      <c r="E2079" s="47">
        <v>46077</v>
      </c>
      <c r="F2079" s="31" t="str">
        <f>VLOOKUP($C2079,Carpetas!$C$5:$M$2666,2,FALSE)</f>
        <v>BRB017-26</v>
      </c>
      <c r="G2079" s="23" t="str">
        <f>VLOOKUP($C2079,Carpetas!$C$5:$M$2666,10,FALSE)</f>
        <v>155,01,06</v>
      </c>
      <c r="H2079" s="27" t="str">
        <f>VLOOKUP($C2079,Carpetas!$C$5:$M$2666,6,FALSE)</f>
        <v>FG</v>
      </c>
      <c r="I2079" s="27" t="str">
        <f>VLOOKUP($C2079,Carpetas!$C$5:$M$2666,3,FALSE)</f>
        <v>Etimex</v>
      </c>
      <c r="J2079" s="47">
        <f>E2079+2</f>
        <v>46079</v>
      </c>
      <c r="K2079" s="72" t="str">
        <f>VLOOKUP($C2079,Carpetas!$C$5:$M$2666,5,FALSE)</f>
        <v>Rio Branco</v>
      </c>
      <c r="L2079" s="32"/>
      <c r="M2079" s="48">
        <f t="shared" si="148"/>
        <v>46080</v>
      </c>
      <c r="N2079" s="26">
        <f t="shared" si="147"/>
        <v>3</v>
      </c>
      <c r="O2079" s="27">
        <v>1008</v>
      </c>
      <c r="P2079" s="27">
        <v>1008</v>
      </c>
      <c r="Q2079" s="27">
        <v>28</v>
      </c>
      <c r="R2079" s="27">
        <v>26</v>
      </c>
      <c r="S2079" s="27" t="s">
        <v>1091</v>
      </c>
      <c r="T2079" s="27"/>
      <c r="U2079" s="27">
        <v>1404</v>
      </c>
      <c r="V2079" s="27" t="s">
        <v>3411</v>
      </c>
      <c r="W2079" s="27" t="s">
        <v>5398</v>
      </c>
      <c r="X2079" s="128"/>
      <c r="Y2079" s="73" t="e">
        <f>VLOOKUP(X2079,Choferes!$B$3:C458,2,FALSE)</f>
        <v>#N/A</v>
      </c>
      <c r="Z2079" s="73" t="s">
        <v>5610</v>
      </c>
    </row>
    <row r="2080" spans="1:26" hidden="1" x14ac:dyDescent="0.25">
      <c r="A2080" s="222">
        <v>9</v>
      </c>
      <c r="B2080" s="71" t="s">
        <v>29</v>
      </c>
      <c r="C2080" s="39" t="s">
        <v>5604</v>
      </c>
      <c r="D2080" s="106" t="s">
        <v>2202</v>
      </c>
      <c r="E2080" s="47">
        <v>46077</v>
      </c>
      <c r="F2080" s="31" t="str">
        <f>VLOOKUP($C2080,Carpetas!$C$5:$M$2666,2,FALSE)</f>
        <v>BRB020-26</v>
      </c>
      <c r="G2080" s="23" t="str">
        <f>VLOOKUP($C2080,Carpetas!$C$5:$M$2666,10,FALSE)</f>
        <v>155.10.40</v>
      </c>
      <c r="H2080" s="27" t="str">
        <f>VLOOKUP($C2080,Carpetas!$C$5:$M$2666,6,FALSE)</f>
        <v>AXT</v>
      </c>
      <c r="I2080" s="27" t="str">
        <f>VLOOKUP($C2080,Carpetas!$C$5:$M$2666,3,FALSE)</f>
        <v>A&amp;A</v>
      </c>
      <c r="J2080" s="47">
        <f>E2080+2</f>
        <v>46079</v>
      </c>
      <c r="K2080" s="72" t="str">
        <f>VLOOKUP($C2080,Carpetas!$C$5:$M$2666,5,FALSE)</f>
        <v>Chuy</v>
      </c>
      <c r="L2080" s="32"/>
      <c r="M2080" s="48">
        <f t="shared" si="148"/>
        <v>46080</v>
      </c>
      <c r="N2080" s="26">
        <f t="shared" si="147"/>
        <v>3</v>
      </c>
      <c r="O2080" s="27">
        <v>936</v>
      </c>
      <c r="P2080" s="27">
        <v>937</v>
      </c>
      <c r="Q2080" s="27">
        <v>26</v>
      </c>
      <c r="R2080" s="27">
        <v>25</v>
      </c>
      <c r="S2080" s="27" t="s">
        <v>4535</v>
      </c>
      <c r="T2080" s="27"/>
      <c r="U2080" s="27"/>
      <c r="V2080" s="27" t="s">
        <v>5611</v>
      </c>
      <c r="W2080" s="27" t="s">
        <v>5612</v>
      </c>
      <c r="X2080" s="128"/>
      <c r="Y2080" s="73" t="e">
        <f>VLOOKUP(X2080,Choferes!$B$3:C468,2,FALSE)</f>
        <v>#N/A</v>
      </c>
      <c r="Z2080" s="73" t="s">
        <v>5613</v>
      </c>
    </row>
    <row r="2081" spans="1:26" hidden="1" x14ac:dyDescent="0.25">
      <c r="A2081" s="222">
        <v>9</v>
      </c>
      <c r="B2081" s="71" t="s">
        <v>29</v>
      </c>
      <c r="C2081" s="39" t="s">
        <v>5614</v>
      </c>
      <c r="D2081" s="106" t="s">
        <v>2474</v>
      </c>
      <c r="E2081" s="47">
        <v>46078</v>
      </c>
      <c r="F2081" s="31" t="str">
        <f>VLOOKUP($C2081,Carpetas!$C$5:$M$2666,2,FALSE)</f>
        <v>BRB021-26</v>
      </c>
      <c r="G2081" s="23" t="str">
        <f>VLOOKUP($C2081,Carpetas!$C$5:$M$2666,10,FALSE)</f>
        <v>155.13.13</v>
      </c>
      <c r="H2081" s="27" t="str">
        <f>VLOOKUP($C2081,Carpetas!$C$5:$M$2666,6,FALSE)</f>
        <v>FG</v>
      </c>
      <c r="I2081" s="27" t="str">
        <f>VLOOKUP($C2081,Carpetas!$C$5:$M$2666,3,FALSE)</f>
        <v>Etimex</v>
      </c>
      <c r="J2081" s="47">
        <v>46079</v>
      </c>
      <c r="K2081" s="72" t="str">
        <f>VLOOKUP($C2081,Carpetas!$C$5:$M$2666,5,FALSE)</f>
        <v>Rio Branco</v>
      </c>
      <c r="L2081" s="32"/>
      <c r="M2081" s="48">
        <f t="shared" si="148"/>
        <v>46080</v>
      </c>
      <c r="N2081" s="26">
        <f t="shared" si="147"/>
        <v>2</v>
      </c>
      <c r="O2081" s="27">
        <v>1008</v>
      </c>
      <c r="P2081" s="27">
        <v>1008</v>
      </c>
      <c r="Q2081" s="27">
        <v>28</v>
      </c>
      <c r="R2081" s="27">
        <v>26</v>
      </c>
      <c r="S2081" s="27" t="s">
        <v>3656</v>
      </c>
      <c r="T2081" s="27"/>
      <c r="U2081" s="27">
        <v>1408</v>
      </c>
      <c r="V2081" s="27" t="s">
        <v>1042</v>
      </c>
      <c r="W2081" s="27" t="s">
        <v>1669</v>
      </c>
      <c r="X2081" s="128"/>
      <c r="Y2081" s="73" t="e">
        <f>VLOOKUP(X2081,Choferes!$B$3:C462,2,FALSE)</f>
        <v>#N/A</v>
      </c>
      <c r="Z2081" s="73" t="s">
        <v>5610</v>
      </c>
    </row>
    <row r="2082" spans="1:26" hidden="1" x14ac:dyDescent="0.25">
      <c r="A2082" s="222">
        <v>9</v>
      </c>
      <c r="B2082" s="71" t="s">
        <v>29</v>
      </c>
      <c r="C2082" s="39" t="s">
        <v>5614</v>
      </c>
      <c r="D2082" s="106" t="s">
        <v>110</v>
      </c>
      <c r="E2082" s="47">
        <v>46078</v>
      </c>
      <c r="F2082" s="31" t="str">
        <f>VLOOKUP($C2082,Carpetas!$C$5:$M$2666,2,FALSE)</f>
        <v>BRB021-26</v>
      </c>
      <c r="G2082" s="23" t="str">
        <f>VLOOKUP($C2082,Carpetas!$C$5:$M$2666,10,FALSE)</f>
        <v>155.13.13</v>
      </c>
      <c r="H2082" s="27" t="str">
        <f>VLOOKUP($C2082,Carpetas!$C$5:$M$2666,6,FALSE)</f>
        <v>FG</v>
      </c>
      <c r="I2082" s="27" t="str">
        <f>VLOOKUP($C2082,Carpetas!$C$5:$M$2666,3,FALSE)</f>
        <v>Etimex</v>
      </c>
      <c r="J2082" s="47">
        <f t="shared" ref="J2082:J2089" si="149">E2082+2</f>
        <v>46080</v>
      </c>
      <c r="K2082" s="72" t="str">
        <f>VLOOKUP($C2082,Carpetas!$C$5:$M$2666,5,FALSE)</f>
        <v>Rio Branco</v>
      </c>
      <c r="L2082" s="32"/>
      <c r="M2082" s="48">
        <f t="shared" si="148"/>
        <v>46081</v>
      </c>
      <c r="N2082" s="26">
        <f t="shared" si="147"/>
        <v>3</v>
      </c>
      <c r="O2082" s="27">
        <v>1008</v>
      </c>
      <c r="P2082" s="27">
        <v>1008</v>
      </c>
      <c r="Q2082" s="27">
        <v>28</v>
      </c>
      <c r="R2082" s="27">
        <v>26</v>
      </c>
      <c r="S2082" s="27" t="s">
        <v>788</v>
      </c>
      <c r="T2082" s="27"/>
      <c r="U2082" s="27"/>
      <c r="V2082" s="27"/>
      <c r="W2082" s="27"/>
      <c r="X2082" s="128"/>
      <c r="Y2082" s="73" t="e">
        <f>VLOOKUP(X2082,Choferes!$B$3:C461,2,FALSE)</f>
        <v>#N/A</v>
      </c>
      <c r="Z2082" s="73" t="s">
        <v>5615</v>
      </c>
    </row>
    <row r="2083" spans="1:26" hidden="1" x14ac:dyDescent="0.25">
      <c r="A2083" s="222">
        <v>9</v>
      </c>
      <c r="B2083" s="71" t="s">
        <v>29</v>
      </c>
      <c r="C2083" s="39" t="s">
        <v>5604</v>
      </c>
      <c r="D2083" s="106" t="s">
        <v>2202</v>
      </c>
      <c r="E2083" s="47">
        <v>46078</v>
      </c>
      <c r="F2083" s="31" t="str">
        <f>VLOOKUP($C2083,Carpetas!$C$5:$M$2666,2,FALSE)</f>
        <v>BRB020-26</v>
      </c>
      <c r="G2083" s="23" t="str">
        <f>VLOOKUP($C2083,Carpetas!$C$5:$M$2666,10,FALSE)</f>
        <v>155.10.40</v>
      </c>
      <c r="H2083" s="27" t="str">
        <f>VLOOKUP($C2083,Carpetas!$C$5:$M$2666,6,FALSE)</f>
        <v>AXT</v>
      </c>
      <c r="I2083" s="27" t="str">
        <f>VLOOKUP($C2083,Carpetas!$C$5:$M$2666,3,FALSE)</f>
        <v>A&amp;A</v>
      </c>
      <c r="J2083" s="47">
        <f t="shared" si="149"/>
        <v>46080</v>
      </c>
      <c r="K2083" s="72" t="str">
        <f>VLOOKUP($C2083,Carpetas!$C$5:$M$2666,5,FALSE)</f>
        <v>Chuy</v>
      </c>
      <c r="L2083" s="32"/>
      <c r="M2083" s="48">
        <f t="shared" si="148"/>
        <v>46081</v>
      </c>
      <c r="N2083" s="26">
        <f t="shared" si="147"/>
        <v>3</v>
      </c>
      <c r="O2083" s="27">
        <v>936</v>
      </c>
      <c r="P2083" s="27">
        <v>937</v>
      </c>
      <c r="Q2083" s="27">
        <v>26</v>
      </c>
      <c r="R2083" s="27">
        <v>25</v>
      </c>
      <c r="S2083" s="27" t="s">
        <v>4566</v>
      </c>
      <c r="T2083" s="27"/>
      <c r="U2083" s="27"/>
      <c r="V2083" s="27" t="s">
        <v>5460</v>
      </c>
      <c r="W2083" s="27" t="s">
        <v>5461</v>
      </c>
      <c r="X2083" s="128"/>
      <c r="Y2083" s="73" t="e">
        <f>VLOOKUP(X2083,Choferes!$B$3:C469,2,FALSE)</f>
        <v>#N/A</v>
      </c>
      <c r="Z2083" s="73" t="s">
        <v>5616</v>
      </c>
    </row>
    <row r="2084" spans="1:26" hidden="1" x14ac:dyDescent="0.25">
      <c r="A2084" s="222">
        <v>9</v>
      </c>
      <c r="B2084" s="71" t="s">
        <v>29</v>
      </c>
      <c r="C2084" s="39" t="s">
        <v>5614</v>
      </c>
      <c r="D2084" s="106" t="s">
        <v>803</v>
      </c>
      <c r="E2084" s="47">
        <v>46080</v>
      </c>
      <c r="F2084" s="31" t="str">
        <f>VLOOKUP($C2084,Carpetas!$C$5:$M$2666,2,FALSE)</f>
        <v>BRB021-26</v>
      </c>
      <c r="G2084" s="23" t="str">
        <f>VLOOKUP($C2084,Carpetas!$C$5:$M$2666,10,FALSE)</f>
        <v>155.13.13</v>
      </c>
      <c r="H2084" s="27" t="str">
        <f>VLOOKUP($C2084,Carpetas!$C$5:$M$2666,6,FALSE)</f>
        <v>FG</v>
      </c>
      <c r="I2084" s="27" t="str">
        <f>VLOOKUP($C2084,Carpetas!$C$5:$M$2666,3,FALSE)</f>
        <v>Etimex</v>
      </c>
      <c r="J2084" s="47">
        <f t="shared" si="149"/>
        <v>46082</v>
      </c>
      <c r="K2084" s="72" t="str">
        <f>VLOOKUP($C2084,Carpetas!$C$5:$M$2666,5,FALSE)</f>
        <v>Rio Branco</v>
      </c>
      <c r="L2084" s="32"/>
      <c r="M2084" s="48">
        <f t="shared" si="148"/>
        <v>46083</v>
      </c>
      <c r="N2084" s="26">
        <f t="shared" si="147"/>
        <v>3</v>
      </c>
      <c r="O2084" s="27">
        <v>1008</v>
      </c>
      <c r="P2084" s="27">
        <v>1008</v>
      </c>
      <c r="Q2084" s="27">
        <v>28</v>
      </c>
      <c r="R2084" s="27">
        <v>26</v>
      </c>
      <c r="S2084" s="27" t="s">
        <v>1153</v>
      </c>
      <c r="T2084" s="27"/>
      <c r="U2084" s="27">
        <v>1412</v>
      </c>
      <c r="V2084" s="27" t="s">
        <v>1630</v>
      </c>
      <c r="W2084" s="27" t="s">
        <v>1934</v>
      </c>
      <c r="X2084" s="128"/>
      <c r="Y2084" s="73" t="e">
        <f>VLOOKUP(X2084,Choferes!$B$3:C463,2,FALSE)</f>
        <v>#N/A</v>
      </c>
      <c r="Z2084" s="73" t="s">
        <v>5617</v>
      </c>
    </row>
    <row r="2085" spans="1:26" hidden="1" x14ac:dyDescent="0.25">
      <c r="A2085" s="222">
        <v>9</v>
      </c>
      <c r="B2085" s="71" t="s">
        <v>29</v>
      </c>
      <c r="C2085" s="39" t="s">
        <v>5614</v>
      </c>
      <c r="D2085" s="106" t="s">
        <v>747</v>
      </c>
      <c r="E2085" s="47">
        <v>46080</v>
      </c>
      <c r="F2085" s="31" t="str">
        <f>VLOOKUP($C2085,Carpetas!$C$5:$M$2666,2,FALSE)</f>
        <v>BRB021-26</v>
      </c>
      <c r="G2085" s="23" t="str">
        <f>VLOOKUP($C2085,Carpetas!$C$5:$M$2666,10,FALSE)</f>
        <v>155.13.13</v>
      </c>
      <c r="H2085" s="27" t="str">
        <f>VLOOKUP($C2085,Carpetas!$C$5:$M$2666,6,FALSE)</f>
        <v>FG</v>
      </c>
      <c r="I2085" s="27" t="str">
        <f>VLOOKUP($C2085,Carpetas!$C$5:$M$2666,3,FALSE)</f>
        <v>Etimex</v>
      </c>
      <c r="J2085" s="47">
        <f t="shared" si="149"/>
        <v>46082</v>
      </c>
      <c r="K2085" s="72" t="str">
        <f>VLOOKUP($C2085,Carpetas!$C$5:$M$2666,5,FALSE)</f>
        <v>Rio Branco</v>
      </c>
      <c r="L2085" s="32"/>
      <c r="M2085" s="48">
        <f t="shared" si="148"/>
        <v>46083</v>
      </c>
      <c r="N2085" s="26">
        <f t="shared" si="147"/>
        <v>3</v>
      </c>
      <c r="O2085" s="27">
        <v>1008</v>
      </c>
      <c r="P2085" s="27">
        <v>1008</v>
      </c>
      <c r="Q2085" s="27">
        <v>28</v>
      </c>
      <c r="R2085" s="27">
        <v>26</v>
      </c>
      <c r="S2085" s="27" t="s">
        <v>3252</v>
      </c>
      <c r="T2085" s="27"/>
      <c r="U2085" s="27">
        <v>1411</v>
      </c>
      <c r="V2085" s="27" t="s">
        <v>1726</v>
      </c>
      <c r="W2085" s="27" t="s">
        <v>1646</v>
      </c>
      <c r="X2085" s="128"/>
      <c r="Y2085" s="73" t="e">
        <f>VLOOKUP(X2085,Choferes!$B$3:C464,2,FALSE)</f>
        <v>#N/A</v>
      </c>
      <c r="Z2085" s="73" t="s">
        <v>5617</v>
      </c>
    </row>
    <row r="2086" spans="1:26" hidden="1" x14ac:dyDescent="0.25">
      <c r="A2086" s="222">
        <v>9</v>
      </c>
      <c r="B2086" s="71" t="s">
        <v>29</v>
      </c>
      <c r="C2086" s="39" t="s">
        <v>5614</v>
      </c>
      <c r="D2086" s="106" t="s">
        <v>249</v>
      </c>
      <c r="E2086" s="47">
        <v>46080</v>
      </c>
      <c r="F2086" s="31" t="str">
        <f>VLOOKUP($C2086,Carpetas!$C$5:$M$2666,2,FALSE)</f>
        <v>BRB021-26</v>
      </c>
      <c r="G2086" s="23" t="str">
        <f>VLOOKUP($C2086,Carpetas!$C$5:$M$2666,10,FALSE)</f>
        <v>155.13.13</v>
      </c>
      <c r="H2086" s="27" t="str">
        <f>VLOOKUP($C2086,Carpetas!$C$5:$M$2666,6,FALSE)</f>
        <v>FG</v>
      </c>
      <c r="I2086" s="27" t="str">
        <f>VLOOKUP($C2086,Carpetas!$C$5:$M$2666,3,FALSE)</f>
        <v>Etimex</v>
      </c>
      <c r="J2086" s="47">
        <f t="shared" si="149"/>
        <v>46082</v>
      </c>
      <c r="K2086" s="72" t="str">
        <f>VLOOKUP($C2086,Carpetas!$C$5:$M$2666,5,FALSE)</f>
        <v>Rio Branco</v>
      </c>
      <c r="L2086" s="32"/>
      <c r="M2086" s="48">
        <f t="shared" si="148"/>
        <v>46083</v>
      </c>
      <c r="N2086" s="26">
        <f t="shared" si="147"/>
        <v>3</v>
      </c>
      <c r="O2086" s="27">
        <v>1008</v>
      </c>
      <c r="P2086" s="27">
        <v>1008</v>
      </c>
      <c r="Q2086" s="27">
        <v>28</v>
      </c>
      <c r="R2086" s="27">
        <v>26</v>
      </c>
      <c r="S2086" s="27" t="s">
        <v>1125</v>
      </c>
      <c r="T2086" s="27"/>
      <c r="U2086" s="27">
        <v>1410</v>
      </c>
      <c r="V2086" s="27" t="s">
        <v>1735</v>
      </c>
      <c r="W2086" s="27" t="s">
        <v>1681</v>
      </c>
      <c r="X2086" s="128"/>
      <c r="Y2086" s="73" t="e">
        <f>VLOOKUP(X2086,Choferes!$B$3:C465,2,FALSE)</f>
        <v>#N/A</v>
      </c>
      <c r="Z2086" s="73" t="s">
        <v>5617</v>
      </c>
    </row>
    <row r="2087" spans="1:26" hidden="1" x14ac:dyDescent="0.25">
      <c r="A2087" s="222">
        <v>9</v>
      </c>
      <c r="B2087" s="71" t="s">
        <v>298</v>
      </c>
      <c r="C2087" s="39" t="s">
        <v>299</v>
      </c>
      <c r="D2087" s="106" t="s">
        <v>5618</v>
      </c>
      <c r="E2087" s="47">
        <v>46080</v>
      </c>
      <c r="F2087" s="31" t="str">
        <f>VLOOKUP($C2087,Carpetas!$C$5:$M$2666,2,FALSE)</f>
        <v>BRB</v>
      </c>
      <c r="G2087" s="23" t="e">
        <f>VLOOKUP($C2087,Carpetas!$C$5:$M$2666,9,FALSE)</f>
        <v>#REF!</v>
      </c>
      <c r="H2087" s="27" t="str">
        <f>VLOOKUP($C2087,Carpetas!$C$5:$M$2666,5,FALSE)</f>
        <v>xx</v>
      </c>
      <c r="I2087" s="27" t="str">
        <f>VLOOKUP($C2087,Carpetas!$C$5:$M$2666,3,FALSE)</f>
        <v>xx</v>
      </c>
      <c r="J2087" s="47">
        <f t="shared" si="149"/>
        <v>46082</v>
      </c>
      <c r="K2087" s="72">
        <f>VLOOKUP($C2087,Carpetas!$C$5:$M$2666,4,FALSE)</f>
        <v>0</v>
      </c>
      <c r="L2087" s="32"/>
      <c r="M2087" s="48">
        <f t="shared" si="148"/>
        <v>46083</v>
      </c>
      <c r="N2087" s="26">
        <f t="shared" si="147"/>
        <v>3</v>
      </c>
      <c r="O2087" s="27">
        <v>1008</v>
      </c>
      <c r="P2087" s="27"/>
      <c r="Q2087" s="27"/>
      <c r="R2087" s="27"/>
      <c r="S2087" s="27"/>
      <c r="T2087" s="27"/>
      <c r="U2087" s="27"/>
      <c r="V2087" s="27"/>
      <c r="W2087" s="27"/>
      <c r="X2087" s="128"/>
      <c r="Y2087" s="73" t="e">
        <f>VLOOKUP(X2087,Choferes!$B$3:C466,2,FALSE)</f>
        <v>#N/A</v>
      </c>
      <c r="Z2087" s="73"/>
    </row>
    <row r="2088" spans="1:26" hidden="1" x14ac:dyDescent="0.25">
      <c r="A2088" s="222">
        <v>9</v>
      </c>
      <c r="B2088" s="71" t="s">
        <v>29</v>
      </c>
      <c r="C2088" s="39" t="s">
        <v>5604</v>
      </c>
      <c r="D2088" s="106" t="s">
        <v>2202</v>
      </c>
      <c r="E2088" s="47">
        <v>46080</v>
      </c>
      <c r="F2088" s="31" t="str">
        <f>VLOOKUP($C2088,Carpetas!$C$5:$M$2666,2,FALSE)</f>
        <v>BRB020-26</v>
      </c>
      <c r="G2088" s="23" t="str">
        <f>VLOOKUP($C2088,Carpetas!$C$5:$M$2666,10,FALSE)</f>
        <v>155.10.40</v>
      </c>
      <c r="H2088" s="27" t="str">
        <f>VLOOKUP($C2088,Carpetas!$C$5:$M$2666,6,FALSE)</f>
        <v>AXT</v>
      </c>
      <c r="I2088" s="27" t="str">
        <f>VLOOKUP($C2088,Carpetas!$C$5:$M$2666,3,FALSE)</f>
        <v>A&amp;A</v>
      </c>
      <c r="J2088" s="47">
        <f t="shared" si="149"/>
        <v>46082</v>
      </c>
      <c r="K2088" s="72" t="str">
        <f>VLOOKUP($C2088,Carpetas!$C$5:$M$2666,5,FALSE)</f>
        <v>Chuy</v>
      </c>
      <c r="L2088" s="32"/>
      <c r="M2088" s="48">
        <f t="shared" si="148"/>
        <v>46083</v>
      </c>
      <c r="N2088" s="26">
        <f t="shared" si="147"/>
        <v>3</v>
      </c>
      <c r="O2088" s="27">
        <v>936</v>
      </c>
      <c r="P2088" s="27">
        <v>936</v>
      </c>
      <c r="Q2088" s="27">
        <v>26</v>
      </c>
      <c r="R2088" s="27">
        <v>26</v>
      </c>
      <c r="S2088" s="27" t="s">
        <v>4571</v>
      </c>
      <c r="T2088" s="27"/>
      <c r="U2088" s="27"/>
      <c r="V2088" s="27" t="s">
        <v>5619</v>
      </c>
      <c r="W2088" s="27" t="s">
        <v>5511</v>
      </c>
      <c r="X2088" s="128"/>
      <c r="Y2088" s="73" t="e">
        <f>VLOOKUP(X2088,Choferes!$B$3:C470,2,FALSE)</f>
        <v>#N/A</v>
      </c>
      <c r="Z2088" s="73" t="s">
        <v>5620</v>
      </c>
    </row>
    <row r="2089" spans="1:26" hidden="1" x14ac:dyDescent="0.25">
      <c r="A2089" s="222">
        <v>9</v>
      </c>
      <c r="B2089" s="71" t="s">
        <v>298</v>
      </c>
      <c r="C2089" s="39" t="s">
        <v>299</v>
      </c>
      <c r="D2089" s="106" t="s">
        <v>183</v>
      </c>
      <c r="E2089" s="47">
        <v>46080</v>
      </c>
      <c r="F2089" s="31" t="str">
        <f>VLOOKUP($C2089,Carpetas!$C$5:$M$2666,2,FALSE)</f>
        <v>BRB</v>
      </c>
      <c r="G2089" s="23" t="e">
        <f>VLOOKUP($C2089,Carpetas!$C$5:$M$2666,9,FALSE)</f>
        <v>#REF!</v>
      </c>
      <c r="H2089" s="27" t="str">
        <f>VLOOKUP($C2089,Carpetas!$C$5:$M$2666,5,FALSE)</f>
        <v>xx</v>
      </c>
      <c r="I2089" s="27" t="str">
        <f>VLOOKUP($C2089,Carpetas!$C$5:$M$2666,3,FALSE)</f>
        <v>xx</v>
      </c>
      <c r="J2089" s="47">
        <f t="shared" si="149"/>
        <v>46082</v>
      </c>
      <c r="K2089" s="72">
        <f>VLOOKUP($C2089,Carpetas!$C$5:$M$2666,4,FALSE)</f>
        <v>0</v>
      </c>
      <c r="L2089" s="32"/>
      <c r="M2089" s="48">
        <f t="shared" si="148"/>
        <v>46083</v>
      </c>
      <c r="N2089" s="26">
        <f t="shared" si="147"/>
        <v>3</v>
      </c>
      <c r="O2089" s="27">
        <v>980</v>
      </c>
      <c r="P2089" s="27"/>
      <c r="Q2089" s="27"/>
      <c r="R2089" s="27"/>
      <c r="S2089" s="27"/>
      <c r="T2089" s="27"/>
      <c r="U2089" s="27"/>
      <c r="V2089" s="27"/>
      <c r="W2089" s="27"/>
      <c r="X2089" s="128"/>
      <c r="Y2089" s="73" t="e">
        <f>VLOOKUP(X2089,Choferes!$B$3:C475,2,FALSE)</f>
        <v>#N/A</v>
      </c>
      <c r="Z2089" s="73"/>
    </row>
    <row r="2090" spans="1:26" hidden="1" x14ac:dyDescent="0.25">
      <c r="A2090" s="222">
        <v>9</v>
      </c>
      <c r="B2090" s="71" t="s">
        <v>29</v>
      </c>
      <c r="C2090" s="39" t="s">
        <v>5558</v>
      </c>
      <c r="D2090" s="106" t="s">
        <v>803</v>
      </c>
      <c r="E2090" s="47">
        <v>46081</v>
      </c>
      <c r="F2090" s="31" t="str">
        <f>VLOOKUP($C2090,Carpetas!$C$5:$M$2666,2,FALSE)</f>
        <v>BRB018-26</v>
      </c>
      <c r="G2090" s="23" t="str">
        <f>VLOOKUP($C2090,Carpetas!$C$5:$M$2666,10,FALSE)</f>
        <v>155,01,07</v>
      </c>
      <c r="H2090" s="27" t="str">
        <f>VLOOKUP($C2090,Carpetas!$C$5:$M$2666,6,FALSE)</f>
        <v>Amaro</v>
      </c>
      <c r="I2090" s="27" t="str">
        <f>VLOOKUP($C2090,Carpetas!$C$5:$M$2666,3,FALSE)</f>
        <v>Etimex</v>
      </c>
      <c r="J2090" s="47">
        <v>46083</v>
      </c>
      <c r="K2090" s="72" t="str">
        <f>VLOOKUP($C2090,Carpetas!$C$5:$M$2666,5,FALSE)</f>
        <v>Rio Branco</v>
      </c>
      <c r="L2090" s="32"/>
      <c r="M2090" s="48">
        <f t="shared" si="148"/>
        <v>46084</v>
      </c>
      <c r="N2090" s="26">
        <f t="shared" si="147"/>
        <v>3</v>
      </c>
      <c r="O2090" s="27">
        <v>1008</v>
      </c>
      <c r="P2090" s="27">
        <v>1008</v>
      </c>
      <c r="Q2090" s="27">
        <v>28</v>
      </c>
      <c r="R2090" s="27">
        <v>26</v>
      </c>
      <c r="S2090" s="27" t="s">
        <v>1141</v>
      </c>
      <c r="T2090" s="27"/>
      <c r="U2090" s="27">
        <v>28053</v>
      </c>
      <c r="V2090" s="27" t="s">
        <v>5404</v>
      </c>
      <c r="W2090" s="27" t="s">
        <v>2081</v>
      </c>
      <c r="X2090" s="128"/>
      <c r="Y2090" s="73" t="e">
        <f>VLOOKUP(X2090,Choferes!$B$3:C460,2,FALSE)</f>
        <v>#N/A</v>
      </c>
      <c r="Z2090" s="73" t="s">
        <v>5617</v>
      </c>
    </row>
    <row r="2091" spans="1:26" hidden="1" x14ac:dyDescent="0.25">
      <c r="A2091" s="222">
        <v>9</v>
      </c>
      <c r="B2091" s="71" t="s">
        <v>29</v>
      </c>
      <c r="C2091" s="39" t="s">
        <v>5604</v>
      </c>
      <c r="D2091" s="106" t="s">
        <v>2202</v>
      </c>
      <c r="E2091" s="47">
        <v>46081</v>
      </c>
      <c r="F2091" s="31" t="str">
        <f>VLOOKUP($C2091,Carpetas!$C$5:$M$2666,2,FALSE)</f>
        <v>BRB020-26</v>
      </c>
      <c r="G2091" s="23" t="str">
        <f>VLOOKUP($C2091,Carpetas!$C$5:$M$2666,10,FALSE)</f>
        <v>155.10.40</v>
      </c>
      <c r="H2091" s="27" t="str">
        <f>VLOOKUP($C2091,Carpetas!$C$5:$M$2666,6,FALSE)</f>
        <v>AXT</v>
      </c>
      <c r="I2091" s="27" t="str">
        <f>VLOOKUP($C2091,Carpetas!$C$5:$M$2666,3,FALSE)</f>
        <v>A&amp;A</v>
      </c>
      <c r="J2091" s="47">
        <f>E2091+2</f>
        <v>46083</v>
      </c>
      <c r="K2091" s="72" t="str">
        <f>VLOOKUP($C2091,Carpetas!$C$5:$M$2666,5,FALSE)</f>
        <v>Chuy</v>
      </c>
      <c r="L2091" s="32"/>
      <c r="M2091" s="48">
        <f t="shared" si="148"/>
        <v>46084</v>
      </c>
      <c r="N2091" s="26">
        <f t="shared" si="147"/>
        <v>3</v>
      </c>
      <c r="O2091" s="27">
        <v>936</v>
      </c>
      <c r="P2091" s="27">
        <v>937</v>
      </c>
      <c r="Q2091" s="27">
        <v>26</v>
      </c>
      <c r="R2091" s="27">
        <v>25</v>
      </c>
      <c r="S2091" s="27" t="s">
        <v>4603</v>
      </c>
      <c r="T2091" s="27"/>
      <c r="U2091" s="27"/>
      <c r="V2091" s="27" t="s">
        <v>5465</v>
      </c>
      <c r="W2091" s="27" t="s">
        <v>5466</v>
      </c>
      <c r="X2091" s="128"/>
      <c r="Y2091" s="73" t="e">
        <f>VLOOKUP(X2091,Choferes!$B$3:C470,2,FALSE)</f>
        <v>#N/A</v>
      </c>
      <c r="Z2091" s="73" t="s">
        <v>5621</v>
      </c>
    </row>
    <row r="2092" spans="1:26" hidden="1" x14ac:dyDescent="0.25">
      <c r="A2092" s="222">
        <v>10</v>
      </c>
      <c r="B2092" s="71" t="s">
        <v>29</v>
      </c>
      <c r="C2092" s="39" t="s">
        <v>5614</v>
      </c>
      <c r="D2092" s="106" t="s">
        <v>747</v>
      </c>
      <c r="E2092" s="47">
        <v>46083</v>
      </c>
      <c r="F2092" s="31" t="str">
        <f>VLOOKUP($C2092,Carpetas!$C$5:$M$2666,2,FALSE)</f>
        <v>BRB021-26</v>
      </c>
      <c r="G2092" s="23" t="str">
        <f>VLOOKUP($C2092,Carpetas!$C$5:$M$2666,10,FALSE)</f>
        <v>155.13.13</v>
      </c>
      <c r="H2092" s="27" t="str">
        <f>VLOOKUP($C2092,Carpetas!$C$5:$M$2666,6,FALSE)</f>
        <v>FG</v>
      </c>
      <c r="I2092" s="27" t="str">
        <f>VLOOKUP($C2092,Carpetas!$C$5:$M$2666,3,FALSE)</f>
        <v>Etimex</v>
      </c>
      <c r="J2092" s="47">
        <f>E2092+2</f>
        <v>46085</v>
      </c>
      <c r="K2092" s="72" t="str">
        <f>VLOOKUP($C2092,Carpetas!$C$5:$M$2666,5,FALSE)</f>
        <v>Rio Branco</v>
      </c>
      <c r="L2092" s="32"/>
      <c r="M2092" s="48">
        <f t="shared" si="148"/>
        <v>46086</v>
      </c>
      <c r="N2092" s="26">
        <f t="shared" si="147"/>
        <v>3</v>
      </c>
      <c r="O2092" s="27">
        <v>1008</v>
      </c>
      <c r="P2092" s="27">
        <v>1008</v>
      </c>
      <c r="Q2092" s="27">
        <v>28</v>
      </c>
      <c r="R2092" s="27">
        <v>26</v>
      </c>
      <c r="S2092" s="27" t="s">
        <v>1511</v>
      </c>
      <c r="T2092" s="27"/>
      <c r="U2092" s="27">
        <v>1414</v>
      </c>
      <c r="V2092" s="27" t="s">
        <v>1626</v>
      </c>
      <c r="W2092" s="27" t="s">
        <v>1736</v>
      </c>
      <c r="X2092" s="128"/>
      <c r="Y2092" s="73" t="e">
        <f>VLOOKUP(X2092,Choferes!$B$3:C458,2,FALSE)</f>
        <v>#N/A</v>
      </c>
      <c r="Z2092" s="73" t="s">
        <v>5622</v>
      </c>
    </row>
    <row r="2093" spans="1:26" hidden="1" x14ac:dyDescent="0.25">
      <c r="A2093" s="222">
        <v>10</v>
      </c>
      <c r="B2093" s="71" t="s">
        <v>29</v>
      </c>
      <c r="C2093" s="39" t="s">
        <v>5623</v>
      </c>
      <c r="D2093" s="106" t="s">
        <v>121</v>
      </c>
      <c r="E2093" s="47">
        <v>46083</v>
      </c>
      <c r="F2093" s="31" t="str">
        <f>VLOOKUP($C2093,Carpetas!$C$5:$M$2666,2,FALSE)</f>
        <v>PYB019/26</v>
      </c>
      <c r="G2093" s="23">
        <f>VLOOKUP($C2093,Carpetas!$C$5:$M$2666,10,FALSE)</f>
        <v>0</v>
      </c>
      <c r="H2093" s="27" t="str">
        <f>VLOOKUP($C2093,Carpetas!$C$5:$M$2666,6,FALSE)</f>
        <v>Surcentral</v>
      </c>
      <c r="I2093" s="27" t="str">
        <f>VLOOKUP($C2093,Carpetas!$C$5:$M$2666,3,FALSE)</f>
        <v>Diego Fernandez</v>
      </c>
      <c r="J2093" s="47">
        <f>E2093+3</f>
        <v>46086</v>
      </c>
      <c r="K2093" s="72" t="str">
        <f>VLOOKUP($C2093,Carpetas!$C$5:$M$2666,5,FALSE)</f>
        <v>Salto</v>
      </c>
      <c r="L2093" s="32"/>
      <c r="M2093" s="48">
        <f t="shared" si="148"/>
        <v>46087</v>
      </c>
      <c r="N2093" s="26">
        <f t="shared" si="147"/>
        <v>4</v>
      </c>
      <c r="O2093" s="27">
        <v>936</v>
      </c>
      <c r="P2093" s="27">
        <v>936</v>
      </c>
      <c r="Q2093" s="27">
        <v>26</v>
      </c>
      <c r="R2093" s="27">
        <v>27</v>
      </c>
      <c r="S2093" s="27" t="s">
        <v>527</v>
      </c>
      <c r="T2093" s="27"/>
      <c r="U2093" s="27"/>
      <c r="V2093" s="27"/>
      <c r="W2093" s="27"/>
      <c r="X2093" s="128"/>
      <c r="Y2093" s="73" t="e">
        <f>VLOOKUP(X2093,Choferes!$B$3:C457,2,FALSE)</f>
        <v>#N/A</v>
      </c>
      <c r="Z2093" s="73" t="s">
        <v>5624</v>
      </c>
    </row>
    <row r="2094" spans="1:26" hidden="1" x14ac:dyDescent="0.25">
      <c r="A2094" s="222">
        <v>10</v>
      </c>
      <c r="B2094" s="71" t="s">
        <v>29</v>
      </c>
      <c r="C2094" s="39" t="s">
        <v>5558</v>
      </c>
      <c r="D2094" s="224" t="s">
        <v>5507</v>
      </c>
      <c r="E2094" s="47">
        <v>46084</v>
      </c>
      <c r="F2094" s="31" t="str">
        <f>VLOOKUP($C2094,Carpetas!$C$5:$M$2666,2,FALSE)</f>
        <v>BRB018-26</v>
      </c>
      <c r="G2094" s="23" t="str">
        <f>VLOOKUP($C2094,Carpetas!$C$5:$M$2666,10,FALSE)</f>
        <v>155,01,07</v>
      </c>
      <c r="H2094" s="27" t="str">
        <f>VLOOKUP($C2094,Carpetas!$C$5:$M$2666,6,FALSE)</f>
        <v>Amaro</v>
      </c>
      <c r="I2094" s="27" t="str">
        <f>VLOOKUP($C2094,Carpetas!$C$5:$M$2666,3,FALSE)</f>
        <v>Etimex</v>
      </c>
      <c r="J2094" s="47">
        <f>E2094+2</f>
        <v>46086</v>
      </c>
      <c r="K2094" s="72" t="str">
        <f>VLOOKUP($C2094,Carpetas!$C$5:$M$2666,5,FALSE)</f>
        <v>Rio Branco</v>
      </c>
      <c r="L2094" s="32"/>
      <c r="M2094" s="48">
        <f t="shared" si="148"/>
        <v>46087</v>
      </c>
      <c r="N2094" s="26">
        <f t="shared" si="147"/>
        <v>3</v>
      </c>
      <c r="O2094" s="27">
        <v>1008</v>
      </c>
      <c r="P2094" s="27">
        <v>1008</v>
      </c>
      <c r="Q2094" s="27">
        <v>28</v>
      </c>
      <c r="R2094" s="27">
        <v>26</v>
      </c>
      <c r="S2094" s="167" t="s">
        <v>5625</v>
      </c>
      <c r="T2094" s="27"/>
      <c r="U2094" s="27">
        <v>28074</v>
      </c>
      <c r="V2094" s="27" t="s">
        <v>3372</v>
      </c>
      <c r="W2094" s="27" t="s">
        <v>3373</v>
      </c>
      <c r="X2094" s="128"/>
      <c r="Y2094" s="73" t="e">
        <f>VLOOKUP(X2094,Choferes!$B$3:C459,2,FALSE)</f>
        <v>#N/A</v>
      </c>
      <c r="Z2094" s="73" t="s">
        <v>5626</v>
      </c>
    </row>
    <row r="2095" spans="1:26" hidden="1" x14ac:dyDescent="0.25">
      <c r="A2095" s="222">
        <v>10</v>
      </c>
      <c r="B2095" s="71" t="s">
        <v>29</v>
      </c>
      <c r="C2095" s="39" t="s">
        <v>5614</v>
      </c>
      <c r="D2095" s="106" t="s">
        <v>803</v>
      </c>
      <c r="E2095" s="47">
        <v>46084</v>
      </c>
      <c r="F2095" s="31" t="str">
        <f>VLOOKUP($C2095,Carpetas!$C$5:$M$2666,2,FALSE)</f>
        <v>BRB021-26</v>
      </c>
      <c r="G2095" s="23" t="str">
        <f>VLOOKUP($C2095,Carpetas!$C$5:$M$2666,10,FALSE)</f>
        <v>155.13.13</v>
      </c>
      <c r="H2095" s="27" t="str">
        <f>VLOOKUP($C2095,Carpetas!$C$5:$M$2666,6,FALSE)</f>
        <v>FG</v>
      </c>
      <c r="I2095" s="27" t="str">
        <f>VLOOKUP($C2095,Carpetas!$C$5:$M$2666,3,FALSE)</f>
        <v>Etimex</v>
      </c>
      <c r="J2095" s="47">
        <f>E2095+2</f>
        <v>46086</v>
      </c>
      <c r="K2095" s="72" t="str">
        <f>VLOOKUP($C2095,Carpetas!$C$5:$M$2666,5,FALSE)</f>
        <v>Rio Branco</v>
      </c>
      <c r="L2095" s="32"/>
      <c r="M2095" s="48">
        <f t="shared" si="148"/>
        <v>46087</v>
      </c>
      <c r="N2095" s="26">
        <f t="shared" si="147"/>
        <v>3</v>
      </c>
      <c r="O2095" s="27">
        <v>1008</v>
      </c>
      <c r="P2095" s="27">
        <v>1008</v>
      </c>
      <c r="Q2095" s="27">
        <v>28</v>
      </c>
      <c r="R2095" s="27">
        <v>26</v>
      </c>
      <c r="S2095" s="27" t="s">
        <v>1163</v>
      </c>
      <c r="T2095" s="27"/>
      <c r="U2095" s="27">
        <v>1416</v>
      </c>
      <c r="V2095" s="27" t="s">
        <v>1636</v>
      </c>
      <c r="W2095" s="27" t="s">
        <v>3818</v>
      </c>
      <c r="X2095" s="128"/>
      <c r="Y2095" s="73" t="e">
        <f>VLOOKUP(X2095,Choferes!$B$3:C460,2,FALSE)</f>
        <v>#N/A</v>
      </c>
      <c r="Z2095" s="73" t="s">
        <v>5627</v>
      </c>
    </row>
    <row r="2096" spans="1:26" ht="30" hidden="1" x14ac:dyDescent="0.25">
      <c r="A2096" s="222">
        <v>10</v>
      </c>
      <c r="B2096" s="71" t="s">
        <v>29</v>
      </c>
      <c r="C2096" s="39" t="s">
        <v>5614</v>
      </c>
      <c r="D2096" s="106" t="s">
        <v>249</v>
      </c>
      <c r="E2096" s="47">
        <v>46084</v>
      </c>
      <c r="F2096" s="31" t="str">
        <f>VLOOKUP($C2096,Carpetas!$C$5:$M$2666,2,FALSE)</f>
        <v>BRB021-26</v>
      </c>
      <c r="G2096" s="23" t="str">
        <f>VLOOKUP($C2096,Carpetas!$C$5:$M$2666,10,FALSE)</f>
        <v>155.13.13</v>
      </c>
      <c r="H2096" s="27" t="str">
        <f>VLOOKUP($C2096,Carpetas!$C$5:$M$2666,6,FALSE)</f>
        <v>FG</v>
      </c>
      <c r="I2096" s="27" t="str">
        <f>VLOOKUP($C2096,Carpetas!$C$5:$M$2666,3,FALSE)</f>
        <v>Etimex</v>
      </c>
      <c r="J2096" s="47">
        <f>E2096+2</f>
        <v>46086</v>
      </c>
      <c r="K2096" s="72" t="str">
        <f>VLOOKUP($C2096,Carpetas!$C$5:$M$2666,5,FALSE)</f>
        <v>Rio Branco</v>
      </c>
      <c r="L2096" s="32"/>
      <c r="M2096" s="48">
        <f t="shared" si="148"/>
        <v>46087</v>
      </c>
      <c r="N2096" s="26">
        <f t="shared" si="147"/>
        <v>3</v>
      </c>
      <c r="O2096" s="27">
        <v>1008</v>
      </c>
      <c r="P2096" s="27"/>
      <c r="Q2096" s="27"/>
      <c r="R2096" s="27"/>
      <c r="S2096" s="27" t="s">
        <v>1306</v>
      </c>
      <c r="T2096" s="27"/>
      <c r="U2096" s="27">
        <v>1417</v>
      </c>
      <c r="V2096" s="27" t="s">
        <v>5317</v>
      </c>
      <c r="W2096" s="27" t="s">
        <v>5318</v>
      </c>
      <c r="X2096" s="128"/>
      <c r="Y2096" s="73" t="e">
        <f>VLOOKUP(X2096,Choferes!$B$3:C461,2,FALSE)</f>
        <v>#N/A</v>
      </c>
      <c r="Z2096" s="73" t="s">
        <v>5628</v>
      </c>
    </row>
    <row r="2097" spans="1:26" hidden="1" x14ac:dyDescent="0.25">
      <c r="A2097" s="222">
        <v>10</v>
      </c>
      <c r="B2097" s="71" t="s">
        <v>29</v>
      </c>
      <c r="C2097" s="39" t="s">
        <v>5629</v>
      </c>
      <c r="D2097" s="106" t="s">
        <v>2202</v>
      </c>
      <c r="E2097" s="47">
        <v>46084</v>
      </c>
      <c r="F2097" s="31" t="str">
        <f>VLOOKUP($C2097,Carpetas!$C$5:$M$2666,2,FALSE)</f>
        <v>BRB024-26</v>
      </c>
      <c r="G2097" s="23" t="str">
        <f>VLOOKUP($C2097,Carpetas!$C$5:$M$2666,10,FALSE)</f>
        <v>155,19,29</v>
      </c>
      <c r="H2097" s="27" t="str">
        <f>VLOOKUP($C2097,Carpetas!$C$5:$M$2666,6,FALSE)</f>
        <v>AXT</v>
      </c>
      <c r="I2097" s="27" t="str">
        <f>VLOOKUP($C2097,Carpetas!$C$5:$M$2666,3,FALSE)</f>
        <v>A&amp;A</v>
      </c>
      <c r="J2097" s="47">
        <f>E2097+2</f>
        <v>46086</v>
      </c>
      <c r="K2097" s="72" t="str">
        <f>VLOOKUP($C2097,Carpetas!$C$5:$M$2666,5,FALSE)</f>
        <v>Chuy</v>
      </c>
      <c r="L2097" s="32"/>
      <c r="M2097" s="48">
        <f t="shared" si="148"/>
        <v>46087</v>
      </c>
      <c r="N2097" s="26">
        <f t="shared" si="147"/>
        <v>3</v>
      </c>
      <c r="O2097" s="27">
        <v>936</v>
      </c>
      <c r="P2097" s="27">
        <v>937</v>
      </c>
      <c r="Q2097" s="27">
        <v>26</v>
      </c>
      <c r="R2097" s="27">
        <v>25</v>
      </c>
      <c r="S2097" s="27" t="s">
        <v>4612</v>
      </c>
      <c r="T2097" s="27"/>
      <c r="U2097" s="27"/>
      <c r="V2097" s="27" t="s">
        <v>1787</v>
      </c>
      <c r="W2097" s="27" t="s">
        <v>4071</v>
      </c>
      <c r="X2097" s="128"/>
      <c r="Y2097" s="73" t="e">
        <f>VLOOKUP(X2097,Choferes!$B$3:C464,2,FALSE)</f>
        <v>#N/A</v>
      </c>
      <c r="Z2097" s="73" t="s">
        <v>5630</v>
      </c>
    </row>
    <row r="2098" spans="1:26" hidden="1" x14ac:dyDescent="0.25">
      <c r="A2098" s="222">
        <v>10</v>
      </c>
      <c r="B2098" s="71" t="s">
        <v>29</v>
      </c>
      <c r="C2098" s="39" t="s">
        <v>5614</v>
      </c>
      <c r="D2098" s="106" t="s">
        <v>110</v>
      </c>
      <c r="E2098" s="47">
        <v>46085</v>
      </c>
      <c r="F2098" s="31" t="str">
        <f>VLOOKUP($C2098,Carpetas!$C$5:$M$2666,2,FALSE)</f>
        <v>BRB021-26</v>
      </c>
      <c r="G2098" s="23" t="str">
        <f>VLOOKUP($C2098,Carpetas!$C$5:$M$2666,10,FALSE)</f>
        <v>155.13.13</v>
      </c>
      <c r="H2098" s="27" t="str">
        <f>VLOOKUP($C2098,Carpetas!$C$5:$M$2666,6,FALSE)</f>
        <v>FG</v>
      </c>
      <c r="I2098" s="27" t="str">
        <f>VLOOKUP($C2098,Carpetas!$C$5:$M$2666,3,FALSE)</f>
        <v>Etimex</v>
      </c>
      <c r="J2098" s="47">
        <v>46086</v>
      </c>
      <c r="K2098" s="72" t="str">
        <f>VLOOKUP($C2098,Carpetas!$C$5:$M$2666,5,FALSE)</f>
        <v>Rio Branco</v>
      </c>
      <c r="L2098" s="32"/>
      <c r="M2098" s="48">
        <f t="shared" si="148"/>
        <v>46087</v>
      </c>
      <c r="N2098" s="26">
        <f t="shared" si="147"/>
        <v>2</v>
      </c>
      <c r="O2098" s="27">
        <v>1008</v>
      </c>
      <c r="P2098" s="27">
        <v>1009</v>
      </c>
      <c r="Q2098" s="27">
        <v>28</v>
      </c>
      <c r="R2098" s="27">
        <v>26</v>
      </c>
      <c r="S2098" s="27" t="s">
        <v>837</v>
      </c>
      <c r="T2098" s="27"/>
      <c r="U2098" s="27">
        <v>1420</v>
      </c>
      <c r="V2098" s="27" t="s">
        <v>3669</v>
      </c>
      <c r="W2098" s="27" t="s">
        <v>1627</v>
      </c>
      <c r="X2098" s="128"/>
      <c r="Y2098" s="73" t="e">
        <f>VLOOKUP(X2098,Choferes!$B$3:C463,2,FALSE)</f>
        <v>#N/A</v>
      </c>
      <c r="Z2098" s="73" t="s">
        <v>5631</v>
      </c>
    </row>
    <row r="2099" spans="1:26" hidden="1" x14ac:dyDescent="0.25">
      <c r="A2099" s="222">
        <v>10</v>
      </c>
      <c r="B2099" s="71" t="s">
        <v>29</v>
      </c>
      <c r="C2099" s="39" t="s">
        <v>5632</v>
      </c>
      <c r="D2099" s="106" t="s">
        <v>747</v>
      </c>
      <c r="E2099" s="47">
        <v>46085</v>
      </c>
      <c r="F2099" s="31" t="str">
        <f>VLOOKUP($C2099,Carpetas!$C$5:$M$2666,2,FALSE)</f>
        <v>BRB022-26</v>
      </c>
      <c r="G2099" s="23" t="str">
        <f>VLOOKUP($C2099,Carpetas!$C$5:$M$2666,10,FALSE)</f>
        <v>155,18,88</v>
      </c>
      <c r="H2099" s="27" t="str">
        <f>VLOOKUP($C2099,Carpetas!$C$5:$M$2666,6,FALSE)</f>
        <v>FG</v>
      </c>
      <c r="I2099" s="27" t="str">
        <f>VLOOKUP($C2099,Carpetas!$C$5:$M$2666,3,FALSE)</f>
        <v>Etimex</v>
      </c>
      <c r="J2099" s="47">
        <v>46086</v>
      </c>
      <c r="K2099" s="72" t="str">
        <f>VLOOKUP($C2099,Carpetas!$C$5:$M$2666,5,FALSE)</f>
        <v>Rio Branco</v>
      </c>
      <c r="L2099" s="32"/>
      <c r="M2099" s="48">
        <f t="shared" si="148"/>
        <v>46087</v>
      </c>
      <c r="N2099" s="26">
        <f t="shared" si="147"/>
        <v>2</v>
      </c>
      <c r="O2099" s="27">
        <v>1008</v>
      </c>
      <c r="P2099" s="27">
        <v>1009</v>
      </c>
      <c r="Q2099" s="27">
        <v>28</v>
      </c>
      <c r="R2099" s="27">
        <v>26</v>
      </c>
      <c r="S2099" s="27" t="s">
        <v>1531</v>
      </c>
      <c r="T2099" s="27"/>
      <c r="U2099" s="27">
        <v>1422</v>
      </c>
      <c r="V2099" s="27" t="s">
        <v>3572</v>
      </c>
      <c r="W2099" s="27" t="s">
        <v>3412</v>
      </c>
      <c r="X2099" s="128"/>
      <c r="Y2099" s="73" t="e">
        <f>VLOOKUP(X2099,Choferes!$B$3:C466,2,FALSE)</f>
        <v>#N/A</v>
      </c>
      <c r="Z2099" s="73" t="s">
        <v>5631</v>
      </c>
    </row>
    <row r="2100" spans="1:26" ht="30" hidden="1" x14ac:dyDescent="0.25">
      <c r="A2100" s="222">
        <v>10</v>
      </c>
      <c r="B2100" s="71" t="s">
        <v>29</v>
      </c>
      <c r="C2100" s="39" t="s">
        <v>5633</v>
      </c>
      <c r="D2100" s="224" t="s">
        <v>5499</v>
      </c>
      <c r="E2100" s="47">
        <v>46085</v>
      </c>
      <c r="F2100" s="31" t="str">
        <f>VLOOKUP($C2100,Carpetas!$C$5:$M$2666,2,FALSE)</f>
        <v>BRB023-26</v>
      </c>
      <c r="G2100" s="23" t="str">
        <f>VLOOKUP($C2100,Carpetas!$C$5:$M$2666,10,FALSE)</f>
        <v>155,13,11</v>
      </c>
      <c r="H2100" s="27" t="str">
        <f>VLOOKUP($C2100,Carpetas!$C$5:$M$2666,6,FALSE)</f>
        <v>Chabat</v>
      </c>
      <c r="I2100" s="27" t="str">
        <f>VLOOKUP($C2100,Carpetas!$C$5:$M$2666,3,FALSE)</f>
        <v>Etimex</v>
      </c>
      <c r="J2100" s="47">
        <f t="shared" ref="J2100:J2106" si="150">E2100+2</f>
        <v>46087</v>
      </c>
      <c r="K2100" s="72" t="str">
        <f>VLOOKUP($C2100,Carpetas!$C$5:$M$2666,5,FALSE)</f>
        <v>Rio Branco</v>
      </c>
      <c r="L2100" s="32"/>
      <c r="M2100" s="48">
        <f t="shared" si="148"/>
        <v>46088</v>
      </c>
      <c r="N2100" s="26">
        <f t="shared" si="147"/>
        <v>3</v>
      </c>
      <c r="O2100" s="167">
        <v>376</v>
      </c>
      <c r="P2100" s="27">
        <v>1008</v>
      </c>
      <c r="Q2100" s="27">
        <v>28</v>
      </c>
      <c r="R2100" s="27">
        <v>25</v>
      </c>
      <c r="S2100" s="167" t="s">
        <v>5634</v>
      </c>
      <c r="T2100" s="27"/>
      <c r="U2100" s="27"/>
      <c r="V2100" s="167" t="s">
        <v>5635</v>
      </c>
      <c r="W2100" s="167" t="s">
        <v>4223</v>
      </c>
      <c r="X2100" s="128"/>
      <c r="Y2100" s="73" t="e">
        <f>VLOOKUP(X2100,Choferes!$B$3:C462,2,FALSE)</f>
        <v>#N/A</v>
      </c>
      <c r="Z2100" s="225" t="s">
        <v>5636</v>
      </c>
    </row>
    <row r="2101" spans="1:26" hidden="1" x14ac:dyDescent="0.25">
      <c r="A2101" s="222">
        <v>10</v>
      </c>
      <c r="B2101" s="71" t="s">
        <v>29</v>
      </c>
      <c r="C2101" s="39" t="s">
        <v>5629</v>
      </c>
      <c r="D2101" s="106" t="s">
        <v>2202</v>
      </c>
      <c r="E2101" s="47">
        <v>46085</v>
      </c>
      <c r="F2101" s="31" t="str">
        <f>VLOOKUP($C2101,Carpetas!$C$5:$M$2666,2,FALSE)</f>
        <v>BRB024-26</v>
      </c>
      <c r="G2101" s="23" t="str">
        <f>VLOOKUP($C2101,Carpetas!$C$5:$M$2666,10,FALSE)</f>
        <v>155,19,29</v>
      </c>
      <c r="H2101" s="27" t="str">
        <f>VLOOKUP($C2101,Carpetas!$C$5:$M$2666,6,FALSE)</f>
        <v>AXT</v>
      </c>
      <c r="I2101" s="27" t="str">
        <f>VLOOKUP($C2101,Carpetas!$C$5:$M$2666,3,FALSE)</f>
        <v>A&amp;A</v>
      </c>
      <c r="J2101" s="47">
        <f t="shared" si="150"/>
        <v>46087</v>
      </c>
      <c r="K2101" s="72" t="str">
        <f>VLOOKUP($C2101,Carpetas!$C$5:$M$2666,5,FALSE)</f>
        <v>Chuy</v>
      </c>
      <c r="L2101" s="32"/>
      <c r="M2101" s="48">
        <f t="shared" si="148"/>
        <v>46088</v>
      </c>
      <c r="N2101" s="26">
        <f t="shared" si="147"/>
        <v>3</v>
      </c>
      <c r="O2101" s="27">
        <v>936</v>
      </c>
      <c r="P2101" s="27">
        <v>936</v>
      </c>
      <c r="Q2101" s="27">
        <v>26</v>
      </c>
      <c r="R2101" s="27">
        <v>25</v>
      </c>
      <c r="S2101" s="27" t="s">
        <v>4610</v>
      </c>
      <c r="T2101" s="27"/>
      <c r="U2101" s="27"/>
      <c r="V2101" s="27" t="s">
        <v>5637</v>
      </c>
      <c r="W2101" s="27" t="s">
        <v>5638</v>
      </c>
      <c r="X2101" s="128"/>
      <c r="Y2101" s="73" t="e">
        <f>VLOOKUP(X2101,Choferes!$B$3:C465,2,FALSE)</f>
        <v>#N/A</v>
      </c>
      <c r="Z2101" s="73" t="s">
        <v>5639</v>
      </c>
    </row>
    <row r="2102" spans="1:26" ht="30" hidden="1" x14ac:dyDescent="0.25">
      <c r="A2102" s="222">
        <v>10</v>
      </c>
      <c r="B2102" s="71" t="s">
        <v>29</v>
      </c>
      <c r="C2102" s="39" t="s">
        <v>5633</v>
      </c>
      <c r="D2102" s="224" t="s">
        <v>5640</v>
      </c>
      <c r="E2102" s="47">
        <v>46085</v>
      </c>
      <c r="F2102" s="31" t="str">
        <f>VLOOKUP($C2102,Carpetas!$C$5:$M$2666,2,FALSE)</f>
        <v>BRB023-26</v>
      </c>
      <c r="G2102" s="23" t="str">
        <f>VLOOKUP($C2102,Carpetas!$C$5:$M$2666,10,FALSE)</f>
        <v>155,13,11</v>
      </c>
      <c r="H2102" s="27" t="str">
        <f>VLOOKUP($C2102,Carpetas!$C$5:$M$2666,6,FALSE)</f>
        <v>Chabat</v>
      </c>
      <c r="I2102" s="27" t="str">
        <f>VLOOKUP($C2102,Carpetas!$C$5:$M$2666,3,FALSE)</f>
        <v>Etimex</v>
      </c>
      <c r="J2102" s="47">
        <f t="shared" si="150"/>
        <v>46087</v>
      </c>
      <c r="K2102" s="72" t="str">
        <f>VLOOKUP($C2102,Carpetas!$C$5:$M$2666,5,FALSE)</f>
        <v>Rio Branco</v>
      </c>
      <c r="L2102" s="32"/>
      <c r="M2102" s="48">
        <f t="shared" si="148"/>
        <v>46088</v>
      </c>
      <c r="N2102" s="26">
        <f t="shared" si="147"/>
        <v>3</v>
      </c>
      <c r="O2102" s="167">
        <v>632</v>
      </c>
      <c r="P2102" s="27">
        <v>1008</v>
      </c>
      <c r="Q2102" s="27">
        <v>28</v>
      </c>
      <c r="R2102" s="27">
        <v>25</v>
      </c>
      <c r="S2102" s="167" t="s">
        <v>5641</v>
      </c>
      <c r="T2102" s="27"/>
      <c r="U2102" s="27"/>
      <c r="V2102" s="167" t="s">
        <v>5635</v>
      </c>
      <c r="W2102" s="167" t="s">
        <v>4223</v>
      </c>
      <c r="X2102" s="128"/>
      <c r="Y2102" s="73" t="e">
        <f>VLOOKUP(X2102,Choferes!$B$3:C467,2,FALSE)</f>
        <v>#N/A</v>
      </c>
      <c r="Z2102" s="225" t="s">
        <v>5642</v>
      </c>
    </row>
    <row r="2103" spans="1:26" hidden="1" x14ac:dyDescent="0.25">
      <c r="A2103" s="222">
        <v>10</v>
      </c>
      <c r="B2103" s="71" t="s">
        <v>29</v>
      </c>
      <c r="C2103" s="39" t="s">
        <v>5633</v>
      </c>
      <c r="D2103" s="224" t="s">
        <v>5499</v>
      </c>
      <c r="E2103" s="47">
        <v>46087</v>
      </c>
      <c r="F2103" s="31" t="str">
        <f>VLOOKUP($C2103,Carpetas!$C$5:$M$2666,2,FALSE)</f>
        <v>BRB023-26</v>
      </c>
      <c r="G2103" s="23" t="str">
        <f>VLOOKUP($C2103,Carpetas!$C$5:$M$2666,10,FALSE)</f>
        <v>155,13,11</v>
      </c>
      <c r="H2103" s="27" t="str">
        <f>VLOOKUP($C2103,Carpetas!$C$5:$M$2666,6,FALSE)</f>
        <v>Chabat</v>
      </c>
      <c r="I2103" s="27" t="str">
        <f>VLOOKUP($C2103,Carpetas!$C$5:$M$2666,3,FALSE)</f>
        <v>Etimex</v>
      </c>
      <c r="J2103" s="47">
        <f t="shared" si="150"/>
        <v>46089</v>
      </c>
      <c r="K2103" s="72" t="str">
        <f>VLOOKUP($C2103,Carpetas!$C$5:$M$2666,5,FALSE)</f>
        <v>Rio Branco</v>
      </c>
      <c r="L2103" s="32"/>
      <c r="M2103" s="48">
        <f t="shared" si="148"/>
        <v>46090</v>
      </c>
      <c r="N2103" s="26">
        <f t="shared" si="147"/>
        <v>3</v>
      </c>
      <c r="O2103" s="167">
        <v>504</v>
      </c>
      <c r="P2103" s="27">
        <v>1008</v>
      </c>
      <c r="Q2103" s="27">
        <v>28</v>
      </c>
      <c r="R2103" s="27">
        <v>25</v>
      </c>
      <c r="S2103" s="167" t="s">
        <v>5643</v>
      </c>
      <c r="T2103" s="27"/>
      <c r="U2103" s="27">
        <v>2512</v>
      </c>
      <c r="V2103" s="27" t="s">
        <v>1649</v>
      </c>
      <c r="W2103" s="27" t="s">
        <v>1650</v>
      </c>
      <c r="X2103" s="128"/>
      <c r="Y2103" s="73" t="e">
        <f>VLOOKUP(X2103,Choferes!$B$3:C464,2,FALSE)</f>
        <v>#N/A</v>
      </c>
      <c r="Z2103" s="73" t="s">
        <v>5644</v>
      </c>
    </row>
    <row r="2104" spans="1:26" hidden="1" x14ac:dyDescent="0.25">
      <c r="A2104" s="222">
        <v>10</v>
      </c>
      <c r="B2104" s="71" t="s">
        <v>29</v>
      </c>
      <c r="C2104" s="39" t="s">
        <v>5632</v>
      </c>
      <c r="D2104" s="106" t="s">
        <v>249</v>
      </c>
      <c r="E2104" s="47">
        <v>46087</v>
      </c>
      <c r="F2104" s="31" t="str">
        <f>VLOOKUP($C2104,Carpetas!$C$5:$M$2666,2,FALSE)</f>
        <v>BRB022-26</v>
      </c>
      <c r="G2104" s="23" t="str">
        <f>VLOOKUP($C2104,Carpetas!$C$5:$M$2666,10,FALSE)</f>
        <v>155,18,88</v>
      </c>
      <c r="H2104" s="27" t="str">
        <f>VLOOKUP($C2104,Carpetas!$C$5:$M$2666,6,FALSE)</f>
        <v>FG</v>
      </c>
      <c r="I2104" s="27" t="str">
        <f>VLOOKUP($C2104,Carpetas!$C$5:$M$2666,3,FALSE)</f>
        <v>Etimex</v>
      </c>
      <c r="J2104" s="47">
        <f t="shared" si="150"/>
        <v>46089</v>
      </c>
      <c r="K2104" s="72" t="str">
        <f>VLOOKUP($C2104,Carpetas!$C$5:$M$2666,5,FALSE)</f>
        <v>Rio Branco</v>
      </c>
      <c r="L2104" s="32"/>
      <c r="M2104" s="48">
        <f t="shared" si="148"/>
        <v>46090</v>
      </c>
      <c r="N2104" s="26">
        <f t="shared" si="147"/>
        <v>3</v>
      </c>
      <c r="O2104" s="27">
        <v>1008</v>
      </c>
      <c r="P2104" s="27">
        <v>1008</v>
      </c>
      <c r="Q2104" s="27">
        <v>28</v>
      </c>
      <c r="R2104" s="27">
        <v>26</v>
      </c>
      <c r="S2104" s="27" t="s">
        <v>1415</v>
      </c>
      <c r="T2104" s="27"/>
      <c r="U2104" s="27">
        <v>1425</v>
      </c>
      <c r="V2104" s="27" t="s">
        <v>1630</v>
      </c>
      <c r="W2104" s="27" t="s">
        <v>1934</v>
      </c>
      <c r="X2104" s="128"/>
      <c r="Y2104" s="73" t="e">
        <f>VLOOKUP(X2104,Choferes!$B$3:C465,2,FALSE)</f>
        <v>#N/A</v>
      </c>
      <c r="Z2104" s="73" t="s">
        <v>5645</v>
      </c>
    </row>
    <row r="2105" spans="1:26" hidden="1" x14ac:dyDescent="0.25">
      <c r="A2105" s="222">
        <v>10</v>
      </c>
      <c r="B2105" s="71" t="s">
        <v>29</v>
      </c>
      <c r="C2105" s="39" t="s">
        <v>5632</v>
      </c>
      <c r="D2105" s="106" t="s">
        <v>2474</v>
      </c>
      <c r="E2105" s="47">
        <v>46087</v>
      </c>
      <c r="F2105" s="31" t="str">
        <f>VLOOKUP($C2105,Carpetas!$C$5:$M$2666,2,FALSE)</f>
        <v>BRB022-26</v>
      </c>
      <c r="G2105" s="23" t="str">
        <f>VLOOKUP($C2105,Carpetas!$C$5:$M$2666,10,FALSE)</f>
        <v>155,18,88</v>
      </c>
      <c r="H2105" s="27" t="str">
        <f>VLOOKUP($C2105,Carpetas!$C$5:$M$2666,6,FALSE)</f>
        <v>FG</v>
      </c>
      <c r="I2105" s="27" t="str">
        <f>VLOOKUP($C2105,Carpetas!$C$5:$M$2666,3,FALSE)</f>
        <v>Etimex</v>
      </c>
      <c r="J2105" s="47">
        <f t="shared" si="150"/>
        <v>46089</v>
      </c>
      <c r="K2105" s="72" t="str">
        <f>VLOOKUP($C2105,Carpetas!$C$5:$M$2666,5,FALSE)</f>
        <v>Rio Branco</v>
      </c>
      <c r="L2105" s="32"/>
      <c r="M2105" s="48">
        <f t="shared" si="148"/>
        <v>46090</v>
      </c>
      <c r="N2105" s="26">
        <f t="shared" si="147"/>
        <v>3</v>
      </c>
      <c r="O2105" s="27">
        <v>1008</v>
      </c>
      <c r="P2105" s="27">
        <v>1008</v>
      </c>
      <c r="Q2105" s="27">
        <v>28</v>
      </c>
      <c r="R2105" s="27">
        <v>25</v>
      </c>
      <c r="S2105" s="27" t="s">
        <v>3671</v>
      </c>
      <c r="T2105" s="27"/>
      <c r="U2105" s="27">
        <v>1424</v>
      </c>
      <c r="V2105" s="27" t="s">
        <v>1735</v>
      </c>
      <c r="W2105" s="27" t="s">
        <v>1681</v>
      </c>
      <c r="X2105" s="128"/>
      <c r="Y2105" s="73" t="e">
        <f>VLOOKUP(X2105,Choferes!$B$3:C467,2,FALSE)</f>
        <v>#N/A</v>
      </c>
      <c r="Z2105" s="73" t="s">
        <v>5645</v>
      </c>
    </row>
    <row r="2106" spans="1:26" ht="30" hidden="1" x14ac:dyDescent="0.25">
      <c r="A2106" s="222">
        <v>10</v>
      </c>
      <c r="B2106" s="71" t="s">
        <v>29</v>
      </c>
      <c r="C2106" s="39" t="s">
        <v>5633</v>
      </c>
      <c r="D2106" s="224" t="s">
        <v>5646</v>
      </c>
      <c r="E2106" s="47">
        <v>46087</v>
      </c>
      <c r="F2106" s="31" t="str">
        <f>VLOOKUP($C2106,Carpetas!$C$5:$M$2666,2,FALSE)</f>
        <v>BRB023-26</v>
      </c>
      <c r="G2106" s="23" t="str">
        <f>VLOOKUP($C2106,Carpetas!$C$5:$M$2666,10,FALSE)</f>
        <v>155,13,11</v>
      </c>
      <c r="H2106" s="27" t="str">
        <f>VLOOKUP($C2106,Carpetas!$C$5:$M$2666,6,FALSE)</f>
        <v>Chabat</v>
      </c>
      <c r="I2106" s="27" t="str">
        <f>VLOOKUP($C2106,Carpetas!$C$5:$M$2666,3,FALSE)</f>
        <v>Etimex</v>
      </c>
      <c r="J2106" s="47">
        <f t="shared" si="150"/>
        <v>46089</v>
      </c>
      <c r="K2106" s="72" t="str">
        <f>VLOOKUP($C2106,Carpetas!$C$5:$M$2666,5,FALSE)</f>
        <v>Rio Branco</v>
      </c>
      <c r="L2106" s="32"/>
      <c r="M2106" s="48">
        <f t="shared" si="148"/>
        <v>46090</v>
      </c>
      <c r="N2106" s="26">
        <f t="shared" si="147"/>
        <v>3</v>
      </c>
      <c r="O2106" s="167">
        <v>504</v>
      </c>
      <c r="P2106" s="27">
        <v>1008</v>
      </c>
      <c r="Q2106" s="27">
        <v>28</v>
      </c>
      <c r="R2106" s="27">
        <v>25</v>
      </c>
      <c r="S2106" s="167" t="s">
        <v>5647</v>
      </c>
      <c r="T2106" s="27"/>
      <c r="U2106" s="27">
        <v>2512</v>
      </c>
      <c r="V2106" s="27" t="s">
        <v>1649</v>
      </c>
      <c r="W2106" s="27" t="s">
        <v>1650</v>
      </c>
      <c r="X2106" s="128"/>
      <c r="Y2106" s="73" t="e">
        <f>VLOOKUP(X2106,Choferes!$B$3:C470,2,FALSE)</f>
        <v>#N/A</v>
      </c>
      <c r="Z2106" s="73" t="s">
        <v>5648</v>
      </c>
    </row>
    <row r="2107" spans="1:26" hidden="1" x14ac:dyDescent="0.25">
      <c r="A2107" s="222">
        <v>10</v>
      </c>
      <c r="B2107" s="71" t="s">
        <v>29</v>
      </c>
      <c r="C2107" s="39" t="s">
        <v>5649</v>
      </c>
      <c r="D2107" s="106" t="s">
        <v>38</v>
      </c>
      <c r="E2107" s="47">
        <v>46084</v>
      </c>
      <c r="F2107" s="31" t="str">
        <f>VLOOKUP($C2107,Carpetas!$C$5:$M$2666,2,FALSE)</f>
        <v>BRE007-26</v>
      </c>
      <c r="G2107" s="23">
        <f>VLOOKUP($C2107,Carpetas!$C$5:$M$2666,10,FALSE)</f>
        <v>0</v>
      </c>
      <c r="H2107" s="27" t="str">
        <f>VLOOKUP($C2107,Carpetas!$C$5:$M$2666,6,FALSE)</f>
        <v>AXT</v>
      </c>
      <c r="I2107" s="27" t="str">
        <f>VLOOKUP($C2107,Carpetas!$C$5:$M$2666,3,FALSE)</f>
        <v>Jaguacy</v>
      </c>
      <c r="J2107" s="47">
        <v>46087</v>
      </c>
      <c r="K2107" s="72" t="str">
        <f>VLOOKUP($C2107,Carpetas!$C$5:$M$2666,5,FALSE)</f>
        <v>Rio Branco</v>
      </c>
      <c r="L2107" s="32"/>
      <c r="M2107" s="48">
        <v>46091</v>
      </c>
      <c r="N2107" s="26">
        <f t="shared" si="147"/>
        <v>7</v>
      </c>
      <c r="O2107" s="27">
        <v>2304</v>
      </c>
      <c r="P2107" s="27">
        <v>2304</v>
      </c>
      <c r="Q2107" s="27">
        <v>24</v>
      </c>
      <c r="R2107" s="27">
        <v>10</v>
      </c>
      <c r="S2107" s="27" t="s">
        <v>3506</v>
      </c>
      <c r="T2107" s="27"/>
      <c r="U2107" s="27"/>
      <c r="V2107" s="27"/>
      <c r="W2107" s="27"/>
      <c r="X2107" s="128"/>
      <c r="Y2107" s="73" t="e">
        <f>VLOOKUP(X2107,Choferes!$B$3:C466,2,FALSE)</f>
        <v>#N/A</v>
      </c>
      <c r="Z2107" s="73" t="s">
        <v>5650</v>
      </c>
    </row>
    <row r="2108" spans="1:26" hidden="1" x14ac:dyDescent="0.25">
      <c r="A2108" s="222">
        <v>10</v>
      </c>
      <c r="B2108" s="71" t="s">
        <v>29</v>
      </c>
      <c r="C2108" s="39" t="s">
        <v>5651</v>
      </c>
      <c r="D2108" s="106" t="s">
        <v>5652</v>
      </c>
      <c r="E2108" s="47">
        <v>46083</v>
      </c>
      <c r="F2108" s="31" t="str">
        <f>VLOOKUP($C2108,Carpetas!$C$5:$M$2666,2,FALSE)</f>
        <v>PYE001-26</v>
      </c>
      <c r="G2108" s="23">
        <f>VLOOKUP($C2108,Carpetas!$C$5:$M$2666,10,FALSE)</f>
        <v>0</v>
      </c>
      <c r="H2108" s="27" t="str">
        <f>VLOOKUP($C2108,Carpetas!$C$5:$M$2666,6,FALSE)</f>
        <v>Compass</v>
      </c>
      <c r="I2108" s="27" t="str">
        <f>VLOOKUP($C2108,Carpetas!$C$5:$M$2666,3,FALSE)</f>
        <v>Diego Fernandez</v>
      </c>
      <c r="J2108" s="47">
        <v>46090</v>
      </c>
      <c r="K2108" s="72" t="str">
        <f>VLOOKUP($C2108,Carpetas!$C$5:$M$2666,5,FALSE)</f>
        <v>Salto</v>
      </c>
      <c r="L2108" s="32"/>
      <c r="M2108" s="48">
        <f t="shared" ref="M2108:M2146" si="151">J2108+1</f>
        <v>46091</v>
      </c>
      <c r="N2108" s="26">
        <f t="shared" si="147"/>
        <v>8</v>
      </c>
      <c r="O2108" s="27">
        <v>545</v>
      </c>
      <c r="P2108" s="27">
        <v>546</v>
      </c>
      <c r="Q2108" s="27"/>
      <c r="R2108" s="27">
        <v>18</v>
      </c>
      <c r="S2108" s="27"/>
      <c r="T2108" s="27"/>
      <c r="U2108" s="27"/>
      <c r="V2108" s="27"/>
      <c r="W2108" s="27"/>
      <c r="X2108" s="128"/>
      <c r="Y2108" s="73" t="e">
        <f>VLOOKUP(X2108,Choferes!$B$3:C467,2,FALSE)</f>
        <v>#N/A</v>
      </c>
      <c r="Z2108" s="73" t="s">
        <v>5653</v>
      </c>
    </row>
    <row r="2109" spans="1:26" hidden="1" x14ac:dyDescent="0.25">
      <c r="A2109" s="222">
        <v>10</v>
      </c>
      <c r="B2109" s="71" t="s">
        <v>29</v>
      </c>
      <c r="C2109" s="39" t="s">
        <v>5629</v>
      </c>
      <c r="D2109" s="106" t="s">
        <v>2202</v>
      </c>
      <c r="E2109" s="47">
        <v>46086</v>
      </c>
      <c r="F2109" s="31" t="str">
        <f>VLOOKUP($C2109,Carpetas!$C$5:$M$2666,2,FALSE)</f>
        <v>BRB024-26</v>
      </c>
      <c r="G2109" s="23" t="str">
        <f>VLOOKUP($C2109,Carpetas!$C$5:$M$2666,10,FALSE)</f>
        <v>155,19,29</v>
      </c>
      <c r="H2109" s="27" t="str">
        <f>VLOOKUP($C2109,Carpetas!$C$5:$M$2666,6,FALSE)</f>
        <v>AXT</v>
      </c>
      <c r="I2109" s="27" t="str">
        <f>VLOOKUP($C2109,Carpetas!$C$5:$M$2666,3,FALSE)</f>
        <v>A&amp;A</v>
      </c>
      <c r="J2109" s="47">
        <v>46090</v>
      </c>
      <c r="K2109" s="72" t="str">
        <f>VLOOKUP($C2109,Carpetas!$C$5:$M$2666,5,FALSE)</f>
        <v>Chuy</v>
      </c>
      <c r="L2109" s="32"/>
      <c r="M2109" s="48">
        <f t="shared" si="151"/>
        <v>46091</v>
      </c>
      <c r="N2109" s="26">
        <f t="shared" si="147"/>
        <v>5</v>
      </c>
      <c r="O2109" s="27">
        <v>936</v>
      </c>
      <c r="P2109" s="27">
        <v>936</v>
      </c>
      <c r="Q2109" s="27">
        <v>26</v>
      </c>
      <c r="R2109" s="27">
        <v>25</v>
      </c>
      <c r="S2109" s="27" t="s">
        <v>4633</v>
      </c>
      <c r="T2109" s="27"/>
      <c r="U2109" s="27"/>
      <c r="V2109" s="27" t="s">
        <v>5654</v>
      </c>
      <c r="W2109" s="27" t="s">
        <v>5593</v>
      </c>
      <c r="X2109" s="128"/>
      <c r="Y2109" s="73" t="e">
        <f>VLOOKUP(X2109,Choferes!$B$3:C466,2,FALSE)</f>
        <v>#N/A</v>
      </c>
      <c r="Z2109" s="73" t="s">
        <v>5655</v>
      </c>
    </row>
    <row r="2110" spans="1:26" hidden="1" x14ac:dyDescent="0.25">
      <c r="A2110" s="222">
        <v>10</v>
      </c>
      <c r="B2110" s="71" t="s">
        <v>29</v>
      </c>
      <c r="C2110" s="39" t="s">
        <v>5629</v>
      </c>
      <c r="D2110" s="106" t="s">
        <v>2202</v>
      </c>
      <c r="E2110" s="47">
        <v>46087</v>
      </c>
      <c r="F2110" s="31" t="str">
        <f>VLOOKUP($C2110,Carpetas!$C$5:$M$2666,2,FALSE)</f>
        <v>BRB024-26</v>
      </c>
      <c r="G2110" s="23" t="str">
        <f>VLOOKUP($C2110,Carpetas!$C$5:$M$2666,10,FALSE)</f>
        <v>155,19,29</v>
      </c>
      <c r="H2110" s="27" t="str">
        <f>VLOOKUP($C2110,Carpetas!$C$5:$M$2666,6,FALSE)</f>
        <v>AXT</v>
      </c>
      <c r="I2110" s="27" t="str">
        <f>VLOOKUP($C2110,Carpetas!$C$5:$M$2666,3,FALSE)</f>
        <v>A&amp;A</v>
      </c>
      <c r="J2110" s="47">
        <v>46090</v>
      </c>
      <c r="K2110" s="72" t="str">
        <f>VLOOKUP($C2110,Carpetas!$C$5:$M$2666,5,FALSE)</f>
        <v>Chuy</v>
      </c>
      <c r="L2110" s="32"/>
      <c r="M2110" s="48">
        <f t="shared" si="151"/>
        <v>46091</v>
      </c>
      <c r="N2110" s="26">
        <f t="shared" si="147"/>
        <v>4</v>
      </c>
      <c r="O2110" s="27">
        <v>936</v>
      </c>
      <c r="P2110" s="27">
        <v>937</v>
      </c>
      <c r="Q2110" s="27">
        <v>26</v>
      </c>
      <c r="R2110" s="27">
        <v>25</v>
      </c>
      <c r="S2110" s="27" t="s">
        <v>4662</v>
      </c>
      <c r="T2110" s="27"/>
      <c r="U2110" s="27"/>
      <c r="V2110" s="27" t="s">
        <v>5656</v>
      </c>
      <c r="W2110" s="27" t="s">
        <v>5612</v>
      </c>
      <c r="X2110" s="128"/>
      <c r="Y2110" s="73" t="e">
        <f>VLOOKUP(X2110,Choferes!$B$3:C467,2,FALSE)</f>
        <v>#N/A</v>
      </c>
      <c r="Z2110" s="73" t="s">
        <v>5657</v>
      </c>
    </row>
    <row r="2111" spans="1:26" hidden="1" x14ac:dyDescent="0.25">
      <c r="A2111" s="222">
        <v>10</v>
      </c>
      <c r="B2111" s="71" t="s">
        <v>29</v>
      </c>
      <c r="C2111" s="39" t="s">
        <v>5629</v>
      </c>
      <c r="D2111" s="106" t="s">
        <v>2202</v>
      </c>
      <c r="E2111" s="47">
        <v>46088</v>
      </c>
      <c r="F2111" s="31" t="str">
        <f>VLOOKUP($C2111,Carpetas!$C$5:$M$2666,2,FALSE)</f>
        <v>BRB024-26</v>
      </c>
      <c r="G2111" s="23" t="str">
        <f>VLOOKUP($C2111,Carpetas!$C$5:$M$2666,10,FALSE)</f>
        <v>155,19,29</v>
      </c>
      <c r="H2111" s="27" t="str">
        <f>VLOOKUP($C2111,Carpetas!$C$5:$M$2666,6,FALSE)</f>
        <v>AXT</v>
      </c>
      <c r="I2111" s="27" t="str">
        <f>VLOOKUP($C2111,Carpetas!$C$5:$M$2666,3,FALSE)</f>
        <v>A&amp;A</v>
      </c>
      <c r="J2111" s="47">
        <f>E2111+2</f>
        <v>46090</v>
      </c>
      <c r="K2111" s="72" t="str">
        <f>VLOOKUP($C2111,Carpetas!$C$5:$M$2666,5,FALSE)</f>
        <v>Chuy</v>
      </c>
      <c r="L2111" s="32"/>
      <c r="M2111" s="48">
        <f t="shared" si="151"/>
        <v>46091</v>
      </c>
      <c r="N2111" s="26">
        <f t="shared" si="147"/>
        <v>3</v>
      </c>
      <c r="O2111" s="27">
        <v>936</v>
      </c>
      <c r="P2111" s="27"/>
      <c r="Q2111" s="27"/>
      <c r="R2111" s="27"/>
      <c r="S2111" s="27" t="s">
        <v>4667</v>
      </c>
      <c r="T2111" s="27"/>
      <c r="U2111" s="27"/>
      <c r="V2111" s="27" t="s">
        <v>5658</v>
      </c>
      <c r="W2111" s="27" t="s">
        <v>5659</v>
      </c>
      <c r="X2111" s="128"/>
      <c r="Y2111" s="73" t="e">
        <f>VLOOKUP(X2111,Choferes!$B$3:C468,2,FALSE)</f>
        <v>#N/A</v>
      </c>
      <c r="Z2111" s="73" t="s">
        <v>5655</v>
      </c>
    </row>
    <row r="2112" spans="1:26" hidden="1" x14ac:dyDescent="0.25">
      <c r="A2112" s="222">
        <v>10</v>
      </c>
      <c r="B2112" s="71" t="s">
        <v>29</v>
      </c>
      <c r="C2112" s="39" t="s">
        <v>5632</v>
      </c>
      <c r="D2112" s="106" t="s">
        <v>803</v>
      </c>
      <c r="E2112" s="47">
        <v>46088</v>
      </c>
      <c r="F2112" s="31" t="str">
        <f>VLOOKUP($C2112,Carpetas!$C$5:$M$2666,2,FALSE)</f>
        <v>BRB022-26</v>
      </c>
      <c r="G2112" s="23" t="str">
        <f>VLOOKUP($C2112,Carpetas!$C$5:$M$2666,10,FALSE)</f>
        <v>155,18,88</v>
      </c>
      <c r="H2112" s="27" t="str">
        <f>VLOOKUP($C2112,Carpetas!$C$5:$M$2666,6,FALSE)</f>
        <v>FG</v>
      </c>
      <c r="I2112" s="27" t="str">
        <f>VLOOKUP($C2112,Carpetas!$C$5:$M$2666,3,FALSE)</f>
        <v>Etimex</v>
      </c>
      <c r="J2112" s="47">
        <f>E2112+2</f>
        <v>46090</v>
      </c>
      <c r="K2112" s="72" t="str">
        <f>VLOOKUP($C2112,Carpetas!$C$5:$M$2666,5,FALSE)</f>
        <v>Rio Branco</v>
      </c>
      <c r="L2112" s="32"/>
      <c r="M2112" s="48">
        <f t="shared" si="151"/>
        <v>46091</v>
      </c>
      <c r="N2112" s="26">
        <f t="shared" si="147"/>
        <v>3</v>
      </c>
      <c r="O2112" s="27">
        <v>1008</v>
      </c>
      <c r="P2112" s="27">
        <v>1008</v>
      </c>
      <c r="Q2112" s="27">
        <v>28</v>
      </c>
      <c r="R2112" s="27">
        <v>26</v>
      </c>
      <c r="S2112" s="27" t="s">
        <v>1143</v>
      </c>
      <c r="T2112" s="27"/>
      <c r="U2112" s="27">
        <v>1423</v>
      </c>
      <c r="V2112" s="27" t="s">
        <v>911</v>
      </c>
      <c r="W2112" s="27" t="s">
        <v>912</v>
      </c>
      <c r="X2112" s="128"/>
      <c r="Y2112" s="73" t="e">
        <f>VLOOKUP(X2112,Choferes!$B$3:C456,2,FALSE)</f>
        <v>#N/A</v>
      </c>
      <c r="Z2112" s="73" t="s">
        <v>5660</v>
      </c>
    </row>
    <row r="2113" spans="1:26" ht="30" hidden="1" x14ac:dyDescent="0.25">
      <c r="A2113" s="222">
        <v>11</v>
      </c>
      <c r="B2113" s="71" t="s">
        <v>29</v>
      </c>
      <c r="C2113" s="39" t="s">
        <v>5661</v>
      </c>
      <c r="D2113" s="106" t="s">
        <v>38</v>
      </c>
      <c r="E2113" s="47">
        <v>46090</v>
      </c>
      <c r="F2113" s="31" t="str">
        <f>VLOOKUP($C2113,Carpetas!$C$5:$M$2666,2,FALSE)</f>
        <v>BRE008-26</v>
      </c>
      <c r="G2113" s="23" t="str">
        <f>VLOOKUP($C2113,Carpetas!$C$5:$M$2666,10,FALSE)</f>
        <v>155.19.29-155.19.31-1551930</v>
      </c>
      <c r="H2113" s="27" t="str">
        <f>VLOOKUP($C2113,Carpetas!$C$5:$M$2666,6,FALSE)</f>
        <v>VPN</v>
      </c>
      <c r="I2113" s="27" t="str">
        <f>VLOOKUP($C2113,Carpetas!$C$5:$M$2666,3,FALSE)</f>
        <v>Dom Basto</v>
      </c>
      <c r="J2113" s="47">
        <f>E2113+2</f>
        <v>46092</v>
      </c>
      <c r="K2113" s="72" t="str">
        <f>VLOOKUP($C2113,Carpetas!$C$5:$M$2666,5,FALSE)</f>
        <v>Rio Branco</v>
      </c>
      <c r="L2113" s="32"/>
      <c r="M2113" s="48">
        <f t="shared" si="151"/>
        <v>46093</v>
      </c>
      <c r="N2113" s="26">
        <f t="shared" si="147"/>
        <v>3</v>
      </c>
      <c r="O2113" s="27">
        <v>1232</v>
      </c>
      <c r="P2113" s="27">
        <v>1433</v>
      </c>
      <c r="Q2113" s="27"/>
      <c r="R2113" s="27">
        <v>25</v>
      </c>
      <c r="S2113" s="27" t="s">
        <v>4710</v>
      </c>
      <c r="T2113" s="27"/>
      <c r="U2113" s="27"/>
      <c r="V2113" s="27"/>
      <c r="W2113" s="27"/>
      <c r="X2113" s="128"/>
      <c r="Y2113" s="73" t="e">
        <f>VLOOKUP(X2113,Choferes!$B$3:C468,2,FALSE)</f>
        <v>#N/A</v>
      </c>
      <c r="Z2113" s="73" t="s">
        <v>5662</v>
      </c>
    </row>
    <row r="2114" spans="1:26" hidden="1" x14ac:dyDescent="0.25">
      <c r="A2114" s="222">
        <v>11</v>
      </c>
      <c r="B2114" s="71" t="s">
        <v>29</v>
      </c>
      <c r="C2114" s="39" t="s">
        <v>5633</v>
      </c>
      <c r="D2114" s="224" t="s">
        <v>5507</v>
      </c>
      <c r="E2114" s="47">
        <v>46091</v>
      </c>
      <c r="F2114" s="31" t="str">
        <f>VLOOKUP($C2114,Carpetas!$C$5:$M$2666,2,FALSE)</f>
        <v>BRB023-26</v>
      </c>
      <c r="G2114" s="23" t="str">
        <f>VLOOKUP($C2114,Carpetas!$C$5:$M$2666,10,FALSE)</f>
        <v>155,13,11</v>
      </c>
      <c r="H2114" s="27" t="str">
        <f>VLOOKUP($C2114,Carpetas!$C$5:$M$2666,6,FALSE)</f>
        <v>Chabat</v>
      </c>
      <c r="I2114" s="27" t="str">
        <f>VLOOKUP($C2114,Carpetas!$C$5:$M$2666,3,FALSE)</f>
        <v>Etimex</v>
      </c>
      <c r="J2114" s="47">
        <v>46092</v>
      </c>
      <c r="K2114" s="72" t="str">
        <f>VLOOKUP($C2114,Carpetas!$C$5:$M$2666,5,FALSE)</f>
        <v>Rio Branco</v>
      </c>
      <c r="L2114" s="32"/>
      <c r="M2114" s="48">
        <f t="shared" si="151"/>
        <v>46093</v>
      </c>
      <c r="N2114" s="26">
        <f t="shared" si="147"/>
        <v>2</v>
      </c>
      <c r="O2114" s="27">
        <v>1008</v>
      </c>
      <c r="P2114" s="27">
        <v>1008</v>
      </c>
      <c r="Q2114" s="27">
        <v>28</v>
      </c>
      <c r="R2114" s="27">
        <v>26</v>
      </c>
      <c r="S2114" s="167" t="s">
        <v>5663</v>
      </c>
      <c r="T2114" s="27"/>
      <c r="U2114" s="27">
        <v>2513</v>
      </c>
      <c r="V2114" s="27" t="s">
        <v>4134</v>
      </c>
      <c r="W2114" s="27" t="s">
        <v>4635</v>
      </c>
      <c r="X2114" s="128"/>
      <c r="Y2114" s="73" t="e">
        <f>VLOOKUP(X2114,Choferes!$B$3:C457,2,FALSE)</f>
        <v>#N/A</v>
      </c>
      <c r="Z2114" s="73" t="s">
        <v>5664</v>
      </c>
    </row>
    <row r="2115" spans="1:26" hidden="1" x14ac:dyDescent="0.25">
      <c r="A2115" s="222">
        <v>11</v>
      </c>
      <c r="B2115" s="71" t="s">
        <v>29</v>
      </c>
      <c r="C2115" s="39" t="s">
        <v>5632</v>
      </c>
      <c r="D2115" s="106" t="s">
        <v>747</v>
      </c>
      <c r="E2115" s="47">
        <v>46091</v>
      </c>
      <c r="F2115" s="31" t="str">
        <f>VLOOKUP($C2115,Carpetas!$C$5:$M$2666,2,FALSE)</f>
        <v>BRB022-26</v>
      </c>
      <c r="G2115" s="23" t="str">
        <f>VLOOKUP($C2115,Carpetas!$C$5:$M$2666,10,FALSE)</f>
        <v>155,18,88</v>
      </c>
      <c r="H2115" s="27" t="str">
        <f>VLOOKUP($C2115,Carpetas!$C$5:$M$2666,6,FALSE)</f>
        <v>FG</v>
      </c>
      <c r="I2115" s="27" t="str">
        <f>VLOOKUP($C2115,Carpetas!$C$5:$M$2666,3,FALSE)</f>
        <v>Etimex</v>
      </c>
      <c r="J2115" s="47">
        <v>46092</v>
      </c>
      <c r="K2115" s="72" t="str">
        <f>VLOOKUP($C2115,Carpetas!$C$5:$M$2666,5,FALSE)</f>
        <v>Rio Branco</v>
      </c>
      <c r="L2115" s="32"/>
      <c r="M2115" s="48">
        <f t="shared" si="151"/>
        <v>46093</v>
      </c>
      <c r="N2115" s="26">
        <f t="shared" si="147"/>
        <v>2</v>
      </c>
      <c r="O2115" s="27">
        <v>1008</v>
      </c>
      <c r="P2115" s="27">
        <v>1009</v>
      </c>
      <c r="Q2115" s="27">
        <v>28</v>
      </c>
      <c r="R2115" s="27">
        <v>26</v>
      </c>
      <c r="S2115" s="27" t="s">
        <v>1570</v>
      </c>
      <c r="T2115" s="27"/>
      <c r="U2115" s="27">
        <v>1428</v>
      </c>
      <c r="V2115" s="27" t="s">
        <v>1430</v>
      </c>
      <c r="W2115" s="27" t="s">
        <v>5449</v>
      </c>
      <c r="X2115" s="128"/>
      <c r="Y2115" s="73" t="e">
        <f>VLOOKUP(X2115,Choferes!$B$3:C460,2,FALSE)</f>
        <v>#N/A</v>
      </c>
      <c r="Z2115" s="73" t="s">
        <v>5665</v>
      </c>
    </row>
    <row r="2116" spans="1:26" hidden="1" x14ac:dyDescent="0.25">
      <c r="A2116" s="222">
        <v>11</v>
      </c>
      <c r="B2116" s="71" t="s">
        <v>29</v>
      </c>
      <c r="C2116" s="39" t="s">
        <v>5632</v>
      </c>
      <c r="D2116" s="106" t="s">
        <v>803</v>
      </c>
      <c r="E2116" s="47">
        <v>46091</v>
      </c>
      <c r="F2116" s="31" t="str">
        <f>VLOOKUP($C2116,Carpetas!$C$5:$M$2666,2,FALSE)</f>
        <v>BRB022-26</v>
      </c>
      <c r="G2116" s="23" t="str">
        <f>VLOOKUP($C2116,Carpetas!$C$5:$M$2666,10,FALSE)</f>
        <v>155,18,88</v>
      </c>
      <c r="H2116" s="27" t="str">
        <f>VLOOKUP($C2116,Carpetas!$C$5:$M$2666,6,FALSE)</f>
        <v>FG</v>
      </c>
      <c r="I2116" s="27" t="str">
        <f>VLOOKUP($C2116,Carpetas!$C$5:$M$2666,3,FALSE)</f>
        <v>Etimex</v>
      </c>
      <c r="J2116" s="47">
        <f>E2116+2</f>
        <v>46093</v>
      </c>
      <c r="K2116" s="72" t="str">
        <f>VLOOKUP($C2116,Carpetas!$C$5:$M$2666,5,FALSE)</f>
        <v>Rio Branco</v>
      </c>
      <c r="L2116" s="32"/>
      <c r="M2116" s="48">
        <f t="shared" si="151"/>
        <v>46094</v>
      </c>
      <c r="N2116" s="26">
        <f t="shared" si="147"/>
        <v>3</v>
      </c>
      <c r="O2116" s="27">
        <v>1008</v>
      </c>
      <c r="P2116" s="27">
        <v>1008</v>
      </c>
      <c r="Q2116" s="27">
        <v>28</v>
      </c>
      <c r="R2116" s="27">
        <v>26</v>
      </c>
      <c r="S2116" s="27" t="s">
        <v>1171</v>
      </c>
      <c r="T2116" s="27"/>
      <c r="U2116" s="27">
        <v>1435</v>
      </c>
      <c r="V2116" s="27" t="s">
        <v>3669</v>
      </c>
      <c r="W2116" s="27" t="s">
        <v>1627</v>
      </c>
      <c r="X2116" s="128"/>
      <c r="Y2116" s="73" t="e">
        <f>VLOOKUP(X2116,Choferes!$B$3:C458,2,FALSE)</f>
        <v>#N/A</v>
      </c>
      <c r="Z2116" s="73" t="s">
        <v>5666</v>
      </c>
    </row>
    <row r="2117" spans="1:26" hidden="1" x14ac:dyDescent="0.25">
      <c r="A2117" s="222">
        <v>11</v>
      </c>
      <c r="B2117" s="71" t="s">
        <v>29</v>
      </c>
      <c r="C2117" s="39" t="s">
        <v>5632</v>
      </c>
      <c r="D2117" s="106" t="s">
        <v>249</v>
      </c>
      <c r="E2117" s="47">
        <v>46091</v>
      </c>
      <c r="F2117" s="31" t="str">
        <f>VLOOKUP($C2117,Carpetas!$C$5:$M$2666,2,FALSE)</f>
        <v>BRB022-26</v>
      </c>
      <c r="G2117" s="23" t="str">
        <f>VLOOKUP($C2117,Carpetas!$C$5:$M$2666,10,FALSE)</f>
        <v>155,18,88</v>
      </c>
      <c r="H2117" s="27" t="str">
        <f>VLOOKUP($C2117,Carpetas!$C$5:$M$2666,6,FALSE)</f>
        <v>FG</v>
      </c>
      <c r="I2117" s="27" t="str">
        <f>VLOOKUP($C2117,Carpetas!$C$5:$M$2666,3,FALSE)</f>
        <v>Etimex</v>
      </c>
      <c r="J2117" s="47">
        <f>E2117+2</f>
        <v>46093</v>
      </c>
      <c r="K2117" s="72" t="str">
        <f>VLOOKUP($C2117,Carpetas!$C$5:$M$2666,5,FALSE)</f>
        <v>Rio Branco</v>
      </c>
      <c r="L2117" s="32"/>
      <c r="M2117" s="48">
        <f t="shared" si="151"/>
        <v>46094</v>
      </c>
      <c r="N2117" s="26">
        <f t="shared" si="147"/>
        <v>3</v>
      </c>
      <c r="O2117" s="27">
        <v>1008</v>
      </c>
      <c r="P2117" s="27">
        <v>1008</v>
      </c>
      <c r="Q2117" s="27">
        <v>28</v>
      </c>
      <c r="R2117" s="27">
        <v>26</v>
      </c>
      <c r="S2117" s="27" t="s">
        <v>1464</v>
      </c>
      <c r="T2117" s="27"/>
      <c r="U2117" s="27">
        <v>1431</v>
      </c>
      <c r="V2117" s="27" t="s">
        <v>5317</v>
      </c>
      <c r="W2117" s="27" t="s">
        <v>5318</v>
      </c>
      <c r="X2117" s="128"/>
      <c r="Y2117" s="73" t="e">
        <f>VLOOKUP(X2117,Choferes!$B$3:C459,2,FALSE)</f>
        <v>#N/A</v>
      </c>
      <c r="Z2117" s="73" t="s">
        <v>5666</v>
      </c>
    </row>
    <row r="2118" spans="1:26" hidden="1" x14ac:dyDescent="0.25">
      <c r="A2118" s="222">
        <v>11</v>
      </c>
      <c r="B2118" s="71" t="s">
        <v>29</v>
      </c>
      <c r="C2118" s="39" t="s">
        <v>5633</v>
      </c>
      <c r="D2118" s="224" t="s">
        <v>5640</v>
      </c>
      <c r="E2118" s="47">
        <v>46092</v>
      </c>
      <c r="F2118" s="31" t="str">
        <f>VLOOKUP($C2118,Carpetas!$C$5:$M$2666,2,FALSE)</f>
        <v>BRB023-26</v>
      </c>
      <c r="G2118" s="23" t="str">
        <f>VLOOKUP($C2118,Carpetas!$C$5:$M$2666,10,FALSE)</f>
        <v>155,13,11</v>
      </c>
      <c r="H2118" s="27" t="str">
        <f>VLOOKUP($C2118,Carpetas!$C$5:$M$2666,6,FALSE)</f>
        <v>Chabat</v>
      </c>
      <c r="I2118" s="27" t="str">
        <f>VLOOKUP($C2118,Carpetas!$C$5:$M$2666,3,FALSE)</f>
        <v>Etimex</v>
      </c>
      <c r="J2118" s="47">
        <v>46093</v>
      </c>
      <c r="K2118" s="72" t="str">
        <f>VLOOKUP($C2118,Carpetas!$C$5:$M$2666,5,FALSE)</f>
        <v>Rio Branco</v>
      </c>
      <c r="L2118" s="32"/>
      <c r="M2118" s="48">
        <f t="shared" si="151"/>
        <v>46094</v>
      </c>
      <c r="N2118" s="26">
        <f t="shared" si="147"/>
        <v>2</v>
      </c>
      <c r="O2118" s="167">
        <v>504</v>
      </c>
      <c r="P2118" s="27">
        <v>1008</v>
      </c>
      <c r="Q2118" s="27">
        <v>28</v>
      </c>
      <c r="R2118" s="27">
        <v>26</v>
      </c>
      <c r="S2118" s="167" t="s">
        <v>5667</v>
      </c>
      <c r="T2118" s="27"/>
      <c r="U2118" s="27">
        <v>2514</v>
      </c>
      <c r="V2118" s="27" t="s">
        <v>4129</v>
      </c>
      <c r="W2118" s="27" t="s">
        <v>4223</v>
      </c>
      <c r="X2118" s="128"/>
      <c r="Y2118" s="73" t="e">
        <f>VLOOKUP(X2118,Choferes!$B$3:C461,2,FALSE)</f>
        <v>#N/A</v>
      </c>
      <c r="Z2118" s="73" t="s">
        <v>5668</v>
      </c>
    </row>
    <row r="2119" spans="1:26" hidden="1" x14ac:dyDescent="0.25">
      <c r="A2119" s="222">
        <v>11</v>
      </c>
      <c r="B2119" s="71" t="s">
        <v>29</v>
      </c>
      <c r="C2119" s="39" t="s">
        <v>5632</v>
      </c>
      <c r="D2119" s="106" t="s">
        <v>110</v>
      </c>
      <c r="E2119" s="47">
        <v>46092</v>
      </c>
      <c r="F2119" s="31" t="str">
        <f>VLOOKUP($C2119,Carpetas!$C$5:$M$2666,2,FALSE)</f>
        <v>BRB022-26</v>
      </c>
      <c r="G2119" s="23" t="str">
        <f>VLOOKUP($C2119,Carpetas!$C$5:$M$2666,10,FALSE)</f>
        <v>155,18,88</v>
      </c>
      <c r="H2119" s="27" t="str">
        <f>VLOOKUP($C2119,Carpetas!$C$5:$M$2666,6,FALSE)</f>
        <v>FG</v>
      </c>
      <c r="I2119" s="27" t="str">
        <f>VLOOKUP($C2119,Carpetas!$C$5:$M$2666,3,FALSE)</f>
        <v>Etimex</v>
      </c>
      <c r="J2119" s="47">
        <v>46093</v>
      </c>
      <c r="K2119" s="72" t="str">
        <f>VLOOKUP($C2119,Carpetas!$C$5:$M$2666,5,FALSE)</f>
        <v>Rio Branco</v>
      </c>
      <c r="L2119" s="32"/>
      <c r="M2119" s="48">
        <f t="shared" si="151"/>
        <v>46094</v>
      </c>
      <c r="N2119" s="26">
        <f t="shared" si="147"/>
        <v>2</v>
      </c>
      <c r="O2119" s="27">
        <v>1008</v>
      </c>
      <c r="P2119" s="27">
        <v>1009</v>
      </c>
      <c r="Q2119" s="27">
        <v>28</v>
      </c>
      <c r="R2119" s="27">
        <v>26</v>
      </c>
      <c r="S2119" s="27" t="s">
        <v>914</v>
      </c>
      <c r="T2119" s="27"/>
      <c r="U2119" s="27">
        <v>1434</v>
      </c>
      <c r="V2119" s="27" t="s">
        <v>1722</v>
      </c>
      <c r="W2119" s="27" t="s">
        <v>1723</v>
      </c>
      <c r="X2119" s="128"/>
      <c r="Y2119" s="73" t="e">
        <f>VLOOKUP(X2119,Choferes!$B$3:C462,2,FALSE)</f>
        <v>#N/A</v>
      </c>
      <c r="Z2119" s="73" t="s">
        <v>5669</v>
      </c>
    </row>
    <row r="2120" spans="1:26" hidden="1" x14ac:dyDescent="0.25">
      <c r="A2120" s="222">
        <v>11</v>
      </c>
      <c r="B2120" s="71" t="s">
        <v>29</v>
      </c>
      <c r="C2120" s="39" t="s">
        <v>5670</v>
      </c>
      <c r="D2120" s="106" t="s">
        <v>2202</v>
      </c>
      <c r="E2120" s="47">
        <v>46091</v>
      </c>
      <c r="F2120" s="31" t="str">
        <f>VLOOKUP($C2120,Carpetas!$C$5:$M$2666,2,FALSE)</f>
        <v>BRB025-26</v>
      </c>
      <c r="G2120" s="23" t="str">
        <f>VLOOKUP($C2120,Carpetas!$C$5:$M$2666,10,FALSE)</f>
        <v>155,23,52</v>
      </c>
      <c r="H2120" s="27" t="str">
        <f>VLOOKUP($C2120,Carpetas!$C$5:$M$2666,6,FALSE)</f>
        <v>AXT</v>
      </c>
      <c r="I2120" s="27" t="str">
        <f>VLOOKUP($C2120,Carpetas!$C$5:$M$2666,3,FALSE)</f>
        <v>A&amp;A</v>
      </c>
      <c r="J2120" s="47">
        <f>E2120+2</f>
        <v>46093</v>
      </c>
      <c r="K2120" s="72" t="str">
        <f>VLOOKUP($C2120,Carpetas!$C$5:$M$2666,5,FALSE)</f>
        <v>Chuy</v>
      </c>
      <c r="L2120" s="32"/>
      <c r="M2120" s="48">
        <f t="shared" si="151"/>
        <v>46094</v>
      </c>
      <c r="N2120" s="26">
        <f t="shared" si="147"/>
        <v>3</v>
      </c>
      <c r="O2120" s="27">
        <v>936</v>
      </c>
      <c r="P2120" s="27">
        <v>937</v>
      </c>
      <c r="Q2120" s="27">
        <v>26</v>
      </c>
      <c r="R2120" s="27">
        <v>25</v>
      </c>
      <c r="S2120" s="27" t="s">
        <v>4712</v>
      </c>
      <c r="T2120" s="27"/>
      <c r="U2120" s="27"/>
      <c r="V2120" s="27" t="s">
        <v>5460</v>
      </c>
      <c r="W2120" s="27" t="s">
        <v>5671</v>
      </c>
      <c r="X2120" s="128"/>
      <c r="Y2120" s="73" t="e">
        <f>VLOOKUP(X2120,Choferes!$B$3:C461,2,FALSE)</f>
        <v>#N/A</v>
      </c>
      <c r="Z2120" s="73" t="s">
        <v>5672</v>
      </c>
    </row>
    <row r="2121" spans="1:26" hidden="1" x14ac:dyDescent="0.25">
      <c r="A2121" s="222">
        <v>11</v>
      </c>
      <c r="B2121" s="71" t="s">
        <v>29</v>
      </c>
      <c r="C2121" s="39" t="s">
        <v>5633</v>
      </c>
      <c r="D2121" s="224" t="s">
        <v>5499</v>
      </c>
      <c r="E2121" s="47">
        <v>46092</v>
      </c>
      <c r="F2121" s="31" t="str">
        <f>VLOOKUP($C2121,Carpetas!$C$5:$M$2666,2,FALSE)</f>
        <v>BRB023-26</v>
      </c>
      <c r="G2121" s="23" t="str">
        <f>VLOOKUP($C2121,Carpetas!$C$5:$M$2666,10,FALSE)</f>
        <v>155,13,11</v>
      </c>
      <c r="H2121" s="27" t="str">
        <f>VLOOKUP($C2121,Carpetas!$C$5:$M$2666,6,FALSE)</f>
        <v>Chabat</v>
      </c>
      <c r="I2121" s="27" t="str">
        <f>VLOOKUP($C2121,Carpetas!$C$5:$M$2666,3,FALSE)</f>
        <v>Etimex</v>
      </c>
      <c r="J2121" s="47">
        <v>46093</v>
      </c>
      <c r="K2121" s="72" t="str">
        <f>VLOOKUP($C2121,Carpetas!$C$5:$M$2666,5,FALSE)</f>
        <v>Rio Branco</v>
      </c>
      <c r="L2121" s="32"/>
      <c r="M2121" s="48">
        <f t="shared" si="151"/>
        <v>46094</v>
      </c>
      <c r="N2121" s="26">
        <f t="shared" si="147"/>
        <v>2</v>
      </c>
      <c r="O2121" s="167">
        <v>504</v>
      </c>
      <c r="P2121" s="27">
        <v>1008</v>
      </c>
      <c r="Q2121" s="27">
        <v>28</v>
      </c>
      <c r="R2121" s="27">
        <v>26</v>
      </c>
      <c r="S2121" s="167" t="s">
        <v>5673</v>
      </c>
      <c r="T2121" s="27"/>
      <c r="U2121" s="27">
        <v>2514</v>
      </c>
      <c r="V2121" s="27" t="s">
        <v>4129</v>
      </c>
      <c r="W2121" s="27" t="s">
        <v>4223</v>
      </c>
      <c r="X2121" s="128"/>
      <c r="Y2121" s="73" t="e">
        <f>VLOOKUP(X2121,Choferes!$B$3:C466,2,FALSE)</f>
        <v>#N/A</v>
      </c>
      <c r="Z2121" s="73" t="s">
        <v>5674</v>
      </c>
    </row>
    <row r="2122" spans="1:26" hidden="1" x14ac:dyDescent="0.25">
      <c r="A2122" s="222">
        <v>11</v>
      </c>
      <c r="B2122" s="71" t="s">
        <v>29</v>
      </c>
      <c r="C2122" s="39" t="s">
        <v>5632</v>
      </c>
      <c r="D2122" s="106" t="s">
        <v>803</v>
      </c>
      <c r="E2122" s="47">
        <v>46092</v>
      </c>
      <c r="F2122" s="31" t="str">
        <f>VLOOKUP($C2122,Carpetas!$C$5:$M$2666,2,FALSE)</f>
        <v>BRB022-26</v>
      </c>
      <c r="G2122" s="23" t="str">
        <f>VLOOKUP($C2122,Carpetas!$C$5:$M$2666,10,FALSE)</f>
        <v>155,18,88</v>
      </c>
      <c r="H2122" s="27" t="str">
        <f>VLOOKUP($C2122,Carpetas!$C$5:$M$2666,6,FALSE)</f>
        <v>FG</v>
      </c>
      <c r="I2122" s="27" t="str">
        <f>VLOOKUP($C2122,Carpetas!$C$5:$M$2666,3,FALSE)</f>
        <v>Etimex</v>
      </c>
      <c r="J2122" s="47">
        <f>E2122+5</f>
        <v>46097</v>
      </c>
      <c r="K2122" s="72" t="str">
        <f>VLOOKUP($C2122,Carpetas!$C$5:$M$2666,5,FALSE)</f>
        <v>Rio Branco</v>
      </c>
      <c r="L2122" s="32"/>
      <c r="M2122" s="48">
        <f t="shared" si="151"/>
        <v>46098</v>
      </c>
      <c r="N2122" s="26">
        <f t="shared" si="147"/>
        <v>6</v>
      </c>
      <c r="O2122" s="27">
        <v>1008</v>
      </c>
      <c r="P2122" s="27">
        <v>1008</v>
      </c>
      <c r="Q2122" s="27">
        <v>28</v>
      </c>
      <c r="R2122" s="27">
        <v>26</v>
      </c>
      <c r="S2122" s="27" t="s">
        <v>1219</v>
      </c>
      <c r="T2122" s="27"/>
      <c r="U2122" s="27">
        <v>1436</v>
      </c>
      <c r="V2122" s="27" t="s">
        <v>1735</v>
      </c>
      <c r="W2122" s="27" t="s">
        <v>1736</v>
      </c>
      <c r="X2122" s="128"/>
      <c r="Y2122" s="73" t="e">
        <f>VLOOKUP(X2122,Choferes!$B$3:C459,2,FALSE)</f>
        <v>#N/A</v>
      </c>
      <c r="Z2122" s="73" t="s">
        <v>5675</v>
      </c>
    </row>
    <row r="2123" spans="1:26" hidden="1" x14ac:dyDescent="0.25">
      <c r="A2123" s="222">
        <v>11</v>
      </c>
      <c r="B2123" s="71" t="s">
        <v>29</v>
      </c>
      <c r="C2123" s="39" t="s">
        <v>5670</v>
      </c>
      <c r="D2123" s="106" t="s">
        <v>2202</v>
      </c>
      <c r="E2123" s="47">
        <v>46094</v>
      </c>
      <c r="F2123" s="31" t="str">
        <f>VLOOKUP($C2123,Carpetas!$C$5:$M$2666,2,FALSE)</f>
        <v>BRB025-26</v>
      </c>
      <c r="G2123" s="23" t="str">
        <f>VLOOKUP($C2123,Carpetas!$C$5:$M$2666,10,FALSE)</f>
        <v>155,23,52</v>
      </c>
      <c r="H2123" s="27" t="str">
        <f>VLOOKUP($C2123,Carpetas!$C$5:$M$2666,6,FALSE)</f>
        <v>AXT</v>
      </c>
      <c r="I2123" s="27" t="str">
        <f>VLOOKUP($C2123,Carpetas!$C$5:$M$2666,3,FALSE)</f>
        <v>A&amp;A</v>
      </c>
      <c r="J2123" s="47">
        <f>E2123+3</f>
        <v>46097</v>
      </c>
      <c r="K2123" s="72" t="str">
        <f>VLOOKUP($C2123,Carpetas!$C$5:$M$2666,5,FALSE)</f>
        <v>Chuy</v>
      </c>
      <c r="L2123" s="32"/>
      <c r="M2123" s="48">
        <f t="shared" si="151"/>
        <v>46098</v>
      </c>
      <c r="N2123" s="26">
        <f t="shared" si="147"/>
        <v>4</v>
      </c>
      <c r="O2123" s="27">
        <v>936</v>
      </c>
      <c r="P2123" s="27">
        <v>936</v>
      </c>
      <c r="Q2123" s="27">
        <v>26</v>
      </c>
      <c r="R2123" s="27">
        <v>25</v>
      </c>
      <c r="S2123" s="27" t="s">
        <v>5676</v>
      </c>
      <c r="T2123" s="27"/>
      <c r="U2123" s="27"/>
      <c r="V2123" s="27" t="s">
        <v>5570</v>
      </c>
      <c r="W2123" s="27" t="s">
        <v>5571</v>
      </c>
      <c r="X2123" s="128"/>
      <c r="Y2123" s="73"/>
      <c r="Z2123" s="73" t="s">
        <v>5677</v>
      </c>
    </row>
    <row r="2124" spans="1:26" hidden="1" x14ac:dyDescent="0.25">
      <c r="A2124" s="222">
        <v>11</v>
      </c>
      <c r="B2124" s="71" t="s">
        <v>29</v>
      </c>
      <c r="C2124" s="39" t="s">
        <v>5678</v>
      </c>
      <c r="D2124" s="224" t="s">
        <v>5679</v>
      </c>
      <c r="E2124" s="47">
        <v>46094</v>
      </c>
      <c r="F2124" s="31" t="str">
        <f>VLOOKUP($C2124,Carpetas!$C$5:$M$2666,2,FALSE)</f>
        <v>BRB027-26</v>
      </c>
      <c r="G2124" s="23" t="str">
        <f>VLOOKUP($C2124,Carpetas!$C$5:$M$2666,10,FALSE)</f>
        <v>155,25,74</v>
      </c>
      <c r="H2124" s="27" t="str">
        <f>VLOOKUP($C2124,Carpetas!$C$5:$M$2666,6,FALSE)</f>
        <v>Chabat</v>
      </c>
      <c r="I2124" s="27" t="str">
        <f>VLOOKUP($C2124,Carpetas!$C$5:$M$2666,3,FALSE)</f>
        <v>Etimex</v>
      </c>
      <c r="J2124" s="47">
        <f>E2124+3</f>
        <v>46097</v>
      </c>
      <c r="K2124" s="72" t="str">
        <f>VLOOKUP($C2124,Carpetas!$C$5:$M$2666,5,FALSE)</f>
        <v>Rio Branco</v>
      </c>
      <c r="L2124" s="32"/>
      <c r="M2124" s="48">
        <f t="shared" si="151"/>
        <v>46098</v>
      </c>
      <c r="N2124" s="26">
        <f t="shared" si="147"/>
        <v>4</v>
      </c>
      <c r="O2124" s="27">
        <v>1008</v>
      </c>
      <c r="P2124" s="27">
        <v>1008</v>
      </c>
      <c r="Q2124" s="27">
        <v>28</v>
      </c>
      <c r="R2124" s="27">
        <v>26</v>
      </c>
      <c r="S2124" s="167" t="s">
        <v>5680</v>
      </c>
      <c r="T2124" s="27"/>
      <c r="U2124" s="27">
        <v>2516</v>
      </c>
      <c r="V2124" s="27" t="s">
        <v>4276</v>
      </c>
      <c r="W2124" s="27" t="s">
        <v>4135</v>
      </c>
      <c r="X2124" s="128"/>
      <c r="Y2124" s="73" t="e">
        <f>VLOOKUP(X2124,Choferes!$B$3:C463,2,FALSE)</f>
        <v>#N/A</v>
      </c>
      <c r="Z2124" s="73" t="s">
        <v>5681</v>
      </c>
    </row>
    <row r="2125" spans="1:26" hidden="1" x14ac:dyDescent="0.25">
      <c r="A2125" s="222">
        <v>11</v>
      </c>
      <c r="B2125" s="71" t="s">
        <v>29</v>
      </c>
      <c r="C2125" s="39" t="s">
        <v>5558</v>
      </c>
      <c r="D2125" s="106" t="s">
        <v>2474</v>
      </c>
      <c r="E2125" s="47">
        <v>46094</v>
      </c>
      <c r="F2125" s="31" t="str">
        <f>VLOOKUP($C2125,Carpetas!$C$5:$M$2666,2,FALSE)</f>
        <v>BRB018-26</v>
      </c>
      <c r="G2125" s="23" t="str">
        <f>VLOOKUP($C2125,Carpetas!$C$5:$M$2666,10,FALSE)</f>
        <v>155,01,07</v>
      </c>
      <c r="H2125" s="27" t="str">
        <f>VLOOKUP($C2125,Carpetas!$C$5:$M$2666,6,FALSE)</f>
        <v>Amaro</v>
      </c>
      <c r="I2125" s="27" t="str">
        <f>VLOOKUP($C2125,Carpetas!$C$5:$M$2666,3,FALSE)</f>
        <v>Etimex</v>
      </c>
      <c r="J2125" s="47">
        <f>E2125+3</f>
        <v>46097</v>
      </c>
      <c r="K2125" s="72" t="str">
        <f>VLOOKUP($C2125,Carpetas!$C$5:$M$2666,5,FALSE)</f>
        <v>Rio Branco</v>
      </c>
      <c r="L2125" s="32"/>
      <c r="M2125" s="48">
        <f t="shared" si="151"/>
        <v>46098</v>
      </c>
      <c r="N2125" s="26">
        <f t="shared" si="147"/>
        <v>4</v>
      </c>
      <c r="O2125" s="27">
        <v>1008</v>
      </c>
      <c r="P2125" s="27">
        <v>1008</v>
      </c>
      <c r="Q2125" s="27">
        <v>28</v>
      </c>
      <c r="R2125" s="27">
        <v>26</v>
      </c>
      <c r="S2125" s="27" t="s">
        <v>3683</v>
      </c>
      <c r="T2125" s="27"/>
      <c r="U2125" s="27">
        <v>28165</v>
      </c>
      <c r="V2125" s="27" t="s">
        <v>5682</v>
      </c>
      <c r="W2125" s="27" t="s">
        <v>2137</v>
      </c>
      <c r="X2125" s="128"/>
      <c r="Y2125" s="73" t="e">
        <f>VLOOKUP(X2125,Choferes!$B$3:C464,2,FALSE)</f>
        <v>#N/A</v>
      </c>
      <c r="Z2125" s="73" t="s">
        <v>5675</v>
      </c>
    </row>
    <row r="2126" spans="1:26" hidden="1" x14ac:dyDescent="0.25">
      <c r="A2126" s="222">
        <v>11</v>
      </c>
      <c r="B2126" s="71" t="s">
        <v>29</v>
      </c>
      <c r="C2126" s="39" t="s">
        <v>5678</v>
      </c>
      <c r="D2126" s="106" t="s">
        <v>2202</v>
      </c>
      <c r="E2126" s="47">
        <v>46095</v>
      </c>
      <c r="F2126" s="31" t="str">
        <f>VLOOKUP($C2126,Carpetas!$C$5:$M$2666,2,FALSE)</f>
        <v>BRB027-26</v>
      </c>
      <c r="G2126" s="23" t="str">
        <f>VLOOKUP($C2126,Carpetas!$C$5:$M$2666,10,FALSE)</f>
        <v>155,25,74</v>
      </c>
      <c r="H2126" s="27" t="str">
        <f>VLOOKUP($C2126,Carpetas!$C$5:$M$2666,6,FALSE)</f>
        <v>Chabat</v>
      </c>
      <c r="I2126" s="27" t="str">
        <f>VLOOKUP($C2126,Carpetas!$C$5:$M$2666,3,FALSE)</f>
        <v>Etimex</v>
      </c>
      <c r="J2126" s="47">
        <f>E2126+2</f>
        <v>46097</v>
      </c>
      <c r="K2126" s="72" t="str">
        <f>VLOOKUP($C2126,Carpetas!$C$5:$M$2666,5,FALSE)</f>
        <v>Rio Branco</v>
      </c>
      <c r="L2126" s="32"/>
      <c r="M2126" s="48">
        <f t="shared" si="151"/>
        <v>46098</v>
      </c>
      <c r="N2126" s="26">
        <f t="shared" si="147"/>
        <v>3</v>
      </c>
      <c r="O2126" s="27">
        <v>1008</v>
      </c>
      <c r="P2126" s="27">
        <v>1008</v>
      </c>
      <c r="Q2126" s="27">
        <v>28</v>
      </c>
      <c r="R2126" s="27">
        <v>26</v>
      </c>
      <c r="S2126" s="27" t="s">
        <v>4748</v>
      </c>
      <c r="T2126" s="27"/>
      <c r="U2126" s="27">
        <v>2517</v>
      </c>
      <c r="V2126" s="27" t="s">
        <v>4339</v>
      </c>
      <c r="W2126" s="27" t="s">
        <v>4277</v>
      </c>
      <c r="X2126" s="128"/>
      <c r="Y2126" s="73" t="e">
        <f>VLOOKUP(X2126,Choferes!$B$3:C465,2,FALSE)</f>
        <v>#N/A</v>
      </c>
      <c r="Z2126" s="73" t="s">
        <v>5675</v>
      </c>
    </row>
    <row r="2127" spans="1:26" hidden="1" x14ac:dyDescent="0.25">
      <c r="A2127" s="222">
        <v>11</v>
      </c>
      <c r="B2127" s="71" t="s">
        <v>29</v>
      </c>
      <c r="C2127" s="39" t="s">
        <v>5683</v>
      </c>
      <c r="D2127" s="106" t="s">
        <v>249</v>
      </c>
      <c r="E2127" s="47">
        <v>46094</v>
      </c>
      <c r="F2127" s="31" t="str">
        <f>VLOOKUP($C2127,Carpetas!$C$5:$M$2666,2,FALSE)</f>
        <v>BRB026-26</v>
      </c>
      <c r="G2127" s="23" t="str">
        <f>VLOOKUP($C2127,Carpetas!$C$5:$M$2666,10,FALSE)</f>
        <v>155,25,75</v>
      </c>
      <c r="H2127" s="27" t="str">
        <f>VLOOKUP($C2127,Carpetas!$C$5:$M$2666,6,FALSE)</f>
        <v>FG</v>
      </c>
      <c r="I2127" s="27" t="str">
        <f>VLOOKUP($C2127,Carpetas!$C$5:$M$2666,3,FALSE)</f>
        <v>Etimex</v>
      </c>
      <c r="J2127" s="47">
        <f>E2127+3</f>
        <v>46097</v>
      </c>
      <c r="K2127" s="72" t="str">
        <f>VLOOKUP($C2127,Carpetas!$C$5:$M$2666,5,FALSE)</f>
        <v>Rio Branco</v>
      </c>
      <c r="L2127" s="32"/>
      <c r="M2127" s="48">
        <f t="shared" si="151"/>
        <v>46098</v>
      </c>
      <c r="N2127" s="26">
        <f t="shared" si="147"/>
        <v>4</v>
      </c>
      <c r="O2127" s="27">
        <v>1008</v>
      </c>
      <c r="P2127" s="27">
        <v>1008</v>
      </c>
      <c r="Q2127" s="27">
        <v>28</v>
      </c>
      <c r="R2127" s="27">
        <v>26</v>
      </c>
      <c r="S2127" s="27" t="s">
        <v>1508</v>
      </c>
      <c r="T2127" s="27"/>
      <c r="U2127" s="27">
        <v>1439</v>
      </c>
      <c r="V2127" s="27" t="s">
        <v>1726</v>
      </c>
      <c r="W2127" s="27" t="s">
        <v>1646</v>
      </c>
      <c r="X2127" s="128"/>
      <c r="Y2127" s="73" t="e">
        <f>VLOOKUP(X2127,Choferes!$B$3:C465,2,FALSE)</f>
        <v>#N/A</v>
      </c>
      <c r="Z2127" s="73" t="s">
        <v>5675</v>
      </c>
    </row>
    <row r="2128" spans="1:26" hidden="1" x14ac:dyDescent="0.25">
      <c r="A2128" s="222">
        <v>11</v>
      </c>
      <c r="B2128" s="71" t="s">
        <v>29</v>
      </c>
      <c r="C2128" s="39" t="s">
        <v>5683</v>
      </c>
      <c r="D2128" s="106" t="s">
        <v>747</v>
      </c>
      <c r="E2128" s="47">
        <v>46094</v>
      </c>
      <c r="F2128" s="31" t="str">
        <f>VLOOKUP($C2128,Carpetas!$C$5:$M$2666,2,FALSE)</f>
        <v>BRB026-26</v>
      </c>
      <c r="G2128" s="23" t="str">
        <f>VLOOKUP($C2128,Carpetas!$C$5:$M$2666,10,FALSE)</f>
        <v>155,25,75</v>
      </c>
      <c r="H2128" s="27" t="str">
        <f>VLOOKUP($C2128,Carpetas!$C$5:$M$2666,6,FALSE)</f>
        <v>FG</v>
      </c>
      <c r="I2128" s="27" t="str">
        <f>VLOOKUP($C2128,Carpetas!$C$5:$M$2666,3,FALSE)</f>
        <v>Etimex</v>
      </c>
      <c r="J2128" s="47">
        <f>E2128+3</f>
        <v>46097</v>
      </c>
      <c r="K2128" s="72" t="str">
        <f>VLOOKUP($C2128,Carpetas!$C$5:$M$2666,5,FALSE)</f>
        <v>Rio Branco</v>
      </c>
      <c r="L2128" s="32"/>
      <c r="M2128" s="48">
        <f t="shared" si="151"/>
        <v>46098</v>
      </c>
      <c r="N2128" s="26">
        <f t="shared" si="147"/>
        <v>4</v>
      </c>
      <c r="O2128" s="27">
        <v>1008</v>
      </c>
      <c r="P2128" s="27">
        <v>1008</v>
      </c>
      <c r="Q2128" s="27">
        <v>28</v>
      </c>
      <c r="R2128" s="27">
        <v>26</v>
      </c>
      <c r="S2128" s="27" t="s">
        <v>1588</v>
      </c>
      <c r="T2128" s="27"/>
      <c r="U2128" s="27">
        <v>1438</v>
      </c>
      <c r="V2128" s="27" t="s">
        <v>1042</v>
      </c>
      <c r="W2128" s="27" t="s">
        <v>1934</v>
      </c>
      <c r="X2128" s="128"/>
      <c r="Y2128" s="73" t="e">
        <f>VLOOKUP(X2128,Choferes!$B$3:C466,2,FALSE)</f>
        <v>#N/A</v>
      </c>
      <c r="Z2128" s="73" t="s">
        <v>5675</v>
      </c>
    </row>
    <row r="2129" spans="1:26" hidden="1" x14ac:dyDescent="0.25">
      <c r="A2129" s="222">
        <v>11</v>
      </c>
      <c r="B2129" s="71" t="s">
        <v>29</v>
      </c>
      <c r="C2129" s="39" t="s">
        <v>5683</v>
      </c>
      <c r="D2129" s="106" t="s">
        <v>803</v>
      </c>
      <c r="E2129" s="47">
        <v>46095</v>
      </c>
      <c r="F2129" s="31" t="str">
        <f>VLOOKUP($C2129,Carpetas!$C$5:$M$2666,2,FALSE)</f>
        <v>BRB026-26</v>
      </c>
      <c r="G2129" s="23" t="str">
        <f>VLOOKUP($C2129,Carpetas!$C$5:$M$2666,10,FALSE)</f>
        <v>155,25,75</v>
      </c>
      <c r="H2129" s="27" t="str">
        <f>VLOOKUP($C2129,Carpetas!$C$5:$M$2666,6,FALSE)</f>
        <v>FG</v>
      </c>
      <c r="I2129" s="27" t="str">
        <f>VLOOKUP($C2129,Carpetas!$C$5:$M$2666,3,FALSE)</f>
        <v>Etimex</v>
      </c>
      <c r="J2129" s="47">
        <v>46097</v>
      </c>
      <c r="K2129" s="72" t="str">
        <f>VLOOKUP($C2129,Carpetas!$C$5:$M$2666,5,FALSE)</f>
        <v>Rio Branco</v>
      </c>
      <c r="L2129" s="32"/>
      <c r="M2129" s="48">
        <f t="shared" si="151"/>
        <v>46098</v>
      </c>
      <c r="N2129" s="26">
        <f t="shared" si="147"/>
        <v>3</v>
      </c>
      <c r="O2129" s="27">
        <v>1008</v>
      </c>
      <c r="P2129" s="27">
        <v>1008</v>
      </c>
      <c r="Q2129" s="27">
        <v>28</v>
      </c>
      <c r="R2129" s="27">
        <v>26</v>
      </c>
      <c r="S2129" s="27" t="s">
        <v>1196</v>
      </c>
      <c r="T2129" s="27"/>
      <c r="U2129" s="27">
        <v>1440</v>
      </c>
      <c r="V2129" s="27" t="s">
        <v>1626</v>
      </c>
      <c r="W2129" s="27" t="s">
        <v>1681</v>
      </c>
      <c r="X2129" s="128"/>
      <c r="Y2129" s="73" t="e">
        <f>VLOOKUP(X2129,Choferes!$B$3:C466,2,FALSE)</f>
        <v>#N/A</v>
      </c>
      <c r="Z2129" s="73" t="s">
        <v>5675</v>
      </c>
    </row>
    <row r="2130" spans="1:26" ht="30" hidden="1" x14ac:dyDescent="0.25">
      <c r="A2130" s="222">
        <v>11</v>
      </c>
      <c r="B2130" s="71" t="s">
        <v>29</v>
      </c>
      <c r="C2130" s="39" t="s">
        <v>5684</v>
      </c>
      <c r="D2130" s="106" t="s">
        <v>38</v>
      </c>
      <c r="E2130" s="47">
        <v>46095</v>
      </c>
      <c r="F2130" s="31" t="str">
        <f>VLOOKUP($C2130,Carpetas!$C$5:$M$2666,2,FALSE)</f>
        <v>BRE009-26</v>
      </c>
      <c r="G2130" s="23">
        <f>VLOOKUP($C2130,Carpetas!$C$5:$M$2666,10,FALSE)</f>
        <v>0</v>
      </c>
      <c r="H2130" s="27" t="str">
        <f>VLOOKUP($C2130,Carpetas!$C$5:$M$2666,6,FALSE)</f>
        <v xml:space="preserve">Silvio </v>
      </c>
      <c r="I2130" s="27" t="str">
        <f>VLOOKUP($C2130,Carpetas!$C$5:$M$2666,3,FALSE)</f>
        <v>Jaguacy</v>
      </c>
      <c r="J2130" s="47">
        <v>46098</v>
      </c>
      <c r="K2130" s="72" t="str">
        <f>VLOOKUP($C2130,Carpetas!$C$5:$M$2666,5,FALSE)</f>
        <v>Rio Branco</v>
      </c>
      <c r="L2130" s="32"/>
      <c r="M2130" s="48">
        <f t="shared" si="151"/>
        <v>46099</v>
      </c>
      <c r="N2130" s="26">
        <f t="shared" ref="N2130:N2193" si="152">IF(E2130&lt;&gt;"",M2130-E2130,"-")</f>
        <v>4</v>
      </c>
      <c r="O2130" s="27">
        <v>2304</v>
      </c>
      <c r="P2130" s="27">
        <v>2304</v>
      </c>
      <c r="Q2130" s="27">
        <v>24</v>
      </c>
      <c r="R2130" s="27">
        <v>10</v>
      </c>
      <c r="S2130" s="27"/>
      <c r="T2130" s="27"/>
      <c r="U2130" s="27"/>
      <c r="V2130" s="27"/>
      <c r="W2130" s="27"/>
      <c r="X2130" s="128"/>
      <c r="Y2130" s="73" t="e">
        <f>VLOOKUP(X2130,Choferes!$B$3:C462,2,FALSE)</f>
        <v>#N/A</v>
      </c>
      <c r="Z2130" s="73" t="s">
        <v>5685</v>
      </c>
    </row>
    <row r="2131" spans="1:26" hidden="1" x14ac:dyDescent="0.25">
      <c r="A2131" s="222">
        <v>12</v>
      </c>
      <c r="B2131" s="71" t="s">
        <v>29</v>
      </c>
      <c r="C2131" s="39" t="s">
        <v>5683</v>
      </c>
      <c r="D2131" s="106" t="s">
        <v>803</v>
      </c>
      <c r="E2131" s="47">
        <v>46097</v>
      </c>
      <c r="F2131" s="31" t="str">
        <f>VLOOKUP($C2131,Carpetas!$C$5:$M$2666,2,FALSE)</f>
        <v>BRB026-26</v>
      </c>
      <c r="G2131" s="23" t="str">
        <f>VLOOKUP($C2131,Carpetas!$C$5:$M$2666,10,FALSE)</f>
        <v>155,25,75</v>
      </c>
      <c r="H2131" s="27" t="str">
        <f>VLOOKUP($C2131,Carpetas!$C$5:$M$2666,6,FALSE)</f>
        <v>FG</v>
      </c>
      <c r="I2131" s="27" t="str">
        <f>VLOOKUP($C2131,Carpetas!$C$5:$M$2666,3,FALSE)</f>
        <v>Etimex</v>
      </c>
      <c r="J2131" s="47">
        <f>E2131+2</f>
        <v>46099</v>
      </c>
      <c r="K2131" s="72" t="str">
        <f>VLOOKUP($C2131,Carpetas!$C$5:$M$2666,5,FALSE)</f>
        <v>Rio Branco</v>
      </c>
      <c r="L2131" s="32"/>
      <c r="M2131" s="48">
        <f t="shared" si="151"/>
        <v>46100</v>
      </c>
      <c r="N2131" s="26">
        <f t="shared" si="152"/>
        <v>3</v>
      </c>
      <c r="O2131" s="27">
        <v>1008</v>
      </c>
      <c r="P2131" s="27">
        <v>1008</v>
      </c>
      <c r="Q2131" s="27">
        <v>28</v>
      </c>
      <c r="R2131" s="27">
        <v>26</v>
      </c>
      <c r="S2131" s="27" t="s">
        <v>1207</v>
      </c>
      <c r="T2131" s="27"/>
      <c r="U2131" s="27">
        <v>1441</v>
      </c>
      <c r="V2131" s="27" t="s">
        <v>1617</v>
      </c>
      <c r="W2131" s="27" t="s">
        <v>1618</v>
      </c>
      <c r="X2131" s="128"/>
      <c r="Y2131" s="73" t="e">
        <f>VLOOKUP(X2131,Choferes!$B$3:C451,2,FALSE)</f>
        <v>#N/A</v>
      </c>
      <c r="Z2131" s="73" t="s">
        <v>5686</v>
      </c>
    </row>
    <row r="2132" spans="1:26" hidden="1" x14ac:dyDescent="0.25">
      <c r="A2132" s="222">
        <v>12</v>
      </c>
      <c r="B2132" s="71" t="s">
        <v>29</v>
      </c>
      <c r="C2132" s="39" t="s">
        <v>5683</v>
      </c>
      <c r="D2132" s="106" t="s">
        <v>747</v>
      </c>
      <c r="E2132" s="47">
        <v>46097</v>
      </c>
      <c r="F2132" s="31" t="str">
        <f>VLOOKUP($C2132,Carpetas!$C$5:$M$2666,2,FALSE)</f>
        <v>BRB026-26</v>
      </c>
      <c r="G2132" s="23" t="str">
        <f>VLOOKUP($C2132,Carpetas!$C$5:$M$2666,10,FALSE)</f>
        <v>155,25,75</v>
      </c>
      <c r="H2132" s="27" t="str">
        <f>VLOOKUP($C2132,Carpetas!$C$5:$M$2666,6,FALSE)</f>
        <v>FG</v>
      </c>
      <c r="I2132" s="27" t="str">
        <f>VLOOKUP($C2132,Carpetas!$C$5:$M$2666,3,FALSE)</f>
        <v>Etimex</v>
      </c>
      <c r="J2132" s="47">
        <f>E2132+2</f>
        <v>46099</v>
      </c>
      <c r="K2132" s="72" t="str">
        <f>VLOOKUP($C2132,Carpetas!$C$5:$M$2666,5,FALSE)</f>
        <v>Rio Branco</v>
      </c>
      <c r="L2132" s="32"/>
      <c r="M2132" s="48">
        <f t="shared" si="151"/>
        <v>46100</v>
      </c>
      <c r="N2132" s="26">
        <f t="shared" si="152"/>
        <v>3</v>
      </c>
      <c r="O2132" s="27">
        <v>1008</v>
      </c>
      <c r="P2132" s="27">
        <v>1008</v>
      </c>
      <c r="Q2132" s="27">
        <v>28</v>
      </c>
      <c r="R2132" s="27">
        <v>26</v>
      </c>
      <c r="S2132" s="27" t="s">
        <v>1656</v>
      </c>
      <c r="T2132" s="27"/>
      <c r="U2132" s="27">
        <v>1442</v>
      </c>
      <c r="V2132" s="27" t="s">
        <v>1430</v>
      </c>
      <c r="W2132" s="27" t="s">
        <v>5449</v>
      </c>
      <c r="X2132" s="128"/>
      <c r="Y2132" s="73" t="e">
        <f>VLOOKUP(X2132,Choferes!$B$3:C452,2,FALSE)</f>
        <v>#N/A</v>
      </c>
      <c r="Z2132" s="73" t="s">
        <v>5687</v>
      </c>
    </row>
    <row r="2133" spans="1:26" hidden="1" x14ac:dyDescent="0.25">
      <c r="A2133" s="222">
        <v>12</v>
      </c>
      <c r="B2133" s="71" t="s">
        <v>29</v>
      </c>
      <c r="C2133" s="39" t="s">
        <v>5683</v>
      </c>
      <c r="D2133" s="106" t="s">
        <v>803</v>
      </c>
      <c r="E2133" s="47">
        <v>46098</v>
      </c>
      <c r="F2133" s="31" t="str">
        <f>VLOOKUP($C2133,Carpetas!$C$5:$M$2666,2,FALSE)</f>
        <v>BRB026-26</v>
      </c>
      <c r="G2133" s="23" t="str">
        <f>VLOOKUP($C2133,Carpetas!$C$5:$M$2666,10,FALSE)</f>
        <v>155,25,75</v>
      </c>
      <c r="H2133" s="27" t="str">
        <f>VLOOKUP($C2133,Carpetas!$C$5:$M$2666,6,FALSE)</f>
        <v>FG</v>
      </c>
      <c r="I2133" s="27" t="str">
        <f>VLOOKUP($C2133,Carpetas!$C$5:$M$2666,3,FALSE)</f>
        <v>Etimex</v>
      </c>
      <c r="J2133" s="47">
        <f>E2133+2</f>
        <v>46100</v>
      </c>
      <c r="K2133" s="72" t="str">
        <f>VLOOKUP($C2133,Carpetas!$C$5:$M$2666,5,FALSE)</f>
        <v>Rio Branco</v>
      </c>
      <c r="L2133" s="32"/>
      <c r="M2133" s="48">
        <f t="shared" si="151"/>
        <v>46101</v>
      </c>
      <c r="N2133" s="26">
        <f t="shared" si="152"/>
        <v>3</v>
      </c>
      <c r="O2133" s="27">
        <v>1008</v>
      </c>
      <c r="P2133" s="27">
        <v>1008</v>
      </c>
      <c r="Q2133" s="27">
        <v>28</v>
      </c>
      <c r="R2133" s="27">
        <v>26</v>
      </c>
      <c r="S2133" s="27" t="s">
        <v>1241</v>
      </c>
      <c r="T2133" s="27"/>
      <c r="U2133" s="27">
        <v>1446</v>
      </c>
      <c r="V2133" s="27" t="s">
        <v>1722</v>
      </c>
      <c r="W2133" s="27" t="s">
        <v>1723</v>
      </c>
      <c r="X2133" s="128"/>
      <c r="Y2133" s="73" t="e">
        <f>VLOOKUP(X2133,Choferes!$B$3:C453,2,FALSE)</f>
        <v>#N/A</v>
      </c>
      <c r="Z2133" s="73" t="s">
        <v>5688</v>
      </c>
    </row>
    <row r="2134" spans="1:26" hidden="1" x14ac:dyDescent="0.25">
      <c r="A2134" s="222">
        <v>12</v>
      </c>
      <c r="B2134" s="71" t="s">
        <v>29</v>
      </c>
      <c r="C2134" s="39" t="s">
        <v>5558</v>
      </c>
      <c r="D2134" s="224" t="s">
        <v>5507</v>
      </c>
      <c r="E2134" s="47">
        <v>46098</v>
      </c>
      <c r="F2134" s="31" t="str">
        <f>VLOOKUP($C2134,Carpetas!$C$5:$M$2666,2,FALSE)</f>
        <v>BRB018-26</v>
      </c>
      <c r="G2134" s="23" t="str">
        <f>VLOOKUP($C2134,Carpetas!$C$5:$M$2666,10,FALSE)</f>
        <v>155,01,07</v>
      </c>
      <c r="H2134" s="27" t="str">
        <f>VLOOKUP($C2134,Carpetas!$C$5:$M$2666,6,FALSE)</f>
        <v>Amaro</v>
      </c>
      <c r="I2134" s="27" t="str">
        <f>VLOOKUP($C2134,Carpetas!$C$5:$M$2666,3,FALSE)</f>
        <v>Etimex</v>
      </c>
      <c r="J2134" s="47">
        <f>E2134+2</f>
        <v>46100</v>
      </c>
      <c r="K2134" s="72" t="str">
        <f>VLOOKUP($C2134,Carpetas!$C$5:$M$2666,5,FALSE)</f>
        <v>Rio Branco</v>
      </c>
      <c r="L2134" s="32"/>
      <c r="M2134" s="48">
        <f t="shared" si="151"/>
        <v>46101</v>
      </c>
      <c r="N2134" s="26">
        <f t="shared" si="152"/>
        <v>3</v>
      </c>
      <c r="O2134" s="27">
        <v>1008</v>
      </c>
      <c r="P2134" s="27">
        <v>1008</v>
      </c>
      <c r="Q2134" s="27">
        <v>28</v>
      </c>
      <c r="R2134" s="27">
        <v>26</v>
      </c>
      <c r="S2134" s="167" t="s">
        <v>5689</v>
      </c>
      <c r="T2134" s="27"/>
      <c r="U2134" s="27">
        <v>28198</v>
      </c>
      <c r="V2134" s="27" t="s">
        <v>2795</v>
      </c>
      <c r="W2134" s="27" t="s">
        <v>2796</v>
      </c>
      <c r="X2134" s="128"/>
      <c r="Y2134" s="73" t="e">
        <f>VLOOKUP(X2134,Choferes!$B$3:C454,2,FALSE)</f>
        <v>#N/A</v>
      </c>
      <c r="Z2134" s="73" t="s">
        <v>5690</v>
      </c>
    </row>
    <row r="2135" spans="1:26" hidden="1" x14ac:dyDescent="0.25">
      <c r="A2135" s="222">
        <v>12</v>
      </c>
      <c r="B2135" s="71" t="s">
        <v>29</v>
      </c>
      <c r="C2135" s="39" t="s">
        <v>5670</v>
      </c>
      <c r="D2135" s="106" t="s">
        <v>2202</v>
      </c>
      <c r="E2135" s="47">
        <v>46098</v>
      </c>
      <c r="F2135" s="31" t="str">
        <f>VLOOKUP($C2135,Carpetas!$C$5:$M$2666,2,FALSE)</f>
        <v>BRB025-26</v>
      </c>
      <c r="G2135" s="23" t="str">
        <f>VLOOKUP($C2135,Carpetas!$C$5:$M$2666,10,FALSE)</f>
        <v>155,23,52</v>
      </c>
      <c r="H2135" s="27" t="str">
        <f>VLOOKUP($C2135,Carpetas!$C$5:$M$2666,6,FALSE)</f>
        <v>AXT</v>
      </c>
      <c r="I2135" s="27" t="str">
        <f>VLOOKUP($C2135,Carpetas!$C$5:$M$2666,3,FALSE)</f>
        <v>A&amp;A</v>
      </c>
      <c r="J2135" s="47">
        <f>E2135+2</f>
        <v>46100</v>
      </c>
      <c r="K2135" s="72" t="str">
        <f>VLOOKUP($C2135,Carpetas!$C$5:$M$2666,5,FALSE)</f>
        <v>Chuy</v>
      </c>
      <c r="L2135" s="32"/>
      <c r="M2135" s="48">
        <f t="shared" si="151"/>
        <v>46101</v>
      </c>
      <c r="N2135" s="26">
        <f t="shared" si="152"/>
        <v>3</v>
      </c>
      <c r="O2135" s="27">
        <v>936</v>
      </c>
      <c r="P2135" s="27">
        <v>1009</v>
      </c>
      <c r="Q2135" s="27">
        <v>28</v>
      </c>
      <c r="R2135" s="27">
        <v>26</v>
      </c>
      <c r="S2135" s="27" t="s">
        <v>4771</v>
      </c>
      <c r="T2135" s="27"/>
      <c r="U2135" s="27"/>
      <c r="V2135" s="27" t="s">
        <v>5691</v>
      </c>
      <c r="W2135" s="27" t="s">
        <v>5606</v>
      </c>
      <c r="X2135" s="128"/>
      <c r="Y2135" s="73" t="e">
        <f>VLOOKUP(X2135,Choferes!$B$3:C465,2,FALSE)</f>
        <v>#N/A</v>
      </c>
      <c r="Z2135" s="73" t="s">
        <v>5692</v>
      </c>
    </row>
    <row r="2136" spans="1:26" hidden="1" x14ac:dyDescent="0.25">
      <c r="A2136" s="222">
        <v>12</v>
      </c>
      <c r="B2136" s="71" t="s">
        <v>29</v>
      </c>
      <c r="C2136" s="39" t="s">
        <v>5693</v>
      </c>
      <c r="D2136" s="106" t="s">
        <v>249</v>
      </c>
      <c r="E2136" s="47">
        <v>46099</v>
      </c>
      <c r="F2136" s="31" t="str">
        <f>VLOOKUP($C2136,Carpetas!$C$5:$M$2666,2,FALSE)</f>
        <v>BRB028-26</v>
      </c>
      <c r="G2136" s="23" t="str">
        <f>VLOOKUP($C2136,Carpetas!$C$5:$M$2666,10,FALSE)</f>
        <v>155,29,93</v>
      </c>
      <c r="H2136" s="27" t="str">
        <f>VLOOKUP($C2136,Carpetas!$C$5:$M$2666,6,FALSE)</f>
        <v>FG</v>
      </c>
      <c r="I2136" s="27" t="str">
        <f>VLOOKUP($C2136,Carpetas!$C$5:$M$2666,3,FALSE)</f>
        <v>Etimex</v>
      </c>
      <c r="J2136" s="47">
        <v>46100</v>
      </c>
      <c r="K2136" s="72" t="str">
        <f>VLOOKUP($C2136,Carpetas!$C$5:$M$2666,5,FALSE)</f>
        <v>Rio Branco</v>
      </c>
      <c r="L2136" s="32"/>
      <c r="M2136" s="48">
        <f t="shared" si="151"/>
        <v>46101</v>
      </c>
      <c r="N2136" s="26">
        <f t="shared" si="152"/>
        <v>2</v>
      </c>
      <c r="O2136" s="27">
        <v>1008</v>
      </c>
      <c r="P2136" s="27">
        <v>1008</v>
      </c>
      <c r="Q2136" s="27">
        <v>28</v>
      </c>
      <c r="R2136" s="27">
        <v>26</v>
      </c>
      <c r="S2136" s="27" t="s">
        <v>1633</v>
      </c>
      <c r="T2136" s="27"/>
      <c r="U2136" s="27">
        <v>1447</v>
      </c>
      <c r="V2136" s="27" t="s">
        <v>3601</v>
      </c>
      <c r="W2136" s="27" t="s">
        <v>3602</v>
      </c>
      <c r="X2136" s="128"/>
      <c r="Y2136" s="73" t="e">
        <f>VLOOKUP(X2136,Choferes!$B$3:C458,2,FALSE)</f>
        <v>#N/A</v>
      </c>
      <c r="Z2136" s="73" t="s">
        <v>5694</v>
      </c>
    </row>
    <row r="2137" spans="1:26" hidden="1" x14ac:dyDescent="0.25">
      <c r="A2137" s="222">
        <v>12</v>
      </c>
      <c r="B2137" s="71" t="s">
        <v>29</v>
      </c>
      <c r="C2137" s="39" t="s">
        <v>5693</v>
      </c>
      <c r="D2137" s="106" t="s">
        <v>803</v>
      </c>
      <c r="E2137" s="47">
        <v>46099</v>
      </c>
      <c r="F2137" s="31" t="str">
        <f>VLOOKUP($C2137,Carpetas!$C$5:$M$2666,2,FALSE)</f>
        <v>BRB028-26</v>
      </c>
      <c r="G2137" s="23" t="str">
        <f>VLOOKUP($C2137,Carpetas!$C$5:$M$2666,10,FALSE)</f>
        <v>155,29,93</v>
      </c>
      <c r="H2137" s="27" t="str">
        <f>VLOOKUP($C2137,Carpetas!$C$5:$M$2666,6,FALSE)</f>
        <v>FG</v>
      </c>
      <c r="I2137" s="27" t="str">
        <f>VLOOKUP($C2137,Carpetas!$C$5:$M$2666,3,FALSE)</f>
        <v>Etimex</v>
      </c>
      <c r="J2137" s="47">
        <v>46100</v>
      </c>
      <c r="K2137" s="72" t="str">
        <f>VLOOKUP($C2137,Carpetas!$C$5:$M$2666,5,FALSE)</f>
        <v>Rio Branco</v>
      </c>
      <c r="L2137" s="32"/>
      <c r="M2137" s="48">
        <f t="shared" si="151"/>
        <v>46101</v>
      </c>
      <c r="N2137" s="26">
        <f t="shared" si="152"/>
        <v>2</v>
      </c>
      <c r="O2137" s="27">
        <v>1008</v>
      </c>
      <c r="P2137" s="27">
        <v>1008</v>
      </c>
      <c r="Q2137" s="27">
        <v>28</v>
      </c>
      <c r="R2137" s="27">
        <v>26</v>
      </c>
      <c r="S2137" s="27" t="s">
        <v>1252</v>
      </c>
      <c r="T2137" s="27"/>
      <c r="U2137" s="27">
        <v>1448</v>
      </c>
      <c r="V2137" s="27" t="s">
        <v>1657</v>
      </c>
      <c r="W2137" s="27" t="s">
        <v>1815</v>
      </c>
      <c r="X2137" s="128"/>
      <c r="Y2137" s="73" t="e">
        <f>VLOOKUP(X2137,Choferes!$B$3:C455,2,FALSE)</f>
        <v>#N/A</v>
      </c>
      <c r="Z2137" s="73" t="s">
        <v>5695</v>
      </c>
    </row>
    <row r="2138" spans="1:26" hidden="1" x14ac:dyDescent="0.25">
      <c r="A2138" s="222">
        <v>12</v>
      </c>
      <c r="B2138" s="71" t="s">
        <v>29</v>
      </c>
      <c r="C2138" s="39" t="s">
        <v>5693</v>
      </c>
      <c r="D2138" s="106" t="s">
        <v>110</v>
      </c>
      <c r="E2138" s="47">
        <v>46099</v>
      </c>
      <c r="F2138" s="31" t="str">
        <f>VLOOKUP($C2138,Carpetas!$C$5:$M$2666,2,FALSE)</f>
        <v>BRB028-26</v>
      </c>
      <c r="G2138" s="23" t="str">
        <f>VLOOKUP($C2138,Carpetas!$C$5:$M$2666,10,FALSE)</f>
        <v>155,29,93</v>
      </c>
      <c r="H2138" s="27" t="str">
        <f>VLOOKUP($C2138,Carpetas!$C$5:$M$2666,6,FALSE)</f>
        <v>FG</v>
      </c>
      <c r="I2138" s="27" t="str">
        <f>VLOOKUP($C2138,Carpetas!$C$5:$M$2666,3,FALSE)</f>
        <v>Etimex</v>
      </c>
      <c r="J2138" s="47">
        <v>46100</v>
      </c>
      <c r="K2138" s="72" t="str">
        <f>VLOOKUP($C2138,Carpetas!$C$5:$M$2666,5,FALSE)</f>
        <v>Rio Branco</v>
      </c>
      <c r="L2138" s="32"/>
      <c r="M2138" s="48">
        <f t="shared" si="151"/>
        <v>46101</v>
      </c>
      <c r="N2138" s="26">
        <f t="shared" si="152"/>
        <v>2</v>
      </c>
      <c r="O2138" s="27">
        <v>1008</v>
      </c>
      <c r="P2138" s="27">
        <v>1009</v>
      </c>
      <c r="Q2138" s="27">
        <v>28</v>
      </c>
      <c r="R2138" s="27">
        <v>26</v>
      </c>
      <c r="S2138" s="27" t="s">
        <v>986</v>
      </c>
      <c r="T2138" s="27"/>
      <c r="U2138" s="27">
        <v>1450</v>
      </c>
      <c r="V2138" s="27" t="s">
        <v>2339</v>
      </c>
      <c r="W2138" s="27" t="s">
        <v>5696</v>
      </c>
      <c r="X2138" s="128"/>
      <c r="Y2138" s="73" t="e">
        <f>VLOOKUP(X2138,Choferes!$B$3:C459,2,FALSE)</f>
        <v>#N/A</v>
      </c>
      <c r="Z2138" s="73" t="s">
        <v>5697</v>
      </c>
    </row>
    <row r="2139" spans="1:26" hidden="1" x14ac:dyDescent="0.25">
      <c r="A2139" s="222">
        <v>12</v>
      </c>
      <c r="B2139" s="71" t="s">
        <v>29</v>
      </c>
      <c r="C2139" s="39" t="s">
        <v>5678</v>
      </c>
      <c r="D2139" s="224" t="s">
        <v>5499</v>
      </c>
      <c r="E2139" s="47">
        <v>46099</v>
      </c>
      <c r="F2139" s="31" t="str">
        <f>VLOOKUP($C2139,Carpetas!$C$5:$M$2666,2,FALSE)</f>
        <v>BRB027-26</v>
      </c>
      <c r="G2139" s="23" t="str">
        <f>VLOOKUP($C2139,Carpetas!$C$5:$M$2666,10,FALSE)</f>
        <v>155,25,74</v>
      </c>
      <c r="H2139" s="27" t="str">
        <f>VLOOKUP($C2139,Carpetas!$C$5:$M$2666,6,FALSE)</f>
        <v>Chabat</v>
      </c>
      <c r="I2139" s="27" t="str">
        <f>VLOOKUP($C2139,Carpetas!$C$5:$M$2666,3,FALSE)</f>
        <v>Etimex</v>
      </c>
      <c r="J2139" s="47">
        <v>46100</v>
      </c>
      <c r="K2139" s="72" t="str">
        <f>VLOOKUP($C2139,Carpetas!$C$5:$M$2666,5,FALSE)</f>
        <v>Rio Branco</v>
      </c>
      <c r="L2139" s="32"/>
      <c r="M2139" s="48">
        <f t="shared" si="151"/>
        <v>46101</v>
      </c>
      <c r="N2139" s="26">
        <f t="shared" si="152"/>
        <v>2</v>
      </c>
      <c r="O2139" s="27">
        <v>1008</v>
      </c>
      <c r="P2139" s="27">
        <v>1008</v>
      </c>
      <c r="Q2139" s="27">
        <v>28</v>
      </c>
      <c r="R2139" s="27">
        <v>26</v>
      </c>
      <c r="S2139" s="167" t="s">
        <v>5698</v>
      </c>
      <c r="T2139" s="27"/>
      <c r="U2139" s="27">
        <v>2518</v>
      </c>
      <c r="V2139" s="27" t="s">
        <v>4134</v>
      </c>
      <c r="W2139" s="27" t="s">
        <v>4635</v>
      </c>
      <c r="X2139" s="128"/>
      <c r="Y2139" s="73" t="e">
        <f>VLOOKUP(X2139,Choferes!$B$3:C456,2,FALSE)</f>
        <v>#N/A</v>
      </c>
      <c r="Z2139" s="73" t="s">
        <v>5699</v>
      </c>
    </row>
    <row r="2140" spans="1:26" hidden="1" x14ac:dyDescent="0.25">
      <c r="A2140" s="222">
        <v>12</v>
      </c>
      <c r="B2140" s="71" t="s">
        <v>29</v>
      </c>
      <c r="C2140" s="39" t="s">
        <v>5693</v>
      </c>
      <c r="D2140" s="106" t="s">
        <v>747</v>
      </c>
      <c r="E2140" s="47">
        <v>46099</v>
      </c>
      <c r="F2140" s="31" t="str">
        <f>VLOOKUP($C2140,Carpetas!$C$5:$M$2666,2,FALSE)</f>
        <v>BRB028-26</v>
      </c>
      <c r="G2140" s="23" t="str">
        <f>VLOOKUP($C2140,Carpetas!$C$5:$M$2666,10,FALSE)</f>
        <v>155,29,93</v>
      </c>
      <c r="H2140" s="27" t="str">
        <f>VLOOKUP($C2140,Carpetas!$C$5:$M$2666,6,FALSE)</f>
        <v>FG</v>
      </c>
      <c r="I2140" s="27" t="str">
        <f>VLOOKUP($C2140,Carpetas!$C$5:$M$2666,3,FALSE)</f>
        <v>Etimex</v>
      </c>
      <c r="J2140" s="47">
        <v>46100</v>
      </c>
      <c r="K2140" s="72" t="str">
        <f>VLOOKUP($C2140,Carpetas!$C$5:$M$2666,5,FALSE)</f>
        <v>Rio Branco</v>
      </c>
      <c r="L2140" s="32"/>
      <c r="M2140" s="48">
        <f t="shared" si="151"/>
        <v>46101</v>
      </c>
      <c r="N2140" s="26">
        <f t="shared" si="152"/>
        <v>2</v>
      </c>
      <c r="O2140" s="27">
        <v>1008</v>
      </c>
      <c r="P2140" s="27">
        <v>1008</v>
      </c>
      <c r="Q2140" s="27">
        <v>28</v>
      </c>
      <c r="R2140" s="27">
        <v>26</v>
      </c>
      <c r="S2140" s="27" t="s">
        <v>1660</v>
      </c>
      <c r="T2140" s="27"/>
      <c r="U2140" s="27">
        <v>1449</v>
      </c>
      <c r="V2140" s="27" t="s">
        <v>4252</v>
      </c>
      <c r="W2140" s="27" t="s">
        <v>5700</v>
      </c>
      <c r="X2140" s="128"/>
      <c r="Y2140" s="73" t="e">
        <f>VLOOKUP(X2140,Choferes!$B$3:C457,2,FALSE)</f>
        <v>#N/A</v>
      </c>
      <c r="Z2140" s="73" t="s">
        <v>5701</v>
      </c>
    </row>
    <row r="2141" spans="1:26" hidden="1" x14ac:dyDescent="0.25">
      <c r="A2141" s="222">
        <v>12</v>
      </c>
      <c r="B2141" s="71" t="s">
        <v>29</v>
      </c>
      <c r="C2141" s="39" t="s">
        <v>5702</v>
      </c>
      <c r="D2141" s="106" t="s">
        <v>38</v>
      </c>
      <c r="E2141" s="47">
        <v>46097</v>
      </c>
      <c r="F2141" s="31" t="str">
        <f>VLOOKUP($C2141,Carpetas!$C$5:$M$2666,2,FALSE)</f>
        <v>BRE010/26</v>
      </c>
      <c r="G2141" s="23">
        <f>VLOOKUP($C2141,Carpetas!$C$5:$M$2666,10,FALSE)</f>
        <v>1552816</v>
      </c>
      <c r="H2141" s="27" t="str">
        <f>VLOOKUP($C2141,Carpetas!$C$5:$M$2666,6,FALSE)</f>
        <v>Zanini</v>
      </c>
      <c r="I2141" s="27" t="str">
        <f>VLOOKUP($C2141,Carpetas!$C$5:$M$2666,3,FALSE)</f>
        <v>Jaguacy</v>
      </c>
      <c r="J2141" s="47">
        <v>46101</v>
      </c>
      <c r="K2141" s="72" t="str">
        <f>VLOOKUP($C2141,Carpetas!$C$5:$M$2666,5,FALSE)</f>
        <v>Rio Branco</v>
      </c>
      <c r="L2141" s="32"/>
      <c r="M2141" s="48">
        <f t="shared" si="151"/>
        <v>46102</v>
      </c>
      <c r="N2141" s="26">
        <f t="shared" si="152"/>
        <v>5</v>
      </c>
      <c r="O2141" s="27">
        <v>2304</v>
      </c>
      <c r="P2141" s="27">
        <v>2304</v>
      </c>
      <c r="Q2141" s="27">
        <v>24</v>
      </c>
      <c r="R2141" s="27">
        <v>10</v>
      </c>
      <c r="S2141" s="27"/>
      <c r="T2141" s="27"/>
      <c r="U2141" s="27">
        <v>5915</v>
      </c>
      <c r="V2141" s="27" t="s">
        <v>4304</v>
      </c>
      <c r="W2141" s="27" t="s">
        <v>4305</v>
      </c>
      <c r="X2141" s="128"/>
      <c r="Y2141" s="73" t="e">
        <f>VLOOKUP(X2141,Choferes!$B$3:C463,2,FALSE)</f>
        <v>#N/A</v>
      </c>
      <c r="Z2141" s="73" t="s">
        <v>5703</v>
      </c>
    </row>
    <row r="2142" spans="1:26" hidden="1" x14ac:dyDescent="0.25">
      <c r="A2142" s="222">
        <v>12</v>
      </c>
      <c r="B2142" s="71" t="s">
        <v>29</v>
      </c>
      <c r="C2142" s="39" t="s">
        <v>5704</v>
      </c>
      <c r="D2142" s="106" t="s">
        <v>38</v>
      </c>
      <c r="E2142" s="47">
        <v>46099</v>
      </c>
      <c r="F2142" s="31" t="str">
        <f>VLOOKUP($C2142,Carpetas!$C$5:$M$2666,2,FALSE)</f>
        <v>BRE012/26</v>
      </c>
      <c r="G2142" s="23">
        <f>VLOOKUP($C2142,Carpetas!$C$5:$M$2666,10,FALSE)</f>
        <v>1552817</v>
      </c>
      <c r="H2142" s="27" t="str">
        <f>VLOOKUP($C2142,Carpetas!$C$5:$M$2666,6,FALSE)</f>
        <v xml:space="preserve">Silvio </v>
      </c>
      <c r="I2142" s="27" t="str">
        <f>VLOOKUP($C2142,Carpetas!$C$5:$M$2666,3,FALSE)</f>
        <v>Jaguacy</v>
      </c>
      <c r="J2142" s="47">
        <f t="shared" ref="J2142:J2150" si="153">E2142+2</f>
        <v>46101</v>
      </c>
      <c r="K2142" s="72" t="str">
        <f>VLOOKUP($C2142,Carpetas!$C$5:$M$2666,5,FALSE)</f>
        <v>Rio Branco</v>
      </c>
      <c r="L2142" s="32"/>
      <c r="M2142" s="48">
        <f t="shared" si="151"/>
        <v>46102</v>
      </c>
      <c r="N2142" s="26">
        <f t="shared" si="152"/>
        <v>3</v>
      </c>
      <c r="O2142" s="27">
        <v>2304</v>
      </c>
      <c r="P2142" s="27">
        <v>2304</v>
      </c>
      <c r="Q2142" s="27">
        <v>24</v>
      </c>
      <c r="R2142" s="27">
        <v>10</v>
      </c>
      <c r="S2142" s="27"/>
      <c r="T2142" s="27"/>
      <c r="U2142" s="27">
        <v>7716</v>
      </c>
      <c r="V2142" s="27" t="s">
        <v>5705</v>
      </c>
      <c r="W2142" s="27" t="s">
        <v>5706</v>
      </c>
      <c r="X2142" s="128"/>
      <c r="Y2142" s="73" t="e">
        <f>VLOOKUP(X2142,Choferes!$B$3:C464,2,FALSE)</f>
        <v>#N/A</v>
      </c>
      <c r="Z2142" s="73" t="s">
        <v>5703</v>
      </c>
    </row>
    <row r="2143" spans="1:26" hidden="1" x14ac:dyDescent="0.25">
      <c r="A2143" s="222">
        <v>12</v>
      </c>
      <c r="B2143" s="71" t="s">
        <v>29</v>
      </c>
      <c r="C2143" s="39" t="s">
        <v>5707</v>
      </c>
      <c r="D2143" s="106" t="s">
        <v>2202</v>
      </c>
      <c r="E2143" s="47">
        <v>46099</v>
      </c>
      <c r="F2143" s="31" t="str">
        <f>VLOOKUP($C2143,Carpetas!$C$5:$M$2666,2,FALSE)</f>
        <v>BRB030-26</v>
      </c>
      <c r="G2143" s="23" t="str">
        <f>VLOOKUP($C2143,Carpetas!$C$5:$M$2666,10,FALSE)</f>
        <v>155,31,49</v>
      </c>
      <c r="H2143" s="27" t="str">
        <f>VLOOKUP($C2143,Carpetas!$C$5:$M$2666,6,FALSE)</f>
        <v>AXT</v>
      </c>
      <c r="I2143" s="27" t="str">
        <f>VLOOKUP($C2143,Carpetas!$C$5:$M$2666,3,FALSE)</f>
        <v>A&amp;A</v>
      </c>
      <c r="J2143" s="47">
        <f t="shared" si="153"/>
        <v>46101</v>
      </c>
      <c r="K2143" s="72" t="str">
        <f>VLOOKUP($C2143,Carpetas!$C$5:$M$2666,5,FALSE)</f>
        <v>Chuy</v>
      </c>
      <c r="L2143" s="32"/>
      <c r="M2143" s="48">
        <f t="shared" si="151"/>
        <v>46102</v>
      </c>
      <c r="N2143" s="26">
        <f t="shared" si="152"/>
        <v>3</v>
      </c>
      <c r="O2143" s="27">
        <v>936</v>
      </c>
      <c r="P2143" s="27">
        <v>937</v>
      </c>
      <c r="Q2143" s="27">
        <v>26</v>
      </c>
      <c r="R2143" s="27">
        <v>25</v>
      </c>
      <c r="S2143" s="27" t="s">
        <v>4791</v>
      </c>
      <c r="T2143" s="27"/>
      <c r="U2143" s="27"/>
      <c r="V2143" s="27" t="s">
        <v>5465</v>
      </c>
      <c r="W2143" s="27" t="s">
        <v>5708</v>
      </c>
      <c r="X2143" s="128"/>
      <c r="Y2143" s="73" t="e">
        <f>VLOOKUP(X2143,Choferes!$B$3:C466,2,FALSE)</f>
        <v>#N/A</v>
      </c>
      <c r="Z2143" s="73" t="s">
        <v>5709</v>
      </c>
    </row>
    <row r="2144" spans="1:26" hidden="1" x14ac:dyDescent="0.25">
      <c r="A2144" s="222">
        <v>12</v>
      </c>
      <c r="B2144" s="71" t="s">
        <v>29</v>
      </c>
      <c r="C2144" s="39" t="s">
        <v>5693</v>
      </c>
      <c r="D2144" s="106" t="s">
        <v>803</v>
      </c>
      <c r="E2144" s="47">
        <v>46100</v>
      </c>
      <c r="F2144" s="31" t="str">
        <f>VLOOKUP($C2144,Carpetas!$C$5:$M$2666,2,FALSE)</f>
        <v>BRB028-26</v>
      </c>
      <c r="G2144" s="23" t="str">
        <f>VLOOKUP($C2144,Carpetas!$C$5:$M$2666,10,FALSE)</f>
        <v>155,29,93</v>
      </c>
      <c r="H2144" s="27" t="str">
        <f>VLOOKUP($C2144,Carpetas!$C$5:$M$2666,6,FALSE)</f>
        <v>FG</v>
      </c>
      <c r="I2144" s="27" t="str">
        <f>VLOOKUP($C2144,Carpetas!$C$5:$M$2666,3,FALSE)</f>
        <v>Etimex</v>
      </c>
      <c r="J2144" s="47">
        <f t="shared" si="153"/>
        <v>46102</v>
      </c>
      <c r="K2144" s="72" t="str">
        <f>VLOOKUP($C2144,Carpetas!$C$5:$M$2666,5,FALSE)</f>
        <v>Rio Branco</v>
      </c>
      <c r="L2144" s="32"/>
      <c r="M2144" s="48">
        <f t="shared" si="151"/>
        <v>46103</v>
      </c>
      <c r="N2144" s="26">
        <f t="shared" si="152"/>
        <v>3</v>
      </c>
      <c r="O2144" s="27">
        <v>1008</v>
      </c>
      <c r="P2144" s="27">
        <v>1008</v>
      </c>
      <c r="Q2144" s="27">
        <v>28</v>
      </c>
      <c r="R2144" s="27">
        <v>26</v>
      </c>
      <c r="S2144" s="27" t="s">
        <v>1250</v>
      </c>
      <c r="T2144" s="27"/>
      <c r="U2144" s="27">
        <v>1453</v>
      </c>
      <c r="V2144" s="27" t="s">
        <v>1636</v>
      </c>
      <c r="W2144" s="27" t="s">
        <v>3818</v>
      </c>
      <c r="X2144" s="128"/>
      <c r="Y2144" s="73" t="e">
        <f>VLOOKUP(X2144,Choferes!$B$3:C461,2,FALSE)</f>
        <v>#N/A</v>
      </c>
      <c r="Z2144" s="73" t="s">
        <v>5710</v>
      </c>
    </row>
    <row r="2145" spans="1:26" hidden="1" x14ac:dyDescent="0.25">
      <c r="A2145" s="222">
        <v>12</v>
      </c>
      <c r="B2145" s="71" t="s">
        <v>29</v>
      </c>
      <c r="C2145" s="39" t="s">
        <v>5707</v>
      </c>
      <c r="D2145" s="106" t="s">
        <v>2202</v>
      </c>
      <c r="E2145" s="47">
        <v>46102</v>
      </c>
      <c r="F2145" s="31" t="str">
        <f>VLOOKUP($C2145,Carpetas!$C$5:$M$2666,2,FALSE)</f>
        <v>BRB030-26</v>
      </c>
      <c r="G2145" s="23" t="str">
        <f>VLOOKUP($C2145,Carpetas!$C$5:$M$2666,10,FALSE)</f>
        <v>155,31,49</v>
      </c>
      <c r="H2145" s="27" t="str">
        <f>VLOOKUP($C2145,Carpetas!$C$5:$M$2666,6,FALSE)</f>
        <v>AXT</v>
      </c>
      <c r="I2145" s="27" t="str">
        <f>VLOOKUP($C2145,Carpetas!$C$5:$M$2666,3,FALSE)</f>
        <v>A&amp;A</v>
      </c>
      <c r="J2145" s="47">
        <f t="shared" si="153"/>
        <v>46104</v>
      </c>
      <c r="K2145" s="72" t="str">
        <f>VLOOKUP($C2145,Carpetas!$C$5:$M$2666,5,FALSE)</f>
        <v>Chuy</v>
      </c>
      <c r="L2145" s="32"/>
      <c r="M2145" s="48">
        <f t="shared" si="151"/>
        <v>46105</v>
      </c>
      <c r="N2145" s="26">
        <f t="shared" si="152"/>
        <v>3</v>
      </c>
      <c r="O2145" s="27">
        <v>936</v>
      </c>
      <c r="P2145" s="27">
        <v>937</v>
      </c>
      <c r="Q2145" s="27">
        <v>26</v>
      </c>
      <c r="R2145" s="27">
        <v>24</v>
      </c>
      <c r="S2145" s="27" t="s">
        <v>4793</v>
      </c>
      <c r="T2145" s="27"/>
      <c r="U2145" s="27"/>
      <c r="V2145" s="27" t="s">
        <v>5654</v>
      </c>
      <c r="W2145" s="27" t="s">
        <v>5593</v>
      </c>
      <c r="X2145" s="128"/>
      <c r="Y2145" s="73" t="e">
        <f>VLOOKUP(X2145,Choferes!$B$3:C460,2,FALSE)</f>
        <v>#N/A</v>
      </c>
      <c r="Z2145" s="73" t="s">
        <v>5711</v>
      </c>
    </row>
    <row r="2146" spans="1:26" hidden="1" x14ac:dyDescent="0.25">
      <c r="A2146" s="222">
        <v>12</v>
      </c>
      <c r="B2146" s="71" t="s">
        <v>29</v>
      </c>
      <c r="C2146" s="39" t="s">
        <v>5707</v>
      </c>
      <c r="D2146" s="106" t="s">
        <v>2202</v>
      </c>
      <c r="E2146" s="47">
        <v>46102</v>
      </c>
      <c r="F2146" s="31" t="str">
        <f>VLOOKUP($C2146,Carpetas!$C$5:$M$2666,2,FALSE)</f>
        <v>BRB030-26</v>
      </c>
      <c r="G2146" s="23" t="str">
        <f>VLOOKUP($C2146,Carpetas!$C$5:$M$2666,10,FALSE)</f>
        <v>155,31,49</v>
      </c>
      <c r="H2146" s="27" t="str">
        <f>VLOOKUP($C2146,Carpetas!$C$5:$M$2666,6,FALSE)</f>
        <v>AXT</v>
      </c>
      <c r="I2146" s="27" t="str">
        <f>VLOOKUP($C2146,Carpetas!$C$5:$M$2666,3,FALSE)</f>
        <v>A&amp;A</v>
      </c>
      <c r="J2146" s="47">
        <f t="shared" si="153"/>
        <v>46104</v>
      </c>
      <c r="K2146" s="72" t="str">
        <f>VLOOKUP($C2146,Carpetas!$C$5:$M$2666,5,FALSE)</f>
        <v>Chuy</v>
      </c>
      <c r="L2146" s="32"/>
      <c r="M2146" s="48">
        <f t="shared" si="151"/>
        <v>46105</v>
      </c>
      <c r="N2146" s="26">
        <f t="shared" si="152"/>
        <v>3</v>
      </c>
      <c r="O2146" s="27">
        <v>936</v>
      </c>
      <c r="P2146" s="27">
        <v>937</v>
      </c>
      <c r="Q2146" s="27">
        <v>26</v>
      </c>
      <c r="R2146" s="27">
        <v>26</v>
      </c>
      <c r="S2146" s="27" t="s">
        <v>4820</v>
      </c>
      <c r="T2146" s="27"/>
      <c r="U2146" s="27"/>
      <c r="V2146" s="27" t="s">
        <v>5611</v>
      </c>
      <c r="W2146" s="27" t="s">
        <v>5612</v>
      </c>
      <c r="X2146" s="128"/>
      <c r="Y2146" s="73" t="e">
        <f>VLOOKUP(X2146,Choferes!$B$3:C461,2,FALSE)</f>
        <v>#N/A</v>
      </c>
      <c r="Z2146" s="73" t="s">
        <v>5711</v>
      </c>
    </row>
    <row r="2147" spans="1:26" hidden="1" x14ac:dyDescent="0.25">
      <c r="A2147" s="222">
        <v>12</v>
      </c>
      <c r="B2147" s="71" t="s">
        <v>29</v>
      </c>
      <c r="C2147" s="39" t="s">
        <v>5712</v>
      </c>
      <c r="D2147" s="224" t="s">
        <v>5713</v>
      </c>
      <c r="E2147" s="47">
        <v>46101</v>
      </c>
      <c r="F2147" s="31" t="str">
        <f>VLOOKUP($C2147,Carpetas!$C$5:$M$2666,2,FALSE)</f>
        <v>BRB029-26</v>
      </c>
      <c r="G2147" s="23" t="str">
        <f>VLOOKUP($C2147,Carpetas!$C$5:$M$2666,10,FALSE)</f>
        <v>155.13.11</v>
      </c>
      <c r="H2147" s="27" t="str">
        <f>VLOOKUP($C2147,Carpetas!$C$5:$M$2666,6,FALSE)</f>
        <v>Chabat</v>
      </c>
      <c r="I2147" s="27" t="str">
        <f>VLOOKUP($C2147,Carpetas!$C$5:$M$2666,3,FALSE)</f>
        <v>Etimex</v>
      </c>
      <c r="J2147" s="47">
        <f t="shared" si="153"/>
        <v>46103</v>
      </c>
      <c r="K2147" s="72" t="str">
        <f>VLOOKUP($C2147,Carpetas!$C$5:$M$2666,5,FALSE)</f>
        <v>Rio Branco</v>
      </c>
      <c r="L2147" s="32"/>
      <c r="M2147" s="48">
        <f>J2147+1+1+1</f>
        <v>46106</v>
      </c>
      <c r="N2147" s="26">
        <f t="shared" si="152"/>
        <v>5</v>
      </c>
      <c r="O2147" s="27">
        <v>1008</v>
      </c>
      <c r="P2147" s="27">
        <v>1008</v>
      </c>
      <c r="Q2147" s="27">
        <v>28</v>
      </c>
      <c r="R2147" s="27">
        <v>26</v>
      </c>
      <c r="S2147" s="27" t="s">
        <v>5714</v>
      </c>
      <c r="T2147" s="27"/>
      <c r="U2147" s="27">
        <v>2520</v>
      </c>
      <c r="V2147" s="27" t="s">
        <v>1649</v>
      </c>
      <c r="W2147" s="27" t="s">
        <v>1650</v>
      </c>
      <c r="X2147" s="128"/>
      <c r="Y2147" s="73" t="e">
        <f>VLOOKUP(X2147,Choferes!$B$3:C462,2,FALSE)</f>
        <v>#N/A</v>
      </c>
      <c r="Z2147" s="73" t="s">
        <v>5715</v>
      </c>
    </row>
    <row r="2148" spans="1:26" hidden="1" x14ac:dyDescent="0.25">
      <c r="A2148" s="222">
        <v>12</v>
      </c>
      <c r="B2148" s="71" t="s">
        <v>29</v>
      </c>
      <c r="C2148" s="39" t="s">
        <v>5716</v>
      </c>
      <c r="D2148" s="106" t="s">
        <v>747</v>
      </c>
      <c r="E2148" s="47">
        <v>46101</v>
      </c>
      <c r="F2148" s="31" t="str">
        <f>VLOOKUP($C2148,Carpetas!$C$5:$M$2666,2,FALSE)</f>
        <v>BRB031-26</v>
      </c>
      <c r="G2148" s="23" t="str">
        <f>VLOOKUP($C2148,Carpetas!$C$5:$M$2666,10,FALSE)</f>
        <v>155.31.50</v>
      </c>
      <c r="H2148" s="27" t="str">
        <f>VLOOKUP($C2148,Carpetas!$C$5:$M$2666,6,FALSE)</f>
        <v>FG</v>
      </c>
      <c r="I2148" s="27" t="str">
        <f>VLOOKUP($C2148,Carpetas!$C$5:$M$2666,3,FALSE)</f>
        <v>Etimex</v>
      </c>
      <c r="J2148" s="47">
        <f t="shared" si="153"/>
        <v>46103</v>
      </c>
      <c r="K2148" s="72" t="str">
        <f>VLOOKUP($C2148,Carpetas!$C$5:$M$2666,5,FALSE)</f>
        <v>Rio Branco</v>
      </c>
      <c r="L2148" s="32"/>
      <c r="M2148" s="48">
        <f>J2148+1+1+1</f>
        <v>46106</v>
      </c>
      <c r="N2148" s="26">
        <f t="shared" si="152"/>
        <v>5</v>
      </c>
      <c r="O2148" s="27">
        <v>1008</v>
      </c>
      <c r="P2148" s="27">
        <v>1009</v>
      </c>
      <c r="Q2148" s="27">
        <v>28</v>
      </c>
      <c r="R2148" s="27">
        <v>26</v>
      </c>
      <c r="S2148" s="27" t="s">
        <v>1700</v>
      </c>
      <c r="T2148" s="27"/>
      <c r="U2148" s="27">
        <v>1460</v>
      </c>
      <c r="V2148" s="27" t="s">
        <v>4716</v>
      </c>
      <c r="W2148" s="27" t="s">
        <v>1934</v>
      </c>
      <c r="X2148" s="128"/>
      <c r="Y2148" s="73" t="e">
        <f>VLOOKUP(X2148,Choferes!$B$3:C463,2,FALSE)</f>
        <v>#N/A</v>
      </c>
      <c r="Z2148" s="73" t="s">
        <v>5717</v>
      </c>
    </row>
    <row r="2149" spans="1:26" hidden="1" x14ac:dyDescent="0.25">
      <c r="A2149" s="222">
        <v>12</v>
      </c>
      <c r="B2149" s="71" t="s">
        <v>29</v>
      </c>
      <c r="C2149" s="39" t="s">
        <v>5693</v>
      </c>
      <c r="D2149" s="106" t="s">
        <v>249</v>
      </c>
      <c r="E2149" s="47">
        <v>46101</v>
      </c>
      <c r="F2149" s="31" t="str">
        <f>VLOOKUP($C2149,Carpetas!$C$5:$M$2666,2,FALSE)</f>
        <v>BRB028-26</v>
      </c>
      <c r="G2149" s="23" t="str">
        <f>VLOOKUP($C2149,Carpetas!$C$5:$M$2666,10,FALSE)</f>
        <v>155,29,93</v>
      </c>
      <c r="H2149" s="27" t="str">
        <f>VLOOKUP($C2149,Carpetas!$C$5:$M$2666,6,FALSE)</f>
        <v>FG</v>
      </c>
      <c r="I2149" s="27" t="str">
        <f>VLOOKUP($C2149,Carpetas!$C$5:$M$2666,3,FALSE)</f>
        <v>Etimex</v>
      </c>
      <c r="J2149" s="47">
        <f t="shared" si="153"/>
        <v>46103</v>
      </c>
      <c r="K2149" s="72" t="str">
        <f>VLOOKUP($C2149,Carpetas!$C$5:$M$2666,5,FALSE)</f>
        <v>Rio Branco</v>
      </c>
      <c r="L2149" s="32"/>
      <c r="M2149" s="48">
        <f>J2149+1+1+1</f>
        <v>46106</v>
      </c>
      <c r="N2149" s="26">
        <f t="shared" si="152"/>
        <v>5</v>
      </c>
      <c r="O2149" s="27">
        <v>1008</v>
      </c>
      <c r="P2149" s="27">
        <v>1008</v>
      </c>
      <c r="Q2149" s="27">
        <v>28</v>
      </c>
      <c r="R2149" s="27">
        <v>26</v>
      </c>
      <c r="S2149" s="27" t="s">
        <v>1730</v>
      </c>
      <c r="T2149" s="27"/>
      <c r="U2149" s="27">
        <v>1459</v>
      </c>
      <c r="V2149" s="27" t="s">
        <v>1626</v>
      </c>
      <c r="W2149" s="27" t="s">
        <v>1681</v>
      </c>
      <c r="X2149" s="128"/>
      <c r="Y2149" s="73" t="e">
        <f>VLOOKUP(X2149,Choferes!$B$3:C464,2,FALSE)</f>
        <v>#N/A</v>
      </c>
      <c r="Z2149" s="73" t="s">
        <v>5718</v>
      </c>
    </row>
    <row r="2150" spans="1:26" hidden="1" x14ac:dyDescent="0.25">
      <c r="A2150" s="222">
        <v>12</v>
      </c>
      <c r="B2150" s="71" t="s">
        <v>29</v>
      </c>
      <c r="C2150" s="39" t="s">
        <v>5712</v>
      </c>
      <c r="D2150" s="106" t="s">
        <v>953</v>
      </c>
      <c r="E2150" s="47">
        <v>46102</v>
      </c>
      <c r="F2150" s="31" t="str">
        <f>VLOOKUP($C2150,Carpetas!$C$5:$M$2666,2,FALSE)</f>
        <v>BRB029-26</v>
      </c>
      <c r="G2150" s="23" t="str">
        <f>VLOOKUP($C2150,Carpetas!$C$5:$M$2666,10,FALSE)</f>
        <v>155.13.11</v>
      </c>
      <c r="H2150" s="27" t="str">
        <f>VLOOKUP($C2150,Carpetas!$C$5:$M$2666,6,FALSE)</f>
        <v>Chabat</v>
      </c>
      <c r="I2150" s="27" t="str">
        <f>VLOOKUP($C2150,Carpetas!$C$5:$M$2666,3,FALSE)</f>
        <v>Etimex</v>
      </c>
      <c r="J2150" s="47">
        <f t="shared" si="153"/>
        <v>46104</v>
      </c>
      <c r="K2150" s="72" t="str">
        <f>VLOOKUP($C2150,Carpetas!$C$5:$M$2666,5,FALSE)</f>
        <v>Rio Branco</v>
      </c>
      <c r="L2150" s="32"/>
      <c r="M2150" s="48">
        <f>J2150+1+1</f>
        <v>46106</v>
      </c>
      <c r="N2150" s="26">
        <f t="shared" si="152"/>
        <v>4</v>
      </c>
      <c r="O2150" s="27">
        <v>1008</v>
      </c>
      <c r="P2150" s="27">
        <v>1009</v>
      </c>
      <c r="Q2150" s="27">
        <v>28</v>
      </c>
      <c r="R2150" s="27">
        <v>26</v>
      </c>
      <c r="S2150" s="27" t="s">
        <v>1212</v>
      </c>
      <c r="T2150" s="27"/>
      <c r="U2150" s="27">
        <v>2521</v>
      </c>
      <c r="V2150" s="27" t="s">
        <v>1735</v>
      </c>
      <c r="W2150" s="27" t="s">
        <v>1681</v>
      </c>
      <c r="X2150" s="128"/>
      <c r="Y2150" s="73" t="e">
        <f>VLOOKUP(X2150,Choferes!$B$3:C465,2,FALSE)</f>
        <v>#N/A</v>
      </c>
      <c r="Z2150" s="73" t="s">
        <v>5719</v>
      </c>
    </row>
    <row r="2151" spans="1:26" hidden="1" x14ac:dyDescent="0.25">
      <c r="A2151" s="222">
        <v>12</v>
      </c>
      <c r="B2151" s="71" t="s">
        <v>29</v>
      </c>
      <c r="C2151" s="39" t="s">
        <v>5716</v>
      </c>
      <c r="D2151" s="106" t="s">
        <v>803</v>
      </c>
      <c r="E2151" s="47">
        <v>46102</v>
      </c>
      <c r="F2151" s="31" t="str">
        <f>VLOOKUP($C2151,Carpetas!$C$5:$M$2666,2,FALSE)</f>
        <v>BRB031-26</v>
      </c>
      <c r="G2151" s="23" t="str">
        <f>VLOOKUP($C2151,Carpetas!$C$5:$M$2666,10,FALSE)</f>
        <v>155.31.50</v>
      </c>
      <c r="H2151" s="27" t="str">
        <f>VLOOKUP($C2151,Carpetas!$C$5:$M$2666,6,FALSE)</f>
        <v>FG</v>
      </c>
      <c r="I2151" s="27" t="str">
        <f>VLOOKUP($C2151,Carpetas!$C$5:$M$2666,3,FALSE)</f>
        <v>Etimex</v>
      </c>
      <c r="J2151" s="47">
        <v>46105</v>
      </c>
      <c r="K2151" s="72" t="str">
        <f>VLOOKUP($C2151,Carpetas!$C$5:$M$2666,5,FALSE)</f>
        <v>Rio Branco</v>
      </c>
      <c r="L2151" s="32"/>
      <c r="M2151" s="48">
        <v>46106</v>
      </c>
      <c r="N2151" s="26">
        <f t="shared" si="152"/>
        <v>4</v>
      </c>
      <c r="O2151" s="27">
        <v>1008</v>
      </c>
      <c r="P2151" s="27"/>
      <c r="Q2151" s="27"/>
      <c r="R2151" s="27"/>
      <c r="S2151" s="27" t="s">
        <v>1289</v>
      </c>
      <c r="T2151" s="27"/>
      <c r="U2151" s="27">
        <v>1461</v>
      </c>
      <c r="V2151" s="27" t="s">
        <v>1042</v>
      </c>
      <c r="W2151" s="27" t="s">
        <v>1669</v>
      </c>
      <c r="X2151" s="128"/>
      <c r="Y2151" s="73" t="e">
        <f>VLOOKUP(X2151,Choferes!$B$3:C465,2,FALSE)</f>
        <v>#N/A</v>
      </c>
      <c r="Z2151" s="73" t="s">
        <v>5715</v>
      </c>
    </row>
    <row r="2152" spans="1:26" hidden="1" x14ac:dyDescent="0.25">
      <c r="A2152" s="222">
        <v>12</v>
      </c>
      <c r="B2152" s="71" t="s">
        <v>29</v>
      </c>
      <c r="C2152" s="39" t="s">
        <v>5720</v>
      </c>
      <c r="D2152" s="106" t="s">
        <v>38</v>
      </c>
      <c r="E2152" s="47">
        <v>46101</v>
      </c>
      <c r="F2152" s="31" t="str">
        <f>VLOOKUP($C2152,Carpetas!$C$5:$M$2666,2,FALSE)</f>
        <v>BRE011/26</v>
      </c>
      <c r="G2152" s="23" t="str">
        <f>VLOOKUP($C2152,Carpetas!$C$5:$M$2666,10,FALSE)</f>
        <v>1552727/1553172</v>
      </c>
      <c r="H2152" s="27" t="str">
        <f>VLOOKUP($C2152,Carpetas!$C$5:$M$2666,6,FALSE)</f>
        <v>Zanini</v>
      </c>
      <c r="I2152" s="27" t="str">
        <f>VLOOKUP($C2152,Carpetas!$C$5:$M$2666,3,FALSE)</f>
        <v>Etimex</v>
      </c>
      <c r="J2152" s="47">
        <v>46106</v>
      </c>
      <c r="K2152" s="72" t="str">
        <f>VLOOKUP($C2152,Carpetas!$C$5:$M$2666,5,FALSE)</f>
        <v>Rio Branco</v>
      </c>
      <c r="L2152" s="32"/>
      <c r="M2152" s="48">
        <f t="shared" ref="M2152:M2177" si="154">J2152+1</f>
        <v>46107</v>
      </c>
      <c r="N2152" s="26">
        <f t="shared" si="152"/>
        <v>6</v>
      </c>
      <c r="O2152" s="27">
        <v>1116</v>
      </c>
      <c r="P2152" s="27">
        <v>1116</v>
      </c>
      <c r="Q2152" s="27">
        <v>26</v>
      </c>
      <c r="R2152" s="27">
        <v>25</v>
      </c>
      <c r="S2152" s="27" t="s">
        <v>5721</v>
      </c>
      <c r="T2152" s="27"/>
      <c r="U2152" s="27">
        <v>5926</v>
      </c>
      <c r="V2152" s="27" t="s">
        <v>371</v>
      </c>
      <c r="W2152" s="27" t="s">
        <v>372</v>
      </c>
      <c r="X2152" s="128"/>
      <c r="Y2152" s="73" t="e">
        <f>VLOOKUP(X2152,Choferes!$B$3:C464,2,FALSE)</f>
        <v>#N/A</v>
      </c>
      <c r="Z2152" s="73" t="s">
        <v>5722</v>
      </c>
    </row>
    <row r="2153" spans="1:26" hidden="1" x14ac:dyDescent="0.25">
      <c r="A2153" s="222">
        <v>13</v>
      </c>
      <c r="B2153" s="71" t="s">
        <v>29</v>
      </c>
      <c r="C2153" s="39" t="s">
        <v>5716</v>
      </c>
      <c r="D2153" s="106" t="s">
        <v>803</v>
      </c>
      <c r="E2153" s="47">
        <v>46104</v>
      </c>
      <c r="F2153" s="31" t="str">
        <f>VLOOKUP($C2153,Carpetas!$C$5:$M$2666,2,FALSE)</f>
        <v>BRB031-26</v>
      </c>
      <c r="G2153" s="23" t="str">
        <f>VLOOKUP($C2153,Carpetas!$C$5:$M$2666,10,FALSE)</f>
        <v>155.31.50</v>
      </c>
      <c r="H2153" s="27" t="str">
        <f>VLOOKUP($C2153,Carpetas!$C$5:$M$2666,6,FALSE)</f>
        <v>FG</v>
      </c>
      <c r="I2153" s="27" t="str">
        <f>VLOOKUP($C2153,Carpetas!$C$5:$M$2666,3,FALSE)</f>
        <v>Etimex</v>
      </c>
      <c r="J2153" s="47">
        <v>46106</v>
      </c>
      <c r="K2153" s="72" t="str">
        <f>VLOOKUP($C2153,Carpetas!$C$5:$M$2666,5,FALSE)</f>
        <v>Rio Branco</v>
      </c>
      <c r="L2153" s="32"/>
      <c r="M2153" s="48">
        <f t="shared" si="154"/>
        <v>46107</v>
      </c>
      <c r="N2153" s="26">
        <f t="shared" si="152"/>
        <v>3</v>
      </c>
      <c r="O2153" s="27">
        <v>1008</v>
      </c>
      <c r="P2153" s="27">
        <v>1008</v>
      </c>
      <c r="Q2153" s="27">
        <v>28</v>
      </c>
      <c r="R2153" s="27">
        <v>26</v>
      </c>
      <c r="S2153" s="27" t="s">
        <v>1295</v>
      </c>
      <c r="T2153" s="27"/>
      <c r="U2153" s="27">
        <v>1463</v>
      </c>
      <c r="V2153" s="27" t="s">
        <v>3150</v>
      </c>
      <c r="W2153" s="27" t="s">
        <v>3140</v>
      </c>
      <c r="X2153" s="128"/>
      <c r="Y2153" s="73" t="e">
        <f>VLOOKUP(X2153,Choferes!$B$3:C452,2,FALSE)</f>
        <v>#N/A</v>
      </c>
      <c r="Z2153" s="73" t="s">
        <v>5723</v>
      </c>
    </row>
    <row r="2154" spans="1:26" hidden="1" x14ac:dyDescent="0.25">
      <c r="A2154" s="222">
        <v>13</v>
      </c>
      <c r="B2154" s="71" t="s">
        <v>29</v>
      </c>
      <c r="C2154" s="39" t="s">
        <v>5716</v>
      </c>
      <c r="D2154" s="106" t="s">
        <v>747</v>
      </c>
      <c r="E2154" s="47">
        <v>46104</v>
      </c>
      <c r="F2154" s="31" t="str">
        <f>VLOOKUP($C2154,Carpetas!$C$5:$M$2666,2,FALSE)</f>
        <v>BRB031-26</v>
      </c>
      <c r="G2154" s="23" t="str">
        <f>VLOOKUP($C2154,Carpetas!$C$5:$M$2666,10,FALSE)</f>
        <v>155.31.50</v>
      </c>
      <c r="H2154" s="27" t="str">
        <f>VLOOKUP($C2154,Carpetas!$C$5:$M$2666,6,FALSE)</f>
        <v>FG</v>
      </c>
      <c r="I2154" s="27" t="str">
        <f>VLOOKUP($C2154,Carpetas!$C$5:$M$2666,3,FALSE)</f>
        <v>Etimex</v>
      </c>
      <c r="J2154" s="47">
        <v>46106</v>
      </c>
      <c r="K2154" s="72" t="str">
        <f>VLOOKUP($C2154,Carpetas!$C$5:$M$2666,5,FALSE)</f>
        <v>Rio Branco</v>
      </c>
      <c r="L2154" s="32"/>
      <c r="M2154" s="48">
        <f t="shared" si="154"/>
        <v>46107</v>
      </c>
      <c r="N2154" s="26">
        <f t="shared" si="152"/>
        <v>3</v>
      </c>
      <c r="O2154" s="27">
        <v>1008</v>
      </c>
      <c r="P2154" s="27">
        <v>1008</v>
      </c>
      <c r="Q2154" s="27">
        <v>28</v>
      </c>
      <c r="R2154" s="27">
        <v>26</v>
      </c>
      <c r="S2154" s="27" t="s">
        <v>3341</v>
      </c>
      <c r="T2154" s="27"/>
      <c r="U2154" s="27">
        <v>1462</v>
      </c>
      <c r="V2154" s="27" t="s">
        <v>3669</v>
      </c>
      <c r="W2154" s="27" t="s">
        <v>1627</v>
      </c>
      <c r="X2154" s="128"/>
      <c r="Y2154" s="73" t="e">
        <f>VLOOKUP(X2154,Choferes!$B$3:C453,2,FALSE)</f>
        <v>#N/A</v>
      </c>
      <c r="Z2154" s="73" t="s">
        <v>5723</v>
      </c>
    </row>
    <row r="2155" spans="1:26" ht="45" hidden="1" x14ac:dyDescent="0.25">
      <c r="A2155" s="222">
        <v>12</v>
      </c>
      <c r="B2155" s="71" t="s">
        <v>29</v>
      </c>
      <c r="C2155" s="39" t="s">
        <v>5724</v>
      </c>
      <c r="D2155" s="106" t="s">
        <v>38</v>
      </c>
      <c r="E2155" s="47">
        <v>46099</v>
      </c>
      <c r="F2155" s="31" t="str">
        <f>VLOOKUP($C2155,Carpetas!$C$5:$M$2666,2,FALSE)</f>
        <v>BRE013-26</v>
      </c>
      <c r="G2155" s="23" t="str">
        <f>VLOOKUP($C2155,Carpetas!$C$5:$M$2666,10,FALSE)</f>
        <v>1553363/1553364/1553538</v>
      </c>
      <c r="H2155" s="27" t="str">
        <f>VLOOKUP($C2155,Carpetas!$C$5:$M$2666,6,FALSE)</f>
        <v>VPN</v>
      </c>
      <c r="I2155" s="27" t="str">
        <f>VLOOKUP($C2155,Carpetas!$C$5:$M$2666,3,FALSE)</f>
        <v>Dom Basto</v>
      </c>
      <c r="J2155" s="47">
        <v>46107</v>
      </c>
      <c r="K2155" s="72" t="str">
        <f>VLOOKUP($C2155,Carpetas!$C$5:$M$2666,5,FALSE)</f>
        <v>Rio Branco</v>
      </c>
      <c r="L2155" s="32"/>
      <c r="M2155" s="48">
        <f t="shared" si="154"/>
        <v>46108</v>
      </c>
      <c r="N2155" s="26">
        <f t="shared" si="152"/>
        <v>9</v>
      </c>
      <c r="O2155" s="27">
        <v>1460</v>
      </c>
      <c r="P2155" s="27">
        <v>1460</v>
      </c>
      <c r="Q2155" s="27">
        <v>26</v>
      </c>
      <c r="R2155" s="27">
        <v>23</v>
      </c>
      <c r="S2155" s="27" t="s">
        <v>5725</v>
      </c>
      <c r="T2155" s="27"/>
      <c r="U2155" s="27"/>
      <c r="V2155" s="27"/>
      <c r="W2155" s="27"/>
      <c r="X2155" s="128"/>
      <c r="Y2155" s="73" t="e">
        <f>VLOOKUP(X2155,Choferes!$B$3:C464,2,FALSE)</f>
        <v>#N/A</v>
      </c>
      <c r="Z2155" s="73" t="s">
        <v>5726</v>
      </c>
    </row>
    <row r="2156" spans="1:26" hidden="1" x14ac:dyDescent="0.25">
      <c r="A2156" s="222">
        <v>13</v>
      </c>
      <c r="B2156" s="71" t="s">
        <v>29</v>
      </c>
      <c r="C2156" s="39" t="s">
        <v>5716</v>
      </c>
      <c r="D2156" s="106" t="s">
        <v>803</v>
      </c>
      <c r="E2156" s="47">
        <v>46106</v>
      </c>
      <c r="F2156" s="31" t="str">
        <f>VLOOKUP($C2156,Carpetas!$C$5:$M$2666,2,FALSE)</f>
        <v>BRB031-26</v>
      </c>
      <c r="G2156" s="23" t="str">
        <f>VLOOKUP($C2156,Carpetas!$C$5:$M$2666,10,FALSE)</f>
        <v>155.31.50</v>
      </c>
      <c r="H2156" s="27" t="str">
        <f>VLOOKUP($C2156,Carpetas!$C$5:$M$2666,6,FALSE)</f>
        <v>FG</v>
      </c>
      <c r="I2156" s="27" t="str">
        <f>VLOOKUP($C2156,Carpetas!$C$5:$M$2666,3,FALSE)</f>
        <v>Etimex</v>
      </c>
      <c r="J2156" s="47">
        <v>46107</v>
      </c>
      <c r="K2156" s="72" t="str">
        <f>VLOOKUP($C2156,Carpetas!$C$5:$M$2666,5,FALSE)</f>
        <v>Rio Branco</v>
      </c>
      <c r="L2156" s="32"/>
      <c r="M2156" s="48">
        <f t="shared" si="154"/>
        <v>46108</v>
      </c>
      <c r="N2156" s="26">
        <f t="shared" si="152"/>
        <v>2</v>
      </c>
      <c r="O2156" s="27">
        <v>1008</v>
      </c>
      <c r="P2156" s="27">
        <v>1008</v>
      </c>
      <c r="Q2156" s="27">
        <v>28</v>
      </c>
      <c r="R2156" s="27">
        <v>26</v>
      </c>
      <c r="S2156" s="27" t="s">
        <v>1320</v>
      </c>
      <c r="T2156" s="27"/>
      <c r="U2156" s="27">
        <v>1469</v>
      </c>
      <c r="V2156" s="27" t="s">
        <v>1430</v>
      </c>
      <c r="W2156" s="27" t="s">
        <v>1627</v>
      </c>
      <c r="X2156" s="128"/>
      <c r="Y2156" s="73" t="e">
        <f>VLOOKUP(X2156,Choferes!$B$3:C457,2,FALSE)</f>
        <v>#N/A</v>
      </c>
      <c r="Z2156" s="73" t="s">
        <v>5727</v>
      </c>
    </row>
    <row r="2157" spans="1:26" hidden="1" x14ac:dyDescent="0.25">
      <c r="A2157" s="222">
        <v>13</v>
      </c>
      <c r="B2157" s="71" t="s">
        <v>29</v>
      </c>
      <c r="C2157" s="39" t="s">
        <v>5712</v>
      </c>
      <c r="D2157" s="224" t="s">
        <v>5499</v>
      </c>
      <c r="E2157" s="47">
        <v>46106</v>
      </c>
      <c r="F2157" s="31" t="str">
        <f>VLOOKUP($C2157,Carpetas!$C$5:$M$2666,2,FALSE)</f>
        <v>BRB029-26</v>
      </c>
      <c r="G2157" s="23" t="str">
        <f>VLOOKUP($C2157,Carpetas!$C$5:$M$2666,10,FALSE)</f>
        <v>155.13.11</v>
      </c>
      <c r="H2157" s="27" t="str">
        <f>VLOOKUP($C2157,Carpetas!$C$5:$M$2666,6,FALSE)</f>
        <v>Chabat</v>
      </c>
      <c r="I2157" s="27" t="str">
        <f>VLOOKUP($C2157,Carpetas!$C$5:$M$2666,3,FALSE)</f>
        <v>Etimex</v>
      </c>
      <c r="J2157" s="47">
        <v>46107</v>
      </c>
      <c r="K2157" s="72" t="str">
        <f>VLOOKUP($C2157,Carpetas!$C$5:$M$2666,5,FALSE)</f>
        <v>Rio Branco</v>
      </c>
      <c r="L2157" s="32"/>
      <c r="M2157" s="48">
        <f t="shared" si="154"/>
        <v>46108</v>
      </c>
      <c r="N2157" s="26">
        <f t="shared" si="152"/>
        <v>2</v>
      </c>
      <c r="O2157" s="27">
        <v>1008</v>
      </c>
      <c r="P2157" s="27">
        <v>1008</v>
      </c>
      <c r="Q2157" s="27">
        <v>28</v>
      </c>
      <c r="R2157" s="27">
        <v>26</v>
      </c>
      <c r="S2157" s="167" t="s">
        <v>5728</v>
      </c>
      <c r="T2157" s="27"/>
      <c r="U2157" s="27">
        <v>2523</v>
      </c>
      <c r="V2157" s="27" t="s">
        <v>4276</v>
      </c>
      <c r="W2157" s="27" t="s">
        <v>4135</v>
      </c>
      <c r="X2157" s="128"/>
      <c r="Y2157" s="73" t="e">
        <f>VLOOKUP(X2157,Choferes!$B$3:C458,2,FALSE)</f>
        <v>#N/A</v>
      </c>
      <c r="Z2157" s="73" t="s">
        <v>5729</v>
      </c>
    </row>
    <row r="2158" spans="1:26" hidden="1" x14ac:dyDescent="0.25">
      <c r="A2158" s="222">
        <v>13</v>
      </c>
      <c r="B2158" s="71" t="s">
        <v>29</v>
      </c>
      <c r="C2158" s="39" t="s">
        <v>5716</v>
      </c>
      <c r="D2158" s="106" t="s">
        <v>110</v>
      </c>
      <c r="E2158" s="47">
        <v>46106</v>
      </c>
      <c r="F2158" s="31" t="str">
        <f>VLOOKUP($C2158,Carpetas!$C$5:$M$2666,2,FALSE)</f>
        <v>BRB031-26</v>
      </c>
      <c r="G2158" s="23" t="str">
        <f>VLOOKUP($C2158,Carpetas!$C$5:$M$2666,10,FALSE)</f>
        <v>155.31.50</v>
      </c>
      <c r="H2158" s="27" t="str">
        <f>VLOOKUP($C2158,Carpetas!$C$5:$M$2666,6,FALSE)</f>
        <v>FG</v>
      </c>
      <c r="I2158" s="27" t="str">
        <f>VLOOKUP($C2158,Carpetas!$C$5:$M$2666,3,FALSE)</f>
        <v>Etimex</v>
      </c>
      <c r="J2158" s="47">
        <v>46107</v>
      </c>
      <c r="K2158" s="72" t="str">
        <f>VLOOKUP($C2158,Carpetas!$C$5:$M$2666,5,FALSE)</f>
        <v>Rio Branco</v>
      </c>
      <c r="L2158" s="32"/>
      <c r="M2158" s="48">
        <f t="shared" si="154"/>
        <v>46108</v>
      </c>
      <c r="N2158" s="26">
        <f t="shared" si="152"/>
        <v>2</v>
      </c>
      <c r="O2158" s="27">
        <v>1008</v>
      </c>
      <c r="P2158" s="27">
        <v>1009</v>
      </c>
      <c r="Q2158" s="27">
        <v>28</v>
      </c>
      <c r="R2158" s="27">
        <v>26</v>
      </c>
      <c r="S2158" s="27" t="s">
        <v>1049</v>
      </c>
      <c r="T2158" s="27"/>
      <c r="U2158" s="27">
        <v>1468</v>
      </c>
      <c r="V2158" s="27" t="s">
        <v>1722</v>
      </c>
      <c r="W2158" s="27" t="s">
        <v>1723</v>
      </c>
      <c r="X2158" s="128"/>
      <c r="Y2158" s="73" t="e">
        <f>VLOOKUP(X2158,Choferes!$B$3:C460,2,FALSE)</f>
        <v>#N/A</v>
      </c>
      <c r="Z2158" s="73" t="s">
        <v>5730</v>
      </c>
    </row>
    <row r="2159" spans="1:26" hidden="1" x14ac:dyDescent="0.25">
      <c r="A2159" s="222">
        <v>13</v>
      </c>
      <c r="B2159" s="71" t="s">
        <v>298</v>
      </c>
      <c r="C2159" s="39" t="s">
        <v>299</v>
      </c>
      <c r="D2159" s="106" t="s">
        <v>5618</v>
      </c>
      <c r="E2159" s="47">
        <v>46105</v>
      </c>
      <c r="F2159" s="31" t="str">
        <f>VLOOKUP($C2159,Carpetas!$C$5:$M$2666,2,FALSE)</f>
        <v>BRB</v>
      </c>
      <c r="G2159" s="23" t="e">
        <f>VLOOKUP($C2159,Carpetas!$C$5:$M$2666,9,FALSE)</f>
        <v>#REF!</v>
      </c>
      <c r="H2159" s="27" t="str">
        <f>VLOOKUP($C2159,Carpetas!$C$5:$M$2666,5,FALSE)</f>
        <v>xx</v>
      </c>
      <c r="I2159" s="27" t="str">
        <f>VLOOKUP($C2159,Carpetas!$C$5:$M$2666,3,FALSE)</f>
        <v>xx</v>
      </c>
      <c r="J2159" s="47">
        <f>E2159+3</f>
        <v>46108</v>
      </c>
      <c r="K2159" s="72">
        <f>VLOOKUP($C2159,Carpetas!$C$5:$M$2666,4,FALSE)</f>
        <v>0</v>
      </c>
      <c r="L2159" s="32"/>
      <c r="M2159" s="48">
        <f t="shared" si="154"/>
        <v>46109</v>
      </c>
      <c r="N2159" s="26">
        <f t="shared" si="152"/>
        <v>4</v>
      </c>
      <c r="O2159" s="27">
        <v>1008</v>
      </c>
      <c r="P2159" s="27"/>
      <c r="Q2159" s="27"/>
      <c r="R2159" s="27"/>
      <c r="S2159" s="27"/>
      <c r="T2159" s="27"/>
      <c r="U2159" s="27"/>
      <c r="V2159" s="27"/>
      <c r="W2159" s="27"/>
      <c r="X2159" s="128"/>
      <c r="Y2159" s="73" t="e">
        <f>VLOOKUP(X2159,Choferes!$B$3:C455,2,FALSE)</f>
        <v>#N/A</v>
      </c>
      <c r="Z2159" s="73"/>
    </row>
    <row r="2160" spans="1:26" hidden="1" x14ac:dyDescent="0.25">
      <c r="A2160" s="222">
        <v>13</v>
      </c>
      <c r="B2160" s="71" t="s">
        <v>29</v>
      </c>
      <c r="C2160" s="39" t="s">
        <v>5707</v>
      </c>
      <c r="D2160" s="106" t="s">
        <v>2202</v>
      </c>
      <c r="E2160" s="47">
        <v>46105</v>
      </c>
      <c r="F2160" s="31" t="str">
        <f>VLOOKUP($C2160,Carpetas!$C$5:$M$2666,2,FALSE)</f>
        <v>BRB030-26</v>
      </c>
      <c r="G2160" s="23" t="str">
        <f>VLOOKUP($C2160,Carpetas!$C$5:$M$2666,10,FALSE)</f>
        <v>155,31,49</v>
      </c>
      <c r="H2160" s="27" t="str">
        <f>VLOOKUP($C2160,Carpetas!$C$5:$M$2666,6,FALSE)</f>
        <v>AXT</v>
      </c>
      <c r="I2160" s="27" t="str">
        <f>VLOOKUP($C2160,Carpetas!$C$5:$M$2666,3,FALSE)</f>
        <v>A&amp;A</v>
      </c>
      <c r="J2160" s="47">
        <f>E2160+3</f>
        <v>46108</v>
      </c>
      <c r="K2160" s="72" t="str">
        <f>VLOOKUP($C2160,Carpetas!$C$5:$M$2666,5,FALSE)</f>
        <v>Chuy</v>
      </c>
      <c r="L2160" s="32"/>
      <c r="M2160" s="48">
        <f t="shared" si="154"/>
        <v>46109</v>
      </c>
      <c r="N2160" s="26">
        <f t="shared" si="152"/>
        <v>4</v>
      </c>
      <c r="O2160" s="27">
        <v>936</v>
      </c>
      <c r="P2160" s="27">
        <v>936</v>
      </c>
      <c r="Q2160" s="27">
        <v>26</v>
      </c>
      <c r="R2160" s="27">
        <v>25</v>
      </c>
      <c r="S2160" s="27" t="s">
        <v>4844</v>
      </c>
      <c r="T2160" s="27"/>
      <c r="U2160" s="27"/>
      <c r="V2160" s="27" t="s">
        <v>5619</v>
      </c>
      <c r="W2160" s="27" t="s">
        <v>5511</v>
      </c>
      <c r="X2160" s="128"/>
      <c r="Y2160" s="73" t="e">
        <f>VLOOKUP(X2160,Choferes!$B$3:C447,2,FALSE)</f>
        <v>#N/A</v>
      </c>
      <c r="Z2160" s="73" t="s">
        <v>5731</v>
      </c>
    </row>
    <row r="2161" spans="1:26" hidden="1" x14ac:dyDescent="0.25">
      <c r="A2161" s="222">
        <v>13</v>
      </c>
      <c r="B2161" s="71" t="s">
        <v>29</v>
      </c>
      <c r="C2161" s="39" t="s">
        <v>5716</v>
      </c>
      <c r="D2161" s="106" t="s">
        <v>803</v>
      </c>
      <c r="E2161" s="47">
        <v>46105</v>
      </c>
      <c r="F2161" s="31" t="str">
        <f>VLOOKUP($C2161,Carpetas!$C$5:$M$2666,2,FALSE)</f>
        <v>BRB031-26</v>
      </c>
      <c r="G2161" s="23" t="str">
        <f>VLOOKUP($C2161,Carpetas!$C$5:$M$2666,10,FALSE)</f>
        <v>155.31.50</v>
      </c>
      <c r="H2161" s="27" t="str">
        <f>VLOOKUP($C2161,Carpetas!$C$5:$M$2666,6,FALSE)</f>
        <v>FG</v>
      </c>
      <c r="I2161" s="27" t="str">
        <f>VLOOKUP($C2161,Carpetas!$C$5:$M$2666,3,FALSE)</f>
        <v>Etimex</v>
      </c>
      <c r="J2161" s="47">
        <f>E2161+3</f>
        <v>46108</v>
      </c>
      <c r="K2161" s="72" t="str">
        <f>VLOOKUP($C2161,Carpetas!$C$5:$M$2666,5,FALSE)</f>
        <v>Rio Branco</v>
      </c>
      <c r="L2161" s="32"/>
      <c r="M2161" s="48">
        <f t="shared" si="154"/>
        <v>46109</v>
      </c>
      <c r="N2161" s="26">
        <f t="shared" si="152"/>
        <v>4</v>
      </c>
      <c r="O2161" s="27">
        <v>1008</v>
      </c>
      <c r="P2161" s="27">
        <v>1008</v>
      </c>
      <c r="Q2161" s="27">
        <v>28</v>
      </c>
      <c r="R2161" s="27">
        <v>26</v>
      </c>
      <c r="S2161" s="27" t="s">
        <v>1335</v>
      </c>
      <c r="T2161" s="27"/>
      <c r="U2161" s="27">
        <v>1467</v>
      </c>
      <c r="V2161" s="27" t="s">
        <v>3572</v>
      </c>
      <c r="W2161" s="27" t="s">
        <v>3412</v>
      </c>
      <c r="X2161" s="128"/>
      <c r="Y2161" s="73" t="e">
        <f>VLOOKUP(X2161,Choferes!$B$3:C454,2,FALSE)</f>
        <v>#N/A</v>
      </c>
      <c r="Z2161" s="73" t="s">
        <v>5727</v>
      </c>
    </row>
    <row r="2162" spans="1:26" hidden="1" x14ac:dyDescent="0.25">
      <c r="A2162" s="222">
        <v>13</v>
      </c>
      <c r="B2162" s="71" t="s">
        <v>29</v>
      </c>
      <c r="C2162" s="39" t="s">
        <v>5732</v>
      </c>
      <c r="D2162" s="106" t="s">
        <v>249</v>
      </c>
      <c r="E2162" s="47">
        <v>46105</v>
      </c>
      <c r="F2162" s="31" t="str">
        <f>VLOOKUP($C2162,Carpetas!$C$5:$M$2666,2,FALSE)</f>
        <v>BRB032-26</v>
      </c>
      <c r="G2162" s="23" t="str">
        <f>VLOOKUP($C2162,Carpetas!$C$5:$M$2666,10,FALSE)</f>
        <v>155.36.94</v>
      </c>
      <c r="H2162" s="27" t="str">
        <f>VLOOKUP($C2162,Carpetas!$C$5:$M$2666,6,FALSE)</f>
        <v>Amaro</v>
      </c>
      <c r="I2162" s="27" t="str">
        <f>VLOOKUP($C2162,Carpetas!$C$5:$M$2666,3,FALSE)</f>
        <v>Etimex</v>
      </c>
      <c r="J2162" s="47">
        <f>E2162+3</f>
        <v>46108</v>
      </c>
      <c r="K2162" s="72" t="str">
        <f>VLOOKUP($C2162,Carpetas!$C$5:$M$2666,5,FALSE)</f>
        <v>Rio Branco</v>
      </c>
      <c r="L2162" s="32"/>
      <c r="M2162" s="48">
        <f t="shared" si="154"/>
        <v>46109</v>
      </c>
      <c r="N2162" s="26">
        <f t="shared" si="152"/>
        <v>4</v>
      </c>
      <c r="O2162" s="27">
        <v>1008</v>
      </c>
      <c r="P2162" s="27">
        <v>1008</v>
      </c>
      <c r="Q2162" s="27">
        <v>28</v>
      </c>
      <c r="R2162" s="27">
        <v>25</v>
      </c>
      <c r="S2162" s="27" t="s">
        <v>3336</v>
      </c>
      <c r="T2162" s="27"/>
      <c r="U2162" s="27">
        <v>28251</v>
      </c>
      <c r="V2162" s="27" t="s">
        <v>5404</v>
      </c>
      <c r="W2162" s="27" t="s">
        <v>5733</v>
      </c>
      <c r="X2162" s="128"/>
      <c r="Y2162" s="73" t="e">
        <f>VLOOKUP(X2162,Choferes!$B$3:C456,2,FALSE)</f>
        <v>#N/A</v>
      </c>
      <c r="Z2162" s="73" t="s">
        <v>5734</v>
      </c>
    </row>
    <row r="2163" spans="1:26" hidden="1" x14ac:dyDescent="0.25">
      <c r="A2163" s="222">
        <v>13</v>
      </c>
      <c r="B2163" s="71" t="s">
        <v>29</v>
      </c>
      <c r="C2163" s="39" t="s">
        <v>5735</v>
      </c>
      <c r="D2163" s="106" t="s">
        <v>2202</v>
      </c>
      <c r="E2163" s="47">
        <v>46106</v>
      </c>
      <c r="F2163" s="31" t="str">
        <f>VLOOKUP($C2163,Carpetas!$C$5:$M$2666,2,FALSE)</f>
        <v>BRB033-26</v>
      </c>
      <c r="G2163" s="23" t="str">
        <f>VLOOKUP($C2163,Carpetas!$C$5:$M$2666,10,FALSE)</f>
        <v>155.37.64</v>
      </c>
      <c r="H2163" s="27" t="str">
        <f>VLOOKUP($C2163,Carpetas!$C$5:$M$2666,6,FALSE)</f>
        <v>AXT</v>
      </c>
      <c r="I2163" s="27" t="str">
        <f>VLOOKUP($C2163,Carpetas!$C$5:$M$2666,3,FALSE)</f>
        <v>A&amp;A</v>
      </c>
      <c r="J2163" s="47">
        <v>46108</v>
      </c>
      <c r="K2163" s="72" t="str">
        <f>VLOOKUP($C2163,Carpetas!$C$5:$M$2666,5,FALSE)</f>
        <v>Rio Branco</v>
      </c>
      <c r="L2163" s="32"/>
      <c r="M2163" s="48">
        <f t="shared" si="154"/>
        <v>46109</v>
      </c>
      <c r="N2163" s="26">
        <f t="shared" si="152"/>
        <v>3</v>
      </c>
      <c r="O2163" s="27">
        <v>936</v>
      </c>
      <c r="P2163" s="27">
        <v>937</v>
      </c>
      <c r="Q2163" s="27">
        <v>26</v>
      </c>
      <c r="R2163" s="27">
        <v>26</v>
      </c>
      <c r="S2163" s="27" t="s">
        <v>4852</v>
      </c>
      <c r="T2163" s="27"/>
      <c r="U2163" s="27"/>
      <c r="V2163" s="27" t="s">
        <v>5637</v>
      </c>
      <c r="W2163" s="27" t="s">
        <v>5638</v>
      </c>
      <c r="X2163" s="128"/>
      <c r="Y2163" s="73" t="e">
        <f>VLOOKUP(X2163,Choferes!$B$3:C448,2,FALSE)</f>
        <v>#N/A</v>
      </c>
      <c r="Z2163" s="73" t="s">
        <v>5736</v>
      </c>
    </row>
    <row r="2164" spans="1:26" ht="30" hidden="1" x14ac:dyDescent="0.25">
      <c r="A2164" s="222">
        <v>13</v>
      </c>
      <c r="B2164" s="71" t="s">
        <v>29</v>
      </c>
      <c r="C2164" s="39" t="s">
        <v>5735</v>
      </c>
      <c r="D2164" s="106" t="s">
        <v>2202</v>
      </c>
      <c r="E2164" s="47">
        <v>46107</v>
      </c>
      <c r="F2164" s="31" t="str">
        <f>VLOOKUP($C2164,Carpetas!$C$5:$M$2666,2,FALSE)</f>
        <v>BRB033-26</v>
      </c>
      <c r="G2164" s="23" t="str">
        <f>VLOOKUP($C2164,Carpetas!$C$5:$M$2666,10,FALSE)</f>
        <v>155.37.64</v>
      </c>
      <c r="H2164" s="27" t="str">
        <f>VLOOKUP($C2164,Carpetas!$C$5:$M$2666,6,FALSE)</f>
        <v>AXT</v>
      </c>
      <c r="I2164" s="27" t="str">
        <f>VLOOKUP($C2164,Carpetas!$C$5:$M$2666,3,FALSE)</f>
        <v>A&amp;A</v>
      </c>
      <c r="J2164" s="47">
        <v>46108</v>
      </c>
      <c r="K2164" s="72" t="str">
        <f>VLOOKUP($C2164,Carpetas!$C$5:$M$2666,5,FALSE)</f>
        <v>Rio Branco</v>
      </c>
      <c r="L2164" s="32"/>
      <c r="M2164" s="48">
        <f t="shared" si="154"/>
        <v>46109</v>
      </c>
      <c r="N2164" s="26">
        <f t="shared" si="152"/>
        <v>2</v>
      </c>
      <c r="O2164" s="27">
        <v>936</v>
      </c>
      <c r="P2164" s="27">
        <v>937</v>
      </c>
      <c r="Q2164" s="27">
        <v>25</v>
      </c>
      <c r="R2164" s="27"/>
      <c r="S2164" s="27" t="s">
        <v>4864</v>
      </c>
      <c r="T2164" s="27"/>
      <c r="U2164" s="27"/>
      <c r="V2164" s="27" t="s">
        <v>5460</v>
      </c>
      <c r="W2164" s="27" t="s">
        <v>5461</v>
      </c>
      <c r="X2164" s="128"/>
      <c r="Y2164" s="73" t="e">
        <f>VLOOKUP(X2164,Choferes!$B$3:C449,2,FALSE)</f>
        <v>#N/A</v>
      </c>
      <c r="Z2164" s="73" t="s">
        <v>5737</v>
      </c>
    </row>
    <row r="2165" spans="1:26" hidden="1" x14ac:dyDescent="0.25">
      <c r="A2165" s="222">
        <v>13</v>
      </c>
      <c r="B2165" s="71" t="s">
        <v>29</v>
      </c>
      <c r="C2165" s="39" t="s">
        <v>5738</v>
      </c>
      <c r="D2165" s="106" t="s">
        <v>38</v>
      </c>
      <c r="E2165" s="47">
        <v>46107</v>
      </c>
      <c r="F2165" s="31" t="str">
        <f>VLOOKUP($C2165,Carpetas!$C$5:$M$2666,2,FALSE)</f>
        <v>BRE014-26</v>
      </c>
      <c r="G2165" s="23" t="str">
        <f>VLOOKUP($C2165,Carpetas!$C$5:$M$2666,10,FALSE)</f>
        <v>155.37.02</v>
      </c>
      <c r="H2165" s="27" t="str">
        <f>VLOOKUP($C2165,Carpetas!$C$5:$M$2666,6,FALSE)</f>
        <v xml:space="preserve">Silvio </v>
      </c>
      <c r="I2165" s="27" t="str">
        <f>VLOOKUP($C2165,Carpetas!$C$5:$M$2666,3,FALSE)</f>
        <v>Jaguacy</v>
      </c>
      <c r="J2165" s="47">
        <v>46111</v>
      </c>
      <c r="K2165" s="72" t="str">
        <f>VLOOKUP($C2165,Carpetas!$C$5:$M$2666,5,FALSE)</f>
        <v>Rio Branco</v>
      </c>
      <c r="L2165" s="32"/>
      <c r="M2165" s="48">
        <f t="shared" si="154"/>
        <v>46112</v>
      </c>
      <c r="N2165" s="26">
        <f t="shared" si="152"/>
        <v>5</v>
      </c>
      <c r="O2165" s="27">
        <v>2304</v>
      </c>
      <c r="P2165" s="27">
        <v>2304</v>
      </c>
      <c r="Q2165" s="27">
        <v>24</v>
      </c>
      <c r="R2165" s="27">
        <v>10</v>
      </c>
      <c r="S2165" s="27" t="s">
        <v>3506</v>
      </c>
      <c r="T2165" s="27"/>
      <c r="U2165" s="27">
        <v>7723</v>
      </c>
      <c r="V2165" s="27" t="s">
        <v>5739</v>
      </c>
      <c r="W2165" s="27" t="s">
        <v>5740</v>
      </c>
      <c r="X2165" s="128"/>
      <c r="Y2165" s="73" t="e">
        <f>VLOOKUP(X2165,Choferes!$B$3:C446,2,FALSE)</f>
        <v>#N/A</v>
      </c>
      <c r="Z2165" s="73" t="s">
        <v>5741</v>
      </c>
    </row>
    <row r="2166" spans="1:26" ht="30" hidden="1" x14ac:dyDescent="0.25">
      <c r="A2166" s="222">
        <v>13</v>
      </c>
      <c r="B2166" s="71" t="s">
        <v>29</v>
      </c>
      <c r="C2166" s="39" t="s">
        <v>5716</v>
      </c>
      <c r="D2166" s="106" t="s">
        <v>3124</v>
      </c>
      <c r="E2166" s="47">
        <v>46108</v>
      </c>
      <c r="F2166" s="31" t="str">
        <f>VLOOKUP($C2166,Carpetas!$C$5:$M$2666,2,FALSE)</f>
        <v>BRB031-26</v>
      </c>
      <c r="G2166" s="23" t="str">
        <f>VLOOKUP($C2166,Carpetas!$C$5:$M$2666,10,FALSE)</f>
        <v>155.31.50</v>
      </c>
      <c r="H2166" s="27" t="str">
        <f>VLOOKUP($C2166,Carpetas!$C$5:$M$2666,6,FALSE)</f>
        <v>FG</v>
      </c>
      <c r="I2166" s="27" t="str">
        <f>VLOOKUP($C2166,Carpetas!$C$5:$M$2666,3,FALSE)</f>
        <v>Etimex</v>
      </c>
      <c r="J2166" s="47">
        <f>E2166+3</f>
        <v>46111</v>
      </c>
      <c r="K2166" s="72" t="str">
        <f>VLOOKUP($C2166,Carpetas!$C$5:$M$2666,5,FALSE)</f>
        <v>Rio Branco</v>
      </c>
      <c r="L2166" s="32"/>
      <c r="M2166" s="48">
        <f t="shared" si="154"/>
        <v>46112</v>
      </c>
      <c r="N2166" s="26">
        <f t="shared" si="152"/>
        <v>4</v>
      </c>
      <c r="O2166" s="27">
        <v>1008</v>
      </c>
      <c r="P2166" s="27">
        <v>1008</v>
      </c>
      <c r="Q2166" s="27">
        <v>28</v>
      </c>
      <c r="R2166" s="27">
        <v>26</v>
      </c>
      <c r="S2166" s="27" t="s">
        <v>5742</v>
      </c>
      <c r="T2166" s="27"/>
      <c r="U2166" s="27">
        <v>1473</v>
      </c>
      <c r="V2166" s="27" t="s">
        <v>5317</v>
      </c>
      <c r="W2166" s="27" t="s">
        <v>5318</v>
      </c>
      <c r="X2166" s="128"/>
      <c r="Y2166" s="73" t="e">
        <f>VLOOKUP(X2166,Choferes!$B$3:C459,2,FALSE)</f>
        <v>#N/A</v>
      </c>
      <c r="Z2166" s="73" t="s">
        <v>5743</v>
      </c>
    </row>
    <row r="2167" spans="1:26" hidden="1" x14ac:dyDescent="0.25">
      <c r="A2167" s="222">
        <v>13</v>
      </c>
      <c r="B2167" s="71" t="s">
        <v>29</v>
      </c>
      <c r="C2167" s="39" t="s">
        <v>5735</v>
      </c>
      <c r="D2167" s="106" t="s">
        <v>2474</v>
      </c>
      <c r="E2167" s="47">
        <v>46108</v>
      </c>
      <c r="F2167" s="31" t="str">
        <f>VLOOKUP($C2167,Carpetas!$C$5:$M$2666,2,FALSE)</f>
        <v>BRB033-26</v>
      </c>
      <c r="G2167" s="23" t="str">
        <f>VLOOKUP($C2167,Carpetas!$C$5:$M$2666,10,FALSE)</f>
        <v>155.37.64</v>
      </c>
      <c r="H2167" s="27" t="str">
        <f>VLOOKUP($C2167,Carpetas!$C$5:$M$2666,6,FALSE)</f>
        <v>AXT</v>
      </c>
      <c r="I2167" s="27" t="str">
        <f>VLOOKUP($C2167,Carpetas!$C$5:$M$2666,3,FALSE)</f>
        <v>A&amp;A</v>
      </c>
      <c r="J2167" s="47">
        <f>E2167+3</f>
        <v>46111</v>
      </c>
      <c r="K2167" s="72" t="str">
        <f>VLOOKUP($C2167,Carpetas!$C$5:$M$2666,5,FALSE)</f>
        <v>Rio Branco</v>
      </c>
      <c r="L2167" s="32"/>
      <c r="M2167" s="48">
        <f t="shared" si="154"/>
        <v>46112</v>
      </c>
      <c r="N2167" s="26">
        <f t="shared" si="152"/>
        <v>4</v>
      </c>
      <c r="O2167" s="27">
        <v>936</v>
      </c>
      <c r="P2167" s="27">
        <v>936</v>
      </c>
      <c r="Q2167" s="27">
        <v>26</v>
      </c>
      <c r="R2167" s="27">
        <v>25</v>
      </c>
      <c r="S2167" s="27" t="s">
        <v>5725</v>
      </c>
      <c r="T2167" s="27"/>
      <c r="U2167" s="27"/>
      <c r="V2167" s="27" t="s">
        <v>5454</v>
      </c>
      <c r="W2167" s="27" t="s">
        <v>5455</v>
      </c>
      <c r="X2167" s="128"/>
      <c r="Y2167" s="73" t="e">
        <f>VLOOKUP(X2167,Choferes!$B$3:C451,2,FALSE)</f>
        <v>#N/A</v>
      </c>
      <c r="Z2167" s="73" t="s">
        <v>5744</v>
      </c>
    </row>
    <row r="2168" spans="1:26" hidden="1" x14ac:dyDescent="0.25">
      <c r="A2168" s="222">
        <v>13</v>
      </c>
      <c r="B2168" s="71" t="s">
        <v>29</v>
      </c>
      <c r="C2168" s="39" t="s">
        <v>5716</v>
      </c>
      <c r="D2168" s="106" t="s">
        <v>803</v>
      </c>
      <c r="E2168" s="47">
        <v>46108</v>
      </c>
      <c r="F2168" s="31" t="str">
        <f>VLOOKUP($C2168,Carpetas!$C$5:$M$2666,2,FALSE)</f>
        <v>BRB031-26</v>
      </c>
      <c r="G2168" s="23" t="str">
        <f>VLOOKUP($C2168,Carpetas!$C$5:$M$2666,10,FALSE)</f>
        <v>155.31.50</v>
      </c>
      <c r="H2168" s="27" t="str">
        <f>VLOOKUP($C2168,Carpetas!$C$5:$M$2666,6,FALSE)</f>
        <v>FG</v>
      </c>
      <c r="I2168" s="27" t="str">
        <f>VLOOKUP($C2168,Carpetas!$C$5:$M$2666,3,FALSE)</f>
        <v>Etimex</v>
      </c>
      <c r="J2168" s="47">
        <f>E2168+3</f>
        <v>46111</v>
      </c>
      <c r="K2168" s="72" t="str">
        <f>VLOOKUP($C2168,Carpetas!$C$5:$M$2666,5,FALSE)</f>
        <v>Rio Branco</v>
      </c>
      <c r="L2168" s="32"/>
      <c r="M2168" s="48">
        <f t="shared" si="154"/>
        <v>46112</v>
      </c>
      <c r="N2168" s="26">
        <f t="shared" si="152"/>
        <v>4</v>
      </c>
      <c r="O2168" s="27">
        <v>1008</v>
      </c>
      <c r="P2168" s="27">
        <v>1008</v>
      </c>
      <c r="Q2168" s="27">
        <v>28</v>
      </c>
      <c r="R2168" s="27">
        <v>26</v>
      </c>
      <c r="S2168" s="27" t="s">
        <v>1337</v>
      </c>
      <c r="T2168" s="27"/>
      <c r="U2168" s="27">
        <v>1474</v>
      </c>
      <c r="V2168" s="27" t="s">
        <v>4716</v>
      </c>
      <c r="W2168" s="27" t="s">
        <v>1934</v>
      </c>
      <c r="X2168" s="128"/>
      <c r="Y2168" s="73" t="e">
        <f>VLOOKUP(X2168,Choferes!$B$3:C461,2,FALSE)</f>
        <v>#N/A</v>
      </c>
      <c r="Z2168" s="73" t="s">
        <v>5745</v>
      </c>
    </row>
    <row r="2169" spans="1:26" hidden="1" x14ac:dyDescent="0.25">
      <c r="A2169" s="222">
        <v>13</v>
      </c>
      <c r="B2169" s="71" t="s">
        <v>29</v>
      </c>
      <c r="C2169" s="39" t="s">
        <v>5712</v>
      </c>
      <c r="D2169" s="224" t="s">
        <v>5746</v>
      </c>
      <c r="E2169" s="47">
        <v>46108</v>
      </c>
      <c r="F2169" s="31" t="str">
        <f>VLOOKUP($C2169,Carpetas!$C$5:$M$2666,2,FALSE)</f>
        <v>BRB029-26</v>
      </c>
      <c r="G2169" s="23" t="str">
        <f>VLOOKUP($C2169,Carpetas!$C$5:$M$2666,10,FALSE)</f>
        <v>155.13.11</v>
      </c>
      <c r="H2169" s="27" t="str">
        <f>VLOOKUP($C2169,Carpetas!$C$5:$M$2666,6,FALSE)</f>
        <v>Chabat</v>
      </c>
      <c r="I2169" s="27" t="str">
        <f>VLOOKUP($C2169,Carpetas!$C$5:$M$2666,3,FALSE)</f>
        <v>Etimex</v>
      </c>
      <c r="J2169" s="47">
        <f>E2169+3</f>
        <v>46111</v>
      </c>
      <c r="K2169" s="72" t="str">
        <f>VLOOKUP($C2169,Carpetas!$C$5:$M$2666,5,FALSE)</f>
        <v>Rio Branco</v>
      </c>
      <c r="L2169" s="32"/>
      <c r="M2169" s="48">
        <f t="shared" si="154"/>
        <v>46112</v>
      </c>
      <c r="N2169" s="26">
        <f t="shared" si="152"/>
        <v>4</v>
      </c>
      <c r="O2169" s="27">
        <v>1008</v>
      </c>
      <c r="P2169" s="27">
        <v>1008</v>
      </c>
      <c r="Q2169" s="27">
        <v>28</v>
      </c>
      <c r="R2169" s="27">
        <v>26</v>
      </c>
      <c r="S2169" s="27" t="s">
        <v>5747</v>
      </c>
      <c r="T2169" s="27"/>
      <c r="U2169" s="27">
        <v>2527</v>
      </c>
      <c r="V2169" s="27" t="s">
        <v>4134</v>
      </c>
      <c r="W2169" s="27" t="s">
        <v>4635</v>
      </c>
      <c r="X2169" s="128"/>
      <c r="Y2169" s="73" t="e">
        <f>VLOOKUP(X2169,Choferes!$B$3:C462,2,FALSE)</f>
        <v>#N/A</v>
      </c>
      <c r="Z2169" s="73" t="s">
        <v>5743</v>
      </c>
    </row>
    <row r="2170" spans="1:26" hidden="1" x14ac:dyDescent="0.25">
      <c r="A2170" s="222">
        <v>13</v>
      </c>
      <c r="B2170" s="71" t="s">
        <v>29</v>
      </c>
      <c r="C2170" s="39" t="s">
        <v>5712</v>
      </c>
      <c r="D2170" s="106" t="s">
        <v>2202</v>
      </c>
      <c r="E2170" s="47">
        <v>46109</v>
      </c>
      <c r="F2170" s="31" t="str">
        <f>VLOOKUP($C2170,Carpetas!$C$5:$M$2666,2,FALSE)</f>
        <v>BRB029-26</v>
      </c>
      <c r="G2170" s="23" t="str">
        <f>VLOOKUP($C2170,Carpetas!$C$5:$M$2666,10,FALSE)</f>
        <v>155.13.11</v>
      </c>
      <c r="H2170" s="27" t="str">
        <f>VLOOKUP($C2170,Carpetas!$C$5:$M$2666,6,FALSE)</f>
        <v>Chabat</v>
      </c>
      <c r="I2170" s="27" t="str">
        <f>VLOOKUP($C2170,Carpetas!$C$5:$M$2666,3,FALSE)</f>
        <v>Etimex</v>
      </c>
      <c r="J2170" s="47">
        <v>46111</v>
      </c>
      <c r="K2170" s="72" t="str">
        <f>VLOOKUP($C2170,Carpetas!$C$5:$M$2666,5,FALSE)</f>
        <v>Rio Branco</v>
      </c>
      <c r="L2170" s="32"/>
      <c r="M2170" s="48">
        <f t="shared" si="154"/>
        <v>46112</v>
      </c>
      <c r="N2170" s="26">
        <f t="shared" si="152"/>
        <v>3</v>
      </c>
      <c r="O2170" s="27">
        <v>1008</v>
      </c>
      <c r="P2170" s="27">
        <v>1009</v>
      </c>
      <c r="Q2170" s="27">
        <v>28</v>
      </c>
      <c r="R2170" s="27">
        <v>26</v>
      </c>
      <c r="S2170" s="27" t="s">
        <v>5748</v>
      </c>
      <c r="T2170" s="27"/>
      <c r="U2170" s="27">
        <v>2526</v>
      </c>
      <c r="V2170" s="27" t="s">
        <v>1649</v>
      </c>
      <c r="W2170" s="27" t="s">
        <v>1650</v>
      </c>
      <c r="X2170" s="128"/>
      <c r="Y2170" s="73" t="e">
        <f>VLOOKUP(X2170,Choferes!$B$3:C448,2,FALSE)</f>
        <v>#N/A</v>
      </c>
      <c r="Z2170" s="73" t="s">
        <v>5749</v>
      </c>
    </row>
    <row r="2171" spans="1:26" hidden="1" x14ac:dyDescent="0.25">
      <c r="A2171" s="222">
        <v>13</v>
      </c>
      <c r="B2171" s="71" t="s">
        <v>298</v>
      </c>
      <c r="C2171" s="39" t="s">
        <v>299</v>
      </c>
      <c r="D2171" s="106" t="s">
        <v>249</v>
      </c>
      <c r="E2171" s="47">
        <v>46108</v>
      </c>
      <c r="F2171" s="31" t="str">
        <f>VLOOKUP($C2171,Carpetas!$C$5:$M$2666,2,FALSE)</f>
        <v>BRB</v>
      </c>
      <c r="G2171" s="23" t="e">
        <f>VLOOKUP($C2171,Carpetas!$C$5:$M$2666,9,FALSE)</f>
        <v>#REF!</v>
      </c>
      <c r="H2171" s="27" t="str">
        <f>VLOOKUP($C2171,Carpetas!$C$5:$M$2666,5,FALSE)</f>
        <v>xx</v>
      </c>
      <c r="I2171" s="27" t="str">
        <f>VLOOKUP($C2171,Carpetas!$C$5:$M$2666,3,FALSE)</f>
        <v>xx</v>
      </c>
      <c r="J2171" s="47">
        <f>E2171+3</f>
        <v>46111</v>
      </c>
      <c r="K2171" s="72">
        <f>VLOOKUP($C2171,Carpetas!$C$5:$M$2666,4,FALSE)</f>
        <v>0</v>
      </c>
      <c r="L2171" s="32"/>
      <c r="M2171" s="48">
        <f t="shared" si="154"/>
        <v>46112</v>
      </c>
      <c r="N2171" s="26">
        <f t="shared" si="152"/>
        <v>4</v>
      </c>
      <c r="O2171" s="27">
        <v>1008</v>
      </c>
      <c r="P2171" s="27"/>
      <c r="Q2171" s="27"/>
      <c r="R2171" s="27"/>
      <c r="S2171" s="27"/>
      <c r="T2171" s="27"/>
      <c r="U2171" s="27"/>
      <c r="V2171" s="27"/>
      <c r="W2171" s="27"/>
      <c r="X2171" s="128"/>
      <c r="Y2171" s="73" t="e">
        <f>VLOOKUP(X2171,Choferes!$B$3:C463,2,FALSE)</f>
        <v>#N/A</v>
      </c>
      <c r="Z2171" s="73"/>
    </row>
    <row r="2172" spans="1:26" hidden="1" x14ac:dyDescent="0.25">
      <c r="A2172" s="222">
        <v>13</v>
      </c>
      <c r="B2172" s="71" t="s">
        <v>29</v>
      </c>
      <c r="C2172" s="39" t="s">
        <v>5735</v>
      </c>
      <c r="D2172" s="106" t="s">
        <v>2202</v>
      </c>
      <c r="E2172" s="47">
        <v>46109</v>
      </c>
      <c r="F2172" s="31" t="str">
        <f>VLOOKUP($C2172,Carpetas!$C$5:$M$2666,2,FALSE)</f>
        <v>BRB033-26</v>
      </c>
      <c r="G2172" s="23" t="str">
        <f>VLOOKUP($C2172,Carpetas!$C$5:$M$2666,10,FALSE)</f>
        <v>155.37.64</v>
      </c>
      <c r="H2172" s="27" t="str">
        <f>VLOOKUP($C2172,Carpetas!$C$5:$M$2666,6,FALSE)</f>
        <v>AXT</v>
      </c>
      <c r="I2172" s="27" t="str">
        <f>VLOOKUP($C2172,Carpetas!$C$5:$M$2666,3,FALSE)</f>
        <v>A&amp;A</v>
      </c>
      <c r="J2172" s="47">
        <v>46111</v>
      </c>
      <c r="K2172" s="72" t="str">
        <f>VLOOKUP($C2172,Carpetas!$C$5:$M$2666,5,FALSE)</f>
        <v>Rio Branco</v>
      </c>
      <c r="L2172" s="32"/>
      <c r="M2172" s="48">
        <f t="shared" si="154"/>
        <v>46112</v>
      </c>
      <c r="N2172" s="26">
        <f t="shared" si="152"/>
        <v>3</v>
      </c>
      <c r="O2172" s="27">
        <v>936</v>
      </c>
      <c r="P2172" s="27">
        <v>937</v>
      </c>
      <c r="Q2172" s="27">
        <v>26</v>
      </c>
      <c r="R2172" s="27">
        <v>25</v>
      </c>
      <c r="S2172" s="27" t="s">
        <v>4874</v>
      </c>
      <c r="T2172" s="27"/>
      <c r="U2172" s="27"/>
      <c r="V2172" s="27" t="s">
        <v>5454</v>
      </c>
      <c r="W2172" s="27" t="s">
        <v>5455</v>
      </c>
      <c r="X2172" s="128"/>
      <c r="Y2172" s="73" t="e">
        <f>VLOOKUP(X2172,Choferes!$B$3:C452,2,FALSE)</f>
        <v>#N/A</v>
      </c>
      <c r="Z2172" s="73" t="s">
        <v>5750</v>
      </c>
    </row>
    <row r="2173" spans="1:26" hidden="1" x14ac:dyDescent="0.25">
      <c r="A2173" s="222">
        <v>13</v>
      </c>
      <c r="B2173" s="71" t="s">
        <v>29</v>
      </c>
      <c r="C2173" s="39" t="s">
        <v>5712</v>
      </c>
      <c r="D2173" s="224" t="s">
        <v>5640</v>
      </c>
      <c r="E2173" s="47">
        <v>46109</v>
      </c>
      <c r="F2173" s="31" t="str">
        <f>VLOOKUP($C2173,Carpetas!$C$5:$M$2666,2,FALSE)</f>
        <v>BRB029-26</v>
      </c>
      <c r="G2173" s="23" t="str">
        <f>VLOOKUP($C2173,Carpetas!$C$5:$M$2666,10,FALSE)</f>
        <v>155.13.11</v>
      </c>
      <c r="H2173" s="27" t="str">
        <f>VLOOKUP($C2173,Carpetas!$C$5:$M$2666,6,FALSE)</f>
        <v>Chabat</v>
      </c>
      <c r="I2173" s="27" t="str">
        <f>VLOOKUP($C2173,Carpetas!$C$5:$M$2666,3,FALSE)</f>
        <v>Etimex</v>
      </c>
      <c r="J2173" s="47">
        <v>46111</v>
      </c>
      <c r="K2173" s="72" t="str">
        <f>VLOOKUP($C2173,Carpetas!$C$5:$M$2666,5,FALSE)</f>
        <v>Rio Branco</v>
      </c>
      <c r="L2173" s="32"/>
      <c r="M2173" s="48">
        <f t="shared" si="154"/>
        <v>46112</v>
      </c>
      <c r="N2173" s="26">
        <f t="shared" si="152"/>
        <v>3</v>
      </c>
      <c r="O2173" s="27">
        <v>1008</v>
      </c>
      <c r="P2173" s="27">
        <v>1008</v>
      </c>
      <c r="Q2173" s="27">
        <v>28</v>
      </c>
      <c r="R2173" s="27">
        <v>26</v>
      </c>
      <c r="S2173" s="167" t="s">
        <v>5751</v>
      </c>
      <c r="T2173" s="27"/>
      <c r="U2173" s="27">
        <v>2525</v>
      </c>
      <c r="V2173" s="27" t="s">
        <v>4129</v>
      </c>
      <c r="W2173" s="27" t="s">
        <v>4223</v>
      </c>
      <c r="X2173" s="128"/>
      <c r="Y2173" s="73" t="e">
        <f>VLOOKUP(X2173,Choferes!$B$3:C465,2,FALSE)</f>
        <v>#N/A</v>
      </c>
      <c r="Z2173" s="73" t="s">
        <v>5752</v>
      </c>
    </row>
    <row r="2174" spans="1:26" hidden="1" x14ac:dyDescent="0.25">
      <c r="A2174" s="222">
        <v>13</v>
      </c>
      <c r="B2174" s="71" t="s">
        <v>29</v>
      </c>
      <c r="C2174" s="39" t="s">
        <v>5753</v>
      </c>
      <c r="D2174" s="106" t="s">
        <v>803</v>
      </c>
      <c r="E2174" s="47">
        <v>46109</v>
      </c>
      <c r="F2174" s="31" t="str">
        <f>VLOOKUP($C2174,Carpetas!$C$5:$M$2666,2,FALSE)</f>
        <v>BRB034-26</v>
      </c>
      <c r="G2174" s="23" t="str">
        <f>VLOOKUP($C2174,Carpetas!$C$5:$M$2666,10,FALSE)</f>
        <v>155,39,61</v>
      </c>
      <c r="H2174" s="27" t="str">
        <f>VLOOKUP($C2174,Carpetas!$C$5:$M$2666,6,FALSE)</f>
        <v>FG</v>
      </c>
      <c r="I2174" s="27" t="str">
        <f>VLOOKUP($C2174,Carpetas!$C$5:$M$2666,3,FALSE)</f>
        <v>Etimex</v>
      </c>
      <c r="J2174" s="47">
        <v>46111</v>
      </c>
      <c r="K2174" s="72" t="str">
        <f>VLOOKUP($C2174,Carpetas!$C$5:$M$2666,5,FALSE)</f>
        <v>Rio Branco</v>
      </c>
      <c r="L2174" s="32"/>
      <c r="M2174" s="48">
        <f t="shared" si="154"/>
        <v>46112</v>
      </c>
      <c r="N2174" s="26">
        <f t="shared" si="152"/>
        <v>3</v>
      </c>
      <c r="O2174" s="27">
        <v>1008</v>
      </c>
      <c r="P2174" s="27">
        <v>1008</v>
      </c>
      <c r="Q2174" s="27">
        <v>28</v>
      </c>
      <c r="R2174" s="27">
        <v>26</v>
      </c>
      <c r="S2174" s="27" t="s">
        <v>1344</v>
      </c>
      <c r="T2174" s="27"/>
      <c r="U2174" s="27">
        <v>1475</v>
      </c>
      <c r="V2174" s="27" t="s">
        <v>1735</v>
      </c>
      <c r="W2174" s="27" t="s">
        <v>1681</v>
      </c>
      <c r="X2174" s="128"/>
      <c r="Y2174" s="73" t="e">
        <f>VLOOKUP(X2174,Choferes!$B$3:C469,2,FALSE)</f>
        <v>#N/A</v>
      </c>
      <c r="Z2174" s="73" t="s">
        <v>5745</v>
      </c>
    </row>
    <row r="2175" spans="1:26" hidden="1" x14ac:dyDescent="0.25">
      <c r="A2175" s="222">
        <v>13</v>
      </c>
      <c r="B2175" s="71" t="s">
        <v>298</v>
      </c>
      <c r="C2175" s="39" t="s">
        <v>299</v>
      </c>
      <c r="D2175" s="106" t="s">
        <v>2202</v>
      </c>
      <c r="E2175" s="47">
        <v>46109</v>
      </c>
      <c r="F2175" s="31" t="str">
        <f>VLOOKUP($C2175,Carpetas!$C$5:$M$2666,2,FALSE)</f>
        <v>BRB</v>
      </c>
      <c r="G2175" s="23" t="e">
        <f>VLOOKUP($C2175,Carpetas!$C$5:$M$2666,9,FALSE)</f>
        <v>#REF!</v>
      </c>
      <c r="H2175" s="27" t="str">
        <f>VLOOKUP($C2175,Carpetas!$C$5:$M$2666,5,FALSE)</f>
        <v>xx</v>
      </c>
      <c r="I2175" s="27" t="str">
        <f>VLOOKUP($C2175,Carpetas!$C$5:$M$2666,3,FALSE)</f>
        <v>xx</v>
      </c>
      <c r="J2175" s="47">
        <f>E2175+3</f>
        <v>46112</v>
      </c>
      <c r="K2175" s="72">
        <f>VLOOKUP($C2175,Carpetas!$C$5:$M$2666,4,FALSE)</f>
        <v>0</v>
      </c>
      <c r="L2175" s="32"/>
      <c r="M2175" s="48">
        <f t="shared" si="154"/>
        <v>46113</v>
      </c>
      <c r="N2175" s="26">
        <f t="shared" si="152"/>
        <v>4</v>
      </c>
      <c r="O2175" s="27">
        <v>936</v>
      </c>
      <c r="P2175" s="27"/>
      <c r="Q2175" s="27"/>
      <c r="R2175" s="27"/>
      <c r="S2175" s="27"/>
      <c r="T2175" s="27"/>
      <c r="U2175" s="27"/>
      <c r="V2175" s="27"/>
      <c r="W2175" s="27"/>
      <c r="X2175" s="128"/>
      <c r="Y2175" s="73" t="e">
        <f>VLOOKUP(X2175,Choferes!$B$3:C450,2,FALSE)</f>
        <v>#N/A</v>
      </c>
      <c r="Z2175" s="73"/>
    </row>
    <row r="2176" spans="1:26" hidden="1" x14ac:dyDescent="0.25">
      <c r="A2176" s="222">
        <v>13</v>
      </c>
      <c r="B2176" s="71" t="s">
        <v>298</v>
      </c>
      <c r="C2176" s="39" t="s">
        <v>299</v>
      </c>
      <c r="D2176" s="106" t="s">
        <v>803</v>
      </c>
      <c r="E2176" s="47">
        <v>46109</v>
      </c>
      <c r="F2176" s="31" t="str">
        <f>VLOOKUP($C2176,Carpetas!$C$5:$M$2666,2,FALSE)</f>
        <v>BRB</v>
      </c>
      <c r="G2176" s="23" t="e">
        <f>VLOOKUP($C2176,Carpetas!$C$5:$M$2666,9,FALSE)</f>
        <v>#REF!</v>
      </c>
      <c r="H2176" s="27" t="str">
        <f>VLOOKUP($C2176,Carpetas!$C$5:$M$2666,5,FALSE)</f>
        <v>xx</v>
      </c>
      <c r="I2176" s="27" t="str">
        <f>VLOOKUP($C2176,Carpetas!$C$5:$M$2666,3,FALSE)</f>
        <v>xx</v>
      </c>
      <c r="J2176" s="47">
        <f>E2176+3</f>
        <v>46112</v>
      </c>
      <c r="K2176" s="72">
        <f>VLOOKUP($C2176,Carpetas!$C$5:$M$2666,4,FALSE)</f>
        <v>0</v>
      </c>
      <c r="L2176" s="32"/>
      <c r="M2176" s="48">
        <f t="shared" si="154"/>
        <v>46113</v>
      </c>
      <c r="N2176" s="26">
        <f t="shared" si="152"/>
        <v>4</v>
      </c>
      <c r="O2176" s="27">
        <v>1008</v>
      </c>
      <c r="P2176" s="27"/>
      <c r="Q2176" s="27"/>
      <c r="R2176" s="27"/>
      <c r="S2176" s="27"/>
      <c r="T2176" s="27"/>
      <c r="U2176" s="27"/>
      <c r="V2176" s="27"/>
      <c r="W2176" s="27"/>
      <c r="X2176" s="128"/>
      <c r="Y2176" s="73" t="e">
        <f>VLOOKUP(X2176,Choferes!$B$3:C464,2,FALSE)</f>
        <v>#N/A</v>
      </c>
      <c r="Z2176" s="73"/>
    </row>
    <row r="2177" spans="1:26" ht="30" hidden="1" x14ac:dyDescent="0.25">
      <c r="A2177" s="222">
        <v>14</v>
      </c>
      <c r="B2177" s="71" t="s">
        <v>29</v>
      </c>
      <c r="C2177" s="39" t="s">
        <v>5753</v>
      </c>
      <c r="D2177" s="106" t="s">
        <v>3124</v>
      </c>
      <c r="E2177" s="47">
        <v>46111</v>
      </c>
      <c r="F2177" s="31" t="str">
        <f>VLOOKUP($C2177,Carpetas!$C$5:$M$2666,2,FALSE)</f>
        <v>BRB034-26</v>
      </c>
      <c r="G2177" s="23" t="str">
        <f>VLOOKUP($C2177,Carpetas!$C$5:$M$2666,10,FALSE)</f>
        <v>155,39,61</v>
      </c>
      <c r="H2177" s="27" t="str">
        <f>VLOOKUP($C2177,Carpetas!$C$5:$M$2666,6,FALSE)</f>
        <v>FG</v>
      </c>
      <c r="I2177" s="27" t="str">
        <f>VLOOKUP($C2177,Carpetas!$C$5:$M$2666,3,FALSE)</f>
        <v>Etimex</v>
      </c>
      <c r="J2177" s="47">
        <f>E2177+1</f>
        <v>46112</v>
      </c>
      <c r="K2177" s="72" t="str">
        <f>VLOOKUP($C2177,Carpetas!$C$5:$M$2666,5,FALSE)</f>
        <v>Rio Branco</v>
      </c>
      <c r="L2177" s="32"/>
      <c r="M2177" s="48">
        <f t="shared" si="154"/>
        <v>46113</v>
      </c>
      <c r="N2177" s="26">
        <f t="shared" si="152"/>
        <v>2</v>
      </c>
      <c r="O2177" s="27">
        <v>1008</v>
      </c>
      <c r="P2177" s="27">
        <v>1008</v>
      </c>
      <c r="Q2177" s="27">
        <v>28</v>
      </c>
      <c r="R2177" s="27">
        <v>26</v>
      </c>
      <c r="S2177" s="27" t="s">
        <v>5754</v>
      </c>
      <c r="T2177" s="27"/>
      <c r="U2177" s="27">
        <v>1476</v>
      </c>
      <c r="V2177" s="27" t="s">
        <v>1430</v>
      </c>
      <c r="W2177" s="27" t="s">
        <v>5449</v>
      </c>
      <c r="X2177" s="128"/>
      <c r="Y2177" s="73" t="e">
        <f>VLOOKUP(X2177,Choferes!$B$3:C447,2,FALSE)</f>
        <v>#N/A</v>
      </c>
      <c r="Z2177" s="73" t="s">
        <v>5755</v>
      </c>
    </row>
    <row r="2178" spans="1:26" ht="30" hidden="1" x14ac:dyDescent="0.25">
      <c r="A2178" s="222">
        <v>14</v>
      </c>
      <c r="B2178" s="71" t="s">
        <v>29</v>
      </c>
      <c r="C2178" s="39" t="s">
        <v>5756</v>
      </c>
      <c r="D2178" s="106" t="s">
        <v>5757</v>
      </c>
      <c r="E2178" s="47">
        <v>46111</v>
      </c>
      <c r="F2178" s="31" t="str">
        <f>VLOOKUP($C2178,Carpetas!$C$5:$M$2666,2,FALSE)</f>
        <v>BRB035-26</v>
      </c>
      <c r="G2178" s="23" t="str">
        <f>VLOOKUP($C2178,Carpetas!$C$5:$M$2666,10,FALSE)</f>
        <v>155,39,62</v>
      </c>
      <c r="H2178" s="27" t="str">
        <f>VLOOKUP($C2178,Carpetas!$C$5:$M$2666,6,FALSE)</f>
        <v>Chabat</v>
      </c>
      <c r="I2178" s="27" t="str">
        <f>VLOOKUP($C2178,Carpetas!$C$5:$M$2666,3,FALSE)</f>
        <v>Etimex</v>
      </c>
      <c r="J2178" s="47">
        <v>46112</v>
      </c>
      <c r="K2178" s="72" t="str">
        <f>VLOOKUP($C2178,Carpetas!$C$5:$M$2666,5,FALSE)</f>
        <v>Rio Branco</v>
      </c>
      <c r="L2178" s="32"/>
      <c r="M2178" s="48">
        <v>46113</v>
      </c>
      <c r="N2178" s="26">
        <f t="shared" si="152"/>
        <v>2</v>
      </c>
      <c r="O2178" s="27">
        <v>1008</v>
      </c>
      <c r="P2178" s="27">
        <v>1008</v>
      </c>
      <c r="Q2178" s="27">
        <v>1008</v>
      </c>
      <c r="R2178" s="27">
        <v>26</v>
      </c>
      <c r="S2178" s="27" t="s">
        <v>5758</v>
      </c>
      <c r="T2178" s="27"/>
      <c r="U2178" s="27">
        <v>2529</v>
      </c>
      <c r="V2178" s="27" t="s">
        <v>5759</v>
      </c>
      <c r="W2178" s="27" t="s">
        <v>4130</v>
      </c>
      <c r="X2178" s="128"/>
      <c r="Y2178" s="73" t="e">
        <f>VLOOKUP(X2178,Choferes!$B$3:C446,2,FALSE)</f>
        <v>#N/A</v>
      </c>
      <c r="Z2178" s="73" t="s">
        <v>5760</v>
      </c>
    </row>
    <row r="2179" spans="1:26" hidden="1" x14ac:dyDescent="0.25">
      <c r="A2179" s="222">
        <v>14</v>
      </c>
      <c r="B2179" s="71" t="s">
        <v>29</v>
      </c>
      <c r="C2179" s="39" t="s">
        <v>5756</v>
      </c>
      <c r="D2179" s="224" t="s">
        <v>5507</v>
      </c>
      <c r="E2179" s="47">
        <v>46111</v>
      </c>
      <c r="F2179" s="31" t="str">
        <f>VLOOKUP($C2179,Carpetas!$C$5:$M$2666,2,FALSE)</f>
        <v>BRB035-26</v>
      </c>
      <c r="G2179" s="23" t="str">
        <f>VLOOKUP($C2179,Carpetas!$C$5:$M$2666,10,FALSE)</f>
        <v>155,39,62</v>
      </c>
      <c r="H2179" s="27" t="str">
        <f>VLOOKUP($C2179,Carpetas!$C$5:$M$2666,6,FALSE)</f>
        <v>Chabat</v>
      </c>
      <c r="I2179" s="27" t="str">
        <f>VLOOKUP($C2179,Carpetas!$C$5:$M$2666,3,FALSE)</f>
        <v>Etimex</v>
      </c>
      <c r="J2179" s="47">
        <f>E2179+2</f>
        <v>46113</v>
      </c>
      <c r="K2179" s="72" t="str">
        <f>VLOOKUP($C2179,Carpetas!$C$5:$M$2666,5,FALSE)</f>
        <v>Rio Branco</v>
      </c>
      <c r="L2179" s="32"/>
      <c r="M2179" s="48">
        <f>J2179+1</f>
        <v>46114</v>
      </c>
      <c r="N2179" s="26">
        <f t="shared" si="152"/>
        <v>3</v>
      </c>
      <c r="O2179" s="27">
        <v>1008</v>
      </c>
      <c r="P2179" s="27">
        <v>1008</v>
      </c>
      <c r="Q2179" s="27">
        <v>28</v>
      </c>
      <c r="R2179" s="27">
        <v>26</v>
      </c>
      <c r="S2179" s="167" t="s">
        <v>5761</v>
      </c>
      <c r="T2179" s="27"/>
      <c r="U2179" s="27">
        <v>2528</v>
      </c>
      <c r="V2179" s="27" t="s">
        <v>4276</v>
      </c>
      <c r="W2179" s="27" t="s">
        <v>4135</v>
      </c>
      <c r="X2179" s="128"/>
      <c r="Y2179" s="73" t="e">
        <f>VLOOKUP(X2179,Choferes!$B$3:C445,2,FALSE)</f>
        <v>#N/A</v>
      </c>
      <c r="Z2179" s="73" t="s">
        <v>5762</v>
      </c>
    </row>
    <row r="2180" spans="1:26" hidden="1" x14ac:dyDescent="0.25">
      <c r="A2180" s="222">
        <v>14</v>
      </c>
      <c r="B2180" s="71" t="s">
        <v>29</v>
      </c>
      <c r="C2180" s="39" t="s">
        <v>5756</v>
      </c>
      <c r="D2180" s="106" t="s">
        <v>5746</v>
      </c>
      <c r="E2180" s="47">
        <v>46115</v>
      </c>
      <c r="F2180" s="31" t="str">
        <f>VLOOKUP($C2180,Carpetas!$C$5:$M$2666,2,FALSE)</f>
        <v>BRB035-26</v>
      </c>
      <c r="G2180" s="23" t="str">
        <f>VLOOKUP($C2180,Carpetas!$C$5:$M$2666,10,FALSE)</f>
        <v>155,39,62</v>
      </c>
      <c r="H2180" s="27" t="str">
        <f>VLOOKUP($C2180,Carpetas!$C$5:$M$2666,6,FALSE)</f>
        <v>Chabat</v>
      </c>
      <c r="I2180" s="27" t="str">
        <f>VLOOKUP($C2180,Carpetas!$C$5:$M$2666,3,FALSE)</f>
        <v>Etimex</v>
      </c>
      <c r="J2180" s="47">
        <f>E2180+2</f>
        <v>46117</v>
      </c>
      <c r="K2180" s="72" t="str">
        <f>VLOOKUP($C2180,Carpetas!$C$5:$M$2666,5,FALSE)</f>
        <v>Rio Branco</v>
      </c>
      <c r="L2180" s="32"/>
      <c r="M2180" s="48">
        <v>46119</v>
      </c>
      <c r="N2180" s="26">
        <f t="shared" si="152"/>
        <v>4</v>
      </c>
      <c r="O2180" s="27">
        <v>1008</v>
      </c>
      <c r="P2180" s="27">
        <v>1008</v>
      </c>
      <c r="Q2180" s="27">
        <v>28</v>
      </c>
      <c r="R2180" s="27">
        <v>26</v>
      </c>
      <c r="S2180" s="27" t="s">
        <v>5763</v>
      </c>
      <c r="T2180" s="27"/>
      <c r="U2180" s="27">
        <v>2531</v>
      </c>
      <c r="V2180" s="27" t="s">
        <v>5759</v>
      </c>
      <c r="W2180" s="27" t="s">
        <v>4130</v>
      </c>
      <c r="X2180" s="128"/>
      <c r="Y2180" s="73" t="e">
        <f>VLOOKUP(X2180,Choferes!$B$3:C448,2,FALSE)</f>
        <v>#N/A</v>
      </c>
      <c r="Z2180" s="73" t="s">
        <v>5764</v>
      </c>
    </row>
    <row r="2181" spans="1:26" ht="30" hidden="1" x14ac:dyDescent="0.25">
      <c r="A2181" s="222">
        <v>14</v>
      </c>
      <c r="B2181" s="71" t="s">
        <v>29</v>
      </c>
      <c r="C2181" s="39" t="s">
        <v>5756</v>
      </c>
      <c r="D2181" s="106" t="s">
        <v>5765</v>
      </c>
      <c r="E2181" s="47">
        <v>46116</v>
      </c>
      <c r="F2181" s="31" t="str">
        <f>VLOOKUP($C2181,Carpetas!$C$5:$M$2666,2,FALSE)</f>
        <v>BRB035-26</v>
      </c>
      <c r="G2181" s="23" t="str">
        <f>VLOOKUP($C2181,Carpetas!$C$5:$M$2666,10,FALSE)</f>
        <v>155,39,62</v>
      </c>
      <c r="H2181" s="27" t="str">
        <f>VLOOKUP($C2181,Carpetas!$C$5:$M$2666,6,FALSE)</f>
        <v>Chabat</v>
      </c>
      <c r="I2181" s="27" t="str">
        <f>VLOOKUP($C2181,Carpetas!$C$5:$M$2666,3,FALSE)</f>
        <v>Etimex</v>
      </c>
      <c r="J2181" s="47">
        <f>E2181+2</f>
        <v>46118</v>
      </c>
      <c r="K2181" s="72" t="str">
        <f>VLOOKUP($C2181,Carpetas!$C$5:$M$2666,5,FALSE)</f>
        <v>Rio Branco</v>
      </c>
      <c r="L2181" s="32"/>
      <c r="M2181" s="48">
        <f t="shared" ref="M2181:M2203" si="155">J2181+1</f>
        <v>46119</v>
      </c>
      <c r="N2181" s="26">
        <f t="shared" si="152"/>
        <v>3</v>
      </c>
      <c r="O2181" s="27">
        <v>1008</v>
      </c>
      <c r="P2181" s="27">
        <v>1008</v>
      </c>
      <c r="Q2181" s="27">
        <v>28</v>
      </c>
      <c r="R2181" s="27">
        <v>26</v>
      </c>
      <c r="S2181" s="27" t="s">
        <v>5766</v>
      </c>
      <c r="T2181" s="27"/>
      <c r="U2181" s="27">
        <v>2530</v>
      </c>
      <c r="V2181" s="27" t="s">
        <v>5767</v>
      </c>
      <c r="W2181" s="27" t="s">
        <v>4223</v>
      </c>
      <c r="X2181" s="128"/>
      <c r="Y2181" s="73" t="e">
        <f>VLOOKUP(X2181,Choferes!$B$3:C449,2,FALSE)</f>
        <v>#N/A</v>
      </c>
      <c r="Z2181" s="73" t="s">
        <v>5764</v>
      </c>
    </row>
    <row r="2182" spans="1:26" hidden="1" x14ac:dyDescent="0.25">
      <c r="A2182" s="222">
        <v>15</v>
      </c>
      <c r="B2182" s="71" t="s">
        <v>29</v>
      </c>
      <c r="C2182" s="39" t="s">
        <v>5756</v>
      </c>
      <c r="D2182" s="106" t="s">
        <v>5499</v>
      </c>
      <c r="E2182" s="47">
        <v>46119</v>
      </c>
      <c r="F2182" s="31" t="str">
        <f>VLOOKUP($C2182,Carpetas!$C$5:$M$2666,2,FALSE)</f>
        <v>BRB035-26</v>
      </c>
      <c r="G2182" s="23" t="str">
        <f>VLOOKUP($C2182,Carpetas!$C$5:$M$2666,10,FALSE)</f>
        <v>155,39,62</v>
      </c>
      <c r="H2182" s="27" t="str">
        <f>VLOOKUP($C2182,Carpetas!$C$5:$M$2666,6,FALSE)</f>
        <v>Chabat</v>
      </c>
      <c r="I2182" s="27" t="str">
        <f>VLOOKUP($C2182,Carpetas!$C$5:$M$2666,3,FALSE)</f>
        <v>Etimex</v>
      </c>
      <c r="J2182" s="47">
        <v>46120</v>
      </c>
      <c r="K2182" s="72" t="str">
        <f>VLOOKUP($C2182,Carpetas!$C$5:$M$2666,5,FALSE)</f>
        <v>Rio Branco</v>
      </c>
      <c r="L2182" s="32"/>
      <c r="M2182" s="48">
        <f t="shared" si="155"/>
        <v>46121</v>
      </c>
      <c r="N2182" s="26">
        <f t="shared" si="152"/>
        <v>2</v>
      </c>
      <c r="O2182" s="27">
        <v>1008</v>
      </c>
      <c r="P2182" s="27">
        <v>1008</v>
      </c>
      <c r="Q2182" s="27">
        <v>28</v>
      </c>
      <c r="R2182" s="27">
        <v>26</v>
      </c>
      <c r="S2182" s="27" t="s">
        <v>5768</v>
      </c>
      <c r="T2182" s="27"/>
      <c r="U2182" s="27">
        <v>2533</v>
      </c>
      <c r="V2182" s="27" t="s">
        <v>1657</v>
      </c>
      <c r="W2182" s="27" t="s">
        <v>1815</v>
      </c>
      <c r="X2182" s="128"/>
      <c r="Y2182" s="73" t="e">
        <f>VLOOKUP(X2182,Choferes!$B$3:C450,2,FALSE)</f>
        <v>#N/A</v>
      </c>
      <c r="Z2182" s="73" t="s">
        <v>5769</v>
      </c>
    </row>
    <row r="2183" spans="1:26" hidden="1" x14ac:dyDescent="0.25">
      <c r="A2183" s="222">
        <v>15</v>
      </c>
      <c r="B2183" s="71" t="s">
        <v>29</v>
      </c>
      <c r="C2183" s="39" t="s">
        <v>5770</v>
      </c>
      <c r="D2183" s="106" t="s">
        <v>38</v>
      </c>
      <c r="E2183" s="47">
        <v>46118</v>
      </c>
      <c r="F2183" s="31" t="str">
        <f>VLOOKUP($C2183,Carpetas!$C$5:$M$2666,2,FALSE)</f>
        <v>BRE015/26</v>
      </c>
      <c r="G2183" s="23">
        <f>VLOOKUP($C2183,Carpetas!$C$5:$M$2666,10,FALSE)</f>
        <v>1554377</v>
      </c>
      <c r="H2183" s="27" t="str">
        <f>VLOOKUP($C2183,Carpetas!$C$5:$M$2666,6,FALSE)</f>
        <v xml:space="preserve">Silvio </v>
      </c>
      <c r="I2183" s="27" t="str">
        <f>VLOOKUP($C2183,Carpetas!$C$5:$M$2666,3,FALSE)</f>
        <v>Jaguacy</v>
      </c>
      <c r="J2183" s="47">
        <v>46120</v>
      </c>
      <c r="K2183" s="72" t="str">
        <f>VLOOKUP($C2183,Carpetas!$C$5:$M$2666,5,FALSE)</f>
        <v>Rio Branco</v>
      </c>
      <c r="L2183" s="32"/>
      <c r="M2183" s="48">
        <f t="shared" si="155"/>
        <v>46121</v>
      </c>
      <c r="N2183" s="26">
        <f t="shared" si="152"/>
        <v>3</v>
      </c>
      <c r="O2183" s="27">
        <v>2304</v>
      </c>
      <c r="P2183" s="27">
        <v>2304</v>
      </c>
      <c r="Q2183" s="27">
        <v>24</v>
      </c>
      <c r="R2183" s="27"/>
      <c r="S2183" s="27"/>
      <c r="T2183" s="27"/>
      <c r="U2183" s="27">
        <v>7730</v>
      </c>
      <c r="V2183" s="56" t="s">
        <v>5771</v>
      </c>
      <c r="W2183" s="27" t="s">
        <v>5772</v>
      </c>
      <c r="X2183" s="128"/>
      <c r="Y2183" s="73" t="e">
        <f>VLOOKUP(X2183,Choferes!$B$3:C445,2,FALSE)</f>
        <v>#N/A</v>
      </c>
      <c r="Z2183" s="73" t="s">
        <v>5773</v>
      </c>
    </row>
    <row r="2184" spans="1:26" hidden="1" x14ac:dyDescent="0.25">
      <c r="A2184" s="222">
        <v>15</v>
      </c>
      <c r="B2184" s="71" t="s">
        <v>29</v>
      </c>
      <c r="C2184" s="39" t="s">
        <v>5753</v>
      </c>
      <c r="D2184" s="106" t="s">
        <v>803</v>
      </c>
      <c r="E2184" s="47">
        <v>46119</v>
      </c>
      <c r="F2184" s="31" t="str">
        <f>VLOOKUP($C2184,Carpetas!$C$5:$M$2666,2,FALSE)</f>
        <v>BRB034-26</v>
      </c>
      <c r="G2184" s="23" t="str">
        <f>VLOOKUP($C2184,Carpetas!$C$5:$M$2666,10,FALSE)</f>
        <v>155,39,61</v>
      </c>
      <c r="H2184" s="27" t="str">
        <f>VLOOKUP($C2184,Carpetas!$C$5:$M$2666,6,FALSE)</f>
        <v>FG</v>
      </c>
      <c r="I2184" s="27" t="str">
        <f>VLOOKUP($C2184,Carpetas!$C$5:$M$2666,3,FALSE)</f>
        <v>Etimex</v>
      </c>
      <c r="J2184" s="47">
        <f>E2184+2</f>
        <v>46121</v>
      </c>
      <c r="K2184" s="72" t="str">
        <f>VLOOKUP($C2184,Carpetas!$C$5:$M$2666,5,FALSE)</f>
        <v>Rio Branco</v>
      </c>
      <c r="L2184" s="32"/>
      <c r="M2184" s="48">
        <f t="shared" si="155"/>
        <v>46122</v>
      </c>
      <c r="N2184" s="26">
        <f t="shared" si="152"/>
        <v>3</v>
      </c>
      <c r="O2184" s="27">
        <v>1008</v>
      </c>
      <c r="P2184" s="27">
        <v>1008</v>
      </c>
      <c r="Q2184" s="27">
        <v>28</v>
      </c>
      <c r="R2184" s="27">
        <v>26</v>
      </c>
      <c r="S2184" s="27" t="s">
        <v>1337</v>
      </c>
      <c r="T2184" s="27"/>
      <c r="U2184" s="27">
        <v>1480</v>
      </c>
      <c r="V2184" s="27" t="s">
        <v>4716</v>
      </c>
      <c r="W2184" s="27" t="s">
        <v>1934</v>
      </c>
      <c r="X2184" s="128"/>
      <c r="Y2184" s="73" t="e">
        <f>VLOOKUP(X2184,Choferes!$B$3:C456,2,FALSE)</f>
        <v>#N/A</v>
      </c>
      <c r="Z2184" s="73" t="s">
        <v>5774</v>
      </c>
    </row>
    <row r="2185" spans="1:26" hidden="1" x14ac:dyDescent="0.25">
      <c r="A2185" s="222">
        <v>15</v>
      </c>
      <c r="B2185" s="71" t="s">
        <v>29</v>
      </c>
      <c r="C2185" s="39" t="s">
        <v>5753</v>
      </c>
      <c r="D2185" s="106" t="s">
        <v>249</v>
      </c>
      <c r="E2185" s="47">
        <v>46119</v>
      </c>
      <c r="F2185" s="31" t="str">
        <f>VLOOKUP($C2185,Carpetas!$C$5:$M$2666,2,FALSE)</f>
        <v>BRB034-26</v>
      </c>
      <c r="G2185" s="23" t="str">
        <f>VLOOKUP($C2185,Carpetas!$C$5:$M$2666,10,FALSE)</f>
        <v>155,39,61</v>
      </c>
      <c r="H2185" s="27" t="str">
        <f>VLOOKUP($C2185,Carpetas!$C$5:$M$2666,6,FALSE)</f>
        <v>FG</v>
      </c>
      <c r="I2185" s="27" t="str">
        <f>VLOOKUP($C2185,Carpetas!$C$5:$M$2666,3,FALSE)</f>
        <v>Etimex</v>
      </c>
      <c r="J2185" s="47">
        <f>E2185+2</f>
        <v>46121</v>
      </c>
      <c r="K2185" s="72" t="str">
        <f>VLOOKUP($C2185,Carpetas!$C$5:$M$2666,5,FALSE)</f>
        <v>Rio Branco</v>
      </c>
      <c r="L2185" s="32"/>
      <c r="M2185" s="48">
        <f t="shared" si="155"/>
        <v>46122</v>
      </c>
      <c r="N2185" s="26">
        <f t="shared" si="152"/>
        <v>3</v>
      </c>
      <c r="O2185" s="27">
        <v>1008</v>
      </c>
      <c r="P2185" s="27">
        <v>1008</v>
      </c>
      <c r="Q2185" s="27">
        <v>28</v>
      </c>
      <c r="R2185" s="27">
        <v>26</v>
      </c>
      <c r="S2185" s="27" t="s">
        <v>3323</v>
      </c>
      <c r="T2185" s="27"/>
      <c r="U2185" s="27">
        <v>1481</v>
      </c>
      <c r="V2185" s="27" t="s">
        <v>5317</v>
      </c>
      <c r="W2185" s="27" t="s">
        <v>5318</v>
      </c>
      <c r="X2185" s="128"/>
      <c r="Y2185" s="73" t="e">
        <f>VLOOKUP(X2185,Choferes!$B$3:C460,2,FALSE)</f>
        <v>#N/A</v>
      </c>
      <c r="Z2185" s="73" t="s">
        <v>5774</v>
      </c>
    </row>
    <row r="2186" spans="1:26" hidden="1" x14ac:dyDescent="0.25">
      <c r="A2186" s="222">
        <v>15</v>
      </c>
      <c r="B2186" s="71" t="s">
        <v>29</v>
      </c>
      <c r="C2186" s="39" t="s">
        <v>5735</v>
      </c>
      <c r="D2186" s="106" t="s">
        <v>2202</v>
      </c>
      <c r="E2186" s="47">
        <v>46119</v>
      </c>
      <c r="F2186" s="31" t="str">
        <f>VLOOKUP($C2186,Carpetas!$C$5:$M$2666,2,FALSE)</f>
        <v>BRB033-26</v>
      </c>
      <c r="G2186" s="23" t="str">
        <f>VLOOKUP($C2186,Carpetas!$C$5:$M$2666,10,FALSE)</f>
        <v>155.37.64</v>
      </c>
      <c r="H2186" s="27" t="str">
        <f>VLOOKUP($C2186,Carpetas!$C$5:$M$2666,6,FALSE)</f>
        <v>AXT</v>
      </c>
      <c r="I2186" s="27" t="str">
        <f>VLOOKUP($C2186,Carpetas!$C$5:$M$2666,3,FALSE)</f>
        <v>A&amp;A</v>
      </c>
      <c r="J2186" s="47">
        <f>E2186+2</f>
        <v>46121</v>
      </c>
      <c r="K2186" s="72" t="str">
        <f>VLOOKUP($C2186,Carpetas!$C$5:$M$2666,5,FALSE)</f>
        <v>Rio Branco</v>
      </c>
      <c r="L2186" s="32"/>
      <c r="M2186" s="48">
        <f t="shared" si="155"/>
        <v>46122</v>
      </c>
      <c r="N2186" s="26">
        <f t="shared" si="152"/>
        <v>3</v>
      </c>
      <c r="O2186" s="27">
        <v>936</v>
      </c>
      <c r="P2186" s="27">
        <v>937</v>
      </c>
      <c r="Q2186" s="27">
        <v>26</v>
      </c>
      <c r="R2186" s="27">
        <v>25</v>
      </c>
      <c r="S2186" s="27" t="s">
        <v>4911</v>
      </c>
      <c r="T2186" s="27"/>
      <c r="U2186" s="27"/>
      <c r="V2186" s="27" t="s">
        <v>5775</v>
      </c>
      <c r="W2186" s="27" t="s">
        <v>5776</v>
      </c>
      <c r="X2186" s="128"/>
      <c r="Y2186" s="73" t="e">
        <f>VLOOKUP(X2186,Choferes!$B$3:C460,2,FALSE)</f>
        <v>#N/A</v>
      </c>
      <c r="Z2186" s="73" t="s">
        <v>5777</v>
      </c>
    </row>
    <row r="2187" spans="1:26" ht="30" hidden="1" x14ac:dyDescent="0.25">
      <c r="A2187" s="222">
        <v>15</v>
      </c>
      <c r="B2187" s="71" t="s">
        <v>29</v>
      </c>
      <c r="C2187" s="39" t="s">
        <v>5756</v>
      </c>
      <c r="D2187" s="106" t="s">
        <v>5757</v>
      </c>
      <c r="E2187" s="47">
        <v>46120</v>
      </c>
      <c r="F2187" s="31" t="str">
        <f>VLOOKUP($C2187,Carpetas!$C$5:$M$2666,2,FALSE)</f>
        <v>BRB035-26</v>
      </c>
      <c r="G2187" s="23" t="str">
        <f>VLOOKUP($C2187,Carpetas!$C$5:$M$2666,10,FALSE)</f>
        <v>155,39,62</v>
      </c>
      <c r="H2187" s="27" t="str">
        <f>VLOOKUP($C2187,Carpetas!$C$5:$M$2666,6,FALSE)</f>
        <v>Chabat</v>
      </c>
      <c r="I2187" s="27" t="str">
        <f>VLOOKUP($C2187,Carpetas!$C$5:$M$2666,3,FALSE)</f>
        <v>Etimex</v>
      </c>
      <c r="J2187" s="47">
        <v>46121</v>
      </c>
      <c r="K2187" s="72" t="str">
        <f>VLOOKUP($C2187,Carpetas!$C$5:$M$2666,5,FALSE)</f>
        <v>Rio Branco</v>
      </c>
      <c r="L2187" s="32"/>
      <c r="M2187" s="48">
        <f t="shared" si="155"/>
        <v>46122</v>
      </c>
      <c r="N2187" s="26">
        <f t="shared" si="152"/>
        <v>2</v>
      </c>
      <c r="O2187" s="27">
        <v>1008</v>
      </c>
      <c r="P2187" s="27">
        <v>1008</v>
      </c>
      <c r="Q2187" s="27">
        <v>28</v>
      </c>
      <c r="R2187" s="27">
        <v>26</v>
      </c>
      <c r="S2187" s="27" t="s">
        <v>5778</v>
      </c>
      <c r="T2187" s="27"/>
      <c r="U2187" s="27">
        <v>2535</v>
      </c>
      <c r="V2187" s="27" t="s">
        <v>4276</v>
      </c>
      <c r="W2187" s="27" t="s">
        <v>4135</v>
      </c>
      <c r="X2187" s="128"/>
      <c r="Y2187" s="73" t="e">
        <f>VLOOKUP(X2187,Choferes!$B$3:C451,2,FALSE)</f>
        <v>#N/A</v>
      </c>
      <c r="Z2187" s="73" t="s">
        <v>5774</v>
      </c>
    </row>
    <row r="2188" spans="1:26" hidden="1" x14ac:dyDescent="0.25">
      <c r="A2188" s="222">
        <v>15</v>
      </c>
      <c r="B2188" s="71" t="s">
        <v>29</v>
      </c>
      <c r="C2188" s="39" t="s">
        <v>5779</v>
      </c>
      <c r="D2188" s="106" t="s">
        <v>5780</v>
      </c>
      <c r="E2188" s="47">
        <v>46120</v>
      </c>
      <c r="F2188" s="31" t="str">
        <f>VLOOKUP($C2188,Carpetas!$C$5:$M$2666,2,FALSE)</f>
        <v>BRB036-26</v>
      </c>
      <c r="G2188" s="23">
        <f>VLOOKUP($C2188,Carpetas!$C$5:$M$2666,10,FALSE)</f>
        <v>1554969</v>
      </c>
      <c r="H2188" s="27" t="str">
        <f>VLOOKUP($C2188,Carpetas!$C$5:$M$2666,6,FALSE)</f>
        <v>Chabat</v>
      </c>
      <c r="I2188" s="27" t="str">
        <f>VLOOKUP($C2188,Carpetas!$C$5:$M$2666,3,FALSE)</f>
        <v>Etimex</v>
      </c>
      <c r="J2188" s="47">
        <v>46121</v>
      </c>
      <c r="K2188" s="72" t="str">
        <f>VLOOKUP($C2188,Carpetas!$C$5:$M$2666,5,FALSE)</f>
        <v>Rio Branco</v>
      </c>
      <c r="L2188" s="32"/>
      <c r="M2188" s="48">
        <f t="shared" si="155"/>
        <v>46122</v>
      </c>
      <c r="N2188" s="26">
        <f t="shared" si="152"/>
        <v>2</v>
      </c>
      <c r="O2188" s="27">
        <v>1008</v>
      </c>
      <c r="P2188" s="27">
        <v>1008</v>
      </c>
      <c r="Q2188" s="27">
        <v>28</v>
      </c>
      <c r="R2188" s="27">
        <v>25</v>
      </c>
      <c r="S2188" s="27" t="s">
        <v>5781</v>
      </c>
      <c r="T2188" s="27"/>
      <c r="U2188" s="27">
        <v>2536</v>
      </c>
      <c r="V2188" s="27" t="s">
        <v>1649</v>
      </c>
      <c r="W2188" s="27" t="s">
        <v>1650</v>
      </c>
      <c r="X2188" s="128"/>
      <c r="Y2188" s="73" t="e">
        <f>VLOOKUP(X2188,Choferes!$B$3:C452,2,FALSE)</f>
        <v>#N/A</v>
      </c>
      <c r="Z2188" s="73" t="s">
        <v>5774</v>
      </c>
    </row>
    <row r="2189" spans="1:26" hidden="1" x14ac:dyDescent="0.25">
      <c r="A2189" s="222">
        <v>15</v>
      </c>
      <c r="B2189" s="71" t="s">
        <v>29</v>
      </c>
      <c r="C2189" s="39" t="s">
        <v>5753</v>
      </c>
      <c r="D2189" s="106" t="s">
        <v>803</v>
      </c>
      <c r="E2189" s="47">
        <v>46120</v>
      </c>
      <c r="F2189" s="31" t="str">
        <f>VLOOKUP($C2189,Carpetas!$C$5:$M$2666,2,FALSE)</f>
        <v>BRB034-26</v>
      </c>
      <c r="G2189" s="23" t="str">
        <f>VLOOKUP($C2189,Carpetas!$C$5:$M$2666,10,FALSE)</f>
        <v>155,39,61</v>
      </c>
      <c r="H2189" s="27" t="str">
        <f>VLOOKUP($C2189,Carpetas!$C$5:$M$2666,6,FALSE)</f>
        <v>FG</v>
      </c>
      <c r="I2189" s="27" t="str">
        <f>VLOOKUP($C2189,Carpetas!$C$5:$M$2666,3,FALSE)</f>
        <v>Etimex</v>
      </c>
      <c r="J2189" s="47">
        <v>46121</v>
      </c>
      <c r="K2189" s="72" t="str">
        <f>VLOOKUP($C2189,Carpetas!$C$5:$M$2666,5,FALSE)</f>
        <v>Rio Branco</v>
      </c>
      <c r="L2189" s="32"/>
      <c r="M2189" s="48">
        <f t="shared" si="155"/>
        <v>46122</v>
      </c>
      <c r="N2189" s="26">
        <f t="shared" si="152"/>
        <v>2</v>
      </c>
      <c r="O2189" s="27">
        <v>1008</v>
      </c>
      <c r="P2189" s="27">
        <v>1008</v>
      </c>
      <c r="Q2189" s="27">
        <v>28</v>
      </c>
      <c r="R2189" s="27">
        <v>26</v>
      </c>
      <c r="S2189" s="27" t="s">
        <v>1366</v>
      </c>
      <c r="T2189" s="27"/>
      <c r="U2189" s="27">
        <v>1485</v>
      </c>
      <c r="V2189" s="27" t="s">
        <v>1735</v>
      </c>
      <c r="W2189" s="27" t="s">
        <v>1681</v>
      </c>
      <c r="X2189" s="128"/>
      <c r="Y2189" s="73" t="e">
        <f>VLOOKUP(X2189,Choferes!$B$3:C457,2,FALSE)</f>
        <v>#N/A</v>
      </c>
      <c r="Z2189" s="73" t="s">
        <v>5774</v>
      </c>
    </row>
    <row r="2190" spans="1:26" hidden="1" x14ac:dyDescent="0.25">
      <c r="A2190" s="222">
        <v>15</v>
      </c>
      <c r="B2190" s="71" t="s">
        <v>29</v>
      </c>
      <c r="C2190" s="39" t="s">
        <v>5753</v>
      </c>
      <c r="D2190" s="106" t="s">
        <v>110</v>
      </c>
      <c r="E2190" s="47">
        <v>46120</v>
      </c>
      <c r="F2190" s="31" t="str">
        <f>VLOOKUP($C2190,Carpetas!$C$5:$M$2666,2,FALSE)</f>
        <v>BRB034-26</v>
      </c>
      <c r="G2190" s="23" t="str">
        <f>VLOOKUP($C2190,Carpetas!$C$5:$M$2666,10,FALSE)</f>
        <v>155,39,61</v>
      </c>
      <c r="H2190" s="27" t="str">
        <f>VLOOKUP($C2190,Carpetas!$C$5:$M$2666,6,FALSE)</f>
        <v>FG</v>
      </c>
      <c r="I2190" s="27" t="str">
        <f>VLOOKUP($C2190,Carpetas!$C$5:$M$2666,3,FALSE)</f>
        <v>Etimex</v>
      </c>
      <c r="J2190" s="47">
        <v>46121</v>
      </c>
      <c r="K2190" s="72" t="str">
        <f>VLOOKUP($C2190,Carpetas!$C$5:$M$2666,5,FALSE)</f>
        <v>Rio Branco</v>
      </c>
      <c r="L2190" s="32"/>
      <c r="M2190" s="48">
        <f t="shared" si="155"/>
        <v>46122</v>
      </c>
      <c r="N2190" s="26">
        <f t="shared" si="152"/>
        <v>2</v>
      </c>
      <c r="O2190" s="27">
        <v>1008</v>
      </c>
      <c r="P2190" s="27">
        <v>1008</v>
      </c>
      <c r="Q2190" s="27">
        <v>28</v>
      </c>
      <c r="R2190" s="27">
        <v>26</v>
      </c>
      <c r="S2190" s="27" t="s">
        <v>1079</v>
      </c>
      <c r="T2190" s="27"/>
      <c r="U2190" s="27">
        <v>1486</v>
      </c>
      <c r="V2190" s="27" t="s">
        <v>3669</v>
      </c>
      <c r="W2190" s="27" t="s">
        <v>1627</v>
      </c>
      <c r="X2190" s="128"/>
      <c r="Y2190" s="73" t="e">
        <f>VLOOKUP(X2190,Choferes!$B$3:C458,2,FALSE)</f>
        <v>#N/A</v>
      </c>
      <c r="Z2190" s="73" t="s">
        <v>5774</v>
      </c>
    </row>
    <row r="2191" spans="1:26" hidden="1" x14ac:dyDescent="0.25">
      <c r="A2191" s="222">
        <v>15</v>
      </c>
      <c r="B2191" s="71" t="s">
        <v>29</v>
      </c>
      <c r="C2191" s="39" t="s">
        <v>5735</v>
      </c>
      <c r="D2191" s="106" t="s">
        <v>2202</v>
      </c>
      <c r="E2191" s="47">
        <v>46120</v>
      </c>
      <c r="F2191" s="31" t="str">
        <f>VLOOKUP($C2191,Carpetas!$C$5:$M$2666,2,FALSE)</f>
        <v>BRB033-26</v>
      </c>
      <c r="G2191" s="23" t="str">
        <f>VLOOKUP($C2191,Carpetas!$C$5:$M$2666,10,FALSE)</f>
        <v>155.37.64</v>
      </c>
      <c r="H2191" s="27" t="str">
        <f>VLOOKUP($C2191,Carpetas!$C$5:$M$2666,6,FALSE)</f>
        <v>AXT</v>
      </c>
      <c r="I2191" s="27" t="str">
        <f>VLOOKUP($C2191,Carpetas!$C$5:$M$2666,3,FALSE)</f>
        <v>A&amp;A</v>
      </c>
      <c r="J2191" s="47">
        <v>46121</v>
      </c>
      <c r="K2191" s="72" t="str">
        <f>VLOOKUP($C2191,Carpetas!$C$5:$M$2666,5,FALSE)</f>
        <v>Rio Branco</v>
      </c>
      <c r="L2191" s="32"/>
      <c r="M2191" s="48">
        <f t="shared" si="155"/>
        <v>46122</v>
      </c>
      <c r="N2191" s="26">
        <f t="shared" si="152"/>
        <v>2</v>
      </c>
      <c r="O2191" s="27">
        <v>936</v>
      </c>
      <c r="P2191" s="27">
        <v>936</v>
      </c>
      <c r="Q2191" s="27">
        <v>26</v>
      </c>
      <c r="R2191" s="27">
        <v>25</v>
      </c>
      <c r="S2191" s="27" t="s">
        <v>4922</v>
      </c>
      <c r="T2191" s="27"/>
      <c r="U2191" s="27"/>
      <c r="V2191" s="27" t="s">
        <v>5782</v>
      </c>
      <c r="W2191" s="27" t="s">
        <v>5783</v>
      </c>
      <c r="X2191" s="128"/>
      <c r="Y2191" s="73" t="e">
        <f>VLOOKUP(X2191,Choferes!$B$3:C461,2,FALSE)</f>
        <v>#N/A</v>
      </c>
      <c r="Z2191" s="73" t="s">
        <v>5784</v>
      </c>
    </row>
    <row r="2192" spans="1:26" ht="30" hidden="1" x14ac:dyDescent="0.25">
      <c r="A2192" s="222">
        <v>15</v>
      </c>
      <c r="B2192" s="71" t="s">
        <v>29</v>
      </c>
      <c r="C2192" s="39" t="s">
        <v>5785</v>
      </c>
      <c r="D2192" s="106" t="s">
        <v>38</v>
      </c>
      <c r="E2192" s="47">
        <v>46118</v>
      </c>
      <c r="F2192" s="31" t="str">
        <f>VLOOKUP($C2192,Carpetas!$C$5:$M$2666,2,FALSE)</f>
        <v>BRE016/26</v>
      </c>
      <c r="G2192" s="23" t="str">
        <f>VLOOKUP($C2192,Carpetas!$C$5:$M$2666,10,FALSE)</f>
        <v>1554374-1554371-1554378</v>
      </c>
      <c r="H2192" s="27" t="str">
        <f>VLOOKUP($C2192,Carpetas!$C$5:$M$2666,6,FALSE)</f>
        <v>VPN</v>
      </c>
      <c r="I2192" s="27" t="str">
        <f>VLOOKUP($C2192,Carpetas!$C$5:$M$2666,3,FALSE)</f>
        <v>Dom Basto</v>
      </c>
      <c r="J2192" s="47">
        <v>46122</v>
      </c>
      <c r="K2192" s="72" t="str">
        <f>VLOOKUP($C2192,Carpetas!$C$5:$M$2666,5,FALSE)</f>
        <v>Chuy</v>
      </c>
      <c r="L2192" s="32"/>
      <c r="M2192" s="48">
        <f t="shared" si="155"/>
        <v>46123</v>
      </c>
      <c r="N2192" s="26">
        <f t="shared" si="152"/>
        <v>5</v>
      </c>
      <c r="O2192" s="27">
        <v>1220</v>
      </c>
      <c r="P2192" s="27">
        <v>1220</v>
      </c>
      <c r="Q2192" s="27"/>
      <c r="R2192" s="27"/>
      <c r="S2192" s="27" t="s">
        <v>5786</v>
      </c>
      <c r="T2192" s="27"/>
      <c r="U2192" s="27"/>
      <c r="V2192" s="27"/>
      <c r="W2192" s="27"/>
      <c r="X2192" s="128"/>
      <c r="Y2192" s="73" t="e">
        <f>VLOOKUP(X2192,Choferes!$B$3:C446,2,FALSE)</f>
        <v>#N/A</v>
      </c>
      <c r="Z2192" s="73" t="s">
        <v>5787</v>
      </c>
    </row>
    <row r="2193" spans="1:26" ht="30" hidden="1" x14ac:dyDescent="0.25">
      <c r="A2193" s="222">
        <v>15</v>
      </c>
      <c r="B2193" s="71" t="s">
        <v>29</v>
      </c>
      <c r="C2193" s="39" t="s">
        <v>5788</v>
      </c>
      <c r="D2193" s="106" t="s">
        <v>38</v>
      </c>
      <c r="E2193" s="47">
        <v>46116</v>
      </c>
      <c r="F2193" s="31" t="str">
        <f>VLOOKUP($C2193,Carpetas!$C$5:$M$2666,2,FALSE)</f>
        <v>BRE017-26</v>
      </c>
      <c r="G2193" s="23" t="str">
        <f>VLOOKUP($C2193,Carpetas!$C$5:$M$2666,10,FALSE)</f>
        <v>1554370-1554956</v>
      </c>
      <c r="H2193" s="27" t="str">
        <f>VLOOKUP($C2193,Carpetas!$C$5:$M$2666,6,FALSE)</f>
        <v xml:space="preserve">Silvio </v>
      </c>
      <c r="I2193" s="27" t="str">
        <f>VLOOKUP($C2193,Carpetas!$C$5:$M$2666,3,FALSE)</f>
        <v>Etimex</v>
      </c>
      <c r="J2193" s="47">
        <v>46122</v>
      </c>
      <c r="K2193" s="72" t="str">
        <f>VLOOKUP($C2193,Carpetas!$C$5:$M$2666,5,FALSE)</f>
        <v>Rio Branco</v>
      </c>
      <c r="L2193" s="32"/>
      <c r="M2193" s="48">
        <f t="shared" si="155"/>
        <v>46123</v>
      </c>
      <c r="N2193" s="26">
        <f t="shared" si="152"/>
        <v>7</v>
      </c>
      <c r="O2193" s="27">
        <v>1188</v>
      </c>
      <c r="P2193" s="27">
        <v>1188</v>
      </c>
      <c r="Q2193" s="27">
        <v>26</v>
      </c>
      <c r="R2193" s="27">
        <v>25</v>
      </c>
      <c r="S2193" s="27" t="s">
        <v>3713</v>
      </c>
      <c r="T2193" s="27"/>
      <c r="U2193" s="27">
        <v>7732</v>
      </c>
      <c r="V2193" s="27" t="s">
        <v>5789</v>
      </c>
      <c r="W2193" s="27" t="s">
        <v>5790</v>
      </c>
      <c r="X2193" s="128"/>
      <c r="Y2193" s="73" t="e">
        <f>VLOOKUP(X2193,Choferes!$B$3:C447,2,FALSE)</f>
        <v>#N/A</v>
      </c>
      <c r="Z2193" s="73" t="s">
        <v>5791</v>
      </c>
    </row>
    <row r="2194" spans="1:26" hidden="1" x14ac:dyDescent="0.25">
      <c r="A2194" s="222">
        <v>15</v>
      </c>
      <c r="B2194" s="71" t="s">
        <v>29</v>
      </c>
      <c r="C2194" s="39" t="s">
        <v>5753</v>
      </c>
      <c r="D2194" s="106" t="s">
        <v>803</v>
      </c>
      <c r="E2194" s="47">
        <v>46121</v>
      </c>
      <c r="F2194" s="31" t="str">
        <f>VLOOKUP($C2194,Carpetas!$C$5:$M$2666,2,FALSE)</f>
        <v>BRB034-26</v>
      </c>
      <c r="G2194" s="23" t="str">
        <f>VLOOKUP($C2194,Carpetas!$C$5:$M$2666,10,FALSE)</f>
        <v>155,39,61</v>
      </c>
      <c r="H2194" s="27" t="str">
        <f>VLOOKUP($C2194,Carpetas!$C$5:$M$2666,6,FALSE)</f>
        <v>FG</v>
      </c>
      <c r="I2194" s="27" t="str">
        <f>VLOOKUP($C2194,Carpetas!$C$5:$M$2666,3,FALSE)</f>
        <v>Etimex</v>
      </c>
      <c r="J2194" s="47">
        <f t="shared" ref="J2194:J2203" si="156">E2194+2</f>
        <v>46123</v>
      </c>
      <c r="K2194" s="72" t="str">
        <f>VLOOKUP($C2194,Carpetas!$C$5:$M$2666,5,FALSE)</f>
        <v>Rio Branco</v>
      </c>
      <c r="L2194" s="32"/>
      <c r="M2194" s="48">
        <f t="shared" si="155"/>
        <v>46124</v>
      </c>
      <c r="N2194" s="26">
        <f t="shared" ref="N2194:N2257" si="157">IF(E2194&lt;&gt;"",M2194-E2194,"-")</f>
        <v>3</v>
      </c>
      <c r="O2194" s="27">
        <v>1008</v>
      </c>
      <c r="P2194" s="27">
        <v>1008</v>
      </c>
      <c r="Q2194" s="27">
        <v>28</v>
      </c>
      <c r="R2194" s="27">
        <v>26</v>
      </c>
      <c r="S2194" s="27" t="s">
        <v>1370</v>
      </c>
      <c r="T2194" s="27"/>
      <c r="U2194" s="27">
        <v>1484</v>
      </c>
      <c r="V2194" s="27" t="s">
        <v>911</v>
      </c>
      <c r="W2194" s="27" t="s">
        <v>912</v>
      </c>
      <c r="X2194" s="128"/>
      <c r="Y2194" s="73" t="e">
        <f>VLOOKUP(X2194,Choferes!$B$3:C458,2,FALSE)</f>
        <v>#N/A</v>
      </c>
      <c r="Z2194" s="73" t="s">
        <v>5792</v>
      </c>
    </row>
    <row r="2195" spans="1:26" ht="30" hidden="1" x14ac:dyDescent="0.25">
      <c r="A2195" s="222">
        <v>15</v>
      </c>
      <c r="B2195" s="71" t="s">
        <v>29</v>
      </c>
      <c r="C2195" s="39" t="s">
        <v>5779</v>
      </c>
      <c r="D2195" s="106" t="s">
        <v>5765</v>
      </c>
      <c r="E2195" s="47">
        <v>46122</v>
      </c>
      <c r="F2195" s="31" t="str">
        <f>VLOOKUP($C2195,Carpetas!$C$5:$M$2666,2,FALSE)</f>
        <v>BRB036-26</v>
      </c>
      <c r="G2195" s="23">
        <f>VLOOKUP($C2195,Carpetas!$C$5:$M$2666,10,FALSE)</f>
        <v>1554969</v>
      </c>
      <c r="H2195" s="27" t="str">
        <f>VLOOKUP($C2195,Carpetas!$C$5:$M$2666,6,FALSE)</f>
        <v>Chabat</v>
      </c>
      <c r="I2195" s="27" t="str">
        <f>VLOOKUP($C2195,Carpetas!$C$5:$M$2666,3,FALSE)</f>
        <v>Etimex</v>
      </c>
      <c r="J2195" s="47">
        <f t="shared" si="156"/>
        <v>46124</v>
      </c>
      <c r="K2195" s="72" t="str">
        <f>VLOOKUP($C2195,Carpetas!$C$5:$M$2666,5,FALSE)</f>
        <v>Rio Branco</v>
      </c>
      <c r="L2195" s="32"/>
      <c r="M2195" s="48">
        <f t="shared" si="155"/>
        <v>46125</v>
      </c>
      <c r="N2195" s="26">
        <f t="shared" si="157"/>
        <v>3</v>
      </c>
      <c r="O2195" s="27">
        <v>1008</v>
      </c>
      <c r="P2195" s="27">
        <v>1008</v>
      </c>
      <c r="Q2195" s="27">
        <v>28</v>
      </c>
      <c r="R2195" s="27">
        <v>26</v>
      </c>
      <c r="S2195" s="27" t="s">
        <v>5793</v>
      </c>
      <c r="T2195" s="27"/>
      <c r="U2195" s="27">
        <v>2537</v>
      </c>
      <c r="V2195" s="27" t="s">
        <v>5794</v>
      </c>
      <c r="W2195" s="27" t="s">
        <v>4635</v>
      </c>
      <c r="X2195" s="128"/>
      <c r="Y2195" s="73" t="e">
        <f>VLOOKUP(X2195,Choferes!$B$3:C453,2,FALSE)</f>
        <v>#N/A</v>
      </c>
      <c r="Z2195" s="73" t="s">
        <v>5795</v>
      </c>
    </row>
    <row r="2196" spans="1:26" hidden="1" x14ac:dyDescent="0.25">
      <c r="A2196" s="222">
        <v>15</v>
      </c>
      <c r="B2196" s="71" t="s">
        <v>29</v>
      </c>
      <c r="C2196" s="39" t="s">
        <v>5779</v>
      </c>
      <c r="D2196" s="106" t="s">
        <v>5746</v>
      </c>
      <c r="E2196" s="47">
        <v>46122</v>
      </c>
      <c r="F2196" s="31" t="str">
        <f>VLOOKUP($C2196,Carpetas!$C$5:$M$2666,2,FALSE)</f>
        <v>BRB036-26</v>
      </c>
      <c r="G2196" s="23">
        <f>VLOOKUP($C2196,Carpetas!$C$5:$M$2666,10,FALSE)</f>
        <v>1554969</v>
      </c>
      <c r="H2196" s="27" t="str">
        <f>VLOOKUP($C2196,Carpetas!$C$5:$M$2666,6,FALSE)</f>
        <v>Chabat</v>
      </c>
      <c r="I2196" s="27" t="str">
        <f>VLOOKUP($C2196,Carpetas!$C$5:$M$2666,3,FALSE)</f>
        <v>Etimex</v>
      </c>
      <c r="J2196" s="47">
        <f t="shared" si="156"/>
        <v>46124</v>
      </c>
      <c r="K2196" s="72" t="str">
        <f>VLOOKUP($C2196,Carpetas!$C$5:$M$2666,5,FALSE)</f>
        <v>Rio Branco</v>
      </c>
      <c r="L2196" s="32"/>
      <c r="M2196" s="48">
        <f t="shared" si="155"/>
        <v>46125</v>
      </c>
      <c r="N2196" s="26">
        <f t="shared" si="157"/>
        <v>3</v>
      </c>
      <c r="O2196" s="27">
        <v>1008</v>
      </c>
      <c r="P2196" s="27">
        <v>1008</v>
      </c>
      <c r="Q2196" s="27">
        <v>28</v>
      </c>
      <c r="R2196" s="27">
        <v>26</v>
      </c>
      <c r="S2196" s="27" t="s">
        <v>5796</v>
      </c>
      <c r="T2196" s="27"/>
      <c r="U2196" s="27">
        <v>2538</v>
      </c>
      <c r="V2196" s="27" t="s">
        <v>5759</v>
      </c>
      <c r="W2196" s="27" t="s">
        <v>4277</v>
      </c>
      <c r="X2196" s="128"/>
      <c r="Y2196" s="73" t="e">
        <f>VLOOKUP(X2196,Choferes!$B$3:C454,2,FALSE)</f>
        <v>#N/A</v>
      </c>
      <c r="Z2196" s="73" t="s">
        <v>5795</v>
      </c>
    </row>
    <row r="2197" spans="1:26" hidden="1" x14ac:dyDescent="0.25">
      <c r="A2197" s="222">
        <v>15</v>
      </c>
      <c r="B2197" s="71" t="s">
        <v>29</v>
      </c>
      <c r="C2197" s="39" t="s">
        <v>5779</v>
      </c>
      <c r="D2197" s="106" t="s">
        <v>5507</v>
      </c>
      <c r="E2197" s="47">
        <v>46122</v>
      </c>
      <c r="F2197" s="31" t="str">
        <f>VLOOKUP($C2197,Carpetas!$C$5:$M$2666,2,FALSE)</f>
        <v>BRB036-26</v>
      </c>
      <c r="G2197" s="23">
        <f>VLOOKUP($C2197,Carpetas!$C$5:$M$2666,10,FALSE)</f>
        <v>1554969</v>
      </c>
      <c r="H2197" s="27" t="str">
        <f>VLOOKUP($C2197,Carpetas!$C$5:$M$2666,6,FALSE)</f>
        <v>Chabat</v>
      </c>
      <c r="I2197" s="27" t="str">
        <f>VLOOKUP($C2197,Carpetas!$C$5:$M$2666,3,FALSE)</f>
        <v>Etimex</v>
      </c>
      <c r="J2197" s="47">
        <f t="shared" si="156"/>
        <v>46124</v>
      </c>
      <c r="K2197" s="72" t="str">
        <f>VLOOKUP($C2197,Carpetas!$C$5:$M$2666,5,FALSE)</f>
        <v>Rio Branco</v>
      </c>
      <c r="L2197" s="32"/>
      <c r="M2197" s="48">
        <f t="shared" si="155"/>
        <v>46125</v>
      </c>
      <c r="N2197" s="26">
        <f t="shared" si="157"/>
        <v>3</v>
      </c>
      <c r="O2197" s="27">
        <v>1008</v>
      </c>
      <c r="P2197" s="27">
        <v>1008</v>
      </c>
      <c r="Q2197" s="27">
        <v>28</v>
      </c>
      <c r="R2197" s="27">
        <v>26</v>
      </c>
      <c r="S2197" s="27" t="s">
        <v>5797</v>
      </c>
      <c r="T2197" s="27"/>
      <c r="U2197" s="27">
        <v>2539</v>
      </c>
      <c r="V2197" s="27" t="s">
        <v>5767</v>
      </c>
      <c r="W2197" s="27" t="s">
        <v>4223</v>
      </c>
      <c r="X2197" s="128"/>
      <c r="Y2197" s="73" t="e">
        <f>VLOOKUP(X2197,Choferes!$B$3:C455,2,FALSE)</f>
        <v>#N/A</v>
      </c>
      <c r="Z2197" s="73" t="s">
        <v>5795</v>
      </c>
    </row>
    <row r="2198" spans="1:26" hidden="1" x14ac:dyDescent="0.25">
      <c r="A2198" s="222">
        <v>15</v>
      </c>
      <c r="B2198" s="71" t="s">
        <v>29</v>
      </c>
      <c r="C2198" s="39" t="s">
        <v>5753</v>
      </c>
      <c r="D2198" s="106" t="s">
        <v>803</v>
      </c>
      <c r="E2198" s="47">
        <v>46122</v>
      </c>
      <c r="F2198" s="31" t="str">
        <f>VLOOKUP($C2198,Carpetas!$C$5:$M$2666,2,FALSE)</f>
        <v>BRB034-26</v>
      </c>
      <c r="G2198" s="23" t="str">
        <f>VLOOKUP($C2198,Carpetas!$C$5:$M$2666,10,FALSE)</f>
        <v>155,39,61</v>
      </c>
      <c r="H2198" s="27" t="str">
        <f>VLOOKUP($C2198,Carpetas!$C$5:$M$2666,6,FALSE)</f>
        <v>FG</v>
      </c>
      <c r="I2198" s="27" t="str">
        <f>VLOOKUP($C2198,Carpetas!$C$5:$M$2666,3,FALSE)</f>
        <v>Etimex</v>
      </c>
      <c r="J2198" s="47">
        <f t="shared" si="156"/>
        <v>46124</v>
      </c>
      <c r="K2198" s="72" t="str">
        <f>VLOOKUP($C2198,Carpetas!$C$5:$M$2666,5,FALSE)</f>
        <v>Rio Branco</v>
      </c>
      <c r="L2198" s="32"/>
      <c r="M2198" s="48">
        <f t="shared" si="155"/>
        <v>46125</v>
      </c>
      <c r="N2198" s="26">
        <f t="shared" si="157"/>
        <v>3</v>
      </c>
      <c r="O2198" s="27">
        <v>1008</v>
      </c>
      <c r="P2198" s="27">
        <v>1008</v>
      </c>
      <c r="Q2198" s="27">
        <v>28</v>
      </c>
      <c r="R2198" s="27">
        <v>26</v>
      </c>
      <c r="S2198" s="27" t="s">
        <v>1375</v>
      </c>
      <c r="T2198" s="27"/>
      <c r="U2198" s="27">
        <v>1490</v>
      </c>
      <c r="V2198" s="27" t="s">
        <v>1722</v>
      </c>
      <c r="W2198" s="27" t="s">
        <v>1723</v>
      </c>
      <c r="X2198" s="128"/>
      <c r="Y2198" s="73" t="e">
        <f>VLOOKUP(X2198,Choferes!$B$3:C459,2,FALSE)</f>
        <v>#N/A</v>
      </c>
      <c r="Z2198" s="73" t="s">
        <v>5795</v>
      </c>
    </row>
    <row r="2199" spans="1:26" hidden="1" x14ac:dyDescent="0.25">
      <c r="A2199" s="222">
        <v>15</v>
      </c>
      <c r="B2199" s="71" t="s">
        <v>29</v>
      </c>
      <c r="C2199" s="39" t="s">
        <v>5732</v>
      </c>
      <c r="D2199" s="106" t="s">
        <v>2474</v>
      </c>
      <c r="E2199" s="47">
        <v>46122</v>
      </c>
      <c r="F2199" s="31" t="str">
        <f>VLOOKUP($C2199,Carpetas!$C$5:$M$2666,2,FALSE)</f>
        <v>BRB032-26</v>
      </c>
      <c r="G2199" s="23" t="str">
        <f>VLOOKUP($C2199,Carpetas!$C$5:$M$2666,10,FALSE)</f>
        <v>155.36.94</v>
      </c>
      <c r="H2199" s="27" t="str">
        <f>VLOOKUP($C2199,Carpetas!$C$5:$M$2666,6,FALSE)</f>
        <v>Amaro</v>
      </c>
      <c r="I2199" s="27" t="str">
        <f>VLOOKUP($C2199,Carpetas!$C$5:$M$2666,3,FALSE)</f>
        <v>Etimex</v>
      </c>
      <c r="J2199" s="47">
        <f t="shared" si="156"/>
        <v>46124</v>
      </c>
      <c r="K2199" s="72" t="str">
        <f>VLOOKUP($C2199,Carpetas!$C$5:$M$2666,5,FALSE)</f>
        <v>Rio Branco</v>
      </c>
      <c r="L2199" s="32"/>
      <c r="M2199" s="48">
        <f t="shared" si="155"/>
        <v>46125</v>
      </c>
      <c r="N2199" s="26">
        <f t="shared" si="157"/>
        <v>3</v>
      </c>
      <c r="O2199" s="27">
        <v>1008</v>
      </c>
      <c r="P2199" s="27">
        <v>1008</v>
      </c>
      <c r="Q2199" s="27">
        <v>28</v>
      </c>
      <c r="R2199" s="27">
        <v>26</v>
      </c>
      <c r="S2199" s="27" t="s">
        <v>5798</v>
      </c>
      <c r="T2199" s="27"/>
      <c r="U2199" s="27">
        <v>28376</v>
      </c>
      <c r="V2199" s="27" t="s">
        <v>5799</v>
      </c>
      <c r="W2199" s="27" t="s">
        <v>5800</v>
      </c>
      <c r="X2199" s="128"/>
      <c r="Y2199" s="73" t="e">
        <f>VLOOKUP(X2199,Choferes!$B$3:C459,2,FALSE)</f>
        <v>#N/A</v>
      </c>
      <c r="Z2199" s="73" t="s">
        <v>5795</v>
      </c>
    </row>
    <row r="2200" spans="1:26" hidden="1" x14ac:dyDescent="0.25">
      <c r="A2200" s="222">
        <v>15</v>
      </c>
      <c r="B2200" s="71" t="s">
        <v>29</v>
      </c>
      <c r="C2200" s="39" t="s">
        <v>5732</v>
      </c>
      <c r="D2200" s="106" t="s">
        <v>110</v>
      </c>
      <c r="E2200" s="47">
        <v>46122</v>
      </c>
      <c r="F2200" s="31" t="str">
        <f>VLOOKUP($C2200,Carpetas!$C$5:$M$2666,2,FALSE)</f>
        <v>BRB032-26</v>
      </c>
      <c r="G2200" s="23" t="str">
        <f>VLOOKUP($C2200,Carpetas!$C$5:$M$2666,10,FALSE)</f>
        <v>155.36.94</v>
      </c>
      <c r="H2200" s="27" t="str">
        <f>VLOOKUP($C2200,Carpetas!$C$5:$M$2666,6,FALSE)</f>
        <v>Amaro</v>
      </c>
      <c r="I2200" s="27" t="str">
        <f>VLOOKUP($C2200,Carpetas!$C$5:$M$2666,3,FALSE)</f>
        <v>Etimex</v>
      </c>
      <c r="J2200" s="47">
        <f t="shared" si="156"/>
        <v>46124</v>
      </c>
      <c r="K2200" s="72" t="str">
        <f>VLOOKUP($C2200,Carpetas!$C$5:$M$2666,5,FALSE)</f>
        <v>Rio Branco</v>
      </c>
      <c r="L2200" s="32"/>
      <c r="M2200" s="48">
        <f t="shared" si="155"/>
        <v>46125</v>
      </c>
      <c r="N2200" s="26">
        <f t="shared" si="157"/>
        <v>3</v>
      </c>
      <c r="O2200" s="27">
        <v>1008</v>
      </c>
      <c r="P2200" s="27">
        <v>1009</v>
      </c>
      <c r="Q2200" s="27">
        <v>28</v>
      </c>
      <c r="R2200" s="27">
        <v>26</v>
      </c>
      <c r="S2200" s="27" t="s">
        <v>1239</v>
      </c>
      <c r="T2200" s="27"/>
      <c r="U2200" s="27">
        <v>28375</v>
      </c>
      <c r="V2200" s="27" t="s">
        <v>5801</v>
      </c>
      <c r="W2200" s="27" t="s">
        <v>997</v>
      </c>
      <c r="X2200" s="128"/>
      <c r="Y2200" s="73" t="e">
        <f>VLOOKUP(X2200,Choferes!$B$3:C460,2,FALSE)</f>
        <v>#N/A</v>
      </c>
      <c r="Z2200" s="73" t="s">
        <v>5802</v>
      </c>
    </row>
    <row r="2201" spans="1:26" hidden="1" x14ac:dyDescent="0.25">
      <c r="A2201" s="222">
        <v>15</v>
      </c>
      <c r="B2201" s="71" t="s">
        <v>29</v>
      </c>
      <c r="C2201" s="39" t="s">
        <v>5803</v>
      </c>
      <c r="D2201" s="106" t="s">
        <v>2202</v>
      </c>
      <c r="E2201" s="47">
        <v>46122</v>
      </c>
      <c r="F2201" s="31" t="str">
        <f>VLOOKUP($C2201,Carpetas!$C$5:$M$2666,2,FALSE)</f>
        <v>BRB037-26</v>
      </c>
      <c r="G2201" s="23" t="str">
        <f>VLOOKUP($C2201,Carpetas!$C$5:$M$2666,10,FALSE)</f>
        <v>155,52,48</v>
      </c>
      <c r="H2201" s="27" t="str">
        <f>VLOOKUP($C2201,Carpetas!$C$5:$M$2666,6,FALSE)</f>
        <v>AXT</v>
      </c>
      <c r="I2201" s="27" t="str">
        <f>VLOOKUP($C2201,Carpetas!$C$5:$M$2666,3,FALSE)</f>
        <v>A&amp;A</v>
      </c>
      <c r="J2201" s="47">
        <f t="shared" si="156"/>
        <v>46124</v>
      </c>
      <c r="K2201" s="72" t="str">
        <f>VLOOKUP($C2201,Carpetas!$C$5:$M$2666,5,FALSE)</f>
        <v>Chuy</v>
      </c>
      <c r="L2201" s="32"/>
      <c r="M2201" s="48">
        <f t="shared" si="155"/>
        <v>46125</v>
      </c>
      <c r="N2201" s="26">
        <f t="shared" si="157"/>
        <v>3</v>
      </c>
      <c r="O2201" s="27">
        <v>936</v>
      </c>
      <c r="P2201" s="27">
        <v>936</v>
      </c>
      <c r="Q2201" s="27">
        <v>26</v>
      </c>
      <c r="R2201" s="27">
        <v>25</v>
      </c>
      <c r="S2201" s="27" t="s">
        <v>4961</v>
      </c>
      <c r="T2201" s="27"/>
      <c r="U2201" s="27"/>
      <c r="V2201" s="27" t="s">
        <v>5691</v>
      </c>
      <c r="W2201" s="27" t="s">
        <v>5606</v>
      </c>
      <c r="X2201" s="128"/>
      <c r="Y2201" s="73" t="e">
        <f>VLOOKUP(X2201,Choferes!$B$3:C462,2,FALSE)</f>
        <v>#N/A</v>
      </c>
      <c r="Z2201" s="73" t="s">
        <v>5804</v>
      </c>
    </row>
    <row r="2202" spans="1:26" hidden="1" x14ac:dyDescent="0.25">
      <c r="A2202" s="222">
        <v>15</v>
      </c>
      <c r="B2202" s="71" t="s">
        <v>29</v>
      </c>
      <c r="C2202" s="39" t="s">
        <v>5753</v>
      </c>
      <c r="D2202" s="106" t="s">
        <v>249</v>
      </c>
      <c r="E2202" s="47">
        <v>46123</v>
      </c>
      <c r="F2202" s="31" t="str">
        <f>VLOOKUP($C2202,Carpetas!$C$5:$M$2666,2,FALSE)</f>
        <v>BRB034-26</v>
      </c>
      <c r="G2202" s="23" t="str">
        <f>VLOOKUP($C2202,Carpetas!$C$5:$M$2666,10,FALSE)</f>
        <v>155,39,61</v>
      </c>
      <c r="H2202" s="27" t="str">
        <f>VLOOKUP($C2202,Carpetas!$C$5:$M$2666,6,FALSE)</f>
        <v>FG</v>
      </c>
      <c r="I2202" s="27" t="str">
        <f>VLOOKUP($C2202,Carpetas!$C$5:$M$2666,3,FALSE)</f>
        <v>Etimex</v>
      </c>
      <c r="J2202" s="47">
        <f t="shared" si="156"/>
        <v>46125</v>
      </c>
      <c r="K2202" s="72" t="str">
        <f>VLOOKUP($C2202,Carpetas!$C$5:$M$2666,5,FALSE)</f>
        <v>Rio Branco</v>
      </c>
      <c r="L2202" s="32"/>
      <c r="M2202" s="48">
        <f t="shared" si="155"/>
        <v>46126</v>
      </c>
      <c r="N2202" s="26">
        <f t="shared" si="157"/>
        <v>3</v>
      </c>
      <c r="O2202" s="27">
        <v>1008</v>
      </c>
      <c r="P2202" s="27">
        <v>1008</v>
      </c>
      <c r="Q2202" s="27">
        <v>28</v>
      </c>
      <c r="R2202" s="27">
        <v>26</v>
      </c>
      <c r="S2202" s="27" t="s">
        <v>1894</v>
      </c>
      <c r="T2202" s="27"/>
      <c r="U2202" s="27">
        <v>1489</v>
      </c>
      <c r="V2202" s="27" t="s">
        <v>1430</v>
      </c>
      <c r="W2202" s="27" t="s">
        <v>5449</v>
      </c>
      <c r="X2202" s="128"/>
      <c r="Y2202" s="73" t="e">
        <f>VLOOKUP(X2202,Choferes!$B$3:C461,2,FALSE)</f>
        <v>#N/A</v>
      </c>
      <c r="Z2202" s="73" t="s">
        <v>5795</v>
      </c>
    </row>
    <row r="2203" spans="1:26" hidden="1" x14ac:dyDescent="0.25">
      <c r="A2203" s="222">
        <v>15</v>
      </c>
      <c r="B2203" s="71" t="s">
        <v>29</v>
      </c>
      <c r="C2203" s="39" t="s">
        <v>5803</v>
      </c>
      <c r="D2203" s="106" t="s">
        <v>2202</v>
      </c>
      <c r="E2203" s="47">
        <v>46123</v>
      </c>
      <c r="F2203" s="31" t="str">
        <f>VLOOKUP($C2203,Carpetas!$C$5:$M$2666,2,FALSE)</f>
        <v>BRB037-26</v>
      </c>
      <c r="G2203" s="23" t="str">
        <f>VLOOKUP($C2203,Carpetas!$C$5:$M$2666,10,FALSE)</f>
        <v>155,52,48</v>
      </c>
      <c r="H2203" s="27" t="str">
        <f>VLOOKUP($C2203,Carpetas!$C$5:$M$2666,6,FALSE)</f>
        <v>AXT</v>
      </c>
      <c r="I2203" s="27" t="str">
        <f>VLOOKUP($C2203,Carpetas!$C$5:$M$2666,3,FALSE)</f>
        <v>A&amp;A</v>
      </c>
      <c r="J2203" s="47">
        <f t="shared" si="156"/>
        <v>46125</v>
      </c>
      <c r="K2203" s="72" t="str">
        <f>VLOOKUP($C2203,Carpetas!$C$5:$M$2666,5,FALSE)</f>
        <v>Chuy</v>
      </c>
      <c r="L2203" s="32"/>
      <c r="M2203" s="48">
        <f t="shared" si="155"/>
        <v>46126</v>
      </c>
      <c r="N2203" s="26">
        <f t="shared" si="157"/>
        <v>3</v>
      </c>
      <c r="O2203" s="27">
        <v>936</v>
      </c>
      <c r="P2203" s="27">
        <v>937</v>
      </c>
      <c r="Q2203" s="27">
        <v>26</v>
      </c>
      <c r="R2203" s="27">
        <v>25</v>
      </c>
      <c r="S2203" s="27" t="s">
        <v>5805</v>
      </c>
      <c r="T2203" s="27"/>
      <c r="U2203" s="27"/>
      <c r="V2203" s="27" t="s">
        <v>5806</v>
      </c>
      <c r="W2203" s="27" t="s">
        <v>4071</v>
      </c>
      <c r="X2203" s="128"/>
      <c r="Y2203" s="73" t="e">
        <f>VLOOKUP(X2203,Choferes!$B$3:C459,2,FALSE)</f>
        <v>#N/A</v>
      </c>
      <c r="Z2203" s="73" t="s">
        <v>5807</v>
      </c>
    </row>
    <row r="2204" spans="1:26" hidden="1" x14ac:dyDescent="0.25">
      <c r="A2204" s="222">
        <v>15</v>
      </c>
      <c r="B2204" s="71" t="s">
        <v>29</v>
      </c>
      <c r="C2204" s="39" t="s">
        <v>5808</v>
      </c>
      <c r="D2204" s="106" t="s">
        <v>38</v>
      </c>
      <c r="E2204" s="47">
        <v>46123</v>
      </c>
      <c r="F2204" s="31" t="str">
        <f>VLOOKUP($C2204,Carpetas!$C$5:$M$2666,2,FALSE)</f>
        <v>BRE018-26</v>
      </c>
      <c r="G2204" s="23">
        <f>VLOOKUP($C2204,Carpetas!$C$5:$M$2666,10,FALSE)</f>
        <v>0</v>
      </c>
      <c r="H2204" s="27" t="str">
        <f>VLOOKUP($C2204,Carpetas!$C$5:$M$2666,6,FALSE)</f>
        <v xml:space="preserve">Silvio </v>
      </c>
      <c r="I2204" s="27" t="str">
        <f>VLOOKUP($C2204,Carpetas!$C$5:$M$2666,3,FALSE)</f>
        <v>Jaguacy</v>
      </c>
      <c r="J2204" s="47">
        <v>46125</v>
      </c>
      <c r="K2204" s="72" t="str">
        <f>VLOOKUP($C2204,Carpetas!$C$5:$M$2666,5,FALSE)</f>
        <v>Rio Branco</v>
      </c>
      <c r="L2204" s="32"/>
      <c r="M2204" s="48">
        <f>J2204+1+1</f>
        <v>46127</v>
      </c>
      <c r="N2204" s="26">
        <f t="shared" si="157"/>
        <v>4</v>
      </c>
      <c r="O2204" s="27">
        <v>2304</v>
      </c>
      <c r="P2204" s="27">
        <v>2304</v>
      </c>
      <c r="Q2204" s="27">
        <v>24</v>
      </c>
      <c r="R2204" s="27"/>
      <c r="S2204" s="27" t="s">
        <v>5809</v>
      </c>
      <c r="T2204" s="27"/>
      <c r="U2204" s="27">
        <v>7739</v>
      </c>
      <c r="V2204" s="27" t="s">
        <v>3039</v>
      </c>
      <c r="W2204" s="27" t="s">
        <v>3040</v>
      </c>
      <c r="X2204" s="128"/>
      <c r="Y2204" s="73" t="e">
        <f>VLOOKUP(X2204,Choferes!$B$3:C460,2,FALSE)</f>
        <v>#N/A</v>
      </c>
      <c r="Z2204" s="73" t="s">
        <v>5810</v>
      </c>
    </row>
    <row r="2205" spans="1:26" hidden="1" x14ac:dyDescent="0.25">
      <c r="A2205" s="222">
        <v>16</v>
      </c>
      <c r="B2205" s="71" t="s">
        <v>29</v>
      </c>
      <c r="C2205" s="39" t="s">
        <v>5811</v>
      </c>
      <c r="D2205" s="106" t="s">
        <v>2202</v>
      </c>
      <c r="E2205" s="47">
        <v>46126</v>
      </c>
      <c r="F2205" s="31" t="str">
        <f>VLOOKUP($C2205,Carpetas!$C$5:$M$2666,2,FALSE)</f>
        <v>BRB038-26</v>
      </c>
      <c r="G2205" s="23" t="str">
        <f>VLOOKUP($C2205,Carpetas!$C$5:$M$2666,10,FALSE)</f>
        <v>155,55,48</v>
      </c>
      <c r="H2205" s="27" t="str">
        <f>VLOOKUP($C2205,Carpetas!$C$5:$M$2666,6,FALSE)</f>
        <v>FG</v>
      </c>
      <c r="I2205" s="27" t="str">
        <f>VLOOKUP($C2205,Carpetas!$C$5:$M$2666,3,FALSE)</f>
        <v>Etimex</v>
      </c>
      <c r="J2205" s="47">
        <f t="shared" ref="J2205:J2212" si="158">E2205+2</f>
        <v>46128</v>
      </c>
      <c r="K2205" s="72" t="str">
        <f>VLOOKUP($C2205,Carpetas!$C$5:$M$2666,5,FALSE)</f>
        <v>Rio Branco</v>
      </c>
      <c r="L2205" s="32"/>
      <c r="M2205" s="48">
        <f t="shared" ref="M2205:M2214" si="159">J2205+1</f>
        <v>46129</v>
      </c>
      <c r="N2205" s="26">
        <f t="shared" si="157"/>
        <v>3</v>
      </c>
      <c r="O2205" s="27">
        <v>1008</v>
      </c>
      <c r="P2205" s="27">
        <v>1008</v>
      </c>
      <c r="Q2205" s="27">
        <v>28</v>
      </c>
      <c r="R2205" s="27">
        <v>26</v>
      </c>
      <c r="S2205" s="27" t="s">
        <v>4981</v>
      </c>
      <c r="T2205" s="27"/>
      <c r="U2205" s="27">
        <v>1494</v>
      </c>
      <c r="V2205" s="27" t="s">
        <v>3411</v>
      </c>
      <c r="W2205" s="27" t="s">
        <v>5398</v>
      </c>
      <c r="X2205" s="128"/>
      <c r="Y2205" s="73" t="e">
        <f>VLOOKUP(X2205,Choferes!$B$3:C442,2,FALSE)</f>
        <v>#N/A</v>
      </c>
      <c r="Z2205" s="73" t="s">
        <v>5812</v>
      </c>
    </row>
    <row r="2206" spans="1:26" hidden="1" x14ac:dyDescent="0.25">
      <c r="A2206" s="222">
        <v>16</v>
      </c>
      <c r="B2206" s="71" t="s">
        <v>298</v>
      </c>
      <c r="C2206" s="39" t="s">
        <v>299</v>
      </c>
      <c r="D2206" s="106" t="s">
        <v>249</v>
      </c>
      <c r="E2206" s="47">
        <v>46126</v>
      </c>
      <c r="F2206" s="31" t="str">
        <f>VLOOKUP($C2206,Carpetas!$C$5:$M$2666,2,FALSE)</f>
        <v>BRB</v>
      </c>
      <c r="G2206" s="23" t="e">
        <f>VLOOKUP($C2206,Carpetas!$C$5:$M$2666,9,FALSE)</f>
        <v>#REF!</v>
      </c>
      <c r="H2206" s="27" t="str">
        <f>VLOOKUP($C2206,Carpetas!$C$5:$M$2666,5,FALSE)</f>
        <v>xx</v>
      </c>
      <c r="I2206" s="27" t="str">
        <f>VLOOKUP($C2206,Carpetas!$C$5:$M$2666,3,FALSE)</f>
        <v>xx</v>
      </c>
      <c r="J2206" s="47">
        <f t="shared" si="158"/>
        <v>46128</v>
      </c>
      <c r="K2206" s="72">
        <f>VLOOKUP($C2206,Carpetas!$C$5:$M$2666,4,FALSE)</f>
        <v>0</v>
      </c>
      <c r="L2206" s="32"/>
      <c r="M2206" s="48">
        <f t="shared" si="159"/>
        <v>46129</v>
      </c>
      <c r="N2206" s="26">
        <f t="shared" si="157"/>
        <v>3</v>
      </c>
      <c r="O2206" s="27">
        <v>1008</v>
      </c>
      <c r="P2206" s="27"/>
      <c r="Q2206" s="27"/>
      <c r="R2206" s="27"/>
      <c r="S2206" s="27"/>
      <c r="T2206" s="27"/>
      <c r="U2206" s="27">
        <v>7739</v>
      </c>
      <c r="V2206" s="27" t="s">
        <v>3039</v>
      </c>
      <c r="W2206" s="27" t="s">
        <v>3040</v>
      </c>
      <c r="X2206" s="128"/>
      <c r="Y2206" s="73" t="e">
        <f>VLOOKUP(X2206,Choferes!$B$3:C443,2,FALSE)</f>
        <v>#N/A</v>
      </c>
      <c r="Z2206" s="73" t="s">
        <v>5813</v>
      </c>
    </row>
    <row r="2207" spans="1:26" hidden="1" x14ac:dyDescent="0.25">
      <c r="A2207" s="222">
        <v>16</v>
      </c>
      <c r="B2207" s="71" t="s">
        <v>29</v>
      </c>
      <c r="C2207" s="39" t="s">
        <v>5732</v>
      </c>
      <c r="D2207" s="106" t="s">
        <v>5640</v>
      </c>
      <c r="E2207" s="47">
        <v>46126</v>
      </c>
      <c r="F2207" s="31" t="str">
        <f>VLOOKUP($C2207,Carpetas!$C$5:$M$2666,2,FALSE)</f>
        <v>BRB032-26</v>
      </c>
      <c r="G2207" s="23" t="str">
        <f>VLOOKUP($C2207,Carpetas!$C$5:$M$2666,10,FALSE)</f>
        <v>155.36.94</v>
      </c>
      <c r="H2207" s="27" t="str">
        <f>VLOOKUP($C2207,Carpetas!$C$5:$M$2666,6,FALSE)</f>
        <v>Amaro</v>
      </c>
      <c r="I2207" s="27" t="str">
        <f>VLOOKUP($C2207,Carpetas!$C$5:$M$2666,3,FALSE)</f>
        <v>Etimex</v>
      </c>
      <c r="J2207" s="47">
        <f t="shared" si="158"/>
        <v>46128</v>
      </c>
      <c r="K2207" s="72" t="str">
        <f>VLOOKUP($C2207,Carpetas!$C$5:$M$2666,5,FALSE)</f>
        <v>Rio Branco</v>
      </c>
      <c r="L2207" s="32"/>
      <c r="M2207" s="48">
        <f t="shared" si="159"/>
        <v>46129</v>
      </c>
      <c r="N2207" s="26">
        <f t="shared" si="157"/>
        <v>3</v>
      </c>
      <c r="O2207" s="27">
        <v>1008</v>
      </c>
      <c r="P2207" s="27">
        <v>1008</v>
      </c>
      <c r="Q2207" s="27">
        <v>28</v>
      </c>
      <c r="R2207" s="27">
        <v>26</v>
      </c>
      <c r="S2207" s="27" t="s">
        <v>5814</v>
      </c>
      <c r="T2207" s="27"/>
      <c r="U2207" s="27">
        <v>28407</v>
      </c>
      <c r="V2207" s="27" t="s">
        <v>5815</v>
      </c>
      <c r="W2207" s="27" t="s">
        <v>5816</v>
      </c>
      <c r="X2207" s="128"/>
      <c r="Y2207" s="73" t="e">
        <f>VLOOKUP(X2207,Choferes!$B$3:C444,2,FALSE)</f>
        <v>#N/A</v>
      </c>
      <c r="Z2207" s="73" t="s">
        <v>5812</v>
      </c>
    </row>
    <row r="2208" spans="1:26" hidden="1" x14ac:dyDescent="0.25">
      <c r="A2208" s="222">
        <v>16</v>
      </c>
      <c r="B2208" s="71" t="s">
        <v>29</v>
      </c>
      <c r="C2208" s="39" t="s">
        <v>5811</v>
      </c>
      <c r="D2208" s="106" t="s">
        <v>2202</v>
      </c>
      <c r="E2208" s="47">
        <v>46127</v>
      </c>
      <c r="F2208" s="31" t="str">
        <f>VLOOKUP($C2208,Carpetas!$C$5:$M$2666,2,FALSE)</f>
        <v>BRB038-26</v>
      </c>
      <c r="G2208" s="23" t="str">
        <f>VLOOKUP($C2208,Carpetas!$C$5:$M$2666,10,FALSE)</f>
        <v>155,55,48</v>
      </c>
      <c r="H2208" s="27" t="str">
        <f>VLOOKUP($C2208,Carpetas!$C$5:$M$2666,6,FALSE)</f>
        <v>FG</v>
      </c>
      <c r="I2208" s="27" t="str">
        <f>VLOOKUP($C2208,Carpetas!$C$5:$M$2666,3,FALSE)</f>
        <v>Etimex</v>
      </c>
      <c r="J2208" s="47">
        <f t="shared" si="158"/>
        <v>46129</v>
      </c>
      <c r="K2208" s="72" t="str">
        <f>VLOOKUP($C2208,Carpetas!$C$5:$M$2666,5,FALSE)</f>
        <v>Rio Branco</v>
      </c>
      <c r="L2208" s="32"/>
      <c r="M2208" s="48">
        <f t="shared" si="159"/>
        <v>46130</v>
      </c>
      <c r="N2208" s="26">
        <f t="shared" si="157"/>
        <v>3</v>
      </c>
      <c r="O2208" s="27">
        <v>1008</v>
      </c>
      <c r="P2208" s="27">
        <v>1009</v>
      </c>
      <c r="Q2208" s="27">
        <v>28</v>
      </c>
      <c r="R2208" s="27">
        <v>26</v>
      </c>
      <c r="S2208" s="27" t="s">
        <v>5003</v>
      </c>
      <c r="T2208" s="27"/>
      <c r="U2208" s="27">
        <v>1497</v>
      </c>
      <c r="V2208" s="27" t="s">
        <v>5817</v>
      </c>
      <c r="W2208" s="27" t="s">
        <v>5318</v>
      </c>
      <c r="X2208" s="128"/>
      <c r="Y2208" s="73" t="e">
        <f>VLOOKUP(X2208,Choferes!$B$3:C445,2,FALSE)</f>
        <v>#N/A</v>
      </c>
      <c r="Z2208" s="73" t="s">
        <v>5818</v>
      </c>
    </row>
    <row r="2209" spans="1:26" hidden="1" x14ac:dyDescent="0.25">
      <c r="A2209" s="222">
        <v>16</v>
      </c>
      <c r="B2209" s="71" t="s">
        <v>29</v>
      </c>
      <c r="C2209" s="39" t="s">
        <v>5811</v>
      </c>
      <c r="D2209" s="106" t="s">
        <v>110</v>
      </c>
      <c r="E2209" s="47">
        <v>46127</v>
      </c>
      <c r="F2209" s="31" t="str">
        <f>VLOOKUP($C2209,Carpetas!$C$5:$M$2666,2,FALSE)</f>
        <v>BRB038-26</v>
      </c>
      <c r="G2209" s="23" t="str">
        <f>VLOOKUP($C2209,Carpetas!$C$5:$M$2666,10,FALSE)</f>
        <v>155,55,48</v>
      </c>
      <c r="H2209" s="27" t="str">
        <f>VLOOKUP($C2209,Carpetas!$C$5:$M$2666,6,FALSE)</f>
        <v>FG</v>
      </c>
      <c r="I2209" s="27" t="str">
        <f>VLOOKUP($C2209,Carpetas!$C$5:$M$2666,3,FALSE)</f>
        <v>Etimex</v>
      </c>
      <c r="J2209" s="47">
        <f t="shared" si="158"/>
        <v>46129</v>
      </c>
      <c r="K2209" s="72" t="str">
        <f>VLOOKUP($C2209,Carpetas!$C$5:$M$2666,5,FALSE)</f>
        <v>Rio Branco</v>
      </c>
      <c r="L2209" s="32"/>
      <c r="M2209" s="48">
        <f t="shared" si="159"/>
        <v>46130</v>
      </c>
      <c r="N2209" s="26">
        <f t="shared" si="157"/>
        <v>3</v>
      </c>
      <c r="O2209" s="27">
        <v>1008</v>
      </c>
      <c r="P2209" s="27">
        <v>1009</v>
      </c>
      <c r="Q2209" s="27">
        <v>28</v>
      </c>
      <c r="R2209" s="27">
        <v>26</v>
      </c>
      <c r="S2209" s="27" t="s">
        <v>1298</v>
      </c>
      <c r="T2209" s="27"/>
      <c r="U2209" s="27">
        <v>1498</v>
      </c>
      <c r="V2209" s="27" t="s">
        <v>3669</v>
      </c>
      <c r="W2209" s="27" t="s">
        <v>912</v>
      </c>
      <c r="X2209" s="128"/>
      <c r="Y2209" s="73" t="e">
        <f>VLOOKUP(X2209,Choferes!$B$3:C447,2,FALSE)</f>
        <v>#N/A</v>
      </c>
      <c r="Z2209" s="73" t="s">
        <v>5819</v>
      </c>
    </row>
    <row r="2210" spans="1:26" ht="30" hidden="1" x14ac:dyDescent="0.25">
      <c r="A2210" s="222">
        <v>16</v>
      </c>
      <c r="B2210" s="71" t="s">
        <v>29</v>
      </c>
      <c r="C2210" s="39" t="s">
        <v>5779</v>
      </c>
      <c r="D2210" s="106" t="s">
        <v>3124</v>
      </c>
      <c r="E2210" s="47">
        <v>46127</v>
      </c>
      <c r="F2210" s="31" t="str">
        <f>VLOOKUP($C2210,Carpetas!$C$5:$M$2666,2,FALSE)</f>
        <v>BRB036-26</v>
      </c>
      <c r="G2210" s="23">
        <f>VLOOKUP($C2210,Carpetas!$C$5:$M$2666,10,FALSE)</f>
        <v>1554969</v>
      </c>
      <c r="H2210" s="27" t="str">
        <f>VLOOKUP($C2210,Carpetas!$C$5:$M$2666,6,FALSE)</f>
        <v>Chabat</v>
      </c>
      <c r="I2210" s="27" t="str">
        <f>VLOOKUP($C2210,Carpetas!$C$5:$M$2666,3,FALSE)</f>
        <v>Etimex</v>
      </c>
      <c r="J2210" s="47">
        <f t="shared" si="158"/>
        <v>46129</v>
      </c>
      <c r="K2210" s="72" t="str">
        <f>VLOOKUP($C2210,Carpetas!$C$5:$M$2666,5,FALSE)</f>
        <v>Rio Branco</v>
      </c>
      <c r="L2210" s="32"/>
      <c r="M2210" s="48">
        <f t="shared" si="159"/>
        <v>46130</v>
      </c>
      <c r="N2210" s="26">
        <f t="shared" si="157"/>
        <v>3</v>
      </c>
      <c r="O2210" s="27">
        <v>1008</v>
      </c>
      <c r="P2210" s="27">
        <v>1008</v>
      </c>
      <c r="Q2210" s="27">
        <v>28</v>
      </c>
      <c r="R2210" s="27">
        <v>26</v>
      </c>
      <c r="S2210" s="27" t="s">
        <v>5820</v>
      </c>
      <c r="T2210" s="27"/>
      <c r="U2210" s="27">
        <v>2540</v>
      </c>
      <c r="V2210" s="27" t="s">
        <v>4129</v>
      </c>
      <c r="W2210" s="27" t="s">
        <v>4283</v>
      </c>
      <c r="X2210" s="128"/>
      <c r="Y2210" s="73" t="e">
        <f>VLOOKUP(X2210,Choferes!$B$3:C448,2,FALSE)</f>
        <v>#N/A</v>
      </c>
      <c r="Z2210" s="73" t="s">
        <v>5821</v>
      </c>
    </row>
    <row r="2211" spans="1:26" hidden="1" x14ac:dyDescent="0.25">
      <c r="A2211" s="222">
        <v>16</v>
      </c>
      <c r="B2211" s="71" t="s">
        <v>29</v>
      </c>
      <c r="C2211" s="39" t="s">
        <v>5779</v>
      </c>
      <c r="D2211" s="106" t="s">
        <v>5780</v>
      </c>
      <c r="E2211" s="47">
        <v>46127</v>
      </c>
      <c r="F2211" s="31" t="str">
        <f>VLOOKUP($C2211,Carpetas!$C$5:$M$2666,2,FALSE)</f>
        <v>BRB036-26</v>
      </c>
      <c r="G2211" s="23">
        <f>VLOOKUP($C2211,Carpetas!$C$5:$M$2666,10,FALSE)</f>
        <v>1554969</v>
      </c>
      <c r="H2211" s="27" t="str">
        <f>VLOOKUP($C2211,Carpetas!$C$5:$M$2666,6,FALSE)</f>
        <v>Chabat</v>
      </c>
      <c r="I2211" s="27" t="str">
        <f>VLOOKUP($C2211,Carpetas!$C$5:$M$2666,3,FALSE)</f>
        <v>Etimex</v>
      </c>
      <c r="J2211" s="47">
        <f t="shared" si="158"/>
        <v>46129</v>
      </c>
      <c r="K2211" s="72" t="str">
        <f>VLOOKUP($C2211,Carpetas!$C$5:$M$2666,5,FALSE)</f>
        <v>Rio Branco</v>
      </c>
      <c r="L2211" s="32"/>
      <c r="M2211" s="48">
        <f t="shared" si="159"/>
        <v>46130</v>
      </c>
      <c r="N2211" s="26">
        <f t="shared" si="157"/>
        <v>3</v>
      </c>
      <c r="O2211" s="27">
        <v>1008</v>
      </c>
      <c r="P2211" s="27">
        <v>1008</v>
      </c>
      <c r="Q2211" s="27">
        <v>28</v>
      </c>
      <c r="R2211" s="27">
        <v>26</v>
      </c>
      <c r="S2211" s="27" t="s">
        <v>5822</v>
      </c>
      <c r="T2211" s="27"/>
      <c r="U2211" s="27">
        <v>2542</v>
      </c>
      <c r="V2211" s="27" t="s">
        <v>1617</v>
      </c>
      <c r="W2211" s="27" t="s">
        <v>1618</v>
      </c>
      <c r="X2211" s="128"/>
      <c r="Y2211" s="73" t="e">
        <f>VLOOKUP(X2211,Choferes!$B$3:C449,2,FALSE)</f>
        <v>#N/A</v>
      </c>
      <c r="Z2211" s="73" t="s">
        <v>5823</v>
      </c>
    </row>
    <row r="2212" spans="1:26" ht="30" hidden="1" x14ac:dyDescent="0.25">
      <c r="A2212" s="222">
        <v>16</v>
      </c>
      <c r="B2212" s="71" t="s">
        <v>29</v>
      </c>
      <c r="C2212" s="39" t="s">
        <v>5779</v>
      </c>
      <c r="D2212" s="106" t="s">
        <v>5757</v>
      </c>
      <c r="E2212" s="47">
        <v>46127</v>
      </c>
      <c r="F2212" s="31" t="str">
        <f>VLOOKUP($C2212,Carpetas!$C$5:$M$2666,2,FALSE)</f>
        <v>BRB036-26</v>
      </c>
      <c r="G2212" s="23">
        <f>VLOOKUP($C2212,Carpetas!$C$5:$M$2666,10,FALSE)</f>
        <v>1554969</v>
      </c>
      <c r="H2212" s="27" t="str">
        <f>VLOOKUP($C2212,Carpetas!$C$5:$M$2666,6,FALSE)</f>
        <v>Chabat</v>
      </c>
      <c r="I2212" s="27" t="str">
        <f>VLOOKUP($C2212,Carpetas!$C$5:$M$2666,3,FALSE)</f>
        <v>Etimex</v>
      </c>
      <c r="J2212" s="47">
        <f t="shared" si="158"/>
        <v>46129</v>
      </c>
      <c r="K2212" s="72" t="str">
        <f>VLOOKUP($C2212,Carpetas!$C$5:$M$2666,5,FALSE)</f>
        <v>Rio Branco</v>
      </c>
      <c r="L2212" s="72" t="str">
        <f>VLOOKUP($C2212,Carpetas!$C$5:$M$2666,4,FALSE)</f>
        <v>Banana</v>
      </c>
      <c r="M2212" s="48">
        <f t="shared" si="159"/>
        <v>46130</v>
      </c>
      <c r="N2212" s="26">
        <f t="shared" si="157"/>
        <v>3</v>
      </c>
      <c r="O2212" s="27">
        <v>1008</v>
      </c>
      <c r="P2212" s="27">
        <v>1008</v>
      </c>
      <c r="Q2212" s="27">
        <v>28</v>
      </c>
      <c r="R2212" s="27">
        <v>24</v>
      </c>
      <c r="S2212" s="27" t="s">
        <v>5824</v>
      </c>
      <c r="T2212" s="27"/>
      <c r="U2212" s="27">
        <v>2541</v>
      </c>
      <c r="V2212" s="27" t="s">
        <v>1649</v>
      </c>
      <c r="W2212" s="27" t="s">
        <v>1650</v>
      </c>
      <c r="X2212" s="128"/>
      <c r="Y2212" s="73" t="e">
        <f>VLOOKUP(X2212,Choferes!$B$3:C450,2,FALSE)</f>
        <v>#N/A</v>
      </c>
      <c r="Z2212" s="73" t="s">
        <v>5821</v>
      </c>
    </row>
    <row r="2213" spans="1:26" hidden="1" x14ac:dyDescent="0.25">
      <c r="A2213" s="222">
        <v>16</v>
      </c>
      <c r="B2213" s="71" t="s">
        <v>29</v>
      </c>
      <c r="C2213" s="39" t="s">
        <v>5811</v>
      </c>
      <c r="D2213" s="106" t="s">
        <v>2474</v>
      </c>
      <c r="E2213" s="47">
        <v>46127</v>
      </c>
      <c r="F2213" s="31" t="str">
        <f>VLOOKUP($C2213,Carpetas!$C$5:$M$2666,2,FALSE)</f>
        <v>BRB038-26</v>
      </c>
      <c r="G2213" s="23" t="str">
        <f>VLOOKUP($C2213,Carpetas!$C$5:$M$2666,10,FALSE)</f>
        <v>155,55,48</v>
      </c>
      <c r="H2213" s="27" t="str">
        <f>VLOOKUP($C2213,Carpetas!$C$5:$M$2666,6,FALSE)</f>
        <v>FG</v>
      </c>
      <c r="I2213" s="27" t="str">
        <f>VLOOKUP($C2213,Carpetas!$C$5:$M$2666,3,FALSE)</f>
        <v>Etimex</v>
      </c>
      <c r="J2213" s="47">
        <f>E2213+2+1</f>
        <v>46130</v>
      </c>
      <c r="K2213" s="72" t="str">
        <f>VLOOKUP($C2213,Carpetas!$C$5:$M$2666,5,FALSE)</f>
        <v>Rio Branco</v>
      </c>
      <c r="L2213" s="72" t="str">
        <f>VLOOKUP($C2213,Carpetas!$C$5:$M$2666,4,FALSE)</f>
        <v>Banana</v>
      </c>
      <c r="M2213" s="48">
        <f t="shared" si="159"/>
        <v>46131</v>
      </c>
      <c r="N2213" s="26">
        <f t="shared" si="157"/>
        <v>4</v>
      </c>
      <c r="O2213" s="27">
        <v>1008</v>
      </c>
      <c r="P2213" s="27">
        <v>1008</v>
      </c>
      <c r="Q2213" s="27">
        <v>28</v>
      </c>
      <c r="R2213" s="27">
        <v>26</v>
      </c>
      <c r="S2213" s="27" t="s">
        <v>3766</v>
      </c>
      <c r="T2213" s="27"/>
      <c r="U2213" s="27">
        <v>1499</v>
      </c>
      <c r="V2213" s="27" t="s">
        <v>1636</v>
      </c>
      <c r="W2213" s="27" t="s">
        <v>3818</v>
      </c>
      <c r="X2213" s="128"/>
      <c r="Y2213" s="73" t="e">
        <f>VLOOKUP(X2213,Choferes!$B$3:C446,2,FALSE)</f>
        <v>#N/A</v>
      </c>
      <c r="Z2213" s="73" t="s">
        <v>5825</v>
      </c>
    </row>
    <row r="2214" spans="1:26" hidden="1" x14ac:dyDescent="0.25">
      <c r="A2214" s="222">
        <v>16</v>
      </c>
      <c r="B2214" s="71" t="s">
        <v>29</v>
      </c>
      <c r="C2214" s="39" t="s">
        <v>5811</v>
      </c>
      <c r="D2214" s="106" t="s">
        <v>249</v>
      </c>
      <c r="E2214" s="47">
        <v>46128</v>
      </c>
      <c r="F2214" s="31" t="str">
        <f>VLOOKUP($C2214,Carpetas!$C$5:$M$2666,2,FALSE)</f>
        <v>BRB038-26</v>
      </c>
      <c r="G2214" s="23" t="str">
        <f>VLOOKUP($C2214,Carpetas!$C$5:$M$2666,10,FALSE)</f>
        <v>155,55,48</v>
      </c>
      <c r="H2214" s="27" t="str">
        <f>VLOOKUP($C2214,Carpetas!$C$5:$M$2666,6,FALSE)</f>
        <v>FG</v>
      </c>
      <c r="I2214" s="27" t="str">
        <f>VLOOKUP($C2214,Carpetas!$C$5:$M$2666,3,FALSE)</f>
        <v>Etimex</v>
      </c>
      <c r="J2214" s="47">
        <f>E2214+2</f>
        <v>46130</v>
      </c>
      <c r="K2214" s="72" t="str">
        <f>VLOOKUP($C2214,Carpetas!$C$5:$M$2666,5,FALSE)</f>
        <v>Rio Branco</v>
      </c>
      <c r="L2214" s="72" t="str">
        <f>VLOOKUP($C2214,Carpetas!$C$5:$M$2666,4,FALSE)</f>
        <v>Banana</v>
      </c>
      <c r="M2214" s="48">
        <f t="shared" si="159"/>
        <v>46131</v>
      </c>
      <c r="N2214" s="26">
        <f t="shared" si="157"/>
        <v>3</v>
      </c>
      <c r="O2214" s="27">
        <v>1008</v>
      </c>
      <c r="P2214" s="27">
        <v>1008</v>
      </c>
      <c r="Q2214" s="27">
        <v>28</v>
      </c>
      <c r="R2214" s="27">
        <v>26</v>
      </c>
      <c r="S2214" s="27" t="s">
        <v>1990</v>
      </c>
      <c r="T2214" s="27"/>
      <c r="U2214" s="27">
        <v>1500</v>
      </c>
      <c r="V2214" s="27" t="s">
        <v>5317</v>
      </c>
      <c r="W2214" s="27" t="s">
        <v>1627</v>
      </c>
      <c r="X2214" s="128"/>
      <c r="Y2214" s="73" t="e">
        <f>VLOOKUP(X2214,Choferes!$B$3:C453,2,FALSE)</f>
        <v>#N/A</v>
      </c>
      <c r="Z2214" s="73" t="s">
        <v>5825</v>
      </c>
    </row>
    <row r="2215" spans="1:26" hidden="1" x14ac:dyDescent="0.25">
      <c r="A2215" s="222">
        <v>16</v>
      </c>
      <c r="B2215" s="71" t="s">
        <v>29</v>
      </c>
      <c r="C2215" s="39" t="s">
        <v>5608</v>
      </c>
      <c r="D2215" s="106" t="s">
        <v>42</v>
      </c>
      <c r="E2215" s="47">
        <v>46129</v>
      </c>
      <c r="F2215" s="31" t="str">
        <f>VLOOKUP($C2215,Carpetas!$C$5:$M$2666,2,FALSE)</f>
        <v>PYB018/26</v>
      </c>
      <c r="G2215" s="23" t="str">
        <f>VLOOKUP($C2215,Carpetas!$C$5:$M$2666,10,FALSE)</f>
        <v>155.09.93</v>
      </c>
      <c r="H2215" s="27" t="str">
        <f>VLOOKUP($C2215,Carpetas!$C$5:$M$2666,6,FALSE)</f>
        <v>Surcentral</v>
      </c>
      <c r="I2215" s="27" t="str">
        <f>VLOOKUP($C2215,Carpetas!$C$5:$M$2666,3,FALSE)</f>
        <v>Servi Fel</v>
      </c>
      <c r="J2215" s="47">
        <v>46130</v>
      </c>
      <c r="K2215" s="72" t="str">
        <f>VLOOKUP($C2215,Carpetas!$C$5:$M$2666,5,FALSE)</f>
        <v>Salto</v>
      </c>
      <c r="L2215" s="72">
        <f>VLOOKUP($C2215,Carpetas!$C$5:$M$2666,4,FALSE)</f>
        <v>0</v>
      </c>
      <c r="M2215" s="48">
        <v>46132</v>
      </c>
      <c r="N2215" s="26">
        <f t="shared" si="157"/>
        <v>3</v>
      </c>
      <c r="O2215" s="27">
        <v>1005</v>
      </c>
      <c r="P2215" s="27"/>
      <c r="Q2215" s="27"/>
      <c r="R2215" s="27"/>
      <c r="S2215" s="27" t="s">
        <v>5826</v>
      </c>
      <c r="T2215" s="27"/>
      <c r="U2215" s="27"/>
      <c r="V2215" s="27"/>
      <c r="W2215" s="27"/>
      <c r="X2215" s="128"/>
      <c r="Y2215" s="73" t="e">
        <f>VLOOKUP(X2215,Choferes!$B$3:C459,2,FALSE)</f>
        <v>#N/A</v>
      </c>
      <c r="Z2215" s="73"/>
    </row>
    <row r="2216" spans="1:26" hidden="1" x14ac:dyDescent="0.25">
      <c r="A2216" s="222">
        <v>16</v>
      </c>
      <c r="B2216" s="71" t="s">
        <v>298</v>
      </c>
      <c r="C2216" s="39" t="s">
        <v>299</v>
      </c>
      <c r="D2216" s="106" t="s">
        <v>110</v>
      </c>
      <c r="E2216" s="47">
        <v>46129</v>
      </c>
      <c r="F2216" s="31" t="str">
        <f>VLOOKUP($C2216,Carpetas!$C$5:$M$2666,2,FALSE)</f>
        <v>BRB</v>
      </c>
      <c r="G2216" s="23" t="e">
        <f>VLOOKUP($C2216,Carpetas!$C$5:$M$2666,9,FALSE)</f>
        <v>#REF!</v>
      </c>
      <c r="H2216" s="27" t="str">
        <f>VLOOKUP($C2216,Carpetas!$C$5:$M$2666,5,FALSE)</f>
        <v>xx</v>
      </c>
      <c r="I2216" s="27" t="str">
        <f>VLOOKUP($C2216,Carpetas!$C$5:$M$2666,3,FALSE)</f>
        <v>xx</v>
      </c>
      <c r="J2216" s="47">
        <f>E2216+2</f>
        <v>46131</v>
      </c>
      <c r="K2216" s="72">
        <f>VLOOKUP($C2216,Carpetas!$C$5:$M$2666,4,FALSE)</f>
        <v>0</v>
      </c>
      <c r="L2216" s="32"/>
      <c r="M2216" s="48">
        <f>J2216+1</f>
        <v>46132</v>
      </c>
      <c r="N2216" s="26">
        <f t="shared" si="157"/>
        <v>3</v>
      </c>
      <c r="O2216" s="27">
        <v>1008</v>
      </c>
      <c r="P2216" s="27"/>
      <c r="Q2216" s="27"/>
      <c r="R2216" s="27"/>
      <c r="S2216" s="27"/>
      <c r="T2216" s="27"/>
      <c r="U2216" s="27"/>
      <c r="V2216" s="27"/>
      <c r="W2216" s="27"/>
      <c r="X2216" s="128"/>
      <c r="Y2216" s="73" t="e">
        <f>VLOOKUP(X2216,Choferes!$B$3:C454,2,FALSE)</f>
        <v>#N/A</v>
      </c>
      <c r="Z2216" s="73"/>
    </row>
    <row r="2217" spans="1:26" hidden="1" x14ac:dyDescent="0.25">
      <c r="A2217" s="222">
        <v>16</v>
      </c>
      <c r="B2217" s="71" t="s">
        <v>298</v>
      </c>
      <c r="C2217" s="39" t="s">
        <v>299</v>
      </c>
      <c r="D2217" s="106" t="s">
        <v>803</v>
      </c>
      <c r="E2217" s="47">
        <v>46130</v>
      </c>
      <c r="F2217" s="31" t="str">
        <f>VLOOKUP($C2217,Carpetas!$C$5:$M$2666,2,FALSE)</f>
        <v>BRB</v>
      </c>
      <c r="G2217" s="23" t="e">
        <f>VLOOKUP($C2217,Carpetas!$C$5:$M$2666,9,FALSE)</f>
        <v>#REF!</v>
      </c>
      <c r="H2217" s="27" t="str">
        <f>VLOOKUP($C2217,Carpetas!$C$5:$M$2666,5,FALSE)</f>
        <v>xx</v>
      </c>
      <c r="I2217" s="27" t="str">
        <f>VLOOKUP($C2217,Carpetas!$C$5:$M$2666,3,FALSE)</f>
        <v>xx</v>
      </c>
      <c r="J2217" s="47">
        <f>E2217+2</f>
        <v>46132</v>
      </c>
      <c r="K2217" s="72">
        <f>VLOOKUP($C2217,Carpetas!$C$5:$M$2666,4,FALSE)</f>
        <v>0</v>
      </c>
      <c r="L2217" s="32"/>
      <c r="M2217" s="48">
        <f>J2217+1</f>
        <v>46133</v>
      </c>
      <c r="N2217" s="26">
        <f t="shared" si="157"/>
        <v>3</v>
      </c>
      <c r="O2217" s="27">
        <v>1008</v>
      </c>
      <c r="P2217" s="27"/>
      <c r="Q2217" s="27"/>
      <c r="R2217" s="27"/>
      <c r="S2217" s="27"/>
      <c r="T2217" s="27"/>
      <c r="U2217" s="27"/>
      <c r="V2217" s="27"/>
      <c r="W2217" s="27"/>
      <c r="X2217" s="128"/>
      <c r="Y2217" s="73" t="e">
        <f>VLOOKUP(X2217,Choferes!$B$3:C459,2,FALSE)</f>
        <v>#N/A</v>
      </c>
      <c r="Z2217" s="73"/>
    </row>
    <row r="2218" spans="1:26" hidden="1" x14ac:dyDescent="0.25">
      <c r="A2218" s="222">
        <v>16</v>
      </c>
      <c r="B2218" s="71" t="s">
        <v>29</v>
      </c>
      <c r="C2218" s="39" t="s">
        <v>5803</v>
      </c>
      <c r="D2218" s="106" t="s">
        <v>2202</v>
      </c>
      <c r="E2218" s="47">
        <v>46129</v>
      </c>
      <c r="F2218" s="31" t="str">
        <f>VLOOKUP($C2218,Carpetas!$C$5:$M$2666,2,FALSE)</f>
        <v>BRB037-26</v>
      </c>
      <c r="G2218" s="23" t="str">
        <f>VLOOKUP($C2218,Carpetas!$C$5:$M$2666,10,FALSE)</f>
        <v>155,52,48</v>
      </c>
      <c r="H2218" s="27" t="str">
        <f>VLOOKUP($C2218,Carpetas!$C$5:$M$2666,6,FALSE)</f>
        <v>AXT</v>
      </c>
      <c r="I2218" s="27" t="str">
        <f>VLOOKUP($C2218,Carpetas!$C$5:$M$2666,3,FALSE)</f>
        <v>A&amp;A</v>
      </c>
      <c r="J2218" s="47">
        <v>46132</v>
      </c>
      <c r="K2218" s="72" t="str">
        <f>VLOOKUP($C2218,Carpetas!$C$5:$M$2666,5,FALSE)</f>
        <v>Chuy</v>
      </c>
      <c r="L2218" s="72" t="str">
        <f>VLOOKUP($C2218,Carpetas!$C$5:$M$2666,4,FALSE)</f>
        <v>Banana</v>
      </c>
      <c r="M2218" s="48">
        <v>46135</v>
      </c>
      <c r="N2218" s="26">
        <f t="shared" si="157"/>
        <v>6</v>
      </c>
      <c r="O2218" s="27">
        <v>936</v>
      </c>
      <c r="P2218" s="27">
        <v>937</v>
      </c>
      <c r="Q2218" s="27">
        <v>26</v>
      </c>
      <c r="R2218" s="27">
        <v>25</v>
      </c>
      <c r="S2218" s="27" t="s">
        <v>5011</v>
      </c>
      <c r="T2218" s="27"/>
      <c r="U2218" s="27"/>
      <c r="V2218" s="27" t="s">
        <v>5460</v>
      </c>
      <c r="W2218" s="27" t="s">
        <v>5461</v>
      </c>
      <c r="X2218" s="128"/>
      <c r="Y2218" s="73" t="e">
        <f>VLOOKUP(X2218,Choferes!$B$3:C451,2,FALSE)</f>
        <v>#N/A</v>
      </c>
      <c r="Z2218" s="73" t="s">
        <v>5827</v>
      </c>
    </row>
    <row r="2219" spans="1:26" hidden="1" x14ac:dyDescent="0.25">
      <c r="A2219" s="222">
        <v>16</v>
      </c>
      <c r="B2219" s="71" t="s">
        <v>29</v>
      </c>
      <c r="C2219" s="39" t="s">
        <v>5803</v>
      </c>
      <c r="D2219" s="106" t="s">
        <v>2202</v>
      </c>
      <c r="E2219" s="47">
        <v>46130</v>
      </c>
      <c r="F2219" s="31" t="str">
        <f>VLOOKUP($C2219,Carpetas!$C$5:$M$2666,2,FALSE)</f>
        <v>BRB037-26</v>
      </c>
      <c r="G2219" s="23" t="str">
        <f>VLOOKUP($C2219,Carpetas!$C$5:$M$2666,10,FALSE)</f>
        <v>155,52,48</v>
      </c>
      <c r="H2219" s="27" t="str">
        <f>VLOOKUP($C2219,Carpetas!$C$5:$M$2666,6,FALSE)</f>
        <v>AXT</v>
      </c>
      <c r="I2219" s="27" t="str">
        <f>VLOOKUP($C2219,Carpetas!$C$5:$M$2666,3,FALSE)</f>
        <v>A&amp;A</v>
      </c>
      <c r="J2219" s="47">
        <f>E2219+2</f>
        <v>46132</v>
      </c>
      <c r="K2219" s="72" t="str">
        <f>VLOOKUP($C2219,Carpetas!$C$5:$M$2666,5,FALSE)</f>
        <v>Chuy</v>
      </c>
      <c r="L2219" s="72" t="str">
        <f>VLOOKUP($C2219,Carpetas!$C$5:$M$2666,4,FALSE)</f>
        <v>Banana</v>
      </c>
      <c r="M2219" s="48">
        <v>46135</v>
      </c>
      <c r="N2219" s="26">
        <f t="shared" si="157"/>
        <v>5</v>
      </c>
      <c r="O2219" s="27">
        <v>936</v>
      </c>
      <c r="P2219" s="27">
        <v>937</v>
      </c>
      <c r="Q2219" s="27">
        <v>26</v>
      </c>
      <c r="R2219" s="27">
        <v>25</v>
      </c>
      <c r="S2219" s="27" t="s">
        <v>5023</v>
      </c>
      <c r="T2219" s="27"/>
      <c r="U2219" s="27"/>
      <c r="V2219" s="27" t="s">
        <v>5483</v>
      </c>
      <c r="W2219" s="27" t="s">
        <v>5484</v>
      </c>
      <c r="X2219" s="128"/>
      <c r="Y2219" s="73" t="e">
        <f>VLOOKUP(X2219,Choferes!$B$3:C458,2,FALSE)</f>
        <v>#N/A</v>
      </c>
      <c r="Z2219" s="73" t="s">
        <v>5828</v>
      </c>
    </row>
    <row r="2220" spans="1:26" hidden="1" x14ac:dyDescent="0.25">
      <c r="A2220" s="222">
        <v>16</v>
      </c>
      <c r="B2220" s="71" t="s">
        <v>29</v>
      </c>
      <c r="C2220" s="39" t="s">
        <v>5779</v>
      </c>
      <c r="D2220" s="106" t="s">
        <v>5746</v>
      </c>
      <c r="E2220" s="47">
        <v>46129</v>
      </c>
      <c r="F2220" s="31" t="str">
        <f>VLOOKUP($C2220,Carpetas!$C$5:$M$2666,2,FALSE)</f>
        <v>BRB036-26</v>
      </c>
      <c r="G2220" s="23">
        <f>VLOOKUP($C2220,Carpetas!$C$5:$M$2666,10,FALSE)</f>
        <v>1554969</v>
      </c>
      <c r="H2220" s="27" t="str">
        <f>VLOOKUP($C2220,Carpetas!$C$5:$M$2666,6,FALSE)</f>
        <v>Chabat</v>
      </c>
      <c r="I2220" s="27" t="str">
        <f>VLOOKUP($C2220,Carpetas!$C$5:$M$2666,3,FALSE)</f>
        <v>Etimex</v>
      </c>
      <c r="J2220" s="47">
        <v>46132</v>
      </c>
      <c r="K2220" s="72" t="str">
        <f>VLOOKUP($C2220,Carpetas!$C$5:$M$2666,5,FALSE)</f>
        <v>Rio Branco</v>
      </c>
      <c r="L2220" s="72" t="str">
        <f>VLOOKUP($C2220,Carpetas!$C$5:$M$2666,4,FALSE)</f>
        <v>Banana</v>
      </c>
      <c r="M2220" s="48">
        <v>46136</v>
      </c>
      <c r="N2220" s="26">
        <f t="shared" si="157"/>
        <v>7</v>
      </c>
      <c r="O2220" s="27">
        <v>1008</v>
      </c>
      <c r="P2220" s="27">
        <v>1008</v>
      </c>
      <c r="Q2220" s="27">
        <v>28</v>
      </c>
      <c r="R2220" s="27">
        <v>26</v>
      </c>
      <c r="S2220" s="27" t="s">
        <v>5829</v>
      </c>
      <c r="T2220" s="27"/>
      <c r="U2220" s="27">
        <v>2544</v>
      </c>
      <c r="V2220" s="27" t="s">
        <v>5767</v>
      </c>
      <c r="W2220" s="27" t="s">
        <v>4635</v>
      </c>
      <c r="X2220" s="128"/>
      <c r="Y2220" s="73" t="e">
        <f>VLOOKUP(X2220,Choferes!$B$3:C455,2,FALSE)</f>
        <v>#N/A</v>
      </c>
      <c r="Z2220" s="73" t="s">
        <v>5830</v>
      </c>
    </row>
    <row r="2221" spans="1:26" ht="30" hidden="1" x14ac:dyDescent="0.25">
      <c r="A2221" s="222">
        <v>16</v>
      </c>
      <c r="B2221" s="71" t="s">
        <v>29</v>
      </c>
      <c r="C2221" s="39" t="s">
        <v>5831</v>
      </c>
      <c r="D2221" s="106" t="s">
        <v>5765</v>
      </c>
      <c r="E2221" s="47">
        <v>46129</v>
      </c>
      <c r="F2221" s="31" t="str">
        <f>VLOOKUP($C2221,Carpetas!$C$5:$M$2666,2,FALSE)</f>
        <v>BRB039-26</v>
      </c>
      <c r="G2221" s="23" t="str">
        <f>VLOOKUP($C2221,Carpetas!$C$5:$M$2666,10,FALSE)</f>
        <v>155,36,94</v>
      </c>
      <c r="H2221" s="27" t="str">
        <f>VLOOKUP($C2221,Carpetas!$C$5:$M$2666,6,FALSE)</f>
        <v>Amaro</v>
      </c>
      <c r="I2221" s="27" t="str">
        <f>VLOOKUP($C2221,Carpetas!$C$5:$M$2666,3,FALSE)</f>
        <v>Etimex</v>
      </c>
      <c r="J2221" s="47">
        <v>46132</v>
      </c>
      <c r="K2221" s="72" t="str">
        <f>VLOOKUP($C2221,Carpetas!$C$5:$M$2666,5,FALSE)</f>
        <v>Rio Branco</v>
      </c>
      <c r="L2221" s="72" t="str">
        <f>VLOOKUP($C2221,Carpetas!$C$5:$M$2666,4,FALSE)</f>
        <v>Banana</v>
      </c>
      <c r="M2221" s="48">
        <v>46136</v>
      </c>
      <c r="N2221" s="26">
        <f t="shared" si="157"/>
        <v>7</v>
      </c>
      <c r="O2221" s="27">
        <v>1008</v>
      </c>
      <c r="P2221" s="27">
        <v>1008</v>
      </c>
      <c r="Q2221" s="27">
        <v>28</v>
      </c>
      <c r="R2221" s="27">
        <v>26</v>
      </c>
      <c r="S2221" s="27" t="s">
        <v>5832</v>
      </c>
      <c r="T2221" s="27"/>
      <c r="U2221" s="27">
        <v>28448</v>
      </c>
      <c r="V2221" s="27" t="s">
        <v>3641</v>
      </c>
      <c r="W2221" s="27" t="s">
        <v>3642</v>
      </c>
      <c r="X2221" s="128"/>
      <c r="Y2221" s="73" t="e">
        <f>VLOOKUP(X2221,Choferes!$B$3:C456,2,FALSE)</f>
        <v>#N/A</v>
      </c>
      <c r="Z2221" s="73" t="s">
        <v>5830</v>
      </c>
    </row>
    <row r="2222" spans="1:26" ht="30" hidden="1" x14ac:dyDescent="0.25">
      <c r="A2222" s="222">
        <v>16</v>
      </c>
      <c r="B2222" s="71" t="s">
        <v>29</v>
      </c>
      <c r="C2222" s="39" t="s">
        <v>5779</v>
      </c>
      <c r="D2222" s="106" t="s">
        <v>5757</v>
      </c>
      <c r="E2222" s="47">
        <v>46129</v>
      </c>
      <c r="F2222" s="31" t="str">
        <f>VLOOKUP($C2222,Carpetas!$C$5:$M$2666,2,FALSE)</f>
        <v>BRB036-26</v>
      </c>
      <c r="G2222" s="23">
        <f>VLOOKUP($C2222,Carpetas!$C$5:$M$2666,10,FALSE)</f>
        <v>1554969</v>
      </c>
      <c r="H2222" s="27" t="str">
        <f>VLOOKUP($C2222,Carpetas!$C$5:$M$2666,6,FALSE)</f>
        <v>Chabat</v>
      </c>
      <c r="I2222" s="27" t="str">
        <f>VLOOKUP($C2222,Carpetas!$C$5:$M$2666,3,FALSE)</f>
        <v>Etimex</v>
      </c>
      <c r="J2222" s="47">
        <v>46132</v>
      </c>
      <c r="K2222" s="72" t="str">
        <f>VLOOKUP($C2222,Carpetas!$C$5:$M$2666,5,FALSE)</f>
        <v>Rio Branco</v>
      </c>
      <c r="L2222" s="72" t="str">
        <f>VLOOKUP($C2222,Carpetas!$C$5:$M$2666,4,FALSE)</f>
        <v>Banana</v>
      </c>
      <c r="M2222" s="48">
        <v>46136</v>
      </c>
      <c r="N2222" s="26">
        <f t="shared" si="157"/>
        <v>7</v>
      </c>
      <c r="O2222" s="27">
        <v>1008</v>
      </c>
      <c r="P2222" s="27">
        <v>1008</v>
      </c>
      <c r="Q2222" s="27">
        <v>28</v>
      </c>
      <c r="R2222" s="27">
        <v>26</v>
      </c>
      <c r="S2222" s="27" t="s">
        <v>5833</v>
      </c>
      <c r="T2222" s="27"/>
      <c r="U2222" s="27">
        <v>2545</v>
      </c>
      <c r="V2222" s="27" t="s">
        <v>5759</v>
      </c>
      <c r="W2222" s="27" t="s">
        <v>4277</v>
      </c>
      <c r="X2222" s="128"/>
      <c r="Y2222" s="73" t="e">
        <f>VLOOKUP(X2222,Choferes!$B$3:C457,2,FALSE)</f>
        <v>#N/A</v>
      </c>
      <c r="Z2222" s="73" t="s">
        <v>5830</v>
      </c>
    </row>
    <row r="2223" spans="1:26" hidden="1" x14ac:dyDescent="0.25">
      <c r="A2223" s="222">
        <v>16</v>
      </c>
      <c r="B2223" s="71" t="s">
        <v>29</v>
      </c>
      <c r="C2223" s="39" t="s">
        <v>5834</v>
      </c>
      <c r="D2223" s="106" t="s">
        <v>38</v>
      </c>
      <c r="E2223" s="47">
        <v>46130</v>
      </c>
      <c r="F2223" s="31" t="str">
        <f>VLOOKUP($C2223,Carpetas!$C$5:$M$2666,2,FALSE)</f>
        <v>BRE019-26</v>
      </c>
      <c r="G2223" s="23" t="str">
        <f>VLOOKUP($C2223,Carpetas!$C$5:$M$2666,10,FALSE)</f>
        <v>1555890/Runaev 4036/00/01</v>
      </c>
      <c r="H2223" s="27" t="str">
        <f>VLOOKUP($C2223,Carpetas!$C$5:$M$2666,6,FALSE)</f>
        <v>Zanini</v>
      </c>
      <c r="I2223" s="27" t="str">
        <f>VLOOKUP($C2223,Carpetas!$C$5:$M$2666,3,FALSE)</f>
        <v>Etimex</v>
      </c>
      <c r="J2223" s="47">
        <f>E2223+2</f>
        <v>46132</v>
      </c>
      <c r="K2223" s="72" t="str">
        <f>VLOOKUP($C2223,Carpetas!$C$5:$M$2666,5,FALSE)</f>
        <v>Rio Branco</v>
      </c>
      <c r="L2223" s="72" t="str">
        <f>VLOOKUP($C2223,Carpetas!$C$5:$M$2666,4,FALSE)</f>
        <v>Maní y Banana</v>
      </c>
      <c r="M2223" s="48">
        <v>46136</v>
      </c>
      <c r="N2223" s="26">
        <f t="shared" si="157"/>
        <v>6</v>
      </c>
      <c r="O2223" s="27">
        <v>1120</v>
      </c>
      <c r="P2223" s="27">
        <v>1120</v>
      </c>
      <c r="Q2223" s="27">
        <v>26</v>
      </c>
      <c r="R2223" s="27">
        <v>25</v>
      </c>
      <c r="S2223" s="27" t="s">
        <v>3779</v>
      </c>
      <c r="T2223" s="27"/>
      <c r="U2223" s="27">
        <v>5973</v>
      </c>
      <c r="V2223" s="27" t="s">
        <v>2668</v>
      </c>
      <c r="W2223" s="27" t="s">
        <v>2669</v>
      </c>
      <c r="X2223" s="128"/>
      <c r="Y2223" s="73" t="e">
        <f>VLOOKUP(X2223,Choferes!$B$3:C452,2,FALSE)</f>
        <v>#N/A</v>
      </c>
      <c r="Z2223" s="73" t="s">
        <v>5835</v>
      </c>
    </row>
    <row r="2224" spans="1:26" ht="30" hidden="1" x14ac:dyDescent="0.25">
      <c r="A2224" s="222">
        <v>15</v>
      </c>
      <c r="B2224" s="71" t="s">
        <v>29</v>
      </c>
      <c r="C2224" s="39" t="s">
        <v>5836</v>
      </c>
      <c r="D2224" s="106" t="s">
        <v>38</v>
      </c>
      <c r="E2224" s="47">
        <v>46128</v>
      </c>
      <c r="F2224" s="31" t="str">
        <f>VLOOKUP($C2224,Carpetas!$C$5:$M$2666,2,FALSE)</f>
        <v>BRE021-26</v>
      </c>
      <c r="G2224" s="23">
        <f>VLOOKUP($C2224,Carpetas!$C$5:$M$2666,10,FALSE)</f>
        <v>1555712</v>
      </c>
      <c r="H2224" s="27" t="str">
        <f>VLOOKUP($C2224,Carpetas!$C$5:$M$2666,6,FALSE)</f>
        <v>Silvio</v>
      </c>
      <c r="I2224" s="27" t="str">
        <f>VLOOKUP($C2224,Carpetas!$C$5:$M$2666,3,FALSE)</f>
        <v>Etimex</v>
      </c>
      <c r="J2224" s="47">
        <f>E2224+5</f>
        <v>46133</v>
      </c>
      <c r="K2224" s="72" t="str">
        <f>VLOOKUP($C2224,Carpetas!$C$5:$M$2666,5,FALSE)</f>
        <v>Rio Branco</v>
      </c>
      <c r="L2224" s="72" t="str">
        <f>VLOOKUP($C2224,Carpetas!$C$5:$M$2666,4,FALSE)</f>
        <v>Jengibre y Curcuma</v>
      </c>
      <c r="M2224" s="48">
        <v>46136</v>
      </c>
      <c r="N2224" s="26">
        <f t="shared" si="157"/>
        <v>8</v>
      </c>
      <c r="O2224" s="27">
        <v>1529</v>
      </c>
      <c r="P2224" s="27">
        <v>1526</v>
      </c>
      <c r="Q2224" s="27">
        <v>28</v>
      </c>
      <c r="R2224" s="27"/>
      <c r="S2224" s="27"/>
      <c r="T2224" s="27"/>
      <c r="U2224" s="27">
        <v>7742</v>
      </c>
      <c r="V2224" s="27" t="s">
        <v>5181</v>
      </c>
      <c r="W2224" s="27" t="s">
        <v>5837</v>
      </c>
      <c r="X2224" s="128"/>
      <c r="Y2224" s="73" t="e">
        <f>VLOOKUP(X2224,Choferes!$B$3:C462,2,FALSE)</f>
        <v>#N/A</v>
      </c>
      <c r="Z2224" s="73" t="s">
        <v>5838</v>
      </c>
    </row>
    <row r="2225" spans="1:26" hidden="1" x14ac:dyDescent="0.25">
      <c r="A2225" s="222">
        <v>16</v>
      </c>
      <c r="B2225" s="71" t="s">
        <v>29</v>
      </c>
      <c r="C2225" s="39" t="s">
        <v>5839</v>
      </c>
      <c r="D2225" s="106" t="s">
        <v>5746</v>
      </c>
      <c r="E2225" s="47">
        <v>46133</v>
      </c>
      <c r="F2225" s="31" t="str">
        <f>VLOOKUP($C2225,Carpetas!$C$5:$M$2666,2,FALSE)</f>
        <v>BRB040-26</v>
      </c>
      <c r="G2225" s="23">
        <f>VLOOKUP($C2225,Carpetas!$C$5:$M$2666,10,FALSE)</f>
        <v>1556155</v>
      </c>
      <c r="H2225" s="27" t="str">
        <f>VLOOKUP($C2225,Carpetas!$C$5:$M$2666,6,FALSE)</f>
        <v>Chabat</v>
      </c>
      <c r="I2225" s="27" t="str">
        <f>VLOOKUP($C2225,Carpetas!$C$5:$M$2666,3,FALSE)</f>
        <v>Etimex</v>
      </c>
      <c r="J2225" s="47">
        <v>46134</v>
      </c>
      <c r="K2225" s="72" t="str">
        <f>VLOOKUP($C2225,Carpetas!$C$5:$M$2666,5,FALSE)</f>
        <v>Rio Branco</v>
      </c>
      <c r="L2225" s="72" t="str">
        <f>VLOOKUP($C2225,Carpetas!$C$5:$M$2666,4,FALSE)</f>
        <v>Banana</v>
      </c>
      <c r="M2225" s="48">
        <v>46136</v>
      </c>
      <c r="N2225" s="26">
        <f t="shared" si="157"/>
        <v>3</v>
      </c>
      <c r="O2225" s="27">
        <v>1008</v>
      </c>
      <c r="P2225" s="27">
        <v>28</v>
      </c>
      <c r="Q2225" s="27">
        <v>26</v>
      </c>
      <c r="R2225" s="27"/>
      <c r="S2225" s="27" t="s">
        <v>5840</v>
      </c>
      <c r="T2225" s="27"/>
      <c r="U2225" s="27">
        <v>2546</v>
      </c>
      <c r="V2225" s="27" t="s">
        <v>5403</v>
      </c>
      <c r="W2225" s="27" t="s">
        <v>4130</v>
      </c>
      <c r="X2225" s="128"/>
      <c r="Y2225" s="73" t="e">
        <f>VLOOKUP(X2225,Choferes!$B$3:C448,2,FALSE)</f>
        <v>#N/A</v>
      </c>
      <c r="Z2225" s="73" t="s">
        <v>5830</v>
      </c>
    </row>
    <row r="2226" spans="1:26" ht="16.5" hidden="1" customHeight="1" x14ac:dyDescent="0.25">
      <c r="A2226" s="222">
        <v>15</v>
      </c>
      <c r="B2226" s="71" t="s">
        <v>29</v>
      </c>
      <c r="C2226" s="39" t="s">
        <v>5841</v>
      </c>
      <c r="D2226" s="106" t="s">
        <v>38</v>
      </c>
      <c r="E2226" s="47">
        <v>46132</v>
      </c>
      <c r="F2226" s="31" t="str">
        <f>VLOOKUP($C2226,Carpetas!$C$5:$M$2666,2,FALSE)</f>
        <v>BRE022-26</v>
      </c>
      <c r="G2226" s="23" t="str">
        <f>VLOOKUP($C2226,Carpetas!$C$5:$M$2666,10,FALSE)</f>
        <v>15555735/1555736/1555734/15586090</v>
      </c>
      <c r="H2226" s="27" t="str">
        <f>VLOOKUP($C2226,Carpetas!$C$5:$M$2666,6,FALSE)</f>
        <v>VPN</v>
      </c>
      <c r="I2226" s="27" t="str">
        <f>VLOOKUP($C2226,Carpetas!$C$5:$M$2666,3,FALSE)</f>
        <v>Dom Basto</v>
      </c>
      <c r="J2226" s="47">
        <v>46135</v>
      </c>
      <c r="K2226" s="72" t="str">
        <f>VLOOKUP($C2226,Carpetas!$C$5:$M$2666,5,FALSE)</f>
        <v>Chuy</v>
      </c>
      <c r="L2226" s="72" t="str">
        <f>VLOOKUP($C2226,Carpetas!$C$5:$M$2666,4,FALSE)</f>
        <v>Mix</v>
      </c>
      <c r="M2226" s="48">
        <f>J2226+1</f>
        <v>46136</v>
      </c>
      <c r="N2226" s="26">
        <f t="shared" si="157"/>
        <v>4</v>
      </c>
      <c r="O2226" s="27">
        <v>1252</v>
      </c>
      <c r="P2226" s="27">
        <v>1302</v>
      </c>
      <c r="Q2226" s="27">
        <v>26</v>
      </c>
      <c r="R2226" s="27">
        <v>25</v>
      </c>
      <c r="S2226" s="27" t="s">
        <v>3769</v>
      </c>
      <c r="T2226" s="27"/>
      <c r="U2226" s="27"/>
      <c r="V2226" s="27"/>
      <c r="W2226" s="27"/>
      <c r="X2226" s="128"/>
      <c r="Y2226" s="73" t="e">
        <f>VLOOKUP(X2226,Choferes!$B$3:C447,2,FALSE)</f>
        <v>#N/A</v>
      </c>
      <c r="Z2226" s="73" t="s">
        <v>5842</v>
      </c>
    </row>
    <row r="2227" spans="1:26" hidden="1" x14ac:dyDescent="0.25">
      <c r="A2227" s="222">
        <v>16</v>
      </c>
      <c r="B2227" s="71" t="s">
        <v>29</v>
      </c>
      <c r="C2227" s="39" t="s">
        <v>5811</v>
      </c>
      <c r="D2227" s="106" t="s">
        <v>110</v>
      </c>
      <c r="E2227" s="47">
        <v>46133</v>
      </c>
      <c r="F2227" s="31" t="str">
        <f>VLOOKUP($C2227,Carpetas!$C$5:$M$2666,2,FALSE)</f>
        <v>BRB038-26</v>
      </c>
      <c r="G2227" s="23" t="str">
        <f>VLOOKUP($C2227,Carpetas!$C$5:$M$2666,10,FALSE)</f>
        <v>155,55,48</v>
      </c>
      <c r="H2227" s="27" t="str">
        <f>VLOOKUP($C2227,Carpetas!$C$5:$M$2666,6,FALSE)</f>
        <v>FG</v>
      </c>
      <c r="I2227" s="27" t="str">
        <f>VLOOKUP($C2227,Carpetas!$C$5:$M$2666,3,FALSE)</f>
        <v>Etimex</v>
      </c>
      <c r="J2227" s="47">
        <f>E2227+2</f>
        <v>46135</v>
      </c>
      <c r="K2227" s="72" t="str">
        <f>VLOOKUP($C2227,Carpetas!$C$5:$M$2666,5,FALSE)</f>
        <v>Rio Branco</v>
      </c>
      <c r="L2227" s="72" t="str">
        <f>VLOOKUP($C2227,Carpetas!$C$5:$M$2666,4,FALSE)</f>
        <v>Banana</v>
      </c>
      <c r="M2227" s="48">
        <f>J2227+1</f>
        <v>46136</v>
      </c>
      <c r="N2227" s="26">
        <f t="shared" si="157"/>
        <v>3</v>
      </c>
      <c r="O2227" s="27">
        <v>1009</v>
      </c>
      <c r="P2227" s="27">
        <v>28</v>
      </c>
      <c r="Q2227" s="27">
        <v>26</v>
      </c>
      <c r="R2227" s="27"/>
      <c r="S2227" s="27" t="s">
        <v>5843</v>
      </c>
      <c r="T2227" s="27"/>
      <c r="U2227" s="27">
        <v>1506</v>
      </c>
      <c r="V2227" s="27" t="s">
        <v>1042</v>
      </c>
      <c r="W2227" s="27" t="s">
        <v>1669</v>
      </c>
      <c r="X2227" s="128"/>
      <c r="Y2227" s="73" t="e">
        <f>VLOOKUP(X2227,Choferes!$B$3:C450,2,FALSE)</f>
        <v>#N/A</v>
      </c>
      <c r="Z2227" s="73" t="s">
        <v>5844</v>
      </c>
    </row>
    <row r="2228" spans="1:26" ht="16.5" hidden="1" customHeight="1" x14ac:dyDescent="0.25">
      <c r="A2228" s="222">
        <v>16</v>
      </c>
      <c r="B2228" s="71" t="s">
        <v>29</v>
      </c>
      <c r="C2228" s="39" t="s">
        <v>5811</v>
      </c>
      <c r="D2228" s="106" t="s">
        <v>2202</v>
      </c>
      <c r="E2228" s="47">
        <v>46134</v>
      </c>
      <c r="F2228" s="31" t="str">
        <f>VLOOKUP($C2228,Carpetas!$C$5:$M$2666,2,FALSE)</f>
        <v>BRB038-26</v>
      </c>
      <c r="G2228" s="23" t="str">
        <f>VLOOKUP($C2228,Carpetas!$C$5:$M$2666,10,FALSE)</f>
        <v>155,55,48</v>
      </c>
      <c r="H2228" s="27" t="str">
        <f>VLOOKUP($C2228,Carpetas!$C$5:$M$2666,6,FALSE)</f>
        <v>FG</v>
      </c>
      <c r="I2228" s="27" t="str">
        <f>VLOOKUP($C2228,Carpetas!$C$5:$M$2666,3,FALSE)</f>
        <v>Etimex</v>
      </c>
      <c r="J2228" s="47">
        <f>E2228+2</f>
        <v>46136</v>
      </c>
      <c r="K2228" s="72" t="str">
        <f>VLOOKUP($C2228,Carpetas!$C$5:$M$2666,5,FALSE)</f>
        <v>Rio Branco</v>
      </c>
      <c r="L2228" s="72" t="str">
        <f>VLOOKUP($C2228,Carpetas!$C$5:$M$2666,4,FALSE)</f>
        <v>Banana</v>
      </c>
      <c r="M2228" s="48">
        <v>46136</v>
      </c>
      <c r="N2228" s="26">
        <f t="shared" si="157"/>
        <v>2</v>
      </c>
      <c r="O2228" s="27">
        <v>1008</v>
      </c>
      <c r="P2228" s="27">
        <v>1009</v>
      </c>
      <c r="Q2228" s="27">
        <v>28</v>
      </c>
      <c r="R2228" s="27">
        <v>25</v>
      </c>
      <c r="S2228" s="27" t="s">
        <v>5043</v>
      </c>
      <c r="T2228" s="27"/>
      <c r="U2228" s="27">
        <v>1505</v>
      </c>
      <c r="V2228" s="27" t="s">
        <v>911</v>
      </c>
      <c r="W2228" s="27" t="s">
        <v>1723</v>
      </c>
      <c r="X2228" s="128"/>
      <c r="Y2228" s="73" t="e">
        <f>VLOOKUP(X2228,Choferes!$B$3:C452,2,FALSE)</f>
        <v>#N/A</v>
      </c>
      <c r="Z2228" s="73" t="s">
        <v>5845</v>
      </c>
    </row>
    <row r="2229" spans="1:26" ht="16.5" hidden="1" customHeight="1" x14ac:dyDescent="0.25">
      <c r="A2229" s="222">
        <v>16</v>
      </c>
      <c r="B2229" s="71" t="s">
        <v>29</v>
      </c>
      <c r="C2229" s="39" t="s">
        <v>5811</v>
      </c>
      <c r="D2229" s="106" t="s">
        <v>2202</v>
      </c>
      <c r="E2229" s="47">
        <v>46135</v>
      </c>
      <c r="F2229" s="31" t="str">
        <f>VLOOKUP($C2229,Carpetas!$C$5:$M$2666,2,FALSE)</f>
        <v>BRB038-26</v>
      </c>
      <c r="G2229" s="23" t="str">
        <f>VLOOKUP($C2229,Carpetas!$C$5:$M$2666,10,FALSE)</f>
        <v>155,55,48</v>
      </c>
      <c r="H2229" s="27" t="str">
        <f>VLOOKUP($C2229,Carpetas!$C$5:$M$2666,6,FALSE)</f>
        <v>FG</v>
      </c>
      <c r="I2229" s="27" t="str">
        <f>VLOOKUP($C2229,Carpetas!$C$5:$M$2666,3,FALSE)</f>
        <v>Etimex</v>
      </c>
      <c r="J2229" s="47">
        <v>46136</v>
      </c>
      <c r="K2229" s="72" t="str">
        <f>VLOOKUP($C2229,Carpetas!$C$5:$M$2666,5,FALSE)</f>
        <v>Rio Branco</v>
      </c>
      <c r="L2229" s="72" t="str">
        <f>VLOOKUP($C2229,Carpetas!$C$5:$M$2666,4,FALSE)</f>
        <v>Banana</v>
      </c>
      <c r="M2229" s="48">
        <v>46136</v>
      </c>
      <c r="N2229" s="26">
        <f t="shared" si="157"/>
        <v>1</v>
      </c>
      <c r="O2229" s="27">
        <v>1008</v>
      </c>
      <c r="P2229" s="27">
        <v>1009</v>
      </c>
      <c r="Q2229" s="27">
        <v>28</v>
      </c>
      <c r="R2229" s="27">
        <v>26</v>
      </c>
      <c r="S2229" s="27" t="s">
        <v>5082</v>
      </c>
      <c r="T2229" s="27"/>
      <c r="U2229" s="27">
        <v>1507</v>
      </c>
      <c r="V2229" s="27" t="s">
        <v>3411</v>
      </c>
      <c r="W2229" s="27" t="s">
        <v>5398</v>
      </c>
      <c r="X2229" s="128"/>
      <c r="Y2229" s="73" t="e">
        <f>VLOOKUP(X2229,Choferes!$B$3:C454,2,FALSE)</f>
        <v>#N/A</v>
      </c>
      <c r="Z2229" s="73" t="s">
        <v>5845</v>
      </c>
    </row>
    <row r="2230" spans="1:26" ht="30" hidden="1" x14ac:dyDescent="0.25">
      <c r="A2230" s="222">
        <v>16</v>
      </c>
      <c r="B2230" s="71" t="s">
        <v>29</v>
      </c>
      <c r="C2230" s="39" t="s">
        <v>5839</v>
      </c>
      <c r="D2230" s="106" t="s">
        <v>3124</v>
      </c>
      <c r="E2230" s="47">
        <v>46134</v>
      </c>
      <c r="F2230" s="31" t="str">
        <f>VLOOKUP($C2230,Carpetas!$C$5:$M$2666,2,FALSE)</f>
        <v>BRB040-26</v>
      </c>
      <c r="G2230" s="23">
        <f>VLOOKUP($C2230,Carpetas!$C$5:$M$2666,10,FALSE)</f>
        <v>1556155</v>
      </c>
      <c r="H2230" s="27" t="str">
        <f>VLOOKUP($C2230,Carpetas!$C$5:$M$2666,6,FALSE)</f>
        <v>Chabat</v>
      </c>
      <c r="I2230" s="27" t="str">
        <f>VLOOKUP($C2230,Carpetas!$C$5:$M$2666,3,FALSE)</f>
        <v>Etimex</v>
      </c>
      <c r="J2230" s="47">
        <f>E2230+2</f>
        <v>46136</v>
      </c>
      <c r="K2230" s="72" t="str">
        <f>VLOOKUP($C2230,Carpetas!$C$5:$M$2666,5,FALSE)</f>
        <v>Rio Branco</v>
      </c>
      <c r="L2230" s="72" t="str">
        <f>VLOOKUP($C2230,Carpetas!$C$5:$M$2666,4,FALSE)</f>
        <v>Banana</v>
      </c>
      <c r="M2230" s="48">
        <f>J2230+1</f>
        <v>46137</v>
      </c>
      <c r="N2230" s="26">
        <f t="shared" si="157"/>
        <v>3</v>
      </c>
      <c r="O2230" s="27">
        <v>1008</v>
      </c>
      <c r="P2230" s="27">
        <v>1008</v>
      </c>
      <c r="Q2230" s="27">
        <v>28</v>
      </c>
      <c r="R2230" s="27">
        <v>26</v>
      </c>
      <c r="S2230" s="27" t="s">
        <v>5846</v>
      </c>
      <c r="T2230" s="27"/>
      <c r="U2230" s="27">
        <v>2547</v>
      </c>
      <c r="V2230" s="27" t="s">
        <v>4129</v>
      </c>
      <c r="W2230" s="27" t="s">
        <v>4283</v>
      </c>
      <c r="X2230" s="128"/>
      <c r="Y2230" s="73" t="e">
        <f>VLOOKUP(X2230,Choferes!$B$3:C451,2,FALSE)</f>
        <v>#N/A</v>
      </c>
      <c r="Z2230" s="73" t="s">
        <v>5847</v>
      </c>
    </row>
    <row r="2231" spans="1:26" hidden="1" x14ac:dyDescent="0.25">
      <c r="A2231" s="222">
        <v>16</v>
      </c>
      <c r="B2231" s="71" t="s">
        <v>29</v>
      </c>
      <c r="C2231" s="39" t="s">
        <v>5839</v>
      </c>
      <c r="D2231" s="106" t="s">
        <v>5746</v>
      </c>
      <c r="E2231" s="47">
        <v>46136</v>
      </c>
      <c r="F2231" s="31" t="str">
        <f>VLOOKUP($C2231,Carpetas!$C$5:$M$2666,2,FALSE)</f>
        <v>BRB040-26</v>
      </c>
      <c r="G2231" s="23">
        <f>VLOOKUP($C2231,Carpetas!$C$5:$M$2666,10,FALSE)</f>
        <v>1556155</v>
      </c>
      <c r="H2231" s="27" t="str">
        <f>VLOOKUP($C2231,Carpetas!$C$5:$M$2666,6,FALSE)</f>
        <v>Chabat</v>
      </c>
      <c r="I2231" s="27" t="str">
        <f>VLOOKUP($C2231,Carpetas!$C$5:$M$2666,3,FALSE)</f>
        <v>Etimex</v>
      </c>
      <c r="J2231" s="47">
        <f>E2231+2</f>
        <v>46138</v>
      </c>
      <c r="K2231" s="72" t="str">
        <f>VLOOKUP($C2231,Carpetas!$C$5:$M$2666,5,FALSE)</f>
        <v>Rio Branco</v>
      </c>
      <c r="L2231" s="72" t="str">
        <f>VLOOKUP($C2231,Carpetas!$C$5:$M$2666,4,FALSE)</f>
        <v>Banana</v>
      </c>
      <c r="M2231" s="48">
        <f>J2231+1</f>
        <v>46139</v>
      </c>
      <c r="N2231" s="26">
        <f t="shared" si="157"/>
        <v>3</v>
      </c>
      <c r="O2231" s="27">
        <v>1008</v>
      </c>
      <c r="P2231" s="27">
        <v>1008</v>
      </c>
      <c r="Q2231" s="27">
        <v>28</v>
      </c>
      <c r="R2231" s="27">
        <v>26</v>
      </c>
      <c r="S2231" s="27" t="s">
        <v>5848</v>
      </c>
      <c r="T2231" s="27"/>
      <c r="U2231" s="27">
        <v>2549</v>
      </c>
      <c r="V2231" s="27" t="s">
        <v>4276</v>
      </c>
      <c r="W2231" s="27" t="s">
        <v>4135</v>
      </c>
      <c r="X2231" s="128"/>
      <c r="Y2231" s="73" t="e">
        <f>VLOOKUP(X2231,Choferes!$B$3:C455,2,FALSE)</f>
        <v>#N/A</v>
      </c>
      <c r="Z2231" s="73" t="s">
        <v>5849</v>
      </c>
    </row>
    <row r="2232" spans="1:26" hidden="1" x14ac:dyDescent="0.25">
      <c r="A2232" s="222">
        <v>16</v>
      </c>
      <c r="B2232" s="71" t="s">
        <v>29</v>
      </c>
      <c r="C2232" s="39" t="s">
        <v>5850</v>
      </c>
      <c r="D2232" s="106" t="s">
        <v>803</v>
      </c>
      <c r="E2232" s="47">
        <v>46136</v>
      </c>
      <c r="F2232" s="31" t="str">
        <f>VLOOKUP($C2232,Carpetas!$C$5:$M$2666,2,FALSE)</f>
        <v>BRB041/26</v>
      </c>
      <c r="G2232" s="23">
        <f>VLOOKUP($C2232,Carpetas!$C$5:$M$2666,10,FALSE)</f>
        <v>1556795</v>
      </c>
      <c r="H2232" s="27" t="str">
        <f>VLOOKUP($C2232,Carpetas!$C$5:$M$2666,6,FALSE)</f>
        <v>FG</v>
      </c>
      <c r="I2232" s="27" t="str">
        <f>VLOOKUP($C2232,Carpetas!$C$5:$M$2666,3,FALSE)</f>
        <v>Etimex</v>
      </c>
      <c r="J2232" s="47">
        <f>E2232+2</f>
        <v>46138</v>
      </c>
      <c r="K2232" s="72" t="str">
        <f>VLOOKUP($C2232,Carpetas!$C$5:$M$2666,5,FALSE)</f>
        <v>Rio Branco</v>
      </c>
      <c r="L2232" s="72" t="str">
        <f>VLOOKUP($C2232,Carpetas!$C$5:$M$2666,4,FALSE)</f>
        <v>Banana</v>
      </c>
      <c r="M2232" s="48">
        <f>J2232+1</f>
        <v>46139</v>
      </c>
      <c r="N2232" s="26">
        <f t="shared" si="157"/>
        <v>3</v>
      </c>
      <c r="O2232" s="27">
        <v>1008</v>
      </c>
      <c r="P2232" s="27">
        <v>1008</v>
      </c>
      <c r="Q2232" s="27">
        <v>28</v>
      </c>
      <c r="R2232" s="27">
        <v>25</v>
      </c>
      <c r="S2232" s="27" t="s">
        <v>1411</v>
      </c>
      <c r="T2232" s="27"/>
      <c r="U2232" s="27">
        <v>1513</v>
      </c>
      <c r="V2232" s="27" t="s">
        <v>5817</v>
      </c>
      <c r="W2232" s="27" t="s">
        <v>5318</v>
      </c>
      <c r="X2232" s="128"/>
      <c r="Y2232" s="73" t="e">
        <f>VLOOKUP(X2232,Choferes!$B$3:C456,2,FALSE)</f>
        <v>#N/A</v>
      </c>
      <c r="Z2232" s="73" t="s">
        <v>5849</v>
      </c>
    </row>
    <row r="2233" spans="1:26" ht="16.5" hidden="1" customHeight="1" x14ac:dyDescent="0.25">
      <c r="A2233" s="222">
        <v>16</v>
      </c>
      <c r="B2233" s="71" t="s">
        <v>29</v>
      </c>
      <c r="C2233" s="39" t="s">
        <v>5811</v>
      </c>
      <c r="D2233" s="106" t="s">
        <v>110</v>
      </c>
      <c r="E2233" s="47">
        <v>46136</v>
      </c>
      <c r="F2233" s="31" t="str">
        <f>VLOOKUP($C2233,Carpetas!$C$5:$M$2666,2,FALSE)</f>
        <v>BRB038-26</v>
      </c>
      <c r="G2233" s="23" t="str">
        <f>VLOOKUP($C2233,Carpetas!$C$5:$M$2666,10,FALSE)</f>
        <v>155,55,48</v>
      </c>
      <c r="H2233" s="27" t="str">
        <f>VLOOKUP($C2233,Carpetas!$C$5:$M$2666,6,FALSE)</f>
        <v>FG</v>
      </c>
      <c r="I2233" s="27" t="str">
        <f>VLOOKUP($C2233,Carpetas!$C$5:$M$2666,3,FALSE)</f>
        <v>Etimex</v>
      </c>
      <c r="J2233" s="47">
        <f>E2233+2</f>
        <v>46138</v>
      </c>
      <c r="K2233" s="72" t="str">
        <f>VLOOKUP($C2233,Carpetas!$C$5:$M$2666,5,FALSE)</f>
        <v>Rio Branco</v>
      </c>
      <c r="L2233" s="72" t="str">
        <f>VLOOKUP($C2233,Carpetas!$C$5:$M$2666,4,FALSE)</f>
        <v>Banana</v>
      </c>
      <c r="M2233" s="48">
        <f>J2233+1</f>
        <v>46139</v>
      </c>
      <c r="N2233" s="26">
        <f t="shared" si="157"/>
        <v>3</v>
      </c>
      <c r="O2233" s="27">
        <v>1008</v>
      </c>
      <c r="P2233" s="27">
        <v>1009</v>
      </c>
      <c r="Q2233" s="27">
        <v>28</v>
      </c>
      <c r="R2233" s="27">
        <v>26</v>
      </c>
      <c r="S2233" s="27" t="s">
        <v>1395</v>
      </c>
      <c r="T2233" s="27"/>
      <c r="U2233" s="27">
        <v>1509</v>
      </c>
      <c r="V2233" s="27" t="s">
        <v>4716</v>
      </c>
      <c r="W2233" s="27" t="s">
        <v>1934</v>
      </c>
      <c r="X2233" s="128"/>
      <c r="Y2233" s="73" t="e">
        <f>VLOOKUP(X2233,Choferes!$B$3:C457,2,FALSE)</f>
        <v>#N/A</v>
      </c>
      <c r="Z2233" s="73" t="s">
        <v>5851</v>
      </c>
    </row>
    <row r="2234" spans="1:26" hidden="1" x14ac:dyDescent="0.25">
      <c r="A2234" s="222">
        <v>16</v>
      </c>
      <c r="B2234" s="71" t="s">
        <v>29</v>
      </c>
      <c r="C2234" s="39" t="s">
        <v>5831</v>
      </c>
      <c r="D2234" s="106" t="s">
        <v>249</v>
      </c>
      <c r="E2234" s="47">
        <v>46136</v>
      </c>
      <c r="F2234" s="31" t="str">
        <f>VLOOKUP($C2234,Carpetas!$C$5:$M$2666,2,FALSE)</f>
        <v>BRB039-26</v>
      </c>
      <c r="G2234" s="23" t="str">
        <f>VLOOKUP($C2234,Carpetas!$C$5:$M$2666,10,FALSE)</f>
        <v>155,36,94</v>
      </c>
      <c r="H2234" s="27" t="str">
        <f>VLOOKUP($C2234,Carpetas!$C$5:$M$2666,6,FALSE)</f>
        <v>Amaro</v>
      </c>
      <c r="I2234" s="27" t="str">
        <f>VLOOKUP($C2234,Carpetas!$C$5:$M$2666,3,FALSE)</f>
        <v>Etimex</v>
      </c>
      <c r="J2234" s="47">
        <f>E2234+2</f>
        <v>46138</v>
      </c>
      <c r="K2234" s="72" t="str">
        <f>VLOOKUP($C2234,Carpetas!$C$5:$M$2666,5,FALSE)</f>
        <v>Rio Branco</v>
      </c>
      <c r="L2234" s="72" t="str">
        <f>VLOOKUP($C2234,Carpetas!$C$5:$M$2666,4,FALSE)</f>
        <v>Banana</v>
      </c>
      <c r="M2234" s="48">
        <f>J2234+1</f>
        <v>46139</v>
      </c>
      <c r="N2234" s="26">
        <f t="shared" si="157"/>
        <v>3</v>
      </c>
      <c r="O2234" s="27">
        <v>1008</v>
      </c>
      <c r="P2234" s="27">
        <v>1008</v>
      </c>
      <c r="Q2234" s="27">
        <v>28</v>
      </c>
      <c r="R2234" s="27">
        <v>26</v>
      </c>
      <c r="S2234" s="27" t="s">
        <v>2052</v>
      </c>
      <c r="T2234" s="27"/>
      <c r="U2234" s="27">
        <v>28490</v>
      </c>
      <c r="V2234" s="27" t="s">
        <v>5852</v>
      </c>
      <c r="W2234" s="27" t="s">
        <v>2987</v>
      </c>
      <c r="X2234" s="128"/>
      <c r="Y2234" s="73" t="e">
        <f>VLOOKUP(X2234,Choferes!$B$3:C458,2,FALSE)</f>
        <v>#N/A</v>
      </c>
      <c r="Z2234" s="73" t="s">
        <v>5849</v>
      </c>
    </row>
    <row r="2235" spans="1:26" ht="16.5" hidden="1" customHeight="1" x14ac:dyDescent="0.25">
      <c r="A2235" s="222">
        <v>15</v>
      </c>
      <c r="B2235" s="71" t="s">
        <v>29</v>
      </c>
      <c r="C2235" s="39" t="s">
        <v>5853</v>
      </c>
      <c r="D2235" s="106" t="s">
        <v>38</v>
      </c>
      <c r="E2235" s="47">
        <v>46128</v>
      </c>
      <c r="F2235" s="31" t="str">
        <f>VLOOKUP($C2235,Carpetas!$C$5:$M$2666,2,FALSE)</f>
        <v>BRE020-26</v>
      </c>
      <c r="G2235" s="23">
        <f>VLOOKUP($C2235,Carpetas!$C$5:$M$2666,10,FALSE)</f>
        <v>1555217</v>
      </c>
      <c r="H2235" s="27" t="str">
        <f>VLOOKUP($C2235,Carpetas!$C$5:$M$2666,6,FALSE)</f>
        <v>VPN</v>
      </c>
      <c r="I2235" s="27" t="str">
        <f>VLOOKUP($C2235,Carpetas!$C$5:$M$2666,3,FALSE)</f>
        <v>Dom Basto</v>
      </c>
      <c r="J2235" s="47">
        <v>46136</v>
      </c>
      <c r="K2235" s="72" t="str">
        <f>VLOOKUP($C2235,Carpetas!$C$5:$M$2666,5,FALSE)</f>
        <v>Chuy</v>
      </c>
      <c r="L2235" s="72">
        <f>VLOOKUP($C2235,Carpetas!$C$5:$M$2666,4,FALSE)</f>
        <v>0</v>
      </c>
      <c r="M2235" s="48">
        <v>46140</v>
      </c>
      <c r="N2235" s="26">
        <f t="shared" si="157"/>
        <v>12</v>
      </c>
      <c r="O2235" s="27">
        <v>5184</v>
      </c>
      <c r="P2235" s="27">
        <v>5184</v>
      </c>
      <c r="Q2235" s="27">
        <v>24</v>
      </c>
      <c r="R2235" s="27"/>
      <c r="S2235" s="27"/>
      <c r="T2235" s="27"/>
      <c r="U2235" s="27"/>
      <c r="V2235" s="27"/>
      <c r="W2235" s="27"/>
      <c r="X2235" s="128"/>
      <c r="Y2235" s="73" t="e">
        <f>VLOOKUP(X2235,Choferes!$B$3:C460,2,FALSE)</f>
        <v>#N/A</v>
      </c>
      <c r="Z2235" s="73" t="s">
        <v>5854</v>
      </c>
    </row>
    <row r="2236" spans="1:26" ht="16.5" hidden="1" customHeight="1" x14ac:dyDescent="0.25">
      <c r="A2236" s="222">
        <v>16</v>
      </c>
      <c r="B2236" s="71" t="s">
        <v>29</v>
      </c>
      <c r="C2236" s="39" t="s">
        <v>5831</v>
      </c>
      <c r="D2236" s="106" t="s">
        <v>5499</v>
      </c>
      <c r="E2236" s="47">
        <v>46137</v>
      </c>
      <c r="F2236" s="31" t="str">
        <f>VLOOKUP($C2236,Carpetas!$C$5:$M$2666,2,FALSE)</f>
        <v>BRB039-26</v>
      </c>
      <c r="G2236" s="23" t="str">
        <f>VLOOKUP($C2236,Carpetas!$C$5:$M$2666,10,FALSE)</f>
        <v>155,36,94</v>
      </c>
      <c r="H2236" s="27" t="str">
        <f>VLOOKUP($C2236,Carpetas!$C$5:$M$2666,6,FALSE)</f>
        <v>Amaro</v>
      </c>
      <c r="I2236" s="27" t="str">
        <f>VLOOKUP($C2236,Carpetas!$C$5:$M$2666,3,FALSE)</f>
        <v>Etimex</v>
      </c>
      <c r="J2236" s="47">
        <f>E2236+2</f>
        <v>46139</v>
      </c>
      <c r="K2236" s="72" t="str">
        <f>VLOOKUP($C2236,Carpetas!$C$5:$M$2666,5,FALSE)</f>
        <v>Rio Branco</v>
      </c>
      <c r="L2236" s="72" t="str">
        <f>VLOOKUP($C2236,Carpetas!$C$5:$M$2666,4,FALSE)</f>
        <v>Banana</v>
      </c>
      <c r="M2236" s="48">
        <f>J2236+1</f>
        <v>46140</v>
      </c>
      <c r="N2236" s="26">
        <f t="shared" si="157"/>
        <v>3</v>
      </c>
      <c r="O2236" s="27">
        <v>1008</v>
      </c>
      <c r="P2236" s="27">
        <v>1008</v>
      </c>
      <c r="Q2236" s="27">
        <v>28</v>
      </c>
      <c r="R2236" s="27">
        <v>26</v>
      </c>
      <c r="S2236" s="27" t="s">
        <v>5855</v>
      </c>
      <c r="T2236" s="27"/>
      <c r="U2236" s="27">
        <v>28491</v>
      </c>
      <c r="V2236" s="27" t="s">
        <v>1800</v>
      </c>
      <c r="W2236" s="27" t="s">
        <v>5856</v>
      </c>
      <c r="X2236" s="128"/>
      <c r="Y2236" s="73" t="e">
        <f>VLOOKUP(X2236,Choferes!$B$3:C459,2,FALSE)</f>
        <v>#N/A</v>
      </c>
      <c r="Z2236" s="73" t="s">
        <v>5849</v>
      </c>
    </row>
    <row r="2237" spans="1:26" ht="16.5" hidden="1" customHeight="1" x14ac:dyDescent="0.25">
      <c r="A2237" s="222">
        <v>16</v>
      </c>
      <c r="B2237" s="71" t="s">
        <v>29</v>
      </c>
      <c r="C2237" s="39" t="s">
        <v>5850</v>
      </c>
      <c r="D2237" s="106" t="s">
        <v>803</v>
      </c>
      <c r="E2237" s="47">
        <v>46137</v>
      </c>
      <c r="F2237" s="31" t="str">
        <f>VLOOKUP($C2237,Carpetas!$C$5:$M$2666,2,FALSE)</f>
        <v>BRB041/26</v>
      </c>
      <c r="G2237" s="23">
        <f>VLOOKUP($C2237,Carpetas!$C$5:$M$2666,10,FALSE)</f>
        <v>1556795</v>
      </c>
      <c r="H2237" s="27" t="str">
        <f>VLOOKUP($C2237,Carpetas!$C$5:$M$2666,6,FALSE)</f>
        <v>FG</v>
      </c>
      <c r="I2237" s="27" t="str">
        <f>VLOOKUP($C2237,Carpetas!$C$5:$M$2666,3,FALSE)</f>
        <v>Etimex</v>
      </c>
      <c r="J2237" s="47">
        <f>E2237+2</f>
        <v>46139</v>
      </c>
      <c r="K2237" s="72" t="str">
        <f>VLOOKUP($C2237,Carpetas!$C$5:$M$2666,5,FALSE)</f>
        <v>Rio Branco</v>
      </c>
      <c r="L2237" s="72" t="str">
        <f>VLOOKUP($C2237,Carpetas!$C$5:$M$2666,4,FALSE)</f>
        <v>Banana</v>
      </c>
      <c r="M2237" s="48">
        <f>J2237+1</f>
        <v>46140</v>
      </c>
      <c r="N2237" s="26">
        <f t="shared" si="157"/>
        <v>3</v>
      </c>
      <c r="O2237" s="27">
        <v>1008</v>
      </c>
      <c r="P2237" s="27">
        <v>1008</v>
      </c>
      <c r="Q2237" s="27">
        <v>28</v>
      </c>
      <c r="R2237" s="27">
        <v>25</v>
      </c>
      <c r="S2237" s="27" t="s">
        <v>1459</v>
      </c>
      <c r="T2237" s="27"/>
      <c r="U2237" s="27">
        <v>1512</v>
      </c>
      <c r="V2237" s="27" t="s">
        <v>3669</v>
      </c>
      <c r="W2237" s="27" t="s">
        <v>912</v>
      </c>
      <c r="X2237" s="128"/>
      <c r="Y2237" s="73" t="e">
        <f>VLOOKUP(X2237,Choferes!$B$3:C459,2,FALSE)</f>
        <v>#N/A</v>
      </c>
      <c r="Z2237" s="73" t="s">
        <v>5849</v>
      </c>
    </row>
    <row r="2238" spans="1:26" ht="16.5" hidden="1" customHeight="1" x14ac:dyDescent="0.25">
      <c r="A2238" s="222">
        <v>16</v>
      </c>
      <c r="B2238" s="71" t="s">
        <v>29</v>
      </c>
      <c r="C2238" s="39" t="s">
        <v>5850</v>
      </c>
      <c r="D2238" s="106" t="s">
        <v>2474</v>
      </c>
      <c r="E2238" s="47">
        <v>46137</v>
      </c>
      <c r="F2238" s="31" t="str">
        <f>VLOOKUP($C2238,Carpetas!$C$5:$M$2666,2,FALSE)</f>
        <v>BRB041/26</v>
      </c>
      <c r="G2238" s="23">
        <f>VLOOKUP($C2238,Carpetas!$C$5:$M$2666,10,FALSE)</f>
        <v>1556795</v>
      </c>
      <c r="H2238" s="27" t="str">
        <f>VLOOKUP($C2238,Carpetas!$C$5:$M$2666,6,FALSE)</f>
        <v>FG</v>
      </c>
      <c r="I2238" s="27" t="str">
        <f>VLOOKUP($C2238,Carpetas!$C$5:$M$2666,3,FALSE)</f>
        <v>Etimex</v>
      </c>
      <c r="J2238" s="47">
        <f>E2238+2</f>
        <v>46139</v>
      </c>
      <c r="K2238" s="72" t="str">
        <f>VLOOKUP($C2238,Carpetas!$C$5:$M$2666,5,FALSE)</f>
        <v>Rio Branco</v>
      </c>
      <c r="L2238" s="72" t="str">
        <f>VLOOKUP($C2238,Carpetas!$C$5:$M$2666,4,FALSE)</f>
        <v>Banana</v>
      </c>
      <c r="M2238" s="48">
        <f>J2238+1</f>
        <v>46140</v>
      </c>
      <c r="N2238" s="26">
        <f t="shared" si="157"/>
        <v>3</v>
      </c>
      <c r="O2238" s="27">
        <v>1008</v>
      </c>
      <c r="P2238" s="27">
        <v>1008</v>
      </c>
      <c r="Q2238" s="27">
        <v>28</v>
      </c>
      <c r="R2238" s="27">
        <v>25</v>
      </c>
      <c r="S2238" s="27" t="s">
        <v>3811</v>
      </c>
      <c r="T2238" s="27"/>
      <c r="U2238" s="27">
        <v>1511</v>
      </c>
      <c r="V2238" s="27" t="s">
        <v>1735</v>
      </c>
      <c r="W2238" s="27" t="s">
        <v>1681</v>
      </c>
      <c r="X2238" s="128"/>
      <c r="Y2238" s="73" t="e">
        <f>VLOOKUP(X2238,Choferes!$B$3:C460,2,FALSE)</f>
        <v>#N/A</v>
      </c>
      <c r="Z2238" s="73" t="s">
        <v>5849</v>
      </c>
    </row>
    <row r="2239" spans="1:26" ht="16.5" hidden="1" customHeight="1" x14ac:dyDescent="0.25">
      <c r="A2239" s="222">
        <v>17</v>
      </c>
      <c r="B2239" s="71" t="s">
        <v>29</v>
      </c>
      <c r="C2239" s="39" t="s">
        <v>5850</v>
      </c>
      <c r="D2239" s="106" t="s">
        <v>2202</v>
      </c>
      <c r="E2239" s="47">
        <v>46139</v>
      </c>
      <c r="F2239" s="31" t="str">
        <f>VLOOKUP($C2239,Carpetas!$C$5:$M$2666,2,FALSE)</f>
        <v>BRB041/26</v>
      </c>
      <c r="G2239" s="23">
        <f>VLOOKUP($C2239,Carpetas!$C$5:$M$2666,10,FALSE)</f>
        <v>1556795</v>
      </c>
      <c r="H2239" s="27" t="str">
        <f>VLOOKUP($C2239,Carpetas!$C$5:$M$2666,6,FALSE)</f>
        <v>FG</v>
      </c>
      <c r="I2239" s="27" t="str">
        <f>VLOOKUP($C2239,Carpetas!$C$5:$M$2666,3,FALSE)</f>
        <v>Etimex</v>
      </c>
      <c r="J2239" s="47">
        <f>E2239+1</f>
        <v>46140</v>
      </c>
      <c r="K2239" s="72" t="str">
        <f>VLOOKUP($C2239,Carpetas!$C$5:$M$2666,5,FALSE)</f>
        <v>Rio Branco</v>
      </c>
      <c r="L2239" s="72" t="str">
        <f>VLOOKUP($C2239,Carpetas!$C$5:$M$2666,4,FALSE)</f>
        <v>Banana</v>
      </c>
      <c r="M2239" s="48">
        <f>J2239+1+1</f>
        <v>46142</v>
      </c>
      <c r="N2239" s="26">
        <f t="shared" si="157"/>
        <v>3</v>
      </c>
      <c r="O2239" s="27">
        <v>1008</v>
      </c>
      <c r="P2239" s="27">
        <v>1008</v>
      </c>
      <c r="Q2239" s="27">
        <v>28</v>
      </c>
      <c r="R2239" s="27">
        <v>26</v>
      </c>
      <c r="S2239" s="27" t="s">
        <v>5129</v>
      </c>
      <c r="T2239" s="27"/>
      <c r="U2239" s="27">
        <v>1514</v>
      </c>
      <c r="V2239" s="27" t="s">
        <v>1430</v>
      </c>
      <c r="W2239" s="27" t="s">
        <v>5449</v>
      </c>
      <c r="X2239" s="128"/>
      <c r="Y2239" s="73" t="e">
        <f>VLOOKUP(X2239,Choferes!$B$3:C449,2,FALSE)</f>
        <v>#N/A</v>
      </c>
      <c r="Z2239" s="73" t="s">
        <v>5857</v>
      </c>
    </row>
    <row r="2240" spans="1:26" ht="16.5" hidden="1" customHeight="1" x14ac:dyDescent="0.25">
      <c r="A2240" s="222">
        <v>17</v>
      </c>
      <c r="B2240" s="71" t="s">
        <v>29</v>
      </c>
      <c r="C2240" s="39" t="s">
        <v>5850</v>
      </c>
      <c r="D2240" s="106" t="s">
        <v>2202</v>
      </c>
      <c r="E2240" s="47">
        <v>46139</v>
      </c>
      <c r="F2240" s="31" t="str">
        <f>VLOOKUP($C2240,Carpetas!$C$5:$M$2666,2,FALSE)</f>
        <v>BRB041/26</v>
      </c>
      <c r="G2240" s="23">
        <f>VLOOKUP($C2240,Carpetas!$C$5:$M$2666,10,FALSE)</f>
        <v>1556795</v>
      </c>
      <c r="H2240" s="27" t="str">
        <f>VLOOKUP($C2240,Carpetas!$C$5:$M$2666,6,FALSE)</f>
        <v>FG</v>
      </c>
      <c r="I2240" s="27" t="str">
        <f>VLOOKUP($C2240,Carpetas!$C$5:$M$2666,3,FALSE)</f>
        <v>Etimex</v>
      </c>
      <c r="J2240" s="47">
        <f>E2240+1</f>
        <v>46140</v>
      </c>
      <c r="K2240" s="72" t="str">
        <f>VLOOKUP($C2240,Carpetas!$C$5:$M$2666,5,FALSE)</f>
        <v>Rio Branco</v>
      </c>
      <c r="L2240" s="72" t="str">
        <f>VLOOKUP($C2240,Carpetas!$C$5:$M$2666,4,FALSE)</f>
        <v>Banana</v>
      </c>
      <c r="M2240" s="48">
        <f>J2240+1+1</f>
        <v>46142</v>
      </c>
      <c r="N2240" s="26">
        <f t="shared" si="157"/>
        <v>3</v>
      </c>
      <c r="O2240" s="27">
        <v>1008</v>
      </c>
      <c r="P2240" s="27">
        <v>1008</v>
      </c>
      <c r="Q2240" s="27">
        <v>28</v>
      </c>
      <c r="R2240" s="27">
        <v>26</v>
      </c>
      <c r="S2240" s="27" t="s">
        <v>5120</v>
      </c>
      <c r="T2240" s="27"/>
      <c r="U2240" s="27">
        <v>1515</v>
      </c>
      <c r="V2240" s="27" t="s">
        <v>4645</v>
      </c>
      <c r="W2240" s="27" t="s">
        <v>4489</v>
      </c>
      <c r="X2240" s="128"/>
      <c r="Y2240" s="73" t="e">
        <f>VLOOKUP(X2240,Choferes!$B$3:C452,2,FALSE)</f>
        <v>#N/A</v>
      </c>
      <c r="Z2240" s="73" t="s">
        <v>5857</v>
      </c>
    </row>
    <row r="2241" spans="1:26" ht="16.5" hidden="1" customHeight="1" x14ac:dyDescent="0.25">
      <c r="A2241" s="222">
        <v>16</v>
      </c>
      <c r="B2241" s="71" t="s">
        <v>29</v>
      </c>
      <c r="C2241" s="39" t="s">
        <v>5858</v>
      </c>
      <c r="D2241" s="106" t="s">
        <v>38</v>
      </c>
      <c r="E2241" s="47">
        <v>46139</v>
      </c>
      <c r="F2241" s="31" t="str">
        <f>VLOOKUP($C2241,Carpetas!$C$5:$M$2666,2,FALSE)</f>
        <v>BRE023-26</v>
      </c>
      <c r="G2241" s="23">
        <f>VLOOKUP($C2241,Carpetas!$C$5:$M$2666,10,FALSE)</f>
        <v>0</v>
      </c>
      <c r="H2241" s="27" t="str">
        <f>VLOOKUP($C2241,Carpetas!$C$5:$M$2666,6,FALSE)</f>
        <v xml:space="preserve">Silvio </v>
      </c>
      <c r="I2241" s="27" t="str">
        <f>VLOOKUP($C2241,Carpetas!$C$5:$M$2666,3,FALSE)</f>
        <v>Jaguacy</v>
      </c>
      <c r="J2241" s="47">
        <v>46141</v>
      </c>
      <c r="K2241" s="72" t="str">
        <f>VLOOKUP($C2241,Carpetas!$C$5:$M$2666,5,FALSE)</f>
        <v>Chuy</v>
      </c>
      <c r="L2241" s="72" t="str">
        <f>VLOOKUP($C2241,Carpetas!$C$5:$M$2666,4,FALSE)</f>
        <v>Palta</v>
      </c>
      <c r="M2241" s="48">
        <f>J2241+1</f>
        <v>46142</v>
      </c>
      <c r="N2241" s="26">
        <f t="shared" si="157"/>
        <v>3</v>
      </c>
      <c r="O2241" s="27">
        <v>2304</v>
      </c>
      <c r="P2241" s="27"/>
      <c r="Q2241" s="27"/>
      <c r="R2241" s="27"/>
      <c r="S2241" s="27"/>
      <c r="T2241" s="27"/>
      <c r="U2241" s="27">
        <v>7755</v>
      </c>
      <c r="V2241" s="27" t="s">
        <v>5147</v>
      </c>
      <c r="W2241" s="27" t="s">
        <v>5148</v>
      </c>
      <c r="X2241" s="128"/>
      <c r="Y2241" s="73" t="e">
        <f>VLOOKUP(X2241,Choferes!$B$3:C460,2,FALSE)</f>
        <v>#N/A</v>
      </c>
      <c r="Z2241" s="73" t="s">
        <v>5859</v>
      </c>
    </row>
    <row r="2242" spans="1:26" ht="16.5" hidden="1" customHeight="1" x14ac:dyDescent="0.25">
      <c r="A2242" s="222">
        <v>17</v>
      </c>
      <c r="B2242" s="71" t="s">
        <v>29</v>
      </c>
      <c r="C2242" s="39" t="s">
        <v>5850</v>
      </c>
      <c r="D2242" s="106" t="s">
        <v>110</v>
      </c>
      <c r="E2242" s="47">
        <v>46140</v>
      </c>
      <c r="F2242" s="31" t="str">
        <f>VLOOKUP($C2242,Carpetas!$C$5:$M$2666,2,FALSE)</f>
        <v>BRB041/26</v>
      </c>
      <c r="G2242" s="23">
        <f>VLOOKUP($C2242,Carpetas!$C$5:$M$2666,10,FALSE)</f>
        <v>1556795</v>
      </c>
      <c r="H2242" s="27" t="str">
        <f>VLOOKUP($C2242,Carpetas!$C$5:$M$2666,6,FALSE)</f>
        <v>FG</v>
      </c>
      <c r="I2242" s="27" t="str">
        <f>VLOOKUP($C2242,Carpetas!$C$5:$M$2666,3,FALSE)</f>
        <v>Etimex</v>
      </c>
      <c r="J2242" s="47">
        <v>46141</v>
      </c>
      <c r="K2242" s="72" t="str">
        <f>VLOOKUP($C2242,Carpetas!$C$5:$M$2666,5,FALSE)</f>
        <v>Rio Branco</v>
      </c>
      <c r="L2242" s="72" t="str">
        <f>VLOOKUP($C2242,Carpetas!$C$5:$M$2666,4,FALSE)</f>
        <v>Banana</v>
      </c>
      <c r="M2242" s="48">
        <f>J2242+1</f>
        <v>46142</v>
      </c>
      <c r="N2242" s="26">
        <f t="shared" si="157"/>
        <v>2</v>
      </c>
      <c r="O2242" s="27">
        <v>1008</v>
      </c>
      <c r="P2242" s="27">
        <v>1009</v>
      </c>
      <c r="Q2242" s="27">
        <v>28</v>
      </c>
      <c r="R2242" s="27">
        <v>26</v>
      </c>
      <c r="S2242" s="27" t="s">
        <v>1471</v>
      </c>
      <c r="T2242" s="27"/>
      <c r="U2242" s="27">
        <v>1519</v>
      </c>
      <c r="V2242" s="27" t="s">
        <v>3572</v>
      </c>
      <c r="W2242" s="27" t="s">
        <v>3412</v>
      </c>
      <c r="X2242" s="128"/>
      <c r="Y2242" s="73" t="e">
        <f>VLOOKUP(X2242,Choferes!$B$3:C438,2,FALSE)</f>
        <v>#N/A</v>
      </c>
      <c r="Z2242" s="73" t="s">
        <v>5860</v>
      </c>
    </row>
    <row r="2243" spans="1:26" ht="16.5" hidden="1" customHeight="1" x14ac:dyDescent="0.25">
      <c r="A2243" s="222">
        <v>16</v>
      </c>
      <c r="B2243" s="71" t="s">
        <v>29</v>
      </c>
      <c r="C2243" s="39" t="s">
        <v>5861</v>
      </c>
      <c r="D2243" s="106" t="s">
        <v>38</v>
      </c>
      <c r="E2243" s="47">
        <v>46139</v>
      </c>
      <c r="F2243" s="31" t="str">
        <f>VLOOKUP($C2243,Carpetas!$C$5:$M$2666,2,FALSE)</f>
        <v>BRE024-26</v>
      </c>
      <c r="G2243" s="23">
        <f>VLOOKUP($C2243,Carpetas!$C$5:$M$2666,10,FALSE)</f>
        <v>0</v>
      </c>
      <c r="H2243" s="27" t="str">
        <f>VLOOKUP($C2243,Carpetas!$C$5:$M$2666,6,FALSE)</f>
        <v>VPN</v>
      </c>
      <c r="I2243" s="27" t="str">
        <f>VLOOKUP($C2243,Carpetas!$C$5:$M$2666,3,FALSE)</f>
        <v>Dom Basto</v>
      </c>
      <c r="J2243" s="47">
        <v>46141</v>
      </c>
      <c r="K2243" s="72" t="str">
        <f>VLOOKUP($C2243,Carpetas!$C$5:$M$2666,5,FALSE)</f>
        <v>Chuy</v>
      </c>
      <c r="L2243" s="72" t="str">
        <f>VLOOKUP($C2243,Carpetas!$C$5:$M$2666,4,FALSE)</f>
        <v>Mix</v>
      </c>
      <c r="M2243" s="48">
        <v>46142</v>
      </c>
      <c r="N2243" s="26">
        <f t="shared" si="157"/>
        <v>3</v>
      </c>
      <c r="O2243" s="27">
        <v>1326</v>
      </c>
      <c r="P2243" s="27">
        <v>1326</v>
      </c>
      <c r="Q2243" s="27">
        <v>26</v>
      </c>
      <c r="R2243" s="27">
        <v>26</v>
      </c>
      <c r="S2243" s="27" t="s">
        <v>5089</v>
      </c>
      <c r="T2243" s="27"/>
      <c r="U2243" s="27"/>
      <c r="V2243" s="27"/>
      <c r="W2243" s="27"/>
      <c r="X2243" s="128"/>
      <c r="Y2243" s="73" t="e">
        <f>VLOOKUP(X2243,Choferes!$B$3:C461,2,FALSE)</f>
        <v>#N/A</v>
      </c>
      <c r="Z2243" s="73" t="s">
        <v>5862</v>
      </c>
    </row>
    <row r="2244" spans="1:26" ht="16.5" hidden="1" customHeight="1" x14ac:dyDescent="0.25">
      <c r="A2244" s="222">
        <v>17</v>
      </c>
      <c r="B2244" s="71" t="s">
        <v>29</v>
      </c>
      <c r="C2244" s="39" t="s">
        <v>5850</v>
      </c>
      <c r="D2244" s="106" t="s">
        <v>2474</v>
      </c>
      <c r="E2244" s="47">
        <v>46140</v>
      </c>
      <c r="F2244" s="31" t="str">
        <f>VLOOKUP($C2244,Carpetas!$C$5:$M$2666,2,FALSE)</f>
        <v>BRB041/26</v>
      </c>
      <c r="G2244" s="23">
        <f>VLOOKUP($C2244,Carpetas!$C$5:$M$2666,10,FALSE)</f>
        <v>1556795</v>
      </c>
      <c r="H2244" s="27" t="str">
        <f>VLOOKUP($C2244,Carpetas!$C$5:$M$2666,6,FALSE)</f>
        <v>FG</v>
      </c>
      <c r="I2244" s="27" t="str">
        <f>VLOOKUP($C2244,Carpetas!$C$5:$M$2666,3,FALSE)</f>
        <v>Etimex</v>
      </c>
      <c r="J2244" s="47">
        <f>E2244+2</f>
        <v>46142</v>
      </c>
      <c r="K2244" s="72" t="str">
        <f>VLOOKUP($C2244,Carpetas!$C$5:$M$2666,5,FALSE)</f>
        <v>Rio Branco</v>
      </c>
      <c r="L2244" s="72" t="str">
        <f>VLOOKUP($C2244,Carpetas!$C$5:$M$2666,4,FALSE)</f>
        <v>Banana</v>
      </c>
      <c r="M2244" s="48">
        <v>46144</v>
      </c>
      <c r="N2244" s="26">
        <f t="shared" si="157"/>
        <v>4</v>
      </c>
      <c r="O2244" s="27">
        <v>1008</v>
      </c>
      <c r="P2244" s="27">
        <v>1008</v>
      </c>
      <c r="Q2244" s="27">
        <v>28</v>
      </c>
      <c r="R2244" s="27">
        <v>26</v>
      </c>
      <c r="S2244" s="27" t="s">
        <v>3792</v>
      </c>
      <c r="T2244" s="27"/>
      <c r="U2244" s="27">
        <v>1520</v>
      </c>
      <c r="V2244" s="27" t="s">
        <v>5317</v>
      </c>
      <c r="W2244" s="27" t="s">
        <v>1627</v>
      </c>
      <c r="X2244" s="128"/>
      <c r="Y2244" s="73" t="e">
        <f>VLOOKUP(X2244,Choferes!$B$3:C436,2,FALSE)</f>
        <v>#N/A</v>
      </c>
      <c r="Z2244" s="73" t="s">
        <v>5863</v>
      </c>
    </row>
    <row r="2245" spans="1:26" ht="16.5" hidden="1" customHeight="1" x14ac:dyDescent="0.25">
      <c r="A2245" s="222">
        <v>17</v>
      </c>
      <c r="B2245" s="71" t="s">
        <v>29</v>
      </c>
      <c r="C2245" s="39" t="s">
        <v>5850</v>
      </c>
      <c r="D2245" s="106" t="s">
        <v>249</v>
      </c>
      <c r="E2245" s="47">
        <v>46140</v>
      </c>
      <c r="F2245" s="31" t="str">
        <f>VLOOKUP($C2245,Carpetas!$C$5:$M$2666,2,FALSE)</f>
        <v>BRB041/26</v>
      </c>
      <c r="G2245" s="23">
        <f>VLOOKUP($C2245,Carpetas!$C$5:$M$2666,10,FALSE)</f>
        <v>1556795</v>
      </c>
      <c r="H2245" s="27" t="str">
        <f>VLOOKUP($C2245,Carpetas!$C$5:$M$2666,6,FALSE)</f>
        <v>FG</v>
      </c>
      <c r="I2245" s="27" t="str">
        <f>VLOOKUP($C2245,Carpetas!$C$5:$M$2666,3,FALSE)</f>
        <v>Etimex</v>
      </c>
      <c r="J2245" s="47">
        <f>E2245+2</f>
        <v>46142</v>
      </c>
      <c r="K2245" s="72" t="str">
        <f>VLOOKUP($C2245,Carpetas!$C$5:$M$2666,5,FALSE)</f>
        <v>Rio Branco</v>
      </c>
      <c r="L2245" s="72" t="str">
        <f>VLOOKUP($C2245,Carpetas!$C$5:$M$2666,4,FALSE)</f>
        <v>Banana</v>
      </c>
      <c r="M2245" s="48">
        <v>46144</v>
      </c>
      <c r="N2245" s="26">
        <f t="shared" si="157"/>
        <v>4</v>
      </c>
      <c r="O2245" s="27">
        <v>1008</v>
      </c>
      <c r="P2245" s="27">
        <v>1008</v>
      </c>
      <c r="Q2245" s="27">
        <v>28</v>
      </c>
      <c r="R2245" s="27">
        <v>26</v>
      </c>
      <c r="S2245" s="27" t="s">
        <v>2079</v>
      </c>
      <c r="T2245" s="27"/>
      <c r="U2245" s="27">
        <v>1518</v>
      </c>
      <c r="V2245" s="27" t="s">
        <v>4567</v>
      </c>
      <c r="W2245" s="27" t="s">
        <v>4568</v>
      </c>
      <c r="X2245" s="128"/>
      <c r="Y2245" s="73" t="e">
        <f>VLOOKUP(X2245,Choferes!$B$3:C437,2,FALSE)</f>
        <v>#N/A</v>
      </c>
      <c r="Z2245" s="73" t="s">
        <v>5863</v>
      </c>
    </row>
    <row r="2246" spans="1:26" hidden="1" x14ac:dyDescent="0.25">
      <c r="A2246" s="222">
        <v>17</v>
      </c>
      <c r="B2246" s="71" t="s">
        <v>29</v>
      </c>
      <c r="C2246" s="39" t="s">
        <v>5850</v>
      </c>
      <c r="D2246" s="106" t="s">
        <v>249</v>
      </c>
      <c r="E2246" s="47">
        <v>46143</v>
      </c>
      <c r="F2246" s="31" t="str">
        <f>VLOOKUP($C2246,Carpetas!$C$5:$M$2666,2,FALSE)</f>
        <v>BRB041/26</v>
      </c>
      <c r="G2246" s="23">
        <f>VLOOKUP($C2246,Carpetas!$C$5:$M$2666,10,FALSE)</f>
        <v>1556795</v>
      </c>
      <c r="H2246" s="27" t="str">
        <f>VLOOKUP($C2246,Carpetas!$C$5:$M$2666,6,FALSE)</f>
        <v>FG</v>
      </c>
      <c r="I2246" s="27" t="str">
        <f>VLOOKUP($C2246,Carpetas!$C$5:$M$2666,3,FALSE)</f>
        <v>Etimex</v>
      </c>
      <c r="J2246" s="47">
        <f>E2246+2</f>
        <v>46145</v>
      </c>
      <c r="K2246" s="72" t="str">
        <f>VLOOKUP($C2246,Carpetas!$C$5:$M$2666,5,FALSE)</f>
        <v>Rio Branco</v>
      </c>
      <c r="L2246" s="72" t="str">
        <f>VLOOKUP($C2246,Carpetas!$C$5:$M$2666,4,FALSE)</f>
        <v>Banana</v>
      </c>
      <c r="M2246" s="48">
        <f t="shared" ref="M2246:M2290" si="160">J2246+1</f>
        <v>46146</v>
      </c>
      <c r="N2246" s="26">
        <f t="shared" si="157"/>
        <v>3</v>
      </c>
      <c r="O2246" s="27">
        <v>1008</v>
      </c>
      <c r="P2246" s="27">
        <v>1008</v>
      </c>
      <c r="Q2246" s="27">
        <v>28</v>
      </c>
      <c r="R2246" s="27">
        <v>23</v>
      </c>
      <c r="S2246" s="27" t="s">
        <v>3414</v>
      </c>
      <c r="T2246" s="27"/>
      <c r="U2246" s="27">
        <v>1528</v>
      </c>
      <c r="V2246" s="27" t="s">
        <v>3669</v>
      </c>
      <c r="W2246" s="27" t="s">
        <v>912</v>
      </c>
      <c r="X2246" s="128"/>
      <c r="Y2246" s="73" t="e">
        <f>VLOOKUP(X2246,Choferes!$B$3:C446,2,FALSE)</f>
        <v>#N/A</v>
      </c>
      <c r="Z2246" s="73" t="s">
        <v>5864</v>
      </c>
    </row>
    <row r="2247" spans="1:26" hidden="1" x14ac:dyDescent="0.25">
      <c r="A2247" s="222">
        <v>17</v>
      </c>
      <c r="B2247" s="71" t="s">
        <v>298</v>
      </c>
      <c r="C2247" s="39" t="s">
        <v>299</v>
      </c>
      <c r="D2247" s="106" t="s">
        <v>803</v>
      </c>
      <c r="E2247" s="47">
        <v>46143</v>
      </c>
      <c r="F2247" s="31" t="str">
        <f>VLOOKUP($C2247,Carpetas!$C$5:$M$2666,2,FALSE)</f>
        <v>BRB</v>
      </c>
      <c r="G2247" s="23" t="e">
        <f>VLOOKUP($C2247,Carpetas!$C$5:$M$2666,9,FALSE)</f>
        <v>#REF!</v>
      </c>
      <c r="H2247" s="27" t="str">
        <f>VLOOKUP($C2247,Carpetas!$C$5:$M$2666,5,FALSE)</f>
        <v>xx</v>
      </c>
      <c r="I2247" s="27" t="str">
        <f>VLOOKUP($C2247,Carpetas!$C$5:$M$2666,3,FALSE)</f>
        <v>xx</v>
      </c>
      <c r="J2247" s="47">
        <f>E2247+2</f>
        <v>46145</v>
      </c>
      <c r="K2247" s="72">
        <f>VLOOKUP($C2247,Carpetas!$C$5:$M$2666,4,FALSE)</f>
        <v>0</v>
      </c>
      <c r="L2247" s="32"/>
      <c r="M2247" s="48">
        <f t="shared" si="160"/>
        <v>46146</v>
      </c>
      <c r="N2247" s="26">
        <f t="shared" si="157"/>
        <v>3</v>
      </c>
      <c r="O2247" s="27">
        <v>1008</v>
      </c>
      <c r="P2247" s="27"/>
      <c r="Q2247" s="27"/>
      <c r="R2247" s="27"/>
      <c r="S2247" s="27"/>
      <c r="T2247" s="27"/>
      <c r="U2247" s="27"/>
      <c r="V2247" s="27"/>
      <c r="W2247" s="27"/>
      <c r="X2247" s="128"/>
      <c r="Y2247" s="73" t="e">
        <f>VLOOKUP(X2247,Choferes!$B$3:C447,2,FALSE)</f>
        <v>#N/A</v>
      </c>
      <c r="Z2247" s="73"/>
    </row>
    <row r="2248" spans="1:26" ht="16.5" hidden="1" customHeight="1" x14ac:dyDescent="0.25">
      <c r="A2248" s="222">
        <v>17</v>
      </c>
      <c r="B2248" s="71" t="s">
        <v>29</v>
      </c>
      <c r="C2248" s="39" t="s">
        <v>5803</v>
      </c>
      <c r="D2248" s="106" t="s">
        <v>2202</v>
      </c>
      <c r="E2248" s="47">
        <v>46143</v>
      </c>
      <c r="F2248" s="31" t="str">
        <f>VLOOKUP($C2248,Carpetas!$C$5:$M$2666,2,FALSE)</f>
        <v>BRB037-26</v>
      </c>
      <c r="G2248" s="23" t="str">
        <f>VLOOKUP($C2248,Carpetas!$C$5:$M$2666,10,FALSE)</f>
        <v>155,52,48</v>
      </c>
      <c r="H2248" s="27" t="str">
        <f>VLOOKUP($C2248,Carpetas!$C$5:$M$2666,6,FALSE)</f>
        <v>AXT</v>
      </c>
      <c r="I2248" s="27" t="str">
        <f>VLOOKUP($C2248,Carpetas!$C$5:$M$2666,3,FALSE)</f>
        <v>A&amp;A</v>
      </c>
      <c r="J2248" s="47">
        <v>46146</v>
      </c>
      <c r="K2248" s="72" t="str">
        <f>VLOOKUP($C2248,Carpetas!$C$5:$M$2666,5,FALSE)</f>
        <v>Chuy</v>
      </c>
      <c r="L2248" s="72" t="str">
        <f>VLOOKUP($C2248,Carpetas!$C$5:$M$2666,4,FALSE)</f>
        <v>Banana</v>
      </c>
      <c r="M2248" s="48">
        <f t="shared" si="160"/>
        <v>46147</v>
      </c>
      <c r="N2248" s="26">
        <f t="shared" si="157"/>
        <v>4</v>
      </c>
      <c r="O2248" s="27">
        <v>936</v>
      </c>
      <c r="P2248" s="27">
        <v>1008</v>
      </c>
      <c r="Q2248" s="27">
        <v>26</v>
      </c>
      <c r="R2248" s="27">
        <v>24</v>
      </c>
      <c r="S2248" s="27" t="s">
        <v>5134</v>
      </c>
      <c r="T2248" s="27"/>
      <c r="U2248" s="27"/>
      <c r="V2248" s="27" t="s">
        <v>5454</v>
      </c>
      <c r="W2248" s="27" t="s">
        <v>5455</v>
      </c>
      <c r="X2248" s="128"/>
      <c r="Y2248" s="73" t="e">
        <f>VLOOKUP(X2248,Choferes!$B$3:C439,2,FALSE)</f>
        <v>#N/A</v>
      </c>
      <c r="Z2248" s="73" t="s">
        <v>5865</v>
      </c>
    </row>
    <row r="2249" spans="1:26" ht="30" hidden="1" x14ac:dyDescent="0.25">
      <c r="A2249" s="222">
        <v>17</v>
      </c>
      <c r="B2249" s="71" t="s">
        <v>29</v>
      </c>
      <c r="C2249" s="39" t="s">
        <v>5839</v>
      </c>
      <c r="D2249" s="106" t="s">
        <v>3124</v>
      </c>
      <c r="E2249" s="47">
        <v>46143</v>
      </c>
      <c r="F2249" s="31" t="str">
        <f>VLOOKUP($C2249,Carpetas!$C$5:$M$2666,2,FALSE)</f>
        <v>BRB040-26</v>
      </c>
      <c r="G2249" s="23">
        <f>VLOOKUP($C2249,Carpetas!$C$5:$M$2666,10,FALSE)</f>
        <v>1556155</v>
      </c>
      <c r="H2249" s="27" t="str">
        <f>VLOOKUP($C2249,Carpetas!$C$5:$M$2666,6,FALSE)</f>
        <v>Chabat</v>
      </c>
      <c r="I2249" s="27" t="str">
        <f>VLOOKUP($C2249,Carpetas!$C$5:$M$2666,3,FALSE)</f>
        <v>Etimex</v>
      </c>
      <c r="J2249" s="47">
        <v>46146</v>
      </c>
      <c r="K2249" s="72" t="str">
        <f>VLOOKUP($C2249,Carpetas!$C$5:$M$2666,5,FALSE)</f>
        <v>Rio Branco</v>
      </c>
      <c r="L2249" s="72" t="str">
        <f>VLOOKUP($C2249,Carpetas!$C$5:$M$2666,4,FALSE)</f>
        <v>Banana</v>
      </c>
      <c r="M2249" s="48">
        <f t="shared" si="160"/>
        <v>46147</v>
      </c>
      <c r="N2249" s="26">
        <f t="shared" si="157"/>
        <v>4</v>
      </c>
      <c r="O2249" s="27">
        <v>1008</v>
      </c>
      <c r="P2249" s="27">
        <v>1008</v>
      </c>
      <c r="Q2249" s="27">
        <v>28</v>
      </c>
      <c r="R2249" s="27">
        <v>24</v>
      </c>
      <c r="S2249" s="27" t="s">
        <v>5866</v>
      </c>
      <c r="T2249" s="27"/>
      <c r="U2249" s="27">
        <v>2554</v>
      </c>
      <c r="V2249" s="27" t="s">
        <v>4129</v>
      </c>
      <c r="W2249" s="27" t="s">
        <v>5867</v>
      </c>
      <c r="X2249" s="128"/>
      <c r="Y2249" s="73" t="e">
        <f>VLOOKUP(X2249,Choferes!$B$3:C441,2,FALSE)</f>
        <v>#N/A</v>
      </c>
      <c r="Z2249" s="73" t="s">
        <v>5868</v>
      </c>
    </row>
    <row r="2250" spans="1:26" ht="16.5" hidden="1" customHeight="1" x14ac:dyDescent="0.25">
      <c r="A2250" s="222">
        <v>17</v>
      </c>
      <c r="B2250" s="71" t="s">
        <v>29</v>
      </c>
      <c r="C2250" s="39" t="s">
        <v>5839</v>
      </c>
      <c r="D2250" s="106" t="s">
        <v>5780</v>
      </c>
      <c r="E2250" s="47">
        <v>46143</v>
      </c>
      <c r="F2250" s="31" t="str">
        <f>VLOOKUP($C2250,Carpetas!$C$5:$M$2666,2,FALSE)</f>
        <v>BRB040-26</v>
      </c>
      <c r="G2250" s="23">
        <f>VLOOKUP($C2250,Carpetas!$C$5:$M$2666,10,FALSE)</f>
        <v>1556155</v>
      </c>
      <c r="H2250" s="27" t="str">
        <f>VLOOKUP($C2250,Carpetas!$C$5:$M$2666,6,FALSE)</f>
        <v>Chabat</v>
      </c>
      <c r="I2250" s="27" t="str">
        <f>VLOOKUP($C2250,Carpetas!$C$5:$M$2666,3,FALSE)</f>
        <v>Etimex</v>
      </c>
      <c r="J2250" s="47">
        <v>46146</v>
      </c>
      <c r="K2250" s="72" t="str">
        <f>VLOOKUP($C2250,Carpetas!$C$5:$M$2666,5,FALSE)</f>
        <v>Rio Branco</v>
      </c>
      <c r="L2250" s="72" t="str">
        <f>VLOOKUP($C2250,Carpetas!$C$5:$M$2666,4,FALSE)</f>
        <v>Banana</v>
      </c>
      <c r="M2250" s="48">
        <f t="shared" si="160"/>
        <v>46147</v>
      </c>
      <c r="N2250" s="26">
        <f t="shared" si="157"/>
        <v>4</v>
      </c>
      <c r="O2250" s="27">
        <v>1008</v>
      </c>
      <c r="P2250" s="27">
        <v>1008</v>
      </c>
      <c r="Q2250" s="27">
        <v>28</v>
      </c>
      <c r="R2250" s="27">
        <v>24</v>
      </c>
      <c r="S2250" s="27" t="s">
        <v>5869</v>
      </c>
      <c r="T2250" s="27"/>
      <c r="U2250" s="27">
        <v>2553</v>
      </c>
      <c r="V2250" s="27" t="s">
        <v>4276</v>
      </c>
      <c r="W2250" s="27" t="s">
        <v>5870</v>
      </c>
      <c r="X2250" s="128"/>
      <c r="Y2250" s="73" t="e">
        <f>VLOOKUP(X2250,Choferes!$B$3:C442,2,FALSE)</f>
        <v>#N/A</v>
      </c>
      <c r="Z2250" s="73" t="s">
        <v>5871</v>
      </c>
    </row>
    <row r="2251" spans="1:26" ht="30" hidden="1" x14ac:dyDescent="0.25">
      <c r="A2251" s="222">
        <v>17</v>
      </c>
      <c r="B2251" s="71" t="s">
        <v>29</v>
      </c>
      <c r="C2251" s="39" t="s">
        <v>5839</v>
      </c>
      <c r="D2251" s="106" t="s">
        <v>5765</v>
      </c>
      <c r="E2251" s="47">
        <v>46143</v>
      </c>
      <c r="F2251" s="31" t="str">
        <f>VLOOKUP($C2251,Carpetas!$C$5:$M$2666,2,FALSE)</f>
        <v>BRB040-26</v>
      </c>
      <c r="G2251" s="23">
        <f>VLOOKUP($C2251,Carpetas!$C$5:$M$2666,10,FALSE)</f>
        <v>1556155</v>
      </c>
      <c r="H2251" s="27" t="str">
        <f>VLOOKUP($C2251,Carpetas!$C$5:$M$2666,6,FALSE)</f>
        <v>Chabat</v>
      </c>
      <c r="I2251" s="27" t="str">
        <f>VLOOKUP($C2251,Carpetas!$C$5:$M$2666,3,FALSE)</f>
        <v>Etimex</v>
      </c>
      <c r="J2251" s="47">
        <v>46146</v>
      </c>
      <c r="K2251" s="72" t="str">
        <f>VLOOKUP($C2251,Carpetas!$C$5:$M$2666,5,FALSE)</f>
        <v>Rio Branco</v>
      </c>
      <c r="L2251" s="72" t="str">
        <f>VLOOKUP($C2251,Carpetas!$C$5:$M$2666,4,FALSE)</f>
        <v>Banana</v>
      </c>
      <c r="M2251" s="48">
        <f t="shared" si="160"/>
        <v>46147</v>
      </c>
      <c r="N2251" s="26">
        <f t="shared" si="157"/>
        <v>4</v>
      </c>
      <c r="O2251" s="27">
        <v>1008</v>
      </c>
      <c r="P2251" s="27">
        <v>1008</v>
      </c>
      <c r="Q2251" s="27">
        <v>28</v>
      </c>
      <c r="R2251" s="27">
        <v>25</v>
      </c>
      <c r="S2251" s="27" t="s">
        <v>5872</v>
      </c>
      <c r="T2251" s="27"/>
      <c r="U2251" s="27">
        <v>2555</v>
      </c>
      <c r="V2251" s="27" t="s">
        <v>5403</v>
      </c>
      <c r="W2251" s="27" t="s">
        <v>5873</v>
      </c>
      <c r="X2251" s="128"/>
      <c r="Y2251" s="73" t="e">
        <f>VLOOKUP(X2251,Choferes!$B$3:C443,2,FALSE)</f>
        <v>#N/A</v>
      </c>
      <c r="Z2251" s="73" t="s">
        <v>5874</v>
      </c>
    </row>
    <row r="2252" spans="1:26" ht="16.5" hidden="1" customHeight="1" x14ac:dyDescent="0.25">
      <c r="A2252" s="222">
        <v>17</v>
      </c>
      <c r="B2252" s="71" t="s">
        <v>29</v>
      </c>
      <c r="C2252" s="39" t="s">
        <v>5839</v>
      </c>
      <c r="D2252" s="106" t="s">
        <v>5507</v>
      </c>
      <c r="E2252" s="47">
        <v>46143</v>
      </c>
      <c r="F2252" s="31" t="str">
        <f>VLOOKUP($C2252,Carpetas!$C$5:$M$2666,2,FALSE)</f>
        <v>BRB040-26</v>
      </c>
      <c r="G2252" s="23">
        <f>VLOOKUP($C2252,Carpetas!$C$5:$M$2666,10,FALSE)</f>
        <v>1556155</v>
      </c>
      <c r="H2252" s="27" t="str">
        <f>VLOOKUP($C2252,Carpetas!$C$5:$M$2666,6,FALSE)</f>
        <v>Chabat</v>
      </c>
      <c r="I2252" s="27" t="str">
        <f>VLOOKUP($C2252,Carpetas!$C$5:$M$2666,3,FALSE)</f>
        <v>Etimex</v>
      </c>
      <c r="J2252" s="47">
        <v>46146</v>
      </c>
      <c r="K2252" s="72" t="str">
        <f>VLOOKUP($C2252,Carpetas!$C$5:$M$2666,5,FALSE)</f>
        <v>Rio Branco</v>
      </c>
      <c r="L2252" s="72" t="str">
        <f>VLOOKUP($C2252,Carpetas!$C$5:$M$2666,4,FALSE)</f>
        <v>Banana</v>
      </c>
      <c r="M2252" s="48">
        <f t="shared" si="160"/>
        <v>46147</v>
      </c>
      <c r="N2252" s="26">
        <f t="shared" si="157"/>
        <v>4</v>
      </c>
      <c r="O2252" s="27">
        <v>1008</v>
      </c>
      <c r="P2252" s="27">
        <v>1008</v>
      </c>
      <c r="Q2252" s="27">
        <v>28</v>
      </c>
      <c r="R2252" s="27">
        <v>25.5</v>
      </c>
      <c r="S2252" s="27" t="s">
        <v>5875</v>
      </c>
      <c r="T2252" s="27"/>
      <c r="U2252" s="27">
        <v>2552</v>
      </c>
      <c r="V2252" s="27" t="s">
        <v>4339</v>
      </c>
      <c r="W2252" s="27" t="s">
        <v>5876</v>
      </c>
      <c r="X2252" s="128"/>
      <c r="Y2252" s="73" t="e">
        <f>VLOOKUP(X2252,Choferes!$B$3:C444,2,FALSE)</f>
        <v>#N/A</v>
      </c>
      <c r="Z2252" s="227" t="s">
        <v>5877</v>
      </c>
    </row>
    <row r="2253" spans="1:26" ht="16.5" hidden="1" customHeight="1" x14ac:dyDescent="0.25">
      <c r="A2253" s="222">
        <v>17</v>
      </c>
      <c r="B2253" s="71" t="s">
        <v>29</v>
      </c>
      <c r="C2253" s="39" t="s">
        <v>5831</v>
      </c>
      <c r="D2253" s="106" t="s">
        <v>5746</v>
      </c>
      <c r="E2253" s="47">
        <v>46143</v>
      </c>
      <c r="F2253" s="31" t="str">
        <f>VLOOKUP($C2253,Carpetas!$C$5:$M$2666,2,FALSE)</f>
        <v>BRB039-26</v>
      </c>
      <c r="G2253" s="23" t="str">
        <f>VLOOKUP($C2253,Carpetas!$C$5:$M$2666,10,FALSE)</f>
        <v>155,36,94</v>
      </c>
      <c r="H2253" s="27" t="str">
        <f>VLOOKUP($C2253,Carpetas!$C$5:$M$2666,6,FALSE)</f>
        <v>Amaro</v>
      </c>
      <c r="I2253" s="27" t="str">
        <f>VLOOKUP($C2253,Carpetas!$C$5:$M$2666,3,FALSE)</f>
        <v>Etimex</v>
      </c>
      <c r="J2253" s="47">
        <v>46146</v>
      </c>
      <c r="K2253" s="72" t="str">
        <f>VLOOKUP($C2253,Carpetas!$C$5:$M$2666,5,FALSE)</f>
        <v>Rio Branco</v>
      </c>
      <c r="L2253" s="72" t="str">
        <f>VLOOKUP($C2253,Carpetas!$C$5:$M$2666,4,FALSE)</f>
        <v>Banana</v>
      </c>
      <c r="M2253" s="48">
        <f t="shared" si="160"/>
        <v>46147</v>
      </c>
      <c r="N2253" s="26">
        <f t="shared" si="157"/>
        <v>4</v>
      </c>
      <c r="O2253" s="27">
        <v>1008</v>
      </c>
      <c r="P2253" s="27">
        <v>1008</v>
      </c>
      <c r="Q2253" s="27">
        <v>28</v>
      </c>
      <c r="R2253" s="27">
        <v>25.5</v>
      </c>
      <c r="S2253" s="27" t="s">
        <v>5878</v>
      </c>
      <c r="T2253" s="27"/>
      <c r="U2253" s="27">
        <v>28527</v>
      </c>
      <c r="V2253" s="27" t="s">
        <v>2986</v>
      </c>
      <c r="W2253" s="27" t="s">
        <v>4461</v>
      </c>
      <c r="X2253" s="128"/>
      <c r="Y2253" s="73" t="e">
        <f>VLOOKUP(X2253,Choferes!$B$3:C444,2,FALSE)</f>
        <v>#N/A</v>
      </c>
      <c r="Z2253" s="73" t="s">
        <v>5879</v>
      </c>
    </row>
    <row r="2254" spans="1:26" ht="16.5" hidden="1" customHeight="1" x14ac:dyDescent="0.25">
      <c r="A2254" s="222">
        <v>17</v>
      </c>
      <c r="B2254" s="71" t="s">
        <v>29</v>
      </c>
      <c r="C2254" s="39" t="s">
        <v>5880</v>
      </c>
      <c r="D2254" s="106" t="s">
        <v>2474</v>
      </c>
      <c r="E2254" s="47">
        <v>46143</v>
      </c>
      <c r="F2254" s="31" t="str">
        <f>VLOOKUP($C2254,Carpetas!$C$5:$M$2666,2,FALSE)</f>
        <v>BRB043/26</v>
      </c>
      <c r="G2254" s="23" t="str">
        <f>VLOOKUP($C2254,Carpetas!$C$5:$M$2666,10,FALSE)</f>
        <v>155,72,93</v>
      </c>
      <c r="H2254" s="27" t="str">
        <f>VLOOKUP($C2254,Carpetas!$C$5:$M$2666,6,FALSE)</f>
        <v>Amaro</v>
      </c>
      <c r="I2254" s="27" t="str">
        <f>VLOOKUP($C2254,Carpetas!$C$5:$M$2666,3,FALSE)</f>
        <v>Etimex</v>
      </c>
      <c r="J2254" s="47">
        <v>46146</v>
      </c>
      <c r="K2254" s="72" t="str">
        <f>VLOOKUP($C2254,Carpetas!$C$5:$M$2666,5,FALSE)</f>
        <v>Rio Branco</v>
      </c>
      <c r="L2254" s="72" t="str">
        <f>VLOOKUP($C2254,Carpetas!$C$5:$M$2666,4,FALSE)</f>
        <v>Banana</v>
      </c>
      <c r="M2254" s="48">
        <f t="shared" si="160"/>
        <v>46147</v>
      </c>
      <c r="N2254" s="26">
        <f t="shared" si="157"/>
        <v>4</v>
      </c>
      <c r="O2254" s="27">
        <v>1008</v>
      </c>
      <c r="P2254" s="27">
        <v>1008</v>
      </c>
      <c r="Q2254" s="27">
        <v>28</v>
      </c>
      <c r="R2254" s="27">
        <v>26</v>
      </c>
      <c r="S2254" s="27" t="s">
        <v>3815</v>
      </c>
      <c r="T2254" s="27"/>
      <c r="U2254" s="27">
        <v>28536</v>
      </c>
      <c r="V2254" s="27" t="s">
        <v>4509</v>
      </c>
      <c r="W2254" s="27" t="s">
        <v>1801</v>
      </c>
      <c r="X2254" s="128"/>
      <c r="Y2254" s="73" t="e">
        <f>VLOOKUP(X2254,Choferes!$B$3:C445,2,FALSE)</f>
        <v>#N/A</v>
      </c>
      <c r="Z2254" s="73" t="s">
        <v>5881</v>
      </c>
    </row>
    <row r="2255" spans="1:26" ht="16.5" hidden="1" customHeight="1" x14ac:dyDescent="0.25">
      <c r="A2255" s="222">
        <v>17</v>
      </c>
      <c r="B2255" s="71" t="s">
        <v>29</v>
      </c>
      <c r="C2255" s="39" t="s">
        <v>5803</v>
      </c>
      <c r="D2255" s="106" t="s">
        <v>2202</v>
      </c>
      <c r="E2255" s="47">
        <v>46144</v>
      </c>
      <c r="F2255" s="31" t="str">
        <f>VLOOKUP($C2255,Carpetas!$C$5:$M$2666,2,FALSE)</f>
        <v>BRB037-26</v>
      </c>
      <c r="G2255" s="23" t="str">
        <f>VLOOKUP($C2255,Carpetas!$C$5:$M$2666,10,FALSE)</f>
        <v>155,52,48</v>
      </c>
      <c r="H2255" s="27" t="str">
        <f>VLOOKUP($C2255,Carpetas!$C$5:$M$2666,6,FALSE)</f>
        <v>AXT</v>
      </c>
      <c r="I2255" s="27" t="str">
        <f>VLOOKUP($C2255,Carpetas!$C$5:$M$2666,3,FALSE)</f>
        <v>A&amp;A</v>
      </c>
      <c r="J2255" s="47">
        <f>E2255+2</f>
        <v>46146</v>
      </c>
      <c r="K2255" s="72" t="str">
        <f>VLOOKUP($C2255,Carpetas!$C$5:$M$2666,5,FALSE)</f>
        <v>Chuy</v>
      </c>
      <c r="L2255" s="72" t="str">
        <f>VLOOKUP($C2255,Carpetas!$C$5:$M$2666,4,FALSE)</f>
        <v>Banana</v>
      </c>
      <c r="M2255" s="48">
        <f t="shared" si="160"/>
        <v>46147</v>
      </c>
      <c r="N2255" s="26">
        <f t="shared" si="157"/>
        <v>3</v>
      </c>
      <c r="O2255" s="27">
        <v>936</v>
      </c>
      <c r="P2255" s="27">
        <v>936</v>
      </c>
      <c r="Q2255" s="27">
        <v>26</v>
      </c>
      <c r="R2255" s="27">
        <v>25</v>
      </c>
      <c r="S2255" s="27" t="s">
        <v>5170</v>
      </c>
      <c r="T2255" s="27"/>
      <c r="U2255" s="27"/>
      <c r="V2255" s="27" t="s">
        <v>5882</v>
      </c>
      <c r="W2255" s="27" t="s">
        <v>5883</v>
      </c>
      <c r="X2255" s="128"/>
      <c r="Y2255" s="73" t="e">
        <f>VLOOKUP(X2255,Choferes!$B$3:C440,2,FALSE)</f>
        <v>#N/A</v>
      </c>
      <c r="Z2255" s="73" t="s">
        <v>5884</v>
      </c>
    </row>
    <row r="2256" spans="1:26" ht="16.5" hidden="1" customHeight="1" x14ac:dyDescent="0.25">
      <c r="A2256" s="222">
        <v>17</v>
      </c>
      <c r="B2256" s="71" t="s">
        <v>298</v>
      </c>
      <c r="C2256" s="39" t="s">
        <v>299</v>
      </c>
      <c r="D2256" s="106" t="s">
        <v>803</v>
      </c>
      <c r="E2256" s="47">
        <v>46144</v>
      </c>
      <c r="F2256" s="31" t="str">
        <f>VLOOKUP($C2256,Carpetas!$C$5:$M$2666,2,FALSE)</f>
        <v>BRB</v>
      </c>
      <c r="G2256" s="23" t="e">
        <f>VLOOKUP($C2256,Carpetas!$C$5:$M$2666,9,FALSE)</f>
        <v>#REF!</v>
      </c>
      <c r="H2256" s="27" t="str">
        <f>VLOOKUP($C2256,Carpetas!$C$5:$M$2666,5,FALSE)</f>
        <v>xx</v>
      </c>
      <c r="I2256" s="27" t="str">
        <f>VLOOKUP($C2256,Carpetas!$C$5:$M$2666,3,FALSE)</f>
        <v>xx</v>
      </c>
      <c r="J2256" s="47">
        <f>E2256+2</f>
        <v>46146</v>
      </c>
      <c r="K2256" s="72">
        <f>VLOOKUP($C2256,Carpetas!$C$5:$M$2666,4,FALSE)</f>
        <v>0</v>
      </c>
      <c r="L2256" s="32"/>
      <c r="M2256" s="48">
        <f t="shared" si="160"/>
        <v>46147</v>
      </c>
      <c r="N2256" s="26">
        <f t="shared" si="157"/>
        <v>3</v>
      </c>
      <c r="O2256" s="27">
        <v>1008</v>
      </c>
      <c r="P2256" s="27"/>
      <c r="Q2256" s="27"/>
      <c r="R2256" s="27"/>
      <c r="S2256" s="27"/>
      <c r="T2256" s="27"/>
      <c r="U2256" s="27"/>
      <c r="V2256" s="27"/>
      <c r="W2256" s="27"/>
      <c r="X2256" s="128"/>
      <c r="Y2256" s="73" t="e">
        <f>VLOOKUP(X2256,Choferes!$B$3:C448,2,FALSE)</f>
        <v>#N/A</v>
      </c>
      <c r="Z2256" s="73"/>
    </row>
    <row r="2257" spans="1:26" ht="16.5" hidden="1" customHeight="1" x14ac:dyDescent="0.25">
      <c r="A2257" s="222">
        <v>17</v>
      </c>
      <c r="B2257" s="71" t="s">
        <v>29</v>
      </c>
      <c r="C2257" s="39" t="s">
        <v>5885</v>
      </c>
      <c r="D2257" s="106" t="s">
        <v>38</v>
      </c>
      <c r="E2257" s="47">
        <v>46143</v>
      </c>
      <c r="F2257" s="31" t="str">
        <f>VLOOKUP($C2257,Carpetas!$C$5:$M$2666,2,FALSE)</f>
        <v>BRE025-26</v>
      </c>
      <c r="G2257" s="23" t="str">
        <f>VLOOKUP($C2257,Carpetas!$C$5:$M$2666,10,FALSE)</f>
        <v>Runaev 4036/00/01</v>
      </c>
      <c r="H2257" s="27" t="str">
        <f>VLOOKUP($C2257,Carpetas!$C$5:$M$2666,6,FALSE)</f>
        <v>Chabat</v>
      </c>
      <c r="I2257" s="27" t="str">
        <f>VLOOKUP($C2257,Carpetas!$C$5:$M$2666,3,FALSE)</f>
        <v>Etimex</v>
      </c>
      <c r="J2257" s="47">
        <v>46147</v>
      </c>
      <c r="K2257" s="72" t="str">
        <f>VLOOKUP($C2257,Carpetas!$C$5:$M$2666,5,FALSE)</f>
        <v>Rio Branco</v>
      </c>
      <c r="L2257" s="72" t="str">
        <f>VLOOKUP($C2257,Carpetas!$C$5:$M$2666,4,FALSE)</f>
        <v>Maní</v>
      </c>
      <c r="M2257" s="48">
        <f t="shared" si="160"/>
        <v>46148</v>
      </c>
      <c r="N2257" s="26">
        <f t="shared" si="157"/>
        <v>5</v>
      </c>
      <c r="O2257" s="27">
        <v>2600</v>
      </c>
      <c r="P2257" s="27">
        <v>2600</v>
      </c>
      <c r="Q2257" s="27"/>
      <c r="R2257" s="27">
        <v>10</v>
      </c>
      <c r="S2257" s="27" t="s">
        <v>5886</v>
      </c>
      <c r="T2257" s="27"/>
      <c r="U2257" s="27">
        <v>2556</v>
      </c>
      <c r="V2257" s="27" t="s">
        <v>5887</v>
      </c>
      <c r="W2257" s="27" t="s">
        <v>5888</v>
      </c>
      <c r="X2257" s="128"/>
      <c r="Y2257" s="73" t="e">
        <f>VLOOKUP(X2257,Choferes!$B$3:C453,2,FALSE)</f>
        <v>#N/A</v>
      </c>
      <c r="Z2257" s="73" t="s">
        <v>5889</v>
      </c>
    </row>
    <row r="2258" spans="1:26" ht="16.5" hidden="1" customHeight="1" x14ac:dyDescent="0.25">
      <c r="A2258" s="222">
        <v>18</v>
      </c>
      <c r="B2258" s="71" t="s">
        <v>29</v>
      </c>
      <c r="C2258" s="39" t="s">
        <v>5890</v>
      </c>
      <c r="D2258" s="106" t="s">
        <v>121</v>
      </c>
      <c r="E2258" s="47">
        <v>46144</v>
      </c>
      <c r="F2258" s="31" t="str">
        <f>VLOOKUP($C2258,Carpetas!$C$5:$M$2666,2,FALSE)</f>
        <v>PYB020-26</v>
      </c>
      <c r="G2258" s="23">
        <f>VLOOKUP($C2258,Carpetas!$C$5:$M$2666,10,FALSE)</f>
        <v>1557465</v>
      </c>
      <c r="H2258" s="27" t="str">
        <f>VLOOKUP($C2258,Carpetas!$C$5:$M$2666,6,FALSE)</f>
        <v>Compass</v>
      </c>
      <c r="I2258" s="27" t="str">
        <f>VLOOKUP($C2258,Carpetas!$C$5:$M$2666,3,FALSE)</f>
        <v>Diego Fernandez</v>
      </c>
      <c r="J2258" s="47">
        <f>E2258+3</f>
        <v>46147</v>
      </c>
      <c r="K2258" s="72" t="str">
        <f>VLOOKUP($C2258,Carpetas!$C$5:$M$2666,5,FALSE)</f>
        <v>Salto</v>
      </c>
      <c r="L2258" s="72" t="str">
        <f>VLOOKUP($C2258,Carpetas!$C$5:$M$2666,4,FALSE)</f>
        <v>Banana</v>
      </c>
      <c r="M2258" s="48">
        <f t="shared" si="160"/>
        <v>46148</v>
      </c>
      <c r="N2258" s="26">
        <f t="shared" ref="N2258:N2321" si="161">IF(E2258&lt;&gt;"",M2258-E2258,"-")</f>
        <v>4</v>
      </c>
      <c r="O2258" s="27">
        <v>980</v>
      </c>
      <c r="P2258" s="27">
        <v>981</v>
      </c>
      <c r="Q2258" s="27">
        <v>28</v>
      </c>
      <c r="R2258" s="27">
        <v>27</v>
      </c>
      <c r="S2258" s="27" t="s">
        <v>535</v>
      </c>
      <c r="T2258" s="27"/>
      <c r="U2258" s="27"/>
      <c r="V2258" s="27" t="s">
        <v>5891</v>
      </c>
      <c r="W2258" s="27" t="s">
        <v>5892</v>
      </c>
      <c r="X2258" s="128"/>
      <c r="Y2258" s="73" t="e">
        <f>VLOOKUP(X2258,Choferes!$B$3:C438,2,FALSE)</f>
        <v>#N/A</v>
      </c>
      <c r="Z2258" s="73" t="s">
        <v>5893</v>
      </c>
    </row>
    <row r="2259" spans="1:26" ht="16.5" hidden="1" customHeight="1" x14ac:dyDescent="0.25">
      <c r="A2259" s="222">
        <v>18</v>
      </c>
      <c r="B2259" s="71" t="s">
        <v>29</v>
      </c>
      <c r="C2259" s="39" t="s">
        <v>5890</v>
      </c>
      <c r="D2259" s="106" t="s">
        <v>121</v>
      </c>
      <c r="E2259" s="47">
        <v>46145</v>
      </c>
      <c r="F2259" s="31" t="str">
        <f>VLOOKUP($C2259,Carpetas!$C$5:$M$2666,2,FALSE)</f>
        <v>PYB020-26</v>
      </c>
      <c r="G2259" s="23">
        <f>VLOOKUP($C2259,Carpetas!$C$5:$M$2666,10,FALSE)</f>
        <v>1557465</v>
      </c>
      <c r="H2259" s="27" t="str">
        <f>VLOOKUP($C2259,Carpetas!$C$5:$M$2666,6,FALSE)</f>
        <v>Compass</v>
      </c>
      <c r="I2259" s="27" t="str">
        <f>VLOOKUP($C2259,Carpetas!$C$5:$M$2666,3,FALSE)</f>
        <v>Diego Fernandez</v>
      </c>
      <c r="J2259" s="47">
        <f>E2259+3</f>
        <v>46148</v>
      </c>
      <c r="K2259" s="72" t="str">
        <f>VLOOKUP($C2259,Carpetas!$C$5:$M$2666,5,FALSE)</f>
        <v>Salto</v>
      </c>
      <c r="L2259" s="72" t="str">
        <f>VLOOKUP($C2259,Carpetas!$C$5:$M$2666,4,FALSE)</f>
        <v>Banana</v>
      </c>
      <c r="M2259" s="48">
        <f t="shared" si="160"/>
        <v>46149</v>
      </c>
      <c r="N2259" s="26">
        <f t="shared" si="161"/>
        <v>4</v>
      </c>
      <c r="O2259" s="27">
        <v>980</v>
      </c>
      <c r="P2259" s="27">
        <v>982</v>
      </c>
      <c r="Q2259" s="27">
        <v>28</v>
      </c>
      <c r="R2259" s="27">
        <v>26</v>
      </c>
      <c r="S2259" s="27" t="s">
        <v>594</v>
      </c>
      <c r="T2259" s="27"/>
      <c r="U2259" s="27"/>
      <c r="V2259" s="27"/>
      <c r="W2259" s="27"/>
      <c r="X2259" s="128"/>
      <c r="Y2259" s="73" t="e">
        <f>VLOOKUP(X2259,Choferes!$B$3:C439,2,FALSE)</f>
        <v>#N/A</v>
      </c>
      <c r="Z2259" s="73" t="s">
        <v>5894</v>
      </c>
    </row>
    <row r="2260" spans="1:26" ht="16.5" hidden="1" customHeight="1" x14ac:dyDescent="0.25">
      <c r="A2260" s="222">
        <v>18</v>
      </c>
      <c r="B2260" s="71" t="s">
        <v>29</v>
      </c>
      <c r="C2260" s="39" t="s">
        <v>5895</v>
      </c>
      <c r="D2260" s="106" t="s">
        <v>183</v>
      </c>
      <c r="E2260" s="47">
        <v>46145</v>
      </c>
      <c r="F2260" s="31" t="str">
        <f>VLOOKUP($C2260,Carpetas!$C$5:$M$2666,2,FALSE)</f>
        <v>PYB021-26</v>
      </c>
      <c r="G2260" s="23">
        <f>VLOOKUP($C2260,Carpetas!$C$5:$M$2666,10,FALSE)</f>
        <v>1557467</v>
      </c>
      <c r="H2260" s="27" t="str">
        <f>VLOOKUP($C2260,Carpetas!$C$5:$M$2666,6,FALSE)</f>
        <v>Mega Logistica</v>
      </c>
      <c r="I2260" s="27" t="str">
        <f>VLOOKUP($C2260,Carpetas!$C$5:$M$2666,3,FALSE)</f>
        <v>Hugo Franco</v>
      </c>
      <c r="J2260" s="47">
        <f>E2260+3</f>
        <v>46148</v>
      </c>
      <c r="K2260" s="72" t="str">
        <f>VLOOKUP($C2260,Carpetas!$C$5:$M$2666,5,FALSE)</f>
        <v>Salto</v>
      </c>
      <c r="L2260" s="72" t="str">
        <f>VLOOKUP($C2260,Carpetas!$C$5:$M$2666,4,FALSE)</f>
        <v>Banana</v>
      </c>
      <c r="M2260" s="48">
        <f t="shared" si="160"/>
        <v>46149</v>
      </c>
      <c r="N2260" s="26">
        <f t="shared" si="161"/>
        <v>4</v>
      </c>
      <c r="O2260" s="27">
        <v>936</v>
      </c>
      <c r="P2260" s="27">
        <v>936</v>
      </c>
      <c r="Q2260" s="27">
        <v>26</v>
      </c>
      <c r="R2260" s="27">
        <v>26</v>
      </c>
      <c r="S2260" s="27" t="s">
        <v>697</v>
      </c>
      <c r="T2260" s="27"/>
      <c r="U2260" s="27"/>
      <c r="V2260" s="27"/>
      <c r="W2260" s="27"/>
      <c r="X2260" s="128"/>
      <c r="Y2260" s="73" t="e">
        <f>VLOOKUP(X2260,Choferes!$B$3:C440,2,FALSE)</f>
        <v>#N/A</v>
      </c>
      <c r="Z2260" s="73" t="s">
        <v>5896</v>
      </c>
    </row>
    <row r="2261" spans="1:26" ht="16.5" hidden="1" customHeight="1" x14ac:dyDescent="0.25">
      <c r="A2261" s="222">
        <v>18</v>
      </c>
      <c r="B2261" s="71" t="s">
        <v>29</v>
      </c>
      <c r="C2261" s="39" t="s">
        <v>5895</v>
      </c>
      <c r="D2261" s="106" t="s">
        <v>183</v>
      </c>
      <c r="E2261" s="47">
        <v>46145</v>
      </c>
      <c r="F2261" s="31" t="str">
        <f>VLOOKUP($C2261,Carpetas!$C$5:$M$2666,2,FALSE)</f>
        <v>PYB021-26</v>
      </c>
      <c r="G2261" s="23">
        <f>VLOOKUP($C2261,Carpetas!$C$5:$M$2666,10,FALSE)</f>
        <v>1557467</v>
      </c>
      <c r="H2261" s="27" t="str">
        <f>VLOOKUP($C2261,Carpetas!$C$5:$M$2666,6,FALSE)</f>
        <v>Mega Logistica</v>
      </c>
      <c r="I2261" s="27" t="str">
        <f>VLOOKUP($C2261,Carpetas!$C$5:$M$2666,3,FALSE)</f>
        <v>Hugo Franco</v>
      </c>
      <c r="J2261" s="47">
        <f>E2261+3</f>
        <v>46148</v>
      </c>
      <c r="K2261" s="72" t="str">
        <f>VLOOKUP($C2261,Carpetas!$C$5:$M$2666,5,FALSE)</f>
        <v>Salto</v>
      </c>
      <c r="L2261" s="72" t="str">
        <f>VLOOKUP($C2261,Carpetas!$C$5:$M$2666,4,FALSE)</f>
        <v>Banana</v>
      </c>
      <c r="M2261" s="48">
        <f t="shared" si="160"/>
        <v>46149</v>
      </c>
      <c r="N2261" s="26">
        <f t="shared" si="161"/>
        <v>4</v>
      </c>
      <c r="O2261" s="27">
        <v>936</v>
      </c>
      <c r="P2261" s="27">
        <v>936</v>
      </c>
      <c r="Q2261" s="27">
        <v>26</v>
      </c>
      <c r="R2261" s="27">
        <v>27</v>
      </c>
      <c r="S2261" s="27" t="s">
        <v>680</v>
      </c>
      <c r="T2261" s="27"/>
      <c r="U2261" s="27"/>
      <c r="V2261" s="27"/>
      <c r="W2261" s="27"/>
      <c r="X2261" s="128"/>
      <c r="Y2261" s="73" t="e">
        <f>VLOOKUP(X2261,Choferes!$B$3:C441,2,FALSE)</f>
        <v>#N/A</v>
      </c>
      <c r="Z2261" s="73" t="s">
        <v>5896</v>
      </c>
    </row>
    <row r="2262" spans="1:26" ht="16.5" hidden="1" customHeight="1" x14ac:dyDescent="0.25">
      <c r="A2262" s="222">
        <v>17</v>
      </c>
      <c r="B2262" s="71" t="s">
        <v>29</v>
      </c>
      <c r="C2262" s="39" t="s">
        <v>5897</v>
      </c>
      <c r="D2262" s="106" t="s">
        <v>38</v>
      </c>
      <c r="E2262" s="47">
        <v>46144</v>
      </c>
      <c r="F2262" s="31" t="str">
        <f>VLOOKUP($C2262,Carpetas!$C$5:$M$2666,2,FALSE)</f>
        <v>BRE026-26</v>
      </c>
      <c r="G2262" s="23">
        <f>VLOOKUP($C2262,Carpetas!$C$5:$M$2666,10,FALSE)</f>
        <v>1557028</v>
      </c>
      <c r="H2262" s="27" t="str">
        <f>VLOOKUP($C2262,Carpetas!$C$5:$M$2666,6,FALSE)</f>
        <v xml:space="preserve">Silvio </v>
      </c>
      <c r="I2262" s="27" t="str">
        <f>VLOOKUP($C2262,Carpetas!$C$5:$M$2666,3,FALSE)</f>
        <v>Jaguacy</v>
      </c>
      <c r="J2262" s="47">
        <v>46148</v>
      </c>
      <c r="K2262" s="72" t="str">
        <f>VLOOKUP($C2262,Carpetas!$C$5:$M$2666,5,FALSE)</f>
        <v>Chuy</v>
      </c>
      <c r="L2262" s="72" t="str">
        <f>VLOOKUP($C2262,Carpetas!$C$5:$M$2666,4,FALSE)</f>
        <v>Palta</v>
      </c>
      <c r="M2262" s="48">
        <f t="shared" si="160"/>
        <v>46149</v>
      </c>
      <c r="N2262" s="26">
        <f t="shared" si="161"/>
        <v>5</v>
      </c>
      <c r="O2262" s="27">
        <v>2304</v>
      </c>
      <c r="P2262" s="27">
        <v>2304</v>
      </c>
      <c r="Q2262" s="27">
        <v>24</v>
      </c>
      <c r="R2262" s="27"/>
      <c r="S2262" s="27"/>
      <c r="T2262" s="27"/>
      <c r="U2262" s="27"/>
      <c r="V2262" s="27"/>
      <c r="W2262" s="27"/>
      <c r="X2262" s="128"/>
      <c r="Y2262" s="73" t="e">
        <f>VLOOKUP(X2262,Choferes!$B$3:C437,2,FALSE)</f>
        <v>#N/A</v>
      </c>
      <c r="Z2262" s="73" t="s">
        <v>5898</v>
      </c>
    </row>
    <row r="2263" spans="1:26" ht="16.5" hidden="1" customHeight="1" x14ac:dyDescent="0.25">
      <c r="A2263" s="222">
        <v>18</v>
      </c>
      <c r="B2263" s="71" t="s">
        <v>29</v>
      </c>
      <c r="C2263" s="39" t="s">
        <v>5880</v>
      </c>
      <c r="D2263" s="106" t="s">
        <v>2474</v>
      </c>
      <c r="E2263" s="47">
        <v>46147</v>
      </c>
      <c r="F2263" s="31" t="str">
        <f>VLOOKUP($C2263,Carpetas!$C$5:$M$2666,2,FALSE)</f>
        <v>BRB043/26</v>
      </c>
      <c r="G2263" s="23" t="str">
        <f>VLOOKUP($C2263,Carpetas!$C$5:$M$2666,10,FALSE)</f>
        <v>155,72,93</v>
      </c>
      <c r="H2263" s="27" t="str">
        <f>VLOOKUP($C2263,Carpetas!$C$5:$M$2666,6,FALSE)</f>
        <v>Amaro</v>
      </c>
      <c r="I2263" s="27" t="str">
        <f>VLOOKUP($C2263,Carpetas!$C$5:$M$2666,3,FALSE)</f>
        <v>Etimex</v>
      </c>
      <c r="J2263" s="47">
        <v>46148</v>
      </c>
      <c r="K2263" s="72" t="str">
        <f>VLOOKUP($C2263,Carpetas!$C$5:$M$2666,5,FALSE)</f>
        <v>Rio Branco</v>
      </c>
      <c r="L2263" s="72" t="str">
        <f>VLOOKUP($C2263,Carpetas!$C$5:$M$2666,4,FALSE)</f>
        <v>Banana</v>
      </c>
      <c r="M2263" s="48">
        <f t="shared" si="160"/>
        <v>46149</v>
      </c>
      <c r="N2263" s="26">
        <f t="shared" si="161"/>
        <v>2</v>
      </c>
      <c r="O2263" s="27">
        <v>1008</v>
      </c>
      <c r="P2263" s="27">
        <v>1008</v>
      </c>
      <c r="Q2263" s="27">
        <v>28</v>
      </c>
      <c r="R2263" s="27">
        <v>26</v>
      </c>
      <c r="S2263" s="27" t="s">
        <v>3844</v>
      </c>
      <c r="T2263" s="27"/>
      <c r="U2263" s="27">
        <v>28548</v>
      </c>
      <c r="V2263" s="27" t="s">
        <v>1617</v>
      </c>
      <c r="W2263" s="27" t="s">
        <v>1618</v>
      </c>
      <c r="X2263" s="128"/>
      <c r="Y2263" s="73" t="e">
        <f>VLOOKUP(X2263,Choferes!$B$3:C443,2,FALSE)</f>
        <v>#N/A</v>
      </c>
      <c r="Z2263" s="73" t="s">
        <v>5899</v>
      </c>
    </row>
    <row r="2264" spans="1:26" ht="16.5" hidden="1" customHeight="1" x14ac:dyDescent="0.25">
      <c r="A2264" s="222">
        <v>18</v>
      </c>
      <c r="B2264" s="71" t="s">
        <v>29</v>
      </c>
      <c r="C2264" s="39" t="s">
        <v>5900</v>
      </c>
      <c r="D2264" s="106" t="s">
        <v>110</v>
      </c>
      <c r="E2264" s="47">
        <v>46147</v>
      </c>
      <c r="F2264" s="31" t="str">
        <f>VLOOKUP($C2264,Carpetas!$C$5:$M$2666,2,FALSE)</f>
        <v>BRB042/26</v>
      </c>
      <c r="G2264" s="23" t="str">
        <f>VLOOKUP($C2264,Carpetas!$C$5:$M$2666,10,FALSE)</f>
        <v>155,72,92</v>
      </c>
      <c r="H2264" s="27" t="str">
        <f>VLOOKUP($C2264,Carpetas!$C$5:$M$2666,6,FALSE)</f>
        <v>FG</v>
      </c>
      <c r="I2264" s="27" t="str">
        <f>VLOOKUP($C2264,Carpetas!$C$5:$M$2666,3,FALSE)</f>
        <v>Etimex</v>
      </c>
      <c r="J2264" s="47">
        <v>46148</v>
      </c>
      <c r="K2264" s="72" t="str">
        <f>VLOOKUP($C2264,Carpetas!$C$5:$M$2666,5,FALSE)</f>
        <v>Rio Branco</v>
      </c>
      <c r="L2264" s="72" t="str">
        <f>VLOOKUP($C2264,Carpetas!$C$5:$M$2666,4,FALSE)</f>
        <v>Banana</v>
      </c>
      <c r="M2264" s="48">
        <f t="shared" si="160"/>
        <v>46149</v>
      </c>
      <c r="N2264" s="26">
        <f t="shared" si="161"/>
        <v>2</v>
      </c>
      <c r="O2264" s="27">
        <v>1008</v>
      </c>
      <c r="P2264" s="27">
        <v>1009</v>
      </c>
      <c r="Q2264" s="27">
        <v>28</v>
      </c>
      <c r="R2264" s="27">
        <v>26</v>
      </c>
      <c r="S2264" s="27" t="s">
        <v>3428</v>
      </c>
      <c r="T2264" s="27"/>
      <c r="U2264" s="27">
        <v>1538</v>
      </c>
      <c r="V2264" s="27" t="s">
        <v>1722</v>
      </c>
      <c r="W2264" s="27" t="s">
        <v>1723</v>
      </c>
      <c r="X2264" s="128"/>
      <c r="Y2264" s="73" t="e">
        <f>VLOOKUP(X2264,Choferes!$B$3:C444,2,FALSE)</f>
        <v>#N/A</v>
      </c>
      <c r="Z2264" s="73" t="s">
        <v>5901</v>
      </c>
    </row>
    <row r="2265" spans="1:26" ht="16.5" hidden="1" customHeight="1" x14ac:dyDescent="0.25">
      <c r="A2265" s="222">
        <v>18</v>
      </c>
      <c r="B2265" s="71" t="s">
        <v>29</v>
      </c>
      <c r="C2265" s="39" t="s">
        <v>5900</v>
      </c>
      <c r="D2265" s="106" t="s">
        <v>3124</v>
      </c>
      <c r="E2265" s="47">
        <v>46148</v>
      </c>
      <c r="F2265" s="31" t="str">
        <f>VLOOKUP($C2265,Carpetas!$C$5:$M$2666,2,FALSE)</f>
        <v>BRB042/26</v>
      </c>
      <c r="G2265" s="23" t="str">
        <f>VLOOKUP($C2265,Carpetas!$C$5:$M$2666,10,FALSE)</f>
        <v>155,72,92</v>
      </c>
      <c r="H2265" s="27" t="str">
        <f>VLOOKUP($C2265,Carpetas!$C$5:$M$2666,6,FALSE)</f>
        <v>FG</v>
      </c>
      <c r="I2265" s="27" t="str">
        <f>VLOOKUP($C2265,Carpetas!$C$5:$M$2666,3,FALSE)</f>
        <v>Etimex</v>
      </c>
      <c r="J2265" s="47">
        <v>46148</v>
      </c>
      <c r="K2265" s="72" t="str">
        <f>VLOOKUP($C2265,Carpetas!$C$5:$M$2666,5,FALSE)</f>
        <v>Rio Branco</v>
      </c>
      <c r="L2265" s="72" t="str">
        <f>VLOOKUP($C2265,Carpetas!$C$5:$M$2666,4,FALSE)</f>
        <v>Banana</v>
      </c>
      <c r="M2265" s="48">
        <f t="shared" si="160"/>
        <v>46149</v>
      </c>
      <c r="N2265" s="26">
        <f t="shared" si="161"/>
        <v>1</v>
      </c>
      <c r="O2265" s="27">
        <v>1008</v>
      </c>
      <c r="P2265" s="27">
        <v>1008</v>
      </c>
      <c r="Q2265" s="27">
        <v>28</v>
      </c>
      <c r="R2265" s="27">
        <v>26</v>
      </c>
      <c r="S2265" s="27" t="s">
        <v>5902</v>
      </c>
      <c r="T2265" s="27"/>
      <c r="U2265" s="27">
        <v>1536</v>
      </c>
      <c r="V2265" s="27" t="s">
        <v>3572</v>
      </c>
      <c r="W2265" s="27" t="s">
        <v>3412</v>
      </c>
      <c r="X2265" s="128"/>
      <c r="Y2265" s="73" t="e">
        <f>VLOOKUP(X2265,Choferes!$B$3:C446,2,FALSE)</f>
        <v>#N/A</v>
      </c>
      <c r="Z2265" s="73" t="s">
        <v>5903</v>
      </c>
    </row>
    <row r="2266" spans="1:26" ht="16.5" hidden="1" customHeight="1" x14ac:dyDescent="0.25">
      <c r="A2266" s="222">
        <v>18</v>
      </c>
      <c r="B2266" s="71" t="s">
        <v>29</v>
      </c>
      <c r="C2266" s="39" t="s">
        <v>5904</v>
      </c>
      <c r="D2266" s="106" t="s">
        <v>183</v>
      </c>
      <c r="E2266" s="47">
        <v>46146</v>
      </c>
      <c r="F2266" s="31" t="str">
        <f>VLOOKUP($C2266,Carpetas!$C$5:$M$2666,2,FALSE)</f>
        <v>PYB022-26</v>
      </c>
      <c r="G2266" s="23">
        <f>VLOOKUP($C2266,Carpetas!$C$5:$M$2666,10,FALSE)</f>
        <v>1557488</v>
      </c>
      <c r="H2266" s="27" t="str">
        <f>VLOOKUP($C2266,Carpetas!$C$5:$M$2666,6,FALSE)</f>
        <v>Mega Logistica</v>
      </c>
      <c r="I2266" s="27" t="str">
        <f>VLOOKUP($C2266,Carpetas!$C$5:$M$2666,3,FALSE)</f>
        <v>Hugo Franco</v>
      </c>
      <c r="J2266" s="47">
        <v>46149</v>
      </c>
      <c r="K2266" s="72" t="str">
        <f>VLOOKUP($C2266,Carpetas!$C$5:$M$2666,5,FALSE)</f>
        <v>Salto</v>
      </c>
      <c r="L2266" s="72" t="str">
        <f>VLOOKUP($C2266,Carpetas!$C$5:$M$2666,4,FALSE)</f>
        <v>Banana</v>
      </c>
      <c r="M2266" s="48">
        <f t="shared" si="160"/>
        <v>46150</v>
      </c>
      <c r="N2266" s="26">
        <f t="shared" si="161"/>
        <v>4</v>
      </c>
      <c r="O2266" s="27">
        <v>936</v>
      </c>
      <c r="P2266" s="27">
        <v>937</v>
      </c>
      <c r="Q2266" s="27">
        <v>26</v>
      </c>
      <c r="R2266" s="27">
        <v>27</v>
      </c>
      <c r="S2266" s="27" t="s">
        <v>699</v>
      </c>
      <c r="T2266" s="27"/>
      <c r="U2266" s="27"/>
      <c r="V2266" s="27"/>
      <c r="W2266" s="27"/>
      <c r="X2266" s="128"/>
      <c r="Y2266" s="73" t="e">
        <f>VLOOKUP(X2266,Choferes!$B$3:C442,2,FALSE)</f>
        <v>#N/A</v>
      </c>
      <c r="Z2266" s="73" t="s">
        <v>5905</v>
      </c>
    </row>
    <row r="2267" spans="1:26" hidden="1" x14ac:dyDescent="0.25">
      <c r="A2267" s="222">
        <v>18</v>
      </c>
      <c r="B2267" s="71" t="s">
        <v>29</v>
      </c>
      <c r="C2267" s="39" t="s">
        <v>5900</v>
      </c>
      <c r="D2267" s="106" t="s">
        <v>249</v>
      </c>
      <c r="E2267" s="47">
        <v>46147</v>
      </c>
      <c r="F2267" s="31" t="str">
        <f>VLOOKUP($C2267,Carpetas!$C$5:$M$2666,2,FALSE)</f>
        <v>BRB042/26</v>
      </c>
      <c r="G2267" s="23" t="str">
        <f>VLOOKUP($C2267,Carpetas!$C$5:$M$2666,10,FALSE)</f>
        <v>155,72,92</v>
      </c>
      <c r="H2267" s="27" t="str">
        <f>VLOOKUP($C2267,Carpetas!$C$5:$M$2666,6,FALSE)</f>
        <v>FG</v>
      </c>
      <c r="I2267" s="27" t="str">
        <f>VLOOKUP($C2267,Carpetas!$C$5:$M$2666,3,FALSE)</f>
        <v>Etimex</v>
      </c>
      <c r="J2267" s="47">
        <f t="shared" ref="J2267:J2276" si="162">E2267+2</f>
        <v>46149</v>
      </c>
      <c r="K2267" s="72" t="str">
        <f>VLOOKUP($C2267,Carpetas!$C$5:$M$2666,5,FALSE)</f>
        <v>Rio Branco</v>
      </c>
      <c r="L2267" s="72" t="str">
        <f>VLOOKUP($C2267,Carpetas!$C$5:$M$2666,4,FALSE)</f>
        <v>Banana</v>
      </c>
      <c r="M2267" s="48">
        <f t="shared" si="160"/>
        <v>46150</v>
      </c>
      <c r="N2267" s="26">
        <f t="shared" si="161"/>
        <v>3</v>
      </c>
      <c r="O2267" s="27">
        <v>1008</v>
      </c>
      <c r="P2267" s="27">
        <v>1008</v>
      </c>
      <c r="Q2267" s="27">
        <v>28</v>
      </c>
      <c r="R2267" s="27">
        <v>26</v>
      </c>
      <c r="S2267" s="27" t="s">
        <v>2277</v>
      </c>
      <c r="T2267" s="27"/>
      <c r="U2267" s="27">
        <v>1539</v>
      </c>
      <c r="V2267" s="27" t="s">
        <v>911</v>
      </c>
      <c r="W2267" s="27" t="s">
        <v>1646</v>
      </c>
      <c r="X2267" s="128"/>
      <c r="Y2267" s="73" t="e">
        <f>VLOOKUP(X2267,Choferes!$B$3:C445,2,FALSE)</f>
        <v>#N/A</v>
      </c>
      <c r="Z2267" s="73" t="s">
        <v>5906</v>
      </c>
    </row>
    <row r="2268" spans="1:26" ht="16.5" hidden="1" customHeight="1" x14ac:dyDescent="0.25">
      <c r="A2268" s="222">
        <v>18</v>
      </c>
      <c r="B2268" s="71" t="s">
        <v>29</v>
      </c>
      <c r="C2268" s="39" t="s">
        <v>5900</v>
      </c>
      <c r="D2268" s="106" t="s">
        <v>5780</v>
      </c>
      <c r="E2268" s="47">
        <v>46148</v>
      </c>
      <c r="F2268" s="31" t="str">
        <f>VLOOKUP($C2268,Carpetas!$C$5:$M$2666,2,FALSE)</f>
        <v>BRB042/26</v>
      </c>
      <c r="G2268" s="23" t="str">
        <f>VLOOKUP($C2268,Carpetas!$C$5:$M$2666,10,FALSE)</f>
        <v>155,72,92</v>
      </c>
      <c r="H2268" s="27" t="str">
        <f>VLOOKUP($C2268,Carpetas!$C$5:$M$2666,6,FALSE)</f>
        <v>FG</v>
      </c>
      <c r="I2268" s="27" t="str">
        <f>VLOOKUP($C2268,Carpetas!$C$5:$M$2666,3,FALSE)</f>
        <v>Etimex</v>
      </c>
      <c r="J2268" s="47">
        <f t="shared" si="162"/>
        <v>46150</v>
      </c>
      <c r="K2268" s="72" t="str">
        <f>VLOOKUP($C2268,Carpetas!$C$5:$M$2666,5,FALSE)</f>
        <v>Rio Branco</v>
      </c>
      <c r="L2268" s="72" t="str">
        <f>VLOOKUP($C2268,Carpetas!$C$5:$M$2666,4,FALSE)</f>
        <v>Banana</v>
      </c>
      <c r="M2268" s="48">
        <f t="shared" si="160"/>
        <v>46151</v>
      </c>
      <c r="N2268" s="26">
        <f t="shared" si="161"/>
        <v>3</v>
      </c>
      <c r="O2268" s="27">
        <v>1008</v>
      </c>
      <c r="P2268" s="27">
        <v>1008</v>
      </c>
      <c r="Q2268" s="27">
        <v>28</v>
      </c>
      <c r="R2268" s="27">
        <v>26</v>
      </c>
      <c r="S2268" s="27" t="s">
        <v>5907</v>
      </c>
      <c r="T2268" s="27"/>
      <c r="U2268" s="27">
        <v>1537</v>
      </c>
      <c r="V2268" s="27" t="s">
        <v>1430</v>
      </c>
      <c r="W2268" s="27" t="s">
        <v>5449</v>
      </c>
      <c r="X2268" s="128"/>
      <c r="Y2268" s="73" t="e">
        <f>VLOOKUP(X2268,Choferes!$B$3:C447,2,FALSE)</f>
        <v>#N/A</v>
      </c>
      <c r="Z2268" s="73" t="s">
        <v>5906</v>
      </c>
    </row>
    <row r="2269" spans="1:26" ht="16.5" hidden="1" customHeight="1" x14ac:dyDescent="0.25">
      <c r="A2269" s="222">
        <v>18</v>
      </c>
      <c r="B2269" s="71" t="s">
        <v>29</v>
      </c>
      <c r="C2269" s="39" t="s">
        <v>5908</v>
      </c>
      <c r="D2269" s="106" t="s">
        <v>2202</v>
      </c>
      <c r="E2269" s="47">
        <v>46148</v>
      </c>
      <c r="F2269" s="31" t="str">
        <f>VLOOKUP($C2269,Carpetas!$C$5:$M$2666,2,FALSE)</f>
        <v>BRB044/26</v>
      </c>
      <c r="G2269" s="23">
        <f>VLOOKUP($C2269,Carpetas!$C$5:$M$2666,10,FALSE)</f>
        <v>1556822</v>
      </c>
      <c r="H2269" s="27" t="str">
        <f>VLOOKUP($C2269,Carpetas!$C$5:$M$2666,6,FALSE)</f>
        <v>AXT</v>
      </c>
      <c r="I2269" s="27" t="str">
        <f>VLOOKUP($C2269,Carpetas!$C$5:$M$2666,3,FALSE)</f>
        <v>A&amp;A</v>
      </c>
      <c r="J2269" s="47">
        <f t="shared" si="162"/>
        <v>46150</v>
      </c>
      <c r="K2269" s="72" t="str">
        <f>VLOOKUP($C2269,Carpetas!$C$5:$M$2666,5,FALSE)</f>
        <v>Chuy</v>
      </c>
      <c r="L2269" s="72" t="str">
        <f>VLOOKUP($C2269,Carpetas!$C$5:$M$2666,4,FALSE)</f>
        <v>Banana</v>
      </c>
      <c r="M2269" s="48">
        <f t="shared" si="160"/>
        <v>46151</v>
      </c>
      <c r="N2269" s="26">
        <f t="shared" si="161"/>
        <v>3</v>
      </c>
      <c r="O2269" s="27">
        <v>936</v>
      </c>
      <c r="P2269" s="27">
        <v>936</v>
      </c>
      <c r="Q2269" s="27">
        <v>26</v>
      </c>
      <c r="R2269" s="27">
        <v>26</v>
      </c>
      <c r="S2269" s="27" t="s">
        <v>5201</v>
      </c>
      <c r="T2269" s="27"/>
      <c r="U2269" s="27"/>
      <c r="V2269" s="27" t="s">
        <v>5619</v>
      </c>
      <c r="W2269" s="27" t="s">
        <v>5511</v>
      </c>
      <c r="X2269" s="128"/>
      <c r="Y2269" s="73" t="e">
        <f>VLOOKUP(X2269,Choferes!$B$3:C448,2,FALSE)</f>
        <v>#N/A</v>
      </c>
      <c r="Z2269" s="73" t="s">
        <v>5909</v>
      </c>
    </row>
    <row r="2270" spans="1:26" ht="16.5" hidden="1" customHeight="1" x14ac:dyDescent="0.25">
      <c r="A2270" s="222">
        <v>18</v>
      </c>
      <c r="B2270" s="71" t="s">
        <v>29</v>
      </c>
      <c r="C2270" s="39" t="s">
        <v>5880</v>
      </c>
      <c r="D2270" s="106" t="s">
        <v>2474</v>
      </c>
      <c r="E2270" s="47">
        <v>46150</v>
      </c>
      <c r="F2270" s="31" t="str">
        <f>VLOOKUP($C2270,Carpetas!$C$5:$M$2666,2,FALSE)</f>
        <v>BRB043/26</v>
      </c>
      <c r="G2270" s="23" t="str">
        <f>VLOOKUP($C2270,Carpetas!$C$5:$M$2666,10,FALSE)</f>
        <v>155,72,93</v>
      </c>
      <c r="H2270" s="27" t="str">
        <f>VLOOKUP($C2270,Carpetas!$C$5:$M$2666,6,FALSE)</f>
        <v>Amaro</v>
      </c>
      <c r="I2270" s="27" t="str">
        <f>VLOOKUP($C2270,Carpetas!$C$5:$M$2666,3,FALSE)</f>
        <v>Etimex</v>
      </c>
      <c r="J2270" s="47">
        <f t="shared" si="162"/>
        <v>46152</v>
      </c>
      <c r="K2270" s="72" t="str">
        <f>VLOOKUP($C2270,Carpetas!$C$5:$M$2666,5,FALSE)</f>
        <v>Rio Branco</v>
      </c>
      <c r="L2270" s="72" t="str">
        <f>VLOOKUP($C2270,Carpetas!$C$5:$M$2666,4,FALSE)</f>
        <v>Banana</v>
      </c>
      <c r="M2270" s="48">
        <f t="shared" si="160"/>
        <v>46153</v>
      </c>
      <c r="N2270" s="26">
        <f t="shared" si="161"/>
        <v>3</v>
      </c>
      <c r="O2270" s="27">
        <v>1008</v>
      </c>
      <c r="P2270" s="27">
        <v>1008</v>
      </c>
      <c r="Q2270" s="27">
        <v>28</v>
      </c>
      <c r="R2270" s="27">
        <v>26</v>
      </c>
      <c r="S2270" s="27" t="s">
        <v>3868</v>
      </c>
      <c r="T2270" s="27"/>
      <c r="U2270" s="27">
        <v>28577</v>
      </c>
      <c r="V2270" s="27" t="s">
        <v>1701</v>
      </c>
      <c r="W2270" s="27" t="s">
        <v>1702</v>
      </c>
      <c r="X2270" s="128"/>
      <c r="Y2270" s="73" t="e">
        <f>VLOOKUP(X2270,Choferes!$B$3:C449,2,FALSE)</f>
        <v>#N/A</v>
      </c>
      <c r="Z2270" s="73" t="s">
        <v>5910</v>
      </c>
    </row>
    <row r="2271" spans="1:26" ht="16.5" hidden="1" customHeight="1" x14ac:dyDescent="0.25">
      <c r="A2271" s="222">
        <v>18</v>
      </c>
      <c r="B2271" s="71" t="s">
        <v>29</v>
      </c>
      <c r="C2271" s="39" t="s">
        <v>5900</v>
      </c>
      <c r="D2271" s="106" t="s">
        <v>110</v>
      </c>
      <c r="E2271" s="47">
        <v>46150</v>
      </c>
      <c r="F2271" s="31" t="str">
        <f>VLOOKUP($C2271,Carpetas!$C$5:$M$2666,2,FALSE)</f>
        <v>BRB042/26</v>
      </c>
      <c r="G2271" s="23" t="str">
        <f>VLOOKUP($C2271,Carpetas!$C$5:$M$2666,10,FALSE)</f>
        <v>155,72,92</v>
      </c>
      <c r="H2271" s="27" t="str">
        <f>VLOOKUP($C2271,Carpetas!$C$5:$M$2666,6,FALSE)</f>
        <v>FG</v>
      </c>
      <c r="I2271" s="27" t="str">
        <f>VLOOKUP($C2271,Carpetas!$C$5:$M$2666,3,FALSE)</f>
        <v>Etimex</v>
      </c>
      <c r="J2271" s="47">
        <f t="shared" si="162"/>
        <v>46152</v>
      </c>
      <c r="K2271" s="72" t="str">
        <f>VLOOKUP($C2271,Carpetas!$C$5:$M$2666,5,FALSE)</f>
        <v>Rio Branco</v>
      </c>
      <c r="L2271" s="72" t="str">
        <f>VLOOKUP($C2271,Carpetas!$C$5:$M$2666,4,FALSE)</f>
        <v>Banana</v>
      </c>
      <c r="M2271" s="48">
        <f t="shared" si="160"/>
        <v>46153</v>
      </c>
      <c r="N2271" s="26">
        <f t="shared" si="161"/>
        <v>3</v>
      </c>
      <c r="O2271" s="27">
        <v>1008</v>
      </c>
      <c r="P2271" s="27">
        <v>1008</v>
      </c>
      <c r="Q2271" s="27">
        <v>28</v>
      </c>
      <c r="R2271" s="27">
        <v>26</v>
      </c>
      <c r="S2271" s="27" t="s">
        <v>1552</v>
      </c>
      <c r="T2271" s="27"/>
      <c r="U2271" s="27">
        <v>1542</v>
      </c>
      <c r="V2271" s="27" t="s">
        <v>1735</v>
      </c>
      <c r="W2271" s="27" t="s">
        <v>1681</v>
      </c>
      <c r="X2271" s="128"/>
      <c r="Y2271" s="73" t="e">
        <f>VLOOKUP(X2271,Choferes!$B$3:C450,2,FALSE)</f>
        <v>#N/A</v>
      </c>
      <c r="Z2271" s="73" t="s">
        <v>5911</v>
      </c>
    </row>
    <row r="2272" spans="1:26" ht="16.5" hidden="1" customHeight="1" x14ac:dyDescent="0.25">
      <c r="A2272" s="222">
        <v>18</v>
      </c>
      <c r="B2272" s="71" t="s">
        <v>29</v>
      </c>
      <c r="C2272" s="39" t="s">
        <v>5900</v>
      </c>
      <c r="D2272" s="106" t="s">
        <v>249</v>
      </c>
      <c r="E2272" s="47">
        <v>46150</v>
      </c>
      <c r="F2272" s="31" t="str">
        <f>VLOOKUP($C2272,Carpetas!$C$5:$M$2666,2,FALSE)</f>
        <v>BRB042/26</v>
      </c>
      <c r="G2272" s="23" t="str">
        <f>VLOOKUP($C2272,Carpetas!$C$5:$M$2666,10,FALSE)</f>
        <v>155,72,92</v>
      </c>
      <c r="H2272" s="27" t="str">
        <f>VLOOKUP($C2272,Carpetas!$C$5:$M$2666,6,FALSE)</f>
        <v>FG</v>
      </c>
      <c r="I2272" s="27" t="str">
        <f>VLOOKUP($C2272,Carpetas!$C$5:$M$2666,3,FALSE)</f>
        <v>Etimex</v>
      </c>
      <c r="J2272" s="47">
        <f t="shared" si="162"/>
        <v>46152</v>
      </c>
      <c r="K2272" s="72" t="str">
        <f>VLOOKUP($C2272,Carpetas!$C$5:$M$2666,5,FALSE)</f>
        <v>Rio Branco</v>
      </c>
      <c r="L2272" s="72" t="str">
        <f>VLOOKUP($C2272,Carpetas!$C$5:$M$2666,4,FALSE)</f>
        <v>Banana</v>
      </c>
      <c r="M2272" s="48">
        <f t="shared" si="160"/>
        <v>46153</v>
      </c>
      <c r="N2272" s="26">
        <f t="shared" si="161"/>
        <v>3</v>
      </c>
      <c r="O2272" s="27">
        <v>1008</v>
      </c>
      <c r="P2272" s="27">
        <v>1009</v>
      </c>
      <c r="Q2272" s="27">
        <v>28</v>
      </c>
      <c r="R2272" s="27">
        <v>26</v>
      </c>
      <c r="S2272" s="27" t="s">
        <v>2438</v>
      </c>
      <c r="T2272" s="27"/>
      <c r="U2272" s="27">
        <v>1543</v>
      </c>
      <c r="V2272" s="27" t="s">
        <v>3669</v>
      </c>
      <c r="W2272" s="27" t="s">
        <v>912</v>
      </c>
      <c r="X2272" s="128"/>
      <c r="Y2272" s="73" t="e">
        <f>VLOOKUP(X2272,Choferes!$B$3:C451,2,FALSE)</f>
        <v>#N/A</v>
      </c>
      <c r="Z2272" s="73" t="s">
        <v>5912</v>
      </c>
    </row>
    <row r="2273" spans="1:26" ht="30" hidden="1" x14ac:dyDescent="0.25">
      <c r="A2273" s="222">
        <v>18</v>
      </c>
      <c r="B2273" s="71" t="s">
        <v>29</v>
      </c>
      <c r="C2273" s="39" t="s">
        <v>5839</v>
      </c>
      <c r="D2273" s="106" t="s">
        <v>5765</v>
      </c>
      <c r="E2273" s="47">
        <v>46150</v>
      </c>
      <c r="F2273" s="31" t="str">
        <f>VLOOKUP($C2273,Carpetas!$C$5:$M$2666,2,FALSE)</f>
        <v>BRB040-26</v>
      </c>
      <c r="G2273" s="23">
        <f>VLOOKUP($C2273,Carpetas!$C$5:$M$2666,10,FALSE)</f>
        <v>1556155</v>
      </c>
      <c r="H2273" s="27" t="str">
        <f>VLOOKUP($C2273,Carpetas!$C$5:$M$2666,6,FALSE)</f>
        <v>Chabat</v>
      </c>
      <c r="I2273" s="27" t="str">
        <f>VLOOKUP($C2273,Carpetas!$C$5:$M$2666,3,FALSE)</f>
        <v>Etimex</v>
      </c>
      <c r="J2273" s="47">
        <f t="shared" si="162"/>
        <v>46152</v>
      </c>
      <c r="K2273" s="72" t="str">
        <f>VLOOKUP($C2273,Carpetas!$C$5:$M$2666,5,FALSE)</f>
        <v>Rio Branco</v>
      </c>
      <c r="L2273" s="72" t="str">
        <f>VLOOKUP($C2273,Carpetas!$C$5:$M$2666,4,FALSE)</f>
        <v>Banana</v>
      </c>
      <c r="M2273" s="48">
        <f t="shared" si="160"/>
        <v>46153</v>
      </c>
      <c r="N2273" s="26">
        <f t="shared" si="161"/>
        <v>3</v>
      </c>
      <c r="O2273" s="27">
        <v>1008</v>
      </c>
      <c r="P2273" s="27">
        <v>1008</v>
      </c>
      <c r="Q2273" s="27">
        <v>28</v>
      </c>
      <c r="R2273" s="27">
        <v>26</v>
      </c>
      <c r="S2273" s="27" t="s">
        <v>5913</v>
      </c>
      <c r="T2273" s="27"/>
      <c r="U2273" s="27">
        <v>2559</v>
      </c>
      <c r="V2273" s="27" t="s">
        <v>4129</v>
      </c>
      <c r="W2273" s="27" t="s">
        <v>4223</v>
      </c>
      <c r="X2273" s="128"/>
      <c r="Y2273" s="73" t="e">
        <f>VLOOKUP(X2273,Choferes!$B$3:C452,2,FALSE)</f>
        <v>#N/A</v>
      </c>
      <c r="Z2273" s="73" t="s">
        <v>5910</v>
      </c>
    </row>
    <row r="2274" spans="1:26" hidden="1" x14ac:dyDescent="0.25">
      <c r="A2274" s="222">
        <v>18</v>
      </c>
      <c r="B2274" s="71" t="s">
        <v>29</v>
      </c>
      <c r="C2274" s="39" t="s">
        <v>5839</v>
      </c>
      <c r="D2274" s="106" t="s">
        <v>5746</v>
      </c>
      <c r="E2274" s="47">
        <v>46150</v>
      </c>
      <c r="F2274" s="31" t="str">
        <f>VLOOKUP($C2274,Carpetas!$C$5:$M$2666,2,FALSE)</f>
        <v>BRB040-26</v>
      </c>
      <c r="G2274" s="23">
        <f>VLOOKUP($C2274,Carpetas!$C$5:$M$2666,10,FALSE)</f>
        <v>1556155</v>
      </c>
      <c r="H2274" s="27" t="str">
        <f>VLOOKUP($C2274,Carpetas!$C$5:$M$2666,6,FALSE)</f>
        <v>Chabat</v>
      </c>
      <c r="I2274" s="27" t="str">
        <f>VLOOKUP($C2274,Carpetas!$C$5:$M$2666,3,FALSE)</f>
        <v>Etimex</v>
      </c>
      <c r="J2274" s="47">
        <f t="shared" si="162"/>
        <v>46152</v>
      </c>
      <c r="K2274" s="72" t="str">
        <f>VLOOKUP($C2274,Carpetas!$C$5:$M$2666,5,FALSE)</f>
        <v>Rio Branco</v>
      </c>
      <c r="L2274" s="72" t="str">
        <f>VLOOKUP($C2274,Carpetas!$C$5:$M$2666,4,FALSE)</f>
        <v>Banana</v>
      </c>
      <c r="M2274" s="48">
        <f t="shared" si="160"/>
        <v>46153</v>
      </c>
      <c r="N2274" s="26">
        <f t="shared" si="161"/>
        <v>3</v>
      </c>
      <c r="O2274" s="27">
        <v>1008</v>
      </c>
      <c r="P2274" s="27">
        <v>1008</v>
      </c>
      <c r="Q2274" s="27">
        <v>28</v>
      </c>
      <c r="R2274" s="27">
        <v>26</v>
      </c>
      <c r="S2274" s="27" t="s">
        <v>5914</v>
      </c>
      <c r="T2274" s="27"/>
      <c r="U2274" s="27">
        <v>2558</v>
      </c>
      <c r="V2274" s="27" t="s">
        <v>5759</v>
      </c>
      <c r="W2274" s="27" t="s">
        <v>4277</v>
      </c>
      <c r="X2274" s="128"/>
      <c r="Y2274" s="73" t="e">
        <f>VLOOKUP(X2274,Choferes!$B$3:C453,2,FALSE)</f>
        <v>#N/A</v>
      </c>
      <c r="Z2274" s="73" t="s">
        <v>5911</v>
      </c>
    </row>
    <row r="2275" spans="1:26" hidden="1" x14ac:dyDescent="0.25">
      <c r="A2275" s="222">
        <v>18</v>
      </c>
      <c r="B2275" s="71" t="s">
        <v>29</v>
      </c>
      <c r="C2275" s="39" t="s">
        <v>5900</v>
      </c>
      <c r="D2275" s="106" t="s">
        <v>2202</v>
      </c>
      <c r="E2275" s="47">
        <v>46151</v>
      </c>
      <c r="F2275" s="31" t="str">
        <f>VLOOKUP($C2275,Carpetas!$C$5:$M$2666,2,FALSE)</f>
        <v>BRB042/26</v>
      </c>
      <c r="G2275" s="23" t="str">
        <f>VLOOKUP($C2275,Carpetas!$C$5:$M$2666,10,FALSE)</f>
        <v>155,72,92</v>
      </c>
      <c r="H2275" s="27" t="str">
        <f>VLOOKUP($C2275,Carpetas!$C$5:$M$2666,6,FALSE)</f>
        <v>FG</v>
      </c>
      <c r="I2275" s="27" t="str">
        <f>VLOOKUP($C2275,Carpetas!$C$5:$M$2666,3,FALSE)</f>
        <v>Etimex</v>
      </c>
      <c r="J2275" s="47">
        <f t="shared" si="162"/>
        <v>46153</v>
      </c>
      <c r="K2275" s="72" t="str">
        <f>VLOOKUP($C2275,Carpetas!$C$5:$M$2666,5,FALSE)</f>
        <v>Rio Branco</v>
      </c>
      <c r="L2275" s="72" t="str">
        <f>VLOOKUP($C2275,Carpetas!$C$5:$M$2666,4,FALSE)</f>
        <v>Banana</v>
      </c>
      <c r="M2275" s="48">
        <f t="shared" si="160"/>
        <v>46154</v>
      </c>
      <c r="N2275" s="26">
        <f t="shared" si="161"/>
        <v>3</v>
      </c>
      <c r="O2275" s="27">
        <v>1008</v>
      </c>
      <c r="P2275" s="27">
        <v>1009</v>
      </c>
      <c r="Q2275" s="27">
        <v>28</v>
      </c>
      <c r="R2275" s="27">
        <v>26</v>
      </c>
      <c r="S2275" s="27" t="s">
        <v>5210</v>
      </c>
      <c r="T2275" s="27"/>
      <c r="U2275" s="27">
        <v>1544</v>
      </c>
      <c r="V2275" s="27" t="s">
        <v>1042</v>
      </c>
      <c r="W2275" s="27" t="s">
        <v>1669</v>
      </c>
      <c r="X2275" s="128"/>
      <c r="Y2275" s="73" t="e">
        <f>VLOOKUP(X2275,Choferes!$B$3:C438,2,FALSE)</f>
        <v>#N/A</v>
      </c>
      <c r="Z2275" s="73" t="s">
        <v>5912</v>
      </c>
    </row>
    <row r="2276" spans="1:26" hidden="1" x14ac:dyDescent="0.25">
      <c r="A2276" s="222">
        <v>19</v>
      </c>
      <c r="B2276" s="71" t="s">
        <v>29</v>
      </c>
      <c r="C2276" s="39" t="s">
        <v>5915</v>
      </c>
      <c r="D2276" s="106" t="s">
        <v>121</v>
      </c>
      <c r="E2276" s="47">
        <v>46152</v>
      </c>
      <c r="F2276" s="31" t="str">
        <f>VLOOKUP($C2276,Carpetas!$C$5:$M$2666,2,FALSE)</f>
        <v>PYB023-26</v>
      </c>
      <c r="G2276" s="23">
        <f>VLOOKUP($C2276,Carpetas!$C$5:$M$2666,10,FALSE)</f>
        <v>1557825</v>
      </c>
      <c r="H2276" s="27" t="str">
        <f>VLOOKUP($C2276,Carpetas!$C$5:$M$2666,6,FALSE)</f>
        <v>Compass</v>
      </c>
      <c r="I2276" s="27" t="str">
        <f>VLOOKUP($C2276,Carpetas!$C$5:$M$2666,3,FALSE)</f>
        <v>Diego Fernandez</v>
      </c>
      <c r="J2276" s="47">
        <f t="shared" si="162"/>
        <v>46154</v>
      </c>
      <c r="K2276" s="72" t="str">
        <f>VLOOKUP($C2276,Carpetas!$C$5:$M$2666,5,FALSE)</f>
        <v>Salto</v>
      </c>
      <c r="L2276" s="72" t="str">
        <f>VLOOKUP($C2276,Carpetas!$C$5:$M$2666,4,FALSE)</f>
        <v>Banana</v>
      </c>
      <c r="M2276" s="48">
        <f t="shared" si="160"/>
        <v>46155</v>
      </c>
      <c r="N2276" s="26">
        <f t="shared" si="161"/>
        <v>3</v>
      </c>
      <c r="O2276" s="27">
        <v>980</v>
      </c>
      <c r="P2276" s="27">
        <v>980</v>
      </c>
      <c r="Q2276" s="27">
        <v>28</v>
      </c>
      <c r="R2276" s="27">
        <v>27</v>
      </c>
      <c r="S2276" s="27" t="s">
        <v>591</v>
      </c>
      <c r="T2276" s="27"/>
      <c r="U2276" s="27"/>
      <c r="V2276" s="27"/>
      <c r="W2276" s="27"/>
      <c r="X2276" s="128"/>
      <c r="Y2276" s="73" t="e">
        <f>VLOOKUP(X2276,Choferes!$B$3:C443,2,FALSE)</f>
        <v>#N/A</v>
      </c>
      <c r="Z2276" s="73" t="s">
        <v>5916</v>
      </c>
    </row>
    <row r="2277" spans="1:26" hidden="1" x14ac:dyDescent="0.25">
      <c r="A2277" s="222">
        <v>19</v>
      </c>
      <c r="B2277" s="71" t="s">
        <v>29</v>
      </c>
      <c r="C2277" s="39" t="s">
        <v>5917</v>
      </c>
      <c r="D2277" s="106" t="s">
        <v>183</v>
      </c>
      <c r="E2277" s="47">
        <v>46151</v>
      </c>
      <c r="F2277" s="31" t="str">
        <f>VLOOKUP($C2277,Carpetas!$C$5:$M$2666,2,FALSE)</f>
        <v>PYB024-26</v>
      </c>
      <c r="G2277" s="23">
        <f>VLOOKUP($C2277,Carpetas!$C$5:$M$2666,10,FALSE)</f>
        <v>1557891</v>
      </c>
      <c r="H2277" s="27" t="str">
        <f>VLOOKUP($C2277,Carpetas!$C$5:$M$2666,6,FALSE)</f>
        <v>Mega Logistica</v>
      </c>
      <c r="I2277" s="27" t="str">
        <f>VLOOKUP($C2277,Carpetas!$C$5:$M$2666,3,FALSE)</f>
        <v>Hugo Franco</v>
      </c>
      <c r="J2277" s="47">
        <v>46155</v>
      </c>
      <c r="K2277" s="72" t="str">
        <f>VLOOKUP($C2277,Carpetas!$C$5:$M$2666,5,FALSE)</f>
        <v>Salto</v>
      </c>
      <c r="L2277" s="72" t="str">
        <f>VLOOKUP($C2277,Carpetas!$C$5:$M$2666,4,FALSE)</f>
        <v>Banana</v>
      </c>
      <c r="M2277" s="48">
        <f t="shared" si="160"/>
        <v>46156</v>
      </c>
      <c r="N2277" s="26">
        <f t="shared" si="161"/>
        <v>5</v>
      </c>
      <c r="O2277" s="27">
        <v>936</v>
      </c>
      <c r="P2277" s="27">
        <v>936</v>
      </c>
      <c r="Q2277" s="27">
        <v>26</v>
      </c>
      <c r="R2277" s="27">
        <v>27</v>
      </c>
      <c r="S2277" s="27" t="s">
        <v>713</v>
      </c>
      <c r="T2277" s="27"/>
      <c r="U2277" s="27"/>
      <c r="V2277" s="27"/>
      <c r="W2277" s="27"/>
      <c r="X2277" s="128"/>
      <c r="Y2277" s="73" t="e">
        <f>VLOOKUP(X2277,Choferes!$B$3:C439,2,FALSE)</f>
        <v>#N/A</v>
      </c>
      <c r="Z2277" s="73" t="s">
        <v>5918</v>
      </c>
    </row>
    <row r="2278" spans="1:26" hidden="1" x14ac:dyDescent="0.25">
      <c r="A2278" s="222">
        <v>19</v>
      </c>
      <c r="B2278" s="71" t="s">
        <v>29</v>
      </c>
      <c r="C2278" s="39" t="s">
        <v>5917</v>
      </c>
      <c r="D2278" s="106" t="s">
        <v>183</v>
      </c>
      <c r="E2278" s="47">
        <v>46152</v>
      </c>
      <c r="F2278" s="31" t="str">
        <f>VLOOKUP($C2278,Carpetas!$C$5:$M$2666,2,FALSE)</f>
        <v>PYB024-26</v>
      </c>
      <c r="G2278" s="23">
        <f>VLOOKUP($C2278,Carpetas!$C$5:$M$2666,10,FALSE)</f>
        <v>1557891</v>
      </c>
      <c r="H2278" s="27" t="str">
        <f>VLOOKUP($C2278,Carpetas!$C$5:$M$2666,6,FALSE)</f>
        <v>Mega Logistica</v>
      </c>
      <c r="I2278" s="27" t="str">
        <f>VLOOKUP($C2278,Carpetas!$C$5:$M$2666,3,FALSE)</f>
        <v>Hugo Franco</v>
      </c>
      <c r="J2278" s="47">
        <v>46155</v>
      </c>
      <c r="K2278" s="72" t="str">
        <f>VLOOKUP($C2278,Carpetas!$C$5:$M$2666,5,FALSE)</f>
        <v>Salto</v>
      </c>
      <c r="L2278" s="72" t="str">
        <f>VLOOKUP($C2278,Carpetas!$C$5:$M$2666,4,FALSE)</f>
        <v>Banana</v>
      </c>
      <c r="M2278" s="48">
        <f t="shared" si="160"/>
        <v>46156</v>
      </c>
      <c r="N2278" s="26">
        <f t="shared" si="161"/>
        <v>4</v>
      </c>
      <c r="O2278" s="27">
        <v>936</v>
      </c>
      <c r="P2278" s="27">
        <v>936</v>
      </c>
      <c r="Q2278" s="27">
        <v>26</v>
      </c>
      <c r="R2278" s="27">
        <v>27</v>
      </c>
      <c r="S2278" s="27" t="s">
        <v>724</v>
      </c>
      <c r="T2278" s="27"/>
      <c r="U2278" s="27"/>
      <c r="V2278" s="27"/>
      <c r="W2278" s="27"/>
      <c r="X2278" s="128"/>
      <c r="Y2278" s="73" t="e">
        <f>VLOOKUP(X2278,Choferes!$B$3:C440,2,FALSE)</f>
        <v>#N/A</v>
      </c>
      <c r="Z2278" s="73" t="s">
        <v>5918</v>
      </c>
    </row>
    <row r="2279" spans="1:26" ht="30" hidden="1" x14ac:dyDescent="0.25">
      <c r="A2279" s="222">
        <v>18</v>
      </c>
      <c r="B2279" s="71" t="s">
        <v>29</v>
      </c>
      <c r="C2279" s="39" t="s">
        <v>5919</v>
      </c>
      <c r="D2279" s="106" t="s">
        <v>38</v>
      </c>
      <c r="E2279" s="47">
        <v>46150</v>
      </c>
      <c r="F2279" s="31" t="str">
        <f>VLOOKUP($C2279,Carpetas!$C$5:$M$2666,2,FALSE)</f>
        <v>BRE027-26</v>
      </c>
      <c r="G2279" s="23">
        <f>VLOOKUP($C2279,Carpetas!$C$5:$M$2666,10,FALSE)</f>
        <v>0</v>
      </c>
      <c r="H2279" s="27" t="str">
        <f>VLOOKUP($C2279,Carpetas!$C$5:$M$2666,6,FALSE)</f>
        <v>VPN</v>
      </c>
      <c r="I2279" s="27" t="str">
        <f>VLOOKUP($C2279,Carpetas!$C$5:$M$2666,3,FALSE)</f>
        <v>Dom Basto</v>
      </c>
      <c r="J2279" s="47">
        <v>46155</v>
      </c>
      <c r="K2279" s="72" t="str">
        <f>VLOOKUP($C2279,Carpetas!$C$5:$M$2666,5,FALSE)</f>
        <v>Chuy</v>
      </c>
      <c r="L2279" s="72" t="str">
        <f>VLOOKUP($C2279,Carpetas!$C$5:$M$2666,4,FALSE)</f>
        <v>Mix</v>
      </c>
      <c r="M2279" s="48">
        <f t="shared" si="160"/>
        <v>46156</v>
      </c>
      <c r="N2279" s="26">
        <f t="shared" si="161"/>
        <v>6</v>
      </c>
      <c r="O2279" s="27">
        <v>1251</v>
      </c>
      <c r="P2279" s="27">
        <v>1251</v>
      </c>
      <c r="Q2279" s="27">
        <v>26</v>
      </c>
      <c r="R2279" s="27">
        <v>24</v>
      </c>
      <c r="S2279" s="27" t="s">
        <v>5920</v>
      </c>
      <c r="T2279" s="27"/>
      <c r="U2279" s="27"/>
      <c r="V2279" s="27"/>
      <c r="W2279" s="27"/>
      <c r="X2279" s="128"/>
      <c r="Y2279" s="73" t="e">
        <f>VLOOKUP(X2279,Choferes!$B$3:C452,2,FALSE)</f>
        <v>#N/A</v>
      </c>
      <c r="Z2279" s="73" t="s">
        <v>5921</v>
      </c>
    </row>
    <row r="2280" spans="1:26" hidden="1" x14ac:dyDescent="0.25">
      <c r="A2280" s="222">
        <v>19</v>
      </c>
      <c r="B2280" s="71" t="s">
        <v>29</v>
      </c>
      <c r="C2280" s="39" t="s">
        <v>5917</v>
      </c>
      <c r="D2280" s="106" t="s">
        <v>183</v>
      </c>
      <c r="E2280" s="47">
        <v>46153</v>
      </c>
      <c r="F2280" s="31" t="str">
        <f>VLOOKUP($C2280,Carpetas!$C$5:$M$2666,2,FALSE)</f>
        <v>PYB024-26</v>
      </c>
      <c r="G2280" s="23">
        <f>VLOOKUP($C2280,Carpetas!$C$5:$M$2666,10,FALSE)</f>
        <v>1557891</v>
      </c>
      <c r="H2280" s="27" t="str">
        <f>VLOOKUP($C2280,Carpetas!$C$5:$M$2666,6,FALSE)</f>
        <v>Mega Logistica</v>
      </c>
      <c r="I2280" s="27" t="str">
        <f>VLOOKUP($C2280,Carpetas!$C$5:$M$2666,3,FALSE)</f>
        <v>Hugo Franco</v>
      </c>
      <c r="J2280" s="47">
        <f>E2280+2</f>
        <v>46155</v>
      </c>
      <c r="K2280" s="72" t="str">
        <f>VLOOKUP($C2280,Carpetas!$C$5:$M$2666,5,FALSE)</f>
        <v>Salto</v>
      </c>
      <c r="L2280" s="72" t="str">
        <f>VLOOKUP($C2280,Carpetas!$C$5:$M$2666,4,FALSE)</f>
        <v>Banana</v>
      </c>
      <c r="M2280" s="48">
        <f t="shared" si="160"/>
        <v>46156</v>
      </c>
      <c r="N2280" s="26">
        <f t="shared" si="161"/>
        <v>3</v>
      </c>
      <c r="O2280" s="27">
        <v>936</v>
      </c>
      <c r="P2280" s="27">
        <v>937</v>
      </c>
      <c r="Q2280" s="27">
        <v>26</v>
      </c>
      <c r="R2280" s="27">
        <v>27</v>
      </c>
      <c r="S2280" s="27" t="s">
        <v>743</v>
      </c>
      <c r="T2280" s="27"/>
      <c r="U2280" s="27"/>
      <c r="V2280" s="27"/>
      <c r="W2280" s="27"/>
      <c r="X2280" s="128"/>
      <c r="Y2280" s="73" t="e">
        <f>VLOOKUP(X2280,Choferes!$B$3:C441,2,FALSE)</f>
        <v>#N/A</v>
      </c>
      <c r="Z2280" s="73" t="s">
        <v>5922</v>
      </c>
    </row>
    <row r="2281" spans="1:26" hidden="1" x14ac:dyDescent="0.25">
      <c r="A2281" s="222">
        <v>19</v>
      </c>
      <c r="B2281" s="71" t="s">
        <v>29</v>
      </c>
      <c r="C2281" s="39" t="s">
        <v>5917</v>
      </c>
      <c r="D2281" s="106" t="s">
        <v>183</v>
      </c>
      <c r="E2281" s="47">
        <v>46154</v>
      </c>
      <c r="F2281" s="31" t="str">
        <f>VLOOKUP($C2281,Carpetas!$C$5:$M$2666,2,FALSE)</f>
        <v>PYB024-26</v>
      </c>
      <c r="G2281" s="23">
        <f>VLOOKUP($C2281,Carpetas!$C$5:$M$2666,10,FALSE)</f>
        <v>1557891</v>
      </c>
      <c r="H2281" s="27" t="str">
        <f>VLOOKUP($C2281,Carpetas!$C$5:$M$2666,6,FALSE)</f>
        <v>Mega Logistica</v>
      </c>
      <c r="I2281" s="27" t="str">
        <f>VLOOKUP($C2281,Carpetas!$C$5:$M$2666,3,FALSE)</f>
        <v>Hugo Franco</v>
      </c>
      <c r="J2281" s="47">
        <f>E2281+2</f>
        <v>46156</v>
      </c>
      <c r="K2281" s="72" t="str">
        <f>VLOOKUP($C2281,Carpetas!$C$5:$M$2666,5,FALSE)</f>
        <v>Salto</v>
      </c>
      <c r="L2281" s="72" t="str">
        <f>VLOOKUP($C2281,Carpetas!$C$5:$M$2666,4,FALSE)</f>
        <v>Banana</v>
      </c>
      <c r="M2281" s="48">
        <f t="shared" si="160"/>
        <v>46157</v>
      </c>
      <c r="N2281" s="26">
        <f t="shared" si="161"/>
        <v>3</v>
      </c>
      <c r="O2281" s="27">
        <v>936</v>
      </c>
      <c r="P2281" s="27">
        <v>936</v>
      </c>
      <c r="Q2281" s="27">
        <v>26</v>
      </c>
      <c r="R2281" s="27">
        <v>27</v>
      </c>
      <c r="S2281" s="27" t="s">
        <v>925</v>
      </c>
      <c r="T2281" s="27"/>
      <c r="U2281" s="27"/>
      <c r="V2281" s="27"/>
      <c r="W2281" s="27"/>
      <c r="X2281" s="128"/>
      <c r="Y2281" s="73" t="e">
        <f>VLOOKUP(X2281,Choferes!$B$3:C442,2,FALSE)</f>
        <v>#N/A</v>
      </c>
      <c r="Z2281" s="73" t="s">
        <v>5923</v>
      </c>
    </row>
    <row r="2282" spans="1:26" hidden="1" x14ac:dyDescent="0.25">
      <c r="A2282" s="222">
        <v>19</v>
      </c>
      <c r="B2282" s="71" t="s">
        <v>29</v>
      </c>
      <c r="C2282" s="39" t="s">
        <v>5900</v>
      </c>
      <c r="D2282" s="106" t="s">
        <v>110</v>
      </c>
      <c r="E2282" s="47">
        <v>46154</v>
      </c>
      <c r="F2282" s="31" t="str">
        <f>VLOOKUP($C2282,Carpetas!$C$5:$M$2666,2,FALSE)</f>
        <v>BRB042/26</v>
      </c>
      <c r="G2282" s="23" t="str">
        <f>VLOOKUP($C2282,Carpetas!$C$5:$M$2666,10,FALSE)</f>
        <v>155,72,92</v>
      </c>
      <c r="H2282" s="27" t="str">
        <f>VLOOKUP($C2282,Carpetas!$C$5:$M$2666,6,FALSE)</f>
        <v>FG</v>
      </c>
      <c r="I2282" s="27" t="str">
        <f>VLOOKUP($C2282,Carpetas!$C$5:$M$2666,3,FALSE)</f>
        <v>Etimex</v>
      </c>
      <c r="J2282" s="47">
        <f>E2282+2</f>
        <v>46156</v>
      </c>
      <c r="K2282" s="72" t="str">
        <f>VLOOKUP($C2282,Carpetas!$C$5:$M$2666,5,FALSE)</f>
        <v>Rio Branco</v>
      </c>
      <c r="L2282" s="72" t="str">
        <f>VLOOKUP($C2282,Carpetas!$C$5:$M$2666,4,FALSE)</f>
        <v>Banana</v>
      </c>
      <c r="M2282" s="48">
        <f t="shared" si="160"/>
        <v>46157</v>
      </c>
      <c r="N2282" s="26">
        <f t="shared" si="161"/>
        <v>3</v>
      </c>
      <c r="O2282" s="27">
        <v>1008</v>
      </c>
      <c r="P2282" s="27">
        <v>1008</v>
      </c>
      <c r="Q2282" s="27">
        <v>28</v>
      </c>
      <c r="R2282" s="27">
        <v>26</v>
      </c>
      <c r="S2282" s="27" t="s">
        <v>1625</v>
      </c>
      <c r="T2282" s="27"/>
      <c r="U2282" s="27">
        <v>1548</v>
      </c>
      <c r="V2282" s="27" t="s">
        <v>1626</v>
      </c>
      <c r="W2282" s="27" t="s">
        <v>1736</v>
      </c>
      <c r="X2282" s="128"/>
      <c r="Y2282" s="73" t="e">
        <f>VLOOKUP(X2282,Choferes!$B$3:C444,2,FALSE)</f>
        <v>#N/A</v>
      </c>
      <c r="Z2282" s="73" t="s">
        <v>5924</v>
      </c>
    </row>
    <row r="2283" spans="1:26" hidden="1" x14ac:dyDescent="0.25">
      <c r="A2283" s="222">
        <v>19</v>
      </c>
      <c r="B2283" s="71" t="s">
        <v>29</v>
      </c>
      <c r="C2283" s="39" t="s">
        <v>5925</v>
      </c>
      <c r="D2283" s="106" t="s">
        <v>5746</v>
      </c>
      <c r="E2283" s="47">
        <v>46155</v>
      </c>
      <c r="F2283" s="31" t="str">
        <f>VLOOKUP($C2283,Carpetas!$C$5:$M$2666,2,FALSE)</f>
        <v>BRB045/26</v>
      </c>
      <c r="G2283" s="23">
        <f>VLOOKUP($C2283,Carpetas!$C$5:$M$2666,10,FALSE)</f>
        <v>1558017</v>
      </c>
      <c r="H2283" s="27" t="str">
        <f>VLOOKUP($C2283,Carpetas!$C$5:$M$2666,6,FALSE)</f>
        <v>Chabat</v>
      </c>
      <c r="I2283" s="27" t="str">
        <f>VLOOKUP($C2283,Carpetas!$C$5:$M$2666,3,FALSE)</f>
        <v>Etimex</v>
      </c>
      <c r="J2283" s="47">
        <f>E2283+2</f>
        <v>46157</v>
      </c>
      <c r="K2283" s="72" t="str">
        <f>VLOOKUP($C2283,Carpetas!$C$5:$M$2666,5,FALSE)</f>
        <v>Rio Branco</v>
      </c>
      <c r="L2283" s="72" t="str">
        <f>VLOOKUP($C2283,Carpetas!$C$5:$M$2666,4,FALSE)</f>
        <v>Banana</v>
      </c>
      <c r="M2283" s="48">
        <f t="shared" si="160"/>
        <v>46158</v>
      </c>
      <c r="N2283" s="26">
        <f t="shared" si="161"/>
        <v>3</v>
      </c>
      <c r="O2283" s="27">
        <v>1008</v>
      </c>
      <c r="P2283" s="27">
        <v>1008</v>
      </c>
      <c r="Q2283" s="27">
        <v>28</v>
      </c>
      <c r="R2283" s="27">
        <v>26</v>
      </c>
      <c r="S2283" s="27" t="s">
        <v>5926</v>
      </c>
      <c r="T2283" s="27"/>
      <c r="U2283" s="27">
        <v>2561</v>
      </c>
      <c r="V2283" s="27" t="s">
        <v>4134</v>
      </c>
      <c r="W2283" s="27" t="s">
        <v>4135</v>
      </c>
      <c r="X2283" s="128"/>
      <c r="Y2283" s="73" t="e">
        <f>VLOOKUP(X2283,Choferes!$B$3:C445,2,FALSE)</f>
        <v>#N/A</v>
      </c>
      <c r="Z2283" s="73" t="s">
        <v>5924</v>
      </c>
    </row>
    <row r="2284" spans="1:26" ht="13.5" hidden="1" customHeight="1" x14ac:dyDescent="0.25">
      <c r="A2284" s="222">
        <v>19</v>
      </c>
      <c r="B2284" s="71" t="s">
        <v>29</v>
      </c>
      <c r="C2284" s="39" t="s">
        <v>5927</v>
      </c>
      <c r="D2284" s="106" t="s">
        <v>38</v>
      </c>
      <c r="E2284" s="47">
        <v>46153</v>
      </c>
      <c r="F2284" s="31" t="str">
        <f>VLOOKUP($C2284,Carpetas!$C$5:$M$2666,2,FALSE)</f>
        <v>BRE028-26</v>
      </c>
      <c r="G2284" s="23">
        <f>VLOOKUP($C2284,Carpetas!$C$5:$M$2666,10,FALSE)</f>
        <v>0</v>
      </c>
      <c r="H2284" s="27" t="str">
        <f>VLOOKUP($C2284,Carpetas!$C$5:$M$2666,6,FALSE)</f>
        <v xml:space="preserve">Silvio </v>
      </c>
      <c r="I2284" s="27" t="str">
        <f>VLOOKUP($C2284,Carpetas!$C$5:$M$2666,3,FALSE)</f>
        <v>Jaguacy</v>
      </c>
      <c r="J2284" s="47">
        <v>46157</v>
      </c>
      <c r="K2284" s="72" t="str">
        <f>VLOOKUP($C2284,Carpetas!$C$5:$M$2666,5,FALSE)</f>
        <v>Chuy</v>
      </c>
      <c r="L2284" s="72" t="str">
        <f>VLOOKUP($C2284,Carpetas!$C$5:$M$2666,4,FALSE)</f>
        <v>Palta</v>
      </c>
      <c r="M2284" s="48">
        <f t="shared" si="160"/>
        <v>46158</v>
      </c>
      <c r="N2284" s="26">
        <f t="shared" si="161"/>
        <v>5</v>
      </c>
      <c r="O2284" s="27">
        <v>2304</v>
      </c>
      <c r="P2284" s="27">
        <v>2304</v>
      </c>
      <c r="Q2284" s="27">
        <v>24</v>
      </c>
      <c r="R2284" s="27"/>
      <c r="S2284" s="27"/>
      <c r="T2284" s="27"/>
      <c r="U2284" s="27"/>
      <c r="V2284" s="27"/>
      <c r="W2284" s="27"/>
      <c r="X2284" s="128"/>
      <c r="Y2284" s="73" t="e">
        <f>VLOOKUP(X2284,Choferes!$B$3:C451,2,FALSE)</f>
        <v>#N/A</v>
      </c>
      <c r="Z2284" s="73" t="s">
        <v>5928</v>
      </c>
    </row>
    <row r="2285" spans="1:26" hidden="1" x14ac:dyDescent="0.25">
      <c r="A2285" s="222">
        <v>19</v>
      </c>
      <c r="B2285" s="71" t="s">
        <v>298</v>
      </c>
      <c r="C2285" s="39" t="s">
        <v>299</v>
      </c>
      <c r="D2285" s="106" t="s">
        <v>803</v>
      </c>
      <c r="E2285" s="47">
        <v>46157</v>
      </c>
      <c r="F2285" s="31" t="str">
        <f>VLOOKUP($C2285,Carpetas!$C$5:$M$2666,2,FALSE)</f>
        <v>BRB</v>
      </c>
      <c r="G2285" s="23" t="e">
        <f>VLOOKUP($C2285,Carpetas!$C$5:$M$2666,9,FALSE)</f>
        <v>#REF!</v>
      </c>
      <c r="H2285" s="27" t="str">
        <f>VLOOKUP($C2285,Carpetas!$C$5:$M$2666,5,FALSE)</f>
        <v>xx</v>
      </c>
      <c r="I2285" s="27" t="str">
        <f>VLOOKUP($C2285,Carpetas!$C$5:$M$2666,3,FALSE)</f>
        <v>xx</v>
      </c>
      <c r="J2285" s="47">
        <f>E2285+2</f>
        <v>46159</v>
      </c>
      <c r="K2285" s="72">
        <f>VLOOKUP($C2285,Carpetas!$C$5:$M$2666,4,FALSE)</f>
        <v>0</v>
      </c>
      <c r="L2285" s="32"/>
      <c r="M2285" s="48">
        <f t="shared" si="160"/>
        <v>46160</v>
      </c>
      <c r="N2285" s="26">
        <f t="shared" si="161"/>
        <v>3</v>
      </c>
      <c r="O2285" s="27">
        <v>1008</v>
      </c>
      <c r="P2285" s="27"/>
      <c r="Q2285" s="27"/>
      <c r="R2285" s="27"/>
      <c r="S2285" s="27"/>
      <c r="T2285" s="27"/>
      <c r="U2285" s="27"/>
      <c r="V2285" s="27"/>
      <c r="W2285" s="27"/>
      <c r="X2285" s="128"/>
      <c r="Y2285" s="73" t="e">
        <f>VLOOKUP(X2285,Choferes!$B$3:C449,2,FALSE)</f>
        <v>#N/A</v>
      </c>
      <c r="Z2285" s="73"/>
    </row>
    <row r="2286" spans="1:26" hidden="1" x14ac:dyDescent="0.25">
      <c r="A2286" s="222">
        <v>19</v>
      </c>
      <c r="B2286" s="71" t="s">
        <v>29</v>
      </c>
      <c r="C2286" s="39" t="s">
        <v>5900</v>
      </c>
      <c r="D2286" s="106" t="s">
        <v>110</v>
      </c>
      <c r="E2286" s="47">
        <v>46157</v>
      </c>
      <c r="F2286" s="31" t="str">
        <f>VLOOKUP($C2286,Carpetas!$C$5:$M$2666,2,FALSE)</f>
        <v>BRB042/26</v>
      </c>
      <c r="G2286" s="23" t="str">
        <f>VLOOKUP($C2286,Carpetas!$C$5:$M$2666,10,FALSE)</f>
        <v>155,72,92</v>
      </c>
      <c r="H2286" s="27" t="str">
        <f>VLOOKUP($C2286,Carpetas!$C$5:$M$2666,6,FALSE)</f>
        <v>FG</v>
      </c>
      <c r="I2286" s="27" t="str">
        <f>VLOOKUP($C2286,Carpetas!$C$5:$M$2666,3,FALSE)</f>
        <v>Etimex</v>
      </c>
      <c r="J2286" s="47">
        <v>46160</v>
      </c>
      <c r="K2286" s="72" t="str">
        <f>VLOOKUP($C2286,Carpetas!$C$5:$M$2666,5,FALSE)</f>
        <v>Rio Branco</v>
      </c>
      <c r="L2286" s="72" t="str">
        <f>VLOOKUP($C2286,Carpetas!$C$5:$M$2666,4,FALSE)</f>
        <v>Banana</v>
      </c>
      <c r="M2286" s="48">
        <f t="shared" si="160"/>
        <v>46161</v>
      </c>
      <c r="N2286" s="26">
        <f t="shared" si="161"/>
        <v>4</v>
      </c>
      <c r="O2286" s="27">
        <v>1008</v>
      </c>
      <c r="P2286" s="27">
        <v>1009</v>
      </c>
      <c r="Q2286" s="27">
        <v>28</v>
      </c>
      <c r="R2286" s="27">
        <v>26</v>
      </c>
      <c r="S2286" s="27" t="s">
        <v>1662</v>
      </c>
      <c r="T2286" s="27"/>
      <c r="U2286" s="27">
        <v>1553</v>
      </c>
      <c r="V2286" s="27" t="s">
        <v>1042</v>
      </c>
      <c r="W2286" s="27" t="s">
        <v>1669</v>
      </c>
      <c r="X2286" s="128"/>
      <c r="Y2286" s="73" t="e">
        <f>VLOOKUP(X2286,Choferes!$B$3:C447,2,FALSE)</f>
        <v>#N/A</v>
      </c>
      <c r="Z2286" s="73" t="s">
        <v>5929</v>
      </c>
    </row>
    <row r="2287" spans="1:26" hidden="1" x14ac:dyDescent="0.25">
      <c r="A2287" s="222">
        <v>19</v>
      </c>
      <c r="B2287" s="71" t="s">
        <v>29</v>
      </c>
      <c r="C2287" s="39" t="s">
        <v>5930</v>
      </c>
      <c r="D2287" s="106" t="s">
        <v>249</v>
      </c>
      <c r="E2287" s="47">
        <v>46157</v>
      </c>
      <c r="F2287" s="31" t="str">
        <f>VLOOKUP($C2287,Carpetas!$C$5:$M$2666,2,FALSE)</f>
        <v>BRB046/26</v>
      </c>
      <c r="G2287" s="23">
        <f>VLOOKUP($C2287,Carpetas!$C$5:$M$2666,10,FALSE)</f>
        <v>1558382</v>
      </c>
      <c r="H2287" s="27" t="str">
        <f>VLOOKUP($C2287,Carpetas!$C$5:$M$2666,6,FALSE)</f>
        <v>FG</v>
      </c>
      <c r="I2287" s="27" t="str">
        <f>VLOOKUP($C2287,Carpetas!$C$5:$M$2666,3,FALSE)</f>
        <v>Etimex</v>
      </c>
      <c r="J2287" s="47">
        <v>46160</v>
      </c>
      <c r="K2287" s="72" t="str">
        <f>VLOOKUP($C2287,Carpetas!$C$5:$M$2666,5,FALSE)</f>
        <v>Rio Branco</v>
      </c>
      <c r="L2287" s="72" t="str">
        <f>VLOOKUP($C2287,Carpetas!$C$5:$M$2666,4,FALSE)</f>
        <v>Banana</v>
      </c>
      <c r="M2287" s="48">
        <f t="shared" si="160"/>
        <v>46161</v>
      </c>
      <c r="N2287" s="26">
        <f t="shared" si="161"/>
        <v>4</v>
      </c>
      <c r="O2287" s="27">
        <v>1008</v>
      </c>
      <c r="P2287" s="27">
        <v>1008</v>
      </c>
      <c r="Q2287" s="27">
        <v>28</v>
      </c>
      <c r="R2287" s="27">
        <v>26</v>
      </c>
      <c r="S2287" s="27" t="s">
        <v>2471</v>
      </c>
      <c r="T2287" s="27"/>
      <c r="U2287" s="27">
        <v>1554</v>
      </c>
      <c r="V2287" s="27" t="s">
        <v>1735</v>
      </c>
      <c r="W2287" s="27" t="s">
        <v>1681</v>
      </c>
      <c r="X2287" s="128"/>
      <c r="Y2287" s="73" t="e">
        <f>VLOOKUP(X2287,Choferes!$B$3:C448,2,FALSE)</f>
        <v>#N/A</v>
      </c>
      <c r="Z2287" s="73" t="s">
        <v>5931</v>
      </c>
    </row>
    <row r="2288" spans="1:26" ht="30" hidden="1" x14ac:dyDescent="0.25">
      <c r="A2288" s="222">
        <v>19</v>
      </c>
      <c r="B2288" s="71" t="s">
        <v>29</v>
      </c>
      <c r="C2288" s="39" t="s">
        <v>5932</v>
      </c>
      <c r="D2288" s="106" t="s">
        <v>5765</v>
      </c>
      <c r="E2288" s="47">
        <v>46157</v>
      </c>
      <c r="F2288" s="31" t="str">
        <f>VLOOKUP($C2288,Carpetas!$C$5:$M$2666,2,FALSE)</f>
        <v>BRB047/26</v>
      </c>
      <c r="G2288" s="23">
        <f>VLOOKUP($C2288,Carpetas!$C$5:$M$2666,10,FALSE)</f>
        <v>1558383</v>
      </c>
      <c r="H2288" s="27" t="str">
        <f>VLOOKUP($C2288,Carpetas!$C$5:$M$2666,6,FALSE)</f>
        <v>Amaro</v>
      </c>
      <c r="I2288" s="27" t="str">
        <f>VLOOKUP($C2288,Carpetas!$C$5:$M$2666,3,FALSE)</f>
        <v>Etimex</v>
      </c>
      <c r="J2288" s="47">
        <v>46160</v>
      </c>
      <c r="K2288" s="72" t="str">
        <f>VLOOKUP($C2288,Carpetas!$C$5:$M$2666,5,FALSE)</f>
        <v>Rio Branco</v>
      </c>
      <c r="L2288" s="72" t="str">
        <f>VLOOKUP($C2288,Carpetas!$C$5:$M$2666,4,FALSE)</f>
        <v>Banana</v>
      </c>
      <c r="M2288" s="48">
        <f t="shared" si="160"/>
        <v>46161</v>
      </c>
      <c r="N2288" s="26">
        <f t="shared" si="161"/>
        <v>4</v>
      </c>
      <c r="O2288" s="27">
        <v>1008</v>
      </c>
      <c r="P2288" s="27">
        <v>1008</v>
      </c>
      <c r="Q2288" s="27">
        <v>28</v>
      </c>
      <c r="R2288" s="27">
        <v>26</v>
      </c>
      <c r="S2288" s="27" t="s">
        <v>5933</v>
      </c>
      <c r="T2288" s="27"/>
      <c r="U2288" s="27">
        <v>28646</v>
      </c>
      <c r="V2288" s="27" t="s">
        <v>2795</v>
      </c>
      <c r="W2288" s="27" t="s">
        <v>2796</v>
      </c>
      <c r="X2288" s="128"/>
      <c r="Y2288" s="73" t="e">
        <f>VLOOKUP(X2288,Choferes!$B$3:C450,2,FALSE)</f>
        <v>#N/A</v>
      </c>
      <c r="Z2288" s="73" t="s">
        <v>5931</v>
      </c>
    </row>
    <row r="2289" spans="1:26" hidden="1" x14ac:dyDescent="0.25">
      <c r="A2289" s="222">
        <v>19</v>
      </c>
      <c r="B2289" s="71" t="s">
        <v>29</v>
      </c>
      <c r="C2289" s="39" t="s">
        <v>5925</v>
      </c>
      <c r="D2289" s="106" t="s">
        <v>5746</v>
      </c>
      <c r="E2289" s="47">
        <v>46157</v>
      </c>
      <c r="F2289" s="31" t="str">
        <f>VLOOKUP($C2289,Carpetas!$C$5:$M$2666,2,FALSE)</f>
        <v>BRB045/26</v>
      </c>
      <c r="G2289" s="23">
        <f>VLOOKUP($C2289,Carpetas!$C$5:$M$2666,10,FALSE)</f>
        <v>1558017</v>
      </c>
      <c r="H2289" s="27" t="str">
        <f>VLOOKUP($C2289,Carpetas!$C$5:$M$2666,6,FALSE)</f>
        <v>Chabat</v>
      </c>
      <c r="I2289" s="27" t="str">
        <f>VLOOKUP($C2289,Carpetas!$C$5:$M$2666,3,FALSE)</f>
        <v>Etimex</v>
      </c>
      <c r="J2289" s="47">
        <v>46160</v>
      </c>
      <c r="K2289" s="72" t="str">
        <f>VLOOKUP($C2289,Carpetas!$C$5:$M$2666,5,FALSE)</f>
        <v>Rio Branco</v>
      </c>
      <c r="L2289" s="72" t="str">
        <f>VLOOKUP($C2289,Carpetas!$C$5:$M$2666,4,FALSE)</f>
        <v>Banana</v>
      </c>
      <c r="M2289" s="48">
        <f t="shared" si="160"/>
        <v>46161</v>
      </c>
      <c r="N2289" s="26">
        <f t="shared" si="161"/>
        <v>4</v>
      </c>
      <c r="O2289" s="27">
        <v>1008</v>
      </c>
      <c r="P2289" s="27">
        <v>1008</v>
      </c>
      <c r="Q2289" s="27">
        <v>28</v>
      </c>
      <c r="R2289" s="27">
        <v>26</v>
      </c>
      <c r="S2289" s="27" t="s">
        <v>5934</v>
      </c>
      <c r="T2289" s="27"/>
      <c r="U2289" s="27">
        <v>2563</v>
      </c>
      <c r="V2289" s="27" t="s">
        <v>5759</v>
      </c>
      <c r="W2289" s="27" t="s">
        <v>4277</v>
      </c>
      <c r="X2289" s="128"/>
      <c r="Y2289" s="73" t="e">
        <f>VLOOKUP(X2289,Choferes!$B$3:C451,2,FALSE)</f>
        <v>#N/A</v>
      </c>
      <c r="Z2289" s="73" t="s">
        <v>5931</v>
      </c>
    </row>
    <row r="2290" spans="1:26" hidden="1" x14ac:dyDescent="0.25">
      <c r="A2290" s="222">
        <v>19</v>
      </c>
      <c r="B2290" s="71" t="s">
        <v>29</v>
      </c>
      <c r="C2290" s="39" t="s">
        <v>5908</v>
      </c>
      <c r="D2290" s="106" t="s">
        <v>2202</v>
      </c>
      <c r="E2290" s="47">
        <v>46157</v>
      </c>
      <c r="F2290" s="31" t="str">
        <f>VLOOKUP($C2290,Carpetas!$C$5:$M$2666,2,FALSE)</f>
        <v>BRB044/26</v>
      </c>
      <c r="G2290" s="23">
        <f>VLOOKUP($C2290,Carpetas!$C$5:$M$2666,10,FALSE)</f>
        <v>1556822</v>
      </c>
      <c r="H2290" s="27" t="str">
        <f>VLOOKUP($C2290,Carpetas!$C$5:$M$2666,6,FALSE)</f>
        <v>AXT</v>
      </c>
      <c r="I2290" s="27" t="str">
        <f>VLOOKUP($C2290,Carpetas!$C$5:$M$2666,3,FALSE)</f>
        <v>A&amp;A</v>
      </c>
      <c r="J2290" s="47">
        <v>46160</v>
      </c>
      <c r="K2290" s="72" t="str">
        <f>VLOOKUP($C2290,Carpetas!$C$5:$M$2666,5,FALSE)</f>
        <v>Chuy</v>
      </c>
      <c r="L2290" s="72" t="str">
        <f>VLOOKUP($C2290,Carpetas!$C$5:$M$2666,4,FALSE)</f>
        <v>Banana</v>
      </c>
      <c r="M2290" s="48">
        <f t="shared" si="160"/>
        <v>46161</v>
      </c>
      <c r="N2290" s="26">
        <f t="shared" si="161"/>
        <v>4</v>
      </c>
      <c r="O2290" s="27">
        <v>936</v>
      </c>
      <c r="P2290" s="27">
        <v>937</v>
      </c>
      <c r="Q2290" s="27">
        <v>26</v>
      </c>
      <c r="R2290" s="27">
        <v>25</v>
      </c>
      <c r="S2290" s="27" t="s">
        <v>5213</v>
      </c>
      <c r="T2290" s="27"/>
      <c r="U2290" s="27"/>
      <c r="V2290" s="27" t="s">
        <v>5935</v>
      </c>
      <c r="W2290" s="27" t="s">
        <v>5936</v>
      </c>
      <c r="X2290" s="128"/>
      <c r="Y2290" s="73" t="e">
        <f>VLOOKUP(X2290,Choferes!$B$3:C450,2,FALSE)</f>
        <v>#N/A</v>
      </c>
      <c r="Z2290" s="73" t="s">
        <v>5937</v>
      </c>
    </row>
    <row r="2291" spans="1:26" hidden="1" x14ac:dyDescent="0.25">
      <c r="A2291" s="222">
        <v>19</v>
      </c>
      <c r="B2291" s="71" t="s">
        <v>29</v>
      </c>
      <c r="C2291" s="39" t="s">
        <v>5880</v>
      </c>
      <c r="D2291" s="106" t="s">
        <v>2474</v>
      </c>
      <c r="E2291" s="47">
        <v>46157</v>
      </c>
      <c r="F2291" s="31" t="str">
        <f>VLOOKUP($C2291,Carpetas!$C$5:$M$2666,2,FALSE)</f>
        <v>BRB043/26</v>
      </c>
      <c r="G2291" s="23" t="str">
        <f>VLOOKUP($C2291,Carpetas!$C$5:$M$2666,10,FALSE)</f>
        <v>155,72,93</v>
      </c>
      <c r="H2291" s="27" t="str">
        <f>VLOOKUP($C2291,Carpetas!$C$5:$M$2666,6,FALSE)</f>
        <v>Amaro</v>
      </c>
      <c r="I2291" s="27" t="str">
        <f>VLOOKUP($C2291,Carpetas!$C$5:$M$2666,3,FALSE)</f>
        <v>Etimex</v>
      </c>
      <c r="J2291" s="47">
        <v>46160</v>
      </c>
      <c r="K2291" s="72" t="str">
        <f>VLOOKUP($C2291,Carpetas!$C$5:$M$2666,5,FALSE)</f>
        <v>Rio Branco</v>
      </c>
      <c r="L2291" s="72" t="str">
        <f>VLOOKUP($C2291,Carpetas!$C$5:$M$2666,4,FALSE)</f>
        <v>Banana</v>
      </c>
      <c r="M2291" s="48">
        <f>J2291+1+1</f>
        <v>46162</v>
      </c>
      <c r="N2291" s="26">
        <f t="shared" si="161"/>
        <v>5</v>
      </c>
      <c r="O2291" s="27">
        <v>1008</v>
      </c>
      <c r="P2291" s="27">
        <v>1008</v>
      </c>
      <c r="Q2291" s="27">
        <v>28</v>
      </c>
      <c r="R2291" s="27">
        <v>26</v>
      </c>
      <c r="S2291" s="27" t="s">
        <v>5938</v>
      </c>
      <c r="T2291" s="27"/>
      <c r="U2291" s="27">
        <v>28635</v>
      </c>
      <c r="V2291" s="27" t="s">
        <v>2739</v>
      </c>
      <c r="W2291" s="27" t="s">
        <v>5286</v>
      </c>
      <c r="X2291" s="128"/>
      <c r="Y2291" s="73" t="e">
        <f>VLOOKUP(X2291,Choferes!$B$3:C446,2,FALSE)</f>
        <v>#N/A</v>
      </c>
      <c r="Z2291" s="73" t="s">
        <v>5939</v>
      </c>
    </row>
    <row r="2292" spans="1:26" hidden="1" x14ac:dyDescent="0.25">
      <c r="A2292" s="222">
        <v>20</v>
      </c>
      <c r="B2292" s="71" t="s">
        <v>29</v>
      </c>
      <c r="C2292" s="39" t="s">
        <v>5940</v>
      </c>
      <c r="D2292" s="106" t="s">
        <v>121</v>
      </c>
      <c r="E2292" s="47">
        <v>46159</v>
      </c>
      <c r="F2292" s="31" t="str">
        <f>VLOOKUP($C2292,Carpetas!$C$5:$M$2666,2,FALSE)</f>
        <v>PYB025-26</v>
      </c>
      <c r="G2292" s="23">
        <f>VLOOKUP($C2292,Carpetas!$C$5:$M$2666,10,FALSE)</f>
        <v>1557891</v>
      </c>
      <c r="H2292" s="27" t="str">
        <f>VLOOKUP($C2292,Carpetas!$C$5:$M$2666,6,FALSE)</f>
        <v>Compass</v>
      </c>
      <c r="I2292" s="27" t="str">
        <f>VLOOKUP($C2292,Carpetas!$C$5:$M$2666,3,FALSE)</f>
        <v>Diego Fernandez</v>
      </c>
      <c r="J2292" s="47">
        <v>46161</v>
      </c>
      <c r="K2292" s="72" t="str">
        <f>VLOOKUP($C2292,Carpetas!$C$5:$M$2666,5,FALSE)</f>
        <v>Salto</v>
      </c>
      <c r="L2292" s="72" t="str">
        <f>VLOOKUP($C2292,Carpetas!$C$5:$M$2666,4,FALSE)</f>
        <v>Banana</v>
      </c>
      <c r="M2292" s="48">
        <f>J2292+1</f>
        <v>46162</v>
      </c>
      <c r="N2292" s="26">
        <f t="shared" si="161"/>
        <v>3</v>
      </c>
      <c r="O2292" s="27">
        <v>980</v>
      </c>
      <c r="P2292" s="27">
        <v>981</v>
      </c>
      <c r="Q2292" s="27">
        <v>28</v>
      </c>
      <c r="R2292" s="27">
        <v>27</v>
      </c>
      <c r="S2292" s="27" t="s">
        <v>4059</v>
      </c>
      <c r="T2292" s="27"/>
      <c r="U2292" s="27"/>
      <c r="V2292" s="27"/>
      <c r="W2292" s="27"/>
      <c r="X2292" s="128"/>
      <c r="Y2292" s="73" t="e">
        <f>VLOOKUP(X2292,Choferes!$B$3:C442,2,FALSE)</f>
        <v>#N/A</v>
      </c>
      <c r="Z2292" s="73" t="s">
        <v>5941</v>
      </c>
    </row>
    <row r="2293" spans="1:26" hidden="1" x14ac:dyDescent="0.25">
      <c r="A2293" s="222">
        <v>20</v>
      </c>
      <c r="B2293" s="71" t="s">
        <v>29</v>
      </c>
      <c r="C2293" s="39" t="s">
        <v>5940</v>
      </c>
      <c r="D2293" s="106" t="s">
        <v>121</v>
      </c>
      <c r="E2293" s="47">
        <v>46159</v>
      </c>
      <c r="F2293" s="31" t="str">
        <f>VLOOKUP($C2293,Carpetas!$C$5:$M$2666,2,FALSE)</f>
        <v>PYB025-26</v>
      </c>
      <c r="G2293" s="23">
        <f>VLOOKUP($C2293,Carpetas!$C$5:$M$2666,10,FALSE)</f>
        <v>1557891</v>
      </c>
      <c r="H2293" s="27" t="str">
        <f>VLOOKUP($C2293,Carpetas!$C$5:$M$2666,6,FALSE)</f>
        <v>Compass</v>
      </c>
      <c r="I2293" s="27" t="str">
        <f>VLOOKUP($C2293,Carpetas!$C$5:$M$2666,3,FALSE)</f>
        <v>Diego Fernandez</v>
      </c>
      <c r="J2293" s="47">
        <f>E2293+3</f>
        <v>46162</v>
      </c>
      <c r="K2293" s="72" t="str">
        <f>VLOOKUP($C2293,Carpetas!$C$5:$M$2666,5,FALSE)</f>
        <v>Salto</v>
      </c>
      <c r="L2293" s="72" t="str">
        <f>VLOOKUP($C2293,Carpetas!$C$5:$M$2666,4,FALSE)</f>
        <v>Banana</v>
      </c>
      <c r="M2293" s="48">
        <f>J2293+1</f>
        <v>46163</v>
      </c>
      <c r="N2293" s="26">
        <f t="shared" si="161"/>
        <v>4</v>
      </c>
      <c r="O2293" s="27">
        <v>980</v>
      </c>
      <c r="P2293" s="27">
        <v>981</v>
      </c>
      <c r="Q2293" s="27">
        <v>28</v>
      </c>
      <c r="R2293" s="27">
        <v>26</v>
      </c>
      <c r="S2293" s="27" t="s">
        <v>718</v>
      </c>
      <c r="T2293" s="27"/>
      <c r="U2293" s="27"/>
      <c r="V2293" s="27"/>
      <c r="W2293" s="27"/>
      <c r="X2293" s="128"/>
      <c r="Y2293" s="73" t="e">
        <f>VLOOKUP(X2293,Choferes!$B$3:C443,2,FALSE)</f>
        <v>#N/A</v>
      </c>
      <c r="Z2293" s="73" t="s">
        <v>5942</v>
      </c>
    </row>
    <row r="2294" spans="1:26" hidden="1" x14ac:dyDescent="0.25">
      <c r="A2294" s="222">
        <v>20</v>
      </c>
      <c r="B2294" s="71" t="s">
        <v>29</v>
      </c>
      <c r="C2294" s="39" t="s">
        <v>5943</v>
      </c>
      <c r="D2294" s="106" t="s">
        <v>183</v>
      </c>
      <c r="E2294" s="47">
        <v>46160</v>
      </c>
      <c r="F2294" s="31" t="str">
        <f>VLOOKUP($C2294,Carpetas!$C$5:$M$2666,2,FALSE)</f>
        <v>PYB026/26</v>
      </c>
      <c r="G2294" s="23">
        <f>VLOOKUP($C2294,Carpetas!$C$5:$M$2666,10,FALSE)</f>
        <v>1558202</v>
      </c>
      <c r="H2294" s="27" t="str">
        <f>VLOOKUP($C2294,Carpetas!$C$5:$M$2666,6,FALSE)</f>
        <v>Mega Logistica</v>
      </c>
      <c r="I2294" s="27" t="str">
        <f>VLOOKUP($C2294,Carpetas!$C$5:$M$2666,3,FALSE)</f>
        <v>Hugo Franco</v>
      </c>
      <c r="J2294" s="47">
        <f>E2294+3</f>
        <v>46163</v>
      </c>
      <c r="K2294" s="72" t="str">
        <f>VLOOKUP($C2294,Carpetas!$C$5:$M$2666,5,FALSE)</f>
        <v>Salto</v>
      </c>
      <c r="L2294" s="72" t="str">
        <f>VLOOKUP($C2294,Carpetas!$C$5:$M$2666,4,FALSE)</f>
        <v>Banana</v>
      </c>
      <c r="M2294" s="48">
        <f>J2294+1</f>
        <v>46164</v>
      </c>
      <c r="N2294" s="26">
        <f t="shared" si="161"/>
        <v>4</v>
      </c>
      <c r="O2294" s="27">
        <v>980</v>
      </c>
      <c r="P2294" s="27">
        <v>983</v>
      </c>
      <c r="Q2294" s="27">
        <v>28</v>
      </c>
      <c r="R2294" s="27">
        <v>27</v>
      </c>
      <c r="S2294" s="27" t="s">
        <v>1015</v>
      </c>
      <c r="T2294" s="27"/>
      <c r="U2294" s="27"/>
      <c r="V2294" s="27"/>
      <c r="W2294" s="27"/>
      <c r="X2294" s="128"/>
      <c r="Y2294" s="73" t="e">
        <f>VLOOKUP(X2294,Choferes!$B$3:C444,2,FALSE)</f>
        <v>#N/A</v>
      </c>
      <c r="Z2294" s="73" t="s">
        <v>5944</v>
      </c>
    </row>
    <row r="2295" spans="1:26" hidden="1" x14ac:dyDescent="0.25">
      <c r="A2295" s="222">
        <v>20</v>
      </c>
      <c r="B2295" s="71" t="s">
        <v>29</v>
      </c>
      <c r="C2295" s="39" t="s">
        <v>5945</v>
      </c>
      <c r="D2295" s="106" t="s">
        <v>38</v>
      </c>
      <c r="E2295" s="47">
        <v>46159</v>
      </c>
      <c r="F2295" s="31" t="str">
        <f>VLOOKUP($C2295,Carpetas!$C$5:$M$2666,2,FALSE)</f>
        <v>BRE029-26</v>
      </c>
      <c r="G2295" s="23">
        <f>VLOOKUP($C2295,Carpetas!$C$5:$M$2666,10,FALSE)</f>
        <v>1558512</v>
      </c>
      <c r="H2295" s="27" t="str">
        <f>VLOOKUP($C2295,Carpetas!$C$5:$M$2666,6,FALSE)</f>
        <v>Gral</v>
      </c>
      <c r="I2295" s="27" t="str">
        <f>VLOOKUP($C2295,Carpetas!$C$5:$M$2666,3,FALSE)</f>
        <v>Etimex</v>
      </c>
      <c r="J2295" s="47">
        <v>46163</v>
      </c>
      <c r="K2295" s="72" t="str">
        <f>VLOOKUP($C2295,Carpetas!$C$5:$M$2666,5,FALSE)</f>
        <v>Rio Branco</v>
      </c>
      <c r="L2295" s="72" t="str">
        <f>VLOOKUP($C2295,Carpetas!$C$5:$M$2666,4,FALSE)</f>
        <v>Sandía</v>
      </c>
      <c r="M2295" s="48">
        <f>J2295+1+1</f>
        <v>46165</v>
      </c>
      <c r="N2295" s="26">
        <f t="shared" si="161"/>
        <v>6</v>
      </c>
      <c r="O2295" s="27">
        <v>20960</v>
      </c>
      <c r="P2295" s="27">
        <v>20899</v>
      </c>
      <c r="Q2295" s="27"/>
      <c r="R2295" s="27"/>
      <c r="S2295" s="27"/>
      <c r="T2295" s="27"/>
      <c r="U2295" s="27"/>
      <c r="V2295" s="27"/>
      <c r="W2295" s="27"/>
      <c r="X2295" s="128"/>
      <c r="Y2295" s="73" t="e">
        <f>VLOOKUP(X2295,Choferes!$B$3:C441,2,FALSE)</f>
        <v>#N/A</v>
      </c>
      <c r="Z2295" s="73" t="s">
        <v>5946</v>
      </c>
    </row>
    <row r="2296" spans="1:26" hidden="1" x14ac:dyDescent="0.25">
      <c r="A2296" s="222">
        <v>20</v>
      </c>
      <c r="B2296" s="71" t="s">
        <v>29</v>
      </c>
      <c r="C2296" s="39" t="s">
        <v>5947</v>
      </c>
      <c r="D2296" s="106" t="s">
        <v>2202</v>
      </c>
      <c r="E2296" s="47">
        <v>46164</v>
      </c>
      <c r="F2296" s="31" t="str">
        <f>VLOOKUP($C2296,Carpetas!$C$5:$M$2666,2,FALSE)</f>
        <v>BRB048/26</v>
      </c>
      <c r="G2296" s="23">
        <f>VLOOKUP($C2296,Carpetas!$C$5:$M$2666,10,FALSE)</f>
        <v>1559003</v>
      </c>
      <c r="H2296" s="27" t="str">
        <f>VLOOKUP($C2296,Carpetas!$C$5:$M$2666,6,FALSE)</f>
        <v>AXT</v>
      </c>
      <c r="I2296" s="27" t="str">
        <f>VLOOKUP($C2296,Carpetas!$C$5:$M$2666,3,FALSE)</f>
        <v>A&amp;A</v>
      </c>
      <c r="J2296" s="47">
        <v>46167</v>
      </c>
      <c r="K2296" s="72" t="str">
        <f>VLOOKUP($C2296,Carpetas!$C$5:$M$2666,5,FALSE)</f>
        <v>Chuy</v>
      </c>
      <c r="L2296" s="72" t="str">
        <f>VLOOKUP($C2296,Carpetas!$C$5:$M$2666,4,FALSE)</f>
        <v>Banana</v>
      </c>
      <c r="M2296" s="48">
        <f t="shared" ref="M2296:M2302" si="163">J2296+1</f>
        <v>46168</v>
      </c>
      <c r="N2296" s="26">
        <f t="shared" si="161"/>
        <v>4</v>
      </c>
      <c r="O2296" s="27">
        <v>936</v>
      </c>
      <c r="P2296" s="27">
        <v>937</v>
      </c>
      <c r="Q2296" s="27">
        <v>26</v>
      </c>
      <c r="R2296" s="27">
        <v>25</v>
      </c>
      <c r="S2296" s="27" t="s">
        <v>5232</v>
      </c>
      <c r="T2296" s="27"/>
      <c r="U2296" s="27"/>
      <c r="V2296" s="27" t="s">
        <v>5483</v>
      </c>
      <c r="W2296" s="27" t="s">
        <v>5484</v>
      </c>
      <c r="X2296" s="128"/>
      <c r="Y2296" s="73" t="e">
        <f>VLOOKUP(X2296,Choferes!$B$3:C445,2,FALSE)</f>
        <v>#N/A</v>
      </c>
      <c r="Z2296" s="73" t="s">
        <v>5948</v>
      </c>
    </row>
    <row r="2297" spans="1:26" hidden="1" x14ac:dyDescent="0.25">
      <c r="A2297" s="222">
        <v>20</v>
      </c>
      <c r="B2297" s="71" t="s">
        <v>29</v>
      </c>
      <c r="C2297" s="39" t="s">
        <v>5930</v>
      </c>
      <c r="D2297" s="106" t="s">
        <v>110</v>
      </c>
      <c r="E2297" s="47">
        <v>46164</v>
      </c>
      <c r="F2297" s="31" t="str">
        <f>VLOOKUP($C2297,Carpetas!$C$5:$M$2666,2,FALSE)</f>
        <v>BRB046/26</v>
      </c>
      <c r="G2297" s="23">
        <f>VLOOKUP($C2297,Carpetas!$C$5:$M$2666,10,FALSE)</f>
        <v>1558382</v>
      </c>
      <c r="H2297" s="27" t="str">
        <f>VLOOKUP($C2297,Carpetas!$C$5:$M$2666,6,FALSE)</f>
        <v>FG</v>
      </c>
      <c r="I2297" s="27" t="str">
        <f>VLOOKUP($C2297,Carpetas!$C$5:$M$2666,3,FALSE)</f>
        <v>Etimex</v>
      </c>
      <c r="J2297" s="47">
        <v>46167</v>
      </c>
      <c r="K2297" s="72" t="str">
        <f>VLOOKUP($C2297,Carpetas!$C$5:$M$2666,5,FALSE)</f>
        <v>Rio Branco</v>
      </c>
      <c r="L2297" s="72" t="str">
        <f>VLOOKUP($C2297,Carpetas!$C$5:$M$2666,4,FALSE)</f>
        <v>Banana</v>
      </c>
      <c r="M2297" s="48">
        <f t="shared" si="163"/>
        <v>46168</v>
      </c>
      <c r="N2297" s="26">
        <f t="shared" si="161"/>
        <v>4</v>
      </c>
      <c r="O2297" s="27">
        <v>1008</v>
      </c>
      <c r="P2297" s="27">
        <v>984</v>
      </c>
      <c r="Q2297" s="27">
        <v>28</v>
      </c>
      <c r="R2297" s="27">
        <v>26</v>
      </c>
      <c r="S2297" s="27" t="s">
        <v>1713</v>
      </c>
      <c r="T2297" s="27"/>
      <c r="U2297" s="27">
        <v>1560</v>
      </c>
      <c r="V2297" s="27" t="s">
        <v>5317</v>
      </c>
      <c r="W2297" s="27" t="s">
        <v>1627</v>
      </c>
      <c r="X2297" s="128"/>
      <c r="Y2297" s="73" t="e">
        <f>VLOOKUP(X2297,Choferes!$B$3:C446,2,FALSE)</f>
        <v>#N/A</v>
      </c>
      <c r="Z2297" s="73" t="s">
        <v>5949</v>
      </c>
    </row>
    <row r="2298" spans="1:26" hidden="1" x14ac:dyDescent="0.25">
      <c r="A2298" s="222">
        <v>20</v>
      </c>
      <c r="B2298" s="71" t="s">
        <v>29</v>
      </c>
      <c r="C2298" s="39" t="s">
        <v>5930</v>
      </c>
      <c r="D2298" s="106" t="s">
        <v>249</v>
      </c>
      <c r="E2298" s="47">
        <v>46164</v>
      </c>
      <c r="F2298" s="31" t="str">
        <f>VLOOKUP($C2298,Carpetas!$C$5:$M$2666,2,FALSE)</f>
        <v>BRB046/26</v>
      </c>
      <c r="G2298" s="23">
        <f>VLOOKUP($C2298,Carpetas!$C$5:$M$2666,10,FALSE)</f>
        <v>1558382</v>
      </c>
      <c r="H2298" s="27" t="str">
        <f>VLOOKUP($C2298,Carpetas!$C$5:$M$2666,6,FALSE)</f>
        <v>FG</v>
      </c>
      <c r="I2298" s="27" t="str">
        <f>VLOOKUP($C2298,Carpetas!$C$5:$M$2666,3,FALSE)</f>
        <v>Etimex</v>
      </c>
      <c r="J2298" s="47">
        <v>46167</v>
      </c>
      <c r="K2298" s="72" t="str">
        <f>VLOOKUP($C2298,Carpetas!$C$5:$M$2666,5,FALSE)</f>
        <v>Rio Branco</v>
      </c>
      <c r="L2298" s="72" t="str">
        <f>VLOOKUP($C2298,Carpetas!$C$5:$M$2666,4,FALSE)</f>
        <v>Banana</v>
      </c>
      <c r="M2298" s="48">
        <f t="shared" si="163"/>
        <v>46168</v>
      </c>
      <c r="N2298" s="26">
        <f t="shared" si="161"/>
        <v>4</v>
      </c>
      <c r="O2298" s="27">
        <v>1008</v>
      </c>
      <c r="P2298" s="27">
        <v>1032</v>
      </c>
      <c r="Q2298" s="27">
        <v>28</v>
      </c>
      <c r="R2298" s="27">
        <v>26</v>
      </c>
      <c r="S2298" s="27" t="s">
        <v>2458</v>
      </c>
      <c r="T2298" s="27"/>
      <c r="U2298" s="27">
        <v>1561</v>
      </c>
      <c r="V2298" s="27" t="s">
        <v>1735</v>
      </c>
      <c r="W2298" s="27" t="s">
        <v>1681</v>
      </c>
      <c r="X2298" s="128"/>
      <c r="Y2298" s="73" t="e">
        <f>VLOOKUP(X2298,Choferes!$B$3:C447,2,FALSE)</f>
        <v>#N/A</v>
      </c>
      <c r="Z2298" s="73" t="s">
        <v>5950</v>
      </c>
    </row>
    <row r="2299" spans="1:26" hidden="1" x14ac:dyDescent="0.25">
      <c r="A2299" s="222">
        <v>20</v>
      </c>
      <c r="B2299" s="71" t="s">
        <v>29</v>
      </c>
      <c r="C2299" s="39" t="s">
        <v>5925</v>
      </c>
      <c r="D2299" s="106" t="s">
        <v>5746</v>
      </c>
      <c r="E2299" s="47">
        <v>46164</v>
      </c>
      <c r="F2299" s="31" t="str">
        <f>VLOOKUP($C2299,Carpetas!$C$5:$M$2666,2,FALSE)</f>
        <v>BRB045/26</v>
      </c>
      <c r="G2299" s="23">
        <f>VLOOKUP($C2299,Carpetas!$C$5:$M$2666,10,FALSE)</f>
        <v>1558017</v>
      </c>
      <c r="H2299" s="27" t="str">
        <f>VLOOKUP($C2299,Carpetas!$C$5:$M$2666,6,FALSE)</f>
        <v>Chabat</v>
      </c>
      <c r="I2299" s="27" t="str">
        <f>VLOOKUP($C2299,Carpetas!$C$5:$M$2666,3,FALSE)</f>
        <v>Etimex</v>
      </c>
      <c r="J2299" s="47">
        <v>46167</v>
      </c>
      <c r="K2299" s="72" t="str">
        <f>VLOOKUP($C2299,Carpetas!$C$5:$M$2666,5,FALSE)</f>
        <v>Rio Branco</v>
      </c>
      <c r="L2299" s="72" t="str">
        <f>VLOOKUP($C2299,Carpetas!$C$5:$M$2666,4,FALSE)</f>
        <v>Banana</v>
      </c>
      <c r="M2299" s="48">
        <f t="shared" si="163"/>
        <v>46168</v>
      </c>
      <c r="N2299" s="26">
        <f t="shared" si="161"/>
        <v>4</v>
      </c>
      <c r="O2299" s="27">
        <v>1008</v>
      </c>
      <c r="P2299" s="27">
        <v>1008</v>
      </c>
      <c r="Q2299" s="27">
        <v>28</v>
      </c>
      <c r="R2299" s="27">
        <v>26</v>
      </c>
      <c r="S2299" s="27" t="s">
        <v>5951</v>
      </c>
      <c r="T2299" s="27"/>
      <c r="U2299" s="27">
        <v>2565</v>
      </c>
      <c r="V2299" s="27" t="s">
        <v>1617</v>
      </c>
      <c r="W2299" s="27" t="s">
        <v>1618</v>
      </c>
      <c r="X2299" s="128"/>
      <c r="Y2299" s="73" t="e">
        <f>VLOOKUP(X2299,Choferes!$B$3:C448,2,FALSE)</f>
        <v>#N/A</v>
      </c>
      <c r="Z2299" s="73" t="s">
        <v>5952</v>
      </c>
    </row>
    <row r="2300" spans="1:26" hidden="1" x14ac:dyDescent="0.25">
      <c r="A2300" s="222">
        <v>20</v>
      </c>
      <c r="B2300" s="71" t="s">
        <v>29</v>
      </c>
      <c r="C2300" s="39" t="s">
        <v>5932</v>
      </c>
      <c r="D2300" s="106" t="s">
        <v>2474</v>
      </c>
      <c r="E2300" s="47">
        <v>46164</v>
      </c>
      <c r="F2300" s="31" t="str">
        <f>VLOOKUP($C2300,Carpetas!$C$5:$M$2666,2,FALSE)</f>
        <v>BRB047/26</v>
      </c>
      <c r="G2300" s="23">
        <f>VLOOKUP($C2300,Carpetas!$C$5:$M$2666,10,FALSE)</f>
        <v>1558383</v>
      </c>
      <c r="H2300" s="27" t="str">
        <f>VLOOKUP($C2300,Carpetas!$C$5:$M$2666,6,FALSE)</f>
        <v>Amaro</v>
      </c>
      <c r="I2300" s="27" t="str">
        <f>VLOOKUP($C2300,Carpetas!$C$5:$M$2666,3,FALSE)</f>
        <v>Etimex</v>
      </c>
      <c r="J2300" s="47">
        <v>46167</v>
      </c>
      <c r="K2300" s="72" t="str">
        <f>VLOOKUP($C2300,Carpetas!$C$5:$M$2666,5,FALSE)</f>
        <v>Rio Branco</v>
      </c>
      <c r="L2300" s="72" t="str">
        <f>VLOOKUP($C2300,Carpetas!$C$5:$M$2666,4,FALSE)</f>
        <v>Banana</v>
      </c>
      <c r="M2300" s="48">
        <f t="shared" si="163"/>
        <v>46168</v>
      </c>
      <c r="N2300" s="26">
        <f t="shared" si="161"/>
        <v>4</v>
      </c>
      <c r="O2300" s="27">
        <v>1008</v>
      </c>
      <c r="P2300" s="27">
        <v>1008</v>
      </c>
      <c r="Q2300" s="27">
        <v>28</v>
      </c>
      <c r="R2300" s="27">
        <v>26</v>
      </c>
      <c r="S2300" s="27" t="s">
        <v>3882</v>
      </c>
      <c r="T2300" s="27"/>
      <c r="U2300" s="27">
        <v>28668</v>
      </c>
      <c r="V2300" s="27" t="s">
        <v>2784</v>
      </c>
      <c r="W2300" s="27" t="s">
        <v>5953</v>
      </c>
      <c r="X2300" s="128"/>
      <c r="Y2300" s="73" t="e">
        <f>VLOOKUP(X2300,Choferes!$B$3:C449,2,FALSE)</f>
        <v>#N/A</v>
      </c>
      <c r="Z2300" s="73" t="s">
        <v>5952</v>
      </c>
    </row>
    <row r="2301" spans="1:26" hidden="1" x14ac:dyDescent="0.25">
      <c r="A2301" s="222">
        <v>20</v>
      </c>
      <c r="B2301" s="71" t="s">
        <v>29</v>
      </c>
      <c r="C2301" s="39" t="s">
        <v>5932</v>
      </c>
      <c r="D2301" s="106" t="s">
        <v>5640</v>
      </c>
      <c r="E2301" s="47">
        <v>46165</v>
      </c>
      <c r="F2301" s="31" t="str">
        <f>VLOOKUP($C2301,Carpetas!$C$5:$M$2666,2,FALSE)</f>
        <v>BRB047/26</v>
      </c>
      <c r="G2301" s="23">
        <f>VLOOKUP($C2301,Carpetas!$C$5:$M$2666,10,FALSE)</f>
        <v>1558383</v>
      </c>
      <c r="H2301" s="27" t="str">
        <f>VLOOKUP($C2301,Carpetas!$C$5:$M$2666,6,FALSE)</f>
        <v>Amaro</v>
      </c>
      <c r="I2301" s="27" t="str">
        <f>VLOOKUP($C2301,Carpetas!$C$5:$M$2666,3,FALSE)</f>
        <v>Etimex</v>
      </c>
      <c r="J2301" s="47">
        <v>46167</v>
      </c>
      <c r="K2301" s="72" t="str">
        <f>VLOOKUP($C2301,Carpetas!$C$5:$M$2666,5,FALSE)</f>
        <v>Rio Branco</v>
      </c>
      <c r="L2301" s="72" t="str">
        <f>VLOOKUP($C2301,Carpetas!$C$5:$M$2666,4,FALSE)</f>
        <v>Banana</v>
      </c>
      <c r="M2301" s="48">
        <f t="shared" si="163"/>
        <v>46168</v>
      </c>
      <c r="N2301" s="26">
        <f t="shared" si="161"/>
        <v>3</v>
      </c>
      <c r="O2301" s="27">
        <v>1008</v>
      </c>
      <c r="P2301" s="27">
        <v>1008</v>
      </c>
      <c r="Q2301" s="27">
        <v>28</v>
      </c>
      <c r="R2301" s="27">
        <v>26</v>
      </c>
      <c r="S2301" s="27" t="s">
        <v>5954</v>
      </c>
      <c r="T2301" s="27"/>
      <c r="U2301" s="27">
        <v>28669</v>
      </c>
      <c r="V2301" s="27" t="s">
        <v>3029</v>
      </c>
      <c r="W2301" s="27" t="s">
        <v>5733</v>
      </c>
      <c r="X2301" s="128"/>
      <c r="Y2301" s="73" t="e">
        <f>VLOOKUP(X2301,Choferes!$B$3:C450,2,FALSE)</f>
        <v>#N/A</v>
      </c>
      <c r="Z2301" s="73" t="s">
        <v>5952</v>
      </c>
    </row>
    <row r="2302" spans="1:26" hidden="1" x14ac:dyDescent="0.25">
      <c r="A2302" s="222">
        <v>20</v>
      </c>
      <c r="B2302" s="71" t="s">
        <v>29</v>
      </c>
      <c r="C2302" s="39" t="s">
        <v>5925</v>
      </c>
      <c r="D2302" s="106" t="s">
        <v>5499</v>
      </c>
      <c r="E2302" s="47">
        <v>46165</v>
      </c>
      <c r="F2302" s="31" t="str">
        <f>VLOOKUP($C2302,Carpetas!$C$5:$M$2666,2,FALSE)</f>
        <v>BRB045/26</v>
      </c>
      <c r="G2302" s="23">
        <f>VLOOKUP($C2302,Carpetas!$C$5:$M$2666,10,FALSE)</f>
        <v>1558017</v>
      </c>
      <c r="H2302" s="27" t="str">
        <f>VLOOKUP($C2302,Carpetas!$C$5:$M$2666,6,FALSE)</f>
        <v>Chabat</v>
      </c>
      <c r="I2302" s="27" t="str">
        <f>VLOOKUP($C2302,Carpetas!$C$5:$M$2666,3,FALSE)</f>
        <v>Etimex</v>
      </c>
      <c r="J2302" s="47">
        <v>46167</v>
      </c>
      <c r="K2302" s="72" t="str">
        <f>VLOOKUP($C2302,Carpetas!$C$5:$M$2666,5,FALSE)</f>
        <v>Rio Branco</v>
      </c>
      <c r="L2302" s="72" t="str">
        <f>VLOOKUP($C2302,Carpetas!$C$5:$M$2666,4,FALSE)</f>
        <v>Banana</v>
      </c>
      <c r="M2302" s="48">
        <f t="shared" si="163"/>
        <v>46168</v>
      </c>
      <c r="N2302" s="26">
        <f t="shared" si="161"/>
        <v>3</v>
      </c>
      <c r="O2302" s="27">
        <v>1008</v>
      </c>
      <c r="P2302" s="27">
        <v>1008</v>
      </c>
      <c r="Q2302" s="27">
        <v>28</v>
      </c>
      <c r="R2302" s="27">
        <v>26</v>
      </c>
      <c r="S2302" s="27" t="s">
        <v>5955</v>
      </c>
      <c r="T2302" s="27"/>
      <c r="U2302" s="27">
        <v>2564</v>
      </c>
      <c r="V2302" s="27" t="s">
        <v>4129</v>
      </c>
      <c r="W2302" s="27" t="s">
        <v>4283</v>
      </c>
      <c r="X2302" s="128"/>
      <c r="Y2302" s="73" t="e">
        <f>VLOOKUP(X2302,Choferes!$B$3:C432,2,FALSE)</f>
        <v>#N/A</v>
      </c>
      <c r="Z2302" s="73" t="s">
        <v>5952</v>
      </c>
    </row>
    <row r="2303" spans="1:26" hidden="1" x14ac:dyDescent="0.25">
      <c r="A2303" s="222">
        <v>21</v>
      </c>
      <c r="B2303" s="71" t="s">
        <v>29</v>
      </c>
      <c r="C2303" s="39" t="s">
        <v>5956</v>
      </c>
      <c r="D2303" s="106" t="s">
        <v>121</v>
      </c>
      <c r="E2303" s="47">
        <v>46166</v>
      </c>
      <c r="F2303" s="31" t="str">
        <f>VLOOKUP($C2303,Carpetas!$C$5:$M$2666,2,FALSE)</f>
        <v>PYB027/26</v>
      </c>
      <c r="G2303" s="23">
        <f>VLOOKUP($C2303,Carpetas!$C$5:$M$2666,10,FALSE)</f>
        <v>1558775</v>
      </c>
      <c r="H2303" s="27" t="str">
        <f>VLOOKUP($C2303,Carpetas!$C$5:$M$2666,6,FALSE)</f>
        <v>Compass</v>
      </c>
      <c r="I2303" s="27" t="str">
        <f>VLOOKUP($C2303,Carpetas!$C$5:$M$2666,3,FALSE)</f>
        <v>Diego Fernandez</v>
      </c>
      <c r="J2303" s="47">
        <v>46168</v>
      </c>
      <c r="K2303" s="72" t="str">
        <f>VLOOKUP($C2303,Carpetas!$C$5:$M$2666,5,FALSE)</f>
        <v>Salto</v>
      </c>
      <c r="L2303" s="72" t="str">
        <f>VLOOKUP($C2303,Carpetas!$C$5:$M$2666,4,FALSE)</f>
        <v>Banana</v>
      </c>
      <c r="M2303" s="48">
        <f>J2303+1+1</f>
        <v>46170</v>
      </c>
      <c r="N2303" s="26">
        <f t="shared" si="161"/>
        <v>4</v>
      </c>
      <c r="O2303" s="27">
        <v>980</v>
      </c>
      <c r="P2303" s="27">
        <v>980</v>
      </c>
      <c r="Q2303" s="27">
        <v>28</v>
      </c>
      <c r="R2303" s="27">
        <v>28</v>
      </c>
      <c r="S2303" s="27" t="s">
        <v>886</v>
      </c>
      <c r="T2303" s="27"/>
      <c r="U2303" s="27"/>
      <c r="V2303" s="27"/>
      <c r="W2303" s="27"/>
      <c r="X2303" s="128"/>
      <c r="Y2303" s="73" t="e">
        <f>VLOOKUP(X2303,Choferes!$B$3:C433,2,FALSE)</f>
        <v>#N/A</v>
      </c>
      <c r="Z2303" s="73" t="s">
        <v>5957</v>
      </c>
    </row>
    <row r="2304" spans="1:26" hidden="1" x14ac:dyDescent="0.25">
      <c r="A2304" s="222">
        <v>21</v>
      </c>
      <c r="B2304" s="71" t="s">
        <v>29</v>
      </c>
      <c r="C2304" s="39" t="s">
        <v>5958</v>
      </c>
      <c r="D2304" s="106" t="s">
        <v>102</v>
      </c>
      <c r="E2304" s="47">
        <v>46167</v>
      </c>
      <c r="F2304" s="31" t="str">
        <f>VLOOKUP($C2304,Carpetas!$C$5:$M$2666,2,FALSE)</f>
        <v>PYB028/26</v>
      </c>
      <c r="G2304" s="23">
        <f>VLOOKUP($C2304,Carpetas!$C$5:$M$2666,10,FALSE)</f>
        <v>1558206</v>
      </c>
      <c r="H2304" s="27" t="str">
        <f>VLOOKUP($C2304,Carpetas!$C$5:$M$2666,6,FALSE)</f>
        <v>G.S.C.S. PARAGUAY TTES.</v>
      </c>
      <c r="I2304" s="27" t="str">
        <f>VLOOKUP($C2304,Carpetas!$C$5:$M$2666,3,FALSE)</f>
        <v>Milciades Sosa</v>
      </c>
      <c r="J2304" s="47">
        <v>46169</v>
      </c>
      <c r="K2304" s="72" t="str">
        <f>VLOOKUP($C2304,Carpetas!$C$5:$M$2666,5,FALSE)</f>
        <v>Salto</v>
      </c>
      <c r="L2304" s="72" t="str">
        <f>VLOOKUP($C2304,Carpetas!$C$5:$M$2666,4,FALSE)</f>
        <v>Banana</v>
      </c>
      <c r="M2304" s="48">
        <f t="shared" ref="M2304:M2322" si="164">J2304+1</f>
        <v>46170</v>
      </c>
      <c r="N2304" s="26">
        <f t="shared" si="161"/>
        <v>3</v>
      </c>
      <c r="O2304" s="27">
        <v>980</v>
      </c>
      <c r="P2304" s="27">
        <v>980</v>
      </c>
      <c r="Q2304" s="27">
        <v>28</v>
      </c>
      <c r="R2304" s="27">
        <v>26</v>
      </c>
      <c r="S2304" s="27" t="s">
        <v>5959</v>
      </c>
      <c r="T2304" s="27"/>
      <c r="U2304" s="27"/>
      <c r="V2304" s="27"/>
      <c r="W2304" s="27"/>
      <c r="X2304" s="128"/>
      <c r="Y2304" s="73" t="e">
        <f>VLOOKUP(X2304,Choferes!$B$3:C437,2,FALSE)</f>
        <v>#N/A</v>
      </c>
      <c r="Z2304" s="73" t="s">
        <v>5957</v>
      </c>
    </row>
    <row r="2305" spans="1:26" hidden="1" x14ac:dyDescent="0.25">
      <c r="A2305" s="222">
        <v>21</v>
      </c>
      <c r="B2305" s="71" t="s">
        <v>29</v>
      </c>
      <c r="C2305" s="39" t="s">
        <v>5960</v>
      </c>
      <c r="D2305" s="106" t="s">
        <v>183</v>
      </c>
      <c r="E2305" s="47">
        <v>46167</v>
      </c>
      <c r="F2305" s="31" t="str">
        <f>VLOOKUP($C2305,Carpetas!$C$5:$M$2666,2,FALSE)</f>
        <v>PYB029-26</v>
      </c>
      <c r="G2305" s="23">
        <f>VLOOKUP($C2305,Carpetas!$C$5:$M$2666,10,FALSE)</f>
        <v>1559204</v>
      </c>
      <c r="H2305" s="27" t="str">
        <f>VLOOKUP($C2305,Carpetas!$C$5:$M$2666,6,FALSE)</f>
        <v>Mega Logistica</v>
      </c>
      <c r="I2305" s="27" t="str">
        <f>VLOOKUP($C2305,Carpetas!$C$5:$M$2666,3,FALSE)</f>
        <v>Hugo Franco</v>
      </c>
      <c r="J2305" s="47">
        <v>46169</v>
      </c>
      <c r="K2305" s="72" t="str">
        <f>VLOOKUP($C2305,Carpetas!$C$5:$M$2666,5,FALSE)</f>
        <v>Salto</v>
      </c>
      <c r="L2305" s="72" t="str">
        <f>VLOOKUP($C2305,Carpetas!$C$5:$M$2666,4,FALSE)</f>
        <v>Banana</v>
      </c>
      <c r="M2305" s="48">
        <f t="shared" si="164"/>
        <v>46170</v>
      </c>
      <c r="N2305" s="26">
        <f t="shared" si="161"/>
        <v>3</v>
      </c>
      <c r="O2305" s="27">
        <v>980</v>
      </c>
      <c r="P2305" s="27">
        <v>976</v>
      </c>
      <c r="Q2305" s="27">
        <v>28</v>
      </c>
      <c r="R2305" s="27">
        <v>28</v>
      </c>
      <c r="S2305" s="27" t="s">
        <v>1025</v>
      </c>
      <c r="T2305" s="27"/>
      <c r="U2305" s="27"/>
      <c r="V2305" s="27"/>
      <c r="W2305" s="27"/>
      <c r="X2305" s="128"/>
      <c r="Y2305" s="73" t="e">
        <f>VLOOKUP(X2305,Choferes!$B$3:C435,2,FALSE)</f>
        <v>#N/A</v>
      </c>
      <c r="Z2305" s="73" t="s">
        <v>5961</v>
      </c>
    </row>
    <row r="2306" spans="1:26" hidden="1" x14ac:dyDescent="0.25">
      <c r="A2306" s="222">
        <v>21</v>
      </c>
      <c r="B2306" s="71" t="s">
        <v>29</v>
      </c>
      <c r="C2306" s="39" t="s">
        <v>5956</v>
      </c>
      <c r="D2306" s="106" t="s">
        <v>121</v>
      </c>
      <c r="E2306" s="47">
        <v>46167</v>
      </c>
      <c r="F2306" s="31" t="str">
        <f>VLOOKUP($C2306,Carpetas!$C$5:$M$2666,2,FALSE)</f>
        <v>PYB027/26</v>
      </c>
      <c r="G2306" s="23">
        <f>VLOOKUP($C2306,Carpetas!$C$5:$M$2666,10,FALSE)</f>
        <v>1558775</v>
      </c>
      <c r="H2306" s="27" t="str">
        <f>VLOOKUP($C2306,Carpetas!$C$5:$M$2666,6,FALSE)</f>
        <v>Compass</v>
      </c>
      <c r="I2306" s="27" t="str">
        <f>VLOOKUP($C2306,Carpetas!$C$5:$M$2666,3,FALSE)</f>
        <v>Diego Fernandez</v>
      </c>
      <c r="J2306" s="47">
        <f>E2306+3</f>
        <v>46170</v>
      </c>
      <c r="K2306" s="72" t="str">
        <f>VLOOKUP($C2306,Carpetas!$C$5:$M$2666,5,FALSE)</f>
        <v>Salto</v>
      </c>
      <c r="L2306" s="72" t="str">
        <f>VLOOKUP($C2306,Carpetas!$C$5:$M$2666,4,FALSE)</f>
        <v>Banana</v>
      </c>
      <c r="M2306" s="48">
        <f t="shared" si="164"/>
        <v>46171</v>
      </c>
      <c r="N2306" s="26">
        <f t="shared" si="161"/>
        <v>4</v>
      </c>
      <c r="O2306" s="27">
        <v>980</v>
      </c>
      <c r="P2306" s="27">
        <v>980</v>
      </c>
      <c r="Q2306" s="27">
        <v>28</v>
      </c>
      <c r="R2306" s="27">
        <v>28</v>
      </c>
      <c r="S2306" s="27" t="s">
        <v>1010</v>
      </c>
      <c r="T2306" s="27"/>
      <c r="U2306" s="27"/>
      <c r="V2306" s="27"/>
      <c r="W2306" s="27"/>
      <c r="X2306" s="128"/>
      <c r="Y2306" s="73" t="e">
        <f>VLOOKUP(X2306,Choferes!$B$3:C434,2,FALSE)</f>
        <v>#N/A</v>
      </c>
      <c r="Z2306" s="73" t="s">
        <v>5957</v>
      </c>
    </row>
    <row r="2307" spans="1:26" hidden="1" x14ac:dyDescent="0.25">
      <c r="A2307" s="222">
        <v>21</v>
      </c>
      <c r="B2307" s="71" t="s">
        <v>29</v>
      </c>
      <c r="C2307" s="39" t="s">
        <v>5930</v>
      </c>
      <c r="D2307" s="106" t="s">
        <v>110</v>
      </c>
      <c r="E2307" s="47">
        <v>46168</v>
      </c>
      <c r="F2307" s="31" t="str">
        <f>VLOOKUP($C2307,Carpetas!$C$5:$M$2666,2,FALSE)</f>
        <v>BRB046/26</v>
      </c>
      <c r="G2307" s="23">
        <f>VLOOKUP($C2307,Carpetas!$C$5:$M$2666,10,FALSE)</f>
        <v>1558382</v>
      </c>
      <c r="H2307" s="27" t="str">
        <f>VLOOKUP($C2307,Carpetas!$C$5:$M$2666,6,FALSE)</f>
        <v>FG</v>
      </c>
      <c r="I2307" s="27" t="str">
        <f>VLOOKUP($C2307,Carpetas!$C$5:$M$2666,3,FALSE)</f>
        <v>Etimex</v>
      </c>
      <c r="J2307" s="47">
        <f>E2307+2</f>
        <v>46170</v>
      </c>
      <c r="K2307" s="72" t="str">
        <f>VLOOKUP($C2307,Carpetas!$C$5:$M$2666,5,FALSE)</f>
        <v>Rio Branco</v>
      </c>
      <c r="L2307" s="72" t="str">
        <f>VLOOKUP($C2307,Carpetas!$C$5:$M$2666,4,FALSE)</f>
        <v>Banana</v>
      </c>
      <c r="M2307" s="48">
        <f t="shared" si="164"/>
        <v>46171</v>
      </c>
      <c r="N2307" s="26">
        <f t="shared" si="161"/>
        <v>3</v>
      </c>
      <c r="O2307" s="27">
        <v>1008</v>
      </c>
      <c r="P2307" s="27">
        <v>1008</v>
      </c>
      <c r="Q2307" s="27">
        <v>28</v>
      </c>
      <c r="R2307" s="27">
        <v>26</v>
      </c>
      <c r="S2307" s="27" t="s">
        <v>1786</v>
      </c>
      <c r="T2307" s="27"/>
      <c r="U2307" s="27">
        <v>1568</v>
      </c>
      <c r="V2307" s="27" t="s">
        <v>3572</v>
      </c>
      <c r="W2307" s="27" t="s">
        <v>3412</v>
      </c>
      <c r="X2307" s="128"/>
      <c r="Y2307" s="73" t="e">
        <f>VLOOKUP(X2307,Choferes!$B$3:C438,2,FALSE)</f>
        <v>#N/A</v>
      </c>
      <c r="Z2307" s="73" t="s">
        <v>5962</v>
      </c>
    </row>
    <row r="2308" spans="1:26" hidden="1" x14ac:dyDescent="0.25">
      <c r="A2308" s="222">
        <v>21</v>
      </c>
      <c r="B2308" s="71" t="s">
        <v>29</v>
      </c>
      <c r="C2308" s="39" t="s">
        <v>5930</v>
      </c>
      <c r="D2308" s="106" t="s">
        <v>249</v>
      </c>
      <c r="E2308" s="47">
        <v>46168</v>
      </c>
      <c r="F2308" s="31" t="str">
        <f>VLOOKUP($C2308,Carpetas!$C$5:$M$2666,2,FALSE)</f>
        <v>BRB046/26</v>
      </c>
      <c r="G2308" s="23">
        <f>VLOOKUP($C2308,Carpetas!$C$5:$M$2666,10,FALSE)</f>
        <v>1558382</v>
      </c>
      <c r="H2308" s="27" t="str">
        <f>VLOOKUP($C2308,Carpetas!$C$5:$M$2666,6,FALSE)</f>
        <v>FG</v>
      </c>
      <c r="I2308" s="27" t="str">
        <f>VLOOKUP($C2308,Carpetas!$C$5:$M$2666,3,FALSE)</f>
        <v>Etimex</v>
      </c>
      <c r="J2308" s="47">
        <f>E2308+2</f>
        <v>46170</v>
      </c>
      <c r="K2308" s="72" t="str">
        <f>VLOOKUP($C2308,Carpetas!$C$5:$M$2666,5,FALSE)</f>
        <v>Rio Branco</v>
      </c>
      <c r="L2308" s="72" t="str">
        <f>VLOOKUP($C2308,Carpetas!$C$5:$M$2666,4,FALSE)</f>
        <v>Banana</v>
      </c>
      <c r="M2308" s="48">
        <f t="shared" si="164"/>
        <v>46171</v>
      </c>
      <c r="N2308" s="26">
        <f t="shared" si="161"/>
        <v>3</v>
      </c>
      <c r="O2308" s="27">
        <v>1008</v>
      </c>
      <c r="P2308" s="27">
        <v>1008</v>
      </c>
      <c r="Q2308" s="27">
        <v>28</v>
      </c>
      <c r="R2308" s="27">
        <v>26</v>
      </c>
      <c r="S2308" s="27" t="s">
        <v>2523</v>
      </c>
      <c r="T2308" s="27"/>
      <c r="U2308" s="27">
        <v>1565</v>
      </c>
      <c r="V2308" s="27" t="s">
        <v>1630</v>
      </c>
      <c r="W2308" s="27" t="s">
        <v>1934</v>
      </c>
      <c r="X2308" s="128"/>
      <c r="Y2308" s="73" t="e">
        <f>VLOOKUP(X2308,Choferes!$B$3:C440,2,FALSE)</f>
        <v>#N/A</v>
      </c>
      <c r="Z2308" s="73" t="s">
        <v>5962</v>
      </c>
    </row>
    <row r="2309" spans="1:26" hidden="1" x14ac:dyDescent="0.25">
      <c r="A2309" s="222">
        <v>21</v>
      </c>
      <c r="B2309" s="71" t="s">
        <v>29</v>
      </c>
      <c r="C2309" s="39" t="s">
        <v>5930</v>
      </c>
      <c r="D2309" s="106" t="s">
        <v>2474</v>
      </c>
      <c r="E2309" s="47">
        <v>46168</v>
      </c>
      <c r="F2309" s="31" t="str">
        <f>VLOOKUP($C2309,Carpetas!$C$5:$M$2666,2,FALSE)</f>
        <v>BRB046/26</v>
      </c>
      <c r="G2309" s="23">
        <f>VLOOKUP($C2309,Carpetas!$C$5:$M$2666,10,FALSE)</f>
        <v>1558382</v>
      </c>
      <c r="H2309" s="27" t="str">
        <f>VLOOKUP($C2309,Carpetas!$C$5:$M$2666,6,FALSE)</f>
        <v>FG</v>
      </c>
      <c r="I2309" s="27" t="str">
        <f>VLOOKUP($C2309,Carpetas!$C$5:$M$2666,3,FALSE)</f>
        <v>Etimex</v>
      </c>
      <c r="J2309" s="47">
        <f>E2309+2</f>
        <v>46170</v>
      </c>
      <c r="K2309" s="72" t="str">
        <f>VLOOKUP($C2309,Carpetas!$C$5:$M$2666,5,FALSE)</f>
        <v>Rio Branco</v>
      </c>
      <c r="L2309" s="72" t="str">
        <f>VLOOKUP($C2309,Carpetas!$C$5:$M$2666,4,FALSE)</f>
        <v>Banana</v>
      </c>
      <c r="M2309" s="48">
        <f t="shared" si="164"/>
        <v>46171</v>
      </c>
      <c r="N2309" s="26">
        <f t="shared" si="161"/>
        <v>3</v>
      </c>
      <c r="O2309" s="27">
        <v>1008</v>
      </c>
      <c r="P2309" s="27">
        <v>1008</v>
      </c>
      <c r="Q2309" s="27">
        <v>28</v>
      </c>
      <c r="R2309" s="27">
        <v>26</v>
      </c>
      <c r="S2309" s="27" t="s">
        <v>3892</v>
      </c>
      <c r="T2309" s="27"/>
      <c r="U2309" s="27">
        <v>1564</v>
      </c>
      <c r="V2309" s="27" t="s">
        <v>5817</v>
      </c>
      <c r="W2309" s="27" t="s">
        <v>5318</v>
      </c>
      <c r="X2309" s="128"/>
      <c r="Y2309" s="73" t="e">
        <f>VLOOKUP(X2309,Choferes!$B$3:C441,2,FALSE)</f>
        <v>#N/A</v>
      </c>
      <c r="Z2309" s="73" t="s">
        <v>5962</v>
      </c>
    </row>
    <row r="2310" spans="1:26" ht="30" hidden="1" x14ac:dyDescent="0.25">
      <c r="A2310" s="222">
        <v>21</v>
      </c>
      <c r="B2310" s="71" t="s">
        <v>29</v>
      </c>
      <c r="C2310" s="39" t="s">
        <v>5930</v>
      </c>
      <c r="D2310" s="106" t="s">
        <v>3124</v>
      </c>
      <c r="E2310" s="47">
        <v>46168</v>
      </c>
      <c r="F2310" s="31" t="str">
        <f>VLOOKUP($C2310,Carpetas!$C$5:$M$2666,2,FALSE)</f>
        <v>BRB046/26</v>
      </c>
      <c r="G2310" s="23">
        <f>VLOOKUP($C2310,Carpetas!$C$5:$M$2666,10,FALSE)</f>
        <v>1558382</v>
      </c>
      <c r="H2310" s="27" t="str">
        <f>VLOOKUP($C2310,Carpetas!$C$5:$M$2666,6,FALSE)</f>
        <v>FG</v>
      </c>
      <c r="I2310" s="27" t="str">
        <f>VLOOKUP($C2310,Carpetas!$C$5:$M$2666,3,FALSE)</f>
        <v>Etimex</v>
      </c>
      <c r="J2310" s="47">
        <f>E2310+2</f>
        <v>46170</v>
      </c>
      <c r="K2310" s="72" t="str">
        <f>VLOOKUP($C2310,Carpetas!$C$5:$M$2666,5,FALSE)</f>
        <v>Rio Branco</v>
      </c>
      <c r="L2310" s="72" t="str">
        <f>VLOOKUP($C2310,Carpetas!$C$5:$M$2666,4,FALSE)</f>
        <v>Banana</v>
      </c>
      <c r="M2310" s="48">
        <f t="shared" si="164"/>
        <v>46171</v>
      </c>
      <c r="N2310" s="26">
        <f t="shared" si="161"/>
        <v>3</v>
      </c>
      <c r="O2310" s="27">
        <v>1008</v>
      </c>
      <c r="P2310" s="27">
        <v>1008</v>
      </c>
      <c r="Q2310" s="27">
        <v>28</v>
      </c>
      <c r="R2310" s="27">
        <v>26</v>
      </c>
      <c r="S2310" s="27" t="s">
        <v>5963</v>
      </c>
      <c r="T2310" s="27"/>
      <c r="U2310" s="27">
        <v>1563</v>
      </c>
      <c r="V2310" s="27" t="s">
        <v>3411</v>
      </c>
      <c r="W2310" s="27" t="s">
        <v>5398</v>
      </c>
      <c r="X2310" s="128"/>
      <c r="Y2310" s="73" t="e">
        <f>VLOOKUP(X2310,Choferes!$B$3:C442,2,FALSE)</f>
        <v>#N/A</v>
      </c>
      <c r="Z2310" s="73" t="s">
        <v>5962</v>
      </c>
    </row>
    <row r="2311" spans="1:26" hidden="1" x14ac:dyDescent="0.25">
      <c r="A2311" s="222">
        <v>21</v>
      </c>
      <c r="B2311" s="71" t="s">
        <v>29</v>
      </c>
      <c r="C2311" s="39" t="s">
        <v>5960</v>
      </c>
      <c r="D2311" s="106" t="s">
        <v>183</v>
      </c>
      <c r="E2311" s="47">
        <v>46168</v>
      </c>
      <c r="F2311" s="31" t="str">
        <f>VLOOKUP($C2311,Carpetas!$C$5:$M$2666,2,FALSE)</f>
        <v>PYB029-26</v>
      </c>
      <c r="G2311" s="23">
        <f>VLOOKUP($C2311,Carpetas!$C$5:$M$2666,10,FALSE)</f>
        <v>1559204</v>
      </c>
      <c r="H2311" s="27" t="str">
        <f>VLOOKUP($C2311,Carpetas!$C$5:$M$2666,6,FALSE)</f>
        <v>Mega Logistica</v>
      </c>
      <c r="I2311" s="27" t="str">
        <f>VLOOKUP($C2311,Carpetas!$C$5:$M$2666,3,FALSE)</f>
        <v>Hugo Franco</v>
      </c>
      <c r="J2311" s="47">
        <v>46170</v>
      </c>
      <c r="K2311" s="72" t="str">
        <f>VLOOKUP($C2311,Carpetas!$C$5:$M$2666,5,FALSE)</f>
        <v>Salto</v>
      </c>
      <c r="L2311" s="72" t="str">
        <f>VLOOKUP($C2311,Carpetas!$C$5:$M$2666,4,FALSE)</f>
        <v>Banana</v>
      </c>
      <c r="M2311" s="48">
        <f t="shared" si="164"/>
        <v>46171</v>
      </c>
      <c r="N2311" s="26">
        <f t="shared" si="161"/>
        <v>3</v>
      </c>
      <c r="O2311" s="27">
        <v>980</v>
      </c>
      <c r="P2311" s="27">
        <v>982</v>
      </c>
      <c r="Q2311" s="27">
        <v>28</v>
      </c>
      <c r="R2311" s="27">
        <v>28</v>
      </c>
      <c r="S2311" s="27" t="s">
        <v>1068</v>
      </c>
      <c r="T2311" s="27"/>
      <c r="U2311" s="27"/>
      <c r="V2311" s="27"/>
      <c r="W2311" s="27"/>
      <c r="X2311" s="128"/>
      <c r="Y2311" s="73" t="e">
        <f>VLOOKUP(X2311,Choferes!$B$3:C436,2,FALSE)</f>
        <v>#N/A</v>
      </c>
      <c r="Z2311" s="73" t="s">
        <v>5964</v>
      </c>
    </row>
    <row r="2312" spans="1:26" ht="30" hidden="1" x14ac:dyDescent="0.25">
      <c r="A2312" s="222">
        <v>21</v>
      </c>
      <c r="B2312" s="71" t="s">
        <v>29</v>
      </c>
      <c r="C2312" s="39" t="s">
        <v>5965</v>
      </c>
      <c r="D2312" s="106" t="s">
        <v>38</v>
      </c>
      <c r="E2312" s="47">
        <v>46167</v>
      </c>
      <c r="F2312" s="31" t="str">
        <f>VLOOKUP($C2312,Carpetas!$C$5:$M$2666,2,FALSE)</f>
        <v>BRE031-26</v>
      </c>
      <c r="G2312" s="23" t="str">
        <f>VLOOKUP($C2312,Carpetas!$C$5:$M$2666,10,FALSE)</f>
        <v>1559012-1559013-1559117</v>
      </c>
      <c r="H2312" s="27" t="str">
        <f>VLOOKUP($C2312,Carpetas!$C$5:$M$2666,6,FALSE)</f>
        <v>VPN</v>
      </c>
      <c r="I2312" s="27" t="str">
        <f>VLOOKUP($C2312,Carpetas!$C$5:$M$2666,3,FALSE)</f>
        <v>Dom Basto</v>
      </c>
      <c r="J2312" s="47">
        <v>46170</v>
      </c>
      <c r="K2312" s="72" t="str">
        <f>VLOOKUP($C2312,Carpetas!$C$5:$M$2666,5,FALSE)</f>
        <v>Chuy</v>
      </c>
      <c r="L2312" s="72" t="str">
        <f>VLOOKUP($C2312,Carpetas!$C$5:$M$2666,4,FALSE)</f>
        <v>Mix</v>
      </c>
      <c r="M2312" s="48">
        <f t="shared" si="164"/>
        <v>46171</v>
      </c>
      <c r="N2312" s="26">
        <f t="shared" si="161"/>
        <v>4</v>
      </c>
      <c r="O2312" s="27">
        <v>1368</v>
      </c>
      <c r="P2312" s="27"/>
      <c r="Q2312" s="27"/>
      <c r="R2312" s="27"/>
      <c r="S2312" s="27" t="s">
        <v>5247</v>
      </c>
      <c r="T2312" s="27"/>
      <c r="U2312" s="27"/>
      <c r="V2312" s="27"/>
      <c r="W2312" s="27"/>
      <c r="X2312" s="128"/>
      <c r="Y2312" s="73" t="e">
        <f>VLOOKUP(X2312,Choferes!$B$3:C450,2,FALSE)</f>
        <v>#N/A</v>
      </c>
      <c r="Z2312" s="73" t="s">
        <v>5966</v>
      </c>
    </row>
    <row r="2313" spans="1:26" hidden="1" x14ac:dyDescent="0.25">
      <c r="A2313" s="222">
        <v>21</v>
      </c>
      <c r="B2313" s="71" t="s">
        <v>29</v>
      </c>
      <c r="C2313" s="39" t="s">
        <v>5947</v>
      </c>
      <c r="D2313" s="106" t="s">
        <v>2202</v>
      </c>
      <c r="E2313" s="47">
        <v>46168</v>
      </c>
      <c r="F2313" s="31" t="str">
        <f>VLOOKUP($C2313,Carpetas!$C$5:$M$2666,2,FALSE)</f>
        <v>BRB048/26</v>
      </c>
      <c r="G2313" s="23">
        <f>VLOOKUP($C2313,Carpetas!$C$5:$M$2666,10,FALSE)</f>
        <v>1559003</v>
      </c>
      <c r="H2313" s="27" t="str">
        <f>VLOOKUP($C2313,Carpetas!$C$5:$M$2666,6,FALSE)</f>
        <v>AXT</v>
      </c>
      <c r="I2313" s="27" t="str">
        <f>VLOOKUP($C2313,Carpetas!$C$5:$M$2666,3,FALSE)</f>
        <v>A&amp;A</v>
      </c>
      <c r="J2313" s="47">
        <v>46171</v>
      </c>
      <c r="K2313" s="72" t="str">
        <f>VLOOKUP($C2313,Carpetas!$C$5:$M$2666,5,FALSE)</f>
        <v>Chuy</v>
      </c>
      <c r="L2313" s="72" t="str">
        <f>VLOOKUP($C2313,Carpetas!$C$5:$M$2666,4,FALSE)</f>
        <v>Banana</v>
      </c>
      <c r="M2313" s="48">
        <f t="shared" si="164"/>
        <v>46172</v>
      </c>
      <c r="N2313" s="26">
        <f t="shared" si="161"/>
        <v>4</v>
      </c>
      <c r="O2313" s="27">
        <v>936</v>
      </c>
      <c r="P2313" s="27">
        <v>937</v>
      </c>
      <c r="Q2313" s="27">
        <v>26</v>
      </c>
      <c r="R2313" s="27">
        <v>25</v>
      </c>
      <c r="S2313" s="27" t="s">
        <v>5249</v>
      </c>
      <c r="T2313" s="27"/>
      <c r="U2313" s="27"/>
      <c r="V2313" s="27" t="s">
        <v>4070</v>
      </c>
      <c r="W2313" s="27" t="s">
        <v>3121</v>
      </c>
      <c r="X2313" s="128"/>
      <c r="Y2313" s="73" t="e">
        <f>VLOOKUP(X2313,Choferes!$B$3:C439,2,FALSE)</f>
        <v>#N/A</v>
      </c>
      <c r="Z2313" s="73" t="s">
        <v>5967</v>
      </c>
    </row>
    <row r="2314" spans="1:26" hidden="1" x14ac:dyDescent="0.25">
      <c r="A2314" s="222">
        <v>21</v>
      </c>
      <c r="B2314" s="71" t="s">
        <v>29</v>
      </c>
      <c r="C2314" s="39" t="s">
        <v>5932</v>
      </c>
      <c r="D2314" s="106" t="s">
        <v>5746</v>
      </c>
      <c r="E2314" s="47">
        <v>46169</v>
      </c>
      <c r="F2314" s="31" t="str">
        <f>VLOOKUP($C2314,Carpetas!$C$5:$M$2666,2,FALSE)</f>
        <v>BRB047/26</v>
      </c>
      <c r="G2314" s="23">
        <f>VLOOKUP($C2314,Carpetas!$C$5:$M$2666,10,FALSE)</f>
        <v>1558383</v>
      </c>
      <c r="H2314" s="27" t="str">
        <f>VLOOKUP($C2314,Carpetas!$C$5:$M$2666,6,FALSE)</f>
        <v>Amaro</v>
      </c>
      <c r="I2314" s="27" t="str">
        <f>VLOOKUP($C2314,Carpetas!$C$5:$M$2666,3,FALSE)</f>
        <v>Etimex</v>
      </c>
      <c r="J2314" s="47">
        <f>E2314+2</f>
        <v>46171</v>
      </c>
      <c r="K2314" s="72" t="str">
        <f>VLOOKUP($C2314,Carpetas!$C$5:$M$2666,5,FALSE)</f>
        <v>Rio Branco</v>
      </c>
      <c r="L2314" s="72" t="str">
        <f>VLOOKUP($C2314,Carpetas!$C$5:$M$2666,4,FALSE)</f>
        <v>Banana</v>
      </c>
      <c r="M2314" s="48">
        <f t="shared" si="164"/>
        <v>46172</v>
      </c>
      <c r="N2314" s="26">
        <f t="shared" si="161"/>
        <v>3</v>
      </c>
      <c r="O2314" s="27">
        <v>1008</v>
      </c>
      <c r="P2314" s="27">
        <v>1008</v>
      </c>
      <c r="Q2314" s="27">
        <v>28</v>
      </c>
      <c r="R2314" s="27">
        <v>26</v>
      </c>
      <c r="S2314" s="27" t="s">
        <v>5968</v>
      </c>
      <c r="T2314" s="27"/>
      <c r="U2314" s="27">
        <v>28701</v>
      </c>
      <c r="V2314" s="27" t="s">
        <v>3641</v>
      </c>
      <c r="W2314" s="27" t="s">
        <v>997</v>
      </c>
      <c r="X2314" s="128"/>
      <c r="Y2314" s="73" t="e">
        <f>VLOOKUP(X2314,Choferes!$B$3:C443,2,FALSE)</f>
        <v>#N/A</v>
      </c>
      <c r="Z2314" s="73" t="s">
        <v>5969</v>
      </c>
    </row>
    <row r="2315" spans="1:26" hidden="1" x14ac:dyDescent="0.25">
      <c r="A2315" s="222">
        <v>21</v>
      </c>
      <c r="B2315" s="71" t="s">
        <v>29</v>
      </c>
      <c r="C2315" s="39" t="s">
        <v>5970</v>
      </c>
      <c r="D2315" s="106" t="s">
        <v>38</v>
      </c>
      <c r="E2315" s="47">
        <v>46167</v>
      </c>
      <c r="F2315" s="31" t="str">
        <f>VLOOKUP($C2315,Carpetas!$C$5:$M$2666,2,FALSE)</f>
        <v>BRE032-26</v>
      </c>
      <c r="G2315" s="23">
        <f>VLOOKUP($C2315,Carpetas!$C$5:$M$2666,10,FALSE)</f>
        <v>0</v>
      </c>
      <c r="H2315" s="27" t="str">
        <f>VLOOKUP($C2315,Carpetas!$C$5:$M$2666,6,FALSE)</f>
        <v xml:space="preserve">Silvio </v>
      </c>
      <c r="I2315" s="27" t="str">
        <f>VLOOKUP($C2315,Carpetas!$C$5:$M$2666,3,FALSE)</f>
        <v>Jaguacy</v>
      </c>
      <c r="J2315" s="47">
        <f>E2315+4</f>
        <v>46171</v>
      </c>
      <c r="K2315" s="72" t="str">
        <f>VLOOKUP($C2315,Carpetas!$C$5:$M$2666,5,FALSE)</f>
        <v>Chuy</v>
      </c>
      <c r="L2315" s="72" t="str">
        <f>VLOOKUP($C2315,Carpetas!$C$5:$M$2666,4,FALSE)</f>
        <v>Palta</v>
      </c>
      <c r="M2315" s="48">
        <f t="shared" si="164"/>
        <v>46172</v>
      </c>
      <c r="N2315" s="26">
        <f t="shared" si="161"/>
        <v>5</v>
      </c>
      <c r="O2315" s="27">
        <v>2304</v>
      </c>
      <c r="P2315" s="27"/>
      <c r="Q2315" s="27"/>
      <c r="R2315" s="27"/>
      <c r="S2315" s="27"/>
      <c r="T2315" s="27"/>
      <c r="U2315" s="27"/>
      <c r="V2315" s="27"/>
      <c r="W2315" s="27"/>
      <c r="X2315" s="128"/>
      <c r="Y2315" s="73" t="e">
        <f>VLOOKUP(X2315,Choferes!$B$3:C449,2,FALSE)</f>
        <v>#N/A</v>
      </c>
      <c r="Z2315" s="73" t="s">
        <v>5813</v>
      </c>
    </row>
    <row r="2316" spans="1:26" hidden="1" x14ac:dyDescent="0.25">
      <c r="A2316" s="222">
        <v>21</v>
      </c>
      <c r="B2316" s="71" t="s">
        <v>29</v>
      </c>
      <c r="C2316" s="39" t="s">
        <v>5925</v>
      </c>
      <c r="D2316" s="106" t="s">
        <v>5780</v>
      </c>
      <c r="E2316" s="47">
        <v>46169</v>
      </c>
      <c r="F2316" s="31" t="str">
        <f>VLOOKUP($C2316,Carpetas!$C$5:$M$2666,2,FALSE)</f>
        <v>BRB045/26</v>
      </c>
      <c r="G2316" s="23">
        <f>VLOOKUP($C2316,Carpetas!$C$5:$M$2666,10,FALSE)</f>
        <v>1558017</v>
      </c>
      <c r="H2316" s="27" t="str">
        <f>VLOOKUP($C2316,Carpetas!$C$5:$M$2666,6,FALSE)</f>
        <v>Chabat</v>
      </c>
      <c r="I2316" s="27" t="str">
        <f>VLOOKUP($C2316,Carpetas!$C$5:$M$2666,3,FALSE)</f>
        <v>Etimex</v>
      </c>
      <c r="J2316" s="47">
        <f>E2316+2</f>
        <v>46171</v>
      </c>
      <c r="K2316" s="72" t="str">
        <f>VLOOKUP($C2316,Carpetas!$C$5:$M$2666,5,FALSE)</f>
        <v>Rio Branco</v>
      </c>
      <c r="L2316" s="72" t="str">
        <f>VLOOKUP($C2316,Carpetas!$C$5:$M$2666,4,FALSE)</f>
        <v>Banana</v>
      </c>
      <c r="M2316" s="48">
        <f t="shared" si="164"/>
        <v>46172</v>
      </c>
      <c r="N2316" s="26">
        <f t="shared" si="161"/>
        <v>3</v>
      </c>
      <c r="O2316" s="27">
        <v>1008</v>
      </c>
      <c r="P2316" s="27">
        <v>1008</v>
      </c>
      <c r="Q2316" s="27">
        <v>28</v>
      </c>
      <c r="R2316" s="27">
        <v>26</v>
      </c>
      <c r="S2316" s="27" t="s">
        <v>5971</v>
      </c>
      <c r="T2316" s="27"/>
      <c r="U2316" s="27">
        <v>2567</v>
      </c>
      <c r="V2316" s="27" t="s">
        <v>4134</v>
      </c>
      <c r="W2316" s="27" t="s">
        <v>4223</v>
      </c>
      <c r="X2316" s="128"/>
      <c r="Y2316" s="73" t="e">
        <f>VLOOKUP(X2316,Choferes!$B$3:C448,2,FALSE)</f>
        <v>#N/A</v>
      </c>
      <c r="Z2316" s="73" t="s">
        <v>5969</v>
      </c>
    </row>
    <row r="2317" spans="1:26" hidden="1" x14ac:dyDescent="0.25">
      <c r="A2317" s="222">
        <v>21</v>
      </c>
      <c r="B2317" s="71" t="s">
        <v>29</v>
      </c>
      <c r="C2317" s="39" t="s">
        <v>5930</v>
      </c>
      <c r="D2317" s="106" t="s">
        <v>110</v>
      </c>
      <c r="E2317" s="47">
        <v>46171</v>
      </c>
      <c r="F2317" s="31" t="str">
        <f>VLOOKUP($C2317,Carpetas!$C$5:$M$2666,2,FALSE)</f>
        <v>BRB046/26</v>
      </c>
      <c r="G2317" s="23">
        <f>VLOOKUP($C2317,Carpetas!$C$5:$M$2666,10,FALSE)</f>
        <v>1558382</v>
      </c>
      <c r="H2317" s="27" t="str">
        <f>VLOOKUP($C2317,Carpetas!$C$5:$M$2666,6,FALSE)</f>
        <v>FG</v>
      </c>
      <c r="I2317" s="27" t="str">
        <f>VLOOKUP($C2317,Carpetas!$C$5:$M$2666,3,FALSE)</f>
        <v>Etimex</v>
      </c>
      <c r="J2317" s="47">
        <f>E2317+2</f>
        <v>46173</v>
      </c>
      <c r="K2317" s="72" t="str">
        <f>VLOOKUP($C2317,Carpetas!$C$5:$M$2666,5,FALSE)</f>
        <v>Rio Branco</v>
      </c>
      <c r="L2317" s="72" t="str">
        <f>VLOOKUP($C2317,Carpetas!$C$5:$M$2666,4,FALSE)</f>
        <v>Banana</v>
      </c>
      <c r="M2317" s="48">
        <f t="shared" si="164"/>
        <v>46174</v>
      </c>
      <c r="N2317" s="26">
        <f t="shared" si="161"/>
        <v>3</v>
      </c>
      <c r="O2317" s="27">
        <v>1008</v>
      </c>
      <c r="P2317" s="27">
        <v>1009</v>
      </c>
      <c r="Q2317" s="27">
        <v>28</v>
      </c>
      <c r="R2317" s="27">
        <v>26</v>
      </c>
      <c r="S2317" s="27" t="s">
        <v>1824</v>
      </c>
      <c r="T2317" s="27"/>
      <c r="U2317" s="27">
        <v>1572</v>
      </c>
      <c r="V2317" s="27" t="s">
        <v>1042</v>
      </c>
      <c r="W2317" s="27" t="s">
        <v>1669</v>
      </c>
      <c r="X2317" s="128"/>
      <c r="Y2317" s="73" t="e">
        <f>VLOOKUP(X2317,Choferes!$B$3:C445,2,FALSE)</f>
        <v>#N/A</v>
      </c>
      <c r="Z2317" s="73" t="s">
        <v>5972</v>
      </c>
    </row>
    <row r="2318" spans="1:26" hidden="1" x14ac:dyDescent="0.25">
      <c r="A2318" s="222">
        <v>21</v>
      </c>
      <c r="B2318" s="71" t="s">
        <v>29</v>
      </c>
      <c r="C2318" s="39" t="s">
        <v>5930</v>
      </c>
      <c r="D2318" s="106" t="s">
        <v>249</v>
      </c>
      <c r="E2318" s="47">
        <v>46171</v>
      </c>
      <c r="F2318" s="31" t="str">
        <f>VLOOKUP($C2318,Carpetas!$C$5:$M$2666,2,FALSE)</f>
        <v>BRB046/26</v>
      </c>
      <c r="G2318" s="23">
        <f>VLOOKUP($C2318,Carpetas!$C$5:$M$2666,10,FALSE)</f>
        <v>1558382</v>
      </c>
      <c r="H2318" s="27" t="str">
        <f>VLOOKUP($C2318,Carpetas!$C$5:$M$2666,6,FALSE)</f>
        <v>FG</v>
      </c>
      <c r="I2318" s="27" t="str">
        <f>VLOOKUP($C2318,Carpetas!$C$5:$M$2666,3,FALSE)</f>
        <v>Etimex</v>
      </c>
      <c r="J2318" s="47">
        <f>E2318+2</f>
        <v>46173</v>
      </c>
      <c r="K2318" s="72" t="str">
        <f>VLOOKUP($C2318,Carpetas!$C$5:$M$2666,5,FALSE)</f>
        <v>Rio Branco</v>
      </c>
      <c r="L2318" s="72" t="str">
        <f>VLOOKUP($C2318,Carpetas!$C$5:$M$2666,4,FALSE)</f>
        <v>Banana</v>
      </c>
      <c r="M2318" s="48">
        <f t="shared" si="164"/>
        <v>46174</v>
      </c>
      <c r="N2318" s="26">
        <f t="shared" si="161"/>
        <v>3</v>
      </c>
      <c r="O2318" s="27">
        <v>1008</v>
      </c>
      <c r="P2318" s="27">
        <v>1008</v>
      </c>
      <c r="Q2318" s="27">
        <v>28</v>
      </c>
      <c r="R2318" s="27">
        <v>26</v>
      </c>
      <c r="S2318" s="27" t="s">
        <v>2529</v>
      </c>
      <c r="T2318" s="27"/>
      <c r="U2318" s="27">
        <v>1573</v>
      </c>
      <c r="V2318" s="27" t="s">
        <v>4645</v>
      </c>
      <c r="W2318" s="27" t="s">
        <v>4489</v>
      </c>
      <c r="X2318" s="128"/>
      <c r="Y2318" s="73" t="e">
        <f>VLOOKUP(X2318,Choferes!$B$3:C446,2,FALSE)</f>
        <v>#N/A</v>
      </c>
      <c r="Z2318" s="73" t="s">
        <v>5973</v>
      </c>
    </row>
    <row r="2319" spans="1:26" hidden="1" x14ac:dyDescent="0.25">
      <c r="A2319" s="222">
        <v>21</v>
      </c>
      <c r="B2319" s="71" t="s">
        <v>29</v>
      </c>
      <c r="C2319" s="39" t="s">
        <v>5974</v>
      </c>
      <c r="D2319" s="106" t="s">
        <v>5746</v>
      </c>
      <c r="E2319" s="47">
        <v>46171</v>
      </c>
      <c r="F2319" s="31" t="str">
        <f>VLOOKUP($C2319,Carpetas!$C$5:$M$2666,2,FALSE)</f>
        <v>BRB050/26</v>
      </c>
      <c r="G2319" s="23">
        <f>VLOOKUP($C2319,Carpetas!$C$5:$M$2666,10,FALSE)</f>
        <v>1559612</v>
      </c>
      <c r="H2319" s="27" t="str">
        <f>VLOOKUP($C2319,Carpetas!$C$5:$M$2666,6,FALSE)</f>
        <v>Amaro</v>
      </c>
      <c r="I2319" s="27" t="str">
        <f>VLOOKUP($C2319,Carpetas!$C$5:$M$2666,3,FALSE)</f>
        <v>Etimex</v>
      </c>
      <c r="J2319" s="47">
        <f>E2319+2</f>
        <v>46173</v>
      </c>
      <c r="K2319" s="72" t="str">
        <f>VLOOKUP($C2319,Carpetas!$C$5:$M$2666,5,FALSE)</f>
        <v>Rio Branco</v>
      </c>
      <c r="L2319" s="72" t="str">
        <f>VLOOKUP($C2319,Carpetas!$C$5:$M$2666,4,FALSE)</f>
        <v>Banana</v>
      </c>
      <c r="M2319" s="48">
        <f t="shared" si="164"/>
        <v>46174</v>
      </c>
      <c r="N2319" s="26">
        <f t="shared" si="161"/>
        <v>3</v>
      </c>
      <c r="O2319" s="27">
        <v>1008</v>
      </c>
      <c r="P2319" s="27">
        <v>1008</v>
      </c>
      <c r="Q2319" s="27">
        <v>28</v>
      </c>
      <c r="R2319" s="27">
        <v>26</v>
      </c>
      <c r="S2319" s="27" t="s">
        <v>5975</v>
      </c>
      <c r="T2319" s="27"/>
      <c r="U2319" s="27">
        <v>28723</v>
      </c>
      <c r="V2319" s="27" t="s">
        <v>2619</v>
      </c>
      <c r="W2319" s="27" t="s">
        <v>5976</v>
      </c>
      <c r="X2319" s="128"/>
      <c r="Y2319" s="73" t="e">
        <f>VLOOKUP(X2319,Choferes!$B$3:C447,2,FALSE)</f>
        <v>#N/A</v>
      </c>
      <c r="Z2319" s="73" t="s">
        <v>5973</v>
      </c>
    </row>
    <row r="2320" spans="1:26" ht="30" hidden="1" x14ac:dyDescent="0.25">
      <c r="A2320" s="222">
        <v>21</v>
      </c>
      <c r="B2320" s="71" t="s">
        <v>29</v>
      </c>
      <c r="C2320" s="39" t="s">
        <v>5925</v>
      </c>
      <c r="D2320" s="106" t="s">
        <v>5765</v>
      </c>
      <c r="E2320" s="47">
        <v>46171</v>
      </c>
      <c r="F2320" s="31" t="str">
        <f>VLOOKUP($C2320,Carpetas!$C$5:$M$2666,2,FALSE)</f>
        <v>BRB045/26</v>
      </c>
      <c r="G2320" s="23">
        <f>VLOOKUP($C2320,Carpetas!$C$5:$M$2666,10,FALSE)</f>
        <v>1558017</v>
      </c>
      <c r="H2320" s="27" t="str">
        <f>VLOOKUP($C2320,Carpetas!$C$5:$M$2666,6,FALSE)</f>
        <v>Chabat</v>
      </c>
      <c r="I2320" s="27" t="str">
        <f>VLOOKUP($C2320,Carpetas!$C$5:$M$2666,3,FALSE)</f>
        <v>Etimex</v>
      </c>
      <c r="J2320" s="47">
        <v>46174</v>
      </c>
      <c r="K2320" s="72" t="str">
        <f>VLOOKUP($C2320,Carpetas!$C$5:$M$2666,5,FALSE)</f>
        <v>Rio Branco</v>
      </c>
      <c r="L2320" s="72" t="str">
        <f>VLOOKUP($C2320,Carpetas!$C$5:$M$2666,4,FALSE)</f>
        <v>Banana</v>
      </c>
      <c r="M2320" s="48">
        <f t="shared" si="164"/>
        <v>46175</v>
      </c>
      <c r="N2320" s="26">
        <f t="shared" si="161"/>
        <v>4</v>
      </c>
      <c r="O2320" s="27">
        <v>1008</v>
      </c>
      <c r="P2320" s="27"/>
      <c r="Q2320" s="27"/>
      <c r="R2320" s="27"/>
      <c r="S2320" s="27" t="s">
        <v>5977</v>
      </c>
      <c r="T2320" s="27"/>
      <c r="U2320" s="27">
        <v>2569</v>
      </c>
      <c r="V2320" s="27" t="s">
        <v>4339</v>
      </c>
      <c r="W2320" s="27" t="s">
        <v>4340</v>
      </c>
      <c r="X2320" s="128"/>
      <c r="Y2320" s="73"/>
      <c r="Z2320" s="73" t="s">
        <v>5973</v>
      </c>
    </row>
    <row r="2321" spans="1:26" hidden="1" x14ac:dyDescent="0.25">
      <c r="A2321" s="222">
        <v>21</v>
      </c>
      <c r="B2321" s="71" t="s">
        <v>29</v>
      </c>
      <c r="C2321" s="39" t="s">
        <v>5978</v>
      </c>
      <c r="D2321" s="106" t="s">
        <v>2202</v>
      </c>
      <c r="E2321" s="47">
        <v>46172</v>
      </c>
      <c r="F2321" s="31" t="str">
        <f>VLOOKUP($C2321,Carpetas!$C$5:$M$2666,2,FALSE)</f>
        <v>BRB049/26</v>
      </c>
      <c r="G2321" s="23">
        <f>VLOOKUP($C2321,Carpetas!$C$5:$M$2666,10,FALSE)</f>
        <v>1559613</v>
      </c>
      <c r="H2321" s="27" t="str">
        <f>VLOOKUP($C2321,Carpetas!$C$5:$M$2666,6,FALSE)</f>
        <v>FG</v>
      </c>
      <c r="I2321" s="27" t="str">
        <f>VLOOKUP($C2321,Carpetas!$C$5:$M$2666,3,FALSE)</f>
        <v>Etimex</v>
      </c>
      <c r="J2321" s="47">
        <f>E2321+2</f>
        <v>46174</v>
      </c>
      <c r="K2321" s="72" t="str">
        <f>VLOOKUP($C2321,Carpetas!$C$5:$M$2666,5,FALSE)</f>
        <v>Rio Branco</v>
      </c>
      <c r="L2321" s="72" t="str">
        <f>VLOOKUP($C2321,Carpetas!$C$5:$M$2666,4,FALSE)</f>
        <v>Banana</v>
      </c>
      <c r="M2321" s="48">
        <f t="shared" si="164"/>
        <v>46175</v>
      </c>
      <c r="N2321" s="26">
        <f t="shared" si="161"/>
        <v>3</v>
      </c>
      <c r="O2321" s="27">
        <v>1008</v>
      </c>
      <c r="P2321" s="27">
        <v>1008</v>
      </c>
      <c r="Q2321" s="27">
        <v>28</v>
      </c>
      <c r="R2321" s="27">
        <v>26</v>
      </c>
      <c r="S2321" s="27" t="s">
        <v>5263</v>
      </c>
      <c r="T2321" s="27"/>
      <c r="U2321" s="27">
        <v>1575</v>
      </c>
      <c r="V2321" s="27" t="s">
        <v>4319</v>
      </c>
      <c r="W2321" s="27" t="s">
        <v>1523</v>
      </c>
      <c r="X2321" s="128"/>
      <c r="Y2321" s="73" t="e">
        <f>VLOOKUP(X2321,Choferes!$B$3:C449,2,FALSE)</f>
        <v>#N/A</v>
      </c>
      <c r="Z2321" s="73" t="s">
        <v>5973</v>
      </c>
    </row>
    <row r="2322" spans="1:26" hidden="1" x14ac:dyDescent="0.25">
      <c r="A2322" s="222">
        <v>21</v>
      </c>
      <c r="B2322" s="71" t="s">
        <v>29</v>
      </c>
      <c r="C2322" s="39" t="s">
        <v>5978</v>
      </c>
      <c r="D2322" s="106" t="s">
        <v>2474</v>
      </c>
      <c r="E2322" s="47">
        <v>46172</v>
      </c>
      <c r="F2322" s="31" t="str">
        <f>VLOOKUP($C2322,Carpetas!$C$5:$M$2666,2,FALSE)</f>
        <v>BRB049/26</v>
      </c>
      <c r="G2322" s="23">
        <f>VLOOKUP($C2322,Carpetas!$C$5:$M$2666,10,FALSE)</f>
        <v>1559613</v>
      </c>
      <c r="H2322" s="27" t="str">
        <f>VLOOKUP($C2322,Carpetas!$C$5:$M$2666,6,FALSE)</f>
        <v>FG</v>
      </c>
      <c r="I2322" s="27" t="str">
        <f>VLOOKUP($C2322,Carpetas!$C$5:$M$2666,3,FALSE)</f>
        <v>Etimex</v>
      </c>
      <c r="J2322" s="47">
        <f>E2322+2</f>
        <v>46174</v>
      </c>
      <c r="K2322" s="72" t="str">
        <f>VLOOKUP($C2322,Carpetas!$C$5:$M$2666,5,FALSE)</f>
        <v>Rio Branco</v>
      </c>
      <c r="L2322" s="72" t="str">
        <f>VLOOKUP($C2322,Carpetas!$C$5:$M$2666,4,FALSE)</f>
        <v>Banana</v>
      </c>
      <c r="M2322" s="48">
        <f t="shared" si="164"/>
        <v>46175</v>
      </c>
      <c r="N2322" s="26">
        <f t="shared" ref="N2322:N2385" si="165">IF(E2322&lt;&gt;"",M2322-E2322,"-")</f>
        <v>3</v>
      </c>
      <c r="O2322" s="27">
        <v>1008</v>
      </c>
      <c r="P2322" s="27">
        <v>1008</v>
      </c>
      <c r="Q2322" s="27">
        <v>28</v>
      </c>
      <c r="R2322" s="27">
        <v>26</v>
      </c>
      <c r="S2322" s="27" t="s">
        <v>3902</v>
      </c>
      <c r="T2322" s="27"/>
      <c r="U2322" s="27">
        <v>1574</v>
      </c>
      <c r="V2322" s="27" t="s">
        <v>5317</v>
      </c>
      <c r="W2322" s="27" t="s">
        <v>1627</v>
      </c>
      <c r="X2322" s="128"/>
      <c r="Y2322" s="73" t="e">
        <f>VLOOKUP(X2322,Choferes!$B$3:C450,2,FALSE)</f>
        <v>#N/A</v>
      </c>
      <c r="Z2322" s="73" t="s">
        <v>5973</v>
      </c>
    </row>
    <row r="2323" spans="1:26" ht="30" hidden="1" x14ac:dyDescent="0.25">
      <c r="A2323" s="222">
        <v>21</v>
      </c>
      <c r="B2323" s="71" t="s">
        <v>29</v>
      </c>
      <c r="C2323" s="39" t="s">
        <v>5979</v>
      </c>
      <c r="D2323" s="106" t="s">
        <v>38</v>
      </c>
      <c r="E2323" s="47">
        <v>46171</v>
      </c>
      <c r="F2323" s="31" t="str">
        <f>VLOOKUP($C2323,Carpetas!$C$5:$M$2666,2,FALSE)</f>
        <v>BRE033-26</v>
      </c>
      <c r="G2323" s="23" t="str">
        <f>VLOOKUP($C2323,Carpetas!$C$5:$M$2666,10,FALSE)</f>
        <v>1559825/1559693</v>
      </c>
      <c r="H2323" s="27" t="str">
        <f>VLOOKUP($C2323,Carpetas!$C$5:$M$2666,6,FALSE)</f>
        <v xml:space="preserve">Silvio </v>
      </c>
      <c r="I2323" s="27" t="str">
        <f>VLOOKUP($C2323,Carpetas!$C$5:$M$2666,3,FALSE)</f>
        <v>Etimex</v>
      </c>
      <c r="J2323" s="47">
        <v>46174</v>
      </c>
      <c r="K2323" s="72" t="str">
        <f>VLOOKUP($C2323,Carpetas!$C$5:$M$2666,5,FALSE)</f>
        <v>Rio Branco</v>
      </c>
      <c r="L2323" s="72" t="str">
        <f>VLOOKUP($C2323,Carpetas!$C$5:$M$2666,4,FALSE)</f>
        <v>Choclo y Banana</v>
      </c>
      <c r="M2323" s="48">
        <v>46176</v>
      </c>
      <c r="N2323" s="26">
        <f t="shared" si="165"/>
        <v>5</v>
      </c>
      <c r="O2323" s="27">
        <v>936</v>
      </c>
      <c r="P2323" s="27">
        <v>936</v>
      </c>
      <c r="Q2323" s="27">
        <v>26</v>
      </c>
      <c r="R2323" s="27">
        <v>26</v>
      </c>
      <c r="S2323" s="27" t="s">
        <v>3913</v>
      </c>
      <c r="T2323" s="27"/>
      <c r="U2323" s="27">
        <v>7807</v>
      </c>
      <c r="V2323" s="27" t="s">
        <v>5980</v>
      </c>
      <c r="W2323" s="27" t="s">
        <v>612</v>
      </c>
      <c r="X2323" s="128"/>
      <c r="Y2323" s="73" t="e">
        <f>VLOOKUP(X2323,Choferes!$B$3:C450,2,FALSE)</f>
        <v>#N/A</v>
      </c>
      <c r="Z2323" s="73" t="s">
        <v>5981</v>
      </c>
    </row>
    <row r="2324" spans="1:26" hidden="1" x14ac:dyDescent="0.25">
      <c r="A2324" s="222">
        <v>22</v>
      </c>
      <c r="B2324" s="71" t="s">
        <v>29</v>
      </c>
      <c r="C2324" s="39" t="s">
        <v>5982</v>
      </c>
      <c r="D2324" s="106" t="s">
        <v>5507</v>
      </c>
      <c r="E2324" s="47">
        <v>46175</v>
      </c>
      <c r="F2324" s="31" t="str">
        <f>VLOOKUP($C2324,Carpetas!$C$5:$M$2666,2,FALSE)</f>
        <v>BRB051/26</v>
      </c>
      <c r="G2324" s="23">
        <f>VLOOKUP($C2324,Carpetas!$C$5:$M$2666,10,FALSE)</f>
        <v>1559849</v>
      </c>
      <c r="H2324" s="27" t="str">
        <f>VLOOKUP($C2324,Carpetas!$C$5:$M$2666,6,FALSE)</f>
        <v>Chabat</v>
      </c>
      <c r="I2324" s="27" t="str">
        <f>VLOOKUP($C2324,Carpetas!$C$5:$M$2666,3,FALSE)</f>
        <v>Etimex</v>
      </c>
      <c r="J2324" s="47">
        <v>46175</v>
      </c>
      <c r="K2324" s="72" t="str">
        <f>VLOOKUP($C2324,Carpetas!$C$5:$M$2666,5,FALSE)</f>
        <v>Rio Branco</v>
      </c>
      <c r="L2324" s="72" t="str">
        <f>VLOOKUP($C2324,Carpetas!$C$5:$M$2666,4,FALSE)</f>
        <v>Banana</v>
      </c>
      <c r="M2324" s="48">
        <f t="shared" ref="M2324:M2349" si="166">J2324+1</f>
        <v>46176</v>
      </c>
      <c r="N2324" s="26">
        <f t="shared" si="165"/>
        <v>1</v>
      </c>
      <c r="O2324" s="27">
        <v>1008</v>
      </c>
      <c r="P2324" s="27">
        <v>1008</v>
      </c>
      <c r="Q2324" s="27">
        <v>28</v>
      </c>
      <c r="R2324" s="27">
        <v>26</v>
      </c>
      <c r="S2324" s="27" t="s">
        <v>5983</v>
      </c>
      <c r="T2324" s="27"/>
      <c r="U2324" s="27">
        <v>2570</v>
      </c>
      <c r="V2324" s="27" t="s">
        <v>5759</v>
      </c>
      <c r="W2324" s="27" t="s">
        <v>4635</v>
      </c>
      <c r="X2324" s="128"/>
      <c r="Y2324" s="73" t="e">
        <f>VLOOKUP(X2324,Choferes!$B$3:C439,2,FALSE)</f>
        <v>#N/A</v>
      </c>
      <c r="Z2324" s="73" t="s">
        <v>5984</v>
      </c>
    </row>
    <row r="2325" spans="1:26" hidden="1" x14ac:dyDescent="0.25">
      <c r="A2325" s="222">
        <v>21</v>
      </c>
      <c r="B2325" s="71" t="s">
        <v>29</v>
      </c>
      <c r="C2325" s="39" t="s">
        <v>5985</v>
      </c>
      <c r="D2325" s="106" t="s">
        <v>38</v>
      </c>
      <c r="E2325" s="47">
        <v>46171</v>
      </c>
      <c r="F2325" s="31" t="str">
        <f>VLOOKUP($C2325,Carpetas!$C$5:$M$2666,2,FALSE)</f>
        <v>BRE034-26</v>
      </c>
      <c r="G2325" s="23" t="str">
        <f>VLOOKUP($C2325,Carpetas!$C$5:$M$2666,10,FALSE)</f>
        <v>1559267/1559268</v>
      </c>
      <c r="H2325" s="27" t="str">
        <f>VLOOKUP($C2325,Carpetas!$C$5:$M$2666,6,FALSE)</f>
        <v xml:space="preserve">Silvio </v>
      </c>
      <c r="I2325" s="27" t="str">
        <f>VLOOKUP($C2325,Carpetas!$C$5:$M$2666,3,FALSE)</f>
        <v>Etimex</v>
      </c>
      <c r="J2325" s="47">
        <v>46175</v>
      </c>
      <c r="K2325" s="72" t="str">
        <f>VLOOKUP($C2325,Carpetas!$C$5:$M$2666,5,FALSE)</f>
        <v>Rio Branco</v>
      </c>
      <c r="L2325" s="72" t="str">
        <f>VLOOKUP($C2325,Carpetas!$C$5:$M$2666,4,FALSE)</f>
        <v>Jengibre y Curcuma</v>
      </c>
      <c r="M2325" s="48">
        <f t="shared" si="166"/>
        <v>46176</v>
      </c>
      <c r="N2325" s="26">
        <f t="shared" si="165"/>
        <v>5</v>
      </c>
      <c r="O2325" s="27">
        <v>1786</v>
      </c>
      <c r="P2325" s="27"/>
      <c r="Q2325" s="27"/>
      <c r="R2325" s="27"/>
      <c r="S2325" s="27"/>
      <c r="T2325" s="27"/>
      <c r="U2325" s="27">
        <v>7806</v>
      </c>
      <c r="V2325" s="27" t="s">
        <v>5986</v>
      </c>
      <c r="W2325" s="27" t="s">
        <v>5987</v>
      </c>
      <c r="X2325" s="128"/>
      <c r="Y2325" s="73" t="e">
        <f>VLOOKUP(X2325,Choferes!$B$3:C450,2,FALSE)</f>
        <v>#N/A</v>
      </c>
      <c r="Z2325" s="73" t="s">
        <v>5988</v>
      </c>
    </row>
    <row r="2326" spans="1:26" hidden="1" x14ac:dyDescent="0.25">
      <c r="A2326" s="222">
        <v>22</v>
      </c>
      <c r="B2326" s="71" t="s">
        <v>29</v>
      </c>
      <c r="C2326" s="39" t="s">
        <v>5947</v>
      </c>
      <c r="D2326" s="106" t="s">
        <v>2202</v>
      </c>
      <c r="E2326" s="47">
        <v>46175</v>
      </c>
      <c r="F2326" s="31" t="str">
        <f>VLOOKUP($C2326,Carpetas!$C$5:$M$2666,2,FALSE)</f>
        <v>BRB048/26</v>
      </c>
      <c r="G2326" s="23">
        <f>VLOOKUP($C2326,Carpetas!$C$5:$M$2666,10,FALSE)</f>
        <v>1559003</v>
      </c>
      <c r="H2326" s="27" t="str">
        <f>VLOOKUP($C2326,Carpetas!$C$5:$M$2666,6,FALSE)</f>
        <v>AXT</v>
      </c>
      <c r="I2326" s="27" t="str">
        <f>VLOOKUP($C2326,Carpetas!$C$5:$M$2666,3,FALSE)</f>
        <v>A&amp;A</v>
      </c>
      <c r="J2326" s="47">
        <f>E2326+2</f>
        <v>46177</v>
      </c>
      <c r="K2326" s="72" t="str">
        <f>VLOOKUP($C2326,Carpetas!$C$5:$M$2666,5,FALSE)</f>
        <v>Chuy</v>
      </c>
      <c r="L2326" s="72" t="str">
        <f>VLOOKUP($C2326,Carpetas!$C$5:$M$2666,4,FALSE)</f>
        <v>Banana</v>
      </c>
      <c r="M2326" s="48">
        <f t="shared" si="166"/>
        <v>46178</v>
      </c>
      <c r="N2326" s="26">
        <f t="shared" si="165"/>
        <v>3</v>
      </c>
      <c r="O2326" s="27">
        <v>936</v>
      </c>
      <c r="P2326" s="27">
        <v>937</v>
      </c>
      <c r="Q2326" s="27">
        <v>26</v>
      </c>
      <c r="R2326" s="27">
        <v>26</v>
      </c>
      <c r="S2326" s="27" t="s">
        <v>5272</v>
      </c>
      <c r="T2326" s="27"/>
      <c r="U2326" s="27"/>
      <c r="V2326" s="27" t="s">
        <v>4070</v>
      </c>
      <c r="W2326" s="27" t="s">
        <v>5989</v>
      </c>
      <c r="X2326" s="128"/>
      <c r="Y2326" s="73" t="e">
        <f>VLOOKUP(X2326,Choferes!$B$3:C438,2,FALSE)</f>
        <v>#N/A</v>
      </c>
      <c r="Z2326" s="73" t="s">
        <v>5990</v>
      </c>
    </row>
    <row r="2327" spans="1:26" hidden="1" x14ac:dyDescent="0.25">
      <c r="A2327" s="222">
        <v>22</v>
      </c>
      <c r="B2327" s="71" t="s">
        <v>29</v>
      </c>
      <c r="C2327" s="39" t="s">
        <v>5978</v>
      </c>
      <c r="D2327" s="106" t="s">
        <v>5640</v>
      </c>
      <c r="E2327" s="47">
        <v>46175</v>
      </c>
      <c r="F2327" s="31" t="str">
        <f>VLOOKUP($C2327,Carpetas!$C$5:$M$2666,2,FALSE)</f>
        <v>BRB049/26</v>
      </c>
      <c r="G2327" s="23">
        <f>VLOOKUP($C2327,Carpetas!$C$5:$M$2666,10,FALSE)</f>
        <v>1559613</v>
      </c>
      <c r="H2327" s="27" t="str">
        <f>VLOOKUP($C2327,Carpetas!$C$5:$M$2666,6,FALSE)</f>
        <v>FG</v>
      </c>
      <c r="I2327" s="27" t="str">
        <f>VLOOKUP($C2327,Carpetas!$C$5:$M$2666,3,FALSE)</f>
        <v>Etimex</v>
      </c>
      <c r="J2327" s="47">
        <f>E2327+2</f>
        <v>46177</v>
      </c>
      <c r="K2327" s="72" t="str">
        <f>VLOOKUP($C2327,Carpetas!$C$5:$M$2666,5,FALSE)</f>
        <v>Rio Branco</v>
      </c>
      <c r="L2327" s="72" t="str">
        <f>VLOOKUP($C2327,Carpetas!$C$5:$M$2666,4,FALSE)</f>
        <v>Banana</v>
      </c>
      <c r="M2327" s="48">
        <f t="shared" si="166"/>
        <v>46178</v>
      </c>
      <c r="N2327" s="26">
        <f t="shared" si="165"/>
        <v>3</v>
      </c>
      <c r="O2327" s="27">
        <v>1008</v>
      </c>
      <c r="P2327" s="27">
        <v>1008</v>
      </c>
      <c r="Q2327" s="27">
        <v>28</v>
      </c>
      <c r="R2327" s="27">
        <v>26</v>
      </c>
      <c r="S2327" s="27" t="s">
        <v>5991</v>
      </c>
      <c r="T2327" s="27"/>
      <c r="U2327" s="27">
        <v>1578</v>
      </c>
      <c r="V2327" s="27" t="s">
        <v>1430</v>
      </c>
      <c r="W2327" s="27" t="s">
        <v>5449</v>
      </c>
      <c r="X2327" s="128"/>
      <c r="Y2327" s="73" t="e">
        <f>VLOOKUP(X2327,Choferes!$B$3:C440,2,FALSE)</f>
        <v>#N/A</v>
      </c>
      <c r="Z2327" s="73" t="s">
        <v>5992</v>
      </c>
    </row>
    <row r="2328" spans="1:26" hidden="1" x14ac:dyDescent="0.25">
      <c r="A2328" s="222">
        <v>22</v>
      </c>
      <c r="B2328" s="71" t="s">
        <v>29</v>
      </c>
      <c r="C2328" s="39" t="s">
        <v>5978</v>
      </c>
      <c r="D2328" s="106" t="s">
        <v>110</v>
      </c>
      <c r="E2328" s="47">
        <v>46175</v>
      </c>
      <c r="F2328" s="31" t="str">
        <f>VLOOKUP($C2328,Carpetas!$C$5:$M$2666,2,FALSE)</f>
        <v>BRB049/26</v>
      </c>
      <c r="G2328" s="23">
        <f>VLOOKUP($C2328,Carpetas!$C$5:$M$2666,10,FALSE)</f>
        <v>1559613</v>
      </c>
      <c r="H2328" s="27" t="str">
        <f>VLOOKUP($C2328,Carpetas!$C$5:$M$2666,6,FALSE)</f>
        <v>FG</v>
      </c>
      <c r="I2328" s="27" t="str">
        <f>VLOOKUP($C2328,Carpetas!$C$5:$M$2666,3,FALSE)</f>
        <v>Etimex</v>
      </c>
      <c r="J2328" s="47">
        <f>E2328+2</f>
        <v>46177</v>
      </c>
      <c r="K2328" s="72" t="str">
        <f>VLOOKUP($C2328,Carpetas!$C$5:$M$2666,5,FALSE)</f>
        <v>Rio Branco</v>
      </c>
      <c r="L2328" s="72" t="str">
        <f>VLOOKUP($C2328,Carpetas!$C$5:$M$2666,4,FALSE)</f>
        <v>Banana</v>
      </c>
      <c r="M2328" s="48">
        <f t="shared" si="166"/>
        <v>46178</v>
      </c>
      <c r="N2328" s="26">
        <f t="shared" si="165"/>
        <v>3</v>
      </c>
      <c r="O2328" s="27">
        <v>1008</v>
      </c>
      <c r="P2328" s="27">
        <v>1009</v>
      </c>
      <c r="Q2328" s="27">
        <v>28</v>
      </c>
      <c r="R2328" s="27">
        <v>26</v>
      </c>
      <c r="S2328" s="27" t="s">
        <v>1848</v>
      </c>
      <c r="T2328" s="27"/>
      <c r="U2328" s="27">
        <v>1579</v>
      </c>
      <c r="V2328" s="27" t="s">
        <v>3669</v>
      </c>
      <c r="W2328" s="27" t="s">
        <v>912</v>
      </c>
      <c r="X2328" s="128"/>
      <c r="Y2328" s="73" t="e">
        <f>VLOOKUP(X2328,Choferes!$B$3:C441,2,FALSE)</f>
        <v>#N/A</v>
      </c>
      <c r="Z2328" s="73" t="s">
        <v>5993</v>
      </c>
    </row>
    <row r="2329" spans="1:26" hidden="1" x14ac:dyDescent="0.25">
      <c r="A2329" s="222">
        <v>21</v>
      </c>
      <c r="B2329" s="71" t="s">
        <v>29</v>
      </c>
      <c r="C2329" s="39" t="s">
        <v>5994</v>
      </c>
      <c r="D2329" s="106" t="s">
        <v>38</v>
      </c>
      <c r="E2329" s="47">
        <v>46170</v>
      </c>
      <c r="F2329" s="31" t="str">
        <f>VLOOKUP($C2329,Carpetas!$C$5:$M$2666,2,FALSE)</f>
        <v>BRE035-26</v>
      </c>
      <c r="G2329" s="23">
        <f>VLOOKUP($C2329,Carpetas!$C$5:$M$2666,10,FALSE)</f>
        <v>0</v>
      </c>
      <c r="H2329" s="27" t="str">
        <f>VLOOKUP($C2329,Carpetas!$C$5:$M$2666,6,FALSE)</f>
        <v xml:space="preserve">Silvio </v>
      </c>
      <c r="I2329" s="27" t="str">
        <f>VLOOKUP($C2329,Carpetas!$C$5:$M$2666,3,FALSE)</f>
        <v>DINA</v>
      </c>
      <c r="J2329" s="47">
        <f>E2329+7</f>
        <v>46177</v>
      </c>
      <c r="K2329" s="72" t="str">
        <f>VLOOKUP($C2329,Carpetas!$C$5:$M$2666,5,FALSE)</f>
        <v>Chuy</v>
      </c>
      <c r="L2329" s="72" t="str">
        <f>VLOOKUP($C2329,Carpetas!$C$5:$M$2666,4,FALSE)</f>
        <v>Melón</v>
      </c>
      <c r="M2329" s="48">
        <f t="shared" si="166"/>
        <v>46178</v>
      </c>
      <c r="N2329" s="26">
        <f t="shared" si="165"/>
        <v>8</v>
      </c>
      <c r="O2329" s="27">
        <v>1560</v>
      </c>
      <c r="P2329" s="27">
        <v>1559</v>
      </c>
      <c r="Q2329" s="27">
        <v>26</v>
      </c>
      <c r="R2329" s="27"/>
      <c r="S2329" s="27"/>
      <c r="T2329" s="27"/>
      <c r="U2329" s="27"/>
      <c r="V2329" s="27"/>
      <c r="W2329" s="27"/>
      <c r="X2329" s="128"/>
      <c r="Y2329" s="73" t="e">
        <f>VLOOKUP(X2329,Choferes!$B$3:C450,2,FALSE)</f>
        <v>#N/A</v>
      </c>
      <c r="Z2329" s="73" t="s">
        <v>5995</v>
      </c>
    </row>
    <row r="2330" spans="1:26" hidden="1" x14ac:dyDescent="0.25">
      <c r="A2330" s="222">
        <v>22</v>
      </c>
      <c r="B2330" s="71" t="s">
        <v>29</v>
      </c>
      <c r="C2330" s="39" t="s">
        <v>5996</v>
      </c>
      <c r="D2330" s="106" t="s">
        <v>102</v>
      </c>
      <c r="E2330" s="47">
        <v>46175</v>
      </c>
      <c r="F2330" s="31" t="str">
        <f>VLOOKUP($C2330,Carpetas!$C$5:$M$2666,2,FALSE)</f>
        <v>PYB031-26</v>
      </c>
      <c r="G2330" s="23">
        <f>VLOOKUP($C2330,Carpetas!$C$5:$M$2666,10,FALSE)</f>
        <v>1559790</v>
      </c>
      <c r="H2330" s="27" t="str">
        <f>VLOOKUP($C2330,Carpetas!$C$5:$M$2666,6,FALSE)</f>
        <v>G.S.C.S. PARAGUAY TTES. S.R.L.</v>
      </c>
      <c r="I2330" s="27" t="str">
        <f>VLOOKUP($C2330,Carpetas!$C$5:$M$2666,3,FALSE)</f>
        <v>Milciades Sosa</v>
      </c>
      <c r="J2330" s="47">
        <f>E2330+3</f>
        <v>46178</v>
      </c>
      <c r="K2330" s="72" t="str">
        <f>VLOOKUP($C2330,Carpetas!$C$5:$M$2666,5,FALSE)</f>
        <v>Salto</v>
      </c>
      <c r="L2330" s="72" t="str">
        <f>VLOOKUP($C2330,Carpetas!$C$5:$M$2666,4,FALSE)</f>
        <v>Banana</v>
      </c>
      <c r="M2330" s="48">
        <f t="shared" si="166"/>
        <v>46179</v>
      </c>
      <c r="N2330" s="26">
        <f t="shared" si="165"/>
        <v>4</v>
      </c>
      <c r="O2330" s="27">
        <v>980</v>
      </c>
      <c r="P2330" s="27">
        <v>981</v>
      </c>
      <c r="Q2330" s="27">
        <v>28</v>
      </c>
      <c r="R2330" s="27">
        <v>27</v>
      </c>
      <c r="S2330" s="27" t="s">
        <v>5997</v>
      </c>
      <c r="T2330" s="27"/>
      <c r="U2330" s="27"/>
      <c r="V2330" s="27"/>
      <c r="W2330" s="27"/>
      <c r="X2330" s="128"/>
      <c r="Y2330" s="73" t="e">
        <f>VLOOKUP(X2330,Choferes!$B$3:C434,2,FALSE)</f>
        <v>#N/A</v>
      </c>
      <c r="Z2330" s="73" t="s">
        <v>5998</v>
      </c>
    </row>
    <row r="2331" spans="1:26" hidden="1" x14ac:dyDescent="0.25">
      <c r="A2331" s="222">
        <v>22</v>
      </c>
      <c r="B2331" s="71" t="s">
        <v>29</v>
      </c>
      <c r="C2331" s="39" t="s">
        <v>5999</v>
      </c>
      <c r="D2331" s="106" t="s">
        <v>183</v>
      </c>
      <c r="E2331" s="47">
        <v>46175</v>
      </c>
      <c r="F2331" s="31" t="str">
        <f>VLOOKUP($C2331,Carpetas!$C$5:$M$2666,2,FALSE)</f>
        <v>PYB030-26</v>
      </c>
      <c r="G2331" s="23">
        <f>VLOOKUP($C2331,Carpetas!$C$5:$M$2666,10,FALSE)</f>
        <v>1559792</v>
      </c>
      <c r="H2331" s="27" t="str">
        <f>VLOOKUP($C2331,Carpetas!$C$5:$M$2666,6,FALSE)</f>
        <v>Mega Logistica</v>
      </c>
      <c r="I2331" s="27" t="str">
        <f>VLOOKUP($C2331,Carpetas!$C$5:$M$2666,3,FALSE)</f>
        <v>Hugo Franco</v>
      </c>
      <c r="J2331" s="47">
        <f>E2331+3</f>
        <v>46178</v>
      </c>
      <c r="K2331" s="72" t="str">
        <f>VLOOKUP($C2331,Carpetas!$C$5:$M$2666,5,FALSE)</f>
        <v>Salto</v>
      </c>
      <c r="L2331" s="72" t="str">
        <f>VLOOKUP($C2331,Carpetas!$C$5:$M$2666,4,FALSE)</f>
        <v>Banana</v>
      </c>
      <c r="M2331" s="48">
        <f t="shared" si="166"/>
        <v>46179</v>
      </c>
      <c r="N2331" s="26">
        <f t="shared" si="165"/>
        <v>4</v>
      </c>
      <c r="O2331" s="27">
        <v>980</v>
      </c>
      <c r="P2331" s="27">
        <v>983</v>
      </c>
      <c r="Q2331" s="27">
        <v>28</v>
      </c>
      <c r="R2331" s="27">
        <v>27</v>
      </c>
      <c r="S2331" s="27" t="s">
        <v>6000</v>
      </c>
      <c r="T2331" s="27"/>
      <c r="U2331" s="27"/>
      <c r="V2331" s="27"/>
      <c r="W2331" s="27"/>
      <c r="X2331" s="128"/>
      <c r="Y2331" s="73" t="e">
        <f>VLOOKUP(X2331,Choferes!$B$3:C436,2,FALSE)</f>
        <v>#N/A</v>
      </c>
      <c r="Z2331" s="73" t="s">
        <v>6001</v>
      </c>
    </row>
    <row r="2332" spans="1:26" hidden="1" x14ac:dyDescent="0.25">
      <c r="A2332" s="222">
        <v>22</v>
      </c>
      <c r="B2332" s="71" t="s">
        <v>29</v>
      </c>
      <c r="C2332" s="39" t="s">
        <v>5999</v>
      </c>
      <c r="D2332" s="106" t="s">
        <v>183</v>
      </c>
      <c r="E2332" s="47">
        <v>46176</v>
      </c>
      <c r="F2332" s="31" t="str">
        <f>VLOOKUP($C2332,Carpetas!$C$5:$M$2666,2,FALSE)</f>
        <v>PYB030-26</v>
      </c>
      <c r="G2332" s="23">
        <f>VLOOKUP($C2332,Carpetas!$C$5:$M$2666,10,FALSE)</f>
        <v>1559792</v>
      </c>
      <c r="H2332" s="27" t="str">
        <f>VLOOKUP($C2332,Carpetas!$C$5:$M$2666,6,FALSE)</f>
        <v>Mega Logistica</v>
      </c>
      <c r="I2332" s="27" t="str">
        <f>VLOOKUP($C2332,Carpetas!$C$5:$M$2666,3,FALSE)</f>
        <v>Hugo Franco</v>
      </c>
      <c r="J2332" s="47">
        <f>E2332+3</f>
        <v>46179</v>
      </c>
      <c r="K2332" s="72" t="str">
        <f>VLOOKUP($C2332,Carpetas!$C$5:$M$2666,5,FALSE)</f>
        <v>Salto</v>
      </c>
      <c r="L2332" s="72" t="str">
        <f>VLOOKUP($C2332,Carpetas!$C$5:$M$2666,4,FALSE)</f>
        <v>Banana</v>
      </c>
      <c r="M2332" s="48">
        <f t="shared" si="166"/>
        <v>46180</v>
      </c>
      <c r="N2332" s="26">
        <f t="shared" si="165"/>
        <v>4</v>
      </c>
      <c r="O2332" s="27">
        <v>980</v>
      </c>
      <c r="P2332" s="27">
        <v>983</v>
      </c>
      <c r="Q2332" s="27">
        <v>28</v>
      </c>
      <c r="R2332" s="27">
        <v>27</v>
      </c>
      <c r="S2332" s="27" t="s">
        <v>6002</v>
      </c>
      <c r="T2332" s="27"/>
      <c r="U2332" s="27"/>
      <c r="V2332" s="27"/>
      <c r="W2332" s="27"/>
      <c r="X2332" s="128"/>
      <c r="Y2332" s="73" t="e">
        <f>VLOOKUP(X2332,Choferes!$B$3:C437,2,FALSE)</f>
        <v>#N/A</v>
      </c>
      <c r="Z2332" s="73" t="s">
        <v>6001</v>
      </c>
    </row>
    <row r="2333" spans="1:26" hidden="1" x14ac:dyDescent="0.25">
      <c r="A2333" s="222">
        <v>22</v>
      </c>
      <c r="B2333" s="71" t="s">
        <v>29</v>
      </c>
      <c r="C2333" s="39" t="s">
        <v>5947</v>
      </c>
      <c r="D2333" s="106" t="s">
        <v>2202</v>
      </c>
      <c r="E2333" s="47">
        <v>46180</v>
      </c>
      <c r="F2333" s="31" t="str">
        <f>VLOOKUP($C2333,Carpetas!$C$5:$M$2666,2,FALSE)</f>
        <v>BRB048/26</v>
      </c>
      <c r="G2333" s="23">
        <f>VLOOKUP($C2333,Carpetas!$C$5:$M$2666,10,FALSE)</f>
        <v>1559003</v>
      </c>
      <c r="H2333" s="27" t="str">
        <f>VLOOKUP($C2333,Carpetas!$C$5:$M$2666,6,FALSE)</f>
        <v>AXT</v>
      </c>
      <c r="I2333" s="27" t="str">
        <f>VLOOKUP($C2333,Carpetas!$C$5:$M$2666,3,FALSE)</f>
        <v>A&amp;A</v>
      </c>
      <c r="J2333" s="47">
        <v>46181</v>
      </c>
      <c r="K2333" s="72" t="str">
        <f>VLOOKUP($C2333,Carpetas!$C$5:$M$2666,5,FALSE)</f>
        <v>Chuy</v>
      </c>
      <c r="L2333" s="72" t="str">
        <f>VLOOKUP($C2333,Carpetas!$C$5:$M$2666,4,FALSE)</f>
        <v>Banana</v>
      </c>
      <c r="M2333" s="48">
        <f t="shared" si="166"/>
        <v>46182</v>
      </c>
      <c r="N2333" s="26">
        <f t="shared" si="165"/>
        <v>2</v>
      </c>
      <c r="O2333" s="27">
        <v>936</v>
      </c>
      <c r="P2333" s="27">
        <v>937</v>
      </c>
      <c r="Q2333" s="27">
        <v>26</v>
      </c>
      <c r="R2333" s="27">
        <v>25</v>
      </c>
      <c r="S2333" s="27" t="s">
        <v>5288</v>
      </c>
      <c r="T2333" s="27"/>
      <c r="U2333" s="27"/>
      <c r="V2333" s="27" t="s">
        <v>5483</v>
      </c>
      <c r="W2333" s="27" t="s">
        <v>5484</v>
      </c>
      <c r="X2333" s="128"/>
      <c r="Y2333" s="73" t="e">
        <f>VLOOKUP(X2333,Choferes!$B$3:C442,2,FALSE)</f>
        <v>#N/A</v>
      </c>
      <c r="Z2333" s="73" t="s">
        <v>6003</v>
      </c>
    </row>
    <row r="2334" spans="1:26" hidden="1" x14ac:dyDescent="0.25">
      <c r="A2334" s="222">
        <v>22</v>
      </c>
      <c r="B2334" s="71" t="s">
        <v>29</v>
      </c>
      <c r="C2334" s="39" t="s">
        <v>5982</v>
      </c>
      <c r="D2334" s="106" t="s">
        <v>5780</v>
      </c>
      <c r="E2334" s="47">
        <v>46180</v>
      </c>
      <c r="F2334" s="31" t="str">
        <f>VLOOKUP($C2334,Carpetas!$C$5:$M$2666,2,FALSE)</f>
        <v>BRB051/26</v>
      </c>
      <c r="G2334" s="23">
        <f>VLOOKUP($C2334,Carpetas!$C$5:$M$2666,10,FALSE)</f>
        <v>1559849</v>
      </c>
      <c r="H2334" s="27" t="str">
        <f>VLOOKUP($C2334,Carpetas!$C$5:$M$2666,6,FALSE)</f>
        <v>Chabat</v>
      </c>
      <c r="I2334" s="27" t="str">
        <f>VLOOKUP($C2334,Carpetas!$C$5:$M$2666,3,FALSE)</f>
        <v>Etimex</v>
      </c>
      <c r="J2334" s="47">
        <v>46181</v>
      </c>
      <c r="K2334" s="72" t="str">
        <f>VLOOKUP($C2334,Carpetas!$C$5:$M$2666,5,FALSE)</f>
        <v>Rio Branco</v>
      </c>
      <c r="L2334" s="72" t="str">
        <f>VLOOKUP($C2334,Carpetas!$C$5:$M$2666,4,FALSE)</f>
        <v>Banana</v>
      </c>
      <c r="M2334" s="48">
        <f t="shared" si="166"/>
        <v>46182</v>
      </c>
      <c r="N2334" s="26">
        <f t="shared" si="165"/>
        <v>2</v>
      </c>
      <c r="O2334" s="27">
        <v>1008</v>
      </c>
      <c r="P2334" s="27">
        <v>1008</v>
      </c>
      <c r="Q2334" s="27">
        <v>28</v>
      </c>
      <c r="R2334" s="27">
        <v>26</v>
      </c>
      <c r="S2334" s="27" t="s">
        <v>6004</v>
      </c>
      <c r="T2334" s="27"/>
      <c r="U2334" s="27">
        <v>2574</v>
      </c>
      <c r="V2334" s="27" t="s">
        <v>1657</v>
      </c>
      <c r="W2334" s="27" t="s">
        <v>1815</v>
      </c>
      <c r="X2334" s="128"/>
      <c r="Y2334" s="73" t="e">
        <f>VLOOKUP(X2334,Choferes!$B$3:C443,2,FALSE)</f>
        <v>#N/A</v>
      </c>
      <c r="Z2334" s="73" t="s">
        <v>6005</v>
      </c>
    </row>
    <row r="2335" spans="1:26" hidden="1" x14ac:dyDescent="0.25">
      <c r="A2335" s="222">
        <v>22</v>
      </c>
      <c r="B2335" s="71" t="s">
        <v>29</v>
      </c>
      <c r="C2335" s="39" t="s">
        <v>5978</v>
      </c>
      <c r="D2335" s="106" t="s">
        <v>5746</v>
      </c>
      <c r="E2335" s="47">
        <v>46180</v>
      </c>
      <c r="F2335" s="31" t="str">
        <f>VLOOKUP($C2335,Carpetas!$C$5:$M$2666,2,FALSE)</f>
        <v>BRB049/26</v>
      </c>
      <c r="G2335" s="23">
        <f>VLOOKUP($C2335,Carpetas!$C$5:$M$2666,10,FALSE)</f>
        <v>1559613</v>
      </c>
      <c r="H2335" s="27" t="str">
        <f>VLOOKUP($C2335,Carpetas!$C$5:$M$2666,6,FALSE)</f>
        <v>FG</v>
      </c>
      <c r="I2335" s="27" t="str">
        <f>VLOOKUP($C2335,Carpetas!$C$5:$M$2666,3,FALSE)</f>
        <v>Etimex</v>
      </c>
      <c r="J2335" s="47">
        <v>46181</v>
      </c>
      <c r="K2335" s="72" t="str">
        <f>VLOOKUP($C2335,Carpetas!$C$5:$M$2666,5,FALSE)</f>
        <v>Rio Branco</v>
      </c>
      <c r="L2335" s="72" t="str">
        <f>VLOOKUP($C2335,Carpetas!$C$5:$M$2666,4,FALSE)</f>
        <v>Banana</v>
      </c>
      <c r="M2335" s="48">
        <f t="shared" si="166"/>
        <v>46182</v>
      </c>
      <c r="N2335" s="26">
        <f t="shared" si="165"/>
        <v>2</v>
      </c>
      <c r="O2335" s="27">
        <v>1008</v>
      </c>
      <c r="P2335" s="27">
        <v>1008</v>
      </c>
      <c r="Q2335" s="27">
        <v>28</v>
      </c>
      <c r="R2335" s="27">
        <v>26</v>
      </c>
      <c r="S2335" s="27" t="s">
        <v>6006</v>
      </c>
      <c r="T2335" s="27"/>
      <c r="U2335" s="27">
        <v>1588</v>
      </c>
      <c r="V2335" s="27" t="s">
        <v>1626</v>
      </c>
      <c r="W2335" s="27" t="s">
        <v>1736</v>
      </c>
      <c r="X2335" s="128"/>
      <c r="Y2335" s="73" t="e">
        <f>VLOOKUP(X2335,Choferes!$B$3:C444,2,FALSE)</f>
        <v>#N/A</v>
      </c>
      <c r="Z2335" s="73" t="s">
        <v>6005</v>
      </c>
    </row>
    <row r="2336" spans="1:26" ht="30" hidden="1" x14ac:dyDescent="0.25">
      <c r="A2336" s="222">
        <v>22</v>
      </c>
      <c r="B2336" s="71" t="s">
        <v>29</v>
      </c>
      <c r="C2336" s="39" t="s">
        <v>5978</v>
      </c>
      <c r="D2336" s="106" t="s">
        <v>3124</v>
      </c>
      <c r="E2336" s="47">
        <v>46180</v>
      </c>
      <c r="F2336" s="31" t="str">
        <f>VLOOKUP($C2336,Carpetas!$C$5:$M$2666,2,FALSE)</f>
        <v>BRB049/26</v>
      </c>
      <c r="G2336" s="23">
        <f>VLOOKUP($C2336,Carpetas!$C$5:$M$2666,10,FALSE)</f>
        <v>1559613</v>
      </c>
      <c r="H2336" s="27" t="str">
        <f>VLOOKUP($C2336,Carpetas!$C$5:$M$2666,6,FALSE)</f>
        <v>FG</v>
      </c>
      <c r="I2336" s="27" t="str">
        <f>VLOOKUP($C2336,Carpetas!$C$5:$M$2666,3,FALSE)</f>
        <v>Etimex</v>
      </c>
      <c r="J2336" s="47">
        <v>46181</v>
      </c>
      <c r="K2336" s="72" t="str">
        <f>VLOOKUP($C2336,Carpetas!$C$5:$M$2666,5,FALSE)</f>
        <v>Rio Branco</v>
      </c>
      <c r="L2336" s="72" t="str">
        <f>VLOOKUP($C2336,Carpetas!$C$5:$M$2666,4,FALSE)</f>
        <v>Banana</v>
      </c>
      <c r="M2336" s="48">
        <f t="shared" si="166"/>
        <v>46182</v>
      </c>
      <c r="N2336" s="26">
        <f t="shared" si="165"/>
        <v>2</v>
      </c>
      <c r="O2336" s="27">
        <v>1008</v>
      </c>
      <c r="P2336" s="27">
        <v>1008</v>
      </c>
      <c r="Q2336" s="27">
        <v>28</v>
      </c>
      <c r="R2336" s="27">
        <v>26</v>
      </c>
      <c r="S2336" s="27" t="s">
        <v>6007</v>
      </c>
      <c r="T2336" s="27"/>
      <c r="U2336" s="27">
        <v>1586</v>
      </c>
      <c r="V2336" s="27" t="s">
        <v>1726</v>
      </c>
      <c r="W2336" s="27" t="s">
        <v>1646</v>
      </c>
      <c r="X2336" s="128"/>
      <c r="Y2336" s="73" t="e">
        <f>VLOOKUP(X2336,Choferes!$B$3:C444,2,FALSE)</f>
        <v>#N/A</v>
      </c>
      <c r="Z2336" s="73" t="s">
        <v>6008</v>
      </c>
    </row>
    <row r="2337" spans="1:35" ht="30" hidden="1" x14ac:dyDescent="0.25">
      <c r="A2337" s="222">
        <v>22</v>
      </c>
      <c r="B2337" s="71" t="s">
        <v>29</v>
      </c>
      <c r="C2337" s="39" t="s">
        <v>5978</v>
      </c>
      <c r="D2337" s="106" t="s">
        <v>3124</v>
      </c>
      <c r="E2337" s="47">
        <v>46180</v>
      </c>
      <c r="F2337" s="31" t="str">
        <f>VLOOKUP($C2337,Carpetas!$C$5:$M$2666,2,FALSE)</f>
        <v>BRB049/26</v>
      </c>
      <c r="G2337" s="23">
        <f>VLOOKUP($C2337,Carpetas!$C$5:$M$2666,10,FALSE)</f>
        <v>1559613</v>
      </c>
      <c r="H2337" s="27" t="str">
        <f>VLOOKUP($C2337,Carpetas!$C$5:$M$2666,6,FALSE)</f>
        <v>FG</v>
      </c>
      <c r="I2337" s="27" t="str">
        <f>VLOOKUP($C2337,Carpetas!$C$5:$M$2666,3,FALSE)</f>
        <v>Etimex</v>
      </c>
      <c r="J2337" s="47">
        <v>46181</v>
      </c>
      <c r="K2337" s="72" t="str">
        <f>VLOOKUP($C2337,Carpetas!$C$5:$M$2666,5,FALSE)</f>
        <v>Rio Branco</v>
      </c>
      <c r="L2337" s="72" t="str">
        <f>VLOOKUP($C2337,Carpetas!$C$5:$M$2666,4,FALSE)</f>
        <v>Banana</v>
      </c>
      <c r="M2337" s="48">
        <f t="shared" si="166"/>
        <v>46182</v>
      </c>
      <c r="N2337" s="26">
        <f t="shared" si="165"/>
        <v>2</v>
      </c>
      <c r="O2337" s="27">
        <v>1008</v>
      </c>
      <c r="P2337" s="27">
        <v>1008</v>
      </c>
      <c r="Q2337" s="27">
        <v>28</v>
      </c>
      <c r="R2337" s="27">
        <v>26</v>
      </c>
      <c r="S2337" s="27" t="s">
        <v>6009</v>
      </c>
      <c r="T2337" s="27"/>
      <c r="U2337" s="27">
        <v>1587</v>
      </c>
      <c r="V2337" s="27" t="s">
        <v>5317</v>
      </c>
      <c r="W2337" s="27" t="s">
        <v>1627</v>
      </c>
      <c r="X2337" s="128"/>
      <c r="Y2337" s="73" t="e">
        <f>VLOOKUP(X2337,Choferes!$B$3:C445,2,FALSE)</f>
        <v>#N/A</v>
      </c>
      <c r="Z2337" s="73" t="s">
        <v>6010</v>
      </c>
    </row>
    <row r="2338" spans="1:35" hidden="1" x14ac:dyDescent="0.25">
      <c r="A2338" s="222">
        <v>22</v>
      </c>
      <c r="B2338" s="71" t="s">
        <v>29</v>
      </c>
      <c r="C2338" s="39" t="s">
        <v>5974</v>
      </c>
      <c r="D2338" s="106" t="s">
        <v>6011</v>
      </c>
      <c r="E2338" s="47">
        <v>46180</v>
      </c>
      <c r="F2338" s="31" t="str">
        <f>VLOOKUP($C2338,Carpetas!$C$5:$M$2666,2,FALSE)</f>
        <v>BRB050/26</v>
      </c>
      <c r="G2338" s="23">
        <f>VLOOKUP($C2338,Carpetas!$C$5:$M$2666,10,FALSE)</f>
        <v>1559612</v>
      </c>
      <c r="H2338" s="27" t="str">
        <f>VLOOKUP($C2338,Carpetas!$C$5:$M$2666,6,FALSE)</f>
        <v>Amaro</v>
      </c>
      <c r="I2338" s="27" t="str">
        <f>VLOOKUP($C2338,Carpetas!$C$5:$M$2666,3,FALSE)</f>
        <v>Etimex</v>
      </c>
      <c r="J2338" s="47">
        <v>46181</v>
      </c>
      <c r="K2338" s="72" t="str">
        <f>VLOOKUP($C2338,Carpetas!$C$5:$M$2666,5,FALSE)</f>
        <v>Rio Branco</v>
      </c>
      <c r="L2338" s="72" t="str">
        <f>VLOOKUP($C2338,Carpetas!$C$5:$M$2666,4,FALSE)</f>
        <v>Banana</v>
      </c>
      <c r="M2338" s="48">
        <f t="shared" si="166"/>
        <v>46182</v>
      </c>
      <c r="N2338" s="26">
        <f t="shared" si="165"/>
        <v>2</v>
      </c>
      <c r="O2338" s="27">
        <v>1008</v>
      </c>
      <c r="P2338" s="27">
        <v>1008</v>
      </c>
      <c r="Q2338" s="27">
        <v>28</v>
      </c>
      <c r="R2338" s="27">
        <v>26</v>
      </c>
      <c r="S2338" s="27" t="s">
        <v>6012</v>
      </c>
      <c r="T2338" s="27"/>
      <c r="U2338" s="27">
        <v>28757</v>
      </c>
      <c r="V2338" s="27" t="s">
        <v>4645</v>
      </c>
      <c r="W2338" s="27" t="s">
        <v>4489</v>
      </c>
      <c r="X2338" s="128"/>
      <c r="Y2338" s="73" t="e">
        <f>VLOOKUP(X2338,Choferes!$B$3:C445,2,FALSE)</f>
        <v>#N/A</v>
      </c>
      <c r="Z2338" s="73" t="s">
        <v>6005</v>
      </c>
    </row>
    <row r="2339" spans="1:35" hidden="1" x14ac:dyDescent="0.25">
      <c r="A2339" s="222">
        <v>22</v>
      </c>
      <c r="B2339" s="71" t="s">
        <v>29</v>
      </c>
      <c r="C2339" s="39" t="s">
        <v>5978</v>
      </c>
      <c r="D2339" s="106" t="s">
        <v>2474</v>
      </c>
      <c r="E2339" s="47">
        <v>46179</v>
      </c>
      <c r="F2339" s="31" t="str">
        <f>VLOOKUP($C2339,Carpetas!$C$5:$M$2666,2,FALSE)</f>
        <v>BRB049/26</v>
      </c>
      <c r="G2339" s="23">
        <f>VLOOKUP($C2339,Carpetas!$C$5:$M$2666,10,FALSE)</f>
        <v>1559613</v>
      </c>
      <c r="H2339" s="27" t="str">
        <f>VLOOKUP($C2339,Carpetas!$C$5:$M$2666,6,FALSE)</f>
        <v>FG</v>
      </c>
      <c r="I2339" s="27" t="str">
        <f>VLOOKUP($C2339,Carpetas!$C$5:$M$2666,3,FALSE)</f>
        <v>Etimex</v>
      </c>
      <c r="J2339" s="47">
        <f>E2339+2</f>
        <v>46181</v>
      </c>
      <c r="K2339" s="72" t="str">
        <f>VLOOKUP($C2339,Carpetas!$C$5:$M$2666,5,FALSE)</f>
        <v>Rio Branco</v>
      </c>
      <c r="L2339" s="72" t="str">
        <f>VLOOKUP($C2339,Carpetas!$C$5:$M$2666,4,FALSE)</f>
        <v>Banana</v>
      </c>
      <c r="M2339" s="48">
        <f t="shared" si="166"/>
        <v>46182</v>
      </c>
      <c r="N2339" s="26">
        <f t="shared" si="165"/>
        <v>3</v>
      </c>
      <c r="O2339" s="27">
        <v>1008</v>
      </c>
      <c r="P2339" s="27">
        <v>1008</v>
      </c>
      <c r="Q2339" s="27">
        <v>28</v>
      </c>
      <c r="R2339" s="27">
        <v>26</v>
      </c>
      <c r="S2339" s="27" t="s">
        <v>3918</v>
      </c>
      <c r="T2339" s="27"/>
      <c r="U2339" s="27">
        <v>1589</v>
      </c>
      <c r="V2339" s="27" t="s">
        <v>1042</v>
      </c>
      <c r="W2339" s="27" t="s">
        <v>1669</v>
      </c>
      <c r="X2339" s="128"/>
      <c r="Y2339" s="73" t="e">
        <f>VLOOKUP(X2339,Choferes!$B$3:C445,2,FALSE)</f>
        <v>#N/A</v>
      </c>
      <c r="Z2339" s="73" t="s">
        <v>6005</v>
      </c>
    </row>
    <row r="2340" spans="1:35" hidden="1" x14ac:dyDescent="0.25">
      <c r="A2340" s="222">
        <v>21</v>
      </c>
      <c r="B2340" s="71" t="s">
        <v>29</v>
      </c>
      <c r="C2340" s="39" t="s">
        <v>6013</v>
      </c>
      <c r="D2340" s="106" t="s">
        <v>38</v>
      </c>
      <c r="E2340" s="47">
        <v>46178</v>
      </c>
      <c r="F2340" s="31" t="str">
        <f>VLOOKUP($C2340,Carpetas!$C$5:$M$2666,2,FALSE)</f>
        <v>BRE030-26</v>
      </c>
      <c r="G2340" s="23" t="str">
        <f>VLOOKUP($C2340,Carpetas!$C$5:$M$2666,10,FALSE)</f>
        <v>Runaev 4036/00/01</v>
      </c>
      <c r="H2340" s="27" t="str">
        <f>VLOOKUP($C2340,Carpetas!$C$5:$M$2666,6,FALSE)</f>
        <v>Chabat</v>
      </c>
      <c r="I2340" s="27" t="str">
        <f>VLOOKUP($C2340,Carpetas!$C$5:$M$2666,3,FALSE)</f>
        <v>Etimex</v>
      </c>
      <c r="J2340" s="47">
        <f>E2340+3</f>
        <v>46181</v>
      </c>
      <c r="K2340" s="72" t="str">
        <f>VLOOKUP($C2340,Carpetas!$C$5:$M$2666,5,FALSE)</f>
        <v>Rio Branco</v>
      </c>
      <c r="L2340" s="72" t="str">
        <f>VLOOKUP($C2340,Carpetas!$C$5:$M$2666,4,FALSE)</f>
        <v>Maní</v>
      </c>
      <c r="M2340" s="48">
        <f t="shared" si="166"/>
        <v>46182</v>
      </c>
      <c r="N2340" s="26">
        <f t="shared" si="165"/>
        <v>4</v>
      </c>
      <c r="O2340" s="27">
        <v>2600</v>
      </c>
      <c r="P2340" s="27">
        <v>2594</v>
      </c>
      <c r="Q2340" s="27"/>
      <c r="R2340" s="27"/>
      <c r="S2340" s="27" t="s">
        <v>6014</v>
      </c>
      <c r="T2340" s="27"/>
      <c r="U2340" s="27">
        <v>2572</v>
      </c>
      <c r="V2340" s="27" t="s">
        <v>5887</v>
      </c>
      <c r="W2340" s="27" t="s">
        <v>5888</v>
      </c>
      <c r="X2340" s="128"/>
      <c r="Y2340" s="73" t="e">
        <f>VLOOKUP(X2340,Choferes!$B$3:C451,2,FALSE)</f>
        <v>#N/A</v>
      </c>
      <c r="Z2340" s="73" t="s">
        <v>6015</v>
      </c>
    </row>
    <row r="2341" spans="1:35" hidden="1" x14ac:dyDescent="0.25">
      <c r="A2341" s="222">
        <v>21</v>
      </c>
      <c r="B2341" s="71" t="s">
        <v>29</v>
      </c>
      <c r="C2341" s="39" t="s">
        <v>6016</v>
      </c>
      <c r="D2341" s="106" t="s">
        <v>38</v>
      </c>
      <c r="E2341" s="47">
        <v>46178</v>
      </c>
      <c r="F2341" s="31" t="str">
        <f>VLOOKUP($C2341,Carpetas!$C$5:$M$2666,2,FALSE)</f>
        <v>BRE036-26</v>
      </c>
      <c r="G2341" s="23">
        <f>VLOOKUP($C2341,Carpetas!$C$5:$M$2666,10,FALSE)</f>
        <v>0</v>
      </c>
      <c r="H2341" s="27" t="str">
        <f>VLOOKUP($C2341,Carpetas!$C$5:$M$2666,6,FALSE)</f>
        <v xml:space="preserve">Silvio </v>
      </c>
      <c r="I2341" s="27" t="str">
        <f>VLOOKUP($C2341,Carpetas!$C$5:$M$2666,3,FALSE)</f>
        <v>Jaguacy</v>
      </c>
      <c r="J2341" s="47">
        <v>46181</v>
      </c>
      <c r="K2341" s="72" t="str">
        <f>VLOOKUP($C2341,Carpetas!$C$5:$M$2666,5,FALSE)</f>
        <v>Chuy</v>
      </c>
      <c r="L2341" s="72" t="str">
        <f>VLOOKUP($C2341,Carpetas!$C$5:$M$2666,4,FALSE)</f>
        <v>Palta</v>
      </c>
      <c r="M2341" s="48">
        <f t="shared" si="166"/>
        <v>46182</v>
      </c>
      <c r="N2341" s="26">
        <f t="shared" si="165"/>
        <v>4</v>
      </c>
      <c r="O2341" s="27">
        <v>2304</v>
      </c>
      <c r="P2341" s="27">
        <v>2304</v>
      </c>
      <c r="Q2341" s="27">
        <v>24</v>
      </c>
      <c r="R2341" s="27"/>
      <c r="S2341" s="27"/>
      <c r="T2341" s="27"/>
      <c r="U2341" s="27"/>
      <c r="V2341" s="27"/>
      <c r="W2341" s="27"/>
      <c r="X2341" s="128"/>
      <c r="Y2341" s="73" t="e">
        <f>VLOOKUP(X2341,Choferes!$B$3:C452,2,FALSE)</f>
        <v>#N/A</v>
      </c>
      <c r="Z2341" s="73" t="s">
        <v>6017</v>
      </c>
    </row>
    <row r="2342" spans="1:35" hidden="1" x14ac:dyDescent="0.25">
      <c r="A2342" s="222">
        <v>21</v>
      </c>
      <c r="B2342" s="71" t="s">
        <v>29</v>
      </c>
      <c r="C2342" s="39" t="s">
        <v>5996</v>
      </c>
      <c r="D2342" s="106" t="s">
        <v>102</v>
      </c>
      <c r="E2342" s="47">
        <v>46180</v>
      </c>
      <c r="F2342" s="31" t="str">
        <f>VLOOKUP($C2342,Carpetas!$C$5:$M$2666,2,FALSE)</f>
        <v>PYB031-26</v>
      </c>
      <c r="G2342" s="23">
        <f>VLOOKUP($C2342,Carpetas!$C$5:$M$2666,10,FALSE)</f>
        <v>1559790</v>
      </c>
      <c r="H2342" s="27" t="str">
        <f>VLOOKUP($C2342,Carpetas!$C$5:$M$2666,6,FALSE)</f>
        <v>G.S.C.S. PARAGUAY TTES. S.R.L.</v>
      </c>
      <c r="I2342" s="27" t="str">
        <f>VLOOKUP($C2342,Carpetas!$C$5:$M$2666,3,FALSE)</f>
        <v>Milciades Sosa</v>
      </c>
      <c r="J2342" s="47">
        <v>46182</v>
      </c>
      <c r="K2342" s="72" t="str">
        <f>VLOOKUP($C2342,Carpetas!$C$5:$M$2666,5,FALSE)</f>
        <v>Salto</v>
      </c>
      <c r="L2342" s="72" t="str">
        <f>VLOOKUP($C2342,Carpetas!$C$5:$M$2666,4,FALSE)</f>
        <v>Banana</v>
      </c>
      <c r="M2342" s="48">
        <f t="shared" si="166"/>
        <v>46183</v>
      </c>
      <c r="N2342" s="26">
        <f t="shared" si="165"/>
        <v>3</v>
      </c>
      <c r="O2342" s="27">
        <v>980</v>
      </c>
      <c r="P2342" s="27">
        <v>980</v>
      </c>
      <c r="Q2342" s="27">
        <v>28</v>
      </c>
      <c r="R2342" s="27">
        <v>27</v>
      </c>
      <c r="S2342" s="27" t="s">
        <v>6018</v>
      </c>
      <c r="T2342" s="27"/>
      <c r="U2342" s="27"/>
      <c r="V2342" s="27"/>
      <c r="W2342" s="27"/>
      <c r="X2342" s="128"/>
      <c r="Y2342" s="73" t="e">
        <f>VLOOKUP(X2342,Choferes!$B$3:C435,2,FALSE)</f>
        <v>#N/A</v>
      </c>
      <c r="Z2342" s="73" t="s">
        <v>6019</v>
      </c>
    </row>
    <row r="2343" spans="1:35" hidden="1" x14ac:dyDescent="0.25">
      <c r="A2343" s="222">
        <v>22</v>
      </c>
      <c r="B2343" s="71" t="s">
        <v>29</v>
      </c>
      <c r="C2343" s="39" t="s">
        <v>6020</v>
      </c>
      <c r="D2343" s="106" t="s">
        <v>121</v>
      </c>
      <c r="E2343" s="47">
        <v>46181</v>
      </c>
      <c r="F2343" s="31" t="str">
        <f>VLOOKUP($C2343,Carpetas!$C$5:$M$2666,2,FALSE)</f>
        <v>PYB032-26</v>
      </c>
      <c r="G2343" s="23" t="str">
        <f>VLOOKUP($C2343,Carpetas!$C$5:$M$2666,10,FALSE)</f>
        <v>156,02,79</v>
      </c>
      <c r="H2343" s="27" t="str">
        <f>VLOOKUP($C2343,Carpetas!$C$5:$M$2666,6,FALSE)</f>
        <v>Compass</v>
      </c>
      <c r="I2343" s="27" t="str">
        <f>VLOOKUP($C2343,Carpetas!$C$5:$M$2666,3,FALSE)</f>
        <v>Diego Fernandez</v>
      </c>
      <c r="J2343" s="47">
        <f>E2343+2</f>
        <v>46183</v>
      </c>
      <c r="K2343" s="72" t="str">
        <f>VLOOKUP($C2343,Carpetas!$C$5:$M$2666,5,FALSE)</f>
        <v>Salto</v>
      </c>
      <c r="L2343" s="72" t="str">
        <f>VLOOKUP($C2343,Carpetas!$C$5:$M$2666,4,FALSE)</f>
        <v>Banana</v>
      </c>
      <c r="M2343" s="48">
        <f t="shared" si="166"/>
        <v>46184</v>
      </c>
      <c r="N2343" s="26">
        <f t="shared" si="165"/>
        <v>3</v>
      </c>
      <c r="O2343" s="27">
        <v>980</v>
      </c>
      <c r="P2343" s="27">
        <v>980</v>
      </c>
      <c r="Q2343" s="27">
        <v>28</v>
      </c>
      <c r="R2343" s="27">
        <v>27</v>
      </c>
      <c r="S2343" s="27" t="s">
        <v>1057</v>
      </c>
      <c r="T2343" s="27"/>
      <c r="U2343" s="27"/>
      <c r="V2343" s="27"/>
      <c r="W2343" s="27"/>
      <c r="X2343" s="128"/>
      <c r="Y2343" s="73" t="e">
        <f>VLOOKUP(X2343,Choferes!$B$3:C468,2,FALSE)</f>
        <v>#N/A</v>
      </c>
      <c r="Z2343" s="73" t="s">
        <v>6021</v>
      </c>
    </row>
    <row r="2344" spans="1:35" ht="30" hidden="1" x14ac:dyDescent="0.25">
      <c r="A2344" s="222">
        <v>21</v>
      </c>
      <c r="B2344" s="71" t="s">
        <v>29</v>
      </c>
      <c r="C2344" s="39" t="s">
        <v>6022</v>
      </c>
      <c r="D2344" s="106" t="s">
        <v>38</v>
      </c>
      <c r="E2344" s="47">
        <v>46178</v>
      </c>
      <c r="F2344" s="31" t="str">
        <f>VLOOKUP($C2344,Carpetas!$C$5:$M$2666,2,FALSE)</f>
        <v>BRE037-26</v>
      </c>
      <c r="G2344" s="23" t="str">
        <f>VLOOKUP($C2344,Carpetas!$C$5:$M$2666,10,FALSE)</f>
        <v>1560248/1560288</v>
      </c>
      <c r="H2344" s="27" t="str">
        <f>VLOOKUP($C2344,Carpetas!$C$5:$M$2666,6,FALSE)</f>
        <v xml:space="preserve">Silvio </v>
      </c>
      <c r="I2344" s="27" t="str">
        <f>VLOOKUP($C2344,Carpetas!$C$5:$M$2666,3,FALSE)</f>
        <v>Etimex</v>
      </c>
      <c r="J2344" s="47">
        <v>46183</v>
      </c>
      <c r="K2344" s="72" t="str">
        <f>VLOOKUP($C2344,Carpetas!$C$5:$M$2666,5,FALSE)</f>
        <v>Rio Branco</v>
      </c>
      <c r="L2344" s="72" t="str">
        <f>VLOOKUP($C2344,Carpetas!$C$5:$M$2666,4,FALSE)</f>
        <v>Choclo y Banana</v>
      </c>
      <c r="M2344" s="48">
        <f t="shared" si="166"/>
        <v>46184</v>
      </c>
      <c r="N2344" s="26">
        <f t="shared" si="165"/>
        <v>6</v>
      </c>
      <c r="O2344" s="27">
        <v>936</v>
      </c>
      <c r="P2344" s="27">
        <v>936</v>
      </c>
      <c r="Q2344" s="27">
        <v>28</v>
      </c>
      <c r="R2344" s="27">
        <v>26</v>
      </c>
      <c r="S2344" s="27" t="s">
        <v>5301</v>
      </c>
      <c r="T2344" s="27"/>
      <c r="U2344" s="27">
        <v>7818</v>
      </c>
      <c r="V2344" s="27" t="s">
        <v>6023</v>
      </c>
      <c r="W2344" s="27" t="s">
        <v>6024</v>
      </c>
      <c r="X2344" s="128"/>
      <c r="Y2344" s="73" t="e">
        <f>VLOOKUP(X2344,Choferes!$B$3:C453,2,FALSE)</f>
        <v>#N/A</v>
      </c>
      <c r="Z2344" s="73" t="s">
        <v>6025</v>
      </c>
    </row>
    <row r="2345" spans="1:35" hidden="1" x14ac:dyDescent="0.25">
      <c r="A2345" s="222">
        <v>22</v>
      </c>
      <c r="B2345" s="71" t="s">
        <v>29</v>
      </c>
      <c r="C2345" s="39" t="s">
        <v>5974</v>
      </c>
      <c r="D2345" s="106" t="s">
        <v>5507</v>
      </c>
      <c r="E2345" s="47">
        <v>46181</v>
      </c>
      <c r="F2345" s="31" t="str">
        <f>VLOOKUP($C2345,Carpetas!$C$5:$M$2666,2,FALSE)</f>
        <v>BRB050/26</v>
      </c>
      <c r="G2345" s="23">
        <f>VLOOKUP($C2345,Carpetas!$C$5:$M$2666,10,FALSE)</f>
        <v>1559612</v>
      </c>
      <c r="H2345" s="27" t="str">
        <f>VLOOKUP($C2345,Carpetas!$C$5:$M$2666,6,FALSE)</f>
        <v>Amaro</v>
      </c>
      <c r="I2345" s="27" t="str">
        <f>VLOOKUP($C2345,Carpetas!$C$5:$M$2666,3,FALSE)</f>
        <v>Etimex</v>
      </c>
      <c r="J2345" s="47">
        <v>46184</v>
      </c>
      <c r="K2345" s="72" t="str">
        <f>VLOOKUP($C2345,Carpetas!$C$5:$M$2666,5,FALSE)</f>
        <v>Rio Branco</v>
      </c>
      <c r="L2345" s="72" t="str">
        <f>VLOOKUP($C2345,Carpetas!$C$5:$M$2666,4,FALSE)</f>
        <v>Banana</v>
      </c>
      <c r="M2345" s="48">
        <f t="shared" si="166"/>
        <v>46185</v>
      </c>
      <c r="N2345" s="26">
        <f t="shared" si="165"/>
        <v>4</v>
      </c>
      <c r="O2345" s="27">
        <v>1008</v>
      </c>
      <c r="P2345" s="27">
        <v>1008</v>
      </c>
      <c r="Q2345" s="27">
        <v>28</v>
      </c>
      <c r="R2345" s="27">
        <v>26</v>
      </c>
      <c r="S2345" s="27" t="s">
        <v>6026</v>
      </c>
      <c r="T2345" s="27"/>
      <c r="U2345" s="27">
        <v>28782</v>
      </c>
      <c r="V2345" s="27" t="s">
        <v>3305</v>
      </c>
      <c r="W2345" s="27" t="s">
        <v>997</v>
      </c>
      <c r="X2345" s="128"/>
      <c r="Y2345" s="73" t="e">
        <f>VLOOKUP(X2345,Choferes!$B$3:C455,2,FALSE)</f>
        <v>#N/A</v>
      </c>
      <c r="Z2345" s="73" t="s">
        <v>6027</v>
      </c>
      <c r="AI2345" s="69" t="s">
        <v>6028</v>
      </c>
    </row>
    <row r="2346" spans="1:35" hidden="1" x14ac:dyDescent="0.25">
      <c r="A2346" s="222">
        <v>22</v>
      </c>
      <c r="B2346" s="71" t="s">
        <v>29</v>
      </c>
      <c r="C2346" s="39" t="s">
        <v>5978</v>
      </c>
      <c r="D2346" s="106" t="s">
        <v>2474</v>
      </c>
      <c r="E2346" s="47">
        <v>46182</v>
      </c>
      <c r="F2346" s="31" t="str">
        <f>VLOOKUP($C2346,Carpetas!$C$5:$M$2666,2,FALSE)</f>
        <v>BRB049/26</v>
      </c>
      <c r="G2346" s="23">
        <f>VLOOKUP($C2346,Carpetas!$C$5:$M$2666,10,FALSE)</f>
        <v>1559613</v>
      </c>
      <c r="H2346" s="27" t="str">
        <f>VLOOKUP($C2346,Carpetas!$C$5:$M$2666,6,FALSE)</f>
        <v>FG</v>
      </c>
      <c r="I2346" s="27" t="str">
        <f>VLOOKUP($C2346,Carpetas!$C$5:$M$2666,3,FALSE)</f>
        <v>Etimex</v>
      </c>
      <c r="J2346" s="47">
        <f>E2346+2</f>
        <v>46184</v>
      </c>
      <c r="K2346" s="72" t="str">
        <f>VLOOKUP($C2346,Carpetas!$C$5:$M$2666,5,FALSE)</f>
        <v>Rio Branco</v>
      </c>
      <c r="L2346" s="72" t="str">
        <f>VLOOKUP($C2346,Carpetas!$C$5:$M$2666,4,FALSE)</f>
        <v>Banana</v>
      </c>
      <c r="M2346" s="48">
        <f t="shared" si="166"/>
        <v>46185</v>
      </c>
      <c r="N2346" s="26">
        <f t="shared" si="165"/>
        <v>3</v>
      </c>
      <c r="O2346" s="27">
        <v>1008</v>
      </c>
      <c r="P2346" s="27">
        <v>1008</v>
      </c>
      <c r="Q2346" s="27">
        <v>28</v>
      </c>
      <c r="R2346" s="27">
        <v>26</v>
      </c>
      <c r="S2346" s="27" t="s">
        <v>3946</v>
      </c>
      <c r="T2346" s="27"/>
      <c r="U2346" s="27">
        <v>1590</v>
      </c>
      <c r="V2346" s="27" t="s">
        <v>3669</v>
      </c>
      <c r="W2346" s="27" t="s">
        <v>912</v>
      </c>
      <c r="X2346" s="128"/>
      <c r="Y2346" s="73" t="e">
        <f>VLOOKUP(X2346,Choferes!$B$3:C454,2,FALSE)</f>
        <v>#N/A</v>
      </c>
      <c r="Z2346" s="73" t="s">
        <v>6027</v>
      </c>
    </row>
    <row r="2347" spans="1:35" hidden="1" x14ac:dyDescent="0.25">
      <c r="A2347" s="222">
        <v>22</v>
      </c>
      <c r="B2347" s="71" t="s">
        <v>29</v>
      </c>
      <c r="C2347" s="39" t="s">
        <v>6029</v>
      </c>
      <c r="D2347" s="106" t="s">
        <v>110</v>
      </c>
      <c r="E2347" s="47">
        <v>46182</v>
      </c>
      <c r="F2347" s="31" t="str">
        <f>VLOOKUP($C2347,Carpetas!$C$5:$M$2666,2,FALSE)</f>
        <v>BRB053/26</v>
      </c>
      <c r="G2347" s="23">
        <f>VLOOKUP($C2347,Carpetas!$C$5:$M$2666,10,FALSE)</f>
        <v>1560434</v>
      </c>
      <c r="H2347" s="27" t="str">
        <f>VLOOKUP($C2347,Carpetas!$C$5:$M$2666,6,FALSE)</f>
        <v>FG</v>
      </c>
      <c r="I2347" s="27" t="str">
        <f>VLOOKUP($C2347,Carpetas!$C$5:$M$2666,3,FALSE)</f>
        <v>Etimex</v>
      </c>
      <c r="J2347" s="47">
        <f>E2347+2</f>
        <v>46184</v>
      </c>
      <c r="K2347" s="72" t="str">
        <f>VLOOKUP($C2347,Carpetas!$C$5:$M$2666,5,FALSE)</f>
        <v>Rio Branco</v>
      </c>
      <c r="L2347" s="72" t="str">
        <f>VLOOKUP($C2347,Carpetas!$C$5:$M$2666,4,FALSE)</f>
        <v>Banana</v>
      </c>
      <c r="M2347" s="48">
        <f t="shared" si="166"/>
        <v>46185</v>
      </c>
      <c r="N2347" s="26">
        <f t="shared" si="165"/>
        <v>3</v>
      </c>
      <c r="O2347" s="27">
        <v>1008</v>
      </c>
      <c r="P2347" s="27">
        <v>1009</v>
      </c>
      <c r="Q2347" s="27">
        <v>28</v>
      </c>
      <c r="R2347" s="27">
        <v>26</v>
      </c>
      <c r="S2347" s="27" t="s">
        <v>1873</v>
      </c>
      <c r="T2347" s="27"/>
      <c r="U2347" s="27">
        <v>1594</v>
      </c>
      <c r="V2347" s="27" t="s">
        <v>911</v>
      </c>
      <c r="W2347" s="27" t="s">
        <v>3818</v>
      </c>
      <c r="X2347" s="128"/>
      <c r="Y2347" s="73" t="e">
        <f>VLOOKUP(X2347,Choferes!$B$3:C456,2,FALSE)</f>
        <v>#N/A</v>
      </c>
      <c r="Z2347" s="73" t="s">
        <v>6030</v>
      </c>
    </row>
    <row r="2348" spans="1:35" hidden="1" x14ac:dyDescent="0.25">
      <c r="A2348" s="222">
        <v>22</v>
      </c>
      <c r="B2348" s="71" t="s">
        <v>29</v>
      </c>
      <c r="C2348" s="39" t="s">
        <v>5982</v>
      </c>
      <c r="D2348" s="106" t="s">
        <v>5746</v>
      </c>
      <c r="E2348" s="47">
        <v>46182</v>
      </c>
      <c r="F2348" s="31" t="str">
        <f>VLOOKUP($C2348,Carpetas!$C$5:$M$2666,2,FALSE)</f>
        <v>BRB051/26</v>
      </c>
      <c r="G2348" s="23">
        <f>VLOOKUP($C2348,Carpetas!$C$5:$M$2666,10,FALSE)</f>
        <v>1559849</v>
      </c>
      <c r="H2348" s="27" t="str">
        <f>VLOOKUP($C2348,Carpetas!$C$5:$M$2666,6,FALSE)</f>
        <v>Chabat</v>
      </c>
      <c r="I2348" s="27" t="str">
        <f>VLOOKUP($C2348,Carpetas!$C$5:$M$2666,3,FALSE)</f>
        <v>Etimex</v>
      </c>
      <c r="J2348" s="47">
        <f>E2348+2</f>
        <v>46184</v>
      </c>
      <c r="K2348" s="72" t="str">
        <f>VLOOKUP($C2348,Carpetas!$C$5:$M$2666,5,FALSE)</f>
        <v>Rio Branco</v>
      </c>
      <c r="L2348" s="72" t="str">
        <f>VLOOKUP($C2348,Carpetas!$C$5:$M$2666,4,FALSE)</f>
        <v>Banana</v>
      </c>
      <c r="M2348" s="48">
        <f t="shared" si="166"/>
        <v>46185</v>
      </c>
      <c r="N2348" s="26">
        <f t="shared" si="165"/>
        <v>3</v>
      </c>
      <c r="O2348" s="27">
        <v>1008</v>
      </c>
      <c r="P2348" s="27">
        <v>1008</v>
      </c>
      <c r="Q2348" s="27">
        <v>28</v>
      </c>
      <c r="R2348" s="27">
        <v>26</v>
      </c>
      <c r="S2348" s="27" t="s">
        <v>6031</v>
      </c>
      <c r="T2348" s="27"/>
      <c r="U2348" s="27">
        <v>2575</v>
      </c>
      <c r="V2348" s="27" t="s">
        <v>4276</v>
      </c>
      <c r="W2348" s="27" t="s">
        <v>4283</v>
      </c>
      <c r="X2348" s="128"/>
      <c r="Y2348" s="73" t="e">
        <f>VLOOKUP(X2348,Choferes!$B$3:C457,2,FALSE)</f>
        <v>#N/A</v>
      </c>
      <c r="Z2348" s="73" t="s">
        <v>6027</v>
      </c>
    </row>
    <row r="2349" spans="1:35" hidden="1" x14ac:dyDescent="0.25">
      <c r="A2349" s="222">
        <v>22</v>
      </c>
      <c r="B2349" s="71" t="s">
        <v>29</v>
      </c>
      <c r="C2349" s="39" t="s">
        <v>6032</v>
      </c>
      <c r="D2349" s="106" t="s">
        <v>2202</v>
      </c>
      <c r="E2349" s="47">
        <v>46183</v>
      </c>
      <c r="F2349" s="31" t="str">
        <f>VLOOKUP($C2349,Carpetas!$C$5:$M$2666,2,FALSE)</f>
        <v>BRB052/26</v>
      </c>
      <c r="G2349" s="23" t="str">
        <f>VLOOKUP($C2349,Carpetas!$C$5:$M$2666,10,FALSE)</f>
        <v>156,03,63</v>
      </c>
      <c r="H2349" s="27" t="str">
        <f>VLOOKUP($C2349,Carpetas!$C$5:$M$2666,6,FALSE)</f>
        <v>AXT</v>
      </c>
      <c r="I2349" s="27" t="str">
        <f>VLOOKUP($C2349,Carpetas!$C$5:$M$2666,3,FALSE)</f>
        <v>A&amp;A</v>
      </c>
      <c r="J2349" s="47">
        <v>46184</v>
      </c>
      <c r="K2349" s="72" t="str">
        <f>VLOOKUP($C2349,Carpetas!$C$5:$M$2666,5,FALSE)</f>
        <v>Chuy</v>
      </c>
      <c r="L2349" s="72" t="str">
        <f>VLOOKUP($C2349,Carpetas!$C$5:$M$2666,4,FALSE)</f>
        <v>Banana</v>
      </c>
      <c r="M2349" s="48">
        <f t="shared" si="166"/>
        <v>46185</v>
      </c>
      <c r="N2349" s="26">
        <f t="shared" si="165"/>
        <v>2</v>
      </c>
      <c r="O2349" s="27">
        <v>936</v>
      </c>
      <c r="P2349" s="27">
        <v>937</v>
      </c>
      <c r="Q2349" s="27">
        <v>26</v>
      </c>
      <c r="R2349" s="27">
        <v>25</v>
      </c>
      <c r="S2349" s="27" t="s">
        <v>5312</v>
      </c>
      <c r="T2349" s="27"/>
      <c r="U2349" s="27"/>
      <c r="V2349" s="27"/>
      <c r="W2349" s="27"/>
      <c r="X2349" s="128"/>
      <c r="Y2349" s="73" t="e">
        <f>VLOOKUP(X2349,Choferes!$B$3:C453,2,FALSE)</f>
        <v>#N/A</v>
      </c>
      <c r="Z2349" s="73" t="s">
        <v>6033</v>
      </c>
    </row>
    <row r="2350" spans="1:35" hidden="1" x14ac:dyDescent="0.25">
      <c r="A2350" s="222">
        <v>22</v>
      </c>
      <c r="B2350" s="71" t="s">
        <v>29</v>
      </c>
      <c r="C2350" s="39" t="s">
        <v>6034</v>
      </c>
      <c r="D2350" s="106" t="s">
        <v>183</v>
      </c>
      <c r="E2350" s="47">
        <v>46181</v>
      </c>
      <c r="F2350" s="31" t="str">
        <f>VLOOKUP($C2350,Carpetas!$C$5:$M$2666,2,FALSE)</f>
        <v>PYB033/26</v>
      </c>
      <c r="G2350" s="23">
        <f>VLOOKUP($C2350,Carpetas!$C$5:$M$2666,10,FALSE)</f>
        <v>1560285</v>
      </c>
      <c r="H2350" s="27" t="str">
        <f>VLOOKUP($C2350,Carpetas!$C$5:$M$2666,6,FALSE)</f>
        <v>Mega Logistica</v>
      </c>
      <c r="I2350" s="27" t="str">
        <f>VLOOKUP($C2350,Carpetas!$C$5:$M$2666,3,FALSE)</f>
        <v>Hugo Franco</v>
      </c>
      <c r="J2350" s="47">
        <v>46184</v>
      </c>
      <c r="K2350" s="72" t="str">
        <f>VLOOKUP($C2350,Carpetas!$C$5:$M$2666,5,FALSE)</f>
        <v>Salto</v>
      </c>
      <c r="L2350" s="72" t="str">
        <f>VLOOKUP($C2350,Carpetas!$C$5:$M$2666,4,FALSE)</f>
        <v>Banana</v>
      </c>
      <c r="M2350" s="48">
        <f>J2350+1+1</f>
        <v>46186</v>
      </c>
      <c r="N2350" s="26">
        <f t="shared" si="165"/>
        <v>5</v>
      </c>
      <c r="O2350" s="27">
        <v>980</v>
      </c>
      <c r="P2350" s="27">
        <v>980</v>
      </c>
      <c r="Q2350" s="27">
        <v>28</v>
      </c>
      <c r="R2350" s="27">
        <v>26</v>
      </c>
      <c r="S2350" s="27" t="s">
        <v>6035</v>
      </c>
      <c r="T2350" s="27"/>
      <c r="U2350" s="27"/>
      <c r="V2350" s="27"/>
      <c r="W2350" s="27"/>
      <c r="X2350" s="128"/>
      <c r="Y2350" s="73" t="e">
        <f>VLOOKUP(X2350,Choferes!$B$3:C465,2,FALSE)</f>
        <v>#N/A</v>
      </c>
      <c r="Z2350" s="73" t="s">
        <v>6036</v>
      </c>
    </row>
    <row r="2351" spans="1:35" hidden="1" x14ac:dyDescent="0.25">
      <c r="A2351" s="222">
        <v>22</v>
      </c>
      <c r="B2351" s="71" t="s">
        <v>29</v>
      </c>
      <c r="C2351" s="39" t="s">
        <v>6034</v>
      </c>
      <c r="D2351" s="106" t="s">
        <v>183</v>
      </c>
      <c r="E2351" s="47">
        <v>46182</v>
      </c>
      <c r="F2351" s="31" t="str">
        <f>VLOOKUP($C2351,Carpetas!$C$5:$M$2666,2,FALSE)</f>
        <v>PYB033/26</v>
      </c>
      <c r="G2351" s="23">
        <f>VLOOKUP($C2351,Carpetas!$C$5:$M$2666,10,FALSE)</f>
        <v>1560285</v>
      </c>
      <c r="H2351" s="27" t="str">
        <f>VLOOKUP($C2351,Carpetas!$C$5:$M$2666,6,FALSE)</f>
        <v>Mega Logistica</v>
      </c>
      <c r="I2351" s="27" t="str">
        <f>VLOOKUP($C2351,Carpetas!$C$5:$M$2666,3,FALSE)</f>
        <v>Hugo Franco</v>
      </c>
      <c r="J2351" s="47">
        <f>E2351+2</f>
        <v>46184</v>
      </c>
      <c r="K2351" s="72" t="str">
        <f>VLOOKUP($C2351,Carpetas!$C$5:$M$2666,5,FALSE)</f>
        <v>Salto</v>
      </c>
      <c r="L2351" s="72" t="str">
        <f>VLOOKUP($C2351,Carpetas!$C$5:$M$2666,4,FALSE)</f>
        <v>Banana</v>
      </c>
      <c r="M2351" s="48">
        <f>J2351+1+1</f>
        <v>46186</v>
      </c>
      <c r="N2351" s="26">
        <f t="shared" si="165"/>
        <v>4</v>
      </c>
      <c r="O2351" s="27">
        <v>980</v>
      </c>
      <c r="P2351" s="27">
        <v>980</v>
      </c>
      <c r="Q2351" s="27">
        <v>28</v>
      </c>
      <c r="R2351" s="27">
        <v>26.5</v>
      </c>
      <c r="S2351" s="27" t="s">
        <v>6037</v>
      </c>
      <c r="T2351" s="27"/>
      <c r="U2351" s="27"/>
      <c r="V2351" s="27"/>
      <c r="W2351" s="27"/>
      <c r="X2351" s="128"/>
      <c r="Y2351" s="73" t="e">
        <f>VLOOKUP(X2351,Choferes!$B$3:C466,2,FALSE)</f>
        <v>#N/A</v>
      </c>
      <c r="Z2351" s="73" t="s">
        <v>6036</v>
      </c>
    </row>
    <row r="2352" spans="1:35" hidden="1" x14ac:dyDescent="0.25">
      <c r="A2352" s="222">
        <v>22</v>
      </c>
      <c r="B2352" s="71" t="s">
        <v>29</v>
      </c>
      <c r="C2352" s="39" t="s">
        <v>6038</v>
      </c>
      <c r="D2352" s="106" t="s">
        <v>102</v>
      </c>
      <c r="E2352" s="47">
        <v>46182</v>
      </c>
      <c r="F2352" s="31" t="str">
        <f>VLOOKUP($C2352,Carpetas!$C$5:$M$2666,2,FALSE)</f>
        <v>PYB034/26</v>
      </c>
      <c r="G2352" s="23">
        <f>VLOOKUP($C2352,Carpetas!$C$5:$M$2666,10,FALSE)</f>
        <v>1560320</v>
      </c>
      <c r="H2352" s="27" t="str">
        <f>VLOOKUP($C2352,Carpetas!$C$5:$M$2666,6,FALSE)</f>
        <v>G.S.C.S. PARAGUAY TTES. S.R.L.</v>
      </c>
      <c r="I2352" s="27" t="str">
        <f>VLOOKUP($C2352,Carpetas!$C$5:$M$2666,3,FALSE)</f>
        <v>Milciades Sosa</v>
      </c>
      <c r="J2352" s="47">
        <f>E2352+2</f>
        <v>46184</v>
      </c>
      <c r="K2352" s="72" t="str">
        <f>VLOOKUP($C2352,Carpetas!$C$5:$M$2666,5,FALSE)</f>
        <v>Salto</v>
      </c>
      <c r="L2352" s="72" t="str">
        <f>VLOOKUP($C2352,Carpetas!$C$5:$M$2666,4,FALSE)</f>
        <v>Banana</v>
      </c>
      <c r="M2352" s="48">
        <f>J2352+1+1</f>
        <v>46186</v>
      </c>
      <c r="N2352" s="26">
        <f t="shared" si="165"/>
        <v>4</v>
      </c>
      <c r="O2352" s="27">
        <v>980</v>
      </c>
      <c r="P2352" s="27">
        <v>980</v>
      </c>
      <c r="Q2352" s="27">
        <v>28</v>
      </c>
      <c r="R2352" s="27">
        <v>26</v>
      </c>
      <c r="S2352" s="27" t="s">
        <v>116</v>
      </c>
      <c r="T2352" s="27"/>
      <c r="U2352" s="27"/>
      <c r="V2352" s="27"/>
      <c r="W2352" s="27"/>
      <c r="X2352" s="128"/>
      <c r="Y2352" s="73" t="e">
        <f>VLOOKUP(X2352,Choferes!$B$3:C467,2,FALSE)</f>
        <v>#N/A</v>
      </c>
      <c r="Z2352" s="73" t="s">
        <v>6036</v>
      </c>
    </row>
    <row r="2353" spans="1:26" hidden="1" x14ac:dyDescent="0.25">
      <c r="A2353" s="222">
        <v>22</v>
      </c>
      <c r="B2353" s="71" t="s">
        <v>29</v>
      </c>
      <c r="C2353" s="39" t="s">
        <v>6032</v>
      </c>
      <c r="D2353" s="106" t="s">
        <v>2202</v>
      </c>
      <c r="E2353" s="47">
        <v>46185</v>
      </c>
      <c r="F2353" s="31" t="str">
        <f>VLOOKUP($C2353,Carpetas!$C$5:$M$2666,2,FALSE)</f>
        <v>BRB052/26</v>
      </c>
      <c r="G2353" s="23" t="str">
        <f>VLOOKUP($C2353,Carpetas!$C$5:$M$2666,10,FALSE)</f>
        <v>156,03,63</v>
      </c>
      <c r="H2353" s="27" t="str">
        <f>VLOOKUP($C2353,Carpetas!$C$5:$M$2666,6,FALSE)</f>
        <v>AXT</v>
      </c>
      <c r="I2353" s="27" t="str">
        <f>VLOOKUP($C2353,Carpetas!$C$5:$M$2666,3,FALSE)</f>
        <v>A&amp;A</v>
      </c>
      <c r="J2353" s="47">
        <v>46188</v>
      </c>
      <c r="K2353" s="72" t="str">
        <f>VLOOKUP($C2353,Carpetas!$C$5:$M$2666,5,FALSE)</f>
        <v>Chuy</v>
      </c>
      <c r="L2353" s="72" t="str">
        <f>VLOOKUP($C2353,Carpetas!$C$5:$M$2666,4,FALSE)</f>
        <v>Banana</v>
      </c>
      <c r="M2353" s="48">
        <f>J2353+1</f>
        <v>46189</v>
      </c>
      <c r="N2353" s="26">
        <f t="shared" si="165"/>
        <v>4</v>
      </c>
      <c r="O2353" s="27">
        <v>936</v>
      </c>
      <c r="P2353" s="27">
        <v>937</v>
      </c>
      <c r="Q2353" s="27">
        <v>26</v>
      </c>
      <c r="R2353" s="27">
        <v>25.5</v>
      </c>
      <c r="S2353" s="27" t="s">
        <v>5323</v>
      </c>
      <c r="T2353" s="27"/>
      <c r="U2353" s="27"/>
      <c r="V2353" s="27" t="s">
        <v>6039</v>
      </c>
      <c r="W2353" s="27"/>
      <c r="X2353" s="128"/>
      <c r="Y2353" s="73" t="e">
        <f>VLOOKUP(X2353,Choferes!$B$3:C458,2,FALSE)</f>
        <v>#N/A</v>
      </c>
      <c r="Z2353" s="73" t="s">
        <v>6040</v>
      </c>
    </row>
    <row r="2354" spans="1:26" hidden="1" x14ac:dyDescent="0.25">
      <c r="A2354" s="222">
        <v>22</v>
      </c>
      <c r="B2354" s="71" t="s">
        <v>298</v>
      </c>
      <c r="C2354" s="39" t="s">
        <v>299</v>
      </c>
      <c r="D2354" s="106" t="s">
        <v>2202</v>
      </c>
      <c r="E2354" s="47">
        <v>46186</v>
      </c>
      <c r="F2354" s="31" t="str">
        <f>VLOOKUP($C2354,Carpetas!$C$5:$M$2666,2,FALSE)</f>
        <v>BRB</v>
      </c>
      <c r="G2354" s="23" t="e">
        <f>VLOOKUP($C2354,Carpetas!$C$5:$M$2666,9,FALSE)</f>
        <v>#REF!</v>
      </c>
      <c r="H2354" s="27" t="str">
        <f>VLOOKUP($C2354,Carpetas!$C$5:$M$2666,5,FALSE)</f>
        <v>xx</v>
      </c>
      <c r="I2354" s="27" t="str">
        <f>VLOOKUP($C2354,Carpetas!$C$5:$M$2666,3,FALSE)</f>
        <v>xx</v>
      </c>
      <c r="J2354" s="47">
        <f>E2354+2</f>
        <v>46188</v>
      </c>
      <c r="K2354" s="72">
        <f>VLOOKUP($C2354,Carpetas!$C$5:$M$2666,4,FALSE)</f>
        <v>0</v>
      </c>
      <c r="L2354" s="32"/>
      <c r="M2354" s="48">
        <f>J2354+1</f>
        <v>46189</v>
      </c>
      <c r="N2354" s="26">
        <f t="shared" si="165"/>
        <v>3</v>
      </c>
      <c r="O2354" s="27">
        <v>1008</v>
      </c>
      <c r="P2354" s="27"/>
      <c r="Q2354" s="27"/>
      <c r="R2354" s="27"/>
      <c r="S2354" s="27"/>
      <c r="T2354" s="27"/>
      <c r="U2354" s="27"/>
      <c r="V2354" s="27"/>
      <c r="W2354" s="27"/>
      <c r="X2354" s="128"/>
      <c r="Y2354" s="73" t="e">
        <f>VLOOKUP(X2354,Choferes!$B$3:C463,2,FALSE)</f>
        <v>#N/A</v>
      </c>
      <c r="Z2354" s="73"/>
    </row>
    <row r="2355" spans="1:26" hidden="1" x14ac:dyDescent="0.25">
      <c r="A2355" s="222">
        <v>22</v>
      </c>
      <c r="B2355" s="71" t="s">
        <v>29</v>
      </c>
      <c r="C2355" s="39" t="s">
        <v>6029</v>
      </c>
      <c r="D2355" s="106" t="s">
        <v>2474</v>
      </c>
      <c r="E2355" s="47">
        <v>46186</v>
      </c>
      <c r="F2355" s="31" t="str">
        <f>VLOOKUP($C2355,Carpetas!$C$5:$M$2666,2,FALSE)</f>
        <v>BRB053/26</v>
      </c>
      <c r="G2355" s="23">
        <f>VLOOKUP($C2355,Carpetas!$C$5:$M$2666,10,FALSE)</f>
        <v>1560434</v>
      </c>
      <c r="H2355" s="27" t="str">
        <f>VLOOKUP($C2355,Carpetas!$C$5:$M$2666,6,FALSE)</f>
        <v>FG</v>
      </c>
      <c r="I2355" s="27" t="str">
        <f>VLOOKUP($C2355,Carpetas!$C$5:$M$2666,3,FALSE)</f>
        <v>Etimex</v>
      </c>
      <c r="J2355" s="47">
        <f>E2355+2</f>
        <v>46188</v>
      </c>
      <c r="K2355" s="72" t="str">
        <f>VLOOKUP($C2355,Carpetas!$C$5:$M$2666,5,FALSE)</f>
        <v>Rio Branco</v>
      </c>
      <c r="L2355" s="72" t="str">
        <f>VLOOKUP($C2355,Carpetas!$C$5:$M$2666,4,FALSE)</f>
        <v>Banana</v>
      </c>
      <c r="M2355" s="48">
        <v>46190</v>
      </c>
      <c r="N2355" s="26">
        <f t="shared" si="165"/>
        <v>4</v>
      </c>
      <c r="O2355" s="27">
        <v>1008</v>
      </c>
      <c r="P2355" s="27">
        <v>1008</v>
      </c>
      <c r="Q2355" s="27">
        <v>28</v>
      </c>
      <c r="R2355" s="27">
        <v>25</v>
      </c>
      <c r="S2355" s="27" t="s">
        <v>3933</v>
      </c>
      <c r="T2355" s="27"/>
      <c r="U2355" s="27">
        <v>1597</v>
      </c>
      <c r="V2355" s="27" t="s">
        <v>1626</v>
      </c>
      <c r="W2355" s="27" t="s">
        <v>1736</v>
      </c>
      <c r="X2355" s="128"/>
      <c r="Y2355" s="73" t="e">
        <f>VLOOKUP(X2355,Choferes!$B$3:C464,2,FALSE)</f>
        <v>#N/A</v>
      </c>
      <c r="Z2355" s="73" t="s">
        <v>6041</v>
      </c>
    </row>
    <row r="2356" spans="1:26" hidden="1" x14ac:dyDescent="0.25">
      <c r="A2356" s="222">
        <v>22</v>
      </c>
      <c r="B2356" s="71" t="s">
        <v>29</v>
      </c>
      <c r="C2356" s="39" t="s">
        <v>6042</v>
      </c>
      <c r="D2356" s="106" t="s">
        <v>38</v>
      </c>
      <c r="E2356" s="47">
        <v>46184</v>
      </c>
      <c r="F2356" s="31" t="str">
        <f>VLOOKUP($C2356,Carpetas!$C$5:$M$2666,2,FALSE)</f>
        <v>BRE038-26</v>
      </c>
      <c r="G2356" s="23">
        <f>VLOOKUP($C2356,Carpetas!$C$5:$M$2666,10,FALSE)</f>
        <v>1560338</v>
      </c>
      <c r="H2356" s="27" t="str">
        <f>VLOOKUP($C2356,Carpetas!$C$5:$M$2666,6,FALSE)</f>
        <v>Gral</v>
      </c>
      <c r="I2356" s="27" t="str">
        <f>VLOOKUP($C2356,Carpetas!$C$5:$M$2666,3,FALSE)</f>
        <v>Etimex</v>
      </c>
      <c r="J2356" s="47">
        <v>46188</v>
      </c>
      <c r="K2356" s="72" t="str">
        <f>VLOOKUP($C2356,Carpetas!$C$5:$M$2666,5,FALSE)</f>
        <v>Rio Branco</v>
      </c>
      <c r="L2356" s="72" t="str">
        <f>VLOOKUP($C2356,Carpetas!$C$5:$M$2666,4,FALSE)</f>
        <v>Sandía</v>
      </c>
      <c r="M2356" s="48">
        <v>46190</v>
      </c>
      <c r="N2356" s="26">
        <f t="shared" si="165"/>
        <v>6</v>
      </c>
      <c r="O2356" s="27">
        <v>20780</v>
      </c>
      <c r="P2356" s="27"/>
      <c r="Q2356" s="27"/>
      <c r="R2356" s="27"/>
      <c r="S2356" s="27"/>
      <c r="T2356" s="27"/>
      <c r="U2356" s="27">
        <v>8194</v>
      </c>
      <c r="V2356" s="27" t="s">
        <v>6043</v>
      </c>
      <c r="W2356" s="27" t="s">
        <v>6044</v>
      </c>
      <c r="X2356" s="128"/>
      <c r="Y2356" s="73" t="e">
        <f>VLOOKUP(X2356,Choferes!$B$3:C462,2,FALSE)</f>
        <v>#N/A</v>
      </c>
      <c r="Z2356" s="73" t="s">
        <v>1273</v>
      </c>
    </row>
    <row r="2357" spans="1:26" ht="30" hidden="1" x14ac:dyDescent="0.25">
      <c r="A2357" s="222">
        <v>22</v>
      </c>
      <c r="B2357" s="71" t="s">
        <v>29</v>
      </c>
      <c r="C2357" s="39" t="s">
        <v>6029</v>
      </c>
      <c r="D2357" s="106" t="s">
        <v>110</v>
      </c>
      <c r="E2357" s="47">
        <v>46185</v>
      </c>
      <c r="F2357" s="31" t="str">
        <f>VLOOKUP($C2357,Carpetas!$C$5:$M$2666,2,FALSE)</f>
        <v>BRB053/26</v>
      </c>
      <c r="G2357" s="23">
        <f>VLOOKUP($C2357,Carpetas!$C$5:$M$2666,10,FALSE)</f>
        <v>1560434</v>
      </c>
      <c r="H2357" s="27" t="str">
        <f>VLOOKUP($C2357,Carpetas!$C$5:$M$2666,6,FALSE)</f>
        <v>FG</v>
      </c>
      <c r="I2357" s="27" t="str">
        <f>VLOOKUP($C2357,Carpetas!$C$5:$M$2666,3,FALSE)</f>
        <v>Etimex</v>
      </c>
      <c r="J2357" s="47">
        <v>46188</v>
      </c>
      <c r="K2357" s="72" t="str">
        <f>VLOOKUP($C2357,Carpetas!$C$5:$M$2666,5,FALSE)</f>
        <v>Rio Branco</v>
      </c>
      <c r="L2357" s="72" t="str">
        <f>VLOOKUP($C2357,Carpetas!$C$5:$M$2666,4,FALSE)</f>
        <v>Banana</v>
      </c>
      <c r="M2357" s="48">
        <v>46190</v>
      </c>
      <c r="N2357" s="26">
        <f t="shared" si="165"/>
        <v>5</v>
      </c>
      <c r="O2357" s="27">
        <v>1008</v>
      </c>
      <c r="P2357" s="27">
        <v>1009</v>
      </c>
      <c r="Q2357" s="27">
        <v>28</v>
      </c>
      <c r="R2357" s="27">
        <v>25.5</v>
      </c>
      <c r="S2357" s="27" t="s">
        <v>6045</v>
      </c>
      <c r="T2357" s="27"/>
      <c r="U2357" s="27">
        <v>1596</v>
      </c>
      <c r="V2357" s="27" t="s">
        <v>1630</v>
      </c>
      <c r="W2357" s="27" t="s">
        <v>1934</v>
      </c>
      <c r="X2357" s="128"/>
      <c r="Y2357" s="73" t="e">
        <f>VLOOKUP(X2357,Choferes!$B$3:C459,2,FALSE)</f>
        <v>#N/A</v>
      </c>
      <c r="Z2357" s="73" t="s">
        <v>6046</v>
      </c>
    </row>
    <row r="2358" spans="1:26" hidden="1" x14ac:dyDescent="0.25">
      <c r="A2358" s="222">
        <v>22</v>
      </c>
      <c r="B2358" s="71" t="s">
        <v>29</v>
      </c>
      <c r="C2358" s="39" t="s">
        <v>5982</v>
      </c>
      <c r="D2358" s="106" t="s">
        <v>5746</v>
      </c>
      <c r="E2358" s="47">
        <v>46185</v>
      </c>
      <c r="F2358" s="31" t="str">
        <f>VLOOKUP($C2358,Carpetas!$C$5:$M$2666,2,FALSE)</f>
        <v>BRB051/26</v>
      </c>
      <c r="G2358" s="23">
        <f>VLOOKUP($C2358,Carpetas!$C$5:$M$2666,10,FALSE)</f>
        <v>1559849</v>
      </c>
      <c r="H2358" s="27" t="str">
        <f>VLOOKUP($C2358,Carpetas!$C$5:$M$2666,6,FALSE)</f>
        <v>Chabat</v>
      </c>
      <c r="I2358" s="27" t="str">
        <f>VLOOKUP($C2358,Carpetas!$C$5:$M$2666,3,FALSE)</f>
        <v>Etimex</v>
      </c>
      <c r="J2358" s="47">
        <v>46188</v>
      </c>
      <c r="K2358" s="72" t="str">
        <f>VLOOKUP($C2358,Carpetas!$C$5:$M$2666,5,FALSE)</f>
        <v>Rio Branco</v>
      </c>
      <c r="L2358" s="72" t="str">
        <f>VLOOKUP($C2358,Carpetas!$C$5:$M$2666,4,FALSE)</f>
        <v>Banana</v>
      </c>
      <c r="M2358" s="48">
        <v>46190</v>
      </c>
      <c r="N2358" s="26">
        <f t="shared" si="165"/>
        <v>5</v>
      </c>
      <c r="O2358" s="27">
        <v>1008</v>
      </c>
      <c r="P2358" s="27">
        <v>1008</v>
      </c>
      <c r="Q2358" s="27">
        <v>28</v>
      </c>
      <c r="R2358" s="27">
        <v>25</v>
      </c>
      <c r="S2358" s="27" t="s">
        <v>6047</v>
      </c>
      <c r="T2358" s="27"/>
      <c r="U2358" s="27">
        <v>2577</v>
      </c>
      <c r="V2358" s="27" t="s">
        <v>4339</v>
      </c>
      <c r="W2358" s="27" t="s">
        <v>4340</v>
      </c>
      <c r="X2358" s="128"/>
      <c r="Y2358" s="73" t="e">
        <f>VLOOKUP(X2358,Choferes!$B$3:C460,2,FALSE)</f>
        <v>#N/A</v>
      </c>
      <c r="Z2358" s="73" t="s">
        <v>6048</v>
      </c>
    </row>
    <row r="2359" spans="1:26" ht="30" hidden="1" x14ac:dyDescent="0.25">
      <c r="A2359" s="222">
        <v>22</v>
      </c>
      <c r="B2359" s="71" t="s">
        <v>29</v>
      </c>
      <c r="C2359" s="39" t="s">
        <v>5982</v>
      </c>
      <c r="D2359" s="106" t="s">
        <v>5765</v>
      </c>
      <c r="E2359" s="47">
        <v>46185</v>
      </c>
      <c r="F2359" s="31" t="str">
        <f>VLOOKUP($C2359,Carpetas!$C$5:$M$2666,2,FALSE)</f>
        <v>BRB051/26</v>
      </c>
      <c r="G2359" s="23">
        <f>VLOOKUP($C2359,Carpetas!$C$5:$M$2666,10,FALSE)</f>
        <v>1559849</v>
      </c>
      <c r="H2359" s="27" t="str">
        <f>VLOOKUP($C2359,Carpetas!$C$5:$M$2666,6,FALSE)</f>
        <v>Chabat</v>
      </c>
      <c r="I2359" s="27" t="str">
        <f>VLOOKUP($C2359,Carpetas!$C$5:$M$2666,3,FALSE)</f>
        <v>Etimex</v>
      </c>
      <c r="J2359" s="47">
        <v>46188</v>
      </c>
      <c r="K2359" s="72" t="str">
        <f>VLOOKUP($C2359,Carpetas!$C$5:$M$2666,5,FALSE)</f>
        <v>Rio Branco</v>
      </c>
      <c r="L2359" s="72" t="str">
        <f>VLOOKUP($C2359,Carpetas!$C$5:$M$2666,4,FALSE)</f>
        <v>Banana</v>
      </c>
      <c r="M2359" s="48">
        <v>46190</v>
      </c>
      <c r="N2359" s="26">
        <f t="shared" si="165"/>
        <v>5</v>
      </c>
      <c r="O2359" s="27">
        <v>1008</v>
      </c>
      <c r="P2359" s="27">
        <v>1008</v>
      </c>
      <c r="Q2359" s="27">
        <v>28</v>
      </c>
      <c r="R2359" s="27">
        <v>25.5</v>
      </c>
      <c r="S2359" s="27" t="s">
        <v>6049</v>
      </c>
      <c r="T2359" s="27"/>
      <c r="U2359" s="27">
        <v>2576</v>
      </c>
      <c r="V2359" s="27" t="s">
        <v>4134</v>
      </c>
      <c r="W2359" s="27" t="s">
        <v>4635</v>
      </c>
      <c r="X2359" s="128"/>
      <c r="Y2359" s="73" t="e">
        <f>VLOOKUP(X2359,Choferes!$B$3:C461,2,FALSE)</f>
        <v>#N/A</v>
      </c>
      <c r="Z2359" s="73" t="s">
        <v>6050</v>
      </c>
    </row>
    <row r="2360" spans="1:26" ht="30" hidden="1" x14ac:dyDescent="0.25">
      <c r="A2360" s="222">
        <v>22</v>
      </c>
      <c r="B2360" s="71" t="s">
        <v>29</v>
      </c>
      <c r="C2360" s="39" t="s">
        <v>5974</v>
      </c>
      <c r="D2360" s="106" t="s">
        <v>3124</v>
      </c>
      <c r="E2360" s="47">
        <v>46185</v>
      </c>
      <c r="F2360" s="31" t="str">
        <f>VLOOKUP($C2360,Carpetas!$C$5:$M$2666,2,FALSE)</f>
        <v>BRB050/26</v>
      </c>
      <c r="G2360" s="23">
        <f>VLOOKUP($C2360,Carpetas!$C$5:$M$2666,10,FALSE)</f>
        <v>1559612</v>
      </c>
      <c r="H2360" s="27" t="str">
        <f>VLOOKUP($C2360,Carpetas!$C$5:$M$2666,6,FALSE)</f>
        <v>Amaro</v>
      </c>
      <c r="I2360" s="27" t="str">
        <f>VLOOKUP($C2360,Carpetas!$C$5:$M$2666,3,FALSE)</f>
        <v>Etimex</v>
      </c>
      <c r="J2360" s="47">
        <v>46188</v>
      </c>
      <c r="K2360" s="72" t="str">
        <f>VLOOKUP($C2360,Carpetas!$C$5:$M$2666,5,FALSE)</f>
        <v>Rio Branco</v>
      </c>
      <c r="L2360" s="72" t="str">
        <f>VLOOKUP($C2360,Carpetas!$C$5:$M$2666,4,FALSE)</f>
        <v>Banana</v>
      </c>
      <c r="M2360" s="48">
        <v>46190</v>
      </c>
      <c r="N2360" s="26">
        <f t="shared" si="165"/>
        <v>5</v>
      </c>
      <c r="O2360" s="27">
        <v>1008</v>
      </c>
      <c r="P2360" s="27">
        <v>1008</v>
      </c>
      <c r="Q2360" s="27">
        <v>28</v>
      </c>
      <c r="R2360" s="27">
        <v>24.5</v>
      </c>
      <c r="S2360" s="27" t="s">
        <v>6051</v>
      </c>
      <c r="T2360" s="27"/>
      <c r="U2360" s="27">
        <v>28799</v>
      </c>
      <c r="V2360" s="27" t="s">
        <v>3067</v>
      </c>
      <c r="W2360" s="27" t="s">
        <v>2785</v>
      </c>
      <c r="X2360" s="128"/>
      <c r="Y2360" s="73" t="e">
        <f>VLOOKUP(X2360,Choferes!$B$3:C462,2,FALSE)</f>
        <v>#N/A</v>
      </c>
      <c r="Z2360" s="73" t="s">
        <v>6052</v>
      </c>
    </row>
    <row r="2361" spans="1:26" ht="30" hidden="1" x14ac:dyDescent="0.25">
      <c r="A2361" s="222">
        <v>23</v>
      </c>
      <c r="B2361" s="71" t="s">
        <v>29</v>
      </c>
      <c r="C2361" s="39" t="s">
        <v>6053</v>
      </c>
      <c r="D2361" s="106" t="s">
        <v>38</v>
      </c>
      <c r="E2361" s="47">
        <v>46187</v>
      </c>
      <c r="F2361" s="31" t="str">
        <f>VLOOKUP($C2361,Carpetas!$C$5:$M$2666,2,FALSE)</f>
        <v>BRE039-26</v>
      </c>
      <c r="G2361" s="23" t="str">
        <f>VLOOKUP($C2361,Carpetas!$C$5:$M$2666,10,FALSE)</f>
        <v>1560718/1560719</v>
      </c>
      <c r="H2361" s="27" t="str">
        <f>VLOOKUP($C2361,Carpetas!$C$5:$M$2666,6,FALSE)</f>
        <v xml:space="preserve">Silvio </v>
      </c>
      <c r="I2361" s="27" t="str">
        <f>VLOOKUP($C2361,Carpetas!$C$5:$M$2666,3,FALSE)</f>
        <v>Etimex</v>
      </c>
      <c r="J2361" s="47">
        <v>46188</v>
      </c>
      <c r="K2361" s="72" t="str">
        <f>VLOOKUP($C2361,Carpetas!$C$5:$M$2666,5,FALSE)</f>
        <v>Rio Branco</v>
      </c>
      <c r="L2361" s="72" t="str">
        <f>VLOOKUP($C2361,Carpetas!$C$5:$M$2666,4,FALSE)</f>
        <v>Choclo y Banana</v>
      </c>
      <c r="M2361" s="48">
        <v>46190</v>
      </c>
      <c r="N2361" s="26">
        <f t="shared" si="165"/>
        <v>3</v>
      </c>
      <c r="O2361" s="27">
        <v>720</v>
      </c>
      <c r="P2361" s="27">
        <v>720</v>
      </c>
      <c r="Q2361" s="27">
        <v>20</v>
      </c>
      <c r="R2361" s="27">
        <v>24</v>
      </c>
      <c r="S2361" s="27" t="s">
        <v>6054</v>
      </c>
      <c r="T2361" s="27"/>
      <c r="U2361" s="27">
        <v>7826</v>
      </c>
      <c r="V2361" s="27" t="s">
        <v>64</v>
      </c>
      <c r="W2361" s="27" t="s">
        <v>65</v>
      </c>
      <c r="X2361" s="128"/>
      <c r="Y2361" s="73" t="e">
        <f>VLOOKUP(X2361,Choferes!$B$3:C463,2,FALSE)</f>
        <v>#N/A</v>
      </c>
      <c r="Z2361" s="73" t="s">
        <v>6055</v>
      </c>
    </row>
    <row r="2362" spans="1:26" ht="30" hidden="1" x14ac:dyDescent="0.25">
      <c r="A2362" s="222">
        <v>22</v>
      </c>
      <c r="B2362" s="71" t="s">
        <v>29</v>
      </c>
      <c r="C2362" s="39" t="s">
        <v>6056</v>
      </c>
      <c r="D2362" s="106" t="s">
        <v>38</v>
      </c>
      <c r="E2362" s="47">
        <v>46186</v>
      </c>
      <c r="F2362" s="31" t="str">
        <f>VLOOKUP($C2362,Carpetas!$C$5:$M$2666,2,FALSE)</f>
        <v>BRE040-26</v>
      </c>
      <c r="G2362" s="23" t="str">
        <f>VLOOKUP($C2362,Carpetas!$C$5:$M$2666,10,FALSE)</f>
        <v>1560512/15660510/1560514/1560513</v>
      </c>
      <c r="H2362" s="27" t="str">
        <f>VLOOKUP($C2362,Carpetas!$C$5:$M$2666,6,FALSE)</f>
        <v>VPN</v>
      </c>
      <c r="I2362" s="27" t="str">
        <f>VLOOKUP($C2362,Carpetas!$C$5:$M$2666,3,FALSE)</f>
        <v>Dom Basto</v>
      </c>
      <c r="J2362" s="47">
        <v>46189</v>
      </c>
      <c r="K2362" s="72" t="str">
        <f>VLOOKUP($C2362,Carpetas!$C$5:$M$2666,5,FALSE)</f>
        <v>Chuy</v>
      </c>
      <c r="L2362" s="23" t="str">
        <f>VLOOKUP($C2362,Carpetas!$C$5:$M$2666,4,FALSE)</f>
        <v>Mix</v>
      </c>
      <c r="M2362" s="48">
        <f t="shared" ref="M2362:M2389" si="167">J2362+1</f>
        <v>46190</v>
      </c>
      <c r="N2362" s="26">
        <f t="shared" si="165"/>
        <v>4</v>
      </c>
      <c r="O2362" s="27">
        <v>1096</v>
      </c>
      <c r="P2362" s="27"/>
      <c r="Q2362" s="27"/>
      <c r="R2362" s="27"/>
      <c r="S2362" s="27" t="s">
        <v>6057</v>
      </c>
      <c r="T2362" s="27"/>
      <c r="U2362" s="27"/>
      <c r="V2362" s="27"/>
      <c r="W2362" s="27"/>
      <c r="X2362" s="128"/>
      <c r="Y2362" s="73" t="e">
        <f>VLOOKUP(X2362,Choferes!$B$3:C464,2,FALSE)</f>
        <v>#N/A</v>
      </c>
      <c r="Z2362" s="73" t="s">
        <v>6058</v>
      </c>
    </row>
    <row r="2363" spans="1:26" hidden="1" x14ac:dyDescent="0.25">
      <c r="A2363" s="222">
        <v>23</v>
      </c>
      <c r="B2363" s="71" t="s">
        <v>29</v>
      </c>
      <c r="C2363" s="39" t="s">
        <v>6059</v>
      </c>
      <c r="D2363" s="106" t="s">
        <v>102</v>
      </c>
      <c r="E2363" s="47">
        <v>46186</v>
      </c>
      <c r="F2363" s="31" t="str">
        <f>VLOOKUP($C2363,Carpetas!$C$5:$M$2666,2,FALSE)</f>
        <v>BRA036</v>
      </c>
      <c r="G2363" s="23" t="str">
        <f>VLOOKUP($C2363,Carpetas!$C$5:$M$2666,10,FALSE)</f>
        <v>143.88.61</v>
      </c>
      <c r="H2363" s="27" t="str">
        <f>VLOOKUP($C2363,Carpetas!$C$5:$M$2666,6,FALSE)</f>
        <v>Silvio</v>
      </c>
      <c r="I2363" s="27" t="str">
        <f>VLOOKUP($C2363,Carpetas!$C$5:$M$2666,3,FALSE)</f>
        <v>Agricola Famosa</v>
      </c>
      <c r="J2363" s="47">
        <v>46189</v>
      </c>
      <c r="K2363" s="72" t="str">
        <f>VLOOKUP($C2363,Carpetas!$C$5:$M$2666,5,FALSE)</f>
        <v>Rio Branco</v>
      </c>
      <c r="L2363" s="23">
        <f>VLOOKUP($C2363,Carpetas!$C$5:$M$2666,4,FALSE)</f>
        <v>0</v>
      </c>
      <c r="M2363" s="48">
        <f t="shared" si="167"/>
        <v>46190</v>
      </c>
      <c r="N2363" s="26">
        <f t="shared" si="165"/>
        <v>4</v>
      </c>
      <c r="O2363" s="27">
        <v>980</v>
      </c>
      <c r="P2363" s="27">
        <v>980</v>
      </c>
      <c r="Q2363" s="27">
        <v>26</v>
      </c>
      <c r="R2363" s="27">
        <v>26.5</v>
      </c>
      <c r="S2363" s="27" t="s">
        <v>160</v>
      </c>
      <c r="T2363" s="27"/>
      <c r="U2363" s="27"/>
      <c r="V2363" s="27"/>
      <c r="W2363" s="27"/>
      <c r="X2363" s="128"/>
      <c r="Y2363" s="73" t="e">
        <f>VLOOKUP(X2363,Choferes!$B$3:C450,2,FALSE)</f>
        <v>#N/A</v>
      </c>
      <c r="Z2363" s="73" t="s">
        <v>6060</v>
      </c>
    </row>
    <row r="2364" spans="1:26" ht="30" hidden="1" x14ac:dyDescent="0.25">
      <c r="A2364" s="222">
        <v>23</v>
      </c>
      <c r="B2364" s="71" t="s">
        <v>29</v>
      </c>
      <c r="C2364" s="39" t="s">
        <v>6029</v>
      </c>
      <c r="D2364" s="106" t="s">
        <v>2474</v>
      </c>
      <c r="E2364" s="47">
        <v>46189</v>
      </c>
      <c r="F2364" s="31" t="str">
        <f>VLOOKUP($C2364,Carpetas!$C$5:$M$2666,2,FALSE)</f>
        <v>BRB053/26</v>
      </c>
      <c r="G2364" s="23">
        <f>VLOOKUP($C2364,Carpetas!$C$5:$M$2666,10,FALSE)</f>
        <v>1560434</v>
      </c>
      <c r="H2364" s="27" t="str">
        <f>VLOOKUP($C2364,Carpetas!$C$5:$M$2666,6,FALSE)</f>
        <v>FG</v>
      </c>
      <c r="I2364" s="27" t="str">
        <f>VLOOKUP($C2364,Carpetas!$C$5:$M$2666,3,FALSE)</f>
        <v>Etimex</v>
      </c>
      <c r="J2364" s="47">
        <v>46190</v>
      </c>
      <c r="K2364" s="72" t="str">
        <f>VLOOKUP($C2364,Carpetas!$C$5:$M$2666,5,FALSE)</f>
        <v>Rio Branco</v>
      </c>
      <c r="L2364" s="23" t="str">
        <f>VLOOKUP($C2364,Carpetas!$C$5:$M$2666,4,FALSE)</f>
        <v>Banana</v>
      </c>
      <c r="M2364" s="48">
        <f t="shared" si="167"/>
        <v>46191</v>
      </c>
      <c r="N2364" s="26">
        <f t="shared" si="165"/>
        <v>2</v>
      </c>
      <c r="O2364" s="27">
        <v>1008</v>
      </c>
      <c r="P2364" s="27">
        <v>1008</v>
      </c>
      <c r="Q2364" s="27">
        <v>28</v>
      </c>
      <c r="R2364" s="27">
        <v>25</v>
      </c>
      <c r="S2364" s="27" t="s">
        <v>3958</v>
      </c>
      <c r="T2364" s="27"/>
      <c r="U2364" s="27">
        <v>1599</v>
      </c>
      <c r="V2364" s="27" t="s">
        <v>3411</v>
      </c>
      <c r="W2364" s="27" t="s">
        <v>5398</v>
      </c>
      <c r="X2364" s="128"/>
      <c r="Y2364" s="73" t="e">
        <f>VLOOKUP(X2364,Choferes!$B$3:C451,2,FALSE)</f>
        <v>#N/A</v>
      </c>
      <c r="Z2364" s="73" t="s">
        <v>6061</v>
      </c>
    </row>
    <row r="2365" spans="1:26" ht="30" hidden="1" x14ac:dyDescent="0.25">
      <c r="A2365" s="222">
        <v>23</v>
      </c>
      <c r="B2365" s="71" t="s">
        <v>29</v>
      </c>
      <c r="C2365" s="39" t="s">
        <v>6062</v>
      </c>
      <c r="D2365" s="106" t="s">
        <v>183</v>
      </c>
      <c r="E2365" s="47">
        <v>46188</v>
      </c>
      <c r="F2365" s="31" t="str">
        <f>VLOOKUP($C2365,Carpetas!$C$5:$M$2666,2,FALSE)</f>
        <v>PYB036/26</v>
      </c>
      <c r="G2365" s="23">
        <f>VLOOKUP($C2365,Carpetas!$C$5:$M$2666,10,FALSE)</f>
        <v>1560732</v>
      </c>
      <c r="H2365" s="27" t="str">
        <f>VLOOKUP($C2365,Carpetas!$C$5:$M$2666,6,FALSE)</f>
        <v>Mega Logistica</v>
      </c>
      <c r="I2365" s="27" t="str">
        <f>VLOOKUP($C2365,Carpetas!$C$5:$M$2666,3,FALSE)</f>
        <v>Hugo Franco</v>
      </c>
      <c r="J2365" s="47">
        <v>46191</v>
      </c>
      <c r="K2365" s="72" t="str">
        <f>VLOOKUP($C2365,Carpetas!$C$5:$M$2666,5,FALSE)</f>
        <v>Salto</v>
      </c>
      <c r="L2365" s="23" t="str">
        <f>VLOOKUP($C2365,Carpetas!$C$5:$M$2666,4,FALSE)</f>
        <v>Banana</v>
      </c>
      <c r="M2365" s="48">
        <f t="shared" si="167"/>
        <v>46192</v>
      </c>
      <c r="N2365" s="26">
        <f t="shared" si="165"/>
        <v>4</v>
      </c>
      <c r="O2365" s="27">
        <v>980</v>
      </c>
      <c r="P2365" s="27">
        <v>982</v>
      </c>
      <c r="Q2365" s="27">
        <v>28</v>
      </c>
      <c r="R2365" s="27">
        <v>26.5</v>
      </c>
      <c r="S2365" s="27" t="s">
        <v>6063</v>
      </c>
      <c r="T2365" s="27"/>
      <c r="U2365" s="27"/>
      <c r="V2365" s="27"/>
      <c r="W2365" s="27"/>
      <c r="X2365" s="128"/>
      <c r="Y2365" s="73" t="e">
        <f>VLOOKUP(X2365,Choferes!$B$3:C448,2,FALSE)</f>
        <v>#N/A</v>
      </c>
      <c r="Z2365" s="73" t="s">
        <v>6064</v>
      </c>
    </row>
    <row r="2366" spans="1:26" ht="30" hidden="1" x14ac:dyDescent="0.25">
      <c r="A2366" s="222">
        <v>23</v>
      </c>
      <c r="B2366" s="71" t="s">
        <v>29</v>
      </c>
      <c r="C2366" s="39" t="s">
        <v>6062</v>
      </c>
      <c r="D2366" s="106" t="s">
        <v>183</v>
      </c>
      <c r="E2366" s="47">
        <v>46188</v>
      </c>
      <c r="F2366" s="31" t="str">
        <f>VLOOKUP($C2366,Carpetas!$C$5:$M$2666,2,FALSE)</f>
        <v>PYB036/26</v>
      </c>
      <c r="G2366" s="23">
        <f>VLOOKUP($C2366,Carpetas!$C$5:$M$2666,10,FALSE)</f>
        <v>1560732</v>
      </c>
      <c r="H2366" s="27" t="str">
        <f>VLOOKUP($C2366,Carpetas!$C$5:$M$2666,6,FALSE)</f>
        <v>Mega Logistica</v>
      </c>
      <c r="I2366" s="27" t="str">
        <f>VLOOKUP($C2366,Carpetas!$C$5:$M$2666,3,FALSE)</f>
        <v>Hugo Franco</v>
      </c>
      <c r="J2366" s="47">
        <v>46191</v>
      </c>
      <c r="K2366" s="72" t="str">
        <f>VLOOKUP($C2366,Carpetas!$C$5:$M$2666,5,FALSE)</f>
        <v>Salto</v>
      </c>
      <c r="L2366" s="72" t="str">
        <f>VLOOKUP($C2366,Carpetas!$C$5:$M$2666,4,FALSE)</f>
        <v>Banana</v>
      </c>
      <c r="M2366" s="48">
        <f t="shared" si="167"/>
        <v>46192</v>
      </c>
      <c r="N2366" s="26">
        <f t="shared" si="165"/>
        <v>4</v>
      </c>
      <c r="O2366" s="27">
        <v>980</v>
      </c>
      <c r="P2366" s="27">
        <v>980</v>
      </c>
      <c r="Q2366" s="27">
        <v>28</v>
      </c>
      <c r="R2366" s="27">
        <v>26</v>
      </c>
      <c r="S2366" s="27" t="s">
        <v>2826</v>
      </c>
      <c r="T2366" s="27"/>
      <c r="U2366" s="27"/>
      <c r="V2366" s="27"/>
      <c r="W2366" s="27"/>
      <c r="X2366" s="128"/>
      <c r="Y2366" s="73" t="e">
        <f>VLOOKUP(X2366,Choferes!$B$3:C449,2,FALSE)</f>
        <v>#N/A</v>
      </c>
      <c r="Z2366" s="73" t="s">
        <v>6065</v>
      </c>
    </row>
    <row r="2367" spans="1:26" ht="30" hidden="1" x14ac:dyDescent="0.25">
      <c r="A2367" s="222">
        <v>23</v>
      </c>
      <c r="B2367" s="71" t="s">
        <v>29</v>
      </c>
      <c r="C2367" s="39" t="s">
        <v>6066</v>
      </c>
      <c r="D2367" s="106" t="s">
        <v>38</v>
      </c>
      <c r="E2367" s="47">
        <v>46189</v>
      </c>
      <c r="F2367" s="31" t="str">
        <f>VLOOKUP($C2367,Carpetas!$C$5:$M$2666,2,FALSE)</f>
        <v>BRE041/26</v>
      </c>
      <c r="G2367" s="23">
        <f>VLOOKUP($C2367,Carpetas!$C$5:$M$2666,10,FALSE)</f>
        <v>1560822</v>
      </c>
      <c r="H2367" s="27" t="str">
        <f>VLOOKUP($C2367,Carpetas!$C$5:$M$2666,6,FALSE)</f>
        <v xml:space="preserve">Silvio </v>
      </c>
      <c r="I2367" s="27" t="str">
        <f>VLOOKUP($C2367,Carpetas!$C$5:$M$2666,3,FALSE)</f>
        <v>Etimex</v>
      </c>
      <c r="J2367" s="47">
        <f t="shared" ref="J2367:J2372" si="168">E2367+2</f>
        <v>46191</v>
      </c>
      <c r="K2367" s="72" t="str">
        <f>VLOOKUP($C2367,Carpetas!$C$5:$M$2666,5,FALSE)</f>
        <v>Rio Branco</v>
      </c>
      <c r="L2367" s="72" t="str">
        <f>VLOOKUP($C2367,Carpetas!$C$5:$M$2666,4,FALSE)</f>
        <v>Choclo</v>
      </c>
      <c r="M2367" s="48">
        <f t="shared" si="167"/>
        <v>46192</v>
      </c>
      <c r="N2367" s="26">
        <f t="shared" si="165"/>
        <v>3</v>
      </c>
      <c r="O2367" s="27">
        <v>648</v>
      </c>
      <c r="P2367" s="27">
        <v>648</v>
      </c>
      <c r="Q2367" s="27">
        <v>18</v>
      </c>
      <c r="R2367" s="27">
        <v>16.5</v>
      </c>
      <c r="S2367" s="27"/>
      <c r="T2367" s="27"/>
      <c r="U2367" s="27">
        <v>7833</v>
      </c>
      <c r="V2367" s="27" t="s">
        <v>749</v>
      </c>
      <c r="W2367" s="27" t="s">
        <v>750</v>
      </c>
      <c r="X2367" s="128"/>
      <c r="Y2367" s="73" t="e">
        <f>VLOOKUP(X2367,Choferes!$B$3:C464,2,FALSE)</f>
        <v>#N/A</v>
      </c>
      <c r="Z2367" s="73" t="s">
        <v>6067</v>
      </c>
    </row>
    <row r="2368" spans="1:26" hidden="1" x14ac:dyDescent="0.25">
      <c r="A2368" s="222">
        <v>23</v>
      </c>
      <c r="B2368" s="71" t="s">
        <v>29</v>
      </c>
      <c r="C2368" s="39" t="s">
        <v>6029</v>
      </c>
      <c r="D2368" s="106" t="s">
        <v>249</v>
      </c>
      <c r="E2368" s="47">
        <v>46189</v>
      </c>
      <c r="F2368" s="31" t="str">
        <f>VLOOKUP($C2368,Carpetas!$C$5:$M$2666,2,FALSE)</f>
        <v>BRB053/26</v>
      </c>
      <c r="G2368" s="23">
        <f>VLOOKUP($C2368,Carpetas!$C$5:$M$2666,10,FALSE)</f>
        <v>1560434</v>
      </c>
      <c r="H2368" s="27" t="str">
        <f>VLOOKUP($C2368,Carpetas!$C$5:$M$2666,6,FALSE)</f>
        <v>FG</v>
      </c>
      <c r="I2368" s="27" t="str">
        <f>VLOOKUP($C2368,Carpetas!$C$5:$M$2666,3,FALSE)</f>
        <v>Etimex</v>
      </c>
      <c r="J2368" s="47">
        <f t="shared" si="168"/>
        <v>46191</v>
      </c>
      <c r="K2368" s="72" t="str">
        <f>VLOOKUP($C2368,Carpetas!$C$5:$M$2666,5,FALSE)</f>
        <v>Rio Branco</v>
      </c>
      <c r="L2368" s="72" t="str">
        <f>VLOOKUP($C2368,Carpetas!$C$5:$M$2666,4,FALSE)</f>
        <v>Banana</v>
      </c>
      <c r="M2368" s="48">
        <f t="shared" si="167"/>
        <v>46192</v>
      </c>
      <c r="N2368" s="26">
        <f t="shared" si="165"/>
        <v>3</v>
      </c>
      <c r="O2368" s="27">
        <v>1008</v>
      </c>
      <c r="P2368" s="27">
        <v>1008</v>
      </c>
      <c r="Q2368" s="27">
        <v>28</v>
      </c>
      <c r="R2368" s="27">
        <v>25</v>
      </c>
      <c r="S2368" s="27" t="s">
        <v>2661</v>
      </c>
      <c r="T2368" s="27"/>
      <c r="U2368" s="27">
        <v>1600</v>
      </c>
      <c r="V2368" s="27" t="s">
        <v>1430</v>
      </c>
      <c r="W2368" s="27" t="s">
        <v>5449</v>
      </c>
      <c r="X2368" s="128"/>
      <c r="Y2368" s="73" t="e">
        <f>VLOOKUP(X2368,Choferes!$B$3:C452,2,FALSE)</f>
        <v>#N/A</v>
      </c>
      <c r="Z2368" s="73" t="s">
        <v>6068</v>
      </c>
    </row>
    <row r="2369" spans="1:26" hidden="1" x14ac:dyDescent="0.25">
      <c r="A2369" s="222">
        <v>23</v>
      </c>
      <c r="B2369" s="71" t="s">
        <v>29</v>
      </c>
      <c r="C2369" s="39" t="s">
        <v>6029</v>
      </c>
      <c r="D2369" s="106" t="s">
        <v>110</v>
      </c>
      <c r="E2369" s="47">
        <v>46189</v>
      </c>
      <c r="F2369" s="31" t="str">
        <f>VLOOKUP($C2369,Carpetas!$C$5:$M$2666,2,FALSE)</f>
        <v>BRB053/26</v>
      </c>
      <c r="G2369" s="23">
        <f>VLOOKUP($C2369,Carpetas!$C$5:$M$2666,10,FALSE)</f>
        <v>1560434</v>
      </c>
      <c r="H2369" s="27" t="str">
        <f>VLOOKUP($C2369,Carpetas!$C$5:$M$2666,6,FALSE)</f>
        <v>FG</v>
      </c>
      <c r="I2369" s="27" t="str">
        <f>VLOOKUP($C2369,Carpetas!$C$5:$M$2666,3,FALSE)</f>
        <v>Etimex</v>
      </c>
      <c r="J2369" s="47">
        <f t="shared" si="168"/>
        <v>46191</v>
      </c>
      <c r="K2369" s="72" t="str">
        <f>VLOOKUP($C2369,Carpetas!$C$5:$M$2666,5,FALSE)</f>
        <v>Rio Branco</v>
      </c>
      <c r="L2369" s="72" t="str">
        <f>VLOOKUP($C2369,Carpetas!$C$5:$M$2666,4,FALSE)</f>
        <v>Banana</v>
      </c>
      <c r="M2369" s="48">
        <f t="shared" si="167"/>
        <v>46192</v>
      </c>
      <c r="N2369" s="26">
        <f t="shared" si="165"/>
        <v>3</v>
      </c>
      <c r="O2369" s="27">
        <v>1008</v>
      </c>
      <c r="P2369" s="27">
        <v>1009</v>
      </c>
      <c r="Q2369" s="27">
        <v>28</v>
      </c>
      <c r="R2369" s="27">
        <v>25.5</v>
      </c>
      <c r="S2369" s="27" t="s">
        <v>1922</v>
      </c>
      <c r="T2369" s="27"/>
      <c r="U2369" s="27">
        <v>1604</v>
      </c>
      <c r="V2369" s="27" t="s">
        <v>3669</v>
      </c>
      <c r="W2369" s="27" t="s">
        <v>912</v>
      </c>
      <c r="X2369" s="128"/>
      <c r="Y2369" s="73" t="e">
        <f>VLOOKUP(X2369,Choferes!$B$3:C453,2,FALSE)</f>
        <v>#N/A</v>
      </c>
      <c r="Z2369" s="73" t="s">
        <v>6069</v>
      </c>
    </row>
    <row r="2370" spans="1:26" ht="30" hidden="1" x14ac:dyDescent="0.25">
      <c r="A2370" s="222">
        <v>23</v>
      </c>
      <c r="B2370" s="71" t="s">
        <v>29</v>
      </c>
      <c r="C2370" s="39" t="s">
        <v>6070</v>
      </c>
      <c r="D2370" s="106" t="s">
        <v>5507</v>
      </c>
      <c r="E2370" s="47">
        <v>46189</v>
      </c>
      <c r="F2370" s="31" t="str">
        <f>VLOOKUP($C2370,Carpetas!$C$5:$M$2666,2,FALSE)</f>
        <v>BRB054/26</v>
      </c>
      <c r="G2370" s="23" t="str">
        <f>VLOOKUP($C2370,Carpetas!$C$5:$M$2666,10,FALSE)</f>
        <v>156,09,31</v>
      </c>
      <c r="H2370" s="27" t="str">
        <f>VLOOKUP($C2370,Carpetas!$C$5:$M$2666,6,FALSE)</f>
        <v>Amaro</v>
      </c>
      <c r="I2370" s="27" t="str">
        <f>VLOOKUP($C2370,Carpetas!$C$5:$M$2666,3,FALSE)</f>
        <v>Etimex</v>
      </c>
      <c r="J2370" s="47">
        <f t="shared" si="168"/>
        <v>46191</v>
      </c>
      <c r="K2370" s="72" t="str">
        <f>VLOOKUP($C2370,Carpetas!$C$5:$M$2666,5,FALSE)</f>
        <v>Rio Branco</v>
      </c>
      <c r="L2370" s="72" t="str">
        <f>VLOOKUP($C2370,Carpetas!$C$5:$M$2666,4,FALSE)</f>
        <v>Banana</v>
      </c>
      <c r="M2370" s="48">
        <f t="shared" si="167"/>
        <v>46192</v>
      </c>
      <c r="N2370" s="26">
        <f t="shared" si="165"/>
        <v>3</v>
      </c>
      <c r="O2370" s="27">
        <v>1008</v>
      </c>
      <c r="P2370" s="27">
        <v>1008</v>
      </c>
      <c r="Q2370" s="27">
        <v>28</v>
      </c>
      <c r="R2370" s="27">
        <v>25.5</v>
      </c>
      <c r="S2370" s="27" t="s">
        <v>6071</v>
      </c>
      <c r="T2370" s="27"/>
      <c r="U2370" s="27">
        <v>28822</v>
      </c>
      <c r="V2370" s="27" t="s">
        <v>5682</v>
      </c>
      <c r="W2370" s="27" t="s">
        <v>3225</v>
      </c>
      <c r="X2370" s="128"/>
      <c r="Y2370" s="73" t="e">
        <f>VLOOKUP(X2370,Choferes!$B$3:C454,2,FALSE)</f>
        <v>#N/A</v>
      </c>
      <c r="Z2370" s="73" t="s">
        <v>6072</v>
      </c>
    </row>
    <row r="2371" spans="1:26" hidden="1" x14ac:dyDescent="0.25">
      <c r="A2371" s="222">
        <v>23</v>
      </c>
      <c r="B2371" s="71" t="s">
        <v>29</v>
      </c>
      <c r="C2371" s="39" t="s">
        <v>6073</v>
      </c>
      <c r="D2371" s="106" t="s">
        <v>2202</v>
      </c>
      <c r="E2371" s="47">
        <v>46190</v>
      </c>
      <c r="F2371" s="31" t="str">
        <f>VLOOKUP($C2371,Carpetas!$C$5:$M$2666,2,FALSE)</f>
        <v>BRB055/26</v>
      </c>
      <c r="G2371" s="23">
        <f>VLOOKUP($C2371,Carpetas!$C$5:$M$2666,10,FALSE)</f>
        <v>1560961</v>
      </c>
      <c r="H2371" s="27" t="str">
        <f>VLOOKUP($C2371,Carpetas!$C$5:$M$2666,6,FALSE)</f>
        <v>AXT</v>
      </c>
      <c r="I2371" s="27" t="str">
        <f>VLOOKUP($C2371,Carpetas!$C$5:$M$2666,3,FALSE)</f>
        <v>A&amp;A</v>
      </c>
      <c r="J2371" s="47">
        <f t="shared" si="168"/>
        <v>46192</v>
      </c>
      <c r="K2371" s="72" t="str">
        <f>VLOOKUP($C2371,Carpetas!$C$5:$M$2666,5,FALSE)</f>
        <v>Chuy</v>
      </c>
      <c r="L2371" s="72" t="str">
        <f>VLOOKUP($C2371,Carpetas!$C$5:$M$2666,4,FALSE)</f>
        <v>Banana</v>
      </c>
      <c r="M2371" s="48">
        <f t="shared" si="167"/>
        <v>46193</v>
      </c>
      <c r="N2371" s="26">
        <f t="shared" si="165"/>
        <v>3</v>
      </c>
      <c r="O2371" s="27">
        <v>936</v>
      </c>
      <c r="P2371" s="27">
        <v>937</v>
      </c>
      <c r="Q2371" s="27">
        <v>26</v>
      </c>
      <c r="R2371" s="27">
        <v>24.8</v>
      </c>
      <c r="S2371" s="27" t="s">
        <v>5345</v>
      </c>
      <c r="T2371" s="27"/>
      <c r="U2371" s="27"/>
      <c r="V2371" s="27"/>
      <c r="W2371" s="27"/>
      <c r="X2371" s="128"/>
      <c r="Y2371" s="73" t="e">
        <f>VLOOKUP(X2371,Choferes!$B$3:C455,2,FALSE)</f>
        <v>#N/A</v>
      </c>
      <c r="Z2371" s="73" t="s">
        <v>6074</v>
      </c>
    </row>
    <row r="2372" spans="1:26" hidden="1" x14ac:dyDescent="0.25">
      <c r="A2372" s="222">
        <v>23</v>
      </c>
      <c r="B2372" s="71" t="s">
        <v>29</v>
      </c>
      <c r="C2372" s="39" t="s">
        <v>5982</v>
      </c>
      <c r="D2372" s="106" t="s">
        <v>6075</v>
      </c>
      <c r="E2372" s="47">
        <v>46191</v>
      </c>
      <c r="F2372" s="31" t="str">
        <f>VLOOKUP($C2372,Carpetas!$C$5:$M$2666,2,FALSE)</f>
        <v>BRB051/26</v>
      </c>
      <c r="G2372" s="23">
        <f>VLOOKUP($C2372,Carpetas!$C$5:$M$2666,10,FALSE)</f>
        <v>1559849</v>
      </c>
      <c r="H2372" s="27" t="str">
        <f>VLOOKUP($C2372,Carpetas!$C$5:$M$2666,6,FALSE)</f>
        <v>Chabat</v>
      </c>
      <c r="I2372" s="27" t="str">
        <f>VLOOKUP($C2372,Carpetas!$C$5:$M$2666,3,FALSE)</f>
        <v>Etimex</v>
      </c>
      <c r="J2372" s="47">
        <f t="shared" si="168"/>
        <v>46193</v>
      </c>
      <c r="K2372" s="72" t="str">
        <f>VLOOKUP($C2372,Carpetas!$C$5:$M$2666,5,FALSE)</f>
        <v>Rio Branco</v>
      </c>
      <c r="L2372" s="72" t="str">
        <f>VLOOKUP($C2372,Carpetas!$C$5:$M$2666,4,FALSE)</f>
        <v>Banana</v>
      </c>
      <c r="M2372" s="48">
        <f t="shared" si="167"/>
        <v>46194</v>
      </c>
      <c r="N2372" s="26">
        <f t="shared" si="165"/>
        <v>3</v>
      </c>
      <c r="O2372" s="27">
        <v>1008</v>
      </c>
      <c r="P2372" s="27">
        <v>972</v>
      </c>
      <c r="Q2372" s="27">
        <v>27</v>
      </c>
      <c r="R2372" s="27">
        <v>26</v>
      </c>
      <c r="S2372" s="27" t="s">
        <v>6076</v>
      </c>
      <c r="T2372" s="27"/>
      <c r="U2372" s="27">
        <v>2578</v>
      </c>
      <c r="V2372" s="27" t="s">
        <v>5240</v>
      </c>
      <c r="W2372" s="27" t="s">
        <v>4635</v>
      </c>
      <c r="X2372" s="128"/>
      <c r="Y2372" s="73" t="e">
        <f>VLOOKUP(X2372,Choferes!$B$3:C461,2,FALSE)</f>
        <v>#N/A</v>
      </c>
      <c r="Z2372" s="73" t="s">
        <v>6077</v>
      </c>
    </row>
    <row r="2373" spans="1:26" hidden="1" x14ac:dyDescent="0.25">
      <c r="A2373" s="222">
        <v>23</v>
      </c>
      <c r="B2373" s="71" t="s">
        <v>29</v>
      </c>
      <c r="C2373" s="39" t="s">
        <v>6029</v>
      </c>
      <c r="D2373" s="106" t="s">
        <v>2202</v>
      </c>
      <c r="E2373" s="47">
        <v>46192</v>
      </c>
      <c r="F2373" s="31" t="str">
        <f>VLOOKUP($C2373,Carpetas!$C$5:$M$2666,2,FALSE)</f>
        <v>BRB053/26</v>
      </c>
      <c r="G2373" s="23">
        <f>VLOOKUP($C2373,Carpetas!$C$5:$M$2666,10,FALSE)</f>
        <v>1560434</v>
      </c>
      <c r="H2373" s="27" t="str">
        <f>VLOOKUP($C2373,Carpetas!$C$5:$M$2666,6,FALSE)</f>
        <v>FG</v>
      </c>
      <c r="I2373" s="27" t="str">
        <f>VLOOKUP($C2373,Carpetas!$C$5:$M$2666,3,FALSE)</f>
        <v>Etimex</v>
      </c>
      <c r="J2373" s="47">
        <v>46195</v>
      </c>
      <c r="K2373" s="72" t="str">
        <f>VLOOKUP($C2373,Carpetas!$C$5:$M$2666,5,FALSE)</f>
        <v>Rio Branco</v>
      </c>
      <c r="L2373" s="72" t="str">
        <f>VLOOKUP($C2373,Carpetas!$C$5:$M$2666,4,FALSE)</f>
        <v>Banana</v>
      </c>
      <c r="M2373" s="48">
        <f t="shared" si="167"/>
        <v>46196</v>
      </c>
      <c r="N2373" s="26">
        <f t="shared" si="165"/>
        <v>4</v>
      </c>
      <c r="O2373" s="27">
        <v>1008</v>
      </c>
      <c r="P2373" s="27">
        <v>1008</v>
      </c>
      <c r="Q2373" s="27">
        <v>28</v>
      </c>
      <c r="R2373" s="27">
        <v>26</v>
      </c>
      <c r="S2373" s="27" t="s">
        <v>5352</v>
      </c>
      <c r="T2373" s="27"/>
      <c r="U2373" s="27">
        <v>1608</v>
      </c>
      <c r="V2373" s="27" t="s">
        <v>1042</v>
      </c>
      <c r="W2373" s="27" t="s">
        <v>1669</v>
      </c>
      <c r="X2373" s="128"/>
      <c r="Y2373" s="73" t="e">
        <f>VLOOKUP(X2373,Choferes!$B$3:C456,2,FALSE)</f>
        <v>#N/A</v>
      </c>
      <c r="Z2373" s="73" t="s">
        <v>6078</v>
      </c>
    </row>
    <row r="2374" spans="1:26" hidden="1" x14ac:dyDescent="0.25">
      <c r="A2374" s="222">
        <v>23</v>
      </c>
      <c r="B2374" s="71" t="s">
        <v>29</v>
      </c>
      <c r="C2374" s="39" t="s">
        <v>6079</v>
      </c>
      <c r="D2374" s="106" t="s">
        <v>2474</v>
      </c>
      <c r="E2374" s="47">
        <v>46192</v>
      </c>
      <c r="F2374" s="31" t="str">
        <f>VLOOKUP($C2374,Carpetas!$C$5:$M$2666,2,FALSE)</f>
        <v>BRB056/26</v>
      </c>
      <c r="G2374" s="23">
        <f>VLOOKUP($C2374,Carpetas!$C$5:$M$2666,10,FALSE)</f>
        <v>1560929</v>
      </c>
      <c r="H2374" s="27" t="str">
        <f>VLOOKUP($C2374,Carpetas!$C$5:$M$2666,6,FALSE)</f>
        <v>FG</v>
      </c>
      <c r="I2374" s="27" t="str">
        <f>VLOOKUP($C2374,Carpetas!$C$5:$M$2666,3,FALSE)</f>
        <v>Etimex</v>
      </c>
      <c r="J2374" s="47">
        <v>46195</v>
      </c>
      <c r="K2374" s="72" t="str">
        <f>VLOOKUP($C2374,Carpetas!$C$5:$M$2666,5,FALSE)</f>
        <v>Rio Branco</v>
      </c>
      <c r="L2374" s="72" t="str">
        <f>VLOOKUP($C2374,Carpetas!$C$5:$M$2666,4,FALSE)</f>
        <v>Banana</v>
      </c>
      <c r="M2374" s="48">
        <f t="shared" si="167"/>
        <v>46196</v>
      </c>
      <c r="N2374" s="26">
        <f t="shared" si="165"/>
        <v>4</v>
      </c>
      <c r="O2374" s="27">
        <v>1008</v>
      </c>
      <c r="P2374" s="27">
        <v>1008</v>
      </c>
      <c r="Q2374" s="27">
        <v>28</v>
      </c>
      <c r="R2374" s="27">
        <v>26</v>
      </c>
      <c r="S2374" s="27" t="s">
        <v>3974</v>
      </c>
      <c r="T2374" s="27"/>
      <c r="U2374" s="27">
        <v>1609</v>
      </c>
      <c r="V2374" s="27" t="s">
        <v>1626</v>
      </c>
      <c r="W2374" s="27" t="s">
        <v>1736</v>
      </c>
      <c r="X2374" s="128"/>
      <c r="Y2374" s="73" t="e">
        <f>VLOOKUP(X2374,Choferes!$B$3:C457,2,FALSE)</f>
        <v>#N/A</v>
      </c>
      <c r="Z2374" s="73" t="s">
        <v>6078</v>
      </c>
    </row>
    <row r="2375" spans="1:26" hidden="1" x14ac:dyDescent="0.25">
      <c r="A2375" s="222">
        <v>23</v>
      </c>
      <c r="B2375" s="71" t="s">
        <v>29</v>
      </c>
      <c r="C2375" s="39" t="s">
        <v>6029</v>
      </c>
      <c r="D2375" s="106" t="s">
        <v>5746</v>
      </c>
      <c r="E2375" s="47">
        <v>46192</v>
      </c>
      <c r="F2375" s="31" t="str">
        <f>VLOOKUP($C2375,Carpetas!$C$5:$M$2666,2,FALSE)</f>
        <v>BRB053/26</v>
      </c>
      <c r="G2375" s="23">
        <f>VLOOKUP($C2375,Carpetas!$C$5:$M$2666,10,FALSE)</f>
        <v>1560434</v>
      </c>
      <c r="H2375" s="27" t="str">
        <f>VLOOKUP($C2375,Carpetas!$C$5:$M$2666,6,FALSE)</f>
        <v>FG</v>
      </c>
      <c r="I2375" s="27" t="str">
        <f>VLOOKUP($C2375,Carpetas!$C$5:$M$2666,3,FALSE)</f>
        <v>Etimex</v>
      </c>
      <c r="J2375" s="47">
        <v>46195</v>
      </c>
      <c r="K2375" s="72" t="str">
        <f>VLOOKUP($C2375,Carpetas!$C$5:$M$2666,5,FALSE)</f>
        <v>Rio Branco</v>
      </c>
      <c r="L2375" s="72" t="str">
        <f>VLOOKUP($C2375,Carpetas!$C$5:$M$2666,4,FALSE)</f>
        <v>Banana</v>
      </c>
      <c r="M2375" s="48">
        <f t="shared" si="167"/>
        <v>46196</v>
      </c>
      <c r="N2375" s="26">
        <f t="shared" si="165"/>
        <v>4</v>
      </c>
      <c r="O2375" s="27">
        <v>1008</v>
      </c>
      <c r="P2375" s="27">
        <v>1008</v>
      </c>
      <c r="Q2375" s="27">
        <v>28</v>
      </c>
      <c r="R2375" s="27">
        <v>26</v>
      </c>
      <c r="S2375" s="27" t="s">
        <v>6080</v>
      </c>
      <c r="T2375" s="27"/>
      <c r="U2375" s="27">
        <v>1605</v>
      </c>
      <c r="V2375" s="27" t="s">
        <v>3572</v>
      </c>
      <c r="W2375" s="27" t="s">
        <v>3412</v>
      </c>
      <c r="X2375" s="128"/>
      <c r="Y2375" s="73" t="e">
        <f>VLOOKUP(X2375,Choferes!$B$3:C458,2,FALSE)</f>
        <v>#N/A</v>
      </c>
      <c r="Z2375" s="73" t="s">
        <v>6078</v>
      </c>
    </row>
    <row r="2376" spans="1:26" hidden="1" x14ac:dyDescent="0.25">
      <c r="A2376" s="222">
        <v>23</v>
      </c>
      <c r="B2376" s="71" t="s">
        <v>29</v>
      </c>
      <c r="C2376" s="39" t="s">
        <v>6070</v>
      </c>
      <c r="D2376" s="106" t="s">
        <v>6011</v>
      </c>
      <c r="E2376" s="47">
        <v>46192</v>
      </c>
      <c r="F2376" s="31" t="str">
        <f>VLOOKUP($C2376,Carpetas!$C$5:$M$2666,2,FALSE)</f>
        <v>BRB054/26</v>
      </c>
      <c r="G2376" s="23" t="str">
        <f>VLOOKUP($C2376,Carpetas!$C$5:$M$2666,10,FALSE)</f>
        <v>156,09,31</v>
      </c>
      <c r="H2376" s="27" t="str">
        <f>VLOOKUP($C2376,Carpetas!$C$5:$M$2666,6,FALSE)</f>
        <v>Amaro</v>
      </c>
      <c r="I2376" s="27" t="str">
        <f>VLOOKUP($C2376,Carpetas!$C$5:$M$2666,3,FALSE)</f>
        <v>Etimex</v>
      </c>
      <c r="J2376" s="47">
        <v>46195</v>
      </c>
      <c r="K2376" s="72" t="str">
        <f>VLOOKUP($C2376,Carpetas!$C$5:$M$2666,5,FALSE)</f>
        <v>Rio Branco</v>
      </c>
      <c r="L2376" s="72" t="str">
        <f>VLOOKUP($C2376,Carpetas!$C$5:$M$2666,4,FALSE)</f>
        <v>Banana</v>
      </c>
      <c r="M2376" s="48">
        <f t="shared" si="167"/>
        <v>46196</v>
      </c>
      <c r="N2376" s="26">
        <f t="shared" si="165"/>
        <v>4</v>
      </c>
      <c r="O2376" s="27">
        <v>1008</v>
      </c>
      <c r="P2376" s="27">
        <v>1008</v>
      </c>
      <c r="Q2376" s="27">
        <v>28</v>
      </c>
      <c r="R2376" s="27">
        <v>26</v>
      </c>
      <c r="S2376" s="27" t="s">
        <v>6081</v>
      </c>
      <c r="T2376" s="27"/>
      <c r="U2376" s="27">
        <v>28830</v>
      </c>
      <c r="V2376" s="27" t="s">
        <v>6082</v>
      </c>
      <c r="W2376" s="27" t="s">
        <v>6083</v>
      </c>
      <c r="X2376" s="128"/>
      <c r="Y2376" s="73" t="e">
        <f>VLOOKUP(X2376,Choferes!$B$3:C459,2,FALSE)</f>
        <v>#N/A</v>
      </c>
      <c r="Z2376" s="73" t="s">
        <v>6078</v>
      </c>
    </row>
    <row r="2377" spans="1:26" ht="27.75" hidden="1" customHeight="1" x14ac:dyDescent="0.25">
      <c r="A2377" s="222">
        <v>23</v>
      </c>
      <c r="B2377" s="71" t="s">
        <v>29</v>
      </c>
      <c r="C2377" s="39" t="s">
        <v>6029</v>
      </c>
      <c r="D2377" s="106" t="s">
        <v>3124</v>
      </c>
      <c r="E2377" s="47">
        <v>46193</v>
      </c>
      <c r="F2377" s="31" t="str">
        <f>VLOOKUP($C2377,Carpetas!$C$5:$M$2666,2,FALSE)</f>
        <v>BRB053/26</v>
      </c>
      <c r="G2377" s="23">
        <f>VLOOKUP($C2377,Carpetas!$C$5:$M$2666,10,FALSE)</f>
        <v>1560434</v>
      </c>
      <c r="H2377" s="27" t="str">
        <f>VLOOKUP($C2377,Carpetas!$C$5:$M$2666,6,FALSE)</f>
        <v>FG</v>
      </c>
      <c r="I2377" s="27" t="str">
        <f>VLOOKUP($C2377,Carpetas!$C$5:$M$2666,3,FALSE)</f>
        <v>Etimex</v>
      </c>
      <c r="J2377" s="47">
        <v>46195</v>
      </c>
      <c r="K2377" s="72" t="str">
        <f>VLOOKUP($C2377,Carpetas!$C$5:$M$2666,5,FALSE)</f>
        <v>Rio Branco</v>
      </c>
      <c r="L2377" s="235" t="str">
        <f>VLOOKUP($C2377,Carpetas!$C$5:$M$2666,4,FALSE)</f>
        <v>Banana</v>
      </c>
      <c r="M2377" s="48">
        <f t="shared" si="167"/>
        <v>46196</v>
      </c>
      <c r="N2377" s="26">
        <f t="shared" si="165"/>
        <v>3</v>
      </c>
      <c r="O2377" s="27">
        <v>1008</v>
      </c>
      <c r="P2377" s="27">
        <v>1008</v>
      </c>
      <c r="Q2377" s="27">
        <v>28</v>
      </c>
      <c r="R2377" s="27">
        <v>26</v>
      </c>
      <c r="S2377" s="27" t="s">
        <v>6084</v>
      </c>
      <c r="T2377" s="27"/>
      <c r="U2377" s="27">
        <v>1607</v>
      </c>
      <c r="V2377" s="27" t="s">
        <v>1735</v>
      </c>
      <c r="W2377" s="27" t="s">
        <v>1681</v>
      </c>
      <c r="X2377" s="128"/>
      <c r="Y2377" s="73" t="e">
        <f>VLOOKUP(X2377,Choferes!$B$3:C460,2,FALSE)</f>
        <v>#N/A</v>
      </c>
      <c r="Z2377" s="73" t="s">
        <v>6078</v>
      </c>
    </row>
    <row r="2378" spans="1:26" ht="18.75" hidden="1" customHeight="1" x14ac:dyDescent="0.25">
      <c r="A2378" s="222">
        <v>23</v>
      </c>
      <c r="B2378" s="71" t="s">
        <v>29</v>
      </c>
      <c r="C2378" s="39" t="s">
        <v>6085</v>
      </c>
      <c r="D2378" s="106" t="s">
        <v>6075</v>
      </c>
      <c r="E2378" s="47">
        <v>46193</v>
      </c>
      <c r="F2378" s="31" t="str">
        <f>VLOOKUP($C2378,Carpetas!$C$5:$M$2666,2,FALSE)</f>
        <v>BRB057/26</v>
      </c>
      <c r="G2378" s="23">
        <f>VLOOKUP($C2378,Carpetas!$C$5:$M$2666,10,FALSE)</f>
        <v>1560930</v>
      </c>
      <c r="H2378" s="27" t="str">
        <f>VLOOKUP($C2378,Carpetas!$C$5:$M$2666,6,FALSE)</f>
        <v>Chabat</v>
      </c>
      <c r="I2378" s="27" t="str">
        <f>VLOOKUP($C2378,Carpetas!$C$5:$M$2666,3,FALSE)</f>
        <v>Etimex</v>
      </c>
      <c r="J2378" s="47">
        <v>46195</v>
      </c>
      <c r="K2378" s="72" t="str">
        <f>VLOOKUP($C2378,Carpetas!$C$5:$M$2666,5,FALSE)</f>
        <v>Rio Branco</v>
      </c>
      <c r="L2378" s="229" t="str">
        <f>VLOOKUP($C2378,Carpetas!$C$5:$M$2666,4,FALSE)</f>
        <v>Banana</v>
      </c>
      <c r="M2378" s="234">
        <f t="shared" si="167"/>
        <v>46196</v>
      </c>
      <c r="N2378" s="26">
        <f t="shared" si="165"/>
        <v>3</v>
      </c>
      <c r="O2378" s="27">
        <v>1008</v>
      </c>
      <c r="P2378" s="27">
        <v>972</v>
      </c>
      <c r="Q2378" s="27">
        <v>27</v>
      </c>
      <c r="R2378" s="27">
        <v>26</v>
      </c>
      <c r="S2378" s="27" t="s">
        <v>6086</v>
      </c>
      <c r="T2378" s="27"/>
      <c r="U2378" s="27">
        <v>2580</v>
      </c>
      <c r="V2378" s="27" t="s">
        <v>4276</v>
      </c>
      <c r="W2378" s="27" t="s">
        <v>4283</v>
      </c>
      <c r="X2378" s="128"/>
      <c r="Y2378" s="73" t="e">
        <f>VLOOKUP(X2378,Choferes!$B$3:C446,2,FALSE)</f>
        <v>#N/A</v>
      </c>
      <c r="Z2378" s="73" t="s">
        <v>6087</v>
      </c>
    </row>
    <row r="2379" spans="1:26" hidden="1" x14ac:dyDescent="0.25">
      <c r="A2379" s="222">
        <v>23</v>
      </c>
      <c r="B2379" s="71" t="s">
        <v>29</v>
      </c>
      <c r="C2379" s="39" t="s">
        <v>6088</v>
      </c>
      <c r="D2379" s="106" t="s">
        <v>38</v>
      </c>
      <c r="E2379" s="47">
        <v>46194</v>
      </c>
      <c r="F2379" s="31" t="str">
        <f>VLOOKUP($C2379,Carpetas!$C$5:$M$2666,2,FALSE)</f>
        <v>BRE042/26</v>
      </c>
      <c r="G2379" s="23">
        <f>VLOOKUP($C2379,Carpetas!$C$5:$M$2666,10,FALSE)</f>
        <v>1561237</v>
      </c>
      <c r="H2379" s="27" t="str">
        <f>VLOOKUP($C2379,Carpetas!$C$5:$M$2666,6,FALSE)</f>
        <v xml:space="preserve">Silvio </v>
      </c>
      <c r="I2379" s="27" t="str">
        <f>VLOOKUP($C2379,Carpetas!$C$5:$M$2666,3,FALSE)</f>
        <v>Etimex</v>
      </c>
      <c r="J2379" s="47">
        <v>46197</v>
      </c>
      <c r="K2379" s="232" t="str">
        <f>VLOOKUP($C2379,Carpetas!$C$5:$M$2666,5,FALSE)</f>
        <v>Rio Branco</v>
      </c>
      <c r="L2379" s="230" t="str">
        <f>VLOOKUP($C2379,Carpetas!$C$5:$M$2666,4,FALSE)</f>
        <v>Choclo</v>
      </c>
      <c r="M2379" s="234">
        <f t="shared" si="167"/>
        <v>46198</v>
      </c>
      <c r="N2379" s="26">
        <f t="shared" si="165"/>
        <v>4</v>
      </c>
      <c r="O2379" s="27">
        <v>936</v>
      </c>
      <c r="P2379" s="27">
        <v>936</v>
      </c>
      <c r="Q2379" s="27">
        <v>26</v>
      </c>
      <c r="R2379" s="27"/>
      <c r="S2379" s="27"/>
      <c r="T2379" s="27"/>
      <c r="U2379" s="27">
        <v>6006</v>
      </c>
      <c r="V2379" s="27" t="s">
        <v>6089</v>
      </c>
      <c r="W2379" s="27" t="s">
        <v>6090</v>
      </c>
      <c r="X2379" s="128"/>
      <c r="Y2379" s="73" t="e">
        <f>VLOOKUP(X2379,Choferes!$B$3:C439,2,FALSE)</f>
        <v>#N/A</v>
      </c>
      <c r="Z2379" s="73" t="s">
        <v>6091</v>
      </c>
    </row>
    <row r="2380" spans="1:26" hidden="1" x14ac:dyDescent="0.25">
      <c r="A2380" s="222">
        <v>24</v>
      </c>
      <c r="B2380" s="71" t="s">
        <v>29</v>
      </c>
      <c r="C2380" s="39" t="s">
        <v>6073</v>
      </c>
      <c r="D2380" s="106" t="s">
        <v>2202</v>
      </c>
      <c r="E2380" s="47">
        <v>46196</v>
      </c>
      <c r="F2380" s="31" t="str">
        <f>VLOOKUP($C2380,Carpetas!$C$5:$M$2666,2,FALSE)</f>
        <v>BRB055/26</v>
      </c>
      <c r="G2380" s="23">
        <f>VLOOKUP($C2380,Carpetas!$C$5:$M$2666,10,FALSE)</f>
        <v>1560961</v>
      </c>
      <c r="H2380" s="27" t="str">
        <f>VLOOKUP($C2380,Carpetas!$C$5:$M$2666,6,FALSE)</f>
        <v>AXT</v>
      </c>
      <c r="I2380" s="27" t="str">
        <f>VLOOKUP($C2380,Carpetas!$C$5:$M$2666,3,FALSE)</f>
        <v>A&amp;A</v>
      </c>
      <c r="J2380" s="47">
        <v>46197</v>
      </c>
      <c r="K2380" s="232" t="str">
        <f>VLOOKUP($C2380,Carpetas!$C$5:$M$2666,5,FALSE)</f>
        <v>Chuy</v>
      </c>
      <c r="L2380" s="230" t="str">
        <f>VLOOKUP($C2380,Carpetas!$C$5:$M$2666,4,FALSE)</f>
        <v>Banana</v>
      </c>
      <c r="M2380" s="234">
        <f t="shared" si="167"/>
        <v>46198</v>
      </c>
      <c r="N2380" s="26">
        <f t="shared" si="165"/>
        <v>2</v>
      </c>
      <c r="O2380" s="27">
        <v>936</v>
      </c>
      <c r="P2380" s="27">
        <v>937</v>
      </c>
      <c r="Q2380" s="27">
        <v>26</v>
      </c>
      <c r="R2380" s="27">
        <v>25</v>
      </c>
      <c r="S2380" s="27" t="s">
        <v>5357</v>
      </c>
      <c r="T2380" s="27"/>
      <c r="U2380" s="27"/>
      <c r="V2380" s="27" t="s">
        <v>6092</v>
      </c>
      <c r="W2380" s="27" t="s">
        <v>3161</v>
      </c>
      <c r="X2380" s="128"/>
      <c r="Y2380" s="73" t="e">
        <f>VLOOKUP(X2380,Choferes!$B$3:C455,2,FALSE)</f>
        <v>#N/A</v>
      </c>
      <c r="Z2380" s="73" t="s">
        <v>6093</v>
      </c>
    </row>
    <row r="2381" spans="1:26" hidden="1" x14ac:dyDescent="0.25">
      <c r="A2381" s="222">
        <v>24</v>
      </c>
      <c r="B2381" s="71" t="s">
        <v>29</v>
      </c>
      <c r="C2381" s="39" t="s">
        <v>6079</v>
      </c>
      <c r="D2381" s="106" t="s">
        <v>2474</v>
      </c>
      <c r="E2381" s="47">
        <v>46196</v>
      </c>
      <c r="F2381" s="31" t="str">
        <f>VLOOKUP($C2381,Carpetas!$C$5:$M$2666,2,FALSE)</f>
        <v>BRB056/26</v>
      </c>
      <c r="G2381" s="23">
        <f>VLOOKUP($C2381,Carpetas!$C$5:$M$2666,10,FALSE)</f>
        <v>1560929</v>
      </c>
      <c r="H2381" s="27" t="str">
        <f>VLOOKUP($C2381,Carpetas!$C$5:$M$2666,6,FALSE)</f>
        <v>FG</v>
      </c>
      <c r="I2381" s="27" t="str">
        <f>VLOOKUP($C2381,Carpetas!$C$5:$M$2666,3,FALSE)</f>
        <v>Etimex</v>
      </c>
      <c r="J2381" s="47">
        <v>46197</v>
      </c>
      <c r="K2381" s="232" t="str">
        <f>VLOOKUP($C2381,Carpetas!$C$5:$M$2666,5,FALSE)</f>
        <v>Rio Branco</v>
      </c>
      <c r="L2381" s="230" t="str">
        <f>VLOOKUP($C2381,Carpetas!$C$5:$M$2666,4,FALSE)</f>
        <v>Banana</v>
      </c>
      <c r="M2381" s="234">
        <f t="shared" si="167"/>
        <v>46198</v>
      </c>
      <c r="N2381" s="26">
        <f t="shared" si="165"/>
        <v>2</v>
      </c>
      <c r="O2381" s="27">
        <v>1008</v>
      </c>
      <c r="P2381" s="27">
        <v>1008</v>
      </c>
      <c r="Q2381" s="27">
        <v>28</v>
      </c>
      <c r="R2381" s="27">
        <v>26</v>
      </c>
      <c r="S2381" s="27" t="s">
        <v>3980</v>
      </c>
      <c r="T2381" s="27"/>
      <c r="U2381" s="27">
        <v>1611</v>
      </c>
      <c r="V2381" s="27" t="s">
        <v>3411</v>
      </c>
      <c r="W2381" s="27" t="s">
        <v>5398</v>
      </c>
      <c r="X2381" s="128"/>
      <c r="Y2381" s="73" t="e">
        <f>VLOOKUP(X2381,Choferes!$B$3:C446,2,FALSE)</f>
        <v>#N/A</v>
      </c>
      <c r="Z2381" s="73" t="s">
        <v>6094</v>
      </c>
    </row>
    <row r="2382" spans="1:26" hidden="1" x14ac:dyDescent="0.25">
      <c r="A2382" s="222">
        <v>24</v>
      </c>
      <c r="B2382" s="71" t="s">
        <v>29</v>
      </c>
      <c r="C2382" s="39" t="s">
        <v>6095</v>
      </c>
      <c r="D2382" s="106" t="s">
        <v>121</v>
      </c>
      <c r="E2382" s="47">
        <v>46194</v>
      </c>
      <c r="F2382" s="31" t="str">
        <f>VLOOKUP($C2382,Carpetas!$C$5:$M$2666,2,FALSE)</f>
        <v>PYB038-26</v>
      </c>
      <c r="G2382" s="23">
        <f>VLOOKUP($C2382,Carpetas!$C$5:$M$2666,10,FALSE)</f>
        <v>1561223</v>
      </c>
      <c r="H2382" s="27" t="str">
        <f>VLOOKUP($C2382,Carpetas!$C$5:$M$2666,6,FALSE)</f>
        <v>Compass</v>
      </c>
      <c r="I2382" s="27" t="str">
        <f>VLOOKUP($C2382,Carpetas!$C$5:$M$2666,3,FALSE)</f>
        <v>Diego Fernandez</v>
      </c>
      <c r="J2382" s="47">
        <f>E2382+4</f>
        <v>46198</v>
      </c>
      <c r="K2382" s="232" t="str">
        <f>VLOOKUP($C2382,Carpetas!$C$5:$M$2666,5,FALSE)</f>
        <v>Salto</v>
      </c>
      <c r="L2382" s="230" t="str">
        <f>VLOOKUP($C2382,Carpetas!$C$5:$M$2666,4,FALSE)</f>
        <v>Banana</v>
      </c>
      <c r="M2382" s="234">
        <f t="shared" si="167"/>
        <v>46199</v>
      </c>
      <c r="N2382" s="26">
        <f t="shared" si="165"/>
        <v>5</v>
      </c>
      <c r="O2382" s="27">
        <v>980</v>
      </c>
      <c r="P2382" s="27">
        <v>979</v>
      </c>
      <c r="Q2382" s="27">
        <v>28</v>
      </c>
      <c r="R2382" s="27">
        <v>27</v>
      </c>
      <c r="S2382" s="27" t="s">
        <v>6096</v>
      </c>
      <c r="T2382" s="27"/>
      <c r="U2382" s="27"/>
      <c r="V2382" s="27"/>
      <c r="W2382" s="27"/>
      <c r="X2382" s="128"/>
      <c r="Y2382" s="73" t="e">
        <f>VLOOKUP(X2382,Choferes!$B$3:C442,2,FALSE)</f>
        <v>#N/A</v>
      </c>
      <c r="Z2382" s="73" t="s">
        <v>6097</v>
      </c>
    </row>
    <row r="2383" spans="1:26" hidden="1" x14ac:dyDescent="0.25">
      <c r="A2383" s="222">
        <v>24</v>
      </c>
      <c r="B2383" s="71" t="s">
        <v>29</v>
      </c>
      <c r="C2383" s="39" t="s">
        <v>6098</v>
      </c>
      <c r="D2383" s="106" t="s">
        <v>102</v>
      </c>
      <c r="E2383" s="47">
        <v>46196</v>
      </c>
      <c r="F2383" s="31" t="str">
        <f>VLOOKUP($C2383,Carpetas!$C$5:$M$2666,2,FALSE)</f>
        <v>PYB039/26</v>
      </c>
      <c r="G2383" s="23">
        <f>VLOOKUP($C2383,Carpetas!$C$5:$M$2666,10,FALSE)</f>
        <v>1561238</v>
      </c>
      <c r="H2383" s="27" t="str">
        <f>VLOOKUP($C2383,Carpetas!$C$5:$M$2666,6,FALSE)</f>
        <v>G.S.C.S. PARAGUAY TTES.</v>
      </c>
      <c r="I2383" s="27" t="str">
        <f>VLOOKUP($C2383,Carpetas!$C$5:$M$2666,3,FALSE)</f>
        <v>Milciades Sosa</v>
      </c>
      <c r="J2383" s="47">
        <v>46198</v>
      </c>
      <c r="K2383" s="232" t="str">
        <f>VLOOKUP($C2383,Carpetas!$C$5:$M$2666,5,FALSE)</f>
        <v>Salto</v>
      </c>
      <c r="L2383" s="230" t="str">
        <f>VLOOKUP($C2383,Carpetas!$C$5:$M$2666,4,FALSE)</f>
        <v>Banana</v>
      </c>
      <c r="M2383" s="234">
        <f t="shared" si="167"/>
        <v>46199</v>
      </c>
      <c r="N2383" s="26">
        <f t="shared" si="165"/>
        <v>3</v>
      </c>
      <c r="O2383" s="27">
        <v>980</v>
      </c>
      <c r="P2383" s="27">
        <v>980</v>
      </c>
      <c r="Q2383" s="27">
        <v>28</v>
      </c>
      <c r="R2383" s="27">
        <v>27</v>
      </c>
      <c r="S2383" s="27" t="s">
        <v>191</v>
      </c>
      <c r="T2383" s="27"/>
      <c r="U2383" s="27"/>
      <c r="V2383" s="27"/>
      <c r="W2383" s="27"/>
      <c r="X2383" s="128"/>
      <c r="Y2383" s="73" t="e">
        <f>VLOOKUP(X2383,Choferes!$B$3:C443,2,FALSE)</f>
        <v>#N/A</v>
      </c>
      <c r="Z2383" s="73" t="s">
        <v>6099</v>
      </c>
    </row>
    <row r="2384" spans="1:26" hidden="1" x14ac:dyDescent="0.25">
      <c r="A2384" s="222">
        <v>24</v>
      </c>
      <c r="B2384" s="71" t="s">
        <v>29</v>
      </c>
      <c r="C2384" s="39" t="s">
        <v>6079</v>
      </c>
      <c r="D2384" s="106" t="s">
        <v>110</v>
      </c>
      <c r="E2384" s="47">
        <v>46197</v>
      </c>
      <c r="F2384" s="31" t="str">
        <f>VLOOKUP($C2384,Carpetas!$C$5:$M$2666,2,FALSE)</f>
        <v>BRB056/26</v>
      </c>
      <c r="G2384" s="23">
        <f>VLOOKUP($C2384,Carpetas!$C$5:$M$2666,10,FALSE)</f>
        <v>1560929</v>
      </c>
      <c r="H2384" s="27" t="str">
        <f>VLOOKUP($C2384,Carpetas!$C$5:$M$2666,6,FALSE)</f>
        <v>FG</v>
      </c>
      <c r="I2384" s="27" t="str">
        <f>VLOOKUP($C2384,Carpetas!$C$5:$M$2666,3,FALSE)</f>
        <v>Etimex</v>
      </c>
      <c r="J2384" s="47">
        <v>46198</v>
      </c>
      <c r="K2384" s="232" t="str">
        <f>VLOOKUP($C2384,Carpetas!$C$5:$M$2666,5,FALSE)</f>
        <v>Rio Branco</v>
      </c>
      <c r="L2384" s="230" t="str">
        <f>VLOOKUP($C2384,Carpetas!$C$5:$M$2666,4,FALSE)</f>
        <v>Banana</v>
      </c>
      <c r="M2384" s="234">
        <f t="shared" si="167"/>
        <v>46199</v>
      </c>
      <c r="N2384" s="26">
        <f t="shared" si="165"/>
        <v>2</v>
      </c>
      <c r="O2384" s="27">
        <v>1008</v>
      </c>
      <c r="P2384" s="27">
        <v>1009</v>
      </c>
      <c r="Q2384" s="27">
        <v>28</v>
      </c>
      <c r="R2384" s="27">
        <v>26</v>
      </c>
      <c r="S2384" s="27" t="s">
        <v>1933</v>
      </c>
      <c r="T2384" s="27"/>
      <c r="U2384" s="27">
        <v>1617</v>
      </c>
      <c r="V2384" s="27" t="s">
        <v>3669</v>
      </c>
      <c r="W2384" s="27" t="s">
        <v>912</v>
      </c>
      <c r="X2384" s="128"/>
      <c r="Y2384" s="73" t="e">
        <f>VLOOKUP(X2384,Choferes!$B$3:C462,2,FALSE)</f>
        <v>#N/A</v>
      </c>
      <c r="Z2384" s="73" t="s">
        <v>6100</v>
      </c>
    </row>
    <row r="2385" spans="1:28" ht="30" hidden="1" x14ac:dyDescent="0.25">
      <c r="A2385" s="222">
        <v>24</v>
      </c>
      <c r="B2385" s="71" t="s">
        <v>29</v>
      </c>
      <c r="C2385" s="39" t="s">
        <v>6070</v>
      </c>
      <c r="D2385" s="106" t="s">
        <v>3124</v>
      </c>
      <c r="E2385" s="47">
        <v>46196</v>
      </c>
      <c r="F2385" s="31" t="str">
        <f>VLOOKUP($C2385,Carpetas!$C$5:$M$2666,2,FALSE)</f>
        <v>BRB054/26</v>
      </c>
      <c r="G2385" s="23" t="str">
        <f>VLOOKUP($C2385,Carpetas!$C$5:$M$2666,10,FALSE)</f>
        <v>156,09,31</v>
      </c>
      <c r="H2385" s="27" t="str">
        <f>VLOOKUP($C2385,Carpetas!$C$5:$M$2666,6,FALSE)</f>
        <v>Amaro</v>
      </c>
      <c r="I2385" s="27" t="str">
        <f>VLOOKUP($C2385,Carpetas!$C$5:$M$2666,3,FALSE)</f>
        <v>Etimex</v>
      </c>
      <c r="J2385" s="47">
        <v>46199</v>
      </c>
      <c r="K2385" s="232" t="str">
        <f>VLOOKUP($C2385,Carpetas!$C$5:$M$2666,5,FALSE)</f>
        <v>Rio Branco</v>
      </c>
      <c r="L2385" s="230" t="str">
        <f>VLOOKUP($C2385,Carpetas!$C$5:$M$2666,4,FALSE)</f>
        <v>Banana</v>
      </c>
      <c r="M2385" s="234">
        <f t="shared" si="167"/>
        <v>46200</v>
      </c>
      <c r="N2385" s="26">
        <f t="shared" si="165"/>
        <v>4</v>
      </c>
      <c r="O2385" s="27">
        <v>1008</v>
      </c>
      <c r="P2385" s="27">
        <v>1008</v>
      </c>
      <c r="Q2385" s="27">
        <v>28</v>
      </c>
      <c r="R2385" s="27">
        <v>26</v>
      </c>
      <c r="S2385" s="27"/>
      <c r="T2385" s="27"/>
      <c r="U2385" s="27"/>
      <c r="V2385" s="27"/>
      <c r="W2385" s="27"/>
      <c r="X2385" s="128"/>
      <c r="Y2385" s="73" t="e">
        <f>VLOOKUP(X2385,Choferes!$B$3:C448,2,FALSE)</f>
        <v>#N/A</v>
      </c>
      <c r="Z2385" s="73" t="s">
        <v>6101</v>
      </c>
    </row>
    <row r="2386" spans="1:28" hidden="1" x14ac:dyDescent="0.25">
      <c r="A2386" s="222">
        <v>24</v>
      </c>
      <c r="B2386" s="71" t="s">
        <v>29</v>
      </c>
      <c r="C2386" s="39" t="s">
        <v>6102</v>
      </c>
      <c r="D2386" s="106" t="s">
        <v>183</v>
      </c>
      <c r="E2386" s="47">
        <v>46197</v>
      </c>
      <c r="F2386" s="31" t="str">
        <f>VLOOKUP($C2386,Carpetas!$C$5:$M$2666,2,FALSE)</f>
        <v>PYB037-26</v>
      </c>
      <c r="G2386" s="23">
        <f>VLOOKUP($C2386,Carpetas!$C$5:$M$2666,10,FALSE)</f>
        <v>1561239</v>
      </c>
      <c r="H2386" s="27" t="str">
        <f>VLOOKUP($C2386,Carpetas!$C$5:$M$2666,6,FALSE)</f>
        <v>Mega Logistica</v>
      </c>
      <c r="I2386" s="27" t="str">
        <f>VLOOKUP($C2386,Carpetas!$C$5:$M$2666,3,FALSE)</f>
        <v>Hugo Franco</v>
      </c>
      <c r="J2386" s="47">
        <v>46199</v>
      </c>
      <c r="K2386" s="232" t="str">
        <f>VLOOKUP($C2386,Carpetas!$C$5:$M$2666,5,FALSE)</f>
        <v>Salto</v>
      </c>
      <c r="L2386" s="230" t="str">
        <f>VLOOKUP($C2386,Carpetas!$C$5:$M$2666,4,FALSE)</f>
        <v>Banana</v>
      </c>
      <c r="M2386" s="234">
        <f t="shared" si="167"/>
        <v>46200</v>
      </c>
      <c r="N2386" s="26">
        <f t="shared" ref="N2386:N2449" si="169">IF(E2386&lt;&gt;"",M2386-E2386,"-")</f>
        <v>3</v>
      </c>
      <c r="O2386" s="27">
        <v>980</v>
      </c>
      <c r="P2386" s="27">
        <v>980</v>
      </c>
      <c r="Q2386" s="27">
        <v>28</v>
      </c>
      <c r="R2386" s="27">
        <v>27</v>
      </c>
      <c r="S2386" s="27" t="s">
        <v>2860</v>
      </c>
      <c r="T2386" s="27"/>
      <c r="U2386" s="27"/>
      <c r="V2386" s="27"/>
      <c r="W2386" s="27"/>
      <c r="X2386" s="128"/>
      <c r="Y2386" s="73" t="e">
        <f>VLOOKUP(X2386,Choferes!$B$3:C452,2,FALSE)</f>
        <v>#N/A</v>
      </c>
      <c r="Z2386" s="73" t="s">
        <v>6103</v>
      </c>
    </row>
    <row r="2387" spans="1:28" hidden="1" x14ac:dyDescent="0.25">
      <c r="A2387" s="222">
        <v>24</v>
      </c>
      <c r="B2387" s="71" t="s">
        <v>29</v>
      </c>
      <c r="C2387" s="39" t="s">
        <v>6095</v>
      </c>
      <c r="D2387" s="106" t="s">
        <v>121</v>
      </c>
      <c r="E2387" s="47">
        <v>46195</v>
      </c>
      <c r="F2387" s="31" t="str">
        <f>VLOOKUP($C2387,Carpetas!$C$5:$M$2666,2,FALSE)</f>
        <v>PYB038-26</v>
      </c>
      <c r="G2387" s="23">
        <f>VLOOKUP($C2387,Carpetas!$C$5:$M$2666,10,FALSE)</f>
        <v>1561223</v>
      </c>
      <c r="H2387" s="27" t="str">
        <f>VLOOKUP($C2387,Carpetas!$C$5:$M$2666,6,FALSE)</f>
        <v>Compass</v>
      </c>
      <c r="I2387" s="27" t="str">
        <f>VLOOKUP($C2387,Carpetas!$C$5:$M$2666,3,FALSE)</f>
        <v>Diego Fernandez</v>
      </c>
      <c r="J2387" s="47">
        <f>E2387+4</f>
        <v>46199</v>
      </c>
      <c r="K2387" s="232" t="str">
        <f>VLOOKUP($C2387,Carpetas!$C$5:$M$2666,5,FALSE)</f>
        <v>Salto</v>
      </c>
      <c r="L2387" s="230" t="str">
        <f>VLOOKUP($C2387,Carpetas!$C$5:$M$2666,4,FALSE)</f>
        <v>Banana</v>
      </c>
      <c r="M2387" s="234">
        <f t="shared" si="167"/>
        <v>46200</v>
      </c>
      <c r="N2387" s="26">
        <f t="shared" si="169"/>
        <v>5</v>
      </c>
      <c r="O2387" s="27">
        <v>980</v>
      </c>
      <c r="P2387" s="27">
        <v>980</v>
      </c>
      <c r="Q2387" s="27">
        <v>28</v>
      </c>
      <c r="R2387" s="27">
        <v>27</v>
      </c>
      <c r="S2387" s="27" t="s">
        <v>1108</v>
      </c>
      <c r="T2387" s="27"/>
      <c r="U2387" s="27"/>
      <c r="V2387" s="27"/>
      <c r="W2387" s="27"/>
      <c r="X2387" s="128"/>
      <c r="Y2387" s="73" t="e">
        <f>VLOOKUP(X2387,Choferes!$B$3:C449,2,FALSE)</f>
        <v>#N/A</v>
      </c>
      <c r="Z2387" s="73" t="s">
        <v>6104</v>
      </c>
    </row>
    <row r="2388" spans="1:28" hidden="1" x14ac:dyDescent="0.25">
      <c r="A2388" s="222">
        <v>24</v>
      </c>
      <c r="B2388" s="71" t="s">
        <v>29</v>
      </c>
      <c r="C2388" s="39" t="s">
        <v>6102</v>
      </c>
      <c r="D2388" s="106" t="s">
        <v>183</v>
      </c>
      <c r="E2388" s="47">
        <v>46197</v>
      </c>
      <c r="F2388" s="31" t="str">
        <f>VLOOKUP($C2388,Carpetas!$C$5:$M$2666,2,FALSE)</f>
        <v>PYB037-26</v>
      </c>
      <c r="G2388" s="23">
        <f>VLOOKUP($C2388,Carpetas!$C$5:$M$2666,10,FALSE)</f>
        <v>1561239</v>
      </c>
      <c r="H2388" s="27" t="str">
        <f>VLOOKUP($C2388,Carpetas!$C$5:$M$2666,6,FALSE)</f>
        <v>Mega Logistica</v>
      </c>
      <c r="I2388" s="27" t="str">
        <f>VLOOKUP($C2388,Carpetas!$C$5:$M$2666,3,FALSE)</f>
        <v>Hugo Franco</v>
      </c>
      <c r="J2388" s="47">
        <v>46200</v>
      </c>
      <c r="K2388" s="232" t="str">
        <f>VLOOKUP($C2388,Carpetas!$C$5:$M$2666,5,FALSE)</f>
        <v>Salto</v>
      </c>
      <c r="L2388" s="230" t="str">
        <f>VLOOKUP($C2388,Carpetas!$C$5:$M$2666,4,FALSE)</f>
        <v>Banana</v>
      </c>
      <c r="M2388" s="234">
        <f t="shared" si="167"/>
        <v>46201</v>
      </c>
      <c r="N2388" s="26">
        <f t="shared" si="169"/>
        <v>4</v>
      </c>
      <c r="O2388" s="27">
        <v>980</v>
      </c>
      <c r="P2388" s="27">
        <v>981</v>
      </c>
      <c r="Q2388" s="27">
        <v>28</v>
      </c>
      <c r="R2388" s="27">
        <v>27</v>
      </c>
      <c r="S2388" s="27" t="s">
        <v>6105</v>
      </c>
      <c r="T2388" s="27"/>
      <c r="U2388" s="27"/>
      <c r="V2388" s="27"/>
      <c r="W2388" s="27"/>
      <c r="X2388" s="128"/>
      <c r="Y2388" s="73" t="e">
        <f>VLOOKUP(X2388,Choferes!$B$3:C445,2,FALSE)</f>
        <v>#N/A</v>
      </c>
      <c r="Z2388" s="73" t="s">
        <v>6106</v>
      </c>
    </row>
    <row r="2389" spans="1:28" hidden="1" x14ac:dyDescent="0.25">
      <c r="A2389" s="222">
        <v>24</v>
      </c>
      <c r="B2389" s="71" t="s">
        <v>29</v>
      </c>
      <c r="C2389" s="39" t="s">
        <v>6079</v>
      </c>
      <c r="D2389" s="106" t="s">
        <v>2474</v>
      </c>
      <c r="E2389" s="47">
        <v>46199</v>
      </c>
      <c r="F2389" s="31" t="str">
        <f>VLOOKUP($C2389,Carpetas!$C$5:$M$2666,2,FALSE)</f>
        <v>BRB056/26</v>
      </c>
      <c r="G2389" s="23">
        <f>VLOOKUP($C2389,Carpetas!$C$5:$M$2666,10,FALSE)</f>
        <v>1560929</v>
      </c>
      <c r="H2389" s="27" t="str">
        <f>VLOOKUP($C2389,Carpetas!$C$5:$M$2666,6,FALSE)</f>
        <v>FG</v>
      </c>
      <c r="I2389" s="27" t="str">
        <f>VLOOKUP($C2389,Carpetas!$C$5:$M$2666,3,FALSE)</f>
        <v>Etimex</v>
      </c>
      <c r="J2389" s="47">
        <f t="shared" ref="J2389:J2394" si="170">E2389+2</f>
        <v>46201</v>
      </c>
      <c r="K2389" s="232" t="str">
        <f>VLOOKUP($C2389,Carpetas!$C$5:$M$2666,5,FALSE)</f>
        <v>Rio Branco</v>
      </c>
      <c r="L2389" s="230" t="str">
        <f>VLOOKUP($C2389,Carpetas!$C$5:$M$2666,4,FALSE)</f>
        <v>Banana</v>
      </c>
      <c r="M2389" s="234">
        <f t="shared" si="167"/>
        <v>46202</v>
      </c>
      <c r="N2389" s="26">
        <f t="shared" si="169"/>
        <v>3</v>
      </c>
      <c r="O2389" s="27">
        <v>1008</v>
      </c>
      <c r="P2389" s="27">
        <v>1008</v>
      </c>
      <c r="Q2389" s="27">
        <v>28</v>
      </c>
      <c r="R2389" s="27">
        <v>25</v>
      </c>
      <c r="S2389" s="27" t="s">
        <v>3984</v>
      </c>
      <c r="T2389" s="27"/>
      <c r="U2389" s="27">
        <v>1621</v>
      </c>
      <c r="V2389" s="27" t="s">
        <v>1042</v>
      </c>
      <c r="W2389" s="27" t="s">
        <v>1631</v>
      </c>
      <c r="X2389" s="128"/>
      <c r="Y2389" s="73" t="e">
        <f>VLOOKUP(X2389,Choferes!$B$3:C458,2,FALSE)</f>
        <v>#N/A</v>
      </c>
      <c r="Z2389" s="73" t="s">
        <v>6107</v>
      </c>
    </row>
    <row r="2390" spans="1:28" hidden="1" x14ac:dyDescent="0.25">
      <c r="A2390" s="222">
        <v>24</v>
      </c>
      <c r="B2390" s="71" t="s">
        <v>29</v>
      </c>
      <c r="C2390" s="39" t="s">
        <v>6073</v>
      </c>
      <c r="D2390" s="106" t="s">
        <v>2202</v>
      </c>
      <c r="E2390" s="47">
        <v>46199</v>
      </c>
      <c r="F2390" s="31" t="str">
        <f>VLOOKUP($C2390,Carpetas!$C$5:$M$2666,2,FALSE)</f>
        <v>BRB055/26</v>
      </c>
      <c r="G2390" s="23">
        <f>VLOOKUP($C2390,Carpetas!$C$5:$M$2666,10,FALSE)</f>
        <v>1560961</v>
      </c>
      <c r="H2390" s="27" t="str">
        <f>VLOOKUP($C2390,Carpetas!$C$5:$M$2666,6,FALSE)</f>
        <v>AXT</v>
      </c>
      <c r="I2390" s="27" t="str">
        <f>VLOOKUP($C2390,Carpetas!$C$5:$M$2666,3,FALSE)</f>
        <v>A&amp;A</v>
      </c>
      <c r="J2390" s="47">
        <f t="shared" si="170"/>
        <v>46201</v>
      </c>
      <c r="K2390" s="232" t="str">
        <f>VLOOKUP($C2390,Carpetas!$C$5:$M$2666,5,FALSE)</f>
        <v>Chuy</v>
      </c>
      <c r="L2390" s="230" t="str">
        <f>VLOOKUP($C2390,Carpetas!$C$5:$M$2666,4,FALSE)</f>
        <v>Banana</v>
      </c>
      <c r="M2390" s="234">
        <v>46204</v>
      </c>
      <c r="N2390" s="26">
        <f t="shared" si="169"/>
        <v>5</v>
      </c>
      <c r="O2390" s="27">
        <v>936</v>
      </c>
      <c r="P2390" s="27">
        <v>936</v>
      </c>
      <c r="Q2390" s="27">
        <v>25</v>
      </c>
      <c r="R2390" s="27">
        <v>26</v>
      </c>
      <c r="S2390" s="27" t="s">
        <v>6108</v>
      </c>
      <c r="T2390" s="27"/>
      <c r="U2390" s="27"/>
      <c r="V2390" s="27"/>
      <c r="W2390" s="27"/>
      <c r="X2390" s="128"/>
      <c r="Y2390" s="73" t="e">
        <f>VLOOKUP(X2390,Choferes!$B$3:C451,2,FALSE)</f>
        <v>#N/A</v>
      </c>
      <c r="Z2390" s="73" t="s">
        <v>6109</v>
      </c>
      <c r="AB2390" s="69" t="s">
        <v>6110</v>
      </c>
    </row>
    <row r="2391" spans="1:28" ht="30" hidden="1" x14ac:dyDescent="0.25">
      <c r="A2391" s="222">
        <v>24</v>
      </c>
      <c r="B2391" s="71" t="s">
        <v>29</v>
      </c>
      <c r="C2391" s="39" t="s">
        <v>6079</v>
      </c>
      <c r="D2391" s="106" t="s">
        <v>3124</v>
      </c>
      <c r="E2391" s="47">
        <v>46199</v>
      </c>
      <c r="F2391" s="31" t="str">
        <f>VLOOKUP($C2391,Carpetas!$C$5:$M$2666,2,FALSE)</f>
        <v>BRB056/26</v>
      </c>
      <c r="G2391" s="23">
        <f>VLOOKUP($C2391,Carpetas!$C$5:$M$2666,10,FALSE)</f>
        <v>1560929</v>
      </c>
      <c r="H2391" s="27" t="str">
        <f>VLOOKUP($C2391,Carpetas!$C$5:$M$2666,6,FALSE)</f>
        <v>FG</v>
      </c>
      <c r="I2391" s="27" t="str">
        <f>VLOOKUP($C2391,Carpetas!$C$5:$M$2666,3,FALSE)</f>
        <v>Etimex</v>
      </c>
      <c r="J2391" s="47">
        <f t="shared" si="170"/>
        <v>46201</v>
      </c>
      <c r="K2391" s="232" t="str">
        <f>VLOOKUP($C2391,Carpetas!$C$5:$M$2666,5,FALSE)</f>
        <v>Rio Branco</v>
      </c>
      <c r="L2391" s="230" t="str">
        <f>VLOOKUP($C2391,Carpetas!$C$5:$M$2666,4,FALSE)</f>
        <v>Banana</v>
      </c>
      <c r="M2391" s="234">
        <v>46204</v>
      </c>
      <c r="N2391" s="26">
        <f t="shared" si="169"/>
        <v>5</v>
      </c>
      <c r="O2391" s="27">
        <v>1008</v>
      </c>
      <c r="P2391" s="27">
        <v>1008</v>
      </c>
      <c r="Q2391" s="27">
        <v>28</v>
      </c>
      <c r="R2391" s="27">
        <v>26</v>
      </c>
      <c r="S2391" s="27" t="s">
        <v>6111</v>
      </c>
      <c r="T2391" s="27"/>
      <c r="U2391" s="27">
        <v>1620</v>
      </c>
      <c r="V2391" s="27" t="s">
        <v>911</v>
      </c>
      <c r="W2391" s="27" t="s">
        <v>3818</v>
      </c>
      <c r="X2391" s="128"/>
      <c r="Y2391" s="73" t="e">
        <f>VLOOKUP(X2391,Choferes!$B$3:C449,2,FALSE)</f>
        <v>#N/A</v>
      </c>
      <c r="Z2391" s="73" t="s">
        <v>6112</v>
      </c>
    </row>
    <row r="2392" spans="1:28" ht="30" hidden="1" x14ac:dyDescent="0.25">
      <c r="A2392" s="222">
        <v>24</v>
      </c>
      <c r="B2392" s="71" t="s">
        <v>29</v>
      </c>
      <c r="C2392" s="39" t="s">
        <v>6085</v>
      </c>
      <c r="D2392" s="106" t="s">
        <v>5765</v>
      </c>
      <c r="E2392" s="47">
        <v>46199</v>
      </c>
      <c r="F2392" s="31" t="str">
        <f>VLOOKUP($C2392,Carpetas!$C$5:$M$2666,2,FALSE)</f>
        <v>BRB057/26</v>
      </c>
      <c r="G2392" s="23">
        <f>VLOOKUP($C2392,Carpetas!$C$5:$M$2666,10,FALSE)</f>
        <v>1560930</v>
      </c>
      <c r="H2392" s="27" t="str">
        <f>VLOOKUP($C2392,Carpetas!$C$5:$M$2666,6,FALSE)</f>
        <v>Chabat</v>
      </c>
      <c r="I2392" s="27" t="str">
        <f>VLOOKUP($C2392,Carpetas!$C$5:$M$2666,3,FALSE)</f>
        <v>Etimex</v>
      </c>
      <c r="J2392" s="47">
        <f t="shared" si="170"/>
        <v>46201</v>
      </c>
      <c r="K2392" s="72" t="str">
        <f>VLOOKUP($C2392,Carpetas!$C$5:$M$2666,5,FALSE)</f>
        <v>Rio Branco</v>
      </c>
      <c r="L2392" s="230" t="str">
        <f>VLOOKUP($C2392,Carpetas!$C$5:$M$2666,4,FALSE)</f>
        <v>Banana</v>
      </c>
      <c r="M2392" s="234">
        <v>46204</v>
      </c>
      <c r="N2392" s="26">
        <f t="shared" si="169"/>
        <v>5</v>
      </c>
      <c r="O2392" s="27">
        <v>1008</v>
      </c>
      <c r="P2392" s="27">
        <v>1008</v>
      </c>
      <c r="Q2392" s="27">
        <v>28</v>
      </c>
      <c r="R2392" s="27">
        <v>26</v>
      </c>
      <c r="S2392" s="27" t="s">
        <v>6113</v>
      </c>
      <c r="T2392" s="27"/>
      <c r="U2392" s="27">
        <v>2582</v>
      </c>
      <c r="V2392" s="27" t="s">
        <v>5759</v>
      </c>
      <c r="W2392" s="27" t="s">
        <v>4277</v>
      </c>
      <c r="X2392" s="128"/>
      <c r="Y2392" s="73" t="e">
        <f>VLOOKUP(X2392,Choferes!$B$3:C452,2,FALSE)</f>
        <v>#N/A</v>
      </c>
      <c r="Z2392" s="73" t="s">
        <v>6107</v>
      </c>
    </row>
    <row r="2393" spans="1:28" hidden="1" x14ac:dyDescent="0.25">
      <c r="A2393" s="222">
        <v>24</v>
      </c>
      <c r="B2393" s="71" t="s">
        <v>29</v>
      </c>
      <c r="C2393" s="39" t="s">
        <v>6079</v>
      </c>
      <c r="D2393" s="106" t="s">
        <v>5746</v>
      </c>
      <c r="E2393" s="47">
        <v>46199</v>
      </c>
      <c r="F2393" s="31" t="str">
        <f>VLOOKUP($C2393,Carpetas!$C$5:$M$2666,2,FALSE)</f>
        <v>BRB056/26</v>
      </c>
      <c r="G2393" s="23">
        <f>VLOOKUP($C2393,Carpetas!$C$5:$M$2666,10,FALSE)</f>
        <v>1560929</v>
      </c>
      <c r="H2393" s="27" t="str">
        <f>VLOOKUP($C2393,Carpetas!$C$5:$M$2666,6,FALSE)</f>
        <v>FG</v>
      </c>
      <c r="I2393" s="27" t="str">
        <f>VLOOKUP($C2393,Carpetas!$C$5:$M$2666,3,FALSE)</f>
        <v>Etimex</v>
      </c>
      <c r="J2393" s="47">
        <f t="shared" si="170"/>
        <v>46201</v>
      </c>
      <c r="K2393" s="232" t="str">
        <f>VLOOKUP($C2393,Carpetas!$C$5:$M$2666,5,FALSE)</f>
        <v>Rio Branco</v>
      </c>
      <c r="L2393" s="230" t="str">
        <f>VLOOKUP($C2393,Carpetas!$C$5:$M$2666,4,FALSE)</f>
        <v>Banana</v>
      </c>
      <c r="M2393" s="234">
        <v>46204</v>
      </c>
      <c r="N2393" s="26">
        <f t="shared" si="169"/>
        <v>5</v>
      </c>
      <c r="O2393" s="27">
        <v>1008</v>
      </c>
      <c r="P2393" s="27">
        <v>1008</v>
      </c>
      <c r="Q2393" s="27">
        <v>28</v>
      </c>
      <c r="R2393" s="27">
        <v>26</v>
      </c>
      <c r="S2393" s="27" t="s">
        <v>6114</v>
      </c>
      <c r="T2393" s="27"/>
      <c r="U2393" s="27">
        <v>1622</v>
      </c>
      <c r="V2393" s="27" t="s">
        <v>3572</v>
      </c>
      <c r="W2393" s="27" t="s">
        <v>3412</v>
      </c>
      <c r="X2393" s="128"/>
      <c r="Y2393" s="73" t="e">
        <f>VLOOKUP(X2393,Choferes!$B$3:C453,2,FALSE)</f>
        <v>#N/A</v>
      </c>
      <c r="Z2393" s="73" t="s">
        <v>6107</v>
      </c>
    </row>
    <row r="2394" spans="1:28" hidden="1" x14ac:dyDescent="0.25">
      <c r="A2394" s="222">
        <v>24</v>
      </c>
      <c r="B2394" s="71" t="s">
        <v>29</v>
      </c>
      <c r="C2394" s="39" t="s">
        <v>6079</v>
      </c>
      <c r="D2394" s="106" t="s">
        <v>249</v>
      </c>
      <c r="E2394" s="47">
        <v>46199</v>
      </c>
      <c r="F2394" s="31" t="str">
        <f>VLOOKUP($C2394,Carpetas!$C$5:$M$2666,2,FALSE)</f>
        <v>BRB056/26</v>
      </c>
      <c r="G2394" s="23">
        <f>VLOOKUP($C2394,Carpetas!$C$5:$M$2666,10,FALSE)</f>
        <v>1560929</v>
      </c>
      <c r="H2394" s="27" t="str">
        <f>VLOOKUP($C2394,Carpetas!$C$5:$M$2666,6,FALSE)</f>
        <v>FG</v>
      </c>
      <c r="I2394" s="27" t="str">
        <f>VLOOKUP($C2394,Carpetas!$C$5:$M$2666,3,FALSE)</f>
        <v>Etimex</v>
      </c>
      <c r="J2394" s="47">
        <f t="shared" si="170"/>
        <v>46201</v>
      </c>
      <c r="K2394" s="232" t="str">
        <f>VLOOKUP($C2394,Carpetas!$C$5:$M$2666,5,FALSE)</f>
        <v>Rio Branco</v>
      </c>
      <c r="L2394" s="230" t="str">
        <f>VLOOKUP($C2394,Carpetas!$C$5:$M$2666,4,FALSE)</f>
        <v>Banana</v>
      </c>
      <c r="M2394" s="234">
        <v>46204</v>
      </c>
      <c r="N2394" s="26">
        <f t="shared" si="169"/>
        <v>5</v>
      </c>
      <c r="O2394" s="27">
        <v>1008</v>
      </c>
      <c r="P2394" s="27">
        <v>1008</v>
      </c>
      <c r="Q2394" s="27">
        <v>28</v>
      </c>
      <c r="R2394" s="27">
        <v>26</v>
      </c>
      <c r="S2394" s="27" t="s">
        <v>2748</v>
      </c>
      <c r="T2394" s="27"/>
      <c r="U2394" s="27">
        <v>1623</v>
      </c>
      <c r="V2394" s="27" t="s">
        <v>3412</v>
      </c>
      <c r="W2394" s="27" t="s">
        <v>1736</v>
      </c>
      <c r="X2394" s="128"/>
      <c r="Y2394" s="73" t="e">
        <f>VLOOKUP(X2394,Choferes!$B$3:C455,2,FALSE)</f>
        <v>#N/A</v>
      </c>
      <c r="Z2394" s="73" t="s">
        <v>6107</v>
      </c>
    </row>
    <row r="2395" spans="1:28" hidden="1" x14ac:dyDescent="0.25">
      <c r="A2395" s="222">
        <v>27</v>
      </c>
      <c r="B2395" s="71" t="s">
        <v>29</v>
      </c>
      <c r="C2395" s="39" t="s">
        <v>6115</v>
      </c>
      <c r="D2395" s="106" t="s">
        <v>183</v>
      </c>
      <c r="E2395" s="47">
        <v>46201</v>
      </c>
      <c r="F2395" s="31" t="str">
        <f>VLOOKUP($C2395,Carpetas!$C$5:$M$2666,2,FALSE)</f>
        <v>PYB040/26</v>
      </c>
      <c r="G2395" s="23">
        <f>VLOOKUP($C2395,Carpetas!$C$5:$M$2666,10,FALSE)</f>
        <v>1561937</v>
      </c>
      <c r="H2395" s="240" t="str">
        <f>VLOOKUP($C2395,Carpetas!$C$5:$M$2666,6,FALSE)</f>
        <v>Mega Logistica</v>
      </c>
      <c r="I2395" s="27" t="str">
        <f>VLOOKUP($C2395,Carpetas!$C$5:$M$2666,3,FALSE)</f>
        <v>Hugo Franco</v>
      </c>
      <c r="J2395" s="47">
        <v>46204</v>
      </c>
      <c r="K2395" s="232" t="str">
        <f>VLOOKUP($C2395,Carpetas!$C$5:$M$2666,5,FALSE)</f>
        <v>Salto</v>
      </c>
      <c r="L2395" s="230" t="s">
        <v>6116</v>
      </c>
      <c r="M2395" s="234">
        <f t="shared" ref="M2395:M2422" si="171">J2395+1</f>
        <v>46205</v>
      </c>
      <c r="N2395" s="26">
        <f t="shared" si="169"/>
        <v>4</v>
      </c>
      <c r="O2395" s="27">
        <v>980</v>
      </c>
      <c r="P2395" s="27">
        <v>981</v>
      </c>
      <c r="Q2395" s="27">
        <v>28</v>
      </c>
      <c r="R2395" s="27">
        <v>27</v>
      </c>
      <c r="S2395" s="27" t="s">
        <v>6117</v>
      </c>
      <c r="T2395" s="27"/>
      <c r="U2395" s="27"/>
      <c r="V2395" s="27"/>
      <c r="W2395" s="27"/>
      <c r="X2395" s="128"/>
      <c r="Y2395" s="73" t="s">
        <v>6118</v>
      </c>
      <c r="Z2395" s="73" t="s">
        <v>6119</v>
      </c>
    </row>
    <row r="2396" spans="1:28" hidden="1" x14ac:dyDescent="0.25">
      <c r="A2396" s="222">
        <v>27</v>
      </c>
      <c r="B2396" s="71" t="s">
        <v>29</v>
      </c>
      <c r="C2396" s="39" t="s">
        <v>6079</v>
      </c>
      <c r="D2396" s="106" t="s">
        <v>5507</v>
      </c>
      <c r="E2396" s="47">
        <v>46203</v>
      </c>
      <c r="F2396" s="31" t="str">
        <f>VLOOKUP($C2396,Carpetas!$C$5:$M$2666,2,FALSE)</f>
        <v>BRB056/26</v>
      </c>
      <c r="G2396" s="238">
        <f>VLOOKUP($C2396,Carpetas!$C$5:$M$2666,10,FALSE)</f>
        <v>1560929</v>
      </c>
      <c r="H2396" s="237" t="str">
        <f>VLOOKUP($C2396,Carpetas!$C$5:$M$2666,6,FALSE)</f>
        <v>FG</v>
      </c>
      <c r="I2396" s="239" t="str">
        <f>VLOOKUP($C2396,Carpetas!$C$5:$M$2666,3,FALSE)</f>
        <v>Etimex</v>
      </c>
      <c r="J2396" s="47">
        <f>E2396+1</f>
        <v>46204</v>
      </c>
      <c r="K2396" s="232" t="str">
        <f>VLOOKUP($C2396,Carpetas!$C$5:$M$2666,5,FALSE)</f>
        <v>Rio Branco</v>
      </c>
      <c r="L2396" s="230" t="s">
        <v>6116</v>
      </c>
      <c r="M2396" s="234">
        <f t="shared" si="171"/>
        <v>46205</v>
      </c>
      <c r="N2396" s="26">
        <f t="shared" si="169"/>
        <v>2</v>
      </c>
      <c r="O2396" s="27">
        <v>1008</v>
      </c>
      <c r="P2396" s="27">
        <v>1008</v>
      </c>
      <c r="Q2396" s="27">
        <v>28</v>
      </c>
      <c r="R2396" s="27">
        <v>26</v>
      </c>
      <c r="S2396" s="27" t="s">
        <v>6120</v>
      </c>
      <c r="T2396" s="27"/>
      <c r="U2396" s="27">
        <v>1627</v>
      </c>
      <c r="V2396" s="27" t="s">
        <v>4645</v>
      </c>
      <c r="W2396" s="27" t="s">
        <v>4489</v>
      </c>
      <c r="X2396" s="128"/>
      <c r="Y2396" s="73" t="e">
        <f>VLOOKUP(X2396,Choferes!$B$3:C450,2,FALSE)</f>
        <v>#N/A</v>
      </c>
      <c r="Z2396" s="73" t="s">
        <v>6121</v>
      </c>
    </row>
    <row r="2397" spans="1:28" hidden="1" x14ac:dyDescent="0.25">
      <c r="A2397" s="222">
        <v>27</v>
      </c>
      <c r="B2397" s="71" t="s">
        <v>29</v>
      </c>
      <c r="C2397" s="39" t="s">
        <v>6079</v>
      </c>
      <c r="D2397" s="106" t="s">
        <v>2474</v>
      </c>
      <c r="E2397" s="47">
        <v>46203</v>
      </c>
      <c r="F2397" s="31" t="str">
        <f>VLOOKUP($C2397,Carpetas!$C$5:$M$2666,2,FALSE)</f>
        <v>BRB056/26</v>
      </c>
      <c r="G2397" s="23">
        <f>VLOOKUP($C2397,Carpetas!$C$5:$M$2666,10,FALSE)</f>
        <v>1560929</v>
      </c>
      <c r="H2397" s="27" t="str">
        <f>VLOOKUP($C2397,Carpetas!$C$5:$M$2666,6,FALSE)</f>
        <v>FG</v>
      </c>
      <c r="I2397" s="27" t="str">
        <f>VLOOKUP($C2397,Carpetas!$C$5:$M$2666,3,FALSE)</f>
        <v>Etimex</v>
      </c>
      <c r="J2397" s="47">
        <f>E2397+2</f>
        <v>46205</v>
      </c>
      <c r="K2397" s="72" t="str">
        <f>VLOOKUP($C2397,Carpetas!$C$5:$M$2666,5,FALSE)</f>
        <v>Rio Branco</v>
      </c>
      <c r="L2397" s="23" t="s">
        <v>6116</v>
      </c>
      <c r="M2397" s="48">
        <f t="shared" si="171"/>
        <v>46206</v>
      </c>
      <c r="N2397" s="26">
        <f t="shared" si="169"/>
        <v>3</v>
      </c>
      <c r="O2397" s="27">
        <v>1008</v>
      </c>
      <c r="P2397" s="27">
        <v>1008</v>
      </c>
      <c r="Q2397" s="27">
        <v>28</v>
      </c>
      <c r="R2397" s="27">
        <v>26</v>
      </c>
      <c r="S2397" s="27" t="s">
        <v>3999</v>
      </c>
      <c r="T2397" s="27"/>
      <c r="U2397" s="27">
        <v>1628</v>
      </c>
      <c r="V2397" s="27" t="s">
        <v>5544</v>
      </c>
      <c r="W2397" s="27" t="s">
        <v>2340</v>
      </c>
      <c r="X2397" s="128"/>
      <c r="Y2397" s="73" t="e">
        <f>VLOOKUP(X2397,Choferes!$B$3:C449,2,FALSE)</f>
        <v>#N/A</v>
      </c>
      <c r="Z2397" s="73" t="s">
        <v>6122</v>
      </c>
    </row>
    <row r="2398" spans="1:28" hidden="1" x14ac:dyDescent="0.25">
      <c r="A2398" s="222">
        <v>27</v>
      </c>
      <c r="B2398" s="71" t="s">
        <v>29</v>
      </c>
      <c r="C2398" s="39" t="s">
        <v>6115</v>
      </c>
      <c r="D2398" s="106" t="s">
        <v>183</v>
      </c>
      <c r="E2398" s="47">
        <v>46202</v>
      </c>
      <c r="F2398" s="31" t="str">
        <f>VLOOKUP($C2398,Carpetas!$C$5:$M$2666,2,FALSE)</f>
        <v>PYB040/26</v>
      </c>
      <c r="G2398" s="238">
        <f>VLOOKUP($C2398,Carpetas!$C$5:$M$2666,10,FALSE)</f>
        <v>1561937</v>
      </c>
      <c r="H2398" s="237" t="str">
        <f>VLOOKUP($C2398,Carpetas!$C$5:$M$2666,6,FALSE)</f>
        <v>Mega Logistica</v>
      </c>
      <c r="I2398" s="239" t="str">
        <f>VLOOKUP($C2398,Carpetas!$C$5:$M$2666,3,FALSE)</f>
        <v>Hugo Franco</v>
      </c>
      <c r="J2398" s="47">
        <v>46205</v>
      </c>
      <c r="K2398" s="232" t="str">
        <f>VLOOKUP($C2398,Carpetas!$C$5:$M$2666,5,FALSE)</f>
        <v>Salto</v>
      </c>
      <c r="L2398" s="230" t="s">
        <v>6116</v>
      </c>
      <c r="M2398" s="234">
        <f t="shared" si="171"/>
        <v>46206</v>
      </c>
      <c r="N2398" s="26">
        <f t="shared" si="169"/>
        <v>4</v>
      </c>
      <c r="O2398" s="27">
        <v>980</v>
      </c>
      <c r="P2398" s="27">
        <v>980</v>
      </c>
      <c r="Q2398" s="27">
        <v>28</v>
      </c>
      <c r="R2398" s="27">
        <v>27</v>
      </c>
      <c r="S2398" s="27" t="s">
        <v>2898</v>
      </c>
      <c r="T2398" s="27"/>
      <c r="U2398" s="27"/>
      <c r="V2398" s="27"/>
      <c r="W2398" s="27"/>
      <c r="X2398" s="128"/>
      <c r="Y2398" s="73" t="s">
        <v>6118</v>
      </c>
      <c r="Z2398" s="73" t="s">
        <v>6123</v>
      </c>
    </row>
    <row r="2399" spans="1:28" hidden="1" x14ac:dyDescent="0.25">
      <c r="A2399" s="222" t="s">
        <v>2</v>
      </c>
      <c r="B2399" s="71" t="s">
        <v>29</v>
      </c>
      <c r="C2399" s="39" t="s">
        <v>6124</v>
      </c>
      <c r="D2399" s="106" t="s">
        <v>110</v>
      </c>
      <c r="E2399" s="47">
        <v>46204</v>
      </c>
      <c r="F2399" s="31" t="str">
        <f>VLOOKUP($C2399,Carpetas!$C$5:$M$2666,2,FALSE)</f>
        <v>BRB059/26</v>
      </c>
      <c r="G2399" s="238">
        <f>VLOOKUP($C2399,Carpetas!$C$5:$M$2666,10,FALSE)</f>
        <v>1562128</v>
      </c>
      <c r="H2399" s="237" t="str">
        <f>VLOOKUP($C2399,Carpetas!$C$5:$M$2666,6,FALSE)</f>
        <v>FG</v>
      </c>
      <c r="I2399" s="239" t="str">
        <f>VLOOKUP($C2399,Carpetas!$C$5:$M$2666,3,FALSE)</f>
        <v>Etimex</v>
      </c>
      <c r="J2399" s="47">
        <f>E2399+1</f>
        <v>46205</v>
      </c>
      <c r="K2399" s="232" t="str">
        <f>VLOOKUP($C2399,Carpetas!$C$5:$M$2666,5,FALSE)</f>
        <v>Rio Branco</v>
      </c>
      <c r="L2399" s="230" t="s">
        <v>6116</v>
      </c>
      <c r="M2399" s="234">
        <f t="shared" si="171"/>
        <v>46206</v>
      </c>
      <c r="N2399" s="26">
        <f t="shared" si="169"/>
        <v>2</v>
      </c>
      <c r="O2399" s="27">
        <v>1008</v>
      </c>
      <c r="P2399" s="27">
        <v>1009</v>
      </c>
      <c r="Q2399" s="27">
        <v>28</v>
      </c>
      <c r="R2399" s="27">
        <v>26</v>
      </c>
      <c r="S2399" s="27" t="s">
        <v>2007</v>
      </c>
      <c r="T2399" s="27"/>
      <c r="U2399" s="27">
        <v>1633</v>
      </c>
      <c r="V2399" s="27" t="s">
        <v>5817</v>
      </c>
      <c r="W2399" s="27" t="s">
        <v>5318</v>
      </c>
      <c r="X2399" s="128"/>
      <c r="Y2399" s="73" t="e">
        <f>VLOOKUP(X2399,Choferes!$B$3:C450,2,FALSE)</f>
        <v>#N/A</v>
      </c>
      <c r="Z2399" s="73" t="s">
        <v>6125</v>
      </c>
    </row>
    <row r="2400" spans="1:28" hidden="1" x14ac:dyDescent="0.25">
      <c r="A2400" s="222">
        <v>27</v>
      </c>
      <c r="B2400" s="71" t="s">
        <v>29</v>
      </c>
      <c r="C2400" s="39" t="s">
        <v>6126</v>
      </c>
      <c r="D2400" s="106" t="s">
        <v>102</v>
      </c>
      <c r="E2400" s="47">
        <v>46205</v>
      </c>
      <c r="F2400" s="31" t="str">
        <f>VLOOKUP($C2400,Carpetas!$C$5:$M$2666,2,FALSE)</f>
        <v>PYB041/26</v>
      </c>
      <c r="G2400" s="23">
        <f>VLOOKUP($C2400,Carpetas!$C$5:$M$2666,10,FALSE)</f>
        <v>1561936</v>
      </c>
      <c r="H2400" s="241" t="str">
        <f>VLOOKUP($C2400,Carpetas!$C$5:$M$2666,6,FALSE)</f>
        <v>G.S.C.S. PARAGUAY TTES.</v>
      </c>
      <c r="I2400" s="27" t="str">
        <f>VLOOKUP($C2400,Carpetas!$C$5:$M$2666,3,FALSE)</f>
        <v>Milciades Sosa</v>
      </c>
      <c r="J2400" s="47">
        <v>46206</v>
      </c>
      <c r="K2400" s="232" t="str">
        <f>VLOOKUP($C2400,Carpetas!$C$5:$M$2666,5,FALSE)</f>
        <v>Salto</v>
      </c>
      <c r="L2400" s="230" t="s">
        <v>6116</v>
      </c>
      <c r="M2400" s="234">
        <f t="shared" si="171"/>
        <v>46207</v>
      </c>
      <c r="N2400" s="26">
        <f t="shared" si="169"/>
        <v>2</v>
      </c>
      <c r="O2400" s="27">
        <v>980</v>
      </c>
      <c r="P2400" s="27">
        <v>980</v>
      </c>
      <c r="Q2400" s="27">
        <v>28</v>
      </c>
      <c r="R2400" s="27">
        <v>27</v>
      </c>
      <c r="S2400" s="27" t="s">
        <v>236</v>
      </c>
      <c r="T2400" s="27"/>
      <c r="U2400" s="27"/>
      <c r="V2400" s="27"/>
      <c r="W2400" s="27"/>
      <c r="X2400" s="128"/>
      <c r="Y2400" s="73" t="s">
        <v>6118</v>
      </c>
      <c r="Z2400" s="73" t="s">
        <v>6123</v>
      </c>
    </row>
    <row r="2401" spans="1:26" hidden="1" x14ac:dyDescent="0.25">
      <c r="A2401" s="222">
        <v>27</v>
      </c>
      <c r="B2401" s="71" t="s">
        <v>29</v>
      </c>
      <c r="C2401" s="39" t="s">
        <v>6127</v>
      </c>
      <c r="D2401" s="106" t="s">
        <v>38</v>
      </c>
      <c r="E2401" s="47">
        <v>46203</v>
      </c>
      <c r="F2401" s="31" t="str">
        <f>VLOOKUP($C2401,Carpetas!$C$5:$M$2666,2,FALSE)</f>
        <v>BRE043/26</v>
      </c>
      <c r="G2401" s="23">
        <f>VLOOKUP($C2401,Carpetas!$C$5:$M$2666,10,FALSE)</f>
        <v>1560758</v>
      </c>
      <c r="H2401" s="27" t="str">
        <f>VLOOKUP($C2401,Carpetas!$C$5:$M$2666,6,FALSE)</f>
        <v xml:space="preserve">Silvio </v>
      </c>
      <c r="I2401" s="27" t="str">
        <f>VLOOKUP($C2401,Carpetas!$C$5:$M$2666,3,FALSE)</f>
        <v>Jaguacy</v>
      </c>
      <c r="J2401" s="47">
        <f>+E2401+3</f>
        <v>46206</v>
      </c>
      <c r="K2401" s="232" t="str">
        <f>VLOOKUP($C2401,Carpetas!$C$5:$M$2666,5,FALSE)</f>
        <v>Chuy</v>
      </c>
      <c r="L2401" s="242" t="str">
        <f>VLOOKUP($C2401,Carpetas!$C$5:$M$2666,4,FALSE)</f>
        <v>Palta</v>
      </c>
      <c r="M2401" s="234">
        <f t="shared" si="171"/>
        <v>46207</v>
      </c>
      <c r="N2401" s="26">
        <f t="shared" si="169"/>
        <v>4</v>
      </c>
      <c r="O2401" s="27">
        <f>2112+176</f>
        <v>2288</v>
      </c>
      <c r="P2401" s="27">
        <v>2288</v>
      </c>
      <c r="Q2401" s="27">
        <v>24</v>
      </c>
      <c r="R2401" s="27"/>
      <c r="S2401" s="27"/>
      <c r="T2401" s="27"/>
      <c r="U2401" s="27"/>
      <c r="V2401" s="27"/>
      <c r="W2401" s="27"/>
      <c r="X2401" s="128"/>
      <c r="Y2401" s="73" t="e">
        <f>VLOOKUP(X2401,Choferes!$B$3:C508,2,FALSE)</f>
        <v>#N/A</v>
      </c>
      <c r="Z2401" s="73" t="s">
        <v>6128</v>
      </c>
    </row>
    <row r="2402" spans="1:26" hidden="1" x14ac:dyDescent="0.25">
      <c r="A2402" s="222">
        <v>27</v>
      </c>
      <c r="B2402" s="71" t="s">
        <v>29</v>
      </c>
      <c r="C2402" s="39" t="s">
        <v>6115</v>
      </c>
      <c r="D2402" s="106" t="s">
        <v>183</v>
      </c>
      <c r="E2402" s="47">
        <v>46203</v>
      </c>
      <c r="F2402" s="31" t="str">
        <f>VLOOKUP($C2402,Carpetas!$C$5:$M$2666,2,FALSE)</f>
        <v>PYB040/26</v>
      </c>
      <c r="G2402" s="23">
        <f>VLOOKUP($C2402,Carpetas!$C$5:$M$2666,10,FALSE)</f>
        <v>1561937</v>
      </c>
      <c r="H2402" s="27" t="str">
        <f>VLOOKUP($C2402,Carpetas!$C$5:$M$2666,6,FALSE)</f>
        <v>Mega Logistica</v>
      </c>
      <c r="I2402" s="27" t="str">
        <f>VLOOKUP($C2402,Carpetas!$C$5:$M$2666,3,FALSE)</f>
        <v>Hugo Franco</v>
      </c>
      <c r="J2402" s="47">
        <v>46206</v>
      </c>
      <c r="K2402" s="232" t="str">
        <f>VLOOKUP($C2402,Carpetas!$C$5:$M$2666,5,FALSE)</f>
        <v>Salto</v>
      </c>
      <c r="L2402" s="230" t="s">
        <v>6116</v>
      </c>
      <c r="M2402" s="234">
        <f t="shared" si="171"/>
        <v>46207</v>
      </c>
      <c r="N2402" s="26">
        <f t="shared" si="169"/>
        <v>4</v>
      </c>
      <c r="O2402" s="27">
        <v>980</v>
      </c>
      <c r="P2402" s="27">
        <v>980</v>
      </c>
      <c r="Q2402" s="27">
        <v>28</v>
      </c>
      <c r="R2402" s="27">
        <v>27</v>
      </c>
      <c r="S2402" s="27" t="s">
        <v>2925</v>
      </c>
      <c r="T2402" s="27"/>
      <c r="U2402" s="27"/>
      <c r="V2402" s="27"/>
      <c r="W2402" s="27"/>
      <c r="X2402" s="128"/>
      <c r="Y2402" s="73" t="s">
        <v>6118</v>
      </c>
      <c r="Z2402" s="73" t="s">
        <v>6123</v>
      </c>
    </row>
    <row r="2403" spans="1:26" ht="30" hidden="1" x14ac:dyDescent="0.25">
      <c r="A2403" s="222">
        <v>27</v>
      </c>
      <c r="B2403" s="71" t="s">
        <v>29</v>
      </c>
      <c r="C2403" s="39" t="s">
        <v>6129</v>
      </c>
      <c r="D2403" s="106" t="s">
        <v>2202</v>
      </c>
      <c r="E2403" s="47">
        <v>46203</v>
      </c>
      <c r="F2403" s="31" t="str">
        <f>VLOOKUP($C2403,Carpetas!$C$5:$M$2666,2,FALSE)</f>
        <v>BRB058/26</v>
      </c>
      <c r="G2403" s="23">
        <f>VLOOKUP($C2403,Carpetas!$C$5:$M$2666,10,FALSE)</f>
        <v>1565123</v>
      </c>
      <c r="H2403" s="27" t="str">
        <f>VLOOKUP($C2403,Carpetas!$C$5:$M$2666,6,FALSE)</f>
        <v>AXT</v>
      </c>
      <c r="I2403" s="27" t="str">
        <f>VLOOKUP($C2403,Carpetas!$C$5:$M$2666,3,FALSE)</f>
        <v>A&amp;A</v>
      </c>
      <c r="J2403" s="47">
        <v>46206</v>
      </c>
      <c r="K2403" s="248" t="str">
        <f>VLOOKUP($C2403,Carpetas!$C$5:$M$2666,5,FALSE)</f>
        <v>Chuy</v>
      </c>
      <c r="L2403" s="254" t="s">
        <v>6116</v>
      </c>
      <c r="M2403" s="234">
        <f t="shared" si="171"/>
        <v>46207</v>
      </c>
      <c r="N2403" s="26">
        <f t="shared" si="169"/>
        <v>4</v>
      </c>
      <c r="O2403" s="27">
        <v>936</v>
      </c>
      <c r="P2403" s="27">
        <v>936</v>
      </c>
      <c r="Q2403" s="27">
        <v>26</v>
      </c>
      <c r="R2403" s="27">
        <v>25.5</v>
      </c>
      <c r="S2403" s="27" t="s">
        <v>6130</v>
      </c>
      <c r="T2403" s="27"/>
      <c r="U2403" s="27"/>
      <c r="V2403" s="27" t="s">
        <v>5656</v>
      </c>
      <c r="W2403" s="27" t="s">
        <v>5571</v>
      </c>
      <c r="X2403" s="128"/>
      <c r="Y2403" s="73" t="e">
        <f>VLOOKUP(X2403,Choferes!$B$3:C439,2,FALSE)</f>
        <v>#N/A</v>
      </c>
      <c r="Z2403" s="73" t="s">
        <v>6131</v>
      </c>
    </row>
    <row r="2404" spans="1:26" ht="30" hidden="1" x14ac:dyDescent="0.25">
      <c r="A2404" s="222">
        <v>27</v>
      </c>
      <c r="B2404" s="71" t="s">
        <v>29</v>
      </c>
      <c r="C2404" s="39" t="s">
        <v>6132</v>
      </c>
      <c r="D2404" s="106" t="s">
        <v>38</v>
      </c>
      <c r="E2404" s="47">
        <v>46205</v>
      </c>
      <c r="F2404" s="31" t="str">
        <f>VLOOKUP($C2404,Carpetas!$C$5:$M$2666,2,FALSE)</f>
        <v>BRE044-26</v>
      </c>
      <c r="G2404" s="23" t="str">
        <f>VLOOKUP($C2404,Carpetas!$C$5:$M$2666,10,FALSE)</f>
        <v>1561889/1561888/1561891</v>
      </c>
      <c r="H2404" s="27" t="str">
        <f>VLOOKUP($C2404,Carpetas!$C$5:$M$2666,6,FALSE)</f>
        <v>VPN</v>
      </c>
      <c r="I2404" s="27" t="str">
        <f>VLOOKUP($C2404,Carpetas!$C$5:$M$2666,3,FALSE)</f>
        <v>Dom Basto</v>
      </c>
      <c r="J2404" s="243">
        <v>46209</v>
      </c>
      <c r="K2404" s="249" t="str">
        <f>VLOOKUP($C2404,Carpetas!$C$5:$M$2666,5,FALSE)</f>
        <v>Chuy</v>
      </c>
      <c r="L2404" s="245" t="s">
        <v>1168</v>
      </c>
      <c r="M2404" s="234">
        <f t="shared" si="171"/>
        <v>46210</v>
      </c>
      <c r="N2404" s="26">
        <f t="shared" si="169"/>
        <v>5</v>
      </c>
      <c r="O2404" s="27">
        <v>1334</v>
      </c>
      <c r="P2404" s="27">
        <v>1333</v>
      </c>
      <c r="Q2404" s="27"/>
      <c r="R2404" s="27">
        <v>25</v>
      </c>
      <c r="S2404" s="27"/>
      <c r="T2404" s="27"/>
      <c r="U2404" s="27"/>
      <c r="V2404" s="27"/>
      <c r="W2404" s="27"/>
      <c r="X2404" s="128"/>
      <c r="Y2404" s="73" t="e">
        <f>VLOOKUP(X2404,Choferes!$B$3:C450,2,FALSE)</f>
        <v>#N/A</v>
      </c>
      <c r="Z2404" s="73" t="s">
        <v>6133</v>
      </c>
    </row>
    <row r="2405" spans="1:26" hidden="1" x14ac:dyDescent="0.25">
      <c r="A2405" s="222">
        <v>27</v>
      </c>
      <c r="B2405" s="71" t="s">
        <v>29</v>
      </c>
      <c r="C2405" s="39" t="s">
        <v>6134</v>
      </c>
      <c r="D2405" s="106" t="s">
        <v>38</v>
      </c>
      <c r="E2405" s="47">
        <v>46205</v>
      </c>
      <c r="F2405" s="31" t="str">
        <f>VLOOKUP($C2405,Carpetas!$C$5:$M$2666,2,FALSE)</f>
        <v>BRE046-26</v>
      </c>
      <c r="G2405" s="23" t="str">
        <f>VLOOKUP($C2405,Carpetas!$C$5:$M$2666,10,FALSE)</f>
        <v>156,25,14</v>
      </c>
      <c r="H2405" s="27" t="str">
        <f>VLOOKUP($C2405,Carpetas!$C$5:$M$2666,6,FALSE)</f>
        <v xml:space="preserve">Silvio </v>
      </c>
      <c r="I2405" s="27" t="str">
        <f>VLOOKUP($C2405,Carpetas!$C$5:$M$2666,3,FALSE)</f>
        <v>Etimex</v>
      </c>
      <c r="J2405" s="243">
        <v>46209</v>
      </c>
      <c r="K2405" s="250" t="str">
        <f>VLOOKUP($C2405,Carpetas!$C$5:$M$2666,5,FALSE)</f>
        <v>Rio Branco</v>
      </c>
      <c r="L2405" s="245" t="s">
        <v>4081</v>
      </c>
      <c r="M2405" s="234">
        <f t="shared" si="171"/>
        <v>46210</v>
      </c>
      <c r="N2405" s="26">
        <f t="shared" si="169"/>
        <v>5</v>
      </c>
      <c r="O2405" s="27">
        <v>936</v>
      </c>
      <c r="P2405" s="27">
        <v>936</v>
      </c>
      <c r="Q2405" s="27">
        <v>26</v>
      </c>
      <c r="R2405" s="27">
        <v>16</v>
      </c>
      <c r="S2405" s="27" t="s">
        <v>4211</v>
      </c>
      <c r="T2405" s="27"/>
      <c r="U2405" s="27">
        <v>7864</v>
      </c>
      <c r="V2405" s="27" t="s">
        <v>2994</v>
      </c>
      <c r="W2405" s="27" t="s">
        <v>2995</v>
      </c>
      <c r="X2405" s="128"/>
      <c r="Y2405" s="73" t="e">
        <f>VLOOKUP(X2405,Choferes!$B$3:C451,2,FALSE)</f>
        <v>#N/A</v>
      </c>
      <c r="Z2405" s="73" t="s">
        <v>6135</v>
      </c>
    </row>
    <row r="2406" spans="1:26" ht="15" hidden="1" customHeight="1" x14ac:dyDescent="0.25">
      <c r="A2406" s="222">
        <v>27</v>
      </c>
      <c r="B2406" s="71" t="s">
        <v>29</v>
      </c>
      <c r="C2406" s="39" t="s">
        <v>6136</v>
      </c>
      <c r="D2406" s="106" t="s">
        <v>6075</v>
      </c>
      <c r="E2406" s="47">
        <v>46206</v>
      </c>
      <c r="F2406" s="31" t="str">
        <f>VLOOKUP($C2406,Carpetas!$C$5:$M$2666,2,FALSE)</f>
        <v>BRB060/26</v>
      </c>
      <c r="G2406" s="23" t="str">
        <f>VLOOKUP($C2406,Carpetas!$C$5:$M$2666,10,FALSE)</f>
        <v>156,21,29</v>
      </c>
      <c r="H2406" s="27" t="str">
        <f>VLOOKUP($C2406,Carpetas!$C$5:$M$2666,6,FALSE)</f>
        <v>Amaro</v>
      </c>
      <c r="I2406" s="27" t="str">
        <f>VLOOKUP($C2406,Carpetas!$C$5:$M$2666,3,FALSE)</f>
        <v>Etimex</v>
      </c>
      <c r="J2406" s="243">
        <v>46209</v>
      </c>
      <c r="K2406" s="251" t="str">
        <f>VLOOKUP($C2406,Carpetas!$C$5:$M$2666,5,FALSE)</f>
        <v>Rio Branco</v>
      </c>
      <c r="L2406" s="245" t="s">
        <v>6116</v>
      </c>
      <c r="M2406" s="234">
        <f t="shared" si="171"/>
        <v>46210</v>
      </c>
      <c r="N2406" s="26">
        <f t="shared" si="169"/>
        <v>4</v>
      </c>
      <c r="O2406" s="27">
        <v>1008</v>
      </c>
      <c r="P2406" s="27">
        <v>976</v>
      </c>
      <c r="Q2406" s="27">
        <v>27</v>
      </c>
      <c r="R2406" s="27">
        <v>25.5</v>
      </c>
      <c r="S2406" s="27" t="s">
        <v>6137</v>
      </c>
      <c r="T2406" s="27"/>
      <c r="U2406" s="27">
        <v>28895</v>
      </c>
      <c r="V2406" s="27" t="s">
        <v>3416</v>
      </c>
      <c r="W2406" s="27" t="s">
        <v>3417</v>
      </c>
      <c r="X2406" s="128"/>
      <c r="Y2406" s="73" t="e">
        <f>VLOOKUP(X2406,Choferes!$B$3:C451,2,FALSE)</f>
        <v>#N/A</v>
      </c>
      <c r="Z2406" s="73" t="s">
        <v>6138</v>
      </c>
    </row>
    <row r="2407" spans="1:26" hidden="1" x14ac:dyDescent="0.25">
      <c r="A2407" s="222">
        <v>27</v>
      </c>
      <c r="B2407" s="71" t="s">
        <v>29</v>
      </c>
      <c r="C2407" s="39" t="s">
        <v>6085</v>
      </c>
      <c r="D2407" s="106" t="s">
        <v>5780</v>
      </c>
      <c r="E2407" s="47">
        <v>46206</v>
      </c>
      <c r="F2407" s="31" t="str">
        <f>VLOOKUP($C2407,Carpetas!$C$5:$M$2666,2,FALSE)</f>
        <v>BRB057/26</v>
      </c>
      <c r="G2407" s="23">
        <f>VLOOKUP($C2407,Carpetas!$C$5:$M$2666,10,FALSE)</f>
        <v>1560930</v>
      </c>
      <c r="H2407" s="27" t="str">
        <f>VLOOKUP($C2407,Carpetas!$C$5:$M$2666,6,FALSE)</f>
        <v>Chabat</v>
      </c>
      <c r="I2407" s="27" t="str">
        <f>VLOOKUP($C2407,Carpetas!$C$5:$M$2666,3,FALSE)</f>
        <v>Etimex</v>
      </c>
      <c r="J2407" s="243">
        <v>46209</v>
      </c>
      <c r="K2407" s="72" t="str">
        <f>VLOOKUP($C2407,Carpetas!$C$5:$M$2666,5,FALSE)</f>
        <v>Rio Branco</v>
      </c>
      <c r="L2407" s="245" t="s">
        <v>6116</v>
      </c>
      <c r="M2407" s="234">
        <f t="shared" si="171"/>
        <v>46210</v>
      </c>
      <c r="N2407" s="26">
        <f t="shared" si="169"/>
        <v>4</v>
      </c>
      <c r="O2407" s="27">
        <v>1008</v>
      </c>
      <c r="P2407" s="27">
        <v>1008</v>
      </c>
      <c r="Q2407" s="27">
        <v>28</v>
      </c>
      <c r="R2407" s="27">
        <v>24.5</v>
      </c>
      <c r="S2407" s="27" t="s">
        <v>6139</v>
      </c>
      <c r="T2407" s="27"/>
      <c r="U2407" s="27">
        <v>2584</v>
      </c>
      <c r="V2407" s="27" t="s">
        <v>4134</v>
      </c>
      <c r="W2407" s="27" t="s">
        <v>4635</v>
      </c>
      <c r="X2407" s="128"/>
      <c r="Y2407" s="73" t="e">
        <f>VLOOKUP(X2407,Choferes!$B$3:C451,2,FALSE)</f>
        <v>#N/A</v>
      </c>
      <c r="Z2407" s="73" t="s">
        <v>6140</v>
      </c>
    </row>
    <row r="2408" spans="1:26" hidden="1" x14ac:dyDescent="0.25">
      <c r="A2408" s="222">
        <v>27</v>
      </c>
      <c r="B2408" s="71" t="s">
        <v>29</v>
      </c>
      <c r="C2408" s="39" t="s">
        <v>6124</v>
      </c>
      <c r="D2408" s="106" t="s">
        <v>2474</v>
      </c>
      <c r="E2408" s="47">
        <v>46206</v>
      </c>
      <c r="F2408" s="31" t="str">
        <f>VLOOKUP($C2408,Carpetas!$C$5:$M$2666,2,FALSE)</f>
        <v>BRB059/26</v>
      </c>
      <c r="G2408" s="23">
        <f>VLOOKUP($C2408,Carpetas!$C$5:$M$2666,10,FALSE)</f>
        <v>1562128</v>
      </c>
      <c r="H2408" s="27" t="str">
        <f>VLOOKUP($C2408,Carpetas!$C$5:$M$2666,6,FALSE)</f>
        <v>FG</v>
      </c>
      <c r="I2408" s="27" t="str">
        <f>VLOOKUP($C2408,Carpetas!$C$5:$M$2666,3,FALSE)</f>
        <v>Etimex</v>
      </c>
      <c r="J2408" s="243">
        <v>46209</v>
      </c>
      <c r="K2408" s="246" t="str">
        <f>VLOOKUP($C2408,Carpetas!$C$5:$M$2666,5,FALSE)</f>
        <v>Rio Branco</v>
      </c>
      <c r="L2408" s="255" t="s">
        <v>6116</v>
      </c>
      <c r="M2408" s="234">
        <f t="shared" si="171"/>
        <v>46210</v>
      </c>
      <c r="N2408" s="26">
        <f t="shared" si="169"/>
        <v>4</v>
      </c>
      <c r="O2408" s="27">
        <v>1008</v>
      </c>
      <c r="P2408" s="27">
        <v>1008</v>
      </c>
      <c r="Q2408" s="27">
        <v>28</v>
      </c>
      <c r="R2408" s="27">
        <v>25</v>
      </c>
      <c r="S2408" s="27" t="s">
        <v>4017</v>
      </c>
      <c r="T2408" s="27"/>
      <c r="U2408" s="27">
        <v>1636</v>
      </c>
      <c r="V2408" s="27" t="s">
        <v>1735</v>
      </c>
      <c r="W2408" s="27" t="s">
        <v>1681</v>
      </c>
      <c r="X2408" s="128"/>
      <c r="Y2408" s="73" t="e">
        <f>VLOOKUP(X2408,Choferes!$B$3:C452,2,FALSE)</f>
        <v>#N/A</v>
      </c>
      <c r="Z2408" s="73" t="s">
        <v>6141</v>
      </c>
    </row>
    <row r="2409" spans="1:26" ht="30" hidden="1" x14ac:dyDescent="0.25">
      <c r="A2409" s="222">
        <v>27</v>
      </c>
      <c r="B2409" s="71" t="s">
        <v>29</v>
      </c>
      <c r="C2409" s="39" t="s">
        <v>6070</v>
      </c>
      <c r="D2409" s="106" t="s">
        <v>6011</v>
      </c>
      <c r="E2409" s="47">
        <v>46206</v>
      </c>
      <c r="F2409" s="31" t="str">
        <f>VLOOKUP($C2409,Carpetas!$C$5:$M$2666,2,FALSE)</f>
        <v>BRB054/26</v>
      </c>
      <c r="G2409" s="23" t="str">
        <f>VLOOKUP($C2409,Carpetas!$C$5:$M$2666,10,FALSE)</f>
        <v>156,09,31</v>
      </c>
      <c r="H2409" s="27" t="str">
        <f>VLOOKUP($C2409,Carpetas!$C$5:$M$2666,6,FALSE)</f>
        <v>Amaro</v>
      </c>
      <c r="I2409" s="27" t="str">
        <f>VLOOKUP($C2409,Carpetas!$C$5:$M$2666,3,FALSE)</f>
        <v>Etimex</v>
      </c>
      <c r="J2409" s="243">
        <v>46209</v>
      </c>
      <c r="K2409" s="252" t="str">
        <f>VLOOKUP($C2409,Carpetas!$C$5:$M$2666,5,FALSE)</f>
        <v>Rio Branco</v>
      </c>
      <c r="L2409" s="245" t="s">
        <v>6116</v>
      </c>
      <c r="M2409" s="234">
        <f t="shared" si="171"/>
        <v>46210</v>
      </c>
      <c r="N2409" s="26">
        <f t="shared" si="169"/>
        <v>4</v>
      </c>
      <c r="O2409" s="27">
        <v>1008</v>
      </c>
      <c r="P2409" s="27">
        <v>1040</v>
      </c>
      <c r="Q2409" s="27">
        <v>29</v>
      </c>
      <c r="R2409" s="27">
        <v>25</v>
      </c>
      <c r="S2409" s="27" t="s">
        <v>6142</v>
      </c>
      <c r="T2409" s="27"/>
      <c r="U2409" s="27">
        <v>28893</v>
      </c>
      <c r="V2409" s="27" t="s">
        <v>3283</v>
      </c>
      <c r="W2409" s="27" t="s">
        <v>6143</v>
      </c>
      <c r="X2409" s="128"/>
      <c r="Y2409" s="73" t="e">
        <f>VLOOKUP(X2409,Choferes!$B$3:C451,2,FALSE)</f>
        <v>#N/A</v>
      </c>
      <c r="Z2409" s="73" t="s">
        <v>6144</v>
      </c>
    </row>
    <row r="2410" spans="1:26" hidden="1" x14ac:dyDescent="0.25">
      <c r="A2410" s="222">
        <v>27</v>
      </c>
      <c r="B2410" s="71" t="s">
        <v>29</v>
      </c>
      <c r="C2410" s="39" t="s">
        <v>6124</v>
      </c>
      <c r="D2410" s="106" t="s">
        <v>110</v>
      </c>
      <c r="E2410" s="47">
        <v>46206</v>
      </c>
      <c r="F2410" s="31" t="str">
        <f>VLOOKUP($C2410,Carpetas!$C$5:$M$2666,2,FALSE)</f>
        <v>BRB059/26</v>
      </c>
      <c r="G2410" s="23">
        <f>VLOOKUP($C2410,Carpetas!$C$5:$M$2666,10,FALSE)</f>
        <v>1562128</v>
      </c>
      <c r="H2410" s="27" t="str">
        <f>VLOOKUP($C2410,Carpetas!$C$5:$M$2666,6,FALSE)</f>
        <v>FG</v>
      </c>
      <c r="I2410" s="27" t="str">
        <f>VLOOKUP($C2410,Carpetas!$C$5:$M$2666,3,FALSE)</f>
        <v>Etimex</v>
      </c>
      <c r="J2410" s="243">
        <v>46209</v>
      </c>
      <c r="K2410" s="247" t="str">
        <f>VLOOKUP($C2410,Carpetas!$C$5:$M$2666,5,FALSE)</f>
        <v>Rio Branco</v>
      </c>
      <c r="L2410" s="255" t="s">
        <v>6116</v>
      </c>
      <c r="M2410" s="234">
        <f t="shared" si="171"/>
        <v>46210</v>
      </c>
      <c r="N2410" s="26">
        <f t="shared" si="169"/>
        <v>4</v>
      </c>
      <c r="O2410" s="27">
        <v>1008</v>
      </c>
      <c r="P2410" s="27">
        <v>1009</v>
      </c>
      <c r="Q2410" s="27">
        <v>28</v>
      </c>
      <c r="R2410" s="27">
        <v>26.5</v>
      </c>
      <c r="S2410" s="27" t="s">
        <v>2036</v>
      </c>
      <c r="T2410" s="27"/>
      <c r="U2410" s="27">
        <v>1635</v>
      </c>
      <c r="V2410" s="27" t="s">
        <v>6145</v>
      </c>
      <c r="W2410" s="27" t="s">
        <v>1646</v>
      </c>
      <c r="X2410" s="128"/>
      <c r="Y2410" s="73" t="e">
        <f>VLOOKUP(X2410,Choferes!$B$3:C452,2,FALSE)</f>
        <v>#N/A</v>
      </c>
      <c r="Z2410" s="73" t="s">
        <v>6146</v>
      </c>
    </row>
    <row r="2411" spans="1:26" hidden="1" x14ac:dyDescent="0.25">
      <c r="A2411" s="222">
        <v>27</v>
      </c>
      <c r="B2411" s="71" t="s">
        <v>29</v>
      </c>
      <c r="C2411" s="39" t="s">
        <v>6124</v>
      </c>
      <c r="D2411" s="106" t="s">
        <v>5640</v>
      </c>
      <c r="E2411" s="47">
        <v>46206</v>
      </c>
      <c r="F2411" s="31" t="str">
        <f>VLOOKUP($C2411,Carpetas!$C$5:$M$2666,2,FALSE)</f>
        <v>BRB059/26</v>
      </c>
      <c r="G2411" s="23">
        <f>VLOOKUP($C2411,Carpetas!$C$5:$M$2666,10,FALSE)</f>
        <v>1562128</v>
      </c>
      <c r="H2411" s="27" t="str">
        <f>VLOOKUP($C2411,Carpetas!$C$5:$M$2666,6,FALSE)</f>
        <v>FG</v>
      </c>
      <c r="I2411" s="27" t="str">
        <f>VLOOKUP($C2411,Carpetas!$C$5:$M$2666,3,FALSE)</f>
        <v>Etimex</v>
      </c>
      <c r="J2411" s="243">
        <v>46209</v>
      </c>
      <c r="K2411" s="253" t="str">
        <f>VLOOKUP($C2411,Carpetas!$C$5:$M$2666,5,FALSE)</f>
        <v>Rio Branco</v>
      </c>
      <c r="L2411" s="245" t="s">
        <v>6116</v>
      </c>
      <c r="M2411" s="234">
        <f t="shared" si="171"/>
        <v>46210</v>
      </c>
      <c r="N2411" s="26">
        <f t="shared" si="169"/>
        <v>4</v>
      </c>
      <c r="O2411" s="27">
        <v>1008</v>
      </c>
      <c r="P2411" s="27">
        <v>1008</v>
      </c>
      <c r="Q2411" s="27">
        <v>28</v>
      </c>
      <c r="R2411" s="27">
        <v>25</v>
      </c>
      <c r="S2411" s="27" t="s">
        <v>6147</v>
      </c>
      <c r="T2411" s="27"/>
      <c r="U2411" s="27">
        <v>1634</v>
      </c>
      <c r="V2411" s="27" t="s">
        <v>1430</v>
      </c>
      <c r="W2411" s="27" t="s">
        <v>5449</v>
      </c>
      <c r="X2411" s="128"/>
      <c r="Y2411" s="73" t="e">
        <f>VLOOKUP(X2411,Choferes!$B$3:C452,2,FALSE)</f>
        <v>#N/A</v>
      </c>
      <c r="Z2411" s="73" t="s">
        <v>6148</v>
      </c>
    </row>
    <row r="2412" spans="1:26" hidden="1" x14ac:dyDescent="0.25">
      <c r="A2412" s="222">
        <v>27</v>
      </c>
      <c r="B2412" s="71" t="s">
        <v>29</v>
      </c>
      <c r="C2412" s="39" t="s">
        <v>6149</v>
      </c>
      <c r="D2412" s="106" t="s">
        <v>38</v>
      </c>
      <c r="E2412" s="47">
        <v>46205</v>
      </c>
      <c r="F2412" s="31" t="str">
        <f>VLOOKUP($C2412,Carpetas!$C$5:$M$2666,2,FALSE)</f>
        <v>BRE045-26</v>
      </c>
      <c r="G2412" s="23">
        <f>VLOOKUP($C2412,Carpetas!$C$5:$M$2666,10,FALSE)</f>
        <v>1561553</v>
      </c>
      <c r="H2412" s="27" t="str">
        <f>VLOOKUP($C2412,Carpetas!$C$5:$M$2666,6,FALSE)</f>
        <v>VPN</v>
      </c>
      <c r="I2412" s="27" t="str">
        <f>VLOOKUP($C2412,Carpetas!$C$5:$M$2666,3,FALSE)</f>
        <v>Dom Basto</v>
      </c>
      <c r="J2412" s="243">
        <v>46211</v>
      </c>
      <c r="K2412" s="244" t="str">
        <f>VLOOKUP($C2412,Carpetas!$C$5:$M$2666,5,FALSE)</f>
        <v>Chuy</v>
      </c>
      <c r="L2412" s="256" t="s">
        <v>2042</v>
      </c>
      <c r="M2412" s="234">
        <f t="shared" si="171"/>
        <v>46212</v>
      </c>
      <c r="N2412" s="26">
        <f t="shared" si="169"/>
        <v>7</v>
      </c>
      <c r="O2412" s="27">
        <v>1400</v>
      </c>
      <c r="P2412" s="27">
        <v>1397</v>
      </c>
      <c r="Q2412" s="27">
        <v>28</v>
      </c>
      <c r="R2412" s="27">
        <v>9</v>
      </c>
      <c r="S2412" s="27" t="s">
        <v>6150</v>
      </c>
      <c r="T2412" s="27"/>
      <c r="U2412" s="27"/>
      <c r="V2412" s="27"/>
      <c r="W2412" s="27"/>
      <c r="X2412" s="128"/>
      <c r="Y2412" s="73" t="e">
        <f>VLOOKUP(X2412,Choferes!$B$3:C453,2,FALSE)</f>
        <v>#N/A</v>
      </c>
      <c r="Z2412" s="73" t="s">
        <v>6151</v>
      </c>
    </row>
    <row r="2413" spans="1:26" ht="30" hidden="1" x14ac:dyDescent="0.25">
      <c r="A2413" s="222">
        <v>27</v>
      </c>
      <c r="B2413" s="71" t="s">
        <v>29</v>
      </c>
      <c r="C2413" s="39" t="s">
        <v>6152</v>
      </c>
      <c r="D2413" s="106" t="s">
        <v>38</v>
      </c>
      <c r="E2413" s="47">
        <v>46205</v>
      </c>
      <c r="F2413" s="31" t="str">
        <f>VLOOKUP($C2413,Carpetas!$C$5:$M$2666,2,FALSE)</f>
        <v>BRE048-26</v>
      </c>
      <c r="G2413" s="23" t="str">
        <f>VLOOKUP($C2413,Carpetas!$C$5:$M$2666,10,FALSE)</f>
        <v>156.19.54/1562591/1562595</v>
      </c>
      <c r="H2413" s="27" t="str">
        <f>VLOOKUP($C2413,Carpetas!$C$5:$M$2666,6,FALSE)</f>
        <v>VPN</v>
      </c>
      <c r="I2413" s="27" t="str">
        <f>VLOOKUP($C2413,Carpetas!$C$5:$M$2666,3,FALSE)</f>
        <v>Dom Basto</v>
      </c>
      <c r="J2413" s="243">
        <v>46212</v>
      </c>
      <c r="K2413" s="258" t="str">
        <f>VLOOKUP($C2413,Carpetas!$C$5:$M$2666,5,FALSE)</f>
        <v>Chuy</v>
      </c>
      <c r="L2413" s="256" t="s">
        <v>6153</v>
      </c>
      <c r="M2413" s="234">
        <f t="shared" si="171"/>
        <v>46213</v>
      </c>
      <c r="N2413" s="26">
        <f t="shared" si="169"/>
        <v>8</v>
      </c>
      <c r="O2413" s="27">
        <f>2592+520+216+50</f>
        <v>3378</v>
      </c>
      <c r="P2413" s="27">
        <v>3378</v>
      </c>
      <c r="Q2413" s="27">
        <v>26</v>
      </c>
      <c r="R2413" s="27"/>
      <c r="S2413" s="27" t="s">
        <v>6154</v>
      </c>
      <c r="T2413" s="27"/>
      <c r="U2413" s="27"/>
      <c r="V2413" s="27"/>
      <c r="W2413" s="27"/>
      <c r="X2413" s="128"/>
      <c r="Y2413" s="73" t="e">
        <f>VLOOKUP(X2413,Choferes!$B$3:C454,2,FALSE)</f>
        <v>#N/A</v>
      </c>
      <c r="Z2413" s="73" t="s">
        <v>6155</v>
      </c>
    </row>
    <row r="2414" spans="1:26" hidden="1" x14ac:dyDescent="0.25">
      <c r="A2414" s="222">
        <v>28</v>
      </c>
      <c r="B2414" s="71" t="s">
        <v>29</v>
      </c>
      <c r="C2414" s="39" t="s">
        <v>6156</v>
      </c>
      <c r="D2414" s="106" t="s">
        <v>183</v>
      </c>
      <c r="E2414" s="47">
        <v>46209</v>
      </c>
      <c r="F2414" s="31" t="str">
        <f>VLOOKUP($C2414,Carpetas!$C$5:$M$2666,2,FALSE)</f>
        <v>PYB042/26</v>
      </c>
      <c r="G2414" s="23">
        <f>VLOOKUP($C2414,Carpetas!$C$5:$M$2666,10,FALSE)</f>
        <v>1562680</v>
      </c>
      <c r="H2414" s="27" t="str">
        <f>VLOOKUP($C2414,Carpetas!$C$5:$M$2666,6,FALSE)</f>
        <v>Mega Logistica</v>
      </c>
      <c r="I2414" s="27" t="str">
        <f>VLOOKUP($C2414,Carpetas!$C$5:$M$2666,3,FALSE)</f>
        <v>Hugo Franco</v>
      </c>
      <c r="J2414" s="243">
        <v>46212</v>
      </c>
      <c r="K2414" s="261" t="str">
        <f>VLOOKUP($C2414,Carpetas!$C$5:$M$2666,5,FALSE)</f>
        <v>Salto</v>
      </c>
      <c r="L2414" s="262" t="s">
        <v>6116</v>
      </c>
      <c r="M2414" s="234">
        <f t="shared" si="171"/>
        <v>46213</v>
      </c>
      <c r="N2414" s="26">
        <f t="shared" si="169"/>
        <v>4</v>
      </c>
      <c r="O2414" s="27">
        <v>980</v>
      </c>
      <c r="P2414" s="27">
        <v>981</v>
      </c>
      <c r="Q2414" s="27">
        <v>28</v>
      </c>
      <c r="R2414" s="27">
        <v>26</v>
      </c>
      <c r="S2414" s="27" t="s">
        <v>6157</v>
      </c>
      <c r="T2414" s="27"/>
      <c r="U2414" s="27"/>
      <c r="V2414" s="27"/>
      <c r="W2414" s="27"/>
      <c r="X2414" s="128"/>
      <c r="Y2414" s="73" t="e">
        <f>VLOOKUP(X2414,Choferes!$B$3:C462,2,FALSE)</f>
        <v>#N/A</v>
      </c>
      <c r="Z2414" s="73" t="s">
        <v>6158</v>
      </c>
    </row>
    <row r="2415" spans="1:26" hidden="1" x14ac:dyDescent="0.25">
      <c r="A2415" s="222">
        <v>28</v>
      </c>
      <c r="B2415" s="71" t="s">
        <v>29</v>
      </c>
      <c r="C2415" s="39" t="s">
        <v>6156</v>
      </c>
      <c r="D2415" s="106" t="s">
        <v>183</v>
      </c>
      <c r="E2415" s="47">
        <v>46209</v>
      </c>
      <c r="F2415" s="31" t="str">
        <f>VLOOKUP($C2415,Carpetas!$C$5:$M$2666,2,FALSE)</f>
        <v>PYB042/26</v>
      </c>
      <c r="G2415" s="23">
        <f>VLOOKUP($C2415,Carpetas!$C$5:$M$2666,10,FALSE)</f>
        <v>1562680</v>
      </c>
      <c r="H2415" s="27" t="str">
        <f>VLOOKUP($C2415,Carpetas!$C$5:$M$2666,6,FALSE)</f>
        <v>Mega Logistica</v>
      </c>
      <c r="I2415" s="27" t="str">
        <f>VLOOKUP($C2415,Carpetas!$C$5:$M$2666,3,FALSE)</f>
        <v>Hugo Franco</v>
      </c>
      <c r="J2415" s="243">
        <v>46212</v>
      </c>
      <c r="K2415" s="260" t="str">
        <f>VLOOKUP($C2415,Carpetas!$C$5:$M$2666,5,FALSE)</f>
        <v>Salto</v>
      </c>
      <c r="L2415" s="262" t="s">
        <v>6116</v>
      </c>
      <c r="M2415" s="234">
        <f t="shared" si="171"/>
        <v>46213</v>
      </c>
      <c r="N2415" s="26">
        <f t="shared" si="169"/>
        <v>4</v>
      </c>
      <c r="O2415" s="27">
        <v>980</v>
      </c>
      <c r="P2415" s="27">
        <v>980</v>
      </c>
      <c r="Q2415" s="27">
        <v>28</v>
      </c>
      <c r="R2415" s="27">
        <v>26</v>
      </c>
      <c r="S2415" s="27" t="s">
        <v>6159</v>
      </c>
      <c r="T2415" s="27"/>
      <c r="U2415" s="27"/>
      <c r="V2415" s="27"/>
      <c r="W2415" s="27"/>
      <c r="X2415" s="128"/>
      <c r="Y2415" s="73" t="e">
        <f>VLOOKUP(X2415,Choferes!$B$3:C463,2,FALSE)</f>
        <v>#N/A</v>
      </c>
      <c r="Z2415" s="73" t="s">
        <v>6160</v>
      </c>
    </row>
    <row r="2416" spans="1:26" hidden="1" x14ac:dyDescent="0.25">
      <c r="A2416" s="222">
        <v>27</v>
      </c>
      <c r="B2416" s="71" t="s">
        <v>29</v>
      </c>
      <c r="C2416" s="39" t="s">
        <v>6161</v>
      </c>
      <c r="D2416" s="106" t="s">
        <v>38</v>
      </c>
      <c r="E2416" s="47">
        <v>46210</v>
      </c>
      <c r="F2416" s="31" t="str">
        <f>VLOOKUP($C2416,Carpetas!$C$5:$M$2666,2,FALSE)</f>
        <v>BRE047-26</v>
      </c>
      <c r="G2416" s="23">
        <f>VLOOKUP($C2416,Carpetas!$C$5:$M$2666,10,FALSE)</f>
        <v>1562068</v>
      </c>
      <c r="H2416" s="27" t="str">
        <f>VLOOKUP($C2416,Carpetas!$C$5:$M$2666,6,FALSE)</f>
        <v xml:space="preserve">Silvio </v>
      </c>
      <c r="I2416" s="27" t="str">
        <f>VLOOKUP($C2416,Carpetas!$C$5:$M$2666,3,FALSE)</f>
        <v>Jaguacy</v>
      </c>
      <c r="J2416" s="243">
        <v>46213</v>
      </c>
      <c r="K2416" s="260" t="str">
        <f>VLOOKUP($C2416,Carpetas!$C$5:$M$2666,5,FALSE)</f>
        <v>Chuy</v>
      </c>
      <c r="L2416" s="262" t="s">
        <v>5813</v>
      </c>
      <c r="M2416" s="234">
        <f t="shared" si="171"/>
        <v>46214</v>
      </c>
      <c r="N2416" s="26">
        <f t="shared" si="169"/>
        <v>4</v>
      </c>
      <c r="O2416" s="27">
        <v>2280</v>
      </c>
      <c r="P2416" s="27">
        <v>2279</v>
      </c>
      <c r="Q2416" s="27">
        <v>24</v>
      </c>
      <c r="R2416" s="27">
        <v>10</v>
      </c>
      <c r="S2416" s="27" t="s">
        <v>6162</v>
      </c>
      <c r="T2416" s="27"/>
      <c r="U2416" s="27"/>
      <c r="V2416" s="27"/>
      <c r="W2416" s="27"/>
      <c r="X2416" s="128"/>
      <c r="Y2416" s="73" t="e">
        <f>VLOOKUP(X2416,Choferes!$B$3:C455,2,FALSE)</f>
        <v>#N/A</v>
      </c>
      <c r="Z2416" s="73" t="s">
        <v>6163</v>
      </c>
    </row>
    <row r="2417" spans="1:26" hidden="1" x14ac:dyDescent="0.25">
      <c r="A2417" s="222">
        <v>28</v>
      </c>
      <c r="B2417" s="71" t="s">
        <v>29</v>
      </c>
      <c r="C2417" s="39" t="s">
        <v>6124</v>
      </c>
      <c r="D2417" s="106" t="s">
        <v>2474</v>
      </c>
      <c r="E2417" s="47">
        <v>46213</v>
      </c>
      <c r="F2417" s="31" t="str">
        <f>VLOOKUP($C2417,Carpetas!$C$5:$M$2666,2,FALSE)</f>
        <v>BRB059/26</v>
      </c>
      <c r="G2417" s="23">
        <f>VLOOKUP($C2417,Carpetas!$C$5:$M$2666,10,FALSE)</f>
        <v>1562128</v>
      </c>
      <c r="H2417" s="27" t="str">
        <f>VLOOKUP($C2417,Carpetas!$C$5:$M$2666,6,FALSE)</f>
        <v>FG</v>
      </c>
      <c r="I2417" s="27" t="str">
        <f>VLOOKUP($C2417,Carpetas!$C$5:$M$2666,3,FALSE)</f>
        <v>Etimex</v>
      </c>
      <c r="J2417" s="243">
        <f t="shared" ref="J2417:J2424" si="172">E2417+2</f>
        <v>46215</v>
      </c>
      <c r="K2417" s="260" t="str">
        <f>VLOOKUP($C2417,Carpetas!$C$5:$M$2666,5,FALSE)</f>
        <v>Rio Branco</v>
      </c>
      <c r="L2417" s="262" t="s">
        <v>6116</v>
      </c>
      <c r="M2417" s="234">
        <f t="shared" si="171"/>
        <v>46216</v>
      </c>
      <c r="N2417" s="26">
        <f t="shared" si="169"/>
        <v>3</v>
      </c>
      <c r="O2417" s="27">
        <v>1008</v>
      </c>
      <c r="P2417" s="27">
        <v>1008</v>
      </c>
      <c r="Q2417" s="27">
        <v>28</v>
      </c>
      <c r="R2417" s="27">
        <v>24</v>
      </c>
      <c r="S2417" s="27" t="s">
        <v>4027</v>
      </c>
      <c r="T2417" s="27"/>
      <c r="U2417" s="27">
        <v>1652</v>
      </c>
      <c r="V2417" s="27" t="s">
        <v>5317</v>
      </c>
      <c r="W2417" s="27" t="s">
        <v>1627</v>
      </c>
      <c r="X2417" s="128"/>
      <c r="Y2417" s="73" t="e">
        <f>VLOOKUP(X2417,Choferes!$B$3:C455,2,FALSE)</f>
        <v>#N/A</v>
      </c>
      <c r="Z2417" s="73" t="s">
        <v>6164</v>
      </c>
    </row>
    <row r="2418" spans="1:26" hidden="1" x14ac:dyDescent="0.25">
      <c r="A2418" s="222">
        <v>28</v>
      </c>
      <c r="B2418" s="71" t="s">
        <v>29</v>
      </c>
      <c r="C2418" s="39" t="s">
        <v>6129</v>
      </c>
      <c r="D2418" s="106" t="s">
        <v>2202</v>
      </c>
      <c r="E2418" s="47">
        <v>46213</v>
      </c>
      <c r="F2418" s="31" t="str">
        <f>VLOOKUP($C2418,Carpetas!$C$5:$M$2666,2,FALSE)</f>
        <v>BRB058/26</v>
      </c>
      <c r="G2418" s="23">
        <f>VLOOKUP($C2418,Carpetas!$C$5:$M$2666,10,FALSE)</f>
        <v>1565123</v>
      </c>
      <c r="H2418" s="27" t="str">
        <f>VLOOKUP($C2418,Carpetas!$C$5:$M$2666,6,FALSE)</f>
        <v>AXT</v>
      </c>
      <c r="I2418" s="27" t="str">
        <f>VLOOKUP($C2418,Carpetas!$C$5:$M$2666,3,FALSE)</f>
        <v>A&amp;A</v>
      </c>
      <c r="J2418" s="243">
        <f t="shared" si="172"/>
        <v>46215</v>
      </c>
      <c r="K2418" s="260" t="str">
        <f>VLOOKUP($C2418,Carpetas!$C$5:$M$2666,5,FALSE)</f>
        <v>Chuy</v>
      </c>
      <c r="L2418" s="262" t="s">
        <v>6116</v>
      </c>
      <c r="M2418" s="234">
        <f t="shared" si="171"/>
        <v>46216</v>
      </c>
      <c r="N2418" s="26">
        <f t="shared" si="169"/>
        <v>3</v>
      </c>
      <c r="O2418" s="27">
        <v>936</v>
      </c>
      <c r="P2418" s="27">
        <v>937</v>
      </c>
      <c r="Q2418" s="27">
        <v>26</v>
      </c>
      <c r="R2418" s="27">
        <v>25</v>
      </c>
      <c r="S2418" s="27" t="s">
        <v>6165</v>
      </c>
      <c r="T2418" s="27"/>
      <c r="U2418" s="27"/>
      <c r="V2418" s="27" t="s">
        <v>5691</v>
      </c>
      <c r="W2418" s="27" t="s">
        <v>3161</v>
      </c>
      <c r="X2418" s="128"/>
      <c r="Y2418" s="73" t="e">
        <f>VLOOKUP(X2418,Choferes!$B$3:C454,2,FALSE)</f>
        <v>#N/A</v>
      </c>
      <c r="Z2418" s="73" t="s">
        <v>6166</v>
      </c>
    </row>
    <row r="2419" spans="1:26" hidden="1" x14ac:dyDescent="0.25">
      <c r="A2419" s="222">
        <v>28</v>
      </c>
      <c r="B2419" s="71" t="s">
        <v>29</v>
      </c>
      <c r="C2419" s="39" t="s">
        <v>6124</v>
      </c>
      <c r="D2419" s="106" t="s">
        <v>249</v>
      </c>
      <c r="E2419" s="47">
        <v>46213</v>
      </c>
      <c r="F2419" s="31" t="str">
        <f>VLOOKUP($C2419,Carpetas!$C$5:$M$2666,2,FALSE)</f>
        <v>BRB059/26</v>
      </c>
      <c r="G2419" s="23">
        <f>VLOOKUP($C2419,Carpetas!$C$5:$M$2666,10,FALSE)</f>
        <v>1562128</v>
      </c>
      <c r="H2419" s="27" t="str">
        <f>VLOOKUP($C2419,Carpetas!$C$5:$M$2666,6,FALSE)</f>
        <v>FG</v>
      </c>
      <c r="I2419" s="27" t="str">
        <f>VLOOKUP($C2419,Carpetas!$C$5:$M$2666,3,FALSE)</f>
        <v>Etimex</v>
      </c>
      <c r="J2419" s="243">
        <f t="shared" si="172"/>
        <v>46215</v>
      </c>
      <c r="K2419" s="260" t="str">
        <f>VLOOKUP($C2419,Carpetas!$C$5:$M$2666,5,FALSE)</f>
        <v>Rio Branco</v>
      </c>
      <c r="L2419" s="262" t="s">
        <v>6116</v>
      </c>
      <c r="M2419" s="234">
        <f t="shared" si="171"/>
        <v>46216</v>
      </c>
      <c r="N2419" s="26">
        <f t="shared" si="169"/>
        <v>3</v>
      </c>
      <c r="O2419" s="27">
        <v>1008</v>
      </c>
      <c r="P2419" s="27">
        <v>1008</v>
      </c>
      <c r="Q2419" s="27">
        <v>28</v>
      </c>
      <c r="R2419" s="27">
        <v>25</v>
      </c>
      <c r="S2419" s="27" t="s">
        <v>2794</v>
      </c>
      <c r="T2419" s="27"/>
      <c r="U2419" s="27">
        <v>1655</v>
      </c>
      <c r="V2419" s="27" t="s">
        <v>3669</v>
      </c>
      <c r="W2419" s="27" t="s">
        <v>912</v>
      </c>
      <c r="X2419" s="128"/>
      <c r="Y2419" s="73" t="e">
        <f>VLOOKUP(X2419,Choferes!$B$3:C456,2,FALSE)</f>
        <v>#N/A</v>
      </c>
      <c r="Z2419" s="73" t="s">
        <v>6167</v>
      </c>
    </row>
    <row r="2420" spans="1:26" hidden="1" x14ac:dyDescent="0.25">
      <c r="A2420" s="222">
        <v>28</v>
      </c>
      <c r="B2420" s="71" t="s">
        <v>29</v>
      </c>
      <c r="C2420" s="39" t="s">
        <v>6124</v>
      </c>
      <c r="D2420" s="106" t="s">
        <v>110</v>
      </c>
      <c r="E2420" s="47">
        <v>46213</v>
      </c>
      <c r="F2420" s="31" t="str">
        <f>VLOOKUP($C2420,Carpetas!$C$5:$M$2666,2,FALSE)</f>
        <v>BRB059/26</v>
      </c>
      <c r="G2420" s="23">
        <f>VLOOKUP($C2420,Carpetas!$C$5:$M$2666,10,FALSE)</f>
        <v>1562128</v>
      </c>
      <c r="H2420" s="27" t="str">
        <f>VLOOKUP($C2420,Carpetas!$C$5:$M$2666,6,FALSE)</f>
        <v>FG</v>
      </c>
      <c r="I2420" s="27" t="str">
        <f>VLOOKUP($C2420,Carpetas!$C$5:$M$2666,3,FALSE)</f>
        <v>Etimex</v>
      </c>
      <c r="J2420" s="243">
        <f t="shared" si="172"/>
        <v>46215</v>
      </c>
      <c r="K2420" s="260" t="str">
        <f>VLOOKUP($C2420,Carpetas!$C$5:$M$2666,5,FALSE)</f>
        <v>Rio Branco</v>
      </c>
      <c r="L2420" s="262" t="s">
        <v>6116</v>
      </c>
      <c r="M2420" s="234">
        <f t="shared" si="171"/>
        <v>46216</v>
      </c>
      <c r="N2420" s="26">
        <f t="shared" si="169"/>
        <v>3</v>
      </c>
      <c r="O2420" s="27">
        <v>1008</v>
      </c>
      <c r="P2420" s="27">
        <v>10009</v>
      </c>
      <c r="Q2420" s="27">
        <v>28</v>
      </c>
      <c r="R2420" s="27">
        <v>25.5</v>
      </c>
      <c r="S2420" s="27" t="s">
        <v>2072</v>
      </c>
      <c r="T2420" s="27"/>
      <c r="U2420" s="27">
        <v>1653</v>
      </c>
      <c r="V2420" s="27" t="s">
        <v>1722</v>
      </c>
      <c r="W2420" s="27" t="s">
        <v>1723</v>
      </c>
      <c r="X2420" s="128"/>
      <c r="Y2420" s="73" t="e">
        <f>VLOOKUP(X2420,Choferes!$B$3:C457,2,FALSE)</f>
        <v>#N/A</v>
      </c>
      <c r="Z2420" s="73" t="s">
        <v>6168</v>
      </c>
    </row>
    <row r="2421" spans="1:26" hidden="1" x14ac:dyDescent="0.25">
      <c r="A2421" s="222">
        <v>28</v>
      </c>
      <c r="B2421" s="71" t="s">
        <v>29</v>
      </c>
      <c r="C2421" s="39" t="s">
        <v>6124</v>
      </c>
      <c r="D2421" s="106" t="s">
        <v>5640</v>
      </c>
      <c r="E2421" s="47">
        <v>46213</v>
      </c>
      <c r="F2421" s="31" t="str">
        <f>VLOOKUP($C2421,Carpetas!$C$5:$M$2666,2,FALSE)</f>
        <v>BRB059/26</v>
      </c>
      <c r="G2421" s="23">
        <f>VLOOKUP($C2421,Carpetas!$C$5:$M$2666,10,FALSE)</f>
        <v>1562128</v>
      </c>
      <c r="H2421" s="27" t="str">
        <f>VLOOKUP($C2421,Carpetas!$C$5:$M$2666,6,FALSE)</f>
        <v>FG</v>
      </c>
      <c r="I2421" s="27" t="str">
        <f>VLOOKUP($C2421,Carpetas!$C$5:$M$2666,3,FALSE)</f>
        <v>Etimex</v>
      </c>
      <c r="J2421" s="243">
        <f t="shared" si="172"/>
        <v>46215</v>
      </c>
      <c r="K2421" s="260" t="str">
        <f>VLOOKUP($C2421,Carpetas!$C$5:$M$2666,5,FALSE)</f>
        <v>Rio Branco</v>
      </c>
      <c r="L2421" s="262" t="s">
        <v>6116</v>
      </c>
      <c r="M2421" s="234">
        <f t="shared" si="171"/>
        <v>46216</v>
      </c>
      <c r="N2421" s="26">
        <f t="shared" si="169"/>
        <v>3</v>
      </c>
      <c r="O2421" s="27">
        <v>1008</v>
      </c>
      <c r="P2421" s="27">
        <v>1018</v>
      </c>
      <c r="Q2421" s="27">
        <v>28</v>
      </c>
      <c r="R2421" s="27">
        <v>25</v>
      </c>
      <c r="S2421" s="27" t="s">
        <v>6169</v>
      </c>
      <c r="T2421" s="27"/>
      <c r="U2421" s="27">
        <v>1654</v>
      </c>
      <c r="V2421" s="27" t="s">
        <v>3411</v>
      </c>
      <c r="W2421" s="27" t="s">
        <v>5398</v>
      </c>
      <c r="X2421" s="128"/>
      <c r="Y2421" s="73" t="e">
        <f>VLOOKUP(X2421,Choferes!$B$3:C458,2,FALSE)</f>
        <v>#N/A</v>
      </c>
      <c r="Z2421" s="73" t="s">
        <v>6170</v>
      </c>
    </row>
    <row r="2422" spans="1:26" ht="30" hidden="1" x14ac:dyDescent="0.25">
      <c r="A2422" s="222">
        <v>28</v>
      </c>
      <c r="B2422" s="71" t="s">
        <v>29</v>
      </c>
      <c r="C2422" s="39" t="s">
        <v>6085</v>
      </c>
      <c r="D2422" s="106" t="s">
        <v>5765</v>
      </c>
      <c r="E2422" s="47">
        <v>46213</v>
      </c>
      <c r="F2422" s="31" t="str">
        <f>VLOOKUP($C2422,Carpetas!$C$5:$M$2666,2,FALSE)</f>
        <v>BRB057/26</v>
      </c>
      <c r="G2422" s="23">
        <f>VLOOKUP($C2422,Carpetas!$C$5:$M$2666,10,FALSE)</f>
        <v>1560930</v>
      </c>
      <c r="H2422" s="27" t="str">
        <f>VLOOKUP($C2422,Carpetas!$C$5:$M$2666,6,FALSE)</f>
        <v>Chabat</v>
      </c>
      <c r="I2422" s="27" t="str">
        <f>VLOOKUP($C2422,Carpetas!$C$5:$M$2666,3,FALSE)</f>
        <v>Etimex</v>
      </c>
      <c r="J2422" s="243">
        <f t="shared" si="172"/>
        <v>46215</v>
      </c>
      <c r="K2422" s="260" t="str">
        <f>VLOOKUP($C2422,Carpetas!$C$5:$M$2666,5,FALSE)</f>
        <v>Rio Branco</v>
      </c>
      <c r="L2422" s="262" t="s">
        <v>6116</v>
      </c>
      <c r="M2422" s="259">
        <f t="shared" si="171"/>
        <v>46216</v>
      </c>
      <c r="N2422" s="26">
        <f t="shared" si="169"/>
        <v>3</v>
      </c>
      <c r="O2422" s="27">
        <v>1008</v>
      </c>
      <c r="P2422" s="27">
        <v>1026</v>
      </c>
      <c r="Q2422" s="27">
        <v>28</v>
      </c>
      <c r="R2422" s="27">
        <v>25.5</v>
      </c>
      <c r="S2422" s="27" t="s">
        <v>6171</v>
      </c>
      <c r="T2422" s="27"/>
      <c r="U2422" s="27">
        <v>2585</v>
      </c>
      <c r="V2422" s="27" t="s">
        <v>5759</v>
      </c>
      <c r="W2422" s="27" t="s">
        <v>4223</v>
      </c>
      <c r="X2422" s="128"/>
      <c r="Y2422" s="73" t="e">
        <f>VLOOKUP(X2422,Choferes!$B$3:C461,2,FALSE)</f>
        <v>#N/A</v>
      </c>
      <c r="Z2422" s="73" t="s">
        <v>6172</v>
      </c>
    </row>
    <row r="2423" spans="1:26" hidden="1" x14ac:dyDescent="0.25">
      <c r="A2423" s="222">
        <v>28</v>
      </c>
      <c r="B2423" s="71" t="s">
        <v>29</v>
      </c>
      <c r="C2423" s="39" t="s">
        <v>6136</v>
      </c>
      <c r="D2423" s="106" t="s">
        <v>5746</v>
      </c>
      <c r="E2423" s="47">
        <v>46213</v>
      </c>
      <c r="F2423" s="31" t="str">
        <f>VLOOKUP($C2423,Carpetas!$C$5:$M$2666,2,FALSE)</f>
        <v>BRB060/26</v>
      </c>
      <c r="G2423" s="23" t="str">
        <f>VLOOKUP($C2423,Carpetas!$C$5:$M$2666,10,FALSE)</f>
        <v>156,21,29</v>
      </c>
      <c r="H2423" s="27" t="str">
        <f>VLOOKUP($C2423,Carpetas!$C$5:$M$2666,6,FALSE)</f>
        <v>Amaro</v>
      </c>
      <c r="I2423" s="27" t="str">
        <f>VLOOKUP($C2423,Carpetas!$C$5:$M$2666,3,FALSE)</f>
        <v>Etimex</v>
      </c>
      <c r="J2423" s="243">
        <f t="shared" si="172"/>
        <v>46215</v>
      </c>
      <c r="K2423" s="260" t="str">
        <f>VLOOKUP($C2423,Carpetas!$C$5:$M$2666,5,FALSE)</f>
        <v>Rio Branco</v>
      </c>
      <c r="L2423" s="266" t="s">
        <v>6116</v>
      </c>
      <c r="M2423" s="270">
        <f>J2423+1+1</f>
        <v>46217</v>
      </c>
      <c r="N2423" s="267">
        <f t="shared" si="169"/>
        <v>4</v>
      </c>
      <c r="O2423" s="27">
        <v>1008</v>
      </c>
      <c r="P2423" s="27">
        <v>1008</v>
      </c>
      <c r="Q2423" s="27">
        <v>28</v>
      </c>
      <c r="R2423" s="27">
        <v>25</v>
      </c>
      <c r="S2423" s="27" t="s">
        <v>6173</v>
      </c>
      <c r="T2423" s="27"/>
      <c r="U2423" s="27">
        <v>28941</v>
      </c>
      <c r="V2423" s="27" t="s">
        <v>5205</v>
      </c>
      <c r="W2423" s="27" t="s">
        <v>2620</v>
      </c>
      <c r="X2423" s="128"/>
      <c r="Y2423" s="73" t="e">
        <f>VLOOKUP(X2423,Choferes!$B$3:C459,2,FALSE)</f>
        <v>#N/A</v>
      </c>
      <c r="Z2423" s="73" t="s">
        <v>6174</v>
      </c>
    </row>
    <row r="2424" spans="1:26" hidden="1" x14ac:dyDescent="0.25">
      <c r="A2424" s="222">
        <v>28</v>
      </c>
      <c r="B2424" s="71" t="s">
        <v>29</v>
      </c>
      <c r="C2424" s="39" t="s">
        <v>6136</v>
      </c>
      <c r="D2424" s="106" t="s">
        <v>5507</v>
      </c>
      <c r="E2424" s="47">
        <v>46213</v>
      </c>
      <c r="F2424" s="31" t="str">
        <f>VLOOKUP($C2424,Carpetas!$C$5:$M$2666,2,FALSE)</f>
        <v>BRB060/26</v>
      </c>
      <c r="G2424" s="23" t="str">
        <f>VLOOKUP($C2424,Carpetas!$C$5:$M$2666,10,FALSE)</f>
        <v>156,21,29</v>
      </c>
      <c r="H2424" s="27" t="str">
        <f>VLOOKUP($C2424,Carpetas!$C$5:$M$2666,6,FALSE)</f>
        <v>Amaro</v>
      </c>
      <c r="I2424" s="27" t="str">
        <f>VLOOKUP($C2424,Carpetas!$C$5:$M$2666,3,FALSE)</f>
        <v>Etimex</v>
      </c>
      <c r="J2424" s="243">
        <f t="shared" si="172"/>
        <v>46215</v>
      </c>
      <c r="K2424" s="261" t="str">
        <f>VLOOKUP($C2424,Carpetas!$C$5:$M$2666,5,FALSE)</f>
        <v>Rio Branco</v>
      </c>
      <c r="L2424" s="263" t="s">
        <v>6116</v>
      </c>
      <c r="M2424" s="264">
        <f>J2424+1+1</f>
        <v>46217</v>
      </c>
      <c r="N2424" s="265">
        <f t="shared" si="169"/>
        <v>4</v>
      </c>
      <c r="O2424" s="239">
        <v>1008</v>
      </c>
      <c r="P2424" s="27">
        <v>1008</v>
      </c>
      <c r="Q2424" s="27">
        <v>28</v>
      </c>
      <c r="R2424" s="27">
        <v>25</v>
      </c>
      <c r="S2424" s="27" t="s">
        <v>6175</v>
      </c>
      <c r="T2424" s="27"/>
      <c r="U2424" s="27">
        <v>28942</v>
      </c>
      <c r="V2424" s="27" t="s">
        <v>2986</v>
      </c>
      <c r="W2424" s="27" t="s">
        <v>1907</v>
      </c>
      <c r="X2424" s="128"/>
      <c r="Y2424" s="73" t="e">
        <f>VLOOKUP(X2424,Choferes!$B$3:C460,2,FALSE)</f>
        <v>#N/A</v>
      </c>
      <c r="Z2424" s="73" t="s">
        <v>6176</v>
      </c>
    </row>
    <row r="2425" spans="1:26" hidden="1" x14ac:dyDescent="0.25">
      <c r="A2425" s="222">
        <v>29</v>
      </c>
      <c r="B2425" s="71" t="s">
        <v>29</v>
      </c>
      <c r="C2425" s="39" t="s">
        <v>6177</v>
      </c>
      <c r="D2425" s="106" t="s">
        <v>183</v>
      </c>
      <c r="E2425" s="47">
        <v>46215</v>
      </c>
      <c r="F2425" s="31" t="e">
        <f>VLOOKUP($C2425,Carpetas!$C$5:$M$2666,2,FALSE)</f>
        <v>#N/A</v>
      </c>
      <c r="G2425" s="23" t="e">
        <f>VLOOKUP($C2425,Carpetas!$C$5:$M$2666,10,FALSE)</f>
        <v>#N/A</v>
      </c>
      <c r="H2425" s="27" t="e">
        <f>VLOOKUP($C2425,Carpetas!$C$5:$M$2666,6,FALSE)</f>
        <v>#N/A</v>
      </c>
      <c r="I2425" s="27" t="e">
        <f>VLOOKUP($C2425,Carpetas!$C$5:$M$2666,3,FALSE)</f>
        <v>#N/A</v>
      </c>
      <c r="J2425" s="243">
        <v>46217</v>
      </c>
      <c r="K2425" s="261" t="e">
        <f>VLOOKUP($C2425,Carpetas!$C$5:$M$2666,5,FALSE)</f>
        <v>#N/A</v>
      </c>
      <c r="L2425" s="263" t="s">
        <v>6116</v>
      </c>
      <c r="M2425" s="264">
        <f>J2425+1</f>
        <v>46218</v>
      </c>
      <c r="N2425" s="265">
        <f t="shared" si="169"/>
        <v>3</v>
      </c>
      <c r="O2425" s="239">
        <v>980</v>
      </c>
      <c r="P2425" s="27">
        <v>981</v>
      </c>
      <c r="Q2425" s="27">
        <v>28</v>
      </c>
      <c r="R2425" s="27">
        <v>26</v>
      </c>
      <c r="S2425" s="27" t="s">
        <v>6178</v>
      </c>
      <c r="T2425" s="27"/>
      <c r="U2425" s="27"/>
      <c r="V2425" s="27"/>
      <c r="W2425" s="27"/>
      <c r="X2425" s="128"/>
      <c r="Y2425" s="73" t="e">
        <f>VLOOKUP(X2425,Choferes!$B$3:C462,2,FALSE)</f>
        <v>#N/A</v>
      </c>
      <c r="Z2425" s="73" t="s">
        <v>6179</v>
      </c>
    </row>
    <row r="2426" spans="1:26" hidden="1" x14ac:dyDescent="0.25">
      <c r="A2426" s="222">
        <v>29</v>
      </c>
      <c r="B2426" s="71" t="s">
        <v>29</v>
      </c>
      <c r="C2426" s="39" t="s">
        <v>6177</v>
      </c>
      <c r="D2426" s="106" t="s">
        <v>183</v>
      </c>
      <c r="E2426" s="47">
        <v>46215</v>
      </c>
      <c r="F2426" s="31" t="e">
        <f>VLOOKUP($C2426,Carpetas!$C$5:$M$2666,2,FALSE)</f>
        <v>#N/A</v>
      </c>
      <c r="G2426" s="23" t="e">
        <f>VLOOKUP($C2426,Carpetas!$C$5:$M$2666,10,FALSE)</f>
        <v>#N/A</v>
      </c>
      <c r="H2426" s="27" t="e">
        <f>VLOOKUP($C2426,Carpetas!$C$5:$M$2666,6,FALSE)</f>
        <v>#N/A</v>
      </c>
      <c r="I2426" s="27" t="e">
        <f>VLOOKUP($C2426,Carpetas!$C$5:$M$2666,3,FALSE)</f>
        <v>#N/A</v>
      </c>
      <c r="J2426" s="243">
        <v>46217</v>
      </c>
      <c r="K2426" s="261" t="e">
        <f>VLOOKUP($C2426,Carpetas!$C$5:$M$2666,5,FALSE)</f>
        <v>#N/A</v>
      </c>
      <c r="L2426" s="263" t="s">
        <v>6116</v>
      </c>
      <c r="M2426" s="264">
        <f>J2426+1</f>
        <v>46218</v>
      </c>
      <c r="N2426" s="265">
        <f t="shared" si="169"/>
        <v>3</v>
      </c>
      <c r="O2426" s="239">
        <v>980</v>
      </c>
      <c r="P2426" s="27">
        <v>981</v>
      </c>
      <c r="Q2426" s="27">
        <v>26</v>
      </c>
      <c r="R2426" s="27">
        <v>26</v>
      </c>
      <c r="S2426" s="27" t="s">
        <v>6180</v>
      </c>
      <c r="T2426" s="27"/>
      <c r="U2426" s="27"/>
      <c r="V2426" s="27"/>
      <c r="W2426" s="27"/>
      <c r="X2426" s="128"/>
      <c r="Y2426" s="73" t="e">
        <f>VLOOKUP(X2426,Choferes!$B$3:C463,2,FALSE)</f>
        <v>#N/A</v>
      </c>
      <c r="Z2426" s="73" t="s">
        <v>6181</v>
      </c>
    </row>
    <row r="2427" spans="1:26" hidden="1" x14ac:dyDescent="0.25">
      <c r="A2427" s="222">
        <v>29</v>
      </c>
      <c r="B2427" s="71" t="s">
        <v>29</v>
      </c>
      <c r="C2427" s="39" t="s">
        <v>6177</v>
      </c>
      <c r="D2427" s="106" t="s">
        <v>183</v>
      </c>
      <c r="E2427" s="47">
        <v>46217</v>
      </c>
      <c r="F2427" s="31" t="e">
        <f>VLOOKUP($C2427,Carpetas!$C$5:$M$2666,2,FALSE)</f>
        <v>#N/A</v>
      </c>
      <c r="G2427" s="23" t="e">
        <f>VLOOKUP($C2427,Carpetas!$C$5:$M$2666,10,FALSE)</f>
        <v>#N/A</v>
      </c>
      <c r="H2427" s="27" t="e">
        <f>VLOOKUP($C2427,Carpetas!$C$5:$M$2666,6,FALSE)</f>
        <v>#N/A</v>
      </c>
      <c r="I2427" s="27" t="e">
        <f>VLOOKUP($C2427,Carpetas!$C$5:$M$2666,3,FALSE)</f>
        <v>#N/A</v>
      </c>
      <c r="J2427" s="243">
        <v>46217</v>
      </c>
      <c r="K2427" s="261" t="e">
        <f>VLOOKUP($C2427,Carpetas!$C$5:$M$2666,5,FALSE)</f>
        <v>#N/A</v>
      </c>
      <c r="L2427" s="263" t="s">
        <v>6116</v>
      </c>
      <c r="M2427" s="264">
        <f>J2427+1</f>
        <v>46218</v>
      </c>
      <c r="N2427" s="265">
        <f t="shared" si="169"/>
        <v>1</v>
      </c>
      <c r="O2427" s="239">
        <v>980</v>
      </c>
      <c r="P2427" s="27">
        <v>980</v>
      </c>
      <c r="Q2427" s="27">
        <v>27</v>
      </c>
      <c r="R2427" s="27">
        <v>26</v>
      </c>
      <c r="S2427" s="27" t="s">
        <v>6182</v>
      </c>
      <c r="T2427" s="27"/>
      <c r="U2427" s="27"/>
      <c r="V2427" s="27"/>
      <c r="W2427" s="27"/>
      <c r="X2427" s="128"/>
      <c r="Y2427" s="73" t="e">
        <f>VLOOKUP(X2427,Choferes!$B$3:C464,2,FALSE)</f>
        <v>#N/A</v>
      </c>
      <c r="Z2427" s="73" t="s">
        <v>6183</v>
      </c>
    </row>
    <row r="2428" spans="1:26" hidden="1" x14ac:dyDescent="0.25">
      <c r="A2428" s="222">
        <v>28</v>
      </c>
      <c r="B2428" s="71" t="s">
        <v>29</v>
      </c>
      <c r="C2428" s="39" t="s">
        <v>6184</v>
      </c>
      <c r="D2428" s="106" t="s">
        <v>38</v>
      </c>
      <c r="E2428" s="47">
        <v>46217</v>
      </c>
      <c r="F2428" s="31" t="str">
        <f>VLOOKUP($C2428,Carpetas!$C$5:$M$2666,2,FALSE)</f>
        <v>BRE049-26</v>
      </c>
      <c r="G2428" s="23">
        <f>VLOOKUP($C2428,Carpetas!$C$5:$M$2666,10,FALSE)</f>
        <v>1562069</v>
      </c>
      <c r="H2428" s="27" t="str">
        <f>VLOOKUP($C2428,Carpetas!$C$5:$M$2666,6,FALSE)</f>
        <v xml:space="preserve">Silvio </v>
      </c>
      <c r="I2428" s="27" t="str">
        <f>VLOOKUP($C2428,Carpetas!$C$5:$M$2666,3,FALSE)</f>
        <v>Jaguacy</v>
      </c>
      <c r="J2428" s="243">
        <v>46219</v>
      </c>
      <c r="K2428" s="261" t="str">
        <f>VLOOKUP($C2428,Carpetas!$C$5:$M$2666,5,FALSE)</f>
        <v>Chuy</v>
      </c>
      <c r="L2428" s="263" t="s">
        <v>5813</v>
      </c>
      <c r="M2428" s="264">
        <f>J2428+1</f>
        <v>46220</v>
      </c>
      <c r="N2428" s="265">
        <f t="shared" si="169"/>
        <v>3</v>
      </c>
      <c r="O2428" s="239">
        <v>2204</v>
      </c>
      <c r="P2428" s="27">
        <v>2304</v>
      </c>
      <c r="Q2428" s="27">
        <v>24</v>
      </c>
      <c r="R2428" s="27">
        <v>10</v>
      </c>
      <c r="S2428" s="27" t="s">
        <v>3506</v>
      </c>
      <c r="T2428" s="27"/>
      <c r="U2428" s="27"/>
      <c r="V2428" s="27"/>
      <c r="W2428" s="27"/>
      <c r="X2428" s="128"/>
      <c r="Y2428" s="73" t="e">
        <f>VLOOKUP(X2428,Choferes!$B$3:C451,2,FALSE)</f>
        <v>#N/A</v>
      </c>
      <c r="Z2428" s="73" t="s">
        <v>6185</v>
      </c>
    </row>
    <row r="2429" spans="1:26" hidden="1" x14ac:dyDescent="0.25">
      <c r="A2429" s="222">
        <v>29</v>
      </c>
      <c r="B2429" s="71" t="s">
        <v>29</v>
      </c>
      <c r="C2429" s="39" t="s">
        <v>6186</v>
      </c>
      <c r="D2429" s="106" t="s">
        <v>102</v>
      </c>
      <c r="E2429" s="47">
        <v>46215</v>
      </c>
      <c r="F2429" s="31" t="str">
        <f>VLOOKUP($C2429,Carpetas!$C$5:$M$2666,2,FALSE)</f>
        <v>PYB044/26</v>
      </c>
      <c r="G2429" s="23" t="str">
        <f>VLOOKUP($C2429,Carpetas!$C$5:$M$2666,10,FALSE)</f>
        <v>156.32.48</v>
      </c>
      <c r="H2429" s="27" t="str">
        <f>VLOOKUP($C2429,Carpetas!$C$5:$M$2666,6,FALSE)</f>
        <v>G.S.C.S. PARAGUAY TTES.</v>
      </c>
      <c r="I2429" s="27" t="str">
        <f>VLOOKUP($C2429,Carpetas!$C$5:$M$2666,3,FALSE)</f>
        <v>Milciades Sosa</v>
      </c>
      <c r="J2429" s="243">
        <v>46219</v>
      </c>
      <c r="K2429" s="261" t="str">
        <f>VLOOKUP($C2429,Carpetas!$C$5:$M$2666,5,FALSE)</f>
        <v>Salto</v>
      </c>
      <c r="L2429" s="263" t="s">
        <v>6116</v>
      </c>
      <c r="M2429" s="264">
        <f>J2429+1+1</f>
        <v>46221</v>
      </c>
      <c r="N2429" s="265">
        <f t="shared" si="169"/>
        <v>6</v>
      </c>
      <c r="O2429" s="239">
        <v>980</v>
      </c>
      <c r="P2429" s="27">
        <v>980</v>
      </c>
      <c r="Q2429" s="27">
        <v>27</v>
      </c>
      <c r="R2429" s="27">
        <v>26.5</v>
      </c>
      <c r="S2429" s="27" t="s">
        <v>6187</v>
      </c>
      <c r="T2429" s="27"/>
      <c r="U2429" s="27"/>
      <c r="V2429" s="27"/>
      <c r="W2429" s="27"/>
      <c r="X2429" s="128"/>
      <c r="Y2429" s="73" t="e">
        <f>VLOOKUP(X2429,Choferes!$B$3:C465,2,FALSE)</f>
        <v>#N/A</v>
      </c>
      <c r="Z2429" s="73" t="s">
        <v>6188</v>
      </c>
    </row>
    <row r="2430" spans="1:26" hidden="1" x14ac:dyDescent="0.25">
      <c r="A2430" s="222">
        <v>29</v>
      </c>
      <c r="B2430" s="71" t="s">
        <v>29</v>
      </c>
      <c r="C2430" s="39" t="s">
        <v>6124</v>
      </c>
      <c r="D2430" s="106" t="s">
        <v>2474</v>
      </c>
      <c r="E2430" s="47">
        <v>46218</v>
      </c>
      <c r="F2430" s="31" t="str">
        <f>VLOOKUP($C2430,Carpetas!$C$5:$M$2666,2,FALSE)</f>
        <v>BRB059/26</v>
      </c>
      <c r="G2430" s="23">
        <f>VLOOKUP($C2430,Carpetas!$C$5:$M$2666,10,FALSE)</f>
        <v>1562128</v>
      </c>
      <c r="H2430" s="27" t="str">
        <f>VLOOKUP($C2430,Carpetas!$C$5:$M$2666,6,FALSE)</f>
        <v>FG</v>
      </c>
      <c r="I2430" s="27" t="str">
        <f>VLOOKUP($C2430,Carpetas!$C$5:$M$2666,3,FALSE)</f>
        <v>Etimex</v>
      </c>
      <c r="J2430" s="243">
        <f>E2430+2</f>
        <v>46220</v>
      </c>
      <c r="K2430" s="261" t="str">
        <f>VLOOKUP($C2430,Carpetas!$C$5:$M$2666,5,FALSE)</f>
        <v>Rio Branco</v>
      </c>
      <c r="L2430" s="263" t="s">
        <v>6116</v>
      </c>
      <c r="M2430" s="264">
        <f>J2430+1</f>
        <v>46221</v>
      </c>
      <c r="N2430" s="265">
        <f t="shared" si="169"/>
        <v>3</v>
      </c>
      <c r="O2430" s="239">
        <v>1008</v>
      </c>
      <c r="P2430" s="27">
        <v>1008</v>
      </c>
      <c r="Q2430" s="27">
        <v>28</v>
      </c>
      <c r="R2430" s="27">
        <v>25</v>
      </c>
      <c r="S2430" s="27" t="s">
        <v>4061</v>
      </c>
      <c r="T2430" s="27"/>
      <c r="U2430" s="27">
        <v>1662</v>
      </c>
      <c r="V2430" s="27" t="s">
        <v>1626</v>
      </c>
      <c r="W2430" s="27" t="s">
        <v>1736</v>
      </c>
      <c r="X2430" s="128"/>
      <c r="Y2430" s="73" t="e">
        <f>VLOOKUP(X2430,Choferes!$B$3:C467,2,FALSE)</f>
        <v>#N/A</v>
      </c>
      <c r="Z2430" s="73" t="s">
        <v>6189</v>
      </c>
    </row>
    <row r="2431" spans="1:26" hidden="1" x14ac:dyDescent="0.25">
      <c r="A2431" s="222">
        <v>29</v>
      </c>
      <c r="B2431" s="71" t="s">
        <v>29</v>
      </c>
      <c r="C2431" s="39" t="s">
        <v>6190</v>
      </c>
      <c r="D2431" s="106" t="s">
        <v>110</v>
      </c>
      <c r="E2431" s="47">
        <v>46218</v>
      </c>
      <c r="F2431" s="31" t="str">
        <f>VLOOKUP($C2431,Carpetas!$C$5:$M$2666,2,FALSE)</f>
        <v>BRB061/26</v>
      </c>
      <c r="G2431" s="23" t="str">
        <f>VLOOKUP($C2431,Carpetas!$C$5:$M$2666,10,FALSE)</f>
        <v>156.34.33</v>
      </c>
      <c r="H2431" s="27" t="str">
        <f>VLOOKUP($C2431,Carpetas!$C$5:$M$2666,6,FALSE)</f>
        <v>FG</v>
      </c>
      <c r="I2431" s="27" t="str">
        <f>VLOOKUP($C2431,Carpetas!$C$5:$M$2666,3,FALSE)</f>
        <v>Etimex</v>
      </c>
      <c r="J2431" s="243">
        <f>E2431+2</f>
        <v>46220</v>
      </c>
      <c r="K2431" s="261" t="str">
        <f>VLOOKUP($C2431,Carpetas!$C$5:$M$2666,5,FALSE)</f>
        <v>Rio Branco</v>
      </c>
      <c r="L2431" s="263" t="s">
        <v>6116</v>
      </c>
      <c r="M2431" s="264">
        <f>J2431+1</f>
        <v>46221</v>
      </c>
      <c r="N2431" s="265">
        <f t="shared" si="169"/>
        <v>3</v>
      </c>
      <c r="O2431" s="239">
        <v>1008</v>
      </c>
      <c r="P2431" s="27">
        <v>1009</v>
      </c>
      <c r="Q2431" s="27">
        <v>28</v>
      </c>
      <c r="R2431" s="27">
        <v>25.5</v>
      </c>
      <c r="S2431" s="27" t="s">
        <v>2116</v>
      </c>
      <c r="T2431" s="27"/>
      <c r="U2431" s="27">
        <v>1664</v>
      </c>
      <c r="V2431" s="27" t="s">
        <v>1863</v>
      </c>
      <c r="W2431" s="27" t="s">
        <v>1864</v>
      </c>
      <c r="X2431" s="128" t="s">
        <v>1935</v>
      </c>
      <c r="Y2431" s="73" t="str">
        <f>VLOOKUP(X2431,Choferes!$B$3:C468,2,FALSE)</f>
        <v>+5554984377792</v>
      </c>
      <c r="Z2431" s="73" t="s">
        <v>6191</v>
      </c>
    </row>
    <row r="2432" spans="1:26" hidden="1" x14ac:dyDescent="0.25">
      <c r="A2432" s="222">
        <v>29</v>
      </c>
      <c r="B2432" s="71" t="s">
        <v>29</v>
      </c>
      <c r="C2432" s="39" t="s">
        <v>6192</v>
      </c>
      <c r="D2432" s="106" t="s">
        <v>5746</v>
      </c>
      <c r="E2432" s="47">
        <v>46218</v>
      </c>
      <c r="F2432" s="31" t="str">
        <f>VLOOKUP($C2432,Carpetas!$C$5:$M$2666,2,FALSE)</f>
        <v>BRB062/26</v>
      </c>
      <c r="G2432" s="23" t="str">
        <f>VLOOKUP($C2432,Carpetas!$C$5:$M$2666,10,FALSE)</f>
        <v>156.34.34</v>
      </c>
      <c r="H2432" s="27" t="str">
        <f>VLOOKUP($C2432,Carpetas!$C$5:$M$2666,6,FALSE)</f>
        <v>Amaro</v>
      </c>
      <c r="I2432" s="27" t="str">
        <f>VLOOKUP($C2432,Carpetas!$C$5:$M$2666,3,FALSE)</f>
        <v>Etimex</v>
      </c>
      <c r="J2432" s="243">
        <f>E2432+2</f>
        <v>46220</v>
      </c>
      <c r="K2432" s="261" t="str">
        <f>VLOOKUP($C2432,Carpetas!$C$5:$M$2666,5,FALSE)</f>
        <v>Rio Branco</v>
      </c>
      <c r="L2432" s="263" t="s">
        <v>6116</v>
      </c>
      <c r="M2432" s="264">
        <v>46223</v>
      </c>
      <c r="N2432" s="265">
        <f t="shared" si="169"/>
        <v>5</v>
      </c>
      <c r="O2432" s="239">
        <v>1008</v>
      </c>
      <c r="P2432" s="27">
        <v>1008</v>
      </c>
      <c r="Q2432" s="27">
        <v>28</v>
      </c>
      <c r="R2432" s="27">
        <v>26</v>
      </c>
      <c r="S2432" s="27" t="s">
        <v>6193</v>
      </c>
      <c r="T2432" s="27"/>
      <c r="U2432" s="27">
        <v>28965</v>
      </c>
      <c r="V2432" s="27" t="s">
        <v>2619</v>
      </c>
      <c r="W2432" s="27" t="s">
        <v>2137</v>
      </c>
      <c r="X2432" s="128" t="s">
        <v>6194</v>
      </c>
      <c r="Y2432" s="73" t="str">
        <f>VLOOKUP(X2432,Choferes!$B$3:C469,2,FALSE)</f>
        <v>+55 53 9173-3828</v>
      </c>
      <c r="Z2432" s="73" t="s">
        <v>6195</v>
      </c>
    </row>
    <row r="2433" spans="1:26" hidden="1" x14ac:dyDescent="0.25">
      <c r="A2433" s="222">
        <v>29</v>
      </c>
      <c r="B2433" s="71" t="s">
        <v>29</v>
      </c>
      <c r="C2433" s="39" t="s">
        <v>6190</v>
      </c>
      <c r="D2433" s="106" t="s">
        <v>2474</v>
      </c>
      <c r="E2433" s="47">
        <v>46220</v>
      </c>
      <c r="F2433" s="31" t="str">
        <f>VLOOKUP($C2433,Carpetas!$C$5:$M$2666,2,FALSE)</f>
        <v>BRB061/26</v>
      </c>
      <c r="G2433" s="23" t="str">
        <f>VLOOKUP($C2433,Carpetas!$C$5:$M$2666,10,FALSE)</f>
        <v>156.34.33</v>
      </c>
      <c r="H2433" s="27" t="str">
        <f>VLOOKUP($C2433,Carpetas!$C$5:$M$2666,6,FALSE)</f>
        <v>FG</v>
      </c>
      <c r="I2433" s="27" t="str">
        <f>VLOOKUP($C2433,Carpetas!$C$5:$M$2666,3,FALSE)</f>
        <v>Etimex</v>
      </c>
      <c r="J2433" s="243">
        <v>46223</v>
      </c>
      <c r="K2433" s="261" t="str">
        <f>VLOOKUP($C2433,Carpetas!$C$5:$M$2666,5,FALSE)</f>
        <v>Rio Branco</v>
      </c>
      <c r="L2433" s="263" t="s">
        <v>6116</v>
      </c>
      <c r="M2433" s="264">
        <f t="shared" ref="M2433:M2442" si="173">J2433+1</f>
        <v>46224</v>
      </c>
      <c r="N2433" s="265">
        <f t="shared" si="169"/>
        <v>4</v>
      </c>
      <c r="O2433" s="239">
        <v>1008</v>
      </c>
      <c r="P2433" s="27">
        <v>1008</v>
      </c>
      <c r="Q2433" s="27">
        <v>28</v>
      </c>
      <c r="R2433" s="27">
        <v>26</v>
      </c>
      <c r="S2433" s="27" t="s">
        <v>4063</v>
      </c>
      <c r="T2433" s="27"/>
      <c r="U2433" s="27">
        <v>1672</v>
      </c>
      <c r="V2433" s="27" t="s">
        <v>5817</v>
      </c>
      <c r="W2433" s="27" t="s">
        <v>5318</v>
      </c>
      <c r="X2433" s="128" t="s">
        <v>1489</v>
      </c>
      <c r="Y2433" s="73" t="str">
        <f>VLOOKUP(X2433,Choferes!$B$3:C470,2,FALSE)</f>
        <v>+5553984039582</v>
      </c>
      <c r="Z2433" s="73" t="s">
        <v>6196</v>
      </c>
    </row>
    <row r="2434" spans="1:26" hidden="1" x14ac:dyDescent="0.25">
      <c r="A2434" s="222">
        <v>29</v>
      </c>
      <c r="B2434" s="71" t="s">
        <v>29</v>
      </c>
      <c r="C2434" s="39" t="s">
        <v>6197</v>
      </c>
      <c r="D2434" s="106" t="s">
        <v>2202</v>
      </c>
      <c r="E2434" s="47">
        <v>46220</v>
      </c>
      <c r="F2434" s="31" t="str">
        <f>VLOOKUP($C2434,Carpetas!$C$5:$M$2666,2,FALSE)</f>
        <v>BRB064/26</v>
      </c>
      <c r="G2434" s="23" t="str">
        <f>VLOOKUP($C2434,Carpetas!$C$5:$M$2666,10,FALSE)</f>
        <v>156,35,31</v>
      </c>
      <c r="H2434" s="27" t="str">
        <f>VLOOKUP($C2434,Carpetas!$C$5:$M$2666,6,FALSE)</f>
        <v>AXT</v>
      </c>
      <c r="I2434" s="27" t="str">
        <f>VLOOKUP($C2434,Carpetas!$C$5:$M$2666,3,FALSE)</f>
        <v>A&amp;A</v>
      </c>
      <c r="J2434" s="243">
        <v>46223</v>
      </c>
      <c r="K2434" s="261" t="str">
        <f>VLOOKUP($C2434,Carpetas!$C$5:$M$2666,5,FALSE)</f>
        <v>Chuy</v>
      </c>
      <c r="L2434" s="263" t="s">
        <v>6116</v>
      </c>
      <c r="M2434" s="264">
        <f t="shared" si="173"/>
        <v>46224</v>
      </c>
      <c r="N2434" s="265">
        <f t="shared" si="169"/>
        <v>4</v>
      </c>
      <c r="O2434" s="239">
        <v>936</v>
      </c>
      <c r="P2434" s="27">
        <v>936</v>
      </c>
      <c r="Q2434" s="27">
        <v>26</v>
      </c>
      <c r="R2434" s="27">
        <v>25</v>
      </c>
      <c r="S2434" s="27" t="s">
        <v>6198</v>
      </c>
      <c r="T2434" s="27"/>
      <c r="U2434" s="27"/>
      <c r="V2434" s="27" t="s">
        <v>5935</v>
      </c>
      <c r="W2434" s="27" t="s">
        <v>5936</v>
      </c>
      <c r="X2434" s="128"/>
      <c r="Y2434" s="73" t="e">
        <f>VLOOKUP(X2434,Choferes!$B$3:C471,2,FALSE)</f>
        <v>#N/A</v>
      </c>
      <c r="Z2434" s="73" t="s">
        <v>6199</v>
      </c>
    </row>
    <row r="2435" spans="1:26" hidden="1" x14ac:dyDescent="0.25">
      <c r="A2435" s="222">
        <v>29</v>
      </c>
      <c r="B2435" s="71" t="s">
        <v>29</v>
      </c>
      <c r="C2435" s="39" t="s">
        <v>6190</v>
      </c>
      <c r="D2435" s="106" t="s">
        <v>5507</v>
      </c>
      <c r="E2435" s="47">
        <v>46220</v>
      </c>
      <c r="F2435" s="31" t="str">
        <f>VLOOKUP($C2435,Carpetas!$C$5:$M$2666,2,FALSE)</f>
        <v>BRB061/26</v>
      </c>
      <c r="G2435" s="23" t="str">
        <f>VLOOKUP($C2435,Carpetas!$C$5:$M$2666,10,FALSE)</f>
        <v>156.34.33</v>
      </c>
      <c r="H2435" s="27" t="str">
        <f>VLOOKUP($C2435,Carpetas!$C$5:$M$2666,6,FALSE)</f>
        <v>FG</v>
      </c>
      <c r="I2435" s="27" t="str">
        <f>VLOOKUP($C2435,Carpetas!$C$5:$M$2666,3,FALSE)</f>
        <v>Etimex</v>
      </c>
      <c r="J2435" s="243">
        <v>46223</v>
      </c>
      <c r="K2435" s="261" t="str">
        <f>VLOOKUP($C2435,Carpetas!$C$5:$M$2666,5,FALSE)</f>
        <v>Rio Branco</v>
      </c>
      <c r="L2435" s="263" t="s">
        <v>6116</v>
      </c>
      <c r="M2435" s="264">
        <f t="shared" si="173"/>
        <v>46224</v>
      </c>
      <c r="N2435" s="265">
        <f t="shared" si="169"/>
        <v>4</v>
      </c>
      <c r="O2435" s="239">
        <v>1008</v>
      </c>
      <c r="P2435" s="27">
        <v>1008</v>
      </c>
      <c r="Q2435" s="27">
        <v>28</v>
      </c>
      <c r="R2435" s="27">
        <v>26</v>
      </c>
      <c r="S2435" s="27" t="s">
        <v>6200</v>
      </c>
      <c r="T2435" s="27"/>
      <c r="U2435" s="27">
        <v>1670</v>
      </c>
      <c r="V2435" s="27" t="s">
        <v>1722</v>
      </c>
      <c r="W2435" s="27" t="s">
        <v>1723</v>
      </c>
      <c r="X2435" s="128" t="s">
        <v>5009</v>
      </c>
      <c r="Y2435" s="73" t="str">
        <f>VLOOKUP(X2435,Choferes!$B$3:C472,2,FALSE)</f>
        <v>+598 98 195 659</v>
      </c>
      <c r="Z2435" s="73" t="s">
        <v>6196</v>
      </c>
    </row>
    <row r="2436" spans="1:26" hidden="1" x14ac:dyDescent="0.25">
      <c r="A2436" s="222">
        <v>29</v>
      </c>
      <c r="B2436" s="71" t="s">
        <v>29</v>
      </c>
      <c r="C2436" s="39" t="s">
        <v>6190</v>
      </c>
      <c r="D2436" s="106" t="s">
        <v>249</v>
      </c>
      <c r="E2436" s="47">
        <v>46220</v>
      </c>
      <c r="F2436" s="31" t="str">
        <f>VLOOKUP($C2436,Carpetas!$C$5:$M$2666,2,FALSE)</f>
        <v>BRB061/26</v>
      </c>
      <c r="G2436" s="23" t="str">
        <f>VLOOKUP($C2436,Carpetas!$C$5:$M$2666,10,FALSE)</f>
        <v>156.34.33</v>
      </c>
      <c r="H2436" s="27" t="str">
        <f>VLOOKUP($C2436,Carpetas!$C$5:$M$2666,6,FALSE)</f>
        <v>FG</v>
      </c>
      <c r="I2436" s="27" t="str">
        <f>VLOOKUP($C2436,Carpetas!$C$5:$M$2666,3,FALSE)</f>
        <v>Etimex</v>
      </c>
      <c r="J2436" s="243">
        <v>46223</v>
      </c>
      <c r="K2436" s="261" t="str">
        <f>VLOOKUP($C2436,Carpetas!$C$5:$M$2666,5,FALSE)</f>
        <v>Rio Branco</v>
      </c>
      <c r="L2436" s="263" t="s">
        <v>6116</v>
      </c>
      <c r="M2436" s="264">
        <f t="shared" si="173"/>
        <v>46224</v>
      </c>
      <c r="N2436" s="265">
        <f t="shared" si="169"/>
        <v>4</v>
      </c>
      <c r="O2436" s="239">
        <v>1008</v>
      </c>
      <c r="P2436" s="27">
        <v>1008</v>
      </c>
      <c r="Q2436" s="27">
        <v>28</v>
      </c>
      <c r="R2436" s="27">
        <v>26</v>
      </c>
      <c r="S2436" s="27" t="s">
        <v>2840</v>
      </c>
      <c r="T2436" s="27"/>
      <c r="U2436" s="27">
        <v>1673</v>
      </c>
      <c r="V2436" s="27" t="s">
        <v>3411</v>
      </c>
      <c r="W2436" s="27" t="s">
        <v>5398</v>
      </c>
      <c r="X2436" s="128" t="s">
        <v>3559</v>
      </c>
      <c r="Y2436" s="73" t="str">
        <f>VLOOKUP(X2436,Choferes!$B$3:C473,2,FALSE)</f>
        <v>+55 53 9713-4372</v>
      </c>
      <c r="Z2436" s="73" t="s">
        <v>6196</v>
      </c>
    </row>
    <row r="2437" spans="1:26" hidden="1" x14ac:dyDescent="0.25">
      <c r="A2437" s="222">
        <v>29</v>
      </c>
      <c r="B2437" s="71" t="s">
        <v>29</v>
      </c>
      <c r="C2437" s="39" t="s">
        <v>6190</v>
      </c>
      <c r="D2437" s="106" t="s">
        <v>5640</v>
      </c>
      <c r="E2437" s="47">
        <v>46220</v>
      </c>
      <c r="F2437" s="31" t="str">
        <f>VLOOKUP($C2437,Carpetas!$C$5:$M$2666,2,FALSE)</f>
        <v>BRB061/26</v>
      </c>
      <c r="G2437" s="23" t="str">
        <f>VLOOKUP($C2437,Carpetas!$C$5:$M$2666,10,FALSE)</f>
        <v>156.34.33</v>
      </c>
      <c r="H2437" s="27" t="str">
        <f>VLOOKUP($C2437,Carpetas!$C$5:$M$2666,6,FALSE)</f>
        <v>FG</v>
      </c>
      <c r="I2437" s="27" t="str">
        <f>VLOOKUP($C2437,Carpetas!$C$5:$M$2666,3,FALSE)</f>
        <v>Etimex</v>
      </c>
      <c r="J2437" s="243">
        <v>46223</v>
      </c>
      <c r="K2437" s="261" t="str">
        <f>VLOOKUP($C2437,Carpetas!$C$5:$M$2666,5,FALSE)</f>
        <v>Rio Branco</v>
      </c>
      <c r="L2437" s="263" t="s">
        <v>6116</v>
      </c>
      <c r="M2437" s="264">
        <f t="shared" si="173"/>
        <v>46224</v>
      </c>
      <c r="N2437" s="265">
        <f t="shared" si="169"/>
        <v>4</v>
      </c>
      <c r="O2437" s="239">
        <v>1008</v>
      </c>
      <c r="P2437" s="27">
        <v>1008</v>
      </c>
      <c r="Q2437" s="27">
        <v>28</v>
      </c>
      <c r="R2437" s="27">
        <v>26</v>
      </c>
      <c r="S2437" s="27" t="s">
        <v>6201</v>
      </c>
      <c r="T2437" s="27"/>
      <c r="U2437" s="27">
        <v>1669</v>
      </c>
      <c r="V2437" s="27" t="s">
        <v>5317</v>
      </c>
      <c r="W2437" s="27" t="s">
        <v>1627</v>
      </c>
      <c r="X2437" s="128" t="s">
        <v>2336</v>
      </c>
      <c r="Y2437" s="73" t="str">
        <f>VLOOKUP(X2437,Choferes!$B$3:C474,2,FALSE)</f>
        <v>+5553984414060</v>
      </c>
      <c r="Z2437" s="73" t="s">
        <v>6196</v>
      </c>
    </row>
    <row r="2438" spans="1:26" hidden="1" x14ac:dyDescent="0.25">
      <c r="A2438" s="222">
        <v>29</v>
      </c>
      <c r="B2438" s="71" t="s">
        <v>29</v>
      </c>
      <c r="C2438" s="39" t="s">
        <v>6085</v>
      </c>
      <c r="D2438" s="106" t="s">
        <v>5780</v>
      </c>
      <c r="E2438" s="47">
        <v>46220</v>
      </c>
      <c r="F2438" s="31" t="str">
        <f>VLOOKUP($C2438,Carpetas!$C$5:$M$2666,2,FALSE)</f>
        <v>BRB057/26</v>
      </c>
      <c r="G2438" s="23">
        <f>VLOOKUP($C2438,Carpetas!$C$5:$M$2666,10,FALSE)</f>
        <v>1560930</v>
      </c>
      <c r="H2438" s="27" t="str">
        <f>VLOOKUP($C2438,Carpetas!$C$5:$M$2666,6,FALSE)</f>
        <v>Chabat</v>
      </c>
      <c r="I2438" s="27" t="str">
        <f>VLOOKUP($C2438,Carpetas!$C$5:$M$2666,3,FALSE)</f>
        <v>Etimex</v>
      </c>
      <c r="J2438" s="243">
        <v>46223</v>
      </c>
      <c r="K2438" s="261" t="str">
        <f>VLOOKUP($C2438,Carpetas!$C$5:$M$2666,5,FALSE)</f>
        <v>Rio Branco</v>
      </c>
      <c r="L2438" s="263" t="s">
        <v>6116</v>
      </c>
      <c r="M2438" s="264">
        <f t="shared" si="173"/>
        <v>46224</v>
      </c>
      <c r="N2438" s="265">
        <f t="shared" si="169"/>
        <v>4</v>
      </c>
      <c r="O2438" s="239">
        <v>1008</v>
      </c>
      <c r="P2438" s="27">
        <v>1026</v>
      </c>
      <c r="Q2438" s="27">
        <v>28</v>
      </c>
      <c r="R2438" s="27">
        <v>26</v>
      </c>
      <c r="S2438" s="27" t="s">
        <v>6202</v>
      </c>
      <c r="T2438" s="27"/>
      <c r="U2438" s="27">
        <v>2588</v>
      </c>
      <c r="V2438" s="27" t="s">
        <v>6203</v>
      </c>
      <c r="W2438" s="27" t="s">
        <v>4277</v>
      </c>
      <c r="X2438" s="128"/>
      <c r="Y2438" s="73" t="e">
        <f>VLOOKUP(X2438,Choferes!$B$3:C475,2,FALSE)</f>
        <v>#N/A</v>
      </c>
      <c r="Z2438" s="73" t="s">
        <v>6204</v>
      </c>
    </row>
    <row r="2439" spans="1:26" hidden="1" x14ac:dyDescent="0.25">
      <c r="A2439" s="222">
        <v>29</v>
      </c>
      <c r="B2439" s="71" t="s">
        <v>29</v>
      </c>
      <c r="C2439" s="39" t="s">
        <v>6205</v>
      </c>
      <c r="D2439" s="106" t="s">
        <v>6075</v>
      </c>
      <c r="E2439" s="47">
        <v>46220</v>
      </c>
      <c r="F2439" s="31" t="str">
        <f>VLOOKUP($C2439,Carpetas!$C$5:$M$2666,2,FALSE)</f>
        <v>BRB063/26</v>
      </c>
      <c r="G2439" s="23" t="str">
        <f>VLOOKUP($C2439,Carpetas!$C$5:$M$2666,10,FALSE)</f>
        <v>156.34.36</v>
      </c>
      <c r="H2439" s="27" t="str">
        <f>VLOOKUP($C2439,Carpetas!$C$5:$M$2666,6,FALSE)</f>
        <v>Chabat</v>
      </c>
      <c r="I2439" s="27" t="str">
        <f>VLOOKUP($C2439,Carpetas!$C$5:$M$2666,3,FALSE)</f>
        <v>Etimex</v>
      </c>
      <c r="J2439" s="243">
        <v>46223</v>
      </c>
      <c r="K2439" s="261" t="str">
        <f>VLOOKUP($C2439,Carpetas!$C$5:$M$2666,5,FALSE)</f>
        <v>Rio Branco</v>
      </c>
      <c r="L2439" s="263" t="s">
        <v>6116</v>
      </c>
      <c r="M2439" s="264">
        <f t="shared" si="173"/>
        <v>46224</v>
      </c>
      <c r="N2439" s="265">
        <f t="shared" si="169"/>
        <v>4</v>
      </c>
      <c r="O2439" s="239">
        <v>1008</v>
      </c>
      <c r="P2439" s="27">
        <v>1008</v>
      </c>
      <c r="Q2439" s="27">
        <v>28</v>
      </c>
      <c r="R2439" s="27">
        <v>26</v>
      </c>
      <c r="S2439" s="27" t="s">
        <v>6206</v>
      </c>
      <c r="T2439" s="27"/>
      <c r="U2439" s="27">
        <v>2589</v>
      </c>
      <c r="V2439" s="27" t="s">
        <v>1657</v>
      </c>
      <c r="W2439" s="27" t="s">
        <v>1815</v>
      </c>
      <c r="X2439" s="128" t="s">
        <v>3950</v>
      </c>
      <c r="Y2439" s="73" t="str">
        <f>VLOOKUP(X2439,Choferes!$B$3:C476,2,FALSE)</f>
        <v>+55 53 8478-6279</v>
      </c>
      <c r="Z2439" s="73" t="s">
        <v>6196</v>
      </c>
    </row>
    <row r="2440" spans="1:26" hidden="1" x14ac:dyDescent="0.25">
      <c r="A2440" s="222">
        <v>29</v>
      </c>
      <c r="B2440" s="71" t="s">
        <v>29</v>
      </c>
      <c r="C2440" s="39" t="s">
        <v>6192</v>
      </c>
      <c r="D2440" s="106" t="s">
        <v>5499</v>
      </c>
      <c r="E2440" s="47">
        <v>46220</v>
      </c>
      <c r="F2440" s="31" t="str">
        <f>VLOOKUP($C2440,Carpetas!$C$5:$M$2666,2,FALSE)</f>
        <v>BRB062/26</v>
      </c>
      <c r="G2440" s="23" t="str">
        <f>VLOOKUP($C2440,Carpetas!$C$5:$M$2666,10,FALSE)</f>
        <v>156.34.34</v>
      </c>
      <c r="H2440" s="27" t="str">
        <f>VLOOKUP($C2440,Carpetas!$C$5:$M$2666,6,FALSE)</f>
        <v>Amaro</v>
      </c>
      <c r="I2440" s="27" t="str">
        <f>VLOOKUP($C2440,Carpetas!$C$5:$M$2666,3,FALSE)</f>
        <v>Etimex</v>
      </c>
      <c r="J2440" s="243">
        <v>46223</v>
      </c>
      <c r="K2440" s="261" t="str">
        <f>VLOOKUP($C2440,Carpetas!$C$5:$M$2666,5,FALSE)</f>
        <v>Rio Branco</v>
      </c>
      <c r="L2440" s="263" t="s">
        <v>6116</v>
      </c>
      <c r="M2440" s="264">
        <f t="shared" si="173"/>
        <v>46224</v>
      </c>
      <c r="N2440" s="265">
        <f t="shared" si="169"/>
        <v>4</v>
      </c>
      <c r="O2440" s="239">
        <v>1008</v>
      </c>
      <c r="P2440" s="27">
        <v>1008</v>
      </c>
      <c r="Q2440" s="27">
        <v>28</v>
      </c>
      <c r="R2440" s="27">
        <v>24</v>
      </c>
      <c r="S2440" s="27" t="s">
        <v>6207</v>
      </c>
      <c r="T2440" s="27"/>
      <c r="U2440" s="27">
        <v>28978</v>
      </c>
      <c r="V2440" s="27" t="s">
        <v>4391</v>
      </c>
      <c r="W2440" s="27" t="s">
        <v>1945</v>
      </c>
      <c r="X2440" s="128"/>
      <c r="Y2440" s="73" t="e">
        <f>VLOOKUP(X2440,Choferes!$B$3:C477,2,FALSE)</f>
        <v>#N/A</v>
      </c>
      <c r="Z2440" s="73" t="s">
        <v>6208</v>
      </c>
    </row>
    <row r="2441" spans="1:26" hidden="1" x14ac:dyDescent="0.25">
      <c r="A2441" s="222">
        <v>29</v>
      </c>
      <c r="B2441" s="71" t="s">
        <v>29</v>
      </c>
      <c r="C2441" s="39" t="s">
        <v>6209</v>
      </c>
      <c r="D2441" s="106" t="s">
        <v>42</v>
      </c>
      <c r="E2441" s="47">
        <v>46220</v>
      </c>
      <c r="F2441" s="31" t="str">
        <f>VLOOKUP($C2441,Carpetas!$C$5:$M$2666,2,FALSE)</f>
        <v>PYB045/26</v>
      </c>
      <c r="G2441" s="23" t="str">
        <f>VLOOKUP($C2441,Carpetas!$C$5:$M$2666,10,FALSE)</f>
        <v>156,33,94</v>
      </c>
      <c r="H2441" s="27" t="str">
        <f>VLOOKUP($C2441,Carpetas!$C$5:$M$2666,6,FALSE)</f>
        <v>Lider Express</v>
      </c>
      <c r="I2441" s="27" t="str">
        <f>VLOOKUP($C2441,Carpetas!$C$5:$M$2666,3,FALSE)</f>
        <v>Servifel</v>
      </c>
      <c r="J2441" s="243">
        <v>46224</v>
      </c>
      <c r="K2441" s="261" t="str">
        <f>VLOOKUP($C2441,Carpetas!$C$5:$M$2666,5,FALSE)</f>
        <v>Salto</v>
      </c>
      <c r="L2441" s="263" t="s">
        <v>6116</v>
      </c>
      <c r="M2441" s="264">
        <f t="shared" si="173"/>
        <v>46225</v>
      </c>
      <c r="N2441" s="265">
        <f t="shared" si="169"/>
        <v>5</v>
      </c>
      <c r="O2441" s="239">
        <v>980</v>
      </c>
      <c r="P2441" s="27">
        <v>980</v>
      </c>
      <c r="Q2441" s="27">
        <v>28</v>
      </c>
      <c r="R2441" s="27">
        <v>27</v>
      </c>
      <c r="S2441" s="27" t="s">
        <v>318</v>
      </c>
      <c r="T2441" s="27"/>
      <c r="U2441" s="27"/>
      <c r="V2441" s="27"/>
      <c r="W2441" s="27"/>
      <c r="X2441" s="128"/>
      <c r="Y2441" s="73" t="e">
        <f>VLOOKUP(X2441,Choferes!$B$3:C466,2,FALSE)</f>
        <v>#N/A</v>
      </c>
      <c r="Z2441" s="73" t="s">
        <v>6210</v>
      </c>
    </row>
    <row r="2442" spans="1:26" hidden="1" x14ac:dyDescent="0.25">
      <c r="A2442" s="222">
        <v>30</v>
      </c>
      <c r="B2442" s="71" t="s">
        <v>29</v>
      </c>
      <c r="C2442" s="39" t="s">
        <v>6211</v>
      </c>
      <c r="D2442" s="106" t="s">
        <v>183</v>
      </c>
      <c r="E2442" s="47">
        <v>46222</v>
      </c>
      <c r="F2442" s="31" t="str">
        <f>VLOOKUP($C2442,Carpetas!$C$5:$M$2666,2,FALSE)</f>
        <v>PYB046/26</v>
      </c>
      <c r="G2442" s="23">
        <f>VLOOKUP($C2442,Carpetas!$C$5:$M$2666,10,FALSE)</f>
        <v>1563763</v>
      </c>
      <c r="H2442" s="27" t="str">
        <f>VLOOKUP($C2442,Carpetas!$C$5:$M$2666,6,FALSE)</f>
        <v>Mega Logistica</v>
      </c>
      <c r="I2442" s="27" t="str">
        <f>VLOOKUP($C2442,Carpetas!$C$5:$M$2666,3,FALSE)</f>
        <v>Hugo Franco</v>
      </c>
      <c r="J2442" s="243">
        <v>46224</v>
      </c>
      <c r="K2442" s="261" t="str">
        <f>VLOOKUP($C2442,Carpetas!$C$5:$M$2666,5,FALSE)</f>
        <v>Salto</v>
      </c>
      <c r="L2442" s="263" t="s">
        <v>6116</v>
      </c>
      <c r="M2442" s="264">
        <f t="shared" si="173"/>
        <v>46225</v>
      </c>
      <c r="N2442" s="265">
        <f t="shared" si="169"/>
        <v>3</v>
      </c>
      <c r="O2442" s="239">
        <v>980</v>
      </c>
      <c r="P2442" s="27">
        <v>981</v>
      </c>
      <c r="Q2442" s="27">
        <v>28</v>
      </c>
      <c r="R2442" s="27">
        <v>27</v>
      </c>
      <c r="S2442" s="27" t="s">
        <v>6212</v>
      </c>
      <c r="T2442" s="27"/>
      <c r="U2442" s="27"/>
      <c r="V2442" s="27"/>
      <c r="W2442" s="27"/>
      <c r="X2442" s="128"/>
      <c r="Y2442" s="73" t="e">
        <f>VLOOKUP(X2442,Choferes!$B$3:C465,2,FALSE)</f>
        <v>#N/A</v>
      </c>
      <c r="Z2442" s="73" t="s">
        <v>6213</v>
      </c>
    </row>
    <row r="2443" spans="1:26" hidden="1" x14ac:dyDescent="0.25">
      <c r="A2443" s="222">
        <v>30</v>
      </c>
      <c r="B2443" s="71" t="s">
        <v>29</v>
      </c>
      <c r="C2443" s="39" t="s">
        <v>6211</v>
      </c>
      <c r="D2443" s="106" t="s">
        <v>183</v>
      </c>
      <c r="E2443" s="47">
        <v>46222</v>
      </c>
      <c r="F2443" s="31" t="str">
        <f>VLOOKUP($C2443,Carpetas!$C$5:$M$2666,2,FALSE)</f>
        <v>PYB046/26</v>
      </c>
      <c r="G2443" s="23">
        <f>VLOOKUP($C2443,Carpetas!$C$5:$M$2666,10,FALSE)</f>
        <v>1563763</v>
      </c>
      <c r="H2443" s="27" t="str">
        <f>VLOOKUP($C2443,Carpetas!$C$5:$M$2666,6,FALSE)</f>
        <v>Mega Logistica</v>
      </c>
      <c r="I2443" s="27" t="str">
        <f>VLOOKUP($C2443,Carpetas!$C$5:$M$2666,3,FALSE)</f>
        <v>Hugo Franco</v>
      </c>
      <c r="J2443" s="243">
        <v>46224</v>
      </c>
      <c r="K2443" s="261" t="str">
        <f>VLOOKUP($C2443,Carpetas!$C$5:$M$2666,5,FALSE)</f>
        <v>Salto</v>
      </c>
      <c r="L2443" s="263" t="s">
        <v>6116</v>
      </c>
      <c r="M2443" s="264">
        <f>J2443+1+1</f>
        <v>46226</v>
      </c>
      <c r="N2443" s="265">
        <f t="shared" si="169"/>
        <v>4</v>
      </c>
      <c r="O2443" s="239">
        <v>980</v>
      </c>
      <c r="P2443" s="27">
        <v>981</v>
      </c>
      <c r="Q2443" s="27">
        <v>28</v>
      </c>
      <c r="R2443" s="27">
        <v>27</v>
      </c>
      <c r="S2443" s="27" t="s">
        <v>6214</v>
      </c>
      <c r="T2443" s="27"/>
      <c r="U2443" s="27"/>
      <c r="V2443" s="27"/>
      <c r="W2443" s="27"/>
      <c r="X2443" s="128"/>
      <c r="Y2443" s="73" t="e">
        <f>VLOOKUP(X2443,Choferes!$B$3:C466,2,FALSE)</f>
        <v>#N/A</v>
      </c>
      <c r="Z2443" s="73" t="s">
        <v>6215</v>
      </c>
    </row>
    <row r="2444" spans="1:26" hidden="1" x14ac:dyDescent="0.25">
      <c r="A2444" s="222">
        <v>29</v>
      </c>
      <c r="B2444" s="71" t="s">
        <v>29</v>
      </c>
      <c r="C2444" s="39" t="s">
        <v>6216</v>
      </c>
      <c r="D2444" s="106" t="s">
        <v>38</v>
      </c>
      <c r="E2444" s="47">
        <v>46220</v>
      </c>
      <c r="F2444" s="31" t="str">
        <f>VLOOKUP($C2444,Carpetas!$C$5:$M$2666,2,FALSE)</f>
        <v>BRE050-26</v>
      </c>
      <c r="G2444" s="23" t="str">
        <f>VLOOKUP($C2444,Carpetas!$C$5:$M$2666,10,FALSE)</f>
        <v>156,33,90</v>
      </c>
      <c r="H2444" s="27" t="str">
        <f>VLOOKUP($C2444,Carpetas!$C$5:$M$2666,6,FALSE)</f>
        <v>Zanini</v>
      </c>
      <c r="I2444" s="27" t="str">
        <f>VLOOKUP($C2444,Carpetas!$C$5:$M$2666,3,FALSE)</f>
        <v>Etimex</v>
      </c>
      <c r="J2444" s="243">
        <f>E2444+5</f>
        <v>46225</v>
      </c>
      <c r="K2444" s="261" t="str">
        <f>VLOOKUP($C2444,Carpetas!$C$5:$M$2666,5,FALSE)</f>
        <v>Rio Branco</v>
      </c>
      <c r="L2444" s="263" t="s">
        <v>5988</v>
      </c>
      <c r="M2444" s="264">
        <f t="shared" ref="M2444:M2456" si="174">J2444+1</f>
        <v>46226</v>
      </c>
      <c r="N2444" s="265">
        <f t="shared" si="169"/>
        <v>6</v>
      </c>
      <c r="O2444" s="239">
        <v>1650</v>
      </c>
      <c r="P2444" s="27">
        <v>1650</v>
      </c>
      <c r="Q2444" s="27"/>
      <c r="R2444" s="27"/>
      <c r="S2444" s="27"/>
      <c r="T2444" s="27"/>
      <c r="U2444" s="27">
        <v>6136</v>
      </c>
      <c r="V2444" s="27" t="s">
        <v>292</v>
      </c>
      <c r="W2444" s="27" t="s">
        <v>293</v>
      </c>
      <c r="X2444" s="128" t="s">
        <v>3631</v>
      </c>
      <c r="Y2444" s="73" t="str">
        <f>VLOOKUP(X2444,Choferes!$B$3:C478,2,FALSE)</f>
        <v>+5551981741752</v>
      </c>
      <c r="Z2444" s="73"/>
    </row>
    <row r="2445" spans="1:26" hidden="1" x14ac:dyDescent="0.25">
      <c r="A2445" s="222">
        <v>30</v>
      </c>
      <c r="B2445" s="71" t="s">
        <v>29</v>
      </c>
      <c r="C2445" s="39" t="s">
        <v>6211</v>
      </c>
      <c r="D2445" s="106" t="s">
        <v>183</v>
      </c>
      <c r="E2445" s="47">
        <v>46223</v>
      </c>
      <c r="F2445" s="31" t="str">
        <f>VLOOKUP($C2445,Carpetas!$C$5:$M$2666,2,FALSE)</f>
        <v>PYB046/26</v>
      </c>
      <c r="G2445" s="23">
        <f>VLOOKUP($C2445,Carpetas!$C$5:$M$2666,10,FALSE)</f>
        <v>1563763</v>
      </c>
      <c r="H2445" s="27" t="str">
        <f>VLOOKUP($C2445,Carpetas!$C$5:$M$2666,6,FALSE)</f>
        <v>Mega Logistica</v>
      </c>
      <c r="I2445" s="27" t="str">
        <f>VLOOKUP($C2445,Carpetas!$C$5:$M$2666,3,FALSE)</f>
        <v>Hugo Franco</v>
      </c>
      <c r="J2445" s="243">
        <v>46225</v>
      </c>
      <c r="K2445" s="261" t="str">
        <f>VLOOKUP($C2445,Carpetas!$C$5:$M$2666,5,FALSE)</f>
        <v>Salto</v>
      </c>
      <c r="L2445" s="263" t="s">
        <v>6116</v>
      </c>
      <c r="M2445" s="264">
        <f t="shared" si="174"/>
        <v>46226</v>
      </c>
      <c r="N2445" s="265">
        <f t="shared" si="169"/>
        <v>3</v>
      </c>
      <c r="O2445" s="239">
        <v>980</v>
      </c>
      <c r="P2445" s="27">
        <v>983</v>
      </c>
      <c r="Q2445" s="27">
        <v>28</v>
      </c>
      <c r="R2445" s="27">
        <v>27</v>
      </c>
      <c r="S2445" s="27" t="s">
        <v>6217</v>
      </c>
      <c r="T2445" s="27"/>
      <c r="U2445" s="27"/>
      <c r="V2445" s="27"/>
      <c r="W2445" s="27"/>
      <c r="X2445" s="128"/>
      <c r="Y2445" s="73" t="e">
        <f>VLOOKUP(X2445,Choferes!$B$3:C467,2,FALSE)</f>
        <v>#N/A</v>
      </c>
      <c r="Z2445" s="73" t="s">
        <v>6218</v>
      </c>
    </row>
    <row r="2446" spans="1:26" hidden="1" x14ac:dyDescent="0.25">
      <c r="A2446" s="222">
        <v>30</v>
      </c>
      <c r="B2446" s="71" t="s">
        <v>29</v>
      </c>
      <c r="C2446" s="39" t="s">
        <v>6192</v>
      </c>
      <c r="D2446" s="106" t="s">
        <v>5507</v>
      </c>
      <c r="E2446" s="47">
        <v>46225</v>
      </c>
      <c r="F2446" s="31" t="str">
        <f>VLOOKUP($C2446,Carpetas!$C$5:$M$2666,2,FALSE)</f>
        <v>BRB062/26</v>
      </c>
      <c r="G2446" s="23" t="str">
        <f>VLOOKUP($C2446,Carpetas!$C$5:$M$2666,10,FALSE)</f>
        <v>156.34.34</v>
      </c>
      <c r="H2446" s="27" t="str">
        <f>VLOOKUP($C2446,Carpetas!$C$5:$M$2666,6,FALSE)</f>
        <v>Amaro</v>
      </c>
      <c r="I2446" s="27" t="str">
        <f>VLOOKUP($C2446,Carpetas!$C$5:$M$2666,3,FALSE)</f>
        <v>Etimex</v>
      </c>
      <c r="J2446" s="243">
        <v>46226</v>
      </c>
      <c r="K2446" s="261" t="str">
        <f>VLOOKUP($C2446,Carpetas!$C$5:$M$2666,5,FALSE)</f>
        <v>Rio Branco</v>
      </c>
      <c r="L2446" s="263" t="s">
        <v>6116</v>
      </c>
      <c r="M2446" s="264">
        <f t="shared" si="174"/>
        <v>46227</v>
      </c>
      <c r="N2446" s="265">
        <f t="shared" si="169"/>
        <v>2</v>
      </c>
      <c r="O2446" s="239">
        <v>1008</v>
      </c>
      <c r="P2446" s="27">
        <v>1008</v>
      </c>
      <c r="Q2446" s="27">
        <v>28</v>
      </c>
      <c r="R2446" s="27">
        <v>26</v>
      </c>
      <c r="S2446" s="27" t="s">
        <v>6219</v>
      </c>
      <c r="T2446" s="27"/>
      <c r="U2446" s="27">
        <v>28993</v>
      </c>
      <c r="V2446" s="27" t="s">
        <v>4645</v>
      </c>
      <c r="W2446" s="27" t="s">
        <v>4489</v>
      </c>
      <c r="X2446" s="128" t="s">
        <v>1468</v>
      </c>
      <c r="Y2446" s="73" t="str">
        <f>VLOOKUP(X2446,Choferes!$B$3:C469,2,FALSE)</f>
        <v>+5553984274141</v>
      </c>
      <c r="Z2446" s="73" t="s">
        <v>6220</v>
      </c>
    </row>
    <row r="2447" spans="1:26" ht="30" hidden="1" x14ac:dyDescent="0.25">
      <c r="A2447" s="222">
        <v>30</v>
      </c>
      <c r="B2447" s="71" t="s">
        <v>29</v>
      </c>
      <c r="C2447" s="39" t="s">
        <v>6221</v>
      </c>
      <c r="D2447" s="106" t="s">
        <v>38</v>
      </c>
      <c r="E2447" s="47">
        <v>46224</v>
      </c>
      <c r="F2447" s="31" t="str">
        <f>VLOOKUP($C2447,Carpetas!$C$5:$M$2666,2,FALSE)</f>
        <v>BRE052-26</v>
      </c>
      <c r="G2447" s="23">
        <f>VLOOKUP($C2447,Carpetas!$C$5:$M$2666,10,FALSE)</f>
        <v>1563899</v>
      </c>
      <c r="H2447" s="27" t="str">
        <f>VLOOKUP($C2447,Carpetas!$C$5:$M$2666,6,FALSE)</f>
        <v xml:space="preserve">Silvio </v>
      </c>
      <c r="I2447" s="27" t="str">
        <f>VLOOKUP($C2447,Carpetas!$C$5:$M$2666,3,FALSE)</f>
        <v>Etimex</v>
      </c>
      <c r="J2447" s="243">
        <v>46227</v>
      </c>
      <c r="K2447" s="261" t="str">
        <f>VLOOKUP($C2447,Carpetas!$C$5:$M$2666,5,FALSE)</f>
        <v>Rio Branco</v>
      </c>
      <c r="L2447" s="263" t="s">
        <v>6222</v>
      </c>
      <c r="M2447" s="264">
        <f t="shared" si="174"/>
        <v>46228</v>
      </c>
      <c r="N2447" s="265">
        <f t="shared" si="169"/>
        <v>4</v>
      </c>
      <c r="O2447" s="239">
        <v>1008</v>
      </c>
      <c r="P2447" s="27">
        <v>1008</v>
      </c>
      <c r="Q2447" s="27">
        <v>26</v>
      </c>
      <c r="R2447" s="27">
        <v>25</v>
      </c>
      <c r="S2447" s="27" t="s">
        <v>6223</v>
      </c>
      <c r="T2447" s="27"/>
      <c r="U2447" s="27">
        <v>7890</v>
      </c>
      <c r="V2447" s="27" t="s">
        <v>643</v>
      </c>
      <c r="W2447" s="27" t="s">
        <v>6224</v>
      </c>
      <c r="X2447" s="128"/>
      <c r="Y2447" s="73" t="e">
        <f>VLOOKUP(X2447,Choferes!$B$3:C476,2,FALSE)</f>
        <v>#N/A</v>
      </c>
      <c r="Z2447" s="73" t="s">
        <v>6225</v>
      </c>
    </row>
    <row r="2448" spans="1:26" hidden="1" x14ac:dyDescent="0.25">
      <c r="A2448" s="222">
        <v>30</v>
      </c>
      <c r="B2448" s="71" t="s">
        <v>29</v>
      </c>
      <c r="C2448" s="39" t="s">
        <v>6190</v>
      </c>
      <c r="D2448" s="106" t="s">
        <v>2474</v>
      </c>
      <c r="E2448" s="47">
        <v>46225</v>
      </c>
      <c r="F2448" s="31" t="str">
        <f>VLOOKUP($C2448,Carpetas!$C$5:$M$2666,2,FALSE)</f>
        <v>BRB061/26</v>
      </c>
      <c r="G2448" s="23" t="str">
        <f>VLOOKUP($C2448,Carpetas!$C$5:$M$2666,10,FALSE)</f>
        <v>156.34.33</v>
      </c>
      <c r="H2448" s="27" t="str">
        <f>VLOOKUP($C2448,Carpetas!$C$5:$M$2666,6,FALSE)</f>
        <v>FG</v>
      </c>
      <c r="I2448" s="27" t="str">
        <f>VLOOKUP($C2448,Carpetas!$C$5:$M$2666,3,FALSE)</f>
        <v>Etimex</v>
      </c>
      <c r="J2448" s="243">
        <f t="shared" ref="J2448:J2456" si="175">E2448+2</f>
        <v>46227</v>
      </c>
      <c r="K2448" s="261" t="str">
        <f>VLOOKUP($C2448,Carpetas!$C$5:$M$2666,5,FALSE)</f>
        <v>Rio Branco</v>
      </c>
      <c r="L2448" s="263" t="s">
        <v>6116</v>
      </c>
      <c r="M2448" s="264">
        <f t="shared" si="174"/>
        <v>46228</v>
      </c>
      <c r="N2448" s="265">
        <f t="shared" si="169"/>
        <v>3</v>
      </c>
      <c r="O2448" s="239">
        <v>1008</v>
      </c>
      <c r="P2448" s="27">
        <v>1008</v>
      </c>
      <c r="Q2448" s="27">
        <v>28</v>
      </c>
      <c r="R2448" s="27">
        <v>26</v>
      </c>
      <c r="S2448" s="27" t="s">
        <v>4077</v>
      </c>
      <c r="T2448" s="27"/>
      <c r="U2448" s="27">
        <v>1675</v>
      </c>
      <c r="V2448" s="27" t="s">
        <v>1636</v>
      </c>
      <c r="W2448" s="27" t="s">
        <v>3818</v>
      </c>
      <c r="X2448" s="128" t="s">
        <v>1623</v>
      </c>
      <c r="Y2448" s="73" t="str">
        <f>VLOOKUP(X2448,Choferes!$B$3:C468,2,FALSE)</f>
        <v>+5553991254560</v>
      </c>
      <c r="Z2448" s="73" t="s">
        <v>6226</v>
      </c>
    </row>
    <row r="2449" spans="1:26" hidden="1" x14ac:dyDescent="0.25">
      <c r="A2449" s="222">
        <v>30</v>
      </c>
      <c r="B2449" s="71" t="s">
        <v>29</v>
      </c>
      <c r="C2449" s="39" t="s">
        <v>6227</v>
      </c>
      <c r="D2449" s="106" t="s">
        <v>38</v>
      </c>
      <c r="E2449" s="47">
        <v>46225</v>
      </c>
      <c r="F2449" s="31" t="str">
        <f>VLOOKUP($C2449,Carpetas!$C$5:$M$2666,2,FALSE)</f>
        <v>BRE051-26</v>
      </c>
      <c r="G2449" s="23" t="str">
        <f>VLOOKUP($C2449,Carpetas!$C$5:$M$2666,10,FALSE)</f>
        <v>156,15,54</v>
      </c>
      <c r="H2449" s="27" t="str">
        <f>VLOOKUP($C2449,Carpetas!$C$5:$M$2666,6,FALSE)</f>
        <v xml:space="preserve">Silvio </v>
      </c>
      <c r="I2449" s="27" t="str">
        <f>VLOOKUP($C2449,Carpetas!$C$5:$M$2666,3,FALSE)</f>
        <v>Jaguacy</v>
      </c>
      <c r="J2449" s="243">
        <f t="shared" si="175"/>
        <v>46227</v>
      </c>
      <c r="K2449" s="261" t="str">
        <f>VLOOKUP($C2449,Carpetas!$C$5:$M$2666,5,FALSE)</f>
        <v>Rio Branco</v>
      </c>
      <c r="L2449" s="263" t="s">
        <v>5813</v>
      </c>
      <c r="M2449" s="264">
        <f t="shared" si="174"/>
        <v>46228</v>
      </c>
      <c r="N2449" s="265">
        <f t="shared" si="169"/>
        <v>3</v>
      </c>
      <c r="O2449" s="239">
        <f>1728+486</f>
        <v>2214</v>
      </c>
      <c r="P2449" s="27"/>
      <c r="Q2449" s="27">
        <v>24</v>
      </c>
      <c r="R2449" s="27"/>
      <c r="S2449" s="27"/>
      <c r="T2449" s="27"/>
      <c r="U2449" s="27"/>
      <c r="V2449" s="27"/>
      <c r="W2449" s="27"/>
      <c r="X2449" s="128"/>
      <c r="Y2449" s="73" t="e">
        <f>VLOOKUP(X2449,Choferes!$B$3:C477,2,FALSE)</f>
        <v>#N/A</v>
      </c>
      <c r="Z2449" s="73" t="s">
        <v>6228</v>
      </c>
    </row>
    <row r="2450" spans="1:26" hidden="1" x14ac:dyDescent="0.25">
      <c r="A2450" s="222">
        <v>30</v>
      </c>
      <c r="B2450" s="71" t="s">
        <v>29</v>
      </c>
      <c r="C2450" s="39" t="s">
        <v>6190</v>
      </c>
      <c r="D2450" s="106" t="s">
        <v>2474</v>
      </c>
      <c r="E2450" s="47">
        <v>46227</v>
      </c>
      <c r="F2450" s="31" t="str">
        <f>VLOOKUP($C2450,Carpetas!$C$5:$M$2666,2,FALSE)</f>
        <v>BRB061/26</v>
      </c>
      <c r="G2450" s="23" t="str">
        <f>VLOOKUP($C2450,Carpetas!$C$5:$M$2666,10,FALSE)</f>
        <v>156.34.33</v>
      </c>
      <c r="H2450" s="27" t="str">
        <f>VLOOKUP($C2450,Carpetas!$C$5:$M$2666,6,FALSE)</f>
        <v>FG</v>
      </c>
      <c r="I2450" s="27" t="str">
        <f>VLOOKUP($C2450,Carpetas!$C$5:$M$2666,3,FALSE)</f>
        <v>Etimex</v>
      </c>
      <c r="J2450" s="243">
        <f t="shared" si="175"/>
        <v>46229</v>
      </c>
      <c r="K2450" s="261" t="str">
        <f>VLOOKUP($C2450,Carpetas!$C$5:$M$2666,5,FALSE)</f>
        <v>Rio Branco</v>
      </c>
      <c r="L2450" s="263" t="s">
        <v>6116</v>
      </c>
      <c r="M2450" s="264">
        <f t="shared" si="174"/>
        <v>46230</v>
      </c>
      <c r="N2450" s="265">
        <f t="shared" ref="N2450:N2513" si="176">IF(E2450&lt;&gt;"",M2450-E2450,"-")</f>
        <v>3</v>
      </c>
      <c r="O2450" s="239">
        <v>1008</v>
      </c>
      <c r="P2450" s="27">
        <v>1008</v>
      </c>
      <c r="Q2450" s="27">
        <v>28</v>
      </c>
      <c r="R2450" s="27">
        <v>26</v>
      </c>
      <c r="S2450" s="27" t="s">
        <v>4099</v>
      </c>
      <c r="T2450" s="27"/>
      <c r="U2450" s="27">
        <v>1681</v>
      </c>
      <c r="V2450" s="27" t="s">
        <v>3411</v>
      </c>
      <c r="W2450" s="27" t="s">
        <v>5398</v>
      </c>
      <c r="X2450" s="128" t="s">
        <v>3559</v>
      </c>
      <c r="Y2450" s="73" t="str">
        <f>VLOOKUP(X2450,Choferes!$B$3:C470,2,FALSE)</f>
        <v>+55 53 9713-4372</v>
      </c>
      <c r="Z2450" s="73" t="s">
        <v>6229</v>
      </c>
    </row>
    <row r="2451" spans="1:26" hidden="1" x14ac:dyDescent="0.25">
      <c r="A2451" s="222">
        <v>30</v>
      </c>
      <c r="B2451" s="71" t="s">
        <v>29</v>
      </c>
      <c r="C2451" s="39" t="s">
        <v>6197</v>
      </c>
      <c r="D2451" s="106" t="s">
        <v>2202</v>
      </c>
      <c r="E2451" s="47">
        <v>46227</v>
      </c>
      <c r="F2451" s="31" t="str">
        <f>VLOOKUP($C2451,Carpetas!$C$5:$M$2666,2,FALSE)</f>
        <v>BRB064/26</v>
      </c>
      <c r="G2451" s="23" t="str">
        <f>VLOOKUP($C2451,Carpetas!$C$5:$M$2666,10,FALSE)</f>
        <v>156,35,31</v>
      </c>
      <c r="H2451" s="27" t="str">
        <f>VLOOKUP($C2451,Carpetas!$C$5:$M$2666,6,FALSE)</f>
        <v>AXT</v>
      </c>
      <c r="I2451" s="27" t="str">
        <f>VLOOKUP($C2451,Carpetas!$C$5:$M$2666,3,FALSE)</f>
        <v>A&amp;A</v>
      </c>
      <c r="J2451" s="243">
        <f t="shared" si="175"/>
        <v>46229</v>
      </c>
      <c r="K2451" s="261" t="str">
        <f>VLOOKUP($C2451,Carpetas!$C$5:$M$2666,5,FALSE)</f>
        <v>Chuy</v>
      </c>
      <c r="L2451" s="263" t="s">
        <v>6116</v>
      </c>
      <c r="M2451" s="264">
        <f t="shared" si="174"/>
        <v>46230</v>
      </c>
      <c r="N2451" s="265">
        <f t="shared" si="176"/>
        <v>3</v>
      </c>
      <c r="O2451" s="239">
        <v>936</v>
      </c>
      <c r="P2451" s="27">
        <v>936</v>
      </c>
      <c r="Q2451" s="27">
        <v>26</v>
      </c>
      <c r="R2451" s="27">
        <v>25</v>
      </c>
      <c r="S2451" s="27" t="s">
        <v>6230</v>
      </c>
      <c r="T2451" s="27"/>
      <c r="U2451" s="27"/>
      <c r="V2451" s="27"/>
      <c r="W2451" s="27"/>
      <c r="X2451" s="128"/>
      <c r="Y2451" s="73" t="e">
        <f>VLOOKUP(X2451,Choferes!$B$3:C471,2,FALSE)</f>
        <v>#N/A</v>
      </c>
      <c r="Z2451" s="73" t="s">
        <v>6231</v>
      </c>
    </row>
    <row r="2452" spans="1:26" hidden="1" x14ac:dyDescent="0.25">
      <c r="A2452" s="222">
        <v>30</v>
      </c>
      <c r="B2452" s="71" t="s">
        <v>29</v>
      </c>
      <c r="C2452" s="39" t="s">
        <v>6190</v>
      </c>
      <c r="D2452" s="106" t="s">
        <v>110</v>
      </c>
      <c r="E2452" s="47">
        <v>46227</v>
      </c>
      <c r="F2452" s="31" t="str">
        <f>VLOOKUP($C2452,Carpetas!$C$5:$M$2666,2,FALSE)</f>
        <v>BRB061/26</v>
      </c>
      <c r="G2452" s="23" t="str">
        <f>VLOOKUP($C2452,Carpetas!$C$5:$M$2666,10,FALSE)</f>
        <v>156.34.33</v>
      </c>
      <c r="H2452" s="27" t="str">
        <f>VLOOKUP($C2452,Carpetas!$C$5:$M$2666,6,FALSE)</f>
        <v>FG</v>
      </c>
      <c r="I2452" s="27" t="str">
        <f>VLOOKUP($C2452,Carpetas!$C$5:$M$2666,3,FALSE)</f>
        <v>Etimex</v>
      </c>
      <c r="J2452" s="243">
        <f t="shared" si="175"/>
        <v>46229</v>
      </c>
      <c r="K2452" s="261" t="str">
        <f>VLOOKUP($C2452,Carpetas!$C$5:$M$2666,5,FALSE)</f>
        <v>Rio Branco</v>
      </c>
      <c r="L2452" s="263" t="s">
        <v>6116</v>
      </c>
      <c r="M2452" s="264">
        <f t="shared" si="174"/>
        <v>46230</v>
      </c>
      <c r="N2452" s="265">
        <f t="shared" si="176"/>
        <v>3</v>
      </c>
      <c r="O2452" s="239">
        <v>1008</v>
      </c>
      <c r="P2452" s="27">
        <v>1009</v>
      </c>
      <c r="Q2452" s="27">
        <v>28</v>
      </c>
      <c r="R2452" s="27">
        <v>26</v>
      </c>
      <c r="S2452" s="27" t="s">
        <v>2135</v>
      </c>
      <c r="T2452" s="27"/>
      <c r="U2452" s="27">
        <v>1684</v>
      </c>
      <c r="V2452" s="27" t="s">
        <v>4716</v>
      </c>
      <c r="W2452" s="27" t="s">
        <v>1646</v>
      </c>
      <c r="X2452" s="128" t="s">
        <v>1576</v>
      </c>
      <c r="Y2452" s="73" t="str">
        <f>VLOOKUP(X2452,Choferes!$B$3:C472,2,FALSE)</f>
        <v>+55119971489722</v>
      </c>
      <c r="Z2452" s="73" t="s">
        <v>6232</v>
      </c>
    </row>
    <row r="2453" spans="1:26" hidden="1" x14ac:dyDescent="0.25">
      <c r="A2453" s="222">
        <v>30</v>
      </c>
      <c r="B2453" s="71" t="s">
        <v>29</v>
      </c>
      <c r="C2453" s="39" t="s">
        <v>6190</v>
      </c>
      <c r="D2453" s="106" t="s">
        <v>5640</v>
      </c>
      <c r="E2453" s="47">
        <v>46227</v>
      </c>
      <c r="F2453" s="31" t="str">
        <f>VLOOKUP($C2453,Carpetas!$C$5:$M$2666,2,FALSE)</f>
        <v>BRB061/26</v>
      </c>
      <c r="G2453" s="23" t="str">
        <f>VLOOKUP($C2453,Carpetas!$C$5:$M$2666,10,FALSE)</f>
        <v>156.34.33</v>
      </c>
      <c r="H2453" s="27" t="str">
        <f>VLOOKUP($C2453,Carpetas!$C$5:$M$2666,6,FALSE)</f>
        <v>FG</v>
      </c>
      <c r="I2453" s="27" t="str">
        <f>VLOOKUP($C2453,Carpetas!$C$5:$M$2666,3,FALSE)</f>
        <v>Etimex</v>
      </c>
      <c r="J2453" s="243">
        <f t="shared" si="175"/>
        <v>46229</v>
      </c>
      <c r="K2453" s="261" t="str">
        <f>VLOOKUP($C2453,Carpetas!$C$5:$M$2666,5,FALSE)</f>
        <v>Rio Branco</v>
      </c>
      <c r="L2453" s="263" t="s">
        <v>6116</v>
      </c>
      <c r="M2453" s="264">
        <f t="shared" si="174"/>
        <v>46230</v>
      </c>
      <c r="N2453" s="265">
        <f t="shared" si="176"/>
        <v>3</v>
      </c>
      <c r="O2453" s="239">
        <v>1008</v>
      </c>
      <c r="P2453" s="27">
        <v>1008</v>
      </c>
      <c r="Q2453" s="27">
        <v>28</v>
      </c>
      <c r="R2453" s="27">
        <v>26</v>
      </c>
      <c r="S2453" s="27" t="s">
        <v>6233</v>
      </c>
      <c r="T2453" s="27"/>
      <c r="U2453" s="27">
        <v>1682</v>
      </c>
      <c r="V2453" s="27" t="s">
        <v>3669</v>
      </c>
      <c r="W2453" s="27" t="s">
        <v>912</v>
      </c>
      <c r="X2453" s="128" t="s">
        <v>1397</v>
      </c>
      <c r="Y2453" s="73" t="str">
        <f>VLOOKUP(X2453,Choferes!$B$3:C473,2,FALSE)</f>
        <v>+5551996322594</v>
      </c>
      <c r="Z2453" s="73" t="s">
        <v>6234</v>
      </c>
    </row>
    <row r="2454" spans="1:26" hidden="1" x14ac:dyDescent="0.25">
      <c r="A2454" s="222">
        <v>30</v>
      </c>
      <c r="B2454" s="71" t="s">
        <v>29</v>
      </c>
      <c r="C2454" s="39" t="s">
        <v>6235</v>
      </c>
      <c r="D2454" s="106" t="s">
        <v>5746</v>
      </c>
      <c r="E2454" s="47">
        <v>46227</v>
      </c>
      <c r="F2454" s="31" t="str">
        <f>VLOOKUP($C2454,Carpetas!$C$5:$M$2666,2,FALSE)</f>
        <v>BRB065/26</v>
      </c>
      <c r="G2454" s="23" t="str">
        <f>VLOOKUP($C2454,Carpetas!$C$5:$M$2666,10,FALSE)</f>
        <v>156,43,79</v>
      </c>
      <c r="H2454" s="27" t="str">
        <f>VLOOKUP($C2454,Carpetas!$C$5:$M$2666,6,FALSE)</f>
        <v>FG</v>
      </c>
      <c r="I2454" s="27" t="str">
        <f>VLOOKUP($C2454,Carpetas!$C$5:$M$2666,3,FALSE)</f>
        <v>Etimex</v>
      </c>
      <c r="J2454" s="243">
        <f t="shared" si="175"/>
        <v>46229</v>
      </c>
      <c r="K2454" s="261" t="str">
        <f>VLOOKUP($C2454,Carpetas!$C$5:$M$2666,5,FALSE)</f>
        <v>Rio Branco</v>
      </c>
      <c r="L2454" s="263" t="s">
        <v>6116</v>
      </c>
      <c r="M2454" s="264">
        <f t="shared" si="174"/>
        <v>46230</v>
      </c>
      <c r="N2454" s="265">
        <f t="shared" si="176"/>
        <v>3</v>
      </c>
      <c r="O2454" s="239">
        <v>1008</v>
      </c>
      <c r="P2454" s="27">
        <v>1008</v>
      </c>
      <c r="Q2454" s="27">
        <v>28</v>
      </c>
      <c r="R2454" s="27">
        <v>26</v>
      </c>
      <c r="S2454" s="27" t="s">
        <v>6236</v>
      </c>
      <c r="T2454" s="27"/>
      <c r="U2454" s="27">
        <v>1683</v>
      </c>
      <c r="V2454" s="27" t="s">
        <v>3572</v>
      </c>
      <c r="W2454" s="27" t="s">
        <v>3412</v>
      </c>
      <c r="X2454" s="128" t="s">
        <v>1495</v>
      </c>
      <c r="Y2454" s="73" t="str">
        <f>VLOOKUP(X2454,Choferes!$B$3:C474,2,FALSE)</f>
        <v>+5553984382803</v>
      </c>
      <c r="Z2454" s="73" t="s">
        <v>6229</v>
      </c>
    </row>
    <row r="2455" spans="1:26" hidden="1" x14ac:dyDescent="0.25">
      <c r="A2455" s="222">
        <v>30</v>
      </c>
      <c r="B2455" s="71" t="s">
        <v>29</v>
      </c>
      <c r="C2455" s="39" t="s">
        <v>6205</v>
      </c>
      <c r="D2455" s="106" t="s">
        <v>6011</v>
      </c>
      <c r="E2455" s="47">
        <v>46227</v>
      </c>
      <c r="F2455" s="31" t="str">
        <f>VLOOKUP($C2455,Carpetas!$C$5:$M$2666,2,FALSE)</f>
        <v>BRB063/26</v>
      </c>
      <c r="G2455" s="23" t="str">
        <f>VLOOKUP($C2455,Carpetas!$C$5:$M$2666,10,FALSE)</f>
        <v>156.34.36</v>
      </c>
      <c r="H2455" s="27" t="str">
        <f>VLOOKUP($C2455,Carpetas!$C$5:$M$2666,6,FALSE)</f>
        <v>Chabat</v>
      </c>
      <c r="I2455" s="27" t="str">
        <f>VLOOKUP($C2455,Carpetas!$C$5:$M$2666,3,FALSE)</f>
        <v>Etimex</v>
      </c>
      <c r="J2455" s="243">
        <f t="shared" si="175"/>
        <v>46229</v>
      </c>
      <c r="K2455" s="261" t="str">
        <f>VLOOKUP($C2455,Carpetas!$C$5:$M$2666,5,FALSE)</f>
        <v>Rio Branco</v>
      </c>
      <c r="L2455" s="263" t="s">
        <v>6116</v>
      </c>
      <c r="M2455" s="268">
        <f t="shared" si="174"/>
        <v>46230</v>
      </c>
      <c r="N2455" s="269">
        <f t="shared" si="176"/>
        <v>3</v>
      </c>
      <c r="O2455" s="239">
        <v>1008</v>
      </c>
      <c r="P2455" s="27">
        <v>1008</v>
      </c>
      <c r="Q2455" s="27">
        <v>28</v>
      </c>
      <c r="R2455" s="27">
        <v>26</v>
      </c>
      <c r="S2455" s="27" t="s">
        <v>6237</v>
      </c>
      <c r="T2455" s="27"/>
      <c r="U2455" s="27">
        <v>2590</v>
      </c>
      <c r="V2455" s="27" t="s">
        <v>6203</v>
      </c>
      <c r="W2455" s="27" t="s">
        <v>4277</v>
      </c>
      <c r="X2455" s="128"/>
      <c r="Y2455" s="73" t="e">
        <f>VLOOKUP(X2455,Choferes!$B$3:C474,2,FALSE)</f>
        <v>#N/A</v>
      </c>
      <c r="Z2455" s="73" t="s">
        <v>6238</v>
      </c>
    </row>
    <row r="2456" spans="1:26" hidden="1" x14ac:dyDescent="0.25">
      <c r="A2456" s="222">
        <v>30</v>
      </c>
      <c r="B2456" s="71" t="s">
        <v>29</v>
      </c>
      <c r="C2456" s="39" t="s">
        <v>6235</v>
      </c>
      <c r="D2456" s="106" t="s">
        <v>6075</v>
      </c>
      <c r="E2456" s="47">
        <v>46227</v>
      </c>
      <c r="F2456" s="31" t="str">
        <f>VLOOKUP($C2456,Carpetas!$C$5:$M$2666,2,FALSE)</f>
        <v>BRB065/26</v>
      </c>
      <c r="G2456" s="23" t="str">
        <f>VLOOKUP($C2456,Carpetas!$C$5:$M$2666,10,FALSE)</f>
        <v>156,43,79</v>
      </c>
      <c r="H2456" s="27" t="str">
        <f>VLOOKUP($C2456,Carpetas!$C$5:$M$2666,6,FALSE)</f>
        <v>FG</v>
      </c>
      <c r="I2456" s="27" t="str">
        <f>VLOOKUP($C2456,Carpetas!$C$5:$M$2666,3,FALSE)</f>
        <v>Etimex</v>
      </c>
      <c r="J2456" s="243">
        <f t="shared" si="175"/>
        <v>46229</v>
      </c>
      <c r="K2456" s="261" t="str">
        <f>VLOOKUP($C2456,Carpetas!$C$5:$M$2666,5,FALSE)</f>
        <v>Rio Branco</v>
      </c>
      <c r="L2456" s="263" t="s">
        <v>6116</v>
      </c>
      <c r="M2456" s="268">
        <f t="shared" si="174"/>
        <v>46230</v>
      </c>
      <c r="N2456" s="269">
        <f t="shared" si="176"/>
        <v>3</v>
      </c>
      <c r="O2456" s="239">
        <v>1008</v>
      </c>
      <c r="P2456" s="27">
        <v>1008</v>
      </c>
      <c r="Q2456" s="27">
        <v>28</v>
      </c>
      <c r="R2456" s="27">
        <v>26</v>
      </c>
      <c r="S2456" s="27" t="s">
        <v>6239</v>
      </c>
      <c r="T2456" s="27"/>
      <c r="U2456" s="27">
        <v>1685</v>
      </c>
      <c r="V2456" s="27" t="s">
        <v>5317</v>
      </c>
      <c r="W2456" s="27" t="s">
        <v>1627</v>
      </c>
      <c r="X2456" s="128" t="s">
        <v>2336</v>
      </c>
      <c r="Y2456" s="73" t="str">
        <f>VLOOKUP(X2456,Choferes!$B$3:C463,2,FALSE)</f>
        <v>+5553984414060</v>
      </c>
      <c r="Z2456" s="73" t="s">
        <v>6229</v>
      </c>
    </row>
    <row r="2457" spans="1:26" hidden="1" x14ac:dyDescent="0.25">
      <c r="A2457" s="222">
        <v>31</v>
      </c>
      <c r="B2457" s="71" t="s">
        <v>29</v>
      </c>
      <c r="C2457" s="39" t="s">
        <v>6240</v>
      </c>
      <c r="D2457" s="106" t="s">
        <v>183</v>
      </c>
      <c r="E2457" s="47">
        <v>46228</v>
      </c>
      <c r="F2457" s="31" t="str">
        <f>VLOOKUP($C2457,Carpetas!$C$5:$M$2666,2,FALSE)</f>
        <v>PYB047-26</v>
      </c>
      <c r="G2457" s="23">
        <f>VLOOKUP($C2457,Carpetas!$C$5:$M$2666,10,FALSE)</f>
        <v>1564267</v>
      </c>
      <c r="H2457" s="27" t="str">
        <f>VLOOKUP($C2457,Carpetas!$C$5:$M$2666,6,FALSE)</f>
        <v>Mega Logistica</v>
      </c>
      <c r="I2457" s="27" t="str">
        <f>VLOOKUP($C2457,Carpetas!$C$5:$M$2666,3,FALSE)</f>
        <v>Hugo Franco</v>
      </c>
      <c r="J2457" s="243">
        <v>46231</v>
      </c>
      <c r="K2457" s="261" t="str">
        <f>VLOOKUP($C2457,Carpetas!$C$5:$M$2666,5,FALSE)</f>
        <v>Salto</v>
      </c>
      <c r="L2457" s="263" t="s">
        <v>6116</v>
      </c>
      <c r="M2457" s="268">
        <f>J2457+1+1</f>
        <v>46233</v>
      </c>
      <c r="N2457" s="269">
        <f t="shared" si="176"/>
        <v>5</v>
      </c>
      <c r="O2457" s="239">
        <v>980</v>
      </c>
      <c r="P2457" s="27">
        <v>982</v>
      </c>
      <c r="Q2457" s="27">
        <v>28</v>
      </c>
      <c r="R2457" s="27">
        <v>27</v>
      </c>
      <c r="S2457" s="27" t="s">
        <v>6241</v>
      </c>
      <c r="T2457" s="27"/>
      <c r="U2457" s="27"/>
      <c r="V2457" s="27"/>
      <c r="W2457" s="27"/>
      <c r="X2457" s="128"/>
      <c r="Y2457" s="73" t="e">
        <f>VLOOKUP(X2457,Choferes!$B$3:C464,2,FALSE)</f>
        <v>#N/A</v>
      </c>
      <c r="Z2457" s="73" t="s">
        <v>6242</v>
      </c>
    </row>
    <row r="2458" spans="1:26" hidden="1" x14ac:dyDescent="0.25">
      <c r="A2458" s="222">
        <v>31</v>
      </c>
      <c r="B2458" s="71" t="s">
        <v>29</v>
      </c>
      <c r="C2458" s="39" t="s">
        <v>6240</v>
      </c>
      <c r="D2458" s="106" t="s">
        <v>183</v>
      </c>
      <c r="E2458" s="47">
        <v>46228</v>
      </c>
      <c r="F2458" s="31" t="str">
        <f>VLOOKUP($C2458,Carpetas!$C$5:$M$2666,2,FALSE)</f>
        <v>PYB047-26</v>
      </c>
      <c r="G2458" s="23">
        <f>VLOOKUP($C2458,Carpetas!$C$5:$M$2666,10,FALSE)</f>
        <v>1564267</v>
      </c>
      <c r="H2458" s="27" t="str">
        <f>VLOOKUP($C2458,Carpetas!$C$5:$M$2666,6,FALSE)</f>
        <v>Mega Logistica</v>
      </c>
      <c r="I2458" s="27" t="str">
        <f>VLOOKUP($C2458,Carpetas!$C$5:$M$2666,3,FALSE)</f>
        <v>Hugo Franco</v>
      </c>
      <c r="J2458" s="243">
        <v>46231</v>
      </c>
      <c r="K2458" s="261" t="str">
        <f>VLOOKUP($C2458,Carpetas!$C$5:$M$2666,5,FALSE)</f>
        <v>Salto</v>
      </c>
      <c r="L2458" s="263" t="s">
        <v>6116</v>
      </c>
      <c r="M2458" s="268">
        <f>J2458+1+1</f>
        <v>46233</v>
      </c>
      <c r="N2458" s="269">
        <f t="shared" si="176"/>
        <v>5</v>
      </c>
      <c r="O2458" s="239">
        <v>980</v>
      </c>
      <c r="P2458" s="27">
        <v>983</v>
      </c>
      <c r="Q2458" s="27">
        <v>28</v>
      </c>
      <c r="R2458" s="27">
        <v>27</v>
      </c>
      <c r="S2458" s="27" t="s">
        <v>6243</v>
      </c>
      <c r="T2458" s="27"/>
      <c r="U2458" s="27"/>
      <c r="V2458" s="27"/>
      <c r="W2458" s="27"/>
      <c r="X2458" s="128"/>
      <c r="Y2458" s="73" t="e">
        <f>VLOOKUP(X2458,Choferes!$B$3:C465,2,FALSE)</f>
        <v>#N/A</v>
      </c>
      <c r="Z2458" s="73" t="s">
        <v>6244</v>
      </c>
    </row>
    <row r="2459" spans="1:26" hidden="1" x14ac:dyDescent="0.25">
      <c r="A2459" s="222">
        <v>31</v>
      </c>
      <c r="B2459" s="71" t="s">
        <v>29</v>
      </c>
      <c r="C2459" s="39" t="s">
        <v>6240</v>
      </c>
      <c r="D2459" s="106" t="s">
        <v>183</v>
      </c>
      <c r="E2459" s="47">
        <v>46229</v>
      </c>
      <c r="F2459" s="31" t="str">
        <f>VLOOKUP($C2459,Carpetas!$C$5:$M$2666,2,FALSE)</f>
        <v>PYB047-26</v>
      </c>
      <c r="G2459" s="23">
        <f>VLOOKUP($C2459,Carpetas!$C$5:$M$2666,10,FALSE)</f>
        <v>1564267</v>
      </c>
      <c r="H2459" s="27" t="str">
        <f>VLOOKUP($C2459,Carpetas!$C$5:$M$2666,6,FALSE)</f>
        <v>Mega Logistica</v>
      </c>
      <c r="I2459" s="27" t="str">
        <f>VLOOKUP($C2459,Carpetas!$C$5:$M$2666,3,FALSE)</f>
        <v>Hugo Franco</v>
      </c>
      <c r="J2459" s="243">
        <v>46232</v>
      </c>
      <c r="K2459" s="261" t="str">
        <f>VLOOKUP($C2459,Carpetas!$C$5:$M$2666,5,FALSE)</f>
        <v>Salto</v>
      </c>
      <c r="L2459" s="263" t="s">
        <v>6116</v>
      </c>
      <c r="M2459" s="268">
        <f t="shared" ref="M2459:M2469" si="177">J2459+1</f>
        <v>46233</v>
      </c>
      <c r="N2459" s="269">
        <f t="shared" si="176"/>
        <v>4</v>
      </c>
      <c r="O2459" s="239">
        <v>980</v>
      </c>
      <c r="P2459" s="27">
        <v>982</v>
      </c>
      <c r="Q2459" s="27">
        <v>28</v>
      </c>
      <c r="R2459" s="27">
        <v>27</v>
      </c>
      <c r="S2459" s="27" t="s">
        <v>6245</v>
      </c>
      <c r="T2459" s="27"/>
      <c r="U2459" s="27"/>
      <c r="V2459" s="27"/>
      <c r="W2459" s="27"/>
      <c r="X2459" s="128"/>
      <c r="Y2459" s="73" t="e">
        <f>VLOOKUP(X2459,Choferes!$B$3:C466,2,FALSE)</f>
        <v>#N/A</v>
      </c>
      <c r="Z2459" s="73" t="s">
        <v>6242</v>
      </c>
    </row>
    <row r="2460" spans="1:26" hidden="1" x14ac:dyDescent="0.25">
      <c r="A2460" s="222">
        <v>31</v>
      </c>
      <c r="B2460" s="71" t="s">
        <v>29</v>
      </c>
      <c r="C2460" s="39" t="s">
        <v>6240</v>
      </c>
      <c r="D2460" s="106" t="s">
        <v>183</v>
      </c>
      <c r="E2460" s="47">
        <v>46230</v>
      </c>
      <c r="F2460" s="31" t="str">
        <f>VLOOKUP($C2460,Carpetas!$C$5:$M$2666,2,FALSE)</f>
        <v>PYB047-26</v>
      </c>
      <c r="G2460" s="23">
        <f>VLOOKUP($C2460,Carpetas!$C$5:$M$2666,10,FALSE)</f>
        <v>1564267</v>
      </c>
      <c r="H2460" s="27" t="str">
        <f>VLOOKUP($C2460,Carpetas!$C$5:$M$2666,6,FALSE)</f>
        <v>Mega Logistica</v>
      </c>
      <c r="I2460" s="27" t="str">
        <f>VLOOKUP($C2460,Carpetas!$C$5:$M$2666,3,FALSE)</f>
        <v>Hugo Franco</v>
      </c>
      <c r="J2460" s="243">
        <f>E2460+2</f>
        <v>46232</v>
      </c>
      <c r="K2460" s="261" t="str">
        <f>VLOOKUP($C2460,Carpetas!$C$5:$M$2666,5,FALSE)</f>
        <v>Salto</v>
      </c>
      <c r="L2460" s="263" t="s">
        <v>6116</v>
      </c>
      <c r="M2460" s="268">
        <f t="shared" si="177"/>
        <v>46233</v>
      </c>
      <c r="N2460" s="269">
        <f t="shared" si="176"/>
        <v>3</v>
      </c>
      <c r="O2460" s="239">
        <v>980</v>
      </c>
      <c r="P2460" s="27">
        <v>981</v>
      </c>
      <c r="Q2460" s="27">
        <v>28</v>
      </c>
      <c r="R2460" s="27">
        <v>27</v>
      </c>
      <c r="S2460" s="27" t="s">
        <v>6246</v>
      </c>
      <c r="T2460" s="27"/>
      <c r="U2460" s="27"/>
      <c r="V2460" s="27"/>
      <c r="W2460" s="27"/>
      <c r="X2460" s="128"/>
      <c r="Y2460" s="73" t="e">
        <f>VLOOKUP(X2460,Choferes!$B$3:C467,2,FALSE)</f>
        <v>#N/A</v>
      </c>
      <c r="Z2460" s="73" t="s">
        <v>6247</v>
      </c>
    </row>
    <row r="2461" spans="1:26" hidden="1" x14ac:dyDescent="0.25">
      <c r="A2461" s="222">
        <v>31</v>
      </c>
      <c r="B2461" s="71" t="s">
        <v>29</v>
      </c>
      <c r="C2461" s="39" t="s">
        <v>6248</v>
      </c>
      <c r="D2461" s="106" t="s">
        <v>42</v>
      </c>
      <c r="E2461" s="47">
        <v>46231</v>
      </c>
      <c r="F2461" s="31" t="str">
        <f>VLOOKUP($C2461,Carpetas!$C$5:$M$2666,2,FALSE)</f>
        <v>PYB048-26</v>
      </c>
      <c r="G2461" s="23" t="str">
        <f>VLOOKUP($C2461,Carpetas!$C$5:$M$2666,10,FALSE)</f>
        <v>156,43,99</v>
      </c>
      <c r="H2461" s="27" t="str">
        <f>VLOOKUP($C2461,Carpetas!$C$5:$M$2666,6,FALSE)</f>
        <v>Lider Express</v>
      </c>
      <c r="I2461" s="27" t="str">
        <f>VLOOKUP($C2461,Carpetas!$C$5:$M$2666,3,FALSE)</f>
        <v>Servifel</v>
      </c>
      <c r="J2461" s="243">
        <f>E2461+2</f>
        <v>46233</v>
      </c>
      <c r="K2461" s="261" t="str">
        <f>VLOOKUP($C2461,Carpetas!$C$5:$M$2666,5,FALSE)</f>
        <v>Salto</v>
      </c>
      <c r="L2461" s="263" t="s">
        <v>6116</v>
      </c>
      <c r="M2461" s="268">
        <f t="shared" si="177"/>
        <v>46234</v>
      </c>
      <c r="N2461" s="269">
        <f t="shared" si="176"/>
        <v>3</v>
      </c>
      <c r="O2461" s="239">
        <v>980</v>
      </c>
      <c r="P2461" s="27">
        <v>982</v>
      </c>
      <c r="Q2461" s="27">
        <v>28</v>
      </c>
      <c r="R2461" s="27">
        <v>27</v>
      </c>
      <c r="S2461" s="27" t="s">
        <v>346</v>
      </c>
      <c r="T2461" s="27"/>
      <c r="U2461" s="27"/>
      <c r="V2461" s="27"/>
      <c r="W2461" s="27"/>
      <c r="X2461" s="128"/>
      <c r="Y2461" s="73" t="e">
        <f>VLOOKUP(X2461,Choferes!$B$3:C472,2,FALSE)</f>
        <v>#N/A</v>
      </c>
      <c r="Z2461" s="73" t="s">
        <v>6249</v>
      </c>
    </row>
    <row r="2462" spans="1:26" hidden="1" x14ac:dyDescent="0.25">
      <c r="A2462" s="222">
        <v>31</v>
      </c>
      <c r="B2462" s="71" t="s">
        <v>29</v>
      </c>
      <c r="C2462" s="39" t="s">
        <v>6250</v>
      </c>
      <c r="D2462" s="106" t="s">
        <v>102</v>
      </c>
      <c r="E2462" s="47">
        <v>46230</v>
      </c>
      <c r="F2462" s="31" t="str">
        <f>VLOOKUP($C2462,Carpetas!$C$5:$M$2666,2,FALSE)</f>
        <v>PYB049-26</v>
      </c>
      <c r="G2462" s="23">
        <f>VLOOKUP($C2462,Carpetas!$C$5:$M$2666,10,FALSE)</f>
        <v>1564268</v>
      </c>
      <c r="H2462" s="27" t="str">
        <f>VLOOKUP($C2462,Carpetas!$C$5:$M$2666,6,FALSE)</f>
        <v>Lider Express</v>
      </c>
      <c r="I2462" s="27" t="str">
        <f>VLOOKUP($C2462,Carpetas!$C$5:$M$2666,3,FALSE)</f>
        <v>Emprendimientos Karen</v>
      </c>
      <c r="J2462" s="243">
        <v>46234</v>
      </c>
      <c r="K2462" s="261" t="str">
        <f>VLOOKUP($C2462,Carpetas!$C$5:$M$2666,5,FALSE)</f>
        <v>Salto</v>
      </c>
      <c r="L2462" s="263" t="s">
        <v>6116</v>
      </c>
      <c r="M2462" s="268">
        <f t="shared" si="177"/>
        <v>46235</v>
      </c>
      <c r="N2462" s="269">
        <f t="shared" si="176"/>
        <v>5</v>
      </c>
      <c r="O2462" s="239">
        <v>980</v>
      </c>
      <c r="P2462" s="27">
        <v>980</v>
      </c>
      <c r="Q2462" s="27">
        <v>28</v>
      </c>
      <c r="R2462" s="27">
        <v>27</v>
      </c>
      <c r="S2462" s="27" t="s">
        <v>6251</v>
      </c>
      <c r="T2462" s="27"/>
      <c r="U2462" s="27"/>
      <c r="V2462" s="27"/>
      <c r="W2462" s="27"/>
      <c r="X2462" s="128"/>
      <c r="Y2462" s="73" t="e">
        <f>VLOOKUP(X2462,Choferes!$B$3:C470,2,FALSE)</f>
        <v>#N/A</v>
      </c>
      <c r="Z2462" s="73" t="s">
        <v>6252</v>
      </c>
    </row>
    <row r="2463" spans="1:26" hidden="1" x14ac:dyDescent="0.25">
      <c r="A2463" s="222">
        <v>31</v>
      </c>
      <c r="B2463" s="71" t="s">
        <v>29</v>
      </c>
      <c r="C2463" s="39" t="s">
        <v>6250</v>
      </c>
      <c r="D2463" s="106" t="s">
        <v>102</v>
      </c>
      <c r="E2463" s="47">
        <v>46231</v>
      </c>
      <c r="F2463" s="31" t="str">
        <f>VLOOKUP($C2463,Carpetas!$C$5:$M$2666,2,FALSE)</f>
        <v>PYB049-26</v>
      </c>
      <c r="G2463" s="23">
        <f>VLOOKUP($C2463,Carpetas!$C$5:$M$2666,10,FALSE)</f>
        <v>1564268</v>
      </c>
      <c r="H2463" s="27" t="str">
        <f>VLOOKUP($C2463,Carpetas!$C$5:$M$2666,6,FALSE)</f>
        <v>Lider Express</v>
      </c>
      <c r="I2463" s="27" t="str">
        <f>VLOOKUP($C2463,Carpetas!$C$5:$M$2666,3,FALSE)</f>
        <v>Emprendimientos Karen</v>
      </c>
      <c r="J2463" s="243">
        <v>46234</v>
      </c>
      <c r="K2463" s="261" t="str">
        <f>VLOOKUP($C2463,Carpetas!$C$5:$M$2666,5,FALSE)</f>
        <v>Salto</v>
      </c>
      <c r="L2463" s="263" t="s">
        <v>6116</v>
      </c>
      <c r="M2463" s="268">
        <f t="shared" si="177"/>
        <v>46235</v>
      </c>
      <c r="N2463" s="269">
        <f t="shared" si="176"/>
        <v>4</v>
      </c>
      <c r="O2463" s="239">
        <v>980</v>
      </c>
      <c r="P2463" s="27">
        <v>981</v>
      </c>
      <c r="Q2463" s="27">
        <v>28</v>
      </c>
      <c r="R2463" s="27">
        <v>27</v>
      </c>
      <c r="S2463" s="27" t="s">
        <v>352</v>
      </c>
      <c r="T2463" s="27"/>
      <c r="U2463" s="27"/>
      <c r="V2463" s="27"/>
      <c r="W2463" s="27"/>
      <c r="X2463" s="128"/>
      <c r="Y2463" s="73" t="e">
        <f>VLOOKUP(X2463,Choferes!$B$3:C471,2,FALSE)</f>
        <v>#N/A</v>
      </c>
      <c r="Z2463" s="73" t="s">
        <v>6253</v>
      </c>
    </row>
    <row r="2464" spans="1:26" hidden="1" x14ac:dyDescent="0.25">
      <c r="A2464" s="222">
        <v>31</v>
      </c>
      <c r="B2464" s="71" t="s">
        <v>29</v>
      </c>
      <c r="C2464" s="39" t="s">
        <v>6240</v>
      </c>
      <c r="D2464" s="106" t="s">
        <v>183</v>
      </c>
      <c r="E2464" s="47">
        <v>46234</v>
      </c>
      <c r="F2464" s="31" t="str">
        <f>VLOOKUP($C2464,Carpetas!$C$5:$M$2666,2,FALSE)</f>
        <v>PYB047-26</v>
      </c>
      <c r="G2464" s="23">
        <f>VLOOKUP($C2464,Carpetas!$C$5:$M$2666,10,FALSE)</f>
        <v>1564267</v>
      </c>
      <c r="H2464" s="27" t="str">
        <f>VLOOKUP($C2464,Carpetas!$C$5:$M$2666,6,FALSE)</f>
        <v>Mega Logistica</v>
      </c>
      <c r="I2464" s="27" t="str">
        <f>VLOOKUP($C2464,Carpetas!$C$5:$M$2666,3,FALSE)</f>
        <v>Hugo Franco</v>
      </c>
      <c r="J2464" s="243">
        <v>46237</v>
      </c>
      <c r="K2464" s="261" t="str">
        <f>VLOOKUP($C2464,Carpetas!$C$5:$M$2666,5,FALSE)</f>
        <v>Salto</v>
      </c>
      <c r="L2464" s="263" t="s">
        <v>6116</v>
      </c>
      <c r="M2464" s="268">
        <f t="shared" si="177"/>
        <v>46238</v>
      </c>
      <c r="N2464" s="269">
        <f t="shared" si="176"/>
        <v>4</v>
      </c>
      <c r="O2464" s="239">
        <v>980</v>
      </c>
      <c r="P2464" s="27">
        <v>982</v>
      </c>
      <c r="Q2464" s="27">
        <v>28</v>
      </c>
      <c r="R2464" s="27">
        <v>27</v>
      </c>
      <c r="S2464" s="27" t="s">
        <v>6254</v>
      </c>
      <c r="T2464" s="27"/>
      <c r="U2464" s="27"/>
      <c r="V2464" s="27"/>
      <c r="W2464" s="27"/>
      <c r="X2464" s="128"/>
      <c r="Y2464" s="73" t="e">
        <f>VLOOKUP(X2464,Choferes!$B$3:C469,2,FALSE)</f>
        <v>#N/A</v>
      </c>
      <c r="Z2464" s="73" t="s">
        <v>6255</v>
      </c>
    </row>
    <row r="2465" spans="1:26" hidden="1" x14ac:dyDescent="0.25">
      <c r="A2465" s="222">
        <v>31</v>
      </c>
      <c r="B2465" s="71" t="s">
        <v>29</v>
      </c>
      <c r="C2465" s="39" t="s">
        <v>6240</v>
      </c>
      <c r="D2465" s="106" t="s">
        <v>183</v>
      </c>
      <c r="E2465" s="47">
        <v>46234</v>
      </c>
      <c r="F2465" s="31" t="str">
        <f>VLOOKUP($C2465,Carpetas!$C$5:$M$2666,2,FALSE)</f>
        <v>PYB047-26</v>
      </c>
      <c r="G2465" s="23">
        <f>VLOOKUP($C2465,Carpetas!$C$5:$M$2666,10,FALSE)</f>
        <v>1564267</v>
      </c>
      <c r="H2465" s="27" t="str">
        <f>VLOOKUP($C2465,Carpetas!$C$5:$M$2666,6,FALSE)</f>
        <v>Mega Logistica</v>
      </c>
      <c r="I2465" s="27" t="str">
        <f>VLOOKUP($C2465,Carpetas!$C$5:$M$2666,3,FALSE)</f>
        <v>Hugo Franco</v>
      </c>
      <c r="J2465" s="243">
        <v>46237</v>
      </c>
      <c r="K2465" s="261" t="str">
        <f>VLOOKUP($C2465,Carpetas!$C$5:$M$2666,5,FALSE)</f>
        <v>Salto</v>
      </c>
      <c r="L2465" s="263" t="s">
        <v>6116</v>
      </c>
      <c r="M2465" s="268">
        <f t="shared" si="177"/>
        <v>46238</v>
      </c>
      <c r="N2465" s="269">
        <f t="shared" si="176"/>
        <v>4</v>
      </c>
      <c r="O2465" s="239">
        <v>980</v>
      </c>
      <c r="P2465" s="27">
        <v>985</v>
      </c>
      <c r="Q2465" s="27">
        <v>28</v>
      </c>
      <c r="R2465" s="27">
        <v>27</v>
      </c>
      <c r="S2465" s="27" t="s">
        <v>6256</v>
      </c>
      <c r="T2465" s="27"/>
      <c r="U2465" s="27"/>
      <c r="V2465" s="27"/>
      <c r="W2465" s="27"/>
      <c r="X2465" s="128"/>
      <c r="Y2465" s="73" t="e">
        <f>VLOOKUP(X2465,Choferes!$B$3:C468,2,FALSE)</f>
        <v>#N/A</v>
      </c>
      <c r="Z2465" s="73" t="s">
        <v>6257</v>
      </c>
    </row>
    <row r="2466" spans="1:26" hidden="1" x14ac:dyDescent="0.25">
      <c r="A2466" s="222">
        <v>31</v>
      </c>
      <c r="B2466" s="71" t="s">
        <v>29</v>
      </c>
      <c r="C2466" s="39" t="s">
        <v>6205</v>
      </c>
      <c r="D2466" s="106" t="s">
        <v>2474</v>
      </c>
      <c r="E2466" s="47">
        <v>46234</v>
      </c>
      <c r="F2466" s="31" t="str">
        <f>VLOOKUP($C2466,Carpetas!$C$5:$M$2666,2,FALSE)</f>
        <v>BRB063/26</v>
      </c>
      <c r="G2466" s="23" t="str">
        <f>VLOOKUP($C2466,Carpetas!$C$5:$M$2666,10,FALSE)</f>
        <v>156.34.36</v>
      </c>
      <c r="H2466" s="27" t="str">
        <f>VLOOKUP($C2466,Carpetas!$C$5:$M$2666,6,FALSE)</f>
        <v>Chabat</v>
      </c>
      <c r="I2466" s="27" t="str">
        <f>VLOOKUP($C2466,Carpetas!$C$5:$M$2666,3,FALSE)</f>
        <v>Etimex</v>
      </c>
      <c r="J2466" s="243">
        <v>46237</v>
      </c>
      <c r="K2466" s="261" t="str">
        <f>VLOOKUP($C2466,Carpetas!$C$5:$M$2666,5,FALSE)</f>
        <v>Rio Branco</v>
      </c>
      <c r="L2466" s="263" t="s">
        <v>6116</v>
      </c>
      <c r="M2466" s="268">
        <f t="shared" si="177"/>
        <v>46238</v>
      </c>
      <c r="N2466" s="269">
        <f t="shared" si="176"/>
        <v>4</v>
      </c>
      <c r="O2466" s="239">
        <v>1008</v>
      </c>
      <c r="P2466" s="27">
        <v>1008</v>
      </c>
      <c r="Q2466" s="27">
        <v>28</v>
      </c>
      <c r="R2466" s="27">
        <v>26</v>
      </c>
      <c r="S2466" s="27" t="s">
        <v>4097</v>
      </c>
      <c r="T2466" s="27"/>
      <c r="U2466" s="27">
        <v>2592</v>
      </c>
      <c r="V2466" s="27" t="s">
        <v>6203</v>
      </c>
      <c r="W2466" s="27" t="s">
        <v>4277</v>
      </c>
      <c r="X2466" s="128" t="s">
        <v>6258</v>
      </c>
      <c r="Y2466" s="73" t="str">
        <f>VLOOKUP(X2466,Choferes!$B$3:C473,2,FALSE)</f>
        <v>+55 53 98447-9222</v>
      </c>
      <c r="Z2466" s="73" t="s">
        <v>6259</v>
      </c>
    </row>
    <row r="2467" spans="1:26" hidden="1" x14ac:dyDescent="0.25">
      <c r="A2467" s="222">
        <v>31</v>
      </c>
      <c r="B2467" s="71" t="s">
        <v>29</v>
      </c>
      <c r="C2467" s="39" t="s">
        <v>6192</v>
      </c>
      <c r="D2467" s="106" t="s">
        <v>2202</v>
      </c>
      <c r="E2467" s="47">
        <v>46234</v>
      </c>
      <c r="F2467" s="31" t="str">
        <f>VLOOKUP($C2467,Carpetas!$C$5:$M$2666,2,FALSE)</f>
        <v>BRB062/26</v>
      </c>
      <c r="G2467" s="23" t="str">
        <f>VLOOKUP($C2467,Carpetas!$C$5:$M$2666,10,FALSE)</f>
        <v>156.34.34</v>
      </c>
      <c r="H2467" s="27" t="str">
        <f>VLOOKUP($C2467,Carpetas!$C$5:$M$2666,6,FALSE)</f>
        <v>Amaro</v>
      </c>
      <c r="I2467" s="27" t="str">
        <f>VLOOKUP($C2467,Carpetas!$C$5:$M$2666,3,FALSE)</f>
        <v>Etimex</v>
      </c>
      <c r="J2467" s="243">
        <v>46237</v>
      </c>
      <c r="K2467" s="261" t="str">
        <f>VLOOKUP($C2467,Carpetas!$C$5:$M$2666,5,FALSE)</f>
        <v>Rio Branco</v>
      </c>
      <c r="L2467" s="263" t="s">
        <v>6116</v>
      </c>
      <c r="M2467" s="268">
        <f t="shared" si="177"/>
        <v>46238</v>
      </c>
      <c r="N2467" s="269">
        <f t="shared" si="176"/>
        <v>4</v>
      </c>
      <c r="O2467" s="239">
        <v>1008</v>
      </c>
      <c r="P2467" s="27">
        <v>1008</v>
      </c>
      <c r="Q2467" s="27">
        <v>28</v>
      </c>
      <c r="R2467" s="27">
        <v>26</v>
      </c>
      <c r="S2467" s="27" t="s">
        <v>6260</v>
      </c>
      <c r="T2467" s="27"/>
      <c r="U2467" s="27">
        <v>29050</v>
      </c>
      <c r="V2467" s="27" t="s">
        <v>2619</v>
      </c>
      <c r="W2467" s="27" t="s">
        <v>2137</v>
      </c>
      <c r="X2467" s="128" t="s">
        <v>6194</v>
      </c>
      <c r="Y2467" s="73" t="str">
        <f>VLOOKUP(X2467,Choferes!$B$3:C474,2,FALSE)</f>
        <v>+55 53 9173-3828</v>
      </c>
      <c r="Z2467" s="73" t="s">
        <v>6261</v>
      </c>
    </row>
    <row r="2468" spans="1:26" hidden="1" x14ac:dyDescent="0.25">
      <c r="A2468" s="222">
        <v>31</v>
      </c>
      <c r="B2468" s="71" t="s">
        <v>29</v>
      </c>
      <c r="C2468" s="39" t="s">
        <v>6235</v>
      </c>
      <c r="D2468" s="106" t="s">
        <v>110</v>
      </c>
      <c r="E2468" s="47">
        <v>46234</v>
      </c>
      <c r="F2468" s="31" t="str">
        <f>VLOOKUP($C2468,Carpetas!$C$5:$M$2666,2,FALSE)</f>
        <v>BRB065/26</v>
      </c>
      <c r="G2468" s="23" t="str">
        <f>VLOOKUP($C2468,Carpetas!$C$5:$M$2666,10,FALSE)</f>
        <v>156,43,79</v>
      </c>
      <c r="H2468" s="27" t="str">
        <f>VLOOKUP($C2468,Carpetas!$C$5:$M$2666,6,FALSE)</f>
        <v>FG</v>
      </c>
      <c r="I2468" s="27" t="str">
        <f>VLOOKUP($C2468,Carpetas!$C$5:$M$2666,3,FALSE)</f>
        <v>Etimex</v>
      </c>
      <c r="J2468" s="243">
        <v>46237</v>
      </c>
      <c r="K2468" s="261" t="str">
        <f>VLOOKUP($C2468,Carpetas!$C$5:$M$2666,5,FALSE)</f>
        <v>Rio Branco</v>
      </c>
      <c r="L2468" s="263" t="s">
        <v>6116</v>
      </c>
      <c r="M2468" s="268">
        <f t="shared" si="177"/>
        <v>46238</v>
      </c>
      <c r="N2468" s="269">
        <f t="shared" si="176"/>
        <v>4</v>
      </c>
      <c r="O2468" s="239">
        <v>1008</v>
      </c>
      <c r="P2468" s="27">
        <v>1009</v>
      </c>
      <c r="Q2468" s="27">
        <v>28</v>
      </c>
      <c r="R2468" s="27">
        <v>26</v>
      </c>
      <c r="S2468" s="27" t="s">
        <v>2166</v>
      </c>
      <c r="T2468" s="27"/>
      <c r="U2468" s="27">
        <v>1693</v>
      </c>
      <c r="V2468" s="27" t="s">
        <v>3669</v>
      </c>
      <c r="W2468" s="27" t="s">
        <v>912</v>
      </c>
      <c r="X2468" s="128" t="s">
        <v>1397</v>
      </c>
      <c r="Y2468" s="73" t="str">
        <f>VLOOKUP(X2468,Choferes!$B$3:C474,2,FALSE)</f>
        <v>+5551996322594</v>
      </c>
      <c r="Z2468" s="73" t="s">
        <v>6262</v>
      </c>
    </row>
    <row r="2469" spans="1:26" hidden="1" x14ac:dyDescent="0.25">
      <c r="A2469" s="222">
        <v>31</v>
      </c>
      <c r="B2469" s="71" t="s">
        <v>29</v>
      </c>
      <c r="C2469" s="39" t="s">
        <v>6235</v>
      </c>
      <c r="D2469" s="106" t="s">
        <v>249</v>
      </c>
      <c r="E2469" s="47">
        <v>46234</v>
      </c>
      <c r="F2469" s="31" t="str">
        <f>VLOOKUP($C2469,Carpetas!$C$5:$M$2666,2,FALSE)</f>
        <v>BRB065/26</v>
      </c>
      <c r="G2469" s="23" t="str">
        <f>VLOOKUP($C2469,Carpetas!$C$5:$M$2666,10,FALSE)</f>
        <v>156,43,79</v>
      </c>
      <c r="H2469" s="27" t="str">
        <f>VLOOKUP($C2469,Carpetas!$C$5:$M$2666,6,FALSE)</f>
        <v>FG</v>
      </c>
      <c r="I2469" s="27" t="str">
        <f>VLOOKUP($C2469,Carpetas!$C$5:$M$2666,3,FALSE)</f>
        <v>Etimex</v>
      </c>
      <c r="J2469" s="243">
        <v>46237</v>
      </c>
      <c r="K2469" s="261" t="str">
        <f>VLOOKUP($C2469,Carpetas!$C$5:$M$2666,5,FALSE)</f>
        <v>Rio Branco</v>
      </c>
      <c r="L2469" s="263" t="s">
        <v>6116</v>
      </c>
      <c r="M2469" s="268">
        <f t="shared" si="177"/>
        <v>46238</v>
      </c>
      <c r="N2469" s="269">
        <f t="shared" si="176"/>
        <v>4</v>
      </c>
      <c r="O2469" s="239">
        <v>1008</v>
      </c>
      <c r="P2469" s="27">
        <v>1008</v>
      </c>
      <c r="Q2469" s="27">
        <v>28</v>
      </c>
      <c r="R2469" s="27">
        <v>26</v>
      </c>
      <c r="S2469" s="27" t="s">
        <v>2908</v>
      </c>
      <c r="T2469" s="27"/>
      <c r="U2469" s="27">
        <v>1694</v>
      </c>
      <c r="V2469" s="27" t="s">
        <v>4716</v>
      </c>
      <c r="W2469" s="27" t="s">
        <v>1646</v>
      </c>
      <c r="X2469" s="128" t="s">
        <v>1576</v>
      </c>
      <c r="Y2469" s="73" t="str">
        <f>VLOOKUP(X2469,Choferes!$B$3:C475,2,FALSE)</f>
        <v>+55119971489722</v>
      </c>
      <c r="Z2469" s="73" t="s">
        <v>6261</v>
      </c>
    </row>
    <row r="2470" spans="1:26" hidden="1" x14ac:dyDescent="0.25">
      <c r="A2470" s="222">
        <v>31</v>
      </c>
      <c r="B2470" s="71" t="s">
        <v>29</v>
      </c>
      <c r="C2470" s="39" t="s">
        <v>6263</v>
      </c>
      <c r="D2470" s="106" t="s">
        <v>38</v>
      </c>
      <c r="E2470" s="47">
        <v>46235</v>
      </c>
      <c r="F2470" s="31" t="str">
        <f>VLOOKUP($C2470,Carpetas!$C$5:$M$2666,2,FALSE)</f>
        <v>BRE053/26</v>
      </c>
      <c r="G2470" s="23">
        <f>VLOOKUP($C2470,Carpetas!$C$5:$M$2666,10,FALSE)</f>
        <v>1563479</v>
      </c>
      <c r="H2470" s="27" t="str">
        <f>VLOOKUP($C2470,Carpetas!$C$5:$M$2666,6,FALSE)</f>
        <v>Miltex</v>
      </c>
      <c r="I2470" s="27" t="str">
        <f>VLOOKUP($C2470,Carpetas!$C$5:$M$2666,3,FALSE)</f>
        <v>Jaguacy</v>
      </c>
      <c r="J2470" s="243">
        <v>46238</v>
      </c>
      <c r="K2470" s="261" t="str">
        <f>VLOOKUP($C2470,Carpetas!$C$5:$M$2666,5,FALSE)</f>
        <v>Chuy</v>
      </c>
      <c r="L2470" s="263" t="s">
        <v>5813</v>
      </c>
      <c r="M2470" s="268">
        <f>J2470+1+1</f>
        <v>46240</v>
      </c>
      <c r="N2470" s="269">
        <f t="shared" si="176"/>
        <v>5</v>
      </c>
      <c r="O2470" s="239">
        <v>2169</v>
      </c>
      <c r="P2470" s="27">
        <v>2169</v>
      </c>
      <c r="Q2470" s="27">
        <v>24</v>
      </c>
      <c r="R2470" s="27"/>
      <c r="S2470" s="27"/>
      <c r="T2470" s="27"/>
      <c r="U2470" s="27"/>
      <c r="V2470" s="27"/>
      <c r="W2470" s="27"/>
      <c r="X2470" s="128"/>
      <c r="Y2470" s="73" t="e">
        <f>VLOOKUP(X2470,Choferes!$B$3:C472,2,FALSE)</f>
        <v>#N/A</v>
      </c>
      <c r="Z2470" s="73" t="s">
        <v>6264</v>
      </c>
    </row>
    <row r="2471" spans="1:26" hidden="1" x14ac:dyDescent="0.25">
      <c r="A2471" s="222">
        <v>32</v>
      </c>
      <c r="B2471" s="71" t="s">
        <v>29</v>
      </c>
      <c r="C2471" s="39" t="s">
        <v>6265</v>
      </c>
      <c r="D2471" s="106" t="s">
        <v>183</v>
      </c>
      <c r="E2471" s="47">
        <v>46236</v>
      </c>
      <c r="F2471" s="31" t="str">
        <f>VLOOKUP($C2471,Carpetas!$C$5:$M$2666,2,FALSE)</f>
        <v>PYB050-26</v>
      </c>
      <c r="G2471" s="23">
        <f>VLOOKUP($C2471,Carpetas!$C$5:$M$2666,10,FALSE)</f>
        <v>1564268</v>
      </c>
      <c r="H2471" s="27" t="str">
        <f>VLOOKUP($C2471,Carpetas!$C$5:$M$2666,6,FALSE)</f>
        <v>G.S.C.S. PARAGUAY TTES.</v>
      </c>
      <c r="I2471" s="27" t="str">
        <f>VLOOKUP($C2471,Carpetas!$C$5:$M$2666,3,FALSE)</f>
        <v>Hugo Franco</v>
      </c>
      <c r="J2471" s="243">
        <v>46239</v>
      </c>
      <c r="K2471" s="261" t="str">
        <f>VLOOKUP($C2471,Carpetas!$C$5:$M$2666,5,FALSE)</f>
        <v>Salto</v>
      </c>
      <c r="L2471" s="263" t="s">
        <v>6116</v>
      </c>
      <c r="M2471" s="268">
        <f>J2471+1</f>
        <v>46240</v>
      </c>
      <c r="N2471" s="269">
        <f t="shared" si="176"/>
        <v>4</v>
      </c>
      <c r="O2471" s="239">
        <v>980</v>
      </c>
      <c r="P2471" s="27">
        <v>987</v>
      </c>
      <c r="Q2471" s="27">
        <v>28</v>
      </c>
      <c r="R2471" s="27">
        <v>26</v>
      </c>
      <c r="S2471" s="27" t="s">
        <v>6266</v>
      </c>
      <c r="T2471" s="27"/>
      <c r="U2471" s="27"/>
      <c r="V2471" s="27"/>
      <c r="W2471" s="27"/>
      <c r="X2471" s="128"/>
      <c r="Y2471" s="73" t="e">
        <f>VLOOKUP(X2471,Choferes!$B$3:C469,2,FALSE)</f>
        <v>#N/A</v>
      </c>
      <c r="Z2471" s="73" t="s">
        <v>6267</v>
      </c>
    </row>
    <row r="2472" spans="1:26" hidden="1" x14ac:dyDescent="0.25">
      <c r="A2472" s="222">
        <v>32</v>
      </c>
      <c r="B2472" s="71" t="s">
        <v>29</v>
      </c>
      <c r="C2472" s="39" t="s">
        <v>6265</v>
      </c>
      <c r="D2472" s="106" t="s">
        <v>183</v>
      </c>
      <c r="E2472" s="47">
        <v>46236</v>
      </c>
      <c r="F2472" s="31" t="str">
        <f>VLOOKUP($C2472,Carpetas!$C$5:$M$2666,2,FALSE)</f>
        <v>PYB050-26</v>
      </c>
      <c r="G2472" s="23">
        <f>VLOOKUP($C2472,Carpetas!$C$5:$M$2666,10,FALSE)</f>
        <v>1564268</v>
      </c>
      <c r="H2472" s="27" t="str">
        <f>VLOOKUP($C2472,Carpetas!$C$5:$M$2666,6,FALSE)</f>
        <v>G.S.C.S. PARAGUAY TTES.</v>
      </c>
      <c r="I2472" s="27" t="str">
        <f>VLOOKUP($C2472,Carpetas!$C$5:$M$2666,3,FALSE)</f>
        <v>Hugo Franco</v>
      </c>
      <c r="J2472" s="243">
        <v>46239</v>
      </c>
      <c r="K2472" s="261" t="str">
        <f>VLOOKUP($C2472,Carpetas!$C$5:$M$2666,5,FALSE)</f>
        <v>Salto</v>
      </c>
      <c r="L2472" s="263" t="s">
        <v>6116</v>
      </c>
      <c r="M2472" s="268">
        <f>J2472+1</f>
        <v>46240</v>
      </c>
      <c r="N2472" s="269">
        <f t="shared" si="176"/>
        <v>4</v>
      </c>
      <c r="O2472" s="239">
        <v>980</v>
      </c>
      <c r="P2472" s="27">
        <v>982</v>
      </c>
      <c r="Q2472" s="27">
        <v>28</v>
      </c>
      <c r="R2472" s="27">
        <v>27</v>
      </c>
      <c r="S2472" s="27" t="s">
        <v>6268</v>
      </c>
      <c r="T2472" s="27"/>
      <c r="U2472" s="27"/>
      <c r="V2472" s="27"/>
      <c r="W2472" s="27"/>
      <c r="X2472" s="128"/>
      <c r="Y2472" s="73" t="e">
        <f>VLOOKUP(X2472,Choferes!$B$3:C470,2,FALSE)</f>
        <v>#N/A</v>
      </c>
      <c r="Z2472" s="73" t="s">
        <v>6269</v>
      </c>
    </row>
    <row r="2473" spans="1:26" hidden="1" x14ac:dyDescent="0.25">
      <c r="A2473" s="222">
        <v>32</v>
      </c>
      <c r="B2473" s="71" t="s">
        <v>29</v>
      </c>
      <c r="C2473" s="39" t="s">
        <v>6205</v>
      </c>
      <c r="D2473" s="106" t="s">
        <v>5640</v>
      </c>
      <c r="E2473" s="47">
        <v>46239</v>
      </c>
      <c r="F2473" s="31" t="str">
        <f>VLOOKUP($C2473,Carpetas!$C$5:$M$2666,2,FALSE)</f>
        <v>BRB063/26</v>
      </c>
      <c r="G2473" s="23" t="str">
        <f>VLOOKUP($C2473,Carpetas!$C$5:$M$2666,10,FALSE)</f>
        <v>156.34.36</v>
      </c>
      <c r="H2473" s="27" t="str">
        <f>VLOOKUP($C2473,Carpetas!$C$5:$M$2666,6,FALSE)</f>
        <v>Chabat</v>
      </c>
      <c r="I2473" s="27" t="str">
        <f>VLOOKUP($C2473,Carpetas!$C$5:$M$2666,3,FALSE)</f>
        <v>Etimex</v>
      </c>
      <c r="J2473" s="243">
        <v>46240</v>
      </c>
      <c r="K2473" s="261" t="str">
        <f>VLOOKUP($C2473,Carpetas!$C$5:$M$2666,5,FALSE)</f>
        <v>Rio Branco</v>
      </c>
      <c r="L2473" s="263" t="s">
        <v>6116</v>
      </c>
      <c r="M2473" s="268">
        <f>J2473+1</f>
        <v>46241</v>
      </c>
      <c r="N2473" s="269">
        <f t="shared" si="176"/>
        <v>2</v>
      </c>
      <c r="O2473" s="239">
        <v>1008</v>
      </c>
      <c r="P2473" s="27">
        <v>1026</v>
      </c>
      <c r="Q2473" s="27">
        <v>28</v>
      </c>
      <c r="R2473" s="27">
        <v>26</v>
      </c>
      <c r="S2473" s="27" t="s">
        <v>6270</v>
      </c>
      <c r="T2473" s="27"/>
      <c r="U2473" s="27">
        <v>2593</v>
      </c>
      <c r="V2473" s="27" t="s">
        <v>4129</v>
      </c>
      <c r="W2473" s="27" t="s">
        <v>4223</v>
      </c>
      <c r="X2473" s="128" t="s">
        <v>6258</v>
      </c>
      <c r="Y2473" s="73" t="str">
        <f>VLOOKUP(X2473,Choferes!$B$3:C472,2,FALSE)</f>
        <v>+55 53 98447-9222</v>
      </c>
      <c r="Z2473" s="73" t="s">
        <v>6271</v>
      </c>
    </row>
    <row r="2474" spans="1:26" ht="30" hidden="1" x14ac:dyDescent="0.25">
      <c r="A2474" s="222">
        <v>32</v>
      </c>
      <c r="B2474" s="71" t="s">
        <v>29</v>
      </c>
      <c r="C2474" s="39" t="s">
        <v>6272</v>
      </c>
      <c r="D2474" s="106" t="s">
        <v>38</v>
      </c>
      <c r="E2474" s="47">
        <v>46237</v>
      </c>
      <c r="F2474" s="31" t="str">
        <f>VLOOKUP($C2474,Carpetas!$C$5:$M$2666,2,FALSE)</f>
        <v>BRE056/26</v>
      </c>
      <c r="G2474" s="23" t="str">
        <f>VLOOKUP($C2474,Carpetas!$C$5:$M$2666,10,FALSE)</f>
        <v>1565230/1565229</v>
      </c>
      <c r="H2474" s="27" t="str">
        <f>VLOOKUP($C2474,Carpetas!$C$5:$M$2666,6,FALSE)</f>
        <v xml:space="preserve">Silvio </v>
      </c>
      <c r="I2474" s="27" t="str">
        <f>VLOOKUP($C2474,Carpetas!$C$5:$M$2666,3,FALSE)</f>
        <v>Etimex</v>
      </c>
      <c r="J2474" s="243">
        <v>46240</v>
      </c>
      <c r="K2474" s="261" t="str">
        <f>VLOOKUP($C2474,Carpetas!$C$5:$M$2666,5,FALSE)</f>
        <v>Rio Branco</v>
      </c>
      <c r="L2474" s="263" t="s">
        <v>6273</v>
      </c>
      <c r="M2474" s="268">
        <f>J2474+1</f>
        <v>46241</v>
      </c>
      <c r="N2474" s="269">
        <f t="shared" si="176"/>
        <v>4</v>
      </c>
      <c r="O2474" s="239">
        <v>1008</v>
      </c>
      <c r="P2474" s="27">
        <v>1008</v>
      </c>
      <c r="Q2474" s="27">
        <v>28</v>
      </c>
      <c r="R2474" s="27">
        <v>25</v>
      </c>
      <c r="S2474" s="27" t="s">
        <v>2241</v>
      </c>
      <c r="T2474" s="27"/>
      <c r="U2474" s="27">
        <v>7906</v>
      </c>
      <c r="V2474" s="27" t="s">
        <v>2086</v>
      </c>
      <c r="W2474" s="27" t="s">
        <v>2087</v>
      </c>
      <c r="X2474" s="128" t="s">
        <v>1711</v>
      </c>
      <c r="Y2474" s="73" t="str">
        <f>VLOOKUP(X2474,Choferes!$B$3:C474,2,FALSE)</f>
        <v>+5547996185932</v>
      </c>
      <c r="Z2474" s="73" t="s">
        <v>6274</v>
      </c>
    </row>
    <row r="2475" spans="1:26" ht="30" hidden="1" x14ac:dyDescent="0.25">
      <c r="A2475" s="222">
        <v>32</v>
      </c>
      <c r="B2475" s="71" t="s">
        <v>29</v>
      </c>
      <c r="C2475" s="39" t="s">
        <v>6275</v>
      </c>
      <c r="D2475" s="106" t="s">
        <v>38</v>
      </c>
      <c r="E2475" s="47">
        <v>46237</v>
      </c>
      <c r="F2475" s="31" t="str">
        <f>VLOOKUP($C2475,Carpetas!$C$5:$M$2666,2,FALSE)</f>
        <v>BRE055-26</v>
      </c>
      <c r="G2475" s="23" t="str">
        <f>VLOOKUP($C2475,Carpetas!$C$5:$M$2666,10,FALSE)</f>
        <v>1564986/1564989/1564987/1564988</v>
      </c>
      <c r="H2475" s="27" t="str">
        <f>VLOOKUP($C2475,Carpetas!$C$5:$M$2666,6,FALSE)</f>
        <v>VPN</v>
      </c>
      <c r="I2475" s="27" t="str">
        <f>VLOOKUP($C2475,Carpetas!$C$5:$M$2666,3,FALSE)</f>
        <v>Dom Basto</v>
      </c>
      <c r="J2475" s="243">
        <f>E2475+5</f>
        <v>46242</v>
      </c>
      <c r="K2475" s="261" t="str">
        <f>VLOOKUP($C2475,Carpetas!$C$5:$M$2666,5,FALSE)</f>
        <v>Chuy</v>
      </c>
      <c r="L2475" s="263" t="s">
        <v>1168</v>
      </c>
      <c r="M2475" s="268">
        <v>46241</v>
      </c>
      <c r="N2475" s="269">
        <f t="shared" si="176"/>
        <v>4</v>
      </c>
      <c r="O2475" s="239">
        <v>1324</v>
      </c>
      <c r="P2475" s="27">
        <v>1324</v>
      </c>
      <c r="Q2475" s="27">
        <v>28</v>
      </c>
      <c r="R2475" s="27">
        <v>25</v>
      </c>
      <c r="S2475" s="27" t="s">
        <v>6276</v>
      </c>
      <c r="T2475" s="27"/>
      <c r="U2475" s="27"/>
      <c r="V2475" s="27"/>
      <c r="W2475" s="27"/>
      <c r="X2475" s="128"/>
      <c r="Y2475" s="73" t="e">
        <f>VLOOKUP(X2475,Choferes!$B$3:C473,2,FALSE)</f>
        <v>#N/A</v>
      </c>
      <c r="Z2475" s="73" t="s">
        <v>6277</v>
      </c>
    </row>
    <row r="2476" spans="1:26" hidden="1" x14ac:dyDescent="0.25">
      <c r="A2476" s="222">
        <v>32</v>
      </c>
      <c r="B2476" s="71" t="s">
        <v>29</v>
      </c>
      <c r="C2476" s="39" t="s">
        <v>6278</v>
      </c>
      <c r="D2476" s="106" t="s">
        <v>38</v>
      </c>
      <c r="E2476" s="47">
        <v>46237</v>
      </c>
      <c r="F2476" s="31" t="str">
        <f>VLOOKUP($C2476,Carpetas!$C$5:$M$2666,2,FALSE)</f>
        <v>BRE054/26</v>
      </c>
      <c r="G2476" s="23">
        <f>VLOOKUP($C2476,Carpetas!$C$5:$M$2666,10,FALSE)</f>
        <v>15643333</v>
      </c>
      <c r="H2476" s="27" t="str">
        <f>VLOOKUP($C2476,Carpetas!$C$5:$M$2666,6,FALSE)</f>
        <v>VPN</v>
      </c>
      <c r="I2476" s="27" t="str">
        <f>VLOOKUP($C2476,Carpetas!$C$5:$M$2666,3,FALSE)</f>
        <v>Dom Basto</v>
      </c>
      <c r="J2476" s="243">
        <v>46241</v>
      </c>
      <c r="K2476" s="261" t="str">
        <f>VLOOKUP($C2476,Carpetas!$C$5:$M$2666,5,FALSE)</f>
        <v>Chuy</v>
      </c>
      <c r="L2476" s="263" t="s">
        <v>1750</v>
      </c>
      <c r="M2476" s="268">
        <f t="shared" ref="M2476:M2514" si="178">J2476+1</f>
        <v>46242</v>
      </c>
      <c r="N2476" s="269">
        <f t="shared" si="176"/>
        <v>5</v>
      </c>
      <c r="O2476" s="239">
        <v>1680</v>
      </c>
      <c r="P2476" s="27">
        <v>1675</v>
      </c>
      <c r="Q2476" s="27">
        <v>28</v>
      </c>
      <c r="R2476" s="27"/>
      <c r="S2476" s="27"/>
      <c r="T2476" s="27"/>
      <c r="U2476" s="27"/>
      <c r="V2476" s="27"/>
      <c r="W2476" s="27"/>
      <c r="X2476" s="128"/>
      <c r="Y2476" s="73"/>
      <c r="Z2476" s="73" t="s">
        <v>6279</v>
      </c>
    </row>
    <row r="2477" spans="1:26" hidden="1" x14ac:dyDescent="0.25">
      <c r="A2477" s="222">
        <v>32</v>
      </c>
      <c r="B2477" s="71" t="s">
        <v>29</v>
      </c>
      <c r="C2477" s="39" t="s">
        <v>6265</v>
      </c>
      <c r="D2477" s="106" t="s">
        <v>183</v>
      </c>
      <c r="E2477" s="47">
        <v>46237</v>
      </c>
      <c r="F2477" s="31" t="str">
        <f>VLOOKUP($C2477,Carpetas!$C$5:$M$2666,2,FALSE)</f>
        <v>PYB050-26</v>
      </c>
      <c r="G2477" s="23">
        <f>VLOOKUP($C2477,Carpetas!$C$5:$M$2666,10,FALSE)</f>
        <v>1564268</v>
      </c>
      <c r="H2477" s="27" t="str">
        <f>VLOOKUP($C2477,Carpetas!$C$5:$M$2666,6,FALSE)</f>
        <v>G.S.C.S. PARAGUAY TTES.</v>
      </c>
      <c r="I2477" s="27" t="str">
        <f>VLOOKUP($C2477,Carpetas!$C$5:$M$2666,3,FALSE)</f>
        <v>Hugo Franco</v>
      </c>
      <c r="J2477" s="243">
        <v>46241</v>
      </c>
      <c r="K2477" s="261" t="str">
        <f>VLOOKUP($C2477,Carpetas!$C$5:$M$2666,5,FALSE)</f>
        <v>Salto</v>
      </c>
      <c r="L2477" s="263" t="s">
        <v>6116</v>
      </c>
      <c r="M2477" s="268">
        <f t="shared" si="178"/>
        <v>46242</v>
      </c>
      <c r="N2477" s="269">
        <f t="shared" si="176"/>
        <v>5</v>
      </c>
      <c r="O2477" s="239">
        <v>980</v>
      </c>
      <c r="P2477" s="27">
        <v>983</v>
      </c>
      <c r="Q2477" s="27">
        <v>28</v>
      </c>
      <c r="R2477" s="27">
        <v>26</v>
      </c>
      <c r="S2477" s="27" t="s">
        <v>6280</v>
      </c>
      <c r="T2477" s="27"/>
      <c r="U2477" s="27"/>
      <c r="V2477" s="27"/>
      <c r="W2477" s="27"/>
      <c r="X2477" s="128"/>
      <c r="Y2477" s="73" t="e">
        <f>VLOOKUP(X2477,Choferes!$B$3:C471,2,FALSE)</f>
        <v>#N/A</v>
      </c>
      <c r="Z2477" s="73" t="s">
        <v>6281</v>
      </c>
    </row>
    <row r="2478" spans="1:26" hidden="1" x14ac:dyDescent="0.25">
      <c r="A2478" s="222">
        <v>32</v>
      </c>
      <c r="B2478" s="71" t="s">
        <v>29</v>
      </c>
      <c r="C2478" s="39" t="s">
        <v>6282</v>
      </c>
      <c r="D2478" s="106" t="s">
        <v>102</v>
      </c>
      <c r="E2478" s="47">
        <v>46237</v>
      </c>
      <c r="F2478" s="31" t="str">
        <f>VLOOKUP($C2478,Carpetas!$C$5:$M$2666,2,FALSE)</f>
        <v>PYB051-26</v>
      </c>
      <c r="G2478" s="23">
        <f>VLOOKUP($C2478,Carpetas!$C$5:$M$2666,10,FALSE)</f>
        <v>1565114</v>
      </c>
      <c r="H2478" s="27" t="str">
        <f>VLOOKUP($C2478,Carpetas!$C$5:$M$2666,6,FALSE)</f>
        <v>Lider Express</v>
      </c>
      <c r="I2478" s="27" t="str">
        <f>VLOOKUP($C2478,Carpetas!$C$5:$M$2666,3,FALSE)</f>
        <v>Milciades Sosa</v>
      </c>
      <c r="J2478" s="243">
        <v>46241</v>
      </c>
      <c r="K2478" s="261" t="str">
        <f>VLOOKUP($C2478,Carpetas!$C$5:$M$2666,5,FALSE)</f>
        <v>Salto</v>
      </c>
      <c r="L2478" s="263" t="s">
        <v>6116</v>
      </c>
      <c r="M2478" s="268">
        <f t="shared" si="178"/>
        <v>46242</v>
      </c>
      <c r="N2478" s="269">
        <f t="shared" si="176"/>
        <v>5</v>
      </c>
      <c r="O2478" s="239">
        <v>980</v>
      </c>
      <c r="P2478" s="27">
        <v>980</v>
      </c>
      <c r="Q2478" s="27">
        <v>28</v>
      </c>
      <c r="R2478" s="27">
        <v>26</v>
      </c>
      <c r="S2478" s="27" t="s">
        <v>343</v>
      </c>
      <c r="T2478" s="27"/>
      <c r="U2478" s="27"/>
      <c r="V2478" s="27"/>
      <c r="W2478" s="27"/>
      <c r="X2478" s="128"/>
      <c r="Y2478" s="73" t="e">
        <f>VLOOKUP(X2478,Choferes!$B$3:C471,2,FALSE)</f>
        <v>#N/A</v>
      </c>
      <c r="Z2478" s="73" t="s">
        <v>6283</v>
      </c>
    </row>
    <row r="2479" spans="1:26" hidden="1" x14ac:dyDescent="0.25">
      <c r="A2479" s="222">
        <v>32</v>
      </c>
      <c r="B2479" s="71" t="s">
        <v>298</v>
      </c>
      <c r="C2479" s="39" t="s">
        <v>6284</v>
      </c>
      <c r="D2479" s="106" t="s">
        <v>2202</v>
      </c>
      <c r="E2479" s="47">
        <v>46242</v>
      </c>
      <c r="F2479" s="31" t="str">
        <f>VLOOKUP($C2479,Carpetas!$C$5:$M$2666,2,FALSE)</f>
        <v>BRB</v>
      </c>
      <c r="G2479" s="23" t="str">
        <f>VLOOKUP($C2479,Carpetas!$C$5:$M$2666,10,FALSE)</f>
        <v>xx</v>
      </c>
      <c r="H2479" s="27" t="str">
        <f>VLOOKUP($C2479,Carpetas!$C$5:$M$2666,6,FALSE)</f>
        <v>xx</v>
      </c>
      <c r="I2479" s="27" t="str">
        <f>VLOOKUP($C2479,Carpetas!$C$5:$M$2666,3,FALSE)</f>
        <v>xx</v>
      </c>
      <c r="J2479" s="243">
        <f t="shared" ref="J2479:J2485" si="179">E2479+2</f>
        <v>46244</v>
      </c>
      <c r="K2479" s="261" t="str">
        <f>VLOOKUP($C2479,Carpetas!$C$5:$M$2666,5,FALSE)</f>
        <v>xx</v>
      </c>
      <c r="L2479" s="263" t="s">
        <v>6116</v>
      </c>
      <c r="M2479" s="268">
        <f t="shared" si="178"/>
        <v>46245</v>
      </c>
      <c r="N2479" s="269">
        <f t="shared" si="176"/>
        <v>3</v>
      </c>
      <c r="O2479" s="239">
        <v>936</v>
      </c>
      <c r="P2479" s="27"/>
      <c r="Q2479" s="27"/>
      <c r="R2479" s="27"/>
      <c r="S2479" s="27"/>
      <c r="T2479" s="27"/>
      <c r="U2479" s="27">
        <v>1694</v>
      </c>
      <c r="V2479" s="27" t="s">
        <v>4716</v>
      </c>
      <c r="W2479" s="27" t="s">
        <v>1646</v>
      </c>
      <c r="X2479" s="128" t="s">
        <v>1576</v>
      </c>
      <c r="Y2479" s="73" t="str">
        <f>VLOOKUP(X2479,Choferes!$B$3:C477,2,FALSE)</f>
        <v>+55119971489722</v>
      </c>
      <c r="Z2479" s="73"/>
    </row>
    <row r="2480" spans="1:26" hidden="1" x14ac:dyDescent="0.25">
      <c r="A2480" s="222">
        <v>32</v>
      </c>
      <c r="B2480" s="71" t="s">
        <v>29</v>
      </c>
      <c r="C2480" s="39" t="s">
        <v>6235</v>
      </c>
      <c r="D2480" s="106" t="s">
        <v>2474</v>
      </c>
      <c r="E2480" s="47">
        <v>46242</v>
      </c>
      <c r="F2480" s="31" t="str">
        <f>VLOOKUP($C2480,Carpetas!$C$5:$M$2666,2,FALSE)</f>
        <v>BRB065/26</v>
      </c>
      <c r="G2480" s="23" t="str">
        <f>VLOOKUP($C2480,Carpetas!$C$5:$M$2666,10,FALSE)</f>
        <v>156,43,79</v>
      </c>
      <c r="H2480" s="27" t="str">
        <f>VLOOKUP($C2480,Carpetas!$C$5:$M$2666,6,FALSE)</f>
        <v>FG</v>
      </c>
      <c r="I2480" s="27" t="str">
        <f>VLOOKUP($C2480,Carpetas!$C$5:$M$2666,3,FALSE)</f>
        <v>Etimex</v>
      </c>
      <c r="J2480" s="243">
        <f t="shared" si="179"/>
        <v>46244</v>
      </c>
      <c r="K2480" s="261" t="str">
        <f>VLOOKUP($C2480,Carpetas!$C$5:$M$2666,5,FALSE)</f>
        <v>Rio Branco</v>
      </c>
      <c r="L2480" s="263" t="s">
        <v>6116</v>
      </c>
      <c r="M2480" s="268">
        <f t="shared" si="178"/>
        <v>46245</v>
      </c>
      <c r="N2480" s="269">
        <f t="shared" si="176"/>
        <v>3</v>
      </c>
      <c r="O2480" s="239">
        <v>1008</v>
      </c>
      <c r="P2480" s="27">
        <v>1008</v>
      </c>
      <c r="Q2480" s="27">
        <v>28</v>
      </c>
      <c r="R2480" s="27">
        <v>26</v>
      </c>
      <c r="S2480" s="27" t="s">
        <v>4100</v>
      </c>
      <c r="T2480" s="27"/>
      <c r="U2480" s="27">
        <v>1698</v>
      </c>
      <c r="V2480" s="27" t="s">
        <v>6145</v>
      </c>
      <c r="W2480" s="27" t="s">
        <v>1646</v>
      </c>
      <c r="X2480" s="128" t="s">
        <v>1576</v>
      </c>
      <c r="Y2480" s="73" t="str">
        <f>VLOOKUP(X2480,Choferes!$B$3:C478,2,FALSE)</f>
        <v>+55119971489722</v>
      </c>
      <c r="Z2480" s="73" t="s">
        <v>6285</v>
      </c>
    </row>
    <row r="2481" spans="1:26" hidden="1" x14ac:dyDescent="0.25">
      <c r="A2481" s="222">
        <v>32</v>
      </c>
      <c r="B2481" s="71" t="s">
        <v>29</v>
      </c>
      <c r="C2481" s="39" t="s">
        <v>6235</v>
      </c>
      <c r="D2481" s="106" t="s">
        <v>110</v>
      </c>
      <c r="E2481" s="47">
        <v>46242</v>
      </c>
      <c r="F2481" s="31" t="str">
        <f>VLOOKUP($C2481,Carpetas!$C$5:$M$2666,2,FALSE)</f>
        <v>BRB065/26</v>
      </c>
      <c r="G2481" s="23" t="str">
        <f>VLOOKUP($C2481,Carpetas!$C$5:$M$2666,10,FALSE)</f>
        <v>156,43,79</v>
      </c>
      <c r="H2481" s="27" t="str">
        <f>VLOOKUP($C2481,Carpetas!$C$5:$M$2666,6,FALSE)</f>
        <v>FG</v>
      </c>
      <c r="I2481" s="27" t="str">
        <f>VLOOKUP($C2481,Carpetas!$C$5:$M$2666,3,FALSE)</f>
        <v>Etimex</v>
      </c>
      <c r="J2481" s="243">
        <f t="shared" si="179"/>
        <v>46244</v>
      </c>
      <c r="K2481" s="261" t="str">
        <f>VLOOKUP($C2481,Carpetas!$C$5:$M$2666,5,FALSE)</f>
        <v>Rio Branco</v>
      </c>
      <c r="L2481" s="263" t="s">
        <v>6116</v>
      </c>
      <c r="M2481" s="268">
        <f t="shared" si="178"/>
        <v>46245</v>
      </c>
      <c r="N2481" s="269">
        <f t="shared" si="176"/>
        <v>3</v>
      </c>
      <c r="O2481" s="239">
        <v>1008</v>
      </c>
      <c r="P2481" s="27">
        <v>1009</v>
      </c>
      <c r="Q2481" s="27">
        <v>28</v>
      </c>
      <c r="R2481" s="27">
        <v>26</v>
      </c>
      <c r="S2481" s="27" t="s">
        <v>2353</v>
      </c>
      <c r="T2481" s="27"/>
      <c r="U2481" s="27">
        <v>1699</v>
      </c>
      <c r="V2481" s="27" t="s">
        <v>3572</v>
      </c>
      <c r="W2481" s="27" t="s">
        <v>3412</v>
      </c>
      <c r="X2481" s="128" t="s">
        <v>1495</v>
      </c>
      <c r="Y2481" s="73" t="str">
        <f>VLOOKUP(X2481,Choferes!$B$3:C479,2,FALSE)</f>
        <v>+5553984382803</v>
      </c>
      <c r="Z2481" s="73" t="s">
        <v>6286</v>
      </c>
    </row>
    <row r="2482" spans="1:26" hidden="1" x14ac:dyDescent="0.25">
      <c r="A2482" s="222">
        <v>32</v>
      </c>
      <c r="B2482" s="71" t="s">
        <v>29</v>
      </c>
      <c r="C2482" s="39" t="s">
        <v>6235</v>
      </c>
      <c r="D2482" s="106" t="s">
        <v>249</v>
      </c>
      <c r="E2482" s="47">
        <v>46242</v>
      </c>
      <c r="F2482" s="31" t="str">
        <f>VLOOKUP($C2482,Carpetas!$C$5:$M$2666,2,FALSE)</f>
        <v>BRB065/26</v>
      </c>
      <c r="G2482" s="23" t="str">
        <f>VLOOKUP($C2482,Carpetas!$C$5:$M$2666,10,FALSE)</f>
        <v>156,43,79</v>
      </c>
      <c r="H2482" s="27" t="str">
        <f>VLOOKUP($C2482,Carpetas!$C$5:$M$2666,6,FALSE)</f>
        <v>FG</v>
      </c>
      <c r="I2482" s="27" t="str">
        <f>VLOOKUP($C2482,Carpetas!$C$5:$M$2666,3,FALSE)</f>
        <v>Etimex</v>
      </c>
      <c r="J2482" s="243">
        <f t="shared" si="179"/>
        <v>46244</v>
      </c>
      <c r="K2482" s="261" t="str">
        <f>VLOOKUP($C2482,Carpetas!$C$5:$M$2666,5,FALSE)</f>
        <v>Rio Branco</v>
      </c>
      <c r="L2482" s="263" t="s">
        <v>6116</v>
      </c>
      <c r="M2482" s="268">
        <f t="shared" si="178"/>
        <v>46245</v>
      </c>
      <c r="N2482" s="269">
        <f t="shared" si="176"/>
        <v>3</v>
      </c>
      <c r="O2482" s="239">
        <v>1008</v>
      </c>
      <c r="P2482" s="27">
        <v>1008</v>
      </c>
      <c r="Q2482" s="27">
        <v>28</v>
      </c>
      <c r="R2482" s="27">
        <v>26</v>
      </c>
      <c r="S2482" s="27" t="s">
        <v>2937</v>
      </c>
      <c r="T2482" s="27"/>
      <c r="U2482" s="27">
        <v>1700</v>
      </c>
      <c r="V2482" s="27" t="s">
        <v>3669</v>
      </c>
      <c r="W2482" s="27" t="s">
        <v>912</v>
      </c>
      <c r="X2482" s="128" t="s">
        <v>1397</v>
      </c>
      <c r="Y2482" s="73" t="str">
        <f>VLOOKUP(X2482,Choferes!$B$3:C480,2,FALSE)</f>
        <v>+5551996322594</v>
      </c>
      <c r="Z2482" s="73" t="s">
        <v>6285</v>
      </c>
    </row>
    <row r="2483" spans="1:26" hidden="1" x14ac:dyDescent="0.25">
      <c r="A2483" s="222">
        <v>32</v>
      </c>
      <c r="B2483" s="71" t="s">
        <v>29</v>
      </c>
      <c r="C2483" s="39" t="s">
        <v>6205</v>
      </c>
      <c r="D2483" s="106" t="s">
        <v>5640</v>
      </c>
      <c r="E2483" s="47">
        <v>46242</v>
      </c>
      <c r="F2483" s="31" t="str">
        <f>VLOOKUP($C2483,Carpetas!$C$5:$M$2666,2,FALSE)</f>
        <v>BRB063/26</v>
      </c>
      <c r="G2483" s="23" t="str">
        <f>VLOOKUP($C2483,Carpetas!$C$5:$M$2666,10,FALSE)</f>
        <v>156.34.36</v>
      </c>
      <c r="H2483" s="27" t="str">
        <f>VLOOKUP($C2483,Carpetas!$C$5:$M$2666,6,FALSE)</f>
        <v>Chabat</v>
      </c>
      <c r="I2483" s="27" t="str">
        <f>VLOOKUP($C2483,Carpetas!$C$5:$M$2666,3,FALSE)</f>
        <v>Etimex</v>
      </c>
      <c r="J2483" s="243">
        <f t="shared" si="179"/>
        <v>46244</v>
      </c>
      <c r="K2483" s="261" t="str">
        <f>VLOOKUP($C2483,Carpetas!$C$5:$M$2666,5,FALSE)</f>
        <v>Rio Branco</v>
      </c>
      <c r="L2483" s="263" t="s">
        <v>6116</v>
      </c>
      <c r="M2483" s="268">
        <f t="shared" si="178"/>
        <v>46245</v>
      </c>
      <c r="N2483" s="269">
        <f t="shared" si="176"/>
        <v>3</v>
      </c>
      <c r="O2483" s="239">
        <v>1008</v>
      </c>
      <c r="P2483" s="27">
        <v>1018</v>
      </c>
      <c r="Q2483" s="27">
        <v>28</v>
      </c>
      <c r="R2483" s="27">
        <v>26</v>
      </c>
      <c r="S2483" s="27" t="s">
        <v>6287</v>
      </c>
      <c r="T2483" s="27"/>
      <c r="U2483" s="27">
        <v>2595</v>
      </c>
      <c r="V2483" s="27" t="s">
        <v>4134</v>
      </c>
      <c r="W2483" s="27" t="s">
        <v>4635</v>
      </c>
      <c r="X2483" s="128" t="s">
        <v>6288</v>
      </c>
      <c r="Y2483" s="73" t="str">
        <f>VLOOKUP(X2483,Choferes!$B$3:C481,2,FALSE)</f>
        <v>+55 53 98154-6474</v>
      </c>
      <c r="Z2483" s="73" t="s">
        <v>6289</v>
      </c>
    </row>
    <row r="2484" spans="1:26" hidden="1" x14ac:dyDescent="0.25">
      <c r="A2484" s="222">
        <v>32</v>
      </c>
      <c r="B2484" s="71" t="s">
        <v>29</v>
      </c>
      <c r="C2484" s="39" t="s">
        <v>6290</v>
      </c>
      <c r="D2484" s="106" t="s">
        <v>5499</v>
      </c>
      <c r="E2484" s="47">
        <v>46242</v>
      </c>
      <c r="F2484" s="31" t="str">
        <f>VLOOKUP($C2484,Carpetas!$C$5:$M$2666,2,FALSE)</f>
        <v>BRB066/26</v>
      </c>
      <c r="G2484" s="23" t="str">
        <f>VLOOKUP($C2484,Carpetas!$C$5:$M$2666,10,FALSE)</f>
        <v>156.56.20</v>
      </c>
      <c r="H2484" s="27" t="str">
        <f>VLOOKUP($C2484,Carpetas!$C$5:$M$2666,6,FALSE)</f>
        <v>Amaro</v>
      </c>
      <c r="I2484" s="27" t="str">
        <f>VLOOKUP($C2484,Carpetas!$C$5:$M$2666,3,FALSE)</f>
        <v>Etimex</v>
      </c>
      <c r="J2484" s="243">
        <f t="shared" si="179"/>
        <v>46244</v>
      </c>
      <c r="K2484" s="261" t="str">
        <f>VLOOKUP($C2484,Carpetas!$C$5:$M$2666,5,FALSE)</f>
        <v>Rio Branco</v>
      </c>
      <c r="L2484" s="263" t="s">
        <v>6116</v>
      </c>
      <c r="M2484" s="268">
        <f t="shared" si="178"/>
        <v>46245</v>
      </c>
      <c r="N2484" s="269">
        <f t="shared" si="176"/>
        <v>3</v>
      </c>
      <c r="O2484" s="239">
        <v>1008</v>
      </c>
      <c r="P2484" s="27">
        <v>1008</v>
      </c>
      <c r="Q2484" s="27">
        <v>28</v>
      </c>
      <c r="R2484" s="27">
        <v>26</v>
      </c>
      <c r="S2484" s="27" t="s">
        <v>6291</v>
      </c>
      <c r="T2484" s="27"/>
      <c r="U2484" s="27">
        <v>29090</v>
      </c>
      <c r="V2484" s="27" t="s">
        <v>1701</v>
      </c>
      <c r="W2484" s="27" t="s">
        <v>1702</v>
      </c>
      <c r="X2484" s="128"/>
      <c r="Y2484" s="73" t="e">
        <f>VLOOKUP(X2484,Choferes!$B$3:C482,2,FALSE)</f>
        <v>#N/A</v>
      </c>
      <c r="Z2484" s="73" t="s">
        <v>6285</v>
      </c>
    </row>
    <row r="2485" spans="1:26" hidden="1" x14ac:dyDescent="0.25">
      <c r="A2485" s="222">
        <v>32</v>
      </c>
      <c r="B2485" s="71" t="s">
        <v>29</v>
      </c>
      <c r="C2485" s="39" t="s">
        <v>6290</v>
      </c>
      <c r="D2485" s="106" t="s">
        <v>6075</v>
      </c>
      <c r="E2485" s="47">
        <v>46242</v>
      </c>
      <c r="F2485" s="31" t="str">
        <f>VLOOKUP($C2485,Carpetas!$C$5:$M$2666,2,FALSE)</f>
        <v>BRB066/26</v>
      </c>
      <c r="G2485" s="23" t="str">
        <f>VLOOKUP($C2485,Carpetas!$C$5:$M$2666,10,FALSE)</f>
        <v>156.56.20</v>
      </c>
      <c r="H2485" s="27" t="str">
        <f>VLOOKUP($C2485,Carpetas!$C$5:$M$2666,6,FALSE)</f>
        <v>Amaro</v>
      </c>
      <c r="I2485" s="27" t="str">
        <f>VLOOKUP($C2485,Carpetas!$C$5:$M$2666,3,FALSE)</f>
        <v>Etimex</v>
      </c>
      <c r="J2485" s="243">
        <f t="shared" si="179"/>
        <v>46244</v>
      </c>
      <c r="K2485" s="261" t="str">
        <f>VLOOKUP($C2485,Carpetas!$C$5:$M$2666,5,FALSE)</f>
        <v>Rio Branco</v>
      </c>
      <c r="L2485" s="263" t="s">
        <v>6116</v>
      </c>
      <c r="M2485" s="268">
        <f t="shared" si="178"/>
        <v>46245</v>
      </c>
      <c r="N2485" s="269">
        <f t="shared" si="176"/>
        <v>3</v>
      </c>
      <c r="O2485" s="239">
        <v>1008</v>
      </c>
      <c r="P2485" s="27">
        <v>1008</v>
      </c>
      <c r="Q2485" s="27">
        <v>28</v>
      </c>
      <c r="R2485" s="27">
        <v>26</v>
      </c>
      <c r="S2485" s="27" t="s">
        <v>6292</v>
      </c>
      <c r="T2485" s="27"/>
      <c r="U2485" s="27">
        <v>29091</v>
      </c>
      <c r="V2485" s="27" t="s">
        <v>6293</v>
      </c>
      <c r="W2485" s="27" t="s">
        <v>3848</v>
      </c>
      <c r="X2485" s="128" t="s">
        <v>1526</v>
      </c>
      <c r="Y2485" s="73" t="str">
        <f>VLOOKUP(X2485,Choferes!$B$3:C483,2,FALSE)</f>
        <v>+5551981746186</v>
      </c>
      <c r="Z2485" s="73" t="s">
        <v>6285</v>
      </c>
    </row>
    <row r="2486" spans="1:26" hidden="1" x14ac:dyDescent="0.25">
      <c r="A2486" s="222">
        <v>33</v>
      </c>
      <c r="B2486" s="71" t="s">
        <v>29</v>
      </c>
      <c r="C2486" s="39" t="s">
        <v>6294</v>
      </c>
      <c r="D2486" s="106" t="s">
        <v>183</v>
      </c>
      <c r="E2486" s="47">
        <v>46243</v>
      </c>
      <c r="F2486" s="31" t="str">
        <f>VLOOKUP($C2486,Carpetas!$C$5:$M$2666,2,FALSE)</f>
        <v>PYB053-26</v>
      </c>
      <c r="G2486" s="23">
        <f>VLOOKUP($C2486,Carpetas!$C$5:$M$2666,10,FALSE)</f>
        <v>1565614</v>
      </c>
      <c r="H2486" s="27" t="str">
        <f>VLOOKUP($C2486,Carpetas!$C$5:$M$2666,6,FALSE)</f>
        <v>Mega Logistica</v>
      </c>
      <c r="I2486" s="27" t="str">
        <f>VLOOKUP($C2486,Carpetas!$C$5:$M$2666,3,FALSE)</f>
        <v>Hugo Franco</v>
      </c>
      <c r="J2486" s="243">
        <v>46245</v>
      </c>
      <c r="K2486" s="261" t="str">
        <f>VLOOKUP($C2486,Carpetas!$C$5:$M$2666,5,FALSE)</f>
        <v>Salto</v>
      </c>
      <c r="L2486" s="263" t="s">
        <v>6116</v>
      </c>
      <c r="M2486" s="268">
        <f t="shared" si="178"/>
        <v>46246</v>
      </c>
      <c r="N2486" s="269">
        <f t="shared" si="176"/>
        <v>3</v>
      </c>
      <c r="O2486" s="239">
        <v>980</v>
      </c>
      <c r="P2486" s="27">
        <v>981</v>
      </c>
      <c r="Q2486" s="27">
        <v>28</v>
      </c>
      <c r="R2486" s="27">
        <v>27</v>
      </c>
      <c r="S2486" s="27" t="s">
        <v>6295</v>
      </c>
      <c r="T2486" s="27"/>
      <c r="U2486" s="27"/>
      <c r="V2486" s="27"/>
      <c r="W2486" s="27"/>
      <c r="X2486" s="128"/>
      <c r="Y2486" s="73" t="e">
        <f>VLOOKUP(X2486,Choferes!$B$3:C461,2,FALSE)</f>
        <v>#N/A</v>
      </c>
      <c r="Z2486" s="73" t="s">
        <v>6296</v>
      </c>
    </row>
    <row r="2487" spans="1:26" hidden="1" x14ac:dyDescent="0.25">
      <c r="A2487" s="222">
        <v>33</v>
      </c>
      <c r="B2487" s="71" t="s">
        <v>29</v>
      </c>
      <c r="C2487" s="39" t="s">
        <v>6294</v>
      </c>
      <c r="D2487" s="106" t="s">
        <v>183</v>
      </c>
      <c r="E2487" s="47">
        <v>46243</v>
      </c>
      <c r="F2487" s="31" t="str">
        <f>VLOOKUP($C2487,Carpetas!$C$5:$M$2666,2,FALSE)</f>
        <v>PYB053-26</v>
      </c>
      <c r="G2487" s="23">
        <f>VLOOKUP($C2487,Carpetas!$C$5:$M$2666,10,FALSE)</f>
        <v>1565614</v>
      </c>
      <c r="H2487" s="27" t="str">
        <f>VLOOKUP($C2487,Carpetas!$C$5:$M$2666,6,FALSE)</f>
        <v>Mega Logistica</v>
      </c>
      <c r="I2487" s="27" t="str">
        <f>VLOOKUP($C2487,Carpetas!$C$5:$M$2666,3,FALSE)</f>
        <v>Hugo Franco</v>
      </c>
      <c r="J2487" s="243">
        <v>46245</v>
      </c>
      <c r="K2487" s="261" t="str">
        <f>VLOOKUP($C2487,Carpetas!$C$5:$M$2666,5,FALSE)</f>
        <v>Salto</v>
      </c>
      <c r="L2487" s="263" t="s">
        <v>6116</v>
      </c>
      <c r="M2487" s="268">
        <f t="shared" si="178"/>
        <v>46246</v>
      </c>
      <c r="N2487" s="269">
        <f t="shared" si="176"/>
        <v>3</v>
      </c>
      <c r="O2487" s="239">
        <v>980</v>
      </c>
      <c r="P2487" s="27">
        <v>980</v>
      </c>
      <c r="Q2487" s="27">
        <v>28</v>
      </c>
      <c r="R2487" s="27">
        <v>27</v>
      </c>
      <c r="S2487" s="27" t="s">
        <v>6297</v>
      </c>
      <c r="T2487" s="27"/>
      <c r="U2487" s="27"/>
      <c r="V2487" s="27"/>
      <c r="W2487" s="27"/>
      <c r="X2487" s="128"/>
      <c r="Y2487" s="73" t="e">
        <f>VLOOKUP(X2487,Choferes!$B$3:C462,2,FALSE)</f>
        <v>#N/A</v>
      </c>
      <c r="Z2487" s="73" t="s">
        <v>6298</v>
      </c>
    </row>
    <row r="2488" spans="1:26" hidden="1" x14ac:dyDescent="0.25">
      <c r="A2488" s="222">
        <v>33</v>
      </c>
      <c r="B2488" s="71" t="s">
        <v>29</v>
      </c>
      <c r="C2488" s="39" t="s">
        <v>6294</v>
      </c>
      <c r="D2488" s="106" t="s">
        <v>183</v>
      </c>
      <c r="E2488" s="47">
        <v>46243</v>
      </c>
      <c r="F2488" s="31" t="str">
        <f>VLOOKUP($C2488,Carpetas!$C$5:$M$2666,2,FALSE)</f>
        <v>PYB053-26</v>
      </c>
      <c r="G2488" s="23">
        <f>VLOOKUP($C2488,Carpetas!$C$5:$M$2666,10,FALSE)</f>
        <v>1565614</v>
      </c>
      <c r="H2488" s="27" t="str">
        <f>VLOOKUP($C2488,Carpetas!$C$5:$M$2666,6,FALSE)</f>
        <v>Mega Logistica</v>
      </c>
      <c r="I2488" s="27" t="str">
        <f>VLOOKUP($C2488,Carpetas!$C$5:$M$2666,3,FALSE)</f>
        <v>Hugo Franco</v>
      </c>
      <c r="J2488" s="243">
        <v>46246</v>
      </c>
      <c r="K2488" s="261" t="str">
        <f>VLOOKUP($C2488,Carpetas!$C$5:$M$2666,5,FALSE)</f>
        <v>Salto</v>
      </c>
      <c r="L2488" s="263" t="s">
        <v>6116</v>
      </c>
      <c r="M2488" s="268">
        <f t="shared" si="178"/>
        <v>46247</v>
      </c>
      <c r="N2488" s="269">
        <f t="shared" si="176"/>
        <v>4</v>
      </c>
      <c r="O2488" s="239">
        <v>980</v>
      </c>
      <c r="P2488" s="27">
        <v>982</v>
      </c>
      <c r="Q2488" s="27">
        <v>28</v>
      </c>
      <c r="R2488" s="27">
        <v>26</v>
      </c>
      <c r="S2488" s="27" t="s">
        <v>6299</v>
      </c>
      <c r="T2488" s="27"/>
      <c r="U2488" s="27"/>
      <c r="V2488" s="27"/>
      <c r="W2488" s="27"/>
      <c r="X2488" s="128"/>
      <c r="Y2488" s="73" t="e">
        <f>VLOOKUP(X2488,Choferes!$B$3:C460,2,FALSE)</f>
        <v>#N/A</v>
      </c>
      <c r="Z2488" s="73" t="s">
        <v>6300</v>
      </c>
    </row>
    <row r="2489" spans="1:26" hidden="1" x14ac:dyDescent="0.25">
      <c r="A2489" s="222">
        <v>33</v>
      </c>
      <c r="B2489" s="71" t="s">
        <v>29</v>
      </c>
      <c r="C2489" s="39" t="s">
        <v>6294</v>
      </c>
      <c r="D2489" s="106" t="s">
        <v>183</v>
      </c>
      <c r="E2489" s="47">
        <v>46244</v>
      </c>
      <c r="F2489" s="31" t="str">
        <f>VLOOKUP($C2489,Carpetas!$C$5:$M$2666,2,FALSE)</f>
        <v>PYB053-26</v>
      </c>
      <c r="G2489" s="23">
        <f>VLOOKUP($C2489,Carpetas!$C$5:$M$2666,10,FALSE)</f>
        <v>1565614</v>
      </c>
      <c r="H2489" s="27" t="str">
        <f>VLOOKUP($C2489,Carpetas!$C$5:$M$2666,6,FALSE)</f>
        <v>Mega Logistica</v>
      </c>
      <c r="I2489" s="27" t="str">
        <f>VLOOKUP($C2489,Carpetas!$C$5:$M$2666,3,FALSE)</f>
        <v>Hugo Franco</v>
      </c>
      <c r="J2489" s="243">
        <v>46246</v>
      </c>
      <c r="K2489" s="261" t="str">
        <f>VLOOKUP($C2489,Carpetas!$C$5:$M$2666,5,FALSE)</f>
        <v>Salto</v>
      </c>
      <c r="L2489" s="263" t="s">
        <v>6116</v>
      </c>
      <c r="M2489" s="268">
        <f t="shared" si="178"/>
        <v>46247</v>
      </c>
      <c r="N2489" s="269">
        <f t="shared" si="176"/>
        <v>3</v>
      </c>
      <c r="O2489" s="239">
        <v>980</v>
      </c>
      <c r="P2489" s="27">
        <v>980</v>
      </c>
      <c r="Q2489" s="27">
        <v>28</v>
      </c>
      <c r="R2489" s="27">
        <v>27</v>
      </c>
      <c r="S2489" s="27" t="s">
        <v>6301</v>
      </c>
      <c r="T2489" s="27"/>
      <c r="U2489" s="27"/>
      <c r="V2489" s="27"/>
      <c r="W2489" s="27"/>
      <c r="X2489" s="128"/>
      <c r="Y2489" s="73" t="e">
        <f>VLOOKUP(X2489,Choferes!$B$3:C463,2,FALSE)</f>
        <v>#N/A</v>
      </c>
      <c r="Z2489" s="73" t="s">
        <v>6302</v>
      </c>
    </row>
    <row r="2490" spans="1:26" hidden="1" x14ac:dyDescent="0.25">
      <c r="A2490" s="222">
        <v>32</v>
      </c>
      <c r="B2490" s="71" t="s">
        <v>29</v>
      </c>
      <c r="C2490" s="39" t="s">
        <v>6282</v>
      </c>
      <c r="D2490" s="106" t="s">
        <v>102</v>
      </c>
      <c r="E2490" s="47">
        <v>46244</v>
      </c>
      <c r="F2490" s="31" t="str">
        <f>VLOOKUP($C2490,Carpetas!$C$5:$M$2666,2,FALSE)</f>
        <v>PYB051-26</v>
      </c>
      <c r="G2490" s="23">
        <f>VLOOKUP($C2490,Carpetas!$C$5:$M$2666,10,FALSE)</f>
        <v>1565114</v>
      </c>
      <c r="H2490" s="27" t="str">
        <f>VLOOKUP($C2490,Carpetas!$C$5:$M$2666,6,FALSE)</f>
        <v>Lider Express</v>
      </c>
      <c r="I2490" s="27" t="str">
        <f>VLOOKUP($C2490,Carpetas!$C$5:$M$2666,3,FALSE)</f>
        <v>Milciades Sosa</v>
      </c>
      <c r="J2490" s="243">
        <f>E2490+3</f>
        <v>46247</v>
      </c>
      <c r="K2490" s="261" t="str">
        <f>VLOOKUP($C2490,Carpetas!$C$5:$M$2666,5,FALSE)</f>
        <v>Salto</v>
      </c>
      <c r="L2490" s="263" t="s">
        <v>6116</v>
      </c>
      <c r="M2490" s="268">
        <f t="shared" si="178"/>
        <v>46248</v>
      </c>
      <c r="N2490" s="269">
        <f t="shared" si="176"/>
        <v>4</v>
      </c>
      <c r="O2490" s="239">
        <v>980</v>
      </c>
      <c r="P2490" s="27">
        <v>980</v>
      </c>
      <c r="Q2490" s="27">
        <v>28</v>
      </c>
      <c r="R2490" s="27">
        <v>27</v>
      </c>
      <c r="S2490" s="27" t="s">
        <v>3143</v>
      </c>
      <c r="T2490" s="27"/>
      <c r="U2490" s="27"/>
      <c r="V2490" s="27"/>
      <c r="W2490" s="27"/>
      <c r="X2490" s="128"/>
      <c r="Y2490" s="73" t="e">
        <f>VLOOKUP(X2490,Choferes!$B$3:C459,2,FALSE)</f>
        <v>#N/A</v>
      </c>
      <c r="Z2490" s="73" t="s">
        <v>6303</v>
      </c>
    </row>
    <row r="2491" spans="1:26" hidden="1" x14ac:dyDescent="0.25">
      <c r="A2491" s="222">
        <v>33</v>
      </c>
      <c r="B2491" s="71" t="s">
        <v>29</v>
      </c>
      <c r="C2491" s="39" t="s">
        <v>6304</v>
      </c>
      <c r="D2491" s="106" t="s">
        <v>6305</v>
      </c>
      <c r="E2491" s="47">
        <v>46245</v>
      </c>
      <c r="F2491" s="31" t="str">
        <f>VLOOKUP($C2491,Carpetas!$C$5:$M$2666,2,FALSE)</f>
        <v>PYB052-26</v>
      </c>
      <c r="G2491" s="23">
        <f>VLOOKUP($C2491,Carpetas!$C$5:$M$2666,10,FALSE)</f>
        <v>1565580</v>
      </c>
      <c r="H2491" s="27">
        <f>VLOOKUP($C2491,Carpetas!$C$5:$M$2666,6,FALSE)</f>
        <v>0</v>
      </c>
      <c r="I2491" s="27" t="str">
        <f>VLOOKUP($C2491,Carpetas!$C$5:$M$2666,3,FALSE)</f>
        <v>Alvaro Saldivar</v>
      </c>
      <c r="J2491" s="243">
        <v>46247</v>
      </c>
      <c r="K2491" s="261" t="str">
        <f>VLOOKUP($C2491,Carpetas!$C$5:$M$2666,5,FALSE)</f>
        <v>Salto</v>
      </c>
      <c r="L2491" s="263" t="s">
        <v>6116</v>
      </c>
      <c r="M2491" s="268">
        <f t="shared" si="178"/>
        <v>46248</v>
      </c>
      <c r="N2491" s="269">
        <f t="shared" si="176"/>
        <v>3</v>
      </c>
      <c r="O2491" s="239">
        <v>980</v>
      </c>
      <c r="P2491" s="27">
        <v>984</v>
      </c>
      <c r="Q2491" s="27">
        <v>28</v>
      </c>
      <c r="R2491" s="27">
        <v>27</v>
      </c>
      <c r="S2491" s="27" t="s">
        <v>6306</v>
      </c>
      <c r="T2491" s="27"/>
      <c r="U2491" s="27"/>
      <c r="V2491" s="27"/>
      <c r="W2491" s="27"/>
      <c r="X2491" s="128"/>
      <c r="Y2491" s="73" t="e">
        <f>VLOOKUP(X2491,Choferes!$B$3:C464,2,FALSE)</f>
        <v>#N/A</v>
      </c>
      <c r="Z2491" s="73" t="s">
        <v>6307</v>
      </c>
    </row>
    <row r="2492" spans="1:26" hidden="1" x14ac:dyDescent="0.25">
      <c r="A2492" s="222">
        <v>33</v>
      </c>
      <c r="B2492" s="71" t="s">
        <v>29</v>
      </c>
      <c r="C2492" s="39" t="s">
        <v>6308</v>
      </c>
      <c r="D2492" s="106" t="s">
        <v>38</v>
      </c>
      <c r="E2492" s="47">
        <v>46242</v>
      </c>
      <c r="F2492" s="31" t="str">
        <f>VLOOKUP($C2492,Carpetas!$C$5:$M$2666,2,FALSE)</f>
        <v>BRE058-26</v>
      </c>
      <c r="G2492" s="23">
        <f>VLOOKUP($C2492,Carpetas!$C$5:$M$2666,10,FALSE)</f>
        <v>1565953</v>
      </c>
      <c r="H2492" s="27" t="str">
        <f>VLOOKUP($C2492,Carpetas!$C$5:$M$2666,6,FALSE)</f>
        <v>VPN</v>
      </c>
      <c r="I2492" s="27" t="str">
        <f>VLOOKUP($C2492,Carpetas!$C$5:$M$2666,3,FALSE)</f>
        <v>Dom Basto</v>
      </c>
      <c r="J2492" s="243">
        <v>46248</v>
      </c>
      <c r="K2492" s="261" t="str">
        <f>VLOOKUP($C2492,Carpetas!$C$5:$M$2666,5,FALSE)</f>
        <v>Chuy</v>
      </c>
      <c r="L2492" s="263" t="s">
        <v>6309</v>
      </c>
      <c r="M2492" s="268">
        <f t="shared" si="178"/>
        <v>46249</v>
      </c>
      <c r="N2492" s="269">
        <f t="shared" si="176"/>
        <v>7</v>
      </c>
      <c r="O2492" s="239">
        <v>3644</v>
      </c>
      <c r="P2492" s="27">
        <v>3644</v>
      </c>
      <c r="Q2492" s="27">
        <v>24</v>
      </c>
      <c r="R2492" s="27"/>
      <c r="S2492" s="27"/>
      <c r="T2492" s="27"/>
      <c r="U2492" s="27"/>
      <c r="V2492" s="27"/>
      <c r="W2492" s="27"/>
      <c r="X2492" s="128"/>
      <c r="Y2492" s="73" t="e">
        <f>VLOOKUP(X2492,Choferes!$B$3:C472,2,FALSE)</f>
        <v>#N/A</v>
      </c>
      <c r="Z2492" s="73" t="s">
        <v>6310</v>
      </c>
    </row>
    <row r="2493" spans="1:26" hidden="1" x14ac:dyDescent="0.25">
      <c r="A2493" s="222">
        <v>33</v>
      </c>
      <c r="B2493" s="71" t="s">
        <v>29</v>
      </c>
      <c r="C2493" s="39" t="s">
        <v>6235</v>
      </c>
      <c r="D2493" s="106" t="s">
        <v>110</v>
      </c>
      <c r="E2493" s="47">
        <v>46246</v>
      </c>
      <c r="F2493" s="31" t="str">
        <f>VLOOKUP($C2493,Carpetas!$C$5:$M$2666,2,FALSE)</f>
        <v>BRB065/26</v>
      </c>
      <c r="G2493" s="23" t="str">
        <f>VLOOKUP($C2493,Carpetas!$C$5:$M$2666,10,FALSE)</f>
        <v>156,43,79</v>
      </c>
      <c r="H2493" s="27" t="str">
        <f>VLOOKUP($C2493,Carpetas!$C$5:$M$2666,6,FALSE)</f>
        <v>FG</v>
      </c>
      <c r="I2493" s="27" t="str">
        <f>VLOOKUP($C2493,Carpetas!$C$5:$M$2666,3,FALSE)</f>
        <v>Etimex</v>
      </c>
      <c r="J2493" s="243">
        <v>46248</v>
      </c>
      <c r="K2493" s="261" t="str">
        <f>VLOOKUP($C2493,Carpetas!$C$5:$M$2666,5,FALSE)</f>
        <v>Rio Branco</v>
      </c>
      <c r="L2493" s="263" t="s">
        <v>6116</v>
      </c>
      <c r="M2493" s="268">
        <f t="shared" si="178"/>
        <v>46249</v>
      </c>
      <c r="N2493" s="269">
        <f t="shared" si="176"/>
        <v>3</v>
      </c>
      <c r="O2493" s="239">
        <v>1008</v>
      </c>
      <c r="P2493" s="27">
        <v>1009</v>
      </c>
      <c r="Q2493" s="27">
        <v>28</v>
      </c>
      <c r="R2493" s="27">
        <v>26</v>
      </c>
      <c r="S2493" s="27" t="s">
        <v>2410</v>
      </c>
      <c r="T2493" s="27"/>
      <c r="U2493" s="27">
        <v>1709</v>
      </c>
      <c r="V2493" s="27" t="s">
        <v>5317</v>
      </c>
      <c r="W2493" s="27" t="s">
        <v>1627</v>
      </c>
      <c r="X2493" s="128" t="s">
        <v>2336</v>
      </c>
      <c r="Y2493" s="73" t="str">
        <f>VLOOKUP(X2493,Choferes!$B$3:C465,2,FALSE)</f>
        <v>+5553984414060</v>
      </c>
      <c r="Z2493" s="73" t="s">
        <v>6311</v>
      </c>
    </row>
    <row r="2494" spans="1:26" hidden="1" x14ac:dyDescent="0.25">
      <c r="A2494" s="222">
        <v>33</v>
      </c>
      <c r="B2494" s="71" t="s">
        <v>29</v>
      </c>
      <c r="C2494" s="39" t="s">
        <v>6294</v>
      </c>
      <c r="D2494" s="106" t="s">
        <v>183</v>
      </c>
      <c r="E2494" s="47">
        <v>46246</v>
      </c>
      <c r="F2494" s="31" t="str">
        <f>VLOOKUP($C2494,Carpetas!$C$5:$M$2666,2,FALSE)</f>
        <v>PYB053-26</v>
      </c>
      <c r="G2494" s="23">
        <f>VLOOKUP($C2494,Carpetas!$C$5:$M$2666,10,FALSE)</f>
        <v>1565614</v>
      </c>
      <c r="H2494" s="27" t="str">
        <f>VLOOKUP($C2494,Carpetas!$C$5:$M$2666,6,FALSE)</f>
        <v>Mega Logistica</v>
      </c>
      <c r="I2494" s="27" t="str">
        <f>VLOOKUP($C2494,Carpetas!$C$5:$M$2666,3,FALSE)</f>
        <v>Hugo Franco</v>
      </c>
      <c r="J2494" s="243">
        <v>46248</v>
      </c>
      <c r="K2494" s="261" t="str">
        <f>VLOOKUP($C2494,Carpetas!$C$5:$M$2666,5,FALSE)</f>
        <v>Salto</v>
      </c>
      <c r="L2494" s="263" t="s">
        <v>6116</v>
      </c>
      <c r="M2494" s="268">
        <f t="shared" si="178"/>
        <v>46249</v>
      </c>
      <c r="N2494" s="269">
        <f t="shared" si="176"/>
        <v>3</v>
      </c>
      <c r="O2494" s="239">
        <v>980</v>
      </c>
      <c r="P2494" s="27">
        <v>983</v>
      </c>
      <c r="Q2494" s="27">
        <v>28</v>
      </c>
      <c r="R2494" s="27">
        <v>27</v>
      </c>
      <c r="S2494" s="27" t="s">
        <v>6295</v>
      </c>
      <c r="T2494" s="27"/>
      <c r="U2494" s="27"/>
      <c r="V2494" s="27"/>
      <c r="W2494" s="27"/>
      <c r="X2494" s="128"/>
      <c r="Y2494" s="73" t="e">
        <f>VLOOKUP(X2494,Choferes!$B$3:C465,2,FALSE)</f>
        <v>#N/A</v>
      </c>
      <c r="Z2494" s="73" t="s">
        <v>6312</v>
      </c>
    </row>
    <row r="2495" spans="1:26" hidden="1" x14ac:dyDescent="0.25">
      <c r="A2495" s="222">
        <v>33</v>
      </c>
      <c r="B2495" s="71" t="s">
        <v>29</v>
      </c>
      <c r="C2495" s="39" t="s">
        <v>6313</v>
      </c>
      <c r="D2495" s="106" t="s">
        <v>102</v>
      </c>
      <c r="E2495" s="47">
        <v>46246</v>
      </c>
      <c r="F2495" s="31" t="str">
        <f>VLOOKUP($C2495,Carpetas!$C$5:$M$2666,2,FALSE)</f>
        <v>PYB054-26</v>
      </c>
      <c r="G2495" s="23">
        <f>VLOOKUP($C2495,Carpetas!$C$5:$M$2666,10,FALSE)</f>
        <v>1565613</v>
      </c>
      <c r="H2495" s="27" t="str">
        <f>VLOOKUP($C2495,Carpetas!$C$5:$M$2666,6,FALSE)</f>
        <v>Mega Logistica</v>
      </c>
      <c r="I2495" s="27" t="str">
        <f>VLOOKUP($C2495,Carpetas!$C$5:$M$2666,3,FALSE)</f>
        <v>Milciades Sosa</v>
      </c>
      <c r="J2495" s="243">
        <v>46248</v>
      </c>
      <c r="K2495" s="261" t="str">
        <f>VLOOKUP($C2495,Carpetas!$C$5:$M$2666,5,FALSE)</f>
        <v>Salto</v>
      </c>
      <c r="L2495" s="263" t="s">
        <v>6116</v>
      </c>
      <c r="M2495" s="268">
        <f t="shared" si="178"/>
        <v>46249</v>
      </c>
      <c r="N2495" s="269">
        <f t="shared" si="176"/>
        <v>3</v>
      </c>
      <c r="O2495" s="239">
        <v>980</v>
      </c>
      <c r="P2495" s="27">
        <v>982</v>
      </c>
      <c r="Q2495" s="27">
        <v>28</v>
      </c>
      <c r="R2495" s="27">
        <v>27</v>
      </c>
      <c r="S2495" s="27" t="s">
        <v>3153</v>
      </c>
      <c r="T2495" s="27"/>
      <c r="U2495" s="27"/>
      <c r="V2495" s="27"/>
      <c r="W2495" s="27"/>
      <c r="X2495" s="128"/>
      <c r="Y2495" s="73" t="e">
        <f>VLOOKUP(X2495,Choferes!$B$3:C468,2,FALSE)</f>
        <v>#N/A</v>
      </c>
      <c r="Z2495" s="73" t="s">
        <v>6314</v>
      </c>
    </row>
    <row r="2496" spans="1:26" hidden="1" x14ac:dyDescent="0.25">
      <c r="A2496" s="222">
        <v>33</v>
      </c>
      <c r="B2496" s="71" t="s">
        <v>29</v>
      </c>
      <c r="C2496" s="39" t="s">
        <v>6294</v>
      </c>
      <c r="D2496" s="106" t="s">
        <v>183</v>
      </c>
      <c r="E2496" s="47">
        <v>46247</v>
      </c>
      <c r="F2496" s="31" t="str">
        <f>VLOOKUP($C2496,Carpetas!$C$5:$M$2666,2,FALSE)</f>
        <v>PYB053-26</v>
      </c>
      <c r="G2496" s="23">
        <f>VLOOKUP($C2496,Carpetas!$C$5:$M$2666,10,FALSE)</f>
        <v>1565614</v>
      </c>
      <c r="H2496" s="27" t="str">
        <f>VLOOKUP($C2496,Carpetas!$C$5:$M$2666,6,FALSE)</f>
        <v>Mega Logistica</v>
      </c>
      <c r="I2496" s="27" t="str">
        <f>VLOOKUP($C2496,Carpetas!$C$5:$M$2666,3,FALSE)</f>
        <v>Hugo Franco</v>
      </c>
      <c r="J2496" s="243">
        <v>46249</v>
      </c>
      <c r="K2496" s="261" t="str">
        <f>VLOOKUP($C2496,Carpetas!$C$5:$M$2666,5,FALSE)</f>
        <v>Salto</v>
      </c>
      <c r="L2496" s="263" t="s">
        <v>6116</v>
      </c>
      <c r="M2496" s="268">
        <f t="shared" si="178"/>
        <v>46250</v>
      </c>
      <c r="N2496" s="269">
        <f t="shared" si="176"/>
        <v>3</v>
      </c>
      <c r="O2496" s="239">
        <v>980</v>
      </c>
      <c r="P2496" s="27">
        <v>982</v>
      </c>
      <c r="Q2496" s="27">
        <v>28</v>
      </c>
      <c r="R2496" s="27">
        <v>27</v>
      </c>
      <c r="S2496" s="27" t="s">
        <v>6297</v>
      </c>
      <c r="T2496" s="27"/>
      <c r="U2496" s="27"/>
      <c r="V2496" s="27"/>
      <c r="W2496" s="27"/>
      <c r="X2496" s="128"/>
      <c r="Y2496" s="73" t="e">
        <f>VLOOKUP(X2496,Choferes!$B$3:C466,2,FALSE)</f>
        <v>#N/A</v>
      </c>
      <c r="Z2496" s="73" t="s">
        <v>6315</v>
      </c>
    </row>
    <row r="2497" spans="1:26" hidden="1" x14ac:dyDescent="0.25">
      <c r="A2497" s="222">
        <v>32</v>
      </c>
      <c r="B2497" s="71" t="s">
        <v>29</v>
      </c>
      <c r="C2497" s="39" t="s">
        <v>6316</v>
      </c>
      <c r="D2497" s="106" t="s">
        <v>38</v>
      </c>
      <c r="E2497" s="47">
        <v>46240</v>
      </c>
      <c r="F2497" s="31" t="str">
        <f>VLOOKUP($C2497,Carpetas!$C$5:$M$2666,2,FALSE)</f>
        <v>BRE057-26</v>
      </c>
      <c r="G2497" s="23">
        <f>VLOOKUP($C2497,Carpetas!$C$5:$M$2666,10,FALSE)</f>
        <v>1565420</v>
      </c>
      <c r="H2497" s="27" t="str">
        <f>VLOOKUP($C2497,Carpetas!$C$5:$M$2666,6,FALSE)</f>
        <v xml:space="preserve">Silvio </v>
      </c>
      <c r="I2497" s="27" t="str">
        <f>VLOOKUP($C2497,Carpetas!$C$5:$M$2666,3,FALSE)</f>
        <v>Dina</v>
      </c>
      <c r="J2497" s="243">
        <v>46251</v>
      </c>
      <c r="K2497" s="261" t="str">
        <f>VLOOKUP($C2497,Carpetas!$C$5:$M$2666,5,FALSE)</f>
        <v>Chuy</v>
      </c>
      <c r="L2497" s="263" t="s">
        <v>616</v>
      </c>
      <c r="M2497" s="268">
        <f t="shared" si="178"/>
        <v>46252</v>
      </c>
      <c r="N2497" s="269">
        <f t="shared" si="176"/>
        <v>12</v>
      </c>
      <c r="O2497" s="239">
        <v>1560</v>
      </c>
      <c r="P2497" s="27">
        <v>1440</v>
      </c>
      <c r="Q2497" s="27">
        <v>24</v>
      </c>
      <c r="R2497" s="27"/>
      <c r="S2497" s="27"/>
      <c r="T2497" s="27"/>
      <c r="U2497" s="27"/>
      <c r="V2497" s="27"/>
      <c r="W2497" s="27"/>
      <c r="X2497" s="128"/>
      <c r="Y2497" s="73" t="e">
        <f>VLOOKUP(X2497,Choferes!$B$3:C475,2,FALSE)</f>
        <v>#N/A</v>
      </c>
      <c r="Z2497" s="73" t="s">
        <v>6317</v>
      </c>
    </row>
    <row r="2498" spans="1:26" hidden="1" x14ac:dyDescent="0.25">
      <c r="A2498" s="222">
        <v>32</v>
      </c>
      <c r="B2498" s="71" t="s">
        <v>29</v>
      </c>
      <c r="C2498" s="39" t="s">
        <v>6318</v>
      </c>
      <c r="D2498" s="106" t="s">
        <v>38</v>
      </c>
      <c r="E2498" s="47">
        <v>46248</v>
      </c>
      <c r="F2498" s="31" t="str">
        <f>VLOOKUP($C2498,Carpetas!$C$5:$M$2666,2,FALSE)</f>
        <v>BRE059-26</v>
      </c>
      <c r="G2498" s="23">
        <f>VLOOKUP($C2498,Carpetas!$C$5:$M$2666,10,FALSE)</f>
        <v>1565320</v>
      </c>
      <c r="H2498" s="27" t="str">
        <f>VLOOKUP($C2498,Carpetas!$C$5:$M$2666,6,FALSE)</f>
        <v xml:space="preserve">Silvio </v>
      </c>
      <c r="I2498" s="27" t="str">
        <f>VLOOKUP($C2498,Carpetas!$C$5:$M$2666,3,FALSE)</f>
        <v>Jaguacy</v>
      </c>
      <c r="J2498" s="243">
        <v>46251</v>
      </c>
      <c r="K2498" s="261" t="str">
        <f>VLOOKUP($C2498,Carpetas!$C$5:$M$2666,5,FALSE)</f>
        <v>Chuy</v>
      </c>
      <c r="L2498" s="263" t="s">
        <v>5813</v>
      </c>
      <c r="M2498" s="268">
        <f t="shared" si="178"/>
        <v>46252</v>
      </c>
      <c r="N2498" s="269">
        <f t="shared" si="176"/>
        <v>4</v>
      </c>
      <c r="O2498" s="239">
        <v>2304</v>
      </c>
      <c r="P2498" s="27">
        <v>2304</v>
      </c>
      <c r="Q2498" s="27">
        <v>24</v>
      </c>
      <c r="R2498" s="27"/>
      <c r="S2498" s="27"/>
      <c r="T2498" s="27"/>
      <c r="U2498" s="27"/>
      <c r="V2498" s="27"/>
      <c r="W2498" s="27"/>
      <c r="X2498" s="128"/>
      <c r="Y2498" s="73" t="e">
        <f>VLOOKUP(X2498,Choferes!$B$3:C476,2,FALSE)</f>
        <v>#N/A</v>
      </c>
      <c r="Z2498" s="73" t="s">
        <v>6319</v>
      </c>
    </row>
    <row r="2499" spans="1:26" hidden="1" x14ac:dyDescent="0.25">
      <c r="A2499" s="222">
        <v>33</v>
      </c>
      <c r="B2499" s="71" t="s">
        <v>29</v>
      </c>
      <c r="C2499" s="39" t="s">
        <v>6290</v>
      </c>
      <c r="D2499" s="106" t="s">
        <v>2474</v>
      </c>
      <c r="E2499" s="47">
        <v>46248</v>
      </c>
      <c r="F2499" s="31" t="str">
        <f>VLOOKUP($C2499,Carpetas!$C$5:$M$2666,2,FALSE)</f>
        <v>BRB066/26</v>
      </c>
      <c r="G2499" s="23" t="str">
        <f>VLOOKUP($C2499,Carpetas!$C$5:$M$2666,10,FALSE)</f>
        <v>156.56.20</v>
      </c>
      <c r="H2499" s="27" t="str">
        <f>VLOOKUP($C2499,Carpetas!$C$5:$M$2666,6,FALSE)</f>
        <v>Amaro</v>
      </c>
      <c r="I2499" s="27" t="str">
        <f>VLOOKUP($C2499,Carpetas!$C$5:$M$2666,3,FALSE)</f>
        <v>Etimex</v>
      </c>
      <c r="J2499" s="243">
        <v>46251</v>
      </c>
      <c r="K2499" s="261" t="str">
        <f>VLOOKUP($C2499,Carpetas!$C$5:$M$2666,5,FALSE)</f>
        <v>Rio Branco</v>
      </c>
      <c r="L2499" s="263" t="s">
        <v>6116</v>
      </c>
      <c r="M2499" s="268">
        <f t="shared" si="178"/>
        <v>46252</v>
      </c>
      <c r="N2499" s="269">
        <f t="shared" si="176"/>
        <v>4</v>
      </c>
      <c r="O2499" s="239">
        <v>1008</v>
      </c>
      <c r="P2499" s="27">
        <v>1008</v>
      </c>
      <c r="Q2499" s="27">
        <v>28</v>
      </c>
      <c r="R2499" s="27">
        <v>26</v>
      </c>
      <c r="S2499" s="27" t="s">
        <v>4103</v>
      </c>
      <c r="T2499" s="27"/>
      <c r="U2499" s="27"/>
      <c r="V2499" s="27"/>
      <c r="W2499" s="27"/>
      <c r="X2499" s="128"/>
      <c r="Y2499" s="73" t="e">
        <f>VLOOKUP(X2499,Choferes!$B$3:C466,2,FALSE)</f>
        <v>#N/A</v>
      </c>
      <c r="Z2499" s="73" t="s">
        <v>6320</v>
      </c>
    </row>
    <row r="2500" spans="1:26" ht="15" hidden="1" customHeight="1" x14ac:dyDescent="0.25">
      <c r="A2500" s="222">
        <v>33</v>
      </c>
      <c r="B2500" s="71" t="s">
        <v>29</v>
      </c>
      <c r="C2500" s="39" t="s">
        <v>6321</v>
      </c>
      <c r="D2500" s="106" t="s">
        <v>5765</v>
      </c>
      <c r="E2500" s="47">
        <v>46248</v>
      </c>
      <c r="F2500" s="31" t="str">
        <f>VLOOKUP($C2500,Carpetas!$C$5:$M$2666,2,FALSE)</f>
        <v>BRB067/26</v>
      </c>
      <c r="G2500" s="23" t="str">
        <f>VLOOKUP($C2500,Carpetas!$C$5:$M$2666,10,FALSE)</f>
        <v>156,62,09</v>
      </c>
      <c r="H2500" s="27" t="str">
        <f>VLOOKUP($C2500,Carpetas!$C$5:$M$2666,6,FALSE)</f>
        <v>Amaro</v>
      </c>
      <c r="I2500" s="27" t="str">
        <f>VLOOKUP($C2500,Carpetas!$C$5:$M$2666,3,FALSE)</f>
        <v>Etimex</v>
      </c>
      <c r="J2500" s="243">
        <v>46251</v>
      </c>
      <c r="K2500" s="261" t="str">
        <f>VLOOKUP($C2500,Carpetas!$C$5:$M$2666,5,FALSE)</f>
        <v>Rio Branco</v>
      </c>
      <c r="L2500" s="263" t="s">
        <v>6116</v>
      </c>
      <c r="M2500" s="268">
        <f t="shared" si="178"/>
        <v>46252</v>
      </c>
      <c r="N2500" s="269">
        <f t="shared" si="176"/>
        <v>4</v>
      </c>
      <c r="O2500" s="239">
        <v>1008</v>
      </c>
      <c r="P2500" s="27">
        <v>1008</v>
      </c>
      <c r="Q2500" s="27">
        <v>28</v>
      </c>
      <c r="R2500" s="27">
        <v>26</v>
      </c>
      <c r="S2500" s="27" t="s">
        <v>6276</v>
      </c>
      <c r="T2500" s="27"/>
      <c r="U2500" s="27">
        <v>29139</v>
      </c>
      <c r="V2500" s="27" t="s">
        <v>5682</v>
      </c>
      <c r="W2500" s="27" t="s">
        <v>2785</v>
      </c>
      <c r="X2500" s="128" t="s">
        <v>2119</v>
      </c>
      <c r="Y2500" s="73" t="str">
        <f>VLOOKUP(X2500,Choferes!$B$3:C467,2,FALSE)</f>
        <v>+5553981528085</v>
      </c>
      <c r="Z2500" s="73" t="s">
        <v>6322</v>
      </c>
    </row>
    <row r="2501" spans="1:26" hidden="1" x14ac:dyDescent="0.25">
      <c r="A2501" s="222">
        <v>33</v>
      </c>
      <c r="B2501" s="71" t="s">
        <v>29</v>
      </c>
      <c r="C2501" s="39" t="s">
        <v>6197</v>
      </c>
      <c r="D2501" s="106" t="s">
        <v>2202</v>
      </c>
      <c r="E2501" s="47">
        <v>46248</v>
      </c>
      <c r="F2501" s="31" t="str">
        <f>VLOOKUP($C2501,Carpetas!$C$5:$M$2666,2,FALSE)</f>
        <v>BRB064/26</v>
      </c>
      <c r="G2501" s="23" t="str">
        <f>VLOOKUP($C2501,Carpetas!$C$5:$M$2666,10,FALSE)</f>
        <v>156,35,31</v>
      </c>
      <c r="H2501" s="27" t="str">
        <f>VLOOKUP($C2501,Carpetas!$C$5:$M$2666,6,FALSE)</f>
        <v>AXT</v>
      </c>
      <c r="I2501" s="27" t="str">
        <f>VLOOKUP($C2501,Carpetas!$C$5:$M$2666,3,FALSE)</f>
        <v>A&amp;A</v>
      </c>
      <c r="J2501" s="243">
        <v>46251</v>
      </c>
      <c r="K2501" s="261" t="str">
        <f>VLOOKUP($C2501,Carpetas!$C$5:$M$2666,5,FALSE)</f>
        <v>Chuy</v>
      </c>
      <c r="L2501" s="263" t="s">
        <v>6116</v>
      </c>
      <c r="M2501" s="268">
        <f t="shared" si="178"/>
        <v>46252</v>
      </c>
      <c r="N2501" s="269">
        <f t="shared" si="176"/>
        <v>4</v>
      </c>
      <c r="O2501" s="239">
        <v>936</v>
      </c>
      <c r="P2501" s="27">
        <v>937</v>
      </c>
      <c r="Q2501" s="27">
        <v>26</v>
      </c>
      <c r="R2501" s="27">
        <v>25</v>
      </c>
      <c r="S2501" s="27" t="s">
        <v>6323</v>
      </c>
      <c r="T2501" s="27"/>
      <c r="U2501" s="27"/>
      <c r="V2501" s="27"/>
      <c r="W2501" s="27"/>
      <c r="X2501" s="128"/>
      <c r="Y2501" s="73" t="e">
        <f>VLOOKUP(X2501,Choferes!$B$3:C468,2,FALSE)</f>
        <v>#N/A</v>
      </c>
      <c r="Z2501" s="73" t="s">
        <v>6324</v>
      </c>
    </row>
    <row r="2502" spans="1:26" hidden="1" x14ac:dyDescent="0.25">
      <c r="A2502" s="222">
        <v>33</v>
      </c>
      <c r="B2502" s="71" t="s">
        <v>29</v>
      </c>
      <c r="C2502" s="39" t="s">
        <v>6325</v>
      </c>
      <c r="D2502" s="106" t="s">
        <v>5507</v>
      </c>
      <c r="E2502" s="47">
        <v>46248</v>
      </c>
      <c r="F2502" s="31" t="str">
        <f>VLOOKUP($C2502,Carpetas!$C$5:$M$2666,2,FALSE)</f>
        <v>BRB068/26</v>
      </c>
      <c r="G2502" s="23">
        <f>VLOOKUP($C2502,Carpetas!$C$5:$M$2666,10,FALSE)</f>
        <v>1566210</v>
      </c>
      <c r="H2502" s="27" t="str">
        <f>VLOOKUP($C2502,Carpetas!$C$5:$M$2666,6,FALSE)</f>
        <v>Chabat</v>
      </c>
      <c r="I2502" s="27" t="str">
        <f>VLOOKUP($C2502,Carpetas!$C$5:$M$2666,3,FALSE)</f>
        <v>Etimex</v>
      </c>
      <c r="J2502" s="243">
        <v>46251</v>
      </c>
      <c r="K2502" s="261" t="str">
        <f>VLOOKUP($C2502,Carpetas!$C$5:$M$2666,5,FALSE)</f>
        <v>Rio Branco</v>
      </c>
      <c r="L2502" s="263" t="s">
        <v>6116</v>
      </c>
      <c r="M2502" s="268">
        <f t="shared" si="178"/>
        <v>46252</v>
      </c>
      <c r="N2502" s="269">
        <f t="shared" si="176"/>
        <v>4</v>
      </c>
      <c r="O2502" s="239">
        <v>1008</v>
      </c>
      <c r="P2502" s="27">
        <v>1008</v>
      </c>
      <c r="Q2502" s="27">
        <v>28</v>
      </c>
      <c r="R2502" s="27">
        <v>26</v>
      </c>
      <c r="S2502" s="27" t="s">
        <v>6326</v>
      </c>
      <c r="T2502" s="27"/>
      <c r="U2502" s="27">
        <v>2597</v>
      </c>
      <c r="V2502" s="27" t="s">
        <v>6203</v>
      </c>
      <c r="W2502" s="27" t="s">
        <v>4277</v>
      </c>
      <c r="X2502" s="128"/>
      <c r="Y2502" s="73" t="e">
        <f>VLOOKUP(X2502,Choferes!$B$3:C469,2,FALSE)</f>
        <v>#N/A</v>
      </c>
      <c r="Z2502" s="73" t="s">
        <v>6322</v>
      </c>
    </row>
    <row r="2503" spans="1:26" hidden="1" x14ac:dyDescent="0.25">
      <c r="A2503" s="222">
        <v>33</v>
      </c>
      <c r="B2503" s="71" t="s">
        <v>29</v>
      </c>
      <c r="C2503" s="39" t="s">
        <v>6327</v>
      </c>
      <c r="D2503" s="106" t="s">
        <v>249</v>
      </c>
      <c r="E2503" s="47">
        <v>46248</v>
      </c>
      <c r="F2503" s="31" t="str">
        <f>VLOOKUP($C2503,Carpetas!$C$5:$M$2666,2,FALSE)</f>
        <v>BRB069/26</v>
      </c>
      <c r="G2503" s="23">
        <f>VLOOKUP($C2503,Carpetas!$C$5:$M$2666,10,FALSE)</f>
        <v>1566326</v>
      </c>
      <c r="H2503" s="27" t="str">
        <f>VLOOKUP($C2503,Carpetas!$C$5:$M$2666,6,FALSE)</f>
        <v>FG</v>
      </c>
      <c r="I2503" s="27" t="str">
        <f>VLOOKUP($C2503,Carpetas!$C$5:$M$2666,3,FALSE)</f>
        <v>Etimex</v>
      </c>
      <c r="J2503" s="243">
        <v>46251</v>
      </c>
      <c r="K2503" s="261" t="str">
        <f>VLOOKUP($C2503,Carpetas!$C$5:$M$2666,5,FALSE)</f>
        <v>Rio Branco</v>
      </c>
      <c r="L2503" s="263" t="s">
        <v>6116</v>
      </c>
      <c r="M2503" s="268">
        <f t="shared" si="178"/>
        <v>46252</v>
      </c>
      <c r="N2503" s="269">
        <f t="shared" si="176"/>
        <v>4</v>
      </c>
      <c r="O2503" s="239">
        <v>1008</v>
      </c>
      <c r="P2503" s="27">
        <v>1008</v>
      </c>
      <c r="Q2503" s="27">
        <v>28</v>
      </c>
      <c r="R2503" s="27">
        <v>26</v>
      </c>
      <c r="S2503" s="27" t="s">
        <v>3786</v>
      </c>
      <c r="T2503" s="27"/>
      <c r="U2503" s="27">
        <v>1715</v>
      </c>
      <c r="V2503" s="27" t="s">
        <v>3669</v>
      </c>
      <c r="W2503" s="27" t="s">
        <v>912</v>
      </c>
      <c r="X2503" s="128" t="s">
        <v>1397</v>
      </c>
      <c r="Y2503" s="73" t="str">
        <f>VLOOKUP(X2503,Choferes!$B$3:C470,2,FALSE)</f>
        <v>+5551996322594</v>
      </c>
      <c r="Z2503" s="73" t="s">
        <v>6322</v>
      </c>
    </row>
    <row r="2504" spans="1:26" hidden="1" x14ac:dyDescent="0.25">
      <c r="A2504" s="222">
        <v>33</v>
      </c>
      <c r="B2504" s="71" t="s">
        <v>29</v>
      </c>
      <c r="C2504" s="39" t="s">
        <v>6235</v>
      </c>
      <c r="D2504" s="106" t="s">
        <v>110</v>
      </c>
      <c r="E2504" s="47">
        <v>46248</v>
      </c>
      <c r="F2504" s="31" t="str">
        <f>VLOOKUP($C2504,Carpetas!$C$5:$M$2666,2,FALSE)</f>
        <v>BRB065/26</v>
      </c>
      <c r="G2504" s="23" t="str">
        <f>VLOOKUP($C2504,Carpetas!$C$5:$M$2666,10,FALSE)</f>
        <v>156,43,79</v>
      </c>
      <c r="H2504" s="27" t="str">
        <f>VLOOKUP($C2504,Carpetas!$C$5:$M$2666,6,FALSE)</f>
        <v>FG</v>
      </c>
      <c r="I2504" s="27" t="str">
        <f>VLOOKUP($C2504,Carpetas!$C$5:$M$2666,3,FALSE)</f>
        <v>Etimex</v>
      </c>
      <c r="J2504" s="243">
        <v>46251</v>
      </c>
      <c r="K2504" s="261" t="str">
        <f>VLOOKUP($C2504,Carpetas!$C$5:$M$2666,5,FALSE)</f>
        <v>Rio Branco</v>
      </c>
      <c r="L2504" s="263" t="s">
        <v>6116</v>
      </c>
      <c r="M2504" s="268">
        <f t="shared" si="178"/>
        <v>46252</v>
      </c>
      <c r="N2504" s="269">
        <f t="shared" si="176"/>
        <v>4</v>
      </c>
      <c r="O2504" s="239">
        <v>1008</v>
      </c>
      <c r="P2504" s="27">
        <v>1008</v>
      </c>
      <c r="Q2504" s="27">
        <v>28</v>
      </c>
      <c r="R2504" s="27">
        <v>26</v>
      </c>
      <c r="S2504" s="27" t="s">
        <v>2447</v>
      </c>
      <c r="T2504" s="27"/>
      <c r="U2504" s="27">
        <v>1714</v>
      </c>
      <c r="V2504" s="27" t="s">
        <v>1430</v>
      </c>
      <c r="W2504" s="27" t="s">
        <v>5449</v>
      </c>
      <c r="X2504" s="128" t="s">
        <v>1923</v>
      </c>
      <c r="Y2504" s="73" t="str">
        <f>VLOOKUP(X2504,Choferes!$B$3:C471,2,FALSE)</f>
        <v>+5553999049426</v>
      </c>
      <c r="Z2504" s="73" t="s">
        <v>6322</v>
      </c>
    </row>
    <row r="2505" spans="1:26" hidden="1" x14ac:dyDescent="0.25">
      <c r="A2505" s="222">
        <v>33</v>
      </c>
      <c r="B2505" s="71" t="s">
        <v>29</v>
      </c>
      <c r="C2505" s="39" t="s">
        <v>6328</v>
      </c>
      <c r="D2505" s="106" t="s">
        <v>6305</v>
      </c>
      <c r="E2505" s="47">
        <v>46248</v>
      </c>
      <c r="F2505" s="31" t="str">
        <f>VLOOKUP($C2505,Carpetas!$C$5:$M$2666,2,FALSE)</f>
        <v>PYB055-26</v>
      </c>
      <c r="G2505" s="23">
        <f>VLOOKUP($C2505,Carpetas!$C$5:$M$2666,10,FALSE)</f>
        <v>1566325</v>
      </c>
      <c r="H2505" s="27">
        <f>VLOOKUP($C2505,Carpetas!$C$5:$M$2666,6,FALSE)</f>
        <v>0</v>
      </c>
      <c r="I2505" s="27" t="str">
        <f>VLOOKUP($C2505,Carpetas!$C$5:$M$2666,3,FALSE)</f>
        <v>Alvaro Saldivar</v>
      </c>
      <c r="J2505" s="243">
        <f>E2505+3</f>
        <v>46251</v>
      </c>
      <c r="K2505" s="261" t="str">
        <f>VLOOKUP($C2505,Carpetas!$C$5:$M$2666,5,FALSE)</f>
        <v>Salto</v>
      </c>
      <c r="L2505" s="263" t="s">
        <v>6116</v>
      </c>
      <c r="M2505" s="268">
        <f t="shared" si="178"/>
        <v>46252</v>
      </c>
      <c r="N2505" s="269">
        <f t="shared" si="176"/>
        <v>4</v>
      </c>
      <c r="O2505" s="239">
        <v>980</v>
      </c>
      <c r="P2505" s="27">
        <v>984</v>
      </c>
      <c r="Q2505" s="27">
        <v>28</v>
      </c>
      <c r="R2505" s="27">
        <v>28</v>
      </c>
      <c r="S2505" s="27" t="s">
        <v>6329</v>
      </c>
      <c r="T2505" s="27"/>
      <c r="U2505" s="27"/>
      <c r="V2505" s="27"/>
      <c r="W2505" s="27"/>
      <c r="X2505" s="128"/>
      <c r="Y2505" s="73" t="e">
        <f>VLOOKUP(X2505,Choferes!$B$3:C452,2,FALSE)</f>
        <v>#N/A</v>
      </c>
      <c r="Z2505" s="73" t="s">
        <v>6330</v>
      </c>
    </row>
    <row r="2506" spans="1:26" hidden="1" x14ac:dyDescent="0.25">
      <c r="A2506" s="222">
        <v>34</v>
      </c>
      <c r="B2506" s="71" t="s">
        <v>29</v>
      </c>
      <c r="C2506" s="39" t="s">
        <v>6331</v>
      </c>
      <c r="D2506" s="106" t="s">
        <v>183</v>
      </c>
      <c r="E2506" s="47">
        <v>46252</v>
      </c>
      <c r="F2506" s="31" t="str">
        <f>VLOOKUP($C2506,Carpetas!$C$5:$M$2666,2,FALSE)</f>
        <v>PYB057-26</v>
      </c>
      <c r="G2506" s="23">
        <f>VLOOKUP($C2506,Carpetas!$C$5:$M$2666,10,FALSE)</f>
        <v>1566413</v>
      </c>
      <c r="H2506" s="27" t="str">
        <f>VLOOKUP($C2506,Carpetas!$C$5:$M$2666,6,FALSE)</f>
        <v>Mega Logistica</v>
      </c>
      <c r="I2506" s="27" t="str">
        <f>VLOOKUP($C2506,Carpetas!$C$5:$M$2666,3,FALSE)</f>
        <v>Hugo Franco</v>
      </c>
      <c r="J2506" s="243">
        <f>E2506+2</f>
        <v>46254</v>
      </c>
      <c r="K2506" s="261" t="str">
        <f>VLOOKUP($C2506,Carpetas!$C$5:$M$2666,5,FALSE)</f>
        <v>Salto</v>
      </c>
      <c r="L2506" s="263" t="s">
        <v>6116</v>
      </c>
      <c r="M2506" s="268">
        <f t="shared" si="178"/>
        <v>46255</v>
      </c>
      <c r="N2506" s="269">
        <f t="shared" si="176"/>
        <v>3</v>
      </c>
      <c r="O2506" s="239">
        <v>980</v>
      </c>
      <c r="P2506" s="27">
        <v>980</v>
      </c>
      <c r="Q2506" s="27">
        <v>28</v>
      </c>
      <c r="R2506" s="27">
        <v>27</v>
      </c>
      <c r="S2506" s="27"/>
      <c r="T2506" s="27"/>
      <c r="U2506" s="27"/>
      <c r="V2506" s="27"/>
      <c r="W2506" s="27"/>
      <c r="X2506" s="128"/>
      <c r="Y2506" s="73" t="e">
        <f>VLOOKUP(X2506,Choferes!$B$3:C453,2,FALSE)</f>
        <v>#N/A</v>
      </c>
      <c r="Z2506" s="73" t="s">
        <v>6332</v>
      </c>
    </row>
    <row r="2507" spans="1:26" hidden="1" x14ac:dyDescent="0.25">
      <c r="A2507" s="222">
        <v>34</v>
      </c>
      <c r="B2507" s="71" t="s">
        <v>29</v>
      </c>
      <c r="C2507" s="39" t="s">
        <v>6333</v>
      </c>
      <c r="D2507" s="106" t="s">
        <v>6305</v>
      </c>
      <c r="E2507" s="47">
        <v>46251</v>
      </c>
      <c r="F2507" s="31" t="str">
        <f>VLOOKUP($C2507,Carpetas!$C$5:$M$2666,2,FALSE)</f>
        <v>PYB056-26</v>
      </c>
      <c r="G2507" s="23">
        <f>VLOOKUP($C2507,Carpetas!$C$5:$M$2666,10,FALSE)</f>
        <v>1566463</v>
      </c>
      <c r="H2507" s="27" t="str">
        <f>VLOOKUP($C2507,Carpetas!$C$5:$M$2666,6,FALSE)</f>
        <v xml:space="preserve">MARSO EMPRENDIMIENTOS S.R.L. </v>
      </c>
      <c r="I2507" s="27" t="str">
        <f>VLOOKUP($C2507,Carpetas!$C$5:$M$2666,3,FALSE)</f>
        <v>Alvaro Saldivar</v>
      </c>
      <c r="J2507" s="243">
        <v>46254</v>
      </c>
      <c r="K2507" s="261" t="str">
        <f>VLOOKUP($C2507,Carpetas!$C$5:$M$2666,5,FALSE)</f>
        <v>Salto</v>
      </c>
      <c r="L2507" s="263" t="s">
        <v>6116</v>
      </c>
      <c r="M2507" s="268">
        <f t="shared" si="178"/>
        <v>46255</v>
      </c>
      <c r="N2507" s="269">
        <f t="shared" si="176"/>
        <v>4</v>
      </c>
      <c r="O2507" s="239">
        <v>980</v>
      </c>
      <c r="P2507" s="27">
        <v>984</v>
      </c>
      <c r="Q2507" s="27">
        <v>28</v>
      </c>
      <c r="R2507" s="27">
        <v>28</v>
      </c>
      <c r="S2507" s="27" t="s">
        <v>6334</v>
      </c>
      <c r="T2507" s="27"/>
      <c r="U2507" s="27"/>
      <c r="V2507" s="27"/>
      <c r="W2507" s="27"/>
      <c r="X2507" s="128"/>
      <c r="Y2507" s="73" t="e">
        <f>VLOOKUP(X2507,Choferes!$B$3:C454,2,FALSE)</f>
        <v>#N/A</v>
      </c>
      <c r="Z2507" s="73" t="s">
        <v>6335</v>
      </c>
    </row>
    <row r="2508" spans="1:26" hidden="1" x14ac:dyDescent="0.25">
      <c r="A2508" s="222">
        <v>34</v>
      </c>
      <c r="B2508" s="71" t="s">
        <v>29</v>
      </c>
      <c r="C2508" s="39" t="s">
        <v>6333</v>
      </c>
      <c r="D2508" s="106" t="s">
        <v>6305</v>
      </c>
      <c r="E2508" s="47">
        <v>46252</v>
      </c>
      <c r="F2508" s="31" t="str">
        <f>VLOOKUP($C2508,Carpetas!$C$5:$M$2666,2,FALSE)</f>
        <v>PYB056-26</v>
      </c>
      <c r="G2508" s="23">
        <f>VLOOKUP($C2508,Carpetas!$C$5:$M$2666,10,FALSE)</f>
        <v>1566463</v>
      </c>
      <c r="H2508" s="27" t="str">
        <f>VLOOKUP($C2508,Carpetas!$C$5:$M$2666,6,FALSE)</f>
        <v xml:space="preserve">MARSO EMPRENDIMIENTOS S.R.L. </v>
      </c>
      <c r="I2508" s="27" t="str">
        <f>VLOOKUP($C2508,Carpetas!$C$5:$M$2666,3,FALSE)</f>
        <v>Alvaro Saldivar</v>
      </c>
      <c r="J2508" s="243">
        <f>E2508+2</f>
        <v>46254</v>
      </c>
      <c r="K2508" s="261" t="str">
        <f>VLOOKUP($C2508,Carpetas!$C$5:$M$2666,5,FALSE)</f>
        <v>Salto</v>
      </c>
      <c r="L2508" s="263" t="s">
        <v>6116</v>
      </c>
      <c r="M2508" s="268">
        <f t="shared" si="178"/>
        <v>46255</v>
      </c>
      <c r="N2508" s="269">
        <f t="shared" si="176"/>
        <v>3</v>
      </c>
      <c r="O2508" s="239">
        <v>980</v>
      </c>
      <c r="P2508" s="27">
        <v>984</v>
      </c>
      <c r="Q2508" s="27">
        <v>28</v>
      </c>
      <c r="R2508" s="27">
        <v>28</v>
      </c>
      <c r="S2508" s="27" t="s">
        <v>6336</v>
      </c>
      <c r="T2508" s="27"/>
      <c r="U2508" s="27"/>
      <c r="V2508" s="27"/>
      <c r="W2508" s="27"/>
      <c r="X2508" s="128"/>
      <c r="Y2508" s="73" t="e">
        <f>VLOOKUP(X2508,Choferes!$B$3:C455,2,FALSE)</f>
        <v>#N/A</v>
      </c>
      <c r="Z2508" s="73" t="s">
        <v>6335</v>
      </c>
    </row>
    <row r="2509" spans="1:26" hidden="1" x14ac:dyDescent="0.25">
      <c r="A2509" s="222">
        <v>34</v>
      </c>
      <c r="B2509" s="71" t="s">
        <v>29</v>
      </c>
      <c r="C2509" s="39" t="s">
        <v>6327</v>
      </c>
      <c r="D2509" s="106" t="s">
        <v>2474</v>
      </c>
      <c r="E2509" s="47">
        <v>46252</v>
      </c>
      <c r="F2509" s="31" t="str">
        <f>VLOOKUP($C2509,Carpetas!$C$5:$M$2666,2,FALSE)</f>
        <v>BRB069/26</v>
      </c>
      <c r="G2509" s="23">
        <f>VLOOKUP($C2509,Carpetas!$C$5:$M$2666,10,FALSE)</f>
        <v>1566326</v>
      </c>
      <c r="H2509" s="27" t="str">
        <f>VLOOKUP($C2509,Carpetas!$C$5:$M$2666,6,FALSE)</f>
        <v>FG</v>
      </c>
      <c r="I2509" s="27" t="str">
        <f>VLOOKUP($C2509,Carpetas!$C$5:$M$2666,3,FALSE)</f>
        <v>Etimex</v>
      </c>
      <c r="J2509" s="243">
        <f>E2509+2</f>
        <v>46254</v>
      </c>
      <c r="K2509" s="261" t="str">
        <f>VLOOKUP($C2509,Carpetas!$C$5:$M$2666,5,FALSE)</f>
        <v>Rio Branco</v>
      </c>
      <c r="L2509" s="263" t="s">
        <v>6116</v>
      </c>
      <c r="M2509" s="268">
        <f t="shared" si="178"/>
        <v>46255</v>
      </c>
      <c r="N2509" s="269">
        <f t="shared" si="176"/>
        <v>3</v>
      </c>
      <c r="O2509" s="239">
        <v>1008</v>
      </c>
      <c r="P2509" s="27">
        <v>1008</v>
      </c>
      <c r="Q2509" s="27">
        <v>28</v>
      </c>
      <c r="R2509" s="27">
        <v>26</v>
      </c>
      <c r="S2509" s="27" t="s">
        <v>4118</v>
      </c>
      <c r="T2509" s="27"/>
      <c r="U2509" s="27">
        <v>1720</v>
      </c>
      <c r="V2509" s="27" t="s">
        <v>1735</v>
      </c>
      <c r="W2509" s="27" t="s">
        <v>1681</v>
      </c>
      <c r="X2509" s="128" t="s">
        <v>6337</v>
      </c>
      <c r="Y2509" s="73" t="str">
        <f>VLOOKUP(X2509,Choferes!$B$3:C456,2,FALSE)</f>
        <v>+55 54 99649-9027</v>
      </c>
      <c r="Z2509" s="73" t="s">
        <v>6338</v>
      </c>
    </row>
    <row r="2510" spans="1:26" hidden="1" x14ac:dyDescent="0.25">
      <c r="A2510" s="222">
        <v>34</v>
      </c>
      <c r="B2510" s="71" t="s">
        <v>29</v>
      </c>
      <c r="C2510" s="39" t="s">
        <v>6327</v>
      </c>
      <c r="D2510" s="106" t="s">
        <v>110</v>
      </c>
      <c r="E2510" s="47">
        <v>46252</v>
      </c>
      <c r="F2510" s="31" t="str">
        <f>VLOOKUP($C2510,Carpetas!$C$5:$M$2666,2,FALSE)</f>
        <v>BRB069/26</v>
      </c>
      <c r="G2510" s="23">
        <f>VLOOKUP($C2510,Carpetas!$C$5:$M$2666,10,FALSE)</f>
        <v>1566326</v>
      </c>
      <c r="H2510" s="27" t="str">
        <f>VLOOKUP($C2510,Carpetas!$C$5:$M$2666,6,FALSE)</f>
        <v>FG</v>
      </c>
      <c r="I2510" s="27" t="str">
        <f>VLOOKUP($C2510,Carpetas!$C$5:$M$2666,3,FALSE)</f>
        <v>Etimex</v>
      </c>
      <c r="J2510" s="243">
        <f>E2510+2</f>
        <v>46254</v>
      </c>
      <c r="K2510" s="261" t="str">
        <f>VLOOKUP($C2510,Carpetas!$C$5:$M$2666,5,FALSE)</f>
        <v>Rio Branco</v>
      </c>
      <c r="L2510" s="263" t="s">
        <v>6116</v>
      </c>
      <c r="M2510" s="268">
        <f t="shared" si="178"/>
        <v>46255</v>
      </c>
      <c r="N2510" s="269">
        <f t="shared" si="176"/>
        <v>3</v>
      </c>
      <c r="O2510" s="239">
        <v>1008</v>
      </c>
      <c r="P2510" s="27">
        <v>1009</v>
      </c>
      <c r="Q2510" s="27">
        <v>28</v>
      </c>
      <c r="R2510" s="27"/>
      <c r="S2510" s="27" t="s">
        <v>2514</v>
      </c>
      <c r="T2510" s="27"/>
      <c r="U2510" s="27">
        <v>1724</v>
      </c>
      <c r="V2510" s="27" t="s">
        <v>3411</v>
      </c>
      <c r="W2510" s="27" t="s">
        <v>5398</v>
      </c>
      <c r="X2510" s="128" t="s">
        <v>3559</v>
      </c>
      <c r="Y2510" s="73" t="str">
        <f>VLOOKUP(X2510,Choferes!$B$3:C457,2,FALSE)</f>
        <v>+55 53 9713-4372</v>
      </c>
      <c r="Z2510" s="73" t="s">
        <v>6339</v>
      </c>
    </row>
    <row r="2511" spans="1:26" hidden="1" x14ac:dyDescent="0.25">
      <c r="A2511" s="222">
        <v>34</v>
      </c>
      <c r="B2511" s="71" t="s">
        <v>29</v>
      </c>
      <c r="C2511" s="39" t="s">
        <v>6325</v>
      </c>
      <c r="D2511" s="106" t="s">
        <v>5507</v>
      </c>
      <c r="E2511" s="47">
        <v>46252</v>
      </c>
      <c r="F2511" s="31" t="str">
        <f>VLOOKUP($C2511,Carpetas!$C$5:$M$2666,2,FALSE)</f>
        <v>BRB068/26</v>
      </c>
      <c r="G2511" s="23">
        <f>VLOOKUP($C2511,Carpetas!$C$5:$M$2666,10,FALSE)</f>
        <v>1566210</v>
      </c>
      <c r="H2511" s="27" t="str">
        <f>VLOOKUP($C2511,Carpetas!$C$5:$M$2666,6,FALSE)</f>
        <v>Chabat</v>
      </c>
      <c r="I2511" s="27" t="str">
        <f>VLOOKUP($C2511,Carpetas!$C$5:$M$2666,3,FALSE)</f>
        <v>Etimex</v>
      </c>
      <c r="J2511" s="243">
        <f>E2511+2</f>
        <v>46254</v>
      </c>
      <c r="K2511" s="261" t="str">
        <f>VLOOKUP($C2511,Carpetas!$C$5:$M$2666,5,FALSE)</f>
        <v>Rio Branco</v>
      </c>
      <c r="L2511" s="263" t="s">
        <v>6116</v>
      </c>
      <c r="M2511" s="268">
        <f t="shared" si="178"/>
        <v>46255</v>
      </c>
      <c r="N2511" s="269">
        <f t="shared" si="176"/>
        <v>3</v>
      </c>
      <c r="O2511" s="239">
        <v>1008</v>
      </c>
      <c r="P2511" s="27">
        <v>1008</v>
      </c>
      <c r="Q2511" s="27">
        <v>28</v>
      </c>
      <c r="R2511" s="27"/>
      <c r="S2511" s="27" t="s">
        <v>6340</v>
      </c>
      <c r="T2511" s="27"/>
      <c r="U2511" s="27">
        <v>2599</v>
      </c>
      <c r="V2511" s="27" t="s">
        <v>6341</v>
      </c>
      <c r="W2511" s="27" t="s">
        <v>4135</v>
      </c>
      <c r="X2511" s="128"/>
      <c r="Y2511" s="73" t="e">
        <f>VLOOKUP(X2511,Choferes!$B$3:C459,2,FALSE)</f>
        <v>#N/A</v>
      </c>
      <c r="Z2511" s="73" t="s">
        <v>6342</v>
      </c>
    </row>
    <row r="2512" spans="1:26" hidden="1" x14ac:dyDescent="0.25">
      <c r="A2512" s="222" t="s">
        <v>6343</v>
      </c>
      <c r="B2512" s="71" t="s">
        <v>29</v>
      </c>
      <c r="C2512" s="39" t="s">
        <v>6327</v>
      </c>
      <c r="D2512" s="106" t="s">
        <v>5640</v>
      </c>
      <c r="E2512" s="47">
        <v>46252</v>
      </c>
      <c r="F2512" s="31" t="str">
        <f>VLOOKUP($C2512,Carpetas!$C$5:$M$2666,2,FALSE)</f>
        <v>BRB069/26</v>
      </c>
      <c r="G2512" s="23">
        <f>VLOOKUP($C2512,Carpetas!$C$5:$M$2666,10,FALSE)</f>
        <v>1566326</v>
      </c>
      <c r="H2512" s="27" t="str">
        <f>VLOOKUP($C2512,Carpetas!$C$5:$M$2666,6,FALSE)</f>
        <v>FG</v>
      </c>
      <c r="I2512" s="27" t="str">
        <f>VLOOKUP($C2512,Carpetas!$C$5:$M$2666,3,FALSE)</f>
        <v>Etimex</v>
      </c>
      <c r="J2512" s="243">
        <f>E2512+2</f>
        <v>46254</v>
      </c>
      <c r="K2512" s="261" t="str">
        <f>VLOOKUP($C2512,Carpetas!$C$5:$M$2666,5,FALSE)</f>
        <v>Rio Branco</v>
      </c>
      <c r="L2512" s="263" t="s">
        <v>6116</v>
      </c>
      <c r="M2512" s="268">
        <f t="shared" si="178"/>
        <v>46255</v>
      </c>
      <c r="N2512" s="269">
        <f t="shared" si="176"/>
        <v>3</v>
      </c>
      <c r="O2512" s="239">
        <v>1008</v>
      </c>
      <c r="P2512" s="27">
        <v>1008</v>
      </c>
      <c r="Q2512" s="27">
        <v>28</v>
      </c>
      <c r="R2512" s="27">
        <v>26</v>
      </c>
      <c r="S2512" s="27" t="s">
        <v>6344</v>
      </c>
      <c r="T2512" s="27"/>
      <c r="U2512" s="27">
        <v>1719</v>
      </c>
      <c r="V2512" s="27" t="s">
        <v>1626</v>
      </c>
      <c r="W2512" s="27" t="s">
        <v>1736</v>
      </c>
      <c r="X2512" s="128" t="s">
        <v>1413</v>
      </c>
      <c r="Y2512" s="73" t="str">
        <f>VLOOKUP(X2512,Choferes!$B$3:C460,2,FALSE)</f>
        <v>+59899406679</v>
      </c>
      <c r="Z2512" s="73" t="s">
        <v>6345</v>
      </c>
    </row>
    <row r="2513" spans="1:26" hidden="1" x14ac:dyDescent="0.25">
      <c r="A2513" s="222">
        <v>34</v>
      </c>
      <c r="B2513" s="71" t="s">
        <v>29</v>
      </c>
      <c r="C2513" s="39" t="s">
        <v>6321</v>
      </c>
      <c r="D2513" s="106" t="s">
        <v>5780</v>
      </c>
      <c r="E2513" s="47">
        <v>46253</v>
      </c>
      <c r="F2513" s="31" t="str">
        <f>VLOOKUP($C2513,Carpetas!$C$5:$M$2666,2,FALSE)</f>
        <v>BRB067/26</v>
      </c>
      <c r="G2513" s="23" t="str">
        <f>VLOOKUP($C2513,Carpetas!$C$5:$M$2666,10,FALSE)</f>
        <v>156,62,09</v>
      </c>
      <c r="H2513" s="27" t="str">
        <f>VLOOKUP($C2513,Carpetas!$C$5:$M$2666,6,FALSE)</f>
        <v>Amaro</v>
      </c>
      <c r="I2513" s="27" t="str">
        <f>VLOOKUP($C2513,Carpetas!$C$5:$M$2666,3,FALSE)</f>
        <v>Etimex</v>
      </c>
      <c r="J2513" s="243">
        <v>46254</v>
      </c>
      <c r="K2513" s="261" t="str">
        <f>VLOOKUP($C2513,Carpetas!$C$5:$M$2666,5,FALSE)</f>
        <v>Rio Branco</v>
      </c>
      <c r="L2513" s="263" t="s">
        <v>6116</v>
      </c>
      <c r="M2513" s="268">
        <f t="shared" si="178"/>
        <v>46255</v>
      </c>
      <c r="N2513" s="269">
        <f t="shared" si="176"/>
        <v>2</v>
      </c>
      <c r="O2513" s="239">
        <v>1008</v>
      </c>
      <c r="P2513" s="27">
        <v>1008</v>
      </c>
      <c r="Q2513" s="27">
        <v>28</v>
      </c>
      <c r="R2513" s="27">
        <v>26</v>
      </c>
      <c r="S2513" s="27" t="s">
        <v>6346</v>
      </c>
      <c r="T2513" s="27"/>
      <c r="U2513" s="27">
        <v>29165</v>
      </c>
      <c r="V2513" s="27" t="s">
        <v>4730</v>
      </c>
      <c r="W2513" s="27" t="s">
        <v>6347</v>
      </c>
      <c r="X2513" s="128" t="s">
        <v>4731</v>
      </c>
      <c r="Y2513" s="73" t="str">
        <f>VLOOKUP(X2513,Choferes!$B$3:C461,2,FALSE)</f>
        <v>+5553981336340</v>
      </c>
      <c r="Z2513" s="73" t="s">
        <v>6348</v>
      </c>
    </row>
    <row r="2514" spans="1:26" hidden="1" x14ac:dyDescent="0.25">
      <c r="A2514" s="222">
        <v>34</v>
      </c>
      <c r="B2514" s="71" t="s">
        <v>29</v>
      </c>
      <c r="C2514" s="289" t="s">
        <v>6349</v>
      </c>
      <c r="D2514" s="106" t="s">
        <v>2202</v>
      </c>
      <c r="E2514" s="47">
        <v>46252</v>
      </c>
      <c r="F2514" s="31" t="str">
        <f>VLOOKUP($C2514,Carpetas!$C$5:$M$2666,2,FALSE)</f>
        <v>BRB070/26</v>
      </c>
      <c r="G2514" s="23">
        <f>VLOOKUP($C2514,Carpetas!$C$5:$M$2666,10,FALSE)</f>
        <v>1566590</v>
      </c>
      <c r="H2514" s="27" t="str">
        <f>VLOOKUP($C2514,Carpetas!$C$5:$M$2666,6,FALSE)</f>
        <v>AXT</v>
      </c>
      <c r="I2514" s="27" t="str">
        <f>VLOOKUP($C2514,Carpetas!$C$5:$M$2666,3,FALSE)</f>
        <v>A&amp;A</v>
      </c>
      <c r="J2514" s="243">
        <v>46255</v>
      </c>
      <c r="K2514" s="261" t="str">
        <f>VLOOKUP($C2514,Carpetas!$C$5:$M$2666,5,FALSE)</f>
        <v>Chuy</v>
      </c>
      <c r="L2514" s="263" t="s">
        <v>6116</v>
      </c>
      <c r="M2514" s="268">
        <f t="shared" si="178"/>
        <v>46256</v>
      </c>
      <c r="N2514" s="269">
        <f t="shared" ref="N2514:N2577" si="180">IF(E2514&lt;&gt;"",M2514-E2514,"-")</f>
        <v>4</v>
      </c>
      <c r="O2514" s="239">
        <v>936</v>
      </c>
      <c r="P2514" s="27">
        <v>936</v>
      </c>
      <c r="Q2514" s="27">
        <v>26</v>
      </c>
      <c r="R2514" s="27">
        <v>25</v>
      </c>
      <c r="S2514" s="27" t="s">
        <v>6350</v>
      </c>
      <c r="T2514" s="27"/>
      <c r="U2514" s="27"/>
      <c r="V2514" s="27"/>
      <c r="W2514" s="27"/>
      <c r="X2514" s="128"/>
      <c r="Y2514" s="73" t="e">
        <f>VLOOKUP(X2514,Choferes!$B$3:C458,2,FALSE)</f>
        <v>#N/A</v>
      </c>
      <c r="Z2514" s="73" t="s">
        <v>6351</v>
      </c>
    </row>
    <row r="2515" spans="1:26" ht="30" hidden="1" x14ac:dyDescent="0.25">
      <c r="A2515" s="222">
        <v>34</v>
      </c>
      <c r="B2515" s="71" t="s">
        <v>29</v>
      </c>
      <c r="C2515" s="39" t="s">
        <v>6352</v>
      </c>
      <c r="D2515" s="106" t="s">
        <v>38</v>
      </c>
      <c r="E2515" s="47">
        <v>46254</v>
      </c>
      <c r="F2515" s="31" t="str">
        <f>VLOOKUP($C2515,Carpetas!$C$5:$M$2666,2,FALSE)</f>
        <v>BRE061-26</v>
      </c>
      <c r="G2515" s="23" t="str">
        <f>VLOOKUP($C2515,Carpetas!$C$5:$M$2666,10,FALSE)</f>
        <v>1566897/1566898</v>
      </c>
      <c r="H2515" s="27" t="str">
        <f>VLOOKUP($C2515,Carpetas!$C$5:$M$2666,6,FALSE)</f>
        <v xml:space="preserve">Silvio </v>
      </c>
      <c r="I2515" s="27" t="str">
        <f>VLOOKUP($C2515,Carpetas!$C$5:$M$2666,3,FALSE)</f>
        <v>Etimex</v>
      </c>
      <c r="J2515" s="243">
        <f t="shared" ref="J2515:J2522" si="181">E2515+2</f>
        <v>46256</v>
      </c>
      <c r="K2515" s="261" t="str">
        <f>VLOOKUP($C2515,Carpetas!$C$5:$M$2666,5,FALSE)</f>
        <v>Rio Branco</v>
      </c>
      <c r="L2515" s="263" t="s">
        <v>6353</v>
      </c>
      <c r="M2515" s="268">
        <v>46260</v>
      </c>
      <c r="N2515" s="269">
        <f t="shared" si="180"/>
        <v>6</v>
      </c>
      <c r="O2515" s="239">
        <v>1008</v>
      </c>
      <c r="P2515" s="27">
        <v>1008</v>
      </c>
      <c r="Q2515" s="27">
        <v>28</v>
      </c>
      <c r="R2515" s="27">
        <v>26</v>
      </c>
      <c r="S2515" s="27" t="s">
        <v>6354</v>
      </c>
      <c r="T2515" s="27"/>
      <c r="U2515" s="27">
        <v>7927</v>
      </c>
      <c r="V2515" s="27" t="s">
        <v>2994</v>
      </c>
      <c r="W2515" s="27" t="s">
        <v>2995</v>
      </c>
      <c r="X2515" s="128"/>
      <c r="Y2515" s="73" t="e">
        <f>VLOOKUP(X2515,Choferes!$B$3:C467,2,FALSE)</f>
        <v>#N/A</v>
      </c>
      <c r="Z2515" s="73" t="s">
        <v>6355</v>
      </c>
    </row>
    <row r="2516" spans="1:26" hidden="1" x14ac:dyDescent="0.25">
      <c r="A2516" s="222">
        <v>34</v>
      </c>
      <c r="B2516" s="71" t="s">
        <v>29</v>
      </c>
      <c r="C2516" s="39" t="s">
        <v>6327</v>
      </c>
      <c r="D2516" s="106" t="s">
        <v>2474</v>
      </c>
      <c r="E2516" s="47">
        <v>46255</v>
      </c>
      <c r="F2516" s="31" t="str">
        <f>VLOOKUP($C2516,Carpetas!$C$5:$M$2666,2,FALSE)</f>
        <v>BRB069/26</v>
      </c>
      <c r="G2516" s="23">
        <f>VLOOKUP($C2516,Carpetas!$C$5:$M$2666,10,FALSE)</f>
        <v>1566326</v>
      </c>
      <c r="H2516" s="27" t="str">
        <f>VLOOKUP($C2516,Carpetas!$C$5:$M$2666,6,FALSE)</f>
        <v>FG</v>
      </c>
      <c r="I2516" s="27" t="str">
        <f>VLOOKUP($C2516,Carpetas!$C$5:$M$2666,3,FALSE)</f>
        <v>Etimex</v>
      </c>
      <c r="J2516" s="243">
        <f t="shared" si="181"/>
        <v>46257</v>
      </c>
      <c r="K2516" s="261" t="str">
        <f>VLOOKUP($C2516,Carpetas!$C$5:$M$2666,5,FALSE)</f>
        <v>Rio Branco</v>
      </c>
      <c r="L2516" s="263" t="s">
        <v>6116</v>
      </c>
      <c r="M2516" s="268">
        <v>46260</v>
      </c>
      <c r="N2516" s="269">
        <f t="shared" si="180"/>
        <v>5</v>
      </c>
      <c r="O2516" s="239">
        <v>1008</v>
      </c>
      <c r="P2516" s="27">
        <v>1008</v>
      </c>
      <c r="Q2516" s="27">
        <v>28</v>
      </c>
      <c r="R2516" s="27">
        <v>26</v>
      </c>
      <c r="S2516" s="27" t="s">
        <v>4111</v>
      </c>
      <c r="T2516" s="27"/>
      <c r="U2516" s="27">
        <v>1727</v>
      </c>
      <c r="V2516" s="27" t="s">
        <v>1636</v>
      </c>
      <c r="W2516" s="27" t="s">
        <v>3818</v>
      </c>
      <c r="X2516" s="128" t="s">
        <v>1623</v>
      </c>
      <c r="Y2516" s="73" t="str">
        <f>VLOOKUP(X2516,Choferes!$B$3:C462,2,FALSE)</f>
        <v>+5553991254560</v>
      </c>
      <c r="Z2516" s="73" t="s">
        <v>6356</v>
      </c>
    </row>
    <row r="2517" spans="1:26" hidden="1" x14ac:dyDescent="0.25">
      <c r="A2517" s="222">
        <v>34</v>
      </c>
      <c r="B2517" s="71" t="s">
        <v>298</v>
      </c>
      <c r="C2517" s="39" t="s">
        <v>299</v>
      </c>
      <c r="D2517" s="106" t="s">
        <v>2202</v>
      </c>
      <c r="E2517" s="47">
        <v>46255</v>
      </c>
      <c r="F2517" s="31" t="str">
        <f>VLOOKUP($C2517,Carpetas!$C$5:$M$2666,2,FALSE)</f>
        <v>BRB</v>
      </c>
      <c r="G2517" s="23" t="str">
        <f>VLOOKUP($C2517,Carpetas!$C$5:$M$2666,10,FALSE)</f>
        <v>xx</v>
      </c>
      <c r="H2517" s="27" t="str">
        <f>VLOOKUP($C2517,Carpetas!$C$5:$M$2666,6,FALSE)</f>
        <v>xx</v>
      </c>
      <c r="I2517" s="27" t="str">
        <f>VLOOKUP($C2517,Carpetas!$C$5:$M$2666,3,FALSE)</f>
        <v>xx</v>
      </c>
      <c r="J2517" s="243">
        <f t="shared" si="181"/>
        <v>46257</v>
      </c>
      <c r="K2517" s="261" t="str">
        <f>VLOOKUP($C2517,Carpetas!$C$5:$M$2666,5,FALSE)</f>
        <v>xx</v>
      </c>
      <c r="L2517" s="263" t="s">
        <v>6116</v>
      </c>
      <c r="M2517" s="268">
        <f>J2517+1</f>
        <v>46258</v>
      </c>
      <c r="N2517" s="269">
        <f t="shared" si="180"/>
        <v>3</v>
      </c>
      <c r="O2517" s="239">
        <v>936</v>
      </c>
      <c r="P2517" s="27"/>
      <c r="Q2517" s="27"/>
      <c r="R2517" s="27"/>
      <c r="S2517" s="27"/>
      <c r="T2517" s="27"/>
      <c r="U2517" s="27"/>
      <c r="V2517" s="27"/>
      <c r="W2517" s="27"/>
      <c r="X2517" s="128"/>
      <c r="Y2517" s="73" t="e">
        <f>VLOOKUP(X2517,Choferes!$B$3:C464,2,FALSE)</f>
        <v>#N/A</v>
      </c>
      <c r="Z2517" s="73"/>
    </row>
    <row r="2518" spans="1:26" hidden="1" x14ac:dyDescent="0.25">
      <c r="A2518" s="222">
        <v>34</v>
      </c>
      <c r="B2518" s="71" t="s">
        <v>29</v>
      </c>
      <c r="C2518" s="39" t="s">
        <v>6327</v>
      </c>
      <c r="D2518" s="106" t="s">
        <v>110</v>
      </c>
      <c r="E2518" s="47">
        <v>46255</v>
      </c>
      <c r="F2518" s="31" t="str">
        <f>VLOOKUP($C2518,Carpetas!$C$5:$M$2666,2,FALSE)</f>
        <v>BRB069/26</v>
      </c>
      <c r="G2518" s="23">
        <f>VLOOKUP($C2518,Carpetas!$C$5:$M$2666,10,FALSE)</f>
        <v>1566326</v>
      </c>
      <c r="H2518" s="27" t="str">
        <f>VLOOKUP($C2518,Carpetas!$C$5:$M$2666,6,FALSE)</f>
        <v>FG</v>
      </c>
      <c r="I2518" s="27" t="str">
        <f>VLOOKUP($C2518,Carpetas!$C$5:$M$2666,3,FALSE)</f>
        <v>Etimex</v>
      </c>
      <c r="J2518" s="243">
        <f t="shared" si="181"/>
        <v>46257</v>
      </c>
      <c r="K2518" s="261" t="str">
        <f>VLOOKUP($C2518,Carpetas!$C$5:$M$2666,5,FALSE)</f>
        <v>Rio Branco</v>
      </c>
      <c r="L2518" s="263" t="s">
        <v>6116</v>
      </c>
      <c r="M2518" s="268">
        <v>46260</v>
      </c>
      <c r="N2518" s="269">
        <f t="shared" si="180"/>
        <v>5</v>
      </c>
      <c r="O2518" s="239">
        <v>1008</v>
      </c>
      <c r="P2518" s="27">
        <v>1008</v>
      </c>
      <c r="Q2518" s="27">
        <v>28</v>
      </c>
      <c r="R2518" s="27">
        <v>26</v>
      </c>
      <c r="S2518" s="27" t="s">
        <v>2603</v>
      </c>
      <c r="T2518" s="27"/>
      <c r="U2518" s="27">
        <v>1726</v>
      </c>
      <c r="V2518" s="27" t="s">
        <v>3669</v>
      </c>
      <c r="W2518" s="27" t="s">
        <v>912</v>
      </c>
      <c r="X2518" s="128" t="s">
        <v>1397</v>
      </c>
      <c r="Y2518" s="73" t="str">
        <f>VLOOKUP(X2518,Choferes!$B$3:C463,2,FALSE)</f>
        <v>+5551996322594</v>
      </c>
      <c r="Z2518" s="73" t="s">
        <v>6356</v>
      </c>
    </row>
    <row r="2519" spans="1:26" hidden="1" x14ac:dyDescent="0.25">
      <c r="A2519" s="222">
        <v>34</v>
      </c>
      <c r="B2519" s="71" t="s">
        <v>298</v>
      </c>
      <c r="C2519" s="39" t="s">
        <v>299</v>
      </c>
      <c r="D2519" s="106" t="s">
        <v>249</v>
      </c>
      <c r="E2519" s="47">
        <v>46255</v>
      </c>
      <c r="F2519" s="31" t="str">
        <f>VLOOKUP($C2519,Carpetas!$C$5:$M$2666,2,FALSE)</f>
        <v>BRB</v>
      </c>
      <c r="G2519" s="23" t="str">
        <f>VLOOKUP($C2519,Carpetas!$C$5:$M$2666,10,FALSE)</f>
        <v>xx</v>
      </c>
      <c r="H2519" s="27" t="str">
        <f>VLOOKUP($C2519,Carpetas!$C$5:$M$2666,6,FALSE)</f>
        <v>xx</v>
      </c>
      <c r="I2519" s="27" t="str">
        <f>VLOOKUP($C2519,Carpetas!$C$5:$M$2666,3,FALSE)</f>
        <v>xx</v>
      </c>
      <c r="J2519" s="243">
        <f t="shared" si="181"/>
        <v>46257</v>
      </c>
      <c r="K2519" s="261" t="str">
        <f>VLOOKUP($C2519,Carpetas!$C$5:$M$2666,5,FALSE)</f>
        <v>xx</v>
      </c>
      <c r="L2519" s="263" t="s">
        <v>6116</v>
      </c>
      <c r="M2519" s="268">
        <f>J2519+1</f>
        <v>46258</v>
      </c>
      <c r="N2519" s="269">
        <f t="shared" si="180"/>
        <v>3</v>
      </c>
      <c r="O2519" s="239">
        <v>1008</v>
      </c>
      <c r="P2519" s="27"/>
      <c r="Q2519" s="27"/>
      <c r="R2519" s="27"/>
      <c r="S2519" s="27"/>
      <c r="T2519" s="27"/>
      <c r="U2519" s="27"/>
      <c r="V2519" s="27"/>
      <c r="W2519" s="27"/>
      <c r="X2519" s="128"/>
      <c r="Y2519" s="73" t="e">
        <f>VLOOKUP(X2519,Choferes!$B$3:C466,2,FALSE)</f>
        <v>#N/A</v>
      </c>
      <c r="Z2519" s="73"/>
    </row>
    <row r="2520" spans="1:26" hidden="1" x14ac:dyDescent="0.25">
      <c r="A2520" s="222">
        <v>34</v>
      </c>
      <c r="B2520" s="71" t="s">
        <v>298</v>
      </c>
      <c r="C2520" s="39" t="s">
        <v>299</v>
      </c>
      <c r="D2520" s="106" t="s">
        <v>6075</v>
      </c>
      <c r="E2520" s="47">
        <v>46255</v>
      </c>
      <c r="F2520" s="31" t="str">
        <f>VLOOKUP($C2520,Carpetas!$C$5:$M$2666,2,FALSE)</f>
        <v>BRB</v>
      </c>
      <c r="G2520" s="23" t="str">
        <f>VLOOKUP($C2520,Carpetas!$C$5:$M$2666,10,FALSE)</f>
        <v>xx</v>
      </c>
      <c r="H2520" s="27" t="str">
        <f>VLOOKUP($C2520,Carpetas!$C$5:$M$2666,6,FALSE)</f>
        <v>xx</v>
      </c>
      <c r="I2520" s="27" t="str">
        <f>VLOOKUP($C2520,Carpetas!$C$5:$M$2666,3,FALSE)</f>
        <v>xx</v>
      </c>
      <c r="J2520" s="243">
        <f t="shared" si="181"/>
        <v>46257</v>
      </c>
      <c r="K2520" s="261" t="str">
        <f>VLOOKUP($C2520,Carpetas!$C$5:$M$2666,5,FALSE)</f>
        <v>xx</v>
      </c>
      <c r="L2520" s="263" t="s">
        <v>6116</v>
      </c>
      <c r="M2520" s="268">
        <f>J2520+1</f>
        <v>46258</v>
      </c>
      <c r="N2520" s="269">
        <f t="shared" si="180"/>
        <v>3</v>
      </c>
      <c r="O2520" s="239">
        <v>1008</v>
      </c>
      <c r="P2520" s="27"/>
      <c r="Q2520" s="27"/>
      <c r="R2520" s="27"/>
      <c r="S2520" s="27"/>
      <c r="T2520" s="27"/>
      <c r="U2520" s="27"/>
      <c r="V2520" s="27"/>
      <c r="W2520" s="27"/>
      <c r="X2520" s="128"/>
      <c r="Y2520" s="73" t="e">
        <f>VLOOKUP(X2520,Choferes!$B$3:C466,2,FALSE)</f>
        <v>#N/A</v>
      </c>
      <c r="Z2520" s="73"/>
    </row>
    <row r="2521" spans="1:26" hidden="1" x14ac:dyDescent="0.25">
      <c r="A2521" s="222">
        <v>34</v>
      </c>
      <c r="B2521" s="71" t="s">
        <v>298</v>
      </c>
      <c r="C2521" s="39" t="s">
        <v>299</v>
      </c>
      <c r="D2521" s="106" t="s">
        <v>5499</v>
      </c>
      <c r="E2521" s="47">
        <v>46255</v>
      </c>
      <c r="F2521" s="31" t="str">
        <f>VLOOKUP($C2521,Carpetas!$C$5:$M$2666,2,FALSE)</f>
        <v>BRB</v>
      </c>
      <c r="G2521" s="23" t="str">
        <f>VLOOKUP($C2521,Carpetas!$C$5:$M$2666,10,FALSE)</f>
        <v>xx</v>
      </c>
      <c r="H2521" s="27" t="str">
        <f>VLOOKUP($C2521,Carpetas!$C$5:$M$2666,6,FALSE)</f>
        <v>xx</v>
      </c>
      <c r="I2521" s="27" t="str">
        <f>VLOOKUP($C2521,Carpetas!$C$5:$M$2666,3,FALSE)</f>
        <v>xx</v>
      </c>
      <c r="J2521" s="243">
        <f t="shared" si="181"/>
        <v>46257</v>
      </c>
      <c r="K2521" s="261" t="str">
        <f>VLOOKUP($C2521,Carpetas!$C$5:$M$2666,5,FALSE)</f>
        <v>xx</v>
      </c>
      <c r="L2521" s="263" t="s">
        <v>6116</v>
      </c>
      <c r="M2521" s="268">
        <f>J2521+1</f>
        <v>46258</v>
      </c>
      <c r="N2521" s="269">
        <f t="shared" si="180"/>
        <v>3</v>
      </c>
      <c r="O2521" s="239">
        <v>1008</v>
      </c>
      <c r="P2521" s="27"/>
      <c r="Q2521" s="27"/>
      <c r="R2521" s="27"/>
      <c r="S2521" s="27"/>
      <c r="T2521" s="27"/>
      <c r="U2521" s="27"/>
      <c r="V2521" s="27"/>
      <c r="W2521" s="27"/>
      <c r="X2521" s="128"/>
      <c r="Y2521" s="73" t="e">
        <f>VLOOKUP(X2521,Choferes!$B$3:C465,2,FALSE)</f>
        <v>#N/A</v>
      </c>
      <c r="Z2521" s="73"/>
    </row>
    <row r="2522" spans="1:26" hidden="1" x14ac:dyDescent="0.25">
      <c r="A2522" s="222">
        <v>34</v>
      </c>
      <c r="B2522" s="71" t="s">
        <v>29</v>
      </c>
      <c r="C2522" s="39" t="s">
        <v>6325</v>
      </c>
      <c r="D2522" s="106" t="s">
        <v>5507</v>
      </c>
      <c r="E2522" s="47">
        <v>46255</v>
      </c>
      <c r="F2522" s="31" t="str">
        <f>VLOOKUP($C2522,Carpetas!$C$5:$M$2666,2,FALSE)</f>
        <v>BRB068/26</v>
      </c>
      <c r="G2522" s="23">
        <f>VLOOKUP($C2522,Carpetas!$C$5:$M$2666,10,FALSE)</f>
        <v>1566210</v>
      </c>
      <c r="H2522" s="27" t="str">
        <f>VLOOKUP($C2522,Carpetas!$C$5:$M$2666,6,FALSE)</f>
        <v>Chabat</v>
      </c>
      <c r="I2522" s="27" t="str">
        <f>VLOOKUP($C2522,Carpetas!$C$5:$M$2666,3,FALSE)</f>
        <v>Etimex</v>
      </c>
      <c r="J2522" s="243">
        <f t="shared" si="181"/>
        <v>46257</v>
      </c>
      <c r="K2522" s="261" t="str">
        <f>VLOOKUP($C2522,Carpetas!$C$5:$M$2666,5,FALSE)</f>
        <v>Rio Branco</v>
      </c>
      <c r="L2522" s="263" t="s">
        <v>6116</v>
      </c>
      <c r="M2522" s="268">
        <v>46260</v>
      </c>
      <c r="N2522" s="269">
        <f t="shared" si="180"/>
        <v>5</v>
      </c>
      <c r="O2522" s="239">
        <v>1008</v>
      </c>
      <c r="P2522" s="27">
        <v>1008</v>
      </c>
      <c r="Q2522" s="27">
        <v>28</v>
      </c>
      <c r="R2522" s="27">
        <v>26</v>
      </c>
      <c r="S2522" s="27" t="s">
        <v>6357</v>
      </c>
      <c r="T2522" s="27"/>
      <c r="U2522" s="27">
        <v>2601</v>
      </c>
      <c r="V2522" s="27" t="s">
        <v>4339</v>
      </c>
      <c r="W2522" s="27" t="s">
        <v>6358</v>
      </c>
      <c r="X2522" s="128"/>
      <c r="Y2522" s="73" t="e">
        <f>VLOOKUP(X2522,Choferes!$B$3:C465,2,FALSE)</f>
        <v>#N/A</v>
      </c>
      <c r="Z2522" s="73" t="s">
        <v>6359</v>
      </c>
    </row>
    <row r="2523" spans="1:26" hidden="1" x14ac:dyDescent="0.25">
      <c r="A2523" s="222">
        <v>34</v>
      </c>
      <c r="B2523" s="71" t="s">
        <v>29</v>
      </c>
      <c r="C2523" s="39" t="s">
        <v>6360</v>
      </c>
      <c r="D2523" s="106" t="s">
        <v>38</v>
      </c>
      <c r="E2523" s="47">
        <v>46255</v>
      </c>
      <c r="F2523" s="31" t="str">
        <f>VLOOKUP($C2523,Carpetas!$C$5:$M$2666,2,FALSE)</f>
        <v>BRE060-26</v>
      </c>
      <c r="G2523" s="23">
        <f>VLOOKUP($C2523,Carpetas!$C$5:$M$2666,10,FALSE)</f>
        <v>0</v>
      </c>
      <c r="H2523" s="27" t="str">
        <f>VLOOKUP($C2523,Carpetas!$C$5:$M$2666,6,FALSE)</f>
        <v xml:space="preserve">Silvio </v>
      </c>
      <c r="I2523" s="27" t="str">
        <f>VLOOKUP($C2523,Carpetas!$C$5:$M$2666,3,FALSE)</f>
        <v>Jaguacy</v>
      </c>
      <c r="J2523" s="243">
        <v>46258</v>
      </c>
      <c r="K2523" s="261" t="str">
        <f>VLOOKUP($C2523,Carpetas!$C$5:$M$2666,5,FALSE)</f>
        <v>Chuy</v>
      </c>
      <c r="L2523" s="263" t="s">
        <v>5813</v>
      </c>
      <c r="M2523" s="268">
        <v>46261</v>
      </c>
      <c r="N2523" s="269">
        <f t="shared" si="180"/>
        <v>6</v>
      </c>
      <c r="O2523" s="239">
        <v>2304</v>
      </c>
      <c r="P2523" s="27"/>
      <c r="Q2523" s="27"/>
      <c r="R2523" s="27"/>
      <c r="S2523" s="27"/>
      <c r="T2523" s="27"/>
      <c r="U2523" s="27"/>
      <c r="V2523" s="27"/>
      <c r="W2523" s="27"/>
      <c r="X2523" s="128"/>
      <c r="Y2523" s="73" t="e">
        <f>VLOOKUP(X2523,Choferes!$B$3:C465,2,FALSE)</f>
        <v>#N/A</v>
      </c>
      <c r="Z2523" s="73" t="s">
        <v>6361</v>
      </c>
    </row>
    <row r="2524" spans="1:26" hidden="1" x14ac:dyDescent="0.25">
      <c r="A2524" s="222">
        <v>35</v>
      </c>
      <c r="B2524" s="71" t="s">
        <v>29</v>
      </c>
      <c r="C2524" s="39" t="s">
        <v>6362</v>
      </c>
      <c r="D2524" s="106" t="s">
        <v>6305</v>
      </c>
      <c r="E2524" s="47">
        <v>46258</v>
      </c>
      <c r="F2524" s="31" t="str">
        <f>VLOOKUP($C2524,Carpetas!$C$5:$M$2666,2,FALSE)</f>
        <v>PYB058/26</v>
      </c>
      <c r="G2524" s="23">
        <f>VLOOKUP($C2524,Carpetas!$C$5:$M$2666,10,FALSE)</f>
        <v>1567341</v>
      </c>
      <c r="H2524" s="27" t="str">
        <f>VLOOKUP($C2524,Carpetas!$C$5:$M$2666,6,FALSE)</f>
        <v xml:space="preserve">MARSO EMPRENDIMIENTOS S.R.L. </v>
      </c>
      <c r="I2524" s="27" t="str">
        <f>VLOOKUP($C2524,Carpetas!$C$5:$M$2666,3,FALSE)</f>
        <v>Alvaro Saldivar</v>
      </c>
      <c r="J2524" s="243">
        <v>46260</v>
      </c>
      <c r="K2524" s="261" t="str">
        <f>VLOOKUP($C2524,Carpetas!$C$5:$M$2666,5,FALSE)</f>
        <v>Salto</v>
      </c>
      <c r="L2524" s="263" t="s">
        <v>6363</v>
      </c>
      <c r="M2524" s="268">
        <f t="shared" ref="M2524:M2538" si="182">J2524+1</f>
        <v>46261</v>
      </c>
      <c r="N2524" s="269">
        <f t="shared" si="180"/>
        <v>3</v>
      </c>
      <c r="O2524" s="239">
        <v>980</v>
      </c>
      <c r="P2524" s="27">
        <v>985</v>
      </c>
      <c r="Q2524" s="27">
        <v>28</v>
      </c>
      <c r="R2524" s="27">
        <v>27</v>
      </c>
      <c r="S2524" s="27" t="s">
        <v>6364</v>
      </c>
      <c r="T2524" s="27"/>
      <c r="U2524" s="27"/>
      <c r="V2524" s="27"/>
      <c r="W2524" s="27"/>
      <c r="X2524" s="128"/>
      <c r="Y2524" s="73" t="e">
        <f>VLOOKUP(X2524,Choferes!$B$3:C454,2,FALSE)</f>
        <v>#N/A</v>
      </c>
      <c r="Z2524" s="73" t="s">
        <v>6365</v>
      </c>
    </row>
    <row r="2525" spans="1:26" hidden="1" x14ac:dyDescent="0.25">
      <c r="A2525" s="222">
        <v>35</v>
      </c>
      <c r="B2525" s="71" t="s">
        <v>29</v>
      </c>
      <c r="C2525" s="39" t="s">
        <v>6366</v>
      </c>
      <c r="D2525" s="106" t="s">
        <v>183</v>
      </c>
      <c r="E2525" s="47">
        <v>46258</v>
      </c>
      <c r="F2525" s="31" t="str">
        <f>VLOOKUP($C2525,Carpetas!$C$5:$M$2666,2,FALSE)</f>
        <v>PYB059-26</v>
      </c>
      <c r="G2525" s="23">
        <f>VLOOKUP($C2525,Carpetas!$C$5:$M$2666,10,FALSE)</f>
        <v>1567381</v>
      </c>
      <c r="H2525" s="27" t="str">
        <f>VLOOKUP($C2525,Carpetas!$C$5:$M$2666,6,FALSE)</f>
        <v>Mega Logistica</v>
      </c>
      <c r="I2525" s="27" t="str">
        <f>VLOOKUP($C2525,Carpetas!$C$5:$M$2666,3,FALSE)</f>
        <v>Hugo Franco</v>
      </c>
      <c r="J2525" s="243">
        <v>46260</v>
      </c>
      <c r="K2525" s="261" t="str">
        <f>VLOOKUP($C2525,Carpetas!$C$5:$M$2666,5,FALSE)</f>
        <v>Salto</v>
      </c>
      <c r="L2525" s="263" t="s">
        <v>6363</v>
      </c>
      <c r="M2525" s="268">
        <f t="shared" si="182"/>
        <v>46261</v>
      </c>
      <c r="N2525" s="269">
        <f t="shared" si="180"/>
        <v>3</v>
      </c>
      <c r="O2525" s="239">
        <v>980</v>
      </c>
      <c r="P2525" s="27">
        <v>980</v>
      </c>
      <c r="Q2525" s="27">
        <v>28</v>
      </c>
      <c r="R2525" s="27">
        <v>27</v>
      </c>
      <c r="S2525" s="27" t="s">
        <v>6299</v>
      </c>
      <c r="T2525" s="27"/>
      <c r="U2525" s="27"/>
      <c r="V2525" s="27"/>
      <c r="W2525" s="27"/>
      <c r="X2525" s="128"/>
      <c r="Y2525" s="73" t="e">
        <f>VLOOKUP(X2525,Choferes!$B$3:C453,2,FALSE)</f>
        <v>#N/A</v>
      </c>
      <c r="Z2525" s="73" t="s">
        <v>6367</v>
      </c>
    </row>
    <row r="2526" spans="1:26" hidden="1" x14ac:dyDescent="0.25">
      <c r="A2526" s="222">
        <v>35</v>
      </c>
      <c r="B2526" s="71" t="s">
        <v>29</v>
      </c>
      <c r="C2526" s="39" t="s">
        <v>6313</v>
      </c>
      <c r="D2526" s="106" t="s">
        <v>102</v>
      </c>
      <c r="E2526" s="47">
        <v>46258</v>
      </c>
      <c r="F2526" s="31" t="str">
        <f>VLOOKUP($C2526,Carpetas!$C$5:$M$2666,2,FALSE)</f>
        <v>PYB054-26</v>
      </c>
      <c r="G2526" s="23">
        <f>VLOOKUP($C2526,Carpetas!$C$5:$M$2666,10,FALSE)</f>
        <v>1565613</v>
      </c>
      <c r="H2526" s="27" t="str">
        <f>VLOOKUP($C2526,Carpetas!$C$5:$M$2666,6,FALSE)</f>
        <v>Mega Logistica</v>
      </c>
      <c r="I2526" s="27" t="str">
        <f>VLOOKUP($C2526,Carpetas!$C$5:$M$2666,3,FALSE)</f>
        <v>Milciades Sosa</v>
      </c>
      <c r="J2526" s="243">
        <v>46260</v>
      </c>
      <c r="K2526" s="261" t="str">
        <f>VLOOKUP($C2526,Carpetas!$C$5:$M$2666,5,FALSE)</f>
        <v>Salto</v>
      </c>
      <c r="L2526" s="263" t="s">
        <v>6363</v>
      </c>
      <c r="M2526" s="268">
        <f t="shared" si="182"/>
        <v>46261</v>
      </c>
      <c r="N2526" s="269">
        <f t="shared" si="180"/>
        <v>3</v>
      </c>
      <c r="O2526" s="239">
        <v>980</v>
      </c>
      <c r="P2526" s="27">
        <v>980</v>
      </c>
      <c r="Q2526" s="27">
        <v>28</v>
      </c>
      <c r="R2526" s="27">
        <v>26</v>
      </c>
      <c r="S2526" s="27" t="s">
        <v>441</v>
      </c>
      <c r="T2526" s="27"/>
      <c r="U2526" s="27"/>
      <c r="V2526" s="27"/>
      <c r="W2526" s="27"/>
      <c r="X2526" s="128"/>
      <c r="Y2526" s="73" t="e">
        <f>VLOOKUP(X2526,Choferes!$B$3:C455,2,FALSE)</f>
        <v>#N/A</v>
      </c>
      <c r="Z2526" s="73" t="s">
        <v>6367</v>
      </c>
    </row>
    <row r="2527" spans="1:26" ht="45" hidden="1" x14ac:dyDescent="0.25">
      <c r="A2527" s="222">
        <v>34</v>
      </c>
      <c r="B2527" s="71" t="s">
        <v>29</v>
      </c>
      <c r="C2527" s="39" t="s">
        <v>6368</v>
      </c>
      <c r="D2527" s="106" t="s">
        <v>38</v>
      </c>
      <c r="E2527" s="47">
        <v>46255</v>
      </c>
      <c r="F2527" s="31" t="str">
        <f>VLOOKUP($C2527,Carpetas!$C$5:$M$2666,2,FALSE)</f>
        <v>BRE062-26</v>
      </c>
      <c r="G2527" s="23" t="str">
        <f>VLOOKUP($C2527,Carpetas!$C$5:$M$2666,10,FALSE)</f>
        <v>1566971/1566972/1566974/1566975/1566976</v>
      </c>
      <c r="H2527" s="27" t="str">
        <f>VLOOKUP($C2527,Carpetas!$C$5:$M$2666,6,FALSE)</f>
        <v>VPN</v>
      </c>
      <c r="I2527" s="27" t="str">
        <f>VLOOKUP($C2527,Carpetas!$C$5:$M$2666,3,FALSE)</f>
        <v>Dom Basto</v>
      </c>
      <c r="J2527" s="243">
        <v>46261</v>
      </c>
      <c r="K2527" s="261" t="str">
        <f>VLOOKUP($C2527,Carpetas!$C$5:$M$2666,5,FALSE)</f>
        <v>Chuy</v>
      </c>
      <c r="L2527" s="263" t="s">
        <v>1168</v>
      </c>
      <c r="M2527" s="268">
        <f t="shared" si="182"/>
        <v>46262</v>
      </c>
      <c r="N2527" s="269">
        <f t="shared" si="180"/>
        <v>7</v>
      </c>
      <c r="O2527" s="239">
        <v>1366</v>
      </c>
      <c r="P2527" s="27">
        <v>1365</v>
      </c>
      <c r="Q2527" s="27">
        <v>28</v>
      </c>
      <c r="R2527" s="27">
        <v>26</v>
      </c>
      <c r="S2527" s="27" t="s">
        <v>6369</v>
      </c>
      <c r="T2527" s="27"/>
      <c r="U2527" s="27"/>
      <c r="V2527" s="27"/>
      <c r="W2527" s="27"/>
      <c r="X2527" s="128"/>
      <c r="Y2527" s="73" t="e">
        <f>VLOOKUP(X2527,Choferes!$B$3:C452,2,FALSE)</f>
        <v>#N/A</v>
      </c>
      <c r="Z2527" s="73" t="s">
        <v>6370</v>
      </c>
    </row>
    <row r="2528" spans="1:26" hidden="1" x14ac:dyDescent="0.25">
      <c r="A2528" s="222">
        <v>35</v>
      </c>
      <c r="B2528" s="71" t="s">
        <v>29</v>
      </c>
      <c r="C2528" s="39" t="s">
        <v>6325</v>
      </c>
      <c r="D2528" s="106" t="s">
        <v>110</v>
      </c>
      <c r="E2528" s="47">
        <v>46260</v>
      </c>
      <c r="F2528" s="31" t="str">
        <f>VLOOKUP($C2528,Carpetas!$C$5:$M$2666,2,FALSE)</f>
        <v>BRB068/26</v>
      </c>
      <c r="G2528" s="23">
        <f>VLOOKUP($C2528,Carpetas!$C$5:$M$2666,10,FALSE)</f>
        <v>1566210</v>
      </c>
      <c r="H2528" s="27" t="str">
        <f>VLOOKUP($C2528,Carpetas!$C$5:$M$2666,6,FALSE)</f>
        <v>Chabat</v>
      </c>
      <c r="I2528" s="27" t="str">
        <f>VLOOKUP($C2528,Carpetas!$C$5:$M$2666,3,FALSE)</f>
        <v>Etimex</v>
      </c>
      <c r="J2528" s="243">
        <f>E2528+2</f>
        <v>46262</v>
      </c>
      <c r="K2528" s="261" t="str">
        <f>VLOOKUP($C2528,Carpetas!$C$5:$M$2666,5,FALSE)</f>
        <v>Rio Branco</v>
      </c>
      <c r="L2528" s="263" t="s">
        <v>6363</v>
      </c>
      <c r="M2528" s="268">
        <f t="shared" si="182"/>
        <v>46263</v>
      </c>
      <c r="N2528" s="269">
        <f t="shared" si="180"/>
        <v>3</v>
      </c>
      <c r="O2528" s="239">
        <v>1009</v>
      </c>
      <c r="P2528" s="27">
        <v>1008</v>
      </c>
      <c r="Q2528" s="27">
        <v>28</v>
      </c>
      <c r="R2528" s="27">
        <v>26</v>
      </c>
      <c r="S2528" s="27" t="s">
        <v>2667</v>
      </c>
      <c r="T2528" s="27"/>
      <c r="U2528" s="27">
        <v>2602</v>
      </c>
      <c r="V2528" s="27" t="s">
        <v>4134</v>
      </c>
      <c r="W2528" s="27" t="s">
        <v>4635</v>
      </c>
      <c r="X2528" s="128" t="s">
        <v>6288</v>
      </c>
      <c r="Y2528" s="73" t="str">
        <f>VLOOKUP(X2528,Choferes!$B$3:C456,2,FALSE)</f>
        <v>+55 53 98154-6474</v>
      </c>
      <c r="Z2528" s="73" t="s">
        <v>6371</v>
      </c>
    </row>
    <row r="2529" spans="1:26" hidden="1" x14ac:dyDescent="0.25">
      <c r="A2529" s="222">
        <v>35</v>
      </c>
      <c r="B2529" s="71" t="s">
        <v>29</v>
      </c>
      <c r="C2529" s="39" t="s">
        <v>6327</v>
      </c>
      <c r="D2529" s="106" t="s">
        <v>249</v>
      </c>
      <c r="E2529" s="47">
        <v>46260</v>
      </c>
      <c r="F2529" s="31" t="str">
        <f>VLOOKUP($C2529,Carpetas!$C$5:$M$2666,2,FALSE)</f>
        <v>BRB069/26</v>
      </c>
      <c r="G2529" s="23">
        <f>VLOOKUP($C2529,Carpetas!$C$5:$M$2666,10,FALSE)</f>
        <v>1566326</v>
      </c>
      <c r="H2529" s="27" t="str">
        <f>VLOOKUP($C2529,Carpetas!$C$5:$M$2666,6,FALSE)</f>
        <v>FG</v>
      </c>
      <c r="I2529" s="27" t="str">
        <f>VLOOKUP($C2529,Carpetas!$C$5:$M$2666,3,FALSE)</f>
        <v>Etimex</v>
      </c>
      <c r="J2529" s="243">
        <f>E2529+2</f>
        <v>46262</v>
      </c>
      <c r="K2529" s="261" t="str">
        <f>VLOOKUP($C2529,Carpetas!$C$5:$M$2666,5,FALSE)</f>
        <v>Rio Branco</v>
      </c>
      <c r="L2529" s="263" t="s">
        <v>6363</v>
      </c>
      <c r="M2529" s="268">
        <f t="shared" si="182"/>
        <v>46263</v>
      </c>
      <c r="N2529" s="269">
        <f t="shared" si="180"/>
        <v>3</v>
      </c>
      <c r="O2529" s="239">
        <v>1008</v>
      </c>
      <c r="P2529" s="27">
        <v>1008</v>
      </c>
      <c r="Q2529" s="27">
        <v>28</v>
      </c>
      <c r="R2529" s="27">
        <v>26</v>
      </c>
      <c r="S2529" s="27" t="s">
        <v>3797</v>
      </c>
      <c r="T2529" s="27"/>
      <c r="U2529" s="27">
        <v>1730</v>
      </c>
      <c r="V2529" s="27" t="s">
        <v>911</v>
      </c>
      <c r="W2529" s="27" t="s">
        <v>1622</v>
      </c>
      <c r="X2529" s="128" t="s">
        <v>4064</v>
      </c>
      <c r="Y2529" s="73" t="str">
        <f>VLOOKUP(X2529,Choferes!$B$3:C457,2,FALSE)</f>
        <v>+55 53 9905-0337</v>
      </c>
      <c r="Z2529" s="73" t="s">
        <v>6372</v>
      </c>
    </row>
    <row r="2530" spans="1:26" hidden="1" x14ac:dyDescent="0.25">
      <c r="A2530" s="222">
        <v>35</v>
      </c>
      <c r="B2530" s="71" t="s">
        <v>29</v>
      </c>
      <c r="C2530" s="39" t="s">
        <v>6327</v>
      </c>
      <c r="D2530" s="106" t="s">
        <v>2474</v>
      </c>
      <c r="E2530" s="47">
        <v>46260</v>
      </c>
      <c r="F2530" s="31" t="str">
        <f>VLOOKUP($C2530,Carpetas!$C$5:$M$2666,2,FALSE)</f>
        <v>BRB069/26</v>
      </c>
      <c r="G2530" s="23">
        <f>VLOOKUP($C2530,Carpetas!$C$5:$M$2666,10,FALSE)</f>
        <v>1566326</v>
      </c>
      <c r="H2530" s="27" t="str">
        <f>VLOOKUP($C2530,Carpetas!$C$5:$M$2666,6,FALSE)</f>
        <v>FG</v>
      </c>
      <c r="I2530" s="27" t="str">
        <f>VLOOKUP($C2530,Carpetas!$C$5:$M$2666,3,FALSE)</f>
        <v>Etimex</v>
      </c>
      <c r="J2530" s="243">
        <f>E2530+2</f>
        <v>46262</v>
      </c>
      <c r="K2530" s="261" t="str">
        <f>VLOOKUP($C2530,Carpetas!$C$5:$M$2666,5,FALSE)</f>
        <v>Rio Branco</v>
      </c>
      <c r="L2530" s="263" t="s">
        <v>6363</v>
      </c>
      <c r="M2530" s="268">
        <f t="shared" si="182"/>
        <v>46263</v>
      </c>
      <c r="N2530" s="269">
        <f t="shared" si="180"/>
        <v>3</v>
      </c>
      <c r="O2530" s="239">
        <v>1008</v>
      </c>
      <c r="P2530" s="27">
        <v>1008</v>
      </c>
      <c r="Q2530" s="27">
        <v>28</v>
      </c>
      <c r="R2530" s="27">
        <v>27</v>
      </c>
      <c r="S2530" s="27" t="s">
        <v>4128</v>
      </c>
      <c r="T2530" s="27"/>
      <c r="U2530" s="27">
        <v>1737</v>
      </c>
      <c r="V2530" s="27" t="s">
        <v>1722</v>
      </c>
      <c r="W2530" s="27" t="s">
        <v>1723</v>
      </c>
      <c r="X2530" s="128" t="s">
        <v>5009</v>
      </c>
      <c r="Y2530" s="73" t="str">
        <f>VLOOKUP(X2530,Choferes!$B$3:C465,2,FALSE)</f>
        <v>+598 98 195 659</v>
      </c>
      <c r="Z2530" s="73" t="s">
        <v>6372</v>
      </c>
    </row>
    <row r="2531" spans="1:26" ht="30" hidden="1" x14ac:dyDescent="0.25">
      <c r="A2531" s="222">
        <v>35</v>
      </c>
      <c r="B2531" s="71" t="s">
        <v>29</v>
      </c>
      <c r="C2531" s="39" t="s">
        <v>6373</v>
      </c>
      <c r="D2531" s="106" t="s">
        <v>38</v>
      </c>
      <c r="E2531" s="47">
        <v>46261</v>
      </c>
      <c r="F2531" s="31" t="str">
        <f>VLOOKUP($C2531,Carpetas!$C$5:$M$2666,2,FALSE)</f>
        <v>BRE063/26</v>
      </c>
      <c r="G2531" s="23" t="str">
        <f>VLOOKUP($C2531,Carpetas!$C$5:$M$2666,10,FALSE)</f>
        <v>1567627/1567626</v>
      </c>
      <c r="H2531" s="27" t="str">
        <f>VLOOKUP($C2531,Carpetas!$C$5:$M$2666,6,FALSE)</f>
        <v xml:space="preserve">Silvio </v>
      </c>
      <c r="I2531" s="27" t="str">
        <f>VLOOKUP($C2531,Carpetas!$C$5:$M$2666,3,FALSE)</f>
        <v>Etimex</v>
      </c>
      <c r="J2531" s="243">
        <v>46262</v>
      </c>
      <c r="K2531" s="261" t="str">
        <f>VLOOKUP($C2531,Carpetas!$C$5:$M$2666,5,FALSE)</f>
        <v>Rio Branco</v>
      </c>
      <c r="L2531" s="263" t="s">
        <v>6353</v>
      </c>
      <c r="M2531" s="268">
        <f t="shared" si="182"/>
        <v>46263</v>
      </c>
      <c r="N2531" s="269">
        <f t="shared" si="180"/>
        <v>2</v>
      </c>
      <c r="O2531" s="239">
        <v>936</v>
      </c>
      <c r="P2531" s="27">
        <v>936</v>
      </c>
      <c r="Q2531" s="27">
        <v>26</v>
      </c>
      <c r="R2531" s="27">
        <v>25</v>
      </c>
      <c r="S2531" s="27" t="s">
        <v>6374</v>
      </c>
      <c r="T2531" s="27"/>
      <c r="U2531" s="27">
        <v>7935</v>
      </c>
      <c r="V2531" s="27" t="s">
        <v>64</v>
      </c>
      <c r="W2531" s="27" t="s">
        <v>65</v>
      </c>
      <c r="X2531" s="128"/>
      <c r="Y2531" s="73" t="e">
        <f>VLOOKUP(X2531,Choferes!$B$3:C462,2,FALSE)</f>
        <v>#N/A</v>
      </c>
      <c r="Z2531" s="73" t="s">
        <v>6375</v>
      </c>
    </row>
    <row r="2532" spans="1:26" hidden="1" x14ac:dyDescent="0.25">
      <c r="A2532" s="222">
        <v>35</v>
      </c>
      <c r="B2532" s="71" t="s">
        <v>29</v>
      </c>
      <c r="C2532" s="39" t="s">
        <v>6321</v>
      </c>
      <c r="D2532" s="106" t="s">
        <v>2474</v>
      </c>
      <c r="E2532" s="47">
        <v>46262</v>
      </c>
      <c r="F2532" s="31" t="str">
        <f>VLOOKUP($C2532,Carpetas!$C$5:$M$2666,2,FALSE)</f>
        <v>BRB067/26</v>
      </c>
      <c r="G2532" s="23" t="str">
        <f>VLOOKUP($C2532,Carpetas!$C$5:$M$2666,10,FALSE)</f>
        <v>156,62,09</v>
      </c>
      <c r="H2532" s="27" t="str">
        <f>VLOOKUP($C2532,Carpetas!$C$5:$M$2666,6,FALSE)</f>
        <v>Amaro</v>
      </c>
      <c r="I2532" s="27" t="str">
        <f>VLOOKUP($C2532,Carpetas!$C$5:$M$2666,3,FALSE)</f>
        <v>Etimex</v>
      </c>
      <c r="J2532" s="243">
        <v>46265</v>
      </c>
      <c r="K2532" s="261" t="str">
        <f>VLOOKUP($C2532,Carpetas!$C$5:$M$2666,5,FALSE)</f>
        <v>Rio Branco</v>
      </c>
      <c r="L2532" s="263" t="s">
        <v>6363</v>
      </c>
      <c r="M2532" s="268">
        <f t="shared" si="182"/>
        <v>46266</v>
      </c>
      <c r="N2532" s="269">
        <f t="shared" si="180"/>
        <v>4</v>
      </c>
      <c r="O2532" s="239">
        <v>1008</v>
      </c>
      <c r="P2532" s="27">
        <v>1008</v>
      </c>
      <c r="Q2532" s="27">
        <v>28</v>
      </c>
      <c r="R2532" s="27">
        <v>26</v>
      </c>
      <c r="S2532" s="27" t="s">
        <v>4133</v>
      </c>
      <c r="T2532" s="27"/>
      <c r="U2532" s="27">
        <v>29221</v>
      </c>
      <c r="V2532" s="27" t="s">
        <v>4009</v>
      </c>
      <c r="W2532" s="27" t="s">
        <v>4010</v>
      </c>
      <c r="X2532" s="128"/>
      <c r="Y2532" s="73" t="e">
        <f>VLOOKUP(X2532,Choferes!$B$3:C458,2,FALSE)</f>
        <v>#N/A</v>
      </c>
      <c r="Z2532" s="73" t="s">
        <v>6376</v>
      </c>
    </row>
    <row r="2533" spans="1:26" hidden="1" x14ac:dyDescent="0.25">
      <c r="A2533" s="222">
        <v>35</v>
      </c>
      <c r="B2533" s="71" t="s">
        <v>29</v>
      </c>
      <c r="C2533" s="39" t="s">
        <v>6327</v>
      </c>
      <c r="D2533" s="106" t="s">
        <v>110</v>
      </c>
      <c r="E2533" s="47">
        <v>46262</v>
      </c>
      <c r="F2533" s="31" t="str">
        <f>VLOOKUP($C2533,Carpetas!$C$5:$M$2666,2,FALSE)</f>
        <v>BRB069/26</v>
      </c>
      <c r="G2533" s="23">
        <f>VLOOKUP($C2533,Carpetas!$C$5:$M$2666,10,FALSE)</f>
        <v>1566326</v>
      </c>
      <c r="H2533" s="27" t="str">
        <f>VLOOKUP($C2533,Carpetas!$C$5:$M$2666,6,FALSE)</f>
        <v>FG</v>
      </c>
      <c r="I2533" s="27" t="str">
        <f>VLOOKUP($C2533,Carpetas!$C$5:$M$2666,3,FALSE)</f>
        <v>Etimex</v>
      </c>
      <c r="J2533" s="243">
        <v>46265</v>
      </c>
      <c r="K2533" s="261" t="str">
        <f>VLOOKUP($C2533,Carpetas!$C$5:$M$2666,5,FALSE)</f>
        <v>Rio Branco</v>
      </c>
      <c r="L2533" s="263" t="s">
        <v>6363</v>
      </c>
      <c r="M2533" s="268">
        <f t="shared" si="182"/>
        <v>46266</v>
      </c>
      <c r="N2533" s="269">
        <f t="shared" si="180"/>
        <v>4</v>
      </c>
      <c r="O2533" s="239">
        <v>1008</v>
      </c>
      <c r="P2533" s="27">
        <v>1009</v>
      </c>
      <c r="Q2533" s="27">
        <v>28</v>
      </c>
      <c r="R2533" s="27">
        <v>26</v>
      </c>
      <c r="S2533" s="27" t="s">
        <v>2738</v>
      </c>
      <c r="T2533" s="27"/>
      <c r="U2533" s="27">
        <v>1741</v>
      </c>
      <c r="V2533" s="27" t="s">
        <v>3669</v>
      </c>
      <c r="W2533" s="27" t="s">
        <v>912</v>
      </c>
      <c r="X2533" s="128" t="s">
        <v>1397</v>
      </c>
      <c r="Y2533" s="73" t="str">
        <f>VLOOKUP(X2533,Choferes!$B$3:C459,2,FALSE)</f>
        <v>+5551996322594</v>
      </c>
      <c r="Z2533" s="73" t="s">
        <v>6377</v>
      </c>
    </row>
    <row r="2534" spans="1:26" hidden="1" x14ac:dyDescent="0.25">
      <c r="A2534" s="222">
        <v>35</v>
      </c>
      <c r="B2534" s="71" t="s">
        <v>29</v>
      </c>
      <c r="C2534" s="39" t="s">
        <v>6378</v>
      </c>
      <c r="D2534" s="106" t="s">
        <v>5780</v>
      </c>
      <c r="E2534" s="47">
        <v>46262</v>
      </c>
      <c r="F2534" s="31" t="str">
        <f>VLOOKUP($C2534,Carpetas!$C$5:$M$2666,2,FALSE)</f>
        <v>BRB072/26</v>
      </c>
      <c r="G2534" s="23">
        <f>VLOOKUP($C2534,Carpetas!$C$5:$M$2666,10,FALSE)</f>
        <v>1567629</v>
      </c>
      <c r="H2534" s="27" t="str">
        <f>VLOOKUP($C2534,Carpetas!$C$5:$M$2666,6,FALSE)</f>
        <v>Chabat</v>
      </c>
      <c r="I2534" s="27" t="str">
        <f>VLOOKUP($C2534,Carpetas!$C$5:$M$2666,3,FALSE)</f>
        <v>Etimex</v>
      </c>
      <c r="J2534" s="243">
        <v>46265</v>
      </c>
      <c r="K2534" s="261" t="str">
        <f>VLOOKUP($C2534,Carpetas!$C$5:$M$2666,5,FALSE)</f>
        <v>Rio Branco</v>
      </c>
      <c r="L2534" s="263" t="s">
        <v>6363</v>
      </c>
      <c r="M2534" s="268">
        <f t="shared" si="182"/>
        <v>46266</v>
      </c>
      <c r="N2534" s="269">
        <f t="shared" si="180"/>
        <v>4</v>
      </c>
      <c r="O2534" s="239">
        <v>1008</v>
      </c>
      <c r="P2534" s="27">
        <v>1008</v>
      </c>
      <c r="Q2534" s="27">
        <v>28</v>
      </c>
      <c r="R2534" s="27">
        <v>26</v>
      </c>
      <c r="S2534" s="27" t="s">
        <v>6379</v>
      </c>
      <c r="T2534" s="27"/>
      <c r="U2534" s="27">
        <v>2604</v>
      </c>
      <c r="V2534" s="27" t="s">
        <v>6341</v>
      </c>
      <c r="W2534" s="27" t="s">
        <v>4283</v>
      </c>
      <c r="X2534" s="128" t="s">
        <v>6380</v>
      </c>
      <c r="Y2534" s="73" t="str">
        <f>VLOOKUP(X2534,Choferes!$B$3:C462,2,FALSE)</f>
        <v>+55 53 99990-3654</v>
      </c>
      <c r="Z2534" s="73" t="s">
        <v>6381</v>
      </c>
    </row>
    <row r="2535" spans="1:26" hidden="1" x14ac:dyDescent="0.25">
      <c r="A2535" s="222">
        <v>35</v>
      </c>
      <c r="B2535" s="71" t="s">
        <v>29</v>
      </c>
      <c r="C2535" s="39" t="s">
        <v>6382</v>
      </c>
      <c r="D2535" s="106" t="s">
        <v>5499</v>
      </c>
      <c r="E2535" s="47">
        <v>46262</v>
      </c>
      <c r="F2535" s="31" t="str">
        <f>VLOOKUP($C2535,Carpetas!$C$5:$M$2666,2,FALSE)</f>
        <v>BRB071/26</v>
      </c>
      <c r="G2535" s="23">
        <f>VLOOKUP($C2535,Carpetas!$C$5:$M$2666,10,FALSE)</f>
        <v>1567628</v>
      </c>
      <c r="H2535" s="27" t="str">
        <f>VLOOKUP($C2535,Carpetas!$C$5:$M$2666,6,FALSE)</f>
        <v>FG</v>
      </c>
      <c r="I2535" s="27" t="str">
        <f>VLOOKUP($C2535,Carpetas!$C$5:$M$2666,3,FALSE)</f>
        <v>Etimex</v>
      </c>
      <c r="J2535" s="243">
        <v>46265</v>
      </c>
      <c r="K2535" s="261" t="str">
        <f>VLOOKUP($C2535,Carpetas!$C$5:$M$2666,5,FALSE)</f>
        <v>Rio Branco</v>
      </c>
      <c r="L2535" s="263" t="s">
        <v>6363</v>
      </c>
      <c r="M2535" s="268">
        <f t="shared" si="182"/>
        <v>46266</v>
      </c>
      <c r="N2535" s="269">
        <f t="shared" si="180"/>
        <v>4</v>
      </c>
      <c r="O2535" s="239">
        <v>1008</v>
      </c>
      <c r="P2535" s="27" t="s">
        <v>6383</v>
      </c>
      <c r="Q2535" s="27">
        <v>28</v>
      </c>
      <c r="R2535" s="27">
        <v>26</v>
      </c>
      <c r="S2535" s="27" t="s">
        <v>6384</v>
      </c>
      <c r="T2535" s="27"/>
      <c r="U2535" s="27">
        <v>1739</v>
      </c>
      <c r="V2535" s="27" t="s">
        <v>1630</v>
      </c>
      <c r="W2535" s="27" t="s">
        <v>1934</v>
      </c>
      <c r="X2535" s="128" t="s">
        <v>1935</v>
      </c>
      <c r="Y2535" s="73" t="str">
        <f>VLOOKUP(X2535,Choferes!$B$3:C461,2,FALSE)</f>
        <v>+5554984377792</v>
      </c>
      <c r="Z2535" s="73" t="s">
        <v>6376</v>
      </c>
    </row>
    <row r="2536" spans="1:26" hidden="1" x14ac:dyDescent="0.25">
      <c r="A2536" s="222">
        <v>35</v>
      </c>
      <c r="B2536" s="71" t="s">
        <v>29</v>
      </c>
      <c r="C2536" s="39" t="s">
        <v>6385</v>
      </c>
      <c r="D2536" s="106" t="s">
        <v>38</v>
      </c>
      <c r="E2536" s="47">
        <v>46261</v>
      </c>
      <c r="F2536" s="31" t="str">
        <f>VLOOKUP($C2536,Carpetas!$C$5:$M$2666,2,FALSE)</f>
        <v>BRE064/26</v>
      </c>
      <c r="G2536" s="23">
        <f>VLOOKUP($C2536,Carpetas!$C$5:$M$2666,10,FALSE)</f>
        <v>0</v>
      </c>
      <c r="H2536" s="27" t="str">
        <f>VLOOKUP($C2536,Carpetas!$C$5:$M$2666,6,FALSE)</f>
        <v xml:space="preserve">Silvio </v>
      </c>
      <c r="I2536" s="27" t="str">
        <f>VLOOKUP($C2536,Carpetas!$C$5:$M$2666,3,FALSE)</f>
        <v>Jaguacy</v>
      </c>
      <c r="J2536" s="243">
        <v>46265</v>
      </c>
      <c r="K2536" s="261" t="str">
        <f>VLOOKUP($C2536,Carpetas!$C$5:$M$2666,5,FALSE)</f>
        <v>Chuy</v>
      </c>
      <c r="L2536" s="263" t="s">
        <v>5813</v>
      </c>
      <c r="M2536" s="268">
        <f t="shared" si="182"/>
        <v>46266</v>
      </c>
      <c r="N2536" s="269">
        <f t="shared" si="180"/>
        <v>5</v>
      </c>
      <c r="O2536" s="239">
        <v>2304</v>
      </c>
      <c r="P2536" s="27">
        <v>2303</v>
      </c>
      <c r="Q2536" s="27">
        <v>24</v>
      </c>
      <c r="R2536" s="27">
        <v>10.3</v>
      </c>
      <c r="S2536" s="27" t="s">
        <v>6386</v>
      </c>
      <c r="T2536" s="27"/>
      <c r="U2536" s="27"/>
      <c r="V2536" s="27"/>
      <c r="W2536" s="27"/>
      <c r="X2536" s="128"/>
      <c r="Y2536" s="73" t="e">
        <f>VLOOKUP(X2536,Choferes!$B$3:C464,2,FALSE)</f>
        <v>#N/A</v>
      </c>
      <c r="Z2536" s="73" t="s">
        <v>6387</v>
      </c>
    </row>
    <row r="2537" spans="1:26" hidden="1" x14ac:dyDescent="0.25">
      <c r="A2537" s="222">
        <v>35</v>
      </c>
      <c r="B2537" s="71" t="s">
        <v>29</v>
      </c>
      <c r="C2537" s="39" t="s">
        <v>6382</v>
      </c>
      <c r="D2537" s="106" t="s">
        <v>6075</v>
      </c>
      <c r="E2537" s="47">
        <v>46262</v>
      </c>
      <c r="F2537" s="31" t="str">
        <f>VLOOKUP($C2537,Carpetas!$C$5:$M$2666,2,FALSE)</f>
        <v>BRB071/26</v>
      </c>
      <c r="G2537" s="23">
        <f>VLOOKUP($C2537,Carpetas!$C$5:$M$2666,10,FALSE)</f>
        <v>1567628</v>
      </c>
      <c r="H2537" s="27" t="str">
        <f>VLOOKUP($C2537,Carpetas!$C$5:$M$2666,6,FALSE)</f>
        <v>FG</v>
      </c>
      <c r="I2537" s="27" t="str">
        <f>VLOOKUP($C2537,Carpetas!$C$5:$M$2666,3,FALSE)</f>
        <v>Etimex</v>
      </c>
      <c r="J2537" s="243">
        <v>46265</v>
      </c>
      <c r="K2537" s="261" t="str">
        <f>VLOOKUP($C2537,Carpetas!$C$5:$M$2666,5,FALSE)</f>
        <v>Rio Branco</v>
      </c>
      <c r="L2537" s="263" t="s">
        <v>6363</v>
      </c>
      <c r="M2537" s="268">
        <f t="shared" si="182"/>
        <v>46266</v>
      </c>
      <c r="N2537" s="269">
        <f t="shared" si="180"/>
        <v>4</v>
      </c>
      <c r="O2537" s="239">
        <v>1008</v>
      </c>
      <c r="P2537" s="27">
        <v>1008</v>
      </c>
      <c r="Q2537" s="27">
        <v>28</v>
      </c>
      <c r="R2537" s="27">
        <v>26</v>
      </c>
      <c r="S2537" s="27" t="s">
        <v>6388</v>
      </c>
      <c r="T2537" s="27"/>
      <c r="U2537" s="27">
        <v>1740</v>
      </c>
      <c r="V2537" s="27" t="s">
        <v>5317</v>
      </c>
      <c r="W2537" s="27" t="s">
        <v>1627</v>
      </c>
      <c r="X2537" s="128" t="s">
        <v>2336</v>
      </c>
      <c r="Y2537" s="73" t="str">
        <f>VLOOKUP(X2537,Choferes!$B$3:C461,2,FALSE)</f>
        <v>+5553984414060</v>
      </c>
      <c r="Z2537" s="73" t="s">
        <v>6376</v>
      </c>
    </row>
    <row r="2538" spans="1:26" hidden="1" x14ac:dyDescent="0.25">
      <c r="A2538" s="222">
        <v>35</v>
      </c>
      <c r="B2538" s="71" t="s">
        <v>29</v>
      </c>
      <c r="C2538" s="39" t="s">
        <v>6382</v>
      </c>
      <c r="D2538" s="106" t="s">
        <v>5507</v>
      </c>
      <c r="E2538" s="47">
        <v>46262</v>
      </c>
      <c r="F2538" s="31" t="str">
        <f>VLOOKUP($C2538,Carpetas!$C$5:$M$2666,2,FALSE)</f>
        <v>BRB071/26</v>
      </c>
      <c r="G2538" s="23">
        <f>VLOOKUP($C2538,Carpetas!$C$5:$M$2666,10,FALSE)</f>
        <v>1567628</v>
      </c>
      <c r="H2538" s="27" t="str">
        <f>VLOOKUP($C2538,Carpetas!$C$5:$M$2666,6,FALSE)</f>
        <v>FG</v>
      </c>
      <c r="I2538" s="27" t="str">
        <f>VLOOKUP($C2538,Carpetas!$C$5:$M$2666,3,FALSE)</f>
        <v>Etimex</v>
      </c>
      <c r="J2538" s="243">
        <v>46265</v>
      </c>
      <c r="K2538" s="261" t="str">
        <f>VLOOKUP($C2538,Carpetas!$C$5:$M$2666,5,FALSE)</f>
        <v>Rio Branco</v>
      </c>
      <c r="L2538" s="263" t="s">
        <v>6363</v>
      </c>
      <c r="M2538" s="268">
        <f t="shared" si="182"/>
        <v>46266</v>
      </c>
      <c r="N2538" s="269">
        <f t="shared" si="180"/>
        <v>4</v>
      </c>
      <c r="O2538" s="239">
        <v>1008</v>
      </c>
      <c r="P2538" s="27">
        <v>1008</v>
      </c>
      <c r="Q2538" s="27">
        <v>28</v>
      </c>
      <c r="R2538" s="27">
        <v>26</v>
      </c>
      <c r="S2538" s="27" t="s">
        <v>6389</v>
      </c>
      <c r="T2538" s="27"/>
      <c r="U2538" s="27">
        <v>1738</v>
      </c>
      <c r="V2538" s="27" t="s">
        <v>5189</v>
      </c>
      <c r="W2538" s="27" t="s">
        <v>1523</v>
      </c>
      <c r="X2538" s="128" t="s">
        <v>4320</v>
      </c>
      <c r="Y2538" s="73" t="str">
        <f>VLOOKUP(X2538,Choferes!$B$3:C462,2,FALSE)</f>
        <v>+598 98 562 952</v>
      </c>
      <c r="Z2538" s="73" t="s">
        <v>6376</v>
      </c>
    </row>
    <row r="2539" spans="1:26" hidden="1" x14ac:dyDescent="0.25">
      <c r="A2539" s="222">
        <v>35</v>
      </c>
      <c r="B2539" s="71" t="s">
        <v>29</v>
      </c>
      <c r="C2539" s="39" t="s">
        <v>6349</v>
      </c>
      <c r="D2539" s="106" t="s">
        <v>2202</v>
      </c>
      <c r="E2539" s="47">
        <v>46262</v>
      </c>
      <c r="F2539" s="31" t="str">
        <f>VLOOKUP($C2539,Carpetas!$C$5:$M$2666,2,FALSE)</f>
        <v>BRB070/26</v>
      </c>
      <c r="G2539" s="23">
        <f>VLOOKUP($C2539,Carpetas!$C$5:$M$2666,10,FALSE)</f>
        <v>1566590</v>
      </c>
      <c r="H2539" s="27" t="str">
        <f>VLOOKUP($C2539,Carpetas!$C$5:$M$2666,6,FALSE)</f>
        <v>AXT</v>
      </c>
      <c r="I2539" s="27" t="str">
        <f>VLOOKUP($C2539,Carpetas!$C$5:$M$2666,3,FALSE)</f>
        <v>A&amp;A</v>
      </c>
      <c r="J2539" s="243">
        <v>46265</v>
      </c>
      <c r="K2539" s="261" t="str">
        <f>VLOOKUP($C2539,Carpetas!$C$5:$M$2666,5,FALSE)</f>
        <v>Chuy</v>
      </c>
      <c r="L2539" s="263" t="s">
        <v>6363</v>
      </c>
      <c r="M2539" s="268">
        <f>J2539+1+1</f>
        <v>46267</v>
      </c>
      <c r="N2539" s="269">
        <f t="shared" si="180"/>
        <v>5</v>
      </c>
      <c r="O2539" s="239">
        <v>936</v>
      </c>
      <c r="P2539" s="27">
        <v>936</v>
      </c>
      <c r="Q2539" s="27">
        <v>26</v>
      </c>
      <c r="R2539" s="27">
        <v>25</v>
      </c>
      <c r="S2539" s="27" t="s">
        <v>6390</v>
      </c>
      <c r="T2539" s="27"/>
      <c r="U2539" s="27"/>
      <c r="V2539" s="27"/>
      <c r="W2539" s="27"/>
      <c r="X2539" s="128"/>
      <c r="Y2539" s="73" t="e">
        <f>VLOOKUP(X2539,Choferes!$B$3:C460,2,FALSE)</f>
        <v>#N/A</v>
      </c>
      <c r="Z2539" s="73" t="s">
        <v>6391</v>
      </c>
    </row>
    <row r="2540" spans="1:26" hidden="1" x14ac:dyDescent="0.25">
      <c r="A2540" s="222">
        <v>35</v>
      </c>
      <c r="B2540" s="71" t="s">
        <v>29</v>
      </c>
      <c r="C2540" s="39" t="s">
        <v>6392</v>
      </c>
      <c r="D2540" s="106" t="s">
        <v>38</v>
      </c>
      <c r="E2540" s="47">
        <v>46262</v>
      </c>
      <c r="F2540" s="31" t="str">
        <f>VLOOKUP($C2540,Carpetas!$C$5:$M$2666,2,FALSE)</f>
        <v>BRE065/26</v>
      </c>
      <c r="G2540" s="23">
        <f>VLOOKUP($C2540,Carpetas!$C$5:$M$2666,10,FALSE)</f>
        <v>1568151</v>
      </c>
      <c r="H2540" s="27" t="str">
        <f>VLOOKUP($C2540,Carpetas!$C$5:$M$2666,6,FALSE)</f>
        <v xml:space="preserve">Silvio </v>
      </c>
      <c r="I2540" s="27" t="str">
        <f>VLOOKUP($C2540,Carpetas!$C$5:$M$2666,3,FALSE)</f>
        <v>Etimex</v>
      </c>
      <c r="J2540" s="243">
        <v>46266</v>
      </c>
      <c r="K2540" s="261" t="str">
        <f>VLOOKUP($C2540,Carpetas!$C$5:$M$2666,5,FALSE)</f>
        <v>Rio Branco</v>
      </c>
      <c r="L2540" s="263" t="s">
        <v>4081</v>
      </c>
      <c r="M2540" s="268">
        <f t="shared" ref="M2540:M2551" si="183">J2540+1</f>
        <v>46267</v>
      </c>
      <c r="N2540" s="269">
        <f t="shared" si="180"/>
        <v>5</v>
      </c>
      <c r="O2540" s="239">
        <v>1008</v>
      </c>
      <c r="P2540" s="27">
        <v>1008</v>
      </c>
      <c r="Q2540" s="27">
        <v>28</v>
      </c>
      <c r="R2540" s="27">
        <v>15</v>
      </c>
      <c r="S2540" s="27" t="s">
        <v>6386</v>
      </c>
      <c r="T2540" s="27"/>
      <c r="U2540" s="27">
        <v>7937</v>
      </c>
      <c r="V2540" s="27" t="s">
        <v>549</v>
      </c>
      <c r="W2540" s="27" t="s">
        <v>710</v>
      </c>
      <c r="X2540" s="128"/>
      <c r="Y2540" s="73" t="e">
        <f>VLOOKUP(X2540,Choferes!$B$3:C446,2,FALSE)</f>
        <v>#N/A</v>
      </c>
      <c r="Z2540" s="73" t="s">
        <v>6393</v>
      </c>
    </row>
    <row r="2541" spans="1:26" hidden="1" x14ac:dyDescent="0.25">
      <c r="A2541" s="222">
        <v>36</v>
      </c>
      <c r="B2541" s="71" t="s">
        <v>29</v>
      </c>
      <c r="C2541" s="39" t="s">
        <v>6394</v>
      </c>
      <c r="D2541" s="106" t="s">
        <v>183</v>
      </c>
      <c r="E2541" s="47">
        <v>46264</v>
      </c>
      <c r="F2541" s="31" t="str">
        <f>VLOOKUP($C2541,Carpetas!$C$5:$M$2666,2,FALSE)</f>
        <v>PYB060-26</v>
      </c>
      <c r="G2541" s="23">
        <f>VLOOKUP($C2541,Carpetas!$C$5:$M$2666,10,FALSE)</f>
        <v>1568045</v>
      </c>
      <c r="H2541" s="27" t="str">
        <f>VLOOKUP($C2541,Carpetas!$C$5:$M$2666,6,FALSE)</f>
        <v>Mega Logistica</v>
      </c>
      <c r="I2541" s="27" t="str">
        <f>VLOOKUP($C2541,Carpetas!$C$5:$M$2666,3,FALSE)</f>
        <v>Hugo Franco</v>
      </c>
      <c r="J2541" s="243">
        <v>46266</v>
      </c>
      <c r="K2541" s="261" t="str">
        <f>VLOOKUP($C2541,Carpetas!$C$5:$M$2666,5,FALSE)</f>
        <v>Salto</v>
      </c>
      <c r="L2541" s="263" t="s">
        <v>6116</v>
      </c>
      <c r="M2541" s="268">
        <f t="shared" si="183"/>
        <v>46267</v>
      </c>
      <c r="N2541" s="269">
        <f t="shared" si="180"/>
        <v>3</v>
      </c>
      <c r="O2541" s="27">
        <v>980</v>
      </c>
      <c r="P2541" s="27">
        <v>977</v>
      </c>
      <c r="Q2541" s="27">
        <v>28</v>
      </c>
      <c r="R2541" s="27">
        <v>27</v>
      </c>
      <c r="S2541" s="27" t="s">
        <v>6395</v>
      </c>
      <c r="T2541" s="27"/>
      <c r="U2541" s="27"/>
      <c r="V2541" s="27"/>
      <c r="W2541" s="27"/>
      <c r="X2541" s="128"/>
      <c r="Y2541" s="73" t="e">
        <f>VLOOKUP(X2541,Choferes!$B$3:C447,2,FALSE)</f>
        <v>#N/A</v>
      </c>
      <c r="Z2541" s="73" t="s">
        <v>6396</v>
      </c>
    </row>
    <row r="2542" spans="1:26" hidden="1" x14ac:dyDescent="0.25">
      <c r="A2542" s="222">
        <v>36</v>
      </c>
      <c r="B2542" s="71" t="s">
        <v>29</v>
      </c>
      <c r="C2542" s="39" t="s">
        <v>6397</v>
      </c>
      <c r="D2542" s="106" t="s">
        <v>6305</v>
      </c>
      <c r="E2542" s="47">
        <v>46265</v>
      </c>
      <c r="F2542" s="31" t="str">
        <f>VLOOKUP($C2542,Carpetas!$C$5:$M$2666,2,FALSE)</f>
        <v>PYB061-26</v>
      </c>
      <c r="G2542" s="23">
        <f>VLOOKUP($C2542,Carpetas!$C$5:$M$2666,10,FALSE)</f>
        <v>1568206</v>
      </c>
      <c r="H2542" s="27" t="str">
        <f>VLOOKUP($C2542,Carpetas!$C$5:$M$2666,6,FALSE)</f>
        <v xml:space="preserve">MARSO EMPRENDIMIENTOS S.R.L. </v>
      </c>
      <c r="I2542" s="27" t="str">
        <f>VLOOKUP($C2542,Carpetas!$C$5:$M$2666,3,FALSE)</f>
        <v>Alvaro Saldivar</v>
      </c>
      <c r="J2542" s="243">
        <v>46267</v>
      </c>
      <c r="K2542" s="261" t="str">
        <f>VLOOKUP($C2542,Carpetas!$C$5:$M$2666,5,FALSE)</f>
        <v>Salto</v>
      </c>
      <c r="L2542" s="263" t="s">
        <v>6116</v>
      </c>
      <c r="M2542" s="268">
        <f t="shared" si="183"/>
        <v>46268</v>
      </c>
      <c r="N2542" s="269">
        <f t="shared" si="180"/>
        <v>3</v>
      </c>
      <c r="O2542" s="27">
        <v>980</v>
      </c>
      <c r="P2542" s="27">
        <v>985</v>
      </c>
      <c r="Q2542" s="27">
        <v>28</v>
      </c>
      <c r="R2542" s="27">
        <v>28</v>
      </c>
      <c r="S2542" s="27" t="s">
        <v>6398</v>
      </c>
      <c r="T2542" s="27"/>
      <c r="U2542" s="27"/>
      <c r="V2542" s="27"/>
      <c r="W2542" s="27"/>
      <c r="X2542" s="128"/>
      <c r="Y2542" s="73" t="e">
        <f>VLOOKUP(X2542,Choferes!$B$3:C449,2,FALSE)</f>
        <v>#N/A</v>
      </c>
      <c r="Z2542" s="73" t="s">
        <v>6399</v>
      </c>
    </row>
    <row r="2543" spans="1:26" hidden="1" x14ac:dyDescent="0.25">
      <c r="A2543" s="222">
        <v>36</v>
      </c>
      <c r="B2543" s="71" t="s">
        <v>29</v>
      </c>
      <c r="C2543" s="39" t="s">
        <v>6394</v>
      </c>
      <c r="D2543" s="106" t="s">
        <v>183</v>
      </c>
      <c r="E2543" s="47">
        <v>46265</v>
      </c>
      <c r="F2543" s="31" t="str">
        <f>VLOOKUP($C2543,Carpetas!$C$5:$M$2666,2,FALSE)</f>
        <v>PYB060-26</v>
      </c>
      <c r="G2543" s="23">
        <f>VLOOKUP($C2543,Carpetas!$C$5:$M$2666,10,FALSE)</f>
        <v>1568045</v>
      </c>
      <c r="H2543" s="27" t="str">
        <f>VLOOKUP($C2543,Carpetas!$C$5:$M$2666,6,FALSE)</f>
        <v>Mega Logistica</v>
      </c>
      <c r="I2543" s="27" t="str">
        <f>VLOOKUP($C2543,Carpetas!$C$5:$M$2666,3,FALSE)</f>
        <v>Hugo Franco</v>
      </c>
      <c r="J2543" s="243">
        <v>46267</v>
      </c>
      <c r="K2543" s="261" t="str">
        <f>VLOOKUP($C2543,Carpetas!$C$5:$M$2666,5,FALSE)</f>
        <v>Salto</v>
      </c>
      <c r="L2543" s="263" t="s">
        <v>6116</v>
      </c>
      <c r="M2543" s="268">
        <f t="shared" si="183"/>
        <v>46268</v>
      </c>
      <c r="N2543" s="269">
        <f t="shared" si="180"/>
        <v>3</v>
      </c>
      <c r="O2543" s="27">
        <v>980</v>
      </c>
      <c r="P2543" s="27">
        <v>981</v>
      </c>
      <c r="Q2543" s="27">
        <v>28</v>
      </c>
      <c r="R2543" s="27">
        <v>27</v>
      </c>
      <c r="S2543" s="27" t="s">
        <v>6400</v>
      </c>
      <c r="T2543" s="27"/>
      <c r="U2543" s="27"/>
      <c r="V2543" s="27"/>
      <c r="W2543" s="27"/>
      <c r="X2543" s="128"/>
      <c r="Y2543" s="73" t="e">
        <f>VLOOKUP(X2543,Choferes!$B$3:C448,2,FALSE)</f>
        <v>#N/A</v>
      </c>
      <c r="Z2543" s="73" t="s">
        <v>6401</v>
      </c>
    </row>
    <row r="2544" spans="1:26" hidden="1" x14ac:dyDescent="0.25">
      <c r="A2544" s="222">
        <v>36</v>
      </c>
      <c r="B2544" s="71" t="s">
        <v>29</v>
      </c>
      <c r="C2544" s="39" t="s">
        <v>6397</v>
      </c>
      <c r="D2544" s="106" t="s">
        <v>6305</v>
      </c>
      <c r="E2544" s="47">
        <v>46265</v>
      </c>
      <c r="F2544" s="31" t="str">
        <f>VLOOKUP($C2544,Carpetas!$C$5:$M$2666,2,FALSE)</f>
        <v>PYB061-26</v>
      </c>
      <c r="G2544" s="23">
        <f>VLOOKUP($C2544,Carpetas!$C$5:$M$2666,10,FALSE)</f>
        <v>1568206</v>
      </c>
      <c r="H2544" s="27" t="str">
        <f>VLOOKUP($C2544,Carpetas!$C$5:$M$2666,6,FALSE)</f>
        <v xml:space="preserve">MARSO EMPRENDIMIENTOS S.R.L. </v>
      </c>
      <c r="I2544" s="27" t="str">
        <f>VLOOKUP($C2544,Carpetas!$C$5:$M$2666,3,FALSE)</f>
        <v>Alvaro Saldivar</v>
      </c>
      <c r="J2544" s="243">
        <v>46267</v>
      </c>
      <c r="K2544" s="261" t="str">
        <f>VLOOKUP($C2544,Carpetas!$C$5:$M$2666,5,FALSE)</f>
        <v>Salto</v>
      </c>
      <c r="L2544" s="263" t="s">
        <v>6116</v>
      </c>
      <c r="M2544" s="268">
        <f t="shared" si="183"/>
        <v>46268</v>
      </c>
      <c r="N2544" s="269">
        <f t="shared" si="180"/>
        <v>3</v>
      </c>
      <c r="O2544" s="27">
        <v>980</v>
      </c>
      <c r="P2544" s="27">
        <v>984</v>
      </c>
      <c r="Q2544" s="27">
        <v>28</v>
      </c>
      <c r="R2544" s="27">
        <v>27</v>
      </c>
      <c r="S2544" s="27" t="s">
        <v>6402</v>
      </c>
      <c r="T2544" s="27"/>
      <c r="U2544" s="27"/>
      <c r="V2544" s="27"/>
      <c r="W2544" s="27"/>
      <c r="X2544" s="128"/>
      <c r="Y2544" s="73" t="e">
        <f>VLOOKUP(X2544,Choferes!$B$3:C450,2,FALSE)</f>
        <v>#N/A</v>
      </c>
      <c r="Z2544" s="299" t="s">
        <v>6403</v>
      </c>
    </row>
    <row r="2545" spans="1:26" hidden="1" x14ac:dyDescent="0.25">
      <c r="A2545" s="222">
        <v>36</v>
      </c>
      <c r="B2545" s="71" t="s">
        <v>29</v>
      </c>
      <c r="C2545" s="39" t="s">
        <v>6404</v>
      </c>
      <c r="D2545" s="106" t="s">
        <v>2202</v>
      </c>
      <c r="E2545" s="47">
        <v>46267</v>
      </c>
      <c r="F2545" s="31" t="str">
        <f>VLOOKUP($C2545,Carpetas!$C$5:$M$2666,2,FALSE)</f>
        <v>BRB073/26</v>
      </c>
      <c r="G2545" s="23" t="str">
        <f>VLOOKUP($C2545,Carpetas!$C$5:$M$2666,10,FALSE)</f>
        <v>156,85,13</v>
      </c>
      <c r="H2545" s="27" t="str">
        <f>VLOOKUP($C2545,Carpetas!$C$5:$M$2666,6,FALSE)</f>
        <v>AXT</v>
      </c>
      <c r="I2545" s="27" t="str">
        <f>VLOOKUP($C2545,Carpetas!$C$5:$M$2666,3,FALSE)</f>
        <v>A&amp;A</v>
      </c>
      <c r="J2545" s="243">
        <v>46268</v>
      </c>
      <c r="K2545" s="261" t="str">
        <f>VLOOKUP($C2545,Carpetas!$C$5:$M$2666,5,FALSE)</f>
        <v>Chuy</v>
      </c>
      <c r="L2545" s="263" t="s">
        <v>6116</v>
      </c>
      <c r="M2545" s="268">
        <f t="shared" si="183"/>
        <v>46269</v>
      </c>
      <c r="N2545" s="269">
        <f t="shared" si="180"/>
        <v>2</v>
      </c>
      <c r="O2545" s="27">
        <v>936</v>
      </c>
      <c r="P2545" s="27">
        <v>937</v>
      </c>
      <c r="Q2545" s="27">
        <v>26</v>
      </c>
      <c r="R2545" s="27">
        <v>24</v>
      </c>
      <c r="S2545" s="27" t="s">
        <v>6405</v>
      </c>
      <c r="T2545" s="27"/>
      <c r="U2545" s="27"/>
      <c r="V2545" s="27"/>
      <c r="W2545" s="27"/>
      <c r="X2545" s="128"/>
      <c r="Y2545" s="73" t="e">
        <f>VLOOKUP(X2545,Choferes!$B$3:C454,2,FALSE)</f>
        <v>#N/A</v>
      </c>
      <c r="Z2545" s="299" t="s">
        <v>6406</v>
      </c>
    </row>
    <row r="2546" spans="1:26" hidden="1" x14ac:dyDescent="0.25">
      <c r="A2546" s="222">
        <v>36</v>
      </c>
      <c r="B2546" s="71" t="s">
        <v>29</v>
      </c>
      <c r="C2546" s="39" t="s">
        <v>6321</v>
      </c>
      <c r="D2546" s="106" t="s">
        <v>2474</v>
      </c>
      <c r="E2546" s="47">
        <v>46266</v>
      </c>
      <c r="F2546" s="31" t="str">
        <f>VLOOKUP($C2546,Carpetas!$C$5:$M$2666,2,FALSE)</f>
        <v>BRB067/26</v>
      </c>
      <c r="G2546" s="23" t="str">
        <f>VLOOKUP($C2546,Carpetas!$C$5:$M$2666,10,FALSE)</f>
        <v>156,62,09</v>
      </c>
      <c r="H2546" s="27" t="str">
        <f>VLOOKUP($C2546,Carpetas!$C$5:$M$2666,6,FALSE)</f>
        <v>Amaro</v>
      </c>
      <c r="I2546" s="27" t="str">
        <f>VLOOKUP($C2546,Carpetas!$C$5:$M$2666,3,FALSE)</f>
        <v>Etimex</v>
      </c>
      <c r="J2546" s="243">
        <v>46268</v>
      </c>
      <c r="K2546" s="261" t="str">
        <f>VLOOKUP($C2546,Carpetas!$C$5:$M$2666,5,FALSE)</f>
        <v>Rio Branco</v>
      </c>
      <c r="L2546" s="263" t="s">
        <v>6116</v>
      </c>
      <c r="M2546" s="268">
        <f t="shared" si="183"/>
        <v>46269</v>
      </c>
      <c r="N2546" s="269">
        <f t="shared" si="180"/>
        <v>3</v>
      </c>
      <c r="O2546" s="27">
        <v>1008</v>
      </c>
      <c r="P2546" s="27">
        <v>1008</v>
      </c>
      <c r="Q2546" s="27">
        <v>28</v>
      </c>
      <c r="R2546" s="27">
        <v>26</v>
      </c>
      <c r="S2546" s="27" t="s">
        <v>4150</v>
      </c>
      <c r="T2546" s="27"/>
      <c r="U2546" s="27">
        <v>29257</v>
      </c>
      <c r="V2546" s="27" t="s">
        <v>2784</v>
      </c>
      <c r="W2546" s="27" t="s">
        <v>5953</v>
      </c>
      <c r="X2546" s="128"/>
      <c r="Y2546" s="73" t="e">
        <f>VLOOKUP(X2546,Choferes!$B$3:C455,2,FALSE)</f>
        <v>#N/A</v>
      </c>
      <c r="Z2546" s="73" t="s">
        <v>6407</v>
      </c>
    </row>
    <row r="2547" spans="1:26" hidden="1" x14ac:dyDescent="0.25">
      <c r="A2547" s="222">
        <v>36</v>
      </c>
      <c r="B2547" s="71" t="s">
        <v>29</v>
      </c>
      <c r="C2547" s="39" t="s">
        <v>6382</v>
      </c>
      <c r="D2547" s="106" t="s">
        <v>110</v>
      </c>
      <c r="E2547" s="47">
        <v>46267</v>
      </c>
      <c r="F2547" s="31" t="str">
        <f>VLOOKUP($C2547,Carpetas!$C$5:$M$2666,2,FALSE)</f>
        <v>BRB071/26</v>
      </c>
      <c r="G2547" s="23">
        <f>VLOOKUP($C2547,Carpetas!$C$5:$M$2666,10,FALSE)</f>
        <v>1567628</v>
      </c>
      <c r="H2547" s="27" t="str">
        <f>VLOOKUP($C2547,Carpetas!$C$5:$M$2666,6,FALSE)</f>
        <v>FG</v>
      </c>
      <c r="I2547" s="27" t="str">
        <f>VLOOKUP($C2547,Carpetas!$C$5:$M$2666,3,FALSE)</f>
        <v>Etimex</v>
      </c>
      <c r="J2547" s="243">
        <f>E2547+1</f>
        <v>46268</v>
      </c>
      <c r="K2547" s="261" t="str">
        <f>VLOOKUP($C2547,Carpetas!$C$5:$M$2666,5,FALSE)</f>
        <v>Rio Branco</v>
      </c>
      <c r="L2547" s="263" t="s">
        <v>6116</v>
      </c>
      <c r="M2547" s="268">
        <f t="shared" si="183"/>
        <v>46269</v>
      </c>
      <c r="N2547" s="269">
        <f t="shared" si="180"/>
        <v>2</v>
      </c>
      <c r="O2547" s="27">
        <v>1008</v>
      </c>
      <c r="P2547" s="27">
        <v>1008</v>
      </c>
      <c r="Q2547" s="27">
        <v>28</v>
      </c>
      <c r="R2547" s="27">
        <v>26</v>
      </c>
      <c r="S2547" s="27" t="s">
        <v>2798</v>
      </c>
      <c r="T2547" s="27"/>
      <c r="U2547" s="27">
        <v>1744</v>
      </c>
      <c r="V2547" s="27" t="s">
        <v>1722</v>
      </c>
      <c r="W2547" s="27" t="s">
        <v>1723</v>
      </c>
      <c r="X2547" s="128" t="s">
        <v>5009</v>
      </c>
      <c r="Y2547" s="73" t="str">
        <f>VLOOKUP(X2547,Choferes!$B$3:C456,2,FALSE)</f>
        <v>+598 98 195 659</v>
      </c>
      <c r="Z2547" s="73" t="s">
        <v>6407</v>
      </c>
    </row>
    <row r="2548" spans="1:26" hidden="1" x14ac:dyDescent="0.25">
      <c r="A2548" s="222">
        <v>36</v>
      </c>
      <c r="B2548" s="71" t="s">
        <v>29</v>
      </c>
      <c r="C2548" s="39" t="s">
        <v>6378</v>
      </c>
      <c r="D2548" s="106" t="s">
        <v>6075</v>
      </c>
      <c r="E2548" s="47">
        <v>46267</v>
      </c>
      <c r="F2548" s="31" t="str">
        <f>VLOOKUP($C2548,Carpetas!$C$5:$M$2666,2,FALSE)</f>
        <v>BRB072/26</v>
      </c>
      <c r="G2548" s="23">
        <f>VLOOKUP($C2548,Carpetas!$C$5:$M$2666,10,FALSE)</f>
        <v>1567629</v>
      </c>
      <c r="H2548" s="27" t="str">
        <f>VLOOKUP($C2548,Carpetas!$C$5:$M$2666,6,FALSE)</f>
        <v>Chabat</v>
      </c>
      <c r="I2548" s="27" t="str">
        <f>VLOOKUP($C2548,Carpetas!$C$5:$M$2666,3,FALSE)</f>
        <v>Etimex</v>
      </c>
      <c r="J2548" s="243">
        <f>E2548+1</f>
        <v>46268</v>
      </c>
      <c r="K2548" s="261" t="str">
        <f>VLOOKUP($C2548,Carpetas!$C$5:$M$2666,5,FALSE)</f>
        <v>Rio Branco</v>
      </c>
      <c r="L2548" s="263" t="s">
        <v>6116</v>
      </c>
      <c r="M2548" s="268">
        <f t="shared" si="183"/>
        <v>46269</v>
      </c>
      <c r="N2548" s="269">
        <f t="shared" si="180"/>
        <v>2</v>
      </c>
      <c r="O2548" s="27">
        <v>1008</v>
      </c>
      <c r="P2548" s="27">
        <v>1008</v>
      </c>
      <c r="Q2548" s="27">
        <v>28</v>
      </c>
      <c r="R2548" s="27">
        <v>26</v>
      </c>
      <c r="S2548" s="27" t="s">
        <v>6408</v>
      </c>
      <c r="T2548" s="27"/>
      <c r="U2548" s="27">
        <v>2605</v>
      </c>
      <c r="V2548" s="27" t="s">
        <v>6203</v>
      </c>
      <c r="W2548" s="27" t="s">
        <v>4277</v>
      </c>
      <c r="X2548" s="128"/>
      <c r="Y2548" s="73" t="e">
        <f>VLOOKUP(X2548,Choferes!$B$3:C457,2,FALSE)</f>
        <v>#N/A</v>
      </c>
      <c r="Z2548" s="73" t="s">
        <v>6407</v>
      </c>
    </row>
    <row r="2549" spans="1:26" hidden="1" x14ac:dyDescent="0.25">
      <c r="A2549" s="222">
        <v>36</v>
      </c>
      <c r="B2549" s="71" t="s">
        <v>29</v>
      </c>
      <c r="C2549" s="39" t="s">
        <v>6382</v>
      </c>
      <c r="D2549" s="106" t="s">
        <v>5640</v>
      </c>
      <c r="E2549" s="47">
        <v>46267</v>
      </c>
      <c r="F2549" s="31" t="str">
        <f>VLOOKUP($C2549,Carpetas!$C$5:$M$2666,2,FALSE)</f>
        <v>BRB071/26</v>
      </c>
      <c r="G2549" s="23">
        <f>VLOOKUP($C2549,Carpetas!$C$5:$M$2666,10,FALSE)</f>
        <v>1567628</v>
      </c>
      <c r="H2549" s="27" t="str">
        <f>VLOOKUP($C2549,Carpetas!$C$5:$M$2666,6,FALSE)</f>
        <v>FG</v>
      </c>
      <c r="I2549" s="27" t="str">
        <f>VLOOKUP($C2549,Carpetas!$C$5:$M$2666,3,FALSE)</f>
        <v>Etimex</v>
      </c>
      <c r="J2549" s="243">
        <f>E2549+1</f>
        <v>46268</v>
      </c>
      <c r="K2549" s="261" t="str">
        <f>VLOOKUP($C2549,Carpetas!$C$5:$M$2666,5,FALSE)</f>
        <v>Rio Branco</v>
      </c>
      <c r="L2549" s="263" t="s">
        <v>6116</v>
      </c>
      <c r="M2549" s="268">
        <f t="shared" si="183"/>
        <v>46269</v>
      </c>
      <c r="N2549" s="269">
        <f t="shared" si="180"/>
        <v>2</v>
      </c>
      <c r="O2549" s="27">
        <v>1008</v>
      </c>
      <c r="P2549" s="27">
        <v>1008</v>
      </c>
      <c r="Q2549" s="27">
        <v>28</v>
      </c>
      <c r="R2549" s="27">
        <v>25</v>
      </c>
      <c r="S2549" s="27" t="s">
        <v>6409</v>
      </c>
      <c r="T2549" s="27"/>
      <c r="U2549" s="27">
        <v>1745</v>
      </c>
      <c r="V2549" s="27" t="s">
        <v>1735</v>
      </c>
      <c r="W2549" s="27" t="s">
        <v>1681</v>
      </c>
      <c r="X2549" s="128" t="s">
        <v>6337</v>
      </c>
      <c r="Y2549" s="73" t="str">
        <f>VLOOKUP(X2549,Choferes!$B$3:C458,2,FALSE)</f>
        <v>+55 54 99649-9027</v>
      </c>
      <c r="Z2549" s="73" t="s">
        <v>6410</v>
      </c>
    </row>
    <row r="2550" spans="1:26" hidden="1" x14ac:dyDescent="0.25">
      <c r="A2550" s="222">
        <v>36</v>
      </c>
      <c r="B2550" s="71" t="s">
        <v>29</v>
      </c>
      <c r="C2550" s="39" t="s">
        <v>6411</v>
      </c>
      <c r="D2550" s="106" t="s">
        <v>102</v>
      </c>
      <c r="E2550" s="47">
        <v>46266</v>
      </c>
      <c r="F2550" s="31" t="str">
        <f>VLOOKUP($C2550,Carpetas!$C$5:$M$2666,2,FALSE)</f>
        <v>PYB063-26</v>
      </c>
      <c r="G2550" s="23">
        <f>VLOOKUP($C2550,Carpetas!$C$5:$M$2666,10,FALSE)</f>
        <v>1568047</v>
      </c>
      <c r="H2550" s="27" t="str">
        <f>VLOOKUP($C2550,Carpetas!$C$5:$M$2666,6,FALSE)</f>
        <v>Lider Express</v>
      </c>
      <c r="I2550" s="27" t="str">
        <f>VLOOKUP($C2550,Carpetas!$C$5:$M$2666,3,FALSE)</f>
        <v>Milciades Sosa</v>
      </c>
      <c r="J2550" s="243">
        <f>E2550+3</f>
        <v>46269</v>
      </c>
      <c r="K2550" s="261" t="str">
        <f>VLOOKUP($C2550,Carpetas!$C$5:$M$2666,5,FALSE)</f>
        <v>Salto</v>
      </c>
      <c r="L2550" s="263" t="s">
        <v>6116</v>
      </c>
      <c r="M2550" s="268">
        <f t="shared" si="183"/>
        <v>46270</v>
      </c>
      <c r="N2550" s="269">
        <f t="shared" si="180"/>
        <v>4</v>
      </c>
      <c r="O2550" s="27">
        <v>980</v>
      </c>
      <c r="P2550" s="27">
        <v>980</v>
      </c>
      <c r="Q2550" s="27">
        <v>28</v>
      </c>
      <c r="R2550" s="27">
        <v>27</v>
      </c>
      <c r="S2550" s="27" t="s">
        <v>482</v>
      </c>
      <c r="T2550" s="27"/>
      <c r="U2550" s="27"/>
      <c r="V2550" s="27"/>
      <c r="W2550" s="27"/>
      <c r="X2550" s="128"/>
      <c r="Y2550" s="73" t="e">
        <f>VLOOKUP(X2550,Choferes!$B$3:C452,2,FALSE)</f>
        <v>#N/A</v>
      </c>
      <c r="Z2550" s="73" t="s">
        <v>6412</v>
      </c>
    </row>
    <row r="2551" spans="1:26" hidden="1" x14ac:dyDescent="0.25">
      <c r="A2551" s="222">
        <v>36</v>
      </c>
      <c r="B2551" s="71" t="s">
        <v>29</v>
      </c>
      <c r="C2551" s="39" t="s">
        <v>6413</v>
      </c>
      <c r="D2551" s="106" t="s">
        <v>183</v>
      </c>
      <c r="E2551" s="47">
        <v>46267</v>
      </c>
      <c r="F2551" s="31" t="str">
        <f>VLOOKUP($C2551,Carpetas!$C$5:$M$2666,2,FALSE)</f>
        <v>PYB062-26</v>
      </c>
      <c r="G2551" s="23">
        <f>VLOOKUP($C2551,Carpetas!$C$5:$M$2666,10,FALSE)</f>
        <v>1568046</v>
      </c>
      <c r="H2551" s="27" t="str">
        <f>VLOOKUP($C2551,Carpetas!$C$5:$M$2666,6,FALSE)</f>
        <v>Mega Logistica</v>
      </c>
      <c r="I2551" s="27" t="str">
        <f>VLOOKUP($C2551,Carpetas!$C$5:$M$2666,3,FALSE)</f>
        <v>Hugo Franco</v>
      </c>
      <c r="J2551" s="243">
        <v>46269</v>
      </c>
      <c r="K2551" s="261" t="str">
        <f>VLOOKUP($C2551,Carpetas!$C$5:$M$2666,5,FALSE)</f>
        <v>Salto</v>
      </c>
      <c r="L2551" s="263" t="s">
        <v>6116</v>
      </c>
      <c r="M2551" s="268">
        <f t="shared" si="183"/>
        <v>46270</v>
      </c>
      <c r="N2551" s="269">
        <f t="shared" si="180"/>
        <v>3</v>
      </c>
      <c r="O2551" s="27">
        <v>980</v>
      </c>
      <c r="P2551" s="27">
        <v>980</v>
      </c>
      <c r="Q2551" s="27">
        <v>28</v>
      </c>
      <c r="R2551" s="27">
        <v>26</v>
      </c>
      <c r="S2551" s="27" t="s">
        <v>6414</v>
      </c>
      <c r="T2551" s="27"/>
      <c r="U2551" s="27"/>
      <c r="V2551" s="27"/>
      <c r="W2551" s="27"/>
      <c r="X2551" s="128"/>
      <c r="Y2551" s="73" t="e">
        <f>VLOOKUP(X2551,Choferes!$B$3:C451,2,FALSE)</f>
        <v>#N/A</v>
      </c>
      <c r="Z2551" s="73" t="s">
        <v>6415</v>
      </c>
    </row>
    <row r="2552" spans="1:26" x14ac:dyDescent="0.25">
      <c r="A2552" s="222">
        <v>36</v>
      </c>
      <c r="B2552" s="71" t="s">
        <v>6416</v>
      </c>
      <c r="C2552" s="39" t="s">
        <v>6417</v>
      </c>
      <c r="D2552" s="106" t="s">
        <v>2474</v>
      </c>
      <c r="E2552" s="47">
        <v>46269</v>
      </c>
      <c r="F2552" s="31" t="str">
        <f>VLOOKUP($C2552,Carpetas!$C$5:$M$2666,2,FALSE)</f>
        <v>BRB074/26</v>
      </c>
      <c r="G2552" s="23" t="str">
        <f>VLOOKUP($C2552,Carpetas!$C$5:$M$2666,10,FALSE)</f>
        <v>156,87,83</v>
      </c>
      <c r="H2552" s="27" t="str">
        <f>VLOOKUP($C2552,Carpetas!$C$5:$M$2666,6,FALSE)</f>
        <v>Amaro</v>
      </c>
      <c r="I2552" s="27" t="str">
        <f>VLOOKUP($C2552,Carpetas!$C$5:$M$2666,3,FALSE)</f>
        <v>Etimex</v>
      </c>
      <c r="J2552" s="243">
        <v>46272</v>
      </c>
      <c r="K2552" s="261" t="str">
        <f>VLOOKUP($C2552,Carpetas!$C$5:$M$2666,5,FALSE)</f>
        <v>Rio Branco</v>
      </c>
      <c r="L2552" s="263" t="s">
        <v>6116</v>
      </c>
      <c r="M2552" s="268">
        <f>J2552+1+1</f>
        <v>46274</v>
      </c>
      <c r="N2552" s="269">
        <f t="shared" si="180"/>
        <v>5</v>
      </c>
      <c r="O2552" s="27">
        <v>1008</v>
      </c>
      <c r="P2552" s="27"/>
      <c r="Q2552" s="27"/>
      <c r="R2552" s="27"/>
      <c r="S2552" s="27"/>
      <c r="T2552" s="27"/>
      <c r="U2552" s="27"/>
      <c r="V2552" s="27"/>
      <c r="W2552" s="27"/>
      <c r="X2552" s="128"/>
      <c r="Y2552" s="73" t="e">
        <f>VLOOKUP(X2552,Choferes!$B$3:C459,2,FALSE)</f>
        <v>#N/A</v>
      </c>
      <c r="Z2552" s="73"/>
    </row>
    <row r="2553" spans="1:26" x14ac:dyDescent="0.25">
      <c r="A2553" s="222">
        <v>36</v>
      </c>
      <c r="B2553" s="71" t="s">
        <v>6416</v>
      </c>
      <c r="C2553" s="39" t="s">
        <v>6382</v>
      </c>
      <c r="D2553" s="106" t="s">
        <v>110</v>
      </c>
      <c r="E2553" s="47">
        <v>46269</v>
      </c>
      <c r="F2553" s="31" t="str">
        <f>VLOOKUP($C2553,Carpetas!$C$5:$M$2666,2,FALSE)</f>
        <v>BRB071/26</v>
      </c>
      <c r="G2553" s="23">
        <f>VLOOKUP($C2553,Carpetas!$C$5:$M$2666,10,FALSE)</f>
        <v>1567628</v>
      </c>
      <c r="H2553" s="27" t="str">
        <f>VLOOKUP($C2553,Carpetas!$C$5:$M$2666,6,FALSE)</f>
        <v>FG</v>
      </c>
      <c r="I2553" s="27" t="str">
        <f>VLOOKUP($C2553,Carpetas!$C$5:$M$2666,3,FALSE)</f>
        <v>Etimex</v>
      </c>
      <c r="J2553" s="243">
        <v>46272</v>
      </c>
      <c r="K2553" s="261" t="str">
        <f>VLOOKUP($C2553,Carpetas!$C$5:$M$2666,5,FALSE)</f>
        <v>Rio Branco</v>
      </c>
      <c r="L2553" s="263" t="s">
        <v>6116</v>
      </c>
      <c r="M2553" s="268">
        <f t="shared" ref="M2553:M2556" si="184">J2553+1+1</f>
        <v>46274</v>
      </c>
      <c r="N2553" s="269">
        <f t="shared" si="180"/>
        <v>5</v>
      </c>
      <c r="O2553" s="27">
        <v>1008</v>
      </c>
      <c r="P2553" s="27"/>
      <c r="Q2553" s="27"/>
      <c r="R2553" s="27"/>
      <c r="S2553" s="27"/>
      <c r="T2553" s="27"/>
      <c r="U2553" s="27"/>
      <c r="V2553" s="27"/>
      <c r="W2553" s="27"/>
      <c r="X2553" s="128"/>
      <c r="Y2553" s="73" t="e">
        <f>VLOOKUP(X2553,Choferes!$B$3:C460,2,FALSE)</f>
        <v>#N/A</v>
      </c>
      <c r="Z2553" s="73"/>
    </row>
    <row r="2554" spans="1:26" x14ac:dyDescent="0.25">
      <c r="A2554" s="222">
        <v>36</v>
      </c>
      <c r="B2554" s="71" t="s">
        <v>6416</v>
      </c>
      <c r="C2554" s="39" t="s">
        <v>6378</v>
      </c>
      <c r="D2554" s="106" t="s">
        <v>2202</v>
      </c>
      <c r="E2554" s="47">
        <v>46269</v>
      </c>
      <c r="F2554" s="31" t="str">
        <f>VLOOKUP($C2554,Carpetas!$C$5:$M$2666,2,FALSE)</f>
        <v>BRB072/26</v>
      </c>
      <c r="G2554" s="23">
        <f>VLOOKUP($C2554,Carpetas!$C$5:$M$2666,10,FALSE)</f>
        <v>1567629</v>
      </c>
      <c r="H2554" s="27" t="str">
        <f>VLOOKUP($C2554,Carpetas!$C$5:$M$2666,6,FALSE)</f>
        <v>Chabat</v>
      </c>
      <c r="I2554" s="27" t="str">
        <f>VLOOKUP($C2554,Carpetas!$C$5:$M$2666,3,FALSE)</f>
        <v>Etimex</v>
      </c>
      <c r="J2554" s="243">
        <v>46272</v>
      </c>
      <c r="K2554" s="261" t="str">
        <f>VLOOKUP($C2554,Carpetas!$C$5:$M$2666,5,FALSE)</f>
        <v>Rio Branco</v>
      </c>
      <c r="L2554" s="263" t="s">
        <v>6116</v>
      </c>
      <c r="M2554" s="268">
        <f t="shared" si="184"/>
        <v>46274</v>
      </c>
      <c r="N2554" s="269">
        <f t="shared" si="180"/>
        <v>5</v>
      </c>
      <c r="O2554" s="27">
        <v>1008</v>
      </c>
      <c r="P2554" s="27"/>
      <c r="Q2554" s="27"/>
      <c r="R2554" s="27"/>
      <c r="S2554" s="27"/>
      <c r="T2554" s="27"/>
      <c r="U2554" s="27"/>
      <c r="V2554" s="27"/>
      <c r="W2554" s="27"/>
      <c r="X2554" s="128"/>
      <c r="Y2554" s="73" t="e">
        <f>VLOOKUP(X2554,Choferes!$B$3:C461,2,FALSE)</f>
        <v>#N/A</v>
      </c>
      <c r="Z2554" s="73"/>
    </row>
    <row r="2555" spans="1:26" x14ac:dyDescent="0.25">
      <c r="A2555" s="222">
        <v>36</v>
      </c>
      <c r="B2555" s="71" t="s">
        <v>6416</v>
      </c>
      <c r="C2555" s="39" t="s">
        <v>6382</v>
      </c>
      <c r="D2555" s="106" t="s">
        <v>5507</v>
      </c>
      <c r="E2555" s="47">
        <v>46269</v>
      </c>
      <c r="F2555" s="31" t="str">
        <f>VLOOKUP($C2555,Carpetas!$C$5:$M$2666,2,FALSE)</f>
        <v>BRB071/26</v>
      </c>
      <c r="G2555" s="23">
        <f>VLOOKUP($C2555,Carpetas!$C$5:$M$2666,10,FALSE)</f>
        <v>1567628</v>
      </c>
      <c r="H2555" s="27" t="str">
        <f>VLOOKUP($C2555,Carpetas!$C$5:$M$2666,6,FALSE)</f>
        <v>FG</v>
      </c>
      <c r="I2555" s="27" t="str">
        <f>VLOOKUP($C2555,Carpetas!$C$5:$M$2666,3,FALSE)</f>
        <v>Etimex</v>
      </c>
      <c r="J2555" s="243">
        <v>46272</v>
      </c>
      <c r="K2555" s="261" t="str">
        <f>VLOOKUP($C2555,Carpetas!$C$5:$M$2666,5,FALSE)</f>
        <v>Rio Branco</v>
      </c>
      <c r="L2555" s="263" t="s">
        <v>6116</v>
      </c>
      <c r="M2555" s="268">
        <f t="shared" si="184"/>
        <v>46274</v>
      </c>
      <c r="N2555" s="269">
        <f t="shared" si="180"/>
        <v>5</v>
      </c>
      <c r="O2555" s="27">
        <v>1008</v>
      </c>
      <c r="P2555" s="27"/>
      <c r="Q2555" s="27"/>
      <c r="R2555" s="27"/>
      <c r="S2555" s="27"/>
      <c r="T2555" s="27"/>
      <c r="U2555" s="27"/>
      <c r="V2555" s="27"/>
      <c r="W2555" s="27"/>
      <c r="X2555" s="128"/>
      <c r="Y2555" s="73" t="e">
        <f>VLOOKUP(X2555,Choferes!$B$3:C462,2,FALSE)</f>
        <v>#N/A</v>
      </c>
      <c r="Z2555" s="73"/>
    </row>
    <row r="2556" spans="1:26" x14ac:dyDescent="0.25">
      <c r="A2556" s="222">
        <v>36</v>
      </c>
      <c r="B2556" s="71" t="s">
        <v>6416</v>
      </c>
      <c r="C2556" s="39" t="s">
        <v>6378</v>
      </c>
      <c r="D2556" s="106" t="s">
        <v>6418</v>
      </c>
      <c r="E2556" s="47">
        <v>46269</v>
      </c>
      <c r="F2556" s="31" t="str">
        <f>VLOOKUP($C2556,Carpetas!$C$5:$M$2666,2,FALSE)</f>
        <v>BRB072/26</v>
      </c>
      <c r="G2556" s="23">
        <f>VLOOKUP($C2556,Carpetas!$C$5:$M$2666,10,FALSE)</f>
        <v>1567629</v>
      </c>
      <c r="H2556" s="27" t="str">
        <f>VLOOKUP($C2556,Carpetas!$C$5:$M$2666,6,FALSE)</f>
        <v>Chabat</v>
      </c>
      <c r="I2556" s="27" t="str">
        <f>VLOOKUP($C2556,Carpetas!$C$5:$M$2666,3,FALSE)</f>
        <v>Etimex</v>
      </c>
      <c r="J2556" s="243">
        <v>46272</v>
      </c>
      <c r="K2556" s="261" t="str">
        <f>VLOOKUP($C2556,Carpetas!$C$5:$M$2666,5,FALSE)</f>
        <v>Rio Branco</v>
      </c>
      <c r="L2556" s="263" t="s">
        <v>6116</v>
      </c>
      <c r="M2556" s="268">
        <f t="shared" si="184"/>
        <v>46274</v>
      </c>
      <c r="N2556" s="269">
        <f t="shared" si="180"/>
        <v>5</v>
      </c>
      <c r="O2556" s="27">
        <v>1008</v>
      </c>
      <c r="P2556" s="27"/>
      <c r="Q2556" s="27"/>
      <c r="R2556" s="27"/>
      <c r="S2556" s="27"/>
      <c r="T2556" s="27"/>
      <c r="U2556" s="27"/>
      <c r="V2556" s="27"/>
      <c r="W2556" s="27"/>
      <c r="X2556" s="128"/>
      <c r="Y2556" s="73" t="e">
        <f>VLOOKUP(X2556,Choferes!$B$3:C463,2,FALSE)</f>
        <v>#N/A</v>
      </c>
      <c r="Z2556" s="73"/>
    </row>
    <row r="2557" spans="1:26" x14ac:dyDescent="0.25">
      <c r="A2557" s="222">
        <v>36</v>
      </c>
      <c r="B2557" s="71" t="s">
        <v>6419</v>
      </c>
      <c r="C2557" s="39" t="s">
        <v>6420</v>
      </c>
      <c r="D2557" s="106" t="s">
        <v>38</v>
      </c>
      <c r="E2557" s="47">
        <v>46267</v>
      </c>
      <c r="F2557" s="31" t="str">
        <f>VLOOKUP($C2557,Carpetas!$C$5:$M$2666,2,FALSE)</f>
        <v>BRE066/26</v>
      </c>
      <c r="G2557" s="23">
        <f>VLOOKUP($C2557,Carpetas!$C$5:$M$2666,10,FALSE)</f>
        <v>1568284</v>
      </c>
      <c r="H2557" s="27" t="str">
        <f>VLOOKUP($C2557,Carpetas!$C$5:$M$2666,6,FALSE)</f>
        <v>Gral</v>
      </c>
      <c r="I2557" s="27" t="str">
        <f>VLOOKUP($C2557,Carpetas!$C$5:$M$2666,3,FALSE)</f>
        <v>Etimex</v>
      </c>
      <c r="J2557" s="243">
        <v>46273</v>
      </c>
      <c r="K2557" s="261" t="str">
        <f>VLOOKUP($C2557,Carpetas!$C$5:$M$2666,5,FALSE)</f>
        <v>Rio Branco</v>
      </c>
      <c r="L2557" s="263" t="s">
        <v>1273</v>
      </c>
      <c r="M2557" s="268">
        <f>J2557+1</f>
        <v>46274</v>
      </c>
      <c r="N2557" s="269">
        <f t="shared" si="180"/>
        <v>7</v>
      </c>
      <c r="O2557" s="27">
        <v>24500</v>
      </c>
      <c r="P2557" s="27"/>
      <c r="Q2557" s="27"/>
      <c r="R2557" s="27"/>
      <c r="S2557" s="27"/>
      <c r="T2557" s="27"/>
      <c r="U2557" s="27"/>
      <c r="V2557" s="27"/>
      <c r="W2557" s="27"/>
      <c r="X2557" s="128"/>
      <c r="Y2557" s="73" t="e">
        <f>VLOOKUP(X2557,Choferes!$B$3:C451,2,FALSE)</f>
        <v>#N/A</v>
      </c>
      <c r="Z2557" s="73"/>
    </row>
    <row r="2558" spans="1:26" x14ac:dyDescent="0.25">
      <c r="A2558" s="222">
        <v>36</v>
      </c>
      <c r="B2558" s="71" t="s">
        <v>14</v>
      </c>
      <c r="C2558" s="39" t="s">
        <v>6421</v>
      </c>
      <c r="D2558" s="106" t="s">
        <v>102</v>
      </c>
      <c r="E2558" s="47">
        <v>46271</v>
      </c>
      <c r="F2558" s="31" t="str">
        <f>VLOOKUP($C2558,Carpetas!$C$5:$M$2666,2,FALSE)</f>
        <v>PYB064/26</v>
      </c>
      <c r="G2558" s="23">
        <f>VLOOKUP($C2558,Carpetas!$C$5:$M$2666,10,FALSE)</f>
        <v>1568303</v>
      </c>
      <c r="H2558" s="27" t="str">
        <f>VLOOKUP($C2558,Carpetas!$C$5:$M$2666,6,FALSE)</f>
        <v>Lider Express</v>
      </c>
      <c r="I2558" s="27" t="str">
        <f>VLOOKUP($C2558,Carpetas!$C$5:$M$2666,3,FALSE)</f>
        <v>Milciades Sosa</v>
      </c>
      <c r="J2558" s="243">
        <v>46273</v>
      </c>
      <c r="K2558" s="261" t="str">
        <f>VLOOKUP($C2558,Carpetas!$C$5:$M$2666,5,FALSE)</f>
        <v>Salto</v>
      </c>
      <c r="L2558" s="263" t="s">
        <v>6116</v>
      </c>
      <c r="M2558" s="268">
        <f>J2558+1</f>
        <v>46274</v>
      </c>
      <c r="N2558" s="269">
        <f t="shared" si="180"/>
        <v>3</v>
      </c>
      <c r="O2558" s="27">
        <v>980</v>
      </c>
      <c r="P2558" s="27"/>
      <c r="Q2558" s="27"/>
      <c r="R2558" s="27"/>
      <c r="S2558" s="27"/>
      <c r="T2558" s="27"/>
      <c r="U2558" s="27"/>
      <c r="V2558" s="27"/>
      <c r="W2558" s="27"/>
      <c r="X2558" s="128"/>
      <c r="Y2558" s="73" t="e">
        <f>VLOOKUP(X2558,Choferes!$B$3:C431,2,FALSE)</f>
        <v>#N/A</v>
      </c>
      <c r="Z2558" s="73"/>
    </row>
    <row r="2559" spans="1:26" x14ac:dyDescent="0.25">
      <c r="A2559" s="222">
        <v>37</v>
      </c>
      <c r="B2559" s="71" t="s">
        <v>14</v>
      </c>
      <c r="C2559" s="39" t="s">
        <v>6422</v>
      </c>
      <c r="D2559" s="106" t="s">
        <v>183</v>
      </c>
      <c r="E2559" s="47">
        <v>46271</v>
      </c>
      <c r="F2559" s="31" t="str">
        <f>VLOOKUP($C2559,Carpetas!$C$5:$M$2666,2,FALSE)</f>
        <v>PYB065-26</v>
      </c>
      <c r="G2559" s="23">
        <f>VLOOKUP($C2559,Carpetas!$C$5:$M$2666,10,FALSE)</f>
        <v>1568707</v>
      </c>
      <c r="H2559" s="27" t="str">
        <f>VLOOKUP($C2559,Carpetas!$C$5:$M$2666,6,FALSE)</f>
        <v>Mega Logistica</v>
      </c>
      <c r="I2559" s="27" t="str">
        <f>VLOOKUP($C2559,Carpetas!$C$5:$M$2666,3,FALSE)</f>
        <v>Hugo Franco</v>
      </c>
      <c r="J2559" s="243">
        <f>E2559+2</f>
        <v>46273</v>
      </c>
      <c r="K2559" s="261" t="str">
        <f>VLOOKUP($C2559,Carpetas!$C$5:$M$2666,5,FALSE)</f>
        <v>Salto</v>
      </c>
      <c r="L2559" s="263" t="s">
        <v>6116</v>
      </c>
      <c r="M2559" s="268">
        <f>J2559+1</f>
        <v>46274</v>
      </c>
      <c r="N2559" s="269">
        <f t="shared" si="180"/>
        <v>3</v>
      </c>
      <c r="O2559" s="27">
        <v>980</v>
      </c>
      <c r="P2559" s="27"/>
      <c r="Q2559" s="27"/>
      <c r="R2559" s="27"/>
      <c r="S2559" s="27"/>
      <c r="T2559" s="27"/>
      <c r="U2559" s="27"/>
      <c r="V2559" s="27"/>
      <c r="W2559" s="27"/>
      <c r="X2559" s="128"/>
      <c r="Y2559" s="73" t="e">
        <f>VLOOKUP(X2559,Choferes!$B$3:C432,2,FALSE)</f>
        <v>#N/A</v>
      </c>
      <c r="Z2559" s="73"/>
    </row>
    <row r="2560" spans="1:26" x14ac:dyDescent="0.25">
      <c r="A2560" s="222">
        <v>37</v>
      </c>
      <c r="B2560" s="71" t="s">
        <v>14</v>
      </c>
      <c r="C2560" s="39" t="s">
        <v>6422</v>
      </c>
      <c r="D2560" s="106" t="s">
        <v>183</v>
      </c>
      <c r="E2560" s="47">
        <v>46271</v>
      </c>
      <c r="F2560" s="31" t="str">
        <f>VLOOKUP($C2560,Carpetas!$C$5:$M$2666,2,FALSE)</f>
        <v>PYB065-26</v>
      </c>
      <c r="G2560" s="23">
        <f>VLOOKUP($C2560,Carpetas!$C$5:$M$2666,10,FALSE)</f>
        <v>1568707</v>
      </c>
      <c r="H2560" s="27" t="str">
        <f>VLOOKUP($C2560,Carpetas!$C$5:$M$2666,6,FALSE)</f>
        <v>Mega Logistica</v>
      </c>
      <c r="I2560" s="27" t="str">
        <f>VLOOKUP($C2560,Carpetas!$C$5:$M$2666,3,FALSE)</f>
        <v>Hugo Franco</v>
      </c>
      <c r="J2560" s="243">
        <f t="shared" ref="J2560:J2564" si="185">E2560+2</f>
        <v>46273</v>
      </c>
      <c r="K2560" s="261" t="str">
        <f>VLOOKUP($C2560,Carpetas!$C$5:$M$2666,5,FALSE)</f>
        <v>Salto</v>
      </c>
      <c r="L2560" s="263" t="s">
        <v>6116</v>
      </c>
      <c r="M2560" s="268">
        <f t="shared" ref="M2560:M2564" si="186">J2560+1</f>
        <v>46274</v>
      </c>
      <c r="N2560" s="269">
        <f t="shared" ref="N2560:N2564" si="187">IF(E2560&lt;&gt;"",M2560-E2560,"-")</f>
        <v>3</v>
      </c>
      <c r="O2560" s="27">
        <v>980</v>
      </c>
      <c r="P2560" s="27"/>
      <c r="Q2560" s="27"/>
      <c r="R2560" s="27"/>
      <c r="S2560" s="27"/>
      <c r="T2560" s="27"/>
      <c r="U2560" s="27"/>
      <c r="V2560" s="27"/>
      <c r="W2560" s="27"/>
      <c r="X2560" s="128"/>
      <c r="Y2560" s="73" t="e">
        <f>VLOOKUP(X2560,Choferes!$B$3:C433,2,FALSE)</f>
        <v>#N/A</v>
      </c>
      <c r="Z2560" s="73"/>
    </row>
    <row r="2561" spans="1:26" x14ac:dyDescent="0.25">
      <c r="A2561" s="222">
        <v>37</v>
      </c>
      <c r="B2561" s="71" t="s">
        <v>6423</v>
      </c>
      <c r="C2561" s="39" t="s">
        <v>6422</v>
      </c>
      <c r="D2561" s="106" t="s">
        <v>183</v>
      </c>
      <c r="E2561" s="47">
        <v>46273</v>
      </c>
      <c r="F2561" s="31" t="str">
        <f>VLOOKUP($C2561,Carpetas!$C$5:$M$2666,2,FALSE)</f>
        <v>PYB065-26</v>
      </c>
      <c r="G2561" s="23">
        <f>VLOOKUP($C2561,Carpetas!$C$5:$M$2666,10,FALSE)</f>
        <v>1568707</v>
      </c>
      <c r="H2561" s="27" t="str">
        <f>VLOOKUP($C2561,Carpetas!$C$5:$M$2666,6,FALSE)</f>
        <v>Mega Logistica</v>
      </c>
      <c r="I2561" s="27" t="str">
        <f>VLOOKUP($C2561,Carpetas!$C$5:$M$2666,3,FALSE)</f>
        <v>Hugo Franco</v>
      </c>
      <c r="J2561" s="243">
        <f t="shared" si="185"/>
        <v>46275</v>
      </c>
      <c r="K2561" s="261" t="str">
        <f>VLOOKUP($C2561,Carpetas!$C$5:$M$2666,5,FALSE)</f>
        <v>Salto</v>
      </c>
      <c r="L2561" s="263" t="s">
        <v>6116</v>
      </c>
      <c r="M2561" s="268">
        <f t="shared" si="186"/>
        <v>46276</v>
      </c>
      <c r="N2561" s="269">
        <f t="shared" si="187"/>
        <v>3</v>
      </c>
      <c r="O2561" s="27">
        <v>980</v>
      </c>
      <c r="P2561" s="27"/>
      <c r="Q2561" s="27"/>
      <c r="R2561" s="27"/>
      <c r="S2561" s="27"/>
      <c r="T2561" s="27"/>
      <c r="U2561" s="27"/>
      <c r="V2561" s="27"/>
      <c r="W2561" s="27"/>
      <c r="X2561" s="128"/>
      <c r="Y2561" s="73" t="e">
        <f>VLOOKUP(X2561,Choferes!$B$3:C434,2,FALSE)</f>
        <v>#N/A</v>
      </c>
      <c r="Z2561" s="73"/>
    </row>
    <row r="2562" spans="1:26" x14ac:dyDescent="0.25">
      <c r="A2562" s="222">
        <v>37</v>
      </c>
      <c r="B2562" s="71" t="s">
        <v>6423</v>
      </c>
      <c r="C2562" s="39" t="s">
        <v>6424</v>
      </c>
      <c r="D2562" s="106" t="s">
        <v>102</v>
      </c>
      <c r="E2562" s="47">
        <v>46273</v>
      </c>
      <c r="F2562" s="31" t="str">
        <f>VLOOKUP($C2562,Carpetas!$C$5:$M$2666,2,FALSE)</f>
        <v>PYB068-26</v>
      </c>
      <c r="G2562" s="23" t="str">
        <f>VLOOKUP($C2562,Carpetas!$C$5:$M$2666,10,FALSE)</f>
        <v>156,87,09</v>
      </c>
      <c r="H2562" s="27" t="str">
        <f>VLOOKUP($C2562,Carpetas!$C$5:$M$2666,6,FALSE)</f>
        <v>G.S.C.S. PARAGUAY TTES.</v>
      </c>
      <c r="I2562" s="27" t="str">
        <f>VLOOKUP($C2562,Carpetas!$C$5:$M$2666,3,FALSE)</f>
        <v>Milciades Sosa</v>
      </c>
      <c r="J2562" s="243">
        <f t="shared" si="185"/>
        <v>46275</v>
      </c>
      <c r="K2562" s="261" t="str">
        <f>VLOOKUP($C2562,Carpetas!$C$5:$M$2666,5,FALSE)</f>
        <v>Salto</v>
      </c>
      <c r="L2562" s="263" t="s">
        <v>6116</v>
      </c>
      <c r="M2562" s="268">
        <f t="shared" si="186"/>
        <v>46276</v>
      </c>
      <c r="N2562" s="269">
        <f t="shared" si="187"/>
        <v>3</v>
      </c>
      <c r="O2562" s="27">
        <v>980</v>
      </c>
      <c r="P2562" s="27"/>
      <c r="Q2562" s="27"/>
      <c r="R2562" s="27"/>
      <c r="S2562" s="27"/>
      <c r="T2562" s="27"/>
      <c r="U2562" s="27"/>
      <c r="V2562" s="27"/>
      <c r="W2562" s="27"/>
      <c r="X2562" s="128"/>
      <c r="Y2562" s="73" t="e">
        <f>VLOOKUP(X2562,Choferes!$B$3:C435,2,FALSE)</f>
        <v>#N/A</v>
      </c>
      <c r="Z2562" s="73"/>
    </row>
    <row r="2563" spans="1:26" x14ac:dyDescent="0.25">
      <c r="A2563" s="222">
        <v>37</v>
      </c>
      <c r="B2563" s="71" t="s">
        <v>6423</v>
      </c>
      <c r="C2563" s="39" t="s">
        <v>6425</v>
      </c>
      <c r="D2563" s="106" t="s">
        <v>6305</v>
      </c>
      <c r="E2563" s="47">
        <v>46273</v>
      </c>
      <c r="F2563" s="31" t="str">
        <f>VLOOKUP($C2563,Carpetas!$C$5:$M$2666,2,FALSE)</f>
        <v>PYB066-26</v>
      </c>
      <c r="G2563" s="23">
        <f>VLOOKUP($C2563,Carpetas!$C$5:$M$2666,10,FALSE)</f>
        <v>1568658</v>
      </c>
      <c r="H2563" s="27" t="str">
        <f>VLOOKUP($C2563,Carpetas!$C$5:$M$2666,6,FALSE)</f>
        <v xml:space="preserve">MARSO EMPRENDIMIENTOS S.R.L. </v>
      </c>
      <c r="I2563" s="27" t="str">
        <f>VLOOKUP($C2563,Carpetas!$C$5:$M$2666,3,FALSE)</f>
        <v>Alvaro Saldivar</v>
      </c>
      <c r="J2563" s="243">
        <f t="shared" si="185"/>
        <v>46275</v>
      </c>
      <c r="K2563" s="261" t="str">
        <f>VLOOKUP($C2563,Carpetas!$C$5:$M$2666,5,FALSE)</f>
        <v>Salto</v>
      </c>
      <c r="L2563" s="263" t="s">
        <v>6116</v>
      </c>
      <c r="M2563" s="268">
        <f t="shared" si="186"/>
        <v>46276</v>
      </c>
      <c r="N2563" s="269">
        <f t="shared" si="187"/>
        <v>3</v>
      </c>
      <c r="O2563" s="27">
        <v>980</v>
      </c>
      <c r="P2563" s="27"/>
      <c r="Q2563" s="27"/>
      <c r="R2563" s="27"/>
      <c r="S2563" s="27"/>
      <c r="T2563" s="27"/>
      <c r="U2563" s="27"/>
      <c r="V2563" s="27"/>
      <c r="W2563" s="27"/>
      <c r="X2563" s="128"/>
      <c r="Y2563" s="73" t="e">
        <f>VLOOKUP(X2563,Choferes!$B$3:C436,2,FALSE)</f>
        <v>#N/A</v>
      </c>
      <c r="Z2563" s="73"/>
    </row>
    <row r="2564" spans="1:26" x14ac:dyDescent="0.25">
      <c r="A2564" s="222">
        <v>37</v>
      </c>
      <c r="B2564" s="71" t="s">
        <v>6423</v>
      </c>
      <c r="C2564" s="39" t="s">
        <v>6425</v>
      </c>
      <c r="D2564" s="106" t="s">
        <v>6305</v>
      </c>
      <c r="E2564" s="47">
        <v>46273</v>
      </c>
      <c r="F2564" s="31" t="str">
        <f>VLOOKUP($C2564,Carpetas!$C$5:$M$2666,2,FALSE)</f>
        <v>PYB066-26</v>
      </c>
      <c r="G2564" s="23">
        <f>VLOOKUP($C2564,Carpetas!$C$5:$M$2666,10,FALSE)</f>
        <v>1568658</v>
      </c>
      <c r="H2564" s="27" t="str">
        <f>VLOOKUP($C2564,Carpetas!$C$5:$M$2666,6,FALSE)</f>
        <v xml:space="preserve">MARSO EMPRENDIMIENTOS S.R.L. </v>
      </c>
      <c r="I2564" s="27" t="str">
        <f>VLOOKUP($C2564,Carpetas!$C$5:$M$2666,3,FALSE)</f>
        <v>Alvaro Saldivar</v>
      </c>
      <c r="J2564" s="243">
        <f t="shared" si="185"/>
        <v>46275</v>
      </c>
      <c r="K2564" s="261" t="str">
        <f>VLOOKUP($C2564,Carpetas!$C$5:$M$2666,5,FALSE)</f>
        <v>Salto</v>
      </c>
      <c r="L2564" s="263" t="s">
        <v>6116</v>
      </c>
      <c r="M2564" s="268">
        <f t="shared" si="186"/>
        <v>46276</v>
      </c>
      <c r="N2564" s="269">
        <f t="shared" si="187"/>
        <v>3</v>
      </c>
      <c r="O2564" s="27">
        <v>980</v>
      </c>
      <c r="P2564" s="27"/>
      <c r="Q2564" s="27"/>
      <c r="R2564" s="27"/>
      <c r="S2564" s="27"/>
      <c r="T2564" s="27"/>
      <c r="U2564" s="27"/>
      <c r="V2564" s="27"/>
      <c r="W2564" s="27"/>
      <c r="X2564" s="128"/>
      <c r="Y2564" s="73" t="e">
        <f>VLOOKUP(X2564,Choferes!$B$3:C437,2,FALSE)</f>
        <v>#N/A</v>
      </c>
      <c r="Z2564" s="73"/>
    </row>
    <row r="2565" spans="1:26" x14ac:dyDescent="0.25">
      <c r="A2565" s="222">
        <v>37</v>
      </c>
      <c r="B2565" s="71" t="s">
        <v>6423</v>
      </c>
      <c r="C2565" s="39" t="s">
        <v>6426</v>
      </c>
      <c r="D2565" s="106" t="s">
        <v>121</v>
      </c>
      <c r="E2565" s="47">
        <v>46273</v>
      </c>
      <c r="F2565" s="31" t="str">
        <f>VLOOKUP($C2565,Carpetas!$C$5:$M$2666,2,FALSE)</f>
        <v>PYB067-26</v>
      </c>
      <c r="G2565" s="23">
        <f>VLOOKUP($C2565,Carpetas!$C$5:$M$2666,10,FALSE)</f>
        <v>1568708</v>
      </c>
      <c r="H2565" s="27" t="str">
        <f>VLOOKUP($C2565,Carpetas!$C$5:$M$2666,6,FALSE)</f>
        <v>Jauser</v>
      </c>
      <c r="I2565" s="27" t="str">
        <f>VLOOKUP($C2565,Carpetas!$C$5:$M$2666,3,FALSE)</f>
        <v>Diego Fernandez</v>
      </c>
      <c r="J2565" s="243">
        <f t="shared" ref="J2565" si="188">E2565+2</f>
        <v>46275</v>
      </c>
      <c r="K2565" s="261" t="str">
        <f>VLOOKUP($C2565,Carpetas!$C$5:$M$2666,5,FALSE)</f>
        <v>Salto</v>
      </c>
      <c r="L2565" s="263" t="s">
        <v>6116</v>
      </c>
      <c r="M2565" s="268">
        <f t="shared" ref="M2565" si="189">J2565+1</f>
        <v>46276</v>
      </c>
      <c r="N2565" s="269">
        <f t="shared" ref="N2565" si="190">IF(E2565&lt;&gt;"",M2565-E2565,"-")</f>
        <v>3</v>
      </c>
      <c r="O2565" s="27">
        <v>980</v>
      </c>
      <c r="P2565" s="27"/>
      <c r="Q2565" s="27"/>
      <c r="R2565" s="27"/>
      <c r="S2565" s="27"/>
      <c r="T2565" s="27"/>
      <c r="U2565" s="27"/>
      <c r="V2565" s="27"/>
      <c r="W2565" s="27"/>
      <c r="X2565" s="128"/>
      <c r="Y2565" s="73" t="e">
        <f>VLOOKUP(X2565,Choferes!$B$3:C438,2,FALSE)</f>
        <v>#N/A</v>
      </c>
      <c r="Z2565" s="73"/>
    </row>
    <row r="2566" spans="1:26" x14ac:dyDescent="0.25">
      <c r="A2566" s="222">
        <v>37</v>
      </c>
      <c r="B2566" s="71" t="s">
        <v>6423</v>
      </c>
      <c r="C2566" s="39" t="s">
        <v>6424</v>
      </c>
      <c r="D2566" s="106" t="s">
        <v>102</v>
      </c>
      <c r="E2566" s="47">
        <v>46276</v>
      </c>
      <c r="F2566" s="31" t="str">
        <f>VLOOKUP($C2566,Carpetas!$C$5:$M$2666,2,FALSE)</f>
        <v>PYB068-26</v>
      </c>
      <c r="G2566" s="23" t="str">
        <f>VLOOKUP($C2566,Carpetas!$C$5:$M$2666,10,FALSE)</f>
        <v>156,87,09</v>
      </c>
      <c r="H2566" s="27" t="str">
        <f>VLOOKUP($C2566,Carpetas!$C$5:$M$2666,6,FALSE)</f>
        <v>G.S.C.S. PARAGUAY TTES.</v>
      </c>
      <c r="I2566" s="27" t="str">
        <f>VLOOKUP($C2566,Carpetas!$C$5:$M$2666,3,FALSE)</f>
        <v>Milciades Sosa</v>
      </c>
      <c r="J2566" s="243">
        <f t="shared" ref="J2566" si="191">E2566+2</f>
        <v>46278</v>
      </c>
      <c r="K2566" s="261" t="str">
        <f>VLOOKUP($C2566,Carpetas!$C$5:$M$2666,5,FALSE)</f>
        <v>Salto</v>
      </c>
      <c r="L2566" s="263" t="s">
        <v>6116</v>
      </c>
      <c r="M2566" s="268">
        <f t="shared" ref="M2566" si="192">J2566+1</f>
        <v>46279</v>
      </c>
      <c r="N2566" s="269">
        <f t="shared" ref="N2566" si="193">IF(E2566&lt;&gt;"",M2566-E2566,"-")</f>
        <v>3</v>
      </c>
      <c r="O2566" s="27">
        <v>980</v>
      </c>
      <c r="P2566" s="27"/>
      <c r="Q2566" s="27"/>
      <c r="R2566" s="27"/>
      <c r="S2566" s="27"/>
      <c r="T2566" s="27"/>
      <c r="U2566" s="27"/>
      <c r="V2566" s="27"/>
      <c r="W2566" s="27"/>
      <c r="X2566" s="128"/>
      <c r="Y2566" s="73" t="e">
        <f>VLOOKUP(X2566,Choferes!$B$3:C439,2,FALSE)</f>
        <v>#N/A</v>
      </c>
      <c r="Z2566" s="73"/>
    </row>
    <row r="2567" spans="1:26" x14ac:dyDescent="0.25">
      <c r="A2567" s="222">
        <v>37</v>
      </c>
      <c r="B2567" s="71" t="s">
        <v>6423</v>
      </c>
      <c r="C2567" s="39" t="s">
        <v>6404</v>
      </c>
      <c r="D2567" s="106" t="s">
        <v>2202</v>
      </c>
      <c r="E2567" s="47">
        <v>46273</v>
      </c>
      <c r="F2567" s="31" t="str">
        <f>VLOOKUP($C2567,Carpetas!$C$5:$M$2666,2,FALSE)</f>
        <v>BRB073/26</v>
      </c>
      <c r="G2567" s="23" t="str">
        <f>VLOOKUP($C2567,Carpetas!$C$5:$M$2666,10,FALSE)</f>
        <v>156,85,13</v>
      </c>
      <c r="H2567" s="27" t="str">
        <f>VLOOKUP($C2567,Carpetas!$C$5:$M$2666,6,FALSE)</f>
        <v>AXT</v>
      </c>
      <c r="I2567" s="27" t="str">
        <f>VLOOKUP($C2567,Carpetas!$C$5:$M$2666,3,FALSE)</f>
        <v>A&amp;A</v>
      </c>
      <c r="J2567" s="243">
        <f>E2567+1</f>
        <v>46274</v>
      </c>
      <c r="K2567" s="261" t="str">
        <f>VLOOKUP($C2567,Carpetas!$C$5:$M$2666,5,FALSE)</f>
        <v>Chuy</v>
      </c>
      <c r="L2567" s="263" t="s">
        <v>6116</v>
      </c>
      <c r="M2567" s="268">
        <f t="shared" ref="M2567" si="194">J2567+1+1</f>
        <v>46276</v>
      </c>
      <c r="N2567" s="269">
        <f>IF(E2567&lt;&gt;"",M2567-E2567,"-")</f>
        <v>3</v>
      </c>
      <c r="O2567" s="27">
        <v>936</v>
      </c>
      <c r="P2567" s="27"/>
      <c r="Q2567" s="27"/>
      <c r="R2567" s="27"/>
      <c r="S2567" s="27"/>
      <c r="T2567" s="27"/>
      <c r="U2567" s="27"/>
      <c r="V2567" s="27"/>
      <c r="W2567" s="27"/>
      <c r="X2567" s="128"/>
      <c r="Y2567" s="73" t="e">
        <f>VLOOKUP(X2567,Choferes!$B$3:C474,2,FALSE)</f>
        <v>#N/A</v>
      </c>
      <c r="Z2567" s="73"/>
    </row>
    <row r="2568" spans="1:26" x14ac:dyDescent="0.25">
      <c r="A2568" s="222">
        <v>37</v>
      </c>
      <c r="B2568" s="71" t="s">
        <v>6423</v>
      </c>
      <c r="C2568" s="39" t="s">
        <v>6417</v>
      </c>
      <c r="D2568" s="106" t="s">
        <v>2474</v>
      </c>
      <c r="E2568" s="47">
        <v>46273</v>
      </c>
      <c r="F2568" s="31" t="str">
        <f>VLOOKUP($C2568,Carpetas!$C$5:$M$2666,2,FALSE)</f>
        <v>BRB074/26</v>
      </c>
      <c r="G2568" s="23" t="str">
        <f>VLOOKUP($C2568,Carpetas!$C$5:$M$2666,10,FALSE)</f>
        <v>156,87,83</v>
      </c>
      <c r="H2568" s="27" t="str">
        <f>VLOOKUP($C2568,Carpetas!$C$5:$M$2666,6,FALSE)</f>
        <v>Amaro</v>
      </c>
      <c r="I2568" s="27" t="str">
        <f>VLOOKUP($C2568,Carpetas!$C$5:$M$2666,3,FALSE)</f>
        <v>Etimex</v>
      </c>
      <c r="J2568" s="243">
        <v>46272</v>
      </c>
      <c r="K2568" s="261" t="str">
        <f>VLOOKUP($C2568,Carpetas!$C$5:$M$2666,5,FALSE)</f>
        <v>Rio Branco</v>
      </c>
      <c r="L2568" s="263" t="s">
        <v>6116</v>
      </c>
      <c r="M2568" s="268">
        <f t="shared" ref="M2568:M2580" si="195">J2568+1+1</f>
        <v>46274</v>
      </c>
      <c r="N2568" s="269">
        <f t="shared" ref="N2568:N2580" si="196">IF(E2568&lt;&gt;"",M2568-E2568,"-")</f>
        <v>1</v>
      </c>
      <c r="O2568" s="27">
        <v>1008</v>
      </c>
      <c r="P2568" s="27"/>
      <c r="Q2568" s="27"/>
      <c r="R2568" s="27"/>
      <c r="S2568" s="27"/>
      <c r="T2568" s="27"/>
      <c r="U2568" s="27"/>
      <c r="V2568" s="27"/>
      <c r="W2568" s="27"/>
      <c r="X2568" s="128"/>
      <c r="Y2568" s="73" t="e">
        <f>VLOOKUP(X2568,Choferes!$B$3:C475,2,FALSE)</f>
        <v>#N/A</v>
      </c>
      <c r="Z2568" s="73"/>
    </row>
    <row r="2569" spans="1:26" x14ac:dyDescent="0.25">
      <c r="A2569" s="222">
        <v>37</v>
      </c>
      <c r="B2569" s="71" t="s">
        <v>6423</v>
      </c>
      <c r="C2569" s="39" t="s">
        <v>299</v>
      </c>
      <c r="D2569" s="106" t="s">
        <v>2202</v>
      </c>
      <c r="E2569" s="47">
        <v>46274</v>
      </c>
      <c r="F2569" s="31" t="str">
        <f>VLOOKUP($C2569,Carpetas!$C$5:$M$2666,2,FALSE)</f>
        <v>BRB</v>
      </c>
      <c r="G2569" s="23" t="str">
        <f>VLOOKUP($C2569,Carpetas!$C$5:$M$2666,10,FALSE)</f>
        <v>xx</v>
      </c>
      <c r="H2569" s="27" t="str">
        <f>VLOOKUP($C2569,Carpetas!$C$5:$M$2666,6,FALSE)</f>
        <v>xx</v>
      </c>
      <c r="I2569" s="27" t="str">
        <f>VLOOKUP($C2569,Carpetas!$C$5:$M$2666,3,FALSE)</f>
        <v>xx</v>
      </c>
      <c r="J2569" s="243">
        <v>46272</v>
      </c>
      <c r="K2569" s="261" t="str">
        <f>VLOOKUP($C2569,Carpetas!$C$5:$M$2666,5,FALSE)</f>
        <v>xx</v>
      </c>
      <c r="L2569" s="263" t="s">
        <v>6116</v>
      </c>
      <c r="M2569" s="268">
        <f t="shared" si="195"/>
        <v>46274</v>
      </c>
      <c r="N2569" s="269">
        <f t="shared" si="196"/>
        <v>0</v>
      </c>
      <c r="O2569" s="27">
        <v>1008</v>
      </c>
      <c r="P2569" s="27"/>
      <c r="Q2569" s="27"/>
      <c r="R2569" s="27"/>
      <c r="S2569" s="27"/>
      <c r="T2569" s="27"/>
      <c r="U2569" s="27"/>
      <c r="V2569" s="27"/>
      <c r="W2569" s="27"/>
      <c r="X2569" s="128"/>
      <c r="Y2569" s="73" t="e">
        <f>VLOOKUP(X2569,Choferes!$B$3:C476,2,FALSE)</f>
        <v>#N/A</v>
      </c>
      <c r="Z2569" s="73"/>
    </row>
    <row r="2570" spans="1:26" x14ac:dyDescent="0.25">
      <c r="A2570" s="222">
        <v>37</v>
      </c>
      <c r="B2570" s="71" t="s">
        <v>6423</v>
      </c>
      <c r="C2570" s="39" t="s">
        <v>299</v>
      </c>
      <c r="D2570" s="106" t="s">
        <v>5507</v>
      </c>
      <c r="E2570" s="47">
        <v>46274</v>
      </c>
      <c r="F2570" s="31" t="str">
        <f>VLOOKUP($C2570,Carpetas!$C$5:$M$2666,2,FALSE)</f>
        <v>BRB</v>
      </c>
      <c r="G2570" s="23" t="str">
        <f>VLOOKUP($C2570,Carpetas!$C$5:$M$2666,10,FALSE)</f>
        <v>xx</v>
      </c>
      <c r="H2570" s="27" t="str">
        <f>VLOOKUP($C2570,Carpetas!$C$5:$M$2666,6,FALSE)</f>
        <v>xx</v>
      </c>
      <c r="I2570" s="27" t="str">
        <f>VLOOKUP($C2570,Carpetas!$C$5:$M$2666,3,FALSE)</f>
        <v>xx</v>
      </c>
      <c r="J2570" s="243">
        <v>46272</v>
      </c>
      <c r="K2570" s="261" t="str">
        <f>VLOOKUP($C2570,Carpetas!$C$5:$M$2666,5,FALSE)</f>
        <v>xx</v>
      </c>
      <c r="L2570" s="263" t="s">
        <v>6116</v>
      </c>
      <c r="M2570" s="268">
        <f t="shared" si="195"/>
        <v>46274</v>
      </c>
      <c r="N2570" s="269">
        <f t="shared" si="196"/>
        <v>0</v>
      </c>
      <c r="O2570" s="27">
        <v>1008</v>
      </c>
      <c r="P2570" s="27"/>
      <c r="Q2570" s="27"/>
      <c r="R2570" s="27"/>
      <c r="S2570" s="27"/>
      <c r="T2570" s="27"/>
      <c r="U2570" s="27"/>
      <c r="V2570" s="27"/>
      <c r="W2570" s="27"/>
      <c r="X2570" s="128"/>
      <c r="Y2570" s="73" t="e">
        <f>VLOOKUP(X2570,Choferes!$B$3:C477,2,FALSE)</f>
        <v>#N/A</v>
      </c>
      <c r="Z2570" s="73"/>
    </row>
    <row r="2571" spans="1:26" x14ac:dyDescent="0.25">
      <c r="A2571" s="222">
        <v>37</v>
      </c>
      <c r="B2571" s="71" t="s">
        <v>6423</v>
      </c>
      <c r="C2571" s="39" t="s">
        <v>6382</v>
      </c>
      <c r="D2571" s="106" t="s">
        <v>6427</v>
      </c>
      <c r="E2571" s="47">
        <v>46274</v>
      </c>
      <c r="F2571" s="31" t="str">
        <f>VLOOKUP($C2571,Carpetas!$C$5:$M$2666,2,FALSE)</f>
        <v>BRB071/26</v>
      </c>
      <c r="G2571" s="23">
        <f>VLOOKUP($C2571,Carpetas!$C$5:$M$2666,10,FALSE)</f>
        <v>1567628</v>
      </c>
      <c r="H2571" s="27" t="str">
        <f>VLOOKUP($C2571,Carpetas!$C$5:$M$2666,6,FALSE)</f>
        <v>FG</v>
      </c>
      <c r="I2571" s="27" t="str">
        <f>VLOOKUP($C2571,Carpetas!$C$5:$M$2666,3,FALSE)</f>
        <v>Etimex</v>
      </c>
      <c r="J2571" s="243">
        <v>46272</v>
      </c>
      <c r="K2571" s="261" t="str">
        <f>VLOOKUP($C2571,Carpetas!$C$5:$M$2666,5,FALSE)</f>
        <v>Rio Branco</v>
      </c>
      <c r="L2571" s="263" t="s">
        <v>6116</v>
      </c>
      <c r="M2571" s="268">
        <f t="shared" si="195"/>
        <v>46274</v>
      </c>
      <c r="N2571" s="269">
        <f t="shared" si="196"/>
        <v>0</v>
      </c>
      <c r="O2571" s="27">
        <v>1008</v>
      </c>
      <c r="P2571" s="27"/>
      <c r="Q2571" s="27"/>
      <c r="R2571" s="27"/>
      <c r="S2571" s="27"/>
      <c r="T2571" s="27"/>
      <c r="U2571" s="27"/>
      <c r="V2571" s="27"/>
      <c r="W2571" s="27"/>
      <c r="X2571" s="128"/>
      <c r="Y2571" s="73" t="e">
        <f>VLOOKUP(X2571,Choferes!$B$3:C478,2,FALSE)</f>
        <v>#N/A</v>
      </c>
      <c r="Z2571" s="73"/>
    </row>
    <row r="2572" spans="1:26" x14ac:dyDescent="0.25">
      <c r="A2572" s="222">
        <v>37</v>
      </c>
      <c r="B2572" s="71" t="s">
        <v>6423</v>
      </c>
      <c r="C2572" s="39" t="s">
        <v>299</v>
      </c>
      <c r="D2572" s="106" t="s">
        <v>2202</v>
      </c>
      <c r="E2572" s="47">
        <v>46276</v>
      </c>
      <c r="F2572" s="31" t="str">
        <f>VLOOKUP($C2572,Carpetas!$C$5:$M$2666,2,FALSE)</f>
        <v>BRB</v>
      </c>
      <c r="G2572" s="23" t="str">
        <f>VLOOKUP($C2572,Carpetas!$C$5:$M$2666,10,FALSE)</f>
        <v>xx</v>
      </c>
      <c r="H2572" s="27" t="str">
        <f>VLOOKUP($C2572,Carpetas!$C$5:$M$2666,6,FALSE)</f>
        <v>xx</v>
      </c>
      <c r="I2572" s="27" t="str">
        <f>VLOOKUP($C2572,Carpetas!$C$5:$M$2666,3,FALSE)</f>
        <v>xx</v>
      </c>
      <c r="J2572" s="243">
        <v>46272</v>
      </c>
      <c r="K2572" s="261" t="str">
        <f>VLOOKUP($C2572,Carpetas!$C$5:$M$2666,5,FALSE)</f>
        <v>xx</v>
      </c>
      <c r="L2572" s="263" t="s">
        <v>6116</v>
      </c>
      <c r="M2572" s="268">
        <f t="shared" si="195"/>
        <v>46274</v>
      </c>
      <c r="N2572" s="269">
        <f t="shared" si="196"/>
        <v>-2</v>
      </c>
      <c r="O2572" s="27">
        <v>1008</v>
      </c>
      <c r="P2572" s="27"/>
      <c r="Q2572" s="27"/>
      <c r="R2572" s="27"/>
      <c r="S2572" s="27"/>
      <c r="T2572" s="27"/>
      <c r="U2572" s="27"/>
      <c r="V2572" s="27"/>
      <c r="W2572" s="27"/>
      <c r="X2572" s="128"/>
      <c r="Y2572" s="73" t="e">
        <f>VLOOKUP(X2572,Choferes!$B$3:C479,2,FALSE)</f>
        <v>#N/A</v>
      </c>
      <c r="Z2572" s="73"/>
    </row>
    <row r="2573" spans="1:26" x14ac:dyDescent="0.25">
      <c r="A2573" s="222">
        <v>37</v>
      </c>
      <c r="B2573" s="71" t="s">
        <v>6423</v>
      </c>
      <c r="C2573" s="39" t="s">
        <v>6382</v>
      </c>
      <c r="D2573" s="106" t="s">
        <v>249</v>
      </c>
      <c r="E2573" s="47">
        <v>46276</v>
      </c>
      <c r="F2573" s="31" t="str">
        <f>VLOOKUP($C2573,Carpetas!$C$5:$M$2666,2,FALSE)</f>
        <v>BRB071/26</v>
      </c>
      <c r="G2573" s="23">
        <f>VLOOKUP($C2573,Carpetas!$C$5:$M$2666,10,FALSE)</f>
        <v>1567628</v>
      </c>
      <c r="H2573" s="27" t="str">
        <f>VLOOKUP($C2573,Carpetas!$C$5:$M$2666,6,FALSE)</f>
        <v>FG</v>
      </c>
      <c r="I2573" s="27" t="str">
        <f>VLOOKUP($C2573,Carpetas!$C$5:$M$2666,3,FALSE)</f>
        <v>Etimex</v>
      </c>
      <c r="J2573" s="243">
        <v>46272</v>
      </c>
      <c r="K2573" s="261" t="str">
        <f>VLOOKUP($C2573,Carpetas!$C$5:$M$2666,5,FALSE)</f>
        <v>Rio Branco</v>
      </c>
      <c r="L2573" s="263" t="s">
        <v>6116</v>
      </c>
      <c r="M2573" s="268">
        <f t="shared" si="195"/>
        <v>46274</v>
      </c>
      <c r="N2573" s="269">
        <f t="shared" si="196"/>
        <v>-2</v>
      </c>
      <c r="O2573" s="27">
        <v>1008</v>
      </c>
      <c r="P2573" s="27"/>
      <c r="Q2573" s="27"/>
      <c r="R2573" s="27"/>
      <c r="S2573" s="27"/>
      <c r="T2573" s="27"/>
      <c r="U2573" s="27"/>
      <c r="V2573" s="27"/>
      <c r="W2573" s="27"/>
      <c r="X2573" s="128"/>
      <c r="Y2573" s="73" t="e">
        <f>VLOOKUP(X2573,Choferes!$B$3:C480,2,FALSE)</f>
        <v>#N/A</v>
      </c>
      <c r="Z2573" s="73"/>
    </row>
    <row r="2574" spans="1:26" x14ac:dyDescent="0.25">
      <c r="A2574" s="222">
        <v>37</v>
      </c>
      <c r="B2574" s="71" t="s">
        <v>6423</v>
      </c>
      <c r="C2574" s="39" t="s">
        <v>299</v>
      </c>
      <c r="D2574" s="106" t="s">
        <v>5507</v>
      </c>
      <c r="E2574" s="47">
        <v>46276</v>
      </c>
      <c r="F2574" s="31" t="str">
        <f>VLOOKUP($C2574,Carpetas!$C$5:$M$2666,2,FALSE)</f>
        <v>BRB</v>
      </c>
      <c r="G2574" s="23" t="str">
        <f>VLOOKUP($C2574,Carpetas!$C$5:$M$2666,10,FALSE)</f>
        <v>xx</v>
      </c>
      <c r="H2574" s="27" t="str">
        <f>VLOOKUP($C2574,Carpetas!$C$5:$M$2666,6,FALSE)</f>
        <v>xx</v>
      </c>
      <c r="I2574" s="27" t="str">
        <f>VLOOKUP($C2574,Carpetas!$C$5:$M$2666,3,FALSE)</f>
        <v>xx</v>
      </c>
      <c r="J2574" s="243">
        <v>46272</v>
      </c>
      <c r="K2574" s="261" t="str">
        <f>VLOOKUP($C2574,Carpetas!$C$5:$M$2666,5,FALSE)</f>
        <v>xx</v>
      </c>
      <c r="L2574" s="263" t="s">
        <v>6116</v>
      </c>
      <c r="M2574" s="268">
        <f t="shared" si="195"/>
        <v>46274</v>
      </c>
      <c r="N2574" s="269">
        <f t="shared" si="196"/>
        <v>-2</v>
      </c>
      <c r="O2574" s="27">
        <v>1008</v>
      </c>
      <c r="P2574" s="27"/>
      <c r="Q2574" s="27"/>
      <c r="R2574" s="27"/>
      <c r="S2574" s="27"/>
      <c r="T2574" s="27"/>
      <c r="U2574" s="27"/>
      <c r="V2574" s="27"/>
      <c r="W2574" s="27"/>
      <c r="X2574" s="128"/>
      <c r="Y2574" s="73" t="e">
        <f>VLOOKUP(X2574,Choferes!$B$3:C481,2,FALSE)</f>
        <v>#N/A</v>
      </c>
      <c r="Z2574" s="73"/>
    </row>
    <row r="2575" spans="1:26" x14ac:dyDescent="0.25">
      <c r="A2575" s="222">
        <v>37</v>
      </c>
      <c r="B2575" s="71" t="s">
        <v>6423</v>
      </c>
      <c r="C2575" s="39" t="s">
        <v>299</v>
      </c>
      <c r="D2575" s="106" t="s">
        <v>5499</v>
      </c>
      <c r="E2575" s="47">
        <v>46276</v>
      </c>
      <c r="F2575" s="31" t="str">
        <f>VLOOKUP($C2575,Carpetas!$C$5:$M$2666,2,FALSE)</f>
        <v>BRB</v>
      </c>
      <c r="G2575" s="23" t="str">
        <f>VLOOKUP($C2575,Carpetas!$C$5:$M$2666,10,FALSE)</f>
        <v>xx</v>
      </c>
      <c r="H2575" s="27" t="str">
        <f>VLOOKUP($C2575,Carpetas!$C$5:$M$2666,6,FALSE)</f>
        <v>xx</v>
      </c>
      <c r="I2575" s="27" t="str">
        <f>VLOOKUP($C2575,Carpetas!$C$5:$M$2666,3,FALSE)</f>
        <v>xx</v>
      </c>
      <c r="J2575" s="243">
        <v>46272</v>
      </c>
      <c r="K2575" s="261" t="str">
        <f>VLOOKUP($C2575,Carpetas!$C$5:$M$2666,5,FALSE)</f>
        <v>xx</v>
      </c>
      <c r="L2575" s="263" t="s">
        <v>6116</v>
      </c>
      <c r="M2575" s="268">
        <f t="shared" si="195"/>
        <v>46274</v>
      </c>
      <c r="N2575" s="269">
        <f t="shared" si="196"/>
        <v>-2</v>
      </c>
      <c r="O2575" s="27">
        <v>1008</v>
      </c>
      <c r="P2575" s="27"/>
      <c r="Q2575" s="27"/>
      <c r="R2575" s="27"/>
      <c r="S2575" s="27"/>
      <c r="T2575" s="27"/>
      <c r="U2575" s="27"/>
      <c r="V2575" s="27"/>
      <c r="W2575" s="27"/>
      <c r="X2575" s="128"/>
      <c r="Y2575" s="73" t="e">
        <f>VLOOKUP(X2575,Choferes!$B$3:C482,2,FALSE)</f>
        <v>#N/A</v>
      </c>
      <c r="Z2575" s="73"/>
    </row>
    <row r="2576" spans="1:26" x14ac:dyDescent="0.25">
      <c r="A2576" s="222">
        <v>37</v>
      </c>
      <c r="B2576" s="71" t="s">
        <v>6423</v>
      </c>
      <c r="C2576" s="39" t="s">
        <v>299</v>
      </c>
      <c r="D2576" s="106" t="s">
        <v>5640</v>
      </c>
      <c r="E2576" s="47">
        <v>46276</v>
      </c>
      <c r="F2576" s="31" t="str">
        <f>VLOOKUP($C2576,Carpetas!$C$5:$M$2666,2,FALSE)</f>
        <v>BRB</v>
      </c>
      <c r="G2576" s="23" t="str">
        <f>VLOOKUP($C2576,Carpetas!$C$5:$M$2666,10,FALSE)</f>
        <v>xx</v>
      </c>
      <c r="H2576" s="27" t="str">
        <f>VLOOKUP($C2576,Carpetas!$C$5:$M$2666,6,FALSE)</f>
        <v>xx</v>
      </c>
      <c r="I2576" s="27" t="str">
        <f>VLOOKUP($C2576,Carpetas!$C$5:$M$2666,3,FALSE)</f>
        <v>xx</v>
      </c>
      <c r="J2576" s="243">
        <v>46272</v>
      </c>
      <c r="K2576" s="261" t="str">
        <f>VLOOKUP($C2576,Carpetas!$C$5:$M$2666,5,FALSE)</f>
        <v>xx</v>
      </c>
      <c r="L2576" s="263" t="s">
        <v>6116</v>
      </c>
      <c r="M2576" s="268">
        <f t="shared" si="195"/>
        <v>46274</v>
      </c>
      <c r="N2576" s="269">
        <f t="shared" si="196"/>
        <v>-2</v>
      </c>
      <c r="O2576" s="27">
        <v>1008</v>
      </c>
      <c r="P2576" s="27"/>
      <c r="Q2576" s="27"/>
      <c r="R2576" s="27"/>
      <c r="S2576" s="27"/>
      <c r="T2576" s="27"/>
      <c r="U2576" s="27"/>
      <c r="V2576" s="27"/>
      <c r="W2576" s="27"/>
      <c r="X2576" s="128"/>
      <c r="Y2576" s="73" t="e">
        <f>VLOOKUP(X2576,Choferes!$B$3:C483,2,FALSE)</f>
        <v>#N/A</v>
      </c>
      <c r="Z2576" s="73"/>
    </row>
    <row r="2577" spans="1:26" x14ac:dyDescent="0.25">
      <c r="A2577" s="222">
        <v>37</v>
      </c>
      <c r="B2577" s="71" t="s">
        <v>6423</v>
      </c>
      <c r="C2577" s="39" t="s">
        <v>299</v>
      </c>
      <c r="D2577" s="106" t="s">
        <v>6075</v>
      </c>
      <c r="E2577" s="47">
        <v>46276</v>
      </c>
      <c r="F2577" s="31" t="str">
        <f>VLOOKUP($C2577,Carpetas!$C$5:$M$2666,2,FALSE)</f>
        <v>BRB</v>
      </c>
      <c r="G2577" s="23" t="str">
        <f>VLOOKUP($C2577,Carpetas!$C$5:$M$2666,10,FALSE)</f>
        <v>xx</v>
      </c>
      <c r="H2577" s="27" t="str">
        <f>VLOOKUP($C2577,Carpetas!$C$5:$M$2666,6,FALSE)</f>
        <v>xx</v>
      </c>
      <c r="I2577" s="27" t="str">
        <f>VLOOKUP($C2577,Carpetas!$C$5:$M$2666,3,FALSE)</f>
        <v>xx</v>
      </c>
      <c r="J2577" s="243">
        <v>46272</v>
      </c>
      <c r="K2577" s="261" t="str">
        <f>VLOOKUP($C2577,Carpetas!$C$5:$M$2666,5,FALSE)</f>
        <v>xx</v>
      </c>
      <c r="L2577" s="263" t="s">
        <v>6116</v>
      </c>
      <c r="M2577" s="268">
        <f t="shared" si="195"/>
        <v>46274</v>
      </c>
      <c r="N2577" s="269">
        <f t="shared" si="196"/>
        <v>-2</v>
      </c>
      <c r="O2577" s="27">
        <v>1008</v>
      </c>
      <c r="P2577" s="27"/>
      <c r="Q2577" s="27"/>
      <c r="R2577" s="27"/>
      <c r="S2577" s="27"/>
      <c r="T2577" s="27"/>
      <c r="U2577" s="27"/>
      <c r="V2577" s="27"/>
      <c r="W2577" s="27"/>
      <c r="X2577" s="128"/>
      <c r="Y2577" s="73" t="e">
        <f>VLOOKUP(X2577,Choferes!$B$3:C484,2,FALSE)</f>
        <v>#N/A</v>
      </c>
      <c r="Z2577" s="73"/>
    </row>
    <row r="2578" spans="1:26" x14ac:dyDescent="0.25">
      <c r="A2578" s="222">
        <v>37</v>
      </c>
      <c r="B2578" s="71" t="s">
        <v>6423</v>
      </c>
      <c r="C2578" s="39" t="s">
        <v>299</v>
      </c>
      <c r="D2578" s="106" t="s">
        <v>6418</v>
      </c>
      <c r="E2578" s="47">
        <v>46276</v>
      </c>
      <c r="F2578" s="31" t="str">
        <f>VLOOKUP($C2578,Carpetas!$C$5:$M$2666,2,FALSE)</f>
        <v>BRB</v>
      </c>
      <c r="G2578" s="23" t="str">
        <f>VLOOKUP($C2578,Carpetas!$C$5:$M$2666,10,FALSE)</f>
        <v>xx</v>
      </c>
      <c r="H2578" s="27" t="str">
        <f>VLOOKUP($C2578,Carpetas!$C$5:$M$2666,6,FALSE)</f>
        <v>xx</v>
      </c>
      <c r="I2578" s="27" t="str">
        <f>VLOOKUP($C2578,Carpetas!$C$5:$M$2666,3,FALSE)</f>
        <v>xx</v>
      </c>
      <c r="J2578" s="243">
        <v>46272</v>
      </c>
      <c r="K2578" s="261" t="str">
        <f>VLOOKUP($C2578,Carpetas!$C$5:$M$2666,5,FALSE)</f>
        <v>xx</v>
      </c>
      <c r="L2578" s="263" t="s">
        <v>6116</v>
      </c>
      <c r="M2578" s="268">
        <f t="shared" ref="M2578:M2579" si="197">J2578+1+1</f>
        <v>46274</v>
      </c>
      <c r="N2578" s="269">
        <f t="shared" ref="N2578:N2579" si="198">IF(E2578&lt;&gt;"",M2578-E2578,"-")</f>
        <v>-2</v>
      </c>
      <c r="O2578" s="27">
        <v>1008</v>
      </c>
      <c r="P2578" s="27"/>
      <c r="Q2578" s="27"/>
      <c r="R2578" s="27"/>
      <c r="S2578" s="27"/>
      <c r="T2578" s="27"/>
      <c r="U2578" s="27"/>
      <c r="V2578" s="27"/>
      <c r="W2578" s="27"/>
      <c r="X2578" s="128"/>
      <c r="Y2578" s="73" t="e">
        <f>VLOOKUP(X2578,Choferes!$B$3:C483,2,FALSE)</f>
        <v>#N/A</v>
      </c>
      <c r="Z2578" s="73"/>
    </row>
    <row r="2579" spans="1:26" x14ac:dyDescent="0.25">
      <c r="A2579" s="222">
        <v>37</v>
      </c>
      <c r="B2579" s="71" t="s">
        <v>6423</v>
      </c>
      <c r="C2579" s="39" t="s">
        <v>299</v>
      </c>
      <c r="D2579" s="106" t="s">
        <v>110</v>
      </c>
      <c r="E2579" s="47">
        <v>46276</v>
      </c>
      <c r="F2579" s="31" t="str">
        <f>VLOOKUP($C2579,Carpetas!$C$5:$M$2666,2,FALSE)</f>
        <v>BRB</v>
      </c>
      <c r="G2579" s="23" t="str">
        <f>VLOOKUP($C2579,Carpetas!$C$5:$M$2666,10,FALSE)</f>
        <v>xx</v>
      </c>
      <c r="H2579" s="27" t="str">
        <f>VLOOKUP($C2579,Carpetas!$C$5:$M$2666,6,FALSE)</f>
        <v>xx</v>
      </c>
      <c r="I2579" s="27" t="str">
        <f>VLOOKUP($C2579,Carpetas!$C$5:$M$2666,3,FALSE)</f>
        <v>xx</v>
      </c>
      <c r="J2579" s="243">
        <v>46272</v>
      </c>
      <c r="K2579" s="261" t="str">
        <f>VLOOKUP($C2579,Carpetas!$C$5:$M$2666,5,FALSE)</f>
        <v>xx</v>
      </c>
      <c r="L2579" s="263" t="s">
        <v>6116</v>
      </c>
      <c r="M2579" s="268">
        <f t="shared" si="197"/>
        <v>46274</v>
      </c>
      <c r="N2579" s="269">
        <f t="shared" si="198"/>
        <v>-2</v>
      </c>
      <c r="O2579" s="27">
        <v>1008</v>
      </c>
      <c r="P2579" s="27"/>
      <c r="Q2579" s="27"/>
      <c r="R2579" s="27"/>
      <c r="S2579" s="27"/>
      <c r="T2579" s="27"/>
      <c r="U2579" s="27"/>
      <c r="V2579" s="27"/>
      <c r="W2579" s="27"/>
      <c r="X2579" s="128"/>
      <c r="Y2579" s="73" t="e">
        <f>VLOOKUP(X2579,Choferes!$B$3:C484,2,FALSE)</f>
        <v>#N/A</v>
      </c>
      <c r="Z2579" s="73"/>
    </row>
    <row r="2580" spans="1:26" x14ac:dyDescent="0.25">
      <c r="A2580" s="222">
        <v>37</v>
      </c>
      <c r="B2580" s="71" t="s">
        <v>6423</v>
      </c>
      <c r="C2580" s="39" t="s">
        <v>6417</v>
      </c>
      <c r="D2580" s="106" t="s">
        <v>2474</v>
      </c>
      <c r="E2580" s="47">
        <v>46276</v>
      </c>
      <c r="F2580" s="31" t="str">
        <f>VLOOKUP($C2580,Carpetas!$C$5:$M$2666,2,FALSE)</f>
        <v>BRB074/26</v>
      </c>
      <c r="G2580" s="23" t="str">
        <f>VLOOKUP($C2580,Carpetas!$C$5:$M$2666,10,FALSE)</f>
        <v>156,87,83</v>
      </c>
      <c r="H2580" s="27" t="str">
        <f>VLOOKUP($C2580,Carpetas!$C$5:$M$2666,6,FALSE)</f>
        <v>Amaro</v>
      </c>
      <c r="I2580" s="27" t="str">
        <f>VLOOKUP($C2580,Carpetas!$C$5:$M$2666,3,FALSE)</f>
        <v>Etimex</v>
      </c>
      <c r="J2580" s="243">
        <v>46272</v>
      </c>
      <c r="K2580" s="261" t="str">
        <f>VLOOKUP($C2580,Carpetas!$C$5:$M$2666,5,FALSE)</f>
        <v>Rio Branco</v>
      </c>
      <c r="L2580" s="263" t="s">
        <v>6116</v>
      </c>
      <c r="M2580" s="268">
        <f t="shared" si="195"/>
        <v>46274</v>
      </c>
      <c r="N2580" s="269">
        <f t="shared" si="196"/>
        <v>-2</v>
      </c>
      <c r="O2580" s="27">
        <v>1008</v>
      </c>
      <c r="P2580" s="27"/>
      <c r="Q2580" s="27"/>
      <c r="R2580" s="27"/>
      <c r="S2580" s="27"/>
      <c r="T2580" s="27"/>
      <c r="U2580" s="27"/>
      <c r="V2580" s="27"/>
      <c r="W2580" s="27"/>
      <c r="X2580" s="128"/>
      <c r="Y2580" s="73" t="e">
        <f>VLOOKUP(X2580,Choferes!$B$3:C485,2,FALSE)</f>
        <v>#N/A</v>
      </c>
      <c r="Z2580" s="73"/>
    </row>
    <row r="2581" spans="1:26" x14ac:dyDescent="0.25">
      <c r="A2581" s="222">
        <v>36</v>
      </c>
      <c r="B2581" s="71" t="s">
        <v>6419</v>
      </c>
      <c r="C2581" s="39" t="s">
        <v>299</v>
      </c>
      <c r="D2581" s="106" t="s">
        <v>38</v>
      </c>
      <c r="E2581" s="47">
        <v>46270</v>
      </c>
      <c r="F2581" s="31" t="str">
        <f>VLOOKUP($C2581,Carpetas!$C$5:$M$2666,2,FALSE)</f>
        <v>BRB</v>
      </c>
      <c r="G2581" s="23" t="str">
        <f>VLOOKUP($C2581,Carpetas!$C$5:$M$2666,10,FALSE)</f>
        <v>xx</v>
      </c>
      <c r="H2581" s="27" t="str">
        <f>VLOOKUP($C2581,Carpetas!$C$5:$M$2666,6,FALSE)</f>
        <v>xx</v>
      </c>
      <c r="I2581" s="27" t="str">
        <f>VLOOKUP($C2581,Carpetas!$C$5:$M$2666,3,FALSE)</f>
        <v>xx</v>
      </c>
      <c r="J2581" s="243">
        <f>E2581+7</f>
        <v>46277</v>
      </c>
      <c r="K2581" s="261" t="str">
        <f>VLOOKUP($C2581,Carpetas!$C$5:$M$2666,5,FALSE)</f>
        <v>xx</v>
      </c>
      <c r="L2581" s="263" t="s">
        <v>6153</v>
      </c>
      <c r="M2581" s="268">
        <f>J2581+1</f>
        <v>46278</v>
      </c>
      <c r="N2581" s="269">
        <f>IF(E2581&lt;&gt;"",M2581-E2581,"-")</f>
        <v>8</v>
      </c>
      <c r="O2581" s="27"/>
      <c r="P2581" s="27"/>
      <c r="Q2581" s="27"/>
      <c r="R2581" s="27"/>
      <c r="S2581" s="27"/>
      <c r="T2581" s="27"/>
      <c r="U2581" s="27"/>
      <c r="V2581" s="27"/>
      <c r="W2581" s="27"/>
      <c r="X2581" s="128"/>
      <c r="Y2581" s="73" t="e">
        <f>VLOOKUP(X2581,Choferes!$B$3:C451,2,FALSE)</f>
        <v>#N/A</v>
      </c>
      <c r="Z2581" s="73"/>
    </row>
    <row r="2582" spans="1:26" x14ac:dyDescent="0.25">
      <c r="A2582" s="222">
        <v>36</v>
      </c>
      <c r="B2582" s="71" t="s">
        <v>6419</v>
      </c>
      <c r="C2582" s="39" t="s">
        <v>299</v>
      </c>
      <c r="D2582" s="106" t="s">
        <v>38</v>
      </c>
      <c r="E2582" s="47">
        <v>46268</v>
      </c>
      <c r="F2582" s="31" t="str">
        <f>VLOOKUP($C2582,Carpetas!$C$5:$M$2666,2,FALSE)</f>
        <v>BRB</v>
      </c>
      <c r="G2582" s="23" t="str">
        <f>VLOOKUP($C2582,Carpetas!$C$5:$M$2666,10,FALSE)</f>
        <v>xx</v>
      </c>
      <c r="H2582" s="27" t="str">
        <f>VLOOKUP($C2582,Carpetas!$C$5:$M$2666,6,FALSE)</f>
        <v>xx</v>
      </c>
      <c r="I2582" s="27" t="str">
        <f>VLOOKUP($C2582,Carpetas!$C$5:$M$2666,3,FALSE)</f>
        <v>xx</v>
      </c>
      <c r="J2582" s="243">
        <f>E2582+7</f>
        <v>46275</v>
      </c>
      <c r="K2582" s="261" t="str">
        <f>VLOOKUP($C2582,Carpetas!$C$5:$M$2666,5,FALSE)</f>
        <v>xx</v>
      </c>
      <c r="L2582" s="263" t="s">
        <v>616</v>
      </c>
      <c r="M2582" s="268">
        <f>J2582+1</f>
        <v>46276</v>
      </c>
      <c r="N2582" s="269">
        <f>IF(E2582&lt;&gt;"",M2582-E2582,"-")</f>
        <v>8</v>
      </c>
      <c r="O2582" s="27"/>
      <c r="P2582" s="27"/>
      <c r="Q2582" s="27"/>
      <c r="R2582" s="27"/>
      <c r="S2582" s="27"/>
      <c r="T2582" s="27"/>
      <c r="U2582" s="27"/>
      <c r="V2582" s="27"/>
      <c r="W2582" s="27"/>
      <c r="X2582" s="128"/>
      <c r="Y2582" s="73" t="e">
        <f>VLOOKUP(X2582,Choferes!$B$3:C452,2,FALSE)</f>
        <v>#N/A</v>
      </c>
      <c r="Z2582" s="73"/>
    </row>
    <row r="2583" spans="1:26" hidden="1" x14ac:dyDescent="0.25">
      <c r="A2583" s="222">
        <v>35</v>
      </c>
      <c r="B2583" s="71" t="s">
        <v>298</v>
      </c>
      <c r="C2583" s="39" t="s">
        <v>299</v>
      </c>
      <c r="D2583" s="106" t="s">
        <v>5507</v>
      </c>
      <c r="E2583" s="47"/>
      <c r="F2583" s="31" t="str">
        <f>VLOOKUP($C2583,Carpetas!$C$5:$M$2666,2,FALSE)</f>
        <v>BRB</v>
      </c>
      <c r="G2583" s="23" t="str">
        <f>VLOOKUP($C2583,Carpetas!$C$5:$M$2666,10,FALSE)</f>
        <v>xx</v>
      </c>
      <c r="H2583" s="27" t="str">
        <f>VLOOKUP($C2583,Carpetas!$C$5:$M$2666,6,FALSE)</f>
        <v>xx</v>
      </c>
      <c r="I2583" s="27" t="str">
        <f>VLOOKUP($C2583,Carpetas!$C$5:$M$2666,3,FALSE)</f>
        <v>xx</v>
      </c>
      <c r="J2583" s="243">
        <f>E2583+2</f>
        <v>2</v>
      </c>
      <c r="K2583" s="261" t="str">
        <f>VLOOKUP($C2583,Carpetas!$C$5:$M$2666,5,FALSE)</f>
        <v>xx</v>
      </c>
      <c r="L2583" s="263" t="s">
        <v>6363</v>
      </c>
      <c r="M2583" s="268">
        <f>J2583+1</f>
        <v>3</v>
      </c>
      <c r="N2583" s="269" t="str">
        <f>IF(E2583&lt;&gt;"",M2583-E2583,"-")</f>
        <v>-</v>
      </c>
      <c r="O2583" s="239">
        <v>1008</v>
      </c>
      <c r="P2583" s="27"/>
      <c r="Q2583" s="27"/>
      <c r="R2583" s="27"/>
      <c r="S2583" s="27"/>
      <c r="T2583" s="27"/>
      <c r="U2583" s="27"/>
      <c r="V2583" s="27"/>
      <c r="W2583" s="27"/>
      <c r="X2583" s="128"/>
      <c r="Y2583" s="73" t="e">
        <f>VLOOKUP(X2583,Choferes!$B$3:C466,2,FALSE)</f>
        <v>#N/A</v>
      </c>
      <c r="Z2583" s="73"/>
    </row>
    <row r="2584" spans="1:26" hidden="1" x14ac:dyDescent="0.25">
      <c r="A2584" s="222">
        <v>38</v>
      </c>
      <c r="B2584" s="71" t="s">
        <v>14</v>
      </c>
      <c r="C2584" s="39" t="s">
        <v>10222</v>
      </c>
      <c r="D2584" s="106" t="s">
        <v>183</v>
      </c>
      <c r="E2584" s="47">
        <v>46278</v>
      </c>
      <c r="F2584" s="31" t="s">
        <v>10223</v>
      </c>
      <c r="G2584" s="302" t="s">
        <v>10224</v>
      </c>
      <c r="H2584" s="27" t="s">
        <v>9436</v>
      </c>
      <c r="I2584" s="27" t="s">
        <v>8600</v>
      </c>
      <c r="J2584" s="243">
        <v>46280</v>
      </c>
      <c r="K2584" s="261" t="s">
        <v>7569</v>
      </c>
      <c r="L2584" s="263" t="s">
        <v>6116</v>
      </c>
      <c r="M2584" s="268">
        <v>46281</v>
      </c>
      <c r="N2584" s="269">
        <v>3</v>
      </c>
      <c r="O2584" s="239">
        <v>980</v>
      </c>
      <c r="P2584" s="27"/>
      <c r="Q2584" s="27"/>
      <c r="R2584" s="27"/>
      <c r="S2584" s="27"/>
      <c r="T2584" s="27"/>
      <c r="U2584" s="27"/>
      <c r="V2584" s="27"/>
      <c r="W2584" s="27"/>
      <c r="X2584" s="128"/>
      <c r="Y2584" s="73"/>
      <c r="Z2584" s="73"/>
    </row>
    <row r="2585" spans="1:26" hidden="1" x14ac:dyDescent="0.25">
      <c r="A2585" s="222">
        <v>38</v>
      </c>
      <c r="B2585" s="71" t="s">
        <v>14</v>
      </c>
      <c r="C2585" s="39" t="s">
        <v>10225</v>
      </c>
      <c r="D2585" s="106" t="s">
        <v>121</v>
      </c>
      <c r="E2585" s="47">
        <v>46278</v>
      </c>
      <c r="F2585" s="31" t="s">
        <v>10226</v>
      </c>
      <c r="G2585" s="302" t="s">
        <v>10227</v>
      </c>
      <c r="H2585" s="27" t="s">
        <v>8608</v>
      </c>
      <c r="I2585" s="27" t="s">
        <v>8595</v>
      </c>
      <c r="J2585" s="243">
        <v>46280</v>
      </c>
      <c r="K2585" s="261" t="s">
        <v>7569</v>
      </c>
      <c r="L2585" s="263" t="s">
        <v>6116</v>
      </c>
      <c r="M2585" s="268">
        <v>46281</v>
      </c>
      <c r="N2585" s="269">
        <v>3</v>
      </c>
      <c r="O2585" s="239">
        <v>980</v>
      </c>
      <c r="P2585" s="27"/>
      <c r="Q2585" s="27"/>
      <c r="R2585" s="27"/>
      <c r="S2585" s="27"/>
      <c r="T2585" s="27"/>
      <c r="U2585" s="27"/>
      <c r="V2585" s="27"/>
      <c r="W2585" s="27"/>
      <c r="X2585" s="128"/>
      <c r="Y2585" s="73"/>
      <c r="Z2585" s="73"/>
    </row>
    <row r="2586" spans="1:26" hidden="1" x14ac:dyDescent="0.25">
      <c r="A2586" s="222">
        <v>38</v>
      </c>
      <c r="B2586" s="71" t="s">
        <v>10137</v>
      </c>
      <c r="C2586" s="39" t="s">
        <v>10228</v>
      </c>
      <c r="D2586" s="106" t="s">
        <v>6305</v>
      </c>
      <c r="E2586" s="47">
        <v>46280</v>
      </c>
      <c r="F2586" s="31" t="s">
        <v>10229</v>
      </c>
      <c r="G2586" s="302" t="s">
        <v>10230</v>
      </c>
      <c r="H2586" s="27" t="s">
        <v>10231</v>
      </c>
      <c r="I2586" s="27" t="s">
        <v>9507</v>
      </c>
      <c r="J2586" s="243">
        <v>46282</v>
      </c>
      <c r="K2586" s="261" t="s">
        <v>7569</v>
      </c>
      <c r="L2586" s="263" t="s">
        <v>6116</v>
      </c>
      <c r="M2586" s="268">
        <v>46284</v>
      </c>
      <c r="N2586" s="269">
        <v>4</v>
      </c>
      <c r="O2586" s="239">
        <v>980</v>
      </c>
      <c r="P2586" s="27"/>
      <c r="Q2586" s="27"/>
      <c r="R2586" s="27"/>
      <c r="S2586" s="27"/>
      <c r="T2586" s="27"/>
      <c r="U2586" s="27"/>
      <c r="V2586" s="27"/>
      <c r="W2586" s="27"/>
      <c r="X2586" s="128"/>
      <c r="Y2586" s="73"/>
      <c r="Z2586" s="73"/>
    </row>
    <row r="2587" spans="1:26" hidden="1" x14ac:dyDescent="0.25">
      <c r="A2587" s="222">
        <v>38</v>
      </c>
      <c r="B2587" s="71" t="s">
        <v>6419</v>
      </c>
      <c r="C2587" s="39" t="s">
        <v>10222</v>
      </c>
      <c r="D2587" s="106" t="s">
        <v>183</v>
      </c>
      <c r="E2587" s="47">
        <v>46278</v>
      </c>
      <c r="F2587" s="31" t="s">
        <v>10223</v>
      </c>
      <c r="G2587" s="302" t="s">
        <v>10224</v>
      </c>
      <c r="H2587" s="27" t="s">
        <v>9436</v>
      </c>
      <c r="I2587" s="27" t="s">
        <v>8600</v>
      </c>
      <c r="J2587" s="243">
        <v>46281</v>
      </c>
      <c r="K2587" s="261" t="s">
        <v>7569</v>
      </c>
      <c r="L2587" s="263" t="s">
        <v>6116</v>
      </c>
      <c r="M2587" s="268">
        <v>46282</v>
      </c>
      <c r="N2587" s="269">
        <v>4</v>
      </c>
      <c r="O2587" s="239">
        <v>980</v>
      </c>
      <c r="P2587" s="27"/>
      <c r="Q2587" s="27"/>
      <c r="R2587" s="27"/>
      <c r="S2587" s="27"/>
      <c r="T2587" s="27"/>
      <c r="U2587" s="27"/>
      <c r="V2587" s="27"/>
      <c r="W2587" s="27"/>
      <c r="X2587" s="128"/>
      <c r="Y2587" s="73"/>
      <c r="Z2587" s="73"/>
    </row>
    <row r="2588" spans="1:26" hidden="1" x14ac:dyDescent="0.25">
      <c r="A2588" s="222">
        <v>38</v>
      </c>
      <c r="B2588" s="71" t="s">
        <v>6419</v>
      </c>
      <c r="C2588" s="39" t="s">
        <v>10222</v>
      </c>
      <c r="D2588" s="106" t="s">
        <v>183</v>
      </c>
      <c r="E2588" s="47">
        <v>46279</v>
      </c>
      <c r="F2588" s="31" t="s">
        <v>10223</v>
      </c>
      <c r="G2588" s="302" t="s">
        <v>10224</v>
      </c>
      <c r="H2588" s="27" t="s">
        <v>9436</v>
      </c>
      <c r="I2588" s="27" t="s">
        <v>8600</v>
      </c>
      <c r="J2588" s="243">
        <v>46281</v>
      </c>
      <c r="K2588" s="261" t="s">
        <v>7569</v>
      </c>
      <c r="L2588" s="263" t="s">
        <v>6116</v>
      </c>
      <c r="M2588" s="268">
        <v>46282</v>
      </c>
      <c r="N2588" s="269">
        <v>3</v>
      </c>
      <c r="O2588" s="239">
        <v>980</v>
      </c>
      <c r="P2588" s="27"/>
      <c r="Q2588" s="27"/>
      <c r="R2588" s="27"/>
      <c r="S2588" s="27"/>
      <c r="T2588" s="27"/>
      <c r="U2588" s="27"/>
      <c r="V2588" s="27"/>
      <c r="W2588" s="27"/>
      <c r="X2588" s="128"/>
      <c r="Y2588" s="73"/>
      <c r="Z2588" s="73"/>
    </row>
    <row r="2589" spans="1:26" hidden="1" x14ac:dyDescent="0.25">
      <c r="A2589" s="222">
        <v>38</v>
      </c>
      <c r="B2589" s="71" t="s">
        <v>6423</v>
      </c>
      <c r="C2589" s="39" t="s">
        <v>10232</v>
      </c>
      <c r="D2589" s="106" t="s">
        <v>102</v>
      </c>
      <c r="E2589" s="47">
        <v>46279</v>
      </c>
      <c r="F2589" s="31" t="s">
        <v>10233</v>
      </c>
      <c r="G2589" s="302" t="s">
        <v>10234</v>
      </c>
      <c r="H2589" s="27" t="s">
        <v>9461</v>
      </c>
      <c r="I2589" s="27" t="s">
        <v>8802</v>
      </c>
      <c r="J2589" s="243">
        <v>46281</v>
      </c>
      <c r="K2589" s="261" t="s">
        <v>7569</v>
      </c>
      <c r="L2589" s="263" t="s">
        <v>6116</v>
      </c>
      <c r="M2589" s="268">
        <v>46282</v>
      </c>
      <c r="N2589" s="269">
        <v>3</v>
      </c>
      <c r="O2589" s="239">
        <v>980</v>
      </c>
      <c r="P2589" s="27"/>
      <c r="Q2589" s="27"/>
      <c r="R2589" s="27"/>
      <c r="S2589" s="27"/>
      <c r="T2589" s="27"/>
      <c r="U2589" s="27"/>
      <c r="V2589" s="27"/>
      <c r="W2589" s="27"/>
      <c r="X2589" s="128"/>
      <c r="Y2589" s="73"/>
      <c r="Z2589" s="73"/>
    </row>
    <row r="2590" spans="1:26" hidden="1" x14ac:dyDescent="0.25">
      <c r="A2590" s="222">
        <v>38</v>
      </c>
      <c r="B2590" s="71" t="s">
        <v>6423</v>
      </c>
      <c r="C2590" s="39" t="s">
        <v>10225</v>
      </c>
      <c r="D2590" s="106" t="s">
        <v>121</v>
      </c>
      <c r="E2590" s="47">
        <v>46279</v>
      </c>
      <c r="F2590" s="31" t="s">
        <v>10226</v>
      </c>
      <c r="G2590" s="302" t="s">
        <v>10227</v>
      </c>
      <c r="H2590" s="27" t="s">
        <v>8608</v>
      </c>
      <c r="I2590" s="27" t="s">
        <v>8595</v>
      </c>
      <c r="J2590" s="243">
        <v>46281</v>
      </c>
      <c r="K2590" s="261" t="s">
        <v>7569</v>
      </c>
      <c r="L2590" s="263" t="s">
        <v>6116</v>
      </c>
      <c r="M2590" s="268">
        <v>46282</v>
      </c>
      <c r="N2590" s="269">
        <v>3</v>
      </c>
      <c r="O2590" s="239">
        <v>980</v>
      </c>
      <c r="P2590" s="27"/>
      <c r="Q2590" s="27"/>
      <c r="R2590" s="27"/>
      <c r="S2590" s="27"/>
      <c r="T2590" s="27"/>
      <c r="U2590" s="27"/>
      <c r="V2590" s="27"/>
      <c r="W2590" s="27"/>
      <c r="X2590" s="128"/>
      <c r="Y2590" s="73"/>
      <c r="Z2590" s="73"/>
    </row>
    <row r="2591" spans="1:26" hidden="1" x14ac:dyDescent="0.25">
      <c r="A2591" s="222">
        <v>38</v>
      </c>
      <c r="B2591" s="71" t="s">
        <v>6423</v>
      </c>
      <c r="C2591" s="39" t="s">
        <v>10232</v>
      </c>
      <c r="D2591" s="106" t="s">
        <v>102</v>
      </c>
      <c r="E2591" s="47">
        <v>46280</v>
      </c>
      <c r="F2591" s="31" t="s">
        <v>10233</v>
      </c>
      <c r="G2591" s="302" t="s">
        <v>10234</v>
      </c>
      <c r="H2591" s="27" t="s">
        <v>9461</v>
      </c>
      <c r="I2591" s="27" t="s">
        <v>8802</v>
      </c>
      <c r="J2591" s="243">
        <v>46282</v>
      </c>
      <c r="K2591" s="261" t="s">
        <v>7569</v>
      </c>
      <c r="L2591" s="263" t="s">
        <v>6116</v>
      </c>
      <c r="M2591" s="268">
        <v>46283</v>
      </c>
      <c r="N2591" s="269">
        <v>3</v>
      </c>
      <c r="O2591" s="239">
        <v>980</v>
      </c>
      <c r="P2591" s="27"/>
      <c r="Q2591" s="27"/>
      <c r="R2591" s="27"/>
      <c r="S2591" s="27"/>
      <c r="T2591" s="27"/>
      <c r="U2591" s="27"/>
      <c r="V2591" s="27"/>
      <c r="W2591" s="27"/>
      <c r="X2591" s="128"/>
      <c r="Y2591" s="73"/>
      <c r="Z2591" s="73"/>
    </row>
    <row r="2592" spans="1:26" hidden="1" x14ac:dyDescent="0.25">
      <c r="A2592" s="222">
        <v>38</v>
      </c>
      <c r="B2592" s="71" t="s">
        <v>6423</v>
      </c>
      <c r="C2592" s="39" t="s">
        <v>299</v>
      </c>
      <c r="D2592" s="106" t="s">
        <v>38</v>
      </c>
      <c r="E2592" s="47">
        <v>46279</v>
      </c>
      <c r="F2592" s="31">
        <v>0</v>
      </c>
      <c r="G2592" s="302" t="s">
        <v>299</v>
      </c>
      <c r="H2592" s="27" t="s">
        <v>299</v>
      </c>
      <c r="I2592" s="27" t="s">
        <v>299</v>
      </c>
      <c r="J2592" s="243">
        <v>46283</v>
      </c>
      <c r="K2592" s="261" t="s">
        <v>299</v>
      </c>
      <c r="L2592" s="263" t="s">
        <v>1168</v>
      </c>
      <c r="M2592" s="268">
        <v>46284</v>
      </c>
      <c r="N2592" s="269">
        <v>5</v>
      </c>
      <c r="O2592" s="239"/>
      <c r="P2592" s="27"/>
      <c r="Q2592" s="27"/>
      <c r="R2592" s="27"/>
      <c r="S2592" s="27"/>
      <c r="T2592" s="27"/>
      <c r="U2592" s="27"/>
      <c r="V2592" s="27"/>
      <c r="W2592" s="27"/>
      <c r="X2592" s="128"/>
      <c r="Y2592" s="73"/>
      <c r="Z2592" s="73"/>
    </row>
    <row r="2593" spans="1:26" hidden="1" x14ac:dyDescent="0.25">
      <c r="A2593" s="222">
        <v>38</v>
      </c>
      <c r="B2593" s="71" t="s">
        <v>6423</v>
      </c>
      <c r="C2593" s="39" t="s">
        <v>6404</v>
      </c>
      <c r="D2593" s="106" t="s">
        <v>2202</v>
      </c>
      <c r="E2593" s="47">
        <v>46283</v>
      </c>
      <c r="F2593" s="31" t="s">
        <v>9389</v>
      </c>
      <c r="G2593" s="302" t="s">
        <v>9390</v>
      </c>
      <c r="H2593" s="27" t="s">
        <v>8928</v>
      </c>
      <c r="I2593" s="27" t="s">
        <v>8917</v>
      </c>
      <c r="J2593" s="243">
        <v>46285</v>
      </c>
      <c r="K2593" s="261" t="s">
        <v>6665</v>
      </c>
      <c r="L2593" s="263" t="s">
        <v>6116</v>
      </c>
      <c r="M2593" s="268">
        <v>46286</v>
      </c>
      <c r="N2593" s="269">
        <v>3</v>
      </c>
      <c r="O2593" s="239">
        <v>936</v>
      </c>
      <c r="P2593" s="27"/>
      <c r="Q2593" s="27"/>
      <c r="R2593" s="27"/>
      <c r="S2593" s="27"/>
      <c r="T2593" s="27"/>
      <c r="U2593" s="27"/>
      <c r="V2593" s="27"/>
      <c r="W2593" s="27"/>
      <c r="X2593" s="128"/>
      <c r="Y2593" s="73"/>
      <c r="Z2593" s="73"/>
    </row>
    <row r="2594" spans="1:26" hidden="1" x14ac:dyDescent="0.25">
      <c r="A2594" s="222">
        <v>38</v>
      </c>
      <c r="B2594" s="71" t="s">
        <v>6423</v>
      </c>
      <c r="C2594" s="39" t="s">
        <v>6417</v>
      </c>
      <c r="D2594" s="106" t="s">
        <v>5640</v>
      </c>
      <c r="E2594" s="47">
        <v>46283</v>
      </c>
      <c r="F2594" s="31" t="s">
        <v>9391</v>
      </c>
      <c r="G2594" s="302" t="s">
        <v>9392</v>
      </c>
      <c r="H2594" s="27" t="s">
        <v>6963</v>
      </c>
      <c r="I2594" s="27" t="s">
        <v>6764</v>
      </c>
      <c r="J2594" s="243">
        <v>46285</v>
      </c>
      <c r="K2594" s="261" t="s">
        <v>6443</v>
      </c>
      <c r="L2594" s="263" t="s">
        <v>6116</v>
      </c>
      <c r="M2594" s="268">
        <v>46286</v>
      </c>
      <c r="N2594" s="269">
        <v>3</v>
      </c>
      <c r="O2594" s="239">
        <v>936</v>
      </c>
      <c r="P2594" s="27"/>
      <c r="Q2594" s="27"/>
      <c r="R2594" s="27"/>
      <c r="S2594" s="27"/>
      <c r="T2594" s="27"/>
      <c r="U2594" s="27"/>
      <c r="V2594" s="27"/>
      <c r="W2594" s="27"/>
      <c r="X2594" s="128"/>
      <c r="Y2594" s="73"/>
      <c r="Z2594" s="73"/>
    </row>
    <row r="2595" spans="1:26" hidden="1" x14ac:dyDescent="0.25">
      <c r="A2595" s="222">
        <v>38</v>
      </c>
      <c r="B2595" s="71" t="s">
        <v>6423</v>
      </c>
      <c r="C2595" s="39" t="s">
        <v>299</v>
      </c>
      <c r="D2595" s="106" t="s">
        <v>2202</v>
      </c>
      <c r="E2595" s="47">
        <v>46283</v>
      </c>
      <c r="F2595" s="31" t="s">
        <v>8142</v>
      </c>
      <c r="G2595" s="302" t="s">
        <v>299</v>
      </c>
      <c r="H2595" s="27" t="s">
        <v>299</v>
      </c>
      <c r="I2595" s="27" t="s">
        <v>299</v>
      </c>
      <c r="J2595" s="243">
        <v>46285</v>
      </c>
      <c r="K2595" s="261" t="s">
        <v>299</v>
      </c>
      <c r="L2595" s="263" t="s">
        <v>6116</v>
      </c>
      <c r="M2595" s="268">
        <v>46286</v>
      </c>
      <c r="N2595" s="269">
        <v>3</v>
      </c>
      <c r="O2595" s="239">
        <v>1008</v>
      </c>
      <c r="P2595" s="27"/>
      <c r="Q2595" s="27"/>
      <c r="R2595" s="27"/>
      <c r="S2595" s="27"/>
      <c r="T2595" s="27"/>
      <c r="U2595" s="27"/>
      <c r="V2595" s="27"/>
      <c r="W2595" s="27"/>
      <c r="X2595" s="128"/>
      <c r="Y2595" s="73"/>
      <c r="Z2595" s="73"/>
    </row>
    <row r="2596" spans="1:26" hidden="1" x14ac:dyDescent="0.25">
      <c r="A2596" s="222">
        <v>38</v>
      </c>
      <c r="B2596" s="71" t="s">
        <v>6423</v>
      </c>
      <c r="C2596" s="39" t="s">
        <v>6417</v>
      </c>
      <c r="D2596" s="106" t="s">
        <v>2474</v>
      </c>
      <c r="E2596" s="47">
        <v>46284</v>
      </c>
      <c r="F2596" s="31" t="s">
        <v>9391</v>
      </c>
      <c r="G2596" s="302" t="s">
        <v>9392</v>
      </c>
      <c r="H2596" s="27" t="s">
        <v>6963</v>
      </c>
      <c r="I2596" s="27" t="s">
        <v>6764</v>
      </c>
      <c r="J2596" s="243">
        <v>46286</v>
      </c>
      <c r="K2596" s="261" t="s">
        <v>6443</v>
      </c>
      <c r="L2596" s="263" t="s">
        <v>6116</v>
      </c>
      <c r="M2596" s="268">
        <v>46287</v>
      </c>
      <c r="N2596" s="269">
        <v>3</v>
      </c>
      <c r="O2596" s="239">
        <v>1008</v>
      </c>
      <c r="P2596" s="27"/>
      <c r="Q2596" s="27"/>
      <c r="R2596" s="27"/>
      <c r="S2596" s="27"/>
      <c r="T2596" s="27"/>
      <c r="U2596" s="27"/>
      <c r="V2596" s="27"/>
      <c r="W2596" s="27"/>
      <c r="X2596" s="128"/>
      <c r="Y2596" s="73"/>
      <c r="Z2596" s="73"/>
    </row>
    <row r="2597" spans="1:26" hidden="1" x14ac:dyDescent="0.25">
      <c r="A2597" s="222">
        <v>38</v>
      </c>
      <c r="B2597" s="71" t="s">
        <v>6423</v>
      </c>
      <c r="C2597" s="39" t="s">
        <v>299</v>
      </c>
      <c r="D2597" s="106" t="s">
        <v>38</v>
      </c>
      <c r="E2597" s="47">
        <v>46281</v>
      </c>
      <c r="F2597" s="31" t="s">
        <v>8142</v>
      </c>
      <c r="G2597" s="302" t="s">
        <v>299</v>
      </c>
      <c r="H2597" s="27" t="s">
        <v>299</v>
      </c>
      <c r="I2597" s="27" t="s">
        <v>299</v>
      </c>
      <c r="J2597" s="243">
        <v>46288</v>
      </c>
      <c r="K2597" s="261" t="s">
        <v>299</v>
      </c>
      <c r="L2597" s="263" t="s">
        <v>1750</v>
      </c>
      <c r="M2597" s="268">
        <v>46289</v>
      </c>
      <c r="N2597" s="269">
        <v>8</v>
      </c>
      <c r="O2597" s="239"/>
      <c r="P2597" s="27"/>
      <c r="Q2597" s="27"/>
      <c r="R2597" s="27"/>
      <c r="S2597" s="27"/>
      <c r="T2597" s="27"/>
      <c r="U2597" s="27"/>
      <c r="V2597" s="27"/>
      <c r="W2597" s="27"/>
      <c r="X2597" s="128"/>
      <c r="Y2597" s="73"/>
      <c r="Z2597" s="73"/>
    </row>
    <row r="2598" spans="1:26" hidden="1" x14ac:dyDescent="0.25">
      <c r="A2598" s="222">
        <v>38</v>
      </c>
      <c r="B2598" s="71" t="s">
        <v>6423</v>
      </c>
      <c r="C2598" s="39" t="s">
        <v>299</v>
      </c>
      <c r="D2598" s="106" t="s">
        <v>38</v>
      </c>
      <c r="E2598" s="47">
        <v>46283</v>
      </c>
      <c r="F2598" s="31">
        <v>0</v>
      </c>
      <c r="G2598" s="302" t="s">
        <v>299</v>
      </c>
      <c r="H2598" s="27" t="s">
        <v>299</v>
      </c>
      <c r="I2598" s="27" t="s">
        <v>299</v>
      </c>
      <c r="J2598" s="243">
        <v>46290</v>
      </c>
      <c r="K2598" s="261" t="s">
        <v>299</v>
      </c>
      <c r="L2598" s="263" t="s">
        <v>616</v>
      </c>
      <c r="M2598" s="268">
        <v>46291</v>
      </c>
      <c r="N2598" s="269">
        <v>8</v>
      </c>
      <c r="O2598" s="239"/>
      <c r="P2598" s="27"/>
      <c r="Q2598" s="27"/>
      <c r="R2598" s="27"/>
      <c r="S2598" s="27"/>
      <c r="T2598" s="27"/>
      <c r="U2598" s="27"/>
      <c r="V2598" s="27"/>
      <c r="W2598" s="27"/>
      <c r="X2598" s="128"/>
      <c r="Y2598" s="73"/>
      <c r="Z2598" s="73"/>
    </row>
    <row r="2599" spans="1:26" ht="15" customHeight="1" x14ac:dyDescent="0.25">
      <c r="D2599" s="120"/>
      <c r="O2599" s="27"/>
      <c r="S2599" s="120" t="s">
        <v>6428</v>
      </c>
      <c r="T2599" s="120"/>
    </row>
    <row r="2600" spans="1:26" x14ac:dyDescent="0.25">
      <c r="D2600" s="120"/>
      <c r="O2600" s="27"/>
      <c r="S2600" s="120"/>
      <c r="T2600" s="120"/>
    </row>
    <row r="2601" spans="1:26" x14ac:dyDescent="0.25">
      <c r="O2601" s="27"/>
    </row>
    <row r="2602" spans="1:26" x14ac:dyDescent="0.25"/>
    <row r="2603" spans="1:26" x14ac:dyDescent="0.25">
      <c r="N2603" s="69" t="s">
        <v>2</v>
      </c>
    </row>
    <row r="2604" spans="1:26" x14ac:dyDescent="0.25"/>
    <row r="2605" spans="1:26" x14ac:dyDescent="0.25"/>
    <row r="2607" spans="1:26" x14ac:dyDescent="0.25"/>
    <row r="2616" spans="19:19" ht="15" customHeight="1" x14ac:dyDescent="0.25">
      <c r="S2616" s="69" t="s">
        <v>2</v>
      </c>
    </row>
    <row r="3155" spans="26:26" x14ac:dyDescent="0.25">
      <c r="Z3155" s="73" t="s">
        <v>6429</v>
      </c>
    </row>
  </sheetData>
  <autoFilter ref="A4:AI2599" xr:uid="{00000000-0001-0000-0000-000000000000}">
    <filterColumn colId="1">
      <filters blank="1">
        <filter val="Cargado"/>
        <filter val="Solicitado"/>
      </filters>
    </filterColumn>
  </autoFilter>
  <sortState xmlns:xlrd2="http://schemas.microsoft.com/office/spreadsheetml/2017/richdata2" ref="A4:V4">
    <sortCondition ref="M4"/>
    <sortCondition ref="B4"/>
  </sortState>
  <mergeCells count="2">
    <mergeCell ref="O3:R3"/>
    <mergeCell ref="A2:E2"/>
  </mergeCells>
  <conditionalFormatting sqref="A761:F815 I781:J781 L2378:L2392 K2379:K2392">
    <cfRule type="expression" dxfId="96" priority="546">
      <formula>$B761="Descargado"</formula>
    </cfRule>
    <cfRule type="expression" dxfId="95" priority="547">
      <formula>$B761="Frontera"</formula>
    </cfRule>
    <cfRule type="expression" dxfId="94" priority="548">
      <formula>$B761="Cargado"</formula>
    </cfRule>
    <cfRule type="expression" dxfId="93" priority="549">
      <formula>$B761="Cancelado"</formula>
    </cfRule>
    <cfRule type="expression" dxfId="92" priority="550">
      <formula>$B761="Confirmado"</formula>
    </cfRule>
    <cfRule type="expression" dxfId="91" priority="551">
      <formula>$B761="Solicitado"</formula>
    </cfRule>
    <cfRule type="expression" dxfId="90" priority="552">
      <formula>$B761="Arribado"</formula>
    </cfRule>
  </conditionalFormatting>
  <conditionalFormatting sqref="A844:H869 I854:J869 A870:I908 I909:J921 A909:H941">
    <cfRule type="expression" dxfId="89" priority="162">
      <formula>$B844="Descargado"</formula>
    </cfRule>
    <cfRule type="expression" dxfId="88" priority="163">
      <formula>$B844="Frontera"</formula>
    </cfRule>
    <cfRule type="expression" dxfId="87" priority="164">
      <formula>$B844="Cargado"</formula>
    </cfRule>
    <cfRule type="expression" dxfId="86" priority="165">
      <formula>$B844="Cancelado"</formula>
    </cfRule>
    <cfRule type="expression" dxfId="85" priority="166">
      <formula>$B844="Confirmado"</formula>
    </cfRule>
    <cfRule type="expression" dxfId="84" priority="167">
      <formula>$B844="Solicitado"</formula>
    </cfRule>
    <cfRule type="expression" dxfId="83" priority="168">
      <formula>$B844="Arribado"</formula>
    </cfRule>
  </conditionalFormatting>
  <conditionalFormatting sqref="A1120:H1201 I1165 A1663:K1682 L1681:Z1682 A1683:Z2360 A2361:F2598 I2361:J2598 M2361:Z2598">
    <cfRule type="expression" dxfId="82" priority="131">
      <formula>$B1120="Frontera"</formula>
    </cfRule>
    <cfRule type="expression" dxfId="81" priority="132">
      <formula>$B1120="Cargado"</formula>
    </cfRule>
    <cfRule type="expression" dxfId="80" priority="133">
      <formula>$B1120="Cancelado"</formula>
    </cfRule>
    <cfRule type="expression" dxfId="79" priority="134">
      <formula>$B1120="Confirmado"</formula>
    </cfRule>
    <cfRule type="expression" dxfId="78" priority="135">
      <formula>$B1120="Solicitado"</formula>
    </cfRule>
    <cfRule type="expression" dxfId="77" priority="136">
      <formula>$B1120="Arribado"</formula>
    </cfRule>
  </conditionalFormatting>
  <conditionalFormatting sqref="A1120:H1201 I1186:J1201 L1186:Z1201 A1202:Z1236 L1237:Z1276 A1237:F1277 G1237:K1344">
    <cfRule type="expression" dxfId="76" priority="105">
      <formula>$B1120="Liberado"</formula>
    </cfRule>
  </conditionalFormatting>
  <conditionalFormatting sqref="A5:W650 Z5:Z650 X5:Y651 Y593:Y738 A651:Y651 A652:Z656 L657:Z734 A657:F738 I657:J738 G657:H745 K657:K745 L735:Y736 X735:Y738 L737:W738 Z737:Z738 I740:I742 J741:J742 A741:F745 L741:Z745 Y741:Y959 I743:J745 A746:Z760 G761:Z772 I773:J780 G773:H789 K773:Z789 I782:J789 G790:Z815 A816:Z843 I844:J853 K844:Z869 J870:Z908 K909:Z941 I922:J941 A942:Z1119 Y990:Y1215 I1120:J1164 L1120:Z1164 K1120:K1201 J1165:J1175 L1165:M1175 N1165:Z1185 I1166:I1185 I1176:J1184 L1176:W1184 J1185 L1185:M1185 I1186:J1201 L1186:Z1201 A1202:Z1236 L1277:X1277 L1278:W1278 E1278:F1297 A1278:D1315 X1278:X1315 L1279:U1280 L1281:W1315 Y1287:Z1315 A1298:F1344 L1298:Z1344 A1345:Z1539 L1540:Z1542 A1540:K1578 L1543:R1543 U1543:Z1543 L1544:Z1578 A1579:Z1662 L1663:Z1679 L1680:Y1680 AA1730 K2361:L2377 K2378 K2392 K2407 O2599:O2601">
    <cfRule type="expression" dxfId="75" priority="104595">
      <formula>$B5="Frontera"</formula>
    </cfRule>
    <cfRule type="expression" dxfId="74" priority="104596">
      <formula>$B5="Cargado"</formula>
    </cfRule>
    <cfRule type="expression" dxfId="73" priority="104597">
      <formula>$B5="Cancelado"</formula>
    </cfRule>
    <cfRule type="expression" dxfId="72" priority="104598">
      <formula>$B5="Confirmado"</formula>
    </cfRule>
    <cfRule type="expression" dxfId="71" priority="104599">
      <formula>$B5="Solicitado"</formula>
    </cfRule>
    <cfRule type="expression" dxfId="70" priority="104600">
      <formula>$B5="Arribado"</formula>
    </cfRule>
  </conditionalFormatting>
  <conditionalFormatting sqref="A5:W650 Z5:Z650 X5:Y651 Y593:Y738 A651:Y651 A652:Z656 L657:Z734 A657:F738 I657:J738 G657:H745 K657:K745 L735:Y736 X735:Y738 L737:W738 Z737:Z738 I740:I742 J741:J742 A741:F745 L741:Z745 Y741:Y959 I743:J745 A746:Z760 G761:Z772 I773:J780 G773:H789 K773:Z789 I782:J789 G790:Z815 A816:Z843 I844:J853 K844:Z869 J870:Z908 K909:Z941 I922:J941 A942:Z1119 Y990:Y1215 I1120:J1164 L1120:Z1164 K1120:K1201 J1165:J1175 L1165:M1175 N1165:Z1185 I1166:I1185 I1176:J1184 L1176:W1184 J1185 L1185:M1185 L1186:Z1201 A1202:Z1236 L1277:X1277 L1278:W1278 E1278:F1297 A1278:D1315 X1278:X1315 L1279:U1280 L1281:W1315 Y1287:Z1315 A1298:F1344 L1298:Z1344 A1345:Z1539 L1540:Z1542 A1540:K1578 L1543:R1543 U1543:Z1543 L1544:Z1578 A1579:Z1662 L1663:Z1679 L1680:Y1680 AA1730 K2361:L2377 K2378 K2392 K2407 O2599:O2601 I1186:J1201">
    <cfRule type="expression" dxfId="69" priority="104594">
      <formula>$B5="Descargado"</formula>
    </cfRule>
  </conditionalFormatting>
  <conditionalFormatting sqref="A816:Z1119 I1120:J1164 L1120:Z1164">
    <cfRule type="expression" dxfId="68" priority="161">
      <formula>$B816="Liberado"</formula>
    </cfRule>
  </conditionalFormatting>
  <conditionalFormatting sqref="G2361:H2598 K2393:L2598">
    <cfRule type="expression" dxfId="67" priority="2">
      <formula>$B2361="Descargado"</formula>
    </cfRule>
    <cfRule type="expression" dxfId="66" priority="3">
      <formula>$B2361="Frontera"</formula>
    </cfRule>
    <cfRule type="expression" dxfId="65" priority="4">
      <formula>$B2361="Cargado"</formula>
    </cfRule>
    <cfRule type="expression" dxfId="64" priority="5">
      <formula>$B2361="Cancelado"</formula>
    </cfRule>
    <cfRule type="expression" dxfId="63" priority="6">
      <formula>$B2361="Confirmado"</formula>
    </cfRule>
    <cfRule type="expression" dxfId="62" priority="7">
      <formula>$B2361="Solicitado"</formula>
    </cfRule>
    <cfRule type="expression" dxfId="61" priority="8">
      <formula>$B2361="Arribado"</formula>
    </cfRule>
  </conditionalFormatting>
  <conditionalFormatting sqref="G2411:H2423 K2411:L2423">
    <cfRule type="expression" dxfId="60" priority="1">
      <formula>$B2411="Liberado"</formula>
    </cfRule>
  </conditionalFormatting>
  <conditionalFormatting sqref="H761:Z763 A761:F815 G764:Z772 H773:J789 L773:Z789 G790:Z790 H791:Z815">
    <cfRule type="expression" dxfId="59" priority="545">
      <formula>$B761="Liberado"</formula>
    </cfRule>
  </conditionalFormatting>
  <conditionalFormatting sqref="I1165 A1663:K1682 L1681:Z1682 A1683:Z2360 A1120:H1201 A2361:F2598 I2361:J2598 M2361:Z2598">
    <cfRule type="expression" dxfId="58" priority="130">
      <formula>$B1120="Descargado"</formula>
    </cfRule>
  </conditionalFormatting>
  <conditionalFormatting sqref="I1165:I1185 A1663:K1682 L1681:Z1682 A1683:Z2360 A2361:F2598 I2361:J2598 M2361:Z2598">
    <cfRule type="expression" dxfId="57" priority="129">
      <formula>$B1165="Liberado"</formula>
    </cfRule>
  </conditionalFormatting>
  <conditionalFormatting sqref="K2361:L2410 G2361:H2410 A5:W650 Z5:Z650 X5:Y651 Y593:Y738 A651:Y651 A652:Z656 L657:Z734 A657:F738 I657:J738 G657:H745 K657:K745 L735:Y736 X735:Y738 L737:W738 Z737:Z738 I740:I742 J741:J742 A741:F745 L741:Z745 Y741:Y959 I743:J745 A746:Z760 G761:G789 K761:K789 I764:I765 H766 I767 H768:H771 I769 I772:I773 I782 G791:G816 K791:K816 I794 I816 G819:H823 K819:K823 G825:H828 K825:K828 I830 G830:H841 K830:K841 I832 I844 I929:I930 G943:H955 K943:K955 I949 G958:H963 K958:K963 G965:H974 K965:K974 G976:H980 K976:K980 G982:H1003 K982:K1003 I984 Y990:Y1215 I1001 G1005:H1070 K1005:K1070 I1026 I1060 G1072:H1095 K1072:K1095 I1092 G1097:H1101 K1097:K1101 I1103 G1103:H1114 K1103:K1114 I1107 K1120:K1201 I1135 J1165:J1175 L1165:M1175 N1165:Z1185 I1176:J1184 L1176:W1184 J1185 L1185:M1185 G1203:H1216 K1203:K1216 I1208 G1218:H1235 K1218:K1235 I1227 L1277:X1277 L1278:W1278 E1278:F1297 A1278:D1315 X1278:X1315 L1279:U1280 L1281:W1315 A1298:F1344 L1298:Z1344 A1345:Z1539 L1540:Z1542 A1540:K1578 L1543:R1543 U1543:Z1543 L1544:Z1578 A1579:Z1662 L1663:Z1679 L1680:Y1680 AA1730 O2599:O2601 G2424:H2598 K2424:L2598">
    <cfRule type="expression" dxfId="56" priority="103586">
      <formula>$B5="Liberado"</formula>
    </cfRule>
  </conditionalFormatting>
  <conditionalFormatting sqref="L1237:Z1276 A1237:F1277 G1237:K1344">
    <cfRule type="expression" dxfId="55" priority="106">
      <formula>$B1237="Descargado"</formula>
    </cfRule>
    <cfRule type="expression" dxfId="54" priority="107">
      <formula>$B1237="Frontera"</formula>
    </cfRule>
    <cfRule type="expression" dxfId="53" priority="108">
      <formula>$B1237="Cargado"</formula>
    </cfRule>
    <cfRule type="expression" dxfId="52" priority="109">
      <formula>$B1237="Cancelado"</formula>
    </cfRule>
    <cfRule type="expression" dxfId="51" priority="110">
      <formula>$B1237="Confirmado"</formula>
    </cfRule>
    <cfRule type="expression" dxfId="50" priority="111">
      <formula>$B1237="Solicitado"</formula>
    </cfRule>
    <cfRule type="expression" dxfId="49" priority="112">
      <formula>$B1237="Arribado"</formula>
    </cfRule>
  </conditionalFormatting>
  <conditionalFormatting sqref="S1543:T1543">
    <cfRule type="expression" dxfId="48" priority="104641">
      <formula>$B1519="Liberado"</formula>
    </cfRule>
    <cfRule type="expression" dxfId="47" priority="104642">
      <formula>$B1519="Descargado"</formula>
    </cfRule>
    <cfRule type="expression" dxfId="46" priority="104643">
      <formula>$B1519="Frontera"</formula>
    </cfRule>
    <cfRule type="expression" dxfId="45" priority="104644">
      <formula>$B1519="Cargado"</formula>
    </cfRule>
    <cfRule type="expression" dxfId="44" priority="104645">
      <formula>$B1519="Cancelado"</formula>
    </cfRule>
    <cfRule type="expression" dxfId="43" priority="104646">
      <formula>$B1519="Confirmado"</formula>
    </cfRule>
    <cfRule type="expression" dxfId="42" priority="104647">
      <formula>$B1519="Solicitado"</formula>
    </cfRule>
    <cfRule type="expression" dxfId="41" priority="104648">
      <formula>$B1519="Arribado"</formula>
    </cfRule>
  </conditionalFormatting>
  <conditionalFormatting sqref="Y1277:Z1286">
    <cfRule type="expression" dxfId="40" priority="82">
      <formula>$B1277="Descargado"</formula>
    </cfRule>
    <cfRule type="expression" dxfId="39" priority="83">
      <formula>$B1277="Frontera"</formula>
    </cfRule>
    <cfRule type="expression" dxfId="38" priority="84">
      <formula>$B1277="Cargado"</formula>
    </cfRule>
    <cfRule type="expression" dxfId="37" priority="85">
      <formula>$B1277="Cancelado"</formula>
    </cfRule>
    <cfRule type="expression" dxfId="36" priority="86">
      <formula>$B1277="Confirmado"</formula>
    </cfRule>
    <cfRule type="expression" dxfId="35" priority="87">
      <formula>$B1277="Solicitado"</formula>
    </cfRule>
    <cfRule type="expression" dxfId="34" priority="88">
      <formula>$B1277="Arribado"</formula>
    </cfRule>
  </conditionalFormatting>
  <conditionalFormatting sqref="Y1277:Z1315">
    <cfRule type="expression" dxfId="33" priority="81">
      <formula>$B1277="Liberado"</formula>
    </cfRule>
  </conditionalFormatting>
  <conditionalFormatting sqref="Z736">
    <cfRule type="expression" dxfId="32" priority="104625">
      <formula>$B735="Liberado"</formula>
    </cfRule>
    <cfRule type="expression" dxfId="31" priority="104626">
      <formula>$B735="Descargado"</formula>
    </cfRule>
    <cfRule type="expression" dxfId="30" priority="104627">
      <formula>$B735="Frontera"</formula>
    </cfRule>
    <cfRule type="expression" dxfId="29" priority="104628">
      <formula>$B735="Cargado"</formula>
    </cfRule>
    <cfRule type="expression" dxfId="28" priority="104629">
      <formula>$B735="Cancelado"</formula>
    </cfRule>
    <cfRule type="expression" dxfId="27" priority="104630">
      <formula>$B735="Confirmado"</formula>
    </cfRule>
    <cfRule type="expression" dxfId="26" priority="104631">
      <formula>$B735="Solicitado"</formula>
    </cfRule>
    <cfRule type="expression" dxfId="25" priority="104632">
      <formula>$B735="Arribado"</formula>
    </cfRule>
  </conditionalFormatting>
  <conditionalFormatting sqref="Z3155">
    <cfRule type="expression" dxfId="24" priority="104609">
      <formula>$B651="Liberado"</formula>
    </cfRule>
    <cfRule type="expression" dxfId="23" priority="104610">
      <formula>$B651="Descargado"</formula>
    </cfRule>
    <cfRule type="expression" dxfId="22" priority="104611">
      <formula>$B651="Frontera"</formula>
    </cfRule>
    <cfRule type="expression" dxfId="21" priority="104612">
      <formula>$B651="Cargado"</formula>
    </cfRule>
    <cfRule type="expression" dxfId="20" priority="104613">
      <formula>$B651="Cancelado"</formula>
    </cfRule>
    <cfRule type="expression" dxfId="19" priority="104614">
      <formula>$B651="Confirmado"</formula>
    </cfRule>
    <cfRule type="expression" dxfId="18" priority="104615">
      <formula>$B651="Solicitado"</formula>
    </cfRule>
    <cfRule type="expression" dxfId="17" priority="104616">
      <formula>$B651="Arribado"</formula>
    </cfRule>
  </conditionalFormatting>
  <dataValidations count="3">
    <dataValidation type="list" allowBlank="1" showInputMessage="1" showErrorMessage="1" sqref="D5:D738 D741:D1277 D1298:D2346 D2348:D2598" xr:uid="{00000000-0002-0000-0000-000000000000}">
      <formula1>Productores</formula1>
    </dataValidation>
    <dataValidation type="list" allowBlank="1" showInputMessage="1" showErrorMessage="1" sqref="B5:B738 B741:B1277 B1298:B2598" xr:uid="{00000000-0002-0000-0000-000001000000}">
      <formula1>Status</formula1>
    </dataValidation>
    <dataValidation allowBlank="1" showInputMessage="1" showErrorMessage="1" sqref="Y1252:Y1286 Y1298:Y2598" xr:uid="{DD212C44-1AD1-48CE-88B0-F46CCEA6FBAA}"/>
  </dataValidations>
  <printOptions horizontalCentered="1" verticalCentered="1"/>
  <pageMargins left="0.35433070866141736" right="0.35433070866141736" top="9.0500000000000007" bottom="0.32" header="0.31496062992125984" footer="0.31496062992125984"/>
  <pageSetup paperSize="9" scale="10" orientation="portrait" horizontalDpi="300" verticalDpi="30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83383D5-DAFA-44EF-BFD8-991879F48270}">
          <x14:formula1>
            <xm:f>Choferes!$B$2:$B$500</xm:f>
          </x14:formula1>
          <xm:sqref>X5:Y591</xm:sqref>
        </x14:dataValidation>
        <x14:dataValidation type="list" allowBlank="1" showInputMessage="1" showErrorMessage="1" xr:uid="{40A1280B-3060-4729-8BEB-EC47D61F8394}">
          <x14:formula1>
            <xm:f>Choferes!$B$3:$B$400</xm:f>
          </x14:formula1>
          <xm:sqref>X593:Y738 Y741:Y1251 X741:X2598</xm:sqref>
        </x14:dataValidation>
        <x14:dataValidation type="list" allowBlank="1" showInputMessage="1" showErrorMessage="1" xr:uid="{83CE7363-A0FC-431D-946D-F05265974B9A}">
          <x14:formula1>
            <xm:f>Rangos!$J$5:$J$69</xm:f>
          </x14:formula1>
          <xm:sqref>D1278:D1296</xm:sqref>
        </x14:dataValidation>
        <x14:dataValidation type="list" allowBlank="1" showInputMessage="1" showErrorMessage="1" xr:uid="{8902932A-F25F-47D1-9493-DBD55C449C5C}">
          <x14:formula1>
            <xm:f>Rangos!$B$5:$B$14</xm:f>
          </x14:formula1>
          <xm:sqref>B1278:B1297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Q1916"/>
  <sheetViews>
    <sheetView showGridLines="0" topLeftCell="A1795" workbookViewId="0">
      <selection activeCell="I1807" sqref="A1807:XFD1809"/>
    </sheetView>
  </sheetViews>
  <sheetFormatPr baseColWidth="10" defaultColWidth="11.42578125" defaultRowHeight="15" customHeight="1" x14ac:dyDescent="0.25"/>
  <cols>
    <col min="1" max="1" width="5.140625" customWidth="1"/>
    <col min="2" max="2" width="11.42578125" style="43"/>
    <col min="3" max="3" width="21.5703125" customWidth="1"/>
    <col min="4" max="4" width="16.5703125" bestFit="1" customWidth="1"/>
    <col min="5" max="6" width="16.5703125" customWidth="1"/>
    <col min="8" max="8" width="14.28515625" customWidth="1"/>
    <col min="11" max="11" width="16.140625" customWidth="1"/>
    <col min="12" max="12" width="25.42578125" customWidth="1"/>
    <col min="13" max="13" width="30.28515625" bestFit="1" customWidth="1"/>
  </cols>
  <sheetData>
    <row r="1" spans="1:13" x14ac:dyDescent="0.25">
      <c r="A1" s="25" t="s">
        <v>2</v>
      </c>
    </row>
    <row r="2" spans="1:13" ht="18.75" x14ac:dyDescent="0.3">
      <c r="B2" s="44" t="s">
        <v>6430</v>
      </c>
      <c r="M2" s="40"/>
    </row>
    <row r="4" spans="1:13" x14ac:dyDescent="0.25">
      <c r="B4" s="45"/>
      <c r="C4" s="7" t="s">
        <v>6431</v>
      </c>
      <c r="D4" s="7" t="s">
        <v>6432</v>
      </c>
      <c r="E4" s="7" t="s">
        <v>6433</v>
      </c>
      <c r="F4" s="7" t="s">
        <v>6434</v>
      </c>
      <c r="G4" s="7" t="s">
        <v>14</v>
      </c>
      <c r="H4" s="7" t="s">
        <v>6435</v>
      </c>
      <c r="I4" s="7" t="s">
        <v>6436</v>
      </c>
      <c r="J4" s="7" t="s">
        <v>6419</v>
      </c>
      <c r="K4" s="7" t="s">
        <v>6437</v>
      </c>
      <c r="L4" s="7" t="s">
        <v>6438</v>
      </c>
      <c r="M4" s="7" t="s">
        <v>6439</v>
      </c>
    </row>
    <row r="5" spans="1:13" ht="13.5" hidden="1" customHeight="1" x14ac:dyDescent="0.25">
      <c r="B5" s="46">
        <v>44208</v>
      </c>
      <c r="C5" s="6" t="s">
        <v>6440</v>
      </c>
      <c r="D5" s="2" t="s">
        <v>6441</v>
      </c>
      <c r="E5" s="2" t="s">
        <v>6442</v>
      </c>
      <c r="F5" s="2"/>
      <c r="G5" s="2" t="s">
        <v>6443</v>
      </c>
      <c r="H5" s="2" t="s">
        <v>6444</v>
      </c>
      <c r="I5" s="3">
        <v>1152</v>
      </c>
      <c r="J5" s="4" t="e">
        <f>SUMIF(Cargas!#REF!,C5,Cargas!#REF!)</f>
        <v>#REF!</v>
      </c>
      <c r="K5" s="18" t="e">
        <f t="shared" ref="K5" si="0">IF(ABS(I5-J5)&lt;20,0,I5-J5)</f>
        <v>#REF!</v>
      </c>
      <c r="L5" s="5" t="s">
        <v>6445</v>
      </c>
      <c r="M5" s="37">
        <v>6588</v>
      </c>
    </row>
    <row r="6" spans="1:13" ht="13.5" hidden="1" customHeight="1" x14ac:dyDescent="0.25">
      <c r="B6" s="46">
        <v>44208</v>
      </c>
      <c r="C6" s="6" t="s">
        <v>6446</v>
      </c>
      <c r="D6" s="2" t="s">
        <v>6441</v>
      </c>
      <c r="E6" s="2" t="s">
        <v>6442</v>
      </c>
      <c r="F6" s="2"/>
      <c r="G6" s="2" t="s">
        <v>6443</v>
      </c>
      <c r="H6" s="2" t="s">
        <v>6444</v>
      </c>
      <c r="I6" s="3">
        <v>1152</v>
      </c>
      <c r="J6" s="4" t="e">
        <f>SUMIF(Cargas!#REF!,C6,Cargas!#REF!)</f>
        <v>#REF!</v>
      </c>
      <c r="K6" s="18" t="e">
        <f t="shared" ref="K6:K16" si="1">IF(ABS(I6-J6)&lt;20,0,I6-J6)</f>
        <v>#REF!</v>
      </c>
      <c r="L6" s="5" t="s">
        <v>6447</v>
      </c>
      <c r="M6" s="37">
        <v>6588</v>
      </c>
    </row>
    <row r="7" spans="1:13" ht="13.5" hidden="1" customHeight="1" x14ac:dyDescent="0.25">
      <c r="B7" s="46">
        <v>44208</v>
      </c>
      <c r="C7" s="6" t="s">
        <v>6448</v>
      </c>
      <c r="D7" s="2" t="s">
        <v>6441</v>
      </c>
      <c r="E7" s="2" t="s">
        <v>6442</v>
      </c>
      <c r="F7" s="2"/>
      <c r="G7" s="2" t="s">
        <v>6443</v>
      </c>
      <c r="H7" s="2" t="s">
        <v>6444</v>
      </c>
      <c r="I7" s="3">
        <v>1152</v>
      </c>
      <c r="J7" s="4" t="e">
        <f>SUMIF(Cargas!#REF!,C7,Cargas!#REF!)</f>
        <v>#REF!</v>
      </c>
      <c r="K7" s="18" t="e">
        <f t="shared" si="1"/>
        <v>#REF!</v>
      </c>
      <c r="L7" s="5" t="s">
        <v>6449</v>
      </c>
      <c r="M7" s="37">
        <v>6588</v>
      </c>
    </row>
    <row r="8" spans="1:13" ht="13.5" hidden="1" customHeight="1" x14ac:dyDescent="0.25">
      <c r="B8" s="46">
        <v>44209</v>
      </c>
      <c r="C8" s="6" t="s">
        <v>6450</v>
      </c>
      <c r="D8" s="2" t="s">
        <v>6451</v>
      </c>
      <c r="E8" s="2" t="s">
        <v>6442</v>
      </c>
      <c r="F8" s="2"/>
      <c r="G8" s="2" t="s">
        <v>6443</v>
      </c>
      <c r="H8" s="2" t="s">
        <v>6444</v>
      </c>
      <c r="I8" s="3">
        <v>1152</v>
      </c>
      <c r="J8" s="4" t="e">
        <f>SUMIF(Cargas!#REF!,C8,Cargas!#REF!)</f>
        <v>#REF!</v>
      </c>
      <c r="K8" s="18" t="e">
        <f t="shared" si="1"/>
        <v>#REF!</v>
      </c>
      <c r="L8" s="5" t="s">
        <v>6452</v>
      </c>
      <c r="M8" s="37">
        <v>10198</v>
      </c>
    </row>
    <row r="9" spans="1:13" ht="13.5" hidden="1" customHeight="1" x14ac:dyDescent="0.25">
      <c r="B9" s="46">
        <v>44209</v>
      </c>
      <c r="C9" s="6" t="s">
        <v>6453</v>
      </c>
      <c r="D9" s="2" t="s">
        <v>6454</v>
      </c>
      <c r="E9" s="2" t="s">
        <v>6442</v>
      </c>
      <c r="F9" s="2"/>
      <c r="G9" s="2" t="s">
        <v>6443</v>
      </c>
      <c r="H9" s="2" t="s">
        <v>6455</v>
      </c>
      <c r="I9" s="3">
        <v>1152</v>
      </c>
      <c r="J9" s="4" t="e">
        <f>SUMIF(Cargas!#REF!,C9,Cargas!#REF!)</f>
        <v>#REF!</v>
      </c>
      <c r="K9" s="18" t="e">
        <f t="shared" si="1"/>
        <v>#REF!</v>
      </c>
      <c r="L9" s="5" t="s">
        <v>6456</v>
      </c>
      <c r="M9" s="37">
        <v>10227</v>
      </c>
    </row>
    <row r="10" spans="1:13" ht="13.5" hidden="1" customHeight="1" x14ac:dyDescent="0.25">
      <c r="B10" s="46">
        <v>44221</v>
      </c>
      <c r="C10" s="6" t="s">
        <v>6457</v>
      </c>
      <c r="D10" s="2" t="s">
        <v>6458</v>
      </c>
      <c r="E10" s="2" t="s">
        <v>6442</v>
      </c>
      <c r="F10" s="2"/>
      <c r="G10" s="2" t="s">
        <v>6443</v>
      </c>
      <c r="H10" s="2" t="s">
        <v>6444</v>
      </c>
      <c r="I10" s="3">
        <v>1152</v>
      </c>
      <c r="J10" s="4" t="e">
        <f>SUMIF(Cargas!#REF!,C10,Cargas!#REF!)</f>
        <v>#REF!</v>
      </c>
      <c r="K10" s="18" t="e">
        <f t="shared" si="1"/>
        <v>#REF!</v>
      </c>
      <c r="L10" s="5" t="s">
        <v>6459</v>
      </c>
      <c r="M10" s="37">
        <v>15413</v>
      </c>
    </row>
    <row r="11" spans="1:13" ht="13.5" hidden="1" customHeight="1" x14ac:dyDescent="0.25">
      <c r="B11" s="46">
        <v>44221</v>
      </c>
      <c r="C11" s="6" t="s">
        <v>6460</v>
      </c>
      <c r="D11" s="2" t="s">
        <v>6458</v>
      </c>
      <c r="E11" s="2" t="s">
        <v>6442</v>
      </c>
      <c r="F11" s="2"/>
      <c r="G11" s="2" t="s">
        <v>6443</v>
      </c>
      <c r="H11" s="2" t="s">
        <v>6444</v>
      </c>
      <c r="I11" s="3">
        <v>1152</v>
      </c>
      <c r="J11" s="4" t="e">
        <f>SUMIF(Cargas!#REF!,C11,Cargas!#REF!)</f>
        <v>#REF!</v>
      </c>
      <c r="K11" s="18" t="e">
        <f t="shared" si="1"/>
        <v>#REF!</v>
      </c>
      <c r="L11" s="5" t="s">
        <v>6461</v>
      </c>
      <c r="M11" s="37">
        <v>15413</v>
      </c>
    </row>
    <row r="12" spans="1:13" ht="13.5" hidden="1" customHeight="1" x14ac:dyDescent="0.25">
      <c r="B12" s="46">
        <v>44224</v>
      </c>
      <c r="C12" s="6" t="s">
        <v>6462</v>
      </c>
      <c r="D12" s="2" t="s">
        <v>6463</v>
      </c>
      <c r="E12" s="2" t="s">
        <v>6442</v>
      </c>
      <c r="F12" s="2"/>
      <c r="G12" s="2" t="s">
        <v>6443</v>
      </c>
      <c r="H12" s="2" t="s">
        <v>6444</v>
      </c>
      <c r="I12" s="3">
        <v>1152</v>
      </c>
      <c r="J12" s="4" t="e">
        <f>SUMIF(Cargas!#REF!,C12,Cargas!#REF!)</f>
        <v>#REF!</v>
      </c>
      <c r="K12" s="18" t="e">
        <f t="shared" si="1"/>
        <v>#REF!</v>
      </c>
      <c r="L12" s="5" t="s">
        <v>6464</v>
      </c>
      <c r="M12" s="37">
        <v>19843</v>
      </c>
    </row>
    <row r="13" spans="1:13" ht="13.5" hidden="1" customHeight="1" x14ac:dyDescent="0.25">
      <c r="B13" s="46">
        <v>44231</v>
      </c>
      <c r="C13" s="6" t="s">
        <v>6465</v>
      </c>
      <c r="D13" s="2" t="s">
        <v>6463</v>
      </c>
      <c r="E13" s="2" t="s">
        <v>6442</v>
      </c>
      <c r="F13" s="2"/>
      <c r="G13" s="2" t="s">
        <v>6443</v>
      </c>
      <c r="H13" s="2" t="s">
        <v>6444</v>
      </c>
      <c r="I13" s="3">
        <v>1152</v>
      </c>
      <c r="J13" s="4" t="e">
        <f>SUMIF(Cargas!#REF!,C13,Cargas!#REF!)</f>
        <v>#REF!</v>
      </c>
      <c r="K13" s="18" t="e">
        <f t="shared" si="1"/>
        <v>#REF!</v>
      </c>
      <c r="L13" s="5" t="s">
        <v>6464</v>
      </c>
      <c r="M13" s="37">
        <v>19843</v>
      </c>
    </row>
    <row r="14" spans="1:13" ht="13.5" hidden="1" customHeight="1" x14ac:dyDescent="0.25">
      <c r="B14" s="46">
        <v>44238</v>
      </c>
      <c r="C14" s="6" t="s">
        <v>6466</v>
      </c>
      <c r="D14" s="2" t="s">
        <v>6463</v>
      </c>
      <c r="E14" s="2" t="s">
        <v>6442</v>
      </c>
      <c r="F14" s="2"/>
      <c r="G14" s="2" t="s">
        <v>6443</v>
      </c>
      <c r="H14" s="2" t="s">
        <v>6444</v>
      </c>
      <c r="I14" s="3">
        <v>1152</v>
      </c>
      <c r="J14" s="4" t="e">
        <f>SUMIF(Cargas!#REF!,C14,Cargas!#REF!)</f>
        <v>#REF!</v>
      </c>
      <c r="K14" s="18" t="e">
        <f t="shared" si="1"/>
        <v>#REF!</v>
      </c>
      <c r="L14" s="5" t="s">
        <v>6464</v>
      </c>
      <c r="M14" s="37">
        <v>19843</v>
      </c>
    </row>
    <row r="15" spans="1:13" ht="13.5" hidden="1" customHeight="1" x14ac:dyDescent="0.25">
      <c r="B15" s="46">
        <v>44232</v>
      </c>
      <c r="C15" s="6" t="s">
        <v>6467</v>
      </c>
      <c r="D15" s="2" t="s">
        <v>6468</v>
      </c>
      <c r="E15" s="2" t="s">
        <v>6442</v>
      </c>
      <c r="F15" s="2"/>
      <c r="G15" s="2" t="s">
        <v>6443</v>
      </c>
      <c r="H15" s="2" t="s">
        <v>6444</v>
      </c>
      <c r="I15" s="3">
        <v>1152</v>
      </c>
      <c r="J15" s="4">
        <v>1152</v>
      </c>
      <c r="K15" s="18">
        <f t="shared" si="1"/>
        <v>0</v>
      </c>
      <c r="L15" s="5" t="s">
        <v>6469</v>
      </c>
      <c r="M15" s="37">
        <v>23337</v>
      </c>
    </row>
    <row r="16" spans="1:13" ht="13.5" hidden="1" customHeight="1" x14ac:dyDescent="0.25">
      <c r="B16" s="46">
        <v>44232</v>
      </c>
      <c r="C16" s="6" t="s">
        <v>6470</v>
      </c>
      <c r="D16" s="2" t="s">
        <v>6468</v>
      </c>
      <c r="E16" s="2" t="s">
        <v>6442</v>
      </c>
      <c r="F16" s="2"/>
      <c r="G16" s="2" t="s">
        <v>6443</v>
      </c>
      <c r="H16" s="2" t="s">
        <v>6444</v>
      </c>
      <c r="I16" s="3">
        <v>1152</v>
      </c>
      <c r="J16" s="4">
        <v>1152</v>
      </c>
      <c r="K16" s="18">
        <f t="shared" si="1"/>
        <v>0</v>
      </c>
      <c r="L16" s="5" t="s">
        <v>6469</v>
      </c>
      <c r="M16" s="37">
        <v>23337</v>
      </c>
    </row>
    <row r="17" spans="2:13" ht="13.5" hidden="1" customHeight="1" x14ac:dyDescent="0.25">
      <c r="B17" s="46">
        <v>44233</v>
      </c>
      <c r="C17" s="6" t="s">
        <v>6471</v>
      </c>
      <c r="D17" s="2" t="s">
        <v>6468</v>
      </c>
      <c r="E17" s="2" t="s">
        <v>6442</v>
      </c>
      <c r="F17" s="2"/>
      <c r="G17" s="2" t="s">
        <v>6443</v>
      </c>
      <c r="H17" s="2" t="s">
        <v>6444</v>
      </c>
      <c r="I17" s="3">
        <v>1152</v>
      </c>
      <c r="J17" s="4">
        <v>1152</v>
      </c>
      <c r="K17" s="18">
        <f t="shared" ref="K17:K63" si="2">IF(ABS(I17-J17)&lt;20,0,I17-J17)</f>
        <v>0</v>
      </c>
      <c r="L17" s="5" t="s">
        <v>6469</v>
      </c>
      <c r="M17" s="37">
        <v>23337</v>
      </c>
    </row>
    <row r="18" spans="2:13" ht="13.5" hidden="1" customHeight="1" x14ac:dyDescent="0.25">
      <c r="B18" s="46">
        <v>44238</v>
      </c>
      <c r="C18" s="6" t="s">
        <v>6472</v>
      </c>
      <c r="D18" s="2" t="s">
        <v>6473</v>
      </c>
      <c r="E18" s="2" t="s">
        <v>6442</v>
      </c>
      <c r="F18" s="2"/>
      <c r="G18" s="2" t="s">
        <v>6443</v>
      </c>
      <c r="H18" s="2" t="s">
        <v>6444</v>
      </c>
      <c r="I18" s="3">
        <v>1152</v>
      </c>
      <c r="J18" s="4">
        <v>1152</v>
      </c>
      <c r="K18" s="18">
        <f t="shared" si="2"/>
        <v>0</v>
      </c>
      <c r="L18" s="5" t="s">
        <v>6474</v>
      </c>
      <c r="M18" s="37">
        <v>25865</v>
      </c>
    </row>
    <row r="19" spans="2:13" ht="13.5" hidden="1" customHeight="1" x14ac:dyDescent="0.25">
      <c r="B19" s="46">
        <v>44239</v>
      </c>
      <c r="C19" s="6" t="s">
        <v>6475</v>
      </c>
      <c r="D19" s="2" t="s">
        <v>6473</v>
      </c>
      <c r="E19" s="2" t="s">
        <v>6442</v>
      </c>
      <c r="F19" s="2"/>
      <c r="G19" s="2" t="s">
        <v>6443</v>
      </c>
      <c r="H19" s="2" t="s">
        <v>6444</v>
      </c>
      <c r="I19" s="3">
        <v>1152</v>
      </c>
      <c r="J19" s="4">
        <v>1152</v>
      </c>
      <c r="K19" s="18">
        <f t="shared" si="2"/>
        <v>0</v>
      </c>
      <c r="L19" s="5" t="s">
        <v>6474</v>
      </c>
      <c r="M19" s="37">
        <v>25865</v>
      </c>
    </row>
    <row r="20" spans="2:13" ht="13.5" hidden="1" customHeight="1" x14ac:dyDescent="0.25">
      <c r="B20" s="46">
        <v>44240</v>
      </c>
      <c r="C20" s="6" t="s">
        <v>6476</v>
      </c>
      <c r="D20" s="2" t="s">
        <v>6477</v>
      </c>
      <c r="E20" s="2" t="s">
        <v>6442</v>
      </c>
      <c r="F20" s="2"/>
      <c r="G20" s="2" t="s">
        <v>6443</v>
      </c>
      <c r="H20" s="2" t="s">
        <v>6455</v>
      </c>
      <c r="I20" s="3">
        <v>1152</v>
      </c>
      <c r="J20" s="4">
        <v>1152</v>
      </c>
      <c r="K20" s="18">
        <f t="shared" si="2"/>
        <v>0</v>
      </c>
      <c r="L20" s="5" t="s">
        <v>6478</v>
      </c>
      <c r="M20" s="37">
        <v>26759</v>
      </c>
    </row>
    <row r="21" spans="2:13" ht="13.5" hidden="1" customHeight="1" x14ac:dyDescent="0.25">
      <c r="B21" s="46">
        <v>44248</v>
      </c>
      <c r="C21" s="6" t="s">
        <v>6479</v>
      </c>
      <c r="D21" s="2" t="s">
        <v>6480</v>
      </c>
      <c r="E21" s="2" t="s">
        <v>6442</v>
      </c>
      <c r="F21" s="2"/>
      <c r="G21" s="2" t="s">
        <v>6443</v>
      </c>
      <c r="H21" s="2" t="s">
        <v>6455</v>
      </c>
      <c r="I21" s="3">
        <v>1152</v>
      </c>
      <c r="J21" s="4">
        <v>1152</v>
      </c>
      <c r="K21" s="18">
        <f t="shared" si="2"/>
        <v>0</v>
      </c>
      <c r="L21" s="5" t="s">
        <v>6481</v>
      </c>
      <c r="M21" s="37">
        <v>32433</v>
      </c>
    </row>
    <row r="22" spans="2:13" ht="13.5" hidden="1" customHeight="1" x14ac:dyDescent="0.25">
      <c r="B22" s="46">
        <v>44248</v>
      </c>
      <c r="C22" s="6" t="s">
        <v>6482</v>
      </c>
      <c r="D22" s="2" t="s">
        <v>6483</v>
      </c>
      <c r="E22" s="2" t="s">
        <v>6442</v>
      </c>
      <c r="F22" s="2"/>
      <c r="G22" s="2" t="s">
        <v>6443</v>
      </c>
      <c r="H22" s="2" t="s">
        <v>6444</v>
      </c>
      <c r="I22" s="3">
        <v>1152</v>
      </c>
      <c r="J22" s="4">
        <v>1152</v>
      </c>
      <c r="K22" s="18">
        <f t="shared" si="2"/>
        <v>0</v>
      </c>
      <c r="L22" s="5" t="s">
        <v>6484</v>
      </c>
      <c r="M22" s="37">
        <v>30518</v>
      </c>
    </row>
    <row r="23" spans="2:13" ht="13.5" hidden="1" customHeight="1" x14ac:dyDescent="0.25">
      <c r="B23" s="46">
        <v>44248</v>
      </c>
      <c r="C23" s="6" t="s">
        <v>6485</v>
      </c>
      <c r="D23" s="2" t="s">
        <v>6483</v>
      </c>
      <c r="E23" s="2" t="s">
        <v>6442</v>
      </c>
      <c r="F23" s="2"/>
      <c r="G23" s="2" t="s">
        <v>6443</v>
      </c>
      <c r="H23" s="2" t="s">
        <v>6444</v>
      </c>
      <c r="I23" s="3">
        <v>1152</v>
      </c>
      <c r="J23" s="4">
        <v>1152</v>
      </c>
      <c r="K23" s="18">
        <f t="shared" si="2"/>
        <v>0</v>
      </c>
      <c r="L23" s="5" t="s">
        <v>6484</v>
      </c>
      <c r="M23" s="37">
        <v>30518</v>
      </c>
    </row>
    <row r="24" spans="2:13" ht="13.5" hidden="1" customHeight="1" x14ac:dyDescent="0.25">
      <c r="B24" s="46">
        <v>44254</v>
      </c>
      <c r="C24" s="6" t="s">
        <v>6486</v>
      </c>
      <c r="D24" s="2" t="s">
        <v>6487</v>
      </c>
      <c r="E24" s="2" t="s">
        <v>6442</v>
      </c>
      <c r="F24" s="2"/>
      <c r="G24" s="2" t="s">
        <v>6443</v>
      </c>
      <c r="H24" s="2" t="s">
        <v>6444</v>
      </c>
      <c r="I24" s="3">
        <v>1152</v>
      </c>
      <c r="J24" s="4">
        <v>1152</v>
      </c>
      <c r="K24" s="18">
        <f t="shared" si="2"/>
        <v>0</v>
      </c>
      <c r="L24" s="5" t="s">
        <v>6488</v>
      </c>
      <c r="M24" s="37">
        <v>35198</v>
      </c>
    </row>
    <row r="25" spans="2:13" ht="13.5" hidden="1" customHeight="1" x14ac:dyDescent="0.25">
      <c r="B25" s="46">
        <v>44254</v>
      </c>
      <c r="C25" s="6" t="s">
        <v>6489</v>
      </c>
      <c r="D25" s="2" t="s">
        <v>6487</v>
      </c>
      <c r="E25" s="2" t="s">
        <v>6442</v>
      </c>
      <c r="F25" s="2"/>
      <c r="G25" s="2" t="s">
        <v>6443</v>
      </c>
      <c r="H25" s="2" t="s">
        <v>6444</v>
      </c>
      <c r="I25" s="3">
        <v>1152</v>
      </c>
      <c r="J25" s="4">
        <v>1152</v>
      </c>
      <c r="K25" s="18">
        <f t="shared" si="2"/>
        <v>0</v>
      </c>
      <c r="L25" s="5" t="s">
        <v>6488</v>
      </c>
      <c r="M25" s="37">
        <v>35198</v>
      </c>
    </row>
    <row r="26" spans="2:13" ht="13.5" hidden="1" customHeight="1" x14ac:dyDescent="0.25">
      <c r="B26" s="46">
        <v>44254</v>
      </c>
      <c r="C26" s="6" t="s">
        <v>6490</v>
      </c>
      <c r="D26" s="2" t="s">
        <v>6487</v>
      </c>
      <c r="E26" s="2" t="s">
        <v>6442</v>
      </c>
      <c r="F26" s="2"/>
      <c r="G26" s="2" t="s">
        <v>6443</v>
      </c>
      <c r="H26" s="2" t="s">
        <v>6444</v>
      </c>
      <c r="I26" s="3">
        <v>1152</v>
      </c>
      <c r="J26" s="4">
        <v>1152</v>
      </c>
      <c r="K26" s="18">
        <f t="shared" si="2"/>
        <v>0</v>
      </c>
      <c r="L26" s="5" t="s">
        <v>6488</v>
      </c>
      <c r="M26" s="37">
        <v>35198</v>
      </c>
    </row>
    <row r="27" spans="2:13" ht="13.5" hidden="1" customHeight="1" x14ac:dyDescent="0.25">
      <c r="B27" s="46">
        <v>44260</v>
      </c>
      <c r="C27" s="6" t="s">
        <v>6491</v>
      </c>
      <c r="D27" s="2" t="s">
        <v>6492</v>
      </c>
      <c r="E27" s="2" t="s">
        <v>6442</v>
      </c>
      <c r="F27" s="2"/>
      <c r="G27" s="2" t="s">
        <v>6443</v>
      </c>
      <c r="H27" s="2" t="s">
        <v>6444</v>
      </c>
      <c r="I27" s="3">
        <v>1152</v>
      </c>
      <c r="J27" s="4">
        <v>1152</v>
      </c>
      <c r="K27" s="18">
        <f t="shared" si="2"/>
        <v>0</v>
      </c>
      <c r="L27" s="5" t="s">
        <v>6493</v>
      </c>
      <c r="M27" s="37">
        <v>39463</v>
      </c>
    </row>
    <row r="28" spans="2:13" ht="13.5" hidden="1" customHeight="1" x14ac:dyDescent="0.25">
      <c r="B28" s="46">
        <v>44260</v>
      </c>
      <c r="C28" s="6" t="s">
        <v>6494</v>
      </c>
      <c r="D28" s="2" t="s">
        <v>6492</v>
      </c>
      <c r="E28" s="2" t="s">
        <v>6442</v>
      </c>
      <c r="F28" s="2"/>
      <c r="G28" s="2" t="s">
        <v>6443</v>
      </c>
      <c r="H28" s="2" t="s">
        <v>6444</v>
      </c>
      <c r="I28" s="3">
        <v>1152</v>
      </c>
      <c r="J28" s="4">
        <v>1152</v>
      </c>
      <c r="K28" s="18">
        <f t="shared" si="2"/>
        <v>0</v>
      </c>
      <c r="L28" s="5" t="s">
        <v>6493</v>
      </c>
      <c r="M28" s="37">
        <v>39463</v>
      </c>
    </row>
    <row r="29" spans="2:13" ht="13.5" hidden="1" customHeight="1" x14ac:dyDescent="0.25">
      <c r="B29" s="46">
        <v>44260</v>
      </c>
      <c r="C29" s="6" t="s">
        <v>6495</v>
      </c>
      <c r="D29" s="2" t="s">
        <v>6496</v>
      </c>
      <c r="E29" s="2" t="s">
        <v>6442</v>
      </c>
      <c r="F29" s="2"/>
      <c r="G29" s="2" t="s">
        <v>6443</v>
      </c>
      <c r="H29" s="2" t="s">
        <v>6455</v>
      </c>
      <c r="I29" s="3">
        <v>1152</v>
      </c>
      <c r="J29" s="4">
        <v>1152</v>
      </c>
      <c r="K29" s="18">
        <f t="shared" si="2"/>
        <v>0</v>
      </c>
      <c r="L29" s="5" t="s">
        <v>6497</v>
      </c>
      <c r="M29" s="37">
        <v>40149</v>
      </c>
    </row>
    <row r="30" spans="2:13" ht="13.5" hidden="1" customHeight="1" x14ac:dyDescent="0.25">
      <c r="B30" s="46">
        <v>44268</v>
      </c>
      <c r="C30" s="6" t="s">
        <v>6498</v>
      </c>
      <c r="D30" s="2" t="s">
        <v>6499</v>
      </c>
      <c r="E30" s="2" t="s">
        <v>6442</v>
      </c>
      <c r="F30" s="2"/>
      <c r="G30" s="2" t="s">
        <v>6443</v>
      </c>
      <c r="H30" s="2" t="s">
        <v>6444</v>
      </c>
      <c r="I30" s="3">
        <v>1152</v>
      </c>
      <c r="J30" s="4">
        <v>1152</v>
      </c>
      <c r="K30" s="18">
        <f t="shared" si="2"/>
        <v>0</v>
      </c>
      <c r="L30" s="5" t="s">
        <v>6500</v>
      </c>
      <c r="M30" s="37">
        <v>43935</v>
      </c>
    </row>
    <row r="31" spans="2:13" ht="13.5" hidden="1" customHeight="1" x14ac:dyDescent="0.25">
      <c r="B31" s="46">
        <v>44268</v>
      </c>
      <c r="C31" s="6" t="s">
        <v>6501</v>
      </c>
      <c r="D31" s="2" t="s">
        <v>6499</v>
      </c>
      <c r="E31" s="2" t="s">
        <v>6442</v>
      </c>
      <c r="F31" s="2"/>
      <c r="G31" s="2" t="s">
        <v>6443</v>
      </c>
      <c r="H31" s="2" t="s">
        <v>6444</v>
      </c>
      <c r="I31" s="3">
        <v>1152</v>
      </c>
      <c r="J31" s="4">
        <v>1152</v>
      </c>
      <c r="K31" s="18">
        <f t="shared" si="2"/>
        <v>0</v>
      </c>
      <c r="L31" s="5" t="s">
        <v>6500</v>
      </c>
      <c r="M31" s="37">
        <v>43935</v>
      </c>
    </row>
    <row r="32" spans="2:13" ht="13.5" hidden="1" customHeight="1" x14ac:dyDescent="0.25">
      <c r="B32" s="46">
        <v>44268</v>
      </c>
      <c r="C32" s="6" t="s">
        <v>6502</v>
      </c>
      <c r="D32" s="2" t="s">
        <v>6499</v>
      </c>
      <c r="E32" s="2" t="s">
        <v>6442</v>
      </c>
      <c r="F32" s="2"/>
      <c r="G32" s="2" t="s">
        <v>6443</v>
      </c>
      <c r="H32" s="2" t="s">
        <v>6444</v>
      </c>
      <c r="I32" s="3">
        <v>1152</v>
      </c>
      <c r="J32" s="4">
        <v>1152</v>
      </c>
      <c r="K32" s="18">
        <f t="shared" si="2"/>
        <v>0</v>
      </c>
      <c r="L32" s="5" t="s">
        <v>6500</v>
      </c>
      <c r="M32" s="37">
        <v>43935</v>
      </c>
    </row>
    <row r="33" spans="2:13" ht="13.5" hidden="1" customHeight="1" x14ac:dyDescent="0.25">
      <c r="B33" s="46">
        <v>44275</v>
      </c>
      <c r="C33" s="6" t="s">
        <v>6503</v>
      </c>
      <c r="D33" s="2" t="s">
        <v>6504</v>
      </c>
      <c r="E33" s="2" t="s">
        <v>6442</v>
      </c>
      <c r="F33" s="2"/>
      <c r="G33" s="2" t="s">
        <v>6443</v>
      </c>
      <c r="H33" s="2" t="s">
        <v>6444</v>
      </c>
      <c r="I33" s="3">
        <v>1152</v>
      </c>
      <c r="J33" s="4">
        <v>1152</v>
      </c>
      <c r="K33" s="18">
        <f t="shared" si="2"/>
        <v>0</v>
      </c>
      <c r="L33" s="5" t="s">
        <v>6505</v>
      </c>
      <c r="M33" s="37">
        <v>49785</v>
      </c>
    </row>
    <row r="34" spans="2:13" ht="13.5" hidden="1" customHeight="1" x14ac:dyDescent="0.25">
      <c r="B34" s="46">
        <v>44275</v>
      </c>
      <c r="C34" s="6" t="s">
        <v>6506</v>
      </c>
      <c r="D34" s="2" t="s">
        <v>6507</v>
      </c>
      <c r="E34" s="2" t="s">
        <v>6442</v>
      </c>
      <c r="F34" s="2"/>
      <c r="G34" s="2" t="s">
        <v>6443</v>
      </c>
      <c r="H34" s="2" t="s">
        <v>6455</v>
      </c>
      <c r="I34" s="3">
        <v>1152</v>
      </c>
      <c r="J34" s="4">
        <v>1152</v>
      </c>
      <c r="K34" s="18">
        <f t="shared" si="2"/>
        <v>0</v>
      </c>
      <c r="L34" s="5" t="s">
        <v>6508</v>
      </c>
      <c r="M34" s="37">
        <v>50547</v>
      </c>
    </row>
    <row r="35" spans="2:13" ht="13.5" hidden="1" customHeight="1" x14ac:dyDescent="0.25">
      <c r="B35" s="46">
        <v>44281</v>
      </c>
      <c r="C35" s="6" t="s">
        <v>6509</v>
      </c>
      <c r="D35" s="2" t="s">
        <v>6510</v>
      </c>
      <c r="E35" s="2" t="s">
        <v>6442</v>
      </c>
      <c r="F35" s="2"/>
      <c r="G35" s="2" t="s">
        <v>6443</v>
      </c>
      <c r="H35" s="2" t="s">
        <v>6444</v>
      </c>
      <c r="I35" s="3">
        <v>1152</v>
      </c>
      <c r="J35" s="4">
        <v>1152</v>
      </c>
      <c r="K35" s="18">
        <f t="shared" si="2"/>
        <v>0</v>
      </c>
      <c r="L35" s="5" t="s">
        <v>6511</v>
      </c>
      <c r="M35" s="37">
        <v>53618</v>
      </c>
    </row>
    <row r="36" spans="2:13" ht="13.5" hidden="1" customHeight="1" x14ac:dyDescent="0.25">
      <c r="B36" s="46">
        <v>44281</v>
      </c>
      <c r="C36" s="6" t="s">
        <v>6512</v>
      </c>
      <c r="D36" s="2" t="s">
        <v>6510</v>
      </c>
      <c r="E36" s="2" t="s">
        <v>6442</v>
      </c>
      <c r="F36" s="2"/>
      <c r="G36" s="2" t="s">
        <v>6443</v>
      </c>
      <c r="H36" s="2" t="s">
        <v>6444</v>
      </c>
      <c r="I36" s="3">
        <v>1152</v>
      </c>
      <c r="J36" s="4">
        <v>1152</v>
      </c>
      <c r="K36" s="18">
        <f t="shared" si="2"/>
        <v>0</v>
      </c>
      <c r="L36" s="5" t="s">
        <v>6511</v>
      </c>
      <c r="M36" s="37">
        <v>53618</v>
      </c>
    </row>
    <row r="37" spans="2:13" ht="13.5" hidden="1" customHeight="1" x14ac:dyDescent="0.25">
      <c r="B37" s="46">
        <v>44281</v>
      </c>
      <c r="C37" s="6" t="s">
        <v>6513</v>
      </c>
      <c r="D37" s="2" t="s">
        <v>6514</v>
      </c>
      <c r="E37" s="2" t="s">
        <v>6442</v>
      </c>
      <c r="F37" s="2"/>
      <c r="G37" s="2" t="s">
        <v>6443</v>
      </c>
      <c r="H37" s="2" t="s">
        <v>6455</v>
      </c>
      <c r="I37" s="3">
        <v>1152</v>
      </c>
      <c r="J37" s="4">
        <v>1152</v>
      </c>
      <c r="K37" s="18">
        <f t="shared" si="2"/>
        <v>0</v>
      </c>
      <c r="L37" s="5" t="s">
        <v>6515</v>
      </c>
      <c r="M37" s="37">
        <v>54196</v>
      </c>
    </row>
    <row r="38" spans="2:13" ht="13.5" hidden="1" customHeight="1" x14ac:dyDescent="0.25">
      <c r="B38" s="46">
        <v>44281</v>
      </c>
      <c r="C38" s="6" t="s">
        <v>6516</v>
      </c>
      <c r="D38" s="2" t="s">
        <v>6517</v>
      </c>
      <c r="E38" s="2" t="s">
        <v>6442</v>
      </c>
      <c r="F38" s="2"/>
      <c r="G38" s="2" t="s">
        <v>6443</v>
      </c>
      <c r="H38" s="2" t="s">
        <v>6518</v>
      </c>
      <c r="I38" s="3">
        <v>1152</v>
      </c>
      <c r="J38" s="4">
        <v>1152</v>
      </c>
      <c r="K38" s="18">
        <f t="shared" si="2"/>
        <v>0</v>
      </c>
      <c r="L38" s="5"/>
      <c r="M38" s="37">
        <v>55368</v>
      </c>
    </row>
    <row r="39" spans="2:13" ht="13.5" hidden="1" customHeight="1" x14ac:dyDescent="0.25">
      <c r="B39" s="46">
        <v>44281</v>
      </c>
      <c r="C39" s="6" t="s">
        <v>6519</v>
      </c>
      <c r="D39" s="2" t="s">
        <v>6517</v>
      </c>
      <c r="E39" s="2" t="s">
        <v>6442</v>
      </c>
      <c r="F39" s="2"/>
      <c r="G39" s="2" t="s">
        <v>6443</v>
      </c>
      <c r="H39" s="2" t="s">
        <v>6444</v>
      </c>
      <c r="I39" s="3">
        <v>1152</v>
      </c>
      <c r="J39" s="4">
        <v>1152</v>
      </c>
      <c r="K39" s="18">
        <f t="shared" si="2"/>
        <v>0</v>
      </c>
      <c r="L39" s="5"/>
      <c r="M39" s="37">
        <v>55368</v>
      </c>
    </row>
    <row r="40" spans="2:13" ht="13.5" hidden="1" customHeight="1" x14ac:dyDescent="0.25">
      <c r="B40" s="46">
        <v>44281</v>
      </c>
      <c r="C40" s="6" t="s">
        <v>6520</v>
      </c>
      <c r="D40" s="2" t="s">
        <v>6521</v>
      </c>
      <c r="E40" s="2" t="s">
        <v>6442</v>
      </c>
      <c r="F40" s="2"/>
      <c r="G40" s="2" t="s">
        <v>6443</v>
      </c>
      <c r="H40" s="2" t="s">
        <v>6455</v>
      </c>
      <c r="I40" s="3">
        <v>1152</v>
      </c>
      <c r="J40" s="4">
        <v>1152</v>
      </c>
      <c r="K40" s="18">
        <f t="shared" si="2"/>
        <v>0</v>
      </c>
      <c r="L40" s="5"/>
      <c r="M40" s="37">
        <v>60105</v>
      </c>
    </row>
    <row r="41" spans="2:13" ht="13.5" hidden="1" customHeight="1" x14ac:dyDescent="0.25">
      <c r="B41" s="46">
        <v>44295</v>
      </c>
      <c r="C41" s="6" t="s">
        <v>6522</v>
      </c>
      <c r="D41" s="2" t="s">
        <v>6523</v>
      </c>
      <c r="E41" s="2" t="s">
        <v>6442</v>
      </c>
      <c r="F41" s="2"/>
      <c r="G41" s="2" t="s">
        <v>6443</v>
      </c>
      <c r="H41" s="2" t="s">
        <v>6444</v>
      </c>
      <c r="I41" s="3">
        <v>1152</v>
      </c>
      <c r="J41" s="4">
        <v>1152</v>
      </c>
      <c r="K41" s="18">
        <f t="shared" si="2"/>
        <v>0</v>
      </c>
      <c r="L41" s="5" t="s">
        <v>6524</v>
      </c>
      <c r="M41" s="37">
        <v>61348</v>
      </c>
    </row>
    <row r="42" spans="2:13" ht="13.5" hidden="1" customHeight="1" x14ac:dyDescent="0.25">
      <c r="B42" s="46">
        <v>44295</v>
      </c>
      <c r="C42" s="6" t="s">
        <v>6525</v>
      </c>
      <c r="D42" s="2" t="s">
        <v>6523</v>
      </c>
      <c r="E42" s="2" t="s">
        <v>6442</v>
      </c>
      <c r="F42" s="2"/>
      <c r="G42" s="2" t="s">
        <v>6443</v>
      </c>
      <c r="H42" s="2" t="s">
        <v>6444</v>
      </c>
      <c r="I42" s="4">
        <v>1152</v>
      </c>
      <c r="J42" s="4">
        <v>1152</v>
      </c>
      <c r="K42" s="18">
        <f t="shared" si="2"/>
        <v>0</v>
      </c>
      <c r="L42" s="5" t="s">
        <v>6524</v>
      </c>
      <c r="M42" s="37">
        <v>61348</v>
      </c>
    </row>
    <row r="43" spans="2:13" ht="13.5" hidden="1" customHeight="1" x14ac:dyDescent="0.25">
      <c r="B43" s="46">
        <v>44295</v>
      </c>
      <c r="C43" s="6" t="s">
        <v>6526</v>
      </c>
      <c r="D43" s="2" t="s">
        <v>6523</v>
      </c>
      <c r="E43" s="2" t="s">
        <v>6442</v>
      </c>
      <c r="F43" s="2"/>
      <c r="G43" s="2" t="s">
        <v>6443</v>
      </c>
      <c r="H43" s="2" t="s">
        <v>6444</v>
      </c>
      <c r="I43" s="3">
        <v>1152</v>
      </c>
      <c r="J43" s="4">
        <v>1152</v>
      </c>
      <c r="K43" s="18">
        <f t="shared" si="2"/>
        <v>0</v>
      </c>
      <c r="L43" s="5" t="s">
        <v>6524</v>
      </c>
      <c r="M43" s="37">
        <v>61348</v>
      </c>
    </row>
    <row r="44" spans="2:13" ht="13.5" hidden="1" customHeight="1" x14ac:dyDescent="0.25">
      <c r="B44" s="46">
        <v>44295</v>
      </c>
      <c r="C44" s="6" t="s">
        <v>6527</v>
      </c>
      <c r="D44" s="2" t="s">
        <v>6523</v>
      </c>
      <c r="E44" s="2" t="s">
        <v>6442</v>
      </c>
      <c r="F44" s="2"/>
      <c r="G44" s="2" t="s">
        <v>6443</v>
      </c>
      <c r="H44" s="2" t="s">
        <v>6444</v>
      </c>
      <c r="I44" s="3">
        <v>1152</v>
      </c>
      <c r="J44" s="4">
        <v>1152</v>
      </c>
      <c r="K44" s="18">
        <f t="shared" si="2"/>
        <v>0</v>
      </c>
      <c r="L44" s="5" t="s">
        <v>6524</v>
      </c>
      <c r="M44" s="37">
        <v>61348</v>
      </c>
    </row>
    <row r="45" spans="2:13" ht="13.5" hidden="1" customHeight="1" x14ac:dyDescent="0.25">
      <c r="B45" s="46">
        <v>44302</v>
      </c>
      <c r="C45" s="6" t="s">
        <v>6528</v>
      </c>
      <c r="D45" s="2" t="s">
        <v>6529</v>
      </c>
      <c r="E45" s="2" t="s">
        <v>6442</v>
      </c>
      <c r="F45" s="2"/>
      <c r="G45" s="2" t="s">
        <v>6443</v>
      </c>
      <c r="H45" s="2" t="s">
        <v>6444</v>
      </c>
      <c r="I45" s="3">
        <v>1152</v>
      </c>
      <c r="J45" s="4">
        <v>1152</v>
      </c>
      <c r="K45" s="18">
        <f t="shared" si="2"/>
        <v>0</v>
      </c>
      <c r="L45" s="5" t="s">
        <v>6530</v>
      </c>
      <c r="M45" s="37">
        <v>65972</v>
      </c>
    </row>
    <row r="46" spans="2:13" ht="13.5" hidden="1" customHeight="1" x14ac:dyDescent="0.25">
      <c r="B46" s="46">
        <v>44567</v>
      </c>
      <c r="C46" s="6" t="s">
        <v>6531</v>
      </c>
      <c r="D46" s="2" t="s">
        <v>6441</v>
      </c>
      <c r="E46" s="2" t="s">
        <v>6442</v>
      </c>
      <c r="F46" s="2"/>
      <c r="G46" s="2" t="s">
        <v>6443</v>
      </c>
      <c r="H46" s="2" t="s">
        <v>6444</v>
      </c>
      <c r="I46" s="3">
        <v>1104</v>
      </c>
      <c r="J46" s="4">
        <f>SUMIF(Cargas!$C$5:$C$3470,C46,Cargas!$O$5:$O$3470)</f>
        <v>0</v>
      </c>
      <c r="K46" s="18">
        <f t="shared" si="2"/>
        <v>1104</v>
      </c>
      <c r="L46" s="5" t="s">
        <v>6532</v>
      </c>
      <c r="M46" s="37" t="s">
        <v>299</v>
      </c>
    </row>
    <row r="47" spans="2:13" ht="13.5" hidden="1" customHeight="1" x14ac:dyDescent="0.25">
      <c r="B47" s="46">
        <v>44302</v>
      </c>
      <c r="C47" s="6" t="s">
        <v>6533</v>
      </c>
      <c r="D47" s="2" t="s">
        <v>6529</v>
      </c>
      <c r="E47" s="2" t="s">
        <v>6442</v>
      </c>
      <c r="F47" s="2"/>
      <c r="G47" s="2" t="s">
        <v>6443</v>
      </c>
      <c r="H47" s="2" t="s">
        <v>6444</v>
      </c>
      <c r="I47" s="3">
        <v>1152</v>
      </c>
      <c r="J47" s="4">
        <v>1152</v>
      </c>
      <c r="K47" s="18">
        <f t="shared" si="2"/>
        <v>0</v>
      </c>
      <c r="L47" s="5" t="s">
        <v>6530</v>
      </c>
      <c r="M47" s="37">
        <v>65972</v>
      </c>
    </row>
    <row r="48" spans="2:13" ht="13.5" hidden="1" customHeight="1" x14ac:dyDescent="0.25">
      <c r="B48" s="46">
        <v>44302</v>
      </c>
      <c r="C48" s="6" t="s">
        <v>6534</v>
      </c>
      <c r="D48" s="2" t="s">
        <v>6529</v>
      </c>
      <c r="E48" s="2" t="s">
        <v>6442</v>
      </c>
      <c r="F48" s="2"/>
      <c r="G48" s="2" t="s">
        <v>6443</v>
      </c>
      <c r="H48" s="2" t="s">
        <v>6444</v>
      </c>
      <c r="I48" s="3">
        <v>1152</v>
      </c>
      <c r="J48" s="4">
        <v>1152</v>
      </c>
      <c r="K48" s="18">
        <f t="shared" si="2"/>
        <v>0</v>
      </c>
      <c r="L48" s="5" t="s">
        <v>6530</v>
      </c>
      <c r="M48" s="37">
        <v>69925</v>
      </c>
    </row>
    <row r="49" spans="2:13" ht="13.5" hidden="1" customHeight="1" x14ac:dyDescent="0.25">
      <c r="B49" s="46">
        <v>44307</v>
      </c>
      <c r="C49" s="6" t="s">
        <v>6535</v>
      </c>
      <c r="D49" s="2" t="s">
        <v>6536</v>
      </c>
      <c r="E49" s="2" t="s">
        <v>6442</v>
      </c>
      <c r="F49" s="2"/>
      <c r="G49" s="2" t="s">
        <v>6443</v>
      </c>
      <c r="H49" s="2" t="s">
        <v>6444</v>
      </c>
      <c r="I49" s="3">
        <v>1152</v>
      </c>
      <c r="J49" s="4">
        <v>1152</v>
      </c>
      <c r="K49" s="18">
        <f t="shared" si="2"/>
        <v>0</v>
      </c>
      <c r="L49" s="5" t="s">
        <v>6537</v>
      </c>
      <c r="M49" s="37">
        <v>69925</v>
      </c>
    </row>
    <row r="50" spans="2:13" ht="13.5" hidden="1" customHeight="1" x14ac:dyDescent="0.25">
      <c r="B50" s="46">
        <v>44307</v>
      </c>
      <c r="C50" s="6" t="s">
        <v>6538</v>
      </c>
      <c r="D50" s="2" t="s">
        <v>6536</v>
      </c>
      <c r="E50" s="2" t="s">
        <v>6442</v>
      </c>
      <c r="F50" s="2"/>
      <c r="G50" s="2" t="s">
        <v>6443</v>
      </c>
      <c r="H50" s="2" t="s">
        <v>6444</v>
      </c>
      <c r="I50" s="3">
        <v>1152</v>
      </c>
      <c r="J50" s="4">
        <v>1152</v>
      </c>
      <c r="K50" s="18">
        <f t="shared" si="2"/>
        <v>0</v>
      </c>
      <c r="L50" s="5" t="s">
        <v>6537</v>
      </c>
      <c r="M50" s="37">
        <v>69925</v>
      </c>
    </row>
    <row r="51" spans="2:13" ht="13.5" hidden="1" customHeight="1" x14ac:dyDescent="0.25">
      <c r="B51" s="46">
        <v>44307</v>
      </c>
      <c r="C51" s="6" t="s">
        <v>6539</v>
      </c>
      <c r="D51" s="2" t="s">
        <v>6536</v>
      </c>
      <c r="E51" s="2" t="s">
        <v>6442</v>
      </c>
      <c r="F51" s="2"/>
      <c r="G51" s="2" t="s">
        <v>6443</v>
      </c>
      <c r="H51" s="2" t="s">
        <v>6444</v>
      </c>
      <c r="I51" s="3">
        <v>1152</v>
      </c>
      <c r="J51" s="4">
        <v>1152</v>
      </c>
      <c r="K51" s="18">
        <f t="shared" si="2"/>
        <v>0</v>
      </c>
      <c r="L51" s="5" t="s">
        <v>6537</v>
      </c>
      <c r="M51" s="37">
        <v>69925</v>
      </c>
    </row>
    <row r="52" spans="2:13" ht="13.5" hidden="1" customHeight="1" x14ac:dyDescent="0.25">
      <c r="B52" s="46">
        <v>44307</v>
      </c>
      <c r="C52" s="6" t="s">
        <v>6540</v>
      </c>
      <c r="D52" s="2" t="s">
        <v>6536</v>
      </c>
      <c r="E52" s="2" t="s">
        <v>6442</v>
      </c>
      <c r="F52" s="2"/>
      <c r="G52" s="2" t="s">
        <v>6443</v>
      </c>
      <c r="H52" s="2" t="s">
        <v>6444</v>
      </c>
      <c r="I52" s="3">
        <v>1152</v>
      </c>
      <c r="J52" s="4">
        <v>1152</v>
      </c>
      <c r="K52" s="18">
        <f t="shared" si="2"/>
        <v>0</v>
      </c>
      <c r="L52" s="5" t="s">
        <v>6537</v>
      </c>
      <c r="M52" s="37">
        <v>69925</v>
      </c>
    </row>
    <row r="53" spans="2:13" ht="13.5" hidden="1" customHeight="1" x14ac:dyDescent="0.25">
      <c r="B53" s="46">
        <v>44313</v>
      </c>
      <c r="C53" s="6" t="s">
        <v>6541</v>
      </c>
      <c r="D53" s="2" t="s">
        <v>6542</v>
      </c>
      <c r="E53" s="2" t="s">
        <v>6442</v>
      </c>
      <c r="F53" s="2"/>
      <c r="G53" s="2" t="s">
        <v>6443</v>
      </c>
      <c r="H53" s="2" t="s">
        <v>6444</v>
      </c>
      <c r="I53" s="3">
        <v>1152</v>
      </c>
      <c r="J53" s="4">
        <v>1152</v>
      </c>
      <c r="K53" s="18">
        <f t="shared" si="2"/>
        <v>0</v>
      </c>
      <c r="L53" s="5" t="s">
        <v>6543</v>
      </c>
      <c r="M53" s="37">
        <v>74321</v>
      </c>
    </row>
    <row r="54" spans="2:13" ht="13.5" hidden="1" customHeight="1" x14ac:dyDescent="0.25">
      <c r="B54" s="46">
        <v>44316</v>
      </c>
      <c r="C54" s="6" t="s">
        <v>6544</v>
      </c>
      <c r="D54" s="2" t="s">
        <v>6542</v>
      </c>
      <c r="E54" s="2" t="s">
        <v>6442</v>
      </c>
      <c r="F54" s="2"/>
      <c r="G54" s="2" t="s">
        <v>6443</v>
      </c>
      <c r="H54" s="2" t="s">
        <v>6444</v>
      </c>
      <c r="I54" s="3">
        <v>1152</v>
      </c>
      <c r="J54" s="4">
        <v>1152</v>
      </c>
      <c r="K54" s="18">
        <f t="shared" si="2"/>
        <v>0</v>
      </c>
      <c r="L54" s="5" t="s">
        <v>6543</v>
      </c>
      <c r="M54" s="37">
        <v>74321</v>
      </c>
    </row>
    <row r="55" spans="2:13" ht="13.5" hidden="1" customHeight="1" x14ac:dyDescent="0.25">
      <c r="B55" s="46">
        <v>44316</v>
      </c>
      <c r="C55" s="6" t="s">
        <v>6545</v>
      </c>
      <c r="D55" s="2" t="s">
        <v>6542</v>
      </c>
      <c r="E55" s="2" t="s">
        <v>6442</v>
      </c>
      <c r="F55" s="2"/>
      <c r="G55" s="2" t="s">
        <v>6443</v>
      </c>
      <c r="H55" s="2" t="s">
        <v>6444</v>
      </c>
      <c r="I55" s="3">
        <v>1152</v>
      </c>
      <c r="J55" s="4">
        <v>1152</v>
      </c>
      <c r="K55" s="18">
        <f t="shared" si="2"/>
        <v>0</v>
      </c>
      <c r="L55" s="5" t="s">
        <v>6543</v>
      </c>
      <c r="M55" s="37">
        <v>74321</v>
      </c>
    </row>
    <row r="56" spans="2:13" ht="13.5" hidden="1" customHeight="1" x14ac:dyDescent="0.25">
      <c r="B56" s="46">
        <v>44316</v>
      </c>
      <c r="C56" s="6" t="s">
        <v>6546</v>
      </c>
      <c r="D56" s="2" t="s">
        <v>6542</v>
      </c>
      <c r="E56" s="2" t="s">
        <v>6442</v>
      </c>
      <c r="F56" s="2"/>
      <c r="G56" s="2" t="s">
        <v>6443</v>
      </c>
      <c r="H56" s="2" t="s">
        <v>6444</v>
      </c>
      <c r="I56" s="3">
        <v>1152</v>
      </c>
      <c r="J56" s="4">
        <v>1152</v>
      </c>
      <c r="K56" s="18">
        <f t="shared" si="2"/>
        <v>0</v>
      </c>
      <c r="L56" s="5" t="s">
        <v>6543</v>
      </c>
      <c r="M56" s="37">
        <v>74321</v>
      </c>
    </row>
    <row r="57" spans="2:13" ht="13.5" hidden="1" customHeight="1" x14ac:dyDescent="0.25">
      <c r="B57" s="46">
        <v>44321</v>
      </c>
      <c r="C57" s="6" t="s">
        <v>6547</v>
      </c>
      <c r="D57" s="2" t="s">
        <v>6548</v>
      </c>
      <c r="E57" s="2" t="s">
        <v>6442</v>
      </c>
      <c r="F57" s="2"/>
      <c r="G57" s="2" t="s">
        <v>6443</v>
      </c>
      <c r="H57" s="2" t="s">
        <v>6444</v>
      </c>
      <c r="I57" s="3">
        <v>1152</v>
      </c>
      <c r="J57" s="4" t="e">
        <f>SUMIF(Cargas!#REF!,C57,Cargas!#REF!)</f>
        <v>#REF!</v>
      </c>
      <c r="K57" s="18" t="e">
        <f t="shared" si="2"/>
        <v>#REF!</v>
      </c>
      <c r="L57" s="5" t="s">
        <v>6549</v>
      </c>
      <c r="M57" s="37">
        <v>77799</v>
      </c>
    </row>
    <row r="58" spans="2:13" ht="13.5" hidden="1" customHeight="1" x14ac:dyDescent="0.25">
      <c r="B58" s="46">
        <v>44326</v>
      </c>
      <c r="C58" s="6" t="s">
        <v>6550</v>
      </c>
      <c r="D58" s="2" t="s">
        <v>6548</v>
      </c>
      <c r="E58" s="2" t="s">
        <v>6442</v>
      </c>
      <c r="F58" s="2"/>
      <c r="G58" s="2" t="s">
        <v>6443</v>
      </c>
      <c r="H58" s="2" t="s">
        <v>6444</v>
      </c>
      <c r="I58" s="3">
        <v>1152</v>
      </c>
      <c r="J58" s="4" t="e">
        <f>SUMIF(Cargas!#REF!,C58,Cargas!#REF!)</f>
        <v>#REF!</v>
      </c>
      <c r="K58" s="18" t="e">
        <f t="shared" si="2"/>
        <v>#REF!</v>
      </c>
      <c r="L58" s="5" t="s">
        <v>6549</v>
      </c>
      <c r="M58" s="37">
        <v>77799</v>
      </c>
    </row>
    <row r="59" spans="2:13" ht="13.5" hidden="1" customHeight="1" x14ac:dyDescent="0.25">
      <c r="B59" s="46">
        <v>44323</v>
      </c>
      <c r="C59" s="6" t="s">
        <v>6551</v>
      </c>
      <c r="D59" s="2" t="s">
        <v>6548</v>
      </c>
      <c r="E59" s="2" t="s">
        <v>6442</v>
      </c>
      <c r="F59" s="2"/>
      <c r="G59" s="2" t="s">
        <v>6443</v>
      </c>
      <c r="H59" s="2" t="s">
        <v>6444</v>
      </c>
      <c r="I59" s="3">
        <v>1152</v>
      </c>
      <c r="J59" s="4" t="e">
        <f>SUMIF(Cargas!#REF!,C59,Cargas!#REF!)</f>
        <v>#REF!</v>
      </c>
      <c r="K59" s="18" t="e">
        <f t="shared" si="2"/>
        <v>#REF!</v>
      </c>
      <c r="L59" s="5" t="s">
        <v>6549</v>
      </c>
      <c r="M59" s="37">
        <v>77799</v>
      </c>
    </row>
    <row r="60" spans="2:13" ht="13.5" hidden="1" customHeight="1" x14ac:dyDescent="0.25">
      <c r="B60" s="46">
        <v>44322</v>
      </c>
      <c r="C60" s="6" t="s">
        <v>6552</v>
      </c>
      <c r="D60" s="2" t="s">
        <v>6548</v>
      </c>
      <c r="E60" s="2" t="s">
        <v>6442</v>
      </c>
      <c r="F60" s="2"/>
      <c r="G60" s="2" t="s">
        <v>6443</v>
      </c>
      <c r="H60" s="2" t="s">
        <v>6444</v>
      </c>
      <c r="I60" s="3">
        <v>1152</v>
      </c>
      <c r="J60" s="4" t="e">
        <f>SUMIF(Cargas!#REF!,C60,Cargas!#REF!)</f>
        <v>#REF!</v>
      </c>
      <c r="K60" s="18" t="e">
        <f t="shared" si="2"/>
        <v>#REF!</v>
      </c>
      <c r="L60" s="5" t="s">
        <v>6549</v>
      </c>
      <c r="M60" s="37">
        <v>77799</v>
      </c>
    </row>
    <row r="61" spans="2:13" ht="13.5" hidden="1" customHeight="1" x14ac:dyDescent="0.25">
      <c r="B61" s="46">
        <v>44330</v>
      </c>
      <c r="C61" s="6" t="s">
        <v>6553</v>
      </c>
      <c r="D61" s="2" t="s">
        <v>6554</v>
      </c>
      <c r="E61" s="2" t="s">
        <v>6442</v>
      </c>
      <c r="F61" s="2"/>
      <c r="G61" s="2" t="s">
        <v>6443</v>
      </c>
      <c r="H61" s="2" t="s">
        <v>6444</v>
      </c>
      <c r="I61" s="3">
        <v>1152</v>
      </c>
      <c r="J61" s="4" t="e">
        <f>SUMIF(Cargas!#REF!,C61,Cargas!#REF!)</f>
        <v>#REF!</v>
      </c>
      <c r="K61" s="18" t="e">
        <f t="shared" si="2"/>
        <v>#REF!</v>
      </c>
      <c r="L61" s="5" t="s">
        <v>6555</v>
      </c>
      <c r="M61" s="37">
        <v>84742</v>
      </c>
    </row>
    <row r="62" spans="2:13" ht="13.5" hidden="1" customHeight="1" x14ac:dyDescent="0.25">
      <c r="B62" s="46">
        <v>44333</v>
      </c>
      <c r="C62" s="6" t="s">
        <v>6556</v>
      </c>
      <c r="D62" s="2" t="s">
        <v>6554</v>
      </c>
      <c r="E62" s="2" t="s">
        <v>6442</v>
      </c>
      <c r="F62" s="2"/>
      <c r="G62" s="2" t="s">
        <v>6443</v>
      </c>
      <c r="H62" s="2" t="s">
        <v>6444</v>
      </c>
      <c r="I62" s="3">
        <v>1152</v>
      </c>
      <c r="J62" s="4" t="e">
        <f>SUMIF(Cargas!#REF!,C62,Cargas!#REF!)</f>
        <v>#REF!</v>
      </c>
      <c r="K62" s="18" t="e">
        <f t="shared" si="2"/>
        <v>#REF!</v>
      </c>
      <c r="L62" s="5" t="s">
        <v>6555</v>
      </c>
      <c r="M62" s="37">
        <v>84742</v>
      </c>
    </row>
    <row r="63" spans="2:13" ht="13.5" hidden="1" customHeight="1" x14ac:dyDescent="0.25">
      <c r="B63" s="46">
        <v>44328</v>
      </c>
      <c r="C63" s="6" t="s">
        <v>6557</v>
      </c>
      <c r="D63" s="2" t="s">
        <v>6554</v>
      </c>
      <c r="E63" s="2" t="s">
        <v>6442</v>
      </c>
      <c r="F63" s="2"/>
      <c r="G63" s="2" t="s">
        <v>6443</v>
      </c>
      <c r="H63" s="2" t="s">
        <v>6444</v>
      </c>
      <c r="I63" s="3">
        <v>1152</v>
      </c>
      <c r="J63" s="4" t="e">
        <f>SUMIF(Cargas!#REF!,C63,Cargas!#REF!)</f>
        <v>#REF!</v>
      </c>
      <c r="K63" s="18" t="e">
        <f t="shared" si="2"/>
        <v>#REF!</v>
      </c>
      <c r="L63" s="5" t="s">
        <v>6555</v>
      </c>
      <c r="M63" s="37">
        <v>84742</v>
      </c>
    </row>
    <row r="64" spans="2:13" ht="13.5" hidden="1" customHeight="1" x14ac:dyDescent="0.25">
      <c r="B64" s="46">
        <v>44328</v>
      </c>
      <c r="C64" s="6" t="s">
        <v>6558</v>
      </c>
      <c r="D64" s="2" t="s">
        <v>6559</v>
      </c>
      <c r="E64" s="2" t="s">
        <v>6442</v>
      </c>
      <c r="F64" s="2"/>
      <c r="G64" s="2" t="s">
        <v>6443</v>
      </c>
      <c r="H64" s="2" t="s">
        <v>6444</v>
      </c>
      <c r="I64" s="3">
        <v>1152</v>
      </c>
      <c r="J64" s="4" t="e">
        <f>SUMIF(Cargas!#REF!,C64,Cargas!#REF!)</f>
        <v>#REF!</v>
      </c>
      <c r="K64" s="18" t="e">
        <f t="shared" ref="K64:K122" si="3">IF(ABS(I64-J64)&lt;20,0,I64-J64)</f>
        <v>#REF!</v>
      </c>
      <c r="L64" s="5" t="s">
        <v>6560</v>
      </c>
      <c r="M64" s="37">
        <v>86720</v>
      </c>
    </row>
    <row r="65" spans="2:13" ht="13.5" hidden="1" customHeight="1" x14ac:dyDescent="0.25">
      <c r="B65" s="46">
        <v>44328</v>
      </c>
      <c r="C65" s="6" t="s">
        <v>6561</v>
      </c>
      <c r="D65" s="2" t="s">
        <v>6559</v>
      </c>
      <c r="E65" s="2" t="s">
        <v>6442</v>
      </c>
      <c r="F65" s="2"/>
      <c r="G65" s="2" t="s">
        <v>6443</v>
      </c>
      <c r="H65" s="2" t="s">
        <v>6444</v>
      </c>
      <c r="I65" s="3">
        <v>1152</v>
      </c>
      <c r="J65" s="4" t="e">
        <f>SUMIF(Cargas!#REF!,C65,Cargas!#REF!)</f>
        <v>#REF!</v>
      </c>
      <c r="K65" s="18" t="e">
        <f t="shared" si="3"/>
        <v>#REF!</v>
      </c>
      <c r="L65" s="5" t="s">
        <v>6560</v>
      </c>
      <c r="M65" s="37">
        <v>86720</v>
      </c>
    </row>
    <row r="66" spans="2:13" ht="13.5" hidden="1" customHeight="1" x14ac:dyDescent="0.25">
      <c r="B66" s="46">
        <v>44328</v>
      </c>
      <c r="C66" s="6" t="s">
        <v>6562</v>
      </c>
      <c r="D66" s="2" t="s">
        <v>6559</v>
      </c>
      <c r="E66" s="2" t="s">
        <v>6442</v>
      </c>
      <c r="F66" s="2"/>
      <c r="G66" s="2" t="s">
        <v>6443</v>
      </c>
      <c r="H66" s="2" t="s">
        <v>6444</v>
      </c>
      <c r="I66" s="3">
        <v>1152</v>
      </c>
      <c r="J66" s="4" t="e">
        <f>SUMIF(Cargas!#REF!,C66,Cargas!#REF!)</f>
        <v>#REF!</v>
      </c>
      <c r="K66" s="18" t="e">
        <f t="shared" si="3"/>
        <v>#REF!</v>
      </c>
      <c r="L66" s="5" t="s">
        <v>6560</v>
      </c>
      <c r="M66" s="37">
        <v>86720</v>
      </c>
    </row>
    <row r="67" spans="2:13" ht="13.5" hidden="1" customHeight="1" x14ac:dyDescent="0.25">
      <c r="B67" s="46">
        <v>44344</v>
      </c>
      <c r="C67" s="6" t="s">
        <v>6563</v>
      </c>
      <c r="D67" s="2" t="s">
        <v>6564</v>
      </c>
      <c r="E67" s="2" t="s">
        <v>6442</v>
      </c>
      <c r="F67" s="2"/>
      <c r="G67" s="2" t="s">
        <v>6443</v>
      </c>
      <c r="H67" s="2" t="s">
        <v>6444</v>
      </c>
      <c r="I67" s="3">
        <v>1152</v>
      </c>
      <c r="J67" s="4" t="e">
        <f>SUMIF(Cargas!#REF!,C67,Cargas!#REF!)</f>
        <v>#REF!</v>
      </c>
      <c r="K67" s="18" t="e">
        <f t="shared" si="3"/>
        <v>#REF!</v>
      </c>
      <c r="L67" s="5" t="s">
        <v>6565</v>
      </c>
      <c r="M67" s="37">
        <v>92871</v>
      </c>
    </row>
    <row r="68" spans="2:13" ht="13.5" hidden="1" customHeight="1" x14ac:dyDescent="0.25">
      <c r="B68" s="46">
        <v>44343</v>
      </c>
      <c r="C68" s="6" t="s">
        <v>6566</v>
      </c>
      <c r="D68" s="2" t="s">
        <v>6564</v>
      </c>
      <c r="E68" s="2" t="s">
        <v>6442</v>
      </c>
      <c r="F68" s="2"/>
      <c r="G68" s="2" t="s">
        <v>6443</v>
      </c>
      <c r="H68" s="2" t="s">
        <v>6444</v>
      </c>
      <c r="I68" s="3">
        <v>1152</v>
      </c>
      <c r="J68" s="4" t="e">
        <f>SUMIF(Cargas!#REF!,C68,Cargas!#REF!)</f>
        <v>#REF!</v>
      </c>
      <c r="K68" s="18" t="e">
        <f t="shared" si="3"/>
        <v>#REF!</v>
      </c>
      <c r="L68" s="5" t="s">
        <v>6565</v>
      </c>
      <c r="M68" s="37">
        <v>92871</v>
      </c>
    </row>
    <row r="69" spans="2:13" ht="13.5" hidden="1" customHeight="1" x14ac:dyDescent="0.25">
      <c r="B69" s="46">
        <v>44354</v>
      </c>
      <c r="C69" s="6" t="s">
        <v>6567</v>
      </c>
      <c r="D69" s="2" t="s">
        <v>6568</v>
      </c>
      <c r="E69" s="2" t="s">
        <v>6442</v>
      </c>
      <c r="F69" s="2"/>
      <c r="G69" s="2" t="s">
        <v>6443</v>
      </c>
      <c r="H69" s="2" t="s">
        <v>6444</v>
      </c>
      <c r="I69" s="3">
        <v>1152</v>
      </c>
      <c r="J69" s="4" t="e">
        <f>SUMIF(Cargas!#REF!,C69,Cargas!#REF!)</f>
        <v>#REF!</v>
      </c>
      <c r="K69" s="18" t="e">
        <f t="shared" si="3"/>
        <v>#REF!</v>
      </c>
      <c r="L69" s="5" t="s">
        <v>6569</v>
      </c>
      <c r="M69" s="37">
        <v>97441</v>
      </c>
    </row>
    <row r="70" spans="2:13" ht="13.5" hidden="1" customHeight="1" x14ac:dyDescent="0.25">
      <c r="B70" s="46">
        <v>44354</v>
      </c>
      <c r="C70" s="6" t="s">
        <v>6570</v>
      </c>
      <c r="D70" s="2" t="s">
        <v>6568</v>
      </c>
      <c r="E70" s="2" t="s">
        <v>6442</v>
      </c>
      <c r="F70" s="2"/>
      <c r="G70" s="2" t="s">
        <v>6443</v>
      </c>
      <c r="H70" s="2" t="s">
        <v>6444</v>
      </c>
      <c r="I70" s="3">
        <v>1152</v>
      </c>
      <c r="J70" s="4" t="e">
        <f>SUMIF(Cargas!#REF!,C70,Cargas!#REF!)</f>
        <v>#REF!</v>
      </c>
      <c r="K70" s="18" t="e">
        <f t="shared" si="3"/>
        <v>#REF!</v>
      </c>
      <c r="L70" s="5" t="s">
        <v>6569</v>
      </c>
      <c r="M70" s="37">
        <v>97441</v>
      </c>
    </row>
    <row r="71" spans="2:13" ht="13.5" hidden="1" customHeight="1" x14ac:dyDescent="0.25">
      <c r="B71" s="46">
        <v>44354</v>
      </c>
      <c r="C71" s="6" t="s">
        <v>6571</v>
      </c>
      <c r="D71" s="2" t="s">
        <v>6572</v>
      </c>
      <c r="E71" s="2" t="s">
        <v>6442</v>
      </c>
      <c r="F71" s="2"/>
      <c r="G71" s="2" t="s">
        <v>6443</v>
      </c>
      <c r="H71" s="2" t="s">
        <v>6444</v>
      </c>
      <c r="I71" s="3">
        <v>1152</v>
      </c>
      <c r="J71" s="4" t="e">
        <f>SUMIF(Cargas!#REF!,C71,Cargas!#REF!)</f>
        <v>#REF!</v>
      </c>
      <c r="K71" s="18" t="e">
        <f t="shared" si="3"/>
        <v>#REF!</v>
      </c>
      <c r="L71" s="5" t="s">
        <v>6573</v>
      </c>
      <c r="M71" s="37">
        <v>101065</v>
      </c>
    </row>
    <row r="72" spans="2:13" ht="13.5" hidden="1" customHeight="1" x14ac:dyDescent="0.25">
      <c r="B72" s="46">
        <v>44354</v>
      </c>
      <c r="C72" s="6" t="s">
        <v>6574</v>
      </c>
      <c r="D72" s="2" t="s">
        <v>6572</v>
      </c>
      <c r="E72" s="2" t="s">
        <v>6442</v>
      </c>
      <c r="F72" s="2"/>
      <c r="G72" s="2" t="s">
        <v>6443</v>
      </c>
      <c r="H72" s="2" t="s">
        <v>6444</v>
      </c>
      <c r="I72" s="3">
        <v>1152</v>
      </c>
      <c r="J72" s="4" t="e">
        <f>SUMIF(Cargas!#REF!,C72,Cargas!#REF!)</f>
        <v>#REF!</v>
      </c>
      <c r="K72" s="18" t="e">
        <f t="shared" si="3"/>
        <v>#REF!</v>
      </c>
      <c r="L72" s="5" t="s">
        <v>6573</v>
      </c>
      <c r="M72" s="37">
        <v>101065</v>
      </c>
    </row>
    <row r="73" spans="2:13" ht="13.5" hidden="1" customHeight="1" x14ac:dyDescent="0.25">
      <c r="B73" s="46">
        <v>44354</v>
      </c>
      <c r="C73" s="6" t="s">
        <v>6575</v>
      </c>
      <c r="D73" s="2" t="s">
        <v>6572</v>
      </c>
      <c r="E73" s="2" t="s">
        <v>6442</v>
      </c>
      <c r="F73" s="2"/>
      <c r="G73" s="2" t="s">
        <v>6443</v>
      </c>
      <c r="H73" s="2" t="s">
        <v>6444</v>
      </c>
      <c r="I73" s="3">
        <v>1152</v>
      </c>
      <c r="J73" s="4" t="e">
        <f>SUMIF(Cargas!#REF!,C73,Cargas!#REF!)</f>
        <v>#REF!</v>
      </c>
      <c r="K73" s="18" t="e">
        <f t="shared" si="3"/>
        <v>#REF!</v>
      </c>
      <c r="L73" s="5" t="s">
        <v>6573</v>
      </c>
      <c r="M73" s="37">
        <v>101065</v>
      </c>
    </row>
    <row r="74" spans="2:13" ht="13.5" hidden="1" customHeight="1" x14ac:dyDescent="0.25">
      <c r="B74" s="46">
        <v>44362</v>
      </c>
      <c r="C74" s="6" t="s">
        <v>6576</v>
      </c>
      <c r="D74" s="2" t="s">
        <v>6577</v>
      </c>
      <c r="E74" s="2" t="s">
        <v>6442</v>
      </c>
      <c r="F74" s="2"/>
      <c r="G74" s="2" t="s">
        <v>6443</v>
      </c>
      <c r="H74" s="2" t="s">
        <v>6444</v>
      </c>
      <c r="I74" s="3">
        <v>1152</v>
      </c>
      <c r="J74" s="4" t="e">
        <f>SUMIF(Cargas!#REF!,C74,Cargas!#REF!)</f>
        <v>#REF!</v>
      </c>
      <c r="K74" s="18" t="e">
        <f t="shared" si="3"/>
        <v>#REF!</v>
      </c>
      <c r="L74" s="5" t="s">
        <v>6578</v>
      </c>
      <c r="M74" s="37">
        <v>105579</v>
      </c>
    </row>
    <row r="75" spans="2:13" ht="13.5" hidden="1" customHeight="1" x14ac:dyDescent="0.25">
      <c r="B75" s="46">
        <v>44364</v>
      </c>
      <c r="C75" s="6" t="s">
        <v>6579</v>
      </c>
      <c r="D75" s="2" t="s">
        <v>6577</v>
      </c>
      <c r="E75" s="2" t="s">
        <v>6442</v>
      </c>
      <c r="F75" s="2"/>
      <c r="G75" s="2" t="s">
        <v>6443</v>
      </c>
      <c r="H75" s="2" t="s">
        <v>6444</v>
      </c>
      <c r="I75" s="3">
        <v>1152</v>
      </c>
      <c r="J75" s="4" t="e">
        <f>SUMIF(Cargas!#REF!,C75,Cargas!#REF!)</f>
        <v>#REF!</v>
      </c>
      <c r="K75" s="18" t="e">
        <f t="shared" si="3"/>
        <v>#REF!</v>
      </c>
      <c r="L75" s="5" t="s">
        <v>6578</v>
      </c>
      <c r="M75" s="37">
        <v>105579</v>
      </c>
    </row>
    <row r="76" spans="2:13" ht="13.5" hidden="1" customHeight="1" x14ac:dyDescent="0.25">
      <c r="B76" s="46">
        <v>44369</v>
      </c>
      <c r="C76" s="6" t="s">
        <v>6580</v>
      </c>
      <c r="D76" s="2" t="s">
        <v>6577</v>
      </c>
      <c r="E76" s="2" t="s">
        <v>6442</v>
      </c>
      <c r="F76" s="2"/>
      <c r="G76" s="2" t="s">
        <v>6443</v>
      </c>
      <c r="H76" s="2" t="s">
        <v>6444</v>
      </c>
      <c r="I76" s="3">
        <v>1152</v>
      </c>
      <c r="J76" s="4" t="e">
        <f>SUMIF(Cargas!#REF!,C76,Cargas!#REF!)</f>
        <v>#REF!</v>
      </c>
      <c r="K76" s="18" t="e">
        <f t="shared" si="3"/>
        <v>#REF!</v>
      </c>
      <c r="L76" s="5" t="s">
        <v>6578</v>
      </c>
      <c r="M76" s="37">
        <v>105579</v>
      </c>
    </row>
    <row r="77" spans="2:13" ht="13.5" hidden="1" customHeight="1" x14ac:dyDescent="0.25">
      <c r="B77" s="46">
        <v>44373</v>
      </c>
      <c r="C77" s="6" t="s">
        <v>6581</v>
      </c>
      <c r="D77" s="2" t="s">
        <v>6582</v>
      </c>
      <c r="E77" s="2" t="s">
        <v>6442</v>
      </c>
      <c r="F77" s="2"/>
      <c r="G77" s="2" t="s">
        <v>6443</v>
      </c>
      <c r="H77" s="2" t="s">
        <v>6444</v>
      </c>
      <c r="I77" s="3">
        <v>1152</v>
      </c>
      <c r="J77" s="4" t="e">
        <f>SUMIF(Cargas!#REF!,C77,Cargas!#REF!)</f>
        <v>#REF!</v>
      </c>
      <c r="K77" s="18" t="e">
        <f t="shared" si="3"/>
        <v>#REF!</v>
      </c>
      <c r="L77" s="5" t="s">
        <v>6583</v>
      </c>
      <c r="M77" s="37">
        <v>109891</v>
      </c>
    </row>
    <row r="78" spans="2:13" ht="13.5" hidden="1" customHeight="1" x14ac:dyDescent="0.25">
      <c r="B78" s="46">
        <v>44371</v>
      </c>
      <c r="C78" s="6" t="s">
        <v>6584</v>
      </c>
      <c r="D78" s="2" t="s">
        <v>6582</v>
      </c>
      <c r="E78" s="2" t="s">
        <v>6442</v>
      </c>
      <c r="F78" s="2"/>
      <c r="G78" s="2" t="s">
        <v>6443</v>
      </c>
      <c r="H78" s="2" t="s">
        <v>6444</v>
      </c>
      <c r="I78" s="3">
        <v>1152</v>
      </c>
      <c r="J78" s="4" t="e">
        <f>SUMIF(Cargas!#REF!,C78,Cargas!#REF!)</f>
        <v>#REF!</v>
      </c>
      <c r="K78" s="18" t="e">
        <f t="shared" si="3"/>
        <v>#REF!</v>
      </c>
      <c r="L78" s="5" t="s">
        <v>6583</v>
      </c>
      <c r="M78" s="37">
        <v>109891</v>
      </c>
    </row>
    <row r="79" spans="2:13" ht="13.5" hidden="1" customHeight="1" x14ac:dyDescent="0.25">
      <c r="B79" s="46">
        <v>44369</v>
      </c>
      <c r="C79" s="6" t="s">
        <v>6585</v>
      </c>
      <c r="D79" s="2" t="s">
        <v>6582</v>
      </c>
      <c r="E79" s="2" t="s">
        <v>6442</v>
      </c>
      <c r="F79" s="2"/>
      <c r="G79" s="2" t="s">
        <v>6443</v>
      </c>
      <c r="H79" s="2" t="s">
        <v>6444</v>
      </c>
      <c r="I79" s="3">
        <v>1152</v>
      </c>
      <c r="J79" s="4" t="e">
        <f>SUMIF(Cargas!#REF!,C79,Cargas!#REF!)</f>
        <v>#REF!</v>
      </c>
      <c r="K79" s="18" t="e">
        <f t="shared" si="3"/>
        <v>#REF!</v>
      </c>
      <c r="L79" s="5" t="s">
        <v>6583</v>
      </c>
      <c r="M79" s="37">
        <v>109891</v>
      </c>
    </row>
    <row r="80" spans="2:13" ht="13.5" hidden="1" customHeight="1" x14ac:dyDescent="0.25">
      <c r="B80" s="46">
        <v>44372</v>
      </c>
      <c r="C80" s="6" t="s">
        <v>6586</v>
      </c>
      <c r="D80" s="2" t="s">
        <v>6587</v>
      </c>
      <c r="E80" s="2" t="s">
        <v>6442</v>
      </c>
      <c r="F80" s="2"/>
      <c r="G80" s="2" t="s">
        <v>6443</v>
      </c>
      <c r="H80" s="2" t="s">
        <v>6444</v>
      </c>
      <c r="I80" s="3">
        <v>1416</v>
      </c>
      <c r="J80" s="4" t="e">
        <f>SUMIF(Cargas!#REF!,C80,Cargas!#REF!)</f>
        <v>#REF!</v>
      </c>
      <c r="K80" s="18" t="e">
        <f t="shared" si="3"/>
        <v>#REF!</v>
      </c>
      <c r="L80" s="5" t="s">
        <v>6588</v>
      </c>
      <c r="M80" s="37">
        <v>111567</v>
      </c>
    </row>
    <row r="81" spans="2:13" ht="13.5" hidden="1" customHeight="1" x14ac:dyDescent="0.25">
      <c r="B81" s="46">
        <v>44376</v>
      </c>
      <c r="C81" s="6" t="s">
        <v>6589</v>
      </c>
      <c r="D81" s="2" t="s">
        <v>6590</v>
      </c>
      <c r="E81" s="2" t="s">
        <v>6442</v>
      </c>
      <c r="F81" s="2"/>
      <c r="G81" s="2" t="s">
        <v>6443</v>
      </c>
      <c r="H81" s="2" t="s">
        <v>6444</v>
      </c>
      <c r="I81" s="3">
        <v>1152</v>
      </c>
      <c r="J81" s="4" t="e">
        <f>SUMIF(Cargas!#REF!,C81,Cargas!#REF!)</f>
        <v>#REF!</v>
      </c>
      <c r="K81" s="18" t="e">
        <f t="shared" si="3"/>
        <v>#REF!</v>
      </c>
      <c r="L81" s="5" t="s">
        <v>6591</v>
      </c>
      <c r="M81" s="37">
        <v>114271</v>
      </c>
    </row>
    <row r="82" spans="2:13" ht="13.5" hidden="1" customHeight="1" x14ac:dyDescent="0.25">
      <c r="B82" s="46">
        <v>44378</v>
      </c>
      <c r="C82" s="6" t="s">
        <v>6592</v>
      </c>
      <c r="D82" s="2" t="s">
        <v>6590</v>
      </c>
      <c r="E82" s="2" t="s">
        <v>6442</v>
      </c>
      <c r="F82" s="2"/>
      <c r="G82" s="2" t="s">
        <v>6443</v>
      </c>
      <c r="H82" s="2" t="s">
        <v>6444</v>
      </c>
      <c r="I82" s="3">
        <v>1152</v>
      </c>
      <c r="J82" s="4">
        <f>SUMIF(Cargas!$C$5:$C$3470,C82,Cargas!$O$5:$O$3470)</f>
        <v>0</v>
      </c>
      <c r="K82" s="18">
        <f t="shared" si="3"/>
        <v>1152</v>
      </c>
      <c r="L82" s="5" t="s">
        <v>6591</v>
      </c>
      <c r="M82" s="37">
        <v>114271</v>
      </c>
    </row>
    <row r="83" spans="2:13" ht="13.5" hidden="1" customHeight="1" x14ac:dyDescent="0.25">
      <c r="B83" s="46">
        <v>44380</v>
      </c>
      <c r="C83" s="6" t="s">
        <v>6593</v>
      </c>
      <c r="D83" s="2" t="s">
        <v>6590</v>
      </c>
      <c r="E83" s="2" t="s">
        <v>6442</v>
      </c>
      <c r="F83" s="2"/>
      <c r="G83" s="2" t="s">
        <v>6443</v>
      </c>
      <c r="H83" s="2" t="s">
        <v>6444</v>
      </c>
      <c r="I83" s="3">
        <v>1152</v>
      </c>
      <c r="J83" s="4">
        <f>SUMIF(Cargas!$C$5:$C$3470,C83,Cargas!$O$5:$O$3470)</f>
        <v>0</v>
      </c>
      <c r="K83" s="18">
        <f t="shared" si="3"/>
        <v>1152</v>
      </c>
      <c r="L83" s="5" t="s">
        <v>6591</v>
      </c>
      <c r="M83" s="37">
        <v>114271</v>
      </c>
    </row>
    <row r="84" spans="2:13" ht="13.5" hidden="1" customHeight="1" x14ac:dyDescent="0.25">
      <c r="B84" s="46">
        <v>44380</v>
      </c>
      <c r="C84" s="6" t="s">
        <v>6594</v>
      </c>
      <c r="D84" s="2" t="s">
        <v>6590</v>
      </c>
      <c r="E84" s="2" t="s">
        <v>6442</v>
      </c>
      <c r="F84" s="2"/>
      <c r="G84" s="2" t="s">
        <v>6443</v>
      </c>
      <c r="H84" s="2" t="s">
        <v>6444</v>
      </c>
      <c r="I84" s="3">
        <v>1152</v>
      </c>
      <c r="J84" s="4">
        <f>SUMIF(Cargas!$C$5:$C$3470,C84,Cargas!$O$5:$O$3470)</f>
        <v>0</v>
      </c>
      <c r="K84" s="18">
        <f t="shared" si="3"/>
        <v>1152</v>
      </c>
      <c r="L84" s="5" t="s">
        <v>6591</v>
      </c>
      <c r="M84" s="37">
        <v>114271</v>
      </c>
    </row>
    <row r="85" spans="2:13" ht="13.5" hidden="1" customHeight="1" x14ac:dyDescent="0.25">
      <c r="B85" s="46">
        <v>44383</v>
      </c>
      <c r="C85" s="6" t="s">
        <v>6595</v>
      </c>
      <c r="D85" s="2" t="s">
        <v>6596</v>
      </c>
      <c r="E85" s="2" t="s">
        <v>6442</v>
      </c>
      <c r="F85" s="2"/>
      <c r="G85" s="2" t="s">
        <v>6443</v>
      </c>
      <c r="H85" s="2" t="s">
        <v>6444</v>
      </c>
      <c r="I85" s="3">
        <v>1152</v>
      </c>
      <c r="J85" s="4">
        <f>SUMIF(Cargas!$C$5:$C$3470,C85,Cargas!$O$5:$O$3470)</f>
        <v>0</v>
      </c>
      <c r="K85" s="18">
        <f t="shared" si="3"/>
        <v>1152</v>
      </c>
      <c r="L85" s="5" t="s">
        <v>6597</v>
      </c>
      <c r="M85" s="37">
        <v>118798</v>
      </c>
    </row>
    <row r="86" spans="2:13" ht="13.5" hidden="1" customHeight="1" x14ac:dyDescent="0.25">
      <c r="B86" s="46">
        <v>44385</v>
      </c>
      <c r="C86" s="6" t="s">
        <v>6598</v>
      </c>
      <c r="D86" s="2" t="s">
        <v>6596</v>
      </c>
      <c r="E86" s="2" t="s">
        <v>6442</v>
      </c>
      <c r="F86" s="2"/>
      <c r="G86" s="2" t="s">
        <v>6443</v>
      </c>
      <c r="H86" s="2" t="s">
        <v>6444</v>
      </c>
      <c r="I86" s="3">
        <v>1152</v>
      </c>
      <c r="J86" s="4">
        <f>SUMIF(Cargas!$C$5:$C$3470,C86,Cargas!$O$5:$O$3470)</f>
        <v>0</v>
      </c>
      <c r="K86" s="18">
        <f t="shared" si="3"/>
        <v>1152</v>
      </c>
      <c r="L86" s="5" t="s">
        <v>6597</v>
      </c>
      <c r="M86" s="37">
        <v>118798</v>
      </c>
    </row>
    <row r="87" spans="2:13" ht="13.5" hidden="1" customHeight="1" x14ac:dyDescent="0.25">
      <c r="B87" s="46">
        <v>44387</v>
      </c>
      <c r="C87" s="6" t="s">
        <v>6599</v>
      </c>
      <c r="D87" s="2" t="s">
        <v>6596</v>
      </c>
      <c r="E87" s="2" t="s">
        <v>6442</v>
      </c>
      <c r="F87" s="2"/>
      <c r="G87" s="2" t="s">
        <v>6443</v>
      </c>
      <c r="H87" s="2" t="s">
        <v>6444</v>
      </c>
      <c r="I87" s="3">
        <v>1152</v>
      </c>
      <c r="J87" s="4">
        <f>SUMIF(Cargas!$C$5:$C$3470,C87,Cargas!$O$5:$O$3470)</f>
        <v>0</v>
      </c>
      <c r="K87" s="18">
        <f t="shared" si="3"/>
        <v>1152</v>
      </c>
      <c r="L87" s="5" t="s">
        <v>6597</v>
      </c>
      <c r="M87" s="37">
        <v>118798</v>
      </c>
    </row>
    <row r="88" spans="2:13" ht="13.5" hidden="1" customHeight="1" x14ac:dyDescent="0.25">
      <c r="B88" s="46">
        <v>44393</v>
      </c>
      <c r="C88" s="6" t="s">
        <v>6600</v>
      </c>
      <c r="D88" s="2" t="s">
        <v>6601</v>
      </c>
      <c r="E88" s="2" t="s">
        <v>6442</v>
      </c>
      <c r="F88" s="2"/>
      <c r="G88" s="2" t="s">
        <v>6443</v>
      </c>
      <c r="H88" s="2" t="s">
        <v>6444</v>
      </c>
      <c r="I88" s="3">
        <v>1104</v>
      </c>
      <c r="J88" s="4">
        <f>SUMIF(Cargas!$C$5:$C$3470,C88,Cargas!$O$5:$O$3470)</f>
        <v>0</v>
      </c>
      <c r="K88" s="18">
        <f t="shared" si="3"/>
        <v>1104</v>
      </c>
      <c r="L88" s="5" t="s">
        <v>6602</v>
      </c>
      <c r="M88" s="37">
        <v>124975</v>
      </c>
    </row>
    <row r="89" spans="2:13" ht="13.5" hidden="1" customHeight="1" x14ac:dyDescent="0.25">
      <c r="B89" s="46">
        <v>44393</v>
      </c>
      <c r="C89" s="6" t="s">
        <v>6603</v>
      </c>
      <c r="D89" s="2" t="s">
        <v>6601</v>
      </c>
      <c r="E89" s="2" t="s">
        <v>6442</v>
      </c>
      <c r="F89" s="2"/>
      <c r="G89" s="2" t="s">
        <v>6443</v>
      </c>
      <c r="H89" s="2" t="s">
        <v>6444</v>
      </c>
      <c r="I89" s="3">
        <v>1104</v>
      </c>
      <c r="J89" s="4">
        <f>SUMIF(Cargas!$C$5:$C$3470,C89,Cargas!$O$5:$O$3470)</f>
        <v>0</v>
      </c>
      <c r="K89" s="18">
        <f t="shared" si="3"/>
        <v>1104</v>
      </c>
      <c r="L89" s="5" t="s">
        <v>6602</v>
      </c>
      <c r="M89" s="37">
        <v>124975</v>
      </c>
    </row>
    <row r="90" spans="2:13" ht="13.5" hidden="1" customHeight="1" x14ac:dyDescent="0.25">
      <c r="B90" s="46">
        <v>44396</v>
      </c>
      <c r="C90" s="6" t="s">
        <v>6604</v>
      </c>
      <c r="D90" s="2" t="s">
        <v>6601</v>
      </c>
      <c r="E90" s="2" t="s">
        <v>6442</v>
      </c>
      <c r="F90" s="2"/>
      <c r="G90" s="2" t="s">
        <v>6443</v>
      </c>
      <c r="H90" s="2" t="s">
        <v>6444</v>
      </c>
      <c r="I90" s="3">
        <v>1104</v>
      </c>
      <c r="J90" s="4">
        <f>SUMIF(Cargas!$C$5:$C$3470,C90,Cargas!$O$5:$O$3470)</f>
        <v>0</v>
      </c>
      <c r="K90" s="18">
        <f t="shared" si="3"/>
        <v>1104</v>
      </c>
      <c r="L90" s="5" t="s">
        <v>6602</v>
      </c>
      <c r="M90" s="37">
        <v>124975</v>
      </c>
    </row>
    <row r="91" spans="2:13" ht="13.5" hidden="1" customHeight="1" x14ac:dyDescent="0.25">
      <c r="B91" s="46">
        <v>44400</v>
      </c>
      <c r="C91" s="6" t="s">
        <v>6605</v>
      </c>
      <c r="D91" s="2" t="s">
        <v>6606</v>
      </c>
      <c r="E91" s="2" t="s">
        <v>6442</v>
      </c>
      <c r="F91" s="2"/>
      <c r="G91" s="2" t="s">
        <v>6443</v>
      </c>
      <c r="H91" s="2" t="s">
        <v>6444</v>
      </c>
      <c r="I91" s="3">
        <v>1104</v>
      </c>
      <c r="J91" s="4">
        <f>SUMIF(Cargas!$C$5:$C$3470,C91,Cargas!$O$5:$O$3470)</f>
        <v>0</v>
      </c>
      <c r="K91" s="18">
        <f t="shared" si="3"/>
        <v>1104</v>
      </c>
      <c r="L91" s="5" t="s">
        <v>6607</v>
      </c>
      <c r="M91" s="37">
        <v>130806</v>
      </c>
    </row>
    <row r="92" spans="2:13" ht="13.5" hidden="1" customHeight="1" x14ac:dyDescent="0.25">
      <c r="B92" s="46">
        <v>44400</v>
      </c>
      <c r="C92" s="6" t="s">
        <v>6608</v>
      </c>
      <c r="D92" s="2" t="s">
        <v>6606</v>
      </c>
      <c r="E92" s="2" t="s">
        <v>6442</v>
      </c>
      <c r="F92" s="2"/>
      <c r="G92" s="2" t="s">
        <v>6443</v>
      </c>
      <c r="H92" s="2" t="s">
        <v>6444</v>
      </c>
      <c r="I92" s="3">
        <v>1104</v>
      </c>
      <c r="J92" s="4">
        <f>SUMIF(Cargas!$C$5:$C$3470,C92,Cargas!$O$5:$O$3470)</f>
        <v>0</v>
      </c>
      <c r="K92" s="18">
        <f t="shared" si="3"/>
        <v>1104</v>
      </c>
      <c r="L92" s="5" t="s">
        <v>6607</v>
      </c>
      <c r="M92" s="37">
        <v>130806</v>
      </c>
    </row>
    <row r="93" spans="2:13" ht="13.5" hidden="1" customHeight="1" x14ac:dyDescent="0.25">
      <c r="B93" s="46">
        <v>44401</v>
      </c>
      <c r="C93" s="6" t="s">
        <v>6609</v>
      </c>
      <c r="D93" s="2" t="s">
        <v>6606</v>
      </c>
      <c r="E93" s="2" t="s">
        <v>6442</v>
      </c>
      <c r="F93" s="2"/>
      <c r="G93" s="2" t="s">
        <v>6443</v>
      </c>
      <c r="H93" s="2" t="s">
        <v>6444</v>
      </c>
      <c r="I93" s="3">
        <v>1104</v>
      </c>
      <c r="J93" s="4">
        <f>SUMIF(Cargas!$C$5:$C$3470,C93,Cargas!$O$5:$O$3470)</f>
        <v>0</v>
      </c>
      <c r="K93" s="18">
        <f t="shared" si="3"/>
        <v>1104</v>
      </c>
      <c r="L93" s="5" t="s">
        <v>6607</v>
      </c>
      <c r="M93" s="37">
        <v>130806</v>
      </c>
    </row>
    <row r="94" spans="2:13" ht="13.5" hidden="1" customHeight="1" x14ac:dyDescent="0.25">
      <c r="B94" s="46">
        <v>44405</v>
      </c>
      <c r="C94" s="6" t="s">
        <v>6610</v>
      </c>
      <c r="D94" s="2" t="s">
        <v>6611</v>
      </c>
      <c r="E94" s="2" t="s">
        <v>6442</v>
      </c>
      <c r="F94" s="2"/>
      <c r="G94" s="2" t="s">
        <v>6443</v>
      </c>
      <c r="H94" s="2" t="s">
        <v>6444</v>
      </c>
      <c r="I94" s="3">
        <v>1104</v>
      </c>
      <c r="J94" s="4">
        <f>SUMIF(Cargas!$C$5:$C$3470,C94,Cargas!$O$5:$O$3470)</f>
        <v>0</v>
      </c>
      <c r="K94" s="18">
        <f t="shared" si="3"/>
        <v>1104</v>
      </c>
      <c r="L94" s="5" t="s">
        <v>6612</v>
      </c>
      <c r="M94" s="37">
        <v>133769</v>
      </c>
    </row>
    <row r="95" spans="2:13" ht="13.5" hidden="1" customHeight="1" x14ac:dyDescent="0.25">
      <c r="B95" s="46">
        <v>44407</v>
      </c>
      <c r="C95" s="6" t="s">
        <v>6613</v>
      </c>
      <c r="D95" s="2" t="s">
        <v>6611</v>
      </c>
      <c r="E95" s="2" t="s">
        <v>6442</v>
      </c>
      <c r="F95" s="2"/>
      <c r="G95" s="2" t="s">
        <v>6443</v>
      </c>
      <c r="H95" s="2" t="s">
        <v>6444</v>
      </c>
      <c r="I95" s="3">
        <v>1104</v>
      </c>
      <c r="J95" s="4">
        <f>SUMIF(Cargas!$C$5:$C$3470,C95,Cargas!$O$5:$O$3470)</f>
        <v>0</v>
      </c>
      <c r="K95" s="18">
        <f t="shared" si="3"/>
        <v>1104</v>
      </c>
      <c r="L95" s="5" t="s">
        <v>6612</v>
      </c>
      <c r="M95" s="37">
        <v>133769</v>
      </c>
    </row>
    <row r="96" spans="2:13" ht="13.5" hidden="1" customHeight="1" x14ac:dyDescent="0.25">
      <c r="B96" s="46">
        <v>44408</v>
      </c>
      <c r="C96" s="6" t="s">
        <v>6614</v>
      </c>
      <c r="D96" s="2" t="s">
        <v>6611</v>
      </c>
      <c r="E96" s="2" t="s">
        <v>6442</v>
      </c>
      <c r="F96" s="2"/>
      <c r="G96" s="2" t="s">
        <v>6443</v>
      </c>
      <c r="H96" s="2" t="s">
        <v>6444</v>
      </c>
      <c r="I96" s="3">
        <v>1104</v>
      </c>
      <c r="J96" s="4">
        <f>SUMIF(Cargas!$C$5:$C$3470,C96,Cargas!$O$5:$O$3470)</f>
        <v>0</v>
      </c>
      <c r="K96" s="18">
        <f t="shared" si="3"/>
        <v>1104</v>
      </c>
      <c r="L96" s="5" t="s">
        <v>6612</v>
      </c>
      <c r="M96" s="37">
        <v>133769</v>
      </c>
    </row>
    <row r="97" spans="2:13" ht="13.5" hidden="1" customHeight="1" x14ac:dyDescent="0.25">
      <c r="B97" s="46">
        <v>44412</v>
      </c>
      <c r="C97" s="6" t="s">
        <v>6615</v>
      </c>
      <c r="D97" s="2" t="s">
        <v>6616</v>
      </c>
      <c r="E97" s="2" t="s">
        <v>6442</v>
      </c>
      <c r="F97" s="2"/>
      <c r="G97" s="2" t="s">
        <v>6443</v>
      </c>
      <c r="H97" s="2" t="s">
        <v>6444</v>
      </c>
      <c r="I97" s="3">
        <v>1104</v>
      </c>
      <c r="J97" s="4">
        <f>SUMIF(Cargas!$C$5:$C$3470,C97,Cargas!$O$5:$O$3470)</f>
        <v>0</v>
      </c>
      <c r="K97" s="18">
        <f t="shared" si="3"/>
        <v>1104</v>
      </c>
      <c r="L97" s="5" t="s">
        <v>6617</v>
      </c>
      <c r="M97" s="37">
        <v>139930</v>
      </c>
    </row>
    <row r="98" spans="2:13" ht="13.5" hidden="1" customHeight="1" x14ac:dyDescent="0.25">
      <c r="B98" s="46">
        <v>44414</v>
      </c>
      <c r="C98" s="6" t="s">
        <v>6618</v>
      </c>
      <c r="D98" s="2" t="s">
        <v>6616</v>
      </c>
      <c r="E98" s="2" t="s">
        <v>6442</v>
      </c>
      <c r="F98" s="2"/>
      <c r="G98" s="2" t="s">
        <v>6443</v>
      </c>
      <c r="H98" s="2" t="s">
        <v>6444</v>
      </c>
      <c r="I98" s="3">
        <v>1104</v>
      </c>
      <c r="J98" s="4">
        <f>SUMIF(Cargas!$C$5:$C$3470,C98,Cargas!$O$5:$O$3470)</f>
        <v>0</v>
      </c>
      <c r="K98" s="18">
        <f t="shared" si="3"/>
        <v>1104</v>
      </c>
      <c r="L98" s="5" t="s">
        <v>6617</v>
      </c>
      <c r="M98" s="37">
        <v>139930</v>
      </c>
    </row>
    <row r="99" spans="2:13" ht="13.5" hidden="1" customHeight="1" x14ac:dyDescent="0.25">
      <c r="B99" s="46">
        <v>44415</v>
      </c>
      <c r="C99" s="6" t="s">
        <v>6619</v>
      </c>
      <c r="D99" s="2" t="s">
        <v>6616</v>
      </c>
      <c r="E99" s="2" t="s">
        <v>6442</v>
      </c>
      <c r="F99" s="2"/>
      <c r="G99" s="2" t="s">
        <v>6443</v>
      </c>
      <c r="H99" s="2" t="s">
        <v>6444</v>
      </c>
      <c r="I99" s="3">
        <v>1104</v>
      </c>
      <c r="J99" s="4">
        <f>SUMIF(Cargas!$C$5:$C$3470,C99,Cargas!$O$5:$O$3470)</f>
        <v>0</v>
      </c>
      <c r="K99" s="18">
        <f t="shared" si="3"/>
        <v>1104</v>
      </c>
      <c r="L99" s="5" t="s">
        <v>6617</v>
      </c>
      <c r="M99" s="37">
        <v>139930</v>
      </c>
    </row>
    <row r="100" spans="2:13" ht="13.5" hidden="1" customHeight="1" x14ac:dyDescent="0.25">
      <c r="B100" s="46">
        <v>44420</v>
      </c>
      <c r="C100" s="6" t="s">
        <v>6620</v>
      </c>
      <c r="D100" s="2" t="s">
        <v>6621</v>
      </c>
      <c r="E100" s="2" t="s">
        <v>6442</v>
      </c>
      <c r="F100" s="2"/>
      <c r="G100" s="2" t="s">
        <v>6443</v>
      </c>
      <c r="H100" s="2" t="s">
        <v>6444</v>
      </c>
      <c r="I100" s="3">
        <v>1104</v>
      </c>
      <c r="J100" s="4">
        <f>SUMIF(Cargas!$C$5:$C$3470,C100,Cargas!$O$5:$O$3470)</f>
        <v>0</v>
      </c>
      <c r="K100" s="18">
        <f t="shared" si="3"/>
        <v>1104</v>
      </c>
      <c r="L100" s="5" t="s">
        <v>6622</v>
      </c>
      <c r="M100" s="37">
        <v>143175</v>
      </c>
    </row>
    <row r="101" spans="2:13" ht="13.5" hidden="1" customHeight="1" x14ac:dyDescent="0.25">
      <c r="B101" s="46">
        <v>44421</v>
      </c>
      <c r="C101" s="6" t="s">
        <v>6623</v>
      </c>
      <c r="D101" s="2" t="s">
        <v>6621</v>
      </c>
      <c r="E101" s="2" t="s">
        <v>6442</v>
      </c>
      <c r="F101" s="2"/>
      <c r="G101" s="2" t="s">
        <v>6443</v>
      </c>
      <c r="H101" s="2" t="s">
        <v>6444</v>
      </c>
      <c r="I101" s="3">
        <v>1104</v>
      </c>
      <c r="J101" s="4">
        <f>SUMIF(Cargas!$C$5:$C$3470,C101,Cargas!$O$5:$O$3470)</f>
        <v>0</v>
      </c>
      <c r="K101" s="18">
        <f t="shared" si="3"/>
        <v>1104</v>
      </c>
      <c r="L101" s="5" t="s">
        <v>6622</v>
      </c>
      <c r="M101" s="37">
        <v>143175</v>
      </c>
    </row>
    <row r="102" spans="2:13" ht="13.5" hidden="1" customHeight="1" x14ac:dyDescent="0.25">
      <c r="B102" s="46">
        <v>44422</v>
      </c>
      <c r="C102" s="6" t="s">
        <v>6624</v>
      </c>
      <c r="D102" s="2" t="s">
        <v>6621</v>
      </c>
      <c r="E102" s="2" t="s">
        <v>6442</v>
      </c>
      <c r="F102" s="2"/>
      <c r="G102" s="2" t="s">
        <v>6443</v>
      </c>
      <c r="H102" s="2" t="s">
        <v>6444</v>
      </c>
      <c r="I102" s="3">
        <v>1104</v>
      </c>
      <c r="J102" s="4">
        <f>SUMIF(Cargas!$C$5:$C$3470,C102,Cargas!$O$5:$O$3470)</f>
        <v>0</v>
      </c>
      <c r="K102" s="18">
        <f t="shared" si="3"/>
        <v>1104</v>
      </c>
      <c r="L102" s="5" t="s">
        <v>6622</v>
      </c>
      <c r="M102" s="37">
        <v>143175</v>
      </c>
    </row>
    <row r="103" spans="2:13" ht="13.5" hidden="1" customHeight="1" x14ac:dyDescent="0.25">
      <c r="B103" s="46">
        <v>44427</v>
      </c>
      <c r="C103" s="6" t="s">
        <v>6625</v>
      </c>
      <c r="D103" s="2" t="s">
        <v>6626</v>
      </c>
      <c r="E103" s="2" t="s">
        <v>6442</v>
      </c>
      <c r="F103" s="2"/>
      <c r="G103" s="2" t="s">
        <v>6443</v>
      </c>
      <c r="H103" s="2" t="s">
        <v>6444</v>
      </c>
      <c r="I103" s="3">
        <v>1104</v>
      </c>
      <c r="J103" s="4">
        <f>SUMIF(Cargas!$C$5:$C$3470,C103,Cargas!$O$5:$O$3470)</f>
        <v>0</v>
      </c>
      <c r="K103" s="18">
        <f t="shared" si="3"/>
        <v>1104</v>
      </c>
      <c r="L103" s="5" t="s">
        <v>6627</v>
      </c>
      <c r="M103" s="37">
        <v>147016</v>
      </c>
    </row>
    <row r="104" spans="2:13" ht="13.5" hidden="1" customHeight="1" x14ac:dyDescent="0.25">
      <c r="B104" s="46">
        <v>44427</v>
      </c>
      <c r="C104" s="6" t="s">
        <v>6628</v>
      </c>
      <c r="D104" s="2" t="s">
        <v>6626</v>
      </c>
      <c r="E104" s="2" t="s">
        <v>6442</v>
      </c>
      <c r="F104" s="2"/>
      <c r="G104" s="2" t="s">
        <v>6443</v>
      </c>
      <c r="H104" s="2" t="s">
        <v>6444</v>
      </c>
      <c r="I104" s="3">
        <v>1104</v>
      </c>
      <c r="J104" s="4">
        <f>SUMIF(Cargas!$C$5:$C$3470,C104,Cargas!$O$5:$O$3470)</f>
        <v>0</v>
      </c>
      <c r="K104" s="18">
        <f t="shared" si="3"/>
        <v>1104</v>
      </c>
      <c r="L104" s="5" t="s">
        <v>6627</v>
      </c>
      <c r="M104" s="37">
        <v>147016</v>
      </c>
    </row>
    <row r="105" spans="2:13" ht="13.5" hidden="1" customHeight="1" x14ac:dyDescent="0.25">
      <c r="B105" s="46">
        <v>44428</v>
      </c>
      <c r="C105" s="6" t="s">
        <v>6629</v>
      </c>
      <c r="D105" s="2" t="s">
        <v>6626</v>
      </c>
      <c r="E105" s="2" t="s">
        <v>6442</v>
      </c>
      <c r="F105" s="2"/>
      <c r="G105" s="2" t="s">
        <v>6443</v>
      </c>
      <c r="H105" s="2" t="s">
        <v>6444</v>
      </c>
      <c r="I105" s="3">
        <v>1104</v>
      </c>
      <c r="J105" s="4">
        <f>SUMIF(Cargas!$C$5:$C$3470,C105,Cargas!$O$5:$O$3470)</f>
        <v>0</v>
      </c>
      <c r="K105" s="18">
        <f t="shared" si="3"/>
        <v>1104</v>
      </c>
      <c r="L105" s="5" t="s">
        <v>6627</v>
      </c>
      <c r="M105" s="37">
        <v>147016</v>
      </c>
    </row>
    <row r="106" spans="2:13" ht="13.5" hidden="1" customHeight="1" x14ac:dyDescent="0.25">
      <c r="B106" s="46">
        <v>44428</v>
      </c>
      <c r="C106" s="6" t="s">
        <v>6629</v>
      </c>
      <c r="D106" s="2" t="s">
        <v>6626</v>
      </c>
      <c r="E106" s="2" t="s">
        <v>6442</v>
      </c>
      <c r="F106" s="2"/>
      <c r="G106" s="2" t="s">
        <v>6443</v>
      </c>
      <c r="H106" s="2" t="s">
        <v>6444</v>
      </c>
      <c r="I106" s="3">
        <v>1104</v>
      </c>
      <c r="J106" s="4">
        <f>SUMIF(Cargas!$C$5:$C$3470,C106,Cargas!$O$5:$O$3470)</f>
        <v>0</v>
      </c>
      <c r="K106" s="18">
        <f t="shared" si="3"/>
        <v>1104</v>
      </c>
      <c r="L106" s="5" t="s">
        <v>6627</v>
      </c>
      <c r="M106" s="37">
        <v>147016</v>
      </c>
    </row>
    <row r="107" spans="2:13" ht="13.5" hidden="1" customHeight="1" x14ac:dyDescent="0.25">
      <c r="B107" s="46">
        <v>44433</v>
      </c>
      <c r="C107" s="6" t="s">
        <v>6630</v>
      </c>
      <c r="D107" s="2" t="s">
        <v>6631</v>
      </c>
      <c r="E107" s="2" t="s">
        <v>6442</v>
      </c>
      <c r="F107" s="2"/>
      <c r="G107" s="2" t="s">
        <v>6443</v>
      </c>
      <c r="H107" s="2" t="s">
        <v>6444</v>
      </c>
      <c r="I107" s="3">
        <v>1104</v>
      </c>
      <c r="J107" s="4">
        <f>SUMIF(Cargas!$C$5:$C$3470,C107,Cargas!$O$5:$O$3470)</f>
        <v>0</v>
      </c>
      <c r="K107" s="18">
        <f t="shared" si="3"/>
        <v>1104</v>
      </c>
      <c r="L107" s="5" t="s">
        <v>6632</v>
      </c>
      <c r="M107" s="37">
        <v>151546</v>
      </c>
    </row>
    <row r="108" spans="2:13" ht="13.5" hidden="1" customHeight="1" x14ac:dyDescent="0.25">
      <c r="B108" s="46">
        <v>44436</v>
      </c>
      <c r="C108" s="6" t="s">
        <v>6633</v>
      </c>
      <c r="D108" s="2" t="s">
        <v>6631</v>
      </c>
      <c r="E108" s="2" t="s">
        <v>6442</v>
      </c>
      <c r="F108" s="2"/>
      <c r="G108" s="2" t="s">
        <v>6443</v>
      </c>
      <c r="H108" s="2" t="s">
        <v>6444</v>
      </c>
      <c r="I108" s="3">
        <v>1104</v>
      </c>
      <c r="J108" s="4">
        <f>SUMIF(Cargas!$C$5:$C$3470,C108,Cargas!$O$5:$O$3470)</f>
        <v>0</v>
      </c>
      <c r="K108" s="18">
        <f t="shared" si="3"/>
        <v>1104</v>
      </c>
      <c r="L108" s="5" t="s">
        <v>6632</v>
      </c>
      <c r="M108" s="37">
        <v>151546</v>
      </c>
    </row>
    <row r="109" spans="2:13" ht="13.5" hidden="1" customHeight="1" x14ac:dyDescent="0.25">
      <c r="B109" s="46">
        <v>44440</v>
      </c>
      <c r="C109" s="6" t="s">
        <v>6634</v>
      </c>
      <c r="D109" s="2" t="s">
        <v>6631</v>
      </c>
      <c r="E109" s="2" t="s">
        <v>6442</v>
      </c>
      <c r="F109" s="2"/>
      <c r="G109" s="2" t="s">
        <v>6443</v>
      </c>
      <c r="H109" s="2" t="s">
        <v>6444</v>
      </c>
      <c r="I109" s="3">
        <v>1104</v>
      </c>
      <c r="J109" s="4">
        <f>SUMIF(Cargas!$C$5:$C$3470,C109,Cargas!$O$5:$O$3470)</f>
        <v>0</v>
      </c>
      <c r="K109" s="18">
        <f t="shared" si="3"/>
        <v>1104</v>
      </c>
      <c r="L109" s="5" t="s">
        <v>6632</v>
      </c>
      <c r="M109" s="37">
        <v>151546</v>
      </c>
    </row>
    <row r="110" spans="2:13" ht="13.5" hidden="1" customHeight="1" x14ac:dyDescent="0.25">
      <c r="B110" s="46">
        <v>44442</v>
      </c>
      <c r="C110" s="6" t="s">
        <v>6635</v>
      </c>
      <c r="D110" s="2" t="s">
        <v>6636</v>
      </c>
      <c r="E110" s="2" t="s">
        <v>6442</v>
      </c>
      <c r="F110" s="2"/>
      <c r="G110" s="2" t="s">
        <v>6443</v>
      </c>
      <c r="H110" s="2" t="s">
        <v>6444</v>
      </c>
      <c r="I110" s="3">
        <v>1104</v>
      </c>
      <c r="J110" s="4">
        <f>SUMIF(Cargas!$C$5:$C$3470,C110,Cargas!$O$5:$O$3470)</f>
        <v>0</v>
      </c>
      <c r="K110" s="18">
        <f t="shared" si="3"/>
        <v>1104</v>
      </c>
      <c r="L110" s="5" t="s">
        <v>6637</v>
      </c>
      <c r="M110" s="37">
        <v>156924</v>
      </c>
    </row>
    <row r="111" spans="2:13" ht="13.5" hidden="1" customHeight="1" x14ac:dyDescent="0.25">
      <c r="B111" s="46">
        <v>44443</v>
      </c>
      <c r="C111" s="6" t="s">
        <v>6638</v>
      </c>
      <c r="D111" s="2" t="s">
        <v>6636</v>
      </c>
      <c r="E111" s="2" t="s">
        <v>6442</v>
      </c>
      <c r="F111" s="2"/>
      <c r="G111" s="2" t="s">
        <v>6443</v>
      </c>
      <c r="H111" s="2" t="s">
        <v>6444</v>
      </c>
      <c r="I111" s="3">
        <v>1104</v>
      </c>
      <c r="J111" s="4">
        <f>SUMIF(Cargas!$C$5:$C$3470,C111,Cargas!$O$5:$O$3470)</f>
        <v>0</v>
      </c>
      <c r="K111" s="18">
        <f t="shared" si="3"/>
        <v>1104</v>
      </c>
      <c r="L111" s="5" t="s">
        <v>6637</v>
      </c>
      <c r="M111" s="37">
        <v>156924</v>
      </c>
    </row>
    <row r="112" spans="2:13" ht="13.5" hidden="1" customHeight="1" x14ac:dyDescent="0.25">
      <c r="B112" s="46">
        <v>44445</v>
      </c>
      <c r="C112" s="6" t="s">
        <v>6639</v>
      </c>
      <c r="D112" s="2" t="s">
        <v>6636</v>
      </c>
      <c r="E112" s="2" t="s">
        <v>6442</v>
      </c>
      <c r="F112" s="2"/>
      <c r="G112" s="2" t="s">
        <v>6443</v>
      </c>
      <c r="H112" s="2" t="s">
        <v>6444</v>
      </c>
      <c r="I112" s="3">
        <v>1104</v>
      </c>
      <c r="J112" s="4">
        <f>SUMIF(Cargas!$C$5:$C$3470,C112,Cargas!$O$5:$O$3470)</f>
        <v>0</v>
      </c>
      <c r="K112" s="18">
        <f t="shared" si="3"/>
        <v>1104</v>
      </c>
      <c r="L112" s="5" t="s">
        <v>6637</v>
      </c>
      <c r="M112" s="37">
        <v>156924</v>
      </c>
    </row>
    <row r="113" spans="2:13" ht="13.5" hidden="1" customHeight="1" x14ac:dyDescent="0.25">
      <c r="B113" s="46">
        <v>44449</v>
      </c>
      <c r="C113" s="6" t="s">
        <v>6640</v>
      </c>
      <c r="D113" s="2" t="s">
        <v>6641</v>
      </c>
      <c r="E113" s="2" t="s">
        <v>6442</v>
      </c>
      <c r="F113" s="2"/>
      <c r="G113" s="2" t="s">
        <v>6443</v>
      </c>
      <c r="H113" s="2" t="s">
        <v>6444</v>
      </c>
      <c r="I113" s="3">
        <v>1104</v>
      </c>
      <c r="J113" s="4">
        <f>SUMIF(Cargas!$C$5:$C$3470,C113,Cargas!$O$5:$O$3470)</f>
        <v>0</v>
      </c>
      <c r="K113" s="18">
        <f t="shared" si="3"/>
        <v>1104</v>
      </c>
      <c r="L113" s="5" t="s">
        <v>6642</v>
      </c>
      <c r="M113" s="37">
        <v>160568</v>
      </c>
    </row>
    <row r="114" spans="2:13" ht="13.5" hidden="1" customHeight="1" x14ac:dyDescent="0.25">
      <c r="B114" s="46">
        <v>44449</v>
      </c>
      <c r="C114" s="6" t="s">
        <v>6643</v>
      </c>
      <c r="D114" s="2" t="s">
        <v>6641</v>
      </c>
      <c r="E114" s="2" t="s">
        <v>6442</v>
      </c>
      <c r="F114" s="2"/>
      <c r="G114" s="2" t="s">
        <v>6443</v>
      </c>
      <c r="H114" s="2" t="s">
        <v>6444</v>
      </c>
      <c r="I114" s="3">
        <v>1104</v>
      </c>
      <c r="J114" s="4">
        <f>SUMIF(Cargas!$C$5:$C$3470,C114,Cargas!$O$5:$O$3470)</f>
        <v>0</v>
      </c>
      <c r="K114" s="18">
        <f t="shared" si="3"/>
        <v>1104</v>
      </c>
      <c r="L114" s="5" t="s">
        <v>6642</v>
      </c>
      <c r="M114" s="37">
        <v>160568</v>
      </c>
    </row>
    <row r="115" spans="2:13" ht="13.5" hidden="1" customHeight="1" x14ac:dyDescent="0.25">
      <c r="B115" s="46">
        <v>44449</v>
      </c>
      <c r="C115" s="6" t="s">
        <v>6644</v>
      </c>
      <c r="D115" s="2" t="s">
        <v>6641</v>
      </c>
      <c r="E115" s="2" t="s">
        <v>6442</v>
      </c>
      <c r="F115" s="2"/>
      <c r="G115" s="2" t="s">
        <v>6443</v>
      </c>
      <c r="H115" s="2" t="s">
        <v>6444</v>
      </c>
      <c r="I115" s="3">
        <v>1104</v>
      </c>
      <c r="J115" s="4">
        <f>SUMIF(Cargas!$C$5:$C$3470,C115,Cargas!$O$5:$O$3470)</f>
        <v>0</v>
      </c>
      <c r="K115" s="18">
        <f t="shared" si="3"/>
        <v>1104</v>
      </c>
      <c r="L115" s="5" t="s">
        <v>6642</v>
      </c>
      <c r="M115" s="37">
        <v>160568</v>
      </c>
    </row>
    <row r="116" spans="2:13" ht="13.5" hidden="1" customHeight="1" x14ac:dyDescent="0.25">
      <c r="B116" s="46">
        <v>44457</v>
      </c>
      <c r="C116" s="6" t="s">
        <v>6645</v>
      </c>
      <c r="D116" s="2" t="s">
        <v>6646</v>
      </c>
      <c r="E116" s="2" t="s">
        <v>6442</v>
      </c>
      <c r="F116" s="2"/>
      <c r="G116" s="2" t="s">
        <v>6443</v>
      </c>
      <c r="H116" s="2" t="s">
        <v>6444</v>
      </c>
      <c r="I116" s="3">
        <v>1104</v>
      </c>
      <c r="J116" s="4">
        <f>SUMIF(Cargas!$C$5:$C$3470,C116,Cargas!$O$5:$O$3470)</f>
        <v>0</v>
      </c>
      <c r="K116" s="18">
        <f t="shared" si="3"/>
        <v>1104</v>
      </c>
      <c r="L116" s="5" t="s">
        <v>6647</v>
      </c>
      <c r="M116" s="37">
        <v>166972</v>
      </c>
    </row>
    <row r="117" spans="2:13" ht="13.5" hidden="1" customHeight="1" x14ac:dyDescent="0.25">
      <c r="B117" s="46">
        <v>44457</v>
      </c>
      <c r="C117" s="6" t="s">
        <v>6648</v>
      </c>
      <c r="D117" s="2" t="s">
        <v>6646</v>
      </c>
      <c r="E117" s="2" t="s">
        <v>6442</v>
      </c>
      <c r="F117" s="2"/>
      <c r="G117" s="2" t="s">
        <v>6443</v>
      </c>
      <c r="H117" s="2" t="s">
        <v>6444</v>
      </c>
      <c r="I117" s="3">
        <v>1104</v>
      </c>
      <c r="J117" s="4">
        <f>SUMIF(Cargas!$C$5:$C$3470,C117,Cargas!$O$5:$O$3470)</f>
        <v>0</v>
      </c>
      <c r="K117" s="18">
        <f t="shared" si="3"/>
        <v>1104</v>
      </c>
      <c r="L117" s="5" t="s">
        <v>6647</v>
      </c>
      <c r="M117" s="37">
        <v>166972</v>
      </c>
    </row>
    <row r="118" spans="2:13" ht="13.5" hidden="1" customHeight="1" x14ac:dyDescent="0.25">
      <c r="B118" s="46">
        <v>44457</v>
      </c>
      <c r="C118" s="6" t="s">
        <v>6649</v>
      </c>
      <c r="D118" s="2" t="s">
        <v>6646</v>
      </c>
      <c r="E118" s="2" t="s">
        <v>6442</v>
      </c>
      <c r="F118" s="2"/>
      <c r="G118" s="2" t="s">
        <v>6443</v>
      </c>
      <c r="H118" s="2" t="s">
        <v>6444</v>
      </c>
      <c r="I118" s="3">
        <v>1104</v>
      </c>
      <c r="J118" s="4">
        <f>SUMIF(Cargas!$C$5:$C$3470,C118,Cargas!$O$5:$O$3470)</f>
        <v>0</v>
      </c>
      <c r="K118" s="18">
        <f t="shared" si="3"/>
        <v>1104</v>
      </c>
      <c r="L118" s="5" t="s">
        <v>6647</v>
      </c>
      <c r="M118" s="37">
        <v>166972</v>
      </c>
    </row>
    <row r="119" spans="2:13" ht="13.5" hidden="1" customHeight="1" x14ac:dyDescent="0.25">
      <c r="B119" s="46">
        <v>44457</v>
      </c>
      <c r="C119" s="6" t="s">
        <v>6650</v>
      </c>
      <c r="D119" s="2" t="s">
        <v>6646</v>
      </c>
      <c r="E119" s="2" t="s">
        <v>6442</v>
      </c>
      <c r="F119" s="2"/>
      <c r="G119" s="2" t="s">
        <v>6443</v>
      </c>
      <c r="H119" s="2" t="s">
        <v>6444</v>
      </c>
      <c r="I119" s="3">
        <v>1104</v>
      </c>
      <c r="J119" s="4">
        <f>SUMIF(Cargas!$C$5:$C$3470,C119,Cargas!$O$5:$O$3470)</f>
        <v>0</v>
      </c>
      <c r="K119" s="18">
        <f t="shared" si="3"/>
        <v>1104</v>
      </c>
      <c r="L119" s="5" t="s">
        <v>6647</v>
      </c>
      <c r="M119" s="37">
        <v>166972</v>
      </c>
    </row>
    <row r="120" spans="2:13" ht="13.5" hidden="1" customHeight="1" x14ac:dyDescent="0.25">
      <c r="B120" s="46">
        <v>44461</v>
      </c>
      <c r="C120" s="6" t="s">
        <v>6651</v>
      </c>
      <c r="D120" s="2" t="s">
        <v>6652</v>
      </c>
      <c r="E120" s="2" t="s">
        <v>6442</v>
      </c>
      <c r="F120" s="2"/>
      <c r="G120" s="2" t="s">
        <v>6443</v>
      </c>
      <c r="H120" s="2" t="s">
        <v>6444</v>
      </c>
      <c r="I120" s="3">
        <v>1104</v>
      </c>
      <c r="J120" s="4">
        <f>SUMIF(Cargas!$C$5:$C$3470,C120,Cargas!$O$5:$O$3470)</f>
        <v>0</v>
      </c>
      <c r="K120" s="18">
        <f t="shared" si="3"/>
        <v>1104</v>
      </c>
      <c r="L120" s="5" t="s">
        <v>6653</v>
      </c>
      <c r="M120" s="37">
        <v>172913</v>
      </c>
    </row>
    <row r="121" spans="2:13" ht="13.5" hidden="1" customHeight="1" x14ac:dyDescent="0.25">
      <c r="B121" s="46">
        <v>44463</v>
      </c>
      <c r="C121" s="6" t="s">
        <v>6654</v>
      </c>
      <c r="D121" s="2" t="s">
        <v>6652</v>
      </c>
      <c r="E121" s="2" t="s">
        <v>6442</v>
      </c>
      <c r="F121" s="2"/>
      <c r="G121" s="2" t="s">
        <v>6443</v>
      </c>
      <c r="H121" s="2" t="s">
        <v>6444</v>
      </c>
      <c r="I121" s="3">
        <v>1104</v>
      </c>
      <c r="J121" s="4">
        <f>SUMIF(Cargas!$C$5:$C$3470,C121,Cargas!$O$5:$O$3470)</f>
        <v>0</v>
      </c>
      <c r="K121" s="18">
        <f t="shared" si="3"/>
        <v>1104</v>
      </c>
      <c r="L121" s="5" t="s">
        <v>6653</v>
      </c>
      <c r="M121" s="37">
        <v>172913</v>
      </c>
    </row>
    <row r="122" spans="2:13" ht="13.5" hidden="1" customHeight="1" x14ac:dyDescent="0.25">
      <c r="B122" s="46">
        <v>44463</v>
      </c>
      <c r="C122" s="6" t="s">
        <v>6655</v>
      </c>
      <c r="D122" s="2" t="s">
        <v>6652</v>
      </c>
      <c r="E122" s="2" t="s">
        <v>6442</v>
      </c>
      <c r="F122" s="2"/>
      <c r="G122" s="2" t="s">
        <v>6443</v>
      </c>
      <c r="H122" s="2" t="s">
        <v>6444</v>
      </c>
      <c r="I122" s="3">
        <v>1104</v>
      </c>
      <c r="J122" s="4">
        <f>SUMIF(Cargas!$C$5:$C$3470,C122,Cargas!$O$5:$O$3470)</f>
        <v>0</v>
      </c>
      <c r="K122" s="18">
        <f t="shared" si="3"/>
        <v>1104</v>
      </c>
      <c r="L122" s="5" t="s">
        <v>6653</v>
      </c>
      <c r="M122" s="37">
        <v>172913</v>
      </c>
    </row>
    <row r="123" spans="2:13" ht="13.5" hidden="1" customHeight="1" x14ac:dyDescent="0.25">
      <c r="B123" s="46">
        <v>44464</v>
      </c>
      <c r="C123" s="6" t="s">
        <v>6656</v>
      </c>
      <c r="D123" s="2" t="s">
        <v>6652</v>
      </c>
      <c r="E123" s="2" t="s">
        <v>6442</v>
      </c>
      <c r="F123" s="2"/>
      <c r="G123" s="2" t="s">
        <v>6443</v>
      </c>
      <c r="H123" s="2" t="s">
        <v>6444</v>
      </c>
      <c r="I123" s="3">
        <v>1104</v>
      </c>
      <c r="J123" s="4">
        <f>SUMIF(Cargas!$C$5:$C$3470,C123,Cargas!$O$5:$O$3470)</f>
        <v>0</v>
      </c>
      <c r="K123" s="18">
        <f t="shared" ref="K123:K186" si="4">IF(ABS(I123-J123)&lt;20,0,I123-J123)</f>
        <v>1104</v>
      </c>
      <c r="L123" s="5" t="s">
        <v>6653</v>
      </c>
      <c r="M123" s="37">
        <v>172913</v>
      </c>
    </row>
    <row r="124" spans="2:13" ht="13.5" hidden="1" customHeight="1" x14ac:dyDescent="0.25">
      <c r="B124" s="46">
        <v>44470</v>
      </c>
      <c r="C124" s="6" t="s">
        <v>6657</v>
      </c>
      <c r="D124" s="2" t="s">
        <v>6658</v>
      </c>
      <c r="E124" s="2" t="s">
        <v>6442</v>
      </c>
      <c r="F124" s="2"/>
      <c r="G124" s="2" t="s">
        <v>6443</v>
      </c>
      <c r="H124" s="2" t="s">
        <v>6444</v>
      </c>
      <c r="I124" s="3">
        <v>1104</v>
      </c>
      <c r="J124" s="4">
        <f>SUMIF(Cargas!$C$5:$C$3470,C124,Cargas!$O$5:$O$3470)</f>
        <v>0</v>
      </c>
      <c r="K124" s="18">
        <f t="shared" si="4"/>
        <v>1104</v>
      </c>
      <c r="L124" s="5" t="s">
        <v>6659</v>
      </c>
      <c r="M124" s="37">
        <v>176147</v>
      </c>
    </row>
    <row r="125" spans="2:13" ht="13.5" hidden="1" customHeight="1" x14ac:dyDescent="0.25">
      <c r="B125" s="46">
        <v>44470</v>
      </c>
      <c r="C125" s="6" t="s">
        <v>6660</v>
      </c>
      <c r="D125" s="2" t="s">
        <v>6658</v>
      </c>
      <c r="E125" s="2" t="s">
        <v>6442</v>
      </c>
      <c r="F125" s="2"/>
      <c r="G125" s="2" t="s">
        <v>6443</v>
      </c>
      <c r="H125" s="2" t="s">
        <v>6444</v>
      </c>
      <c r="I125" s="3">
        <v>1104</v>
      </c>
      <c r="J125" s="4">
        <f>SUMIF(Cargas!$C$5:$C$3470,C125,Cargas!$O$5:$O$3470)</f>
        <v>0</v>
      </c>
      <c r="K125" s="18">
        <f t="shared" si="4"/>
        <v>1104</v>
      </c>
      <c r="L125" s="5" t="s">
        <v>6659</v>
      </c>
      <c r="M125" s="37">
        <v>176147</v>
      </c>
    </row>
    <row r="126" spans="2:13" ht="13.5" hidden="1" customHeight="1" x14ac:dyDescent="0.25">
      <c r="B126" s="46">
        <v>44471</v>
      </c>
      <c r="C126" s="6" t="s">
        <v>6661</v>
      </c>
      <c r="D126" s="2" t="s">
        <v>6658</v>
      </c>
      <c r="E126" s="2" t="s">
        <v>6442</v>
      </c>
      <c r="F126" s="2"/>
      <c r="G126" s="2" t="s">
        <v>6443</v>
      </c>
      <c r="H126" s="2" t="s">
        <v>6444</v>
      </c>
      <c r="I126" s="3">
        <v>1104</v>
      </c>
      <c r="J126" s="4">
        <f>SUMIF(Cargas!$C$5:$C$3470,C126,Cargas!$O$5:$O$3470)</f>
        <v>0</v>
      </c>
      <c r="K126" s="18">
        <f t="shared" si="4"/>
        <v>1104</v>
      </c>
      <c r="L126" s="5" t="s">
        <v>6659</v>
      </c>
      <c r="M126" s="37">
        <v>176147</v>
      </c>
    </row>
    <row r="127" spans="2:13" ht="13.5" hidden="1" customHeight="1" x14ac:dyDescent="0.25">
      <c r="B127" s="46">
        <v>44469</v>
      </c>
      <c r="C127" s="6" t="s">
        <v>6662</v>
      </c>
      <c r="D127" s="2" t="s">
        <v>6658</v>
      </c>
      <c r="E127" s="2" t="s">
        <v>6442</v>
      </c>
      <c r="F127" s="2"/>
      <c r="G127" s="2" t="s">
        <v>6443</v>
      </c>
      <c r="H127" s="2" t="s">
        <v>6444</v>
      </c>
      <c r="I127" s="3">
        <v>1104</v>
      </c>
      <c r="J127" s="4">
        <f>SUMIF(Cargas!$C$5:$C$3470,C127,Cargas!$O$5:$O$3470)</f>
        <v>0</v>
      </c>
      <c r="K127" s="18">
        <f t="shared" si="4"/>
        <v>1104</v>
      </c>
      <c r="L127" s="5" t="s">
        <v>6659</v>
      </c>
      <c r="M127" s="37">
        <v>176147</v>
      </c>
    </row>
    <row r="128" spans="2:13" ht="13.5" hidden="1" customHeight="1" x14ac:dyDescent="0.25">
      <c r="B128" s="46">
        <v>44475</v>
      </c>
      <c r="C128" s="6" t="s">
        <v>6663</v>
      </c>
      <c r="D128" s="2" t="s">
        <v>6664</v>
      </c>
      <c r="E128" s="2" t="s">
        <v>6442</v>
      </c>
      <c r="F128" s="2"/>
      <c r="G128" s="2" t="s">
        <v>6665</v>
      </c>
      <c r="H128" s="2" t="s">
        <v>6444</v>
      </c>
      <c r="I128" s="3">
        <v>1104</v>
      </c>
      <c r="J128" s="4">
        <f>SUMIF(Cargas!$C$5:$C$3470,C128,Cargas!$O$5:$O$3470)</f>
        <v>0</v>
      </c>
      <c r="K128" s="18">
        <f t="shared" si="4"/>
        <v>1104</v>
      </c>
      <c r="L128" s="5" t="s">
        <v>6666</v>
      </c>
      <c r="M128" s="37">
        <v>180041</v>
      </c>
    </row>
    <row r="129" spans="2:13" ht="13.5" hidden="1" customHeight="1" x14ac:dyDescent="0.25">
      <c r="B129" s="46">
        <v>44475</v>
      </c>
      <c r="C129" s="6" t="s">
        <v>6667</v>
      </c>
      <c r="D129" s="2" t="s">
        <v>6664</v>
      </c>
      <c r="E129" s="2" t="s">
        <v>6442</v>
      </c>
      <c r="F129" s="2"/>
      <c r="G129" s="2" t="s">
        <v>6665</v>
      </c>
      <c r="H129" s="2" t="s">
        <v>6444</v>
      </c>
      <c r="I129" s="3">
        <v>1104</v>
      </c>
      <c r="J129" s="4">
        <f>SUMIF(Cargas!$C$5:$C$3470,C129,Cargas!$O$5:$O$3470)</f>
        <v>0</v>
      </c>
      <c r="K129" s="18">
        <f t="shared" si="4"/>
        <v>1104</v>
      </c>
      <c r="L129" s="5" t="s">
        <v>6666</v>
      </c>
      <c r="M129" s="37">
        <v>180041</v>
      </c>
    </row>
    <row r="130" spans="2:13" ht="13.5" hidden="1" customHeight="1" x14ac:dyDescent="0.25">
      <c r="B130" s="46">
        <v>44475</v>
      </c>
      <c r="C130" s="6" t="s">
        <v>6668</v>
      </c>
      <c r="D130" s="2" t="s">
        <v>6664</v>
      </c>
      <c r="E130" s="2" t="s">
        <v>6442</v>
      </c>
      <c r="F130" s="2"/>
      <c r="G130" s="2" t="s">
        <v>6665</v>
      </c>
      <c r="H130" s="2" t="s">
        <v>6444</v>
      </c>
      <c r="I130" s="3">
        <v>1104</v>
      </c>
      <c r="J130" s="4">
        <f>SUMIF(Cargas!$C$5:$C$3470,C130,Cargas!$O$5:$O$3470)</f>
        <v>0</v>
      </c>
      <c r="K130" s="18">
        <f t="shared" si="4"/>
        <v>1104</v>
      </c>
      <c r="L130" s="5" t="s">
        <v>6666</v>
      </c>
      <c r="M130" s="37">
        <v>180041</v>
      </c>
    </row>
    <row r="131" spans="2:13" ht="13.5" hidden="1" customHeight="1" x14ac:dyDescent="0.25">
      <c r="B131" s="46">
        <v>44475</v>
      </c>
      <c r="C131" s="6" t="s">
        <v>6669</v>
      </c>
      <c r="D131" s="2" t="s">
        <v>6664</v>
      </c>
      <c r="E131" s="2" t="s">
        <v>6442</v>
      </c>
      <c r="F131" s="2"/>
      <c r="G131" s="2" t="s">
        <v>6665</v>
      </c>
      <c r="H131" s="2" t="s">
        <v>6444</v>
      </c>
      <c r="I131" s="3">
        <v>1104</v>
      </c>
      <c r="J131" s="4">
        <f>SUMIF(Cargas!$C$5:$C$3470,C131,Cargas!$O$5:$O$3470)</f>
        <v>0</v>
      </c>
      <c r="K131" s="18">
        <f t="shared" si="4"/>
        <v>1104</v>
      </c>
      <c r="L131" s="5" t="s">
        <v>6666</v>
      </c>
      <c r="M131" s="37">
        <v>180041</v>
      </c>
    </row>
    <row r="132" spans="2:13" ht="13.5" hidden="1" customHeight="1" x14ac:dyDescent="0.25">
      <c r="B132" s="46">
        <v>44481</v>
      </c>
      <c r="C132" s="6" t="s">
        <v>6670</v>
      </c>
      <c r="D132" s="2" t="s">
        <v>6671</v>
      </c>
      <c r="E132" s="2" t="s">
        <v>6442</v>
      </c>
      <c r="F132" s="2"/>
      <c r="G132" s="2" t="s">
        <v>6665</v>
      </c>
      <c r="H132" s="2" t="s">
        <v>6444</v>
      </c>
      <c r="I132" s="3">
        <v>1104</v>
      </c>
      <c r="J132" s="4">
        <f>SUMIF(Cargas!$C$5:$C$3470,C132,Cargas!$O$5:$O$3470)</f>
        <v>0</v>
      </c>
      <c r="K132" s="18">
        <f t="shared" si="4"/>
        <v>1104</v>
      </c>
      <c r="L132" s="5" t="s">
        <v>6672</v>
      </c>
      <c r="M132" s="37">
        <v>185350</v>
      </c>
    </row>
    <row r="133" spans="2:13" ht="13.5" hidden="1" customHeight="1" x14ac:dyDescent="0.25">
      <c r="B133" s="46">
        <v>44482</v>
      </c>
      <c r="C133" s="6" t="s">
        <v>6673</v>
      </c>
      <c r="D133" s="2" t="s">
        <v>6671</v>
      </c>
      <c r="E133" s="2" t="s">
        <v>6442</v>
      </c>
      <c r="F133" s="2"/>
      <c r="G133" s="2" t="s">
        <v>6665</v>
      </c>
      <c r="H133" s="2" t="s">
        <v>6444</v>
      </c>
      <c r="I133" s="3">
        <v>1104</v>
      </c>
      <c r="J133" s="4">
        <f>SUMIF(Cargas!$C$5:$C$3470,C133,Cargas!$O$5:$O$3470)</f>
        <v>0</v>
      </c>
      <c r="K133" s="18">
        <f t="shared" si="4"/>
        <v>1104</v>
      </c>
      <c r="L133" s="5" t="s">
        <v>6672</v>
      </c>
      <c r="M133" s="37">
        <v>185350</v>
      </c>
    </row>
    <row r="134" spans="2:13" ht="13.5" hidden="1" customHeight="1" x14ac:dyDescent="0.25">
      <c r="B134" s="46">
        <v>44483</v>
      </c>
      <c r="C134" s="6" t="s">
        <v>6674</v>
      </c>
      <c r="D134" s="2" t="s">
        <v>6671</v>
      </c>
      <c r="E134" s="2" t="s">
        <v>6442</v>
      </c>
      <c r="F134" s="2"/>
      <c r="G134" s="2" t="s">
        <v>6665</v>
      </c>
      <c r="H134" s="2" t="s">
        <v>6444</v>
      </c>
      <c r="I134" s="3">
        <v>1104</v>
      </c>
      <c r="J134" s="4">
        <f>SUMIF(Cargas!$C$5:$C$3470,C134,Cargas!$O$5:$O$3470)</f>
        <v>0</v>
      </c>
      <c r="K134" s="18">
        <f t="shared" si="4"/>
        <v>1104</v>
      </c>
      <c r="L134" s="5" t="s">
        <v>6672</v>
      </c>
      <c r="M134" s="37">
        <v>185350</v>
      </c>
    </row>
    <row r="135" spans="2:13" ht="13.5" hidden="1" customHeight="1" x14ac:dyDescent="0.25">
      <c r="B135" s="46">
        <v>44484</v>
      </c>
      <c r="C135" s="6" t="s">
        <v>6675</v>
      </c>
      <c r="D135" s="2" t="s">
        <v>6671</v>
      </c>
      <c r="E135" s="2" t="s">
        <v>6442</v>
      </c>
      <c r="F135" s="2"/>
      <c r="G135" s="2" t="s">
        <v>6665</v>
      </c>
      <c r="H135" s="2" t="s">
        <v>6444</v>
      </c>
      <c r="I135" s="3">
        <v>1104</v>
      </c>
      <c r="J135" s="4">
        <f>SUMIF(Cargas!$C$5:$C$3470,C135,Cargas!$O$5:$O$3470)</f>
        <v>0</v>
      </c>
      <c r="K135" s="18">
        <f t="shared" si="4"/>
        <v>1104</v>
      </c>
      <c r="L135" s="5" t="s">
        <v>6672</v>
      </c>
      <c r="M135" s="37">
        <v>185350</v>
      </c>
    </row>
    <row r="136" spans="2:13" ht="13.5" hidden="1" customHeight="1" x14ac:dyDescent="0.25">
      <c r="B136" s="46">
        <v>44490</v>
      </c>
      <c r="C136" s="6" t="s">
        <v>6676</v>
      </c>
      <c r="D136" s="2" t="s">
        <v>6677</v>
      </c>
      <c r="E136" s="2" t="s">
        <v>6442</v>
      </c>
      <c r="F136" s="2"/>
      <c r="G136" s="2" t="s">
        <v>6665</v>
      </c>
      <c r="H136" s="2" t="s">
        <v>6444</v>
      </c>
      <c r="I136" s="3">
        <v>1104</v>
      </c>
      <c r="J136" s="4">
        <f>SUMIF(Cargas!$C$5:$C$3470,C136,Cargas!$O$5:$O$3470)</f>
        <v>0</v>
      </c>
      <c r="K136" s="18">
        <f t="shared" si="4"/>
        <v>1104</v>
      </c>
      <c r="L136" s="5" t="s">
        <v>6678</v>
      </c>
      <c r="M136" s="37">
        <v>190928</v>
      </c>
    </row>
    <row r="137" spans="2:13" ht="13.5" hidden="1" customHeight="1" x14ac:dyDescent="0.25">
      <c r="B137" s="46">
        <v>44490</v>
      </c>
      <c r="C137" s="6" t="s">
        <v>6679</v>
      </c>
      <c r="D137" s="2" t="s">
        <v>6677</v>
      </c>
      <c r="E137" s="2" t="s">
        <v>6442</v>
      </c>
      <c r="F137" s="2"/>
      <c r="G137" s="2" t="s">
        <v>6665</v>
      </c>
      <c r="H137" s="2" t="s">
        <v>6444</v>
      </c>
      <c r="I137" s="3">
        <v>1104</v>
      </c>
      <c r="J137" s="4">
        <f>SUMIF(Cargas!$C$5:$C$3470,C137,Cargas!$O$5:$O$3470)</f>
        <v>0</v>
      </c>
      <c r="K137" s="18">
        <f t="shared" si="4"/>
        <v>1104</v>
      </c>
      <c r="L137" s="5" t="s">
        <v>6678</v>
      </c>
      <c r="M137" s="37">
        <v>190928</v>
      </c>
    </row>
    <row r="138" spans="2:13" ht="13.5" hidden="1" customHeight="1" x14ac:dyDescent="0.25">
      <c r="B138" s="46">
        <v>44492</v>
      </c>
      <c r="C138" s="6" t="s">
        <v>6680</v>
      </c>
      <c r="D138" s="2" t="s">
        <v>6677</v>
      </c>
      <c r="E138" s="2" t="s">
        <v>6442</v>
      </c>
      <c r="F138" s="2"/>
      <c r="G138" s="2" t="s">
        <v>6665</v>
      </c>
      <c r="H138" s="2" t="s">
        <v>6444</v>
      </c>
      <c r="I138" s="3">
        <v>1104</v>
      </c>
      <c r="J138" s="4">
        <f>SUMIF(Cargas!$C$5:$C$3470,C138,Cargas!$O$5:$O$3470)</f>
        <v>0</v>
      </c>
      <c r="K138" s="18">
        <f t="shared" si="4"/>
        <v>1104</v>
      </c>
      <c r="L138" s="5" t="s">
        <v>6678</v>
      </c>
      <c r="M138" s="37">
        <v>190928</v>
      </c>
    </row>
    <row r="139" spans="2:13" ht="13.5" hidden="1" customHeight="1" x14ac:dyDescent="0.25">
      <c r="B139" s="46">
        <v>44492</v>
      </c>
      <c r="C139" s="6" t="s">
        <v>6681</v>
      </c>
      <c r="D139" s="2" t="s">
        <v>6677</v>
      </c>
      <c r="E139" s="2" t="s">
        <v>6442</v>
      </c>
      <c r="F139" s="2"/>
      <c r="G139" s="2" t="s">
        <v>6665</v>
      </c>
      <c r="H139" s="2" t="s">
        <v>6444</v>
      </c>
      <c r="I139" s="3">
        <v>1104</v>
      </c>
      <c r="J139" s="4">
        <f>SUMIF(Cargas!$C$5:$C$3470,C139,Cargas!$O$5:$O$3470)</f>
        <v>0</v>
      </c>
      <c r="K139" s="18">
        <f t="shared" si="4"/>
        <v>1104</v>
      </c>
      <c r="L139" s="5" t="s">
        <v>6678</v>
      </c>
      <c r="M139" s="37">
        <v>190928</v>
      </c>
    </row>
    <row r="140" spans="2:13" ht="13.5" hidden="1" customHeight="1" x14ac:dyDescent="0.25">
      <c r="B140" s="46">
        <v>44496</v>
      </c>
      <c r="C140" s="6" t="s">
        <v>6682</v>
      </c>
      <c r="D140" s="2" t="s">
        <v>6683</v>
      </c>
      <c r="E140" s="2" t="s">
        <v>6442</v>
      </c>
      <c r="F140" s="2"/>
      <c r="G140" s="2" t="s">
        <v>6665</v>
      </c>
      <c r="H140" s="2" t="s">
        <v>6444</v>
      </c>
      <c r="I140" s="3">
        <v>1104</v>
      </c>
      <c r="J140" s="4">
        <f>SUMIF(Cargas!$C$5:$C$3470,C140,Cargas!$O$5:$O$3470)</f>
        <v>0</v>
      </c>
      <c r="K140" s="18">
        <f t="shared" si="4"/>
        <v>1104</v>
      </c>
      <c r="L140" s="5" t="s">
        <v>6684</v>
      </c>
      <c r="M140" s="37">
        <v>195728</v>
      </c>
    </row>
    <row r="141" spans="2:13" ht="13.5" hidden="1" customHeight="1" x14ac:dyDescent="0.25">
      <c r="B141" s="46">
        <v>44498</v>
      </c>
      <c r="C141" s="6" t="s">
        <v>6685</v>
      </c>
      <c r="D141" s="2" t="s">
        <v>6683</v>
      </c>
      <c r="E141" s="2" t="s">
        <v>6442</v>
      </c>
      <c r="F141" s="2"/>
      <c r="G141" s="2" t="s">
        <v>6665</v>
      </c>
      <c r="H141" s="2" t="s">
        <v>6444</v>
      </c>
      <c r="I141" s="3">
        <v>1104</v>
      </c>
      <c r="J141" s="4">
        <f>SUMIF(Cargas!$C$5:$C$3470,C141,Cargas!$O$5:$O$3470)</f>
        <v>0</v>
      </c>
      <c r="K141" s="18">
        <f t="shared" si="4"/>
        <v>1104</v>
      </c>
      <c r="L141" s="5" t="s">
        <v>6684</v>
      </c>
      <c r="M141" s="37">
        <v>195728</v>
      </c>
    </row>
    <row r="142" spans="2:13" ht="13.5" hidden="1" customHeight="1" x14ac:dyDescent="0.25">
      <c r="B142" s="46">
        <v>44499</v>
      </c>
      <c r="C142" s="6" t="s">
        <v>6686</v>
      </c>
      <c r="D142" s="2" t="s">
        <v>6683</v>
      </c>
      <c r="E142" s="2" t="s">
        <v>6442</v>
      </c>
      <c r="F142" s="2"/>
      <c r="G142" s="2" t="s">
        <v>6665</v>
      </c>
      <c r="H142" s="2" t="s">
        <v>6444</v>
      </c>
      <c r="I142" s="3">
        <v>1104</v>
      </c>
      <c r="J142" s="4">
        <f>SUMIF(Cargas!$C$5:$C$3470,C142,Cargas!$O$5:$O$3470)</f>
        <v>0</v>
      </c>
      <c r="K142" s="18">
        <f t="shared" si="4"/>
        <v>1104</v>
      </c>
      <c r="L142" s="5" t="s">
        <v>6684</v>
      </c>
      <c r="M142" s="37">
        <v>195728</v>
      </c>
    </row>
    <row r="143" spans="2:13" ht="13.5" hidden="1" customHeight="1" x14ac:dyDescent="0.25">
      <c r="B143" s="46">
        <v>44504</v>
      </c>
      <c r="C143" s="6" t="s">
        <v>6687</v>
      </c>
      <c r="D143" s="2" t="s">
        <v>6683</v>
      </c>
      <c r="E143" s="2" t="s">
        <v>6442</v>
      </c>
      <c r="F143" s="2"/>
      <c r="G143" s="2" t="s">
        <v>6665</v>
      </c>
      <c r="H143" s="2" t="s">
        <v>6444</v>
      </c>
      <c r="I143" s="3">
        <v>1104</v>
      </c>
      <c r="J143" s="4">
        <f>SUMIF(Cargas!$C$5:$C$3470,C143,Cargas!$O$5:$O$3470)</f>
        <v>0</v>
      </c>
      <c r="K143" s="18">
        <f t="shared" si="4"/>
        <v>1104</v>
      </c>
      <c r="L143" s="5" t="s">
        <v>6684</v>
      </c>
      <c r="M143" s="37">
        <v>195728</v>
      </c>
    </row>
    <row r="144" spans="2:13" ht="13.5" hidden="1" customHeight="1" x14ac:dyDescent="0.25">
      <c r="B144" s="46">
        <v>44506</v>
      </c>
      <c r="C144" s="6" t="s">
        <v>6688</v>
      </c>
      <c r="D144" s="2" t="s">
        <v>6689</v>
      </c>
      <c r="E144" s="2" t="s">
        <v>6442</v>
      </c>
      <c r="F144" s="2"/>
      <c r="G144" s="2" t="s">
        <v>6665</v>
      </c>
      <c r="H144" s="2" t="s">
        <v>6444</v>
      </c>
      <c r="I144" s="3">
        <v>1104</v>
      </c>
      <c r="J144" s="4">
        <f>SUMIF(Cargas!$C$5:$C$3470,C144,Cargas!$O$5:$O$3470)</f>
        <v>0</v>
      </c>
      <c r="K144" s="18">
        <f t="shared" si="4"/>
        <v>1104</v>
      </c>
      <c r="L144" s="5" t="s">
        <v>6690</v>
      </c>
      <c r="M144" s="37">
        <v>202423</v>
      </c>
    </row>
    <row r="145" spans="2:13" ht="13.5" hidden="1" customHeight="1" x14ac:dyDescent="0.25">
      <c r="B145" s="46">
        <v>44506</v>
      </c>
      <c r="C145" s="6" t="s">
        <v>6691</v>
      </c>
      <c r="D145" s="2" t="s">
        <v>6689</v>
      </c>
      <c r="E145" s="2" t="s">
        <v>6442</v>
      </c>
      <c r="F145" s="2"/>
      <c r="G145" s="2" t="s">
        <v>6665</v>
      </c>
      <c r="H145" s="2" t="s">
        <v>6444</v>
      </c>
      <c r="I145" s="3">
        <v>1104</v>
      </c>
      <c r="J145" s="4">
        <f>SUMIF(Cargas!$C$5:$C$3470,C145,Cargas!$O$5:$O$3470)</f>
        <v>0</v>
      </c>
      <c r="K145" s="18">
        <f t="shared" si="4"/>
        <v>1104</v>
      </c>
      <c r="L145" s="5" t="s">
        <v>6690</v>
      </c>
      <c r="M145" s="37">
        <v>202423</v>
      </c>
    </row>
    <row r="146" spans="2:13" ht="13.5" hidden="1" customHeight="1" x14ac:dyDescent="0.25">
      <c r="B146" s="46">
        <v>44506</v>
      </c>
      <c r="C146" s="6" t="s">
        <v>6692</v>
      </c>
      <c r="D146" s="2" t="s">
        <v>6689</v>
      </c>
      <c r="E146" s="2" t="s">
        <v>6442</v>
      </c>
      <c r="F146" s="2"/>
      <c r="G146" s="2" t="s">
        <v>6665</v>
      </c>
      <c r="H146" s="2" t="s">
        <v>6444</v>
      </c>
      <c r="I146" s="3">
        <v>1104</v>
      </c>
      <c r="J146" s="4">
        <f>SUMIF(Cargas!$C$5:$C$3470,C146,Cargas!$O$5:$O$3470)</f>
        <v>0</v>
      </c>
      <c r="K146" s="18">
        <f t="shared" si="4"/>
        <v>1104</v>
      </c>
      <c r="L146" s="5" t="s">
        <v>6690</v>
      </c>
      <c r="M146" s="37">
        <v>202423</v>
      </c>
    </row>
    <row r="147" spans="2:13" ht="13.5" hidden="1" customHeight="1" x14ac:dyDescent="0.25">
      <c r="B147" s="46">
        <v>44513</v>
      </c>
      <c r="C147" s="6" t="s">
        <v>6693</v>
      </c>
      <c r="D147" s="2" t="s">
        <v>6694</v>
      </c>
      <c r="E147" s="2" t="s">
        <v>6442</v>
      </c>
      <c r="F147" s="2"/>
      <c r="G147" s="2" t="s">
        <v>6665</v>
      </c>
      <c r="H147" s="2" t="s">
        <v>6444</v>
      </c>
      <c r="I147" s="3">
        <v>1104</v>
      </c>
      <c r="J147" s="4">
        <f>SUMIF(Cargas!$C$5:$C$3470,C147,Cargas!$O$5:$O$3470)</f>
        <v>0</v>
      </c>
      <c r="K147" s="18">
        <f t="shared" si="4"/>
        <v>1104</v>
      </c>
      <c r="L147" s="5" t="s">
        <v>6695</v>
      </c>
      <c r="M147" s="37">
        <v>207470</v>
      </c>
    </row>
    <row r="148" spans="2:13" ht="13.5" hidden="1" customHeight="1" x14ac:dyDescent="0.25">
      <c r="B148" s="46">
        <v>44512</v>
      </c>
      <c r="C148" s="6" t="s">
        <v>6696</v>
      </c>
      <c r="D148" s="2" t="s">
        <v>6694</v>
      </c>
      <c r="E148" s="2" t="s">
        <v>6442</v>
      </c>
      <c r="F148" s="2"/>
      <c r="G148" s="2" t="s">
        <v>6665</v>
      </c>
      <c r="H148" s="2" t="s">
        <v>6444</v>
      </c>
      <c r="I148" s="3">
        <v>1104</v>
      </c>
      <c r="J148" s="4">
        <f>SUMIF(Cargas!$C$5:$C$3470,C148,Cargas!$O$5:$O$3470)</f>
        <v>0</v>
      </c>
      <c r="K148" s="18">
        <f t="shared" si="4"/>
        <v>1104</v>
      </c>
      <c r="L148" s="5" t="s">
        <v>6695</v>
      </c>
      <c r="M148" s="37">
        <v>207470</v>
      </c>
    </row>
    <row r="149" spans="2:13" ht="13.5" hidden="1" customHeight="1" x14ac:dyDescent="0.25">
      <c r="B149" s="46">
        <v>44208</v>
      </c>
      <c r="C149" s="6" t="s">
        <v>6697</v>
      </c>
      <c r="D149" s="2" t="s">
        <v>6694</v>
      </c>
      <c r="E149" s="2" t="s">
        <v>6442</v>
      </c>
      <c r="F149" s="2"/>
      <c r="G149" s="2" t="s">
        <v>6665</v>
      </c>
      <c r="H149" s="2" t="s">
        <v>6444</v>
      </c>
      <c r="I149" s="3">
        <v>1104</v>
      </c>
      <c r="J149" s="4">
        <f>SUMIF(Cargas!$C$5:$C$3470,C149,Cargas!$O$5:$O$3470)</f>
        <v>0</v>
      </c>
      <c r="K149" s="18">
        <f t="shared" si="4"/>
        <v>1104</v>
      </c>
      <c r="L149" s="5" t="s">
        <v>6695</v>
      </c>
      <c r="M149" s="37">
        <v>207470</v>
      </c>
    </row>
    <row r="150" spans="2:13" ht="13.5" hidden="1" customHeight="1" x14ac:dyDescent="0.25">
      <c r="B150" s="46">
        <v>44511</v>
      </c>
      <c r="C150" s="6" t="s">
        <v>6698</v>
      </c>
      <c r="D150" s="2" t="s">
        <v>6694</v>
      </c>
      <c r="E150" s="2" t="s">
        <v>6442</v>
      </c>
      <c r="F150" s="2"/>
      <c r="G150" s="2" t="s">
        <v>6665</v>
      </c>
      <c r="H150" s="2" t="s">
        <v>6444</v>
      </c>
      <c r="I150" s="3">
        <v>1104</v>
      </c>
      <c r="J150" s="4">
        <f>SUMIF(Cargas!$C$5:$C$3470,C150,Cargas!$O$5:$O$3470)</f>
        <v>0</v>
      </c>
      <c r="K150" s="18">
        <f t="shared" si="4"/>
        <v>1104</v>
      </c>
      <c r="L150" s="5" t="s">
        <v>6695</v>
      </c>
      <c r="M150" s="37">
        <v>207470</v>
      </c>
    </row>
    <row r="151" spans="2:13" ht="13.5" hidden="1" customHeight="1" x14ac:dyDescent="0.25">
      <c r="B151" s="46">
        <v>44520</v>
      </c>
      <c r="C151" s="6" t="s">
        <v>6699</v>
      </c>
      <c r="D151" s="2" t="s">
        <v>6700</v>
      </c>
      <c r="E151" s="2" t="s">
        <v>6442</v>
      </c>
      <c r="F151" s="2"/>
      <c r="G151" s="2" t="s">
        <v>6665</v>
      </c>
      <c r="H151" s="2" t="s">
        <v>6444</v>
      </c>
      <c r="I151" s="3">
        <v>1104</v>
      </c>
      <c r="J151" s="4">
        <f>SUMIF(Cargas!$C$5:$C$3470,C151,Cargas!$O$5:$O$3470)</f>
        <v>0</v>
      </c>
      <c r="K151" s="18">
        <f t="shared" si="4"/>
        <v>1104</v>
      </c>
      <c r="L151" s="5" t="s">
        <v>6701</v>
      </c>
      <c r="M151" s="37">
        <v>212757</v>
      </c>
    </row>
    <row r="152" spans="2:13" ht="13.5" hidden="1" customHeight="1" x14ac:dyDescent="0.25">
      <c r="B152" s="46">
        <v>44520</v>
      </c>
      <c r="C152" s="6" t="s">
        <v>6702</v>
      </c>
      <c r="D152" s="2" t="s">
        <v>6700</v>
      </c>
      <c r="E152" s="2" t="s">
        <v>6442</v>
      </c>
      <c r="F152" s="2"/>
      <c r="G152" s="2" t="s">
        <v>6665</v>
      </c>
      <c r="H152" s="2" t="s">
        <v>6444</v>
      </c>
      <c r="I152" s="3">
        <v>1104</v>
      </c>
      <c r="J152" s="4">
        <f>SUMIF(Cargas!$C$5:$C$3470,C152,Cargas!$O$5:$O$3470)</f>
        <v>0</v>
      </c>
      <c r="K152" s="18">
        <f t="shared" si="4"/>
        <v>1104</v>
      </c>
      <c r="L152" s="5" t="s">
        <v>6701</v>
      </c>
      <c r="M152" s="37">
        <v>212757</v>
      </c>
    </row>
    <row r="153" spans="2:13" ht="13.5" hidden="1" customHeight="1" x14ac:dyDescent="0.25">
      <c r="B153" s="46">
        <v>44520</v>
      </c>
      <c r="C153" s="6" t="s">
        <v>6703</v>
      </c>
      <c r="D153" s="2" t="s">
        <v>6700</v>
      </c>
      <c r="E153" s="2" t="s">
        <v>6442</v>
      </c>
      <c r="F153" s="2"/>
      <c r="G153" s="2" t="s">
        <v>6665</v>
      </c>
      <c r="H153" s="2" t="s">
        <v>6444</v>
      </c>
      <c r="I153" s="3">
        <v>1104</v>
      </c>
      <c r="J153" s="4">
        <f>SUMIF(Cargas!$C$5:$C$3470,C153,Cargas!$O$5:$O$3470)</f>
        <v>0</v>
      </c>
      <c r="K153" s="18">
        <f t="shared" si="4"/>
        <v>1104</v>
      </c>
      <c r="L153" s="5" t="s">
        <v>6701</v>
      </c>
      <c r="M153" s="37">
        <v>212757</v>
      </c>
    </row>
    <row r="154" spans="2:13" ht="13.5" hidden="1" customHeight="1" x14ac:dyDescent="0.25">
      <c r="B154" s="46">
        <v>44524</v>
      </c>
      <c r="C154" s="6" t="s">
        <v>6704</v>
      </c>
      <c r="D154" s="2" t="s">
        <v>6705</v>
      </c>
      <c r="E154" s="2" t="s">
        <v>6442</v>
      </c>
      <c r="F154" s="2"/>
      <c r="G154" s="2" t="s">
        <v>6665</v>
      </c>
      <c r="H154" s="2" t="s">
        <v>6444</v>
      </c>
      <c r="I154" s="3">
        <v>1104</v>
      </c>
      <c r="J154" s="4">
        <f>SUMIF(Cargas!$C$5:$C$3470,C154,Cargas!$O$5:$O$3470)</f>
        <v>0</v>
      </c>
      <c r="K154" s="18">
        <f t="shared" si="4"/>
        <v>1104</v>
      </c>
      <c r="L154" s="5" t="s">
        <v>6706</v>
      </c>
      <c r="M154" s="37">
        <v>217607</v>
      </c>
    </row>
    <row r="155" spans="2:13" ht="13.5" hidden="1" customHeight="1" x14ac:dyDescent="0.25">
      <c r="B155" s="46">
        <v>44526</v>
      </c>
      <c r="C155" s="6" t="s">
        <v>6707</v>
      </c>
      <c r="D155" s="2" t="s">
        <v>6705</v>
      </c>
      <c r="E155" s="2" t="s">
        <v>6442</v>
      </c>
      <c r="F155" s="2"/>
      <c r="G155" s="2" t="s">
        <v>6665</v>
      </c>
      <c r="H155" s="2" t="s">
        <v>6444</v>
      </c>
      <c r="I155" s="3">
        <v>1104</v>
      </c>
      <c r="J155" s="4">
        <f>SUMIF(Cargas!$C$5:$C$3470,C155,Cargas!$O$5:$O$3470)</f>
        <v>0</v>
      </c>
      <c r="K155" s="18">
        <f t="shared" si="4"/>
        <v>1104</v>
      </c>
      <c r="L155" s="5" t="s">
        <v>6706</v>
      </c>
      <c r="M155" s="37">
        <v>217607</v>
      </c>
    </row>
    <row r="156" spans="2:13" ht="13.5" hidden="1" customHeight="1" x14ac:dyDescent="0.25">
      <c r="B156" s="46">
        <v>44525</v>
      </c>
      <c r="C156" s="6" t="s">
        <v>6708</v>
      </c>
      <c r="D156" s="2" t="s">
        <v>6705</v>
      </c>
      <c r="E156" s="2" t="s">
        <v>6442</v>
      </c>
      <c r="F156" s="2"/>
      <c r="G156" s="2" t="s">
        <v>6665</v>
      </c>
      <c r="H156" s="2" t="s">
        <v>6444</v>
      </c>
      <c r="I156" s="3">
        <v>1104</v>
      </c>
      <c r="J156" s="4">
        <f>SUMIF(Cargas!$C$5:$C$3470,C156,Cargas!$O$5:$O$3470)</f>
        <v>0</v>
      </c>
      <c r="K156" s="18">
        <f t="shared" si="4"/>
        <v>1104</v>
      </c>
      <c r="L156" s="5" t="s">
        <v>6706</v>
      </c>
      <c r="M156" s="37">
        <v>217607</v>
      </c>
    </row>
    <row r="157" spans="2:13" ht="13.5" hidden="1" customHeight="1" x14ac:dyDescent="0.25">
      <c r="B157" s="46">
        <v>44529</v>
      </c>
      <c r="C157" s="6" t="s">
        <v>6709</v>
      </c>
      <c r="D157" s="2" t="s">
        <v>6705</v>
      </c>
      <c r="E157" s="2" t="s">
        <v>6442</v>
      </c>
      <c r="F157" s="2"/>
      <c r="G157" s="2" t="s">
        <v>6665</v>
      </c>
      <c r="H157" s="2" t="s">
        <v>6444</v>
      </c>
      <c r="I157" s="3">
        <v>1104</v>
      </c>
      <c r="J157" s="4">
        <f>SUMIF(Cargas!$C$5:$C$3470,C157,Cargas!$O$5:$O$3470)</f>
        <v>0</v>
      </c>
      <c r="K157" s="18">
        <f t="shared" si="4"/>
        <v>1104</v>
      </c>
      <c r="L157" s="5" t="s">
        <v>6706</v>
      </c>
      <c r="M157" s="37">
        <v>217607</v>
      </c>
    </row>
    <row r="158" spans="2:13" ht="13.5" hidden="1" customHeight="1" x14ac:dyDescent="0.25">
      <c r="B158" s="46">
        <v>44937</v>
      </c>
      <c r="C158" s="168" t="s">
        <v>6710</v>
      </c>
      <c r="D158" s="169" t="s">
        <v>6441</v>
      </c>
      <c r="E158" s="2" t="s">
        <v>6442</v>
      </c>
      <c r="F158" s="2"/>
      <c r="G158" s="2" t="s">
        <v>6443</v>
      </c>
      <c r="H158" s="169" t="s">
        <v>6444</v>
      </c>
      <c r="I158" s="3">
        <v>1104</v>
      </c>
      <c r="J158" s="4">
        <v>1104</v>
      </c>
      <c r="K158" s="18">
        <f t="shared" si="4"/>
        <v>0</v>
      </c>
      <c r="L158" s="5" t="s">
        <v>6711</v>
      </c>
      <c r="M158" s="37"/>
    </row>
    <row r="159" spans="2:13" ht="13.5" hidden="1" customHeight="1" x14ac:dyDescent="0.25">
      <c r="B159" s="46">
        <v>44937</v>
      </c>
      <c r="C159" s="168" t="s">
        <v>6712</v>
      </c>
      <c r="D159" s="169" t="s">
        <v>6441</v>
      </c>
      <c r="E159" s="2" t="s">
        <v>6442</v>
      </c>
      <c r="F159" s="2"/>
      <c r="G159" s="2" t="s">
        <v>6443</v>
      </c>
      <c r="H159" s="169" t="s">
        <v>6444</v>
      </c>
      <c r="I159" s="3">
        <v>1104</v>
      </c>
      <c r="J159" s="4">
        <v>1104</v>
      </c>
      <c r="K159" s="18">
        <f t="shared" si="4"/>
        <v>0</v>
      </c>
      <c r="L159" s="170" t="s">
        <v>6711</v>
      </c>
      <c r="M159" s="37">
        <v>9854</v>
      </c>
    </row>
    <row r="160" spans="2:13" ht="13.5" hidden="1" customHeight="1" x14ac:dyDescent="0.25">
      <c r="B160" s="46">
        <v>44573</v>
      </c>
      <c r="C160" s="6" t="s">
        <v>6713</v>
      </c>
      <c r="D160" s="2" t="s">
        <v>6451</v>
      </c>
      <c r="E160" s="2" t="s">
        <v>6442</v>
      </c>
      <c r="F160" s="2"/>
      <c r="G160" s="2" t="s">
        <v>6443</v>
      </c>
      <c r="H160" s="2" t="s">
        <v>6444</v>
      </c>
      <c r="I160" s="3">
        <v>1104</v>
      </c>
      <c r="J160" s="4">
        <f>SUMIF(Cargas!$C$5:$C$3470,C160,Cargas!$O$5:$O$3470)</f>
        <v>0</v>
      </c>
      <c r="K160" s="18">
        <f t="shared" si="4"/>
        <v>1104</v>
      </c>
      <c r="L160" s="5" t="s">
        <v>6714</v>
      </c>
      <c r="M160" s="37">
        <v>10892</v>
      </c>
    </row>
    <row r="161" spans="2:13" ht="13.5" hidden="1" customHeight="1" x14ac:dyDescent="0.25">
      <c r="B161" s="46">
        <v>44573</v>
      </c>
      <c r="C161" s="6" t="s">
        <v>6715</v>
      </c>
      <c r="D161" s="2" t="s">
        <v>6451</v>
      </c>
      <c r="E161" s="2" t="s">
        <v>6442</v>
      </c>
      <c r="F161" s="2"/>
      <c r="G161" s="2" t="s">
        <v>6443</v>
      </c>
      <c r="H161" s="2" t="s">
        <v>6444</v>
      </c>
      <c r="I161" s="3">
        <v>1104</v>
      </c>
      <c r="J161" s="4">
        <f>SUMIF(Cargas!$C$5:$C$3470,C161,Cargas!$O$5:$O$3470)</f>
        <v>0</v>
      </c>
      <c r="K161" s="18">
        <f t="shared" si="4"/>
        <v>1104</v>
      </c>
      <c r="L161" s="5" t="s">
        <v>6714</v>
      </c>
      <c r="M161" s="37">
        <v>10892</v>
      </c>
    </row>
    <row r="162" spans="2:13" ht="13.5" hidden="1" customHeight="1" x14ac:dyDescent="0.25">
      <c r="B162" s="46">
        <v>44945</v>
      </c>
      <c r="C162" s="168" t="s">
        <v>6716</v>
      </c>
      <c r="D162" s="169" t="s">
        <v>6451</v>
      </c>
      <c r="E162" s="2" t="s">
        <v>6442</v>
      </c>
      <c r="F162" s="2"/>
      <c r="G162" s="2" t="s">
        <v>6443</v>
      </c>
      <c r="H162" s="169" t="s">
        <v>6444</v>
      </c>
      <c r="I162" s="3">
        <v>1104</v>
      </c>
      <c r="J162" s="4">
        <v>1104</v>
      </c>
      <c r="K162" s="18">
        <f t="shared" si="4"/>
        <v>0</v>
      </c>
      <c r="L162" s="5" t="s">
        <v>6717</v>
      </c>
      <c r="M162" s="37">
        <v>9854</v>
      </c>
    </row>
    <row r="163" spans="2:13" ht="13.5" hidden="1" customHeight="1" x14ac:dyDescent="0.25">
      <c r="B163" s="46">
        <v>44945</v>
      </c>
      <c r="C163" s="168" t="s">
        <v>6718</v>
      </c>
      <c r="D163" s="169" t="s">
        <v>6451</v>
      </c>
      <c r="E163" s="2" t="s">
        <v>6442</v>
      </c>
      <c r="F163" s="2"/>
      <c r="G163" s="2" t="s">
        <v>6443</v>
      </c>
      <c r="H163" s="169" t="s">
        <v>6444</v>
      </c>
      <c r="I163" s="3">
        <v>1104</v>
      </c>
      <c r="J163" s="4">
        <v>1104</v>
      </c>
      <c r="K163" s="18">
        <f t="shared" si="4"/>
        <v>0</v>
      </c>
      <c r="L163" s="5" t="s">
        <v>6717</v>
      </c>
      <c r="M163" s="37">
        <v>13783</v>
      </c>
    </row>
    <row r="164" spans="2:13" ht="13.5" hidden="1" customHeight="1" x14ac:dyDescent="0.25">
      <c r="B164" s="46">
        <v>44580</v>
      </c>
      <c r="C164" s="6" t="s">
        <v>6719</v>
      </c>
      <c r="D164" s="2" t="s">
        <v>6454</v>
      </c>
      <c r="E164" s="2" t="s">
        <v>6442</v>
      </c>
      <c r="F164" s="2"/>
      <c r="G164" s="2" t="s">
        <v>6443</v>
      </c>
      <c r="H164" s="2" t="s">
        <v>6444</v>
      </c>
      <c r="I164" s="3">
        <v>1104</v>
      </c>
      <c r="J164" s="4">
        <f>SUMIF(Cargas!$C$5:$C$3470,C164,Cargas!$O$5:$O$3470)</f>
        <v>0</v>
      </c>
      <c r="K164" s="18">
        <f t="shared" si="4"/>
        <v>1104</v>
      </c>
      <c r="L164" s="5" t="s">
        <v>6720</v>
      </c>
      <c r="M164" s="37">
        <v>13966</v>
      </c>
    </row>
    <row r="165" spans="2:13" ht="13.5" hidden="1" customHeight="1" x14ac:dyDescent="0.25">
      <c r="B165" s="46">
        <v>44582</v>
      </c>
      <c r="C165" s="6" t="s">
        <v>6721</v>
      </c>
      <c r="D165" s="2" t="s">
        <v>6454</v>
      </c>
      <c r="E165" s="2" t="s">
        <v>6442</v>
      </c>
      <c r="F165" s="2"/>
      <c r="G165" s="2" t="s">
        <v>6443</v>
      </c>
      <c r="H165" s="2" t="s">
        <v>6444</v>
      </c>
      <c r="I165" s="3">
        <v>1104</v>
      </c>
      <c r="J165" s="4">
        <f>SUMIF(Cargas!$C$5:$C$3470,C165,Cargas!$O$5:$O$3470)</f>
        <v>0</v>
      </c>
      <c r="K165" s="18">
        <f t="shared" si="4"/>
        <v>1104</v>
      </c>
      <c r="L165" s="5" t="s">
        <v>6720</v>
      </c>
      <c r="M165" s="37">
        <v>13966</v>
      </c>
    </row>
    <row r="166" spans="2:13" ht="13.5" hidden="1" customHeight="1" x14ac:dyDescent="0.25">
      <c r="B166" s="46">
        <v>44953</v>
      </c>
      <c r="C166" s="168" t="s">
        <v>6722</v>
      </c>
      <c r="D166" s="169" t="s">
        <v>6454</v>
      </c>
      <c r="E166" s="2" t="s">
        <v>6442</v>
      </c>
      <c r="F166" s="2"/>
      <c r="G166" s="2" t="s">
        <v>6443</v>
      </c>
      <c r="H166" s="169" t="s">
        <v>6444</v>
      </c>
      <c r="I166" s="3">
        <v>1104</v>
      </c>
      <c r="J166" s="4">
        <v>1104</v>
      </c>
      <c r="K166" s="18">
        <f t="shared" si="4"/>
        <v>0</v>
      </c>
      <c r="L166" s="5" t="s">
        <v>6723</v>
      </c>
      <c r="M166" s="37">
        <v>19370</v>
      </c>
    </row>
    <row r="167" spans="2:13" ht="13.5" hidden="1" customHeight="1" x14ac:dyDescent="0.25">
      <c r="B167" s="46">
        <v>44589</v>
      </c>
      <c r="C167" s="6" t="s">
        <v>6724</v>
      </c>
      <c r="D167" s="2" t="s">
        <v>6458</v>
      </c>
      <c r="E167" s="2" t="s">
        <v>6442</v>
      </c>
      <c r="F167" s="2"/>
      <c r="G167" s="2" t="s">
        <v>6443</v>
      </c>
      <c r="H167" s="2" t="s">
        <v>6444</v>
      </c>
      <c r="I167" s="3">
        <v>1104</v>
      </c>
      <c r="J167" s="4">
        <f>SUMIF(Cargas!$C$5:$C$3470,C167,Cargas!$O$5:$O$3470)</f>
        <v>0</v>
      </c>
      <c r="K167" s="18">
        <f t="shared" si="4"/>
        <v>1104</v>
      </c>
      <c r="L167" s="5" t="s">
        <v>6725</v>
      </c>
      <c r="M167" s="37">
        <v>20129</v>
      </c>
    </row>
    <row r="168" spans="2:13" ht="13.5" hidden="1" customHeight="1" x14ac:dyDescent="0.25">
      <c r="B168" s="46">
        <v>44589</v>
      </c>
      <c r="C168" s="6" t="s">
        <v>6726</v>
      </c>
      <c r="D168" s="2" t="s">
        <v>6458</v>
      </c>
      <c r="E168" s="2" t="s">
        <v>6442</v>
      </c>
      <c r="F168" s="2"/>
      <c r="G168" s="2" t="s">
        <v>6443</v>
      </c>
      <c r="H168" s="2" t="s">
        <v>6444</v>
      </c>
      <c r="I168" s="3">
        <v>1104</v>
      </c>
      <c r="J168" s="4">
        <f>SUMIF(Cargas!$C$5:$C$3470,C168,Cargas!$O$5:$O$3470)</f>
        <v>0</v>
      </c>
      <c r="K168" s="18">
        <f t="shared" si="4"/>
        <v>1104</v>
      </c>
      <c r="L168" s="5" t="s">
        <v>6725</v>
      </c>
      <c r="M168" s="37">
        <v>20129</v>
      </c>
    </row>
    <row r="169" spans="2:13" ht="13.5" hidden="1" customHeight="1" x14ac:dyDescent="0.25">
      <c r="B169" s="46">
        <v>44959</v>
      </c>
      <c r="C169" s="168" t="s">
        <v>6727</v>
      </c>
      <c r="D169" s="169" t="s">
        <v>6458</v>
      </c>
      <c r="E169" s="2" t="s">
        <v>6442</v>
      </c>
      <c r="F169" s="2"/>
      <c r="G169" s="2" t="s">
        <v>6443</v>
      </c>
      <c r="H169" s="169" t="s">
        <v>6444</v>
      </c>
      <c r="I169" s="3">
        <v>1104</v>
      </c>
      <c r="J169" s="4">
        <v>1104</v>
      </c>
      <c r="K169" s="18">
        <f t="shared" si="4"/>
        <v>0</v>
      </c>
      <c r="L169" s="5" t="s">
        <v>6728</v>
      </c>
      <c r="M169" s="37">
        <v>23027</v>
      </c>
    </row>
    <row r="170" spans="2:13" ht="13.5" hidden="1" customHeight="1" x14ac:dyDescent="0.25">
      <c r="B170" s="46">
        <v>44960</v>
      </c>
      <c r="C170" s="168" t="s">
        <v>6729</v>
      </c>
      <c r="D170" s="169" t="s">
        <v>6458</v>
      </c>
      <c r="E170" s="2" t="s">
        <v>6442</v>
      </c>
      <c r="F170" s="2"/>
      <c r="G170" s="2" t="s">
        <v>6443</v>
      </c>
      <c r="H170" s="169" t="s">
        <v>6444</v>
      </c>
      <c r="I170" s="3">
        <v>1104</v>
      </c>
      <c r="J170" s="4">
        <v>1104</v>
      </c>
      <c r="K170" s="18">
        <f t="shared" si="4"/>
        <v>0</v>
      </c>
      <c r="L170" s="5" t="s">
        <v>6728</v>
      </c>
      <c r="M170" s="37">
        <v>23027</v>
      </c>
    </row>
    <row r="171" spans="2:13" ht="13.5" hidden="1" customHeight="1" x14ac:dyDescent="0.25">
      <c r="B171" s="46">
        <v>44596</v>
      </c>
      <c r="C171" s="6" t="s">
        <v>6730</v>
      </c>
      <c r="D171" s="2" t="s">
        <v>6463</v>
      </c>
      <c r="E171" s="2" t="s">
        <v>6442</v>
      </c>
      <c r="F171" s="2"/>
      <c r="G171" s="2" t="s">
        <v>6443</v>
      </c>
      <c r="H171" s="2" t="s">
        <v>6444</v>
      </c>
      <c r="I171" s="3">
        <v>1104</v>
      </c>
      <c r="J171" s="4">
        <f>SUMIF(Cargas!$C$5:$C$3470,C171,Cargas!$O$5:$O$3470)</f>
        <v>0</v>
      </c>
      <c r="K171" s="18">
        <f t="shared" si="4"/>
        <v>1104</v>
      </c>
      <c r="L171" s="5" t="s">
        <v>6731</v>
      </c>
      <c r="M171" s="37">
        <v>23390</v>
      </c>
    </row>
    <row r="172" spans="2:13" ht="13.5" hidden="1" customHeight="1" x14ac:dyDescent="0.25">
      <c r="B172" s="46">
        <v>44596</v>
      </c>
      <c r="C172" s="6" t="s">
        <v>6732</v>
      </c>
      <c r="D172" s="2" t="s">
        <v>6463</v>
      </c>
      <c r="E172" s="2" t="s">
        <v>6442</v>
      </c>
      <c r="F172" s="2"/>
      <c r="G172" s="2" t="s">
        <v>6443</v>
      </c>
      <c r="H172" s="2" t="s">
        <v>6444</v>
      </c>
      <c r="I172" s="3">
        <v>1104</v>
      </c>
      <c r="J172" s="4">
        <f>SUMIF(Cargas!$C$5:$C$3470,C172,Cargas!$O$5:$O$3470)</f>
        <v>0</v>
      </c>
      <c r="K172" s="18">
        <f t="shared" si="4"/>
        <v>1104</v>
      </c>
      <c r="L172" s="5" t="s">
        <v>6731</v>
      </c>
      <c r="M172" s="37">
        <v>23390</v>
      </c>
    </row>
    <row r="173" spans="2:13" ht="13.5" hidden="1" customHeight="1" x14ac:dyDescent="0.25">
      <c r="B173" s="46">
        <v>44968</v>
      </c>
      <c r="C173" s="168" t="s">
        <v>6733</v>
      </c>
      <c r="D173" s="169" t="s">
        <v>6463</v>
      </c>
      <c r="E173" s="2" t="s">
        <v>6442</v>
      </c>
      <c r="F173" s="2"/>
      <c r="G173" s="2" t="s">
        <v>6443</v>
      </c>
      <c r="H173" s="169" t="s">
        <v>6444</v>
      </c>
      <c r="I173" s="3">
        <v>1104</v>
      </c>
      <c r="J173" s="4">
        <v>1104</v>
      </c>
      <c r="K173" s="18">
        <f t="shared" si="4"/>
        <v>0</v>
      </c>
      <c r="L173" s="5" t="s">
        <v>6734</v>
      </c>
      <c r="M173" s="37">
        <v>29590</v>
      </c>
    </row>
    <row r="174" spans="2:13" ht="13.5" hidden="1" customHeight="1" x14ac:dyDescent="0.25">
      <c r="B174" s="46">
        <v>44603</v>
      </c>
      <c r="C174" s="6" t="s">
        <v>6735</v>
      </c>
      <c r="D174" s="2" t="s">
        <v>6468</v>
      </c>
      <c r="E174" s="2" t="s">
        <v>6442</v>
      </c>
      <c r="F174" s="2"/>
      <c r="G174" s="2" t="s">
        <v>6443</v>
      </c>
      <c r="H174" s="2" t="s">
        <v>6444</v>
      </c>
      <c r="I174" s="3">
        <v>1104</v>
      </c>
      <c r="J174" s="4">
        <f>SUMIF(Cargas!$C$5:$C$3470,C174,Cargas!$O$5:$O$3470)</f>
        <v>0</v>
      </c>
      <c r="K174" s="18">
        <f t="shared" si="4"/>
        <v>1104</v>
      </c>
      <c r="L174" s="5" t="s">
        <v>6736</v>
      </c>
      <c r="M174" s="37">
        <v>27952</v>
      </c>
    </row>
    <row r="175" spans="2:13" ht="13.5" hidden="1" customHeight="1" x14ac:dyDescent="0.25">
      <c r="B175" s="46">
        <v>44603</v>
      </c>
      <c r="C175" s="6" t="s">
        <v>6737</v>
      </c>
      <c r="D175" s="2" t="s">
        <v>6468</v>
      </c>
      <c r="E175" s="2" t="s">
        <v>6442</v>
      </c>
      <c r="F175" s="2"/>
      <c r="G175" s="2" t="s">
        <v>6443</v>
      </c>
      <c r="H175" s="2" t="s">
        <v>6444</v>
      </c>
      <c r="I175" s="3">
        <v>1104</v>
      </c>
      <c r="J175" s="4">
        <f>SUMIF(Cargas!$C$5:$C$3470,C175,Cargas!$O$5:$O$3470)</f>
        <v>0</v>
      </c>
      <c r="K175" s="18">
        <f t="shared" si="4"/>
        <v>1104</v>
      </c>
      <c r="L175" s="5" t="s">
        <v>6736</v>
      </c>
      <c r="M175" s="37">
        <v>27952</v>
      </c>
    </row>
    <row r="176" spans="2:13" ht="13.5" hidden="1" customHeight="1" x14ac:dyDescent="0.25">
      <c r="B176" s="46">
        <v>44610</v>
      </c>
      <c r="C176" s="6" t="s">
        <v>6738</v>
      </c>
      <c r="D176" s="2" t="s">
        <v>6473</v>
      </c>
      <c r="E176" s="2" t="s">
        <v>6442</v>
      </c>
      <c r="F176" s="2"/>
      <c r="G176" s="2" t="s">
        <v>6443</v>
      </c>
      <c r="H176" s="2" t="s">
        <v>6444</v>
      </c>
      <c r="I176" s="3">
        <v>1104</v>
      </c>
      <c r="J176" s="4">
        <f>SUMIF(Cargas!$C$5:$C$3470,C176,Cargas!$O$5:$O$3470)</f>
        <v>0</v>
      </c>
      <c r="K176" s="18">
        <f t="shared" si="4"/>
        <v>1104</v>
      </c>
      <c r="L176" s="5" t="s">
        <v>6739</v>
      </c>
      <c r="M176" s="37" t="s">
        <v>299</v>
      </c>
    </row>
    <row r="177" spans="2:13" ht="13.5" hidden="1" customHeight="1" x14ac:dyDescent="0.25">
      <c r="B177" s="46">
        <v>44610</v>
      </c>
      <c r="C177" s="6" t="s">
        <v>6740</v>
      </c>
      <c r="D177" s="2" t="s">
        <v>6473</v>
      </c>
      <c r="E177" s="2" t="s">
        <v>6442</v>
      </c>
      <c r="F177" s="2"/>
      <c r="G177" s="2" t="s">
        <v>6443</v>
      </c>
      <c r="H177" s="2" t="s">
        <v>6444</v>
      </c>
      <c r="I177" s="3">
        <v>1104</v>
      </c>
      <c r="J177" s="4">
        <f>SUMIF(Cargas!$C$5:$C$3470,C177,Cargas!$O$5:$O$3470)</f>
        <v>0</v>
      </c>
      <c r="K177" s="18">
        <f t="shared" si="4"/>
        <v>1104</v>
      </c>
      <c r="L177" s="5" t="s">
        <v>6739</v>
      </c>
      <c r="M177" s="37" t="s">
        <v>299</v>
      </c>
    </row>
    <row r="178" spans="2:13" ht="13.5" hidden="1" customHeight="1" x14ac:dyDescent="0.25">
      <c r="B178" s="46">
        <v>44617</v>
      </c>
      <c r="C178" s="6" t="s">
        <v>6741</v>
      </c>
      <c r="D178" s="2" t="s">
        <v>6477</v>
      </c>
      <c r="E178" s="2" t="s">
        <v>6442</v>
      </c>
      <c r="F178" s="2"/>
      <c r="G178" s="2" t="s">
        <v>6443</v>
      </c>
      <c r="H178" s="2" t="s">
        <v>6444</v>
      </c>
      <c r="I178" s="3">
        <v>1104</v>
      </c>
      <c r="J178" s="4">
        <v>1104</v>
      </c>
      <c r="K178" s="18">
        <f t="shared" si="4"/>
        <v>0</v>
      </c>
      <c r="L178" s="5" t="s">
        <v>6742</v>
      </c>
      <c r="M178" s="37">
        <v>38148</v>
      </c>
    </row>
    <row r="179" spans="2:13" ht="13.5" hidden="1" customHeight="1" x14ac:dyDescent="0.25">
      <c r="B179" s="46">
        <v>44624</v>
      </c>
      <c r="C179" s="6" t="s">
        <v>6743</v>
      </c>
      <c r="D179" s="2" t="s">
        <v>6480</v>
      </c>
      <c r="E179" s="2" t="s">
        <v>6442</v>
      </c>
      <c r="F179" s="2"/>
      <c r="G179" s="2" t="s">
        <v>6443</v>
      </c>
      <c r="H179" s="2" t="s">
        <v>6444</v>
      </c>
      <c r="I179" s="3">
        <v>1104</v>
      </c>
      <c r="J179" s="4">
        <f>SUMIF(Cargas!$C$5:$C$3471,C179,Cargas!$O$5:$O$3471)</f>
        <v>0</v>
      </c>
      <c r="K179" s="18">
        <f t="shared" si="4"/>
        <v>1104</v>
      </c>
      <c r="L179" s="5" t="s">
        <v>6744</v>
      </c>
      <c r="M179" s="37">
        <v>44229</v>
      </c>
    </row>
    <row r="180" spans="2:13" ht="13.5" hidden="1" customHeight="1" x14ac:dyDescent="0.25">
      <c r="B180" s="46">
        <v>44633</v>
      </c>
      <c r="C180" s="6" t="s">
        <v>6745</v>
      </c>
      <c r="D180" s="2" t="s">
        <v>6483</v>
      </c>
      <c r="E180" s="2" t="s">
        <v>6442</v>
      </c>
      <c r="F180" s="2"/>
      <c r="G180" s="2" t="s">
        <v>6443</v>
      </c>
      <c r="H180" s="2" t="s">
        <v>6444</v>
      </c>
      <c r="I180" s="3">
        <v>1104</v>
      </c>
      <c r="J180" s="4">
        <f>SUMIF(Cargas!$C$5:$C$3471,C180,Cargas!$O$5:$O$3471)</f>
        <v>0</v>
      </c>
      <c r="K180" s="18">
        <f t="shared" si="4"/>
        <v>1104</v>
      </c>
      <c r="L180" s="5" t="s">
        <v>6746</v>
      </c>
      <c r="M180" s="37">
        <v>50501</v>
      </c>
    </row>
    <row r="181" spans="2:13" ht="13.5" hidden="1" customHeight="1" x14ac:dyDescent="0.25">
      <c r="B181" s="46">
        <v>44635</v>
      </c>
      <c r="C181" s="6" t="s">
        <v>6747</v>
      </c>
      <c r="D181" s="2" t="s">
        <v>6487</v>
      </c>
      <c r="E181" s="2" t="s">
        <v>6442</v>
      </c>
      <c r="F181" s="2"/>
      <c r="G181" s="2" t="s">
        <v>6443</v>
      </c>
      <c r="H181" s="2" t="s">
        <v>6444</v>
      </c>
      <c r="I181" s="3">
        <v>1104</v>
      </c>
      <c r="J181" s="4">
        <f>SUMIF(Cargas!$C$5:$C$3471,C181,Cargas!$O$5:$O$3471)</f>
        <v>0</v>
      </c>
      <c r="K181" s="18">
        <f t="shared" si="4"/>
        <v>1104</v>
      </c>
      <c r="L181" s="5" t="s">
        <v>6748</v>
      </c>
      <c r="M181" s="37">
        <v>54045</v>
      </c>
    </row>
    <row r="182" spans="2:13" ht="13.5" hidden="1" customHeight="1" x14ac:dyDescent="0.25">
      <c r="B182" s="46">
        <v>44642</v>
      </c>
      <c r="C182" s="6" t="s">
        <v>6749</v>
      </c>
      <c r="D182" s="2" t="s">
        <v>6492</v>
      </c>
      <c r="E182" s="2" t="s">
        <v>6442</v>
      </c>
      <c r="F182" s="2"/>
      <c r="G182" s="2" t="s">
        <v>6443</v>
      </c>
      <c r="H182" s="2" t="s">
        <v>6444</v>
      </c>
      <c r="I182" s="3">
        <v>1104</v>
      </c>
      <c r="J182" s="4">
        <f>SUMIF(Cargas!$C$5:$C$3471,C182,Cargas!$O$5:$O$3471)</f>
        <v>0</v>
      </c>
      <c r="K182" s="18">
        <f t="shared" si="4"/>
        <v>1104</v>
      </c>
      <c r="L182" s="5" t="s">
        <v>6750</v>
      </c>
      <c r="M182" s="37">
        <v>59152</v>
      </c>
    </row>
    <row r="183" spans="2:13" ht="13.5" hidden="1" customHeight="1" x14ac:dyDescent="0.25">
      <c r="B183" s="46">
        <v>44652</v>
      </c>
      <c r="C183" s="6" t="s">
        <v>6751</v>
      </c>
      <c r="D183" s="2" t="s">
        <v>6496</v>
      </c>
      <c r="E183" s="2" t="s">
        <v>6442</v>
      </c>
      <c r="F183" s="2"/>
      <c r="G183" s="2" t="s">
        <v>6443</v>
      </c>
      <c r="H183" s="2" t="s">
        <v>6444</v>
      </c>
      <c r="I183" s="3">
        <v>1104</v>
      </c>
      <c r="J183" s="4">
        <f>SUMIF(Cargas!$C$5:$C$3471,C183,Cargas!$O$5:$O$3471)</f>
        <v>0</v>
      </c>
      <c r="K183" s="18">
        <f t="shared" si="4"/>
        <v>1104</v>
      </c>
      <c r="L183" s="5" t="s">
        <v>6752</v>
      </c>
      <c r="M183" s="37">
        <v>63648</v>
      </c>
    </row>
    <row r="184" spans="2:13" ht="13.5" hidden="1" customHeight="1" x14ac:dyDescent="0.25">
      <c r="B184" s="46">
        <v>44657</v>
      </c>
      <c r="C184" s="6" t="s">
        <v>6753</v>
      </c>
      <c r="D184" s="2" t="s">
        <v>6499</v>
      </c>
      <c r="E184" s="2" t="s">
        <v>6442</v>
      </c>
      <c r="F184" s="2"/>
      <c r="G184" s="2" t="s">
        <v>6443</v>
      </c>
      <c r="H184" s="2" t="s">
        <v>6444</v>
      </c>
      <c r="I184" s="3">
        <v>1104</v>
      </c>
      <c r="J184" s="4">
        <f>SUMIF(Cargas!$C$5:$C$3471,C184,Cargas!$O$5:$O$3471)</f>
        <v>0</v>
      </c>
      <c r="K184" s="18">
        <f t="shared" si="4"/>
        <v>1104</v>
      </c>
      <c r="L184" s="5" t="s">
        <v>6754</v>
      </c>
      <c r="M184" s="37" t="s">
        <v>299</v>
      </c>
    </row>
    <row r="185" spans="2:13" ht="13.5" hidden="1" customHeight="1" x14ac:dyDescent="0.25">
      <c r="B185" s="46">
        <v>44664</v>
      </c>
      <c r="C185" s="6" t="s">
        <v>6755</v>
      </c>
      <c r="D185" s="2" t="s">
        <v>6504</v>
      </c>
      <c r="E185" s="2" t="s">
        <v>6442</v>
      </c>
      <c r="F185" s="2"/>
      <c r="G185" s="2" t="s">
        <v>6443</v>
      </c>
      <c r="H185" s="2" t="s">
        <v>6444</v>
      </c>
      <c r="I185" s="3">
        <v>1104</v>
      </c>
      <c r="J185" s="4">
        <f>SUMIF(Cargas!$C$5:$C$3471,C185,Cargas!$O$5:$O$3471)</f>
        <v>0</v>
      </c>
      <c r="K185" s="18">
        <f t="shared" si="4"/>
        <v>1104</v>
      </c>
      <c r="L185" s="5" t="s">
        <v>6756</v>
      </c>
      <c r="M185" s="37">
        <v>71633</v>
      </c>
    </row>
    <row r="186" spans="2:13" ht="13.5" hidden="1" customHeight="1" x14ac:dyDescent="0.25">
      <c r="B186" s="46">
        <v>44674</v>
      </c>
      <c r="C186" s="6" t="s">
        <v>6757</v>
      </c>
      <c r="D186" s="2" t="s">
        <v>6507</v>
      </c>
      <c r="E186" s="2" t="s">
        <v>6442</v>
      </c>
      <c r="F186" s="2"/>
      <c r="G186" s="2" t="s">
        <v>6443</v>
      </c>
      <c r="H186" s="2" t="s">
        <v>6444</v>
      </c>
      <c r="I186" s="3">
        <v>1104</v>
      </c>
      <c r="J186" s="4">
        <f>SUMIF(Cargas!$C$5:$C$3471,C186,Cargas!$O$5:$O$3471)</f>
        <v>0</v>
      </c>
      <c r="K186" s="18">
        <f t="shared" si="4"/>
        <v>1104</v>
      </c>
      <c r="L186" s="5" t="s">
        <v>6758</v>
      </c>
      <c r="M186" s="37">
        <v>74993</v>
      </c>
    </row>
    <row r="187" spans="2:13" ht="13.5" hidden="1" customHeight="1" x14ac:dyDescent="0.25">
      <c r="B187" s="46">
        <v>44674</v>
      </c>
      <c r="C187" s="6" t="s">
        <v>6759</v>
      </c>
      <c r="D187" s="2" t="s">
        <v>6507</v>
      </c>
      <c r="E187" s="2" t="s">
        <v>6442</v>
      </c>
      <c r="F187" s="2"/>
      <c r="G187" s="2" t="s">
        <v>6443</v>
      </c>
      <c r="H187" s="2" t="s">
        <v>6444</v>
      </c>
      <c r="I187" s="3">
        <v>1104</v>
      </c>
      <c r="J187" s="4">
        <f>SUMIF(Cargas!$C$5:$C$3471,C187,Cargas!$O$5:$O$3471)</f>
        <v>0</v>
      </c>
      <c r="K187" s="18">
        <f t="shared" ref="K187:K250" si="5">IF(ABS(I187-J187)&lt;20,0,I187-J187)</f>
        <v>1104</v>
      </c>
      <c r="L187" s="5" t="s">
        <v>6758</v>
      </c>
      <c r="M187" s="37">
        <v>74993</v>
      </c>
    </row>
    <row r="188" spans="2:13" ht="13.5" hidden="1" customHeight="1" x14ac:dyDescent="0.25">
      <c r="B188" s="46">
        <v>44680</v>
      </c>
      <c r="C188" s="6" t="s">
        <v>6760</v>
      </c>
      <c r="D188" s="2" t="s">
        <v>6510</v>
      </c>
      <c r="E188" s="2" t="s">
        <v>6442</v>
      </c>
      <c r="F188" s="2"/>
      <c r="G188" s="2" t="s">
        <v>6443</v>
      </c>
      <c r="H188" s="2" t="s">
        <v>6444</v>
      </c>
      <c r="I188" s="3">
        <v>1104</v>
      </c>
      <c r="J188" s="4">
        <f>SUMIF(Cargas!$C$5:$C$3471,C188,Cargas!$O$5:$O$3471)</f>
        <v>0</v>
      </c>
      <c r="K188" s="18">
        <f t="shared" si="5"/>
        <v>1104</v>
      </c>
      <c r="L188" s="5" t="s">
        <v>6761</v>
      </c>
      <c r="M188" s="37">
        <v>79040</v>
      </c>
    </row>
    <row r="189" spans="2:13" ht="13.5" hidden="1" customHeight="1" x14ac:dyDescent="0.25">
      <c r="B189" s="46">
        <v>44203</v>
      </c>
      <c r="C189" s="6" t="s">
        <v>6762</v>
      </c>
      <c r="D189" s="2" t="s">
        <v>6763</v>
      </c>
      <c r="E189" s="2" t="s">
        <v>6764</v>
      </c>
      <c r="F189" s="2"/>
      <c r="G189" s="2" t="s">
        <v>6443</v>
      </c>
      <c r="H189" s="2" t="s">
        <v>6444</v>
      </c>
      <c r="I189" s="3">
        <v>4680</v>
      </c>
      <c r="J189" s="4" t="e">
        <f>SUMIF(Cargas!#REF!,C189,Cargas!#REF!)</f>
        <v>#REF!</v>
      </c>
      <c r="K189" s="18" t="e">
        <f t="shared" si="5"/>
        <v>#REF!</v>
      </c>
      <c r="L189" s="5" t="s">
        <v>6765</v>
      </c>
      <c r="M189" s="37">
        <v>3042</v>
      </c>
    </row>
    <row r="190" spans="2:13" ht="13.5" hidden="1" customHeight="1" x14ac:dyDescent="0.25">
      <c r="B190" s="46">
        <v>44203</v>
      </c>
      <c r="C190" s="6" t="s">
        <v>6766</v>
      </c>
      <c r="D190" s="2" t="s">
        <v>6767</v>
      </c>
      <c r="E190" s="2" t="s">
        <v>6764</v>
      </c>
      <c r="F190" s="2"/>
      <c r="G190" s="2" t="s">
        <v>6443</v>
      </c>
      <c r="H190" s="2" t="s">
        <v>6768</v>
      </c>
      <c r="I190" s="3">
        <v>4680</v>
      </c>
      <c r="J190" s="4" t="e">
        <f>SUMIF(Cargas!#REF!,C190,Cargas!#REF!)</f>
        <v>#REF!</v>
      </c>
      <c r="K190" s="18" t="e">
        <f t="shared" si="5"/>
        <v>#REF!</v>
      </c>
      <c r="L190" s="5" t="s">
        <v>6769</v>
      </c>
      <c r="M190" s="37">
        <v>3049</v>
      </c>
    </row>
    <row r="191" spans="2:13" ht="13.5" hidden="1" customHeight="1" x14ac:dyDescent="0.25">
      <c r="B191" s="46">
        <v>44680</v>
      </c>
      <c r="C191" s="6" t="s">
        <v>6770</v>
      </c>
      <c r="D191" s="2" t="s">
        <v>6510</v>
      </c>
      <c r="E191" s="2" t="s">
        <v>6442</v>
      </c>
      <c r="F191" s="2"/>
      <c r="G191" s="2" t="s">
        <v>6443</v>
      </c>
      <c r="H191" s="2" t="s">
        <v>6444</v>
      </c>
      <c r="I191" s="3">
        <v>1104</v>
      </c>
      <c r="J191" s="4">
        <f>SUMIF(Cargas!$C$5:$C$3471,C191,Cargas!$O$5:$O$3471)</f>
        <v>0</v>
      </c>
      <c r="K191" s="18">
        <f t="shared" si="5"/>
        <v>1104</v>
      </c>
      <c r="L191" s="5" t="s">
        <v>6761</v>
      </c>
      <c r="M191" s="37">
        <v>79040</v>
      </c>
    </row>
    <row r="192" spans="2:13" ht="13.5" hidden="1" customHeight="1" x14ac:dyDescent="0.25">
      <c r="B192" s="46">
        <v>44211</v>
      </c>
      <c r="C192" s="6" t="s">
        <v>6771</v>
      </c>
      <c r="D192" s="2" t="s">
        <v>6772</v>
      </c>
      <c r="E192" s="2" t="s">
        <v>6764</v>
      </c>
      <c r="F192" s="2"/>
      <c r="G192" s="2" t="s">
        <v>6443</v>
      </c>
      <c r="H192" s="2" t="s">
        <v>6768</v>
      </c>
      <c r="I192" s="3">
        <v>3744</v>
      </c>
      <c r="J192" s="4" t="e">
        <f>SUMIF(Cargas!#REF!,C192,Cargas!#REF!)</f>
        <v>#REF!</v>
      </c>
      <c r="K192" s="18" t="e">
        <f t="shared" si="5"/>
        <v>#REF!</v>
      </c>
      <c r="L192" s="5" t="s">
        <v>6773</v>
      </c>
      <c r="M192" s="37">
        <v>8401</v>
      </c>
    </row>
    <row r="193" spans="2:13" ht="13.5" hidden="1" customHeight="1" x14ac:dyDescent="0.25">
      <c r="B193" s="46">
        <v>44686</v>
      </c>
      <c r="C193" s="6" t="s">
        <v>6774</v>
      </c>
      <c r="D193" s="2" t="s">
        <v>6514</v>
      </c>
      <c r="E193" s="2" t="s">
        <v>6442</v>
      </c>
      <c r="F193" s="2"/>
      <c r="G193" s="2" t="s">
        <v>6443</v>
      </c>
      <c r="H193" s="2" t="s">
        <v>6444</v>
      </c>
      <c r="I193" s="3">
        <v>1104</v>
      </c>
      <c r="J193" s="4">
        <f>SUMIF(Cargas!$C$5:$C$3471,C193,Cargas!$O$5:$O$3471)</f>
        <v>0</v>
      </c>
      <c r="K193" s="18">
        <f t="shared" si="5"/>
        <v>1104</v>
      </c>
      <c r="L193" s="5" t="s">
        <v>6775</v>
      </c>
      <c r="M193" s="37">
        <v>84394</v>
      </c>
    </row>
    <row r="194" spans="2:13" ht="13.5" hidden="1" customHeight="1" x14ac:dyDescent="0.25">
      <c r="B194" s="46">
        <v>44211</v>
      </c>
      <c r="C194" s="6" t="s">
        <v>6776</v>
      </c>
      <c r="D194" s="2" t="s">
        <v>6777</v>
      </c>
      <c r="E194" s="2" t="s">
        <v>6764</v>
      </c>
      <c r="F194" s="2"/>
      <c r="G194" s="2" t="s">
        <v>6443</v>
      </c>
      <c r="H194" s="2" t="s">
        <v>6444</v>
      </c>
      <c r="I194" s="3">
        <v>3744</v>
      </c>
      <c r="J194" s="4" t="e">
        <f>SUMIF(Cargas!#REF!,C194,Cargas!#REF!)</f>
        <v>#REF!</v>
      </c>
      <c r="K194" s="18" t="e">
        <f t="shared" si="5"/>
        <v>#REF!</v>
      </c>
      <c r="L194" s="5" t="s">
        <v>6778</v>
      </c>
      <c r="M194" s="37">
        <v>9106</v>
      </c>
    </row>
    <row r="195" spans="2:13" ht="13.5" hidden="1" customHeight="1" x14ac:dyDescent="0.25">
      <c r="B195" s="46">
        <v>44686</v>
      </c>
      <c r="C195" s="6" t="s">
        <v>6779</v>
      </c>
      <c r="D195" s="2" t="s">
        <v>6514</v>
      </c>
      <c r="E195" s="2" t="s">
        <v>6442</v>
      </c>
      <c r="F195" s="2"/>
      <c r="G195" s="2" t="s">
        <v>6443</v>
      </c>
      <c r="H195" s="2" t="s">
        <v>6444</v>
      </c>
      <c r="I195" s="3">
        <v>1104</v>
      </c>
      <c r="J195" s="4">
        <f>SUMIF(Cargas!$C$5:$C$3471,C195,Cargas!$O$5:$O$3471)</f>
        <v>0</v>
      </c>
      <c r="K195" s="18">
        <f t="shared" si="5"/>
        <v>1104</v>
      </c>
      <c r="L195" s="5" t="s">
        <v>6775</v>
      </c>
      <c r="M195" s="37">
        <v>84394</v>
      </c>
    </row>
    <row r="196" spans="2:13" ht="13.5" hidden="1" customHeight="1" x14ac:dyDescent="0.25">
      <c r="B196" s="46">
        <v>44221</v>
      </c>
      <c r="C196" s="6" t="s">
        <v>6780</v>
      </c>
      <c r="D196" s="2" t="s">
        <v>6781</v>
      </c>
      <c r="E196" s="2" t="s">
        <v>6764</v>
      </c>
      <c r="F196" s="2"/>
      <c r="G196" s="2" t="s">
        <v>6443</v>
      </c>
      <c r="H196" s="2" t="s">
        <v>6768</v>
      </c>
      <c r="I196" s="3">
        <v>4680</v>
      </c>
      <c r="J196" s="4" t="e">
        <f>SUMIF(Cargas!#REF!,C196,Cargas!#REF!)</f>
        <v>#REF!</v>
      </c>
      <c r="K196" s="18" t="e">
        <f t="shared" si="5"/>
        <v>#REF!</v>
      </c>
      <c r="L196" s="5" t="s">
        <v>6782</v>
      </c>
      <c r="M196" s="37">
        <v>145573</v>
      </c>
    </row>
    <row r="197" spans="2:13" ht="13.5" hidden="1" customHeight="1" x14ac:dyDescent="0.25">
      <c r="B197" s="46">
        <v>44695</v>
      </c>
      <c r="C197" s="6" t="s">
        <v>6783</v>
      </c>
      <c r="D197" s="2" t="s">
        <v>6517</v>
      </c>
      <c r="E197" s="2" t="s">
        <v>6442</v>
      </c>
      <c r="F197" s="2"/>
      <c r="G197" s="2" t="s">
        <v>6443</v>
      </c>
      <c r="H197" s="2" t="s">
        <v>6444</v>
      </c>
      <c r="I197" s="3">
        <v>1104</v>
      </c>
      <c r="J197" s="4">
        <f>SUMIF(Cargas!$C$5:$C$3471,C197,Cargas!$O$5:$O$3471)</f>
        <v>0</v>
      </c>
      <c r="K197" s="18">
        <f t="shared" si="5"/>
        <v>1104</v>
      </c>
      <c r="L197" s="5" t="s">
        <v>6784</v>
      </c>
      <c r="M197" s="37">
        <v>89339</v>
      </c>
    </row>
    <row r="198" spans="2:13" ht="13.5" hidden="1" customHeight="1" x14ac:dyDescent="0.25">
      <c r="B198" s="46">
        <v>44225</v>
      </c>
      <c r="C198" s="6" t="s">
        <v>6785</v>
      </c>
      <c r="D198" s="2" t="s">
        <v>6786</v>
      </c>
      <c r="E198" s="2" t="s">
        <v>6764</v>
      </c>
      <c r="F198" s="2"/>
      <c r="G198" s="2" t="s">
        <v>6443</v>
      </c>
      <c r="H198" s="2" t="s">
        <v>6444</v>
      </c>
      <c r="I198" s="3">
        <v>4680</v>
      </c>
      <c r="J198" s="4" t="e">
        <f>SUMIF(Cargas!#REF!,C198,Cargas!#REF!)</f>
        <v>#REF!</v>
      </c>
      <c r="K198" s="18" t="e">
        <f t="shared" si="5"/>
        <v>#REF!</v>
      </c>
      <c r="L198" s="5" t="s">
        <v>6787</v>
      </c>
      <c r="M198" s="37">
        <v>16847</v>
      </c>
    </row>
    <row r="199" spans="2:13" ht="13.5" hidden="1" customHeight="1" x14ac:dyDescent="0.25">
      <c r="B199" s="46">
        <v>44695</v>
      </c>
      <c r="C199" s="6" t="s">
        <v>6788</v>
      </c>
      <c r="D199" s="2" t="s">
        <v>6517</v>
      </c>
      <c r="E199" s="2" t="s">
        <v>6442</v>
      </c>
      <c r="F199" s="2"/>
      <c r="G199" s="2" t="s">
        <v>6443</v>
      </c>
      <c r="H199" s="2" t="s">
        <v>6444</v>
      </c>
      <c r="I199" s="3">
        <v>1104</v>
      </c>
      <c r="J199" s="4">
        <f>SUMIF(Cargas!$C$5:$C$3471,C199,Cargas!$O$5:$O$3471)</f>
        <v>0</v>
      </c>
      <c r="K199" s="18">
        <f t="shared" si="5"/>
        <v>1104</v>
      </c>
      <c r="L199" s="5" t="s">
        <v>6784</v>
      </c>
      <c r="M199" s="37">
        <v>89339</v>
      </c>
    </row>
    <row r="200" spans="2:13" ht="13.5" hidden="1" customHeight="1" x14ac:dyDescent="0.25">
      <c r="B200" s="46">
        <v>44230</v>
      </c>
      <c r="C200" s="6" t="s">
        <v>6789</v>
      </c>
      <c r="D200" s="2" t="s">
        <v>6790</v>
      </c>
      <c r="E200" s="2" t="s">
        <v>6764</v>
      </c>
      <c r="F200" s="2"/>
      <c r="G200" s="2" t="s">
        <v>6443</v>
      </c>
      <c r="H200" s="2" t="s">
        <v>6768</v>
      </c>
      <c r="I200" s="3">
        <v>4680</v>
      </c>
      <c r="J200" s="4" t="e">
        <f>SUMIF(Cargas!#REF!,C200,Cargas!#REF!)</f>
        <v>#REF!</v>
      </c>
      <c r="K200" s="18" t="e">
        <f t="shared" si="5"/>
        <v>#REF!</v>
      </c>
      <c r="L200" s="5" t="s">
        <v>6791</v>
      </c>
      <c r="M200" s="37">
        <v>19893</v>
      </c>
    </row>
    <row r="201" spans="2:13" ht="13.5" hidden="1" customHeight="1" x14ac:dyDescent="0.25">
      <c r="B201" s="46">
        <v>44232</v>
      </c>
      <c r="C201" s="6" t="s">
        <v>6792</v>
      </c>
      <c r="D201" s="2" t="s">
        <v>6793</v>
      </c>
      <c r="E201" s="2" t="s">
        <v>6764</v>
      </c>
      <c r="F201" s="2"/>
      <c r="G201" s="2" t="s">
        <v>6443</v>
      </c>
      <c r="H201" s="2" t="s">
        <v>6444</v>
      </c>
      <c r="I201" s="3">
        <v>4680</v>
      </c>
      <c r="J201" s="4" t="e">
        <f>SUMIF(Cargas!#REF!,C201,Cargas!#REF!)</f>
        <v>#REF!</v>
      </c>
      <c r="K201" s="18" t="e">
        <f t="shared" si="5"/>
        <v>#REF!</v>
      </c>
      <c r="L201" s="5" t="s">
        <v>6794</v>
      </c>
      <c r="M201" s="37">
        <v>46565</v>
      </c>
    </row>
    <row r="202" spans="2:13" ht="13.5" hidden="1" customHeight="1" x14ac:dyDescent="0.25">
      <c r="B202" s="46">
        <v>44702</v>
      </c>
      <c r="C202" s="6" t="s">
        <v>6795</v>
      </c>
      <c r="D202" s="2" t="s">
        <v>6521</v>
      </c>
      <c r="E202" s="2" t="s">
        <v>6442</v>
      </c>
      <c r="F202" s="2"/>
      <c r="G202" s="2" t="s">
        <v>6443</v>
      </c>
      <c r="H202" s="2" t="s">
        <v>6444</v>
      </c>
      <c r="I202" s="3">
        <v>1104</v>
      </c>
      <c r="J202" s="4">
        <f>SUMIF(Cargas!$C$5:$C$3471,C202,Cargas!$O$5:$O$3471)</f>
        <v>0</v>
      </c>
      <c r="K202" s="18">
        <f t="shared" si="5"/>
        <v>1104</v>
      </c>
      <c r="L202" s="5" t="s">
        <v>6796</v>
      </c>
      <c r="M202" s="37">
        <v>95192</v>
      </c>
    </row>
    <row r="203" spans="2:13" ht="13.5" hidden="1" customHeight="1" x14ac:dyDescent="0.25">
      <c r="B203" s="46">
        <v>44238</v>
      </c>
      <c r="C203" s="6" t="s">
        <v>6797</v>
      </c>
      <c r="D203" s="2" t="s">
        <v>6798</v>
      </c>
      <c r="E203" s="2" t="s">
        <v>6764</v>
      </c>
      <c r="F203" s="2"/>
      <c r="G203" s="2" t="s">
        <v>6799</v>
      </c>
      <c r="H203" s="2" t="s">
        <v>6768</v>
      </c>
      <c r="I203" s="3">
        <v>4680</v>
      </c>
      <c r="J203" s="4" t="e">
        <f>SUMIF(Cargas!#REF!,C203,Cargas!#REF!)</f>
        <v>#REF!</v>
      </c>
      <c r="K203" s="18" t="e">
        <f t="shared" si="5"/>
        <v>#REF!</v>
      </c>
      <c r="L203" s="5" t="s">
        <v>6800</v>
      </c>
      <c r="M203" s="37">
        <v>24858</v>
      </c>
    </row>
    <row r="204" spans="2:13" ht="13.5" hidden="1" customHeight="1" x14ac:dyDescent="0.25">
      <c r="B204" s="46">
        <v>44707</v>
      </c>
      <c r="C204" s="6" t="s">
        <v>6801</v>
      </c>
      <c r="D204" s="2" t="s">
        <v>6523</v>
      </c>
      <c r="E204" s="2" t="s">
        <v>6442</v>
      </c>
      <c r="F204" s="2"/>
      <c r="G204" s="2" t="s">
        <v>6443</v>
      </c>
      <c r="H204" s="2" t="s">
        <v>6444</v>
      </c>
      <c r="I204" s="3">
        <v>1104</v>
      </c>
      <c r="J204" s="4">
        <f>SUMIF(Cargas!$C$5:$C$3471,C204,Cargas!$O$5:$O$3471)</f>
        <v>0</v>
      </c>
      <c r="K204" s="18">
        <f t="shared" si="5"/>
        <v>1104</v>
      </c>
      <c r="L204" s="5" t="s">
        <v>6802</v>
      </c>
      <c r="M204" s="37">
        <v>98343</v>
      </c>
    </row>
    <row r="205" spans="2:13" ht="13.5" hidden="1" customHeight="1" x14ac:dyDescent="0.25">
      <c r="B205" s="46">
        <v>44238</v>
      </c>
      <c r="C205" s="6" t="s">
        <v>6803</v>
      </c>
      <c r="D205" s="2" t="s">
        <v>6804</v>
      </c>
      <c r="E205" s="2" t="s">
        <v>6764</v>
      </c>
      <c r="F205" s="2"/>
      <c r="G205" s="2" t="s">
        <v>6443</v>
      </c>
      <c r="H205" s="2" t="s">
        <v>6444</v>
      </c>
      <c r="I205" s="3">
        <v>4680</v>
      </c>
      <c r="J205" s="4" t="e">
        <f>SUMIF(Cargas!#REF!,C205,Cargas!#REF!)</f>
        <v>#REF!</v>
      </c>
      <c r="K205" s="18" t="e">
        <f t="shared" si="5"/>
        <v>#REF!</v>
      </c>
      <c r="L205" s="5" t="s">
        <v>6805</v>
      </c>
      <c r="M205" s="37">
        <v>25668</v>
      </c>
    </row>
    <row r="206" spans="2:13" ht="13.5" hidden="1" customHeight="1" x14ac:dyDescent="0.25">
      <c r="B206" s="46">
        <v>44708</v>
      </c>
      <c r="C206" s="6" t="s">
        <v>6806</v>
      </c>
      <c r="D206" s="2" t="s">
        <v>6523</v>
      </c>
      <c r="E206" s="2" t="s">
        <v>6442</v>
      </c>
      <c r="F206" s="2"/>
      <c r="G206" s="2" t="s">
        <v>6443</v>
      </c>
      <c r="H206" s="2" t="s">
        <v>6444</v>
      </c>
      <c r="I206" s="3">
        <v>1104</v>
      </c>
      <c r="J206" s="4">
        <f>SUMIF(Cargas!$C$5:$C$3471,C206,Cargas!$O$5:$O$3471)</f>
        <v>0</v>
      </c>
      <c r="K206" s="18">
        <f t="shared" si="5"/>
        <v>1104</v>
      </c>
      <c r="L206" s="5" t="s">
        <v>6802</v>
      </c>
      <c r="M206" s="37">
        <v>98343</v>
      </c>
    </row>
    <row r="207" spans="2:13" ht="13.5" hidden="1" customHeight="1" x14ac:dyDescent="0.25">
      <c r="B207" s="46">
        <v>44245</v>
      </c>
      <c r="C207" s="6" t="s">
        <v>6807</v>
      </c>
      <c r="D207" s="2" t="s">
        <v>6808</v>
      </c>
      <c r="E207" s="2" t="s">
        <v>6764</v>
      </c>
      <c r="F207" s="2"/>
      <c r="G207" s="2" t="s">
        <v>6443</v>
      </c>
      <c r="H207" s="2" t="s">
        <v>6444</v>
      </c>
      <c r="I207" s="3">
        <v>4680</v>
      </c>
      <c r="J207" s="4" t="e">
        <f>SUMIF(Cargas!#REF!,C207,Cargas!#REF!)</f>
        <v>#REF!</v>
      </c>
      <c r="K207" s="18" t="e">
        <f t="shared" si="5"/>
        <v>#REF!</v>
      </c>
      <c r="L207" s="5" t="s">
        <v>6809</v>
      </c>
      <c r="M207" s="37">
        <v>27814</v>
      </c>
    </row>
    <row r="208" spans="2:13" ht="13.5" hidden="1" customHeight="1" x14ac:dyDescent="0.25">
      <c r="B208" s="46">
        <v>44714</v>
      </c>
      <c r="C208" s="6" t="s">
        <v>6810</v>
      </c>
      <c r="D208" s="2" t="s">
        <v>6529</v>
      </c>
      <c r="E208" s="2" t="s">
        <v>6442</v>
      </c>
      <c r="F208" s="2"/>
      <c r="G208" s="2" t="s">
        <v>6443</v>
      </c>
      <c r="H208" s="2" t="s">
        <v>6444</v>
      </c>
      <c r="I208" s="3">
        <v>1104</v>
      </c>
      <c r="J208" s="4">
        <f>SUMIF(Cargas!$C$5:$C$3471,C208,Cargas!$O$5:$O$3471)</f>
        <v>0</v>
      </c>
      <c r="K208" s="18">
        <f t="shared" si="5"/>
        <v>1104</v>
      </c>
      <c r="L208" s="5" t="s">
        <v>6811</v>
      </c>
      <c r="M208" s="37">
        <v>103002</v>
      </c>
    </row>
    <row r="209" spans="1:13" ht="13.5" hidden="1" customHeight="1" x14ac:dyDescent="0.25">
      <c r="B209" s="46">
        <v>44245</v>
      </c>
      <c r="C209" s="6" t="s">
        <v>6812</v>
      </c>
      <c r="D209" s="2" t="s">
        <v>6813</v>
      </c>
      <c r="E209" s="2" t="s">
        <v>6764</v>
      </c>
      <c r="F209" s="2"/>
      <c r="G209" s="2" t="s">
        <v>6443</v>
      </c>
      <c r="H209" s="2" t="s">
        <v>6768</v>
      </c>
      <c r="I209" s="3">
        <v>4680</v>
      </c>
      <c r="J209" s="4" t="e">
        <f>SUMIF(Cargas!#REF!,C209,Cargas!#REF!)</f>
        <v>#REF!</v>
      </c>
      <c r="K209" s="18" t="e">
        <f t="shared" si="5"/>
        <v>#REF!</v>
      </c>
      <c r="L209" s="5" t="s">
        <v>6814</v>
      </c>
      <c r="M209" s="37">
        <v>28440</v>
      </c>
    </row>
    <row r="210" spans="1:13" ht="13.5" hidden="1" customHeight="1" x14ac:dyDescent="0.25">
      <c r="B210" s="46">
        <v>44250</v>
      </c>
      <c r="C210" s="6" t="s">
        <v>6815</v>
      </c>
      <c r="D210" s="2" t="s">
        <v>6816</v>
      </c>
      <c r="E210" s="2" t="s">
        <v>6764</v>
      </c>
      <c r="F210" s="2"/>
      <c r="G210" s="2" t="s">
        <v>6443</v>
      </c>
      <c r="H210" s="2" t="s">
        <v>6444</v>
      </c>
      <c r="I210" s="3">
        <v>5616</v>
      </c>
      <c r="J210" s="4" t="e">
        <f>SUMIF(Cargas!#REF!,C210,Cargas!#REF!)</f>
        <v>#REF!</v>
      </c>
      <c r="K210" s="18" t="e">
        <f t="shared" si="5"/>
        <v>#REF!</v>
      </c>
      <c r="L210" s="5" t="s">
        <v>6817</v>
      </c>
      <c r="M210" s="37">
        <v>31439</v>
      </c>
    </row>
    <row r="211" spans="1:13" ht="13.5" hidden="1" customHeight="1" x14ac:dyDescent="0.25">
      <c r="B211" s="46">
        <v>44533</v>
      </c>
      <c r="C211" s="6" t="s">
        <v>6818</v>
      </c>
      <c r="D211" s="2" t="s">
        <v>6819</v>
      </c>
      <c r="E211" s="2" t="s">
        <v>6442</v>
      </c>
      <c r="F211" s="2"/>
      <c r="G211" s="2" t="s">
        <v>6665</v>
      </c>
      <c r="H211" s="2" t="s">
        <v>6444</v>
      </c>
      <c r="I211" s="3">
        <v>1104</v>
      </c>
      <c r="J211" s="4">
        <f>SUMIF(Cargas!$C$5:$C$3470,C211,Cargas!$O$5:$O$3470)</f>
        <v>0</v>
      </c>
      <c r="K211" s="18">
        <f t="shared" si="5"/>
        <v>1104</v>
      </c>
      <c r="L211" s="5" t="s">
        <v>6820</v>
      </c>
      <c r="M211" s="37">
        <v>222546</v>
      </c>
    </row>
    <row r="212" spans="1:13" ht="13.5" hidden="1" customHeight="1" x14ac:dyDescent="0.25">
      <c r="B212" s="46">
        <v>44250</v>
      </c>
      <c r="C212" s="6" t="s">
        <v>6821</v>
      </c>
      <c r="D212" s="2" t="s">
        <v>6822</v>
      </c>
      <c r="E212" s="2" t="s">
        <v>6764</v>
      </c>
      <c r="F212" s="2"/>
      <c r="G212" s="2" t="s">
        <v>6443</v>
      </c>
      <c r="H212" s="2" t="s">
        <v>6823</v>
      </c>
      <c r="I212" s="3">
        <v>5616</v>
      </c>
      <c r="J212" s="4" t="e">
        <f>SUMIF(Cargas!#REF!,C212,Cargas!#REF!)</f>
        <v>#REF!</v>
      </c>
      <c r="K212" s="18" t="e">
        <f t="shared" si="5"/>
        <v>#REF!</v>
      </c>
      <c r="L212" s="5" t="s">
        <v>6824</v>
      </c>
      <c r="M212" s="37">
        <v>31412</v>
      </c>
    </row>
    <row r="213" spans="1:13" ht="13.5" hidden="1" customHeight="1" x14ac:dyDescent="0.25">
      <c r="B213" s="46">
        <v>44533</v>
      </c>
      <c r="C213" s="6" t="s">
        <v>6825</v>
      </c>
      <c r="D213" s="2" t="s">
        <v>6819</v>
      </c>
      <c r="E213" s="2" t="s">
        <v>6442</v>
      </c>
      <c r="F213" s="2"/>
      <c r="G213" s="2" t="s">
        <v>6665</v>
      </c>
      <c r="H213" s="2" t="s">
        <v>6444</v>
      </c>
      <c r="I213" s="3">
        <v>1104</v>
      </c>
      <c r="J213" s="4">
        <f>SUMIF(Cargas!$C$5:$C$3470,C213,Cargas!$O$5:$O$3470)</f>
        <v>0</v>
      </c>
      <c r="K213" s="18">
        <f t="shared" si="5"/>
        <v>1104</v>
      </c>
      <c r="L213" s="5" t="s">
        <v>6820</v>
      </c>
      <c r="M213" s="37">
        <v>222546</v>
      </c>
    </row>
    <row r="214" spans="1:13" ht="13.5" hidden="1" customHeight="1" x14ac:dyDescent="0.25">
      <c r="B214" s="46">
        <v>44257</v>
      </c>
      <c r="C214" s="6" t="s">
        <v>6826</v>
      </c>
      <c r="D214" s="2" t="s">
        <v>6827</v>
      </c>
      <c r="E214" s="2" t="s">
        <v>6764</v>
      </c>
      <c r="F214" s="2"/>
      <c r="G214" s="2" t="s">
        <v>6443</v>
      </c>
      <c r="H214" s="2" t="s">
        <v>6444</v>
      </c>
      <c r="I214" s="3">
        <v>6552</v>
      </c>
      <c r="J214" s="4" t="e">
        <f>SUMIF(Cargas!#REF!,C214,Cargas!#REF!)</f>
        <v>#REF!</v>
      </c>
      <c r="K214" s="18" t="e">
        <f t="shared" si="5"/>
        <v>#REF!</v>
      </c>
      <c r="L214" s="5" t="s">
        <v>6828</v>
      </c>
      <c r="M214" s="37">
        <v>36716</v>
      </c>
    </row>
    <row r="215" spans="1:13" ht="13.5" hidden="1" customHeight="1" x14ac:dyDescent="0.25">
      <c r="B215" s="46">
        <v>44533</v>
      </c>
      <c r="C215" s="6" t="s">
        <v>6829</v>
      </c>
      <c r="D215" s="2" t="s">
        <v>6819</v>
      </c>
      <c r="E215" s="2" t="s">
        <v>6442</v>
      </c>
      <c r="F215" s="2"/>
      <c r="G215" s="2" t="s">
        <v>6665</v>
      </c>
      <c r="H215" s="2" t="s">
        <v>6444</v>
      </c>
      <c r="I215" s="3">
        <v>1104</v>
      </c>
      <c r="J215" s="4">
        <f>SUMIF(Cargas!$C$5:$C$3470,C215,Cargas!$O$5:$O$3470)</f>
        <v>0</v>
      </c>
      <c r="K215" s="18">
        <f t="shared" si="5"/>
        <v>1104</v>
      </c>
      <c r="L215" s="5" t="s">
        <v>6820</v>
      </c>
      <c r="M215" s="37">
        <v>222546</v>
      </c>
    </row>
    <row r="216" spans="1:13" ht="13.5" hidden="1" customHeight="1" x14ac:dyDescent="0.25">
      <c r="B216" s="46">
        <v>44257</v>
      </c>
      <c r="C216" s="6" t="s">
        <v>6830</v>
      </c>
      <c r="D216" s="2" t="s">
        <v>6831</v>
      </c>
      <c r="E216" s="2" t="s">
        <v>6764</v>
      </c>
      <c r="F216" s="2"/>
      <c r="G216" s="2" t="s">
        <v>6443</v>
      </c>
      <c r="H216" s="2" t="s">
        <v>6823</v>
      </c>
      <c r="I216" s="3">
        <v>6552</v>
      </c>
      <c r="J216" s="4" t="e">
        <f>SUMIF(Cargas!#REF!,C216,Cargas!#REF!)</f>
        <v>#REF!</v>
      </c>
      <c r="K216" s="18" t="e">
        <f t="shared" si="5"/>
        <v>#REF!</v>
      </c>
      <c r="L216" s="5" t="s">
        <v>6832</v>
      </c>
      <c r="M216" s="37">
        <v>35100</v>
      </c>
    </row>
    <row r="217" spans="1:13" ht="13.5" hidden="1" customHeight="1" x14ac:dyDescent="0.25">
      <c r="B217" s="46">
        <v>44540</v>
      </c>
      <c r="C217" s="6" t="s">
        <v>6833</v>
      </c>
      <c r="D217" s="2" t="s">
        <v>6834</v>
      </c>
      <c r="E217" s="2" t="s">
        <v>6442</v>
      </c>
      <c r="F217" s="2"/>
      <c r="G217" s="2" t="s">
        <v>6443</v>
      </c>
      <c r="H217" s="2" t="s">
        <v>6444</v>
      </c>
      <c r="I217" s="3">
        <v>1104</v>
      </c>
      <c r="J217" s="4">
        <f>SUMIF(Cargas!$C$5:$C$3470,C217,Cargas!$O$5:$O$3470)</f>
        <v>0</v>
      </c>
      <c r="K217" s="18">
        <f t="shared" si="5"/>
        <v>1104</v>
      </c>
      <c r="L217" s="5" t="s">
        <v>6835</v>
      </c>
      <c r="M217" s="37" t="s">
        <v>299</v>
      </c>
    </row>
    <row r="218" spans="1:13" ht="13.5" hidden="1" customHeight="1" x14ac:dyDescent="0.25">
      <c r="B218" s="46">
        <v>44263</v>
      </c>
      <c r="C218" s="6" t="s">
        <v>6836</v>
      </c>
      <c r="D218" s="2" t="s">
        <v>6837</v>
      </c>
      <c r="E218" s="2" t="s">
        <v>6764</v>
      </c>
      <c r="F218" s="2"/>
      <c r="G218" s="2" t="s">
        <v>6443</v>
      </c>
      <c r="H218" s="2" t="s">
        <v>6444</v>
      </c>
      <c r="I218" s="3">
        <v>6552</v>
      </c>
      <c r="J218" s="4" t="e">
        <f>SUMIF(Cargas!#REF!,C218,Cargas!#REF!)</f>
        <v>#REF!</v>
      </c>
      <c r="K218" s="18" t="e">
        <f t="shared" si="5"/>
        <v>#REF!</v>
      </c>
      <c r="L218" s="5" t="s">
        <v>6838</v>
      </c>
      <c r="M218" s="37">
        <v>39329</v>
      </c>
    </row>
    <row r="219" spans="1:13" ht="13.5" hidden="1" customHeight="1" x14ac:dyDescent="0.25">
      <c r="B219" s="46">
        <v>44263</v>
      </c>
      <c r="C219" s="6" t="s">
        <v>6839</v>
      </c>
      <c r="D219" s="2" t="s">
        <v>6840</v>
      </c>
      <c r="E219" s="2" t="s">
        <v>6764</v>
      </c>
      <c r="F219" s="2"/>
      <c r="G219" s="2" t="s">
        <v>6443</v>
      </c>
      <c r="H219" s="2" t="s">
        <v>6768</v>
      </c>
      <c r="I219" s="3">
        <v>6552</v>
      </c>
      <c r="J219" s="4" t="e">
        <f>SUMIF(Cargas!#REF!,C219,Cargas!#REF!)</f>
        <v>#REF!</v>
      </c>
      <c r="K219" s="18" t="e">
        <f t="shared" si="5"/>
        <v>#REF!</v>
      </c>
      <c r="L219" s="5" t="s">
        <v>6841</v>
      </c>
      <c r="M219" s="37">
        <v>40087</v>
      </c>
    </row>
    <row r="220" spans="1:13" ht="13.5" hidden="1" customHeight="1" x14ac:dyDescent="0.25">
      <c r="B220" s="46">
        <v>44270</v>
      </c>
      <c r="C220" s="6" t="s">
        <v>6842</v>
      </c>
      <c r="D220" s="2" t="s">
        <v>6843</v>
      </c>
      <c r="E220" s="2" t="s">
        <v>6764</v>
      </c>
      <c r="F220" s="2"/>
      <c r="G220" s="2" t="s">
        <v>6443</v>
      </c>
      <c r="H220" s="2" t="s">
        <v>6444</v>
      </c>
      <c r="I220" s="3">
        <v>6552</v>
      </c>
      <c r="J220" s="4" t="e">
        <f>SUMIF(Cargas!#REF!,C220,Cargas!#REF!)</f>
        <v>#REF!</v>
      </c>
      <c r="K220" s="18" t="e">
        <f t="shared" si="5"/>
        <v>#REF!</v>
      </c>
      <c r="L220" s="5" t="s">
        <v>6844</v>
      </c>
      <c r="M220" s="37">
        <v>42919</v>
      </c>
    </row>
    <row r="221" spans="1:13" ht="13.5" hidden="1" customHeight="1" x14ac:dyDescent="0.25">
      <c r="B221" s="46">
        <v>44270</v>
      </c>
      <c r="C221" s="6" t="s">
        <v>6845</v>
      </c>
      <c r="D221" s="2" t="s">
        <v>6846</v>
      </c>
      <c r="E221" s="2" t="s">
        <v>6764</v>
      </c>
      <c r="F221" s="2"/>
      <c r="G221" s="2" t="s">
        <v>6443</v>
      </c>
      <c r="H221" s="2" t="s">
        <v>6768</v>
      </c>
      <c r="I221" s="3">
        <v>6552</v>
      </c>
      <c r="J221" s="4" t="e">
        <f>SUMIF(Cargas!#REF!,C221,Cargas!#REF!)</f>
        <v>#REF!</v>
      </c>
      <c r="K221" s="18" t="e">
        <f t="shared" si="5"/>
        <v>#REF!</v>
      </c>
      <c r="L221" s="5" t="s">
        <v>6847</v>
      </c>
      <c r="M221" s="37">
        <v>43864</v>
      </c>
    </row>
    <row r="222" spans="1:13" ht="13.5" hidden="1" customHeight="1" x14ac:dyDescent="0.25">
      <c r="A222">
        <v>0</v>
      </c>
      <c r="B222" s="46">
        <v>44274</v>
      </c>
      <c r="C222" s="6" t="s">
        <v>6848</v>
      </c>
      <c r="D222" s="2" t="s">
        <v>6849</v>
      </c>
      <c r="E222" s="2" t="s">
        <v>6764</v>
      </c>
      <c r="F222" s="2"/>
      <c r="G222" s="2" t="s">
        <v>6443</v>
      </c>
      <c r="H222" s="2" t="s">
        <v>6518</v>
      </c>
      <c r="I222" s="3">
        <v>6552</v>
      </c>
      <c r="J222" s="4" t="e">
        <f>SUMIF(Cargas!#REF!,C222,Cargas!#REF!)</f>
        <v>#REF!</v>
      </c>
      <c r="K222" s="18" t="e">
        <f t="shared" si="5"/>
        <v>#REF!</v>
      </c>
      <c r="L222" s="5" t="s">
        <v>6850</v>
      </c>
      <c r="M222" s="37">
        <v>46647</v>
      </c>
    </row>
    <row r="223" spans="1:13" ht="13.5" hidden="1" customHeight="1" x14ac:dyDescent="0.25">
      <c r="A223">
        <v>0</v>
      </c>
      <c r="B223" s="46">
        <v>44274</v>
      </c>
      <c r="C223" s="6" t="s">
        <v>6851</v>
      </c>
      <c r="D223" s="2" t="s">
        <v>6852</v>
      </c>
      <c r="E223" s="2" t="s">
        <v>6764</v>
      </c>
      <c r="F223" s="2"/>
      <c r="G223" s="2" t="s">
        <v>6443</v>
      </c>
      <c r="H223" s="2" t="s">
        <v>6823</v>
      </c>
      <c r="I223" s="3">
        <v>6552</v>
      </c>
      <c r="J223" s="4" t="e">
        <f>SUMIF(Cargas!#REF!,C223,Cargas!#REF!)</f>
        <v>#REF!</v>
      </c>
      <c r="K223" s="18" t="e">
        <f t="shared" si="5"/>
        <v>#REF!</v>
      </c>
      <c r="L223" s="5" t="s">
        <v>6853</v>
      </c>
      <c r="M223" s="37">
        <v>48816</v>
      </c>
    </row>
    <row r="224" spans="1:13" ht="13.5" hidden="1" customHeight="1" x14ac:dyDescent="0.25">
      <c r="B224" s="46">
        <v>44287</v>
      </c>
      <c r="C224" s="6" t="s">
        <v>6854</v>
      </c>
      <c r="D224" s="2" t="s">
        <v>6855</v>
      </c>
      <c r="E224" s="2" t="s">
        <v>6764</v>
      </c>
      <c r="F224" s="2"/>
      <c r="G224" s="2" t="s">
        <v>6443</v>
      </c>
      <c r="H224" s="2" t="s">
        <v>6444</v>
      </c>
      <c r="I224" s="3">
        <v>6552</v>
      </c>
      <c r="J224" s="4" t="e">
        <f>SUMIF(Cargas!#REF!,C224,Cargas!#REF!)</f>
        <v>#REF!</v>
      </c>
      <c r="K224" s="18" t="e">
        <f t="shared" si="5"/>
        <v>#REF!</v>
      </c>
      <c r="L224" s="5" t="s">
        <v>6856</v>
      </c>
      <c r="M224" s="37">
        <v>57183</v>
      </c>
    </row>
    <row r="225" spans="1:13" ht="13.5" hidden="1" customHeight="1" x14ac:dyDescent="0.25">
      <c r="B225" s="46">
        <v>44287</v>
      </c>
      <c r="C225" s="6" t="s">
        <v>6857</v>
      </c>
      <c r="D225" s="2" t="s">
        <v>6858</v>
      </c>
      <c r="E225" s="2" t="s">
        <v>6764</v>
      </c>
      <c r="F225" s="2"/>
      <c r="G225" s="2" t="s">
        <v>6443</v>
      </c>
      <c r="H225" s="2" t="s">
        <v>6768</v>
      </c>
      <c r="I225" s="3">
        <v>6552</v>
      </c>
      <c r="J225" s="4" t="e">
        <f>SUMIF(Cargas!#REF!,C225,Cargas!#REF!)</f>
        <v>#REF!</v>
      </c>
      <c r="K225" s="18" t="e">
        <f t="shared" si="5"/>
        <v>#REF!</v>
      </c>
      <c r="L225" s="5" t="s">
        <v>6859</v>
      </c>
      <c r="M225" s="37">
        <v>54353</v>
      </c>
    </row>
    <row r="226" spans="1:13" ht="13.5" hidden="1" customHeight="1" x14ac:dyDescent="0.25">
      <c r="A226">
        <v>0</v>
      </c>
      <c r="B226" s="46">
        <v>44287</v>
      </c>
      <c r="C226" s="6" t="s">
        <v>6860</v>
      </c>
      <c r="D226" s="2" t="s">
        <v>6861</v>
      </c>
      <c r="E226" s="2" t="s">
        <v>6764</v>
      </c>
      <c r="F226" s="2"/>
      <c r="G226" s="2" t="s">
        <v>6443</v>
      </c>
      <c r="H226" s="2" t="s">
        <v>6862</v>
      </c>
      <c r="I226" s="3">
        <v>2808</v>
      </c>
      <c r="J226" s="4" t="e">
        <f>SUMIF(Cargas!#REF!,C226,Cargas!#REF!)</f>
        <v>#REF!</v>
      </c>
      <c r="K226" s="18" t="e">
        <f t="shared" si="5"/>
        <v>#REF!</v>
      </c>
      <c r="L226" s="5" t="s">
        <v>6863</v>
      </c>
      <c r="M226" s="37">
        <v>55311</v>
      </c>
    </row>
    <row r="227" spans="1:13" ht="13.5" hidden="1" customHeight="1" x14ac:dyDescent="0.25">
      <c r="A227">
        <v>0</v>
      </c>
      <c r="B227" s="46">
        <v>44293</v>
      </c>
      <c r="C227" s="6" t="s">
        <v>6864</v>
      </c>
      <c r="D227" s="2" t="s">
        <v>6865</v>
      </c>
      <c r="E227" s="2" t="s">
        <v>6764</v>
      </c>
      <c r="F227" s="2"/>
      <c r="G227" s="2" t="s">
        <v>6443</v>
      </c>
      <c r="H227" s="2" t="s">
        <v>6823</v>
      </c>
      <c r="I227" s="3">
        <v>5616</v>
      </c>
      <c r="J227" s="4" t="e">
        <f>SUMIF(Cargas!#REF!,C227,Cargas!#REF!)</f>
        <v>#REF!</v>
      </c>
      <c r="K227" s="18" t="e">
        <f t="shared" si="5"/>
        <v>#REF!</v>
      </c>
      <c r="L227" s="5" t="s">
        <v>6866</v>
      </c>
      <c r="M227" s="37">
        <v>57194</v>
      </c>
    </row>
    <row r="228" spans="1:13" ht="13.5" hidden="1" customHeight="1" x14ac:dyDescent="0.25">
      <c r="B228" s="46">
        <v>44299</v>
      </c>
      <c r="C228" s="6" t="s">
        <v>6867</v>
      </c>
      <c r="D228" s="2" t="s">
        <v>6868</v>
      </c>
      <c r="E228" s="2" t="s">
        <v>6764</v>
      </c>
      <c r="F228" s="2"/>
      <c r="G228" s="2" t="s">
        <v>6443</v>
      </c>
      <c r="H228" s="2" t="s">
        <v>6444</v>
      </c>
      <c r="I228" s="3">
        <v>5616</v>
      </c>
      <c r="J228" s="4" t="e">
        <f>SUMIF(Cargas!#REF!,C228,Cargas!#REF!)</f>
        <v>#REF!</v>
      </c>
      <c r="K228" s="18" t="e">
        <f t="shared" si="5"/>
        <v>#REF!</v>
      </c>
      <c r="L228" s="5" t="s">
        <v>6869</v>
      </c>
      <c r="M228" s="37">
        <v>63064</v>
      </c>
    </row>
    <row r="229" spans="1:13" ht="13.5" hidden="1" customHeight="1" x14ac:dyDescent="0.25">
      <c r="B229" s="46">
        <v>44300</v>
      </c>
      <c r="C229" s="6" t="s">
        <v>6870</v>
      </c>
      <c r="D229" s="2" t="s">
        <v>6871</v>
      </c>
      <c r="E229" s="2" t="s">
        <v>6764</v>
      </c>
      <c r="F229" s="2"/>
      <c r="G229" s="2" t="s">
        <v>6443</v>
      </c>
      <c r="H229" s="2" t="s">
        <v>6862</v>
      </c>
      <c r="I229" s="3">
        <v>1872</v>
      </c>
      <c r="J229" s="4" t="e">
        <f>SUMIF(Cargas!#REF!,C229,Cargas!#REF!)</f>
        <v>#REF!</v>
      </c>
      <c r="K229" s="18" t="e">
        <f t="shared" si="5"/>
        <v>#REF!</v>
      </c>
      <c r="L229" s="5" t="s">
        <v>6872</v>
      </c>
      <c r="M229" s="37">
        <v>62076</v>
      </c>
    </row>
    <row r="230" spans="1:13" ht="13.5" hidden="1" customHeight="1" x14ac:dyDescent="0.25">
      <c r="B230" s="46">
        <v>44301</v>
      </c>
      <c r="C230" s="6" t="s">
        <v>6873</v>
      </c>
      <c r="D230" s="2" t="s">
        <v>6874</v>
      </c>
      <c r="E230" s="2" t="s">
        <v>6764</v>
      </c>
      <c r="F230" s="2"/>
      <c r="G230" s="2" t="s">
        <v>6443</v>
      </c>
      <c r="H230" s="2" t="s">
        <v>6768</v>
      </c>
      <c r="I230" s="3">
        <v>5616</v>
      </c>
      <c r="J230" s="4" t="e">
        <f>SUMIF(Cargas!#REF!,C230,Cargas!#REF!)</f>
        <v>#REF!</v>
      </c>
      <c r="K230" s="18" t="e">
        <f t="shared" si="5"/>
        <v>#REF!</v>
      </c>
      <c r="L230" s="5" t="s">
        <v>6875</v>
      </c>
      <c r="M230" s="37">
        <v>62803</v>
      </c>
    </row>
    <row r="231" spans="1:13" ht="13.5" hidden="1" customHeight="1" x14ac:dyDescent="0.25">
      <c r="B231" s="46">
        <v>44309</v>
      </c>
      <c r="C231" s="6" t="s">
        <v>6876</v>
      </c>
      <c r="D231" s="2" t="s">
        <v>6877</v>
      </c>
      <c r="E231" s="2" t="s">
        <v>6764</v>
      </c>
      <c r="F231" s="2"/>
      <c r="G231" s="2" t="s">
        <v>6443</v>
      </c>
      <c r="H231" s="2" t="s">
        <v>6768</v>
      </c>
      <c r="I231" s="3">
        <v>5616</v>
      </c>
      <c r="J231" s="4" t="e">
        <f>SUMIF(Cargas!#REF!,C231,Cargas!#REF!)</f>
        <v>#REF!</v>
      </c>
      <c r="K231" s="18" t="e">
        <f t="shared" si="5"/>
        <v>#REF!</v>
      </c>
      <c r="L231" s="5" t="s">
        <v>6878</v>
      </c>
      <c r="M231" s="37">
        <v>67018</v>
      </c>
    </row>
    <row r="232" spans="1:13" ht="13.5" hidden="1" customHeight="1" x14ac:dyDescent="0.25">
      <c r="B232" s="46">
        <v>44308</v>
      </c>
      <c r="C232" s="6" t="s">
        <v>6879</v>
      </c>
      <c r="D232" s="2" t="s">
        <v>6880</v>
      </c>
      <c r="E232" s="2" t="s">
        <v>6764</v>
      </c>
      <c r="F232" s="2"/>
      <c r="G232" s="2" t="s">
        <v>6443</v>
      </c>
      <c r="H232" s="2" t="s">
        <v>6518</v>
      </c>
      <c r="I232" s="3">
        <v>5616</v>
      </c>
      <c r="J232" s="4" t="e">
        <f>SUMIF(Cargas!#REF!,C232,Cargas!#REF!)</f>
        <v>#REF!</v>
      </c>
      <c r="K232" s="18" t="e">
        <f t="shared" si="5"/>
        <v>#REF!</v>
      </c>
      <c r="L232" s="5" t="s">
        <v>6878</v>
      </c>
      <c r="M232" s="37">
        <v>69838</v>
      </c>
    </row>
    <row r="233" spans="1:13" ht="13.5" hidden="1" customHeight="1" x14ac:dyDescent="0.25">
      <c r="B233" s="46">
        <v>44316</v>
      </c>
      <c r="C233" s="6" t="s">
        <v>6881</v>
      </c>
      <c r="D233" s="2" t="s">
        <v>6882</v>
      </c>
      <c r="E233" s="2" t="s">
        <v>6764</v>
      </c>
      <c r="F233" s="2"/>
      <c r="G233" s="2" t="s">
        <v>6443</v>
      </c>
      <c r="H233" s="2" t="s">
        <v>6823</v>
      </c>
      <c r="I233" s="3">
        <v>5616</v>
      </c>
      <c r="J233" s="4" t="e">
        <f>SUMIF(Cargas!#REF!,C233,Cargas!#REF!)</f>
        <v>#REF!</v>
      </c>
      <c r="K233" s="18" t="e">
        <f t="shared" si="5"/>
        <v>#REF!</v>
      </c>
      <c r="L233" s="5" t="s">
        <v>6883</v>
      </c>
      <c r="M233" s="37">
        <v>72549</v>
      </c>
    </row>
    <row r="234" spans="1:13" ht="13.5" hidden="1" customHeight="1" x14ac:dyDescent="0.25">
      <c r="B234" s="46">
        <v>44319</v>
      </c>
      <c r="C234" s="6" t="s">
        <v>6884</v>
      </c>
      <c r="D234" s="2" t="s">
        <v>6885</v>
      </c>
      <c r="E234" s="2" t="s">
        <v>6764</v>
      </c>
      <c r="F234" s="2"/>
      <c r="G234" s="2" t="s">
        <v>6443</v>
      </c>
      <c r="H234" s="2" t="s">
        <v>6444</v>
      </c>
      <c r="I234" s="3">
        <v>5616</v>
      </c>
      <c r="J234" s="4" t="e">
        <f>SUMIF(Cargas!#REF!,C234,Cargas!#REF!)</f>
        <v>#REF!</v>
      </c>
      <c r="K234" s="18" t="e">
        <f t="shared" si="5"/>
        <v>#REF!</v>
      </c>
      <c r="L234" s="5" t="s">
        <v>6886</v>
      </c>
      <c r="M234" s="37">
        <v>74242</v>
      </c>
    </row>
    <row r="235" spans="1:13" ht="13.5" hidden="1" customHeight="1" x14ac:dyDescent="0.25">
      <c r="B235" s="46">
        <v>44319</v>
      </c>
      <c r="C235" s="6" t="s">
        <v>6887</v>
      </c>
      <c r="D235" s="2" t="s">
        <v>6888</v>
      </c>
      <c r="E235" s="2" t="s">
        <v>6764</v>
      </c>
      <c r="F235" s="2"/>
      <c r="G235" s="2" t="s">
        <v>6443</v>
      </c>
      <c r="H235" s="2" t="s">
        <v>6862</v>
      </c>
      <c r="I235" s="3">
        <v>1872</v>
      </c>
      <c r="J235" s="4" t="e">
        <f>SUMIF(Cargas!#REF!,C235,Cargas!#REF!)</f>
        <v>#REF!</v>
      </c>
      <c r="K235" s="18" t="e">
        <f t="shared" si="5"/>
        <v>#REF!</v>
      </c>
      <c r="L235" s="5" t="s">
        <v>6889</v>
      </c>
      <c r="M235" s="37">
        <v>75208</v>
      </c>
    </row>
    <row r="236" spans="1:13" ht="13.5" hidden="1" customHeight="1" x14ac:dyDescent="0.25">
      <c r="B236" s="46">
        <v>44321</v>
      </c>
      <c r="C236" s="6" t="s">
        <v>6890</v>
      </c>
      <c r="D236" s="2" t="s">
        <v>6891</v>
      </c>
      <c r="E236" s="2" t="s">
        <v>6764</v>
      </c>
      <c r="F236" s="2"/>
      <c r="G236" s="2" t="s">
        <v>6443</v>
      </c>
      <c r="H236" s="2" t="s">
        <v>6768</v>
      </c>
      <c r="I236" s="3">
        <v>5616</v>
      </c>
      <c r="J236" s="4" t="e">
        <f>SUMIF(Cargas!#REF!,C236,Cargas!#REF!)</f>
        <v>#REF!</v>
      </c>
      <c r="K236" s="18" t="e">
        <f t="shared" si="5"/>
        <v>#REF!</v>
      </c>
      <c r="L236" s="5" t="s">
        <v>6892</v>
      </c>
      <c r="M236" s="37">
        <v>75048</v>
      </c>
    </row>
    <row r="237" spans="1:13" ht="13.5" hidden="1" customHeight="1" x14ac:dyDescent="0.25">
      <c r="B237" s="46">
        <v>44327</v>
      </c>
      <c r="C237" s="6" t="s">
        <v>6893</v>
      </c>
      <c r="D237" s="2" t="s">
        <v>6894</v>
      </c>
      <c r="E237" s="2" t="s">
        <v>6764</v>
      </c>
      <c r="F237" s="2"/>
      <c r="G237" s="2" t="s">
        <v>6443</v>
      </c>
      <c r="H237" s="2" t="s">
        <v>6444</v>
      </c>
      <c r="I237" s="3">
        <v>5616</v>
      </c>
      <c r="J237" s="4" t="e">
        <f>SUMIF(Cargas!#REF!,C237,Cargas!#REF!)</f>
        <v>#REF!</v>
      </c>
      <c r="K237" s="18" t="e">
        <f t="shared" si="5"/>
        <v>#REF!</v>
      </c>
      <c r="L237" s="5" t="s">
        <v>6895</v>
      </c>
      <c r="M237" s="37">
        <v>79470</v>
      </c>
    </row>
    <row r="238" spans="1:13" ht="13.5" hidden="1" customHeight="1" x14ac:dyDescent="0.25">
      <c r="B238" s="46">
        <v>44327</v>
      </c>
      <c r="C238" s="6" t="s">
        <v>6896</v>
      </c>
      <c r="D238" s="2" t="s">
        <v>6897</v>
      </c>
      <c r="E238" s="2" t="s">
        <v>6764</v>
      </c>
      <c r="F238" s="2"/>
      <c r="G238" s="2" t="s">
        <v>6443</v>
      </c>
      <c r="H238" s="2" t="s">
        <v>6898</v>
      </c>
      <c r="I238" s="3">
        <v>1872</v>
      </c>
      <c r="J238" s="4" t="e">
        <f>SUMIF(Cargas!#REF!,C238,Cargas!#REF!)</f>
        <v>#REF!</v>
      </c>
      <c r="K238" s="18" t="e">
        <f t="shared" si="5"/>
        <v>#REF!</v>
      </c>
      <c r="L238" s="5" t="s">
        <v>6899</v>
      </c>
      <c r="M238" s="37">
        <v>79596</v>
      </c>
    </row>
    <row r="239" spans="1:13" ht="13.5" hidden="1" customHeight="1" x14ac:dyDescent="0.25">
      <c r="B239" s="46">
        <v>44328</v>
      </c>
      <c r="C239" s="6" t="s">
        <v>6900</v>
      </c>
      <c r="D239" s="2" t="s">
        <v>6901</v>
      </c>
      <c r="E239" s="2" t="s">
        <v>6764</v>
      </c>
      <c r="F239" s="2"/>
      <c r="G239" s="2" t="s">
        <v>6443</v>
      </c>
      <c r="H239" s="2" t="s">
        <v>6768</v>
      </c>
      <c r="I239" s="3">
        <v>5616</v>
      </c>
      <c r="J239" s="4" t="e">
        <f>SUMIF(Cargas!#REF!,C239,Cargas!#REF!)</f>
        <v>#REF!</v>
      </c>
      <c r="K239" s="18" t="e">
        <f t="shared" si="5"/>
        <v>#REF!</v>
      </c>
      <c r="L239" s="5" t="s">
        <v>6902</v>
      </c>
      <c r="M239" s="37">
        <v>79524</v>
      </c>
    </row>
    <row r="240" spans="1:13" ht="13.5" hidden="1" customHeight="1" x14ac:dyDescent="0.25">
      <c r="B240" s="46">
        <v>44334</v>
      </c>
      <c r="C240" s="6" t="s">
        <v>6903</v>
      </c>
      <c r="D240" s="2" t="s">
        <v>6904</v>
      </c>
      <c r="E240" s="2" t="s">
        <v>6764</v>
      </c>
      <c r="F240" s="2"/>
      <c r="G240" s="2" t="s">
        <v>6443</v>
      </c>
      <c r="H240" s="2" t="s">
        <v>6444</v>
      </c>
      <c r="I240" s="3">
        <v>5616</v>
      </c>
      <c r="J240" s="4" t="e">
        <f>SUMIF(Cargas!#REF!,C240,Cargas!#REF!)</f>
        <v>#REF!</v>
      </c>
      <c r="K240" s="18" t="e">
        <f t="shared" si="5"/>
        <v>#REF!</v>
      </c>
      <c r="L240" s="5" t="s">
        <v>6905</v>
      </c>
      <c r="M240" s="37">
        <v>84787</v>
      </c>
    </row>
    <row r="241" spans="2:13" ht="13.5" hidden="1" customHeight="1" x14ac:dyDescent="0.25">
      <c r="B241" s="46">
        <v>44334</v>
      </c>
      <c r="C241" s="6" t="s">
        <v>6906</v>
      </c>
      <c r="D241" s="2" t="s">
        <v>6907</v>
      </c>
      <c r="E241" s="2" t="s">
        <v>6764</v>
      </c>
      <c r="F241" s="2"/>
      <c r="G241" s="2" t="s">
        <v>6443</v>
      </c>
      <c r="H241" s="2" t="s">
        <v>6768</v>
      </c>
      <c r="I241" s="3">
        <v>5616</v>
      </c>
      <c r="J241" s="4" t="e">
        <f>SUMIF(Cargas!#REF!,C241,Cargas!#REF!)</f>
        <v>#REF!</v>
      </c>
      <c r="K241" s="18" t="e">
        <f t="shared" si="5"/>
        <v>#REF!</v>
      </c>
      <c r="L241" s="5" t="s">
        <v>6908</v>
      </c>
      <c r="M241" s="37">
        <v>84026</v>
      </c>
    </row>
    <row r="242" spans="2:13" ht="13.5" hidden="1" customHeight="1" x14ac:dyDescent="0.25">
      <c r="B242" s="46">
        <v>44342</v>
      </c>
      <c r="C242" s="6" t="s">
        <v>6909</v>
      </c>
      <c r="D242" s="2" t="s">
        <v>6910</v>
      </c>
      <c r="E242" s="2" t="s">
        <v>6764</v>
      </c>
      <c r="F242" s="2"/>
      <c r="G242" s="2" t="s">
        <v>6443</v>
      </c>
      <c r="H242" s="2" t="s">
        <v>6768</v>
      </c>
      <c r="I242" s="3">
        <v>5616</v>
      </c>
      <c r="J242" s="4" t="e">
        <f>SUMIF(Cargas!#REF!,C242,Cargas!#REF!)</f>
        <v>#REF!</v>
      </c>
      <c r="K242" s="18" t="e">
        <f t="shared" si="5"/>
        <v>#REF!</v>
      </c>
      <c r="L242" s="5" t="s">
        <v>6911</v>
      </c>
      <c r="M242" s="37">
        <v>89428</v>
      </c>
    </row>
    <row r="243" spans="2:13" ht="13.5" hidden="1" customHeight="1" x14ac:dyDescent="0.25">
      <c r="B243" s="46">
        <v>44350</v>
      </c>
      <c r="C243" s="6" t="s">
        <v>6912</v>
      </c>
      <c r="D243" s="2" t="s">
        <v>6913</v>
      </c>
      <c r="E243" s="2" t="s">
        <v>6764</v>
      </c>
      <c r="F243" s="2"/>
      <c r="G243" s="2" t="s">
        <v>6443</v>
      </c>
      <c r="H243" s="2" t="s">
        <v>6444</v>
      </c>
      <c r="I243" s="3">
        <v>5616</v>
      </c>
      <c r="J243" s="4" t="e">
        <f>SUMIF(Cargas!#REF!,C243,Cargas!#REF!)</f>
        <v>#REF!</v>
      </c>
      <c r="K243" s="18" t="e">
        <f t="shared" si="5"/>
        <v>#REF!</v>
      </c>
      <c r="L243" s="5" t="s">
        <v>6914</v>
      </c>
      <c r="M243" s="37">
        <v>95435</v>
      </c>
    </row>
    <row r="244" spans="2:13" ht="13.5" hidden="1" customHeight="1" x14ac:dyDescent="0.25">
      <c r="B244" s="46">
        <v>44355</v>
      </c>
      <c r="C244" s="6" t="s">
        <v>6915</v>
      </c>
      <c r="D244" s="2" t="s">
        <v>3694</v>
      </c>
      <c r="E244" s="2" t="s">
        <v>6764</v>
      </c>
      <c r="F244" s="2"/>
      <c r="G244" s="2" t="s">
        <v>6443</v>
      </c>
      <c r="H244" s="2" t="s">
        <v>6768</v>
      </c>
      <c r="I244" s="3">
        <v>5616</v>
      </c>
      <c r="J244" s="4" t="e">
        <f>SUMIF(Cargas!#REF!,C244,Cargas!#REF!)</f>
        <v>#REF!</v>
      </c>
      <c r="K244" s="18" t="e">
        <f t="shared" si="5"/>
        <v>#REF!</v>
      </c>
      <c r="L244" s="5" t="s">
        <v>6916</v>
      </c>
      <c r="M244" s="37">
        <v>97395</v>
      </c>
    </row>
    <row r="245" spans="2:13" ht="13.5" hidden="1" customHeight="1" x14ac:dyDescent="0.25">
      <c r="B245" s="46">
        <v>44355</v>
      </c>
      <c r="C245" s="6" t="s">
        <v>6917</v>
      </c>
      <c r="D245" s="2" t="s">
        <v>3704</v>
      </c>
      <c r="E245" s="2" t="s">
        <v>6764</v>
      </c>
      <c r="F245" s="2"/>
      <c r="G245" s="2" t="s">
        <v>6443</v>
      </c>
      <c r="H245" s="2" t="s">
        <v>6444</v>
      </c>
      <c r="I245" s="3">
        <v>5616</v>
      </c>
      <c r="J245" s="4" t="e">
        <f>SUMIF(Cargas!#REF!,C245,Cargas!#REF!)</f>
        <v>#REF!</v>
      </c>
      <c r="K245" s="18" t="e">
        <f t="shared" si="5"/>
        <v>#REF!</v>
      </c>
      <c r="L245" s="5" t="s">
        <v>6918</v>
      </c>
      <c r="M245" s="37">
        <v>100201</v>
      </c>
    </row>
    <row r="246" spans="2:13" ht="13.5" hidden="1" customHeight="1" x14ac:dyDescent="0.25">
      <c r="B246" s="46">
        <v>44362</v>
      </c>
      <c r="C246" s="6" t="s">
        <v>6919</v>
      </c>
      <c r="D246" s="2" t="s">
        <v>3720</v>
      </c>
      <c r="E246" s="2" t="s">
        <v>6764</v>
      </c>
      <c r="F246" s="2"/>
      <c r="G246" s="2" t="s">
        <v>6443</v>
      </c>
      <c r="H246" s="2" t="s">
        <v>6823</v>
      </c>
      <c r="I246" s="3">
        <v>5616</v>
      </c>
      <c r="J246" s="4" t="e">
        <f>SUMIF(Cargas!#REF!,C246,Cargas!#REF!)</f>
        <v>#REF!</v>
      </c>
      <c r="K246" s="18" t="e">
        <f t="shared" si="5"/>
        <v>#REF!</v>
      </c>
      <c r="L246" s="5" t="s">
        <v>6920</v>
      </c>
      <c r="M246" s="37">
        <v>102099</v>
      </c>
    </row>
    <row r="247" spans="2:13" ht="13.5" hidden="1" customHeight="1" x14ac:dyDescent="0.25">
      <c r="B247" s="46">
        <v>44362</v>
      </c>
      <c r="C247" s="6" t="s">
        <v>6921</v>
      </c>
      <c r="D247" s="2" t="s">
        <v>3701</v>
      </c>
      <c r="E247" s="2" t="s">
        <v>6764</v>
      </c>
      <c r="F247" s="2"/>
      <c r="G247" s="2" t="s">
        <v>6443</v>
      </c>
      <c r="H247" s="2" t="s">
        <v>6862</v>
      </c>
      <c r="I247" s="3">
        <v>3744</v>
      </c>
      <c r="J247" s="4" t="e">
        <f>SUMIF(Cargas!#REF!,C247,Cargas!#REF!)</f>
        <v>#REF!</v>
      </c>
      <c r="K247" s="18" t="e">
        <f t="shared" si="5"/>
        <v>#REF!</v>
      </c>
      <c r="L247" s="5" t="s">
        <v>6922</v>
      </c>
      <c r="M247" s="37">
        <v>108244</v>
      </c>
    </row>
    <row r="248" spans="2:13" ht="13.5" hidden="1" customHeight="1" x14ac:dyDescent="0.25">
      <c r="B248" s="46">
        <v>44368</v>
      </c>
      <c r="C248" s="6" t="s">
        <v>6923</v>
      </c>
      <c r="D248" s="2" t="s">
        <v>3703</v>
      </c>
      <c r="E248" s="2" t="s">
        <v>6764</v>
      </c>
      <c r="F248" s="2"/>
      <c r="G248" s="2" t="s">
        <v>6443</v>
      </c>
      <c r="H248" s="2" t="s">
        <v>6768</v>
      </c>
      <c r="I248" s="3">
        <v>5616</v>
      </c>
      <c r="J248" s="4" t="e">
        <f>SUMIF(Cargas!#REF!,C248,Cargas!#REF!)</f>
        <v>#REF!</v>
      </c>
      <c r="K248" s="18" t="e">
        <f t="shared" si="5"/>
        <v>#REF!</v>
      </c>
      <c r="L248" s="5" t="s">
        <v>6924</v>
      </c>
      <c r="M248" s="37">
        <v>106249</v>
      </c>
    </row>
    <row r="249" spans="2:13" ht="13.5" hidden="1" customHeight="1" x14ac:dyDescent="0.25">
      <c r="B249" s="46">
        <v>44368</v>
      </c>
      <c r="C249" s="6" t="s">
        <v>6925</v>
      </c>
      <c r="D249" s="2" t="s">
        <v>6926</v>
      </c>
      <c r="E249" s="2" t="s">
        <v>6764</v>
      </c>
      <c r="F249" s="2"/>
      <c r="G249" s="2" t="s">
        <v>6443</v>
      </c>
      <c r="H249" s="2" t="s">
        <v>6444</v>
      </c>
      <c r="I249" s="3">
        <v>4680</v>
      </c>
      <c r="J249" s="4" t="e">
        <f>SUMIF(Cargas!#REF!,C249,Cargas!#REF!)</f>
        <v>#REF!</v>
      </c>
      <c r="K249" s="18" t="e">
        <f t="shared" si="5"/>
        <v>#REF!</v>
      </c>
      <c r="L249" s="5" t="s">
        <v>6927</v>
      </c>
      <c r="M249" s="37">
        <v>106304</v>
      </c>
    </row>
    <row r="250" spans="2:13" ht="13.5" hidden="1" customHeight="1" x14ac:dyDescent="0.25">
      <c r="B250" s="46">
        <v>44368</v>
      </c>
      <c r="C250" s="6" t="s">
        <v>6928</v>
      </c>
      <c r="D250" s="2" t="s">
        <v>6929</v>
      </c>
      <c r="E250" s="2" t="s">
        <v>6764</v>
      </c>
      <c r="F250" s="2"/>
      <c r="G250" s="2" t="s">
        <v>6443</v>
      </c>
      <c r="H250" s="2" t="s">
        <v>6862</v>
      </c>
      <c r="I250" s="3">
        <v>4680</v>
      </c>
      <c r="J250" s="4" t="e">
        <f>SUMIF(Cargas!#REF!,C250,Cargas!#REF!)</f>
        <v>#REF!</v>
      </c>
      <c r="K250" s="18" t="e">
        <f t="shared" si="5"/>
        <v>#REF!</v>
      </c>
      <c r="L250" s="5" t="s">
        <v>6930</v>
      </c>
      <c r="M250" s="37">
        <v>108008</v>
      </c>
    </row>
    <row r="251" spans="2:13" ht="13.5" hidden="1" customHeight="1" x14ac:dyDescent="0.25">
      <c r="B251" s="46">
        <v>44376</v>
      </c>
      <c r="C251" s="6" t="s">
        <v>6931</v>
      </c>
      <c r="D251" s="2" t="s">
        <v>6932</v>
      </c>
      <c r="E251" s="2" t="s">
        <v>6764</v>
      </c>
      <c r="F251" s="2"/>
      <c r="G251" s="2" t="s">
        <v>6443</v>
      </c>
      <c r="H251" s="2" t="s">
        <v>6768</v>
      </c>
      <c r="I251" s="3">
        <v>4680</v>
      </c>
      <c r="J251" s="4">
        <f>SUMIF(Cargas!$C$5:$C$3471,C251,Cargas!$O$5:$O$3471)</f>
        <v>0</v>
      </c>
      <c r="K251" s="18">
        <f t="shared" ref="K251:K314" si="6">IF(ABS(I251-J251)&lt;20,0,I251-J251)</f>
        <v>4680</v>
      </c>
      <c r="L251" s="5" t="s">
        <v>6933</v>
      </c>
      <c r="M251" s="37">
        <v>110785</v>
      </c>
    </row>
    <row r="252" spans="2:13" ht="13.5" hidden="1" customHeight="1" x14ac:dyDescent="0.25">
      <c r="B252" s="46">
        <v>44378</v>
      </c>
      <c r="C252" s="168" t="s">
        <v>6934</v>
      </c>
      <c r="D252" s="169" t="s">
        <v>6935</v>
      </c>
      <c r="E252" s="2" t="s">
        <v>6764</v>
      </c>
      <c r="F252" s="2"/>
      <c r="G252" s="2" t="s">
        <v>6443</v>
      </c>
      <c r="H252" s="169" t="s">
        <v>6518</v>
      </c>
      <c r="I252" s="3">
        <v>4680</v>
      </c>
      <c r="J252" s="4">
        <f>SUMIF(Cargas!$C$5:$C$3471,C252,Cargas!$O$5:$O$3471)</f>
        <v>0</v>
      </c>
      <c r="K252" s="18">
        <f t="shared" si="6"/>
        <v>4680</v>
      </c>
      <c r="L252" s="5" t="s">
        <v>6936</v>
      </c>
      <c r="M252" s="37">
        <v>116671</v>
      </c>
    </row>
    <row r="253" spans="2:13" ht="13.5" hidden="1" customHeight="1" x14ac:dyDescent="0.25">
      <c r="B253" s="46">
        <v>44378</v>
      </c>
      <c r="C253" s="168" t="s">
        <v>6937</v>
      </c>
      <c r="D253" s="169" t="s">
        <v>6938</v>
      </c>
      <c r="E253" s="2" t="s">
        <v>6764</v>
      </c>
      <c r="F253" s="2"/>
      <c r="G253" s="2" t="s">
        <v>6443</v>
      </c>
      <c r="H253" s="169" t="s">
        <v>6862</v>
      </c>
      <c r="I253" s="3">
        <v>3744</v>
      </c>
      <c r="J253" s="4">
        <f>SUMIF(Cargas!$C$5:$C$3471,C253,Cargas!$O$5:$O$3471)</f>
        <v>0</v>
      </c>
      <c r="K253" s="18">
        <f t="shared" si="6"/>
        <v>3744</v>
      </c>
      <c r="L253" s="5" t="s">
        <v>6939</v>
      </c>
      <c r="M253" s="37">
        <v>1132436</v>
      </c>
    </row>
    <row r="254" spans="2:13" ht="13.5" hidden="1" customHeight="1" x14ac:dyDescent="0.25">
      <c r="B254" s="46">
        <v>44383</v>
      </c>
      <c r="C254" s="168" t="s">
        <v>6940</v>
      </c>
      <c r="D254" s="169" t="s">
        <v>6941</v>
      </c>
      <c r="E254" s="2" t="s">
        <v>6764</v>
      </c>
      <c r="F254" s="2"/>
      <c r="G254" s="2" t="s">
        <v>6443</v>
      </c>
      <c r="H254" s="169" t="s">
        <v>6768</v>
      </c>
      <c r="I254" s="3">
        <v>4680</v>
      </c>
      <c r="J254" s="4">
        <f>SUMIF(Cargas!$C$5:$C$3471,C254,Cargas!$O$5:$O$3471)</f>
        <v>0</v>
      </c>
      <c r="K254" s="18">
        <f t="shared" si="6"/>
        <v>4680</v>
      </c>
      <c r="L254" s="5" t="s">
        <v>6942</v>
      </c>
      <c r="M254" s="37">
        <v>115242</v>
      </c>
    </row>
    <row r="255" spans="2:13" ht="13.5" hidden="1" customHeight="1" x14ac:dyDescent="0.25">
      <c r="B255" s="46">
        <v>44384</v>
      </c>
      <c r="C255" s="168" t="s">
        <v>6943</v>
      </c>
      <c r="D255" s="169" t="s">
        <v>6944</v>
      </c>
      <c r="E255" s="2" t="s">
        <v>6764</v>
      </c>
      <c r="F255" s="2"/>
      <c r="G255" s="2" t="s">
        <v>6443</v>
      </c>
      <c r="H255" s="169" t="s">
        <v>6518</v>
      </c>
      <c r="I255" s="3">
        <v>4680</v>
      </c>
      <c r="J255" s="4">
        <f>SUMIF(Cargas!$C$5:$C$3471,C255,Cargas!$O$5:$O$3471)</f>
        <v>0</v>
      </c>
      <c r="K255" s="18">
        <f t="shared" si="6"/>
        <v>4680</v>
      </c>
      <c r="L255" s="5" t="s">
        <v>6945</v>
      </c>
      <c r="M255" s="37">
        <v>117575</v>
      </c>
    </row>
    <row r="256" spans="2:13" ht="13.5" hidden="1" customHeight="1" x14ac:dyDescent="0.25">
      <c r="B256" s="46">
        <v>44390</v>
      </c>
      <c r="C256" s="168" t="s">
        <v>6946</v>
      </c>
      <c r="D256" s="169" t="s">
        <v>6947</v>
      </c>
      <c r="E256" s="2" t="s">
        <v>6764</v>
      </c>
      <c r="F256" s="2"/>
      <c r="G256" s="2" t="s">
        <v>6443</v>
      </c>
      <c r="H256" s="169" t="s">
        <v>6768</v>
      </c>
      <c r="I256" s="3">
        <v>4500</v>
      </c>
      <c r="J256" s="4">
        <f>SUMIF(Cargas!$C$5:$C$3471,C256,Cargas!$O$5:$O$3471)</f>
        <v>0</v>
      </c>
      <c r="K256" s="18">
        <f t="shared" si="6"/>
        <v>4500</v>
      </c>
      <c r="L256" s="5" t="s">
        <v>6948</v>
      </c>
      <c r="M256" s="37">
        <v>120478</v>
      </c>
    </row>
    <row r="257" spans="2:13" ht="13.5" hidden="1" customHeight="1" x14ac:dyDescent="0.25">
      <c r="B257" s="46">
        <v>44390</v>
      </c>
      <c r="C257" s="168" t="s">
        <v>6949</v>
      </c>
      <c r="D257" s="169" t="s">
        <v>6950</v>
      </c>
      <c r="E257" s="2" t="s">
        <v>6764</v>
      </c>
      <c r="F257" s="2"/>
      <c r="G257" s="2" t="s">
        <v>6443</v>
      </c>
      <c r="H257" s="169" t="s">
        <v>6862</v>
      </c>
      <c r="I257" s="3">
        <v>2700</v>
      </c>
      <c r="J257" s="4">
        <f>SUMIF(Cargas!$C$5:$C$3471,C257,Cargas!$O$5:$O$3471)</f>
        <v>0</v>
      </c>
      <c r="K257" s="18">
        <f t="shared" si="6"/>
        <v>2700</v>
      </c>
      <c r="L257" s="5" t="s">
        <v>6951</v>
      </c>
      <c r="M257" s="37">
        <v>120546</v>
      </c>
    </row>
    <row r="258" spans="2:13" ht="13.5" hidden="1" customHeight="1" x14ac:dyDescent="0.25">
      <c r="B258" s="46">
        <v>44396</v>
      </c>
      <c r="C258" s="168" t="s">
        <v>6952</v>
      </c>
      <c r="D258" s="169" t="s">
        <v>6953</v>
      </c>
      <c r="E258" s="2" t="s">
        <v>6764</v>
      </c>
      <c r="F258" s="2"/>
      <c r="G258" s="2" t="s">
        <v>6443</v>
      </c>
      <c r="H258" s="169" t="s">
        <v>6444</v>
      </c>
      <c r="I258" s="3">
        <v>3600</v>
      </c>
      <c r="J258" s="4">
        <f>SUMIF(Cargas!$C$5:$C$3471,C258,Cargas!$O$5:$O$3471)</f>
        <v>0</v>
      </c>
      <c r="K258" s="18">
        <f t="shared" si="6"/>
        <v>3600</v>
      </c>
      <c r="L258" s="5" t="s">
        <v>6954</v>
      </c>
      <c r="M258" s="37">
        <v>124184</v>
      </c>
    </row>
    <row r="259" spans="2:13" ht="13.5" hidden="1" customHeight="1" x14ac:dyDescent="0.25">
      <c r="B259" s="46">
        <v>44396</v>
      </c>
      <c r="C259" s="168" t="s">
        <v>6955</v>
      </c>
      <c r="D259" s="169" t="s">
        <v>6956</v>
      </c>
      <c r="E259" s="2" t="s">
        <v>6764</v>
      </c>
      <c r="F259" s="2"/>
      <c r="G259" s="2" t="s">
        <v>6443</v>
      </c>
      <c r="H259" s="169" t="s">
        <v>6862</v>
      </c>
      <c r="I259" s="3">
        <v>2700</v>
      </c>
      <c r="J259" s="4">
        <f>SUMIF(Cargas!$C$5:$C$3471,C259,Cargas!$O$5:$O$3471)</f>
        <v>0</v>
      </c>
      <c r="K259" s="18">
        <f t="shared" si="6"/>
        <v>2700</v>
      </c>
      <c r="L259" s="5" t="s">
        <v>6957</v>
      </c>
      <c r="M259" s="37">
        <v>124153</v>
      </c>
    </row>
    <row r="260" spans="2:13" ht="13.5" hidden="1" customHeight="1" x14ac:dyDescent="0.25">
      <c r="B260" s="46">
        <v>44396</v>
      </c>
      <c r="C260" s="168" t="s">
        <v>6958</v>
      </c>
      <c r="D260" s="169" t="s">
        <v>6959</v>
      </c>
      <c r="E260" s="2" t="s">
        <v>6764</v>
      </c>
      <c r="F260" s="2"/>
      <c r="G260" s="2" t="s">
        <v>6443</v>
      </c>
      <c r="H260" s="169" t="s">
        <v>6768</v>
      </c>
      <c r="I260" s="3">
        <v>4500</v>
      </c>
      <c r="J260" s="4">
        <f>SUMIF(Cargas!$C$5:$C$3471,C260,Cargas!$O$5:$O$3471)</f>
        <v>0</v>
      </c>
      <c r="K260" s="18">
        <f t="shared" si="6"/>
        <v>4500</v>
      </c>
      <c r="L260" s="5" t="s">
        <v>6960</v>
      </c>
      <c r="M260" s="37">
        <v>124099</v>
      </c>
    </row>
    <row r="261" spans="2:13" ht="13.5" hidden="1" customHeight="1" x14ac:dyDescent="0.25">
      <c r="B261" s="46">
        <v>44398</v>
      </c>
      <c r="C261" s="168" t="s">
        <v>6961</v>
      </c>
      <c r="D261" s="169" t="s">
        <v>6962</v>
      </c>
      <c r="E261" s="2" t="s">
        <v>6764</v>
      </c>
      <c r="F261" s="2"/>
      <c r="G261" s="2" t="s">
        <v>6443</v>
      </c>
      <c r="H261" s="169" t="s">
        <v>6963</v>
      </c>
      <c r="I261" s="3">
        <v>3024</v>
      </c>
      <c r="J261" s="4">
        <f>SUMIF(Cargas!$C$5:$C$3471,C261,Cargas!$O$5:$O$3471)</f>
        <v>0</v>
      </c>
      <c r="K261" s="18">
        <f t="shared" si="6"/>
        <v>3024</v>
      </c>
      <c r="L261" s="5" t="s">
        <v>6964</v>
      </c>
      <c r="M261" s="37">
        <v>126745</v>
      </c>
    </row>
    <row r="262" spans="2:13" ht="13.5" hidden="1" customHeight="1" x14ac:dyDescent="0.25">
      <c r="B262" s="46">
        <v>44404</v>
      </c>
      <c r="C262" s="168" t="s">
        <v>6965</v>
      </c>
      <c r="D262" s="169" t="s">
        <v>6966</v>
      </c>
      <c r="E262" s="2" t="s">
        <v>6764</v>
      </c>
      <c r="F262" s="2"/>
      <c r="G262" s="2" t="s">
        <v>6443</v>
      </c>
      <c r="H262" s="169" t="s">
        <v>6768</v>
      </c>
      <c r="I262" s="3">
        <v>3600</v>
      </c>
      <c r="J262" s="4">
        <f>SUMIF(Cargas!$C$5:$C$3471,C262,Cargas!$O$5:$O$3471)</f>
        <v>0</v>
      </c>
      <c r="K262" s="18">
        <f t="shared" si="6"/>
        <v>3600</v>
      </c>
      <c r="L262" s="5" t="s">
        <v>6967</v>
      </c>
      <c r="M262" s="37">
        <v>128712</v>
      </c>
    </row>
    <row r="263" spans="2:13" ht="13.5" hidden="1" customHeight="1" x14ac:dyDescent="0.25">
      <c r="B263" s="46">
        <v>44404</v>
      </c>
      <c r="C263" s="168" t="s">
        <v>6968</v>
      </c>
      <c r="D263" s="169" t="s">
        <v>6969</v>
      </c>
      <c r="E263" s="2" t="s">
        <v>6764</v>
      </c>
      <c r="F263" s="2"/>
      <c r="G263" s="2" t="s">
        <v>6443</v>
      </c>
      <c r="H263" s="169" t="s">
        <v>6444</v>
      </c>
      <c r="I263" s="3">
        <v>3600</v>
      </c>
      <c r="J263" s="4">
        <f>SUMIF(Cargas!$C$5:$C$3471,C263,Cargas!$O$5:$O$3471)</f>
        <v>0</v>
      </c>
      <c r="K263" s="18">
        <f t="shared" si="6"/>
        <v>3600</v>
      </c>
      <c r="L263" s="5" t="s">
        <v>6970</v>
      </c>
      <c r="M263" s="37">
        <v>130891</v>
      </c>
    </row>
    <row r="264" spans="2:13" ht="13.5" hidden="1" customHeight="1" x14ac:dyDescent="0.25">
      <c r="B264" s="46">
        <v>44410</v>
      </c>
      <c r="C264" s="168" t="s">
        <v>6971</v>
      </c>
      <c r="D264" s="169" t="s">
        <v>6972</v>
      </c>
      <c r="E264" s="2" t="s">
        <v>6764</v>
      </c>
      <c r="F264" s="2"/>
      <c r="G264" s="2" t="s">
        <v>6443</v>
      </c>
      <c r="H264" s="169" t="s">
        <v>6862</v>
      </c>
      <c r="I264" s="3">
        <v>1836</v>
      </c>
      <c r="J264" s="4">
        <f>SUMIF(Cargas!$C$5:$C$3471,C264,Cargas!$O$5:$O$3471)</f>
        <v>0</v>
      </c>
      <c r="K264" s="18">
        <f t="shared" si="6"/>
        <v>1836</v>
      </c>
      <c r="L264" s="5" t="s">
        <v>6973</v>
      </c>
      <c r="M264" s="37">
        <v>133724</v>
      </c>
    </row>
    <row r="265" spans="2:13" ht="13.5" hidden="1" customHeight="1" x14ac:dyDescent="0.25">
      <c r="B265" s="46">
        <v>44411</v>
      </c>
      <c r="C265" s="168" t="s">
        <v>6974</v>
      </c>
      <c r="D265" s="169" t="s">
        <v>6975</v>
      </c>
      <c r="E265" s="2" t="s">
        <v>6764</v>
      </c>
      <c r="F265" s="2"/>
      <c r="G265" s="2" t="s">
        <v>6443</v>
      </c>
      <c r="H265" s="169" t="s">
        <v>6823</v>
      </c>
      <c r="I265" s="3">
        <v>4500</v>
      </c>
      <c r="J265" s="4">
        <f>SUMIF(Cargas!$C$5:$C$3471,C265,Cargas!$O$5:$O$3471)</f>
        <v>0</v>
      </c>
      <c r="K265" s="18">
        <f t="shared" si="6"/>
        <v>4500</v>
      </c>
      <c r="L265" s="5" t="s">
        <v>6976</v>
      </c>
      <c r="M265" s="37">
        <v>133670</v>
      </c>
    </row>
    <row r="266" spans="2:13" ht="13.5" hidden="1" customHeight="1" x14ac:dyDescent="0.25">
      <c r="B266" s="46">
        <v>44417</v>
      </c>
      <c r="C266" s="168" t="s">
        <v>6977</v>
      </c>
      <c r="D266" s="169" t="s">
        <v>6978</v>
      </c>
      <c r="E266" s="2" t="s">
        <v>6764</v>
      </c>
      <c r="F266" s="2"/>
      <c r="G266" s="2" t="s">
        <v>6443</v>
      </c>
      <c r="H266" s="169" t="s">
        <v>6444</v>
      </c>
      <c r="I266" s="3">
        <v>5508</v>
      </c>
      <c r="J266" s="4">
        <f>SUMIF(Cargas!$C$5:$C$3471,C266,Cargas!$O$5:$O$3471)</f>
        <v>0</v>
      </c>
      <c r="K266" s="18">
        <f t="shared" si="6"/>
        <v>5508</v>
      </c>
      <c r="L266" s="5" t="s">
        <v>6979</v>
      </c>
      <c r="M266" s="37">
        <v>138338</v>
      </c>
    </row>
    <row r="267" spans="2:13" ht="13.5" hidden="1" customHeight="1" x14ac:dyDescent="0.25">
      <c r="B267" s="46">
        <v>44417</v>
      </c>
      <c r="C267" s="168" t="s">
        <v>6980</v>
      </c>
      <c r="D267" s="169" t="s">
        <v>6981</v>
      </c>
      <c r="E267" s="2" t="s">
        <v>6764</v>
      </c>
      <c r="F267" s="2"/>
      <c r="G267" s="2" t="s">
        <v>6443</v>
      </c>
      <c r="H267" s="169" t="s">
        <v>6823</v>
      </c>
      <c r="I267" s="3">
        <v>5508</v>
      </c>
      <c r="J267" s="4">
        <f>SUMIF(Cargas!$C$5:$C$3471,C267,Cargas!$O$5:$O$3471)</f>
        <v>0</v>
      </c>
      <c r="K267" s="18">
        <f t="shared" si="6"/>
        <v>5508</v>
      </c>
      <c r="L267" s="5" t="s">
        <v>6982</v>
      </c>
      <c r="M267" s="37">
        <v>138252</v>
      </c>
    </row>
    <row r="268" spans="2:13" ht="13.5" hidden="1" customHeight="1" x14ac:dyDescent="0.25">
      <c r="B268" s="46">
        <v>44417</v>
      </c>
      <c r="C268" s="168" t="s">
        <v>6983</v>
      </c>
      <c r="D268" s="169" t="s">
        <v>6984</v>
      </c>
      <c r="E268" s="2" t="s">
        <v>6764</v>
      </c>
      <c r="F268" s="2"/>
      <c r="G268" s="2" t="s">
        <v>6443</v>
      </c>
      <c r="H268" s="169" t="s">
        <v>6862</v>
      </c>
      <c r="I268" s="3">
        <v>3672</v>
      </c>
      <c r="J268" s="4">
        <f>SUMIF(Cargas!$C$5:$C$3471,C268,Cargas!$O$5:$O$3471)</f>
        <v>0</v>
      </c>
      <c r="K268" s="18">
        <f t="shared" si="6"/>
        <v>3672</v>
      </c>
      <c r="L268" s="5" t="s">
        <v>6985</v>
      </c>
      <c r="M268" s="37">
        <v>138169</v>
      </c>
    </row>
    <row r="269" spans="2:13" ht="13.5" hidden="1" customHeight="1" x14ac:dyDescent="0.25">
      <c r="B269" s="46">
        <v>44417</v>
      </c>
      <c r="C269" s="168" t="s">
        <v>6986</v>
      </c>
      <c r="D269" s="169" t="s">
        <v>6987</v>
      </c>
      <c r="E269" s="2" t="s">
        <v>6764</v>
      </c>
      <c r="F269" s="2"/>
      <c r="G269" s="2" t="s">
        <v>6443</v>
      </c>
      <c r="H269" s="169" t="s">
        <v>6963</v>
      </c>
      <c r="I269" s="3">
        <v>3024</v>
      </c>
      <c r="J269" s="4">
        <f>SUMIF(Cargas!$C$5:$C$3471,C269,Cargas!$O$5:$O$3471)</f>
        <v>0</v>
      </c>
      <c r="K269" s="18">
        <f t="shared" si="6"/>
        <v>3024</v>
      </c>
      <c r="L269" s="5" t="s">
        <v>6988</v>
      </c>
      <c r="M269" s="37">
        <v>139979</v>
      </c>
    </row>
    <row r="270" spans="2:13" ht="13.5" hidden="1" customHeight="1" x14ac:dyDescent="0.25">
      <c r="B270" s="46">
        <v>44425</v>
      </c>
      <c r="C270" s="168" t="s">
        <v>6989</v>
      </c>
      <c r="D270" s="169" t="s">
        <v>6990</v>
      </c>
      <c r="E270" s="2" t="s">
        <v>6764</v>
      </c>
      <c r="F270" s="2"/>
      <c r="G270" s="2" t="s">
        <v>6443</v>
      </c>
      <c r="H270" s="169" t="s">
        <v>6768</v>
      </c>
      <c r="I270" s="3">
        <v>5508</v>
      </c>
      <c r="J270" s="4">
        <f>SUMIF(Cargas!$C$5:$C$3471,C270,Cargas!$O$5:$O$3471)</f>
        <v>0</v>
      </c>
      <c r="K270" s="18">
        <f t="shared" si="6"/>
        <v>5508</v>
      </c>
      <c r="L270" s="5" t="s">
        <v>6991</v>
      </c>
      <c r="M270" s="37">
        <v>142234</v>
      </c>
    </row>
    <row r="271" spans="2:13" ht="13.5" hidden="1" customHeight="1" x14ac:dyDescent="0.25">
      <c r="B271" s="46">
        <v>44425</v>
      </c>
      <c r="C271" s="168" t="s">
        <v>6992</v>
      </c>
      <c r="D271" s="169" t="s">
        <v>6993</v>
      </c>
      <c r="E271" s="2" t="s">
        <v>6764</v>
      </c>
      <c r="F271" s="2"/>
      <c r="G271" s="2" t="s">
        <v>6443</v>
      </c>
      <c r="H271" s="169" t="s">
        <v>6862</v>
      </c>
      <c r="I271" s="3">
        <v>3672</v>
      </c>
      <c r="J271" s="4">
        <f>SUMIF(Cargas!$C$5:$C$3471,C271,Cargas!$O$5:$O$3471)</f>
        <v>0</v>
      </c>
      <c r="K271" s="18">
        <f t="shared" si="6"/>
        <v>3672</v>
      </c>
      <c r="L271" s="5" t="s">
        <v>6994</v>
      </c>
      <c r="M271" s="37">
        <v>143205</v>
      </c>
    </row>
    <row r="272" spans="2:13" ht="13.5" hidden="1" customHeight="1" x14ac:dyDescent="0.25">
      <c r="B272" s="46">
        <v>44425</v>
      </c>
      <c r="C272" s="168" t="s">
        <v>6995</v>
      </c>
      <c r="D272" s="169" t="s">
        <v>6996</v>
      </c>
      <c r="E272" s="2" t="s">
        <v>6764</v>
      </c>
      <c r="F272" s="2"/>
      <c r="G272" s="2" t="s">
        <v>6443</v>
      </c>
      <c r="H272" s="169" t="s">
        <v>6444</v>
      </c>
      <c r="I272" s="3">
        <v>5508</v>
      </c>
      <c r="J272" s="4">
        <f>SUMIF(Cargas!$C$5:$C$3471,C272,Cargas!$O$5:$O$3471)</f>
        <v>0</v>
      </c>
      <c r="K272" s="18">
        <f t="shared" si="6"/>
        <v>5508</v>
      </c>
      <c r="L272" s="5" t="s">
        <v>6997</v>
      </c>
      <c r="M272" s="37">
        <v>144125</v>
      </c>
    </row>
    <row r="273" spans="2:13" ht="13.5" hidden="1" customHeight="1" x14ac:dyDescent="0.25">
      <c r="B273" s="46">
        <v>44432</v>
      </c>
      <c r="C273" s="168" t="s">
        <v>6998</v>
      </c>
      <c r="D273" s="169" t="s">
        <v>6999</v>
      </c>
      <c r="E273" s="2" t="s">
        <v>6764</v>
      </c>
      <c r="F273" s="2"/>
      <c r="G273" s="2" t="s">
        <v>6443</v>
      </c>
      <c r="H273" s="169" t="s">
        <v>6768</v>
      </c>
      <c r="I273" s="3">
        <v>7344</v>
      </c>
      <c r="J273" s="4">
        <f>SUMIF(Cargas!$C$5:$C$3471,C273,Cargas!$O$5:$O$3471)</f>
        <v>0</v>
      </c>
      <c r="K273" s="18">
        <f t="shared" si="6"/>
        <v>7344</v>
      </c>
      <c r="L273" s="5" t="s">
        <v>7000</v>
      </c>
      <c r="M273" s="37">
        <v>146918</v>
      </c>
    </row>
    <row r="274" spans="2:13" ht="13.5" hidden="1" customHeight="1" x14ac:dyDescent="0.25">
      <c r="B274" s="46">
        <v>44431</v>
      </c>
      <c r="C274" s="168" t="s">
        <v>7001</v>
      </c>
      <c r="D274" s="169" t="s">
        <v>7002</v>
      </c>
      <c r="E274" s="2" t="s">
        <v>6764</v>
      </c>
      <c r="F274" s="2"/>
      <c r="G274" s="2" t="s">
        <v>6443</v>
      </c>
      <c r="H274" s="169" t="s">
        <v>6963</v>
      </c>
      <c r="I274" s="3">
        <v>4032</v>
      </c>
      <c r="J274" s="4">
        <f>SUMIF(Cargas!$C$5:$C$3471,C274,Cargas!$O$5:$O$3471)</f>
        <v>0</v>
      </c>
      <c r="K274" s="18">
        <f t="shared" si="6"/>
        <v>4032</v>
      </c>
      <c r="L274" s="5" t="s">
        <v>7003</v>
      </c>
      <c r="M274" s="37">
        <v>149244</v>
      </c>
    </row>
    <row r="275" spans="2:13" ht="13.5" hidden="1" customHeight="1" x14ac:dyDescent="0.25">
      <c r="B275" s="46">
        <v>44435</v>
      </c>
      <c r="C275" s="168" t="s">
        <v>7004</v>
      </c>
      <c r="D275" s="169" t="s">
        <v>7005</v>
      </c>
      <c r="E275" s="2" t="s">
        <v>6764</v>
      </c>
      <c r="F275" s="2"/>
      <c r="G275" s="2" t="s">
        <v>6443</v>
      </c>
      <c r="H275" s="169" t="s">
        <v>6862</v>
      </c>
      <c r="I275" s="3">
        <v>3672</v>
      </c>
      <c r="J275" s="4">
        <f>SUMIF(Cargas!$C$5:$C$3471,C275,Cargas!$O$5:$O$3471)</f>
        <v>0</v>
      </c>
      <c r="K275" s="18">
        <f t="shared" si="6"/>
        <v>3672</v>
      </c>
      <c r="L275" s="5" t="s">
        <v>7006</v>
      </c>
      <c r="M275" s="37">
        <v>151484</v>
      </c>
    </row>
    <row r="276" spans="2:13" ht="13.5" hidden="1" customHeight="1" x14ac:dyDescent="0.25">
      <c r="B276" s="46">
        <v>44435</v>
      </c>
      <c r="C276" s="168" t="s">
        <v>7007</v>
      </c>
      <c r="D276" s="169" t="s">
        <v>7008</v>
      </c>
      <c r="E276" s="2" t="s">
        <v>6764</v>
      </c>
      <c r="F276" s="2"/>
      <c r="G276" s="2" t="s">
        <v>6443</v>
      </c>
      <c r="H276" s="169" t="s">
        <v>6444</v>
      </c>
      <c r="I276" s="3">
        <v>4590</v>
      </c>
      <c r="J276" s="4">
        <f>SUMIF(Cargas!$C$5:$C$3471,C276,Cargas!$O$5:$O$3471)</f>
        <v>0</v>
      </c>
      <c r="K276" s="18">
        <f t="shared" si="6"/>
        <v>4590</v>
      </c>
      <c r="L276" s="5" t="s">
        <v>7009</v>
      </c>
      <c r="M276" s="37">
        <v>149081</v>
      </c>
    </row>
    <row r="277" spans="2:13" ht="13.5" hidden="1" customHeight="1" x14ac:dyDescent="0.25">
      <c r="B277" s="46">
        <v>44440</v>
      </c>
      <c r="C277" s="168" t="s">
        <v>7010</v>
      </c>
      <c r="D277" s="169" t="s">
        <v>7011</v>
      </c>
      <c r="E277" s="2" t="s">
        <v>6764</v>
      </c>
      <c r="F277" s="2"/>
      <c r="G277" s="2" t="s">
        <v>6443</v>
      </c>
      <c r="H277" s="169" t="s">
        <v>6768</v>
      </c>
      <c r="I277" s="3">
        <v>6426</v>
      </c>
      <c r="J277" s="4">
        <f>SUMIF(Cargas!$C$5:$C$3471,C277,Cargas!$O$5:$O$3471)</f>
        <v>0</v>
      </c>
      <c r="K277" s="18">
        <f t="shared" si="6"/>
        <v>6426</v>
      </c>
      <c r="L277" s="5" t="s">
        <v>7012</v>
      </c>
      <c r="M277" s="37">
        <v>153138</v>
      </c>
    </row>
    <row r="278" spans="2:13" ht="13.5" hidden="1" customHeight="1" x14ac:dyDescent="0.25">
      <c r="B278" s="46">
        <v>44442</v>
      </c>
      <c r="C278" s="168" t="s">
        <v>7013</v>
      </c>
      <c r="D278" s="169" t="s">
        <v>7014</v>
      </c>
      <c r="E278" s="2" t="s">
        <v>6764</v>
      </c>
      <c r="F278" s="2"/>
      <c r="G278" s="2" t="s">
        <v>6443</v>
      </c>
      <c r="H278" s="169" t="s">
        <v>6963</v>
      </c>
      <c r="I278" s="3">
        <v>3024</v>
      </c>
      <c r="J278" s="4">
        <f>SUMIF(Cargas!$C$5:$C$3471,C278,Cargas!$O$5:$O$3471)</f>
        <v>0</v>
      </c>
      <c r="K278" s="18">
        <f t="shared" si="6"/>
        <v>3024</v>
      </c>
      <c r="L278" s="5" t="s">
        <v>7015</v>
      </c>
      <c r="M278" s="37">
        <v>153992</v>
      </c>
    </row>
    <row r="279" spans="2:13" ht="13.5" hidden="1" customHeight="1" x14ac:dyDescent="0.25">
      <c r="B279" s="46">
        <v>44445</v>
      </c>
      <c r="C279" s="168" t="s">
        <v>7016</v>
      </c>
      <c r="D279" s="169" t="s">
        <v>7017</v>
      </c>
      <c r="E279" s="2" t="s">
        <v>6764</v>
      </c>
      <c r="F279" s="2"/>
      <c r="G279" s="2" t="s">
        <v>6443</v>
      </c>
      <c r="H279" s="169" t="s">
        <v>6444</v>
      </c>
      <c r="I279" s="3">
        <v>4590</v>
      </c>
      <c r="J279" s="4">
        <f>SUMIF(Cargas!$C$5:$C$3471,C279,Cargas!$O$5:$O$3471)</f>
        <v>0</v>
      </c>
      <c r="K279" s="18">
        <f t="shared" si="6"/>
        <v>4590</v>
      </c>
      <c r="L279" s="5" t="s">
        <v>7018</v>
      </c>
      <c r="M279" s="37">
        <v>157019</v>
      </c>
    </row>
    <row r="280" spans="2:13" ht="13.5" hidden="1" customHeight="1" x14ac:dyDescent="0.25">
      <c r="B280" s="46">
        <v>44445</v>
      </c>
      <c r="C280" s="168" t="s">
        <v>7019</v>
      </c>
      <c r="D280" s="169" t="s">
        <v>7020</v>
      </c>
      <c r="E280" s="2" t="s">
        <v>6764</v>
      </c>
      <c r="F280" s="2"/>
      <c r="G280" s="2" t="s">
        <v>6443</v>
      </c>
      <c r="H280" s="169" t="s">
        <v>6823</v>
      </c>
      <c r="I280" s="3">
        <v>5508</v>
      </c>
      <c r="J280" s="4">
        <f>SUMIF(Cargas!$C$5:$C$3471,C280,Cargas!$O$5:$O$3471)</f>
        <v>0</v>
      </c>
      <c r="K280" s="18">
        <f t="shared" si="6"/>
        <v>5508</v>
      </c>
      <c r="L280" s="5" t="s">
        <v>7021</v>
      </c>
      <c r="M280" s="37">
        <v>156973</v>
      </c>
    </row>
    <row r="281" spans="2:13" ht="13.5" hidden="1" customHeight="1" x14ac:dyDescent="0.25">
      <c r="B281" s="46">
        <v>44445</v>
      </c>
      <c r="C281" s="168" t="s">
        <v>7022</v>
      </c>
      <c r="D281" s="169" t="s">
        <v>7023</v>
      </c>
      <c r="E281" s="2" t="s">
        <v>6764</v>
      </c>
      <c r="F281" s="2"/>
      <c r="G281" s="2" t="s">
        <v>6443</v>
      </c>
      <c r="H281" s="169" t="s">
        <v>6862</v>
      </c>
      <c r="I281" s="3">
        <v>2754</v>
      </c>
      <c r="J281" s="4">
        <f>SUMIF(Cargas!$C$5:$C$3471,C281,Cargas!$O$5:$O$3471)</f>
        <v>0</v>
      </c>
      <c r="K281" s="18">
        <f t="shared" si="6"/>
        <v>2754</v>
      </c>
      <c r="L281" s="5" t="s">
        <v>7024</v>
      </c>
      <c r="M281" s="37">
        <v>157048</v>
      </c>
    </row>
    <row r="282" spans="2:13" ht="13.5" hidden="1" customHeight="1" x14ac:dyDescent="0.25">
      <c r="B282" s="46">
        <v>44445</v>
      </c>
      <c r="C282" s="168" t="s">
        <v>7025</v>
      </c>
      <c r="D282" s="169" t="s">
        <v>7026</v>
      </c>
      <c r="E282" s="2" t="s">
        <v>6764</v>
      </c>
      <c r="F282" s="2"/>
      <c r="G282" s="2" t="s">
        <v>6443</v>
      </c>
      <c r="H282" s="169" t="s">
        <v>7027</v>
      </c>
      <c r="I282" s="3">
        <v>918</v>
      </c>
      <c r="J282" s="4">
        <f>SUMIF(Cargas!$C$5:$C$3471,C282,Cargas!$O$5:$O$3471)</f>
        <v>0</v>
      </c>
      <c r="K282" s="18">
        <f t="shared" si="6"/>
        <v>918</v>
      </c>
      <c r="L282" s="5" t="s">
        <v>7028</v>
      </c>
      <c r="M282" s="37">
        <v>158413</v>
      </c>
    </row>
    <row r="283" spans="2:13" ht="13.5" hidden="1" customHeight="1" x14ac:dyDescent="0.25">
      <c r="B283" s="46">
        <v>44455</v>
      </c>
      <c r="C283" s="168" t="s">
        <v>7029</v>
      </c>
      <c r="D283" s="169" t="s">
        <v>7030</v>
      </c>
      <c r="E283" s="2" t="s">
        <v>6764</v>
      </c>
      <c r="F283" s="2"/>
      <c r="G283" s="2" t="s">
        <v>6443</v>
      </c>
      <c r="H283" s="169" t="s">
        <v>6823</v>
      </c>
      <c r="I283" s="3">
        <v>6426</v>
      </c>
      <c r="J283" s="4">
        <f>SUMIF(Cargas!$C$5:$C$3471,C283,Cargas!$O$5:$O$3471)</f>
        <v>0</v>
      </c>
      <c r="K283" s="18">
        <f t="shared" si="6"/>
        <v>6426</v>
      </c>
      <c r="L283" s="5" t="s">
        <v>7031</v>
      </c>
      <c r="M283" s="37">
        <v>162485</v>
      </c>
    </row>
    <row r="284" spans="2:13" ht="13.5" hidden="1" customHeight="1" x14ac:dyDescent="0.25">
      <c r="B284" s="46">
        <v>44455</v>
      </c>
      <c r="C284" s="168" t="s">
        <v>7032</v>
      </c>
      <c r="D284" s="169" t="s">
        <v>7033</v>
      </c>
      <c r="E284" s="2" t="s">
        <v>6764</v>
      </c>
      <c r="F284" s="2"/>
      <c r="G284" s="2" t="s">
        <v>6443</v>
      </c>
      <c r="H284" s="169" t="s">
        <v>6444</v>
      </c>
      <c r="I284" s="3">
        <v>5508</v>
      </c>
      <c r="J284" s="4">
        <f>SUMIF(Cargas!$C$5:$C$3471,C284,Cargas!$O$5:$O$3471)</f>
        <v>0</v>
      </c>
      <c r="K284" s="18">
        <f t="shared" si="6"/>
        <v>5508</v>
      </c>
      <c r="L284" s="5" t="s">
        <v>7034</v>
      </c>
      <c r="M284" s="37">
        <v>164371</v>
      </c>
    </row>
    <row r="285" spans="2:13" ht="13.5" hidden="1" customHeight="1" x14ac:dyDescent="0.25">
      <c r="B285" s="46">
        <v>44455</v>
      </c>
      <c r="C285" s="168" t="s">
        <v>7035</v>
      </c>
      <c r="D285" s="169" t="s">
        <v>7036</v>
      </c>
      <c r="E285" s="2" t="s">
        <v>6764</v>
      </c>
      <c r="F285" s="2"/>
      <c r="G285" s="2" t="s">
        <v>6443</v>
      </c>
      <c r="H285" s="169" t="s">
        <v>6862</v>
      </c>
      <c r="I285" s="3">
        <v>3672</v>
      </c>
      <c r="J285" s="4">
        <f>SUMIF(Cargas!$C$5:$C$3471,C285,Cargas!$O$5:$O$3471)</f>
        <v>0</v>
      </c>
      <c r="K285" s="18">
        <f t="shared" si="6"/>
        <v>3672</v>
      </c>
      <c r="L285" s="5" t="s">
        <v>7037</v>
      </c>
      <c r="M285" s="37">
        <v>162529</v>
      </c>
    </row>
    <row r="286" spans="2:13" ht="13.5" hidden="1" customHeight="1" x14ac:dyDescent="0.25">
      <c r="B286" s="46">
        <v>44455</v>
      </c>
      <c r="C286" s="168" t="s">
        <v>7038</v>
      </c>
      <c r="D286" s="169" t="s">
        <v>7039</v>
      </c>
      <c r="E286" s="2" t="s">
        <v>6764</v>
      </c>
      <c r="F286" s="2"/>
      <c r="G286" s="2" t="s">
        <v>6443</v>
      </c>
      <c r="H286" s="169" t="s">
        <v>6963</v>
      </c>
      <c r="I286" s="3">
        <v>3024</v>
      </c>
      <c r="J286" s="4">
        <f>SUMIF(Cargas!$C$5:$C$3471,C286,Cargas!$O$5:$O$3471)</f>
        <v>0</v>
      </c>
      <c r="K286" s="18">
        <f t="shared" si="6"/>
        <v>3024</v>
      </c>
      <c r="L286" s="5" t="s">
        <v>7040</v>
      </c>
      <c r="M286" s="37">
        <v>167038</v>
      </c>
    </row>
    <row r="287" spans="2:13" ht="13.5" hidden="1" customHeight="1" x14ac:dyDescent="0.25">
      <c r="B287" s="46">
        <v>44463</v>
      </c>
      <c r="C287" s="168" t="s">
        <v>7041</v>
      </c>
      <c r="D287" s="169" t="s">
        <v>7042</v>
      </c>
      <c r="E287" s="2" t="s">
        <v>6764</v>
      </c>
      <c r="F287" s="2"/>
      <c r="G287" s="2" t="s">
        <v>6443</v>
      </c>
      <c r="H287" s="169" t="s">
        <v>6768</v>
      </c>
      <c r="I287" s="3">
        <v>7344</v>
      </c>
      <c r="J287" s="4">
        <f>SUMIF(Cargas!$C$5:$C$3471,C287,Cargas!$O$5:$O$3471)</f>
        <v>0</v>
      </c>
      <c r="K287" s="18">
        <f t="shared" si="6"/>
        <v>7344</v>
      </c>
      <c r="L287" s="5" t="s">
        <v>7043</v>
      </c>
      <c r="M287" s="37">
        <v>169629</v>
      </c>
    </row>
    <row r="288" spans="2:13" ht="13.5" hidden="1" customHeight="1" x14ac:dyDescent="0.25">
      <c r="B288" s="46">
        <v>44463</v>
      </c>
      <c r="C288" s="168" t="s">
        <v>7044</v>
      </c>
      <c r="D288" s="169" t="s">
        <v>7045</v>
      </c>
      <c r="E288" s="2" t="s">
        <v>6764</v>
      </c>
      <c r="F288" s="2"/>
      <c r="G288" s="2" t="s">
        <v>6443</v>
      </c>
      <c r="H288" s="169" t="s">
        <v>6862</v>
      </c>
      <c r="I288" s="3">
        <v>4590</v>
      </c>
      <c r="J288" s="4">
        <f>SUMIF(Cargas!$C$5:$C$3471,C288,Cargas!$O$5:$O$3471)</f>
        <v>0</v>
      </c>
      <c r="K288" s="18">
        <f t="shared" si="6"/>
        <v>4590</v>
      </c>
      <c r="L288" s="5" t="s">
        <v>7046</v>
      </c>
      <c r="M288" s="37">
        <v>170885</v>
      </c>
    </row>
    <row r="289" spans="2:13" ht="13.5" hidden="1" customHeight="1" x14ac:dyDescent="0.25">
      <c r="B289" s="46">
        <v>44463</v>
      </c>
      <c r="C289" s="168" t="s">
        <v>7047</v>
      </c>
      <c r="D289" s="169" t="s">
        <v>7048</v>
      </c>
      <c r="E289" s="2" t="s">
        <v>6764</v>
      </c>
      <c r="F289" s="2"/>
      <c r="G289" s="2" t="s">
        <v>6443</v>
      </c>
      <c r="H289" s="169" t="s">
        <v>6444</v>
      </c>
      <c r="I289" s="3">
        <v>4590</v>
      </c>
      <c r="J289" s="4">
        <f>SUMIF(Cargas!$C$5:$C$3471,C289,Cargas!$O$5:$O$3471)</f>
        <v>0</v>
      </c>
      <c r="K289" s="18">
        <f t="shared" si="6"/>
        <v>4590</v>
      </c>
      <c r="L289" s="5" t="s">
        <v>7049</v>
      </c>
      <c r="M289" s="37">
        <v>172748</v>
      </c>
    </row>
    <row r="290" spans="2:13" ht="13.5" hidden="1" customHeight="1" x14ac:dyDescent="0.25">
      <c r="B290" s="46">
        <v>44474</v>
      </c>
      <c r="C290" s="168" t="s">
        <v>7050</v>
      </c>
      <c r="D290" s="169" t="s">
        <v>7051</v>
      </c>
      <c r="E290" s="2" t="s">
        <v>6764</v>
      </c>
      <c r="F290" s="2"/>
      <c r="G290" s="2" t="s">
        <v>6443</v>
      </c>
      <c r="H290" s="169" t="s">
        <v>6768</v>
      </c>
      <c r="I290" s="3">
        <v>5508</v>
      </c>
      <c r="J290" s="4">
        <f>SUMIF(Cargas!$C$5:$C$3471,C290,Cargas!$O$5:$O$3471)</f>
        <v>0</v>
      </c>
      <c r="K290" s="18">
        <f t="shared" si="6"/>
        <v>5508</v>
      </c>
      <c r="L290" s="5" t="s">
        <v>7052</v>
      </c>
      <c r="M290" s="37">
        <v>176146</v>
      </c>
    </row>
    <row r="291" spans="2:13" ht="13.5" hidden="1" customHeight="1" x14ac:dyDescent="0.25">
      <c r="B291" s="46">
        <v>44476</v>
      </c>
      <c r="C291" s="168" t="s">
        <v>7053</v>
      </c>
      <c r="D291" s="169" t="s">
        <v>7054</v>
      </c>
      <c r="E291" s="2" t="s">
        <v>6764</v>
      </c>
      <c r="F291" s="2"/>
      <c r="G291" s="2" t="s">
        <v>6443</v>
      </c>
      <c r="H291" s="169" t="s">
        <v>6963</v>
      </c>
      <c r="I291" s="3">
        <v>3024</v>
      </c>
      <c r="J291" s="4">
        <f>SUMIF(Cargas!$C$5:$C$3471,C291,Cargas!$O$5:$O$3471)</f>
        <v>0</v>
      </c>
      <c r="K291" s="18">
        <f t="shared" si="6"/>
        <v>3024</v>
      </c>
      <c r="L291" s="5" t="s">
        <v>7055</v>
      </c>
      <c r="M291" s="37">
        <v>179986</v>
      </c>
    </row>
    <row r="292" spans="2:13" ht="13.5" hidden="1" customHeight="1" x14ac:dyDescent="0.25">
      <c r="B292" s="46">
        <v>44477</v>
      </c>
      <c r="C292" s="168" t="s">
        <v>7056</v>
      </c>
      <c r="D292" s="169" t="s">
        <v>7057</v>
      </c>
      <c r="E292" s="2" t="s">
        <v>6764</v>
      </c>
      <c r="F292" s="2"/>
      <c r="G292" s="2" t="s">
        <v>6443</v>
      </c>
      <c r="H292" s="169" t="s">
        <v>6862</v>
      </c>
      <c r="I292" s="3">
        <v>4590</v>
      </c>
      <c r="J292" s="4">
        <f>SUMIF(Cargas!$C$5:$C$3471,C292,Cargas!$O$5:$O$3471)</f>
        <v>0</v>
      </c>
      <c r="K292" s="18">
        <f t="shared" si="6"/>
        <v>4590</v>
      </c>
      <c r="L292" s="5" t="s">
        <v>7058</v>
      </c>
      <c r="M292" s="37">
        <v>180013</v>
      </c>
    </row>
    <row r="293" spans="2:13" ht="13.5" hidden="1" customHeight="1" x14ac:dyDescent="0.25">
      <c r="B293" s="46">
        <v>44477</v>
      </c>
      <c r="C293" s="168" t="s">
        <v>7059</v>
      </c>
      <c r="D293" s="169" t="s">
        <v>7060</v>
      </c>
      <c r="E293" s="2" t="s">
        <v>6764</v>
      </c>
      <c r="F293" s="2"/>
      <c r="G293" s="2" t="s">
        <v>6443</v>
      </c>
      <c r="H293" s="169" t="s">
        <v>7061</v>
      </c>
      <c r="I293" s="3">
        <v>918</v>
      </c>
      <c r="J293" s="4">
        <f>SUMIF(Cargas!$C$5:$C$3471,C293,Cargas!$O$5:$O$3471)</f>
        <v>0</v>
      </c>
      <c r="K293" s="18">
        <f t="shared" si="6"/>
        <v>918</v>
      </c>
      <c r="L293" s="5" t="s">
        <v>7062</v>
      </c>
      <c r="M293" s="37">
        <v>178687</v>
      </c>
    </row>
    <row r="294" spans="2:13" ht="13.5" hidden="1" customHeight="1" x14ac:dyDescent="0.25">
      <c r="B294" s="46">
        <v>44482</v>
      </c>
      <c r="C294" s="168" t="s">
        <v>7063</v>
      </c>
      <c r="D294" s="169" t="s">
        <v>7064</v>
      </c>
      <c r="E294" s="2" t="s">
        <v>6764</v>
      </c>
      <c r="F294" s="2"/>
      <c r="G294" s="2" t="s">
        <v>6443</v>
      </c>
      <c r="H294" s="169" t="s">
        <v>6444</v>
      </c>
      <c r="I294" s="3">
        <v>4590</v>
      </c>
      <c r="J294" s="4">
        <f>SUMIF(Cargas!$C$5:$C$3471,C294,Cargas!$O$5:$O$3471)</f>
        <v>0</v>
      </c>
      <c r="K294" s="18">
        <f t="shared" si="6"/>
        <v>4590</v>
      </c>
      <c r="L294" s="5" t="s">
        <v>7065</v>
      </c>
      <c r="M294" s="37">
        <v>182463</v>
      </c>
    </row>
    <row r="295" spans="2:13" ht="13.5" hidden="1" customHeight="1" x14ac:dyDescent="0.25">
      <c r="B295" s="46">
        <v>44198</v>
      </c>
      <c r="C295" s="6" t="s">
        <v>7066</v>
      </c>
      <c r="D295" s="2" t="s">
        <v>7067</v>
      </c>
      <c r="E295" s="2" t="s">
        <v>6442</v>
      </c>
      <c r="F295" s="2"/>
      <c r="G295" s="2" t="s">
        <v>6443</v>
      </c>
      <c r="H295" s="2" t="s">
        <v>6444</v>
      </c>
      <c r="I295" s="3">
        <v>1152</v>
      </c>
      <c r="J295" s="4" t="e">
        <f>SUMIF(Cargas!#REF!,C295,Cargas!#REF!)</f>
        <v>#REF!</v>
      </c>
      <c r="K295" s="18" t="e">
        <f t="shared" si="6"/>
        <v>#REF!</v>
      </c>
      <c r="L295" s="5" t="s">
        <v>7068</v>
      </c>
      <c r="M295" s="37">
        <v>2254</v>
      </c>
    </row>
    <row r="296" spans="2:13" ht="13.5" hidden="1" customHeight="1" x14ac:dyDescent="0.25">
      <c r="B296" s="46">
        <v>44198</v>
      </c>
      <c r="C296" s="6" t="s">
        <v>7069</v>
      </c>
      <c r="D296" s="2" t="s">
        <v>7067</v>
      </c>
      <c r="E296" s="2" t="s">
        <v>6442</v>
      </c>
      <c r="F296" s="2"/>
      <c r="G296" s="2" t="s">
        <v>6443</v>
      </c>
      <c r="H296" s="2" t="s">
        <v>6444</v>
      </c>
      <c r="I296" s="3">
        <v>1152</v>
      </c>
      <c r="J296" s="4" t="e">
        <f>SUMIF(Cargas!#REF!,C296,Cargas!#REF!)</f>
        <v>#REF!</v>
      </c>
      <c r="K296" s="18" t="e">
        <f t="shared" si="6"/>
        <v>#REF!</v>
      </c>
      <c r="L296" s="5" t="s">
        <v>7070</v>
      </c>
      <c r="M296" s="37">
        <v>2254</v>
      </c>
    </row>
    <row r="297" spans="2:13" ht="13.5" hidden="1" customHeight="1" x14ac:dyDescent="0.25">
      <c r="B297" s="46">
        <v>44198</v>
      </c>
      <c r="C297" s="6" t="s">
        <v>7071</v>
      </c>
      <c r="D297" s="2" t="s">
        <v>7067</v>
      </c>
      <c r="E297" s="2" t="s">
        <v>6442</v>
      </c>
      <c r="F297" s="2"/>
      <c r="G297" s="2" t="s">
        <v>6443</v>
      </c>
      <c r="H297" s="2" t="s">
        <v>6444</v>
      </c>
      <c r="I297" s="3">
        <v>1152</v>
      </c>
      <c r="J297" s="4" t="e">
        <f>SUMIF(Cargas!#REF!,C297,Cargas!#REF!)</f>
        <v>#REF!</v>
      </c>
      <c r="K297" s="18" t="e">
        <f t="shared" si="6"/>
        <v>#REF!</v>
      </c>
      <c r="L297" s="5" t="s">
        <v>7072</v>
      </c>
      <c r="M297" s="37">
        <v>2254</v>
      </c>
    </row>
    <row r="298" spans="2:13" ht="13.5" hidden="1" customHeight="1" x14ac:dyDescent="0.25">
      <c r="B298" s="46">
        <v>44482</v>
      </c>
      <c r="C298" s="168" t="s">
        <v>7073</v>
      </c>
      <c r="D298" s="169" t="s">
        <v>7074</v>
      </c>
      <c r="E298" s="2" t="s">
        <v>6764</v>
      </c>
      <c r="F298" s="2"/>
      <c r="G298" s="2" t="s">
        <v>6443</v>
      </c>
      <c r="H298" s="169" t="s">
        <v>6768</v>
      </c>
      <c r="I298" s="3">
        <v>5508</v>
      </c>
      <c r="J298" s="4">
        <f>SUMIF(Cargas!$C$5:$C$3471,C298,Cargas!$O$5:$O$3471)</f>
        <v>0</v>
      </c>
      <c r="K298" s="18">
        <f t="shared" si="6"/>
        <v>5508</v>
      </c>
      <c r="L298" s="5" t="s">
        <v>7075</v>
      </c>
      <c r="M298" s="37">
        <v>182487</v>
      </c>
    </row>
    <row r="299" spans="2:13" ht="13.5" hidden="1" customHeight="1" x14ac:dyDescent="0.25">
      <c r="B299" s="46">
        <v>44484</v>
      </c>
      <c r="C299" s="168" t="s">
        <v>7076</v>
      </c>
      <c r="D299" s="169" t="s">
        <v>7077</v>
      </c>
      <c r="E299" s="2" t="s">
        <v>6764</v>
      </c>
      <c r="F299" s="2"/>
      <c r="G299" s="2" t="s">
        <v>6443</v>
      </c>
      <c r="H299" s="169" t="s">
        <v>7061</v>
      </c>
      <c r="I299" s="3">
        <v>1836</v>
      </c>
      <c r="J299" s="4">
        <f>SUMIF(Cargas!$C$5:$C$3471,C299,Cargas!$O$5:$O$3471)</f>
        <v>0</v>
      </c>
      <c r="K299" s="18">
        <f t="shared" si="6"/>
        <v>1836</v>
      </c>
      <c r="L299" s="5" t="s">
        <v>7078</v>
      </c>
      <c r="M299" s="37">
        <v>183858</v>
      </c>
    </row>
    <row r="300" spans="2:13" ht="13.5" hidden="1" customHeight="1" x14ac:dyDescent="0.25">
      <c r="B300" s="46">
        <v>44488</v>
      </c>
      <c r="C300" s="168" t="s">
        <v>7079</v>
      </c>
      <c r="D300" s="169" t="s">
        <v>7080</v>
      </c>
      <c r="E300" s="2" t="s">
        <v>6764</v>
      </c>
      <c r="F300" s="2"/>
      <c r="G300" s="2" t="s">
        <v>6443</v>
      </c>
      <c r="H300" s="169" t="s">
        <v>6768</v>
      </c>
      <c r="I300" s="3">
        <v>6426</v>
      </c>
      <c r="J300" s="4">
        <f>SUMIF(Cargas!$C$5:$C$3471,C300,Cargas!$O$5:$O$3471)</f>
        <v>0</v>
      </c>
      <c r="K300" s="18">
        <f t="shared" si="6"/>
        <v>6426</v>
      </c>
      <c r="L300" s="5" t="s">
        <v>7081</v>
      </c>
      <c r="M300" s="37">
        <v>186173</v>
      </c>
    </row>
    <row r="301" spans="2:13" ht="13.5" hidden="1" customHeight="1" x14ac:dyDescent="0.25">
      <c r="B301" s="46">
        <v>44488</v>
      </c>
      <c r="C301" s="168" t="s">
        <v>7082</v>
      </c>
      <c r="D301" s="169" t="s">
        <v>7083</v>
      </c>
      <c r="E301" s="2" t="s">
        <v>6764</v>
      </c>
      <c r="F301" s="2"/>
      <c r="G301" s="2" t="s">
        <v>6443</v>
      </c>
      <c r="H301" s="169" t="s">
        <v>6963</v>
      </c>
      <c r="I301" s="3">
        <v>4032</v>
      </c>
      <c r="J301" s="4">
        <f>SUMIF(Cargas!$C$5:$C$3471,C301,Cargas!$O$5:$O$3471)</f>
        <v>0</v>
      </c>
      <c r="K301" s="18">
        <f t="shared" si="6"/>
        <v>4032</v>
      </c>
      <c r="L301" s="5" t="s">
        <v>7084</v>
      </c>
      <c r="M301" s="37">
        <v>187595</v>
      </c>
    </row>
    <row r="302" spans="2:13" ht="13.5" hidden="1" customHeight="1" x14ac:dyDescent="0.25">
      <c r="B302" s="46">
        <v>44494</v>
      </c>
      <c r="C302" s="168" t="s">
        <v>7085</v>
      </c>
      <c r="D302" s="169" t="s">
        <v>7086</v>
      </c>
      <c r="E302" s="2" t="s">
        <v>6764</v>
      </c>
      <c r="F302" s="2"/>
      <c r="G302" s="2" t="s">
        <v>6443</v>
      </c>
      <c r="H302" s="169" t="s">
        <v>6823</v>
      </c>
      <c r="I302" s="3">
        <v>6426</v>
      </c>
      <c r="J302" s="4">
        <f>SUMIF(Cargas!$C$5:$C$3471,C302,Cargas!$O$5:$O$3471)</f>
        <v>0</v>
      </c>
      <c r="K302" s="18">
        <f t="shared" si="6"/>
        <v>6426</v>
      </c>
      <c r="L302" s="5" t="s">
        <v>7087</v>
      </c>
      <c r="M302" s="37">
        <v>193608</v>
      </c>
    </row>
    <row r="303" spans="2:13" ht="13.5" hidden="1" customHeight="1" x14ac:dyDescent="0.25">
      <c r="B303" s="46">
        <v>44494</v>
      </c>
      <c r="C303" s="168" t="s">
        <v>7088</v>
      </c>
      <c r="D303" s="169" t="s">
        <v>7089</v>
      </c>
      <c r="E303" s="2" t="s">
        <v>6764</v>
      </c>
      <c r="F303" s="2"/>
      <c r="G303" s="2" t="s">
        <v>6443</v>
      </c>
      <c r="H303" s="169" t="s">
        <v>6444</v>
      </c>
      <c r="I303" s="3">
        <v>4590</v>
      </c>
      <c r="J303" s="4">
        <f>SUMIF(Cargas!$C$5:$C$3471,C303,Cargas!$O$5:$O$3471)</f>
        <v>0</v>
      </c>
      <c r="K303" s="18">
        <f t="shared" si="6"/>
        <v>4590</v>
      </c>
      <c r="L303" s="5" t="s">
        <v>7090</v>
      </c>
      <c r="M303" s="37">
        <v>190644</v>
      </c>
    </row>
    <row r="304" spans="2:13" ht="13.5" hidden="1" customHeight="1" x14ac:dyDescent="0.25">
      <c r="B304" s="46">
        <v>44494</v>
      </c>
      <c r="C304" s="168" t="s">
        <v>7091</v>
      </c>
      <c r="D304" s="169" t="s">
        <v>7092</v>
      </c>
      <c r="E304" s="2" t="s">
        <v>6764</v>
      </c>
      <c r="F304" s="2"/>
      <c r="G304" s="2" t="s">
        <v>6443</v>
      </c>
      <c r="H304" s="169" t="s">
        <v>6862</v>
      </c>
      <c r="I304" s="3">
        <v>4590</v>
      </c>
      <c r="J304" s="4">
        <f>SUMIF(Cargas!$C$5:$C$3471,C304,Cargas!$O$5:$O$3471)</f>
        <v>0</v>
      </c>
      <c r="K304" s="18">
        <f t="shared" si="6"/>
        <v>4590</v>
      </c>
      <c r="L304" s="5" t="s">
        <v>7093</v>
      </c>
      <c r="M304" s="37">
        <v>192064</v>
      </c>
    </row>
    <row r="305" spans="2:13" ht="13.5" hidden="1" customHeight="1" x14ac:dyDescent="0.25">
      <c r="B305" s="46">
        <v>44494</v>
      </c>
      <c r="C305" s="168" t="s">
        <v>7094</v>
      </c>
      <c r="D305" s="169" t="s">
        <v>7095</v>
      </c>
      <c r="E305" s="2" t="s">
        <v>6764</v>
      </c>
      <c r="F305" s="2"/>
      <c r="G305" s="2" t="s">
        <v>6443</v>
      </c>
      <c r="H305" s="169" t="s">
        <v>6963</v>
      </c>
      <c r="I305" s="3">
        <v>4032</v>
      </c>
      <c r="J305" s="4">
        <f>SUMIF(Cargas!$C$5:$C$3471,C305,Cargas!$O$5:$O$3471)</f>
        <v>0</v>
      </c>
      <c r="K305" s="18">
        <f t="shared" si="6"/>
        <v>4032</v>
      </c>
      <c r="L305" s="5" t="s">
        <v>7096</v>
      </c>
      <c r="M305" s="37">
        <v>191291</v>
      </c>
    </row>
    <row r="306" spans="2:13" ht="13.5" hidden="1" customHeight="1" x14ac:dyDescent="0.25">
      <c r="B306" s="46">
        <v>44494</v>
      </c>
      <c r="C306" s="168" t="s">
        <v>7097</v>
      </c>
      <c r="D306" s="169" t="s">
        <v>7067</v>
      </c>
      <c r="E306" s="2" t="s">
        <v>6764</v>
      </c>
      <c r="F306" s="2"/>
      <c r="G306" s="2" t="s">
        <v>6443</v>
      </c>
      <c r="H306" s="169" t="s">
        <v>6768</v>
      </c>
      <c r="I306" s="3">
        <v>910</v>
      </c>
      <c r="J306" s="4">
        <f>SUMIF(Cargas!$C$5:$C$3471,C306,Cargas!$O$5:$O$3471)</f>
        <v>0</v>
      </c>
      <c r="K306" s="18">
        <f t="shared" si="6"/>
        <v>910</v>
      </c>
      <c r="L306" s="5" t="s">
        <v>7098</v>
      </c>
      <c r="M306" s="37">
        <v>190545</v>
      </c>
    </row>
    <row r="307" spans="2:13" ht="13.5" hidden="1" customHeight="1" x14ac:dyDescent="0.25">
      <c r="B307" s="46">
        <v>44504</v>
      </c>
      <c r="C307" s="168" t="s">
        <v>7099</v>
      </c>
      <c r="D307" s="169" t="s">
        <v>7100</v>
      </c>
      <c r="E307" s="2" t="s">
        <v>6764</v>
      </c>
      <c r="F307" s="2"/>
      <c r="G307" s="2" t="s">
        <v>6443</v>
      </c>
      <c r="H307" s="169" t="s">
        <v>6768</v>
      </c>
      <c r="I307" s="3">
        <v>6426</v>
      </c>
      <c r="J307" s="4">
        <f>SUMIF(Cargas!$C$5:$C$3471,C307,Cargas!$O$5:$O$3471)</f>
        <v>0</v>
      </c>
      <c r="K307" s="18">
        <f t="shared" si="6"/>
        <v>6426</v>
      </c>
      <c r="L307" s="5" t="s">
        <v>7101</v>
      </c>
      <c r="M307" s="37">
        <v>201063</v>
      </c>
    </row>
    <row r="308" spans="2:13" ht="13.5" hidden="1" customHeight="1" x14ac:dyDescent="0.25">
      <c r="B308" s="46">
        <v>44504</v>
      </c>
      <c r="C308" s="168" t="s">
        <v>7102</v>
      </c>
      <c r="D308" s="169" t="s">
        <v>7103</v>
      </c>
      <c r="E308" s="2" t="s">
        <v>6764</v>
      </c>
      <c r="F308" s="2"/>
      <c r="G308" s="2" t="s">
        <v>6443</v>
      </c>
      <c r="H308" s="169" t="s">
        <v>6444</v>
      </c>
      <c r="I308" s="3">
        <v>4590</v>
      </c>
      <c r="J308" s="4">
        <f>SUMIF(Cargas!$C$5:$C$3471,C308,Cargas!$O$5:$O$3471)</f>
        <v>0</v>
      </c>
      <c r="K308" s="18">
        <f t="shared" si="6"/>
        <v>4590</v>
      </c>
      <c r="L308" s="5" t="s">
        <v>7104</v>
      </c>
      <c r="M308" s="37">
        <v>198410</v>
      </c>
    </row>
    <row r="309" spans="2:13" ht="13.5" hidden="1" customHeight="1" x14ac:dyDescent="0.25">
      <c r="B309" s="46">
        <v>44504</v>
      </c>
      <c r="C309" s="168" t="s">
        <v>7105</v>
      </c>
      <c r="D309" s="169" t="s">
        <v>7106</v>
      </c>
      <c r="E309" s="2" t="s">
        <v>6764</v>
      </c>
      <c r="F309" s="2"/>
      <c r="G309" s="2" t="s">
        <v>6443</v>
      </c>
      <c r="H309" s="169" t="s">
        <v>6862</v>
      </c>
      <c r="I309" s="3">
        <v>4590</v>
      </c>
      <c r="J309" s="4">
        <f>SUMIF(Cargas!$C$5:$C$3471,C309,Cargas!$O$5:$O$3471)</f>
        <v>0</v>
      </c>
      <c r="K309" s="18">
        <f t="shared" si="6"/>
        <v>4590</v>
      </c>
      <c r="L309" s="5" t="s">
        <v>7107</v>
      </c>
      <c r="M309" s="37">
        <v>198306</v>
      </c>
    </row>
    <row r="310" spans="2:13" ht="13.5" hidden="1" customHeight="1" x14ac:dyDescent="0.25">
      <c r="B310" s="46">
        <v>44504</v>
      </c>
      <c r="C310" s="168" t="s">
        <v>7108</v>
      </c>
      <c r="D310" s="169" t="s">
        <v>7109</v>
      </c>
      <c r="E310" s="2" t="s">
        <v>6764</v>
      </c>
      <c r="F310" s="2"/>
      <c r="G310" s="2" t="s">
        <v>6443</v>
      </c>
      <c r="H310" s="169" t="s">
        <v>6963</v>
      </c>
      <c r="I310" s="3">
        <v>4032</v>
      </c>
      <c r="J310" s="4">
        <f>SUMIF(Cargas!$C$5:$C$3471,C310,Cargas!$O$5:$O$3471)</f>
        <v>0</v>
      </c>
      <c r="K310" s="18">
        <f t="shared" si="6"/>
        <v>4032</v>
      </c>
      <c r="L310" s="5" t="s">
        <v>7110</v>
      </c>
      <c r="M310" s="37">
        <v>201925</v>
      </c>
    </row>
    <row r="311" spans="2:13" ht="13.5" hidden="1" customHeight="1" x14ac:dyDescent="0.25">
      <c r="B311" s="46">
        <v>44504</v>
      </c>
      <c r="C311" s="168" t="s">
        <v>7111</v>
      </c>
      <c r="D311" s="169" t="s">
        <v>7112</v>
      </c>
      <c r="E311" s="2" t="s">
        <v>6764</v>
      </c>
      <c r="F311" s="2"/>
      <c r="G311" s="2" t="s">
        <v>6443</v>
      </c>
      <c r="H311" s="169" t="s">
        <v>7061</v>
      </c>
      <c r="I311" s="3">
        <v>2016</v>
      </c>
      <c r="J311" s="4">
        <f>SUMIF(Cargas!$C$5:$C$3471,C311,Cargas!$O$5:$O$3471)</f>
        <v>0</v>
      </c>
      <c r="K311" s="18">
        <f t="shared" si="6"/>
        <v>2016</v>
      </c>
      <c r="L311" s="5" t="s">
        <v>7113</v>
      </c>
      <c r="M311" s="37">
        <v>199889</v>
      </c>
    </row>
    <row r="312" spans="2:13" ht="13.5" hidden="1" customHeight="1" x14ac:dyDescent="0.25">
      <c r="B312" s="46">
        <v>44516</v>
      </c>
      <c r="C312" s="168" t="s">
        <v>7114</v>
      </c>
      <c r="D312" s="169" t="s">
        <v>7115</v>
      </c>
      <c r="E312" s="2" t="s">
        <v>6764</v>
      </c>
      <c r="F312" s="2"/>
      <c r="G312" s="2" t="s">
        <v>6443</v>
      </c>
      <c r="H312" s="169" t="s">
        <v>6768</v>
      </c>
      <c r="I312" s="3">
        <v>6426</v>
      </c>
      <c r="J312" s="4">
        <f>SUMIF(Cargas!$C$5:$C$3471,C312,Cargas!$O$5:$O$3471)</f>
        <v>0</v>
      </c>
      <c r="K312" s="18">
        <f t="shared" si="6"/>
        <v>6426</v>
      </c>
      <c r="L312" s="5" t="s">
        <v>7116</v>
      </c>
      <c r="M312" s="37">
        <v>206271</v>
      </c>
    </row>
    <row r="313" spans="2:13" ht="13.5" hidden="1" customHeight="1" x14ac:dyDescent="0.25">
      <c r="B313" s="46">
        <v>44516</v>
      </c>
      <c r="C313" s="168" t="s">
        <v>7117</v>
      </c>
      <c r="D313" s="169" t="s">
        <v>7118</v>
      </c>
      <c r="E313" s="2" t="s">
        <v>6764</v>
      </c>
      <c r="F313" s="2"/>
      <c r="G313" s="2" t="s">
        <v>6443</v>
      </c>
      <c r="H313" s="169" t="s">
        <v>6862</v>
      </c>
      <c r="I313" s="3">
        <v>4590</v>
      </c>
      <c r="J313" s="4">
        <f>SUMIF(Cargas!$C$5:$C$3471,C313,Cargas!$O$5:$O$3471)</f>
        <v>0</v>
      </c>
      <c r="K313" s="18">
        <f t="shared" si="6"/>
        <v>4590</v>
      </c>
      <c r="L313" s="5" t="s">
        <v>7119</v>
      </c>
      <c r="M313" s="37">
        <v>207285</v>
      </c>
    </row>
    <row r="314" spans="2:13" ht="13.5" hidden="1" customHeight="1" x14ac:dyDescent="0.25">
      <c r="B314" s="46">
        <v>44516</v>
      </c>
      <c r="C314" s="168" t="s">
        <v>7120</v>
      </c>
      <c r="D314" s="169" t="s">
        <v>7121</v>
      </c>
      <c r="E314" s="2" t="s">
        <v>6764</v>
      </c>
      <c r="F314" s="2"/>
      <c r="G314" s="2" t="s">
        <v>6443</v>
      </c>
      <c r="H314" s="169" t="s">
        <v>6963</v>
      </c>
      <c r="I314" s="3">
        <v>4032</v>
      </c>
      <c r="J314" s="4">
        <f>SUMIF(Cargas!$C$5:$C$3471,C314,Cargas!$O$5:$O$3471)</f>
        <v>0</v>
      </c>
      <c r="K314" s="18">
        <f t="shared" si="6"/>
        <v>4032</v>
      </c>
      <c r="L314" s="5" t="s">
        <v>7122</v>
      </c>
      <c r="M314" s="37">
        <v>208251</v>
      </c>
    </row>
    <row r="315" spans="2:13" ht="13.5" hidden="1" customHeight="1" x14ac:dyDescent="0.25">
      <c r="B315" s="46">
        <v>44540</v>
      </c>
      <c r="C315" s="6" t="s">
        <v>7123</v>
      </c>
      <c r="D315" s="2" t="s">
        <v>6834</v>
      </c>
      <c r="E315" s="2" t="s">
        <v>6442</v>
      </c>
      <c r="F315" s="2"/>
      <c r="G315" s="2" t="s">
        <v>6443</v>
      </c>
      <c r="H315" s="2" t="s">
        <v>6444</v>
      </c>
      <c r="I315" s="3">
        <v>1104</v>
      </c>
      <c r="J315" s="4">
        <f>SUMIF(Cargas!$C$5:$C$3470,C315,Cargas!$O$5:$O$3470)</f>
        <v>0</v>
      </c>
      <c r="K315" s="18">
        <f t="shared" ref="K315:K378" si="7">IF(ABS(I315-J315)&lt;20,0,I315-J315)</f>
        <v>1104</v>
      </c>
      <c r="L315" s="5" t="s">
        <v>6835</v>
      </c>
      <c r="M315" s="37" t="s">
        <v>299</v>
      </c>
    </row>
    <row r="316" spans="2:13" ht="13.5" hidden="1" customHeight="1" x14ac:dyDescent="0.25">
      <c r="B316" s="46">
        <v>44516</v>
      </c>
      <c r="C316" s="168" t="s">
        <v>7124</v>
      </c>
      <c r="D316" s="169" t="s">
        <v>7125</v>
      </c>
      <c r="E316" s="2" t="s">
        <v>6764</v>
      </c>
      <c r="F316" s="2"/>
      <c r="G316" s="2" t="s">
        <v>6443</v>
      </c>
      <c r="H316" s="169" t="s">
        <v>6963</v>
      </c>
      <c r="I316" s="3">
        <v>918</v>
      </c>
      <c r="J316" s="4">
        <f>SUMIF(Cargas!$C$5:$C$3471,C316,Cargas!$O$5:$O$3471)</f>
        <v>0</v>
      </c>
      <c r="K316" s="18">
        <f t="shared" si="7"/>
        <v>918</v>
      </c>
      <c r="L316" s="5" t="s">
        <v>7126</v>
      </c>
      <c r="M316" s="37">
        <v>219231</v>
      </c>
    </row>
    <row r="317" spans="2:13" ht="13.5" hidden="1" customHeight="1" x14ac:dyDescent="0.25">
      <c r="B317" s="46">
        <v>44524</v>
      </c>
      <c r="C317" s="168" t="s">
        <v>7127</v>
      </c>
      <c r="D317" s="169" t="s">
        <v>7128</v>
      </c>
      <c r="E317" s="2" t="s">
        <v>6764</v>
      </c>
      <c r="F317" s="2"/>
      <c r="G317" s="2" t="s">
        <v>6443</v>
      </c>
      <c r="H317" s="169" t="s">
        <v>6768</v>
      </c>
      <c r="I317" s="3">
        <v>6426</v>
      </c>
      <c r="J317" s="4">
        <f>SUMIF(Cargas!$C$5:$C$3471,C317,Cargas!$O$5:$O$3471)</f>
        <v>0</v>
      </c>
      <c r="K317" s="18">
        <f t="shared" si="7"/>
        <v>6426</v>
      </c>
      <c r="L317" s="5" t="s">
        <v>7129</v>
      </c>
      <c r="M317" s="37">
        <v>213802</v>
      </c>
    </row>
    <row r="318" spans="2:13" ht="13.5" hidden="1" customHeight="1" x14ac:dyDescent="0.25">
      <c r="B318" s="46">
        <v>44526</v>
      </c>
      <c r="C318" s="168" t="s">
        <v>7130</v>
      </c>
      <c r="D318" s="169" t="s">
        <v>7131</v>
      </c>
      <c r="E318" s="2" t="s">
        <v>6764</v>
      </c>
      <c r="F318" s="2"/>
      <c r="G318" s="2" t="s">
        <v>6443</v>
      </c>
      <c r="H318" s="169" t="s">
        <v>6444</v>
      </c>
      <c r="I318" s="3">
        <v>4590</v>
      </c>
      <c r="J318" s="4">
        <f>SUMIF(Cargas!$C$5:$C$3471,C318,Cargas!$O$5:$O$3471)</f>
        <v>0</v>
      </c>
      <c r="K318" s="18">
        <f t="shared" si="7"/>
        <v>4590</v>
      </c>
      <c r="L318" s="5" t="s">
        <v>7132</v>
      </c>
      <c r="M318" s="37">
        <v>219168</v>
      </c>
    </row>
    <row r="319" spans="2:13" ht="13.5" hidden="1" customHeight="1" x14ac:dyDescent="0.25">
      <c r="B319" s="46">
        <v>44524</v>
      </c>
      <c r="C319" s="168" t="s">
        <v>7133</v>
      </c>
      <c r="D319" s="169" t="s">
        <v>7134</v>
      </c>
      <c r="E319" s="2" t="s">
        <v>6764</v>
      </c>
      <c r="F319" s="2"/>
      <c r="G319" s="2" t="s">
        <v>6443</v>
      </c>
      <c r="H319" s="169" t="s">
        <v>6862</v>
      </c>
      <c r="I319" s="3">
        <v>4590</v>
      </c>
      <c r="J319" s="4">
        <f>SUMIF(Cargas!$C$5:$C$3471,C319,Cargas!$O$5:$O$3471)</f>
        <v>0</v>
      </c>
      <c r="K319" s="18">
        <f t="shared" si="7"/>
        <v>4590</v>
      </c>
      <c r="L319" s="5" t="s">
        <v>7135</v>
      </c>
      <c r="M319" s="37">
        <v>213688</v>
      </c>
    </row>
    <row r="320" spans="2:13" ht="13.5" hidden="1" customHeight="1" x14ac:dyDescent="0.25">
      <c r="B320" s="46">
        <v>44540</v>
      </c>
      <c r="C320" s="6" t="s">
        <v>7136</v>
      </c>
      <c r="D320" s="2" t="s">
        <v>6834</v>
      </c>
      <c r="E320" s="2" t="s">
        <v>6442</v>
      </c>
      <c r="F320" s="2"/>
      <c r="G320" s="2" t="s">
        <v>6443</v>
      </c>
      <c r="H320" s="2" t="s">
        <v>6444</v>
      </c>
      <c r="I320" s="3">
        <v>1104</v>
      </c>
      <c r="J320" s="4">
        <f>SUMIF(Cargas!$C$5:$C$3470,C320,Cargas!$O$5:$O$3470)</f>
        <v>0</v>
      </c>
      <c r="K320" s="18">
        <f t="shared" si="7"/>
        <v>1104</v>
      </c>
      <c r="L320" s="5" t="s">
        <v>6835</v>
      </c>
      <c r="M320" s="37" t="s">
        <v>299</v>
      </c>
    </row>
    <row r="321" spans="1:13" ht="13.5" hidden="1" customHeight="1" x14ac:dyDescent="0.25">
      <c r="B321" s="46">
        <v>44547</v>
      </c>
      <c r="C321" s="6" t="s">
        <v>7137</v>
      </c>
      <c r="D321" s="2" t="s">
        <v>7138</v>
      </c>
      <c r="E321" s="2" t="s">
        <v>6442</v>
      </c>
      <c r="F321" s="2"/>
      <c r="G321" s="2" t="s">
        <v>6443</v>
      </c>
      <c r="H321" s="2" t="s">
        <v>6444</v>
      </c>
      <c r="I321" s="3">
        <v>1104</v>
      </c>
      <c r="J321" s="4">
        <f>SUMIF(Cargas!$C$5:$C$3470,C321,Cargas!$O$5:$O$3470)</f>
        <v>0</v>
      </c>
      <c r="K321" s="18">
        <f t="shared" si="7"/>
        <v>1104</v>
      </c>
      <c r="L321" s="5" t="s">
        <v>7139</v>
      </c>
      <c r="M321" s="37" t="s">
        <v>299</v>
      </c>
    </row>
    <row r="322" spans="1:13" ht="13.5" hidden="1" customHeight="1" x14ac:dyDescent="0.25">
      <c r="B322" s="46">
        <v>44548</v>
      </c>
      <c r="C322" s="6" t="s">
        <v>7140</v>
      </c>
      <c r="D322" s="2" t="s">
        <v>7138</v>
      </c>
      <c r="E322" s="2" t="s">
        <v>6442</v>
      </c>
      <c r="F322" s="2"/>
      <c r="G322" s="2" t="s">
        <v>6443</v>
      </c>
      <c r="H322" s="2" t="s">
        <v>6444</v>
      </c>
      <c r="I322" s="3">
        <v>1104</v>
      </c>
      <c r="J322" s="4">
        <f>SUMIF(Cargas!$C$5:$C$3470,C322,Cargas!$O$5:$O$3470)</f>
        <v>0</v>
      </c>
      <c r="K322" s="18">
        <f t="shared" si="7"/>
        <v>1104</v>
      </c>
      <c r="L322" s="5" t="s">
        <v>7139</v>
      </c>
      <c r="M322" s="37" t="s">
        <v>299</v>
      </c>
    </row>
    <row r="323" spans="1:13" ht="13.5" hidden="1" customHeight="1" x14ac:dyDescent="0.25">
      <c r="B323" s="46">
        <v>44549</v>
      </c>
      <c r="C323" s="6" t="s">
        <v>7141</v>
      </c>
      <c r="D323" s="2" t="s">
        <v>7138</v>
      </c>
      <c r="E323" s="2" t="s">
        <v>6442</v>
      </c>
      <c r="F323" s="2"/>
      <c r="G323" s="2" t="s">
        <v>6443</v>
      </c>
      <c r="H323" s="2" t="s">
        <v>6444</v>
      </c>
      <c r="I323" s="3">
        <v>1104</v>
      </c>
      <c r="J323" s="4">
        <f>SUMIF(Cargas!$C$5:$C$3470,C323,Cargas!$O$5:$O$3470)</f>
        <v>0</v>
      </c>
      <c r="K323" s="18">
        <f t="shared" si="7"/>
        <v>1104</v>
      </c>
      <c r="L323" s="5" t="s">
        <v>7139</v>
      </c>
      <c r="M323" s="37" t="s">
        <v>299</v>
      </c>
    </row>
    <row r="324" spans="1:13" ht="13.5" hidden="1" customHeight="1" x14ac:dyDescent="0.25">
      <c r="B324" s="46">
        <v>44554</v>
      </c>
      <c r="C324" s="6" t="s">
        <v>7142</v>
      </c>
      <c r="D324" s="2" t="s">
        <v>7143</v>
      </c>
      <c r="E324" s="2" t="s">
        <v>6442</v>
      </c>
      <c r="F324" s="2"/>
      <c r="G324" s="2" t="s">
        <v>6443</v>
      </c>
      <c r="H324" s="2" t="s">
        <v>6444</v>
      </c>
      <c r="I324" s="3">
        <v>1104</v>
      </c>
      <c r="J324" s="4">
        <f>SUMIF(Cargas!$C$5:$C$3470,C324,Cargas!$O$5:$O$3470)</f>
        <v>0</v>
      </c>
      <c r="K324" s="18">
        <f t="shared" si="7"/>
        <v>1104</v>
      </c>
      <c r="L324" s="5" t="s">
        <v>7144</v>
      </c>
      <c r="M324" s="37">
        <v>238033</v>
      </c>
    </row>
    <row r="325" spans="1:13" ht="13.5" hidden="1" customHeight="1" x14ac:dyDescent="0.25">
      <c r="B325" s="46">
        <v>44554</v>
      </c>
      <c r="C325" s="6" t="s">
        <v>7145</v>
      </c>
      <c r="D325" s="2" t="s">
        <v>7143</v>
      </c>
      <c r="E325" s="2" t="s">
        <v>6442</v>
      </c>
      <c r="F325" s="2"/>
      <c r="G325" s="2" t="s">
        <v>6443</v>
      </c>
      <c r="H325" s="2" t="s">
        <v>6444</v>
      </c>
      <c r="I325" s="3">
        <v>1104</v>
      </c>
      <c r="J325" s="4">
        <f>SUMIF(Cargas!$C$5:$C$3470,C325,Cargas!$O$5:$O$3470)</f>
        <v>0</v>
      </c>
      <c r="K325" s="18">
        <f t="shared" si="7"/>
        <v>1104</v>
      </c>
      <c r="L325" s="5" t="s">
        <v>7144</v>
      </c>
      <c r="M325" s="37">
        <v>238033</v>
      </c>
    </row>
    <row r="326" spans="1:13" ht="13.5" hidden="1" customHeight="1" x14ac:dyDescent="0.25">
      <c r="B326" s="46">
        <v>44554</v>
      </c>
      <c r="C326" s="6" t="s">
        <v>7146</v>
      </c>
      <c r="D326" s="2" t="s">
        <v>7143</v>
      </c>
      <c r="E326" s="2" t="s">
        <v>6442</v>
      </c>
      <c r="F326" s="2"/>
      <c r="G326" s="2" t="s">
        <v>6443</v>
      </c>
      <c r="H326" s="2" t="s">
        <v>6444</v>
      </c>
      <c r="I326" s="3">
        <v>1104</v>
      </c>
      <c r="J326" s="4">
        <f>SUMIF(Cargas!$C$5:$C$3470,C326,Cargas!$O$5:$O$3470)</f>
        <v>0</v>
      </c>
      <c r="K326" s="18">
        <f t="shared" si="7"/>
        <v>1104</v>
      </c>
      <c r="L326" s="5" t="s">
        <v>7144</v>
      </c>
      <c r="M326" s="37">
        <v>238033</v>
      </c>
    </row>
    <row r="327" spans="1:13" ht="13.5" hidden="1" customHeight="1" x14ac:dyDescent="0.25">
      <c r="B327" s="46">
        <v>44200</v>
      </c>
      <c r="C327" s="6" t="s">
        <v>7147</v>
      </c>
      <c r="D327" s="2" t="s">
        <v>7148</v>
      </c>
      <c r="E327" s="2" t="s">
        <v>6764</v>
      </c>
      <c r="F327" s="2"/>
      <c r="G327" s="2" t="s">
        <v>6443</v>
      </c>
      <c r="H327" s="2" t="s">
        <v>6455</v>
      </c>
      <c r="I327" s="3">
        <v>1300</v>
      </c>
      <c r="J327" s="4" t="e">
        <f>SUMIF(Cargas!#REF!,C327,Cargas!#REF!)</f>
        <v>#REF!</v>
      </c>
      <c r="K327" s="18" t="e">
        <f t="shared" si="7"/>
        <v>#REF!</v>
      </c>
      <c r="L327" s="5" t="s">
        <v>7149</v>
      </c>
      <c r="M327" s="37">
        <v>3671</v>
      </c>
    </row>
    <row r="328" spans="1:13" ht="13.5" hidden="1" customHeight="1" x14ac:dyDescent="0.25">
      <c r="B328" s="46">
        <v>44561</v>
      </c>
      <c r="C328" s="6" t="s">
        <v>7150</v>
      </c>
      <c r="D328" s="2" t="s">
        <v>7151</v>
      </c>
      <c r="E328" s="2" t="s">
        <v>6442</v>
      </c>
      <c r="F328" s="2"/>
      <c r="G328" s="2" t="s">
        <v>6443</v>
      </c>
      <c r="H328" s="2" t="s">
        <v>6444</v>
      </c>
      <c r="I328" s="3">
        <v>1104</v>
      </c>
      <c r="J328" s="4">
        <f>SUMIF(Cargas!$C$5:$C$3470,C328,Cargas!$O$5:$O$3470)</f>
        <v>0</v>
      </c>
      <c r="K328" s="18">
        <f t="shared" si="7"/>
        <v>1104</v>
      </c>
      <c r="L328" s="5" t="s">
        <v>7152</v>
      </c>
      <c r="M328" s="37" t="s">
        <v>299</v>
      </c>
    </row>
    <row r="329" spans="1:13" ht="13.5" hidden="1" customHeight="1" x14ac:dyDescent="0.25">
      <c r="A329" t="s">
        <v>2</v>
      </c>
      <c r="B329" s="46">
        <v>44561</v>
      </c>
      <c r="C329" s="6" t="s">
        <v>7153</v>
      </c>
      <c r="D329" s="2" t="s">
        <v>7151</v>
      </c>
      <c r="E329" s="2" t="s">
        <v>6442</v>
      </c>
      <c r="F329" s="2"/>
      <c r="G329" s="2" t="s">
        <v>6443</v>
      </c>
      <c r="H329" s="2" t="s">
        <v>6444</v>
      </c>
      <c r="I329" s="3">
        <v>1104</v>
      </c>
      <c r="J329" s="4">
        <f>SUMIF(Cargas!$C$5:$C$3470,C329,Cargas!$O$5:$O$3470)</f>
        <v>0</v>
      </c>
      <c r="K329" s="18">
        <f t="shared" si="7"/>
        <v>1104</v>
      </c>
      <c r="L329" s="5" t="s">
        <v>7152</v>
      </c>
      <c r="M329" s="37" t="s">
        <v>299</v>
      </c>
    </row>
    <row r="330" spans="1:13" ht="13.5" hidden="1" customHeight="1" x14ac:dyDescent="0.25">
      <c r="B330" s="46">
        <v>44561</v>
      </c>
      <c r="C330" s="6" t="s">
        <v>7154</v>
      </c>
      <c r="D330" s="2" t="s">
        <v>7151</v>
      </c>
      <c r="E330" s="2" t="s">
        <v>6442</v>
      </c>
      <c r="F330" s="2"/>
      <c r="G330" s="2" t="s">
        <v>6443</v>
      </c>
      <c r="H330" s="2" t="s">
        <v>6444</v>
      </c>
      <c r="I330" s="3">
        <v>1104</v>
      </c>
      <c r="J330" s="4">
        <f>SUMIF(Cargas!$C$5:$C$3470,C330,Cargas!$O$5:$O$3470)</f>
        <v>0</v>
      </c>
      <c r="K330" s="18">
        <f t="shared" si="7"/>
        <v>1104</v>
      </c>
      <c r="L330" s="5" t="s">
        <v>7152</v>
      </c>
      <c r="M330" s="37" t="s">
        <v>299</v>
      </c>
    </row>
    <row r="331" spans="1:13" ht="13.5" hidden="1" customHeight="1" x14ac:dyDescent="0.25">
      <c r="B331" s="46">
        <v>44718</v>
      </c>
      <c r="C331" s="6" t="s">
        <v>7155</v>
      </c>
      <c r="D331" s="2" t="s">
        <v>6529</v>
      </c>
      <c r="E331" s="2" t="s">
        <v>6442</v>
      </c>
      <c r="F331" s="2"/>
      <c r="G331" s="2" t="s">
        <v>6443</v>
      </c>
      <c r="H331" s="2" t="s">
        <v>6444</v>
      </c>
      <c r="I331" s="3">
        <v>1104</v>
      </c>
      <c r="J331" s="4">
        <f>SUMIF(Cargas!$C$5:$C$3471,C331,Cargas!$O$5:$O$3471)</f>
        <v>0</v>
      </c>
      <c r="K331" s="18">
        <f t="shared" si="7"/>
        <v>1104</v>
      </c>
      <c r="L331" s="5" t="s">
        <v>6811</v>
      </c>
      <c r="M331" s="37">
        <v>103002</v>
      </c>
    </row>
    <row r="332" spans="1:13" ht="13.5" hidden="1" customHeight="1" x14ac:dyDescent="0.25">
      <c r="B332" s="46">
        <v>44223</v>
      </c>
      <c r="C332" s="6" t="s">
        <v>7156</v>
      </c>
      <c r="D332" s="2" t="s">
        <v>7157</v>
      </c>
      <c r="E332" s="2" t="s">
        <v>6764</v>
      </c>
      <c r="F332" s="2"/>
      <c r="G332" s="2" t="s">
        <v>6443</v>
      </c>
      <c r="H332" s="2" t="s">
        <v>6455</v>
      </c>
      <c r="I332" s="3">
        <v>886</v>
      </c>
      <c r="J332" s="4" t="e">
        <f>SUMIF(Cargas!#REF!,C332,Cargas!#REF!)</f>
        <v>#REF!</v>
      </c>
      <c r="K332" s="18" t="e">
        <f t="shared" si="7"/>
        <v>#REF!</v>
      </c>
      <c r="L332" s="5" t="s">
        <v>7158</v>
      </c>
      <c r="M332" s="37">
        <v>16018</v>
      </c>
    </row>
    <row r="333" spans="1:13" ht="13.5" hidden="1" customHeight="1" x14ac:dyDescent="0.25">
      <c r="B333" s="46">
        <v>44229</v>
      </c>
      <c r="C333" s="6" t="s">
        <v>7159</v>
      </c>
      <c r="D333" s="2" t="s">
        <v>7160</v>
      </c>
      <c r="E333" s="2" t="s">
        <v>6764</v>
      </c>
      <c r="F333" s="2"/>
      <c r="G333" s="2" t="s">
        <v>6443</v>
      </c>
      <c r="H333" s="2" t="s">
        <v>6444</v>
      </c>
      <c r="I333" s="3">
        <v>1400</v>
      </c>
      <c r="J333" s="4" t="e">
        <f>SUMIF(Cargas!#REF!,C333,Cargas!#REF!)</f>
        <v>#REF!</v>
      </c>
      <c r="K333" s="18" t="e">
        <f t="shared" si="7"/>
        <v>#REF!</v>
      </c>
      <c r="L333" s="5" t="s">
        <v>7161</v>
      </c>
      <c r="M333" s="37">
        <v>20056</v>
      </c>
    </row>
    <row r="334" spans="1:13" ht="13.5" hidden="1" customHeight="1" x14ac:dyDescent="0.25">
      <c r="B334" s="46">
        <v>44244</v>
      </c>
      <c r="C334" s="6" t="s">
        <v>7162</v>
      </c>
      <c r="D334" s="2" t="s">
        <v>7163</v>
      </c>
      <c r="E334" s="2" t="s">
        <v>6764</v>
      </c>
      <c r="F334" s="2"/>
      <c r="G334" s="2" t="s">
        <v>6443</v>
      </c>
      <c r="H334" s="2" t="s">
        <v>6768</v>
      </c>
      <c r="I334" s="3">
        <v>1400</v>
      </c>
      <c r="J334" s="4" t="e">
        <f>SUMIF(Cargas!#REF!,C334,Cargas!#REF!)</f>
        <v>#REF!</v>
      </c>
      <c r="K334" s="18" t="e">
        <f t="shared" si="7"/>
        <v>#REF!</v>
      </c>
      <c r="L334" s="5" t="s">
        <v>7161</v>
      </c>
      <c r="M334" s="37" t="s">
        <v>7164</v>
      </c>
    </row>
    <row r="335" spans="1:13" ht="13.5" hidden="1" customHeight="1" x14ac:dyDescent="0.25">
      <c r="B335" s="46">
        <v>44232</v>
      </c>
      <c r="C335" s="6" t="s">
        <v>7165</v>
      </c>
      <c r="D335" s="2" t="s">
        <v>7166</v>
      </c>
      <c r="E335" s="2" t="s">
        <v>6764</v>
      </c>
      <c r="F335" s="2"/>
      <c r="G335" s="2" t="s">
        <v>6443</v>
      </c>
      <c r="H335" s="2" t="s">
        <v>6444</v>
      </c>
      <c r="I335" s="3">
        <v>1047</v>
      </c>
      <c r="J335" s="4" t="e">
        <f>SUMIF(Cargas!#REF!,C335,Cargas!#REF!)</f>
        <v>#REF!</v>
      </c>
      <c r="K335" s="18" t="e">
        <f t="shared" si="7"/>
        <v>#REF!</v>
      </c>
      <c r="L335" s="5" t="s">
        <v>7167</v>
      </c>
      <c r="M335" s="37">
        <v>37371</v>
      </c>
    </row>
    <row r="336" spans="1:13" ht="13.5" hidden="1" customHeight="1" x14ac:dyDescent="0.25">
      <c r="B336" s="46">
        <v>44268</v>
      </c>
      <c r="C336" s="6" t="s">
        <v>7168</v>
      </c>
      <c r="D336" s="2" t="s">
        <v>7169</v>
      </c>
      <c r="E336" s="2" t="s">
        <v>6764</v>
      </c>
      <c r="F336" s="2"/>
      <c r="G336" s="2" t="s">
        <v>6443</v>
      </c>
      <c r="H336" s="2" t="s">
        <v>6444</v>
      </c>
      <c r="I336" s="3">
        <v>1266</v>
      </c>
      <c r="J336" s="4" t="e">
        <f>SUMIF(Cargas!#REF!,C336,Cargas!#REF!)</f>
        <v>#REF!</v>
      </c>
      <c r="K336" s="18" t="e">
        <f t="shared" si="7"/>
        <v>#REF!</v>
      </c>
      <c r="L336" s="5" t="s">
        <v>7170</v>
      </c>
      <c r="M336" s="37">
        <v>43681</v>
      </c>
    </row>
    <row r="337" spans="1:13" ht="13.5" hidden="1" customHeight="1" x14ac:dyDescent="0.25">
      <c r="B337" s="46">
        <v>44274</v>
      </c>
      <c r="C337" s="6" t="s">
        <v>7171</v>
      </c>
      <c r="D337" s="2" t="s">
        <v>7172</v>
      </c>
      <c r="E337" s="2" t="s">
        <v>6764</v>
      </c>
      <c r="F337" s="2"/>
      <c r="G337" s="2" t="s">
        <v>6443</v>
      </c>
      <c r="H337" s="2" t="s">
        <v>6444</v>
      </c>
      <c r="I337" s="3">
        <v>1203</v>
      </c>
      <c r="J337" s="4" t="e">
        <f>SUMIF(Cargas!#REF!,C337,Cargas!#REF!)</f>
        <v>#REF!</v>
      </c>
      <c r="K337" s="18" t="e">
        <f t="shared" si="7"/>
        <v>#REF!</v>
      </c>
      <c r="L337" s="5" t="s">
        <v>7173</v>
      </c>
      <c r="M337" s="37">
        <v>46565</v>
      </c>
    </row>
    <row r="338" spans="1:13" ht="13.5" hidden="1" customHeight="1" x14ac:dyDescent="0.25">
      <c r="B338" s="46">
        <v>44292</v>
      </c>
      <c r="C338" s="6" t="s">
        <v>7174</v>
      </c>
      <c r="D338" s="2" t="s">
        <v>7175</v>
      </c>
      <c r="E338" s="2" t="s">
        <v>6764</v>
      </c>
      <c r="F338" s="2"/>
      <c r="G338" s="2" t="s">
        <v>6443</v>
      </c>
      <c r="H338" s="2" t="s">
        <v>6444</v>
      </c>
      <c r="I338" s="3">
        <v>1086</v>
      </c>
      <c r="J338" s="4" t="e">
        <f>SUMIF(Cargas!#REF!,C338,Cargas!#REF!)</f>
        <v>#REF!</v>
      </c>
      <c r="K338" s="18" t="e">
        <f t="shared" si="7"/>
        <v>#REF!</v>
      </c>
      <c r="L338" s="5" t="s">
        <v>7176</v>
      </c>
      <c r="M338" s="37">
        <v>57142</v>
      </c>
    </row>
    <row r="339" spans="1:13" ht="13.5" hidden="1" customHeight="1" x14ac:dyDescent="0.25">
      <c r="B339" s="46">
        <v>44300</v>
      </c>
      <c r="C339" s="6" t="s">
        <v>7177</v>
      </c>
      <c r="D339" s="2" t="s">
        <v>7178</v>
      </c>
      <c r="E339" s="2" t="s">
        <v>6764</v>
      </c>
      <c r="F339" s="2"/>
      <c r="G339" s="2" t="s">
        <v>6443</v>
      </c>
      <c r="H339" s="2" t="s">
        <v>6444</v>
      </c>
      <c r="I339" s="3">
        <v>1086</v>
      </c>
      <c r="J339" s="4" t="e">
        <f>SUMIF(Cargas!#REF!,C339,Cargas!#REF!)</f>
        <v>#REF!</v>
      </c>
      <c r="K339" s="18" t="e">
        <f t="shared" si="7"/>
        <v>#REF!</v>
      </c>
      <c r="L339" s="5" t="s">
        <v>7179</v>
      </c>
      <c r="M339" s="37">
        <v>62632</v>
      </c>
    </row>
    <row r="340" spans="1:13" ht="13.5" hidden="1" customHeight="1" x14ac:dyDescent="0.25">
      <c r="B340" s="46">
        <v>44305</v>
      </c>
      <c r="C340" s="6" t="s">
        <v>7180</v>
      </c>
      <c r="D340" s="2" t="s">
        <v>7181</v>
      </c>
      <c r="E340" s="2" t="s">
        <v>6764</v>
      </c>
      <c r="F340" s="2"/>
      <c r="G340" s="2" t="s">
        <v>6443</v>
      </c>
      <c r="H340" s="2" t="s">
        <v>6444</v>
      </c>
      <c r="I340" s="3">
        <v>1243</v>
      </c>
      <c r="J340" s="4" t="e">
        <f>SUMIF(Cargas!#REF!,C340,Cargas!#REF!)</f>
        <v>#REF!</v>
      </c>
      <c r="K340" s="18" t="e">
        <f t="shared" si="7"/>
        <v>#REF!</v>
      </c>
      <c r="L340" s="5" t="s">
        <v>7182</v>
      </c>
      <c r="M340" s="37">
        <v>63587</v>
      </c>
    </row>
    <row r="341" spans="1:13" ht="13.5" hidden="1" customHeight="1" x14ac:dyDescent="0.25">
      <c r="B341" s="46">
        <v>44722</v>
      </c>
      <c r="C341" s="6" t="s">
        <v>7183</v>
      </c>
      <c r="D341" s="2" t="s">
        <v>6536</v>
      </c>
      <c r="E341" s="2" t="s">
        <v>6442</v>
      </c>
      <c r="F341" s="2"/>
      <c r="G341" s="2" t="s">
        <v>6443</v>
      </c>
      <c r="H341" s="2" t="s">
        <v>6444</v>
      </c>
      <c r="I341" s="3">
        <v>1104</v>
      </c>
      <c r="J341" s="4">
        <f>SUMIF(Cargas!$C$5:$C$3471,C341,Cargas!$O$5:$O$3471)</f>
        <v>0</v>
      </c>
      <c r="K341" s="18">
        <f t="shared" si="7"/>
        <v>1104</v>
      </c>
      <c r="L341" s="5" t="s">
        <v>7184</v>
      </c>
      <c r="M341" s="37">
        <v>110454</v>
      </c>
    </row>
    <row r="342" spans="1:13" ht="13.5" hidden="1" customHeight="1" x14ac:dyDescent="0.25">
      <c r="B342" s="46">
        <v>44727</v>
      </c>
      <c r="C342" s="6" t="s">
        <v>7185</v>
      </c>
      <c r="D342" s="2" t="s">
        <v>6542</v>
      </c>
      <c r="E342" s="2" t="s">
        <v>6442</v>
      </c>
      <c r="F342" s="2"/>
      <c r="G342" s="2" t="s">
        <v>6443</v>
      </c>
      <c r="H342" s="2" t="s">
        <v>6444</v>
      </c>
      <c r="I342" s="3">
        <v>1104</v>
      </c>
      <c r="J342" s="4">
        <f>SUMIF(Cargas!$C$5:$C$3471,C342,Cargas!$O$5:$O$3471)</f>
        <v>0</v>
      </c>
      <c r="K342" s="18">
        <f t="shared" si="7"/>
        <v>1104</v>
      </c>
      <c r="L342" s="5" t="s">
        <v>7186</v>
      </c>
      <c r="M342" s="37">
        <v>111524</v>
      </c>
    </row>
    <row r="343" spans="1:13" ht="13.5" hidden="1" customHeight="1" x14ac:dyDescent="0.25">
      <c r="B343" s="46">
        <v>44727</v>
      </c>
      <c r="C343" s="6" t="s">
        <v>7187</v>
      </c>
      <c r="D343" s="2" t="s">
        <v>6542</v>
      </c>
      <c r="E343" s="2" t="s">
        <v>6442</v>
      </c>
      <c r="F343" s="2"/>
      <c r="G343" s="2" t="s">
        <v>6443</v>
      </c>
      <c r="H343" s="2" t="s">
        <v>6444</v>
      </c>
      <c r="I343" s="3">
        <v>1104</v>
      </c>
      <c r="J343" s="4">
        <f>SUMIF(Cargas!$C$5:$C$3471,C343,Cargas!$O$5:$O$3471)</f>
        <v>0</v>
      </c>
      <c r="K343" s="18">
        <f t="shared" si="7"/>
        <v>1104</v>
      </c>
      <c r="L343" s="5" t="s">
        <v>7186</v>
      </c>
      <c r="M343" s="37">
        <v>111524</v>
      </c>
    </row>
    <row r="344" spans="1:13" ht="13.5" hidden="1" customHeight="1" x14ac:dyDescent="0.25">
      <c r="B344" s="46">
        <v>44732</v>
      </c>
      <c r="C344" s="6" t="s">
        <v>7188</v>
      </c>
      <c r="D344" s="2" t="s">
        <v>6542</v>
      </c>
      <c r="E344" s="2" t="s">
        <v>6442</v>
      </c>
      <c r="F344" s="2"/>
      <c r="G344" s="2" t="s">
        <v>6443</v>
      </c>
      <c r="H344" s="2" t="s">
        <v>6444</v>
      </c>
      <c r="I344" s="3">
        <v>1104</v>
      </c>
      <c r="J344" s="4">
        <f>SUMIF(Cargas!$C$5:$C$3471,C344,Cargas!$O$5:$O$3471)</f>
        <v>0</v>
      </c>
      <c r="K344" s="18">
        <f t="shared" si="7"/>
        <v>1104</v>
      </c>
      <c r="L344" s="5" t="s">
        <v>7186</v>
      </c>
      <c r="M344" s="37">
        <v>111524</v>
      </c>
    </row>
    <row r="345" spans="1:13" ht="13.5" hidden="1" customHeight="1" x14ac:dyDescent="0.25">
      <c r="B345" s="46">
        <v>44735</v>
      </c>
      <c r="C345" s="6" t="s">
        <v>7189</v>
      </c>
      <c r="D345" s="2" t="s">
        <v>6548</v>
      </c>
      <c r="E345" s="2" t="s">
        <v>6442</v>
      </c>
      <c r="F345" s="2"/>
      <c r="G345" s="2" t="s">
        <v>6443</v>
      </c>
      <c r="H345" s="2" t="s">
        <v>6444</v>
      </c>
      <c r="I345" s="3">
        <v>1104</v>
      </c>
      <c r="J345" s="4">
        <f>SUMIF(Cargas!$C$5:$C$3471,C345,Cargas!$O$5:$O$3471)</f>
        <v>0</v>
      </c>
      <c r="K345" s="18">
        <f t="shared" si="7"/>
        <v>1104</v>
      </c>
      <c r="L345" s="5" t="s">
        <v>7190</v>
      </c>
      <c r="M345" s="37">
        <v>116207</v>
      </c>
    </row>
    <row r="346" spans="1:13" ht="13.5" hidden="1" customHeight="1" x14ac:dyDescent="0.25">
      <c r="B346" s="46">
        <v>44736</v>
      </c>
      <c r="C346" s="6" t="s">
        <v>7191</v>
      </c>
      <c r="D346" s="2" t="s">
        <v>6548</v>
      </c>
      <c r="E346" s="2" t="s">
        <v>6442</v>
      </c>
      <c r="F346" s="2"/>
      <c r="G346" s="2" t="s">
        <v>6443</v>
      </c>
      <c r="H346" s="2" t="s">
        <v>6444</v>
      </c>
      <c r="I346" s="3">
        <v>1104</v>
      </c>
      <c r="J346" s="4">
        <f>SUMIF(Cargas!$C$5:$C$3471,C346,Cargas!$O$5:$O$3471)</f>
        <v>0</v>
      </c>
      <c r="K346" s="18">
        <f t="shared" si="7"/>
        <v>1104</v>
      </c>
      <c r="L346" s="5" t="s">
        <v>7190</v>
      </c>
      <c r="M346" s="37">
        <v>116207</v>
      </c>
    </row>
    <row r="347" spans="1:13" ht="13.5" hidden="1" customHeight="1" x14ac:dyDescent="0.25">
      <c r="B347" s="46">
        <v>44741</v>
      </c>
      <c r="C347" s="6" t="s">
        <v>7192</v>
      </c>
      <c r="D347" s="2" t="s">
        <v>6554</v>
      </c>
      <c r="E347" s="2" t="s">
        <v>6442</v>
      </c>
      <c r="F347" s="2"/>
      <c r="G347" s="2" t="s">
        <v>6443</v>
      </c>
      <c r="H347" s="2" t="s">
        <v>6444</v>
      </c>
      <c r="I347" s="3">
        <v>1104</v>
      </c>
      <c r="J347" s="4">
        <f>SUMIF(Cargas!$C$5:$C$3471,C347,Cargas!$O$5:$O$3471)</f>
        <v>0</v>
      </c>
      <c r="K347" s="18">
        <f t="shared" si="7"/>
        <v>1104</v>
      </c>
      <c r="L347" s="5" t="s">
        <v>7193</v>
      </c>
      <c r="M347" s="37">
        <v>120218</v>
      </c>
    </row>
    <row r="348" spans="1:13" ht="13.5" hidden="1" customHeight="1" x14ac:dyDescent="0.25">
      <c r="B348" s="46">
        <v>44744</v>
      </c>
      <c r="C348" s="6" t="s">
        <v>7194</v>
      </c>
      <c r="D348" s="2" t="s">
        <v>6554</v>
      </c>
      <c r="E348" s="2" t="s">
        <v>6442</v>
      </c>
      <c r="F348" s="2"/>
      <c r="G348" s="2" t="s">
        <v>6443</v>
      </c>
      <c r="H348" s="2" t="s">
        <v>6444</v>
      </c>
      <c r="I348" s="3">
        <v>1104</v>
      </c>
      <c r="J348" s="4">
        <f>SUMIF(Cargas!$C$5:$C$3471,C348,Cargas!$O$5:$O$3471)</f>
        <v>0</v>
      </c>
      <c r="K348" s="18">
        <f t="shared" si="7"/>
        <v>1104</v>
      </c>
      <c r="L348" s="5" t="s">
        <v>7193</v>
      </c>
      <c r="M348" s="37">
        <v>120218</v>
      </c>
    </row>
    <row r="349" spans="1:13" ht="13.5" hidden="1" customHeight="1" x14ac:dyDescent="0.25">
      <c r="B349" s="46">
        <v>44749</v>
      </c>
      <c r="C349" s="6" t="s">
        <v>7195</v>
      </c>
      <c r="D349" s="2" t="s">
        <v>6559</v>
      </c>
      <c r="E349" s="2" t="s">
        <v>6442</v>
      </c>
      <c r="F349" s="2"/>
      <c r="G349" s="2" t="s">
        <v>6443</v>
      </c>
      <c r="H349" s="2" t="s">
        <v>6444</v>
      </c>
      <c r="I349" s="3">
        <v>1104</v>
      </c>
      <c r="J349" s="4">
        <f>SUMIF(Cargas!$C$5:$C$3471,C349,Cargas!$O$5:$O$3471)</f>
        <v>0</v>
      </c>
      <c r="K349" s="18">
        <f t="shared" si="7"/>
        <v>1104</v>
      </c>
      <c r="L349" s="5" t="s">
        <v>7196</v>
      </c>
      <c r="M349" s="37">
        <v>126036</v>
      </c>
    </row>
    <row r="350" spans="1:13" ht="13.5" hidden="1" customHeight="1" x14ac:dyDescent="0.25">
      <c r="B350" s="46">
        <v>44749</v>
      </c>
      <c r="C350" s="6" t="s">
        <v>7197</v>
      </c>
      <c r="D350" s="2" t="s">
        <v>6559</v>
      </c>
      <c r="E350" s="2" t="s">
        <v>6442</v>
      </c>
      <c r="F350" s="2"/>
      <c r="G350" s="2" t="s">
        <v>6443</v>
      </c>
      <c r="H350" s="2" t="s">
        <v>6444</v>
      </c>
      <c r="I350" s="3">
        <v>1104</v>
      </c>
      <c r="J350" s="4">
        <f>SUMIF(Cargas!$C$5:$C$3471,C350,Cargas!$O$5:$O$3471)</f>
        <v>0</v>
      </c>
      <c r="K350" s="18">
        <f t="shared" si="7"/>
        <v>1104</v>
      </c>
      <c r="L350" s="5" t="s">
        <v>7196</v>
      </c>
      <c r="M350" s="37">
        <v>126036</v>
      </c>
    </row>
    <row r="351" spans="1:13" ht="13.5" hidden="1" customHeight="1" x14ac:dyDescent="0.25">
      <c r="A351" t="s">
        <v>2</v>
      </c>
      <c r="B351" s="46">
        <v>44755</v>
      </c>
      <c r="C351" s="6" t="s">
        <v>7198</v>
      </c>
      <c r="D351" s="2" t="s">
        <v>6564</v>
      </c>
      <c r="E351" s="2" t="s">
        <v>6442</v>
      </c>
      <c r="F351" s="2"/>
      <c r="G351" s="2" t="s">
        <v>6443</v>
      </c>
      <c r="H351" s="2" t="s">
        <v>6444</v>
      </c>
      <c r="I351" s="3">
        <v>1104</v>
      </c>
      <c r="J351" s="4">
        <f>SUMIF(Cargas!$C$5:$C$3471,C351,Cargas!$O$5:$O$3471)</f>
        <v>0</v>
      </c>
      <c r="K351" s="18">
        <f t="shared" si="7"/>
        <v>1104</v>
      </c>
      <c r="L351" s="5" t="s">
        <v>7199</v>
      </c>
      <c r="M351" s="37">
        <v>130915</v>
      </c>
    </row>
    <row r="352" spans="1:13" ht="13.5" hidden="1" customHeight="1" x14ac:dyDescent="0.25">
      <c r="A352" t="s">
        <v>2</v>
      </c>
      <c r="B352" s="46">
        <v>44757</v>
      </c>
      <c r="C352" s="6" t="s">
        <v>7200</v>
      </c>
      <c r="D352" s="2" t="s">
        <v>6564</v>
      </c>
      <c r="E352" s="2" t="s">
        <v>6442</v>
      </c>
      <c r="F352" s="2"/>
      <c r="G352" s="2" t="s">
        <v>6443</v>
      </c>
      <c r="H352" s="2" t="s">
        <v>6444</v>
      </c>
      <c r="I352" s="3">
        <v>1104</v>
      </c>
      <c r="J352" s="4">
        <f>SUMIF(Cargas!$C$5:$C$3471,C352,Cargas!$O$5:$O$3471)</f>
        <v>0</v>
      </c>
      <c r="K352" s="18">
        <f t="shared" si="7"/>
        <v>1104</v>
      </c>
      <c r="L352" s="5" t="s">
        <v>7199</v>
      </c>
      <c r="M352" s="37">
        <v>130915</v>
      </c>
    </row>
    <row r="353" spans="1:13" ht="13.5" hidden="1" customHeight="1" x14ac:dyDescent="0.25">
      <c r="A353" t="s">
        <v>2</v>
      </c>
      <c r="B353" s="46">
        <v>44762</v>
      </c>
      <c r="C353" s="6" t="s">
        <v>7201</v>
      </c>
      <c r="D353" s="2" t="s">
        <v>6568</v>
      </c>
      <c r="E353" s="2" t="s">
        <v>6442</v>
      </c>
      <c r="F353" s="2"/>
      <c r="G353" s="2" t="s">
        <v>6443</v>
      </c>
      <c r="H353" s="2" t="s">
        <v>6444</v>
      </c>
      <c r="I353" s="3">
        <v>1104</v>
      </c>
      <c r="J353" s="4">
        <f>SUMIF(Cargas!$C$5:$C$3471,C353,Cargas!$O$5:$O$3471)</f>
        <v>0</v>
      </c>
      <c r="K353" s="18">
        <f t="shared" si="7"/>
        <v>1104</v>
      </c>
      <c r="L353" s="5" t="s">
        <v>7202</v>
      </c>
      <c r="M353" s="37">
        <v>134016</v>
      </c>
    </row>
    <row r="354" spans="1:13" ht="13.5" hidden="1" customHeight="1" x14ac:dyDescent="0.25">
      <c r="A354" t="s">
        <v>2</v>
      </c>
      <c r="B354" s="46">
        <v>44770</v>
      </c>
      <c r="C354" s="6" t="s">
        <v>7203</v>
      </c>
      <c r="D354" s="2" t="s">
        <v>6572</v>
      </c>
      <c r="E354" s="2" t="s">
        <v>6442</v>
      </c>
      <c r="F354" s="2"/>
      <c r="G354" s="2" t="s">
        <v>6443</v>
      </c>
      <c r="H354" s="2" t="s">
        <v>6444</v>
      </c>
      <c r="I354" s="3">
        <v>1104</v>
      </c>
      <c r="J354" s="4">
        <f>SUMIF(Cargas!$C$5:$C$3471,C354,Cargas!$O$5:$O$3471)</f>
        <v>0</v>
      </c>
      <c r="K354" s="18">
        <f t="shared" si="7"/>
        <v>1104</v>
      </c>
      <c r="L354" s="5" t="s">
        <v>7204</v>
      </c>
      <c r="M354" s="37">
        <v>140320</v>
      </c>
    </row>
    <row r="355" spans="1:13" ht="13.5" hidden="1" customHeight="1" x14ac:dyDescent="0.25">
      <c r="A355" t="s">
        <v>2</v>
      </c>
      <c r="B355" s="46">
        <v>44776</v>
      </c>
      <c r="C355" s="6" t="s">
        <v>7205</v>
      </c>
      <c r="D355" s="2" t="s">
        <v>6577</v>
      </c>
      <c r="E355" s="2" t="s">
        <v>6442</v>
      </c>
      <c r="F355" s="2"/>
      <c r="G355" s="2" t="s">
        <v>6443</v>
      </c>
      <c r="H355" s="2" t="s">
        <v>6444</v>
      </c>
      <c r="I355" s="3">
        <v>1104</v>
      </c>
      <c r="J355" s="4">
        <f>SUMIF(Cargas!$C$5:$C$3471,C355,Cargas!$O$5:$O$3471)</f>
        <v>0</v>
      </c>
      <c r="K355" s="18">
        <f t="shared" si="7"/>
        <v>1104</v>
      </c>
      <c r="L355" s="5" t="s">
        <v>7206</v>
      </c>
      <c r="M355" s="37">
        <v>143023</v>
      </c>
    </row>
    <row r="356" spans="1:13" ht="13.5" hidden="1" customHeight="1" x14ac:dyDescent="0.25">
      <c r="B356" s="46">
        <v>44315</v>
      </c>
      <c r="C356" s="6" t="s">
        <v>7207</v>
      </c>
      <c r="D356" s="2" t="s">
        <v>7208</v>
      </c>
      <c r="E356" s="2" t="s">
        <v>7209</v>
      </c>
      <c r="F356" s="2"/>
      <c r="G356" s="2" t="s">
        <v>6443</v>
      </c>
      <c r="H356" s="2" t="s">
        <v>6823</v>
      </c>
      <c r="I356" s="3">
        <v>1360</v>
      </c>
      <c r="J356" s="4" t="e">
        <f>SUMIF(Cargas!#REF!,C356,Cargas!#REF!)</f>
        <v>#REF!</v>
      </c>
      <c r="K356" s="18" t="e">
        <f t="shared" si="7"/>
        <v>#REF!</v>
      </c>
      <c r="L356" s="5" t="s">
        <v>7210</v>
      </c>
      <c r="M356" s="37">
        <v>72582</v>
      </c>
    </row>
    <row r="357" spans="1:13" ht="13.5" hidden="1" customHeight="1" x14ac:dyDescent="0.25">
      <c r="B357" s="46">
        <v>44330</v>
      </c>
      <c r="C357" s="6" t="s">
        <v>7211</v>
      </c>
      <c r="D357" s="2" t="s">
        <v>7212</v>
      </c>
      <c r="E357" s="2" t="s">
        <v>7213</v>
      </c>
      <c r="F357" s="2"/>
      <c r="G357" s="2" t="s">
        <v>6443</v>
      </c>
      <c r="H357" s="2" t="s">
        <v>6823</v>
      </c>
      <c r="I357" s="3">
        <v>1223</v>
      </c>
      <c r="J357" s="4">
        <f>SUMIF(Cargas!$C$5:$C$3471,C357,Cargas!$O$5:$O$3471)</f>
        <v>0</v>
      </c>
      <c r="K357" s="18">
        <f t="shared" si="7"/>
        <v>1223</v>
      </c>
      <c r="L357" s="5" t="s">
        <v>7214</v>
      </c>
      <c r="M357" s="37" t="s">
        <v>7215</v>
      </c>
    </row>
    <row r="358" spans="1:13" ht="13.5" hidden="1" customHeight="1" x14ac:dyDescent="0.25">
      <c r="B358" s="46">
        <v>44341</v>
      </c>
      <c r="C358" s="6" t="s">
        <v>7216</v>
      </c>
      <c r="D358" s="2" t="s">
        <v>3726</v>
      </c>
      <c r="E358" s="2" t="s">
        <v>7217</v>
      </c>
      <c r="F358" s="2"/>
      <c r="G358" s="2" t="s">
        <v>6443</v>
      </c>
      <c r="H358" s="2" t="s">
        <v>6823</v>
      </c>
      <c r="I358" s="3">
        <v>2010</v>
      </c>
      <c r="J358" s="4">
        <f>SUMIF(Cargas!$C$5:$C$3471,C358,Cargas!$O$5:$O$3471)</f>
        <v>0</v>
      </c>
      <c r="K358" s="18">
        <f t="shared" si="7"/>
        <v>2010</v>
      </c>
      <c r="L358" s="5" t="s">
        <v>7218</v>
      </c>
      <c r="M358" s="37">
        <v>89213</v>
      </c>
    </row>
    <row r="359" spans="1:13" ht="13.5" hidden="1" customHeight="1" x14ac:dyDescent="0.25">
      <c r="B359" s="46">
        <v>44348</v>
      </c>
      <c r="C359" s="6" t="s">
        <v>7219</v>
      </c>
      <c r="D359" s="2" t="s">
        <v>7220</v>
      </c>
      <c r="E359" s="2" t="s">
        <v>7217</v>
      </c>
      <c r="F359" s="2"/>
      <c r="G359" s="2" t="s">
        <v>6443</v>
      </c>
      <c r="H359" s="2" t="s">
        <v>6823</v>
      </c>
      <c r="I359" s="3">
        <v>2154</v>
      </c>
      <c r="J359" s="4">
        <f>SUMIF(Cargas!$C$5:$C$3471,C359,Cargas!$O$5:$O$3471)</f>
        <v>0</v>
      </c>
      <c r="K359" s="18">
        <f t="shared" si="7"/>
        <v>2154</v>
      </c>
      <c r="L359" s="5" t="s">
        <v>7221</v>
      </c>
      <c r="M359" s="37">
        <v>95178</v>
      </c>
    </row>
    <row r="360" spans="1:13" ht="13.5" hidden="1" customHeight="1" x14ac:dyDescent="0.25">
      <c r="B360" s="46">
        <v>44357</v>
      </c>
      <c r="C360" s="6" t="s">
        <v>7222</v>
      </c>
      <c r="D360" s="2" t="s">
        <v>7223</v>
      </c>
      <c r="E360" s="2" t="s">
        <v>7217</v>
      </c>
      <c r="F360" s="2"/>
      <c r="G360" s="2" t="s">
        <v>6443</v>
      </c>
      <c r="H360" s="2" t="s">
        <v>6823</v>
      </c>
      <c r="I360" s="3">
        <v>2099</v>
      </c>
      <c r="J360" s="4">
        <f>SUMIF(Cargas!$C$5:$C$3471,C360,Cargas!$O$5:$O$3471)</f>
        <v>0</v>
      </c>
      <c r="K360" s="18">
        <f t="shared" si="7"/>
        <v>2099</v>
      </c>
      <c r="L360" s="5" t="s">
        <v>7224</v>
      </c>
      <c r="M360" s="37">
        <v>99930</v>
      </c>
    </row>
    <row r="361" spans="1:13" ht="13.5" hidden="1" customHeight="1" x14ac:dyDescent="0.25">
      <c r="B361" s="46">
        <v>44365</v>
      </c>
      <c r="C361" s="6" t="s">
        <v>7225</v>
      </c>
      <c r="D361" s="2" t="s">
        <v>7226</v>
      </c>
      <c r="E361" s="2" t="s">
        <v>7213</v>
      </c>
      <c r="F361" s="2"/>
      <c r="G361" s="2" t="s">
        <v>6443</v>
      </c>
      <c r="H361" s="2" t="s">
        <v>6823</v>
      </c>
      <c r="I361" s="3">
        <v>1882</v>
      </c>
      <c r="J361" s="4">
        <f>SUMIF(Cargas!$C$5:$C$3471,C361,Cargas!$O$5:$O$3471)</f>
        <v>0</v>
      </c>
      <c r="K361" s="18">
        <f t="shared" si="7"/>
        <v>1882</v>
      </c>
      <c r="L361" s="5" t="s">
        <v>7227</v>
      </c>
      <c r="M361" s="37" t="s">
        <v>7228</v>
      </c>
    </row>
    <row r="362" spans="1:13" ht="13.5" hidden="1" customHeight="1" x14ac:dyDescent="0.25">
      <c r="B362" s="46">
        <v>44365</v>
      </c>
      <c r="C362" s="6" t="s">
        <v>7229</v>
      </c>
      <c r="D362" s="2" t="s">
        <v>7230</v>
      </c>
      <c r="E362" s="2" t="s">
        <v>7213</v>
      </c>
      <c r="F362" s="2"/>
      <c r="G362" s="2" t="s">
        <v>6443</v>
      </c>
      <c r="H362" s="2" t="s">
        <v>6823</v>
      </c>
      <c r="I362" s="3">
        <v>1666</v>
      </c>
      <c r="J362" s="4">
        <f>SUMIF(Cargas!$C$5:$C$3471,C362,Cargas!$O$5:$O$3471)</f>
        <v>0</v>
      </c>
      <c r="K362" s="18">
        <f t="shared" si="7"/>
        <v>1666</v>
      </c>
      <c r="L362" s="5" t="s">
        <v>7231</v>
      </c>
      <c r="M362" s="37" t="s">
        <v>7232</v>
      </c>
    </row>
    <row r="363" spans="1:13" ht="13.5" hidden="1" customHeight="1" x14ac:dyDescent="0.25">
      <c r="B363" s="46">
        <v>44382</v>
      </c>
      <c r="C363" s="6" t="s">
        <v>7233</v>
      </c>
      <c r="D363" s="2" t="s">
        <v>7234</v>
      </c>
      <c r="E363" s="2" t="s">
        <v>7213</v>
      </c>
      <c r="F363" s="2"/>
      <c r="G363" s="2" t="s">
        <v>6443</v>
      </c>
      <c r="H363" s="2" t="s">
        <v>6823</v>
      </c>
      <c r="I363" s="3">
        <v>1396</v>
      </c>
      <c r="J363" s="4">
        <f>SUMIF(Cargas!$C$5:$C$3471,C363,Cargas!$O$5:$O$3471)</f>
        <v>0</v>
      </c>
      <c r="K363" s="18">
        <f t="shared" si="7"/>
        <v>1396</v>
      </c>
      <c r="L363" s="5" t="s">
        <v>7235</v>
      </c>
      <c r="M363" s="37" t="s">
        <v>7236</v>
      </c>
    </row>
    <row r="364" spans="1:13" ht="12.75" hidden="1" customHeight="1" x14ac:dyDescent="0.25">
      <c r="B364" s="46">
        <v>44385</v>
      </c>
      <c r="C364" s="6" t="s">
        <v>7237</v>
      </c>
      <c r="D364" s="2" t="s">
        <v>7238</v>
      </c>
      <c r="E364" s="2" t="s">
        <v>6442</v>
      </c>
      <c r="F364" s="2"/>
      <c r="G364" s="2" t="s">
        <v>6443</v>
      </c>
      <c r="H364" s="2" t="s">
        <v>6444</v>
      </c>
      <c r="I364" s="3">
        <v>1728</v>
      </c>
      <c r="J364" s="4">
        <f>SUMIF(Cargas!$C$5:$C$3471,C364,Cargas!$O$5:$O$3471)</f>
        <v>0</v>
      </c>
      <c r="K364" s="18">
        <f t="shared" si="7"/>
        <v>1728</v>
      </c>
      <c r="L364" s="5" t="s">
        <v>7239</v>
      </c>
      <c r="M364" s="37">
        <v>120505</v>
      </c>
    </row>
    <row r="365" spans="1:13" ht="13.5" hidden="1" customHeight="1" x14ac:dyDescent="0.25">
      <c r="B365" s="46">
        <v>44393</v>
      </c>
      <c r="C365" s="6" t="s">
        <v>7240</v>
      </c>
      <c r="D365" s="2" t="s">
        <v>7241</v>
      </c>
      <c r="E365" s="2" t="s">
        <v>7217</v>
      </c>
      <c r="F365" s="2"/>
      <c r="G365" s="2" t="s">
        <v>6443</v>
      </c>
      <c r="H365" s="2" t="s">
        <v>6823</v>
      </c>
      <c r="I365" s="3">
        <v>1704</v>
      </c>
      <c r="J365" s="4">
        <f>SUMIF(Cargas!$C$5:$C$3471,C365,Cargas!$O$5:$O$3471)</f>
        <v>0</v>
      </c>
      <c r="K365" s="18">
        <f t="shared" si="7"/>
        <v>1704</v>
      </c>
      <c r="L365" s="5" t="s">
        <v>7242</v>
      </c>
      <c r="M365" s="37">
        <v>122220</v>
      </c>
    </row>
    <row r="366" spans="1:13" ht="13.5" hidden="1" customHeight="1" x14ac:dyDescent="0.25">
      <c r="B366" s="46">
        <v>44400</v>
      </c>
      <c r="C366" s="6" t="s">
        <v>7243</v>
      </c>
      <c r="D366" s="2" t="s">
        <v>7244</v>
      </c>
      <c r="E366" s="2" t="s">
        <v>6442</v>
      </c>
      <c r="F366" s="2"/>
      <c r="G366" s="2" t="s">
        <v>6443</v>
      </c>
      <c r="H366" s="2" t="s">
        <v>6444</v>
      </c>
      <c r="I366" s="3">
        <v>1652</v>
      </c>
      <c r="J366" s="4">
        <f>SUMIF(Cargas!$C$5:$C$3471,C366,Cargas!$O$5:$O$3471)</f>
        <v>0</v>
      </c>
      <c r="K366" s="18">
        <f t="shared" si="7"/>
        <v>1652</v>
      </c>
      <c r="L366" s="5" t="s">
        <v>7245</v>
      </c>
      <c r="M366" s="37">
        <v>129913</v>
      </c>
    </row>
    <row r="367" spans="1:13" ht="13.5" hidden="1" customHeight="1" x14ac:dyDescent="0.25">
      <c r="B367" s="46">
        <v>44404</v>
      </c>
      <c r="C367" s="6" t="s">
        <v>7246</v>
      </c>
      <c r="D367" s="2" t="s">
        <v>7247</v>
      </c>
      <c r="E367" s="2" t="s">
        <v>7213</v>
      </c>
      <c r="F367" s="2"/>
      <c r="G367" s="2" t="s">
        <v>6443</v>
      </c>
      <c r="H367" s="2" t="s">
        <v>6823</v>
      </c>
      <c r="I367" s="3">
        <v>1192</v>
      </c>
      <c r="J367" s="4">
        <f>SUMIF(Cargas!$C$5:$C$3471,C367,Cargas!$O$5:$O$3471)</f>
        <v>0</v>
      </c>
      <c r="K367" s="18">
        <f t="shared" si="7"/>
        <v>1192</v>
      </c>
      <c r="L367" s="5" t="s">
        <v>7248</v>
      </c>
      <c r="M367" s="37" t="s">
        <v>7249</v>
      </c>
    </row>
    <row r="368" spans="1:13" ht="13.5" hidden="1" customHeight="1" x14ac:dyDescent="0.25">
      <c r="B368" s="46">
        <v>44418</v>
      </c>
      <c r="C368" s="6" t="s">
        <v>7250</v>
      </c>
      <c r="D368" s="2" t="s">
        <v>7251</v>
      </c>
      <c r="E368" s="2" t="s">
        <v>7209</v>
      </c>
      <c r="F368" s="2"/>
      <c r="G368" s="2" t="s">
        <v>6443</v>
      </c>
      <c r="H368" s="2" t="s">
        <v>6823</v>
      </c>
      <c r="I368" s="3">
        <v>1600</v>
      </c>
      <c r="J368" s="4">
        <f>SUMIF(Cargas!$C$5:$C$3471,C368,Cargas!$O$5:$O$3471)</f>
        <v>0</v>
      </c>
      <c r="K368" s="18">
        <f t="shared" si="7"/>
        <v>1600</v>
      </c>
      <c r="L368" s="5" t="s">
        <v>7252</v>
      </c>
      <c r="M368" s="37">
        <v>138392</v>
      </c>
    </row>
    <row r="369" spans="2:13" ht="13.5" hidden="1" customHeight="1" x14ac:dyDescent="0.25">
      <c r="B369" s="46">
        <v>44421</v>
      </c>
      <c r="C369" s="6" t="s">
        <v>7253</v>
      </c>
      <c r="D369" s="2" t="s">
        <v>7254</v>
      </c>
      <c r="E369" s="2" t="s">
        <v>6442</v>
      </c>
      <c r="F369" s="2"/>
      <c r="G369" s="2" t="s">
        <v>6443</v>
      </c>
      <c r="H369" s="2" t="s">
        <v>6444</v>
      </c>
      <c r="I369" s="3">
        <v>1488</v>
      </c>
      <c r="J369" s="4">
        <f>SUMIF(Cargas!$C$5:$C$3471,C369,Cargas!$O$5:$O$3471)</f>
        <v>0</v>
      </c>
      <c r="K369" s="18">
        <f t="shared" si="7"/>
        <v>1488</v>
      </c>
      <c r="L369" s="5" t="s">
        <v>7255</v>
      </c>
      <c r="M369" s="37">
        <v>142315</v>
      </c>
    </row>
    <row r="370" spans="2:13" ht="13.5" hidden="1" customHeight="1" x14ac:dyDescent="0.25">
      <c r="B370" s="46">
        <v>44427</v>
      </c>
      <c r="C370" s="6" t="s">
        <v>7256</v>
      </c>
      <c r="D370" s="2" t="s">
        <v>7257</v>
      </c>
      <c r="E370" s="2" t="s">
        <v>6442</v>
      </c>
      <c r="F370" s="2"/>
      <c r="G370" s="2" t="s">
        <v>6443</v>
      </c>
      <c r="H370" s="2" t="s">
        <v>6444</v>
      </c>
      <c r="I370" s="3">
        <v>1888</v>
      </c>
      <c r="J370" s="4">
        <f>SUMIF(Cargas!$C$5:$C$3471,C370,Cargas!$O$5:$O$3471)</f>
        <v>0</v>
      </c>
      <c r="K370" s="18">
        <f t="shared" si="7"/>
        <v>1888</v>
      </c>
      <c r="L370" s="5" t="s">
        <v>7258</v>
      </c>
      <c r="M370" s="37">
        <v>146857</v>
      </c>
    </row>
    <row r="371" spans="2:13" ht="13.5" hidden="1" customHeight="1" x14ac:dyDescent="0.25">
      <c r="B371" s="46">
        <v>44432</v>
      </c>
      <c r="C371" s="6" t="s">
        <v>7259</v>
      </c>
      <c r="D371" s="2" t="s">
        <v>7260</v>
      </c>
      <c r="E371" s="2" t="s">
        <v>7261</v>
      </c>
      <c r="F371" s="2"/>
      <c r="G371" s="2" t="s">
        <v>6443</v>
      </c>
      <c r="H371" s="2" t="s">
        <v>6823</v>
      </c>
      <c r="I371" s="3">
        <v>1971</v>
      </c>
      <c r="J371" s="4">
        <f>SUMIF(Cargas!$C$5:$C$3471,C371,Cargas!$O$5:$O$3471)</f>
        <v>0</v>
      </c>
      <c r="K371" s="18">
        <f t="shared" si="7"/>
        <v>1971</v>
      </c>
      <c r="L371" s="5" t="s">
        <v>7262</v>
      </c>
      <c r="M371" s="37" t="s">
        <v>7263</v>
      </c>
    </row>
    <row r="372" spans="2:13" ht="13.5" hidden="1" customHeight="1" x14ac:dyDescent="0.25">
      <c r="B372" s="46">
        <v>44441</v>
      </c>
      <c r="C372" s="6" t="s">
        <v>7264</v>
      </c>
      <c r="D372" s="2" t="s">
        <v>7265</v>
      </c>
      <c r="E372" s="2" t="s">
        <v>6442</v>
      </c>
      <c r="F372" s="2"/>
      <c r="G372" s="2" t="s">
        <v>6443</v>
      </c>
      <c r="H372" s="2" t="s">
        <v>6444</v>
      </c>
      <c r="I372" s="3">
        <v>1536</v>
      </c>
      <c r="J372" s="4">
        <f>SUMIF(Cargas!$C$5:$C$3471,C372,Cargas!$O$5:$O$3471)</f>
        <v>0</v>
      </c>
      <c r="K372" s="18">
        <f t="shared" si="7"/>
        <v>1536</v>
      </c>
      <c r="L372" s="5" t="s">
        <v>7266</v>
      </c>
      <c r="M372" s="37">
        <v>156683</v>
      </c>
    </row>
    <row r="373" spans="2:13" ht="13.5" hidden="1" customHeight="1" x14ac:dyDescent="0.25">
      <c r="B373" s="46">
        <v>44439</v>
      </c>
      <c r="C373" s="6" t="s">
        <v>7267</v>
      </c>
      <c r="D373" s="2" t="s">
        <v>7268</v>
      </c>
      <c r="E373" s="2" t="s">
        <v>7261</v>
      </c>
      <c r="F373" s="2"/>
      <c r="G373" s="2" t="s">
        <v>6443</v>
      </c>
      <c r="H373" s="2" t="s">
        <v>6823</v>
      </c>
      <c r="I373" s="3">
        <v>1464</v>
      </c>
      <c r="J373" s="4">
        <f>SUMIF(Cargas!$C$5:$C$3471,C373,Cargas!$O$5:$O$3471)</f>
        <v>0</v>
      </c>
      <c r="K373" s="18">
        <f t="shared" si="7"/>
        <v>1464</v>
      </c>
      <c r="L373" s="5" t="s">
        <v>7269</v>
      </c>
      <c r="M373" s="37" t="s">
        <v>7270</v>
      </c>
    </row>
    <row r="374" spans="2:13" ht="13.5" hidden="1" customHeight="1" x14ac:dyDescent="0.25">
      <c r="B374" s="46">
        <v>44445</v>
      </c>
      <c r="C374" s="6" t="s">
        <v>7271</v>
      </c>
      <c r="D374" s="2" t="s">
        <v>7272</v>
      </c>
      <c r="E374" s="2" t="s">
        <v>7261</v>
      </c>
      <c r="F374" s="2"/>
      <c r="G374" s="2" t="s">
        <v>6443</v>
      </c>
      <c r="H374" s="2" t="s">
        <v>6823</v>
      </c>
      <c r="I374" s="3">
        <v>1596</v>
      </c>
      <c r="J374" s="4">
        <f>SUMIF(Cargas!$C$5:$C$3471,C374,Cargas!$O$5:$O$3471)</f>
        <v>0</v>
      </c>
      <c r="K374" s="18">
        <f t="shared" si="7"/>
        <v>1596</v>
      </c>
      <c r="L374" s="5" t="s">
        <v>7273</v>
      </c>
      <c r="M374" s="37" t="s">
        <v>7274</v>
      </c>
    </row>
    <row r="375" spans="2:13" ht="13.5" hidden="1" customHeight="1" x14ac:dyDescent="0.25">
      <c r="B375" s="46">
        <v>44453</v>
      </c>
      <c r="C375" s="6" t="s">
        <v>7275</v>
      </c>
      <c r="D375" s="2" t="s">
        <v>7276</v>
      </c>
      <c r="E375" s="2" t="s">
        <v>7261</v>
      </c>
      <c r="F375" s="2"/>
      <c r="G375" s="2" t="s">
        <v>6443</v>
      </c>
      <c r="H375" s="2" t="s">
        <v>6823</v>
      </c>
      <c r="I375" s="3">
        <v>1860</v>
      </c>
      <c r="J375" s="4">
        <f>SUMIF(Cargas!$C$5:$C$3471,C375,Cargas!$O$5:$O$3471)</f>
        <v>0</v>
      </c>
      <c r="K375" s="18">
        <f t="shared" si="7"/>
        <v>1860</v>
      </c>
      <c r="L375" s="5" t="s">
        <v>7277</v>
      </c>
      <c r="M375" s="37" t="s">
        <v>7278</v>
      </c>
    </row>
    <row r="376" spans="2:13" ht="13.5" hidden="1" customHeight="1" x14ac:dyDescent="0.25">
      <c r="B376" s="46">
        <v>44449</v>
      </c>
      <c r="C376" s="6" t="s">
        <v>7279</v>
      </c>
      <c r="D376" s="2" t="s">
        <v>7280</v>
      </c>
      <c r="E376" s="2" t="s">
        <v>6442</v>
      </c>
      <c r="F376" s="2"/>
      <c r="G376" s="2" t="s">
        <v>6443</v>
      </c>
      <c r="H376" s="2" t="s">
        <v>6444</v>
      </c>
      <c r="I376" s="3">
        <v>2004</v>
      </c>
      <c r="J376" s="4">
        <f>SUMIF(Cargas!$C$5:$C$3471,C376,Cargas!$O$5:$O$3471)</f>
        <v>0</v>
      </c>
      <c r="K376" s="18">
        <f t="shared" si="7"/>
        <v>2004</v>
      </c>
      <c r="L376" s="5" t="s">
        <v>7281</v>
      </c>
      <c r="M376" s="37">
        <v>162509</v>
      </c>
    </row>
    <row r="377" spans="2:13" ht="13.5" hidden="1" customHeight="1" x14ac:dyDescent="0.25">
      <c r="B377" s="46">
        <v>44457</v>
      </c>
      <c r="C377" s="6" t="s">
        <v>7282</v>
      </c>
      <c r="D377" s="2" t="s">
        <v>7283</v>
      </c>
      <c r="E377" s="2" t="s">
        <v>7284</v>
      </c>
      <c r="F377" s="2"/>
      <c r="G377" s="2" t="s">
        <v>6443</v>
      </c>
      <c r="H377" s="2" t="s">
        <v>6444</v>
      </c>
      <c r="I377" s="3">
        <v>1440</v>
      </c>
      <c r="J377" s="4">
        <f>SUMIF(Cargas!$C$5:$C$3471,C377,Cargas!$O$5:$O$3471)</f>
        <v>0</v>
      </c>
      <c r="K377" s="18">
        <f t="shared" si="7"/>
        <v>1440</v>
      </c>
      <c r="L377" s="5" t="s">
        <v>7285</v>
      </c>
      <c r="M377" s="37">
        <v>168579</v>
      </c>
    </row>
    <row r="378" spans="2:13" ht="13.5" hidden="1" customHeight="1" x14ac:dyDescent="0.25">
      <c r="B378" s="46">
        <v>44460</v>
      </c>
      <c r="C378" s="6" t="s">
        <v>7286</v>
      </c>
      <c r="D378" s="2" t="s">
        <v>7287</v>
      </c>
      <c r="E378" s="2" t="s">
        <v>7261</v>
      </c>
      <c r="F378" s="2"/>
      <c r="G378" s="2" t="s">
        <v>6443</v>
      </c>
      <c r="H378" s="2" t="s">
        <v>6823</v>
      </c>
      <c r="I378" s="3">
        <v>1392</v>
      </c>
      <c r="J378" s="4">
        <f>SUMIF(Cargas!$C$5:$C$3471,C378,Cargas!$O$5:$O$3471)</f>
        <v>0</v>
      </c>
      <c r="K378" s="18">
        <f t="shared" si="7"/>
        <v>1392</v>
      </c>
      <c r="L378" s="5" t="s">
        <v>7288</v>
      </c>
      <c r="M378" s="37" t="s">
        <v>7289</v>
      </c>
    </row>
    <row r="379" spans="2:13" ht="13.5" hidden="1" customHeight="1" x14ac:dyDescent="0.25">
      <c r="B379" s="46">
        <v>44456</v>
      </c>
      <c r="C379" s="6" t="s">
        <v>7290</v>
      </c>
      <c r="D379" s="2" t="s">
        <v>7291</v>
      </c>
      <c r="E379" s="2" t="s">
        <v>6442</v>
      </c>
      <c r="F379" s="2"/>
      <c r="G379" s="2" t="s">
        <v>6443</v>
      </c>
      <c r="H379" s="2" t="s">
        <v>6444</v>
      </c>
      <c r="I379" s="3">
        <v>2004</v>
      </c>
      <c r="J379" s="4">
        <f>SUMIF(Cargas!$C$5:$C$3471,C379,Cargas!$O$5:$O$3471)</f>
        <v>0</v>
      </c>
      <c r="K379" s="18">
        <f t="shared" ref="K379:K420" si="8">IF(ABS(I379-J379)&lt;20,0,I379-J379)</f>
        <v>2004</v>
      </c>
      <c r="L379" s="5"/>
      <c r="M379" s="37">
        <v>167451</v>
      </c>
    </row>
    <row r="380" spans="2:13" ht="13.5" hidden="1" customHeight="1" x14ac:dyDescent="0.25">
      <c r="B380" s="46">
        <v>44467</v>
      </c>
      <c r="C380" s="6" t="s">
        <v>7292</v>
      </c>
      <c r="D380" s="2" t="s">
        <v>7293</v>
      </c>
      <c r="E380" s="2" t="s">
        <v>7217</v>
      </c>
      <c r="F380" s="2"/>
      <c r="G380" s="2" t="s">
        <v>6443</v>
      </c>
      <c r="H380" s="2" t="s">
        <v>6823</v>
      </c>
      <c r="I380" s="3">
        <v>2590</v>
      </c>
      <c r="J380" s="4">
        <f>SUMIF(Cargas!$C$5:$C$3471,C380,Cargas!$O$5:$O$3471)</f>
        <v>0</v>
      </c>
      <c r="K380" s="18">
        <f t="shared" si="8"/>
        <v>2590</v>
      </c>
      <c r="L380" s="5" t="s">
        <v>7294</v>
      </c>
      <c r="M380" s="37">
        <v>170649</v>
      </c>
    </row>
    <row r="381" spans="2:13" ht="13.5" hidden="1" customHeight="1" x14ac:dyDescent="0.25">
      <c r="B381" s="46">
        <v>44467</v>
      </c>
      <c r="C381" s="6" t="s">
        <v>7295</v>
      </c>
      <c r="D381" s="2" t="s">
        <v>7296</v>
      </c>
      <c r="E381" s="2" t="s">
        <v>6442</v>
      </c>
      <c r="F381" s="2"/>
      <c r="G381" s="2" t="s">
        <v>6443</v>
      </c>
      <c r="H381" s="2" t="s">
        <v>6444</v>
      </c>
      <c r="I381" s="3">
        <v>1530</v>
      </c>
      <c r="J381" s="4">
        <f>SUMIF(Cargas!$C$5:$C$3471,C381,Cargas!$O$5:$O$3471)</f>
        <v>0</v>
      </c>
      <c r="K381" s="18">
        <f t="shared" si="8"/>
        <v>1530</v>
      </c>
      <c r="L381" s="5" t="s">
        <v>7297</v>
      </c>
      <c r="M381" s="37">
        <v>172644</v>
      </c>
    </row>
    <row r="382" spans="2:13" ht="13.5" hidden="1" customHeight="1" x14ac:dyDescent="0.25">
      <c r="B382" s="46">
        <v>44469</v>
      </c>
      <c r="C382" s="6" t="s">
        <v>7298</v>
      </c>
      <c r="D382" s="2" t="s">
        <v>7299</v>
      </c>
      <c r="E382" s="2" t="s">
        <v>6442</v>
      </c>
      <c r="F382" s="2"/>
      <c r="G382" s="2" t="s">
        <v>6443</v>
      </c>
      <c r="H382" s="2" t="s">
        <v>6444</v>
      </c>
      <c r="I382" s="3">
        <v>2025</v>
      </c>
      <c r="J382" s="4">
        <f>SUMIF(Cargas!$C$5:$C$3471,C382,Cargas!$O$5:$O$3471)</f>
        <v>0</v>
      </c>
      <c r="K382" s="18">
        <f t="shared" si="8"/>
        <v>2025</v>
      </c>
      <c r="L382" s="5" t="s">
        <v>7300</v>
      </c>
      <c r="M382" s="37">
        <v>177539</v>
      </c>
    </row>
    <row r="383" spans="2:13" ht="13.5" hidden="1" customHeight="1" x14ac:dyDescent="0.25">
      <c r="B383" s="46">
        <v>44474</v>
      </c>
      <c r="C383" s="6" t="s">
        <v>7301</v>
      </c>
      <c r="D383" s="2" t="s">
        <v>7302</v>
      </c>
      <c r="E383" s="2" t="s">
        <v>7303</v>
      </c>
      <c r="F383" s="2"/>
      <c r="G383" s="2" t="s">
        <v>6443</v>
      </c>
      <c r="H383" s="2" t="s">
        <v>6444</v>
      </c>
      <c r="I383" s="3">
        <v>2026</v>
      </c>
      <c r="J383" s="4">
        <f>SUMIF(Cargas!$C$5:$C$3471,C383,Cargas!$O$5:$O$3471)</f>
        <v>0</v>
      </c>
      <c r="K383" s="18">
        <f t="shared" si="8"/>
        <v>2026</v>
      </c>
      <c r="L383" s="5" t="s">
        <v>7304</v>
      </c>
      <c r="M383" s="37">
        <v>177458</v>
      </c>
    </row>
    <row r="384" spans="2:13" ht="13.5" hidden="1" customHeight="1" x14ac:dyDescent="0.25">
      <c r="B384" s="46">
        <v>44478</v>
      </c>
      <c r="C384" s="6" t="s">
        <v>7305</v>
      </c>
      <c r="D384" s="2" t="s">
        <v>7306</v>
      </c>
      <c r="E384" s="2" t="s">
        <v>7284</v>
      </c>
      <c r="F384" s="2"/>
      <c r="G384" s="2" t="s">
        <v>6443</v>
      </c>
      <c r="H384" s="2" t="s">
        <v>6444</v>
      </c>
      <c r="I384" s="3">
        <v>2472</v>
      </c>
      <c r="J384" s="4">
        <f>SUMIF(Cargas!$C$5:$C$3471,C384,Cargas!$O$5:$O$3471)</f>
        <v>0</v>
      </c>
      <c r="K384" s="18">
        <f t="shared" si="8"/>
        <v>2472</v>
      </c>
      <c r="L384" s="5" t="s">
        <v>7307</v>
      </c>
      <c r="M384" s="37">
        <v>187127</v>
      </c>
    </row>
    <row r="385" spans="1:13" ht="13.5" hidden="1" customHeight="1" x14ac:dyDescent="0.25">
      <c r="B385" s="46">
        <v>44476</v>
      </c>
      <c r="C385" s="6" t="s">
        <v>7308</v>
      </c>
      <c r="D385" s="2" t="s">
        <v>7309</v>
      </c>
      <c r="E385" s="2" t="s">
        <v>6442</v>
      </c>
      <c r="F385" s="2"/>
      <c r="G385" s="2" t="s">
        <v>6665</v>
      </c>
      <c r="H385" s="2" t="s">
        <v>6444</v>
      </c>
      <c r="I385" s="3">
        <v>2044</v>
      </c>
      <c r="J385" s="4">
        <f>SUMIF(Cargas!$C$5:$C$3471,C385,Cargas!$O$5:$O$3471)</f>
        <v>0</v>
      </c>
      <c r="K385" s="18">
        <f t="shared" si="8"/>
        <v>2044</v>
      </c>
      <c r="L385" s="5" t="s">
        <v>7310</v>
      </c>
      <c r="M385" s="37">
        <v>180697</v>
      </c>
    </row>
    <row r="386" spans="1:13" ht="13.5" hidden="1" customHeight="1" x14ac:dyDescent="0.25">
      <c r="B386" s="46">
        <v>44476</v>
      </c>
      <c r="C386" s="6" t="s">
        <v>7311</v>
      </c>
      <c r="D386" s="2" t="s">
        <v>7312</v>
      </c>
      <c r="E386" s="2" t="s">
        <v>6442</v>
      </c>
      <c r="F386" s="2"/>
      <c r="G386" s="2" t="s">
        <v>6665</v>
      </c>
      <c r="H386" s="2" t="s">
        <v>6444</v>
      </c>
      <c r="I386" s="3">
        <v>1336</v>
      </c>
      <c r="J386" s="4">
        <f>SUMIF(Cargas!$C$5:$C$3471,C386,Cargas!$O$5:$O$3471)</f>
        <v>0</v>
      </c>
      <c r="K386" s="18">
        <f t="shared" si="8"/>
        <v>1336</v>
      </c>
      <c r="L386" s="5" t="s">
        <v>7313</v>
      </c>
      <c r="M386" s="37">
        <v>180696</v>
      </c>
    </row>
    <row r="387" spans="1:13" ht="13.5" hidden="1" customHeight="1" x14ac:dyDescent="0.25">
      <c r="B387" s="46">
        <v>44482</v>
      </c>
      <c r="C387" s="6" t="s">
        <v>7314</v>
      </c>
      <c r="D387" s="2" t="s">
        <v>7315</v>
      </c>
      <c r="E387" s="2" t="s">
        <v>7316</v>
      </c>
      <c r="F387" s="2"/>
      <c r="G387" s="2" t="s">
        <v>6443</v>
      </c>
      <c r="H387" s="2" t="s">
        <v>6444</v>
      </c>
      <c r="I387" s="3">
        <v>1662</v>
      </c>
      <c r="J387" s="4">
        <f>SUMIF(Cargas!$C$5:$C$3471,C387,Cargas!$O$5:$O$3471)</f>
        <v>0</v>
      </c>
      <c r="K387" s="18">
        <f t="shared" si="8"/>
        <v>1662</v>
      </c>
      <c r="L387" s="5" t="s">
        <v>7317</v>
      </c>
      <c r="M387" s="37" t="s">
        <v>7318</v>
      </c>
    </row>
    <row r="388" spans="1:13" ht="13.5" hidden="1" customHeight="1" x14ac:dyDescent="0.25">
      <c r="B388" s="46">
        <v>44482</v>
      </c>
      <c r="C388" s="6" t="s">
        <v>7319</v>
      </c>
      <c r="D388" s="2" t="s">
        <v>7320</v>
      </c>
      <c r="E388" s="2" t="s">
        <v>7303</v>
      </c>
      <c r="F388" s="2"/>
      <c r="G388" s="2" t="s">
        <v>6443</v>
      </c>
      <c r="H388" s="2" t="s">
        <v>6862</v>
      </c>
      <c r="I388" s="3">
        <v>25000</v>
      </c>
      <c r="J388" s="4">
        <f>SUMIF(Cargas!$C$5:$C$3471,C388,Cargas!$O$5:$O$3471)</f>
        <v>0</v>
      </c>
      <c r="K388" s="18">
        <f t="shared" si="8"/>
        <v>25000</v>
      </c>
      <c r="L388" s="5" t="s">
        <v>7321</v>
      </c>
      <c r="M388" s="37">
        <v>188138</v>
      </c>
    </row>
    <row r="389" spans="1:13" ht="13.5" hidden="1" customHeight="1" x14ac:dyDescent="0.25">
      <c r="B389" s="46">
        <v>44490</v>
      </c>
      <c r="C389" s="6" t="s">
        <v>7322</v>
      </c>
      <c r="D389" s="2" t="s">
        <v>7323</v>
      </c>
      <c r="E389" s="2" t="s">
        <v>7303</v>
      </c>
      <c r="F389" s="2"/>
      <c r="G389" s="2" t="s">
        <v>6443</v>
      </c>
      <c r="H389" s="2" t="s">
        <v>6768</v>
      </c>
      <c r="I389" s="3">
        <v>2272</v>
      </c>
      <c r="J389" s="4">
        <f>SUMIF(Cargas!$C$5:$C$3471,C389,Cargas!$O$5:$O$3471)</f>
        <v>0</v>
      </c>
      <c r="K389" s="18">
        <f t="shared" si="8"/>
        <v>2272</v>
      </c>
      <c r="L389" s="5" t="s">
        <v>7324</v>
      </c>
      <c r="M389" s="37" t="s">
        <v>7325</v>
      </c>
    </row>
    <row r="390" spans="1:13" ht="13.5" hidden="1" customHeight="1" x14ac:dyDescent="0.25">
      <c r="B390" s="46">
        <v>44490</v>
      </c>
      <c r="C390" s="6" t="s">
        <v>7326</v>
      </c>
      <c r="D390" s="2" t="s">
        <v>7327</v>
      </c>
      <c r="E390" s="2" t="s">
        <v>6442</v>
      </c>
      <c r="F390" s="2"/>
      <c r="G390" s="2" t="s">
        <v>6665</v>
      </c>
      <c r="H390" s="2" t="s">
        <v>6444</v>
      </c>
      <c r="I390" s="3">
        <v>2149</v>
      </c>
      <c r="J390" s="4">
        <f>SUMIF(Cargas!$C$5:$C$3471,C390,Cargas!$O$5:$O$3471)</f>
        <v>0</v>
      </c>
      <c r="K390" s="18">
        <f t="shared" si="8"/>
        <v>2149</v>
      </c>
      <c r="L390" s="5" t="s">
        <v>7328</v>
      </c>
      <c r="M390" s="37">
        <v>190546</v>
      </c>
    </row>
    <row r="391" spans="1:13" ht="13.5" hidden="1" customHeight="1" x14ac:dyDescent="0.25">
      <c r="B391" s="46">
        <v>44497</v>
      </c>
      <c r="C391" s="6" t="s">
        <v>7329</v>
      </c>
      <c r="D391" s="2" t="s">
        <v>7330</v>
      </c>
      <c r="E391" s="2" t="s">
        <v>7303</v>
      </c>
      <c r="F391" s="2"/>
      <c r="G391" s="2" t="s">
        <v>6443</v>
      </c>
      <c r="H391" s="2" t="s">
        <v>7027</v>
      </c>
      <c r="I391" s="3">
        <v>25000</v>
      </c>
      <c r="J391" s="4">
        <f>SUMIF(Cargas!$C$5:$C$3471,C391,Cargas!$O$5:$O$3471)</f>
        <v>0</v>
      </c>
      <c r="K391" s="18">
        <f t="shared" si="8"/>
        <v>25000</v>
      </c>
      <c r="L391" s="5" t="s">
        <v>7331</v>
      </c>
      <c r="M391" s="37">
        <v>195046</v>
      </c>
    </row>
    <row r="392" spans="1:13" ht="13.5" hidden="1" customHeight="1" x14ac:dyDescent="0.25">
      <c r="B392" s="46">
        <v>44501</v>
      </c>
      <c r="C392" s="6" t="s">
        <v>7332</v>
      </c>
      <c r="D392" s="2" t="s">
        <v>7333</v>
      </c>
      <c r="E392" s="2" t="s">
        <v>7303</v>
      </c>
      <c r="F392" s="2"/>
      <c r="G392" s="2" t="s">
        <v>6443</v>
      </c>
      <c r="H392" s="2" t="s">
        <v>6768</v>
      </c>
      <c r="I392" s="3">
        <v>1400</v>
      </c>
      <c r="J392" s="4">
        <f>SUMIF(Cargas!$C$5:$C$3471,C392,Cargas!$O$5:$O$3471)</f>
        <v>0</v>
      </c>
      <c r="K392" s="18">
        <f t="shared" si="8"/>
        <v>1400</v>
      </c>
      <c r="L392" s="5" t="s">
        <v>7334</v>
      </c>
      <c r="M392" s="37">
        <v>195047</v>
      </c>
    </row>
    <row r="393" spans="1:13" ht="13.5" hidden="1" customHeight="1" x14ac:dyDescent="0.25">
      <c r="B393" s="46">
        <v>44497</v>
      </c>
      <c r="C393" s="6" t="s">
        <v>7335</v>
      </c>
      <c r="D393" s="2" t="s">
        <v>7336</v>
      </c>
      <c r="E393" s="2" t="s">
        <v>6442</v>
      </c>
      <c r="F393" s="2"/>
      <c r="G393" s="2" t="s">
        <v>6665</v>
      </c>
      <c r="H393" s="2" t="s">
        <v>6444</v>
      </c>
      <c r="I393" s="3">
        <v>2086</v>
      </c>
      <c r="J393" s="4">
        <f>SUMIF(Cargas!$C$5:$C$3471,C393,Cargas!$O$5:$O$3471)</f>
        <v>0</v>
      </c>
      <c r="K393" s="18">
        <f t="shared" si="8"/>
        <v>2086</v>
      </c>
      <c r="L393" s="5" t="s">
        <v>7337</v>
      </c>
      <c r="M393" s="37">
        <v>195422</v>
      </c>
    </row>
    <row r="394" spans="1:13" ht="13.5" hidden="1" customHeight="1" x14ac:dyDescent="0.25">
      <c r="B394" s="46">
        <v>44497</v>
      </c>
      <c r="C394" s="6" t="s">
        <v>7338</v>
      </c>
      <c r="D394" s="2" t="s">
        <v>7339</v>
      </c>
      <c r="E394" s="2" t="s">
        <v>6442</v>
      </c>
      <c r="F394" s="2"/>
      <c r="G394" s="2" t="s">
        <v>7340</v>
      </c>
      <c r="H394" s="2" t="s">
        <v>6444</v>
      </c>
      <c r="I394" s="3">
        <v>1344</v>
      </c>
      <c r="J394" s="4">
        <f>SUMIF(Cargas!$C$5:$C$3471,C394,Cargas!$O$5:$O$3471)</f>
        <v>0</v>
      </c>
      <c r="K394" s="18">
        <f t="shared" si="8"/>
        <v>1344</v>
      </c>
      <c r="L394" s="5" t="s">
        <v>7341</v>
      </c>
      <c r="M394" s="37">
        <v>197222</v>
      </c>
    </row>
    <row r="395" spans="1:13" ht="13.5" hidden="1" customHeight="1" x14ac:dyDescent="0.25">
      <c r="B395" s="46">
        <v>44497</v>
      </c>
      <c r="C395" s="6" t="s">
        <v>7342</v>
      </c>
      <c r="D395" s="2" t="s">
        <v>7343</v>
      </c>
      <c r="E395" s="2" t="s">
        <v>7303</v>
      </c>
      <c r="F395" s="2"/>
      <c r="G395" s="2" t="s">
        <v>6443</v>
      </c>
      <c r="H395" s="2" t="s">
        <v>6768</v>
      </c>
      <c r="I395" s="3">
        <v>1733</v>
      </c>
      <c r="J395" s="4">
        <f>SUMIF(Cargas!$C$5:$C$3471,C395,Cargas!$O$5:$O$3471)</f>
        <v>0</v>
      </c>
      <c r="K395" s="18">
        <f t="shared" si="8"/>
        <v>1733</v>
      </c>
      <c r="L395" s="5" t="s">
        <v>7344</v>
      </c>
      <c r="M395" s="37">
        <v>198338</v>
      </c>
    </row>
    <row r="396" spans="1:13" ht="13.5" hidden="1" customHeight="1" x14ac:dyDescent="0.25">
      <c r="B396" s="46">
        <v>44511</v>
      </c>
      <c r="C396" s="6" t="s">
        <v>7345</v>
      </c>
      <c r="D396" s="2" t="s">
        <v>7346</v>
      </c>
      <c r="E396" s="2" t="s">
        <v>6442</v>
      </c>
      <c r="F396" s="2"/>
      <c r="G396" s="2" t="s">
        <v>6443</v>
      </c>
      <c r="H396" s="2" t="s">
        <v>6455</v>
      </c>
      <c r="I396" s="3">
        <v>2079</v>
      </c>
      <c r="J396" s="4">
        <f>SUMIF(Cargas!$C$5:$C$3471,C396,Cargas!$O$5:$O$3471)</f>
        <v>0</v>
      </c>
      <c r="K396" s="18">
        <f t="shared" si="8"/>
        <v>2079</v>
      </c>
      <c r="L396" s="5" t="s">
        <v>7347</v>
      </c>
      <c r="M396" s="37">
        <v>206015</v>
      </c>
    </row>
    <row r="397" spans="1:13" ht="13.5" hidden="1" customHeight="1" x14ac:dyDescent="0.25">
      <c r="B397" s="46">
        <v>44517</v>
      </c>
      <c r="C397" s="6" t="s">
        <v>7348</v>
      </c>
      <c r="D397" s="2" t="s">
        <v>7349</v>
      </c>
      <c r="E397" s="2" t="s">
        <v>7303</v>
      </c>
      <c r="F397" s="2"/>
      <c r="G397" s="2" t="s">
        <v>6443</v>
      </c>
      <c r="H397" s="2" t="s">
        <v>6455</v>
      </c>
      <c r="I397" s="3">
        <v>1592</v>
      </c>
      <c r="J397" s="4">
        <f>SUMIF(Cargas!$C$5:$C$3471,C397,Cargas!$O$5:$O$3471)</f>
        <v>0</v>
      </c>
      <c r="K397" s="18">
        <f t="shared" si="8"/>
        <v>1592</v>
      </c>
      <c r="L397" s="5" t="s">
        <v>7350</v>
      </c>
      <c r="M397" s="37">
        <v>208058</v>
      </c>
    </row>
    <row r="398" spans="1:13" ht="13.5" hidden="1" customHeight="1" x14ac:dyDescent="0.25">
      <c r="B398" s="46">
        <v>44520</v>
      </c>
      <c r="C398" s="6" t="s">
        <v>7351</v>
      </c>
      <c r="D398" s="2" t="s">
        <v>2717</v>
      </c>
      <c r="E398" s="2" t="s">
        <v>7303</v>
      </c>
      <c r="F398" s="2"/>
      <c r="G398" s="2" t="s">
        <v>6443</v>
      </c>
      <c r="H398" s="2" t="s">
        <v>6768</v>
      </c>
      <c r="I398" s="3">
        <v>1288</v>
      </c>
      <c r="J398" s="4">
        <f>SUMIF(Cargas!$C$5:$C$3471,C398,Cargas!$O$5:$O$3471)</f>
        <v>0</v>
      </c>
      <c r="K398" s="18">
        <f t="shared" si="8"/>
        <v>1288</v>
      </c>
      <c r="L398" s="5" t="s">
        <v>7352</v>
      </c>
      <c r="M398" s="37">
        <v>209130</v>
      </c>
    </row>
    <row r="399" spans="1:13" ht="13.5" hidden="1" customHeight="1" x14ac:dyDescent="0.25">
      <c r="A399" t="s">
        <v>2</v>
      </c>
      <c r="B399" s="46">
        <v>44783</v>
      </c>
      <c r="C399" s="6" t="s">
        <v>7353</v>
      </c>
      <c r="D399" s="2" t="s">
        <v>6582</v>
      </c>
      <c r="E399" s="2" t="s">
        <v>6442</v>
      </c>
      <c r="F399" s="2"/>
      <c r="G399" s="2" t="s">
        <v>6443</v>
      </c>
      <c r="H399" s="2" t="s">
        <v>6444</v>
      </c>
      <c r="I399" s="3">
        <v>1104</v>
      </c>
      <c r="J399" s="4">
        <f>SUMIF(Cargas!$C$5:$C$3471,C399,Cargas!$O$5:$O$3471)</f>
        <v>0</v>
      </c>
      <c r="K399" s="18">
        <f t="shared" si="8"/>
        <v>1104</v>
      </c>
      <c r="L399" s="5" t="s">
        <v>7354</v>
      </c>
      <c r="M399" s="37">
        <v>149067</v>
      </c>
    </row>
    <row r="400" spans="1:13" ht="13.5" hidden="1" customHeight="1" x14ac:dyDescent="0.25">
      <c r="B400" s="46">
        <v>44785</v>
      </c>
      <c r="C400" s="6" t="s">
        <v>7355</v>
      </c>
      <c r="D400" s="2" t="s">
        <v>6582</v>
      </c>
      <c r="E400" s="2" t="s">
        <v>6442</v>
      </c>
      <c r="F400" s="2"/>
      <c r="G400" s="2" t="s">
        <v>6443</v>
      </c>
      <c r="H400" s="2" t="s">
        <v>6444</v>
      </c>
      <c r="I400" s="3">
        <v>1104</v>
      </c>
      <c r="J400" s="4">
        <f>SUMIF(Cargas!$C$5:$C$3471,C400,Cargas!$O$5:$O$3471)</f>
        <v>0</v>
      </c>
      <c r="K400" s="18">
        <f t="shared" si="8"/>
        <v>1104</v>
      </c>
      <c r="L400" s="5" t="s">
        <v>7354</v>
      </c>
      <c r="M400" s="37">
        <v>149067</v>
      </c>
    </row>
    <row r="401" spans="1:13" ht="13.5" hidden="1" customHeight="1" x14ac:dyDescent="0.25">
      <c r="B401" s="46">
        <v>44790</v>
      </c>
      <c r="C401" s="6" t="s">
        <v>7356</v>
      </c>
      <c r="D401" s="2" t="s">
        <v>6587</v>
      </c>
      <c r="E401" s="2" t="s">
        <v>6442</v>
      </c>
      <c r="F401" s="2"/>
      <c r="G401" s="2" t="s">
        <v>6443</v>
      </c>
      <c r="H401" s="2" t="s">
        <v>6444</v>
      </c>
      <c r="I401" s="3">
        <v>1104</v>
      </c>
      <c r="J401" s="4">
        <f>SUMIF(Cargas!$C$5:$C$3471,C401,Cargas!$O$5:$O$3471)</f>
        <v>0</v>
      </c>
      <c r="K401" s="18">
        <f t="shared" si="8"/>
        <v>1104</v>
      </c>
      <c r="L401" s="5" t="s">
        <v>7357</v>
      </c>
      <c r="M401" s="37">
        <v>154907</v>
      </c>
    </row>
    <row r="402" spans="1:13" ht="13.5" hidden="1" customHeight="1" x14ac:dyDescent="0.25">
      <c r="B402" s="46">
        <v>44791</v>
      </c>
      <c r="C402" s="6" t="s">
        <v>7358</v>
      </c>
      <c r="D402" s="2" t="s">
        <v>6587</v>
      </c>
      <c r="E402" s="2" t="s">
        <v>6442</v>
      </c>
      <c r="F402" s="2"/>
      <c r="G402" s="2" t="s">
        <v>6443</v>
      </c>
      <c r="H402" s="2" t="s">
        <v>6444</v>
      </c>
      <c r="I402" s="3">
        <v>1104</v>
      </c>
      <c r="J402" s="4">
        <f>SUMIF(Cargas!$C$5:$C$3471,C402,Cargas!$O$5:$O$3471)</f>
        <v>0</v>
      </c>
      <c r="K402" s="18">
        <f t="shared" si="8"/>
        <v>1104</v>
      </c>
      <c r="L402" s="5" t="s">
        <v>7357</v>
      </c>
      <c r="M402" s="37">
        <v>154907</v>
      </c>
    </row>
    <row r="403" spans="1:13" ht="13.5" hidden="1" customHeight="1" x14ac:dyDescent="0.25">
      <c r="B403" s="46">
        <v>44800</v>
      </c>
      <c r="C403" s="6" t="s">
        <v>7359</v>
      </c>
      <c r="D403" s="2" t="s">
        <v>6590</v>
      </c>
      <c r="E403" s="2" t="s">
        <v>6442</v>
      </c>
      <c r="F403" s="2"/>
      <c r="G403" s="2" t="s">
        <v>6443</v>
      </c>
      <c r="H403" s="2" t="s">
        <v>6444</v>
      </c>
      <c r="I403" s="3">
        <v>1104</v>
      </c>
      <c r="J403" s="4">
        <f>SUMIF(Cargas!$C$5:$C$3471,C403,Cargas!$O$5:$O$3471)</f>
        <v>0</v>
      </c>
      <c r="K403" s="18">
        <f t="shared" si="8"/>
        <v>1104</v>
      </c>
      <c r="L403" s="5" t="s">
        <v>7360</v>
      </c>
      <c r="M403" s="37">
        <v>160974</v>
      </c>
    </row>
    <row r="404" spans="1:13" ht="13.5" hidden="1" customHeight="1" x14ac:dyDescent="0.25">
      <c r="B404" s="46">
        <v>44800</v>
      </c>
      <c r="C404" s="6" t="s">
        <v>7361</v>
      </c>
      <c r="D404" s="2" t="s">
        <v>6590</v>
      </c>
      <c r="E404" s="2" t="s">
        <v>6442</v>
      </c>
      <c r="F404" s="2"/>
      <c r="G404" s="2" t="s">
        <v>6443</v>
      </c>
      <c r="H404" s="2" t="s">
        <v>6444</v>
      </c>
      <c r="I404" s="3">
        <v>1104</v>
      </c>
      <c r="J404" s="4">
        <f>SUMIF(Cargas!$C$5:$C$3471,C404,Cargas!$O$5:$O$3471)</f>
        <v>0</v>
      </c>
      <c r="K404" s="18">
        <f t="shared" si="8"/>
        <v>1104</v>
      </c>
      <c r="L404" s="5" t="s">
        <v>7360</v>
      </c>
      <c r="M404" s="37">
        <v>160974</v>
      </c>
    </row>
    <row r="405" spans="1:13" ht="13.5" hidden="1" customHeight="1" x14ac:dyDescent="0.25">
      <c r="B405" s="46">
        <v>44564</v>
      </c>
      <c r="C405" s="168" t="s">
        <v>7362</v>
      </c>
      <c r="D405" s="169" t="s">
        <v>6763</v>
      </c>
      <c r="E405" s="2" t="s">
        <v>6764</v>
      </c>
      <c r="F405" s="2"/>
      <c r="G405" s="2" t="s">
        <v>6443</v>
      </c>
      <c r="H405" s="169" t="s">
        <v>6768</v>
      </c>
      <c r="I405" s="3">
        <v>4590</v>
      </c>
      <c r="J405" s="4">
        <f>SUMIF(Cargas!$C$5:$C$3471,C405,Cargas!$O$5:$O$3471)</f>
        <v>0</v>
      </c>
      <c r="K405" s="18">
        <f t="shared" si="8"/>
        <v>4590</v>
      </c>
      <c r="L405" s="5" t="s">
        <v>7363</v>
      </c>
      <c r="M405" s="37">
        <v>1657</v>
      </c>
    </row>
    <row r="406" spans="1:13" ht="13.5" hidden="1" customHeight="1" x14ac:dyDescent="0.25">
      <c r="B406" s="46">
        <v>44566</v>
      </c>
      <c r="C406" s="168" t="s">
        <v>7364</v>
      </c>
      <c r="D406" s="169" t="s">
        <v>6772</v>
      </c>
      <c r="E406" s="2" t="s">
        <v>6764</v>
      </c>
      <c r="F406" s="2"/>
      <c r="G406" s="2" t="s">
        <v>6443</v>
      </c>
      <c r="H406" s="169" t="s">
        <v>6862</v>
      </c>
      <c r="I406" s="3">
        <v>4590</v>
      </c>
      <c r="J406" s="4">
        <f>SUMIF(Cargas!$C$5:$C$3471,C406,Cargas!$O$5:$O$3471)</f>
        <v>0</v>
      </c>
      <c r="K406" s="18">
        <f t="shared" si="8"/>
        <v>4590</v>
      </c>
      <c r="L406" s="5" t="s">
        <v>7365</v>
      </c>
      <c r="M406" s="37">
        <v>2566</v>
      </c>
    </row>
    <row r="407" spans="1:13" ht="13.5" hidden="1" customHeight="1" x14ac:dyDescent="0.25">
      <c r="B407" s="46">
        <v>44566</v>
      </c>
      <c r="C407" s="168" t="s">
        <v>7366</v>
      </c>
      <c r="D407" s="169" t="s">
        <v>6777</v>
      </c>
      <c r="E407" s="2" t="s">
        <v>6764</v>
      </c>
      <c r="F407" s="2"/>
      <c r="G407" s="2" t="s">
        <v>6443</v>
      </c>
      <c r="H407" s="169" t="s">
        <v>6963</v>
      </c>
      <c r="I407" s="3">
        <v>4032</v>
      </c>
      <c r="J407" s="4">
        <f>SUMIF(Cargas!$C$5:$C$3471,C407,Cargas!$O$5:$O$3471)</f>
        <v>0</v>
      </c>
      <c r="K407" s="18">
        <f t="shared" si="8"/>
        <v>4032</v>
      </c>
      <c r="L407" s="5" t="s">
        <v>7367</v>
      </c>
      <c r="M407" s="37">
        <v>4940</v>
      </c>
    </row>
    <row r="408" spans="1:13" ht="13.5" hidden="1" customHeight="1" x14ac:dyDescent="0.25">
      <c r="B408" s="46">
        <v>44566</v>
      </c>
      <c r="C408" s="168" t="s">
        <v>7368</v>
      </c>
      <c r="D408" s="169" t="s">
        <v>6781</v>
      </c>
      <c r="E408" s="2" t="s">
        <v>6764</v>
      </c>
      <c r="F408" s="2"/>
      <c r="G408" s="2" t="s">
        <v>6443</v>
      </c>
      <c r="H408" s="169" t="s">
        <v>6768</v>
      </c>
      <c r="I408" s="3">
        <v>6426</v>
      </c>
      <c r="J408" s="4">
        <f>SUMIF(Cargas!$C$5:$C$3471,C408,Cargas!$O$5:$O$3471)</f>
        <v>0</v>
      </c>
      <c r="K408" s="18">
        <f t="shared" si="8"/>
        <v>6426</v>
      </c>
      <c r="L408" s="5" t="s">
        <v>7369</v>
      </c>
      <c r="M408" s="37">
        <v>6685</v>
      </c>
    </row>
    <row r="409" spans="1:13" ht="13.5" hidden="1" customHeight="1" x14ac:dyDescent="0.25">
      <c r="B409" s="46">
        <v>44566</v>
      </c>
      <c r="C409" s="168" t="s">
        <v>7370</v>
      </c>
      <c r="D409" s="169" t="s">
        <v>6786</v>
      </c>
      <c r="E409" s="2" t="s">
        <v>6764</v>
      </c>
      <c r="F409" s="2"/>
      <c r="G409" s="2" t="s">
        <v>6443</v>
      </c>
      <c r="H409" s="169" t="s">
        <v>6444</v>
      </c>
      <c r="I409" s="3">
        <v>4590</v>
      </c>
      <c r="J409" s="4">
        <f>SUMIF(Cargas!$C$5:$C$3471,C409,Cargas!$O$5:$O$3471)</f>
        <v>0</v>
      </c>
      <c r="K409" s="18">
        <f t="shared" si="8"/>
        <v>4590</v>
      </c>
      <c r="L409" s="5" t="s">
        <v>7371</v>
      </c>
      <c r="M409" s="37">
        <v>3658</v>
      </c>
    </row>
    <row r="410" spans="1:13" ht="13.5" hidden="1" customHeight="1" x14ac:dyDescent="0.25">
      <c r="B410" s="46">
        <v>44578</v>
      </c>
      <c r="C410" s="168" t="s">
        <v>7372</v>
      </c>
      <c r="D410" s="169" t="s">
        <v>6790</v>
      </c>
      <c r="E410" s="2" t="s">
        <v>6764</v>
      </c>
      <c r="F410" s="2"/>
      <c r="G410" s="2" t="s">
        <v>6443</v>
      </c>
      <c r="H410" s="169" t="s">
        <v>6862</v>
      </c>
      <c r="I410" s="3">
        <v>4590</v>
      </c>
      <c r="J410" s="4">
        <f>SUMIF(Cargas!$C$5:$C$3471,C410,Cargas!$O$5:$O$3471)</f>
        <v>0</v>
      </c>
      <c r="K410" s="18">
        <f t="shared" si="8"/>
        <v>4590</v>
      </c>
      <c r="L410" s="5" t="s">
        <v>7373</v>
      </c>
      <c r="M410" s="37">
        <v>9851</v>
      </c>
    </row>
    <row r="411" spans="1:13" ht="13.5" hidden="1" customHeight="1" x14ac:dyDescent="0.25">
      <c r="B411" s="46">
        <v>44578</v>
      </c>
      <c r="C411" s="168" t="s">
        <v>7374</v>
      </c>
      <c r="D411" s="169" t="s">
        <v>6793</v>
      </c>
      <c r="E411" s="2" t="s">
        <v>6764</v>
      </c>
      <c r="F411" s="2"/>
      <c r="G411" s="2" t="s">
        <v>6443</v>
      </c>
      <c r="H411" s="169" t="s">
        <v>6768</v>
      </c>
      <c r="I411" s="3">
        <v>6426</v>
      </c>
      <c r="J411" s="4">
        <f>SUMIF(Cargas!$C$5:$C$3471,C411,Cargas!$O$5:$O$3471)</f>
        <v>0</v>
      </c>
      <c r="K411" s="18">
        <f t="shared" si="8"/>
        <v>6426</v>
      </c>
      <c r="L411" s="5" t="s">
        <v>7375</v>
      </c>
      <c r="M411" s="37">
        <v>9922</v>
      </c>
    </row>
    <row r="412" spans="1:13" ht="13.5" hidden="1" customHeight="1" x14ac:dyDescent="0.25">
      <c r="B412" s="46">
        <v>44578</v>
      </c>
      <c r="C412" s="168" t="s">
        <v>7376</v>
      </c>
      <c r="D412" s="169" t="s">
        <v>6798</v>
      </c>
      <c r="E412" s="2" t="s">
        <v>6764</v>
      </c>
      <c r="F412" s="2"/>
      <c r="G412" s="2" t="s">
        <v>6443</v>
      </c>
      <c r="H412" s="169" t="s">
        <v>6444</v>
      </c>
      <c r="I412" s="3">
        <v>4590</v>
      </c>
      <c r="J412" s="4">
        <f>SUMIF(Cargas!$C$5:$C$3471,C412,Cargas!$O$5:$O$3471)</f>
        <v>0</v>
      </c>
      <c r="K412" s="18">
        <f t="shared" si="8"/>
        <v>4590</v>
      </c>
      <c r="L412" s="5" t="s">
        <v>7377</v>
      </c>
      <c r="M412" s="37">
        <v>11911</v>
      </c>
    </row>
    <row r="413" spans="1:13" ht="13.5" hidden="1" customHeight="1" x14ac:dyDescent="0.25">
      <c r="B413" s="46">
        <v>44580</v>
      </c>
      <c r="C413" s="168" t="s">
        <v>7378</v>
      </c>
      <c r="D413" s="169" t="s">
        <v>6804</v>
      </c>
      <c r="E413" s="2" t="s">
        <v>6764</v>
      </c>
      <c r="F413" s="2"/>
      <c r="G413" s="2" t="s">
        <v>6443</v>
      </c>
      <c r="H413" s="169" t="s">
        <v>6963</v>
      </c>
      <c r="I413" s="3">
        <v>5040</v>
      </c>
      <c r="J413" s="4">
        <f>SUMIF(Cargas!$C$5:$C$3471,C413,Cargas!$O$5:$O$3471)</f>
        <v>0</v>
      </c>
      <c r="K413" s="18">
        <f t="shared" si="8"/>
        <v>5040</v>
      </c>
      <c r="L413" s="5" t="s">
        <v>7379</v>
      </c>
      <c r="M413" s="37">
        <v>12890</v>
      </c>
    </row>
    <row r="414" spans="1:13" ht="13.5" hidden="1" customHeight="1" x14ac:dyDescent="0.25">
      <c r="A414" t="s">
        <v>2</v>
      </c>
      <c r="B414" s="46">
        <v>44580</v>
      </c>
      <c r="C414" s="168" t="s">
        <v>7380</v>
      </c>
      <c r="D414" s="169" t="s">
        <v>6808</v>
      </c>
      <c r="E414" s="2" t="s">
        <v>6764</v>
      </c>
      <c r="F414" s="2"/>
      <c r="G414" s="2" t="s">
        <v>6443</v>
      </c>
      <c r="H414" s="169" t="s">
        <v>7381</v>
      </c>
      <c r="I414" s="3">
        <v>3672</v>
      </c>
      <c r="J414" s="4">
        <f>SUMIF(Cargas!$C$5:$C$3471,C414,Cargas!$O$5:$O$3471)</f>
        <v>0</v>
      </c>
      <c r="K414" s="18">
        <f t="shared" si="8"/>
        <v>3672</v>
      </c>
      <c r="L414" s="5" t="s">
        <v>7382</v>
      </c>
      <c r="M414" s="37">
        <v>11877</v>
      </c>
    </row>
    <row r="415" spans="1:13" ht="13.5" hidden="1" customHeight="1" x14ac:dyDescent="0.25">
      <c r="A415" t="s">
        <v>2</v>
      </c>
      <c r="B415" s="46">
        <v>44600</v>
      </c>
      <c r="C415" s="168" t="s">
        <v>7383</v>
      </c>
      <c r="D415" s="169" t="s">
        <v>6837</v>
      </c>
      <c r="E415" s="2" t="s">
        <v>6764</v>
      </c>
      <c r="F415" s="2"/>
      <c r="G415" s="2" t="s">
        <v>6443</v>
      </c>
      <c r="H415" s="169" t="s">
        <v>6768</v>
      </c>
      <c r="I415" s="3">
        <v>6426</v>
      </c>
      <c r="J415" s="4">
        <f>SUMIF(Cargas!$C$5:$C$3471,C415,Cargas!$O$5:$O$3471)</f>
        <v>0</v>
      </c>
      <c r="K415" s="18">
        <f t="shared" si="8"/>
        <v>6426</v>
      </c>
      <c r="L415" s="5" t="s">
        <v>7384</v>
      </c>
      <c r="M415" s="37">
        <v>24511</v>
      </c>
    </row>
    <row r="416" spans="1:13" ht="14.25" hidden="1" customHeight="1" x14ac:dyDescent="0.25">
      <c r="A416" t="s">
        <v>2</v>
      </c>
      <c r="B416" s="46">
        <v>44603</v>
      </c>
      <c r="C416" s="168" t="s">
        <v>7385</v>
      </c>
      <c r="D416" s="169" t="s">
        <v>6840</v>
      </c>
      <c r="E416" s="2" t="s">
        <v>6764</v>
      </c>
      <c r="F416" s="2"/>
      <c r="G416" s="2" t="s">
        <v>6443</v>
      </c>
      <c r="H416" s="169" t="s">
        <v>6444</v>
      </c>
      <c r="I416" s="3">
        <v>6426</v>
      </c>
      <c r="J416" s="4">
        <f>SUMIF(Cargas!$C$5:$C$3471,C416,Cargas!$O$5:$O$3471)</f>
        <v>0</v>
      </c>
      <c r="K416" s="18">
        <f t="shared" si="8"/>
        <v>6426</v>
      </c>
      <c r="L416" s="5" t="s">
        <v>7386</v>
      </c>
      <c r="M416" s="37">
        <v>27842</v>
      </c>
    </row>
    <row r="417" spans="1:13" ht="14.25" hidden="1" customHeight="1" x14ac:dyDescent="0.25">
      <c r="A417" t="s">
        <v>2</v>
      </c>
      <c r="B417" s="46">
        <v>44607</v>
      </c>
      <c r="C417" s="168" t="s">
        <v>7387</v>
      </c>
      <c r="D417" s="169" t="s">
        <v>6843</v>
      </c>
      <c r="E417" s="2" t="s">
        <v>6764</v>
      </c>
      <c r="F417" s="2"/>
      <c r="G417" s="2" t="s">
        <v>6443</v>
      </c>
      <c r="H417" s="169" t="s">
        <v>6768</v>
      </c>
      <c r="I417" s="3">
        <v>6426</v>
      </c>
      <c r="J417" s="4">
        <f>SUMIF(Cargas!$C$5:$C$3471,C417,Cargas!$O$5:$O$3471)</f>
        <v>0</v>
      </c>
      <c r="K417" s="18">
        <f t="shared" si="8"/>
        <v>6426</v>
      </c>
      <c r="L417" s="5" t="s">
        <v>7388</v>
      </c>
      <c r="M417" s="37">
        <v>29539</v>
      </c>
    </row>
    <row r="418" spans="1:13" ht="14.25" hidden="1" customHeight="1" x14ac:dyDescent="0.25">
      <c r="A418" t="s">
        <v>2</v>
      </c>
      <c r="B418" s="46">
        <v>44603</v>
      </c>
      <c r="C418" s="168" t="s">
        <v>7389</v>
      </c>
      <c r="D418" s="169" t="s">
        <v>6846</v>
      </c>
      <c r="E418" s="2" t="s">
        <v>6764</v>
      </c>
      <c r="F418" s="2"/>
      <c r="G418" s="2" t="s">
        <v>6443</v>
      </c>
      <c r="H418" s="169" t="s">
        <v>6862</v>
      </c>
      <c r="I418" s="3">
        <v>4590</v>
      </c>
      <c r="J418" s="4">
        <f>SUMIF(Cargas!$C$5:$C$3471,C418,Cargas!$O$5:$O$3471)</f>
        <v>0</v>
      </c>
      <c r="K418" s="18">
        <f t="shared" si="8"/>
        <v>4590</v>
      </c>
      <c r="L418" s="5" t="s">
        <v>7390</v>
      </c>
      <c r="M418" s="37">
        <v>36564</v>
      </c>
    </row>
    <row r="419" spans="1:13" ht="14.25" hidden="1" customHeight="1" x14ac:dyDescent="0.25">
      <c r="A419" t="s">
        <v>2</v>
      </c>
      <c r="B419" s="46">
        <v>44615</v>
      </c>
      <c r="C419" s="168" t="s">
        <v>7391</v>
      </c>
      <c r="D419" s="169" t="s">
        <v>6849</v>
      </c>
      <c r="E419" s="2" t="s">
        <v>6764</v>
      </c>
      <c r="F419" s="2"/>
      <c r="G419" s="2" t="s">
        <v>6443</v>
      </c>
      <c r="H419" s="169" t="s">
        <v>6768</v>
      </c>
      <c r="I419" s="3">
        <v>6426</v>
      </c>
      <c r="J419" s="4">
        <f>SUMIF(Cargas!$C$5:$C$3471,C419,Cargas!$O$5:$O$3471)</f>
        <v>0</v>
      </c>
      <c r="K419" s="18">
        <f t="shared" si="8"/>
        <v>6426</v>
      </c>
      <c r="L419" s="5" t="s">
        <v>7392</v>
      </c>
      <c r="M419" s="37">
        <v>34539</v>
      </c>
    </row>
    <row r="420" spans="1:13" ht="14.25" hidden="1" customHeight="1" x14ac:dyDescent="0.25">
      <c r="A420" t="s">
        <v>2</v>
      </c>
      <c r="B420" s="46">
        <v>44622</v>
      </c>
      <c r="C420" s="168" t="s">
        <v>7393</v>
      </c>
      <c r="D420" s="169" t="s">
        <v>6852</v>
      </c>
      <c r="E420" s="2" t="s">
        <v>6764</v>
      </c>
      <c r="F420" s="2"/>
      <c r="G420" s="2" t="s">
        <v>6443</v>
      </c>
      <c r="H420" s="169" t="s">
        <v>6444</v>
      </c>
      <c r="I420" s="3">
        <v>3672</v>
      </c>
      <c r="J420" s="4">
        <f>SUMIF(Cargas!$C$5:$C$3471,C420,Cargas!$O$5:$O$3471)</f>
        <v>0</v>
      </c>
      <c r="K420" s="18">
        <f t="shared" si="8"/>
        <v>3672</v>
      </c>
      <c r="L420" s="5" t="s">
        <v>7394</v>
      </c>
      <c r="M420" s="37">
        <v>38036</v>
      </c>
    </row>
    <row r="421" spans="1:13" ht="14.25" hidden="1" customHeight="1" x14ac:dyDescent="0.25">
      <c r="A421" t="s">
        <v>2</v>
      </c>
      <c r="B421" s="46">
        <v>44622</v>
      </c>
      <c r="C421" s="168" t="s">
        <v>7395</v>
      </c>
      <c r="D421" s="169" t="s">
        <v>6855</v>
      </c>
      <c r="E421" s="2" t="s">
        <v>6764</v>
      </c>
      <c r="F421" s="2"/>
      <c r="G421" s="2" t="s">
        <v>6443</v>
      </c>
      <c r="H421" s="169" t="s">
        <v>6768</v>
      </c>
      <c r="I421" s="3">
        <v>6426</v>
      </c>
      <c r="J421" s="4">
        <f>SUMIF(Cargas!$C$5:$C$3471,C421,Cargas!$O$5:$O$3471)</f>
        <v>0</v>
      </c>
      <c r="K421" s="18"/>
      <c r="L421" s="5" t="s">
        <v>7396</v>
      </c>
      <c r="M421" s="37">
        <v>38102</v>
      </c>
    </row>
    <row r="422" spans="1:13" ht="13.5" hidden="1" customHeight="1" x14ac:dyDescent="0.25">
      <c r="B422" s="46">
        <v>44622</v>
      </c>
      <c r="C422" s="168" t="s">
        <v>7397</v>
      </c>
      <c r="D422" s="169" t="s">
        <v>6858</v>
      </c>
      <c r="E422" s="2" t="s">
        <v>6764</v>
      </c>
      <c r="F422" s="2"/>
      <c r="G422" s="2" t="s">
        <v>6443</v>
      </c>
      <c r="H422" s="169" t="s">
        <v>6963</v>
      </c>
      <c r="I422" s="3">
        <v>3024</v>
      </c>
      <c r="J422" s="4">
        <f>SUMIF(Cargas!$C$5:$C$3471,C422,Cargas!$O$5:$O$3471)</f>
        <v>0</v>
      </c>
      <c r="K422" s="18">
        <f t="shared" ref="K422:K485" si="9">IF(ABS(I422-J422)&lt;20,0,I422-J422)</f>
        <v>3024</v>
      </c>
      <c r="L422" s="5" t="s">
        <v>7398</v>
      </c>
      <c r="M422" s="37">
        <v>38676</v>
      </c>
    </row>
    <row r="423" spans="1:13" ht="13.5" hidden="1" customHeight="1" x14ac:dyDescent="0.25">
      <c r="B423" s="46">
        <v>44629</v>
      </c>
      <c r="C423" s="168" t="s">
        <v>7399</v>
      </c>
      <c r="D423" s="169" t="s">
        <v>6861</v>
      </c>
      <c r="E423" s="2" t="s">
        <v>6764</v>
      </c>
      <c r="F423" s="2"/>
      <c r="G423" s="2" t="s">
        <v>6443</v>
      </c>
      <c r="H423" s="169" t="s">
        <v>6768</v>
      </c>
      <c r="I423" s="3">
        <v>6426</v>
      </c>
      <c r="J423" s="4">
        <f>SUMIF(Cargas!$C$5:$C$3471,C423,Cargas!$O$5:$O$3471)</f>
        <v>0</v>
      </c>
      <c r="K423" s="18">
        <f t="shared" si="9"/>
        <v>6426</v>
      </c>
      <c r="L423" s="5" t="s">
        <v>7400</v>
      </c>
      <c r="M423" s="37">
        <v>44944</v>
      </c>
    </row>
    <row r="424" spans="1:13" ht="13.5" hidden="1" customHeight="1" x14ac:dyDescent="0.25">
      <c r="B424" s="46">
        <v>44629</v>
      </c>
      <c r="C424" s="168" t="s">
        <v>7401</v>
      </c>
      <c r="D424" s="169" t="s">
        <v>6865</v>
      </c>
      <c r="E424" s="2" t="s">
        <v>6764</v>
      </c>
      <c r="F424" s="2"/>
      <c r="G424" s="2" t="s">
        <v>6443</v>
      </c>
      <c r="H424" s="169" t="s">
        <v>6444</v>
      </c>
      <c r="I424" s="3">
        <v>6426</v>
      </c>
      <c r="J424" s="4">
        <f>SUMIF(Cargas!$C$5:$C$3471,C424,Cargas!$O$5:$O$3471)</f>
        <v>0</v>
      </c>
      <c r="K424" s="18">
        <f t="shared" si="9"/>
        <v>6426</v>
      </c>
      <c r="L424" s="5" t="s">
        <v>7402</v>
      </c>
      <c r="M424" s="37">
        <v>44133</v>
      </c>
    </row>
    <row r="425" spans="1:13" ht="13.5" hidden="1" customHeight="1" x14ac:dyDescent="0.25">
      <c r="B425" s="46">
        <v>44629</v>
      </c>
      <c r="C425" s="168" t="s">
        <v>7403</v>
      </c>
      <c r="D425" s="169" t="s">
        <v>6868</v>
      </c>
      <c r="E425" s="2" t="s">
        <v>6764</v>
      </c>
      <c r="F425" s="2"/>
      <c r="G425" s="2" t="s">
        <v>6443</v>
      </c>
      <c r="H425" s="169" t="s">
        <v>6862</v>
      </c>
      <c r="I425" s="3">
        <v>5508</v>
      </c>
      <c r="J425" s="4">
        <f>SUMIF(Cargas!$C$5:$C$3471,C425,Cargas!$O$5:$O$3471)</f>
        <v>0</v>
      </c>
      <c r="K425" s="18">
        <f t="shared" si="9"/>
        <v>5508</v>
      </c>
      <c r="L425" s="5" t="s">
        <v>7404</v>
      </c>
      <c r="M425" s="37">
        <v>45036</v>
      </c>
    </row>
    <row r="426" spans="1:13" ht="13.5" hidden="1" customHeight="1" x14ac:dyDescent="0.25">
      <c r="B426" s="46">
        <v>44636</v>
      </c>
      <c r="C426" s="168" t="s">
        <v>7405</v>
      </c>
      <c r="D426" s="169" t="s">
        <v>6871</v>
      </c>
      <c r="E426" s="2" t="s">
        <v>6764</v>
      </c>
      <c r="F426" s="2"/>
      <c r="G426" s="2" t="s">
        <v>6443</v>
      </c>
      <c r="H426" s="169" t="s">
        <v>6963</v>
      </c>
      <c r="I426" s="3">
        <v>5040</v>
      </c>
      <c r="J426" s="4">
        <f>SUMIF(Cargas!$C$5:$C$3471,C426,Cargas!$O$5:$O$3471)</f>
        <v>0</v>
      </c>
      <c r="K426" s="18">
        <f t="shared" si="9"/>
        <v>5040</v>
      </c>
      <c r="L426" s="5" t="s">
        <v>7406</v>
      </c>
      <c r="M426" s="37">
        <v>49319</v>
      </c>
    </row>
    <row r="427" spans="1:13" ht="13.5" hidden="1" customHeight="1" x14ac:dyDescent="0.25">
      <c r="B427" s="46">
        <v>44645</v>
      </c>
      <c r="C427" s="168" t="s">
        <v>7407</v>
      </c>
      <c r="D427" s="169" t="s">
        <v>6874</v>
      </c>
      <c r="E427" s="2" t="s">
        <v>6764</v>
      </c>
      <c r="F427" s="2"/>
      <c r="G427" s="2" t="s">
        <v>6443</v>
      </c>
      <c r="H427" s="169" t="s">
        <v>6768</v>
      </c>
      <c r="I427" s="3">
        <v>5508</v>
      </c>
      <c r="J427" s="4">
        <f>SUMIF(Cargas!$C$5:$C$3471,C427,Cargas!$O$5:$O$3471)</f>
        <v>0</v>
      </c>
      <c r="K427" s="18">
        <f t="shared" si="9"/>
        <v>5508</v>
      </c>
      <c r="L427" s="5" t="s">
        <v>7408</v>
      </c>
      <c r="M427" s="37">
        <v>55125</v>
      </c>
    </row>
    <row r="428" spans="1:13" ht="13.5" hidden="1" customHeight="1" x14ac:dyDescent="0.25">
      <c r="B428" s="46">
        <v>44652</v>
      </c>
      <c r="C428" s="168" t="s">
        <v>7409</v>
      </c>
      <c r="D428" s="169" t="s">
        <v>6877</v>
      </c>
      <c r="E428" s="2" t="s">
        <v>6764</v>
      </c>
      <c r="F428" s="2"/>
      <c r="G428" s="2" t="s">
        <v>6443</v>
      </c>
      <c r="H428" s="169" t="s">
        <v>6444</v>
      </c>
      <c r="I428" s="3">
        <v>5508</v>
      </c>
      <c r="J428" s="4">
        <f>SUMIF(Cargas!$C$5:$C$3471,C428,Cargas!$O$5:$O$3471)</f>
        <v>0</v>
      </c>
      <c r="K428" s="18">
        <f t="shared" si="9"/>
        <v>5508</v>
      </c>
      <c r="L428" s="5" t="s">
        <v>7410</v>
      </c>
      <c r="M428" s="37">
        <v>61850</v>
      </c>
    </row>
    <row r="429" spans="1:13" ht="13.5" hidden="1" customHeight="1" x14ac:dyDescent="0.25">
      <c r="B429" s="46">
        <v>44652</v>
      </c>
      <c r="C429" s="168" t="s">
        <v>7411</v>
      </c>
      <c r="D429" s="169" t="s">
        <v>6880</v>
      </c>
      <c r="E429" s="2" t="s">
        <v>6764</v>
      </c>
      <c r="F429" s="2"/>
      <c r="G429" s="2" t="s">
        <v>6443</v>
      </c>
      <c r="H429" s="169" t="s">
        <v>6963</v>
      </c>
      <c r="I429" s="3">
        <v>4032</v>
      </c>
      <c r="J429" s="4">
        <f>SUMIF(Cargas!$C$5:$C$3471,C429,Cargas!$O$5:$O$3471)</f>
        <v>0</v>
      </c>
      <c r="K429" s="18">
        <f t="shared" si="9"/>
        <v>4032</v>
      </c>
      <c r="L429" s="5" t="s">
        <v>7412</v>
      </c>
      <c r="M429" s="37">
        <v>61797</v>
      </c>
    </row>
    <row r="430" spans="1:13" ht="13.5" hidden="1" customHeight="1" x14ac:dyDescent="0.25">
      <c r="B430" s="46">
        <v>44652</v>
      </c>
      <c r="C430" s="168" t="s">
        <v>7413</v>
      </c>
      <c r="D430" s="169" t="s">
        <v>6882</v>
      </c>
      <c r="E430" s="2" t="s">
        <v>6764</v>
      </c>
      <c r="F430" s="2"/>
      <c r="G430" s="2" t="s">
        <v>6443</v>
      </c>
      <c r="H430" s="169" t="s">
        <v>6768</v>
      </c>
      <c r="I430" s="3">
        <v>6426</v>
      </c>
      <c r="J430" s="4">
        <f>SUMIF(Cargas!$C$5:$C$3471,C430,Cargas!$O$5:$O$3471)</f>
        <v>0</v>
      </c>
      <c r="K430" s="18">
        <f t="shared" si="9"/>
        <v>6426</v>
      </c>
      <c r="L430" s="5" t="s">
        <v>7414</v>
      </c>
      <c r="M430" s="37">
        <v>61903</v>
      </c>
    </row>
    <row r="431" spans="1:13" ht="13.5" hidden="1" customHeight="1" x14ac:dyDescent="0.25">
      <c r="B431" s="46">
        <v>44663</v>
      </c>
      <c r="C431" s="168" t="s">
        <v>7415</v>
      </c>
      <c r="D431" s="169" t="s">
        <v>6888</v>
      </c>
      <c r="E431" s="2" t="s">
        <v>6764</v>
      </c>
      <c r="F431" s="2"/>
      <c r="G431" s="2" t="s">
        <v>6443</v>
      </c>
      <c r="H431" s="169" t="s">
        <v>6768</v>
      </c>
      <c r="I431" s="3">
        <v>9180</v>
      </c>
      <c r="J431" s="4">
        <f>SUMIF(Cargas!$C$5:$C$3471,C431,Cargas!$O$5:$O$3471)</f>
        <v>0</v>
      </c>
      <c r="K431" s="18">
        <f t="shared" si="9"/>
        <v>9180</v>
      </c>
      <c r="L431" s="5" t="s">
        <v>7416</v>
      </c>
      <c r="M431" s="37">
        <v>65625</v>
      </c>
    </row>
    <row r="432" spans="1:13" ht="13.5" hidden="1" customHeight="1" x14ac:dyDescent="0.25">
      <c r="B432" s="46">
        <v>44671</v>
      </c>
      <c r="C432" s="168" t="s">
        <v>7417</v>
      </c>
      <c r="D432" s="169" t="s">
        <v>6891</v>
      </c>
      <c r="E432" s="2" t="s">
        <v>6764</v>
      </c>
      <c r="F432" s="2"/>
      <c r="G432" s="2" t="s">
        <v>6443</v>
      </c>
      <c r="H432" s="169" t="s">
        <v>6444</v>
      </c>
      <c r="I432" s="3">
        <v>6426</v>
      </c>
      <c r="J432" s="4">
        <f>SUMIF(Cargas!$C$5:$C$3471,C432,Cargas!$O$5:$O$3471)</f>
        <v>0</v>
      </c>
      <c r="K432" s="18">
        <f t="shared" si="9"/>
        <v>6426</v>
      </c>
      <c r="L432" s="5" t="s">
        <v>7418</v>
      </c>
      <c r="M432" s="37">
        <v>71712</v>
      </c>
    </row>
    <row r="433" spans="1:13" ht="13.5" hidden="1" customHeight="1" x14ac:dyDescent="0.25">
      <c r="B433" s="46">
        <v>44677</v>
      </c>
      <c r="C433" s="168" t="s">
        <v>7419</v>
      </c>
      <c r="D433" s="169" t="s">
        <v>6894</v>
      </c>
      <c r="E433" s="2" t="s">
        <v>6764</v>
      </c>
      <c r="F433" s="2"/>
      <c r="G433" s="2" t="s">
        <v>6443</v>
      </c>
      <c r="H433" s="169" t="s">
        <v>6768</v>
      </c>
      <c r="I433" s="3">
        <v>9180</v>
      </c>
      <c r="J433" s="4">
        <f>SUMIF(Cargas!$C$5:$C$3471,C433,Cargas!$O$5:$O$3471)</f>
        <v>0</v>
      </c>
      <c r="K433" s="18">
        <f t="shared" si="9"/>
        <v>9180</v>
      </c>
      <c r="L433" s="5" t="s">
        <v>7420</v>
      </c>
      <c r="M433" s="37">
        <v>73743</v>
      </c>
    </row>
    <row r="434" spans="1:13" ht="13.5" hidden="1" customHeight="1" x14ac:dyDescent="0.25">
      <c r="B434" s="46">
        <v>44677</v>
      </c>
      <c r="C434" s="168" t="s">
        <v>7421</v>
      </c>
      <c r="D434" s="169" t="s">
        <v>6897</v>
      </c>
      <c r="E434" s="2" t="s">
        <v>6764</v>
      </c>
      <c r="F434" s="2"/>
      <c r="G434" s="2" t="s">
        <v>6443</v>
      </c>
      <c r="H434" s="169" t="s">
        <v>6862</v>
      </c>
      <c r="I434" s="3">
        <v>4590</v>
      </c>
      <c r="J434" s="4">
        <f>SUMIF(Cargas!$C$5:$C$3471,C434,Cargas!$O$5:$O$3471)</f>
        <v>0</v>
      </c>
      <c r="K434" s="18">
        <f t="shared" si="9"/>
        <v>4590</v>
      </c>
      <c r="L434" s="5" t="s">
        <v>7422</v>
      </c>
      <c r="M434" s="37">
        <v>74860</v>
      </c>
    </row>
    <row r="435" spans="1:13" ht="13.5" hidden="1" customHeight="1" x14ac:dyDescent="0.25">
      <c r="B435" s="46">
        <v>44677</v>
      </c>
      <c r="C435" s="168" t="s">
        <v>7423</v>
      </c>
      <c r="D435" s="169" t="s">
        <v>6901</v>
      </c>
      <c r="E435" s="2" t="s">
        <v>6764</v>
      </c>
      <c r="F435" s="2"/>
      <c r="G435" s="2" t="s">
        <v>6443</v>
      </c>
      <c r="H435" s="169" t="s">
        <v>6963</v>
      </c>
      <c r="I435" s="3">
        <v>5040</v>
      </c>
      <c r="J435" s="4">
        <f>SUMIF(Cargas!$C$5:$C$3471,C435,Cargas!$O$5:$O$3471)</f>
        <v>0</v>
      </c>
      <c r="K435" s="18">
        <f t="shared" si="9"/>
        <v>5040</v>
      </c>
      <c r="L435" s="5" t="s">
        <v>7424</v>
      </c>
      <c r="M435" s="37">
        <v>74925</v>
      </c>
    </row>
    <row r="436" spans="1:13" ht="13.5" hidden="1" customHeight="1" x14ac:dyDescent="0.25">
      <c r="B436" s="46">
        <v>44687</v>
      </c>
      <c r="C436" s="168" t="s">
        <v>7425</v>
      </c>
      <c r="D436" s="169" t="s">
        <v>6904</v>
      </c>
      <c r="E436" s="2" t="s">
        <v>6764</v>
      </c>
      <c r="F436" s="2"/>
      <c r="G436" s="2" t="s">
        <v>6443</v>
      </c>
      <c r="H436" s="169" t="s">
        <v>6768</v>
      </c>
      <c r="I436" s="3">
        <v>9180</v>
      </c>
      <c r="J436" s="4">
        <f>SUMIF(Cargas!$C$5:$C$3471,C436,Cargas!$O$5:$O$3471)</f>
        <v>0</v>
      </c>
      <c r="K436" s="18">
        <f t="shared" si="9"/>
        <v>9180</v>
      </c>
      <c r="L436" s="5" t="s">
        <v>7426</v>
      </c>
      <c r="M436" s="37">
        <v>82633</v>
      </c>
    </row>
    <row r="437" spans="1:13" ht="13.5" hidden="1" customHeight="1" x14ac:dyDescent="0.25">
      <c r="B437" s="46">
        <v>44687</v>
      </c>
      <c r="C437" s="168" t="s">
        <v>7427</v>
      </c>
      <c r="D437" s="169" t="s">
        <v>6907</v>
      </c>
      <c r="E437" s="2" t="s">
        <v>6764</v>
      </c>
      <c r="F437" s="2"/>
      <c r="G437" s="2" t="s">
        <v>6443</v>
      </c>
      <c r="H437" s="169" t="s">
        <v>6444</v>
      </c>
      <c r="I437" s="3">
        <v>9180</v>
      </c>
      <c r="J437" s="4">
        <f>SUMIF(Cargas!$C$5:$C$3471,C437,Cargas!$O$5:$O$3471)</f>
        <v>0</v>
      </c>
      <c r="K437" s="18">
        <f t="shared" si="9"/>
        <v>9180</v>
      </c>
      <c r="L437" s="5" t="s">
        <v>7428</v>
      </c>
      <c r="M437" s="37">
        <v>81462</v>
      </c>
    </row>
    <row r="438" spans="1:13" ht="13.5" hidden="1" customHeight="1" x14ac:dyDescent="0.25">
      <c r="B438" s="46">
        <v>44704</v>
      </c>
      <c r="C438" s="168" t="s">
        <v>7429</v>
      </c>
      <c r="D438" s="169" t="s">
        <v>6910</v>
      </c>
      <c r="E438" s="2" t="s">
        <v>6764</v>
      </c>
      <c r="F438" s="2"/>
      <c r="G438" s="2" t="s">
        <v>6443</v>
      </c>
      <c r="H438" s="169" t="s">
        <v>6963</v>
      </c>
      <c r="I438" s="3">
        <v>6048</v>
      </c>
      <c r="J438" s="4">
        <f>SUMIF(Cargas!$C$5:$C$3471,C438,Cargas!$O$5:$O$3471)</f>
        <v>0</v>
      </c>
      <c r="K438" s="18">
        <f t="shared" si="9"/>
        <v>6048</v>
      </c>
      <c r="L438" s="5" t="s">
        <v>7430</v>
      </c>
      <c r="M438" s="37">
        <v>92321</v>
      </c>
    </row>
    <row r="439" spans="1:13" ht="13.5" hidden="1" customHeight="1" x14ac:dyDescent="0.25">
      <c r="B439" s="46">
        <v>44705</v>
      </c>
      <c r="C439" s="168" t="s">
        <v>7431</v>
      </c>
      <c r="D439" s="169" t="s">
        <v>6913</v>
      </c>
      <c r="E439" s="2" t="s">
        <v>6764</v>
      </c>
      <c r="F439" s="2"/>
      <c r="G439" s="2" t="s">
        <v>6443</v>
      </c>
      <c r="H439" s="169" t="s">
        <v>6768</v>
      </c>
      <c r="I439" s="3">
        <v>9180</v>
      </c>
      <c r="J439" s="4">
        <f>SUMIF(Cargas!$C$5:$C$3471,C439,Cargas!$O$5:$O$3471)</f>
        <v>0</v>
      </c>
      <c r="K439" s="18">
        <f t="shared" si="9"/>
        <v>9180</v>
      </c>
      <c r="L439" s="5" t="s">
        <v>7432</v>
      </c>
      <c r="M439" s="37">
        <v>93331</v>
      </c>
    </row>
    <row r="440" spans="1:13" ht="13.5" hidden="1" customHeight="1" x14ac:dyDescent="0.25">
      <c r="B440" s="46">
        <v>44806</v>
      </c>
      <c r="C440" s="6" t="s">
        <v>7433</v>
      </c>
      <c r="D440" s="2" t="s">
        <v>6596</v>
      </c>
      <c r="E440" s="2" t="s">
        <v>6442</v>
      </c>
      <c r="F440" s="2"/>
      <c r="G440" s="2" t="s">
        <v>6443</v>
      </c>
      <c r="H440" s="2" t="s">
        <v>6444</v>
      </c>
      <c r="I440" s="3">
        <v>1104</v>
      </c>
      <c r="J440" s="4">
        <f>SUMIF(Cargas!$C$5:$C$3471,C440,Cargas!$O$5:$O$3471)</f>
        <v>0</v>
      </c>
      <c r="K440" s="18">
        <f t="shared" si="9"/>
        <v>1104</v>
      </c>
      <c r="L440" s="5" t="s">
        <v>7434</v>
      </c>
      <c r="M440" s="37">
        <v>165879</v>
      </c>
    </row>
    <row r="441" spans="1:13" ht="13.5" hidden="1" customHeight="1" x14ac:dyDescent="0.25">
      <c r="B441" s="46">
        <v>44810</v>
      </c>
      <c r="C441" s="6" t="s">
        <v>7435</v>
      </c>
      <c r="D441" s="2" t="s">
        <v>6596</v>
      </c>
      <c r="E441" s="2" t="s">
        <v>6442</v>
      </c>
      <c r="F441" s="2"/>
      <c r="G441" s="2" t="s">
        <v>6443</v>
      </c>
      <c r="H441" s="2" t="s">
        <v>6444</v>
      </c>
      <c r="I441" s="3">
        <v>1104</v>
      </c>
      <c r="J441" s="4">
        <f>SUMIF(Cargas!$C$5:$C$3471,C441,Cargas!$O$5:$O$3471)</f>
        <v>0</v>
      </c>
      <c r="K441" s="18">
        <f t="shared" si="9"/>
        <v>1104</v>
      </c>
      <c r="L441" s="5" t="s">
        <v>7434</v>
      </c>
      <c r="M441" s="37">
        <v>165879</v>
      </c>
    </row>
    <row r="442" spans="1:13" ht="13.5" hidden="1" customHeight="1" x14ac:dyDescent="0.25">
      <c r="B442" s="46">
        <v>44944</v>
      </c>
      <c r="C442" s="6" t="s">
        <v>7436</v>
      </c>
      <c r="D442" s="2" t="s">
        <v>7163</v>
      </c>
      <c r="E442" s="2" t="s">
        <v>6442</v>
      </c>
      <c r="F442" s="2"/>
      <c r="G442" s="2" t="s">
        <v>6443</v>
      </c>
      <c r="H442" s="2" t="s">
        <v>6444</v>
      </c>
      <c r="I442" s="3">
        <v>1512</v>
      </c>
      <c r="J442" s="4">
        <v>1512</v>
      </c>
      <c r="K442" s="18">
        <f t="shared" si="9"/>
        <v>0</v>
      </c>
      <c r="L442" s="5" t="s">
        <v>7437</v>
      </c>
      <c r="M442" s="37">
        <v>13069</v>
      </c>
    </row>
    <row r="443" spans="1:13" ht="13.5" hidden="1" customHeight="1" x14ac:dyDescent="0.25">
      <c r="B443" s="46">
        <v>44715</v>
      </c>
      <c r="C443" s="168" t="s">
        <v>7438</v>
      </c>
      <c r="D443" s="169" t="s">
        <v>3694</v>
      </c>
      <c r="E443" s="2" t="s">
        <v>6764</v>
      </c>
      <c r="F443" s="2"/>
      <c r="G443" s="2" t="s">
        <v>6443</v>
      </c>
      <c r="H443" s="169" t="s">
        <v>6444</v>
      </c>
      <c r="I443" s="3">
        <v>9180</v>
      </c>
      <c r="J443" s="4">
        <f>SUMIF(Cargas!$C$5:$C$3471,C443,Cargas!$O$5:$O$3471)</f>
        <v>0</v>
      </c>
      <c r="K443" s="18">
        <f t="shared" si="9"/>
        <v>9180</v>
      </c>
      <c r="L443" s="5" t="s">
        <v>7439</v>
      </c>
      <c r="M443" s="37">
        <v>100183</v>
      </c>
    </row>
    <row r="444" spans="1:13" ht="13.5" hidden="1" customHeight="1" x14ac:dyDescent="0.25">
      <c r="B444" s="46">
        <v>44814</v>
      </c>
      <c r="C444" s="6" t="s">
        <v>6059</v>
      </c>
      <c r="D444" s="2" t="s">
        <v>6601</v>
      </c>
      <c r="E444" s="2" t="s">
        <v>6442</v>
      </c>
      <c r="F444" s="2"/>
      <c r="G444" s="2" t="s">
        <v>6443</v>
      </c>
      <c r="H444" s="2" t="s">
        <v>6444</v>
      </c>
      <c r="I444" s="3">
        <v>1104</v>
      </c>
      <c r="J444" s="4">
        <f>SUMIF(Cargas!$C$5:$C$3471,C444,Cargas!$O$5:$O$3471)</f>
        <v>980</v>
      </c>
      <c r="K444" s="18">
        <f t="shared" si="9"/>
        <v>124</v>
      </c>
      <c r="L444" s="5" t="s">
        <v>7440</v>
      </c>
      <c r="M444" s="37">
        <v>172369</v>
      </c>
    </row>
    <row r="445" spans="1:13" ht="13.5" hidden="1" customHeight="1" x14ac:dyDescent="0.25">
      <c r="B445" s="46">
        <v>44821</v>
      </c>
      <c r="C445" s="168" t="s">
        <v>7441</v>
      </c>
      <c r="D445" s="169" t="s">
        <v>6606</v>
      </c>
      <c r="E445" s="2" t="s">
        <v>6442</v>
      </c>
      <c r="F445" s="2"/>
      <c r="G445" s="2" t="s">
        <v>6443</v>
      </c>
      <c r="H445" s="169" t="s">
        <v>6444</v>
      </c>
      <c r="I445" s="3">
        <v>1104</v>
      </c>
      <c r="J445" s="4">
        <f>SUMIF(Cargas!$C$5:$C$3471,C445,Cargas!$O$5:$O$3471)</f>
        <v>0</v>
      </c>
      <c r="K445" s="18">
        <f t="shared" si="9"/>
        <v>1104</v>
      </c>
      <c r="L445" s="5" t="s">
        <v>7442</v>
      </c>
      <c r="M445" s="37">
        <v>177703</v>
      </c>
    </row>
    <row r="446" spans="1:13" ht="14.25" hidden="1" customHeight="1" x14ac:dyDescent="0.25">
      <c r="A446" t="s">
        <v>2</v>
      </c>
      <c r="B446" s="46">
        <v>44533</v>
      </c>
      <c r="C446" s="168" t="s">
        <v>7443</v>
      </c>
      <c r="D446" s="169" t="s">
        <v>7444</v>
      </c>
      <c r="E446" s="2" t="s">
        <v>6764</v>
      </c>
      <c r="F446" s="2"/>
      <c r="G446" s="2" t="s">
        <v>6443</v>
      </c>
      <c r="H446" s="169" t="s">
        <v>6768</v>
      </c>
      <c r="I446" s="3">
        <v>4590</v>
      </c>
      <c r="J446" s="4">
        <f>SUMIF(Cargas!$C$5:$C$3471,C446,Cargas!$O$5:$O$3471)</f>
        <v>0</v>
      </c>
      <c r="K446" s="18">
        <f t="shared" si="9"/>
        <v>4590</v>
      </c>
      <c r="L446" s="5" t="s">
        <v>7445</v>
      </c>
      <c r="M446" s="37">
        <v>220162</v>
      </c>
    </row>
    <row r="447" spans="1:13" ht="14.25" hidden="1" customHeight="1" x14ac:dyDescent="0.25">
      <c r="A447" t="s">
        <v>2</v>
      </c>
      <c r="B447" s="46">
        <v>44538</v>
      </c>
      <c r="C447" s="168" t="s">
        <v>7446</v>
      </c>
      <c r="D447" s="169" t="s">
        <v>7447</v>
      </c>
      <c r="E447" s="2" t="s">
        <v>6764</v>
      </c>
      <c r="F447" s="2"/>
      <c r="G447" s="2" t="s">
        <v>6443</v>
      </c>
      <c r="H447" s="169" t="s">
        <v>6963</v>
      </c>
      <c r="I447" s="3">
        <v>3024</v>
      </c>
      <c r="J447" s="4">
        <f>SUMIF(Cargas!$C$5:$C$3471,C447,Cargas!$O$5:$O$3471)</f>
        <v>0</v>
      </c>
      <c r="K447" s="18">
        <f t="shared" si="9"/>
        <v>3024</v>
      </c>
      <c r="L447" s="5" t="s">
        <v>7448</v>
      </c>
      <c r="M447" s="37">
        <v>224764</v>
      </c>
    </row>
    <row r="448" spans="1:13" ht="14.25" hidden="1" customHeight="1" x14ac:dyDescent="0.25">
      <c r="A448" t="s">
        <v>2</v>
      </c>
      <c r="B448" s="46">
        <v>44540</v>
      </c>
      <c r="C448" s="168" t="s">
        <v>7449</v>
      </c>
      <c r="D448" s="169" t="s">
        <v>7450</v>
      </c>
      <c r="E448" s="2" t="s">
        <v>6764</v>
      </c>
      <c r="F448" s="2"/>
      <c r="G448" s="2" t="s">
        <v>6443</v>
      </c>
      <c r="H448" s="169" t="s">
        <v>6768</v>
      </c>
      <c r="I448" s="3">
        <v>5508</v>
      </c>
      <c r="J448" s="4">
        <f>SUMIF(Cargas!$C$5:$C$3471,C448,Cargas!$O$5:$O$3471)</f>
        <v>0</v>
      </c>
      <c r="K448" s="18">
        <f t="shared" si="9"/>
        <v>5508</v>
      </c>
      <c r="L448" s="5" t="s">
        <v>7451</v>
      </c>
      <c r="M448" s="37">
        <v>226332</v>
      </c>
    </row>
    <row r="449" spans="1:13" ht="14.25" hidden="1" customHeight="1" x14ac:dyDescent="0.25">
      <c r="A449" t="s">
        <v>2</v>
      </c>
      <c r="B449" s="46">
        <v>44540</v>
      </c>
      <c r="C449" s="168" t="s">
        <v>7452</v>
      </c>
      <c r="D449" s="169" t="s">
        <v>7453</v>
      </c>
      <c r="E449" s="2" t="s">
        <v>6764</v>
      </c>
      <c r="F449" s="2"/>
      <c r="G449" s="2" t="s">
        <v>6443</v>
      </c>
      <c r="H449" s="169" t="s">
        <v>6862</v>
      </c>
      <c r="I449" s="3">
        <v>3672</v>
      </c>
      <c r="J449" s="4">
        <f>SUMIF(Cargas!$C$5:$C$3471,C449,Cargas!$O$5:$O$3471)</f>
        <v>0</v>
      </c>
      <c r="K449" s="18">
        <f t="shared" si="9"/>
        <v>3672</v>
      </c>
      <c r="L449" s="5" t="s">
        <v>7454</v>
      </c>
      <c r="M449" s="37"/>
    </row>
    <row r="450" spans="1:13" ht="14.25" hidden="1" customHeight="1" x14ac:dyDescent="0.25">
      <c r="A450" t="s">
        <v>2</v>
      </c>
      <c r="B450" s="46">
        <v>44545</v>
      </c>
      <c r="C450" s="168" t="s">
        <v>7455</v>
      </c>
      <c r="D450" s="169" t="s">
        <v>7456</v>
      </c>
      <c r="E450" s="2" t="s">
        <v>6764</v>
      </c>
      <c r="F450" s="2"/>
      <c r="G450" s="2" t="s">
        <v>6443</v>
      </c>
      <c r="H450" s="169" t="s">
        <v>6768</v>
      </c>
      <c r="I450" s="3">
        <v>5508</v>
      </c>
      <c r="J450" s="4">
        <f>SUMIF(Cargas!$C$5:$C$3471,C450,Cargas!$O$5:$O$3471)</f>
        <v>0</v>
      </c>
      <c r="K450" s="18">
        <f t="shared" si="9"/>
        <v>5508</v>
      </c>
      <c r="L450" s="5" t="s">
        <v>7457</v>
      </c>
      <c r="M450" s="37"/>
    </row>
    <row r="451" spans="1:13" ht="13.5" hidden="1" customHeight="1" x14ac:dyDescent="0.25">
      <c r="B451" s="46">
        <v>44545</v>
      </c>
      <c r="C451" s="168" t="s">
        <v>7458</v>
      </c>
      <c r="D451" s="169" t="s">
        <v>7459</v>
      </c>
      <c r="E451" s="2" t="s">
        <v>6764</v>
      </c>
      <c r="F451" s="2"/>
      <c r="G451" s="2" t="s">
        <v>6443</v>
      </c>
      <c r="H451" s="169" t="s">
        <v>6444</v>
      </c>
      <c r="I451" s="3">
        <v>3672</v>
      </c>
      <c r="J451" s="4">
        <f>SUMIF(Cargas!$C$5:$C$3471,C451,Cargas!$O$5:$O$3471)</f>
        <v>0</v>
      </c>
      <c r="K451" s="18">
        <f t="shared" si="9"/>
        <v>3672</v>
      </c>
      <c r="L451" s="5" t="s">
        <v>7460</v>
      </c>
      <c r="M451" s="37">
        <v>226435</v>
      </c>
    </row>
    <row r="452" spans="1:13" ht="13.5" hidden="1" customHeight="1" x14ac:dyDescent="0.25">
      <c r="B452" s="46">
        <v>44559</v>
      </c>
      <c r="C452" s="168" t="s">
        <v>7461</v>
      </c>
      <c r="D452" s="169" t="s">
        <v>7462</v>
      </c>
      <c r="E452" s="2" t="s">
        <v>6764</v>
      </c>
      <c r="F452" s="2"/>
      <c r="G452" s="2" t="s">
        <v>6443</v>
      </c>
      <c r="H452" s="169" t="s">
        <v>6444</v>
      </c>
      <c r="I452" s="3">
        <v>4590</v>
      </c>
      <c r="J452" s="4">
        <f>SUMIF(Cargas!$C$5:$C$3471,C452,Cargas!$O$5:$O$3471)</f>
        <v>0</v>
      </c>
      <c r="K452" s="18">
        <f t="shared" si="9"/>
        <v>4590</v>
      </c>
      <c r="L452" s="5" t="s">
        <v>7463</v>
      </c>
      <c r="M452" s="37">
        <v>231</v>
      </c>
    </row>
    <row r="453" spans="1:13" ht="13.5" hidden="1" customHeight="1" x14ac:dyDescent="0.25">
      <c r="B453" s="46">
        <v>44825</v>
      </c>
      <c r="C453" s="168" t="s">
        <v>7464</v>
      </c>
      <c r="D453" s="169" t="s">
        <v>6606</v>
      </c>
      <c r="E453" s="2" t="s">
        <v>6442</v>
      </c>
      <c r="F453" s="2"/>
      <c r="G453" s="2" t="s">
        <v>6443</v>
      </c>
      <c r="H453" s="169" t="s">
        <v>6444</v>
      </c>
      <c r="I453" s="3">
        <v>1104</v>
      </c>
      <c r="J453" s="4">
        <f>SUMIF(Cargas!$C$5:$C$3471,C453,Cargas!$O$5:$O$3471)</f>
        <v>0</v>
      </c>
      <c r="K453" s="18">
        <f t="shared" si="9"/>
        <v>1104</v>
      </c>
      <c r="L453" s="5" t="s">
        <v>7442</v>
      </c>
      <c r="M453" s="37">
        <v>175756</v>
      </c>
    </row>
    <row r="454" spans="1:13" ht="13.5" hidden="1" customHeight="1" x14ac:dyDescent="0.25">
      <c r="B454" s="46">
        <v>44826</v>
      </c>
      <c r="C454" s="168" t="s">
        <v>7465</v>
      </c>
      <c r="D454" s="169" t="s">
        <v>6611</v>
      </c>
      <c r="E454" s="2" t="s">
        <v>6442</v>
      </c>
      <c r="F454" s="2"/>
      <c r="G454" s="2" t="s">
        <v>6443</v>
      </c>
      <c r="H454" s="169" t="s">
        <v>6444</v>
      </c>
      <c r="I454" s="3">
        <v>1104</v>
      </c>
      <c r="J454" s="4">
        <f>SUMIF(Cargas!$C$5:$C$3471,C454,Cargas!$O$5:$O$3471)</f>
        <v>0</v>
      </c>
      <c r="K454" s="18">
        <f t="shared" si="9"/>
        <v>1104</v>
      </c>
      <c r="L454" s="5" t="s">
        <v>7466</v>
      </c>
      <c r="M454" s="37">
        <v>180044</v>
      </c>
    </row>
    <row r="455" spans="1:13" ht="13.5" hidden="1" customHeight="1" x14ac:dyDescent="0.25">
      <c r="B455" s="46">
        <v>44826</v>
      </c>
      <c r="C455" s="168" t="s">
        <v>7467</v>
      </c>
      <c r="D455" s="169" t="s">
        <v>6611</v>
      </c>
      <c r="E455" s="2" t="s">
        <v>6442</v>
      </c>
      <c r="F455" s="2"/>
      <c r="G455" s="2" t="s">
        <v>6443</v>
      </c>
      <c r="H455" s="169" t="s">
        <v>6444</v>
      </c>
      <c r="I455" s="3">
        <v>1104</v>
      </c>
      <c r="J455" s="4">
        <f>SUMIF(Cargas!$C$5:$C$3471,C455,Cargas!$O$5:$O$3471)</f>
        <v>0</v>
      </c>
      <c r="K455" s="18">
        <f t="shared" si="9"/>
        <v>1104</v>
      </c>
      <c r="L455" s="5" t="s">
        <v>7466</v>
      </c>
      <c r="M455" s="37">
        <v>180044</v>
      </c>
    </row>
    <row r="456" spans="1:13" ht="13.5" hidden="1" customHeight="1" x14ac:dyDescent="0.25">
      <c r="B456" s="46">
        <v>44721</v>
      </c>
      <c r="C456" s="168" t="s">
        <v>7468</v>
      </c>
      <c r="D456" s="169" t="s">
        <v>3704</v>
      </c>
      <c r="E456" s="2" t="s">
        <v>6764</v>
      </c>
      <c r="F456" s="2"/>
      <c r="G456" s="2" t="s">
        <v>6443</v>
      </c>
      <c r="H456" s="169" t="s">
        <v>6768</v>
      </c>
      <c r="I456" s="3">
        <v>9180</v>
      </c>
      <c r="J456" s="4">
        <f>SUMIF(Cargas!$C$5:$C$3471,C456,Cargas!$O$5:$O$3471)</f>
        <v>0</v>
      </c>
      <c r="K456" s="18">
        <f t="shared" si="9"/>
        <v>9180</v>
      </c>
      <c r="L456" s="5" t="s">
        <v>7469</v>
      </c>
      <c r="M456" s="37">
        <v>104040</v>
      </c>
    </row>
    <row r="457" spans="1:13" ht="13.5" hidden="1" customHeight="1" x14ac:dyDescent="0.25">
      <c r="B457" s="46">
        <v>44732</v>
      </c>
      <c r="C457" s="168" t="s">
        <v>7470</v>
      </c>
      <c r="D457" s="169" t="s">
        <v>3720</v>
      </c>
      <c r="E457" s="2" t="s">
        <v>6764</v>
      </c>
      <c r="F457" s="2"/>
      <c r="G457" s="2" t="s">
        <v>6443</v>
      </c>
      <c r="H457" s="169" t="s">
        <v>6963</v>
      </c>
      <c r="I457" s="3">
        <v>6048</v>
      </c>
      <c r="J457" s="4">
        <f>SUMIF(Cargas!$C$5:$C$3471,C457,Cargas!$O$5:$O$3471)</f>
        <v>0</v>
      </c>
      <c r="K457" s="18">
        <f t="shared" si="9"/>
        <v>6048</v>
      </c>
      <c r="L457" s="5" t="s">
        <v>7471</v>
      </c>
      <c r="M457" s="37">
        <v>111892</v>
      </c>
    </row>
    <row r="458" spans="1:13" ht="13.5" hidden="1" customHeight="1" x14ac:dyDescent="0.25">
      <c r="B458" s="46">
        <v>44834</v>
      </c>
      <c r="C458" s="168" t="s">
        <v>7472</v>
      </c>
      <c r="D458" s="169" t="s">
        <v>6616</v>
      </c>
      <c r="E458" s="2" t="s">
        <v>6442</v>
      </c>
      <c r="F458" s="2"/>
      <c r="G458" s="2" t="s">
        <v>6443</v>
      </c>
      <c r="H458" s="169" t="s">
        <v>6444</v>
      </c>
      <c r="I458" s="3">
        <v>1104</v>
      </c>
      <c r="J458" s="4">
        <f>SUMIF(Cargas!$C$5:$C$3471,C458,Cargas!$O$5:$O$3471)</f>
        <v>0</v>
      </c>
      <c r="K458" s="18">
        <f t="shared" si="9"/>
        <v>1104</v>
      </c>
      <c r="L458" s="5" t="s">
        <v>7473</v>
      </c>
      <c r="M458" s="37">
        <v>187122</v>
      </c>
    </row>
    <row r="459" spans="1:13" ht="13.5" hidden="1" customHeight="1" x14ac:dyDescent="0.25">
      <c r="B459" s="46">
        <v>44586</v>
      </c>
      <c r="C459" s="168" t="s">
        <v>7474</v>
      </c>
      <c r="D459" s="169" t="s">
        <v>6813</v>
      </c>
      <c r="E459" s="2" t="s">
        <v>6764</v>
      </c>
      <c r="F459" s="2"/>
      <c r="G459" s="2" t="s">
        <v>6443</v>
      </c>
      <c r="H459" s="169" t="s">
        <v>6768</v>
      </c>
      <c r="I459" s="3">
        <v>6426</v>
      </c>
      <c r="J459" s="4">
        <f>SUMIF(Cargas!$C$5:$C$3471,C459,Cargas!$O$5:$O$3471)</f>
        <v>0</v>
      </c>
      <c r="K459" s="18">
        <f t="shared" si="9"/>
        <v>6426</v>
      </c>
      <c r="L459" s="5" t="s">
        <v>7475</v>
      </c>
      <c r="M459" s="37">
        <v>14704</v>
      </c>
    </row>
    <row r="460" spans="1:13" ht="13.5" hidden="1" customHeight="1" x14ac:dyDescent="0.25">
      <c r="B460" s="46">
        <v>44586</v>
      </c>
      <c r="C460" s="168" t="s">
        <v>7476</v>
      </c>
      <c r="D460" s="169" t="s">
        <v>6816</v>
      </c>
      <c r="E460" s="2" t="s">
        <v>6764</v>
      </c>
      <c r="F460" s="2"/>
      <c r="G460" s="2" t="s">
        <v>6443</v>
      </c>
      <c r="H460" s="169" t="s">
        <v>6444</v>
      </c>
      <c r="I460" s="3">
        <v>4590</v>
      </c>
      <c r="J460" s="4">
        <f>SUMIF(Cargas!$C$5:$C$3471,C460,Cargas!$O$5:$O$3471)</f>
        <v>0</v>
      </c>
      <c r="K460" s="18">
        <f t="shared" si="9"/>
        <v>4590</v>
      </c>
      <c r="L460" s="5" t="s">
        <v>7477</v>
      </c>
      <c r="M460" s="37">
        <v>17365</v>
      </c>
    </row>
    <row r="461" spans="1:13" ht="13.5" hidden="1" customHeight="1" x14ac:dyDescent="0.25">
      <c r="B461" s="46">
        <v>44586</v>
      </c>
      <c r="C461" s="168" t="s">
        <v>7478</v>
      </c>
      <c r="D461" s="169" t="s">
        <v>6822</v>
      </c>
      <c r="E461" s="2" t="s">
        <v>6764</v>
      </c>
      <c r="F461" s="2"/>
      <c r="G461" s="2" t="s">
        <v>6443</v>
      </c>
      <c r="H461" s="169" t="s">
        <v>6862</v>
      </c>
      <c r="I461" s="3">
        <v>4590</v>
      </c>
      <c r="J461" s="4">
        <f>SUMIF(Cargas!$C$5:$C$3471,C461,Cargas!$O$5:$O$3471)</f>
        <v>0</v>
      </c>
      <c r="K461" s="18">
        <f t="shared" si="9"/>
        <v>4590</v>
      </c>
      <c r="L461" s="5" t="s">
        <v>7479</v>
      </c>
      <c r="M461" s="37">
        <v>17316</v>
      </c>
    </row>
    <row r="462" spans="1:13" ht="13.5" hidden="1" customHeight="1" x14ac:dyDescent="0.25">
      <c r="B462" s="46">
        <v>44743</v>
      </c>
      <c r="C462" s="168" t="s">
        <v>7480</v>
      </c>
      <c r="D462" s="169" t="s">
        <v>3712</v>
      </c>
      <c r="E462" s="2" t="s">
        <v>6764</v>
      </c>
      <c r="F462" s="2"/>
      <c r="G462" s="2" t="s">
        <v>6443</v>
      </c>
      <c r="H462" s="169" t="s">
        <v>6444</v>
      </c>
      <c r="I462" s="3">
        <v>9180</v>
      </c>
      <c r="J462" s="4">
        <f>SUMIF(Cargas!$C$5:$C$3471,C462,Cargas!$O$5:$O$3471)</f>
        <v>0</v>
      </c>
      <c r="K462" s="18">
        <f t="shared" si="9"/>
        <v>9180</v>
      </c>
      <c r="L462" s="5" t="s">
        <v>7481</v>
      </c>
      <c r="M462" s="37">
        <v>119170</v>
      </c>
    </row>
    <row r="463" spans="1:13" ht="13.5" hidden="1" customHeight="1" x14ac:dyDescent="0.25">
      <c r="B463" s="46">
        <v>44748</v>
      </c>
      <c r="C463" s="168" t="s">
        <v>7482</v>
      </c>
      <c r="D463" s="169" t="s">
        <v>3703</v>
      </c>
      <c r="E463" s="2" t="s">
        <v>6764</v>
      </c>
      <c r="F463" s="2"/>
      <c r="G463" s="2" t="s">
        <v>6443</v>
      </c>
      <c r="H463" s="169" t="s">
        <v>6768</v>
      </c>
      <c r="I463" s="3">
        <v>9180</v>
      </c>
      <c r="J463" s="4">
        <f>SUMIF(Cargas!$C$5:$C$3471,C463,Cargas!$O$5:$O$3471)</f>
        <v>0</v>
      </c>
      <c r="K463" s="18">
        <f t="shared" si="9"/>
        <v>9180</v>
      </c>
      <c r="L463" s="5" t="s">
        <v>7483</v>
      </c>
      <c r="M463" s="37">
        <v>122731</v>
      </c>
    </row>
    <row r="464" spans="1:13" ht="13.5" hidden="1" customHeight="1" x14ac:dyDescent="0.25">
      <c r="B464" s="46">
        <v>44760</v>
      </c>
      <c r="C464" s="168" t="s">
        <v>7484</v>
      </c>
      <c r="D464" s="169" t="s">
        <v>6926</v>
      </c>
      <c r="E464" s="2" t="s">
        <v>6764</v>
      </c>
      <c r="F464" s="2"/>
      <c r="G464" s="2" t="s">
        <v>6443</v>
      </c>
      <c r="H464" s="169" t="s">
        <v>6963</v>
      </c>
      <c r="I464" s="3">
        <v>6048</v>
      </c>
      <c r="J464" s="4">
        <f>SUMIF(Cargas!$C$5:$C$3471,C464,Cargas!$O$5:$O$3471)</f>
        <v>0</v>
      </c>
      <c r="K464" s="18">
        <f t="shared" si="9"/>
        <v>6048</v>
      </c>
      <c r="L464" s="5" t="s">
        <v>7485</v>
      </c>
      <c r="M464" s="37">
        <v>129731</v>
      </c>
    </row>
    <row r="465" spans="2:13" ht="13.5" hidden="1" customHeight="1" x14ac:dyDescent="0.25">
      <c r="B465" s="46">
        <v>44735</v>
      </c>
      <c r="C465" s="168" t="s">
        <v>7486</v>
      </c>
      <c r="D465" s="169" t="s">
        <v>3701</v>
      </c>
      <c r="E465" s="2" t="s">
        <v>6764</v>
      </c>
      <c r="F465" s="2"/>
      <c r="G465" s="2" t="s">
        <v>6443</v>
      </c>
      <c r="H465" s="169" t="s">
        <v>6768</v>
      </c>
      <c r="I465" s="3">
        <v>9180</v>
      </c>
      <c r="J465" s="4">
        <f>SUMIF(Cargas!$C$5:$C$3471,C465,Cargas!$O$5:$O$3471)</f>
        <v>0</v>
      </c>
      <c r="K465" s="18">
        <f t="shared" si="9"/>
        <v>9180</v>
      </c>
      <c r="L465" s="5" t="s">
        <v>7487</v>
      </c>
      <c r="M465" s="37">
        <v>187122</v>
      </c>
    </row>
    <row r="466" spans="2:13" ht="13.5" hidden="1" customHeight="1" x14ac:dyDescent="0.25">
      <c r="B466" s="46">
        <v>44762</v>
      </c>
      <c r="C466" s="168" t="s">
        <v>7488</v>
      </c>
      <c r="D466" s="169" t="s">
        <v>6929</v>
      </c>
      <c r="E466" s="2" t="s">
        <v>6764</v>
      </c>
      <c r="F466" s="2"/>
      <c r="G466" s="2" t="s">
        <v>6443</v>
      </c>
      <c r="H466" s="169" t="s">
        <v>6768</v>
      </c>
      <c r="I466" s="3">
        <v>9180</v>
      </c>
      <c r="J466" s="4">
        <f>SUMIF(Cargas!$C$5:$C$3471,C466,Cargas!$O$5:$O$3471)</f>
        <v>0</v>
      </c>
      <c r="K466" s="18">
        <f t="shared" si="9"/>
        <v>9180</v>
      </c>
      <c r="L466" s="5" t="s">
        <v>7489</v>
      </c>
      <c r="M466" s="37">
        <v>131933</v>
      </c>
    </row>
    <row r="467" spans="2:13" ht="13.5" hidden="1" customHeight="1" x14ac:dyDescent="0.25">
      <c r="B467" s="46">
        <v>44769</v>
      </c>
      <c r="C467" s="168" t="s">
        <v>7490</v>
      </c>
      <c r="D467" s="169" t="s">
        <v>7491</v>
      </c>
      <c r="E467" s="2" t="s">
        <v>6764</v>
      </c>
      <c r="F467" s="2"/>
      <c r="G467" s="2" t="s">
        <v>6443</v>
      </c>
      <c r="H467" s="169" t="s">
        <v>6444</v>
      </c>
      <c r="I467" s="3">
        <v>9180</v>
      </c>
      <c r="J467" s="4">
        <f>SUMIF(Cargas!$C$5:$C$3471,C467,Cargas!$O$5:$O$3471)</f>
        <v>0</v>
      </c>
      <c r="K467" s="18">
        <f t="shared" si="9"/>
        <v>9180</v>
      </c>
      <c r="L467" s="5" t="s">
        <v>7492</v>
      </c>
      <c r="M467" s="37">
        <v>136158</v>
      </c>
    </row>
    <row r="468" spans="2:13" ht="13.5" hidden="1" customHeight="1" x14ac:dyDescent="0.25">
      <c r="B468" s="46">
        <v>44781</v>
      </c>
      <c r="C468" s="168" t="s">
        <v>7493</v>
      </c>
      <c r="D468" s="169" t="s">
        <v>6932</v>
      </c>
      <c r="E468" s="2" t="s">
        <v>6764</v>
      </c>
      <c r="F468" s="2"/>
      <c r="G468" s="2" t="s">
        <v>6443</v>
      </c>
      <c r="H468" s="169" t="s">
        <v>6768</v>
      </c>
      <c r="I468" s="3">
        <v>9180</v>
      </c>
      <c r="J468" s="4">
        <f>SUMIF(Cargas!$C$5:$C$3471,C468,Cargas!$O$5:$O$3471)</f>
        <v>0</v>
      </c>
      <c r="K468" s="18">
        <f t="shared" si="9"/>
        <v>9180</v>
      </c>
      <c r="L468" s="5" t="s">
        <v>7494</v>
      </c>
      <c r="M468" s="37">
        <v>144275</v>
      </c>
    </row>
    <row r="469" spans="2:13" ht="13.5" hidden="1" customHeight="1" x14ac:dyDescent="0.25">
      <c r="B469" s="46">
        <v>44785</v>
      </c>
      <c r="C469" s="168" t="s">
        <v>7495</v>
      </c>
      <c r="D469" s="169" t="s">
        <v>6935</v>
      </c>
      <c r="E469" s="2" t="s">
        <v>6764</v>
      </c>
      <c r="F469" s="2"/>
      <c r="G469" s="2" t="s">
        <v>6443</v>
      </c>
      <c r="H469" s="169" t="s">
        <v>6963</v>
      </c>
      <c r="I469" s="3">
        <v>8064</v>
      </c>
      <c r="J469" s="4">
        <f>SUMIF(Cargas!$C$5:$C$3471,C469,Cargas!$O$5:$O$3471)</f>
        <v>0</v>
      </c>
      <c r="K469" s="18">
        <f t="shared" si="9"/>
        <v>8064</v>
      </c>
      <c r="L469" s="5" t="s">
        <v>7496</v>
      </c>
      <c r="M469" s="37">
        <v>150060</v>
      </c>
    </row>
    <row r="470" spans="2:13" ht="13.5" hidden="1" customHeight="1" x14ac:dyDescent="0.25">
      <c r="B470" s="46">
        <v>44791</v>
      </c>
      <c r="C470" s="168" t="s">
        <v>7497</v>
      </c>
      <c r="D470" s="169" t="s">
        <v>6938</v>
      </c>
      <c r="E470" s="2" t="s">
        <v>6764</v>
      </c>
      <c r="F470" s="2"/>
      <c r="G470" s="2" t="s">
        <v>6443</v>
      </c>
      <c r="H470" s="169" t="s">
        <v>6768</v>
      </c>
      <c r="I470" s="3">
        <v>9180</v>
      </c>
      <c r="J470" s="4">
        <f>SUMIF(Cargas!$C$5:$C$3471,C470,Cargas!$O$5:$O$3471)</f>
        <v>0</v>
      </c>
      <c r="K470" s="18">
        <f t="shared" si="9"/>
        <v>9180</v>
      </c>
      <c r="L470" s="5" t="s">
        <v>7498</v>
      </c>
      <c r="M470" s="37">
        <v>152785</v>
      </c>
    </row>
    <row r="471" spans="2:13" ht="13.5" hidden="1" customHeight="1" x14ac:dyDescent="0.25">
      <c r="B471" s="46">
        <v>44799</v>
      </c>
      <c r="C471" s="168" t="s">
        <v>7499</v>
      </c>
      <c r="D471" s="169" t="s">
        <v>7500</v>
      </c>
      <c r="E471" s="2" t="s">
        <v>6764</v>
      </c>
      <c r="F471" s="2"/>
      <c r="G471" s="2" t="s">
        <v>6443</v>
      </c>
      <c r="H471" s="169" t="s">
        <v>6444</v>
      </c>
      <c r="I471" s="3">
        <v>9180</v>
      </c>
      <c r="J471" s="4">
        <f>SUMIF(Cargas!$C$5:$C$3471,C471,Cargas!$O$5:$O$3471)</f>
        <v>0</v>
      </c>
      <c r="K471" s="18">
        <f t="shared" si="9"/>
        <v>9180</v>
      </c>
      <c r="L471" s="5" t="s">
        <v>7501</v>
      </c>
      <c r="M471" s="37">
        <v>157281</v>
      </c>
    </row>
    <row r="472" spans="2:13" ht="13.5" hidden="1" customHeight="1" x14ac:dyDescent="0.25">
      <c r="B472" s="46">
        <v>44592</v>
      </c>
      <c r="C472" s="168" t="s">
        <v>7502</v>
      </c>
      <c r="D472" s="169" t="s">
        <v>6827</v>
      </c>
      <c r="E472" s="2" t="s">
        <v>6764</v>
      </c>
      <c r="F472" s="2"/>
      <c r="G472" s="2" t="s">
        <v>6443</v>
      </c>
      <c r="H472" s="169" t="s">
        <v>6823</v>
      </c>
      <c r="I472" s="3">
        <v>6426</v>
      </c>
      <c r="J472" s="4">
        <f>SUMIF(Cargas!$C$5:$C$3471,C472,Cargas!$O$5:$O$3471)</f>
        <v>0</v>
      </c>
      <c r="K472" s="18">
        <f t="shared" si="9"/>
        <v>6426</v>
      </c>
      <c r="L472" s="5" t="s">
        <v>7503</v>
      </c>
      <c r="M472" s="37">
        <v>21303</v>
      </c>
    </row>
    <row r="473" spans="2:13" ht="13.5" hidden="1" customHeight="1" x14ac:dyDescent="0.25">
      <c r="B473" s="46">
        <v>44592</v>
      </c>
      <c r="C473" s="168" t="s">
        <v>7504</v>
      </c>
      <c r="D473" s="169" t="s">
        <v>6831</v>
      </c>
      <c r="E473" s="2" t="s">
        <v>6764</v>
      </c>
      <c r="F473" s="2"/>
      <c r="G473" s="2" t="s">
        <v>6443</v>
      </c>
      <c r="H473" s="169" t="s">
        <v>6963</v>
      </c>
      <c r="I473" s="3">
        <v>5040</v>
      </c>
      <c r="J473" s="4">
        <f>SUMIF(Cargas!$C$5:$C$3471,C473,Cargas!$O$5:$O$3471)</f>
        <v>0</v>
      </c>
      <c r="K473" s="18">
        <f t="shared" si="9"/>
        <v>5040</v>
      </c>
      <c r="L473" s="5" t="s">
        <v>7505</v>
      </c>
      <c r="M473" s="37">
        <v>18748</v>
      </c>
    </row>
    <row r="474" spans="2:13" ht="13.5" hidden="1" customHeight="1" x14ac:dyDescent="0.25">
      <c r="B474" s="46">
        <v>44834</v>
      </c>
      <c r="C474" s="168" t="s">
        <v>7506</v>
      </c>
      <c r="D474" s="169" t="s">
        <v>6616</v>
      </c>
      <c r="E474" s="2" t="s">
        <v>6442</v>
      </c>
      <c r="F474" s="2"/>
      <c r="G474" s="2" t="s">
        <v>6443</v>
      </c>
      <c r="H474" s="169" t="s">
        <v>6444</v>
      </c>
      <c r="I474" s="3">
        <v>1104</v>
      </c>
      <c r="J474" s="4">
        <f>SUMIF(Cargas!$C$5:$C$3471,C474,Cargas!$O$5:$O$3471)</f>
        <v>0</v>
      </c>
      <c r="K474" s="18">
        <f t="shared" si="9"/>
        <v>1104</v>
      </c>
      <c r="L474" s="5" t="s">
        <v>7473</v>
      </c>
      <c r="M474" s="37">
        <v>187122</v>
      </c>
    </row>
    <row r="475" spans="2:13" ht="13.5" hidden="1" customHeight="1" x14ac:dyDescent="0.25">
      <c r="B475" s="46">
        <v>44841</v>
      </c>
      <c r="C475" s="168" t="s">
        <v>7507</v>
      </c>
      <c r="D475" s="169" t="s">
        <v>6621</v>
      </c>
      <c r="E475" s="2" t="s">
        <v>6442</v>
      </c>
      <c r="F475" s="2"/>
      <c r="G475" s="2" t="s">
        <v>6443</v>
      </c>
      <c r="H475" s="169" t="s">
        <v>6444</v>
      </c>
      <c r="I475" s="3">
        <v>1104</v>
      </c>
      <c r="J475" s="4">
        <f>SUMIF(Cargas!$C$5:$C$3471,C475,Cargas!$O$5:$O$3471)</f>
        <v>0</v>
      </c>
      <c r="K475" s="18">
        <f t="shared" si="9"/>
        <v>1104</v>
      </c>
      <c r="L475" s="5" t="s">
        <v>7508</v>
      </c>
      <c r="M475" s="37">
        <v>191526</v>
      </c>
    </row>
    <row r="476" spans="2:13" ht="13.5" hidden="1" customHeight="1" x14ac:dyDescent="0.25">
      <c r="B476" s="46">
        <v>44848</v>
      </c>
      <c r="C476" s="168" t="s">
        <v>7509</v>
      </c>
      <c r="D476" s="169" t="s">
        <v>6626</v>
      </c>
      <c r="E476" s="2" t="s">
        <v>6442</v>
      </c>
      <c r="F476" s="2"/>
      <c r="G476" s="2" t="s">
        <v>6443</v>
      </c>
      <c r="H476" s="169" t="s">
        <v>6444</v>
      </c>
      <c r="I476" s="3">
        <v>1104</v>
      </c>
      <c r="J476" s="4">
        <f>SUMIF(Cargas!$C$5:$C$3471,C476,Cargas!$O$5:$O$3471)</f>
        <v>0</v>
      </c>
      <c r="K476" s="18">
        <f t="shared" si="9"/>
        <v>1104</v>
      </c>
      <c r="L476" s="5" t="s">
        <v>7510</v>
      </c>
      <c r="M476" s="37">
        <v>196346</v>
      </c>
    </row>
    <row r="477" spans="2:13" ht="13.5" hidden="1" customHeight="1" x14ac:dyDescent="0.25">
      <c r="B477" s="46">
        <v>44848</v>
      </c>
      <c r="C477" s="168" t="s">
        <v>7511</v>
      </c>
      <c r="D477" s="169" t="s">
        <v>6626</v>
      </c>
      <c r="E477" s="2" t="s">
        <v>6442</v>
      </c>
      <c r="F477" s="2"/>
      <c r="G477" s="2" t="s">
        <v>6443</v>
      </c>
      <c r="H477" s="169" t="s">
        <v>6444</v>
      </c>
      <c r="I477" s="3">
        <v>1104</v>
      </c>
      <c r="J477" s="4">
        <f>SUMIF(Cargas!$C$5:$C$3471,C477,Cargas!$O$5:$O$3471)</f>
        <v>0</v>
      </c>
      <c r="K477" s="18">
        <f t="shared" si="9"/>
        <v>1104</v>
      </c>
      <c r="L477" s="5" t="s">
        <v>7510</v>
      </c>
      <c r="M477" s="37">
        <v>196346</v>
      </c>
    </row>
    <row r="478" spans="2:13" ht="13.5" hidden="1" customHeight="1" x14ac:dyDescent="0.25">
      <c r="B478" s="46">
        <v>44855</v>
      </c>
      <c r="C478" s="168" t="s">
        <v>7512</v>
      </c>
      <c r="D478" s="169" t="s">
        <v>6631</v>
      </c>
      <c r="E478" s="2" t="s">
        <v>6442</v>
      </c>
      <c r="F478" s="2"/>
      <c r="G478" s="2" t="s">
        <v>6443</v>
      </c>
      <c r="H478" s="169" t="s">
        <v>6444</v>
      </c>
      <c r="I478" s="3">
        <v>1104</v>
      </c>
      <c r="J478" s="4">
        <f>SUMIF(Cargas!$C$5:$C$3471,C478,Cargas!$O$5:$O$3471)</f>
        <v>0</v>
      </c>
      <c r="K478" s="18">
        <f t="shared" si="9"/>
        <v>1104</v>
      </c>
      <c r="L478" s="5" t="s">
        <v>7513</v>
      </c>
      <c r="M478" s="37" t="s">
        <v>299</v>
      </c>
    </row>
    <row r="479" spans="2:13" ht="13.5" hidden="1" customHeight="1" x14ac:dyDescent="0.25">
      <c r="B479" s="46">
        <v>44856</v>
      </c>
      <c r="C479" s="168" t="s">
        <v>7514</v>
      </c>
      <c r="D479" s="169" t="s">
        <v>6631</v>
      </c>
      <c r="E479" s="2" t="s">
        <v>6442</v>
      </c>
      <c r="F479" s="2"/>
      <c r="G479" s="2" t="s">
        <v>6443</v>
      </c>
      <c r="H479" s="169" t="s">
        <v>6444</v>
      </c>
      <c r="I479" s="3">
        <v>1104</v>
      </c>
      <c r="J479" s="4">
        <f>SUMIF(Cargas!$C$5:$C$3471,C479,Cargas!$O$5:$O$3471)</f>
        <v>0</v>
      </c>
      <c r="K479" s="18">
        <f t="shared" si="9"/>
        <v>1104</v>
      </c>
      <c r="L479" s="5" t="s">
        <v>7513</v>
      </c>
      <c r="M479" s="37">
        <v>203462</v>
      </c>
    </row>
    <row r="480" spans="2:13" ht="13.5" hidden="1" customHeight="1" x14ac:dyDescent="0.25">
      <c r="B480" s="46">
        <v>44862</v>
      </c>
      <c r="C480" s="168" t="s">
        <v>7515</v>
      </c>
      <c r="D480" s="169" t="s">
        <v>6636</v>
      </c>
      <c r="E480" s="2" t="s">
        <v>6442</v>
      </c>
      <c r="F480" s="2"/>
      <c r="G480" s="2" t="s">
        <v>6443</v>
      </c>
      <c r="H480" s="169" t="s">
        <v>6444</v>
      </c>
      <c r="I480" s="3">
        <v>1104</v>
      </c>
      <c r="J480" s="4">
        <f>SUMIF(Cargas!$C$5:$C$3471,C480,Cargas!$O$5:$O$3471)</f>
        <v>0</v>
      </c>
      <c r="K480" s="18">
        <f t="shared" si="9"/>
        <v>1104</v>
      </c>
      <c r="L480" s="5" t="s">
        <v>7516</v>
      </c>
      <c r="M480" s="37">
        <v>208087</v>
      </c>
    </row>
    <row r="481" spans="2:13" ht="13.5" hidden="1" customHeight="1" x14ac:dyDescent="0.25">
      <c r="B481" s="46">
        <v>44863</v>
      </c>
      <c r="C481" s="168" t="s">
        <v>7517</v>
      </c>
      <c r="D481" s="169" t="s">
        <v>6636</v>
      </c>
      <c r="E481" s="2" t="s">
        <v>6442</v>
      </c>
      <c r="F481" s="2"/>
      <c r="G481" s="2" t="s">
        <v>6443</v>
      </c>
      <c r="H481" s="169" t="s">
        <v>6444</v>
      </c>
      <c r="I481" s="3">
        <v>1104</v>
      </c>
      <c r="J481" s="4">
        <f>SUMIF(Cargas!$C$5:$C$3471,C481,Cargas!$O$5:$O$3471)</f>
        <v>0</v>
      </c>
      <c r="K481" s="18">
        <f t="shared" si="9"/>
        <v>1104</v>
      </c>
      <c r="L481" s="5" t="s">
        <v>7516</v>
      </c>
      <c r="M481" s="37">
        <v>208087</v>
      </c>
    </row>
    <row r="482" spans="2:13" ht="13.5" hidden="1" customHeight="1" x14ac:dyDescent="0.25">
      <c r="B482" s="46">
        <v>44870</v>
      </c>
      <c r="C482" s="168" t="s">
        <v>7518</v>
      </c>
      <c r="D482" s="169" t="s">
        <v>6641</v>
      </c>
      <c r="E482" s="2" t="s">
        <v>6442</v>
      </c>
      <c r="F482" s="2"/>
      <c r="G482" s="2" t="s">
        <v>6443</v>
      </c>
      <c r="H482" s="169" t="s">
        <v>6444</v>
      </c>
      <c r="I482" s="3">
        <v>1104</v>
      </c>
      <c r="J482" s="4">
        <f>SUMIF(Cargas!$C$5:$C$3471,C482,Cargas!$O$5:$O$3471)</f>
        <v>0</v>
      </c>
      <c r="K482" s="18">
        <f t="shared" si="9"/>
        <v>1104</v>
      </c>
      <c r="L482" s="5" t="s">
        <v>7519</v>
      </c>
      <c r="M482" s="37">
        <v>212341</v>
      </c>
    </row>
    <row r="483" spans="2:13" ht="13.5" hidden="1" customHeight="1" x14ac:dyDescent="0.25">
      <c r="B483" s="46">
        <v>44876</v>
      </c>
      <c r="C483" s="168" t="s">
        <v>7520</v>
      </c>
      <c r="D483" s="169" t="s">
        <v>6646</v>
      </c>
      <c r="E483" s="2" t="s">
        <v>6442</v>
      </c>
      <c r="F483" s="2"/>
      <c r="G483" s="2" t="s">
        <v>6443</v>
      </c>
      <c r="H483" s="169" t="s">
        <v>6444</v>
      </c>
      <c r="I483" s="3">
        <v>1104</v>
      </c>
      <c r="J483" s="4">
        <f>SUMIF(Cargas!$C$5:$C$3471,C483,Cargas!$O$5:$O$3471)</f>
        <v>0</v>
      </c>
      <c r="K483" s="18">
        <f t="shared" si="9"/>
        <v>1104</v>
      </c>
      <c r="L483" s="5" t="s">
        <v>7521</v>
      </c>
      <c r="M483" s="37">
        <v>218674</v>
      </c>
    </row>
    <row r="484" spans="2:13" ht="13.5" hidden="1" customHeight="1" x14ac:dyDescent="0.25">
      <c r="B484" s="46">
        <v>44883</v>
      </c>
      <c r="C484" s="168" t="s">
        <v>7522</v>
      </c>
      <c r="D484" s="169" t="s">
        <v>6652</v>
      </c>
      <c r="E484" s="2" t="s">
        <v>6442</v>
      </c>
      <c r="F484" s="2"/>
      <c r="G484" s="2" t="s">
        <v>6443</v>
      </c>
      <c r="H484" s="169" t="s">
        <v>6444</v>
      </c>
      <c r="I484" s="3">
        <v>1104</v>
      </c>
      <c r="J484" s="4">
        <f>SUMIF(Cargas!$C$5:$C$3471,C484,Cargas!$O$5:$O$3471)</f>
        <v>0</v>
      </c>
      <c r="K484" s="18">
        <f t="shared" si="9"/>
        <v>1104</v>
      </c>
      <c r="L484" s="5" t="s">
        <v>7523</v>
      </c>
      <c r="M484" s="37">
        <v>222267</v>
      </c>
    </row>
    <row r="485" spans="2:13" ht="13.5" hidden="1" customHeight="1" x14ac:dyDescent="0.25">
      <c r="B485" s="46">
        <v>44883</v>
      </c>
      <c r="C485" s="168" t="s">
        <v>7524</v>
      </c>
      <c r="D485" s="169" t="s">
        <v>6652</v>
      </c>
      <c r="E485" s="2" t="s">
        <v>6442</v>
      </c>
      <c r="F485" s="2"/>
      <c r="G485" s="2" t="s">
        <v>6443</v>
      </c>
      <c r="H485" s="169" t="s">
        <v>6444</v>
      </c>
      <c r="I485" s="3">
        <v>1104</v>
      </c>
      <c r="J485" s="4">
        <f>SUMIF(Cargas!$C$5:$C$3471,C485,Cargas!$O$5:$O$3471)</f>
        <v>0</v>
      </c>
      <c r="K485" s="18">
        <f t="shared" si="9"/>
        <v>1104</v>
      </c>
      <c r="L485" s="5" t="s">
        <v>7523</v>
      </c>
      <c r="M485" s="37">
        <v>222267</v>
      </c>
    </row>
    <row r="486" spans="2:13" ht="13.5" hidden="1" customHeight="1" x14ac:dyDescent="0.25">
      <c r="B486" s="46">
        <v>44890</v>
      </c>
      <c r="C486" s="168" t="s">
        <v>7525</v>
      </c>
      <c r="D486" s="169" t="s">
        <v>6658</v>
      </c>
      <c r="E486" s="2" t="s">
        <v>6442</v>
      </c>
      <c r="F486" s="2"/>
      <c r="G486" s="2" t="s">
        <v>6443</v>
      </c>
      <c r="H486" s="169" t="s">
        <v>6444</v>
      </c>
      <c r="I486" s="3">
        <v>1104</v>
      </c>
      <c r="J486" s="4">
        <f>SUMIF(Cargas!$C$5:$C$3471,C486,Cargas!$O$5:$O$3471)</f>
        <v>0</v>
      </c>
      <c r="K486" s="18">
        <f t="shared" ref="K486:K549" si="10">IF(ABS(I486-J486)&lt;20,0,I486-J486)</f>
        <v>1104</v>
      </c>
      <c r="L486" s="5" t="s">
        <v>7526</v>
      </c>
      <c r="M486" s="37">
        <v>228235</v>
      </c>
    </row>
    <row r="487" spans="2:13" ht="13.5" hidden="1" customHeight="1" x14ac:dyDescent="0.25">
      <c r="B487" s="46">
        <v>44890</v>
      </c>
      <c r="C487" s="168" t="s">
        <v>7527</v>
      </c>
      <c r="D487" s="169" t="s">
        <v>6658</v>
      </c>
      <c r="E487" s="2" t="s">
        <v>6442</v>
      </c>
      <c r="F487" s="2"/>
      <c r="G487" s="2" t="s">
        <v>6443</v>
      </c>
      <c r="H487" s="169" t="s">
        <v>6444</v>
      </c>
      <c r="I487" s="3">
        <v>1104</v>
      </c>
      <c r="J487" s="4">
        <f>SUMIF(Cargas!$C$5:$C$3471,C487,Cargas!$O$5:$O$3471)</f>
        <v>0</v>
      </c>
      <c r="K487" s="18">
        <f t="shared" si="10"/>
        <v>1104</v>
      </c>
      <c r="L487" s="5" t="s">
        <v>7526</v>
      </c>
      <c r="M487" s="37">
        <v>228235</v>
      </c>
    </row>
    <row r="488" spans="2:13" ht="13.5" hidden="1" customHeight="1" x14ac:dyDescent="0.25">
      <c r="B488" s="46">
        <v>44890</v>
      </c>
      <c r="C488" s="168" t="s">
        <v>7528</v>
      </c>
      <c r="D488" s="169" t="s">
        <v>6664</v>
      </c>
      <c r="E488" s="2" t="s">
        <v>6442</v>
      </c>
      <c r="F488" s="2"/>
      <c r="G488" s="2" t="s">
        <v>6443</v>
      </c>
      <c r="H488" s="169" t="s">
        <v>6444</v>
      </c>
      <c r="I488" s="3">
        <v>1104</v>
      </c>
      <c r="J488" s="4">
        <f>SUMIF(Cargas!$C$5:$C$3471,C488,Cargas!$O$5:$O$3471)</f>
        <v>0</v>
      </c>
      <c r="K488" s="18">
        <f t="shared" si="10"/>
        <v>1104</v>
      </c>
      <c r="L488" s="5" t="s">
        <v>7529</v>
      </c>
      <c r="M488" s="37">
        <v>231377</v>
      </c>
    </row>
    <row r="489" spans="2:13" ht="13.5" hidden="1" customHeight="1" x14ac:dyDescent="0.25">
      <c r="B489" s="46">
        <v>44890</v>
      </c>
      <c r="C489" s="168" t="s">
        <v>7530</v>
      </c>
      <c r="D489" s="169" t="s">
        <v>6664</v>
      </c>
      <c r="E489" s="2" t="s">
        <v>6442</v>
      </c>
      <c r="F489" s="2"/>
      <c r="G489" s="2" t="s">
        <v>6443</v>
      </c>
      <c r="H489" s="169" t="s">
        <v>6444</v>
      </c>
      <c r="I489" s="3">
        <v>1104</v>
      </c>
      <c r="J489" s="4">
        <f>SUMIF(Cargas!$C$5:$C$3471,C489,Cargas!$O$5:$O$3471)</f>
        <v>0</v>
      </c>
      <c r="K489" s="18">
        <f t="shared" si="10"/>
        <v>1104</v>
      </c>
      <c r="L489" s="5" t="s">
        <v>7529</v>
      </c>
      <c r="M489" s="37">
        <v>231377</v>
      </c>
    </row>
    <row r="490" spans="2:13" ht="13.5" hidden="1" customHeight="1" x14ac:dyDescent="0.25">
      <c r="B490" s="46">
        <v>44890</v>
      </c>
      <c r="C490" s="168" t="s">
        <v>7531</v>
      </c>
      <c r="D490" s="169" t="s">
        <v>6664</v>
      </c>
      <c r="E490" s="2" t="s">
        <v>6442</v>
      </c>
      <c r="F490" s="2"/>
      <c r="G490" s="2" t="s">
        <v>6443</v>
      </c>
      <c r="H490" s="169" t="s">
        <v>6444</v>
      </c>
      <c r="I490" s="3">
        <v>1104</v>
      </c>
      <c r="J490" s="4">
        <f>SUMIF(Cargas!$C$5:$C$3471,C490,Cargas!$O$5:$O$3471)</f>
        <v>0</v>
      </c>
      <c r="K490" s="18">
        <f t="shared" si="10"/>
        <v>1104</v>
      </c>
      <c r="L490" s="5" t="s">
        <v>7529</v>
      </c>
      <c r="M490" s="37">
        <v>231377</v>
      </c>
    </row>
    <row r="491" spans="2:13" ht="13.5" hidden="1" customHeight="1" x14ac:dyDescent="0.25">
      <c r="B491" s="46">
        <v>44902</v>
      </c>
      <c r="C491" s="168" t="s">
        <v>7532</v>
      </c>
      <c r="D491" s="169" t="s">
        <v>6671</v>
      </c>
      <c r="E491" s="2" t="s">
        <v>6442</v>
      </c>
      <c r="F491" s="2"/>
      <c r="G491" s="2" t="s">
        <v>6443</v>
      </c>
      <c r="H491" s="169" t="s">
        <v>6444</v>
      </c>
      <c r="I491" s="3">
        <v>1104</v>
      </c>
      <c r="J491" s="4">
        <f>SUMIF(Cargas!$C$5:$C$3471,C491,Cargas!$O$5:$O$3471)</f>
        <v>0</v>
      </c>
      <c r="K491" s="18">
        <f t="shared" si="10"/>
        <v>1104</v>
      </c>
      <c r="L491" s="5" t="s">
        <v>7533</v>
      </c>
      <c r="M491" s="37">
        <v>236585</v>
      </c>
    </row>
    <row r="492" spans="2:13" ht="13.5" hidden="1" customHeight="1" x14ac:dyDescent="0.25">
      <c r="B492" s="46">
        <v>44533</v>
      </c>
      <c r="C492" s="6" t="s">
        <v>7534</v>
      </c>
      <c r="D492" s="2" t="s">
        <v>7535</v>
      </c>
      <c r="E492" s="2" t="s">
        <v>7284</v>
      </c>
      <c r="F492" s="2"/>
      <c r="G492" s="2" t="s">
        <v>6443</v>
      </c>
      <c r="H492" s="2" t="s">
        <v>7536</v>
      </c>
      <c r="I492" s="3">
        <v>2340</v>
      </c>
      <c r="J492" s="4">
        <f>SUMIF(Cargas!$C$5:$C$3471,C492,Cargas!$O$5:$O$3471)</f>
        <v>0</v>
      </c>
      <c r="K492" s="18">
        <f t="shared" si="10"/>
        <v>2340</v>
      </c>
      <c r="L492" s="5"/>
      <c r="M492" s="37">
        <v>2224439</v>
      </c>
    </row>
    <row r="493" spans="2:13" ht="13.5" hidden="1" customHeight="1" x14ac:dyDescent="0.25">
      <c r="B493" s="46">
        <v>44538</v>
      </c>
      <c r="C493" s="6" t="s">
        <v>7537</v>
      </c>
      <c r="D493" s="2" t="s">
        <v>7538</v>
      </c>
      <c r="E493" s="2" t="s">
        <v>7303</v>
      </c>
      <c r="F493" s="2"/>
      <c r="G493" s="2" t="s">
        <v>6443</v>
      </c>
      <c r="H493" s="2" t="s">
        <v>6768</v>
      </c>
      <c r="I493" s="3">
        <v>2852</v>
      </c>
      <c r="J493" s="4">
        <f>SUMIF(Cargas!$C$5:$C$3471,C493,Cargas!$O$5:$O$3471)</f>
        <v>0</v>
      </c>
      <c r="K493" s="18">
        <f t="shared" si="10"/>
        <v>2852</v>
      </c>
      <c r="L493" s="5" t="s">
        <v>7539</v>
      </c>
      <c r="M493" s="37">
        <v>224568</v>
      </c>
    </row>
    <row r="494" spans="2:13" ht="13.5" hidden="1" customHeight="1" x14ac:dyDescent="0.25">
      <c r="B494" s="46">
        <v>44547</v>
      </c>
      <c r="C494" s="6" t="s">
        <v>7540</v>
      </c>
      <c r="D494" s="2" t="s">
        <v>7541</v>
      </c>
      <c r="E494" s="2" t="s">
        <v>7303</v>
      </c>
      <c r="F494" s="2"/>
      <c r="G494" s="2" t="s">
        <v>6799</v>
      </c>
      <c r="H494" s="2" t="s">
        <v>6444</v>
      </c>
      <c r="I494" s="3"/>
      <c r="J494" s="4">
        <f>SUMIF(Cargas!$C$5:$C$3471,C494,Cargas!$O$5:$O$3471)</f>
        <v>0</v>
      </c>
      <c r="K494" s="18">
        <f t="shared" si="10"/>
        <v>0</v>
      </c>
      <c r="L494" s="5"/>
      <c r="M494" s="37"/>
    </row>
    <row r="495" spans="2:13" ht="13.5" hidden="1" customHeight="1" x14ac:dyDescent="0.25">
      <c r="B495" s="46">
        <v>44553</v>
      </c>
      <c r="C495" s="6" t="s">
        <v>7542</v>
      </c>
      <c r="D495" s="2" t="s">
        <v>7543</v>
      </c>
      <c r="E495" s="2" t="s">
        <v>6442</v>
      </c>
      <c r="F495" s="2"/>
      <c r="G495" s="2" t="s">
        <v>6799</v>
      </c>
      <c r="H495" s="2" t="s">
        <v>6444</v>
      </c>
      <c r="I495" s="3">
        <v>1620</v>
      </c>
      <c r="J495" s="4">
        <f>SUMIF(Cargas!$C$5:$C$3471,C495,Cargas!$O$5:$O$3471)</f>
        <v>0</v>
      </c>
      <c r="K495" s="18">
        <f t="shared" si="10"/>
        <v>1620</v>
      </c>
      <c r="L495" s="5"/>
      <c r="M495" s="37">
        <v>24</v>
      </c>
    </row>
    <row r="496" spans="2:13" ht="13.5" hidden="1" customHeight="1" x14ac:dyDescent="0.25">
      <c r="B496" s="46">
        <v>44559</v>
      </c>
      <c r="C496" s="6" t="s">
        <v>7544</v>
      </c>
      <c r="D496" s="2" t="s">
        <v>7545</v>
      </c>
      <c r="E496" s="2" t="s">
        <v>7303</v>
      </c>
      <c r="F496" s="2"/>
      <c r="G496" s="2" t="s">
        <v>6799</v>
      </c>
      <c r="H496" s="2" t="s">
        <v>6768</v>
      </c>
      <c r="I496" s="3">
        <v>1670</v>
      </c>
      <c r="J496" s="4">
        <f>SUMIF(Cargas!$C$5:$C$3471,C496,Cargas!$O$5:$O$3471)</f>
        <v>0</v>
      </c>
      <c r="K496" s="18">
        <f t="shared" si="10"/>
        <v>1670</v>
      </c>
      <c r="L496" s="5" t="s">
        <v>7546</v>
      </c>
      <c r="M496" s="37">
        <v>792</v>
      </c>
    </row>
    <row r="497" spans="2:13" ht="13.5" hidden="1" customHeight="1" x14ac:dyDescent="0.25">
      <c r="B497" s="46">
        <v>44904</v>
      </c>
      <c r="C497" s="168" t="s">
        <v>7547</v>
      </c>
      <c r="D497" s="169" t="s">
        <v>6671</v>
      </c>
      <c r="E497" s="2" t="s">
        <v>6442</v>
      </c>
      <c r="F497" s="2"/>
      <c r="G497" s="2" t="s">
        <v>6443</v>
      </c>
      <c r="H497" s="169" t="s">
        <v>6444</v>
      </c>
      <c r="I497" s="3">
        <v>1104</v>
      </c>
      <c r="J497" s="4">
        <f>SUMIF(Cargas!$C$5:$C$3471,C497,Cargas!$O$5:$O$3471)</f>
        <v>0</v>
      </c>
      <c r="K497" s="18">
        <f t="shared" si="10"/>
        <v>1104</v>
      </c>
      <c r="L497" s="5" t="s">
        <v>7533</v>
      </c>
      <c r="M497" s="37">
        <v>236585</v>
      </c>
    </row>
    <row r="498" spans="2:13" ht="13.5" hidden="1" customHeight="1" x14ac:dyDescent="0.25">
      <c r="B498" s="46">
        <v>44907</v>
      </c>
      <c r="C498" s="168" t="s">
        <v>7548</v>
      </c>
      <c r="D498" s="169" t="s">
        <v>6671</v>
      </c>
      <c r="E498" s="2" t="s">
        <v>6442</v>
      </c>
      <c r="F498" s="2"/>
      <c r="G498" s="2" t="s">
        <v>6443</v>
      </c>
      <c r="H498" s="169" t="s">
        <v>6444</v>
      </c>
      <c r="I498" s="3">
        <v>1104</v>
      </c>
      <c r="J498" s="4">
        <f>SUMIF(Cargas!$C$5:$C$3471,C498,Cargas!$O$5:$O$3471)</f>
        <v>0</v>
      </c>
      <c r="K498" s="18">
        <f t="shared" si="10"/>
        <v>1104</v>
      </c>
      <c r="L498" s="5" t="s">
        <v>7533</v>
      </c>
      <c r="M498" s="37">
        <v>236585</v>
      </c>
    </row>
    <row r="499" spans="2:13" ht="13.5" hidden="1" customHeight="1" x14ac:dyDescent="0.25">
      <c r="B499" s="46">
        <v>44915</v>
      </c>
      <c r="C499" s="168" t="s">
        <v>7549</v>
      </c>
      <c r="D499" s="169" t="s">
        <v>6677</v>
      </c>
      <c r="E499" s="2" t="s">
        <v>6442</v>
      </c>
      <c r="F499" s="2"/>
      <c r="G499" s="2" t="s">
        <v>6443</v>
      </c>
      <c r="H499" s="169" t="s">
        <v>6444</v>
      </c>
      <c r="I499" s="3">
        <v>1104</v>
      </c>
      <c r="J499" s="4">
        <f>SUMIF(Cargas!$C$5:$C$3471,C499,Cargas!$O$5:$O$3471)</f>
        <v>0</v>
      </c>
      <c r="K499" s="18">
        <f t="shared" si="10"/>
        <v>1104</v>
      </c>
      <c r="L499" s="5" t="s">
        <v>7550</v>
      </c>
      <c r="M499" s="37">
        <v>244347</v>
      </c>
    </row>
    <row r="500" spans="2:13" ht="13.5" hidden="1" customHeight="1" x14ac:dyDescent="0.25">
      <c r="B500" s="46">
        <v>44910</v>
      </c>
      <c r="C500" s="168" t="s">
        <v>7551</v>
      </c>
      <c r="D500" s="169" t="s">
        <v>6677</v>
      </c>
      <c r="E500" s="2" t="s">
        <v>6442</v>
      </c>
      <c r="F500" s="2"/>
      <c r="G500" s="2" t="s">
        <v>6443</v>
      </c>
      <c r="H500" s="169" t="s">
        <v>6444</v>
      </c>
      <c r="I500" s="3">
        <v>1104</v>
      </c>
      <c r="J500" s="4">
        <f>SUMIF(Cargas!$C$5:$C$3471,C500,Cargas!$O$5:$O$3471)</f>
        <v>0</v>
      </c>
      <c r="K500" s="18">
        <f t="shared" si="10"/>
        <v>1104</v>
      </c>
      <c r="L500" s="5" t="s">
        <v>7550</v>
      </c>
      <c r="M500" s="37">
        <v>244347</v>
      </c>
    </row>
    <row r="501" spans="2:13" ht="13.5" hidden="1" customHeight="1" x14ac:dyDescent="0.25">
      <c r="B501" s="46">
        <v>44810</v>
      </c>
      <c r="C501" s="168" t="s">
        <v>7552</v>
      </c>
      <c r="D501" s="169" t="s">
        <v>6941</v>
      </c>
      <c r="E501" s="2" t="s">
        <v>6764</v>
      </c>
      <c r="F501" s="2"/>
      <c r="G501" s="2" t="s">
        <v>6443</v>
      </c>
      <c r="H501" s="169" t="s">
        <v>6768</v>
      </c>
      <c r="I501" s="3">
        <v>9180</v>
      </c>
      <c r="J501" s="4">
        <f>SUMIF(Cargas!$C$5:$C$3471,C501,Cargas!$O$5:$O$3471)</f>
        <v>0</v>
      </c>
      <c r="K501" s="18">
        <f t="shared" si="10"/>
        <v>9180</v>
      </c>
      <c r="L501" s="5" t="s">
        <v>7553</v>
      </c>
      <c r="M501" s="37">
        <v>166372</v>
      </c>
    </row>
    <row r="502" spans="2:13" ht="13.5" hidden="1" customHeight="1" x14ac:dyDescent="0.25">
      <c r="B502" s="46">
        <v>44824</v>
      </c>
      <c r="C502" s="6" t="s">
        <v>7554</v>
      </c>
      <c r="D502" s="2" t="s">
        <v>6944</v>
      </c>
      <c r="E502" s="2" t="s">
        <v>6764</v>
      </c>
      <c r="F502" s="2"/>
      <c r="G502" s="2" t="s">
        <v>6443</v>
      </c>
      <c r="H502" s="2" t="s">
        <v>6768</v>
      </c>
      <c r="I502" s="3">
        <v>9180</v>
      </c>
      <c r="J502" s="4">
        <f>SUMIF(Cargas!$C$5:$C$3471,C502,Cargas!$O$5:$O$3471)</f>
        <v>0</v>
      </c>
      <c r="K502" s="18">
        <f t="shared" si="10"/>
        <v>9180</v>
      </c>
      <c r="L502" s="5" t="s">
        <v>7555</v>
      </c>
      <c r="M502" s="37">
        <v>175099</v>
      </c>
    </row>
    <row r="503" spans="2:13" ht="13.5" hidden="1" customHeight="1" x14ac:dyDescent="0.25">
      <c r="B503" s="46">
        <v>44833</v>
      </c>
      <c r="C503" s="6" t="s">
        <v>7556</v>
      </c>
      <c r="D503" s="2" t="s">
        <v>6947</v>
      </c>
      <c r="E503" s="2" t="s">
        <v>6764</v>
      </c>
      <c r="F503" s="2"/>
      <c r="G503" s="2" t="s">
        <v>6443</v>
      </c>
      <c r="H503" s="2" t="s">
        <v>6444</v>
      </c>
      <c r="I503" s="3">
        <v>9180</v>
      </c>
      <c r="J503" s="4">
        <f>SUMIF(Cargas!$C$5:$C$3471,C503,Cargas!$O$5:$O$3471)</f>
        <v>0</v>
      </c>
      <c r="K503" s="18">
        <f t="shared" si="10"/>
        <v>9180</v>
      </c>
      <c r="L503" s="5" t="s">
        <v>7557</v>
      </c>
      <c r="M503" s="37">
        <v>182734</v>
      </c>
    </row>
    <row r="504" spans="2:13" ht="13.5" hidden="1" customHeight="1" x14ac:dyDescent="0.25">
      <c r="B504" s="46">
        <v>44911</v>
      </c>
      <c r="C504" s="168" t="s">
        <v>7558</v>
      </c>
      <c r="D504" s="169" t="s">
        <v>6677</v>
      </c>
      <c r="E504" s="2" t="s">
        <v>6442</v>
      </c>
      <c r="F504" s="2"/>
      <c r="G504" s="2" t="s">
        <v>6443</v>
      </c>
      <c r="H504" s="169" t="s">
        <v>6444</v>
      </c>
      <c r="I504" s="3">
        <v>1104</v>
      </c>
      <c r="J504" s="4">
        <f>SUMIF(Cargas!$C$5:$C$3471,C504,Cargas!$O$5:$O$3471)</f>
        <v>0</v>
      </c>
      <c r="K504" s="18">
        <f t="shared" si="10"/>
        <v>1104</v>
      </c>
      <c r="L504" s="5" t="s">
        <v>7550</v>
      </c>
      <c r="M504" s="37">
        <v>244347</v>
      </c>
    </row>
    <row r="505" spans="2:13" ht="13.5" hidden="1" customHeight="1" x14ac:dyDescent="0.25">
      <c r="B505" s="46">
        <v>44919</v>
      </c>
      <c r="C505" s="168" t="s">
        <v>7559</v>
      </c>
      <c r="D505" s="169" t="s">
        <v>6683</v>
      </c>
      <c r="E505" s="2" t="s">
        <v>6442</v>
      </c>
      <c r="F505" s="2"/>
      <c r="G505" s="2" t="s">
        <v>6443</v>
      </c>
      <c r="H505" s="169" t="s">
        <v>6444</v>
      </c>
      <c r="I505" s="3">
        <v>1104</v>
      </c>
      <c r="J505" s="4">
        <f>SUMIF(Cargas!$C$5:$C$3471,C505,Cargas!$O$5:$O$3471)</f>
        <v>0</v>
      </c>
      <c r="K505" s="18">
        <f t="shared" si="10"/>
        <v>1104</v>
      </c>
      <c r="L505" s="5" t="s">
        <v>7560</v>
      </c>
      <c r="M505" s="37">
        <v>245983</v>
      </c>
    </row>
    <row r="506" spans="2:13" ht="13.5" hidden="1" customHeight="1" x14ac:dyDescent="0.25">
      <c r="B506" s="46">
        <v>44917</v>
      </c>
      <c r="C506" s="168" t="s">
        <v>7561</v>
      </c>
      <c r="D506" s="169" t="s">
        <v>6683</v>
      </c>
      <c r="E506" s="2" t="s">
        <v>6442</v>
      </c>
      <c r="F506" s="2"/>
      <c r="G506" s="2" t="s">
        <v>6443</v>
      </c>
      <c r="H506" s="169" t="s">
        <v>6444</v>
      </c>
      <c r="I506" s="3">
        <v>1104</v>
      </c>
      <c r="J506" s="4">
        <f>SUMIF(Cargas!$C$5:$C$3471,C506,Cargas!$O$5:$O$3471)</f>
        <v>0</v>
      </c>
      <c r="K506" s="18">
        <f t="shared" si="10"/>
        <v>1104</v>
      </c>
      <c r="L506" s="5" t="s">
        <v>7560</v>
      </c>
      <c r="M506" s="37">
        <v>245983</v>
      </c>
    </row>
    <row r="507" spans="2:13" ht="13.5" hidden="1" customHeight="1" x14ac:dyDescent="0.25">
      <c r="B507" s="46">
        <v>44918</v>
      </c>
      <c r="C507" s="168" t="s">
        <v>7562</v>
      </c>
      <c r="D507" s="169" t="s">
        <v>6683</v>
      </c>
      <c r="E507" s="2" t="s">
        <v>6442</v>
      </c>
      <c r="F507" s="2"/>
      <c r="G507" s="2" t="s">
        <v>6443</v>
      </c>
      <c r="H507" s="169" t="s">
        <v>6444</v>
      </c>
      <c r="I507" s="3">
        <v>1104</v>
      </c>
      <c r="J507" s="4">
        <f>SUMIF(Cargas!$C$5:$C$3471,C507,Cargas!$O$5:$O$3471)</f>
        <v>0</v>
      </c>
      <c r="K507" s="18">
        <f t="shared" si="10"/>
        <v>1104</v>
      </c>
      <c r="L507" s="5" t="s">
        <v>7560</v>
      </c>
      <c r="M507" s="37">
        <v>245983</v>
      </c>
    </row>
    <row r="508" spans="2:13" ht="13.5" hidden="1" customHeight="1" x14ac:dyDescent="0.25">
      <c r="B508" s="46">
        <v>44924</v>
      </c>
      <c r="C508" s="168" t="s">
        <v>7563</v>
      </c>
      <c r="D508" s="169" t="s">
        <v>6689</v>
      </c>
      <c r="E508" s="2" t="s">
        <v>6442</v>
      </c>
      <c r="F508" s="2"/>
      <c r="G508" s="2" t="s">
        <v>6443</v>
      </c>
      <c r="H508" s="169" t="s">
        <v>6444</v>
      </c>
      <c r="I508" s="3">
        <v>1104</v>
      </c>
      <c r="J508" s="4">
        <f>SUMIF(Cargas!$C$5:$C$3471,C508,Cargas!$O$5:$O$3471)</f>
        <v>0</v>
      </c>
      <c r="K508" s="18">
        <f t="shared" si="10"/>
        <v>1104</v>
      </c>
      <c r="L508" s="5" t="s">
        <v>7564</v>
      </c>
      <c r="M508" s="37">
        <v>2244</v>
      </c>
    </row>
    <row r="509" spans="2:13" ht="13.5" hidden="1" customHeight="1" x14ac:dyDescent="0.25">
      <c r="B509" s="46">
        <v>44926</v>
      </c>
      <c r="C509" s="168" t="s">
        <v>7565</v>
      </c>
      <c r="D509" s="169" t="s">
        <v>6689</v>
      </c>
      <c r="E509" s="2" t="s">
        <v>6442</v>
      </c>
      <c r="F509" s="2"/>
      <c r="G509" s="2" t="s">
        <v>6443</v>
      </c>
      <c r="H509" s="169" t="s">
        <v>6444</v>
      </c>
      <c r="I509" s="3">
        <v>1104</v>
      </c>
      <c r="J509" s="4">
        <f>SUMIF(Cargas!$C$5:$C$3471,C509,Cargas!$O$5:$O$3471)</f>
        <v>0</v>
      </c>
      <c r="K509" s="18">
        <f t="shared" si="10"/>
        <v>1104</v>
      </c>
      <c r="L509" s="5" t="s">
        <v>7564</v>
      </c>
      <c r="M509" s="37">
        <v>2244</v>
      </c>
    </row>
    <row r="510" spans="2:13" ht="13.5" hidden="1" customHeight="1" x14ac:dyDescent="0.25">
      <c r="B510" s="46">
        <v>44200</v>
      </c>
      <c r="C510" s="6" t="s">
        <v>7566</v>
      </c>
      <c r="D510" s="2" t="s">
        <v>7567</v>
      </c>
      <c r="E510" s="2" t="s">
        <v>7568</v>
      </c>
      <c r="F510" s="2"/>
      <c r="G510" s="2" t="s">
        <v>7569</v>
      </c>
      <c r="H510" s="2" t="s">
        <v>7570</v>
      </c>
      <c r="I510" s="3">
        <v>990</v>
      </c>
      <c r="J510" s="4" t="e">
        <f>SUMIF(Cargas!#REF!,C510,Cargas!#REF!)</f>
        <v>#REF!</v>
      </c>
      <c r="K510" s="18" t="e">
        <f t="shared" si="10"/>
        <v>#REF!</v>
      </c>
      <c r="L510" s="5" t="s">
        <v>7571</v>
      </c>
      <c r="M510" s="37">
        <v>697</v>
      </c>
    </row>
    <row r="511" spans="2:13" ht="13.5" hidden="1" customHeight="1" x14ac:dyDescent="0.25">
      <c r="B511" s="46">
        <v>44207</v>
      </c>
      <c r="C511" s="6" t="s">
        <v>7572</v>
      </c>
      <c r="D511" s="2" t="s">
        <v>7573</v>
      </c>
      <c r="E511" s="2" t="s">
        <v>7568</v>
      </c>
      <c r="F511" s="2"/>
      <c r="G511" s="2" t="s">
        <v>7569</v>
      </c>
      <c r="H511" s="2" t="s">
        <v>7570</v>
      </c>
      <c r="I511" s="3">
        <v>990</v>
      </c>
      <c r="J511" s="4" t="e">
        <f>SUMIF(Cargas!#REF!,C511,Cargas!#REF!)</f>
        <v>#REF!</v>
      </c>
      <c r="K511" s="18" t="e">
        <f t="shared" si="10"/>
        <v>#REF!</v>
      </c>
      <c r="L511" s="5" t="s">
        <v>7574</v>
      </c>
      <c r="M511" s="37">
        <v>6508</v>
      </c>
    </row>
    <row r="512" spans="2:13" ht="13.5" hidden="1" customHeight="1" x14ac:dyDescent="0.25">
      <c r="B512" s="46">
        <v>44221</v>
      </c>
      <c r="C512" s="6" t="s">
        <v>7575</v>
      </c>
      <c r="D512" s="2" t="s">
        <v>7576</v>
      </c>
      <c r="E512" s="2" t="s">
        <v>7568</v>
      </c>
      <c r="F512" s="2"/>
      <c r="G512" s="2" t="s">
        <v>7569</v>
      </c>
      <c r="H512" s="2" t="s">
        <v>7570</v>
      </c>
      <c r="I512" s="3">
        <v>990</v>
      </c>
      <c r="J512" s="4" t="e">
        <f>SUMIF(Cargas!#REF!,C512,Cargas!#REF!)</f>
        <v>#REF!</v>
      </c>
      <c r="K512" s="18" t="e">
        <f t="shared" si="10"/>
        <v>#REF!</v>
      </c>
      <c r="L512" s="5" t="s">
        <v>7577</v>
      </c>
      <c r="M512" s="37">
        <v>14652</v>
      </c>
    </row>
    <row r="513" spans="2:13" ht="13.5" hidden="1" customHeight="1" x14ac:dyDescent="0.25">
      <c r="B513" s="46">
        <v>44228</v>
      </c>
      <c r="C513" s="6" t="s">
        <v>7578</v>
      </c>
      <c r="D513" s="2" t="s">
        <v>7579</v>
      </c>
      <c r="E513" s="2" t="s">
        <v>7568</v>
      </c>
      <c r="F513" s="2"/>
      <c r="G513" s="2" t="s">
        <v>7569</v>
      </c>
      <c r="H513" s="2" t="s">
        <v>7570</v>
      </c>
      <c r="I513" s="3">
        <v>1980</v>
      </c>
      <c r="J513" s="4" t="e">
        <f>SUMIF(Cargas!#REF!,C513,Cargas!#REF!)</f>
        <v>#REF!</v>
      </c>
      <c r="K513" s="18" t="e">
        <f t="shared" si="10"/>
        <v>#REF!</v>
      </c>
      <c r="L513" s="5" t="s">
        <v>7580</v>
      </c>
      <c r="M513" s="37">
        <v>14652</v>
      </c>
    </row>
    <row r="514" spans="2:13" ht="13.5" hidden="1" customHeight="1" x14ac:dyDescent="0.25">
      <c r="B514" s="46">
        <v>44228</v>
      </c>
      <c r="C514" s="6" t="s">
        <v>7581</v>
      </c>
      <c r="D514" s="2" t="s">
        <v>7582</v>
      </c>
      <c r="E514" s="2" t="s">
        <v>7568</v>
      </c>
      <c r="F514" s="2"/>
      <c r="G514" s="2" t="s">
        <v>7569</v>
      </c>
      <c r="H514" s="2" t="s">
        <v>7570</v>
      </c>
      <c r="I514" s="3">
        <v>990</v>
      </c>
      <c r="J514" s="4" t="e">
        <f>SUMIF(Cargas!#REF!,C514,Cargas!#REF!)</f>
        <v>#REF!</v>
      </c>
      <c r="K514" s="18" t="e">
        <f t="shared" si="10"/>
        <v>#REF!</v>
      </c>
      <c r="L514" s="5" t="s">
        <v>7583</v>
      </c>
      <c r="M514" s="37">
        <v>14652</v>
      </c>
    </row>
    <row r="515" spans="2:13" ht="13.5" hidden="1" customHeight="1" x14ac:dyDescent="0.25">
      <c r="B515" s="46">
        <v>44243</v>
      </c>
      <c r="C515" s="6" t="s">
        <v>7584</v>
      </c>
      <c r="D515" s="2" t="s">
        <v>7585</v>
      </c>
      <c r="E515" s="2" t="s">
        <v>7568</v>
      </c>
      <c r="F515" s="2"/>
      <c r="G515" s="2" t="s">
        <v>7569</v>
      </c>
      <c r="H515" s="2" t="s">
        <v>7570</v>
      </c>
      <c r="I515" s="3">
        <v>990</v>
      </c>
      <c r="J515" s="4" t="e">
        <f>SUMIF(Cargas!#REF!,C515,Cargas!#REF!)</f>
        <v>#REF!</v>
      </c>
      <c r="K515" s="18" t="e">
        <f t="shared" si="10"/>
        <v>#REF!</v>
      </c>
      <c r="L515" s="5" t="s">
        <v>7586</v>
      </c>
      <c r="M515" s="37">
        <v>25750</v>
      </c>
    </row>
    <row r="516" spans="2:13" ht="13.5" hidden="1" customHeight="1" x14ac:dyDescent="0.25">
      <c r="B516" s="46">
        <v>44249</v>
      </c>
      <c r="C516" s="6" t="s">
        <v>7587</v>
      </c>
      <c r="D516" s="2" t="s">
        <v>7588</v>
      </c>
      <c r="E516" s="2" t="s">
        <v>7568</v>
      </c>
      <c r="F516" s="2"/>
      <c r="G516" s="2" t="s">
        <v>7569</v>
      </c>
      <c r="H516" s="2" t="s">
        <v>7570</v>
      </c>
      <c r="I516" s="3">
        <v>990</v>
      </c>
      <c r="J516" s="4" t="e">
        <f>SUMIF(Cargas!#REF!,C516,Cargas!#REF!)</f>
        <v>#REF!</v>
      </c>
      <c r="K516" s="18" t="e">
        <f t="shared" si="10"/>
        <v>#REF!</v>
      </c>
      <c r="L516" s="5" t="s">
        <v>7589</v>
      </c>
      <c r="M516" s="37">
        <v>31486</v>
      </c>
    </row>
    <row r="517" spans="2:13" ht="13.5" hidden="1" customHeight="1" x14ac:dyDescent="0.25">
      <c r="B517" s="46">
        <v>44257</v>
      </c>
      <c r="C517" s="6" t="s">
        <v>7590</v>
      </c>
      <c r="D517" s="2" t="s">
        <v>7591</v>
      </c>
      <c r="E517" s="2" t="s">
        <v>7568</v>
      </c>
      <c r="F517" s="2"/>
      <c r="G517" s="2" t="s">
        <v>7569</v>
      </c>
      <c r="H517" s="2" t="s">
        <v>7570</v>
      </c>
      <c r="I517" s="3">
        <v>1980</v>
      </c>
      <c r="J517" s="4" t="e">
        <f>SUMIF(Cargas!#REF!,C517,Cargas!#REF!)</f>
        <v>#REF!</v>
      </c>
      <c r="K517" s="18" t="e">
        <f t="shared" si="10"/>
        <v>#REF!</v>
      </c>
      <c r="L517" s="5" t="s">
        <v>7574</v>
      </c>
      <c r="M517" s="37">
        <v>36672</v>
      </c>
    </row>
    <row r="518" spans="2:13" ht="13.5" hidden="1" customHeight="1" x14ac:dyDescent="0.25">
      <c r="B518" s="46">
        <v>44263</v>
      </c>
      <c r="C518" s="6" t="s">
        <v>7592</v>
      </c>
      <c r="D518" s="2" t="s">
        <v>7593</v>
      </c>
      <c r="E518" s="2" t="s">
        <v>7568</v>
      </c>
      <c r="F518" s="2"/>
      <c r="G518" s="2" t="s">
        <v>7569</v>
      </c>
      <c r="H518" s="2" t="s">
        <v>7570</v>
      </c>
      <c r="I518" s="3">
        <v>1980</v>
      </c>
      <c r="J518" s="4" t="e">
        <f>SUMIF(Cargas!#REF!,C518,Cargas!#REF!)</f>
        <v>#REF!</v>
      </c>
      <c r="K518" s="18" t="e">
        <f t="shared" si="10"/>
        <v>#REF!</v>
      </c>
      <c r="L518" s="5" t="s">
        <v>7594</v>
      </c>
      <c r="M518" s="37">
        <v>40177</v>
      </c>
    </row>
    <row r="519" spans="2:13" ht="13.5" hidden="1" customHeight="1" x14ac:dyDescent="0.25">
      <c r="B519" s="46">
        <v>44270</v>
      </c>
      <c r="C519" s="6" t="s">
        <v>7595</v>
      </c>
      <c r="D519" s="2" t="s">
        <v>7596</v>
      </c>
      <c r="E519" s="2" t="s">
        <v>7568</v>
      </c>
      <c r="F519" s="2"/>
      <c r="G519" s="2" t="s">
        <v>7569</v>
      </c>
      <c r="H519" s="2" t="s">
        <v>7570</v>
      </c>
      <c r="I519" s="3">
        <v>1980</v>
      </c>
      <c r="J519" s="4" t="e">
        <f>SUMIF(Cargas!#REF!,C519,Cargas!#REF!)</f>
        <v>#REF!</v>
      </c>
      <c r="K519" s="18" t="e">
        <f t="shared" si="10"/>
        <v>#REF!</v>
      </c>
      <c r="L519" s="5" t="s">
        <v>7597</v>
      </c>
      <c r="M519" s="37">
        <v>43975</v>
      </c>
    </row>
    <row r="520" spans="2:13" ht="13.5" hidden="1" customHeight="1" x14ac:dyDescent="0.25">
      <c r="B520" s="46">
        <v>44277</v>
      </c>
      <c r="C520" s="6" t="s">
        <v>7598</v>
      </c>
      <c r="D520" s="2" t="s">
        <v>7599</v>
      </c>
      <c r="E520" s="2" t="s">
        <v>7568</v>
      </c>
      <c r="F520" s="2"/>
      <c r="G520" s="2" t="s">
        <v>7569</v>
      </c>
      <c r="H520" s="2" t="s">
        <v>7570</v>
      </c>
      <c r="I520" s="3">
        <v>1980</v>
      </c>
      <c r="J520" s="4" t="e">
        <f>SUMIF(Cargas!#REF!,C520,Cargas!#REF!)</f>
        <v>#REF!</v>
      </c>
      <c r="K520" s="18" t="e">
        <f t="shared" si="10"/>
        <v>#REF!</v>
      </c>
      <c r="L520" s="5" t="s">
        <v>7600</v>
      </c>
      <c r="M520" s="37">
        <v>48776</v>
      </c>
    </row>
    <row r="521" spans="2:13" ht="13.5" hidden="1" customHeight="1" x14ac:dyDescent="0.25">
      <c r="B521" s="46">
        <v>44291</v>
      </c>
      <c r="C521" s="6" t="s">
        <v>7601</v>
      </c>
      <c r="D521" s="2" t="s">
        <v>7602</v>
      </c>
      <c r="E521" s="2" t="s">
        <v>7568</v>
      </c>
      <c r="F521" s="2"/>
      <c r="G521" s="2" t="s">
        <v>7569</v>
      </c>
      <c r="H521" s="2" t="s">
        <v>7570</v>
      </c>
      <c r="I521" s="3">
        <v>2970</v>
      </c>
      <c r="J521" s="4" t="e">
        <f>SUMIF(Cargas!#REF!,C521,Cargas!#REF!)</f>
        <v>#REF!</v>
      </c>
      <c r="K521" s="18" t="e">
        <f t="shared" si="10"/>
        <v>#REF!</v>
      </c>
      <c r="L521" s="5" t="s">
        <v>7603</v>
      </c>
      <c r="M521" s="37">
        <v>56439</v>
      </c>
    </row>
    <row r="522" spans="2:13" ht="13.5" hidden="1" customHeight="1" x14ac:dyDescent="0.25">
      <c r="B522" s="46">
        <v>44295</v>
      </c>
      <c r="C522" s="6" t="s">
        <v>7604</v>
      </c>
      <c r="D522" s="2" t="s">
        <v>7605</v>
      </c>
      <c r="E522" s="2" t="s">
        <v>7568</v>
      </c>
      <c r="F522" s="2"/>
      <c r="G522" s="2" t="s">
        <v>7569</v>
      </c>
      <c r="H522" s="2" t="s">
        <v>7570</v>
      </c>
      <c r="I522" s="3">
        <v>2970</v>
      </c>
      <c r="J522" s="4" t="e">
        <f>SUMIF(Cargas!#REF!,C522,Cargas!#REF!)</f>
        <v>#REF!</v>
      </c>
      <c r="K522" s="18" t="e">
        <f t="shared" si="10"/>
        <v>#REF!</v>
      </c>
      <c r="L522" s="5" t="s">
        <v>7606</v>
      </c>
      <c r="M522" s="37">
        <v>61226</v>
      </c>
    </row>
    <row r="523" spans="2:13" ht="13.5" hidden="1" customHeight="1" x14ac:dyDescent="0.25">
      <c r="B523" s="46">
        <v>44305</v>
      </c>
      <c r="C523" s="6" t="s">
        <v>7607</v>
      </c>
      <c r="D523" s="2" t="s">
        <v>7608</v>
      </c>
      <c r="E523" s="2" t="s">
        <v>7568</v>
      </c>
      <c r="F523" s="2"/>
      <c r="G523" s="2" t="s">
        <v>7569</v>
      </c>
      <c r="H523" s="2" t="s">
        <v>7570</v>
      </c>
      <c r="I523" s="3">
        <v>1980</v>
      </c>
      <c r="J523" s="4" t="e">
        <f>SUMIF(Cargas!#REF!,C523,Cargas!#REF!)</f>
        <v>#REF!</v>
      </c>
      <c r="K523" s="18" t="e">
        <f t="shared" si="10"/>
        <v>#REF!</v>
      </c>
      <c r="L523" s="5" t="s">
        <v>7609</v>
      </c>
      <c r="M523" s="37">
        <v>64980</v>
      </c>
    </row>
    <row r="524" spans="2:13" ht="13.5" hidden="1" customHeight="1" x14ac:dyDescent="0.25">
      <c r="B524" s="46">
        <v>44312</v>
      </c>
      <c r="C524" s="6" t="s">
        <v>7610</v>
      </c>
      <c r="D524" s="2" t="s">
        <v>7611</v>
      </c>
      <c r="E524" s="2" t="s">
        <v>7568</v>
      </c>
      <c r="F524" s="2"/>
      <c r="G524" s="2" t="s">
        <v>7569</v>
      </c>
      <c r="H524" s="2" t="s">
        <v>7570</v>
      </c>
      <c r="I524" s="3">
        <v>990</v>
      </c>
      <c r="J524" s="4" t="e">
        <f>SUMIF(Cargas!#REF!,C524,Cargas!#REF!)</f>
        <v>#REF!</v>
      </c>
      <c r="K524" s="18" t="e">
        <f t="shared" si="10"/>
        <v>#REF!</v>
      </c>
      <c r="L524" s="5" t="s">
        <v>7612</v>
      </c>
      <c r="M524" s="37">
        <v>71745</v>
      </c>
    </row>
    <row r="525" spans="2:13" ht="13.5" hidden="1" customHeight="1" x14ac:dyDescent="0.25">
      <c r="B525" s="46">
        <v>44319</v>
      </c>
      <c r="C525" s="6" t="s">
        <v>7613</v>
      </c>
      <c r="D525" s="2" t="s">
        <v>7614</v>
      </c>
      <c r="E525" s="2" t="s">
        <v>7568</v>
      </c>
      <c r="F525" s="2"/>
      <c r="G525" s="2" t="s">
        <v>7569</v>
      </c>
      <c r="H525" s="2" t="s">
        <v>7570</v>
      </c>
      <c r="I525" s="3">
        <v>990</v>
      </c>
      <c r="J525" s="4">
        <f>SUMIF(Cargas!$C$5:$C$3471,C525,Cargas!$O$5:$O$3471)</f>
        <v>0</v>
      </c>
      <c r="K525" s="18">
        <f t="shared" si="10"/>
        <v>990</v>
      </c>
      <c r="L525" s="5" t="s">
        <v>7615</v>
      </c>
      <c r="M525" s="37">
        <v>75119</v>
      </c>
    </row>
    <row r="526" spans="2:13" ht="13.5" hidden="1" customHeight="1" x14ac:dyDescent="0.25">
      <c r="B526" s="46">
        <v>44323</v>
      </c>
      <c r="C526" s="6" t="s">
        <v>7616</v>
      </c>
      <c r="D526" s="2" t="s">
        <v>7617</v>
      </c>
      <c r="E526" s="2" t="s">
        <v>7568</v>
      </c>
      <c r="F526" s="2"/>
      <c r="G526" s="2" t="s">
        <v>7569</v>
      </c>
      <c r="H526" s="2" t="s">
        <v>7570</v>
      </c>
      <c r="I526" s="3">
        <v>1980</v>
      </c>
      <c r="J526" s="4">
        <f>SUMIF(Cargas!$C$5:$C$3471,C526,Cargas!$O$5:$O$3471)</f>
        <v>0</v>
      </c>
      <c r="K526" s="18">
        <f t="shared" si="10"/>
        <v>1980</v>
      </c>
      <c r="L526" s="5" t="s">
        <v>7618</v>
      </c>
      <c r="M526" s="37">
        <v>78646</v>
      </c>
    </row>
    <row r="527" spans="2:13" ht="13.5" hidden="1" customHeight="1" x14ac:dyDescent="0.25">
      <c r="B527" s="46">
        <v>44334</v>
      </c>
      <c r="C527" s="6" t="s">
        <v>7619</v>
      </c>
      <c r="D527" s="2" t="s">
        <v>7620</v>
      </c>
      <c r="E527" s="2" t="s">
        <v>7568</v>
      </c>
      <c r="F527" s="2"/>
      <c r="G527" s="2" t="s">
        <v>7569</v>
      </c>
      <c r="H527" s="2" t="s">
        <v>7570</v>
      </c>
      <c r="I527" s="3">
        <v>990</v>
      </c>
      <c r="J527" s="4">
        <f>SUMIF(Cargas!$C$5:$C$3471,C527,Cargas!$O$5:$O$3471)</f>
        <v>0</v>
      </c>
      <c r="K527" s="18">
        <f t="shared" si="10"/>
        <v>990</v>
      </c>
      <c r="L527" s="5" t="s">
        <v>7621</v>
      </c>
      <c r="M527" s="37">
        <v>83966</v>
      </c>
    </row>
    <row r="528" spans="2:13" ht="13.5" hidden="1" customHeight="1" x14ac:dyDescent="0.25">
      <c r="B528" s="46">
        <v>44347</v>
      </c>
      <c r="C528" s="6" t="s">
        <v>7622</v>
      </c>
      <c r="D528" s="2" t="s">
        <v>7623</v>
      </c>
      <c r="E528" s="2" t="s">
        <v>7568</v>
      </c>
      <c r="F528" s="2"/>
      <c r="G528" s="2" t="s">
        <v>7569</v>
      </c>
      <c r="H528" s="2" t="s">
        <v>7570</v>
      </c>
      <c r="I528" s="3">
        <v>990</v>
      </c>
      <c r="J528" s="4">
        <f>SUMIF(Cargas!$C$5:$C$3471,C528,Cargas!$O$5:$O$3471)</f>
        <v>0</v>
      </c>
      <c r="K528" s="18">
        <f t="shared" si="10"/>
        <v>990</v>
      </c>
      <c r="L528" s="5" t="s">
        <v>7624</v>
      </c>
      <c r="M528" s="37">
        <v>92968</v>
      </c>
    </row>
    <row r="529" spans="2:13" ht="13.5" hidden="1" customHeight="1" x14ac:dyDescent="0.25">
      <c r="B529" s="46">
        <v>44389</v>
      </c>
      <c r="C529" s="6" t="s">
        <v>7625</v>
      </c>
      <c r="D529" s="2" t="s">
        <v>7626</v>
      </c>
      <c r="E529" s="2" t="s">
        <v>7568</v>
      </c>
      <c r="F529" s="2"/>
      <c r="G529" s="2" t="s">
        <v>7569</v>
      </c>
      <c r="H529" s="2" t="s">
        <v>7570</v>
      </c>
      <c r="I529" s="3">
        <v>990</v>
      </c>
      <c r="J529" s="4">
        <f>SUMIF(Cargas!$C$5:$C$3471,C529,Cargas!$O$5:$O$3471)</f>
        <v>0</v>
      </c>
      <c r="K529" s="18">
        <f t="shared" si="10"/>
        <v>990</v>
      </c>
      <c r="L529" s="5" t="s">
        <v>7627</v>
      </c>
      <c r="M529" s="37">
        <v>119779</v>
      </c>
    </row>
    <row r="530" spans="2:13" ht="13.5" hidden="1" customHeight="1" x14ac:dyDescent="0.25">
      <c r="B530" s="46">
        <v>44396</v>
      </c>
      <c r="C530" s="6" t="s">
        <v>7628</v>
      </c>
      <c r="D530" s="2" t="s">
        <v>7629</v>
      </c>
      <c r="E530" s="2" t="s">
        <v>7568</v>
      </c>
      <c r="F530" s="2"/>
      <c r="G530" s="2" t="s">
        <v>7569</v>
      </c>
      <c r="H530" s="2" t="s">
        <v>7570</v>
      </c>
      <c r="I530" s="3">
        <v>990</v>
      </c>
      <c r="J530" s="4">
        <f>SUMIF(Cargas!$C$5:$C$3471,C530,Cargas!$O$5:$O$3471)</f>
        <v>0</v>
      </c>
      <c r="K530" s="18">
        <f t="shared" si="10"/>
        <v>990</v>
      </c>
      <c r="L530" s="5" t="s">
        <v>7630</v>
      </c>
      <c r="M530" s="37">
        <v>124353</v>
      </c>
    </row>
    <row r="531" spans="2:13" ht="13.5" hidden="1" customHeight="1" x14ac:dyDescent="0.25">
      <c r="B531" s="46">
        <v>44403</v>
      </c>
      <c r="C531" s="6" t="s">
        <v>7631</v>
      </c>
      <c r="D531" s="2" t="s">
        <v>7632</v>
      </c>
      <c r="E531" s="2" t="s">
        <v>7568</v>
      </c>
      <c r="F531" s="2"/>
      <c r="G531" s="2" t="s">
        <v>7569</v>
      </c>
      <c r="H531" s="2" t="s">
        <v>7570</v>
      </c>
      <c r="I531" s="3">
        <v>990</v>
      </c>
      <c r="J531" s="4">
        <f>SUMIF(Cargas!$C$5:$C$3471,C531,Cargas!$O$5:$O$3471)</f>
        <v>0</v>
      </c>
      <c r="K531" s="18">
        <f t="shared" si="10"/>
        <v>990</v>
      </c>
      <c r="L531" s="5" t="s">
        <v>7633</v>
      </c>
      <c r="M531" s="37">
        <v>129709</v>
      </c>
    </row>
    <row r="532" spans="2:13" ht="13.5" hidden="1" customHeight="1" x14ac:dyDescent="0.25">
      <c r="B532" s="46">
        <v>44410</v>
      </c>
      <c r="C532" s="6" t="s">
        <v>7634</v>
      </c>
      <c r="D532" s="2" t="s">
        <v>7635</v>
      </c>
      <c r="E532" s="2" t="s">
        <v>7568</v>
      </c>
      <c r="F532" s="2"/>
      <c r="G532" s="2" t="s">
        <v>7569</v>
      </c>
      <c r="H532" s="2" t="s">
        <v>7570</v>
      </c>
      <c r="I532" s="3">
        <v>990</v>
      </c>
      <c r="J532" s="4">
        <f>SUMIF(Cargas!$C$5:$C$3471,C532,Cargas!$O$5:$O$3471)</f>
        <v>0</v>
      </c>
      <c r="K532" s="18">
        <f t="shared" si="10"/>
        <v>990</v>
      </c>
      <c r="L532" s="5">
        <v>198</v>
      </c>
      <c r="M532" s="37">
        <v>160965</v>
      </c>
    </row>
    <row r="533" spans="2:13" ht="13.5" hidden="1" customHeight="1" x14ac:dyDescent="0.25">
      <c r="B533" s="46">
        <v>44418</v>
      </c>
      <c r="C533" s="6" t="s">
        <v>7636</v>
      </c>
      <c r="D533" s="2" t="s">
        <v>7637</v>
      </c>
      <c r="E533" s="2" t="s">
        <v>7568</v>
      </c>
      <c r="F533" s="2"/>
      <c r="G533" s="2" t="s">
        <v>7569</v>
      </c>
      <c r="H533" s="2" t="s">
        <v>7570</v>
      </c>
      <c r="I533" s="3">
        <v>990</v>
      </c>
      <c r="J533" s="4">
        <f>SUMIF(Cargas!$C$5:$C$3471,C533,Cargas!$O$5:$O$3471)</f>
        <v>0</v>
      </c>
      <c r="K533" s="18">
        <f t="shared" si="10"/>
        <v>990</v>
      </c>
      <c r="L533" s="5" t="s">
        <v>7638</v>
      </c>
      <c r="M533" s="37">
        <v>139874</v>
      </c>
    </row>
    <row r="534" spans="2:13" ht="13.5" hidden="1" customHeight="1" x14ac:dyDescent="0.25">
      <c r="B534" s="46">
        <v>44424</v>
      </c>
      <c r="C534" s="6" t="s">
        <v>7639</v>
      </c>
      <c r="D534" s="2" t="s">
        <v>7640</v>
      </c>
      <c r="E534" s="2" t="s">
        <v>7568</v>
      </c>
      <c r="F534" s="2"/>
      <c r="G534" s="2" t="s">
        <v>7569</v>
      </c>
      <c r="H534" s="2" t="s">
        <v>7570</v>
      </c>
      <c r="I534" s="3">
        <v>990</v>
      </c>
      <c r="J534" s="4">
        <f>SUMIF(Cargas!$C$5:$C$3471,C534,Cargas!$O$5:$O$3471)</f>
        <v>0</v>
      </c>
      <c r="K534" s="18">
        <f t="shared" si="10"/>
        <v>990</v>
      </c>
      <c r="L534" s="5" t="s">
        <v>7641</v>
      </c>
      <c r="M534" s="37">
        <v>143263</v>
      </c>
    </row>
    <row r="535" spans="2:13" ht="13.5" hidden="1" customHeight="1" x14ac:dyDescent="0.25">
      <c r="B535" s="46">
        <v>44452</v>
      </c>
      <c r="C535" s="6" t="s">
        <v>7642</v>
      </c>
      <c r="D535" s="2" t="s">
        <v>7643</v>
      </c>
      <c r="E535" s="2" t="s">
        <v>7568</v>
      </c>
      <c r="F535" s="2"/>
      <c r="G535" s="2" t="s">
        <v>7569</v>
      </c>
      <c r="H535" s="2" t="s">
        <v>7570</v>
      </c>
      <c r="I535" s="3">
        <v>990</v>
      </c>
      <c r="J535" s="4">
        <f>SUMIF(Cargas!$C$5:$C$3471,C535,Cargas!$O$5:$O$3471)</f>
        <v>0</v>
      </c>
      <c r="K535" s="18">
        <f t="shared" si="10"/>
        <v>990</v>
      </c>
      <c r="L535" s="5" t="s">
        <v>7644</v>
      </c>
      <c r="M535" s="37">
        <v>160116</v>
      </c>
    </row>
    <row r="536" spans="2:13" ht="13.5" hidden="1" customHeight="1" x14ac:dyDescent="0.25">
      <c r="B536" s="46">
        <v>44453</v>
      </c>
      <c r="C536" s="6" t="s">
        <v>7645</v>
      </c>
      <c r="D536" s="2" t="s">
        <v>7646</v>
      </c>
      <c r="E536" s="2" t="s">
        <v>7568</v>
      </c>
      <c r="F536" s="2"/>
      <c r="G536" s="2" t="s">
        <v>7569</v>
      </c>
      <c r="H536" s="2" t="s">
        <v>7570</v>
      </c>
      <c r="I536" s="3">
        <v>996</v>
      </c>
      <c r="J536" s="4">
        <f>SUMIF(Cargas!$C$5:$C$3471,C536,Cargas!$O$5:$O$3471)</f>
        <v>0</v>
      </c>
      <c r="K536" s="18">
        <f t="shared" si="10"/>
        <v>996</v>
      </c>
      <c r="L536" s="5" t="s">
        <v>7647</v>
      </c>
      <c r="M536" s="37">
        <v>161247</v>
      </c>
    </row>
    <row r="537" spans="2:13" ht="13.5" hidden="1" customHeight="1" x14ac:dyDescent="0.25">
      <c r="B537" s="46">
        <v>44459</v>
      </c>
      <c r="C537" s="6" t="s">
        <v>7648</v>
      </c>
      <c r="D537" s="2" t="s">
        <v>7649</v>
      </c>
      <c r="E537" s="2" t="s">
        <v>7568</v>
      </c>
      <c r="F537" s="2"/>
      <c r="G537" s="2" t="s">
        <v>7569</v>
      </c>
      <c r="H537" s="2" t="s">
        <v>7570</v>
      </c>
      <c r="I537" s="3">
        <v>996</v>
      </c>
      <c r="J537" s="4">
        <f>SUMIF(Cargas!$C$5:$C$3471,C537,Cargas!$O$5:$O$3471)</f>
        <v>0</v>
      </c>
      <c r="K537" s="18">
        <f t="shared" si="10"/>
        <v>996</v>
      </c>
      <c r="L537" s="5" t="s">
        <v>7650</v>
      </c>
      <c r="M537" s="37">
        <v>165523</v>
      </c>
    </row>
    <row r="538" spans="2:13" ht="13.5" hidden="1" customHeight="1" x14ac:dyDescent="0.25">
      <c r="B538" s="46">
        <v>44459</v>
      </c>
      <c r="C538" s="6" t="s">
        <v>7651</v>
      </c>
      <c r="D538" s="2" t="s">
        <v>7652</v>
      </c>
      <c r="E538" s="2" t="s">
        <v>7568</v>
      </c>
      <c r="F538" s="2"/>
      <c r="G538" s="2" t="s">
        <v>7569</v>
      </c>
      <c r="H538" s="2" t="s">
        <v>7570</v>
      </c>
      <c r="I538" s="3">
        <v>1002</v>
      </c>
      <c r="J538" s="4">
        <f>SUMIF(Cargas!$C$5:$C$3471,C538,Cargas!$O$5:$O$3471)</f>
        <v>0</v>
      </c>
      <c r="K538" s="18">
        <f t="shared" si="10"/>
        <v>1002</v>
      </c>
      <c r="L538" s="5" t="s">
        <v>7653</v>
      </c>
      <c r="M538" s="37">
        <v>166664</v>
      </c>
    </row>
    <row r="539" spans="2:13" ht="13.5" hidden="1" customHeight="1" x14ac:dyDescent="0.25">
      <c r="B539" s="46">
        <v>44459</v>
      </c>
      <c r="C539" s="6" t="s">
        <v>7651</v>
      </c>
      <c r="D539" s="2" t="s">
        <v>7652</v>
      </c>
      <c r="E539" s="2" t="s">
        <v>7568</v>
      </c>
      <c r="F539" s="2"/>
      <c r="G539" s="2" t="s">
        <v>7569</v>
      </c>
      <c r="H539" s="2" t="s">
        <v>7570</v>
      </c>
      <c r="I539" s="3">
        <v>1002</v>
      </c>
      <c r="J539" s="4">
        <f>SUMIF(Cargas!$C$5:$C$3471,C539,Cargas!$O$5:$O$3471)</f>
        <v>0</v>
      </c>
      <c r="K539" s="18">
        <f t="shared" si="10"/>
        <v>1002</v>
      </c>
      <c r="L539" s="5" t="s">
        <v>7653</v>
      </c>
      <c r="M539" s="37">
        <v>166664</v>
      </c>
    </row>
    <row r="540" spans="2:13" ht="13.5" hidden="1" customHeight="1" x14ac:dyDescent="0.25">
      <c r="B540" s="46">
        <v>44467</v>
      </c>
      <c r="C540" s="6" t="s">
        <v>7654</v>
      </c>
      <c r="D540" s="2" t="s">
        <v>7655</v>
      </c>
      <c r="E540" s="2" t="s">
        <v>7568</v>
      </c>
      <c r="F540" s="2"/>
      <c r="G540" s="2" t="s">
        <v>7569</v>
      </c>
      <c r="H540" s="2" t="s">
        <v>7570</v>
      </c>
      <c r="I540" s="3">
        <v>990</v>
      </c>
      <c r="J540" s="4">
        <f>SUMIF(Cargas!$C$5:$C$3471,C540,Cargas!$O$5:$O$3471)</f>
        <v>0</v>
      </c>
      <c r="K540" s="18">
        <f t="shared" si="10"/>
        <v>990</v>
      </c>
      <c r="L540" s="5" t="s">
        <v>7656</v>
      </c>
      <c r="M540" s="37">
        <v>171765</v>
      </c>
    </row>
    <row r="541" spans="2:13" ht="13.5" hidden="1" customHeight="1" x14ac:dyDescent="0.25">
      <c r="B541" s="46">
        <v>44473</v>
      </c>
      <c r="C541" s="6" t="s">
        <v>7657</v>
      </c>
      <c r="D541" s="2" t="s">
        <v>7658</v>
      </c>
      <c r="E541" s="2" t="s">
        <v>7568</v>
      </c>
      <c r="F541" s="2"/>
      <c r="G541" s="2" t="s">
        <v>7569</v>
      </c>
      <c r="H541" s="2" t="s">
        <v>7570</v>
      </c>
      <c r="I541" s="3">
        <v>990</v>
      </c>
      <c r="J541" s="4">
        <f>SUMIF(Cargas!$C$5:$C$3471,C541,Cargas!$O$5:$O$3471)</f>
        <v>0</v>
      </c>
      <c r="K541" s="18">
        <f t="shared" si="10"/>
        <v>990</v>
      </c>
      <c r="L541" s="5" t="s">
        <v>7659</v>
      </c>
      <c r="M541" s="37">
        <v>176148</v>
      </c>
    </row>
    <row r="542" spans="2:13" ht="13.5" hidden="1" customHeight="1" x14ac:dyDescent="0.25">
      <c r="B542" s="46">
        <v>44480</v>
      </c>
      <c r="C542" s="6" t="s">
        <v>7660</v>
      </c>
      <c r="D542" s="2" t="s">
        <v>7661</v>
      </c>
      <c r="E542" s="2" t="s">
        <v>7568</v>
      </c>
      <c r="F542" s="2"/>
      <c r="G542" s="2" t="s">
        <v>7569</v>
      </c>
      <c r="H542" s="2" t="s">
        <v>7570</v>
      </c>
      <c r="I542" s="3">
        <v>990</v>
      </c>
      <c r="J542" s="4">
        <f>SUMIF(Cargas!$C$5:$C$3471,C542,Cargas!$O$5:$O$3471)</f>
        <v>0</v>
      </c>
      <c r="K542" s="18">
        <f t="shared" si="10"/>
        <v>990</v>
      </c>
      <c r="L542" s="5" t="s">
        <v>7662</v>
      </c>
      <c r="M542" s="37">
        <v>179941</v>
      </c>
    </row>
    <row r="543" spans="2:13" ht="13.5" hidden="1" customHeight="1" x14ac:dyDescent="0.25">
      <c r="B543" s="46">
        <v>44480</v>
      </c>
      <c r="C543" s="6" t="s">
        <v>7663</v>
      </c>
      <c r="D543" s="2" t="s">
        <v>7664</v>
      </c>
      <c r="E543" s="2" t="s">
        <v>7568</v>
      </c>
      <c r="F543" s="2"/>
      <c r="G543" s="2" t="s">
        <v>7569</v>
      </c>
      <c r="H543" s="2" t="s">
        <v>7570</v>
      </c>
      <c r="I543" s="3">
        <v>990</v>
      </c>
      <c r="J543" s="4">
        <f>SUMIF(Cargas!$C$5:$C$3471,C543,Cargas!$O$5:$O$3471)</f>
        <v>0</v>
      </c>
      <c r="K543" s="18">
        <f t="shared" si="10"/>
        <v>990</v>
      </c>
      <c r="L543" s="5" t="s">
        <v>7665</v>
      </c>
      <c r="M543" s="37">
        <v>181010</v>
      </c>
    </row>
    <row r="544" spans="2:13" ht="13.5" hidden="1" customHeight="1" x14ac:dyDescent="0.25">
      <c r="B544" s="46">
        <v>44487</v>
      </c>
      <c r="C544" s="6" t="s">
        <v>7666</v>
      </c>
      <c r="D544" s="2" t="s">
        <v>7667</v>
      </c>
      <c r="E544" s="2" t="s">
        <v>7568</v>
      </c>
      <c r="F544" s="2"/>
      <c r="G544" s="2" t="s">
        <v>7569</v>
      </c>
      <c r="H544" s="2" t="s">
        <v>7570</v>
      </c>
      <c r="I544" s="3">
        <v>990</v>
      </c>
      <c r="J544" s="4">
        <f>SUMIF(Cargas!$C$5:$C$3471,C544,Cargas!$O$5:$O$3471)</f>
        <v>0</v>
      </c>
      <c r="K544" s="18">
        <f t="shared" si="10"/>
        <v>990</v>
      </c>
      <c r="L544" s="5" t="s">
        <v>7668</v>
      </c>
      <c r="M544" s="37">
        <v>186112</v>
      </c>
    </row>
    <row r="545" spans="2:13" ht="13.5" hidden="1" customHeight="1" x14ac:dyDescent="0.25">
      <c r="B545" s="46">
        <v>44494</v>
      </c>
      <c r="C545" s="6" t="s">
        <v>7669</v>
      </c>
      <c r="D545" s="2" t="s">
        <v>7670</v>
      </c>
      <c r="E545" s="2" t="s">
        <v>7568</v>
      </c>
      <c r="F545" s="2"/>
      <c r="G545" s="2" t="s">
        <v>7569</v>
      </c>
      <c r="H545" s="2" t="s">
        <v>7570</v>
      </c>
      <c r="I545" s="3">
        <v>990</v>
      </c>
      <c r="J545" s="4">
        <f>SUMIF(Cargas!$C$5:$C$3471,C545,Cargas!$O$5:$O$3471)</f>
        <v>0</v>
      </c>
      <c r="K545" s="18">
        <f t="shared" si="10"/>
        <v>990</v>
      </c>
      <c r="L545" s="5" t="s">
        <v>7671</v>
      </c>
      <c r="M545" s="37">
        <v>193097</v>
      </c>
    </row>
    <row r="546" spans="2:13" ht="13.5" hidden="1" customHeight="1" x14ac:dyDescent="0.25">
      <c r="B546" s="46">
        <v>44501</v>
      </c>
      <c r="C546" s="6" t="s">
        <v>7672</v>
      </c>
      <c r="D546" s="2" t="s">
        <v>7673</v>
      </c>
      <c r="E546" s="2" t="s">
        <v>7568</v>
      </c>
      <c r="F546" s="2"/>
      <c r="G546" s="2" t="s">
        <v>7569</v>
      </c>
      <c r="H546" s="2" t="s">
        <v>7570</v>
      </c>
      <c r="I546" s="3">
        <v>990</v>
      </c>
      <c r="J546" s="4">
        <f>SUMIF(Cargas!$C$5:$C$3471,C546,Cargas!$O$5:$O$3471)</f>
        <v>0</v>
      </c>
      <c r="K546" s="18">
        <f t="shared" si="10"/>
        <v>990</v>
      </c>
      <c r="L546" s="5" t="s">
        <v>7674</v>
      </c>
      <c r="M546" s="37">
        <v>196620</v>
      </c>
    </row>
    <row r="547" spans="2:13" ht="13.5" hidden="1" customHeight="1" x14ac:dyDescent="0.25">
      <c r="B547" s="46">
        <v>44777</v>
      </c>
      <c r="C547" s="6" t="s">
        <v>7675</v>
      </c>
      <c r="D547" s="2" t="s">
        <v>7257</v>
      </c>
      <c r="E547" s="2" t="s">
        <v>7284</v>
      </c>
      <c r="F547" s="2"/>
      <c r="G547" s="2" t="s">
        <v>6443</v>
      </c>
      <c r="H547" s="2" t="s">
        <v>6444</v>
      </c>
      <c r="I547" s="3">
        <v>2520</v>
      </c>
      <c r="J547" s="4">
        <f>SUMIF(Cargas!$C$5:$C$3470,C547,Cargas!$O$5:$O$3470)</f>
        <v>0</v>
      </c>
      <c r="K547" s="18">
        <f t="shared" si="10"/>
        <v>2520</v>
      </c>
      <c r="L547" s="5" t="s">
        <v>7676</v>
      </c>
      <c r="M547" s="37">
        <v>145796</v>
      </c>
    </row>
    <row r="548" spans="2:13" ht="13.5" hidden="1" customHeight="1" x14ac:dyDescent="0.25">
      <c r="B548" s="46">
        <v>44996</v>
      </c>
      <c r="C548" s="6" t="s">
        <v>7677</v>
      </c>
      <c r="D548" s="2" t="s">
        <v>6468</v>
      </c>
      <c r="E548" s="2" t="s">
        <v>6442</v>
      </c>
      <c r="F548" s="2"/>
      <c r="G548" s="2" t="s">
        <v>6443</v>
      </c>
      <c r="H548" s="2" t="s">
        <v>6444</v>
      </c>
      <c r="I548" s="3">
        <v>1104</v>
      </c>
      <c r="J548" s="4">
        <f>SUMIF(Cargas!$C$5:$C$3470,C548,Cargas!$O$5:$O$3470)</f>
        <v>0</v>
      </c>
      <c r="K548" s="18">
        <f t="shared" si="10"/>
        <v>1104</v>
      </c>
      <c r="L548" s="5" t="s">
        <v>7678</v>
      </c>
      <c r="M548" s="37">
        <v>50116</v>
      </c>
    </row>
    <row r="549" spans="2:13" ht="13.5" hidden="1" customHeight="1" x14ac:dyDescent="0.25">
      <c r="B549" s="46">
        <v>44566</v>
      </c>
      <c r="C549" s="6" t="s">
        <v>7679</v>
      </c>
      <c r="D549" s="2" t="s">
        <v>7680</v>
      </c>
      <c r="E549" s="2" t="s">
        <v>7681</v>
      </c>
      <c r="F549" s="2"/>
      <c r="G549" s="2" t="s">
        <v>6799</v>
      </c>
      <c r="H549" s="2" t="s">
        <v>6768</v>
      </c>
      <c r="I549" s="3">
        <v>1004</v>
      </c>
      <c r="J549" s="4">
        <f>SUMIF(Cargas!$C$5:$C$3471,C549,Cargas!$O$5:$O$3471)</f>
        <v>0</v>
      </c>
      <c r="K549" s="18">
        <f t="shared" si="10"/>
        <v>1004</v>
      </c>
      <c r="L549" s="5" t="s">
        <v>7682</v>
      </c>
      <c r="M549" s="37" t="s">
        <v>7683</v>
      </c>
    </row>
    <row r="550" spans="2:13" ht="13.5" hidden="1" customHeight="1" x14ac:dyDescent="0.25">
      <c r="B550" s="46">
        <v>45005</v>
      </c>
      <c r="C550" s="6" t="s">
        <v>7684</v>
      </c>
      <c r="D550" s="2" t="s">
        <v>6473</v>
      </c>
      <c r="E550" s="2" t="s">
        <v>6442</v>
      </c>
      <c r="F550" s="2"/>
      <c r="G550" s="2" t="s">
        <v>6443</v>
      </c>
      <c r="H550" s="2" t="s">
        <v>6444</v>
      </c>
      <c r="I550" s="3">
        <v>1104</v>
      </c>
      <c r="J550" s="4">
        <f>SUMIF(Cargas!$C$5:$C$3470,C550,Cargas!$O$5:$O$3470)</f>
        <v>0</v>
      </c>
      <c r="K550" s="18">
        <f t="shared" ref="K550:K613" si="11">IF(ABS(I550-J550)&lt;20,0,I550-J550)</f>
        <v>1104</v>
      </c>
      <c r="L550" s="5" t="s">
        <v>7685</v>
      </c>
      <c r="M550" s="37">
        <v>53675</v>
      </c>
    </row>
    <row r="551" spans="2:13" ht="13.5" hidden="1" customHeight="1" x14ac:dyDescent="0.25">
      <c r="B551" s="46">
        <v>44571</v>
      </c>
      <c r="C551" s="6" t="s">
        <v>7686</v>
      </c>
      <c r="D551" s="2" t="s">
        <v>7687</v>
      </c>
      <c r="E551" s="2" t="s">
        <v>7688</v>
      </c>
      <c r="F551" s="2"/>
      <c r="G551" s="2" t="s">
        <v>6799</v>
      </c>
      <c r="H551" s="2" t="s">
        <v>6768</v>
      </c>
      <c r="I551" s="3">
        <v>1845</v>
      </c>
      <c r="J551" s="4">
        <f>SUMIF(Cargas!$C$5:$C$3471,C551,Cargas!$O$5:$O$3471)</f>
        <v>0</v>
      </c>
      <c r="K551" s="18">
        <f t="shared" si="11"/>
        <v>1845</v>
      </c>
      <c r="L551" s="5" t="s">
        <v>7689</v>
      </c>
      <c r="M551" s="37">
        <v>6328</v>
      </c>
    </row>
    <row r="552" spans="2:13" ht="13.5" hidden="1" customHeight="1" x14ac:dyDescent="0.25">
      <c r="B552" s="46">
        <v>44573</v>
      </c>
      <c r="C552" s="6" t="s">
        <v>7690</v>
      </c>
      <c r="D552" s="2" t="s">
        <v>7160</v>
      </c>
      <c r="E552" s="2" t="s">
        <v>7688</v>
      </c>
      <c r="F552" s="2"/>
      <c r="G552" s="2" t="s">
        <v>6799</v>
      </c>
      <c r="H552" s="2" t="s">
        <v>6768</v>
      </c>
      <c r="I552" s="3">
        <v>1400</v>
      </c>
      <c r="J552" s="4">
        <f>SUMIF(Cargas!$C$5:$C$3471,C552,Cargas!$O$5:$O$3471)</f>
        <v>0</v>
      </c>
      <c r="K552" s="18">
        <f t="shared" si="11"/>
        <v>1400</v>
      </c>
      <c r="L552" s="5">
        <v>1419907</v>
      </c>
      <c r="M552" s="37">
        <v>6463</v>
      </c>
    </row>
    <row r="553" spans="2:13" ht="13.5" hidden="1" customHeight="1" x14ac:dyDescent="0.25">
      <c r="B553" s="46">
        <v>45005</v>
      </c>
      <c r="C553" s="6" t="s">
        <v>7691</v>
      </c>
      <c r="D553" s="2" t="s">
        <v>6473</v>
      </c>
      <c r="E553" s="2" t="s">
        <v>6442</v>
      </c>
      <c r="F553" s="2"/>
      <c r="G553" s="2" t="s">
        <v>6443</v>
      </c>
      <c r="H553" s="2" t="s">
        <v>6444</v>
      </c>
      <c r="I553" s="3">
        <v>1104</v>
      </c>
      <c r="J553" s="4">
        <f>SUMIF(Cargas!$C$5:$C$3470,C553,Cargas!$O$5:$O$3470)</f>
        <v>0</v>
      </c>
      <c r="K553" s="18">
        <f t="shared" si="11"/>
        <v>1104</v>
      </c>
      <c r="L553" s="5" t="s">
        <v>7685</v>
      </c>
      <c r="M553" s="37">
        <v>53675</v>
      </c>
    </row>
    <row r="554" spans="2:13" ht="13.5" hidden="1" customHeight="1" x14ac:dyDescent="0.25">
      <c r="B554" s="46">
        <v>44574</v>
      </c>
      <c r="C554" s="6" t="s">
        <v>7692</v>
      </c>
      <c r="D554" s="2" t="s">
        <v>7163</v>
      </c>
      <c r="E554" s="2" t="s">
        <v>6442</v>
      </c>
      <c r="F554" s="2"/>
      <c r="G554" s="2" t="s">
        <v>6799</v>
      </c>
      <c r="H554" s="2" t="s">
        <v>6444</v>
      </c>
      <c r="I554" s="3">
        <v>1620</v>
      </c>
      <c r="J554" s="4">
        <f>SUMIF(Cargas!$C$5:$C$3471,C554,Cargas!$O$5:$O$3471)</f>
        <v>0</v>
      </c>
      <c r="K554" s="18">
        <f t="shared" si="11"/>
        <v>1620</v>
      </c>
      <c r="L554" s="5"/>
      <c r="M554" s="37">
        <v>8922</v>
      </c>
    </row>
    <row r="555" spans="2:13" ht="13.5" hidden="1" customHeight="1" x14ac:dyDescent="0.25">
      <c r="B555" s="46">
        <v>45012</v>
      </c>
      <c r="C555" s="6" t="s">
        <v>7693</v>
      </c>
      <c r="D555" s="2" t="s">
        <v>6477</v>
      </c>
      <c r="E555" s="2" t="s">
        <v>6442</v>
      </c>
      <c r="F555" s="2"/>
      <c r="G555" s="2" t="s">
        <v>6443</v>
      </c>
      <c r="H555" s="2" t="s">
        <v>6444</v>
      </c>
      <c r="I555" s="3">
        <v>1104</v>
      </c>
      <c r="J555" s="4">
        <f>SUMIF(Cargas!$C$5:$C$3470,C555,Cargas!$O$5:$O$3470)</f>
        <v>0</v>
      </c>
      <c r="K555" s="18">
        <f t="shared" si="11"/>
        <v>1104</v>
      </c>
      <c r="L555" s="5" t="s">
        <v>7694</v>
      </c>
      <c r="M555" s="37">
        <v>57767</v>
      </c>
    </row>
    <row r="556" spans="2:13" ht="13.5" hidden="1" customHeight="1" x14ac:dyDescent="0.25">
      <c r="B556" s="46">
        <v>44579</v>
      </c>
      <c r="C556" s="6" t="s">
        <v>7695</v>
      </c>
      <c r="D556" s="2" t="s">
        <v>7166</v>
      </c>
      <c r="E556" s="2" t="s">
        <v>7303</v>
      </c>
      <c r="F556" s="2"/>
      <c r="G556" s="2" t="s">
        <v>6799</v>
      </c>
      <c r="H556" s="2" t="s">
        <v>6768</v>
      </c>
      <c r="I556" s="3">
        <v>1956</v>
      </c>
      <c r="J556" s="4">
        <f>SUMIF(Cargas!$C$5:$C$3471,C556,Cargas!$O$5:$O$3471)</f>
        <v>0</v>
      </c>
      <c r="K556" s="18">
        <f t="shared" si="11"/>
        <v>1956</v>
      </c>
      <c r="L556" s="5" t="s">
        <v>7696</v>
      </c>
      <c r="M556" s="37">
        <v>10785</v>
      </c>
    </row>
    <row r="557" spans="2:13" ht="13.5" hidden="1" customHeight="1" x14ac:dyDescent="0.25">
      <c r="B557" s="46">
        <v>45020</v>
      </c>
      <c r="C557" s="6" t="s">
        <v>7697</v>
      </c>
      <c r="D557" s="2" t="s">
        <v>6480</v>
      </c>
      <c r="E557" s="2" t="s">
        <v>6442</v>
      </c>
      <c r="F557" s="2"/>
      <c r="G557" s="2" t="s">
        <v>6443</v>
      </c>
      <c r="H557" s="2" t="s">
        <v>6444</v>
      </c>
      <c r="I557" s="3">
        <v>1104</v>
      </c>
      <c r="J557" s="4">
        <f>SUMIF(Cargas!$C$5:$C$3470,C557,Cargas!$O$5:$O$3470)</f>
        <v>0</v>
      </c>
      <c r="K557" s="18">
        <f t="shared" si="11"/>
        <v>1104</v>
      </c>
      <c r="L557" s="5" t="s">
        <v>7698</v>
      </c>
      <c r="M557" s="37">
        <v>63312</v>
      </c>
    </row>
    <row r="558" spans="2:13" ht="13.5" hidden="1" customHeight="1" x14ac:dyDescent="0.25">
      <c r="B558" s="46">
        <v>44588</v>
      </c>
      <c r="C558" s="6" t="s">
        <v>7699</v>
      </c>
      <c r="D558" s="2" t="s">
        <v>7169</v>
      </c>
      <c r="E558" s="2" t="s">
        <v>7303</v>
      </c>
      <c r="F558" s="2"/>
      <c r="G558" s="2" t="s">
        <v>6799</v>
      </c>
      <c r="H558" s="2" t="s">
        <v>6768</v>
      </c>
      <c r="I558" s="3">
        <v>1792</v>
      </c>
      <c r="J558" s="4">
        <f>SUMIF(Cargas!$C$5:$C$3471,C558,Cargas!$O$5:$O$3471)</f>
        <v>0</v>
      </c>
      <c r="K558" s="18">
        <f t="shared" si="11"/>
        <v>1792</v>
      </c>
      <c r="L558" s="5" t="s">
        <v>7700</v>
      </c>
      <c r="M558" s="37">
        <v>17225</v>
      </c>
    </row>
    <row r="559" spans="2:13" ht="13.5" hidden="1" customHeight="1" x14ac:dyDescent="0.25">
      <c r="B559" s="46">
        <v>45022</v>
      </c>
      <c r="C559" s="6" t="s">
        <v>7701</v>
      </c>
      <c r="D559" s="2" t="s">
        <v>6483</v>
      </c>
      <c r="E559" s="2" t="s">
        <v>6442</v>
      </c>
      <c r="F559" s="2"/>
      <c r="G559" s="2" t="s">
        <v>6443</v>
      </c>
      <c r="H559" s="2" t="s">
        <v>6444</v>
      </c>
      <c r="I559" s="3">
        <v>1104</v>
      </c>
      <c r="J559" s="4">
        <f>SUMIF(Cargas!$C$5:$C$3470,C559,Cargas!$O$5:$O$3470)</f>
        <v>0</v>
      </c>
      <c r="K559" s="18">
        <f t="shared" si="11"/>
        <v>1104</v>
      </c>
      <c r="L559" s="5" t="s">
        <v>7702</v>
      </c>
      <c r="M559" s="37">
        <v>66621</v>
      </c>
    </row>
    <row r="560" spans="2:13" ht="13.5" hidden="1" customHeight="1" x14ac:dyDescent="0.25">
      <c r="B560" s="46">
        <v>44818</v>
      </c>
      <c r="C560" s="6" t="s">
        <v>7703</v>
      </c>
      <c r="D560" s="2" t="s">
        <v>7283</v>
      </c>
      <c r="E560" s="2" t="s">
        <v>7284</v>
      </c>
      <c r="F560" s="2"/>
      <c r="G560" s="2" t="s">
        <v>6443</v>
      </c>
      <c r="H560" s="2" t="s">
        <v>6444</v>
      </c>
      <c r="I560" s="3">
        <v>2520</v>
      </c>
      <c r="J560" s="4">
        <f>SUMIF(Cargas!$C$5:$C$3470,C560,Cargas!$O$5:$O$3470)</f>
        <v>0</v>
      </c>
      <c r="K560" s="18">
        <f t="shared" si="11"/>
        <v>2520</v>
      </c>
      <c r="L560" s="5"/>
      <c r="M560" s="37">
        <v>173656</v>
      </c>
    </row>
    <row r="561" spans="2:13" ht="13.5" hidden="1" customHeight="1" x14ac:dyDescent="0.25">
      <c r="B561" s="46">
        <v>44600</v>
      </c>
      <c r="C561" s="6" t="s">
        <v>7704</v>
      </c>
      <c r="D561" s="2" t="s">
        <v>7705</v>
      </c>
      <c r="E561" s="2" t="s">
        <v>7303</v>
      </c>
      <c r="F561" s="2"/>
      <c r="G561" s="2" t="s">
        <v>6443</v>
      </c>
      <c r="H561" s="2" t="s">
        <v>6768</v>
      </c>
      <c r="I561" s="3">
        <v>1540</v>
      </c>
      <c r="J561" s="4">
        <f>SUMIF(Cargas!$C$5:$C$3470,C561,Cargas!$O$5:$O$3470)</f>
        <v>0</v>
      </c>
      <c r="K561" s="18">
        <f t="shared" si="11"/>
        <v>1540</v>
      </c>
      <c r="L561" s="5" t="s">
        <v>7706</v>
      </c>
      <c r="M561" s="37">
        <v>25158</v>
      </c>
    </row>
    <row r="562" spans="2:13" ht="13.5" hidden="1" customHeight="1" x14ac:dyDescent="0.25">
      <c r="B562" s="46">
        <v>45036</v>
      </c>
      <c r="C562" s="6" t="s">
        <v>7707</v>
      </c>
      <c r="D562" s="2" t="s">
        <v>6487</v>
      </c>
      <c r="E562" s="2" t="s">
        <v>6442</v>
      </c>
      <c r="F562" s="2"/>
      <c r="G562" s="2" t="s">
        <v>6443</v>
      </c>
      <c r="H562" s="2" t="s">
        <v>6444</v>
      </c>
      <c r="I562" s="3">
        <v>1104</v>
      </c>
      <c r="J562" s="4">
        <f>SUMIF(Cargas!$C$5:$C$3470,C562,Cargas!$O$5:$O$3470)</f>
        <v>0</v>
      </c>
      <c r="K562" s="18">
        <f t="shared" si="11"/>
        <v>1104</v>
      </c>
      <c r="L562" s="5" t="s">
        <v>7708</v>
      </c>
      <c r="M562" s="37">
        <v>74703</v>
      </c>
    </row>
    <row r="563" spans="2:13" ht="13.5" hidden="1" customHeight="1" x14ac:dyDescent="0.25">
      <c r="B563" s="46">
        <v>44610</v>
      </c>
      <c r="C563" s="6" t="s">
        <v>7709</v>
      </c>
      <c r="D563" s="2" t="s">
        <v>7172</v>
      </c>
      <c r="E563" s="2" t="s">
        <v>7303</v>
      </c>
      <c r="F563" s="2"/>
      <c r="G563" s="2" t="s">
        <v>6443</v>
      </c>
      <c r="H563" s="2" t="s">
        <v>6768</v>
      </c>
      <c r="I563" s="3">
        <v>1872</v>
      </c>
      <c r="J563" s="4">
        <f>SUMIF(Cargas!$C$5:$C$3470,C563,Cargas!$O$5:$O$3470)</f>
        <v>0</v>
      </c>
      <c r="K563" s="18">
        <f t="shared" si="11"/>
        <v>1872</v>
      </c>
      <c r="L563" s="5" t="s">
        <v>7710</v>
      </c>
      <c r="M563" s="37">
        <v>31258</v>
      </c>
    </row>
    <row r="564" spans="2:13" ht="13.5" hidden="1" customHeight="1" x14ac:dyDescent="0.25">
      <c r="B564" s="46">
        <v>44994</v>
      </c>
      <c r="C564" s="6" t="s">
        <v>7711</v>
      </c>
      <c r="D564" s="2" t="s">
        <v>7238</v>
      </c>
      <c r="E564" s="2" t="s">
        <v>6442</v>
      </c>
      <c r="F564" s="2"/>
      <c r="G564" s="2" t="s">
        <v>6443</v>
      </c>
      <c r="H564" s="2" t="s">
        <v>6444</v>
      </c>
      <c r="I564" s="3">
        <v>1512</v>
      </c>
      <c r="J564" s="4">
        <f>SUMIF(Cargas!$C$5:$C$3470,C564,Cargas!$O$5:$O$3470)</f>
        <v>0</v>
      </c>
      <c r="K564" s="18">
        <f t="shared" si="11"/>
        <v>1512</v>
      </c>
      <c r="L564" s="5" t="s">
        <v>7712</v>
      </c>
      <c r="M564" s="37">
        <v>49668</v>
      </c>
    </row>
    <row r="565" spans="2:13" ht="13.5" hidden="1" customHeight="1" x14ac:dyDescent="0.25">
      <c r="B565" s="46">
        <v>45058</v>
      </c>
      <c r="C565" s="6" t="s">
        <v>7713</v>
      </c>
      <c r="D565" s="2" t="s">
        <v>7714</v>
      </c>
      <c r="E565" s="2" t="s">
        <v>6442</v>
      </c>
      <c r="F565" s="2"/>
      <c r="G565" s="2" t="s">
        <v>6443</v>
      </c>
      <c r="H565" s="2" t="s">
        <v>6444</v>
      </c>
      <c r="I565" s="3">
        <v>1864</v>
      </c>
      <c r="J565" s="4">
        <f>SUMIF(Cargas!$C$5:$C$3470,C565,Cargas!$O$5:$O$3470)</f>
        <v>0</v>
      </c>
      <c r="K565" s="18">
        <f t="shared" si="11"/>
        <v>1864</v>
      </c>
      <c r="L565" s="5" t="s">
        <v>7715</v>
      </c>
      <c r="M565" s="37">
        <v>89873</v>
      </c>
    </row>
    <row r="566" spans="2:13" ht="13.5" hidden="1" customHeight="1" x14ac:dyDescent="0.25">
      <c r="B566" s="46">
        <v>45085</v>
      </c>
      <c r="C566" s="6" t="s">
        <v>7716</v>
      </c>
      <c r="D566" s="2" t="s">
        <v>7280</v>
      </c>
      <c r="E566" s="2" t="s">
        <v>6442</v>
      </c>
      <c r="F566" s="2"/>
      <c r="G566" s="2" t="s">
        <v>6443</v>
      </c>
      <c r="H566" s="2" t="s">
        <v>6444</v>
      </c>
      <c r="I566" s="3">
        <v>1576</v>
      </c>
      <c r="J566" s="4">
        <f>SUMIF(Cargas!$C$5:$C$3470,C566,Cargas!$O$5:$O$3470)</f>
        <v>0</v>
      </c>
      <c r="K566" s="18">
        <f t="shared" si="11"/>
        <v>1576</v>
      </c>
      <c r="L566" s="5"/>
      <c r="M566" s="37">
        <v>109705</v>
      </c>
    </row>
    <row r="567" spans="2:13" ht="13.5" hidden="1" customHeight="1" x14ac:dyDescent="0.25">
      <c r="B567" s="46">
        <v>45162</v>
      </c>
      <c r="C567" s="6" t="s">
        <v>7717</v>
      </c>
      <c r="D567" s="2" t="s">
        <v>7302</v>
      </c>
      <c r="E567" s="2" t="s">
        <v>6442</v>
      </c>
      <c r="F567" s="2"/>
      <c r="G567" s="2" t="s">
        <v>6443</v>
      </c>
      <c r="H567" s="2" t="s">
        <v>6444</v>
      </c>
      <c r="I567" s="3">
        <v>2030</v>
      </c>
      <c r="J567" s="4">
        <f>SUMIF(Cargas!$C$5:$C$3470,C567,Cargas!$O$5:$O$3470)</f>
        <v>0</v>
      </c>
      <c r="K567" s="18">
        <f t="shared" si="11"/>
        <v>2030</v>
      </c>
      <c r="L567" s="5"/>
      <c r="M567" s="37">
        <v>162672</v>
      </c>
    </row>
    <row r="568" spans="2:13" ht="13.5" hidden="1" customHeight="1" x14ac:dyDescent="0.25">
      <c r="B568" s="46">
        <v>44612</v>
      </c>
      <c r="C568" s="6" t="s">
        <v>7718</v>
      </c>
      <c r="D568" s="2" t="s">
        <v>7175</v>
      </c>
      <c r="E568" s="2" t="s">
        <v>7303</v>
      </c>
      <c r="F568" s="2"/>
      <c r="G568" s="2" t="s">
        <v>6443</v>
      </c>
      <c r="H568" s="2" t="s">
        <v>6455</v>
      </c>
      <c r="I568" s="3">
        <v>1176</v>
      </c>
      <c r="J568" s="4">
        <f>SUMIF(Cargas!$C$5:$C$3470,C568,Cargas!$O$5:$O$3470)</f>
        <v>0</v>
      </c>
      <c r="K568" s="18">
        <f t="shared" si="11"/>
        <v>1176</v>
      </c>
      <c r="L568" s="5" t="s">
        <v>7719</v>
      </c>
      <c r="M568" s="37">
        <v>31260</v>
      </c>
    </row>
    <row r="569" spans="2:13" ht="13.5" hidden="1" customHeight="1" x14ac:dyDescent="0.25">
      <c r="B569" s="46">
        <v>45104</v>
      </c>
      <c r="C569" s="6" t="s">
        <v>7720</v>
      </c>
      <c r="D569" s="2" t="s">
        <v>7721</v>
      </c>
      <c r="E569" s="2" t="s">
        <v>7722</v>
      </c>
      <c r="F569" s="2"/>
      <c r="G569" s="2" t="s">
        <v>6443</v>
      </c>
      <c r="H569" s="2" t="s">
        <v>7722</v>
      </c>
      <c r="I569" s="3">
        <v>900</v>
      </c>
      <c r="J569" s="4">
        <f>SUMIF(Cargas!$C$5:$C$3470,C569,Cargas!$O$5:$O$3470)</f>
        <v>0</v>
      </c>
      <c r="K569" s="18">
        <f t="shared" si="11"/>
        <v>900</v>
      </c>
      <c r="L569" s="5"/>
      <c r="M569" s="37">
        <v>119455</v>
      </c>
    </row>
    <row r="570" spans="2:13" ht="13.5" hidden="1" customHeight="1" x14ac:dyDescent="0.25">
      <c r="B570" s="46">
        <v>44615</v>
      </c>
      <c r="C570" s="6" t="s">
        <v>7723</v>
      </c>
      <c r="D570" s="2" t="s">
        <v>7178</v>
      </c>
      <c r="E570" s="2" t="s">
        <v>7303</v>
      </c>
      <c r="F570" s="2"/>
      <c r="G570" s="2" t="s">
        <v>6443</v>
      </c>
      <c r="H570" s="2" t="s">
        <v>6768</v>
      </c>
      <c r="I570" s="3">
        <v>1976</v>
      </c>
      <c r="J570" s="4">
        <f>SUMIF(Cargas!$C$5:$C$3470,C570,Cargas!$O$5:$O$3470)</f>
        <v>0</v>
      </c>
      <c r="K570" s="18">
        <f t="shared" si="11"/>
        <v>1976</v>
      </c>
      <c r="L570" s="5" t="s">
        <v>7724</v>
      </c>
      <c r="M570" s="37">
        <v>31260</v>
      </c>
    </row>
    <row r="571" spans="2:13" ht="13.5" hidden="1" customHeight="1" x14ac:dyDescent="0.25">
      <c r="B571" s="46">
        <v>44953</v>
      </c>
      <c r="C571" s="6" t="s">
        <v>7725</v>
      </c>
      <c r="D571" s="2" t="s">
        <v>7169</v>
      </c>
      <c r="E571" s="2" t="s">
        <v>2805</v>
      </c>
      <c r="F571" s="2"/>
      <c r="G571" s="2" t="s">
        <v>6443</v>
      </c>
      <c r="H571" s="2" t="s">
        <v>7726</v>
      </c>
      <c r="I571" s="3">
        <v>1219</v>
      </c>
      <c r="J571" s="4">
        <f>SUMIF(Cargas!$C$5:$C$3470,C571,Cargas!$O$5:$O$3470)</f>
        <v>0</v>
      </c>
      <c r="K571" s="18">
        <f t="shared" si="11"/>
        <v>1219</v>
      </c>
      <c r="L571" s="5" t="s">
        <v>7727</v>
      </c>
      <c r="M571" s="37"/>
    </row>
    <row r="572" spans="2:13" ht="13.5" hidden="1" customHeight="1" x14ac:dyDescent="0.25">
      <c r="B572" s="46">
        <v>44959</v>
      </c>
      <c r="C572" s="6" t="s">
        <v>7728</v>
      </c>
      <c r="D572" s="2" t="s">
        <v>7705</v>
      </c>
      <c r="E572" s="2" t="s">
        <v>2805</v>
      </c>
      <c r="F572" s="2"/>
      <c r="G572" s="2" t="s">
        <v>6443</v>
      </c>
      <c r="H572" s="2" t="s">
        <v>7726</v>
      </c>
      <c r="I572" s="3">
        <v>1219</v>
      </c>
      <c r="J572" s="4">
        <f>SUMIF(Cargas!$C$5:$C$3470,C572,Cargas!$O$5:$O$3470)</f>
        <v>0</v>
      </c>
      <c r="K572" s="18">
        <f t="shared" si="11"/>
        <v>1219</v>
      </c>
      <c r="L572" s="5" t="s">
        <v>7729</v>
      </c>
      <c r="M572" s="37">
        <v>23518</v>
      </c>
    </row>
    <row r="573" spans="2:13" ht="13.5" hidden="1" customHeight="1" x14ac:dyDescent="0.25">
      <c r="B573" s="171">
        <v>44950</v>
      </c>
      <c r="C573" s="172" t="s">
        <v>7730</v>
      </c>
      <c r="D573" s="173" t="s">
        <v>7731</v>
      </c>
      <c r="E573" s="173" t="s">
        <v>2805</v>
      </c>
      <c r="F573" s="173"/>
      <c r="G573" s="173" t="s">
        <v>6443</v>
      </c>
      <c r="H573" s="173" t="s">
        <v>7726</v>
      </c>
      <c r="I573" s="174">
        <v>900</v>
      </c>
      <c r="J573" s="4">
        <f>SUMIF(Cargas!$C$5:$C$3470,C573,Cargas!$O$5:$O$3470)</f>
        <v>0</v>
      </c>
      <c r="K573" s="175">
        <f t="shared" si="11"/>
        <v>900</v>
      </c>
      <c r="L573" s="176" t="s">
        <v>7732</v>
      </c>
      <c r="M573" s="177"/>
    </row>
    <row r="574" spans="2:13" ht="13.5" hidden="1" customHeight="1" x14ac:dyDescent="0.25">
      <c r="B574" s="171">
        <v>44956</v>
      </c>
      <c r="C574" s="172" t="s">
        <v>7733</v>
      </c>
      <c r="D574" s="173" t="s">
        <v>7734</v>
      </c>
      <c r="E574" s="173" t="s">
        <v>2805</v>
      </c>
      <c r="F574" s="173"/>
      <c r="G574" s="173" t="s">
        <v>6443</v>
      </c>
      <c r="H574" s="173" t="s">
        <v>7726</v>
      </c>
      <c r="I574" s="174">
        <v>900</v>
      </c>
      <c r="J574" s="4">
        <f>SUMIF(Cargas!$C$5:$C$3470,C574,Cargas!$O$5:$O$3470)</f>
        <v>0</v>
      </c>
      <c r="K574" s="175">
        <f t="shared" si="11"/>
        <v>900</v>
      </c>
      <c r="L574" s="176" t="s">
        <v>7735</v>
      </c>
      <c r="M574" s="177">
        <v>21862</v>
      </c>
    </row>
    <row r="575" spans="2:13" ht="13.5" hidden="1" customHeight="1" x14ac:dyDescent="0.25">
      <c r="B575" s="178">
        <v>44960</v>
      </c>
      <c r="C575" s="179" t="s">
        <v>7736</v>
      </c>
      <c r="D575" s="180" t="s">
        <v>7737</v>
      </c>
      <c r="E575" s="180" t="s">
        <v>2805</v>
      </c>
      <c r="F575" s="180"/>
      <c r="G575" s="180" t="s">
        <v>6443</v>
      </c>
      <c r="H575" s="180" t="s">
        <v>7726</v>
      </c>
      <c r="I575" s="181">
        <v>900</v>
      </c>
      <c r="J575" s="182">
        <f>SUMIF(Cargas!$C$5:$C$3470,C575,Cargas!$O$5:$O$3470)</f>
        <v>0</v>
      </c>
      <c r="K575" s="183">
        <f t="shared" si="11"/>
        <v>900</v>
      </c>
      <c r="L575" s="184" t="s">
        <v>7738</v>
      </c>
      <c r="M575" s="185">
        <v>22673</v>
      </c>
    </row>
    <row r="576" spans="2:13" ht="13.5" hidden="1" customHeight="1" x14ac:dyDescent="0.25">
      <c r="B576" s="46">
        <v>44929</v>
      </c>
      <c r="C576" s="6" t="s">
        <v>7739</v>
      </c>
      <c r="D576" s="2" t="s">
        <v>7148</v>
      </c>
      <c r="E576" s="2" t="s">
        <v>2805</v>
      </c>
      <c r="F576" s="2"/>
      <c r="G576" s="2" t="s">
        <v>6443</v>
      </c>
      <c r="H576" s="2" t="s">
        <v>7381</v>
      </c>
      <c r="I576" s="3">
        <v>1180</v>
      </c>
      <c r="J576" s="4">
        <f>SUMIF(Cargas!$C$5:$C$3470,C576,Cargas!$O$5:$O$3470)</f>
        <v>0</v>
      </c>
      <c r="K576" s="18">
        <f t="shared" si="11"/>
        <v>1180</v>
      </c>
      <c r="L576" s="5" t="s">
        <v>7740</v>
      </c>
      <c r="M576" s="37">
        <v>3030</v>
      </c>
    </row>
    <row r="577" spans="2:13" ht="13.5" hidden="1" customHeight="1" x14ac:dyDescent="0.25">
      <c r="B577" s="46">
        <v>44937</v>
      </c>
      <c r="C577" s="6" t="s">
        <v>7741</v>
      </c>
      <c r="D577" s="2" t="s">
        <v>7160</v>
      </c>
      <c r="E577" s="2" t="s">
        <v>2805</v>
      </c>
      <c r="F577" s="2"/>
      <c r="G577" s="2" t="s">
        <v>6443</v>
      </c>
      <c r="H577" s="2" t="s">
        <v>7381</v>
      </c>
      <c r="I577" s="3">
        <v>1179</v>
      </c>
      <c r="J577" s="4">
        <f>SUMIF(Cargas!$C$5:$C$3470,C577,Cargas!$O$5:$O$3470)</f>
        <v>0</v>
      </c>
      <c r="K577" s="18">
        <f t="shared" si="11"/>
        <v>1179</v>
      </c>
      <c r="L577" s="5" t="s">
        <v>7742</v>
      </c>
      <c r="M577" s="37">
        <v>8583</v>
      </c>
    </row>
    <row r="578" spans="2:13" ht="13.5" hidden="1" customHeight="1" x14ac:dyDescent="0.25">
      <c r="B578" s="46">
        <v>44930</v>
      </c>
      <c r="C578" s="6" t="s">
        <v>7743</v>
      </c>
      <c r="D578" s="2" t="s">
        <v>7744</v>
      </c>
      <c r="E578" s="2" t="s">
        <v>2805</v>
      </c>
      <c r="F578" s="2"/>
      <c r="G578" s="2" t="s">
        <v>6443</v>
      </c>
      <c r="H578" s="2" t="s">
        <v>7381</v>
      </c>
      <c r="I578" s="3">
        <v>900</v>
      </c>
      <c r="J578" s="4">
        <f>SUMIF(Cargas!$C$5:$C$3470,C578,Cargas!$O$5:$O$3470)</f>
        <v>0</v>
      </c>
      <c r="K578" s="18">
        <f t="shared" si="11"/>
        <v>900</v>
      </c>
      <c r="L578" s="5" t="s">
        <v>7745</v>
      </c>
      <c r="M578" s="37">
        <v>3137</v>
      </c>
    </row>
    <row r="579" spans="2:13" ht="13.5" hidden="1" customHeight="1" x14ac:dyDescent="0.25">
      <c r="B579" s="178">
        <v>44964</v>
      </c>
      <c r="C579" s="179" t="s">
        <v>7746</v>
      </c>
      <c r="D579" s="180" t="s">
        <v>7747</v>
      </c>
      <c r="E579" s="180" t="s">
        <v>2805</v>
      </c>
      <c r="F579" s="180"/>
      <c r="G579" s="180" t="s">
        <v>6443</v>
      </c>
      <c r="H579" s="180" t="s">
        <v>6768</v>
      </c>
      <c r="I579" s="181">
        <v>900</v>
      </c>
      <c r="J579" s="182">
        <f>SUMIF(Cargas!$C$5:$C$3470,C579,Cargas!$O$5:$O$3470)</f>
        <v>0</v>
      </c>
      <c r="K579" s="183">
        <f t="shared" si="11"/>
        <v>900</v>
      </c>
      <c r="L579" s="184" t="s">
        <v>7748</v>
      </c>
      <c r="M579" s="185">
        <v>27857</v>
      </c>
    </row>
    <row r="580" spans="2:13" ht="13.5" hidden="1" customHeight="1" x14ac:dyDescent="0.25">
      <c r="B580" s="46">
        <v>44943</v>
      </c>
      <c r="C580" s="6" t="s">
        <v>7749</v>
      </c>
      <c r="D580" s="2" t="s">
        <v>7750</v>
      </c>
      <c r="E580" s="2" t="s">
        <v>2805</v>
      </c>
      <c r="F580" s="2"/>
      <c r="G580" s="2" t="s">
        <v>6443</v>
      </c>
      <c r="H580" s="2"/>
      <c r="I580" s="186">
        <v>900</v>
      </c>
      <c r="J580" s="4">
        <f>SUMIF(Cargas!$C$5:$C$3470,C580,Cargas!$O$5:$O$3470)</f>
        <v>0</v>
      </c>
      <c r="K580" s="187">
        <f t="shared" si="11"/>
        <v>900</v>
      </c>
      <c r="L580" s="188" t="s">
        <v>7751</v>
      </c>
      <c r="M580" s="37">
        <v>10744</v>
      </c>
    </row>
    <row r="581" spans="2:13" ht="13.5" hidden="1" customHeight="1" x14ac:dyDescent="0.25">
      <c r="B581" s="46">
        <v>44945</v>
      </c>
      <c r="C581" s="6" t="s">
        <v>7752</v>
      </c>
      <c r="D581" s="2" t="s">
        <v>7753</v>
      </c>
      <c r="E581" s="2" t="s">
        <v>2805</v>
      </c>
      <c r="F581" s="2"/>
      <c r="G581" s="2" t="s">
        <v>6443</v>
      </c>
      <c r="H581" s="2"/>
      <c r="I581" s="186">
        <v>900</v>
      </c>
      <c r="J581" s="4">
        <f>SUMIF(Cargas!$C$5:$C$3470,C581,Cargas!$O$5:$O$3470)</f>
        <v>0</v>
      </c>
      <c r="K581" s="187">
        <f t="shared" si="11"/>
        <v>900</v>
      </c>
      <c r="L581" s="5" t="s">
        <v>7754</v>
      </c>
      <c r="M581" s="37">
        <v>12168</v>
      </c>
    </row>
    <row r="582" spans="2:13" ht="13.5" hidden="1" customHeight="1" x14ac:dyDescent="0.25">
      <c r="B582" s="46">
        <v>45045</v>
      </c>
      <c r="C582" s="6" t="s">
        <v>7755</v>
      </c>
      <c r="D582" s="2" t="s">
        <v>7257</v>
      </c>
      <c r="E582" s="2" t="s">
        <v>7756</v>
      </c>
      <c r="F582" s="2"/>
      <c r="G582" s="2" t="s">
        <v>6443</v>
      </c>
      <c r="H582" s="2" t="s">
        <v>7756</v>
      </c>
      <c r="I582" s="3">
        <v>1210</v>
      </c>
      <c r="J582" s="4">
        <f>SUMIF(Cargas!$C$5:$C$3470,C582,Cargas!$O$5:$O$3470)</f>
        <v>0</v>
      </c>
      <c r="K582" s="18">
        <f t="shared" si="11"/>
        <v>1210</v>
      </c>
      <c r="L582" s="5" t="s">
        <v>7757</v>
      </c>
      <c r="M582" s="37">
        <v>78674</v>
      </c>
    </row>
    <row r="583" spans="2:13" ht="13.5" hidden="1" customHeight="1" x14ac:dyDescent="0.25">
      <c r="B583" s="46">
        <v>45069</v>
      </c>
      <c r="C583" s="6" t="s">
        <v>7758</v>
      </c>
      <c r="D583" s="2" t="s">
        <v>7759</v>
      </c>
      <c r="E583" s="2" t="s">
        <v>7756</v>
      </c>
      <c r="F583" s="2"/>
      <c r="G583" s="2" t="s">
        <v>6443</v>
      </c>
      <c r="H583" s="2" t="s">
        <v>7756</v>
      </c>
      <c r="I583" s="3">
        <v>1554</v>
      </c>
      <c r="J583" s="4">
        <f>SUMIF(Cargas!$C$5:$C$3470,C583,Cargas!$O$5:$O$3470)</f>
        <v>0</v>
      </c>
      <c r="K583" s="18">
        <f t="shared" si="11"/>
        <v>1554</v>
      </c>
      <c r="L583" s="5" t="s">
        <v>7760</v>
      </c>
      <c r="M583" s="37">
        <v>94342</v>
      </c>
    </row>
    <row r="584" spans="2:13" ht="13.5" hidden="1" customHeight="1" x14ac:dyDescent="0.25">
      <c r="B584" s="46">
        <v>44615</v>
      </c>
      <c r="C584" s="6" t="s">
        <v>7761</v>
      </c>
      <c r="D584" s="2" t="s">
        <v>7181</v>
      </c>
      <c r="E584" s="2" t="s">
        <v>7303</v>
      </c>
      <c r="F584" s="2"/>
      <c r="G584" s="2" t="s">
        <v>6443</v>
      </c>
      <c r="H584" s="2" t="s">
        <v>6444</v>
      </c>
      <c r="I584" s="3">
        <v>1176</v>
      </c>
      <c r="J584" s="4">
        <f>SUMIF(Cargas!$C$5:$C$3470,C584,Cargas!$O$5:$O$3470)</f>
        <v>0</v>
      </c>
      <c r="K584" s="18">
        <f t="shared" si="11"/>
        <v>1176</v>
      </c>
      <c r="L584" s="5" t="s">
        <v>7762</v>
      </c>
      <c r="M584" s="37">
        <v>35299</v>
      </c>
    </row>
    <row r="585" spans="2:13" ht="13.5" hidden="1" customHeight="1" x14ac:dyDescent="0.25">
      <c r="B585" s="46">
        <v>44837</v>
      </c>
      <c r="C585" s="6" t="s">
        <v>7763</v>
      </c>
      <c r="D585" s="2" t="s">
        <v>6950</v>
      </c>
      <c r="E585" s="2" t="s">
        <v>6764</v>
      </c>
      <c r="F585" s="2"/>
      <c r="G585" s="2" t="s">
        <v>6443</v>
      </c>
      <c r="H585" s="2" t="s">
        <v>6768</v>
      </c>
      <c r="I585" s="3">
        <v>9180</v>
      </c>
      <c r="J585" s="4">
        <f>SUMIF(Cargas!$C$5:$C$3471,C585,Cargas!$O$5:$O$3471)</f>
        <v>0</v>
      </c>
      <c r="K585" s="18">
        <f t="shared" si="11"/>
        <v>9180</v>
      </c>
      <c r="L585" s="5" t="s">
        <v>7764</v>
      </c>
      <c r="M585" s="37">
        <v>184054</v>
      </c>
    </row>
    <row r="586" spans="2:13" ht="13.5" hidden="1" customHeight="1" x14ac:dyDescent="0.25">
      <c r="B586" s="46">
        <v>44851</v>
      </c>
      <c r="C586" s="6" t="s">
        <v>7765</v>
      </c>
      <c r="D586" s="2" t="s">
        <v>6953</v>
      </c>
      <c r="E586" s="2" t="s">
        <v>6764</v>
      </c>
      <c r="F586" s="2"/>
      <c r="G586" s="2" t="s">
        <v>6443</v>
      </c>
      <c r="H586" s="2" t="s">
        <v>6963</v>
      </c>
      <c r="I586" s="3">
        <v>4032</v>
      </c>
      <c r="J586" s="4">
        <f>SUMIF(Cargas!$C$5:$C$3471,C586,Cargas!$O$5:$O$3471)</f>
        <v>0</v>
      </c>
      <c r="K586" s="18">
        <f t="shared" si="11"/>
        <v>4032</v>
      </c>
      <c r="L586" s="5" t="s">
        <v>7766</v>
      </c>
      <c r="M586" s="37">
        <v>193858</v>
      </c>
    </row>
    <row r="587" spans="2:13" ht="13.5" hidden="1" customHeight="1" x14ac:dyDescent="0.25">
      <c r="B587" s="46">
        <v>44855</v>
      </c>
      <c r="C587" s="6" t="s">
        <v>7767</v>
      </c>
      <c r="D587" s="2" t="s">
        <v>6956</v>
      </c>
      <c r="E587" s="2" t="s">
        <v>6764</v>
      </c>
      <c r="F587" s="2"/>
      <c r="G587" s="2" t="s">
        <v>6443</v>
      </c>
      <c r="H587" s="2" t="s">
        <v>6768</v>
      </c>
      <c r="I587" s="3">
        <v>9180</v>
      </c>
      <c r="J587" s="4">
        <f>SUMIF(Cargas!$C$5:$C$3471,C587,Cargas!$O$5:$O$3471)</f>
        <v>0</v>
      </c>
      <c r="K587" s="18">
        <f t="shared" si="11"/>
        <v>9180</v>
      </c>
      <c r="L587" s="5" t="s">
        <v>7768</v>
      </c>
      <c r="M587" s="37">
        <v>198152</v>
      </c>
    </row>
    <row r="588" spans="2:13" ht="13.5" hidden="1" customHeight="1" x14ac:dyDescent="0.25">
      <c r="B588" s="46">
        <v>45089</v>
      </c>
      <c r="C588" s="6" t="s">
        <v>7769</v>
      </c>
      <c r="D588" s="2" t="s">
        <v>7770</v>
      </c>
      <c r="E588" s="2" t="s">
        <v>7756</v>
      </c>
      <c r="F588" s="2"/>
      <c r="G588" s="2" t="s">
        <v>6443</v>
      </c>
      <c r="H588" s="2" t="s">
        <v>7756</v>
      </c>
      <c r="I588" s="3">
        <v>1622</v>
      </c>
      <c r="J588" s="4">
        <f>SUMIF(Cargas!$C$5:$C$3470,C588,Cargas!$O$5:$O$3470)</f>
        <v>0</v>
      </c>
      <c r="K588" s="18">
        <f t="shared" si="11"/>
        <v>1622</v>
      </c>
      <c r="L588" s="5"/>
      <c r="M588" s="37">
        <v>108466</v>
      </c>
    </row>
    <row r="589" spans="2:13" ht="13.5" hidden="1" customHeight="1" x14ac:dyDescent="0.25">
      <c r="B589" s="46">
        <v>44628</v>
      </c>
      <c r="C589" s="6" t="s">
        <v>7771</v>
      </c>
      <c r="D589" s="2" t="s">
        <v>7208</v>
      </c>
      <c r="E589" s="2" t="s">
        <v>7303</v>
      </c>
      <c r="F589" s="2"/>
      <c r="G589" s="2" t="s">
        <v>6443</v>
      </c>
      <c r="H589" s="2" t="s">
        <v>6768</v>
      </c>
      <c r="I589" s="3">
        <v>2854</v>
      </c>
      <c r="J589" s="4">
        <f>SUMIF(Cargas!$C$5:$C$3470,C589,Cargas!$O$5:$O$3470)</f>
        <v>0</v>
      </c>
      <c r="K589" s="18">
        <f t="shared" si="11"/>
        <v>2854</v>
      </c>
      <c r="L589" s="5" t="s">
        <v>7772</v>
      </c>
      <c r="M589" s="37">
        <v>42948</v>
      </c>
    </row>
    <row r="590" spans="2:13" ht="13.5" hidden="1" customHeight="1" x14ac:dyDescent="0.25">
      <c r="B590" s="46">
        <v>44641</v>
      </c>
      <c r="C590" s="6" t="s">
        <v>7773</v>
      </c>
      <c r="D590" s="2" t="s">
        <v>7212</v>
      </c>
      <c r="E590" s="2" t="s">
        <v>7303</v>
      </c>
      <c r="F590" s="2"/>
      <c r="G590" s="2" t="s">
        <v>6443</v>
      </c>
      <c r="H590" s="2" t="s">
        <v>6768</v>
      </c>
      <c r="I590" s="3">
        <v>2116</v>
      </c>
      <c r="J590" s="4">
        <f>SUMIF(Cargas!$C$5:$C$3470,C590,Cargas!$O$5:$O$3470)</f>
        <v>0</v>
      </c>
      <c r="K590" s="18">
        <f t="shared" si="11"/>
        <v>2116</v>
      </c>
      <c r="L590" s="5" t="s">
        <v>7774</v>
      </c>
      <c r="M590" s="37">
        <v>50975</v>
      </c>
    </row>
    <row r="591" spans="2:13" ht="13.5" hidden="1" customHeight="1" x14ac:dyDescent="0.25">
      <c r="B591" s="46">
        <v>44643</v>
      </c>
      <c r="C591" s="6" t="s">
        <v>7775</v>
      </c>
      <c r="D591" s="2" t="s">
        <v>3726</v>
      </c>
      <c r="E591" s="2" t="s">
        <v>7303</v>
      </c>
      <c r="F591" s="2"/>
      <c r="G591" s="2" t="s">
        <v>6443</v>
      </c>
      <c r="H591" s="2" t="s">
        <v>6768</v>
      </c>
      <c r="I591" s="3">
        <v>1376</v>
      </c>
      <c r="J591" s="4">
        <f>SUMIF(Cargas!$C$5:$C$3470,C591,Cargas!$O$5:$O$3470)</f>
        <v>0</v>
      </c>
      <c r="K591" s="18">
        <f t="shared" si="11"/>
        <v>1376</v>
      </c>
      <c r="L591" s="5" t="s">
        <v>7776</v>
      </c>
      <c r="M591" s="37">
        <v>53814</v>
      </c>
    </row>
    <row r="592" spans="2:13" ht="13.5" hidden="1" customHeight="1" x14ac:dyDescent="0.25">
      <c r="B592" s="46">
        <v>44659</v>
      </c>
      <c r="C592" s="6" t="s">
        <v>7777</v>
      </c>
      <c r="D592" s="2" t="s">
        <v>7778</v>
      </c>
      <c r="E592" s="2" t="s">
        <v>7779</v>
      </c>
      <c r="F592" s="2"/>
      <c r="G592" s="2" t="s">
        <v>6443</v>
      </c>
      <c r="H592" s="2" t="s">
        <v>6768</v>
      </c>
      <c r="I592" s="3">
        <v>1488</v>
      </c>
      <c r="J592" s="4">
        <f>SUMIF(Cargas!$C$5:$C$3470,C592,Cargas!$O$5:$O$3470)</f>
        <v>0</v>
      </c>
      <c r="K592" s="18">
        <f t="shared" si="11"/>
        <v>1488</v>
      </c>
      <c r="L592" s="5"/>
      <c r="M592" s="37"/>
    </row>
    <row r="593" spans="2:13" ht="13.5" hidden="1" customHeight="1" x14ac:dyDescent="0.25">
      <c r="B593" s="46">
        <v>44678</v>
      </c>
      <c r="C593" s="6" t="s">
        <v>7780</v>
      </c>
      <c r="D593" s="2" t="s">
        <v>7223</v>
      </c>
      <c r="E593" s="2" t="s">
        <v>7303</v>
      </c>
      <c r="F593" s="2"/>
      <c r="G593" s="2" t="s">
        <v>6443</v>
      </c>
      <c r="H593" s="2" t="s">
        <v>6768</v>
      </c>
      <c r="I593" s="3">
        <v>1470</v>
      </c>
      <c r="J593" s="4">
        <f>SUMIF(Cargas!$C$5:$C$3470,C593,Cargas!$O$5:$O$3470)</f>
        <v>0</v>
      </c>
      <c r="K593" s="18">
        <f t="shared" si="11"/>
        <v>1470</v>
      </c>
      <c r="L593" s="5" t="s">
        <v>7781</v>
      </c>
      <c r="M593" s="37">
        <v>74708</v>
      </c>
    </row>
    <row r="594" spans="2:13" ht="13.5" hidden="1" customHeight="1" x14ac:dyDescent="0.25">
      <c r="B594" s="46">
        <v>44691</v>
      </c>
      <c r="C594" s="6" t="s">
        <v>7782</v>
      </c>
      <c r="D594" s="2" t="s">
        <v>7783</v>
      </c>
      <c r="E594" s="2" t="s">
        <v>7303</v>
      </c>
      <c r="F594" s="2"/>
      <c r="G594" s="2" t="s">
        <v>6443</v>
      </c>
      <c r="H594" s="2" t="s">
        <v>6768</v>
      </c>
      <c r="I594" s="3">
        <v>2518</v>
      </c>
      <c r="J594" s="4">
        <f>SUMIF(Cargas!$C$5:$C$3470,C594,Cargas!$O$5:$O$3470)</f>
        <v>0</v>
      </c>
      <c r="K594" s="18">
        <f t="shared" si="11"/>
        <v>2518</v>
      </c>
      <c r="L594" s="5"/>
      <c r="M594" s="37" t="s">
        <v>299</v>
      </c>
    </row>
    <row r="595" spans="2:13" ht="13.5" hidden="1" customHeight="1" x14ac:dyDescent="0.25">
      <c r="B595" s="46">
        <v>44699</v>
      </c>
      <c r="C595" s="6" t="s">
        <v>7784</v>
      </c>
      <c r="D595" s="2" t="s">
        <v>7785</v>
      </c>
      <c r="E595" s="2" t="s">
        <v>7303</v>
      </c>
      <c r="F595" s="2"/>
      <c r="G595" s="2" t="s">
        <v>6443</v>
      </c>
      <c r="H595" s="2" t="s">
        <v>6768</v>
      </c>
      <c r="I595" s="3">
        <v>1108</v>
      </c>
      <c r="J595" s="4">
        <f>SUMIF(Cargas!$C$5:$C$3470,C595,Cargas!$O$5:$O$3470)</f>
        <v>0</v>
      </c>
      <c r="K595" s="18">
        <f t="shared" si="11"/>
        <v>1108</v>
      </c>
      <c r="L595" s="5"/>
      <c r="M595" s="37">
        <v>89079</v>
      </c>
    </row>
    <row r="596" spans="2:13" ht="13.5" hidden="1" customHeight="1" x14ac:dyDescent="0.25">
      <c r="B596" s="46">
        <v>44708</v>
      </c>
      <c r="C596" s="6" t="s">
        <v>7786</v>
      </c>
      <c r="D596" s="2" t="s">
        <v>7787</v>
      </c>
      <c r="E596" s="2" t="s">
        <v>7303</v>
      </c>
      <c r="F596" s="2"/>
      <c r="G596" s="2" t="s">
        <v>6443</v>
      </c>
      <c r="H596" s="2" t="s">
        <v>6768</v>
      </c>
      <c r="I596" s="3">
        <v>1954</v>
      </c>
      <c r="J596" s="4">
        <f>SUMIF(Cargas!$C$5:$C$3470,C596,Cargas!$O$5:$O$3470)</f>
        <v>0</v>
      </c>
      <c r="K596" s="18">
        <f t="shared" si="11"/>
        <v>1954</v>
      </c>
      <c r="L596" s="5" t="s">
        <v>7788</v>
      </c>
      <c r="M596" s="37">
        <v>95232</v>
      </c>
    </row>
    <row r="597" spans="2:13" ht="13.5" hidden="1" customHeight="1" x14ac:dyDescent="0.25">
      <c r="B597" s="46">
        <v>44846</v>
      </c>
      <c r="C597" s="6" t="s">
        <v>7789</v>
      </c>
      <c r="D597" s="2" t="s">
        <v>7299</v>
      </c>
      <c r="E597" s="2" t="s">
        <v>7284</v>
      </c>
      <c r="F597" s="2"/>
      <c r="G597" s="2" t="s">
        <v>6443</v>
      </c>
      <c r="H597" s="2" t="s">
        <v>6444</v>
      </c>
      <c r="I597" s="3">
        <v>2520</v>
      </c>
      <c r="J597" s="4">
        <f>SUMIF(Cargas!$C$5:$C$3470,C597,Cargas!$O$5:$O$3470)</f>
        <v>0</v>
      </c>
      <c r="K597" s="18">
        <f t="shared" si="11"/>
        <v>2520</v>
      </c>
      <c r="L597" s="5" t="s">
        <v>7790</v>
      </c>
      <c r="M597" s="37">
        <v>198481</v>
      </c>
    </row>
    <row r="598" spans="2:13" ht="13.5" hidden="1" customHeight="1" x14ac:dyDescent="0.25">
      <c r="B598" s="46">
        <v>44725</v>
      </c>
      <c r="C598" s="6" t="s">
        <v>7791</v>
      </c>
      <c r="D598" s="2" t="s">
        <v>7238</v>
      </c>
      <c r="E598" s="2" t="s">
        <v>7303</v>
      </c>
      <c r="F598" s="2"/>
      <c r="G598" s="2" t="s">
        <v>6443</v>
      </c>
      <c r="H598" s="2" t="s">
        <v>6768</v>
      </c>
      <c r="I598" s="3">
        <v>1974</v>
      </c>
      <c r="J598" s="4">
        <f>SUMIF(Cargas!$C$5:$C$3470,C598,Cargas!$O$5:$O$3470)</f>
        <v>0</v>
      </c>
      <c r="K598" s="18">
        <f t="shared" si="11"/>
        <v>1974</v>
      </c>
      <c r="L598" s="5" t="s">
        <v>7792</v>
      </c>
      <c r="M598" s="37">
        <v>106418</v>
      </c>
    </row>
    <row r="599" spans="2:13" ht="13.5" hidden="1" customHeight="1" x14ac:dyDescent="0.25">
      <c r="B599" s="58">
        <v>44739</v>
      </c>
      <c r="C599" s="59" t="s">
        <v>7793</v>
      </c>
      <c r="D599" s="61" t="s">
        <v>7241</v>
      </c>
      <c r="E599" s="61" t="s">
        <v>7303</v>
      </c>
      <c r="F599" s="61"/>
      <c r="G599" s="61" t="s">
        <v>6443</v>
      </c>
      <c r="H599" s="61" t="s">
        <v>6768</v>
      </c>
      <c r="I599" s="62">
        <v>1974</v>
      </c>
      <c r="J599" s="4">
        <f>SUMIF(Cargas!$C$5:$C$3470,C599,Cargas!$O$5:$O$3470)</f>
        <v>0</v>
      </c>
      <c r="K599" s="18">
        <f t="shared" si="11"/>
        <v>1974</v>
      </c>
      <c r="L599" s="63" t="s">
        <v>7794</v>
      </c>
      <c r="M599" s="64">
        <v>116056</v>
      </c>
    </row>
    <row r="600" spans="2:13" ht="13.5" hidden="1" customHeight="1" x14ac:dyDescent="0.25">
      <c r="B600" s="58">
        <v>44753</v>
      </c>
      <c r="C600" s="59" t="s">
        <v>7795</v>
      </c>
      <c r="D600" s="61" t="s">
        <v>7244</v>
      </c>
      <c r="E600" s="61" t="s">
        <v>7303</v>
      </c>
      <c r="F600" s="61"/>
      <c r="G600" s="61" t="s">
        <v>6443</v>
      </c>
      <c r="H600" s="61" t="s">
        <v>6768</v>
      </c>
      <c r="I600" s="62">
        <v>2473</v>
      </c>
      <c r="J600" s="4">
        <f>SUMIF(Cargas!$C$5:$C$3470,C600,Cargas!$O$5:$O$3470)</f>
        <v>0</v>
      </c>
      <c r="K600" s="18">
        <f t="shared" si="11"/>
        <v>2473</v>
      </c>
      <c r="L600" s="63" t="s">
        <v>7796</v>
      </c>
      <c r="M600" s="64">
        <v>124680</v>
      </c>
    </row>
    <row r="601" spans="2:13" ht="13.5" hidden="1" customHeight="1" x14ac:dyDescent="0.25">
      <c r="B601" s="58">
        <v>44749</v>
      </c>
      <c r="C601" s="59" t="s">
        <v>7797</v>
      </c>
      <c r="D601" s="61" t="s">
        <v>7798</v>
      </c>
      <c r="E601" s="61" t="s">
        <v>6442</v>
      </c>
      <c r="F601" s="61"/>
      <c r="G601" s="61" t="s">
        <v>6443</v>
      </c>
      <c r="H601" s="61" t="s">
        <v>6444</v>
      </c>
      <c r="I601" s="62">
        <v>1372</v>
      </c>
      <c r="J601" s="4">
        <f>SUMIF(Cargas!$C$5:$C$3470,C601,Cargas!$O$5:$O$3470)</f>
        <v>0</v>
      </c>
      <c r="K601" s="18">
        <f t="shared" si="11"/>
        <v>1372</v>
      </c>
      <c r="L601" s="63" t="s">
        <v>7799</v>
      </c>
      <c r="M601" s="64">
        <v>125773</v>
      </c>
    </row>
    <row r="602" spans="2:13" ht="13.5" hidden="1" customHeight="1" x14ac:dyDescent="0.25">
      <c r="B602" s="58">
        <v>44749</v>
      </c>
      <c r="C602" s="59" t="s">
        <v>7800</v>
      </c>
      <c r="D602" s="61" t="s">
        <v>7251</v>
      </c>
      <c r="E602" s="61" t="s">
        <v>6442</v>
      </c>
      <c r="F602" s="61"/>
      <c r="G602" s="61" t="s">
        <v>6443</v>
      </c>
      <c r="H602" s="61" t="s">
        <v>6444</v>
      </c>
      <c r="I602" s="62">
        <v>1890</v>
      </c>
      <c r="J602" s="4">
        <f>SUMIF(Cargas!$C$5:$C$3470,C602,Cargas!$O$5:$O$3470)</f>
        <v>0</v>
      </c>
      <c r="K602" s="18">
        <f t="shared" si="11"/>
        <v>1890</v>
      </c>
      <c r="L602" s="63" t="s">
        <v>7801</v>
      </c>
      <c r="M602" s="64">
        <v>124681</v>
      </c>
    </row>
    <row r="603" spans="2:13" ht="13.5" hidden="1" customHeight="1" x14ac:dyDescent="0.25">
      <c r="B603" s="46">
        <v>44771</v>
      </c>
      <c r="C603" s="6" t="s">
        <v>7802</v>
      </c>
      <c r="D603" s="2" t="s">
        <v>7254</v>
      </c>
      <c r="E603" s="2" t="s">
        <v>7303</v>
      </c>
      <c r="F603" s="2"/>
      <c r="G603" s="2" t="s">
        <v>6443</v>
      </c>
      <c r="H603" s="2" t="s">
        <v>6444</v>
      </c>
      <c r="I603" s="3">
        <v>1816</v>
      </c>
      <c r="J603" s="4">
        <f>SUMIF(Cargas!$C$5:$C$3470,C603,Cargas!$O$5:$O$3470)</f>
        <v>0</v>
      </c>
      <c r="K603" s="18">
        <f t="shared" si="11"/>
        <v>1816</v>
      </c>
      <c r="L603" s="5" t="s">
        <v>7803</v>
      </c>
      <c r="M603" s="37">
        <v>138261</v>
      </c>
    </row>
    <row r="604" spans="2:13" ht="13.5" hidden="1" customHeight="1" x14ac:dyDescent="0.25">
      <c r="B604" s="58">
        <v>44777</v>
      </c>
      <c r="C604" s="59" t="s">
        <v>7804</v>
      </c>
      <c r="D604" s="61" t="s">
        <v>7714</v>
      </c>
      <c r="E604" s="61" t="s">
        <v>6442</v>
      </c>
      <c r="F604" s="61"/>
      <c r="G604" s="61" t="s">
        <v>6443</v>
      </c>
      <c r="H604" s="61" t="s">
        <v>6444</v>
      </c>
      <c r="I604" s="62">
        <v>1820</v>
      </c>
      <c r="J604" s="4">
        <f>SUMIF(Cargas!$C$5:$C$3470,C604,Cargas!$O$5:$O$3470)</f>
        <v>0</v>
      </c>
      <c r="K604" s="18">
        <f t="shared" si="11"/>
        <v>1820</v>
      </c>
      <c r="L604" s="63" t="s">
        <v>7805</v>
      </c>
      <c r="M604" s="64">
        <v>146581</v>
      </c>
    </row>
    <row r="605" spans="2:13" ht="13.5" hidden="1" customHeight="1" x14ac:dyDescent="0.25">
      <c r="B605" s="58">
        <v>44785</v>
      </c>
      <c r="C605" s="59" t="s">
        <v>7806</v>
      </c>
      <c r="D605" s="61" t="s">
        <v>7265</v>
      </c>
      <c r="E605" s="61" t="s">
        <v>7303</v>
      </c>
      <c r="F605" s="61"/>
      <c r="G605" s="61" t="s">
        <v>6443</v>
      </c>
      <c r="H605" s="61" t="s">
        <v>6444</v>
      </c>
      <c r="I605" s="62">
        <v>1336</v>
      </c>
      <c r="J605" s="4">
        <f>SUMIF(Cargas!$C$5:$C$3470,C605,Cargas!$O$5:$O$3470)</f>
        <v>0</v>
      </c>
      <c r="K605" s="18">
        <f t="shared" si="11"/>
        <v>1336</v>
      </c>
      <c r="L605" s="63" t="s">
        <v>7807</v>
      </c>
      <c r="M605" s="64">
        <v>147639</v>
      </c>
    </row>
    <row r="606" spans="2:13" ht="13.5" hidden="1" customHeight="1" x14ac:dyDescent="0.25">
      <c r="B606" s="58">
        <v>44799</v>
      </c>
      <c r="C606" s="59" t="s">
        <v>7808</v>
      </c>
      <c r="D606" s="61" t="s">
        <v>7759</v>
      </c>
      <c r="E606" s="61" t="s">
        <v>2805</v>
      </c>
      <c r="F606" s="61"/>
      <c r="G606" s="61" t="s">
        <v>6443</v>
      </c>
      <c r="H606" s="61" t="s">
        <v>6768</v>
      </c>
      <c r="I606" s="62">
        <v>2056</v>
      </c>
      <c r="J606" s="4">
        <f>SUMIF(Cargas!$C$5:$C$3470,C606,Cargas!$O$5:$O$3470)</f>
        <v>0</v>
      </c>
      <c r="K606" s="18">
        <f t="shared" si="11"/>
        <v>2056</v>
      </c>
      <c r="L606" s="63" t="s">
        <v>7809</v>
      </c>
      <c r="M606" s="64">
        <v>158392</v>
      </c>
    </row>
    <row r="607" spans="2:13" ht="13.5" hidden="1" customHeight="1" x14ac:dyDescent="0.25">
      <c r="B607" s="46">
        <v>44806</v>
      </c>
      <c r="C607" s="6" t="s">
        <v>7810</v>
      </c>
      <c r="D607" s="2" t="s">
        <v>7811</v>
      </c>
      <c r="E607" s="2" t="s">
        <v>2805</v>
      </c>
      <c r="F607" s="2"/>
      <c r="G607" s="2" t="s">
        <v>6443</v>
      </c>
      <c r="H607" s="2" t="s">
        <v>6768</v>
      </c>
      <c r="I607" s="3">
        <v>2349</v>
      </c>
      <c r="J607" s="4">
        <f>SUMIF(Cargas!$C$5:$C$3470,C607,Cargas!$O$5:$O$3470)</f>
        <v>0</v>
      </c>
      <c r="K607" s="18">
        <f t="shared" si="11"/>
        <v>2349</v>
      </c>
      <c r="L607" s="5"/>
      <c r="M607" s="37">
        <v>163405</v>
      </c>
    </row>
    <row r="608" spans="2:13" ht="13.5" hidden="1" customHeight="1" x14ac:dyDescent="0.25">
      <c r="B608" s="46">
        <v>44816</v>
      </c>
      <c r="C608" s="6" t="s">
        <v>7812</v>
      </c>
      <c r="D608" s="2" t="s">
        <v>7770</v>
      </c>
      <c r="E608" s="2" t="s">
        <v>7303</v>
      </c>
      <c r="F608" s="2"/>
      <c r="G608" s="2" t="s">
        <v>6443</v>
      </c>
      <c r="H608" s="2" t="s">
        <v>6768</v>
      </c>
      <c r="I608" s="3">
        <v>1160</v>
      </c>
      <c r="J608" s="4">
        <f>SUMIF(Cargas!$C$5:$C$3470,C608,Cargas!$O$5:$O$3470)</f>
        <v>0</v>
      </c>
      <c r="K608" s="18">
        <f t="shared" si="11"/>
        <v>1160</v>
      </c>
      <c r="L608" s="5" t="s">
        <v>7813</v>
      </c>
      <c r="M608" s="37">
        <v>169524</v>
      </c>
    </row>
    <row r="609" spans="2:13" ht="13.5" hidden="1" customHeight="1" x14ac:dyDescent="0.25">
      <c r="B609" s="46">
        <v>44812</v>
      </c>
      <c r="C609" s="6" t="s">
        <v>7814</v>
      </c>
      <c r="D609" s="2" t="s">
        <v>7280</v>
      </c>
      <c r="E609" s="2" t="s">
        <v>6442</v>
      </c>
      <c r="F609" s="2"/>
      <c r="G609" s="2" t="s">
        <v>6443</v>
      </c>
      <c r="H609" s="2" t="s">
        <v>6444</v>
      </c>
      <c r="I609" s="3">
        <v>1890</v>
      </c>
      <c r="J609" s="4">
        <f>SUMIF(Cargas!$C$5:$C$3470,C609,Cargas!$O$5:$O$3470)</f>
        <v>0</v>
      </c>
      <c r="K609" s="18">
        <f t="shared" si="11"/>
        <v>1890</v>
      </c>
      <c r="L609" s="5" t="s">
        <v>7815</v>
      </c>
      <c r="M609" s="37">
        <v>169526</v>
      </c>
    </row>
    <row r="610" spans="2:13" ht="13.5" hidden="1" customHeight="1" x14ac:dyDescent="0.25">
      <c r="B610" s="46">
        <v>44826</v>
      </c>
      <c r="C610" s="6" t="s">
        <v>7816</v>
      </c>
      <c r="D610" s="2" t="s">
        <v>7817</v>
      </c>
      <c r="E610" s="2" t="s">
        <v>2805</v>
      </c>
      <c r="F610" s="2"/>
      <c r="G610" s="2" t="s">
        <v>6443</v>
      </c>
      <c r="H610" s="2" t="s">
        <v>7381</v>
      </c>
      <c r="I610" s="3">
        <v>1110</v>
      </c>
      <c r="J610" s="4">
        <f>SUMIF(Cargas!$C$5:$C$3470,C610,Cargas!$O$5:$O$3470)</f>
        <v>0</v>
      </c>
      <c r="K610" s="18">
        <f t="shared" si="11"/>
        <v>1110</v>
      </c>
      <c r="L610" s="5"/>
      <c r="M610" s="37">
        <v>177367</v>
      </c>
    </row>
    <row r="611" spans="2:13" ht="13.5" hidden="1" customHeight="1" x14ac:dyDescent="0.25">
      <c r="B611" s="46">
        <v>44880</v>
      </c>
      <c r="C611" s="6" t="s">
        <v>7818</v>
      </c>
      <c r="D611" s="2" t="s">
        <v>6959</v>
      </c>
      <c r="E611" s="2" t="s">
        <v>6764</v>
      </c>
      <c r="F611" s="2"/>
      <c r="G611" s="2" t="s">
        <v>6443</v>
      </c>
      <c r="H611" s="2" t="s">
        <v>6444</v>
      </c>
      <c r="I611" s="3">
        <v>9180</v>
      </c>
      <c r="J611" s="4">
        <f>SUMIF(Cargas!$C$5:$C$3471,C611,Cargas!$O$5:$O$3471)</f>
        <v>0</v>
      </c>
      <c r="K611" s="18">
        <f t="shared" si="11"/>
        <v>9180</v>
      </c>
      <c r="L611" s="5" t="s">
        <v>7819</v>
      </c>
      <c r="M611" s="37">
        <v>216747</v>
      </c>
    </row>
    <row r="612" spans="2:13" ht="13.5" hidden="1" customHeight="1" x14ac:dyDescent="0.25">
      <c r="B612" s="46">
        <v>44826</v>
      </c>
      <c r="C612" s="6" t="s">
        <v>7820</v>
      </c>
      <c r="D612" s="2" t="s">
        <v>7291</v>
      </c>
      <c r="E612" s="2" t="s">
        <v>6442</v>
      </c>
      <c r="F612" s="2"/>
      <c r="G612" s="2" t="s">
        <v>6443</v>
      </c>
      <c r="H612" s="2" t="s">
        <v>6444</v>
      </c>
      <c r="I612" s="3">
        <v>1862</v>
      </c>
      <c r="J612" s="4">
        <f>SUMIF(Cargas!$C$5:$C$3470,C612,Cargas!$O$5:$O$3470)</f>
        <v>0</v>
      </c>
      <c r="K612" s="18">
        <f t="shared" si="11"/>
        <v>1862</v>
      </c>
      <c r="L612" s="5" t="s">
        <v>7821</v>
      </c>
      <c r="M612" s="37">
        <v>179308</v>
      </c>
    </row>
    <row r="613" spans="2:13" ht="13.5" hidden="1" customHeight="1" x14ac:dyDescent="0.25">
      <c r="B613" s="46">
        <v>44827</v>
      </c>
      <c r="C613" s="6" t="s">
        <v>7822</v>
      </c>
      <c r="D613" s="2" t="s">
        <v>7293</v>
      </c>
      <c r="E613" s="2" t="s">
        <v>6442</v>
      </c>
      <c r="F613" s="2"/>
      <c r="G613" s="2" t="s">
        <v>6443</v>
      </c>
      <c r="H613" s="2" t="s">
        <v>6444</v>
      </c>
      <c r="I613" s="3">
        <v>1500</v>
      </c>
      <c r="J613" s="4">
        <f>SUMIF(Cargas!$C$5:$C$3470,C613,Cargas!$O$5:$O$3470)</f>
        <v>0</v>
      </c>
      <c r="K613" s="18">
        <f t="shared" si="11"/>
        <v>1500</v>
      </c>
      <c r="L613" s="5" t="s">
        <v>7823</v>
      </c>
      <c r="M613" s="37">
        <v>180362</v>
      </c>
    </row>
    <row r="614" spans="2:13" ht="13.5" hidden="1" customHeight="1" x14ac:dyDescent="0.25">
      <c r="B614" s="46">
        <v>44837</v>
      </c>
      <c r="C614" s="6" t="s">
        <v>7824</v>
      </c>
      <c r="D614" s="2" t="s">
        <v>7296</v>
      </c>
      <c r="E614" s="2" t="s">
        <v>7303</v>
      </c>
      <c r="F614" s="2"/>
      <c r="G614" s="2" t="s">
        <v>6443</v>
      </c>
      <c r="H614" s="2" t="s">
        <v>6768</v>
      </c>
      <c r="I614" s="3">
        <v>982</v>
      </c>
      <c r="J614" s="4">
        <f>SUMIF(Cargas!$C$5:$C$3470,C614,Cargas!$O$5:$O$3470)</f>
        <v>0</v>
      </c>
      <c r="K614" s="18">
        <f t="shared" ref="K614:K677" si="12">IF(ABS(I614-J614)&lt;20,0,I614-J614)</f>
        <v>982</v>
      </c>
      <c r="L614" s="5" t="s">
        <v>7825</v>
      </c>
      <c r="M614" s="37">
        <v>184796</v>
      </c>
    </row>
    <row r="615" spans="2:13" ht="13.5" hidden="1" customHeight="1" x14ac:dyDescent="0.25">
      <c r="B615" s="46">
        <v>44847</v>
      </c>
      <c r="C615" s="6" t="s">
        <v>7826</v>
      </c>
      <c r="D615" s="2" t="s">
        <v>7302</v>
      </c>
      <c r="E615" s="2" t="s">
        <v>6442</v>
      </c>
      <c r="F615" s="2"/>
      <c r="G615" s="2" t="s">
        <v>6443</v>
      </c>
      <c r="H615" s="2" t="s">
        <v>6444</v>
      </c>
      <c r="I615" s="3">
        <v>1942</v>
      </c>
      <c r="J615" s="4">
        <f>SUMIF(Cargas!$C$5:$C$3470,C615,Cargas!$O$5:$O$3470)</f>
        <v>0</v>
      </c>
      <c r="K615" s="18">
        <f t="shared" si="12"/>
        <v>1942</v>
      </c>
      <c r="L615" s="189" t="s">
        <v>7827</v>
      </c>
      <c r="M615" s="37">
        <v>193991</v>
      </c>
    </row>
    <row r="616" spans="2:13" ht="13.5" hidden="1" customHeight="1" x14ac:dyDescent="0.25">
      <c r="B616" s="46">
        <v>44854</v>
      </c>
      <c r="C616" s="6" t="s">
        <v>7828</v>
      </c>
      <c r="D616" s="2" t="s">
        <v>7306</v>
      </c>
      <c r="E616" s="2" t="s">
        <v>2805</v>
      </c>
      <c r="F616" s="2"/>
      <c r="G616" s="2" t="s">
        <v>6443</v>
      </c>
      <c r="H616" s="2" t="s">
        <v>6768</v>
      </c>
      <c r="I616" s="3">
        <v>1346</v>
      </c>
      <c r="J616" s="4">
        <f>SUMIF(Cargas!$C$5:$C$3470,C616,Cargas!$O$5:$O$3470)</f>
        <v>0</v>
      </c>
      <c r="K616" s="18">
        <f t="shared" si="12"/>
        <v>1346</v>
      </c>
      <c r="L616" s="5" t="s">
        <v>7829</v>
      </c>
      <c r="M616" s="37">
        <v>197947</v>
      </c>
    </row>
    <row r="617" spans="2:13" ht="13.5" hidden="1" customHeight="1" x14ac:dyDescent="0.25">
      <c r="B617" s="46">
        <v>44854</v>
      </c>
      <c r="C617" s="6" t="s">
        <v>7830</v>
      </c>
      <c r="D617" s="2" t="s">
        <v>7309</v>
      </c>
      <c r="E617" s="2" t="s">
        <v>6442</v>
      </c>
      <c r="F617" s="2"/>
      <c r="G617" s="2" t="s">
        <v>6443</v>
      </c>
      <c r="H617" s="2" t="s">
        <v>6444</v>
      </c>
      <c r="I617" s="3">
        <v>2058</v>
      </c>
      <c r="J617" s="4">
        <f>SUMIF(Cargas!$C$5:$C$3470,C617,Cargas!$O$5:$O$3470)</f>
        <v>0</v>
      </c>
      <c r="K617" s="18">
        <f t="shared" si="12"/>
        <v>2058</v>
      </c>
      <c r="L617" s="5" t="s">
        <v>7831</v>
      </c>
      <c r="M617" s="37">
        <v>199923</v>
      </c>
    </row>
    <row r="618" spans="2:13" ht="13.5" hidden="1" customHeight="1" x14ac:dyDescent="0.25">
      <c r="B618" s="46"/>
      <c r="C618" s="168" t="s">
        <v>6722</v>
      </c>
      <c r="D618" s="169" t="s">
        <v>6454</v>
      </c>
      <c r="E618" s="2" t="s">
        <v>6442</v>
      </c>
      <c r="F618" s="2"/>
      <c r="G618" s="2" t="s">
        <v>6443</v>
      </c>
      <c r="H618" s="169" t="s">
        <v>6444</v>
      </c>
      <c r="I618" s="3">
        <v>1104</v>
      </c>
      <c r="J618" s="4"/>
      <c r="K618" s="18">
        <f t="shared" si="12"/>
        <v>1104</v>
      </c>
      <c r="L618" s="5" t="s">
        <v>6723</v>
      </c>
      <c r="M618" s="37">
        <v>13783</v>
      </c>
    </row>
    <row r="619" spans="2:13" ht="13.5" hidden="1" customHeight="1" x14ac:dyDescent="0.25">
      <c r="B619" s="46">
        <v>44895</v>
      </c>
      <c r="C619" s="6" t="s">
        <v>7832</v>
      </c>
      <c r="D619" s="2" t="s">
        <v>6962</v>
      </c>
      <c r="E619" s="2" t="s">
        <v>6764</v>
      </c>
      <c r="F619" s="2"/>
      <c r="G619" s="2" t="s">
        <v>6443</v>
      </c>
      <c r="H619" s="2" t="s">
        <v>6768</v>
      </c>
      <c r="I619" s="3">
        <v>9180</v>
      </c>
      <c r="J619" s="4">
        <f>SUMIF(Cargas!$C$5:$C$3471,C619,Cargas!$O$5:$O$3471)</f>
        <v>0</v>
      </c>
      <c r="K619" s="18">
        <f t="shared" si="12"/>
        <v>9180</v>
      </c>
      <c r="L619" s="5" t="s">
        <v>7833</v>
      </c>
      <c r="M619" s="37">
        <v>229272</v>
      </c>
    </row>
    <row r="620" spans="2:13" ht="13.5" hidden="1" customHeight="1" x14ac:dyDescent="0.25">
      <c r="B620" s="46">
        <v>44859</v>
      </c>
      <c r="C620" s="6" t="s">
        <v>7834</v>
      </c>
      <c r="D620" s="2" t="s">
        <v>7312</v>
      </c>
      <c r="E620" s="2" t="s">
        <v>2805</v>
      </c>
      <c r="F620" s="2"/>
      <c r="G620" s="2" t="s">
        <v>6443</v>
      </c>
      <c r="H620" s="2" t="s">
        <v>7381</v>
      </c>
      <c r="I620" s="3">
        <v>1488</v>
      </c>
      <c r="J620" s="4">
        <f>SUMIF(Cargas!$C$5:$C$3470,C620,Cargas!$O$5:$O$3470)</f>
        <v>0</v>
      </c>
      <c r="K620" s="18">
        <f t="shared" si="12"/>
        <v>1488</v>
      </c>
      <c r="L620" s="5" t="s">
        <v>7835</v>
      </c>
      <c r="M620" s="37">
        <v>203142</v>
      </c>
    </row>
    <row r="621" spans="2:13" ht="13.5" hidden="1" customHeight="1" x14ac:dyDescent="0.25">
      <c r="B621" s="46">
        <v>44869</v>
      </c>
      <c r="C621" s="6" t="s">
        <v>7836</v>
      </c>
      <c r="D621" s="2" t="s">
        <v>7837</v>
      </c>
      <c r="E621" s="2" t="s">
        <v>2805</v>
      </c>
      <c r="F621" s="2"/>
      <c r="G621" s="2" t="s">
        <v>6443</v>
      </c>
      <c r="H621" s="2" t="s">
        <v>7381</v>
      </c>
      <c r="I621" s="3">
        <v>1320</v>
      </c>
      <c r="J621" s="4">
        <f>SUMIF(Cargas!$C$5:$C$3470,C621,Cargas!$O$5:$O$3470)</f>
        <v>0</v>
      </c>
      <c r="K621" s="18">
        <f t="shared" si="12"/>
        <v>1320</v>
      </c>
      <c r="L621" s="5" t="s">
        <v>7838</v>
      </c>
      <c r="M621" s="37">
        <v>209009</v>
      </c>
    </row>
    <row r="622" spans="2:13" ht="13.5" hidden="1" customHeight="1" x14ac:dyDescent="0.25">
      <c r="B622" s="46">
        <v>44876</v>
      </c>
      <c r="C622" s="6" t="s">
        <v>7839</v>
      </c>
      <c r="D622" s="2" t="s">
        <v>7320</v>
      </c>
      <c r="E622" s="2" t="s">
        <v>2805</v>
      </c>
      <c r="F622" s="2"/>
      <c r="G622" s="2" t="s">
        <v>6443</v>
      </c>
      <c r="H622" s="2" t="s">
        <v>7381</v>
      </c>
      <c r="I622" s="3">
        <v>1100</v>
      </c>
      <c r="J622" s="4">
        <f>SUMIF(Cargas!$C$5:$C$3470,C622,Cargas!$O$5:$O$3470)</f>
        <v>0</v>
      </c>
      <c r="K622" s="18">
        <f t="shared" si="12"/>
        <v>1100</v>
      </c>
      <c r="L622" s="5" t="s">
        <v>7840</v>
      </c>
      <c r="M622" s="37">
        <v>215425</v>
      </c>
    </row>
    <row r="623" spans="2:13" ht="13.5" hidden="1" customHeight="1" x14ac:dyDescent="0.25">
      <c r="B623" s="46">
        <v>44883</v>
      </c>
      <c r="C623" s="6" t="s">
        <v>7841</v>
      </c>
      <c r="D623" s="2" t="s">
        <v>7842</v>
      </c>
      <c r="E623" s="2" t="s">
        <v>2805</v>
      </c>
      <c r="F623" s="2"/>
      <c r="G623" s="2" t="s">
        <v>6443</v>
      </c>
      <c r="H623" s="2" t="s">
        <v>7381</v>
      </c>
      <c r="I623" s="3">
        <v>1255</v>
      </c>
      <c r="J623" s="4">
        <f>SUMIF(Cargas!$C$5:$C$3470,C623,Cargas!$O$5:$O$3470)</f>
        <v>0</v>
      </c>
      <c r="K623" s="18">
        <f t="shared" si="12"/>
        <v>1255</v>
      </c>
      <c r="L623" s="5"/>
      <c r="M623" s="37">
        <v>219755</v>
      </c>
    </row>
    <row r="624" spans="2:13" ht="13.5" hidden="1" customHeight="1" x14ac:dyDescent="0.25">
      <c r="B624" s="46">
        <v>45103</v>
      </c>
      <c r="C624" s="6" t="s">
        <v>7843</v>
      </c>
      <c r="D624" s="2" t="s">
        <v>7283</v>
      </c>
      <c r="E624" s="2" t="s">
        <v>7756</v>
      </c>
      <c r="F624" s="2"/>
      <c r="G624" s="2" t="s">
        <v>6443</v>
      </c>
      <c r="H624" s="2" t="s">
        <v>7756</v>
      </c>
      <c r="I624" s="3">
        <v>1388</v>
      </c>
      <c r="J624" s="4">
        <f>SUMIF(Cargas!$C$5:$C$3470,C624,Cargas!$O$5:$O$3470)</f>
        <v>0</v>
      </c>
      <c r="K624" s="18">
        <f t="shared" si="12"/>
        <v>1388</v>
      </c>
      <c r="L624" s="5" t="s">
        <v>7844</v>
      </c>
      <c r="M624" s="37">
        <v>117414</v>
      </c>
    </row>
    <row r="625" spans="2:13" ht="13.5" hidden="1" customHeight="1" x14ac:dyDescent="0.25">
      <c r="B625" s="58">
        <v>45155</v>
      </c>
      <c r="C625" s="59" t="s">
        <v>7845</v>
      </c>
      <c r="D625" s="61" t="s">
        <v>7296</v>
      </c>
      <c r="E625" s="61" t="s">
        <v>7756</v>
      </c>
      <c r="F625" s="61"/>
      <c r="G625" s="61" t="s">
        <v>6443</v>
      </c>
      <c r="H625" s="61" t="s">
        <v>7756</v>
      </c>
      <c r="I625" s="62">
        <v>1162</v>
      </c>
      <c r="J625" s="4">
        <f>SUMIF(Cargas!$C$5:$C$3470,C625,Cargas!$O$5:$O$3470)</f>
        <v>0</v>
      </c>
      <c r="K625" s="18">
        <f t="shared" si="12"/>
        <v>1162</v>
      </c>
      <c r="L625" s="63" t="s">
        <v>7846</v>
      </c>
      <c r="M625" s="64">
        <v>155049</v>
      </c>
    </row>
    <row r="626" spans="2:13" ht="13.5" hidden="1" customHeight="1" x14ac:dyDescent="0.25">
      <c r="B626" s="58">
        <v>45160</v>
      </c>
      <c r="C626" s="59" t="s">
        <v>7847</v>
      </c>
      <c r="D626" s="61" t="s">
        <v>7299</v>
      </c>
      <c r="E626" s="61" t="s">
        <v>7756</v>
      </c>
      <c r="F626" s="61"/>
      <c r="G626" s="61" t="s">
        <v>6443</v>
      </c>
      <c r="H626" s="61" t="s">
        <v>7756</v>
      </c>
      <c r="I626" s="62">
        <f>360+648</f>
        <v>1008</v>
      </c>
      <c r="J626" s="4">
        <f>SUMIF(Cargas!$C$5:$C$3470,C626,Cargas!$O$5:$O$3470)</f>
        <v>0</v>
      </c>
      <c r="K626" s="18">
        <f t="shared" si="12"/>
        <v>1008</v>
      </c>
      <c r="L626" s="63" t="s">
        <v>7848</v>
      </c>
      <c r="M626" s="64">
        <v>157197</v>
      </c>
    </row>
    <row r="627" spans="2:13" ht="13.5" hidden="1" customHeight="1" x14ac:dyDescent="0.25">
      <c r="B627" s="58">
        <v>44909</v>
      </c>
      <c r="C627" s="59" t="s">
        <v>7849</v>
      </c>
      <c r="D627" s="61" t="s">
        <v>6966</v>
      </c>
      <c r="E627" s="61" t="s">
        <v>6764</v>
      </c>
      <c r="F627" s="61"/>
      <c r="G627" s="61" t="s">
        <v>6443</v>
      </c>
      <c r="H627" s="61" t="s">
        <v>6444</v>
      </c>
      <c r="I627" s="62">
        <v>9180</v>
      </c>
      <c r="J627" s="4">
        <f>SUMIF(Cargas!$C$5:$C$3471,C627,Cargas!$O$5:$O$3471)</f>
        <v>0</v>
      </c>
      <c r="K627" s="18">
        <f t="shared" si="12"/>
        <v>9180</v>
      </c>
      <c r="L627" s="63" t="s">
        <v>7850</v>
      </c>
      <c r="M627" s="64">
        <v>238749</v>
      </c>
    </row>
    <row r="628" spans="2:13" ht="13.5" hidden="1" customHeight="1" x14ac:dyDescent="0.25">
      <c r="B628" s="58">
        <v>45175</v>
      </c>
      <c r="C628" s="59" t="s">
        <v>7851</v>
      </c>
      <c r="D628" s="61" t="s">
        <v>7309</v>
      </c>
      <c r="E628" s="61" t="s">
        <v>7756</v>
      </c>
      <c r="F628" s="61"/>
      <c r="G628" s="61" t="s">
        <v>6443</v>
      </c>
      <c r="H628" s="61" t="s">
        <v>7756</v>
      </c>
      <c r="I628" s="62">
        <v>20000</v>
      </c>
      <c r="J628" s="4">
        <f>SUMIF(Cargas!$C$5:$C$3470,C628,Cargas!$O$5:$O$3470)</f>
        <v>0</v>
      </c>
      <c r="K628" s="18">
        <f t="shared" si="12"/>
        <v>20000</v>
      </c>
      <c r="L628" s="63" t="s">
        <v>7852</v>
      </c>
      <c r="M628" s="64">
        <v>167966</v>
      </c>
    </row>
    <row r="629" spans="2:13" ht="13.5" hidden="1" customHeight="1" x14ac:dyDescent="0.25">
      <c r="B629" s="58">
        <v>45181</v>
      </c>
      <c r="C629" s="59" t="s">
        <v>7853</v>
      </c>
      <c r="D629" s="61" t="s">
        <v>7837</v>
      </c>
      <c r="E629" s="61" t="s">
        <v>7756</v>
      </c>
      <c r="F629" s="61"/>
      <c r="G629" s="61" t="s">
        <v>6443</v>
      </c>
      <c r="H629" s="61" t="s">
        <v>7756</v>
      </c>
      <c r="I629" s="62">
        <v>1414</v>
      </c>
      <c r="J629" s="4">
        <f>SUMIF(Cargas!$C$5:$C$3470,C629,Cargas!$O$5:$O$3470)</f>
        <v>0</v>
      </c>
      <c r="K629" s="18">
        <f t="shared" si="12"/>
        <v>1414</v>
      </c>
      <c r="L629" s="63"/>
      <c r="M629" s="64">
        <v>171541</v>
      </c>
    </row>
    <row r="630" spans="2:13" ht="13.5" hidden="1" customHeight="1" x14ac:dyDescent="0.25">
      <c r="B630" s="58">
        <v>44883</v>
      </c>
      <c r="C630" s="59" t="s">
        <v>7854</v>
      </c>
      <c r="D630" s="61" t="s">
        <v>7327</v>
      </c>
      <c r="E630" s="61" t="s">
        <v>6442</v>
      </c>
      <c r="F630" s="61"/>
      <c r="G630" s="61" t="s">
        <v>6443</v>
      </c>
      <c r="H630" s="61" t="s">
        <v>6444</v>
      </c>
      <c r="I630" s="62">
        <v>1512</v>
      </c>
      <c r="J630" s="4">
        <f>SUMIF(Cargas!$C$5:$C$3470,C630,Cargas!$O$5:$O$3470)</f>
        <v>0</v>
      </c>
      <c r="K630" s="18">
        <f t="shared" si="12"/>
        <v>1512</v>
      </c>
      <c r="L630" s="63" t="s">
        <v>7855</v>
      </c>
      <c r="M630" s="64">
        <v>215472</v>
      </c>
    </row>
    <row r="631" spans="2:13" ht="13.5" hidden="1" customHeight="1" x14ac:dyDescent="0.25">
      <c r="B631" s="58">
        <v>44881</v>
      </c>
      <c r="C631" s="59" t="s">
        <v>7856</v>
      </c>
      <c r="D631" s="61" t="s">
        <v>7330</v>
      </c>
      <c r="E631" s="61" t="s">
        <v>7303</v>
      </c>
      <c r="F631" s="61"/>
      <c r="G631" s="61" t="s">
        <v>6443</v>
      </c>
      <c r="H631" s="61" t="s">
        <v>6768</v>
      </c>
      <c r="I631" s="62">
        <v>1300</v>
      </c>
      <c r="J631" s="4">
        <f>SUMIF(Cargas!$C$5:$C$3470,C631,Cargas!$O$5:$O$3470)</f>
        <v>0</v>
      </c>
      <c r="K631" s="18">
        <f t="shared" si="12"/>
        <v>1300</v>
      </c>
      <c r="L631" s="63" t="s">
        <v>7857</v>
      </c>
      <c r="M631" s="64">
        <v>217533</v>
      </c>
    </row>
    <row r="632" spans="2:13" ht="13.5" hidden="1" customHeight="1" x14ac:dyDescent="0.25">
      <c r="B632" s="58">
        <v>44882</v>
      </c>
      <c r="C632" s="59" t="s">
        <v>7858</v>
      </c>
      <c r="D632" s="61" t="s">
        <v>7336</v>
      </c>
      <c r="E632" s="61" t="s">
        <v>2805</v>
      </c>
      <c r="F632" s="61"/>
      <c r="G632" s="61" t="s">
        <v>6443</v>
      </c>
      <c r="H632" s="61" t="s">
        <v>7381</v>
      </c>
      <c r="I632" s="62">
        <v>1160</v>
      </c>
      <c r="J632" s="4">
        <f>SUMIF(Cargas!$C$5:$C$3470,C632,Cargas!$O$5:$O$3470)</f>
        <v>0</v>
      </c>
      <c r="K632" s="18">
        <f t="shared" si="12"/>
        <v>1160</v>
      </c>
      <c r="L632" s="63" t="s">
        <v>7859</v>
      </c>
      <c r="M632" s="64">
        <v>226021</v>
      </c>
    </row>
    <row r="633" spans="2:13" ht="13.5" hidden="1" customHeight="1" x14ac:dyDescent="0.25">
      <c r="B633" s="58">
        <v>44896</v>
      </c>
      <c r="C633" s="59" t="s">
        <v>7860</v>
      </c>
      <c r="D633" s="61" t="s">
        <v>7339</v>
      </c>
      <c r="E633" s="61" t="s">
        <v>7303</v>
      </c>
      <c r="F633" s="61"/>
      <c r="G633" s="61" t="s">
        <v>6443</v>
      </c>
      <c r="H633" s="61" t="s">
        <v>6768</v>
      </c>
      <c r="I633" s="62">
        <v>1300</v>
      </c>
      <c r="J633" s="4">
        <f>SUMIF(Cargas!$C$5:$C$3470,C633,Cargas!$O$5:$O$3470)</f>
        <v>0</v>
      </c>
      <c r="K633" s="18">
        <f t="shared" si="12"/>
        <v>1300</v>
      </c>
      <c r="L633" s="63" t="s">
        <v>7861</v>
      </c>
      <c r="M633" s="64">
        <v>229920</v>
      </c>
    </row>
    <row r="634" spans="2:13" ht="13.5" hidden="1" customHeight="1" x14ac:dyDescent="0.25">
      <c r="B634" s="58">
        <v>44882</v>
      </c>
      <c r="C634" s="59" t="s">
        <v>7862</v>
      </c>
      <c r="D634" s="61" t="s">
        <v>7333</v>
      </c>
      <c r="E634" s="61" t="s">
        <v>7284</v>
      </c>
      <c r="F634" s="61"/>
      <c r="G634" s="61" t="s">
        <v>6443</v>
      </c>
      <c r="H634" s="61" t="s">
        <v>6444</v>
      </c>
      <c r="I634" s="62">
        <v>2520</v>
      </c>
      <c r="J634" s="4">
        <f>SUMIF(Cargas!$C$5:$C$3470,C634,Cargas!$O$5:$O$3470)</f>
        <v>0</v>
      </c>
      <c r="K634" s="18">
        <f t="shared" si="12"/>
        <v>2520</v>
      </c>
      <c r="L634" s="63"/>
      <c r="M634" s="64">
        <v>221791</v>
      </c>
    </row>
    <row r="635" spans="2:13" ht="13.5" hidden="1" customHeight="1" x14ac:dyDescent="0.25">
      <c r="B635" s="58">
        <v>44896</v>
      </c>
      <c r="C635" s="59" t="s">
        <v>7863</v>
      </c>
      <c r="D635" s="61" t="s">
        <v>7343</v>
      </c>
      <c r="E635" s="61" t="s">
        <v>7303</v>
      </c>
      <c r="F635" s="61"/>
      <c r="G635" s="61" t="s">
        <v>6443</v>
      </c>
      <c r="H635" s="61" t="s">
        <v>6768</v>
      </c>
      <c r="I635" s="62">
        <v>1200</v>
      </c>
      <c r="J635" s="4">
        <f>SUMIF(Cargas!$C$5:$C$3470,C635,Cargas!$O$5:$O$3470)</f>
        <v>0</v>
      </c>
      <c r="K635" s="18">
        <f t="shared" si="12"/>
        <v>1200</v>
      </c>
      <c r="L635" s="63" t="s">
        <v>7864</v>
      </c>
      <c r="M635" s="64">
        <v>233927</v>
      </c>
    </row>
    <row r="636" spans="2:13" ht="13.5" hidden="1" customHeight="1" x14ac:dyDescent="0.25">
      <c r="B636" s="58">
        <v>44910</v>
      </c>
      <c r="C636" s="59" t="s">
        <v>7865</v>
      </c>
      <c r="D636" s="61" t="s">
        <v>7346</v>
      </c>
      <c r="E636" s="61" t="s">
        <v>2805</v>
      </c>
      <c r="F636" s="61"/>
      <c r="G636" s="61" t="s">
        <v>6443</v>
      </c>
      <c r="H636" s="61" t="s">
        <v>7726</v>
      </c>
      <c r="I636" s="62">
        <v>1094</v>
      </c>
      <c r="J636" s="4">
        <f>SUMIF(Cargas!$C$5:$C$3470,C636,Cargas!$O$5:$O$3470)</f>
        <v>0</v>
      </c>
      <c r="K636" s="18">
        <f t="shared" si="12"/>
        <v>1094</v>
      </c>
      <c r="L636" s="63" t="s">
        <v>7866</v>
      </c>
      <c r="M636" s="64">
        <v>243127</v>
      </c>
    </row>
    <row r="637" spans="2:13" ht="13.5" hidden="1" customHeight="1" x14ac:dyDescent="0.25">
      <c r="B637" s="58">
        <v>44910</v>
      </c>
      <c r="C637" s="59" t="s">
        <v>7867</v>
      </c>
      <c r="D637" s="61" t="s">
        <v>7349</v>
      </c>
      <c r="E637" s="61" t="s">
        <v>7303</v>
      </c>
      <c r="F637" s="61"/>
      <c r="G637" s="61" t="s">
        <v>6443</v>
      </c>
      <c r="H637" s="61" t="s">
        <v>7381</v>
      </c>
      <c r="I637" s="62">
        <v>1216</v>
      </c>
      <c r="J637" s="4">
        <f>SUMIF(Cargas!$C$5:$C$3470,C637,Cargas!$O$5:$O$3470)</f>
        <v>0</v>
      </c>
      <c r="K637" s="18">
        <f t="shared" si="12"/>
        <v>1216</v>
      </c>
      <c r="L637" s="63" t="s">
        <v>7868</v>
      </c>
      <c r="M637" s="64">
        <v>239584</v>
      </c>
    </row>
    <row r="638" spans="2:13" ht="13.5" hidden="1" customHeight="1" x14ac:dyDescent="0.25">
      <c r="B638" s="58">
        <v>44924</v>
      </c>
      <c r="C638" s="59" t="s">
        <v>7869</v>
      </c>
      <c r="D638" s="61" t="s">
        <v>2717</v>
      </c>
      <c r="E638" s="61" t="s">
        <v>2805</v>
      </c>
      <c r="F638" s="61"/>
      <c r="G638" s="61" t="s">
        <v>6443</v>
      </c>
      <c r="H638" s="61" t="s">
        <v>7726</v>
      </c>
      <c r="I638" s="62">
        <v>960</v>
      </c>
      <c r="J638" s="4">
        <f>SUMIF(Cargas!$C$5:$C$3470,C638,Cargas!$O$5:$O$3470)</f>
        <v>0</v>
      </c>
      <c r="K638" s="187">
        <f t="shared" si="12"/>
        <v>960</v>
      </c>
      <c r="L638" s="63" t="s">
        <v>7870</v>
      </c>
      <c r="M638" s="64">
        <v>1499</v>
      </c>
    </row>
    <row r="639" spans="2:13" ht="13.5" hidden="1" customHeight="1" x14ac:dyDescent="0.25">
      <c r="B639" s="58">
        <v>44578</v>
      </c>
      <c r="C639" s="59" t="s">
        <v>7871</v>
      </c>
      <c r="D639" s="61" t="s">
        <v>7567</v>
      </c>
      <c r="E639" s="61" t="s">
        <v>7872</v>
      </c>
      <c r="F639" s="61"/>
      <c r="G639" s="61" t="s">
        <v>7569</v>
      </c>
      <c r="H639" s="61" t="s">
        <v>7570</v>
      </c>
      <c r="I639" s="62">
        <v>990</v>
      </c>
      <c r="J639" s="4">
        <f>SUMIF(Cargas!$C$5:$C$3470,C639,Cargas!$O$5:$O$3470)</f>
        <v>0</v>
      </c>
      <c r="K639" s="18">
        <f t="shared" si="12"/>
        <v>990</v>
      </c>
      <c r="L639" s="63" t="s">
        <v>7873</v>
      </c>
      <c r="M639" s="64">
        <v>17225</v>
      </c>
    </row>
    <row r="640" spans="2:13" ht="13.5" hidden="1" customHeight="1" x14ac:dyDescent="0.25">
      <c r="B640" s="58">
        <v>44924</v>
      </c>
      <c r="C640" s="59" t="s">
        <v>7874</v>
      </c>
      <c r="D640" s="61" t="s">
        <v>7535</v>
      </c>
      <c r="E640" s="61" t="s">
        <v>6442</v>
      </c>
      <c r="F640" s="61"/>
      <c r="G640" s="61" t="s">
        <v>6443</v>
      </c>
      <c r="H640" s="61" t="s">
        <v>6444</v>
      </c>
      <c r="I640" s="62">
        <v>1512</v>
      </c>
      <c r="J640" s="4">
        <f>SUMIF(Cargas!$C$5:$C$3470,C640,Cargas!$O$5:$O$3470)</f>
        <v>0</v>
      </c>
      <c r="K640" s="18">
        <f t="shared" si="12"/>
        <v>1512</v>
      </c>
      <c r="L640" s="63" t="s">
        <v>7875</v>
      </c>
      <c r="M640" s="64">
        <v>2156</v>
      </c>
    </row>
    <row r="641" spans="2:13" ht="13.5" hidden="1" customHeight="1" x14ac:dyDescent="0.25">
      <c r="B641" s="58">
        <v>44810</v>
      </c>
      <c r="C641" s="59" t="s">
        <v>7876</v>
      </c>
      <c r="D641" s="61" t="s">
        <v>7573</v>
      </c>
      <c r="E641" s="61" t="s">
        <v>7877</v>
      </c>
      <c r="F641" s="61"/>
      <c r="G641" s="61" t="s">
        <v>7569</v>
      </c>
      <c r="H641" s="61" t="s">
        <v>7570</v>
      </c>
      <c r="I641" s="62">
        <v>990</v>
      </c>
      <c r="J641" s="4">
        <f>SUMIF(Cargas!$C$5:$C$3471,C641,Cargas!$O$5:$O$3471)</f>
        <v>0</v>
      </c>
      <c r="K641" s="18">
        <f t="shared" si="12"/>
        <v>990</v>
      </c>
      <c r="L641" s="63" t="s">
        <v>7878</v>
      </c>
      <c r="M641" s="64">
        <v>166478</v>
      </c>
    </row>
    <row r="642" spans="2:13" ht="13.5" hidden="1" customHeight="1" x14ac:dyDescent="0.25">
      <c r="B642" s="58">
        <v>44816</v>
      </c>
      <c r="C642" s="59" t="s">
        <v>7879</v>
      </c>
      <c r="D642" s="61" t="s">
        <v>7576</v>
      </c>
      <c r="E642" s="61" t="s">
        <v>7877</v>
      </c>
      <c r="F642" s="61"/>
      <c r="G642" s="61" t="s">
        <v>7569</v>
      </c>
      <c r="H642" s="61" t="s">
        <v>7570</v>
      </c>
      <c r="I642" s="62">
        <v>990</v>
      </c>
      <c r="J642" s="4">
        <f>SUMIF(Cargas!$C$5:$C$3471,C642,Cargas!$O$5:$O$3471)</f>
        <v>0</v>
      </c>
      <c r="K642" s="18">
        <f t="shared" si="12"/>
        <v>990</v>
      </c>
      <c r="L642" s="63" t="s">
        <v>7880</v>
      </c>
      <c r="M642" s="64">
        <v>171270</v>
      </c>
    </row>
    <row r="643" spans="2:13" ht="13.5" hidden="1" customHeight="1" x14ac:dyDescent="0.25">
      <c r="B643" s="58">
        <v>44823</v>
      </c>
      <c r="C643" s="59" t="s">
        <v>7881</v>
      </c>
      <c r="D643" s="61" t="s">
        <v>7579</v>
      </c>
      <c r="E643" s="61" t="s">
        <v>7877</v>
      </c>
      <c r="F643" s="61"/>
      <c r="G643" s="61" t="s">
        <v>7569</v>
      </c>
      <c r="H643" s="61" t="s">
        <v>7570</v>
      </c>
      <c r="I643" s="62">
        <v>990</v>
      </c>
      <c r="J643" s="4">
        <f>SUMIF(Cargas!$C$5:$C$3471,C643,Cargas!$O$5:$O$3471)</f>
        <v>0</v>
      </c>
      <c r="K643" s="18">
        <f t="shared" si="12"/>
        <v>990</v>
      </c>
      <c r="L643" s="63" t="s">
        <v>7882</v>
      </c>
      <c r="M643" s="64">
        <v>173759</v>
      </c>
    </row>
    <row r="644" spans="2:13" ht="13.5" hidden="1" customHeight="1" x14ac:dyDescent="0.25">
      <c r="B644" s="58">
        <v>44823</v>
      </c>
      <c r="C644" s="59" t="s">
        <v>7883</v>
      </c>
      <c r="D644" s="61" t="s">
        <v>7582</v>
      </c>
      <c r="E644" s="61" t="s">
        <v>7877</v>
      </c>
      <c r="F644" s="61"/>
      <c r="G644" s="61" t="s">
        <v>7569</v>
      </c>
      <c r="H644" s="61" t="s">
        <v>7570</v>
      </c>
      <c r="I644" s="62">
        <v>990</v>
      </c>
      <c r="J644" s="4">
        <f>SUMIF(Cargas!$C$5:$C$3471,C644,Cargas!$O$5:$O$3471)</f>
        <v>0</v>
      </c>
      <c r="K644" s="18">
        <f t="shared" si="12"/>
        <v>990</v>
      </c>
      <c r="L644" s="63" t="s">
        <v>7884</v>
      </c>
      <c r="M644" s="64">
        <v>173794</v>
      </c>
    </row>
    <row r="645" spans="2:13" ht="13.5" hidden="1" customHeight="1" x14ac:dyDescent="0.25">
      <c r="B645" s="58">
        <v>44830</v>
      </c>
      <c r="C645" s="59" t="s">
        <v>7885</v>
      </c>
      <c r="D645" s="61" t="s">
        <v>7585</v>
      </c>
      <c r="E645" s="61" t="s">
        <v>7877</v>
      </c>
      <c r="F645" s="61"/>
      <c r="G645" s="61" t="s">
        <v>7569</v>
      </c>
      <c r="H645" s="61" t="s">
        <v>7570</v>
      </c>
      <c r="I645" s="62">
        <v>990</v>
      </c>
      <c r="J645" s="4">
        <f>SUMIF(Cargas!$C$5:$C$3471,C645,Cargas!$O$5:$O$3471)</f>
        <v>0</v>
      </c>
      <c r="K645" s="18">
        <f t="shared" si="12"/>
        <v>990</v>
      </c>
      <c r="L645" s="63" t="s">
        <v>7886</v>
      </c>
      <c r="M645" s="64">
        <v>179288</v>
      </c>
    </row>
    <row r="646" spans="2:13" ht="13.5" hidden="1" customHeight="1" x14ac:dyDescent="0.25">
      <c r="B646" s="58">
        <v>44614</v>
      </c>
      <c r="C646" s="59" t="s">
        <v>7887</v>
      </c>
      <c r="D646" s="61" t="s">
        <v>7744</v>
      </c>
      <c r="E646" s="61" t="s">
        <v>2805</v>
      </c>
      <c r="F646" s="61"/>
      <c r="G646" s="61" t="s">
        <v>6443</v>
      </c>
      <c r="H646" s="61" t="s">
        <v>7888</v>
      </c>
      <c r="I646" s="62">
        <v>1028</v>
      </c>
      <c r="J646" s="4">
        <f>SUMIF(Cargas!$C$5:$C$3470,C646,Cargas!$O$5:$O$3470)</f>
        <v>0</v>
      </c>
      <c r="K646" s="18">
        <f t="shared" si="12"/>
        <v>1028</v>
      </c>
      <c r="L646" s="63" t="s">
        <v>7889</v>
      </c>
      <c r="M646" s="64">
        <v>37749</v>
      </c>
    </row>
    <row r="647" spans="2:13" ht="13.5" hidden="1" customHeight="1" x14ac:dyDescent="0.25">
      <c r="B647" s="58">
        <v>45189</v>
      </c>
      <c r="C647" s="59" t="s">
        <v>7890</v>
      </c>
      <c r="D647" s="61" t="s">
        <v>7842</v>
      </c>
      <c r="E647" s="61" t="s">
        <v>7756</v>
      </c>
      <c r="F647" s="61"/>
      <c r="G647" s="61" t="s">
        <v>6443</v>
      </c>
      <c r="H647" s="61" t="s">
        <v>7756</v>
      </c>
      <c r="I647" s="62">
        <v>25000</v>
      </c>
      <c r="J647" s="4">
        <f>SUMIF(Cargas!$C$5:$C$3470,C647,Cargas!$O$5:$O$3470)</f>
        <v>0</v>
      </c>
      <c r="K647" s="18">
        <f t="shared" si="12"/>
        <v>25000</v>
      </c>
      <c r="L647" s="63"/>
      <c r="M647" s="64">
        <v>177634</v>
      </c>
    </row>
    <row r="648" spans="2:13" ht="13.5" hidden="1" customHeight="1" x14ac:dyDescent="0.25">
      <c r="B648" s="58">
        <v>44644</v>
      </c>
      <c r="C648" s="59" t="s">
        <v>7891</v>
      </c>
      <c r="D648" s="61" t="s">
        <v>7750</v>
      </c>
      <c r="E648" s="61" t="s">
        <v>2805</v>
      </c>
      <c r="F648" s="61"/>
      <c r="G648" s="61" t="s">
        <v>6443</v>
      </c>
      <c r="H648" s="61" t="s">
        <v>6768</v>
      </c>
      <c r="I648" s="62">
        <v>954</v>
      </c>
      <c r="J648" s="4">
        <f>SUMIF(Cargas!$C$5:$C$3470,C648,Cargas!$O$5:$O$3470)</f>
        <v>0</v>
      </c>
      <c r="K648" s="18">
        <f t="shared" si="12"/>
        <v>954</v>
      </c>
      <c r="L648" s="63" t="s">
        <v>7892</v>
      </c>
      <c r="M648" s="64">
        <v>54811</v>
      </c>
    </row>
    <row r="649" spans="2:13" ht="13.5" hidden="1" customHeight="1" x14ac:dyDescent="0.25">
      <c r="B649" s="58">
        <v>45197</v>
      </c>
      <c r="C649" s="59" t="s">
        <v>7893</v>
      </c>
      <c r="D649" s="61" t="s">
        <v>7327</v>
      </c>
      <c r="E649" s="61" t="s">
        <v>7756</v>
      </c>
      <c r="F649" s="61"/>
      <c r="G649" s="61" t="s">
        <v>6443</v>
      </c>
      <c r="H649" s="61" t="s">
        <v>7756</v>
      </c>
      <c r="I649" s="62">
        <v>24500</v>
      </c>
      <c r="J649" s="4">
        <f>SUMIF(Cargas!$C$5:$C$3470,C649,Cargas!$O$5:$O$3470)</f>
        <v>0</v>
      </c>
      <c r="K649" s="18">
        <f t="shared" si="12"/>
        <v>24500</v>
      </c>
      <c r="L649" s="63" t="s">
        <v>7894</v>
      </c>
      <c r="M649" s="64">
        <v>184265</v>
      </c>
    </row>
    <row r="650" spans="2:13" ht="13.5" hidden="1" customHeight="1" x14ac:dyDescent="0.25">
      <c r="B650" s="58">
        <v>44665</v>
      </c>
      <c r="C650" s="59" t="s">
        <v>7895</v>
      </c>
      <c r="D650" s="61" t="s">
        <v>7753</v>
      </c>
      <c r="E650" s="61" t="s">
        <v>2805</v>
      </c>
      <c r="F650" s="61"/>
      <c r="G650" s="61" t="s">
        <v>6443</v>
      </c>
      <c r="H650" s="61" t="s">
        <v>7381</v>
      </c>
      <c r="I650" s="62">
        <v>954</v>
      </c>
      <c r="J650" s="4">
        <f>SUMIF(Cargas!$C$5:$C$3470,C650,Cargas!$O$5:$O$3470)</f>
        <v>0</v>
      </c>
      <c r="K650" s="18">
        <f t="shared" si="12"/>
        <v>954</v>
      </c>
      <c r="L650" s="63" t="s">
        <v>7892</v>
      </c>
      <c r="M650" s="64">
        <v>68592</v>
      </c>
    </row>
    <row r="651" spans="2:13" ht="13.5" hidden="1" customHeight="1" x14ac:dyDescent="0.25">
      <c r="B651" s="58">
        <v>45203</v>
      </c>
      <c r="C651" s="59" t="s">
        <v>7896</v>
      </c>
      <c r="D651" s="61" t="s">
        <v>7330</v>
      </c>
      <c r="E651" s="61" t="s">
        <v>7756</v>
      </c>
      <c r="F651" s="61"/>
      <c r="G651" s="61" t="s">
        <v>6443</v>
      </c>
      <c r="H651" s="61" t="s">
        <v>7756</v>
      </c>
      <c r="I651" s="62">
        <v>1318</v>
      </c>
      <c r="J651" s="4">
        <f>SUMIF(Cargas!$C$5:$C$3470,C651,Cargas!$O$5:$O$3470)</f>
        <v>0</v>
      </c>
      <c r="K651" s="18">
        <f t="shared" si="12"/>
        <v>1318</v>
      </c>
      <c r="L651" s="63"/>
      <c r="M651" s="64">
        <v>189429</v>
      </c>
    </row>
    <row r="652" spans="2:13" ht="13.5" hidden="1" customHeight="1" x14ac:dyDescent="0.25">
      <c r="B652" s="58">
        <v>44679</v>
      </c>
      <c r="C652" s="59" t="s">
        <v>7897</v>
      </c>
      <c r="D652" s="61" t="s">
        <v>7731</v>
      </c>
      <c r="E652" s="61" t="s">
        <v>2805</v>
      </c>
      <c r="F652" s="61"/>
      <c r="G652" s="61" t="s">
        <v>6443</v>
      </c>
      <c r="H652" s="61" t="s">
        <v>6768</v>
      </c>
      <c r="I652" s="62">
        <v>954</v>
      </c>
      <c r="J652" s="4">
        <f>SUMIF(Cargas!$C$5:$C$3470,C652,Cargas!$O$5:$O$3470)</f>
        <v>0</v>
      </c>
      <c r="K652" s="18">
        <f t="shared" si="12"/>
        <v>954</v>
      </c>
      <c r="L652" s="63" t="s">
        <v>7898</v>
      </c>
      <c r="M652" s="64" t="s">
        <v>299</v>
      </c>
    </row>
    <row r="653" spans="2:13" ht="13.5" hidden="1" customHeight="1" x14ac:dyDescent="0.25">
      <c r="B653" s="46">
        <v>45205</v>
      </c>
      <c r="C653" s="6" t="s">
        <v>7899</v>
      </c>
      <c r="D653" s="2" t="s">
        <v>7333</v>
      </c>
      <c r="E653" s="2" t="s">
        <v>7756</v>
      </c>
      <c r="F653" s="2"/>
      <c r="G653" s="2" t="s">
        <v>6443</v>
      </c>
      <c r="H653" s="2" t="s">
        <v>7756</v>
      </c>
      <c r="I653" s="3">
        <v>25000</v>
      </c>
      <c r="J653" s="4">
        <f>SUMIF(Cargas!$C$5:$C$3470,C653,Cargas!$O$5:$O$3470)</f>
        <v>0</v>
      </c>
      <c r="K653" s="18">
        <f t="shared" si="12"/>
        <v>25000</v>
      </c>
      <c r="L653" s="5" t="s">
        <v>7900</v>
      </c>
      <c r="M653" s="37">
        <v>190212</v>
      </c>
    </row>
    <row r="654" spans="2:13" ht="13.5" hidden="1" customHeight="1" x14ac:dyDescent="0.25">
      <c r="B654" s="46">
        <v>45215</v>
      </c>
      <c r="C654" s="6" t="s">
        <v>7901</v>
      </c>
      <c r="D654" s="2" t="s">
        <v>7343</v>
      </c>
      <c r="E654" s="2" t="s">
        <v>7756</v>
      </c>
      <c r="F654" s="2"/>
      <c r="G654" s="2" t="s">
        <v>6443</v>
      </c>
      <c r="H654" s="2" t="s">
        <v>7756</v>
      </c>
      <c r="I654" s="3">
        <v>1450</v>
      </c>
      <c r="J654" s="4">
        <f>SUMIF(Cargas!$C$5:$C$3470,C654,Cargas!$O$5:$O$3470)</f>
        <v>0</v>
      </c>
      <c r="K654" s="18">
        <f t="shared" si="12"/>
        <v>1450</v>
      </c>
      <c r="L654" s="5" t="s">
        <v>7902</v>
      </c>
      <c r="M654" s="37">
        <v>196690</v>
      </c>
    </row>
    <row r="655" spans="2:13" ht="13.5" hidden="1" customHeight="1" x14ac:dyDescent="0.25">
      <c r="B655" s="58">
        <v>45233</v>
      </c>
      <c r="C655" s="59" t="s">
        <v>7903</v>
      </c>
      <c r="D655" s="61" t="s">
        <v>7535</v>
      </c>
      <c r="E655" s="61" t="s">
        <v>7756</v>
      </c>
      <c r="F655" s="61"/>
      <c r="G655" s="61" t="s">
        <v>6443</v>
      </c>
      <c r="H655" s="61" t="s">
        <v>7756</v>
      </c>
      <c r="I655" s="62">
        <v>1614</v>
      </c>
      <c r="J655" s="4">
        <f>SUMIF(Cargas!$C$5:$C$3470,C655,Cargas!$O$5:$O$3470)</f>
        <v>0</v>
      </c>
      <c r="K655" s="18">
        <f t="shared" si="12"/>
        <v>1614</v>
      </c>
      <c r="L655" s="63" t="s">
        <v>7902</v>
      </c>
      <c r="M655" s="64">
        <v>210240</v>
      </c>
    </row>
    <row r="656" spans="2:13" ht="13.5" hidden="1" customHeight="1" x14ac:dyDescent="0.25">
      <c r="B656" s="58">
        <v>44694</v>
      </c>
      <c r="C656" s="59" t="s">
        <v>7904</v>
      </c>
      <c r="D656" s="61" t="s">
        <v>7734</v>
      </c>
      <c r="E656" s="61" t="s">
        <v>2805</v>
      </c>
      <c r="F656" s="61"/>
      <c r="G656" s="61" t="s">
        <v>6443</v>
      </c>
      <c r="H656" s="61" t="s">
        <v>6768</v>
      </c>
      <c r="I656" s="62">
        <v>954</v>
      </c>
      <c r="J656" s="4">
        <f>SUMIF(Cargas!$C$5:$C$3470,C656,Cargas!$O$5:$O$3470)</f>
        <v>0</v>
      </c>
      <c r="K656" s="18">
        <f t="shared" si="12"/>
        <v>954</v>
      </c>
      <c r="L656" s="63" t="s">
        <v>7905</v>
      </c>
      <c r="M656" s="64">
        <v>86235</v>
      </c>
    </row>
    <row r="657" spans="2:13" ht="13.5" hidden="1" customHeight="1" x14ac:dyDescent="0.25">
      <c r="B657" s="58">
        <v>45252</v>
      </c>
      <c r="C657" s="59" t="s">
        <v>7906</v>
      </c>
      <c r="D657" s="61" t="s">
        <v>7538</v>
      </c>
      <c r="E657" s="61" t="s">
        <v>7756</v>
      </c>
      <c r="F657" s="61"/>
      <c r="G657" s="61" t="s">
        <v>6443</v>
      </c>
      <c r="H657" s="61" t="s">
        <v>7756</v>
      </c>
      <c r="I657" s="62">
        <v>1226</v>
      </c>
      <c r="J657" s="4">
        <f>SUMIF(Cargas!$C$5:$C$3470,C657,Cargas!$O$5:$O$3470)</f>
        <v>0</v>
      </c>
      <c r="K657" s="18">
        <f t="shared" si="12"/>
        <v>1226</v>
      </c>
      <c r="L657" s="63" t="s">
        <v>7907</v>
      </c>
      <c r="M657" s="64">
        <v>225227</v>
      </c>
    </row>
    <row r="658" spans="2:13" ht="13.5" hidden="1" customHeight="1" x14ac:dyDescent="0.25">
      <c r="B658" s="58">
        <v>44844</v>
      </c>
      <c r="C658" s="59" t="s">
        <v>7908</v>
      </c>
      <c r="D658" s="61" t="s">
        <v>7588</v>
      </c>
      <c r="E658" s="61" t="s">
        <v>7877</v>
      </c>
      <c r="F658" s="61"/>
      <c r="G658" s="61" t="s">
        <v>7569</v>
      </c>
      <c r="H658" s="61" t="s">
        <v>7570</v>
      </c>
      <c r="I658" s="62">
        <v>990</v>
      </c>
      <c r="J658" s="4">
        <f>SUMIF(Cargas!$C$5:$C$3471,C658,Cargas!$O$5:$O$3471)</f>
        <v>0</v>
      </c>
      <c r="K658" s="18">
        <f t="shared" si="12"/>
        <v>990</v>
      </c>
      <c r="L658" s="63" t="s">
        <v>7909</v>
      </c>
      <c r="M658" s="64">
        <v>191609</v>
      </c>
    </row>
    <row r="659" spans="2:13" ht="13.5" hidden="1" customHeight="1" x14ac:dyDescent="0.25">
      <c r="B659" s="58">
        <v>44852</v>
      </c>
      <c r="C659" s="59" t="s">
        <v>7910</v>
      </c>
      <c r="D659" s="61" t="s">
        <v>7591</v>
      </c>
      <c r="E659" s="61" t="s">
        <v>7877</v>
      </c>
      <c r="F659" s="61"/>
      <c r="G659" s="61" t="s">
        <v>7569</v>
      </c>
      <c r="H659" s="61" t="s">
        <v>7570</v>
      </c>
      <c r="I659" s="62">
        <v>990</v>
      </c>
      <c r="J659" s="4">
        <f>SUMIF(Cargas!$C$5:$C$3471,C659,Cargas!$O$5:$O$3471)</f>
        <v>0</v>
      </c>
      <c r="K659" s="18">
        <f t="shared" si="12"/>
        <v>990</v>
      </c>
      <c r="L659" s="63" t="s">
        <v>7911</v>
      </c>
      <c r="M659" s="64">
        <v>197197</v>
      </c>
    </row>
    <row r="660" spans="2:13" ht="13.5" hidden="1" customHeight="1" x14ac:dyDescent="0.25">
      <c r="B660" s="58">
        <v>44858</v>
      </c>
      <c r="C660" s="59" t="s">
        <v>7912</v>
      </c>
      <c r="D660" s="61" t="s">
        <v>7593</v>
      </c>
      <c r="E660" s="61" t="s">
        <v>7877</v>
      </c>
      <c r="F660" s="61"/>
      <c r="G660" s="61" t="s">
        <v>7569</v>
      </c>
      <c r="H660" s="61" t="s">
        <v>7570</v>
      </c>
      <c r="I660" s="62">
        <v>990</v>
      </c>
      <c r="J660" s="4">
        <f>SUMIF(Cargas!$C$5:$C$3471,C660,Cargas!$O$5:$O$3471)</f>
        <v>0</v>
      </c>
      <c r="K660" s="18">
        <f t="shared" si="12"/>
        <v>990</v>
      </c>
      <c r="L660" s="63" t="s">
        <v>7913</v>
      </c>
      <c r="M660" s="64" t="s">
        <v>299</v>
      </c>
    </row>
    <row r="661" spans="2:13" ht="13.5" hidden="1" customHeight="1" x14ac:dyDescent="0.25">
      <c r="B661" s="58">
        <v>44862</v>
      </c>
      <c r="C661" s="59" t="s">
        <v>7914</v>
      </c>
      <c r="D661" s="61" t="s">
        <v>7596</v>
      </c>
      <c r="E661" s="61" t="s">
        <v>7877</v>
      </c>
      <c r="F661" s="61"/>
      <c r="G661" s="61" t="s">
        <v>7569</v>
      </c>
      <c r="H661" s="61" t="s">
        <v>7915</v>
      </c>
      <c r="I661" s="62">
        <v>2970</v>
      </c>
      <c r="J661" s="4">
        <f>SUMIF(Cargas!$C$5:$C$3471,C661,Cargas!$O$5:$O$3471)</f>
        <v>0</v>
      </c>
      <c r="K661" s="18">
        <f t="shared" si="12"/>
        <v>2970</v>
      </c>
      <c r="L661" s="63" t="s">
        <v>7916</v>
      </c>
      <c r="M661" s="64">
        <v>205827</v>
      </c>
    </row>
    <row r="662" spans="2:13" ht="13.5" hidden="1" customHeight="1" x14ac:dyDescent="0.25">
      <c r="B662" s="58">
        <v>44862</v>
      </c>
      <c r="C662" s="59" t="s">
        <v>7917</v>
      </c>
      <c r="D662" s="61" t="s">
        <v>7599</v>
      </c>
      <c r="E662" s="61" t="s">
        <v>7877</v>
      </c>
      <c r="F662" s="61"/>
      <c r="G662" s="61" t="s">
        <v>7569</v>
      </c>
      <c r="H662" s="61" t="s">
        <v>7918</v>
      </c>
      <c r="I662" s="62">
        <v>990</v>
      </c>
      <c r="J662" s="4">
        <f>SUMIF(Cargas!$C$5:$C$3471,C662,Cargas!$O$5:$O$3471)</f>
        <v>0</v>
      </c>
      <c r="K662" s="18">
        <f t="shared" si="12"/>
        <v>990</v>
      </c>
      <c r="L662" s="63" t="s">
        <v>7919</v>
      </c>
      <c r="M662" s="64">
        <v>205904</v>
      </c>
    </row>
    <row r="663" spans="2:13" ht="13.5" hidden="1" customHeight="1" x14ac:dyDescent="0.25">
      <c r="B663" s="58">
        <v>44865</v>
      </c>
      <c r="C663" s="59" t="s">
        <v>7920</v>
      </c>
      <c r="D663" s="61" t="s">
        <v>7602</v>
      </c>
      <c r="E663" s="61" t="s">
        <v>7877</v>
      </c>
      <c r="F663" s="61"/>
      <c r="G663" s="61" t="s">
        <v>7569</v>
      </c>
      <c r="H663" s="61" t="s">
        <v>7570</v>
      </c>
      <c r="I663" s="62">
        <v>2970</v>
      </c>
      <c r="J663" s="4">
        <f>SUMIF(Cargas!$C$5:$C$3471,C663,Cargas!$O$5:$O$3471)</f>
        <v>0</v>
      </c>
      <c r="K663" s="18">
        <f t="shared" si="12"/>
        <v>2970</v>
      </c>
      <c r="L663" s="63" t="s">
        <v>7921</v>
      </c>
      <c r="M663" s="64">
        <v>206213</v>
      </c>
    </row>
    <row r="664" spans="2:13" ht="13.5" hidden="1" customHeight="1" x14ac:dyDescent="0.25">
      <c r="B664" s="58">
        <v>44726</v>
      </c>
      <c r="C664" s="59" t="s">
        <v>7922</v>
      </c>
      <c r="D664" s="61" t="s">
        <v>7737</v>
      </c>
      <c r="E664" s="61" t="s">
        <v>2805</v>
      </c>
      <c r="F664" s="61"/>
      <c r="G664" s="61" t="s">
        <v>6443</v>
      </c>
      <c r="H664" s="61" t="s">
        <v>6768</v>
      </c>
      <c r="I664" s="62">
        <v>954</v>
      </c>
      <c r="J664" s="4">
        <f>SUMIF(Cargas!$C$5:$C$3470,C664,Cargas!$O$5:$O$3470)</f>
        <v>0</v>
      </c>
      <c r="K664" s="18">
        <f t="shared" si="12"/>
        <v>954</v>
      </c>
      <c r="L664" s="63" t="s">
        <v>7923</v>
      </c>
      <c r="M664" s="64">
        <v>109592</v>
      </c>
    </row>
    <row r="665" spans="2:13" ht="13.5" hidden="1" customHeight="1" x14ac:dyDescent="0.25">
      <c r="B665" s="46">
        <v>45266</v>
      </c>
      <c r="C665" s="6" t="s">
        <v>7924</v>
      </c>
      <c r="D665" s="2" t="s">
        <v>7543</v>
      </c>
      <c r="E665" s="2" t="s">
        <v>7756</v>
      </c>
      <c r="F665" s="2"/>
      <c r="G665" s="2" t="s">
        <v>6443</v>
      </c>
      <c r="H665" s="2" t="s">
        <v>7756</v>
      </c>
      <c r="I665" s="3">
        <v>1554</v>
      </c>
      <c r="J665" s="4">
        <f>SUMIF(Cargas!$C$5:$C$3470,C665,Cargas!$O$5:$O$3470)</f>
        <v>0</v>
      </c>
      <c r="K665" s="18">
        <f t="shared" si="12"/>
        <v>1554</v>
      </c>
      <c r="L665" s="5"/>
      <c r="M665" s="37">
        <v>235932</v>
      </c>
    </row>
    <row r="666" spans="2:13" ht="13.5" hidden="1" customHeight="1" x14ac:dyDescent="0.25">
      <c r="B666" s="58">
        <v>45283</v>
      </c>
      <c r="C666" s="59" t="s">
        <v>7925</v>
      </c>
      <c r="D666" s="61" t="s">
        <v>7926</v>
      </c>
      <c r="E666" s="61" t="s">
        <v>7756</v>
      </c>
      <c r="F666" s="61"/>
      <c r="G666" s="61" t="s">
        <v>6443</v>
      </c>
      <c r="H666" s="61" t="s">
        <v>6862</v>
      </c>
      <c r="I666" s="62">
        <v>1243</v>
      </c>
      <c r="J666" s="4">
        <f>SUMIF(Cargas!$C$5:$C$3470,C666,Cargas!$O$5:$O$3470)</f>
        <v>0</v>
      </c>
      <c r="K666" s="18">
        <f t="shared" si="12"/>
        <v>1243</v>
      </c>
      <c r="L666" s="63" t="s">
        <v>7927</v>
      </c>
      <c r="M666" s="64">
        <v>249413</v>
      </c>
    </row>
    <row r="667" spans="2:13" ht="13.5" hidden="1" customHeight="1" x14ac:dyDescent="0.25">
      <c r="B667" s="58">
        <v>44749</v>
      </c>
      <c r="C667" s="59" t="s">
        <v>7928</v>
      </c>
      <c r="D667" s="61" t="s">
        <v>7747</v>
      </c>
      <c r="E667" s="61" t="s">
        <v>2805</v>
      </c>
      <c r="F667" s="61"/>
      <c r="G667" s="61" t="s">
        <v>6443</v>
      </c>
      <c r="H667" s="61" t="s">
        <v>6768</v>
      </c>
      <c r="I667" s="62">
        <v>954</v>
      </c>
      <c r="J667" s="4">
        <f>SUMIF(Cargas!$C$5:$C$3470,C667,Cargas!$O$5:$O$3470)</f>
        <v>0</v>
      </c>
      <c r="K667" s="18">
        <f t="shared" si="12"/>
        <v>954</v>
      </c>
      <c r="L667" s="63" t="s">
        <v>7929</v>
      </c>
      <c r="M667" s="64">
        <v>124013</v>
      </c>
    </row>
    <row r="668" spans="2:13" ht="13.5" hidden="1" customHeight="1" x14ac:dyDescent="0.25">
      <c r="B668" s="58">
        <v>45093</v>
      </c>
      <c r="C668" s="59" t="s">
        <v>7930</v>
      </c>
      <c r="D668" s="61" t="s">
        <v>7931</v>
      </c>
      <c r="E668" s="61" t="s">
        <v>7756</v>
      </c>
      <c r="F668" s="61"/>
      <c r="G668" s="61" t="s">
        <v>6443</v>
      </c>
      <c r="H668" s="61" t="s">
        <v>7756</v>
      </c>
      <c r="I668" s="62">
        <v>900</v>
      </c>
      <c r="J668" s="4">
        <f>SUMIF(Cargas!$C$5:$C$3470,C668,Cargas!$O$5:$O$3470)</f>
        <v>0</v>
      </c>
      <c r="K668" s="18">
        <f t="shared" si="12"/>
        <v>900</v>
      </c>
      <c r="L668" s="63" t="s">
        <v>7932</v>
      </c>
      <c r="M668" s="64">
        <v>111680</v>
      </c>
    </row>
    <row r="669" spans="2:13" ht="13.5" hidden="1" customHeight="1" x14ac:dyDescent="0.25">
      <c r="B669" s="58">
        <v>45191</v>
      </c>
      <c r="C669" s="59" t="s">
        <v>7933</v>
      </c>
      <c r="D669" s="61" t="s">
        <v>6492</v>
      </c>
      <c r="E669" s="61" t="s">
        <v>7934</v>
      </c>
      <c r="F669" s="61"/>
      <c r="G669" s="61" t="s">
        <v>6443</v>
      </c>
      <c r="H669" s="61" t="s">
        <v>6444</v>
      </c>
      <c r="I669" s="62">
        <v>1104</v>
      </c>
      <c r="J669" s="4">
        <f>SUMIF(Cargas!$C$5:$C$3470,C669,Cargas!$O$5:$O$3470)</f>
        <v>0</v>
      </c>
      <c r="K669" s="18">
        <f t="shared" si="12"/>
        <v>1104</v>
      </c>
      <c r="L669" s="63" t="s">
        <v>7935</v>
      </c>
      <c r="M669" s="64">
        <v>183150</v>
      </c>
    </row>
    <row r="670" spans="2:13" ht="13.5" hidden="1" customHeight="1" x14ac:dyDescent="0.25">
      <c r="B670" s="46">
        <v>45198</v>
      </c>
      <c r="C670" s="6" t="s">
        <v>7936</v>
      </c>
      <c r="D670" s="2" t="s">
        <v>6496</v>
      </c>
      <c r="E670" s="2" t="s">
        <v>7934</v>
      </c>
      <c r="F670" s="2"/>
      <c r="G670" s="2" t="s">
        <v>6443</v>
      </c>
      <c r="H670" s="2" t="s">
        <v>6444</v>
      </c>
      <c r="I670" s="3">
        <v>1104</v>
      </c>
      <c r="J670" s="4">
        <f>SUMIF(Cargas!$C$5:$C$3470,C670,Cargas!$O$5:$O$3470)</f>
        <v>0</v>
      </c>
      <c r="K670" s="18">
        <f t="shared" si="12"/>
        <v>1104</v>
      </c>
      <c r="L670" s="5" t="s">
        <v>7937</v>
      </c>
      <c r="M670" s="37">
        <v>190547</v>
      </c>
    </row>
    <row r="671" spans="2:13" ht="13.5" hidden="1" customHeight="1" x14ac:dyDescent="0.25">
      <c r="B671" s="46">
        <v>45209</v>
      </c>
      <c r="C671" s="6" t="s">
        <v>7938</v>
      </c>
      <c r="D671" s="2" t="s">
        <v>6499</v>
      </c>
      <c r="E671" s="2" t="s">
        <v>7934</v>
      </c>
      <c r="F671" s="2"/>
      <c r="G671" s="2" t="s">
        <v>6443</v>
      </c>
      <c r="H671" s="2" t="s">
        <v>6444</v>
      </c>
      <c r="I671" s="3">
        <v>1104</v>
      </c>
      <c r="J671" s="4">
        <f>SUMIF(Cargas!$C$5:$C$3470,C671,Cargas!$O$5:$O$3470)</f>
        <v>0</v>
      </c>
      <c r="K671" s="18">
        <f t="shared" si="12"/>
        <v>1104</v>
      </c>
      <c r="L671" s="5" t="s">
        <v>7939</v>
      </c>
      <c r="M671" s="37">
        <v>199171</v>
      </c>
    </row>
    <row r="672" spans="2:13" ht="13.5" hidden="1" customHeight="1" x14ac:dyDescent="0.25">
      <c r="B672" s="46">
        <v>45211</v>
      </c>
      <c r="C672" s="6" t="s">
        <v>7940</v>
      </c>
      <c r="D672" s="2" t="s">
        <v>6499</v>
      </c>
      <c r="E672" s="2" t="s">
        <v>7934</v>
      </c>
      <c r="F672" s="2"/>
      <c r="G672" s="2" t="s">
        <v>6443</v>
      </c>
      <c r="H672" s="2" t="s">
        <v>6444</v>
      </c>
      <c r="I672" s="3">
        <v>1104</v>
      </c>
      <c r="J672" s="4">
        <f>SUMIF(Cargas!$C$5:$C$3470,C672,Cargas!$O$5:$O$3470)</f>
        <v>0</v>
      </c>
      <c r="K672" s="18">
        <f t="shared" si="12"/>
        <v>1104</v>
      </c>
      <c r="L672" s="5" t="s">
        <v>7939</v>
      </c>
      <c r="M672" s="37">
        <v>199171</v>
      </c>
    </row>
    <row r="673" spans="2:13" ht="13.5" hidden="1" customHeight="1" x14ac:dyDescent="0.25">
      <c r="B673" s="58">
        <v>45218</v>
      </c>
      <c r="C673" s="59" t="s">
        <v>7941</v>
      </c>
      <c r="D673" s="61" t="s">
        <v>6504</v>
      </c>
      <c r="E673" s="61" t="s">
        <v>7934</v>
      </c>
      <c r="F673" s="61"/>
      <c r="G673" s="61" t="s">
        <v>6443</v>
      </c>
      <c r="H673" s="61" t="s">
        <v>6444</v>
      </c>
      <c r="I673" s="62">
        <v>1104</v>
      </c>
      <c r="J673" s="4">
        <f>SUMIF(Cargas!$C$5:$C$3470,C673,Cargas!$O$5:$O$3470)</f>
        <v>0</v>
      </c>
      <c r="K673" s="18">
        <f t="shared" si="12"/>
        <v>1104</v>
      </c>
      <c r="L673" s="63" t="s">
        <v>7942</v>
      </c>
      <c r="M673" s="64">
        <v>202410</v>
      </c>
    </row>
    <row r="674" spans="2:13" ht="13.5" hidden="1" customHeight="1" x14ac:dyDescent="0.25">
      <c r="B674" s="58">
        <v>45219</v>
      </c>
      <c r="C674" s="59" t="s">
        <v>7943</v>
      </c>
      <c r="D674" s="61" t="s">
        <v>6504</v>
      </c>
      <c r="E674" s="61" t="s">
        <v>7934</v>
      </c>
      <c r="F674" s="61"/>
      <c r="G674" s="61" t="s">
        <v>6443</v>
      </c>
      <c r="H674" s="61" t="s">
        <v>6444</v>
      </c>
      <c r="I674" s="62">
        <v>1104</v>
      </c>
      <c r="J674" s="4">
        <f>SUMIF(Cargas!$C$5:$C$3470,C674,Cargas!$O$5:$O$3470)</f>
        <v>0</v>
      </c>
      <c r="K674" s="18">
        <f t="shared" si="12"/>
        <v>1104</v>
      </c>
      <c r="L674" s="63" t="s">
        <v>7942</v>
      </c>
      <c r="M674" s="64">
        <v>202410</v>
      </c>
    </row>
    <row r="675" spans="2:13" ht="13.5" hidden="1" customHeight="1" x14ac:dyDescent="0.25">
      <c r="B675" s="58">
        <v>45224</v>
      </c>
      <c r="C675" s="59" t="s">
        <v>7944</v>
      </c>
      <c r="D675" s="61" t="s">
        <v>6507</v>
      </c>
      <c r="E675" s="61" t="s">
        <v>7934</v>
      </c>
      <c r="F675" s="61"/>
      <c r="G675" s="61" t="s">
        <v>6443</v>
      </c>
      <c r="H675" s="61" t="s">
        <v>6444</v>
      </c>
      <c r="I675" s="62">
        <v>1104</v>
      </c>
      <c r="J675" s="4">
        <f>SUMIF(Cargas!$C$5:$C$3470,C675,Cargas!$O$5:$O$3470)</f>
        <v>0</v>
      </c>
      <c r="K675" s="18">
        <f t="shared" si="12"/>
        <v>1104</v>
      </c>
      <c r="L675" s="63" t="s">
        <v>7945</v>
      </c>
      <c r="M675" s="64">
        <v>208248</v>
      </c>
    </row>
    <row r="676" spans="2:13" ht="13.5" hidden="1" customHeight="1" x14ac:dyDescent="0.25">
      <c r="B676" s="58">
        <v>45225</v>
      </c>
      <c r="C676" s="59" t="s">
        <v>7946</v>
      </c>
      <c r="D676" s="61" t="s">
        <v>6507</v>
      </c>
      <c r="E676" s="61" t="s">
        <v>7934</v>
      </c>
      <c r="F676" s="61"/>
      <c r="G676" s="61" t="s">
        <v>6443</v>
      </c>
      <c r="H676" s="61" t="s">
        <v>6444</v>
      </c>
      <c r="I676" s="62">
        <v>1104</v>
      </c>
      <c r="J676" s="4">
        <f>SUMIF(Cargas!$C$5:$C$3470,C676,Cargas!$O$5:$O$3470)</f>
        <v>0</v>
      </c>
      <c r="K676" s="18">
        <f t="shared" si="12"/>
        <v>1104</v>
      </c>
      <c r="L676" s="63" t="s">
        <v>7945</v>
      </c>
      <c r="M676" s="64">
        <v>208248</v>
      </c>
    </row>
    <row r="677" spans="2:13" ht="13.5" hidden="1" customHeight="1" x14ac:dyDescent="0.25">
      <c r="B677" s="58">
        <v>45225</v>
      </c>
      <c r="C677" s="59" t="s">
        <v>7947</v>
      </c>
      <c r="D677" s="61" t="s">
        <v>6510</v>
      </c>
      <c r="E677" s="61" t="s">
        <v>7934</v>
      </c>
      <c r="F677" s="61"/>
      <c r="G677" s="61" t="s">
        <v>6443</v>
      </c>
      <c r="H677" s="61" t="s">
        <v>6444</v>
      </c>
      <c r="I677" s="62">
        <v>1104</v>
      </c>
      <c r="J677" s="4">
        <f>SUMIF(Cargas!$C$5:$C$3470,C677,Cargas!$O$5:$O$3470)</f>
        <v>0</v>
      </c>
      <c r="K677" s="18">
        <f t="shared" si="12"/>
        <v>1104</v>
      </c>
      <c r="L677" s="63" t="s">
        <v>7948</v>
      </c>
      <c r="M677" s="64">
        <v>208248</v>
      </c>
    </row>
    <row r="678" spans="2:13" ht="13.5" hidden="1" customHeight="1" x14ac:dyDescent="0.25">
      <c r="B678" s="58">
        <v>45225</v>
      </c>
      <c r="C678" s="59" t="s">
        <v>7949</v>
      </c>
      <c r="D678" s="61" t="s">
        <v>6510</v>
      </c>
      <c r="E678" s="61" t="s">
        <v>7934</v>
      </c>
      <c r="F678" s="61"/>
      <c r="G678" s="61" t="s">
        <v>6443</v>
      </c>
      <c r="H678" s="61" t="s">
        <v>6444</v>
      </c>
      <c r="I678" s="62">
        <v>1104</v>
      </c>
      <c r="J678" s="4">
        <f>SUMIF(Cargas!$C$5:$C$3470,C678,Cargas!$O$5:$O$3470)</f>
        <v>0</v>
      </c>
      <c r="K678" s="18">
        <f t="shared" ref="K678:K741" si="13">IF(ABS(I678-J678)&lt;20,0,I678-J678)</f>
        <v>1104</v>
      </c>
      <c r="L678" s="63" t="s">
        <v>7948</v>
      </c>
      <c r="M678" s="64">
        <v>208248</v>
      </c>
    </row>
    <row r="679" spans="2:13" ht="13.5" hidden="1" customHeight="1" x14ac:dyDescent="0.25">
      <c r="B679" s="58">
        <v>44763</v>
      </c>
      <c r="C679" s="59" t="s">
        <v>7950</v>
      </c>
      <c r="D679" s="61" t="s">
        <v>7721</v>
      </c>
      <c r="E679" s="61" t="s">
        <v>2805</v>
      </c>
      <c r="F679" s="61"/>
      <c r="G679" s="61" t="s">
        <v>6443</v>
      </c>
      <c r="H679" s="61" t="s">
        <v>6768</v>
      </c>
      <c r="I679" s="62">
        <v>954</v>
      </c>
      <c r="J679" s="4">
        <f>SUMIF(Cargas!$C$5:$C$3470,C679,Cargas!$O$5:$O$3470)</f>
        <v>0</v>
      </c>
      <c r="K679" s="18">
        <f t="shared" si="13"/>
        <v>954</v>
      </c>
      <c r="L679" s="63" t="s">
        <v>7951</v>
      </c>
      <c r="M679" s="64">
        <v>133257</v>
      </c>
    </row>
    <row r="680" spans="2:13" ht="13.5" hidden="1" customHeight="1" x14ac:dyDescent="0.25">
      <c r="B680" s="58">
        <v>44776</v>
      </c>
      <c r="C680" s="59" t="s">
        <v>7952</v>
      </c>
      <c r="D680" s="61" t="s">
        <v>7953</v>
      </c>
      <c r="E680" s="61" t="s">
        <v>2805</v>
      </c>
      <c r="F680" s="61"/>
      <c r="G680" s="61" t="s">
        <v>6443</v>
      </c>
      <c r="H680" s="61" t="s">
        <v>6768</v>
      </c>
      <c r="I680" s="62">
        <v>954</v>
      </c>
      <c r="J680" s="4">
        <f>SUMIF(Cargas!$C$5:$C$3470,C680,Cargas!$O$5:$O$3470)</f>
        <v>0</v>
      </c>
      <c r="K680" s="18">
        <f t="shared" si="13"/>
        <v>954</v>
      </c>
      <c r="L680" s="63" t="s">
        <v>7954</v>
      </c>
      <c r="M680" s="64">
        <v>142979</v>
      </c>
    </row>
    <row r="681" spans="2:13" ht="13.5" hidden="1" customHeight="1" x14ac:dyDescent="0.25">
      <c r="B681" s="58">
        <v>45225</v>
      </c>
      <c r="C681" s="59" t="s">
        <v>7955</v>
      </c>
      <c r="D681" s="61" t="s">
        <v>6510</v>
      </c>
      <c r="E681" s="61" t="s">
        <v>7934</v>
      </c>
      <c r="F681" s="61"/>
      <c r="G681" s="61" t="s">
        <v>6443</v>
      </c>
      <c r="H681" s="61" t="s">
        <v>6444</v>
      </c>
      <c r="I681" s="62">
        <v>1104</v>
      </c>
      <c r="J681" s="4">
        <f>SUMIF(Cargas!$C$5:$C$3470,C681,Cargas!$O$5:$O$3470)</f>
        <v>0</v>
      </c>
      <c r="K681" s="18">
        <f t="shared" si="13"/>
        <v>1104</v>
      </c>
      <c r="L681" s="63" t="s">
        <v>7948</v>
      </c>
      <c r="M681" s="64">
        <v>208248</v>
      </c>
    </row>
    <row r="682" spans="2:13" ht="13.5" hidden="1" customHeight="1" x14ac:dyDescent="0.25">
      <c r="B682" s="58">
        <v>44784</v>
      </c>
      <c r="C682" s="59" t="s">
        <v>7956</v>
      </c>
      <c r="D682" s="61" t="s">
        <v>7957</v>
      </c>
      <c r="E682" s="61" t="s">
        <v>2805</v>
      </c>
      <c r="F682" s="61"/>
      <c r="G682" s="61" t="s">
        <v>6443</v>
      </c>
      <c r="H682" s="61" t="s">
        <v>6768</v>
      </c>
      <c r="I682" s="62">
        <v>954</v>
      </c>
      <c r="J682" s="4">
        <f>SUMIF(Cargas!$C$5:$C$3470,C682,Cargas!$O$5:$O$3470)</f>
        <v>0</v>
      </c>
      <c r="K682" s="18">
        <f t="shared" si="13"/>
        <v>954</v>
      </c>
      <c r="L682" s="63" t="s">
        <v>7958</v>
      </c>
      <c r="M682" s="64">
        <v>147772</v>
      </c>
    </row>
    <row r="683" spans="2:13" ht="13.5" hidden="1" customHeight="1" x14ac:dyDescent="0.25">
      <c r="B683" s="58">
        <v>44792</v>
      </c>
      <c r="C683" s="59" t="s">
        <v>7959</v>
      </c>
      <c r="D683" s="61" t="s">
        <v>7960</v>
      </c>
      <c r="E683" s="61" t="s">
        <v>2805</v>
      </c>
      <c r="F683" s="61"/>
      <c r="G683" s="61" t="s">
        <v>6443</v>
      </c>
      <c r="H683" s="61" t="s">
        <v>6768</v>
      </c>
      <c r="I683" s="62">
        <v>954</v>
      </c>
      <c r="J683" s="4">
        <f>SUMIF(Cargas!$C$5:$C$3470,C683,Cargas!$O$5:$O$3470)</f>
        <v>0</v>
      </c>
      <c r="K683" s="18">
        <f t="shared" si="13"/>
        <v>954</v>
      </c>
      <c r="L683" s="63" t="s">
        <v>7961</v>
      </c>
      <c r="M683" s="64">
        <v>153998</v>
      </c>
    </row>
    <row r="684" spans="2:13" ht="13.5" hidden="1" customHeight="1" x14ac:dyDescent="0.25">
      <c r="B684" s="58">
        <v>44798</v>
      </c>
      <c r="C684" s="59" t="s">
        <v>7962</v>
      </c>
      <c r="D684" s="61" t="s">
        <v>7963</v>
      </c>
      <c r="E684" s="61" t="s">
        <v>2805</v>
      </c>
      <c r="F684" s="61"/>
      <c r="G684" s="61" t="s">
        <v>6443</v>
      </c>
      <c r="H684" s="61" t="s">
        <v>7381</v>
      </c>
      <c r="I684" s="62">
        <v>954</v>
      </c>
      <c r="J684" s="4">
        <f>SUMIF(Cargas!$C$5:$C$3470,C684,Cargas!$O$5:$O$3470)</f>
        <v>0</v>
      </c>
      <c r="K684" s="18">
        <f t="shared" si="13"/>
        <v>954</v>
      </c>
      <c r="L684" s="63" t="s">
        <v>7964</v>
      </c>
      <c r="M684" s="64">
        <v>157413</v>
      </c>
    </row>
    <row r="685" spans="2:13" ht="13.5" hidden="1" customHeight="1" x14ac:dyDescent="0.25">
      <c r="B685" s="58">
        <v>44812</v>
      </c>
      <c r="C685" s="59" t="s">
        <v>7965</v>
      </c>
      <c r="D685" s="61" t="s">
        <v>7966</v>
      </c>
      <c r="E685" s="61" t="s">
        <v>2805</v>
      </c>
      <c r="F685" s="61"/>
      <c r="G685" s="61" t="s">
        <v>6443</v>
      </c>
      <c r="H685" s="61" t="s">
        <v>7381</v>
      </c>
      <c r="I685" s="62">
        <v>1056</v>
      </c>
      <c r="J685" s="4">
        <f>SUMIF(Cargas!$C$5:$C$3470,C685,Cargas!$O$5:$O$3470)</f>
        <v>0</v>
      </c>
      <c r="K685" s="18">
        <f t="shared" si="13"/>
        <v>1056</v>
      </c>
      <c r="L685" s="63" t="s">
        <v>7967</v>
      </c>
      <c r="M685" s="64">
        <v>168656</v>
      </c>
    </row>
    <row r="686" spans="2:13" ht="13.5" hidden="1" customHeight="1" x14ac:dyDescent="0.25">
      <c r="B686" s="58">
        <v>44833</v>
      </c>
      <c r="C686" s="59" t="s">
        <v>7968</v>
      </c>
      <c r="D686" s="61" t="s">
        <v>7969</v>
      </c>
      <c r="E686" s="61" t="s">
        <v>2805</v>
      </c>
      <c r="F686" s="61"/>
      <c r="G686" s="61" t="s">
        <v>6443</v>
      </c>
      <c r="H686" s="61" t="s">
        <v>6768</v>
      </c>
      <c r="I686" s="62">
        <v>954</v>
      </c>
      <c r="J686" s="4">
        <f>SUMIF(Cargas!$C$5:$C$3470,C686,Cargas!$O$5:$O$3470)</f>
        <v>0</v>
      </c>
      <c r="K686" s="18">
        <f t="shared" si="13"/>
        <v>954</v>
      </c>
      <c r="L686" s="189" t="s">
        <v>7970</v>
      </c>
      <c r="M686" s="64">
        <v>183962</v>
      </c>
    </row>
    <row r="687" spans="2:13" ht="13.5" hidden="1" customHeight="1" x14ac:dyDescent="0.25">
      <c r="B687" s="58">
        <v>44838</v>
      </c>
      <c r="C687" s="59" t="s">
        <v>7971</v>
      </c>
      <c r="D687" s="61" t="s">
        <v>7972</v>
      </c>
      <c r="E687" s="61" t="s">
        <v>2805</v>
      </c>
      <c r="F687" s="61"/>
      <c r="G687" s="61" t="s">
        <v>6443</v>
      </c>
      <c r="H687" s="61" t="s">
        <v>7381</v>
      </c>
      <c r="I687" s="62">
        <v>954</v>
      </c>
      <c r="J687" s="4">
        <f>SUMIF(Cargas!$C$5:$C$3470,C687,Cargas!$O$5:$O$3470)</f>
        <v>0</v>
      </c>
      <c r="K687" s="18">
        <f t="shared" si="13"/>
        <v>954</v>
      </c>
      <c r="L687" s="63" t="s">
        <v>7973</v>
      </c>
      <c r="M687" s="64">
        <v>188306</v>
      </c>
    </row>
    <row r="688" spans="2:13" ht="13.5" hidden="1" customHeight="1" x14ac:dyDescent="0.25">
      <c r="B688" s="58">
        <v>44845</v>
      </c>
      <c r="C688" s="59" t="s">
        <v>7974</v>
      </c>
      <c r="D688" s="61" t="s">
        <v>7975</v>
      </c>
      <c r="E688" s="61" t="s">
        <v>2805</v>
      </c>
      <c r="F688" s="61"/>
      <c r="G688" s="61" t="s">
        <v>6443</v>
      </c>
      <c r="H688" s="61" t="s">
        <v>7381</v>
      </c>
      <c r="I688" s="62">
        <v>954</v>
      </c>
      <c r="J688" s="4">
        <f>SUMIF(Cargas!$C$5:$C$3470,C688,Cargas!$O$5:$O$3470)</f>
        <v>0</v>
      </c>
      <c r="K688" s="18">
        <f t="shared" si="13"/>
        <v>954</v>
      </c>
      <c r="L688" s="63" t="s">
        <v>7976</v>
      </c>
      <c r="M688" s="64">
        <v>191686</v>
      </c>
    </row>
    <row r="689" spans="2:13" ht="13.5" hidden="1" customHeight="1" x14ac:dyDescent="0.25">
      <c r="B689" s="58">
        <v>44847</v>
      </c>
      <c r="C689" s="59" t="s">
        <v>7977</v>
      </c>
      <c r="D689" s="61" t="s">
        <v>7978</v>
      </c>
      <c r="E689" s="61" t="s">
        <v>2805</v>
      </c>
      <c r="F689" s="61"/>
      <c r="G689" s="61" t="s">
        <v>6443</v>
      </c>
      <c r="H689" s="61" t="s">
        <v>7381</v>
      </c>
      <c r="I689" s="62">
        <v>954</v>
      </c>
      <c r="J689" s="4">
        <f>SUMIF(Cargas!$C$5:$C$3470,C689,Cargas!$O$5:$O$3470)</f>
        <v>0</v>
      </c>
      <c r="K689" s="18">
        <f t="shared" si="13"/>
        <v>954</v>
      </c>
      <c r="L689" s="63" t="s">
        <v>7979</v>
      </c>
      <c r="M689" s="64">
        <v>193914</v>
      </c>
    </row>
    <row r="690" spans="2:13" ht="13.5" hidden="1" customHeight="1" x14ac:dyDescent="0.25">
      <c r="B690" s="58">
        <v>44852</v>
      </c>
      <c r="C690" s="59" t="s">
        <v>7980</v>
      </c>
      <c r="D690" s="61" t="s">
        <v>7981</v>
      </c>
      <c r="E690" s="61" t="s">
        <v>2805</v>
      </c>
      <c r="F690" s="61"/>
      <c r="G690" s="61" t="s">
        <v>6443</v>
      </c>
      <c r="H690" s="61" t="s">
        <v>7381</v>
      </c>
      <c r="I690" s="62">
        <v>954</v>
      </c>
      <c r="J690" s="4">
        <f>SUMIF(Cargas!$C$5:$C$3470,C690,Cargas!$O$5:$O$3470)</f>
        <v>0</v>
      </c>
      <c r="K690" s="18">
        <f t="shared" si="13"/>
        <v>954</v>
      </c>
      <c r="L690" s="63" t="s">
        <v>7982</v>
      </c>
      <c r="M690" s="64">
        <v>198005</v>
      </c>
    </row>
    <row r="691" spans="2:13" ht="13.5" hidden="1" customHeight="1" x14ac:dyDescent="0.25">
      <c r="B691" s="58">
        <v>44862</v>
      </c>
      <c r="C691" s="59" t="s">
        <v>7983</v>
      </c>
      <c r="D691" s="61" t="s">
        <v>7984</v>
      </c>
      <c r="E691" s="61" t="s">
        <v>2805</v>
      </c>
      <c r="F691" s="61"/>
      <c r="G691" s="61" t="s">
        <v>6443</v>
      </c>
      <c r="H691" s="61" t="s">
        <v>7381</v>
      </c>
      <c r="I691" s="62">
        <v>900</v>
      </c>
      <c r="J691" s="4">
        <f>SUMIF(Cargas!$C$5:$C$3470,C691,Cargas!$O$5:$O$3470)</f>
        <v>0</v>
      </c>
      <c r="K691" s="18">
        <f t="shared" si="13"/>
        <v>900</v>
      </c>
      <c r="L691" s="63" t="s">
        <v>7985</v>
      </c>
      <c r="M691" s="64">
        <v>204570</v>
      </c>
    </row>
    <row r="692" spans="2:13" ht="13.5" hidden="1" customHeight="1" x14ac:dyDescent="0.25">
      <c r="B692" s="58">
        <v>44868</v>
      </c>
      <c r="C692" s="59" t="s">
        <v>7986</v>
      </c>
      <c r="D692" s="61" t="s">
        <v>7987</v>
      </c>
      <c r="E692" s="61" t="s">
        <v>2805</v>
      </c>
      <c r="F692" s="61"/>
      <c r="G692" s="61" t="s">
        <v>6443</v>
      </c>
      <c r="H692" s="61" t="s">
        <v>7988</v>
      </c>
      <c r="I692" s="62">
        <v>900</v>
      </c>
      <c r="J692" s="4">
        <f>SUMIF(Cargas!$C$5:$C$3470,C692,Cargas!$O$5:$O$3470)</f>
        <v>0</v>
      </c>
      <c r="K692" s="18">
        <f t="shared" si="13"/>
        <v>900</v>
      </c>
      <c r="L692" s="63" t="s">
        <v>7989</v>
      </c>
      <c r="M692" s="64">
        <v>208154</v>
      </c>
    </row>
    <row r="693" spans="2:13" ht="13.5" hidden="1" customHeight="1" x14ac:dyDescent="0.25">
      <c r="B693" s="58">
        <v>44872</v>
      </c>
      <c r="C693" s="59" t="s">
        <v>7990</v>
      </c>
      <c r="D693" s="61" t="s">
        <v>7605</v>
      </c>
      <c r="E693" s="61" t="s">
        <v>7877</v>
      </c>
      <c r="F693" s="61"/>
      <c r="G693" s="61" t="s">
        <v>7569</v>
      </c>
      <c r="H693" s="61" t="s">
        <v>7570</v>
      </c>
      <c r="I693" s="62">
        <v>1980</v>
      </c>
      <c r="J693" s="4">
        <f>SUMIF(Cargas!$C$5:$C$3471,C693,Cargas!$O$5:$O$3471)</f>
        <v>0</v>
      </c>
      <c r="K693" s="18">
        <f t="shared" si="13"/>
        <v>1980</v>
      </c>
      <c r="L693" s="63" t="s">
        <v>7991</v>
      </c>
      <c r="M693" s="64">
        <v>211468</v>
      </c>
    </row>
    <row r="694" spans="2:13" ht="13.5" hidden="1" customHeight="1" x14ac:dyDescent="0.25">
      <c r="B694" s="58">
        <v>44872</v>
      </c>
      <c r="C694" s="59" t="s">
        <v>7992</v>
      </c>
      <c r="D694" s="61" t="s">
        <v>7608</v>
      </c>
      <c r="E694" s="61" t="s">
        <v>7877</v>
      </c>
      <c r="F694" s="61"/>
      <c r="G694" s="61" t="s">
        <v>7569</v>
      </c>
      <c r="H694" s="61" t="s">
        <v>7570</v>
      </c>
      <c r="I694" s="62">
        <v>1980</v>
      </c>
      <c r="J694" s="4">
        <f>SUMIF(Cargas!$C$5:$C$3471,C694,Cargas!$O$5:$O$3471)</f>
        <v>0</v>
      </c>
      <c r="K694" s="18">
        <f t="shared" si="13"/>
        <v>1980</v>
      </c>
      <c r="L694" s="63" t="s">
        <v>7993</v>
      </c>
      <c r="M694" s="64">
        <v>211569</v>
      </c>
    </row>
    <row r="695" spans="2:13" ht="13.5" hidden="1" customHeight="1" x14ac:dyDescent="0.25">
      <c r="B695" s="58">
        <v>44873</v>
      </c>
      <c r="C695" s="59" t="s">
        <v>7994</v>
      </c>
      <c r="D695" s="61" t="s">
        <v>7611</v>
      </c>
      <c r="E695" s="61" t="s">
        <v>7877</v>
      </c>
      <c r="F695" s="61"/>
      <c r="G695" s="61" t="s">
        <v>7569</v>
      </c>
      <c r="H695" s="61" t="s">
        <v>7570</v>
      </c>
      <c r="I695" s="62">
        <v>1980</v>
      </c>
      <c r="J695" s="4">
        <f>SUMIF(Cargas!$C$5:$C$3471,C695,Cargas!$O$5:$O$3471)</f>
        <v>0</v>
      </c>
      <c r="K695" s="18">
        <f t="shared" si="13"/>
        <v>1980</v>
      </c>
      <c r="L695" s="63" t="s">
        <v>7995</v>
      </c>
      <c r="M695" s="64">
        <v>213458</v>
      </c>
    </row>
    <row r="696" spans="2:13" ht="13.5" hidden="1" customHeight="1" x14ac:dyDescent="0.25">
      <c r="B696" s="58">
        <v>44873</v>
      </c>
      <c r="C696" s="59" t="s">
        <v>7996</v>
      </c>
      <c r="D696" s="61" t="s">
        <v>7614</v>
      </c>
      <c r="E696" s="61" t="s">
        <v>7877</v>
      </c>
      <c r="F696" s="61"/>
      <c r="G696" s="61" t="s">
        <v>7569</v>
      </c>
      <c r="H696" s="61" t="s">
        <v>7570</v>
      </c>
      <c r="I696" s="62">
        <v>990</v>
      </c>
      <c r="J696" s="4">
        <f>SUMIF(Cargas!$C$5:$C$3471,C696,Cargas!$O$5:$O$3471)</f>
        <v>0</v>
      </c>
      <c r="K696" s="18">
        <f t="shared" si="13"/>
        <v>990</v>
      </c>
      <c r="L696" s="63" t="s">
        <v>7997</v>
      </c>
      <c r="M696" s="64">
        <v>215513</v>
      </c>
    </row>
    <row r="697" spans="2:13" ht="13.5" hidden="1" customHeight="1" x14ac:dyDescent="0.25">
      <c r="B697" s="58">
        <v>44876</v>
      </c>
      <c r="C697" s="59" t="s">
        <v>7998</v>
      </c>
      <c r="D697" s="61" t="s">
        <v>7617</v>
      </c>
      <c r="E697" s="61" t="s">
        <v>7877</v>
      </c>
      <c r="F697" s="61"/>
      <c r="G697" s="61" t="s">
        <v>7569</v>
      </c>
      <c r="H697" s="61" t="s">
        <v>7570</v>
      </c>
      <c r="I697" s="62">
        <f>1980+990</f>
        <v>2970</v>
      </c>
      <c r="J697" s="4">
        <f>SUMIF(Cargas!$C$5:$C$3471,C697,Cargas!$O$5:$O$3471)</f>
        <v>0</v>
      </c>
      <c r="K697" s="18">
        <f t="shared" si="13"/>
        <v>2970</v>
      </c>
      <c r="L697" s="63" t="s">
        <v>7999</v>
      </c>
      <c r="M697" s="64">
        <v>216027</v>
      </c>
    </row>
    <row r="698" spans="2:13" ht="13.5" hidden="1" customHeight="1" x14ac:dyDescent="0.25">
      <c r="B698" s="58">
        <v>44879</v>
      </c>
      <c r="C698" s="59" t="s">
        <v>8000</v>
      </c>
      <c r="D698" s="61" t="s">
        <v>7620</v>
      </c>
      <c r="E698" s="61" t="s">
        <v>7877</v>
      </c>
      <c r="F698" s="61"/>
      <c r="G698" s="61" t="s">
        <v>7569</v>
      </c>
      <c r="H698" s="61" t="s">
        <v>7570</v>
      </c>
      <c r="I698" s="62">
        <v>1980</v>
      </c>
      <c r="J698" s="4">
        <f>SUMIF(Cargas!$C$5:$C$3471,C698,Cargas!$O$5:$O$3471)</f>
        <v>0</v>
      </c>
      <c r="K698" s="18">
        <f t="shared" si="13"/>
        <v>1980</v>
      </c>
      <c r="L698" s="63" t="s">
        <v>8001</v>
      </c>
      <c r="M698" s="64">
        <v>216463</v>
      </c>
    </row>
    <row r="699" spans="2:13" ht="13.5" hidden="1" customHeight="1" x14ac:dyDescent="0.25">
      <c r="B699" s="58">
        <v>44880</v>
      </c>
      <c r="C699" s="59" t="s">
        <v>8002</v>
      </c>
      <c r="D699" s="61" t="s">
        <v>7623</v>
      </c>
      <c r="E699" s="61" t="s">
        <v>7877</v>
      </c>
      <c r="F699" s="61"/>
      <c r="G699" s="61" t="s">
        <v>7569</v>
      </c>
      <c r="H699" s="61" t="s">
        <v>7570</v>
      </c>
      <c r="I699" s="62">
        <v>990</v>
      </c>
      <c r="J699" s="4">
        <f>SUMIF(Cargas!$C$5:$C$3471,C699,Cargas!$O$5:$O$3471)</f>
        <v>0</v>
      </c>
      <c r="K699" s="18">
        <f t="shared" si="13"/>
        <v>990</v>
      </c>
      <c r="L699" s="63" t="s">
        <v>8003</v>
      </c>
      <c r="M699" s="64">
        <v>216680</v>
      </c>
    </row>
    <row r="700" spans="2:13" ht="13.5" hidden="1" customHeight="1" x14ac:dyDescent="0.25">
      <c r="B700" s="58">
        <v>44886</v>
      </c>
      <c r="C700" s="59" t="s">
        <v>8004</v>
      </c>
      <c r="D700" s="61" t="s">
        <v>7626</v>
      </c>
      <c r="E700" s="61" t="s">
        <v>7877</v>
      </c>
      <c r="F700" s="61"/>
      <c r="G700" s="61" t="s">
        <v>7569</v>
      </c>
      <c r="H700" s="61" t="s">
        <v>7570</v>
      </c>
      <c r="I700" s="62">
        <v>1980</v>
      </c>
      <c r="J700" s="4">
        <f>SUMIF(Cargas!$C$5:$C$3471,C700,Cargas!$O$5:$O$3471)</f>
        <v>0</v>
      </c>
      <c r="K700" s="18">
        <f t="shared" si="13"/>
        <v>1980</v>
      </c>
      <c r="L700" s="63" t="s">
        <v>8005</v>
      </c>
      <c r="M700" s="64">
        <v>222117</v>
      </c>
    </row>
    <row r="701" spans="2:13" ht="13.5" hidden="1" customHeight="1" x14ac:dyDescent="0.25">
      <c r="B701" s="58">
        <v>44886</v>
      </c>
      <c r="C701" s="59" t="s">
        <v>8006</v>
      </c>
      <c r="D701" s="61" t="s">
        <v>7629</v>
      </c>
      <c r="E701" s="61" t="s">
        <v>7877</v>
      </c>
      <c r="F701" s="61"/>
      <c r="G701" s="61" t="s">
        <v>7569</v>
      </c>
      <c r="H701" s="61" t="s">
        <v>7570</v>
      </c>
      <c r="I701" s="62">
        <v>2970</v>
      </c>
      <c r="J701" s="4">
        <f>SUMIF(Cargas!$C$5:$C$3471,C701,Cargas!$O$5:$O$3471)</f>
        <v>0</v>
      </c>
      <c r="K701" s="18">
        <f t="shared" si="13"/>
        <v>2970</v>
      </c>
      <c r="L701" s="63" t="s">
        <v>8007</v>
      </c>
      <c r="M701" s="64">
        <v>222168</v>
      </c>
    </row>
    <row r="702" spans="2:13" ht="13.5" hidden="1" customHeight="1" x14ac:dyDescent="0.25">
      <c r="B702" s="58">
        <v>44888</v>
      </c>
      <c r="C702" s="59" t="s">
        <v>8008</v>
      </c>
      <c r="D702" s="61" t="s">
        <v>7632</v>
      </c>
      <c r="E702" s="61" t="s">
        <v>7877</v>
      </c>
      <c r="F702" s="61"/>
      <c r="G702" s="61" t="s">
        <v>7569</v>
      </c>
      <c r="H702" s="61" t="s">
        <v>7570</v>
      </c>
      <c r="I702" s="62">
        <v>1980</v>
      </c>
      <c r="J702" s="4">
        <f>SUMIF(Cargas!$C$5:$C$3471,C702,Cargas!$O$5:$O$3471)</f>
        <v>0</v>
      </c>
      <c r="K702" s="18">
        <f t="shared" si="13"/>
        <v>1980</v>
      </c>
      <c r="L702" s="63" t="s">
        <v>8009</v>
      </c>
      <c r="M702" s="64">
        <v>223891</v>
      </c>
    </row>
    <row r="703" spans="2:13" ht="13.5" hidden="1" customHeight="1" x14ac:dyDescent="0.25">
      <c r="B703" s="58">
        <v>44893</v>
      </c>
      <c r="C703" s="59" t="s">
        <v>8010</v>
      </c>
      <c r="D703" s="61" t="s">
        <v>7635</v>
      </c>
      <c r="E703" s="61" t="s">
        <v>7877</v>
      </c>
      <c r="F703" s="61"/>
      <c r="G703" s="61" t="s">
        <v>7569</v>
      </c>
      <c r="H703" s="61" t="s">
        <v>7570</v>
      </c>
      <c r="I703" s="62">
        <v>1980</v>
      </c>
      <c r="J703" s="4">
        <f>SUMIF(Cargas!$C$5:$C$3471,C703,Cargas!$O$5:$O$3471)</f>
        <v>0</v>
      </c>
      <c r="K703" s="18">
        <f t="shared" si="13"/>
        <v>1980</v>
      </c>
      <c r="L703" s="63" t="s">
        <v>8011</v>
      </c>
      <c r="M703" s="64">
        <v>227384</v>
      </c>
    </row>
    <row r="704" spans="2:13" ht="13.5" hidden="1" customHeight="1" x14ac:dyDescent="0.25">
      <c r="B704" s="58">
        <v>44873</v>
      </c>
      <c r="C704" s="59" t="s">
        <v>8012</v>
      </c>
      <c r="D704" s="61" t="s">
        <v>8013</v>
      </c>
      <c r="E704" s="61" t="s">
        <v>2805</v>
      </c>
      <c r="F704" s="61"/>
      <c r="G704" s="61" t="s">
        <v>6443</v>
      </c>
      <c r="H704" s="61" t="s">
        <v>7381</v>
      </c>
      <c r="I704" s="62">
        <v>900</v>
      </c>
      <c r="J704" s="4">
        <f>SUMIF(Cargas!$C$5:$C$3470,C704,Cargas!$O$5:$O$3470)</f>
        <v>0</v>
      </c>
      <c r="K704" s="18">
        <f t="shared" si="13"/>
        <v>900</v>
      </c>
      <c r="L704" s="63" t="s">
        <v>8014</v>
      </c>
      <c r="M704" s="64">
        <v>215347</v>
      </c>
    </row>
    <row r="705" spans="2:13" ht="13.5" hidden="1" customHeight="1" x14ac:dyDescent="0.25">
      <c r="B705" s="58">
        <v>44882</v>
      </c>
      <c r="C705" s="59" t="s">
        <v>8015</v>
      </c>
      <c r="D705" s="61" t="s">
        <v>8016</v>
      </c>
      <c r="E705" s="61" t="s">
        <v>2805</v>
      </c>
      <c r="F705" s="61"/>
      <c r="G705" s="61" t="s">
        <v>6443</v>
      </c>
      <c r="H705" s="61" t="s">
        <v>7381</v>
      </c>
      <c r="I705" s="62">
        <v>900</v>
      </c>
      <c r="J705" s="4">
        <f>SUMIF(Cargas!$C$5:$C$3470,C705,Cargas!$O$5:$O$3470)</f>
        <v>0</v>
      </c>
      <c r="K705" s="18">
        <f t="shared" si="13"/>
        <v>900</v>
      </c>
      <c r="L705" s="63" t="s">
        <v>8017</v>
      </c>
      <c r="M705" s="64">
        <v>224983</v>
      </c>
    </row>
    <row r="706" spans="2:13" ht="13.5" hidden="1" customHeight="1" x14ac:dyDescent="0.25">
      <c r="B706" s="58">
        <v>44894</v>
      </c>
      <c r="C706" s="59" t="s">
        <v>8018</v>
      </c>
      <c r="D706" s="61" t="s">
        <v>8019</v>
      </c>
      <c r="E706" s="61" t="s">
        <v>2805</v>
      </c>
      <c r="F706" s="61"/>
      <c r="G706" s="61" t="s">
        <v>6443</v>
      </c>
      <c r="H706" s="61" t="s">
        <v>7381</v>
      </c>
      <c r="I706" s="62">
        <v>900</v>
      </c>
      <c r="J706" s="4">
        <f>SUMIF(Cargas!$C$5:$C$3470,C706,Cargas!$O$5:$O$3470)</f>
        <v>0</v>
      </c>
      <c r="K706" s="18">
        <f t="shared" si="13"/>
        <v>900</v>
      </c>
      <c r="L706" s="63" t="s">
        <v>8020</v>
      </c>
      <c r="M706" s="64">
        <v>229175</v>
      </c>
    </row>
    <row r="707" spans="2:13" ht="13.5" hidden="1" customHeight="1" x14ac:dyDescent="0.25">
      <c r="B707" s="58">
        <v>44896</v>
      </c>
      <c r="C707" s="59" t="s">
        <v>8021</v>
      </c>
      <c r="D707" s="61" t="s">
        <v>8022</v>
      </c>
      <c r="E707" s="61" t="s">
        <v>2805</v>
      </c>
      <c r="F707" s="61"/>
      <c r="G707" s="61" t="s">
        <v>6443</v>
      </c>
      <c r="H707" s="61" t="s">
        <v>7381</v>
      </c>
      <c r="I707" s="62">
        <v>900</v>
      </c>
      <c r="J707" s="4">
        <f>SUMIF(Cargas!$C$5:$C$3470,C707,Cargas!$O$5:$O$3470)</f>
        <v>0</v>
      </c>
      <c r="K707" s="18">
        <f t="shared" si="13"/>
        <v>900</v>
      </c>
      <c r="L707" s="63" t="s">
        <v>8023</v>
      </c>
      <c r="M707" s="64">
        <v>230299</v>
      </c>
    </row>
    <row r="708" spans="2:13" ht="13.5" hidden="1" customHeight="1" x14ac:dyDescent="0.25">
      <c r="B708" s="58">
        <v>44901</v>
      </c>
      <c r="C708" s="59" t="s">
        <v>8024</v>
      </c>
      <c r="D708" s="61" t="s">
        <v>8025</v>
      </c>
      <c r="E708" s="61" t="s">
        <v>2805</v>
      </c>
      <c r="F708" s="61"/>
      <c r="G708" s="61" t="s">
        <v>6443</v>
      </c>
      <c r="H708" s="61" t="s">
        <v>7381</v>
      </c>
      <c r="I708" s="62">
        <v>900</v>
      </c>
      <c r="J708" s="4">
        <f>SUMIF(Cargas!$C$5:$C$3470,C708,Cargas!$O$5:$O$3470)</f>
        <v>0</v>
      </c>
      <c r="K708" s="18">
        <f t="shared" si="13"/>
        <v>900</v>
      </c>
      <c r="L708" s="63" t="s">
        <v>8026</v>
      </c>
      <c r="M708" s="64">
        <v>234280</v>
      </c>
    </row>
    <row r="709" spans="2:13" ht="13.5" hidden="1" customHeight="1" x14ac:dyDescent="0.25">
      <c r="B709" s="58">
        <v>44917</v>
      </c>
      <c r="C709" s="59" t="s">
        <v>8027</v>
      </c>
      <c r="D709" s="61" t="s">
        <v>8028</v>
      </c>
      <c r="E709" s="61" t="s">
        <v>2805</v>
      </c>
      <c r="F709" s="61"/>
      <c r="G709" s="61" t="s">
        <v>6443</v>
      </c>
      <c r="H709" s="61" t="s">
        <v>7726</v>
      </c>
      <c r="I709" s="62">
        <v>900</v>
      </c>
      <c r="J709" s="4">
        <f>SUMIF(Cargas!$C$5:$C$3470,C709,Cargas!$O$5:$O$3470)</f>
        <v>0</v>
      </c>
      <c r="K709" s="18">
        <f t="shared" si="13"/>
        <v>900</v>
      </c>
      <c r="L709" s="63" t="s">
        <v>8029</v>
      </c>
      <c r="M709" s="64">
        <v>234280</v>
      </c>
    </row>
    <row r="710" spans="2:13" ht="13.5" hidden="1" customHeight="1" x14ac:dyDescent="0.25">
      <c r="B710" s="58">
        <v>45239</v>
      </c>
      <c r="C710" s="59" t="s">
        <v>8030</v>
      </c>
      <c r="D710" s="61" t="s">
        <v>6514</v>
      </c>
      <c r="E710" s="61" t="s">
        <v>7934</v>
      </c>
      <c r="F710" s="61"/>
      <c r="G710" s="61" t="s">
        <v>6443</v>
      </c>
      <c r="H710" s="61" t="s">
        <v>6444</v>
      </c>
      <c r="I710" s="62">
        <v>1104</v>
      </c>
      <c r="J710" s="4">
        <f>SUMIF(Cargas!$C$5:$C$3470,C710,Cargas!$O$5:$O$3470)</f>
        <v>0</v>
      </c>
      <c r="K710" s="18">
        <f t="shared" si="13"/>
        <v>1104</v>
      </c>
      <c r="L710" s="63" t="s">
        <v>8031</v>
      </c>
      <c r="M710" s="64">
        <v>219152</v>
      </c>
    </row>
    <row r="711" spans="2:13" ht="13.5" hidden="1" customHeight="1" x14ac:dyDescent="0.25">
      <c r="B711" s="58">
        <v>45239</v>
      </c>
      <c r="C711" s="59" t="s">
        <v>8032</v>
      </c>
      <c r="D711" s="61" t="s">
        <v>6514</v>
      </c>
      <c r="E711" s="61" t="s">
        <v>7934</v>
      </c>
      <c r="F711" s="61"/>
      <c r="G711" s="61" t="s">
        <v>6443</v>
      </c>
      <c r="H711" s="61" t="s">
        <v>6444</v>
      </c>
      <c r="I711" s="62">
        <v>1104</v>
      </c>
      <c r="J711" s="4">
        <f>SUMIF(Cargas!$C$5:$C$3470,C711,Cargas!$O$5:$O$3470)</f>
        <v>0</v>
      </c>
      <c r="K711" s="18">
        <f t="shared" si="13"/>
        <v>1104</v>
      </c>
      <c r="L711" s="63" t="s">
        <v>8031</v>
      </c>
      <c r="M711" s="64">
        <v>219152</v>
      </c>
    </row>
    <row r="712" spans="2:13" ht="13.5" hidden="1" customHeight="1" x14ac:dyDescent="0.25">
      <c r="B712" s="58">
        <v>45239</v>
      </c>
      <c r="C712" s="59" t="s">
        <v>8033</v>
      </c>
      <c r="D712" s="61" t="s">
        <v>6514</v>
      </c>
      <c r="E712" s="61" t="s">
        <v>7934</v>
      </c>
      <c r="F712" s="61"/>
      <c r="G712" s="61" t="s">
        <v>6443</v>
      </c>
      <c r="H712" s="61" t="s">
        <v>6444</v>
      </c>
      <c r="I712" s="62">
        <v>1104</v>
      </c>
      <c r="J712" s="4">
        <f>SUMIF(Cargas!$C$5:$C$3470,C712,Cargas!$O$5:$O$3470)</f>
        <v>0</v>
      </c>
      <c r="K712" s="18">
        <f t="shared" si="13"/>
        <v>1104</v>
      </c>
      <c r="L712" s="63" t="s">
        <v>8031</v>
      </c>
      <c r="M712" s="64">
        <v>219152</v>
      </c>
    </row>
    <row r="713" spans="2:13" ht="13.5" hidden="1" customHeight="1" x14ac:dyDescent="0.25">
      <c r="B713" s="58">
        <v>45246</v>
      </c>
      <c r="C713" s="59" t="s">
        <v>8034</v>
      </c>
      <c r="D713" s="61" t="s">
        <v>6517</v>
      </c>
      <c r="E713" s="61" t="s">
        <v>7934</v>
      </c>
      <c r="F713" s="61"/>
      <c r="G713" s="61" t="s">
        <v>6443</v>
      </c>
      <c r="H713" s="61" t="s">
        <v>6444</v>
      </c>
      <c r="I713" s="62">
        <v>1104</v>
      </c>
      <c r="J713" s="4">
        <f>SUMIF(Cargas!$C$5:$C$3470,C713,Cargas!$O$5:$O$3470)</f>
        <v>0</v>
      </c>
      <c r="K713" s="18">
        <f t="shared" si="13"/>
        <v>1104</v>
      </c>
      <c r="L713" s="63" t="s">
        <v>8031</v>
      </c>
      <c r="M713" s="64">
        <v>225465</v>
      </c>
    </row>
    <row r="714" spans="2:13" ht="13.5" hidden="1" customHeight="1" x14ac:dyDescent="0.25">
      <c r="B714" s="58">
        <v>45246</v>
      </c>
      <c r="C714" s="59" t="s">
        <v>8035</v>
      </c>
      <c r="D714" s="61" t="s">
        <v>6517</v>
      </c>
      <c r="E714" s="61" t="s">
        <v>7934</v>
      </c>
      <c r="F714" s="61"/>
      <c r="G714" s="61" t="s">
        <v>6443</v>
      </c>
      <c r="H714" s="61" t="s">
        <v>6444</v>
      </c>
      <c r="I714" s="62">
        <v>1104</v>
      </c>
      <c r="J714" s="4">
        <f>SUMIF(Cargas!$C$5:$C$3470,C714,Cargas!$O$5:$O$3470)</f>
        <v>0</v>
      </c>
      <c r="K714" s="18">
        <f t="shared" si="13"/>
        <v>1104</v>
      </c>
      <c r="L714" s="63" t="s">
        <v>8031</v>
      </c>
      <c r="M714" s="64">
        <v>225465</v>
      </c>
    </row>
    <row r="715" spans="2:13" ht="13.5" hidden="1" customHeight="1" x14ac:dyDescent="0.25">
      <c r="B715" s="58">
        <v>45252</v>
      </c>
      <c r="C715" s="59" t="s">
        <v>8036</v>
      </c>
      <c r="D715" s="61" t="s">
        <v>6521</v>
      </c>
      <c r="E715" s="61" t="s">
        <v>7934</v>
      </c>
      <c r="F715" s="61"/>
      <c r="G715" s="61" t="s">
        <v>6443</v>
      </c>
      <c r="H715" s="61" t="s">
        <v>6444</v>
      </c>
      <c r="I715" s="62">
        <v>1104</v>
      </c>
      <c r="J715" s="4">
        <f>SUMIF(Cargas!$C$5:$C$3470,C715,Cargas!$O$5:$O$3470)</f>
        <v>0</v>
      </c>
      <c r="K715" s="18">
        <f t="shared" si="13"/>
        <v>1104</v>
      </c>
      <c r="L715" s="63" t="s">
        <v>8037</v>
      </c>
      <c r="M715" s="64">
        <v>230536</v>
      </c>
    </row>
    <row r="716" spans="2:13" ht="13.5" hidden="1" customHeight="1" x14ac:dyDescent="0.25">
      <c r="B716" s="58">
        <v>45254</v>
      </c>
      <c r="C716" s="59" t="s">
        <v>8038</v>
      </c>
      <c r="D716" s="61" t="s">
        <v>6521</v>
      </c>
      <c r="E716" s="61" t="s">
        <v>7934</v>
      </c>
      <c r="F716" s="61"/>
      <c r="G716" s="61" t="s">
        <v>6443</v>
      </c>
      <c r="H716" s="61" t="s">
        <v>6444</v>
      </c>
      <c r="I716" s="62">
        <v>1104</v>
      </c>
      <c r="J716" s="4">
        <f>SUMIF(Cargas!$C$5:$C$3470,C716,Cargas!$O$5:$O$3470)</f>
        <v>0</v>
      </c>
      <c r="K716" s="18">
        <f t="shared" si="13"/>
        <v>1104</v>
      </c>
      <c r="L716" s="63" t="s">
        <v>8037</v>
      </c>
      <c r="M716" s="64">
        <v>230536</v>
      </c>
    </row>
    <row r="717" spans="2:13" ht="13.5" hidden="1" customHeight="1" x14ac:dyDescent="0.25">
      <c r="B717" s="58">
        <v>45254</v>
      </c>
      <c r="C717" s="59" t="s">
        <v>8039</v>
      </c>
      <c r="D717" s="61" t="s">
        <v>6521</v>
      </c>
      <c r="E717" s="61" t="s">
        <v>7934</v>
      </c>
      <c r="F717" s="61"/>
      <c r="G717" s="61" t="s">
        <v>6443</v>
      </c>
      <c r="H717" s="61" t="s">
        <v>6444</v>
      </c>
      <c r="I717" s="62">
        <v>1104</v>
      </c>
      <c r="J717" s="4">
        <f>SUMIF(Cargas!$C$5:$C$3470,C717,Cargas!$O$5:$O$3470)</f>
        <v>0</v>
      </c>
      <c r="K717" s="18">
        <f t="shared" si="13"/>
        <v>1104</v>
      </c>
      <c r="L717" s="63" t="s">
        <v>8037</v>
      </c>
      <c r="M717" s="64">
        <v>230536</v>
      </c>
    </row>
    <row r="718" spans="2:13" ht="13.5" hidden="1" customHeight="1" x14ac:dyDescent="0.25">
      <c r="B718" s="58">
        <v>45259</v>
      </c>
      <c r="C718" s="59" t="s">
        <v>8040</v>
      </c>
      <c r="D718" s="61" t="s">
        <v>6523</v>
      </c>
      <c r="E718" s="61" t="s">
        <v>7934</v>
      </c>
      <c r="F718" s="61"/>
      <c r="G718" s="61" t="s">
        <v>6443</v>
      </c>
      <c r="H718" s="61" t="s">
        <v>6444</v>
      </c>
      <c r="I718" s="62">
        <v>1104</v>
      </c>
      <c r="J718" s="4">
        <f>SUMIF(Cargas!$C$5:$C$3470,C718,Cargas!$O$5:$O$3470)</f>
        <v>0</v>
      </c>
      <c r="K718" s="18">
        <f t="shared" si="13"/>
        <v>1104</v>
      </c>
      <c r="L718" s="63"/>
      <c r="M718" s="64">
        <v>236269</v>
      </c>
    </row>
    <row r="719" spans="2:13" ht="13.5" hidden="1" customHeight="1" x14ac:dyDescent="0.25">
      <c r="B719" s="58">
        <v>45259</v>
      </c>
      <c r="C719" s="59" t="s">
        <v>8041</v>
      </c>
      <c r="D719" s="61" t="s">
        <v>6523</v>
      </c>
      <c r="E719" s="61" t="s">
        <v>7934</v>
      </c>
      <c r="F719" s="61"/>
      <c r="G719" s="61" t="s">
        <v>6443</v>
      </c>
      <c r="H719" s="61" t="s">
        <v>6444</v>
      </c>
      <c r="I719" s="62">
        <v>1104</v>
      </c>
      <c r="J719" s="4">
        <f>SUMIF(Cargas!$C$5:$C$3470,C719,Cargas!$O$5:$O$3470)</f>
        <v>0</v>
      </c>
      <c r="K719" s="18">
        <f t="shared" si="13"/>
        <v>1104</v>
      </c>
      <c r="L719" s="63" t="s">
        <v>8042</v>
      </c>
      <c r="M719" s="64">
        <v>236269</v>
      </c>
    </row>
    <row r="720" spans="2:13" ht="13.5" hidden="1" customHeight="1" x14ac:dyDescent="0.25">
      <c r="B720" s="58">
        <v>45260</v>
      </c>
      <c r="C720" s="59" t="s">
        <v>8043</v>
      </c>
      <c r="D720" s="61" t="s">
        <v>6523</v>
      </c>
      <c r="E720" s="61" t="s">
        <v>7934</v>
      </c>
      <c r="F720" s="61"/>
      <c r="G720" s="61" t="s">
        <v>6443</v>
      </c>
      <c r="H720" s="61" t="s">
        <v>6444</v>
      </c>
      <c r="I720" s="62">
        <v>1104</v>
      </c>
      <c r="J720" s="4">
        <f>SUMIF(Cargas!$C$5:$C$3470,C720,Cargas!$O$5:$O$3470)</f>
        <v>0</v>
      </c>
      <c r="K720" s="18">
        <f t="shared" si="13"/>
        <v>1104</v>
      </c>
      <c r="L720" s="63" t="s">
        <v>8042</v>
      </c>
      <c r="M720" s="64">
        <v>236269</v>
      </c>
    </row>
    <row r="721" spans="2:13" ht="13.5" hidden="1" customHeight="1" x14ac:dyDescent="0.25">
      <c r="B721" s="58">
        <v>45267</v>
      </c>
      <c r="C721" s="59" t="s">
        <v>8044</v>
      </c>
      <c r="D721" s="61" t="s">
        <v>6529</v>
      </c>
      <c r="E721" s="61" t="s">
        <v>7934</v>
      </c>
      <c r="F721" s="61"/>
      <c r="G721" s="61" t="s">
        <v>6443</v>
      </c>
      <c r="H721" s="61" t="s">
        <v>6444</v>
      </c>
      <c r="I721" s="62">
        <v>1104</v>
      </c>
      <c r="J721" s="4">
        <f>SUMIF(Cargas!$C$5:$C$3470,C721,Cargas!$O$5:$O$3470)</f>
        <v>0</v>
      </c>
      <c r="K721" s="18">
        <f t="shared" si="13"/>
        <v>1104</v>
      </c>
      <c r="L721" s="63" t="s">
        <v>8045</v>
      </c>
      <c r="M721" s="64">
        <v>242673</v>
      </c>
    </row>
    <row r="722" spans="2:13" ht="13.5" hidden="1" customHeight="1" x14ac:dyDescent="0.25">
      <c r="B722" s="58">
        <v>45275</v>
      </c>
      <c r="C722" s="59" t="s">
        <v>8044</v>
      </c>
      <c r="D722" s="61" t="s">
        <v>6529</v>
      </c>
      <c r="E722" s="61" t="s">
        <v>7934</v>
      </c>
      <c r="F722" s="61"/>
      <c r="G722" s="61" t="s">
        <v>6443</v>
      </c>
      <c r="H722" s="61" t="s">
        <v>6444</v>
      </c>
      <c r="I722" s="62">
        <v>1104</v>
      </c>
      <c r="J722" s="4">
        <f>SUMIF(Cargas!$C$5:$C$3470,C722,Cargas!$O$5:$O$3470)</f>
        <v>0</v>
      </c>
      <c r="K722" s="18">
        <f t="shared" si="13"/>
        <v>1104</v>
      </c>
      <c r="L722" s="63" t="s">
        <v>8045</v>
      </c>
      <c r="M722" s="64">
        <v>242673</v>
      </c>
    </row>
    <row r="723" spans="2:13" ht="13.5" hidden="1" customHeight="1" x14ac:dyDescent="0.25">
      <c r="B723" s="58">
        <v>45275</v>
      </c>
      <c r="C723" s="59" t="s">
        <v>8046</v>
      </c>
      <c r="D723" s="61" t="s">
        <v>6536</v>
      </c>
      <c r="E723" s="61" t="s">
        <v>7934</v>
      </c>
      <c r="F723" s="61"/>
      <c r="G723" s="61" t="s">
        <v>6443</v>
      </c>
      <c r="H723" s="61" t="s">
        <v>6444</v>
      </c>
      <c r="I723" s="62">
        <v>1104</v>
      </c>
      <c r="J723" s="4">
        <f>SUMIF(Cargas!$C$5:$C$3470,C723,Cargas!$O$5:$O$3470)</f>
        <v>0</v>
      </c>
      <c r="K723" s="18">
        <f t="shared" si="13"/>
        <v>1104</v>
      </c>
      <c r="L723" s="63" t="s">
        <v>8045</v>
      </c>
      <c r="M723" s="64">
        <v>242673</v>
      </c>
    </row>
    <row r="724" spans="2:13" ht="13.5" hidden="1" customHeight="1" x14ac:dyDescent="0.25">
      <c r="B724" s="46">
        <v>45267</v>
      </c>
      <c r="C724" s="6" t="s">
        <v>8047</v>
      </c>
      <c r="D724" s="2" t="s">
        <v>6536</v>
      </c>
      <c r="E724" s="2" t="s">
        <v>7934</v>
      </c>
      <c r="F724" s="2"/>
      <c r="G724" s="2" t="s">
        <v>6443</v>
      </c>
      <c r="H724" s="2" t="s">
        <v>6444</v>
      </c>
      <c r="I724" s="3">
        <v>1104</v>
      </c>
      <c r="J724" s="4">
        <f>SUMIF(Cargas!$C$5:$C$3470,C724,Cargas!$O$5:$O$3470)</f>
        <v>0</v>
      </c>
      <c r="K724" s="18">
        <f t="shared" si="13"/>
        <v>1104</v>
      </c>
      <c r="L724" s="5" t="s">
        <v>8045</v>
      </c>
      <c r="M724" s="37">
        <v>242673</v>
      </c>
    </row>
    <row r="725" spans="2:13" ht="13.5" hidden="1" customHeight="1" x14ac:dyDescent="0.25">
      <c r="B725" s="46">
        <v>45218</v>
      </c>
      <c r="C725" s="6" t="s">
        <v>8048</v>
      </c>
      <c r="D725" s="2" t="s">
        <v>7349</v>
      </c>
      <c r="E725" s="2" t="s">
        <v>8049</v>
      </c>
      <c r="F725" s="2"/>
      <c r="G725" s="2" t="s">
        <v>6443</v>
      </c>
      <c r="H725" s="2" t="s">
        <v>6444</v>
      </c>
      <c r="I725" s="3">
        <f>360+2160</f>
        <v>2520</v>
      </c>
      <c r="J725" s="4">
        <f>SUMIF(Cargas!$C$5:$C$3470,C725,Cargas!$O$5:$O$3470)</f>
        <v>0</v>
      </c>
      <c r="K725" s="18">
        <f t="shared" si="13"/>
        <v>2520</v>
      </c>
      <c r="L725" s="5"/>
      <c r="M725" s="37">
        <v>203499</v>
      </c>
    </row>
    <row r="726" spans="2:13" ht="13.5" hidden="1" customHeight="1" x14ac:dyDescent="0.25">
      <c r="B726" s="46">
        <v>45127</v>
      </c>
      <c r="C726" s="6" t="s">
        <v>8050</v>
      </c>
      <c r="D726" s="2" t="s">
        <v>7817</v>
      </c>
      <c r="E726" s="2" t="s">
        <v>8051</v>
      </c>
      <c r="F726" s="2"/>
      <c r="G726" s="2" t="s">
        <v>6443</v>
      </c>
      <c r="H726" s="2" t="s">
        <v>6444</v>
      </c>
      <c r="I726" s="3">
        <v>2109</v>
      </c>
      <c r="J726" s="4">
        <f>SUMIF(Cargas!$C$5:$C$3470,C726,Cargas!$O$5:$O$3470)</f>
        <v>0</v>
      </c>
      <c r="K726" s="18">
        <f t="shared" si="13"/>
        <v>2109</v>
      </c>
      <c r="L726" s="5" t="s">
        <v>8052</v>
      </c>
      <c r="M726" s="37">
        <v>135704</v>
      </c>
    </row>
    <row r="727" spans="2:13" ht="13.5" hidden="1" customHeight="1" x14ac:dyDescent="0.25">
      <c r="B727" s="58">
        <v>45133</v>
      </c>
      <c r="C727" s="59" t="s">
        <v>8053</v>
      </c>
      <c r="D727" s="61" t="s">
        <v>7291</v>
      </c>
      <c r="E727" s="61" t="s">
        <v>8051</v>
      </c>
      <c r="F727" s="61"/>
      <c r="G727" s="61" t="s">
        <v>6443</v>
      </c>
      <c r="H727" s="61" t="s">
        <v>6444</v>
      </c>
      <c r="I727" s="62">
        <v>1197</v>
      </c>
      <c r="J727" s="4">
        <f>SUMIF(Cargas!$C$5:$C$3470,C727,Cargas!$O$5:$O$3470)</f>
        <v>0</v>
      </c>
      <c r="K727" s="18">
        <f t="shared" si="13"/>
        <v>1197</v>
      </c>
      <c r="L727" s="63" t="s">
        <v>8054</v>
      </c>
      <c r="M727" s="64">
        <v>137723</v>
      </c>
    </row>
    <row r="728" spans="2:13" ht="13.5" hidden="1" customHeight="1" x14ac:dyDescent="0.25">
      <c r="B728" s="58">
        <v>45169</v>
      </c>
      <c r="C728" s="59" t="s">
        <v>8055</v>
      </c>
      <c r="D728" s="61" t="s">
        <v>7306</v>
      </c>
      <c r="E728" s="61" t="s">
        <v>8051</v>
      </c>
      <c r="F728" s="61"/>
      <c r="G728" s="61" t="s">
        <v>6443</v>
      </c>
      <c r="H728" s="61" t="s">
        <v>6444</v>
      </c>
      <c r="I728" s="62">
        <v>1696</v>
      </c>
      <c r="J728" s="4">
        <f>SUMIF(Cargas!$C$5:$C$3470,C728,Cargas!$O$5:$O$3470)</f>
        <v>0</v>
      </c>
      <c r="K728" s="18">
        <f t="shared" si="13"/>
        <v>1696</v>
      </c>
      <c r="L728" s="63" t="s">
        <v>8056</v>
      </c>
      <c r="M728" s="64" t="s">
        <v>299</v>
      </c>
    </row>
    <row r="729" spans="2:13" ht="13.5" hidden="1" customHeight="1" x14ac:dyDescent="0.25">
      <c r="B729" s="58">
        <v>45204</v>
      </c>
      <c r="C729" s="59" t="s">
        <v>8057</v>
      </c>
      <c r="D729" s="61" t="s">
        <v>7336</v>
      </c>
      <c r="E729" s="61" t="s">
        <v>8051</v>
      </c>
      <c r="F729" s="61"/>
      <c r="G729" s="61" t="s">
        <v>6443</v>
      </c>
      <c r="H729" s="61" t="s">
        <v>6444</v>
      </c>
      <c r="I729" s="62">
        <v>1656</v>
      </c>
      <c r="J729" s="4">
        <f>SUMIF(Cargas!$C$5:$C$3470,C729,Cargas!$O$5:$O$3470)</f>
        <v>0</v>
      </c>
      <c r="K729" s="18">
        <f t="shared" si="13"/>
        <v>1656</v>
      </c>
      <c r="L729" s="63"/>
      <c r="M729" s="64">
        <v>191512</v>
      </c>
    </row>
    <row r="730" spans="2:13" ht="13.5" hidden="1" customHeight="1" x14ac:dyDescent="0.25">
      <c r="B730" s="58">
        <v>45211</v>
      </c>
      <c r="C730" s="59" t="s">
        <v>8058</v>
      </c>
      <c r="D730" s="61" t="s">
        <v>7339</v>
      </c>
      <c r="E730" s="61" t="s">
        <v>8051</v>
      </c>
      <c r="F730" s="61"/>
      <c r="G730" s="61" t="s">
        <v>6443</v>
      </c>
      <c r="H730" s="61" t="s">
        <v>6444</v>
      </c>
      <c r="I730" s="62">
        <v>1560</v>
      </c>
      <c r="J730" s="4">
        <f>SUMIF(Cargas!$C$5:$C$3470,C730,Cargas!$O$5:$O$3470)</f>
        <v>0</v>
      </c>
      <c r="K730" s="18">
        <f t="shared" si="13"/>
        <v>1560</v>
      </c>
      <c r="L730" s="63" t="s">
        <v>8059</v>
      </c>
      <c r="M730" s="64">
        <v>198856</v>
      </c>
    </row>
    <row r="731" spans="2:13" ht="13.5" hidden="1" customHeight="1" x14ac:dyDescent="0.25">
      <c r="B731" s="58">
        <v>44928</v>
      </c>
      <c r="C731" s="59" t="s">
        <v>8060</v>
      </c>
      <c r="D731" s="61" t="s">
        <v>7567</v>
      </c>
      <c r="E731" s="61" t="s">
        <v>7877</v>
      </c>
      <c r="F731" s="61"/>
      <c r="G731" s="61" t="s">
        <v>7569</v>
      </c>
      <c r="H731" s="61" t="s">
        <v>7570</v>
      </c>
      <c r="I731" s="62">
        <v>1980</v>
      </c>
      <c r="J731" s="4">
        <f>SUMIF(Cargas!$C$5:$C$3471,C731,Cargas!$O$5:$O$3471)</f>
        <v>0</v>
      </c>
      <c r="K731" s="18">
        <f t="shared" si="13"/>
        <v>1980</v>
      </c>
      <c r="L731" s="63" t="s">
        <v>8061</v>
      </c>
      <c r="M731" s="64">
        <v>2211</v>
      </c>
    </row>
    <row r="732" spans="2:13" ht="13.5" hidden="1" customHeight="1" x14ac:dyDescent="0.25">
      <c r="B732" s="58">
        <v>44943</v>
      </c>
      <c r="C732" s="59" t="s">
        <v>8062</v>
      </c>
      <c r="D732" s="61" t="s">
        <v>7579</v>
      </c>
      <c r="E732" s="61" t="s">
        <v>7877</v>
      </c>
      <c r="F732" s="61"/>
      <c r="G732" s="61" t="s">
        <v>7569</v>
      </c>
      <c r="H732" s="61" t="s">
        <v>7570</v>
      </c>
      <c r="I732" s="62">
        <v>990</v>
      </c>
      <c r="J732" s="4">
        <v>990</v>
      </c>
      <c r="K732" s="18">
        <f t="shared" si="13"/>
        <v>0</v>
      </c>
      <c r="L732" s="63" t="s">
        <v>8063</v>
      </c>
      <c r="M732" s="64">
        <v>12564</v>
      </c>
    </row>
    <row r="733" spans="2:13" ht="13.5" hidden="1" customHeight="1" x14ac:dyDescent="0.25">
      <c r="B733" s="58">
        <v>44958</v>
      </c>
      <c r="C733" s="59" t="s">
        <v>8064</v>
      </c>
      <c r="D733" s="61" t="s">
        <v>7585</v>
      </c>
      <c r="E733" s="61" t="s">
        <v>7877</v>
      </c>
      <c r="F733" s="61"/>
      <c r="G733" s="61" t="s">
        <v>7569</v>
      </c>
      <c r="H733" s="61" t="s">
        <v>7570</v>
      </c>
      <c r="I733" s="62">
        <v>990</v>
      </c>
      <c r="J733" s="4">
        <v>990</v>
      </c>
      <c r="K733" s="18">
        <f t="shared" si="13"/>
        <v>0</v>
      </c>
      <c r="L733" s="63" t="s">
        <v>8065</v>
      </c>
      <c r="M733" s="64">
        <v>20050</v>
      </c>
    </row>
    <row r="734" spans="2:13" ht="13.5" hidden="1" customHeight="1" x14ac:dyDescent="0.25">
      <c r="B734" s="58">
        <v>44958</v>
      </c>
      <c r="C734" s="59" t="s">
        <v>8066</v>
      </c>
      <c r="D734" s="61" t="s">
        <v>7588</v>
      </c>
      <c r="E734" s="61" t="s">
        <v>7877</v>
      </c>
      <c r="F734" s="61"/>
      <c r="G734" s="61" t="s">
        <v>7569</v>
      </c>
      <c r="H734" s="61" t="s">
        <v>7570</v>
      </c>
      <c r="I734" s="62">
        <v>990</v>
      </c>
      <c r="J734" s="4">
        <v>990</v>
      </c>
      <c r="K734" s="18">
        <f t="shared" si="13"/>
        <v>0</v>
      </c>
      <c r="L734" s="63" t="s">
        <v>8067</v>
      </c>
      <c r="M734" s="64">
        <v>23716</v>
      </c>
    </row>
    <row r="735" spans="2:13" ht="13.5" hidden="1" customHeight="1" x14ac:dyDescent="0.25">
      <c r="B735" s="58">
        <v>44977</v>
      </c>
      <c r="C735" s="59" t="s">
        <v>8068</v>
      </c>
      <c r="D735" s="61" t="s">
        <v>7593</v>
      </c>
      <c r="E735" s="61" t="s">
        <v>7877</v>
      </c>
      <c r="F735" s="61"/>
      <c r="G735" s="61" t="s">
        <v>7569</v>
      </c>
      <c r="H735" s="61" t="s">
        <v>7570</v>
      </c>
      <c r="I735" s="62">
        <v>990</v>
      </c>
      <c r="J735" s="4">
        <v>990</v>
      </c>
      <c r="K735" s="18">
        <f t="shared" si="13"/>
        <v>0</v>
      </c>
      <c r="L735" s="63" t="s">
        <v>8069</v>
      </c>
      <c r="M735" s="64">
        <v>32419</v>
      </c>
    </row>
    <row r="736" spans="2:13" ht="13.5" hidden="1" customHeight="1" x14ac:dyDescent="0.25">
      <c r="B736" s="58">
        <v>44985</v>
      </c>
      <c r="C736" s="59" t="s">
        <v>8070</v>
      </c>
      <c r="D736" s="61" t="s">
        <v>7596</v>
      </c>
      <c r="E736" s="61" t="s">
        <v>7877</v>
      </c>
      <c r="F736" s="61"/>
      <c r="G736" s="61" t="s">
        <v>7569</v>
      </c>
      <c r="H736" s="61" t="s">
        <v>7570</v>
      </c>
      <c r="I736" s="62">
        <v>990</v>
      </c>
      <c r="J736" s="4">
        <v>990</v>
      </c>
      <c r="K736" s="18">
        <f t="shared" si="13"/>
        <v>0</v>
      </c>
      <c r="L736" s="63" t="s">
        <v>8071</v>
      </c>
      <c r="M736" s="64">
        <v>37887</v>
      </c>
    </row>
    <row r="737" spans="2:13" ht="13.5" hidden="1" customHeight="1" x14ac:dyDescent="0.25">
      <c r="B737" s="58">
        <v>44992</v>
      </c>
      <c r="C737" s="59" t="s">
        <v>8072</v>
      </c>
      <c r="D737" s="61" t="s">
        <v>7599</v>
      </c>
      <c r="E737" s="61" t="s">
        <v>7877</v>
      </c>
      <c r="F737" s="61"/>
      <c r="G737" s="61" t="s">
        <v>7569</v>
      </c>
      <c r="H737" s="61" t="s">
        <v>7570</v>
      </c>
      <c r="I737" s="62">
        <v>1980</v>
      </c>
      <c r="J737" s="4">
        <f>SUMIF(Cargas!$C$5:$C$3470,C737,Cargas!$O$5:$O$3470)</f>
        <v>0</v>
      </c>
      <c r="K737" s="18">
        <f t="shared" si="13"/>
        <v>1980</v>
      </c>
      <c r="L737" s="63" t="s">
        <v>8073</v>
      </c>
      <c r="M737" s="64">
        <v>43932</v>
      </c>
    </row>
    <row r="738" spans="2:13" ht="13.5" hidden="1" customHeight="1" x14ac:dyDescent="0.25">
      <c r="B738" s="58">
        <v>45006</v>
      </c>
      <c r="C738" s="59" t="s">
        <v>8074</v>
      </c>
      <c r="D738" s="61" t="s">
        <v>7605</v>
      </c>
      <c r="E738" s="61" t="s">
        <v>7877</v>
      </c>
      <c r="F738" s="61"/>
      <c r="G738" s="61" t="s">
        <v>7569</v>
      </c>
      <c r="H738" s="61" t="s">
        <v>7570</v>
      </c>
      <c r="I738" s="62">
        <v>990</v>
      </c>
      <c r="J738" s="4">
        <f>SUMIF(Cargas!$C$5:$C$3470,C738,Cargas!$O$5:$O$3470)</f>
        <v>0</v>
      </c>
      <c r="K738" s="18">
        <f t="shared" si="13"/>
        <v>990</v>
      </c>
      <c r="L738" s="63" t="s">
        <v>8075</v>
      </c>
      <c r="M738" s="64">
        <v>52051</v>
      </c>
    </row>
    <row r="739" spans="2:13" ht="13.5" hidden="1" customHeight="1" x14ac:dyDescent="0.25">
      <c r="B739" s="58">
        <v>45012</v>
      </c>
      <c r="C739" s="59" t="s">
        <v>8076</v>
      </c>
      <c r="D739" s="61" t="s">
        <v>7614</v>
      </c>
      <c r="E739" s="61" t="s">
        <v>7877</v>
      </c>
      <c r="F739" s="61"/>
      <c r="G739" s="61" t="s">
        <v>7569</v>
      </c>
      <c r="H739" s="61" t="s">
        <v>7570</v>
      </c>
      <c r="I739" s="62">
        <v>1980</v>
      </c>
      <c r="J739" s="4">
        <f>SUMIF(Cargas!$C$5:$C$3470,C739,Cargas!$O$5:$O$3470)</f>
        <v>0</v>
      </c>
      <c r="K739" s="18">
        <f t="shared" si="13"/>
        <v>1980</v>
      </c>
      <c r="L739" s="63" t="s">
        <v>8077</v>
      </c>
      <c r="M739" s="64">
        <v>57724</v>
      </c>
    </row>
    <row r="740" spans="2:13" ht="13.5" hidden="1" customHeight="1" x14ac:dyDescent="0.25">
      <c r="B740" s="58">
        <v>45030</v>
      </c>
      <c r="C740" s="59" t="s">
        <v>8078</v>
      </c>
      <c r="D740" s="61" t="s">
        <v>7620</v>
      </c>
      <c r="E740" s="61" t="s">
        <v>7877</v>
      </c>
      <c r="F740" s="61"/>
      <c r="G740" s="61" t="s">
        <v>7569</v>
      </c>
      <c r="H740" s="61" t="s">
        <v>7570</v>
      </c>
      <c r="I740" s="62">
        <v>2970</v>
      </c>
      <c r="J740" s="4">
        <f>SUMIF(Cargas!$C$5:$C$3470,C740,Cargas!$O$5:$O$3470)</f>
        <v>0</v>
      </c>
      <c r="K740" s="18">
        <f t="shared" si="13"/>
        <v>2970</v>
      </c>
      <c r="L740" s="63" t="s">
        <v>8079</v>
      </c>
      <c r="M740" s="64">
        <v>67979</v>
      </c>
    </row>
    <row r="741" spans="2:13" ht="13.5" hidden="1" customHeight="1" x14ac:dyDescent="0.25">
      <c r="B741" s="58">
        <v>45048</v>
      </c>
      <c r="C741" s="59" t="s">
        <v>8080</v>
      </c>
      <c r="D741" s="61" t="s">
        <v>7632</v>
      </c>
      <c r="E741" s="61" t="s">
        <v>7877</v>
      </c>
      <c r="F741" s="61"/>
      <c r="G741" s="61" t="s">
        <v>7569</v>
      </c>
      <c r="H741" s="61" t="s">
        <v>7570</v>
      </c>
      <c r="I741" s="62">
        <v>1980</v>
      </c>
      <c r="J741" s="4">
        <f>SUMIF(Cargas!$C$5:$C$3470,C741,Cargas!$O$5:$O$3470)</f>
        <v>0</v>
      </c>
      <c r="K741" s="18">
        <f t="shared" si="13"/>
        <v>1980</v>
      </c>
      <c r="L741" s="63" t="s">
        <v>8079</v>
      </c>
      <c r="M741" s="64">
        <v>80699</v>
      </c>
    </row>
    <row r="742" spans="2:13" ht="13.5" hidden="1" customHeight="1" x14ac:dyDescent="0.25">
      <c r="B742" s="58">
        <v>45054</v>
      </c>
      <c r="C742" s="59" t="s">
        <v>8081</v>
      </c>
      <c r="D742" s="61" t="s">
        <v>7637</v>
      </c>
      <c r="E742" s="61" t="s">
        <v>7877</v>
      </c>
      <c r="F742" s="61"/>
      <c r="G742" s="61" t="s">
        <v>7569</v>
      </c>
      <c r="H742" s="61" t="s">
        <v>7570</v>
      </c>
      <c r="I742" s="62">
        <v>990</v>
      </c>
      <c r="J742" s="4">
        <f>SUMIF(Cargas!$C$5:$C$3470,C742,Cargas!$O$5:$O$3470)</f>
        <v>0</v>
      </c>
      <c r="K742" s="18">
        <f t="shared" ref="K742:K765" si="14">IF(ABS(I742-J742)&lt;20,0,I742-J742)</f>
        <v>990</v>
      </c>
      <c r="L742" s="63" t="s">
        <v>8082</v>
      </c>
      <c r="M742" s="64">
        <v>83915</v>
      </c>
    </row>
    <row r="743" spans="2:13" ht="13.5" hidden="1" customHeight="1" x14ac:dyDescent="0.25">
      <c r="B743" s="58">
        <v>45062</v>
      </c>
      <c r="C743" s="59" t="s">
        <v>8083</v>
      </c>
      <c r="D743" s="61" t="s">
        <v>7643</v>
      </c>
      <c r="E743" s="61" t="s">
        <v>7877</v>
      </c>
      <c r="F743" s="61"/>
      <c r="G743" s="61" t="s">
        <v>7569</v>
      </c>
      <c r="H743" s="61" t="s">
        <v>7570</v>
      </c>
      <c r="I743" s="62">
        <v>990</v>
      </c>
      <c r="J743" s="4">
        <f>SUMIF(Cargas!$C$5:$C$3470,C743,Cargas!$O$5:$O$3470)</f>
        <v>0</v>
      </c>
      <c r="K743" s="18">
        <f t="shared" si="14"/>
        <v>990</v>
      </c>
      <c r="L743" s="63" t="s">
        <v>8084</v>
      </c>
      <c r="M743" s="64">
        <v>90132</v>
      </c>
    </row>
    <row r="744" spans="2:13" ht="13.5" hidden="1" customHeight="1" x14ac:dyDescent="0.25">
      <c r="B744" s="58">
        <v>45075</v>
      </c>
      <c r="C744" s="59" t="s">
        <v>8085</v>
      </c>
      <c r="D744" s="61" t="s">
        <v>7649</v>
      </c>
      <c r="E744" s="61" t="s">
        <v>7877</v>
      </c>
      <c r="F744" s="61"/>
      <c r="G744" s="61" t="s">
        <v>7569</v>
      </c>
      <c r="H744" s="61" t="s">
        <v>7570</v>
      </c>
      <c r="I744" s="62">
        <v>990</v>
      </c>
      <c r="J744" s="4">
        <f>SUMIF(Cargas!$C$5:$C$3470,C744,Cargas!$O$5:$O$3470)</f>
        <v>0</v>
      </c>
      <c r="K744" s="18">
        <f t="shared" si="14"/>
        <v>990</v>
      </c>
      <c r="L744" s="63" t="s">
        <v>8086</v>
      </c>
      <c r="M744" s="64">
        <v>99706</v>
      </c>
    </row>
    <row r="745" spans="2:13" ht="13.5" hidden="1" customHeight="1" x14ac:dyDescent="0.25">
      <c r="B745" s="58">
        <v>45082</v>
      </c>
      <c r="C745" s="59" t="s">
        <v>8087</v>
      </c>
      <c r="D745" s="61" t="s">
        <v>7652</v>
      </c>
      <c r="E745" s="61" t="s">
        <v>7877</v>
      </c>
      <c r="F745" s="61"/>
      <c r="G745" s="61" t="s">
        <v>7569</v>
      </c>
      <c r="H745" s="61" t="s">
        <v>7570</v>
      </c>
      <c r="I745" s="62">
        <v>990</v>
      </c>
      <c r="J745" s="4">
        <f>SUMIF(Cargas!$C$5:$C$3470,C745,Cargas!$O$5:$O$3470)</f>
        <v>0</v>
      </c>
      <c r="K745" s="18">
        <f t="shared" si="14"/>
        <v>990</v>
      </c>
      <c r="L745" s="63" t="s">
        <v>8088</v>
      </c>
      <c r="M745" s="64">
        <v>104563</v>
      </c>
    </row>
    <row r="746" spans="2:13" ht="13.5" hidden="1" customHeight="1" x14ac:dyDescent="0.25">
      <c r="B746" s="58">
        <v>45082</v>
      </c>
      <c r="C746" s="59" t="s">
        <v>8089</v>
      </c>
      <c r="D746" s="61" t="s">
        <v>7655</v>
      </c>
      <c r="E746" s="61" t="s">
        <v>7877</v>
      </c>
      <c r="F746" s="61"/>
      <c r="G746" s="61" t="s">
        <v>7569</v>
      </c>
      <c r="H746" s="61" t="s">
        <v>7570</v>
      </c>
      <c r="I746" s="62">
        <v>990</v>
      </c>
      <c r="J746" s="4">
        <f>SUMIF(Cargas!$C$5:$C$3470,C746,Cargas!$O$5:$O$3470)</f>
        <v>0</v>
      </c>
      <c r="K746" s="18">
        <f t="shared" si="14"/>
        <v>990</v>
      </c>
      <c r="L746" s="63" t="s">
        <v>8090</v>
      </c>
      <c r="M746" s="64">
        <v>108571</v>
      </c>
    </row>
    <row r="747" spans="2:13" ht="13.5" hidden="1" customHeight="1" x14ac:dyDescent="0.25">
      <c r="B747" s="58">
        <v>45082</v>
      </c>
      <c r="C747" s="59" t="s">
        <v>8091</v>
      </c>
      <c r="D747" s="61" t="s">
        <v>7658</v>
      </c>
      <c r="E747" s="61" t="s">
        <v>7877</v>
      </c>
      <c r="F747" s="61"/>
      <c r="G747" s="61" t="s">
        <v>7569</v>
      </c>
      <c r="H747" s="61" t="s">
        <v>7570</v>
      </c>
      <c r="I747" s="62">
        <v>990</v>
      </c>
      <c r="J747" s="4">
        <f>SUMIF(Cargas!$C$5:$C$3470,C747,Cargas!$O$5:$O$3470)</f>
        <v>0</v>
      </c>
      <c r="K747" s="18">
        <f t="shared" si="14"/>
        <v>990</v>
      </c>
      <c r="L747" s="63" t="s">
        <v>8092</v>
      </c>
      <c r="M747" s="64">
        <v>108547</v>
      </c>
    </row>
    <row r="748" spans="2:13" ht="13.5" hidden="1" customHeight="1" x14ac:dyDescent="0.25">
      <c r="B748" s="58">
        <v>45082</v>
      </c>
      <c r="C748" s="59" t="s">
        <v>8093</v>
      </c>
      <c r="D748" s="61" t="s">
        <v>7661</v>
      </c>
      <c r="E748" s="61" t="s">
        <v>7877</v>
      </c>
      <c r="F748" s="61"/>
      <c r="G748" s="61" t="s">
        <v>7569</v>
      </c>
      <c r="H748" s="61" t="s">
        <v>7570</v>
      </c>
      <c r="I748" s="62">
        <v>990</v>
      </c>
      <c r="J748" s="4">
        <f>SUMIF(Cargas!$C$5:$C$3470,C748,Cargas!$O$5:$O$3470)</f>
        <v>0</v>
      </c>
      <c r="K748" s="18">
        <f t="shared" si="14"/>
        <v>990</v>
      </c>
      <c r="L748" s="63" t="s">
        <v>8094</v>
      </c>
      <c r="M748" s="64">
        <v>108496</v>
      </c>
    </row>
    <row r="749" spans="2:13" ht="13.5" hidden="1" customHeight="1" x14ac:dyDescent="0.25">
      <c r="B749" s="58">
        <v>45096</v>
      </c>
      <c r="C749" s="59" t="s">
        <v>8095</v>
      </c>
      <c r="D749" s="61" t="s">
        <v>7664</v>
      </c>
      <c r="E749" s="61" t="s">
        <v>7877</v>
      </c>
      <c r="F749" s="61"/>
      <c r="G749" s="61" t="s">
        <v>7569</v>
      </c>
      <c r="H749" s="61" t="s">
        <v>7570</v>
      </c>
      <c r="I749" s="62">
        <v>990</v>
      </c>
      <c r="J749" s="4">
        <f>SUMIF(Cargas!$C$5:$C$3470,C749,Cargas!$O$5:$O$3470)</f>
        <v>0</v>
      </c>
      <c r="K749" s="18">
        <f t="shared" si="14"/>
        <v>990</v>
      </c>
      <c r="L749" s="63" t="s">
        <v>8096</v>
      </c>
      <c r="M749" s="64">
        <v>113642</v>
      </c>
    </row>
    <row r="750" spans="2:13" ht="13.5" hidden="1" customHeight="1" x14ac:dyDescent="0.25">
      <c r="B750" s="58">
        <v>45096</v>
      </c>
      <c r="C750" s="59" t="s">
        <v>8097</v>
      </c>
      <c r="D750" s="61" t="s">
        <v>7667</v>
      </c>
      <c r="E750" s="61" t="s">
        <v>7877</v>
      </c>
      <c r="F750" s="61"/>
      <c r="G750" s="61" t="s">
        <v>7569</v>
      </c>
      <c r="H750" s="61" t="s">
        <v>7570</v>
      </c>
      <c r="I750" s="62">
        <v>990</v>
      </c>
      <c r="J750" s="4">
        <f>SUMIF(Cargas!$C$5:$C$3470,C750,Cargas!$O$5:$O$3470)</f>
        <v>0</v>
      </c>
      <c r="K750" s="18">
        <f t="shared" si="14"/>
        <v>990</v>
      </c>
      <c r="L750" s="63" t="s">
        <v>8098</v>
      </c>
      <c r="M750" s="64">
        <v>113604</v>
      </c>
    </row>
    <row r="751" spans="2:13" ht="13.5" hidden="1" customHeight="1" x14ac:dyDescent="0.25">
      <c r="B751" s="58">
        <v>45106</v>
      </c>
      <c r="C751" s="59" t="s">
        <v>8099</v>
      </c>
      <c r="D751" s="61" t="s">
        <v>7670</v>
      </c>
      <c r="E751" s="61" t="s">
        <v>7877</v>
      </c>
      <c r="F751" s="61"/>
      <c r="G751" s="61" t="s">
        <v>7569</v>
      </c>
      <c r="H751" s="61" t="s">
        <v>7570</v>
      </c>
      <c r="I751" s="62">
        <v>990</v>
      </c>
      <c r="J751" s="4">
        <f>SUMIF(Cargas!$C$5:$C$3470,C751,Cargas!$O$5:$O$3470)</f>
        <v>0</v>
      </c>
      <c r="K751" s="18">
        <f t="shared" si="14"/>
        <v>990</v>
      </c>
      <c r="L751" s="63" t="s">
        <v>8100</v>
      </c>
      <c r="M751" s="64">
        <v>120771</v>
      </c>
    </row>
    <row r="752" spans="2:13" ht="13.5" hidden="1" customHeight="1" x14ac:dyDescent="0.25">
      <c r="B752" s="58">
        <v>45106</v>
      </c>
      <c r="C752" s="59" t="s">
        <v>8101</v>
      </c>
      <c r="D752" s="61" t="s">
        <v>7673</v>
      </c>
      <c r="E752" s="61" t="s">
        <v>7877</v>
      </c>
      <c r="F752" s="61"/>
      <c r="G752" s="61" t="s">
        <v>7569</v>
      </c>
      <c r="H752" s="61" t="s">
        <v>7570</v>
      </c>
      <c r="I752" s="62">
        <v>990</v>
      </c>
      <c r="J752" s="4">
        <f>SUMIF(Cargas!$C$5:$C$3470,C752,Cargas!$O$5:$O$3470)</f>
        <v>0</v>
      </c>
      <c r="K752" s="18">
        <f t="shared" si="14"/>
        <v>990</v>
      </c>
      <c r="L752" s="63" t="s">
        <v>8102</v>
      </c>
      <c r="M752" s="64">
        <v>120714</v>
      </c>
    </row>
    <row r="753" spans="2:13" ht="13.5" hidden="1" customHeight="1" x14ac:dyDescent="0.25">
      <c r="B753" s="58">
        <v>45110</v>
      </c>
      <c r="C753" s="59" t="s">
        <v>8103</v>
      </c>
      <c r="D753" s="61" t="s">
        <v>8104</v>
      </c>
      <c r="E753" s="61" t="s">
        <v>7877</v>
      </c>
      <c r="F753" s="61"/>
      <c r="G753" s="61" t="s">
        <v>7569</v>
      </c>
      <c r="H753" s="61" t="s">
        <v>7570</v>
      </c>
      <c r="I753" s="62">
        <v>990</v>
      </c>
      <c r="J753" s="4">
        <f>SUMIF(Cargas!$C$5:$C$3470,C753,Cargas!$O$5:$O$3470)</f>
        <v>0</v>
      </c>
      <c r="K753" s="18">
        <f t="shared" si="14"/>
        <v>990</v>
      </c>
      <c r="L753" s="63" t="s">
        <v>8105</v>
      </c>
      <c r="M753" s="64">
        <v>123697</v>
      </c>
    </row>
    <row r="754" spans="2:13" ht="13.5" hidden="1" customHeight="1" x14ac:dyDescent="0.25">
      <c r="B754" s="58">
        <v>45119</v>
      </c>
      <c r="C754" s="59" t="s">
        <v>8106</v>
      </c>
      <c r="D754" s="61" t="s">
        <v>8107</v>
      </c>
      <c r="E754" s="61" t="s">
        <v>7877</v>
      </c>
      <c r="F754" s="61"/>
      <c r="G754" s="61" t="s">
        <v>7569</v>
      </c>
      <c r="H754" s="61" t="s">
        <v>7570</v>
      </c>
      <c r="I754" s="62">
        <v>990</v>
      </c>
      <c r="J754" s="4">
        <f>SUMIF(Cargas!$C$5:$C$3470,C754,Cargas!$O$5:$O$3470)</f>
        <v>0</v>
      </c>
      <c r="K754" s="18">
        <f t="shared" si="14"/>
        <v>990</v>
      </c>
      <c r="L754" s="63" t="s">
        <v>8108</v>
      </c>
      <c r="M754" s="64">
        <v>129642</v>
      </c>
    </row>
    <row r="755" spans="2:13" ht="13.5" hidden="1" customHeight="1" x14ac:dyDescent="0.25">
      <c r="B755" s="58">
        <v>45119</v>
      </c>
      <c r="C755" s="59" t="s">
        <v>8109</v>
      </c>
      <c r="D755" s="61" t="s">
        <v>8110</v>
      </c>
      <c r="E755" s="61" t="s">
        <v>7877</v>
      </c>
      <c r="F755" s="61"/>
      <c r="G755" s="61" t="s">
        <v>7569</v>
      </c>
      <c r="H755" s="61" t="s">
        <v>7570</v>
      </c>
      <c r="I755" s="62">
        <v>990</v>
      </c>
      <c r="J755" s="4">
        <f>SUMIF(Cargas!$C$5:$C$3470,C755,Cargas!$O$5:$O$3470)</f>
        <v>0</v>
      </c>
      <c r="K755" s="18">
        <f t="shared" si="14"/>
        <v>990</v>
      </c>
      <c r="L755" s="63" t="s">
        <v>8111</v>
      </c>
      <c r="M755" s="64">
        <v>129647</v>
      </c>
    </row>
    <row r="756" spans="2:13" ht="13.5" hidden="1" customHeight="1" x14ac:dyDescent="0.25">
      <c r="B756" s="58">
        <v>45126</v>
      </c>
      <c r="C756" s="59" t="s">
        <v>8112</v>
      </c>
      <c r="D756" s="61" t="s">
        <v>8113</v>
      </c>
      <c r="E756" s="61" t="s">
        <v>7877</v>
      </c>
      <c r="F756" s="61"/>
      <c r="G756" s="61" t="s">
        <v>7569</v>
      </c>
      <c r="H756" s="61" t="s">
        <v>7570</v>
      </c>
      <c r="I756" s="62">
        <v>990</v>
      </c>
      <c r="J756" s="4">
        <f>SUMIF(Cargas!$C$5:$C$3470,C756,Cargas!$O$5:$O$3470)</f>
        <v>0</v>
      </c>
      <c r="K756" s="18">
        <f t="shared" si="14"/>
        <v>990</v>
      </c>
      <c r="L756" s="63" t="s">
        <v>8114</v>
      </c>
      <c r="M756" s="64">
        <v>133790</v>
      </c>
    </row>
    <row r="757" spans="2:13" ht="13.5" hidden="1" customHeight="1" x14ac:dyDescent="0.25">
      <c r="B757" s="58">
        <v>45135</v>
      </c>
      <c r="C757" s="59" t="s">
        <v>8115</v>
      </c>
      <c r="D757" s="61" t="s">
        <v>8116</v>
      </c>
      <c r="E757" s="61" t="s">
        <v>7877</v>
      </c>
      <c r="F757" s="61"/>
      <c r="G757" s="61" t="s">
        <v>7569</v>
      </c>
      <c r="H757" s="61" t="s">
        <v>7570</v>
      </c>
      <c r="I757" s="62">
        <v>990</v>
      </c>
      <c r="J757" s="4">
        <f>SUMIF(Cargas!$C$5:$C$3470,C757,Cargas!$O$5:$O$3470)</f>
        <v>0</v>
      </c>
      <c r="K757" s="18">
        <f t="shared" si="14"/>
        <v>990</v>
      </c>
      <c r="L757" s="63" t="s">
        <v>8117</v>
      </c>
      <c r="M757" s="64">
        <v>141409</v>
      </c>
    </row>
    <row r="758" spans="2:13" ht="13.5" hidden="1" customHeight="1" x14ac:dyDescent="0.25">
      <c r="B758" s="58">
        <v>45139</v>
      </c>
      <c r="C758" s="59" t="s">
        <v>8118</v>
      </c>
      <c r="D758" s="61" t="s">
        <v>8119</v>
      </c>
      <c r="E758" s="61" t="s">
        <v>7877</v>
      </c>
      <c r="F758" s="61"/>
      <c r="G758" s="61" t="s">
        <v>7569</v>
      </c>
      <c r="H758" s="61" t="s">
        <v>7570</v>
      </c>
      <c r="I758" s="62">
        <v>990</v>
      </c>
      <c r="J758" s="4">
        <f>SUMIF(Cargas!$C$5:$C$3470,C758,Cargas!$O$5:$O$3470)</f>
        <v>0</v>
      </c>
      <c r="K758" s="18">
        <f t="shared" si="14"/>
        <v>990</v>
      </c>
      <c r="L758" s="63" t="s">
        <v>8120</v>
      </c>
      <c r="M758" s="64">
        <v>144168</v>
      </c>
    </row>
    <row r="759" spans="2:13" ht="13.5" hidden="1" customHeight="1" x14ac:dyDescent="0.25">
      <c r="B759" s="58">
        <v>45140</v>
      </c>
      <c r="C759" s="59" t="s">
        <v>8121</v>
      </c>
      <c r="D759" s="61" t="s">
        <v>8122</v>
      </c>
      <c r="E759" s="61" t="s">
        <v>7877</v>
      </c>
      <c r="F759" s="61"/>
      <c r="G759" s="61" t="s">
        <v>7569</v>
      </c>
      <c r="H759" s="61" t="s">
        <v>7570</v>
      </c>
      <c r="I759" s="62">
        <v>990</v>
      </c>
      <c r="J759" s="4">
        <f>SUMIF(Cargas!$C$5:$C$3470,C759,Cargas!$O$5:$O$3470)</f>
        <v>0</v>
      </c>
      <c r="K759" s="18">
        <f t="shared" si="14"/>
        <v>990</v>
      </c>
      <c r="L759" s="63" t="s">
        <v>8123</v>
      </c>
      <c r="M759" s="64">
        <v>144224</v>
      </c>
    </row>
    <row r="760" spans="2:13" ht="13.5" hidden="1" customHeight="1" x14ac:dyDescent="0.25">
      <c r="B760" s="58">
        <v>45142</v>
      </c>
      <c r="C760" s="59" t="s">
        <v>8124</v>
      </c>
      <c r="D760" s="61" t="s">
        <v>8125</v>
      </c>
      <c r="E760" s="61" t="s">
        <v>7877</v>
      </c>
      <c r="F760" s="61"/>
      <c r="G760" s="61" t="s">
        <v>7569</v>
      </c>
      <c r="H760" s="61" t="s">
        <v>7570</v>
      </c>
      <c r="I760" s="62">
        <v>980</v>
      </c>
      <c r="J760" s="4">
        <f>SUMIF(Cargas!$C$5:$C$3470,C760,Cargas!$O$5:$O$3470)</f>
        <v>0</v>
      </c>
      <c r="K760" s="18">
        <f t="shared" si="14"/>
        <v>980</v>
      </c>
      <c r="L760" s="63" t="s">
        <v>8126</v>
      </c>
      <c r="M760" s="64">
        <v>146243</v>
      </c>
    </row>
    <row r="761" spans="2:13" ht="13.5" hidden="1" customHeight="1" x14ac:dyDescent="0.25">
      <c r="B761" s="58">
        <v>45145</v>
      </c>
      <c r="C761" s="59" t="s">
        <v>8127</v>
      </c>
      <c r="D761" s="61" t="s">
        <v>8128</v>
      </c>
      <c r="E761" s="61" t="s">
        <v>7877</v>
      </c>
      <c r="F761" s="61"/>
      <c r="G761" s="61" t="s">
        <v>7569</v>
      </c>
      <c r="H761" s="61" t="s">
        <v>7570</v>
      </c>
      <c r="I761" s="62">
        <v>980</v>
      </c>
      <c r="J761" s="4">
        <f>SUMIF(Cargas!$C$5:$C$3470,C761,Cargas!$O$5:$O$3470)</f>
        <v>0</v>
      </c>
      <c r="K761" s="18">
        <f t="shared" si="14"/>
        <v>980</v>
      </c>
      <c r="L761" s="63" t="s">
        <v>8129</v>
      </c>
      <c r="M761" s="64">
        <v>146243</v>
      </c>
    </row>
    <row r="762" spans="2:13" ht="13.5" hidden="1" customHeight="1" x14ac:dyDescent="0.25">
      <c r="B762" s="58">
        <v>45147</v>
      </c>
      <c r="C762" s="59" t="s">
        <v>8130</v>
      </c>
      <c r="D762" s="61" t="s">
        <v>8131</v>
      </c>
      <c r="E762" s="61" t="s">
        <v>7877</v>
      </c>
      <c r="F762" s="61"/>
      <c r="G762" s="61" t="s">
        <v>7569</v>
      </c>
      <c r="H762" s="61" t="s">
        <v>7570</v>
      </c>
      <c r="I762" s="62">
        <v>980</v>
      </c>
      <c r="J762" s="4">
        <f>SUMIF(Cargas!$C$5:$C$3470,C762,Cargas!$O$5:$O$3470)</f>
        <v>0</v>
      </c>
      <c r="K762" s="18">
        <f t="shared" si="14"/>
        <v>980</v>
      </c>
      <c r="L762" s="63" t="s">
        <v>8132</v>
      </c>
      <c r="M762" s="64">
        <v>149265</v>
      </c>
    </row>
    <row r="763" spans="2:13" ht="13.5" hidden="1" customHeight="1" x14ac:dyDescent="0.25">
      <c r="B763" s="58">
        <v>45148</v>
      </c>
      <c r="C763" s="59" t="s">
        <v>8133</v>
      </c>
      <c r="D763" s="61" t="s">
        <v>8134</v>
      </c>
      <c r="E763" s="61" t="s">
        <v>7877</v>
      </c>
      <c r="F763" s="61"/>
      <c r="G763" s="61" t="s">
        <v>7569</v>
      </c>
      <c r="H763" s="61" t="s">
        <v>7570</v>
      </c>
      <c r="I763" s="62">
        <v>980</v>
      </c>
      <c r="J763" s="4">
        <f>SUMIF(Cargas!$C$5:$C$3470,C763,Cargas!$O$5:$O$3470)</f>
        <v>0</v>
      </c>
      <c r="K763" s="18">
        <f t="shared" si="14"/>
        <v>980</v>
      </c>
      <c r="L763" s="63" t="s">
        <v>8135</v>
      </c>
      <c r="M763" s="64">
        <v>149213</v>
      </c>
    </row>
    <row r="764" spans="2:13" ht="13.5" hidden="1" customHeight="1" x14ac:dyDescent="0.25">
      <c r="B764" s="58">
        <v>45149</v>
      </c>
      <c r="C764" s="59" t="s">
        <v>8136</v>
      </c>
      <c r="D764" s="61" t="s">
        <v>8137</v>
      </c>
      <c r="E764" s="61" t="s">
        <v>7877</v>
      </c>
      <c r="F764" s="61"/>
      <c r="G764" s="61" t="s">
        <v>7569</v>
      </c>
      <c r="H764" s="61" t="s">
        <v>7570</v>
      </c>
      <c r="I764" s="62">
        <v>980</v>
      </c>
      <c r="J764" s="4">
        <f>SUMIF(Cargas!$C$5:$C$3470,C764,Cargas!$O$5:$O$3470)</f>
        <v>0</v>
      </c>
      <c r="K764" s="18">
        <f t="shared" si="14"/>
        <v>980</v>
      </c>
      <c r="L764" s="63" t="s">
        <v>8138</v>
      </c>
      <c r="M764" s="64">
        <v>152528</v>
      </c>
    </row>
    <row r="765" spans="2:13" ht="13.5" hidden="1" customHeight="1" x14ac:dyDescent="0.25">
      <c r="B765" s="46">
        <v>45149</v>
      </c>
      <c r="C765" s="6" t="s">
        <v>8139</v>
      </c>
      <c r="D765" s="2" t="s">
        <v>8140</v>
      </c>
      <c r="E765" s="2" t="s">
        <v>7877</v>
      </c>
      <c r="F765" s="2"/>
      <c r="G765" s="2" t="s">
        <v>7569</v>
      </c>
      <c r="H765" s="2" t="s">
        <v>7570</v>
      </c>
      <c r="I765" s="3">
        <v>980</v>
      </c>
      <c r="J765" s="4">
        <f>SUMIF(Cargas!$C$5:$C$3470,C765,Cargas!$O$5:$O$3470)</f>
        <v>0</v>
      </c>
      <c r="K765" s="18">
        <f t="shared" si="14"/>
        <v>980</v>
      </c>
      <c r="L765" s="5" t="s">
        <v>8141</v>
      </c>
      <c r="M765" s="37">
        <v>154263</v>
      </c>
    </row>
    <row r="766" spans="2:13" ht="13.5" hidden="1" customHeight="1" x14ac:dyDescent="0.25">
      <c r="B766" s="58" t="s">
        <v>299</v>
      </c>
      <c r="C766" s="59" t="s">
        <v>299</v>
      </c>
      <c r="D766" s="60" t="s">
        <v>8142</v>
      </c>
      <c r="E766" s="61" t="s">
        <v>299</v>
      </c>
      <c r="F766" s="61"/>
      <c r="G766" s="61" t="s">
        <v>299</v>
      </c>
      <c r="H766" s="61" t="s">
        <v>299</v>
      </c>
      <c r="I766" s="62">
        <v>1000000</v>
      </c>
      <c r="J766" s="4" t="e">
        <f>SUMIF(Cargas!#REF!,C766,Cargas!#REF!)</f>
        <v>#REF!</v>
      </c>
      <c r="K766" s="18" t="e">
        <f t="shared" ref="K766:K829" si="15">IF(ABS(I766-J766)&lt;20,0,I766-J766)</f>
        <v>#REF!</v>
      </c>
      <c r="L766" s="63" t="s">
        <v>299</v>
      </c>
      <c r="M766" s="64" t="s">
        <v>299</v>
      </c>
    </row>
    <row r="767" spans="2:13" ht="13.5" hidden="1" customHeight="1" x14ac:dyDescent="0.25">
      <c r="B767" s="46">
        <v>45149</v>
      </c>
      <c r="C767" s="6" t="s">
        <v>8143</v>
      </c>
      <c r="D767" s="2" t="s">
        <v>8144</v>
      </c>
      <c r="E767" s="2" t="s">
        <v>7877</v>
      </c>
      <c r="F767" s="2"/>
      <c r="G767" s="2" t="s">
        <v>7569</v>
      </c>
      <c r="H767" s="2" t="s">
        <v>7570</v>
      </c>
      <c r="I767" s="3">
        <v>980</v>
      </c>
      <c r="J767" s="4">
        <f>SUMIF(Cargas!$C$5:$C$3470,C767,Cargas!$O$5:$O$3470)</f>
        <v>0</v>
      </c>
      <c r="K767" s="18">
        <f t="shared" si="15"/>
        <v>980</v>
      </c>
      <c r="L767" s="5" t="s">
        <v>8145</v>
      </c>
      <c r="M767" s="37">
        <v>154263</v>
      </c>
    </row>
    <row r="768" spans="2:13" ht="13.5" hidden="1" customHeight="1" x14ac:dyDescent="0.25">
      <c r="B768" s="46">
        <v>45154</v>
      </c>
      <c r="C768" s="6" t="s">
        <v>8146</v>
      </c>
      <c r="D768" s="2" t="s">
        <v>8147</v>
      </c>
      <c r="E768" s="2" t="s">
        <v>7877</v>
      </c>
      <c r="F768" s="2"/>
      <c r="G768" s="2" t="s">
        <v>7569</v>
      </c>
      <c r="H768" s="2" t="s">
        <v>7570</v>
      </c>
      <c r="I768" s="3">
        <v>980</v>
      </c>
      <c r="J768" s="4">
        <f>SUMIF(Cargas!$C$5:$C$3470,C768,Cargas!$O$5:$O$3470)</f>
        <v>0</v>
      </c>
      <c r="K768" s="18">
        <f t="shared" si="15"/>
        <v>980</v>
      </c>
      <c r="L768" s="5" t="s">
        <v>8148</v>
      </c>
      <c r="M768" s="37">
        <v>154263</v>
      </c>
    </row>
    <row r="769" spans="2:13" ht="13.5" hidden="1" customHeight="1" x14ac:dyDescent="0.25">
      <c r="B769" s="46">
        <v>45159</v>
      </c>
      <c r="C769" s="6" t="s">
        <v>8149</v>
      </c>
      <c r="D769" s="2" t="s">
        <v>8150</v>
      </c>
      <c r="E769" s="2" t="s">
        <v>7877</v>
      </c>
      <c r="F769" s="2"/>
      <c r="G769" s="2" t="s">
        <v>7569</v>
      </c>
      <c r="H769" s="2" t="s">
        <v>7570</v>
      </c>
      <c r="I769" s="3">
        <v>990</v>
      </c>
      <c r="J769" s="4">
        <f>SUMIF(Cargas!$C$5:$C$3470,C769,Cargas!$O$5:$O$3470)</f>
        <v>0</v>
      </c>
      <c r="K769" s="18">
        <f t="shared" si="15"/>
        <v>990</v>
      </c>
      <c r="L769" s="5" t="s">
        <v>8151</v>
      </c>
      <c r="M769" s="37">
        <v>157290</v>
      </c>
    </row>
    <row r="770" spans="2:13" ht="13.5" hidden="1" customHeight="1" x14ac:dyDescent="0.25">
      <c r="B770" s="46">
        <v>45159</v>
      </c>
      <c r="C770" s="6" t="s">
        <v>8152</v>
      </c>
      <c r="D770" s="2" t="s">
        <v>8153</v>
      </c>
      <c r="E770" s="2" t="s">
        <v>7877</v>
      </c>
      <c r="F770" s="2"/>
      <c r="G770" s="2" t="s">
        <v>7569</v>
      </c>
      <c r="H770" s="2" t="s">
        <v>7570</v>
      </c>
      <c r="I770" s="3">
        <v>990</v>
      </c>
      <c r="J770" s="4">
        <f>SUMIF(Cargas!$C$5:$C$3470,C770,Cargas!$O$5:$O$3470)</f>
        <v>0</v>
      </c>
      <c r="K770" s="18">
        <f t="shared" si="15"/>
        <v>990</v>
      </c>
      <c r="L770" s="5" t="s">
        <v>8154</v>
      </c>
      <c r="M770" s="37">
        <v>157290</v>
      </c>
    </row>
    <row r="771" spans="2:13" ht="13.5" hidden="1" customHeight="1" x14ac:dyDescent="0.25">
      <c r="B771" s="46">
        <v>45160</v>
      </c>
      <c r="C771" s="6" t="s">
        <v>8155</v>
      </c>
      <c r="D771" s="2" t="s">
        <v>8156</v>
      </c>
      <c r="E771" s="2" t="s">
        <v>7877</v>
      </c>
      <c r="F771" s="2"/>
      <c r="G771" s="2" t="s">
        <v>7569</v>
      </c>
      <c r="H771" s="2" t="s">
        <v>7570</v>
      </c>
      <c r="I771" s="3">
        <v>930</v>
      </c>
      <c r="J771" s="4">
        <f>SUMIF(Cargas!$C$5:$C$3470,C771,Cargas!$O$5:$O$3470)</f>
        <v>0</v>
      </c>
      <c r="K771" s="18">
        <f t="shared" si="15"/>
        <v>930</v>
      </c>
      <c r="L771" s="5" t="s">
        <v>8157</v>
      </c>
      <c r="M771" s="37">
        <v>158342</v>
      </c>
    </row>
    <row r="772" spans="2:13" ht="13.5" hidden="1" customHeight="1" x14ac:dyDescent="0.25">
      <c r="B772" s="46">
        <v>45160</v>
      </c>
      <c r="C772" s="6" t="s">
        <v>8158</v>
      </c>
      <c r="D772" s="2" t="s">
        <v>8159</v>
      </c>
      <c r="E772" s="2" t="s">
        <v>7877</v>
      </c>
      <c r="F772" s="2"/>
      <c r="G772" s="2" t="s">
        <v>7569</v>
      </c>
      <c r="H772" s="2" t="s">
        <v>7570</v>
      </c>
      <c r="I772" s="3">
        <v>930</v>
      </c>
      <c r="J772" s="4">
        <f>SUMIF(Cargas!$C$5:$C$3470,C772,Cargas!$O$5:$O$3470)</f>
        <v>0</v>
      </c>
      <c r="K772" s="18">
        <f t="shared" si="15"/>
        <v>930</v>
      </c>
      <c r="L772" s="5" t="s">
        <v>8160</v>
      </c>
      <c r="M772" s="37">
        <v>158301</v>
      </c>
    </row>
    <row r="773" spans="2:13" ht="13.5" hidden="1" customHeight="1" x14ac:dyDescent="0.25">
      <c r="B773" s="58">
        <v>45166</v>
      </c>
      <c r="C773" s="59" t="s">
        <v>8161</v>
      </c>
      <c r="D773" s="61" t="s">
        <v>8162</v>
      </c>
      <c r="E773" s="61" t="s">
        <v>7877</v>
      </c>
      <c r="F773" s="61"/>
      <c r="G773" s="61" t="s">
        <v>7569</v>
      </c>
      <c r="H773" s="61" t="s">
        <v>7570</v>
      </c>
      <c r="I773" s="62">
        <v>930</v>
      </c>
      <c r="J773" s="4">
        <f>SUMIF(Cargas!$C$5:$C$3470,C773,Cargas!$O$5:$O$3470)</f>
        <v>0</v>
      </c>
      <c r="K773" s="18">
        <f t="shared" si="15"/>
        <v>930</v>
      </c>
      <c r="L773" s="63" t="s">
        <v>8163</v>
      </c>
      <c r="M773" s="64">
        <v>164234</v>
      </c>
    </row>
    <row r="774" spans="2:13" ht="13.5" hidden="1" customHeight="1" x14ac:dyDescent="0.25">
      <c r="B774" s="58">
        <v>45166</v>
      </c>
      <c r="C774" s="59" t="s">
        <v>8164</v>
      </c>
      <c r="D774" s="61" t="s">
        <v>8165</v>
      </c>
      <c r="E774" s="61" t="s">
        <v>7877</v>
      </c>
      <c r="F774" s="61"/>
      <c r="G774" s="61" t="s">
        <v>7569</v>
      </c>
      <c r="H774" s="61" t="s">
        <v>7570</v>
      </c>
      <c r="I774" s="62">
        <v>930</v>
      </c>
      <c r="J774" s="4">
        <f>SUMIF(Cargas!$C$5:$C$3470,C774,Cargas!$O$5:$O$3470)</f>
        <v>0</v>
      </c>
      <c r="K774" s="18">
        <f t="shared" si="15"/>
        <v>930</v>
      </c>
      <c r="L774" s="63" t="s">
        <v>8166</v>
      </c>
      <c r="M774" s="64">
        <v>164262</v>
      </c>
    </row>
    <row r="775" spans="2:13" ht="13.5" hidden="1" customHeight="1" x14ac:dyDescent="0.25">
      <c r="B775" s="58">
        <v>45167</v>
      </c>
      <c r="C775" s="59" t="s">
        <v>8167</v>
      </c>
      <c r="D775" s="61" t="s">
        <v>8168</v>
      </c>
      <c r="E775" s="61" t="s">
        <v>7877</v>
      </c>
      <c r="F775" s="61"/>
      <c r="G775" s="61" t="s">
        <v>7569</v>
      </c>
      <c r="H775" s="61" t="s">
        <v>7570</v>
      </c>
      <c r="I775" s="62">
        <v>2790</v>
      </c>
      <c r="J775" s="4">
        <f>SUMIF(Cargas!$C$5:$C$3470,C775,Cargas!$O$5:$O$3470)</f>
        <v>0</v>
      </c>
      <c r="K775" s="18">
        <f t="shared" si="15"/>
        <v>2790</v>
      </c>
      <c r="L775" s="63" t="s">
        <v>8169</v>
      </c>
      <c r="M775" s="64">
        <v>164076</v>
      </c>
    </row>
    <row r="776" spans="2:13" ht="13.5" hidden="1" customHeight="1" x14ac:dyDescent="0.25">
      <c r="B776" s="58">
        <v>45167</v>
      </c>
      <c r="C776" s="59" t="s">
        <v>8170</v>
      </c>
      <c r="D776" s="61" t="s">
        <v>8171</v>
      </c>
      <c r="E776" s="61" t="s">
        <v>7877</v>
      </c>
      <c r="F776" s="61"/>
      <c r="G776" s="61" t="s">
        <v>7569</v>
      </c>
      <c r="H776" s="61" t="s">
        <v>7570</v>
      </c>
      <c r="I776" s="62">
        <v>980</v>
      </c>
      <c r="J776" s="4">
        <f>SUMIF(Cargas!$C$5:$C$3470,C776,Cargas!$O$5:$O$3470)</f>
        <v>0</v>
      </c>
      <c r="K776" s="18">
        <f t="shared" si="15"/>
        <v>980</v>
      </c>
      <c r="L776" s="63" t="s">
        <v>8172</v>
      </c>
      <c r="M776" s="64">
        <v>164138</v>
      </c>
    </row>
    <row r="777" spans="2:13" ht="13.5" hidden="1" customHeight="1" x14ac:dyDescent="0.25">
      <c r="B777" s="58">
        <v>45167</v>
      </c>
      <c r="C777" s="59" t="s">
        <v>8173</v>
      </c>
      <c r="D777" s="61" t="s">
        <v>8174</v>
      </c>
      <c r="E777" s="61" t="s">
        <v>7877</v>
      </c>
      <c r="F777" s="61"/>
      <c r="G777" s="61" t="s">
        <v>7569</v>
      </c>
      <c r="H777" s="61" t="s">
        <v>7570</v>
      </c>
      <c r="I777" s="62">
        <v>1860</v>
      </c>
      <c r="J777" s="4">
        <f>SUMIF(Cargas!$C$5:$C$3470,C777,Cargas!$O$5:$O$3470)</f>
        <v>0</v>
      </c>
      <c r="K777" s="18">
        <f t="shared" si="15"/>
        <v>1860</v>
      </c>
      <c r="L777" s="63" t="s">
        <v>8175</v>
      </c>
      <c r="M777" s="64">
        <v>164175</v>
      </c>
    </row>
    <row r="778" spans="2:13" ht="13.5" hidden="1" customHeight="1" x14ac:dyDescent="0.25">
      <c r="B778" s="58">
        <v>45173</v>
      </c>
      <c r="C778" s="59" t="s">
        <v>8176</v>
      </c>
      <c r="D778" s="61" t="s">
        <v>8177</v>
      </c>
      <c r="E778" s="61" t="s">
        <v>7877</v>
      </c>
      <c r="F778" s="61"/>
      <c r="G778" s="61" t="s">
        <v>7569</v>
      </c>
      <c r="H778" s="61" t="s">
        <v>7570</v>
      </c>
      <c r="I778" s="62">
        <v>2790</v>
      </c>
      <c r="J778" s="4">
        <f>SUMIF(Cargas!$C$5:$C$3470,C778,Cargas!$O$5:$O$3470)</f>
        <v>0</v>
      </c>
      <c r="K778" s="18">
        <f t="shared" si="15"/>
        <v>2790</v>
      </c>
      <c r="L778" s="63" t="s">
        <v>8178</v>
      </c>
      <c r="M778" s="64">
        <v>168053</v>
      </c>
    </row>
    <row r="779" spans="2:13" ht="13.5" hidden="1" customHeight="1" x14ac:dyDescent="0.25">
      <c r="B779" s="58">
        <v>45175</v>
      </c>
      <c r="C779" s="59" t="s">
        <v>8179</v>
      </c>
      <c r="D779" s="61" t="s">
        <v>8180</v>
      </c>
      <c r="E779" s="61" t="s">
        <v>7877</v>
      </c>
      <c r="F779" s="61"/>
      <c r="G779" s="61" t="s">
        <v>7569</v>
      </c>
      <c r="H779" s="61" t="s">
        <v>7570</v>
      </c>
      <c r="I779" s="62">
        <v>1860</v>
      </c>
      <c r="J779" s="4">
        <f>SUMIF(Cargas!$C$5:$C$3470,C779,Cargas!$O$5:$O$3470)</f>
        <v>0</v>
      </c>
      <c r="K779" s="18">
        <f t="shared" si="15"/>
        <v>1860</v>
      </c>
      <c r="L779" s="63" t="s">
        <v>8181</v>
      </c>
      <c r="M779" s="64">
        <v>168104</v>
      </c>
    </row>
    <row r="780" spans="2:13" ht="13.5" hidden="1" customHeight="1" x14ac:dyDescent="0.25">
      <c r="B780" s="58">
        <v>45175</v>
      </c>
      <c r="C780" s="59" t="s">
        <v>8182</v>
      </c>
      <c r="D780" s="61" t="s">
        <v>8183</v>
      </c>
      <c r="E780" s="61" t="s">
        <v>7877</v>
      </c>
      <c r="F780" s="61"/>
      <c r="G780" s="61" t="s">
        <v>7569</v>
      </c>
      <c r="H780" s="61" t="s">
        <v>7570</v>
      </c>
      <c r="I780" s="62">
        <v>930</v>
      </c>
      <c r="J780" s="4">
        <f>SUMIF(Cargas!$C$5:$C$3470,C780,Cargas!$O$5:$O$3470)</f>
        <v>0</v>
      </c>
      <c r="K780" s="18">
        <f t="shared" si="15"/>
        <v>930</v>
      </c>
      <c r="L780" s="63" t="s">
        <v>8184</v>
      </c>
      <c r="M780" s="64">
        <v>168053</v>
      </c>
    </row>
    <row r="781" spans="2:13" ht="13.5" hidden="1" customHeight="1" x14ac:dyDescent="0.25">
      <c r="B781" s="58">
        <v>45177</v>
      </c>
      <c r="C781" s="59" t="s">
        <v>8185</v>
      </c>
      <c r="D781" s="61" t="s">
        <v>8186</v>
      </c>
      <c r="E781" s="61" t="s">
        <v>7877</v>
      </c>
      <c r="F781" s="61"/>
      <c r="G781" s="61" t="s">
        <v>7569</v>
      </c>
      <c r="H781" s="61" t="s">
        <v>7570</v>
      </c>
      <c r="I781" s="62">
        <v>2790</v>
      </c>
      <c r="J781" s="4">
        <f>SUMIF(Cargas!$C$5:$C$3470,C781,Cargas!$O$5:$O$3470)</f>
        <v>0</v>
      </c>
      <c r="K781" s="18">
        <f t="shared" si="15"/>
        <v>2790</v>
      </c>
      <c r="L781" s="63" t="s">
        <v>8187</v>
      </c>
      <c r="M781" s="64">
        <v>171733</v>
      </c>
    </row>
    <row r="782" spans="2:13" ht="13.5" hidden="1" customHeight="1" x14ac:dyDescent="0.25">
      <c r="B782" s="58">
        <v>45180</v>
      </c>
      <c r="C782" s="59" t="s">
        <v>8188</v>
      </c>
      <c r="D782" s="61" t="s">
        <v>8189</v>
      </c>
      <c r="E782" s="61" t="s">
        <v>7877</v>
      </c>
      <c r="F782" s="61"/>
      <c r="G782" s="61" t="s">
        <v>7569</v>
      </c>
      <c r="H782" s="61" t="s">
        <v>7570</v>
      </c>
      <c r="I782" s="62">
        <v>2790</v>
      </c>
      <c r="J782" s="4">
        <f>SUMIF(Cargas!$C$5:$C$3470,C782,Cargas!$O$5:$O$3470)</f>
        <v>0</v>
      </c>
      <c r="K782" s="18">
        <f t="shared" si="15"/>
        <v>2790</v>
      </c>
      <c r="L782" s="63" t="s">
        <v>8190</v>
      </c>
      <c r="M782" s="64">
        <v>173061</v>
      </c>
    </row>
    <row r="783" spans="2:13" ht="13.5" hidden="1" customHeight="1" x14ac:dyDescent="0.25">
      <c r="B783" s="58">
        <v>45187</v>
      </c>
      <c r="C783" s="59" t="s">
        <v>8191</v>
      </c>
      <c r="D783" s="61" t="s">
        <v>8192</v>
      </c>
      <c r="E783" s="61" t="s">
        <v>7877</v>
      </c>
      <c r="F783" s="61"/>
      <c r="G783" s="61" t="s">
        <v>7569</v>
      </c>
      <c r="H783" s="61" t="s">
        <v>7570</v>
      </c>
      <c r="I783" s="62">
        <v>930</v>
      </c>
      <c r="J783" s="4">
        <f>SUMIF(Cargas!$C$5:$C$3470,C783,Cargas!$O$5:$O$3470)</f>
        <v>0</v>
      </c>
      <c r="K783" s="18">
        <f t="shared" si="15"/>
        <v>930</v>
      </c>
      <c r="L783" s="63" t="s">
        <v>8193</v>
      </c>
      <c r="M783" s="64">
        <v>178118</v>
      </c>
    </row>
    <row r="784" spans="2:13" ht="13.5" hidden="1" customHeight="1" x14ac:dyDescent="0.25">
      <c r="B784" s="58">
        <v>45187</v>
      </c>
      <c r="C784" s="59" t="s">
        <v>8194</v>
      </c>
      <c r="D784" s="61" t="s">
        <v>8195</v>
      </c>
      <c r="E784" s="61" t="s">
        <v>7877</v>
      </c>
      <c r="F784" s="61"/>
      <c r="G784" s="61" t="s">
        <v>7569</v>
      </c>
      <c r="H784" s="61" t="s">
        <v>7570</v>
      </c>
      <c r="I784" s="62">
        <v>2790</v>
      </c>
      <c r="J784" s="4">
        <f>SUMIF(Cargas!$C$5:$C$3470,C784,Cargas!$O$5:$O$3470)</f>
        <v>0</v>
      </c>
      <c r="K784" s="18">
        <f t="shared" si="15"/>
        <v>2790</v>
      </c>
      <c r="L784" s="63" t="s">
        <v>8196</v>
      </c>
      <c r="M784" s="64">
        <v>178512</v>
      </c>
    </row>
    <row r="785" spans="2:13" ht="13.5" hidden="1" customHeight="1" x14ac:dyDescent="0.25">
      <c r="B785" s="58">
        <v>45195</v>
      </c>
      <c r="C785" s="59" t="s">
        <v>8197</v>
      </c>
      <c r="D785" s="61" t="s">
        <v>8198</v>
      </c>
      <c r="E785" s="61" t="s">
        <v>7877</v>
      </c>
      <c r="F785" s="61"/>
      <c r="G785" s="61" t="s">
        <v>7569</v>
      </c>
      <c r="H785" s="61" t="s">
        <v>7570</v>
      </c>
      <c r="I785" s="62">
        <v>1960</v>
      </c>
      <c r="J785" s="4">
        <f>SUMIF(Cargas!$C$5:$C$3470,C785,Cargas!$O$5:$O$3470)</f>
        <v>0</v>
      </c>
      <c r="K785" s="18">
        <f t="shared" si="15"/>
        <v>1960</v>
      </c>
      <c r="L785" s="63" t="s">
        <v>8193</v>
      </c>
      <c r="M785" s="64">
        <v>184109</v>
      </c>
    </row>
    <row r="786" spans="2:13" ht="13.5" hidden="1" customHeight="1" x14ac:dyDescent="0.25">
      <c r="B786" s="58">
        <v>45202</v>
      </c>
      <c r="C786" s="59" t="s">
        <v>8199</v>
      </c>
      <c r="D786" s="61" t="s">
        <v>8200</v>
      </c>
      <c r="E786" s="61" t="s">
        <v>7877</v>
      </c>
      <c r="F786" s="61"/>
      <c r="G786" s="61" t="s">
        <v>7569</v>
      </c>
      <c r="H786" s="61" t="s">
        <v>7570</v>
      </c>
      <c r="I786" s="62">
        <v>1960</v>
      </c>
      <c r="J786" s="4">
        <f>SUMIF(Cargas!$C$5:$C$3470,C786,Cargas!$O$5:$O$3470)</f>
        <v>0</v>
      </c>
      <c r="K786" s="18">
        <f t="shared" si="15"/>
        <v>1960</v>
      </c>
      <c r="L786" s="63" t="s">
        <v>8201</v>
      </c>
      <c r="M786" s="64" t="s">
        <v>299</v>
      </c>
    </row>
    <row r="787" spans="2:13" ht="13.5" hidden="1" customHeight="1" x14ac:dyDescent="0.25">
      <c r="B787" s="58">
        <v>45203</v>
      </c>
      <c r="C787" s="59" t="s">
        <v>8202</v>
      </c>
      <c r="D787" s="61" t="s">
        <v>8203</v>
      </c>
      <c r="E787" s="61" t="s">
        <v>7877</v>
      </c>
      <c r="F787" s="61"/>
      <c r="G787" s="61" t="s">
        <v>7569</v>
      </c>
      <c r="H787" s="61" t="s">
        <v>7570</v>
      </c>
      <c r="I787" s="62">
        <v>930</v>
      </c>
      <c r="J787" s="4">
        <f>SUMIF(Cargas!$C$5:$C$3470,C787,Cargas!$O$5:$O$3470)</f>
        <v>0</v>
      </c>
      <c r="K787" s="18">
        <f t="shared" si="15"/>
        <v>930</v>
      </c>
      <c r="L787" s="63" t="s">
        <v>8204</v>
      </c>
      <c r="M787" s="64">
        <v>190606</v>
      </c>
    </row>
    <row r="788" spans="2:13" ht="13.5" hidden="1" customHeight="1" x14ac:dyDescent="0.25">
      <c r="B788" s="58">
        <v>45203</v>
      </c>
      <c r="C788" s="59" t="s">
        <v>8205</v>
      </c>
      <c r="D788" s="61" t="s">
        <v>8206</v>
      </c>
      <c r="E788" s="61" t="s">
        <v>7877</v>
      </c>
      <c r="F788" s="61"/>
      <c r="G788" s="61" t="s">
        <v>7569</v>
      </c>
      <c r="H788" s="61" t="s">
        <v>7570</v>
      </c>
      <c r="I788" s="62">
        <v>1860</v>
      </c>
      <c r="J788" s="4">
        <f>SUMIF(Cargas!$C$5:$C$3470,C788,Cargas!$O$5:$O$3470)</f>
        <v>0</v>
      </c>
      <c r="K788" s="18">
        <f t="shared" si="15"/>
        <v>1860</v>
      </c>
      <c r="L788" s="63" t="s">
        <v>8207</v>
      </c>
      <c r="M788" s="64">
        <v>190568</v>
      </c>
    </row>
    <row r="789" spans="2:13" ht="13.5" hidden="1" customHeight="1" x14ac:dyDescent="0.25">
      <c r="B789" s="58">
        <v>45205</v>
      </c>
      <c r="C789" s="59" t="s">
        <v>8208</v>
      </c>
      <c r="D789" s="61" t="s">
        <v>8209</v>
      </c>
      <c r="E789" s="61" t="s">
        <v>7877</v>
      </c>
      <c r="F789" s="61"/>
      <c r="G789" s="61" t="s">
        <v>7569</v>
      </c>
      <c r="H789" s="61" t="s">
        <v>7570</v>
      </c>
      <c r="I789" s="62">
        <v>1860</v>
      </c>
      <c r="J789" s="4">
        <f>SUMIF(Cargas!$C$5:$C$3470,C789,Cargas!$O$5:$O$3470)</f>
        <v>0</v>
      </c>
      <c r="K789" s="18">
        <f t="shared" si="15"/>
        <v>1860</v>
      </c>
      <c r="L789" s="63" t="s">
        <v>8210</v>
      </c>
      <c r="M789" s="64">
        <v>192673</v>
      </c>
    </row>
    <row r="790" spans="2:13" ht="13.5" hidden="1" customHeight="1" x14ac:dyDescent="0.25">
      <c r="B790" s="58">
        <v>45208</v>
      </c>
      <c r="C790" s="59" t="s">
        <v>8211</v>
      </c>
      <c r="D790" s="61" t="s">
        <v>8212</v>
      </c>
      <c r="E790" s="61" t="s">
        <v>7877</v>
      </c>
      <c r="F790" s="61"/>
      <c r="G790" s="61" t="s">
        <v>7569</v>
      </c>
      <c r="H790" s="61" t="s">
        <v>7570</v>
      </c>
      <c r="I790" s="62">
        <v>930</v>
      </c>
      <c r="J790" s="4">
        <f>SUMIF(Cargas!$C$5:$C$3470,C790,Cargas!$O$5:$O$3470)</f>
        <v>0</v>
      </c>
      <c r="K790" s="18">
        <f t="shared" si="15"/>
        <v>930</v>
      </c>
      <c r="L790" s="63" t="s">
        <v>8213</v>
      </c>
      <c r="M790" s="64">
        <v>193558</v>
      </c>
    </row>
    <row r="791" spans="2:13" ht="13.5" hidden="1" customHeight="1" x14ac:dyDescent="0.25">
      <c r="B791" s="58">
        <v>45209</v>
      </c>
      <c r="C791" s="59" t="s">
        <v>8214</v>
      </c>
      <c r="D791" s="61" t="s">
        <v>8215</v>
      </c>
      <c r="E791" s="61" t="s">
        <v>7877</v>
      </c>
      <c r="F791" s="61"/>
      <c r="G791" s="61" t="s">
        <v>7569</v>
      </c>
      <c r="H791" s="61" t="s">
        <v>7570</v>
      </c>
      <c r="I791" s="62">
        <v>1860</v>
      </c>
      <c r="J791" s="4">
        <f>SUMIF(Cargas!$C$5:$C$3470,C791,Cargas!$O$5:$O$3470)</f>
        <v>0</v>
      </c>
      <c r="K791" s="18">
        <f t="shared" si="15"/>
        <v>1860</v>
      </c>
      <c r="L791" s="63" t="s">
        <v>8216</v>
      </c>
      <c r="M791" s="64">
        <v>193539</v>
      </c>
    </row>
    <row r="792" spans="2:13" ht="13.5" hidden="1" customHeight="1" x14ac:dyDescent="0.25">
      <c r="B792" s="58">
        <v>45210</v>
      </c>
      <c r="C792" s="59" t="s">
        <v>8217</v>
      </c>
      <c r="D792" s="61" t="s">
        <v>8218</v>
      </c>
      <c r="E792" s="61" t="s">
        <v>7877</v>
      </c>
      <c r="F792" s="61"/>
      <c r="G792" s="61" t="s">
        <v>7569</v>
      </c>
      <c r="H792" s="61" t="s">
        <v>7570</v>
      </c>
      <c r="I792" s="62">
        <v>930</v>
      </c>
      <c r="J792" s="4">
        <f>SUMIF(Cargas!$C$5:$C$3470,C792,Cargas!$O$5:$O$3470)</f>
        <v>0</v>
      </c>
      <c r="K792" s="18">
        <f t="shared" si="15"/>
        <v>930</v>
      </c>
      <c r="L792" s="63" t="s">
        <v>8219</v>
      </c>
      <c r="M792" s="64">
        <v>195548</v>
      </c>
    </row>
    <row r="793" spans="2:13" ht="13.5" hidden="1" customHeight="1" x14ac:dyDescent="0.25">
      <c r="B793" s="58">
        <v>45210</v>
      </c>
      <c r="C793" s="59" t="s">
        <v>8220</v>
      </c>
      <c r="D793" s="61" t="s">
        <v>8221</v>
      </c>
      <c r="E793" s="61" t="s">
        <v>7877</v>
      </c>
      <c r="F793" s="61"/>
      <c r="G793" s="61" t="s">
        <v>7569</v>
      </c>
      <c r="H793" s="61" t="s">
        <v>7570</v>
      </c>
      <c r="I793" s="62">
        <v>930</v>
      </c>
      <c r="J793" s="4">
        <f>SUMIF(Cargas!$C$5:$C$3470,C793,Cargas!$O$5:$O$3470)</f>
        <v>0</v>
      </c>
      <c r="K793" s="18">
        <f t="shared" si="15"/>
        <v>930</v>
      </c>
      <c r="L793" s="63" t="s">
        <v>8222</v>
      </c>
      <c r="M793" s="64">
        <v>195500</v>
      </c>
    </row>
    <row r="794" spans="2:13" ht="13.5" hidden="1" customHeight="1" x14ac:dyDescent="0.25">
      <c r="B794" s="58">
        <v>45215</v>
      </c>
      <c r="C794" s="59" t="s">
        <v>8223</v>
      </c>
      <c r="D794" s="61" t="s">
        <v>8224</v>
      </c>
      <c r="E794" s="61" t="s">
        <v>7877</v>
      </c>
      <c r="F794" s="61"/>
      <c r="G794" s="61" t="s">
        <v>7569</v>
      </c>
      <c r="H794" s="61" t="s">
        <v>7570</v>
      </c>
      <c r="I794" s="62">
        <v>2790</v>
      </c>
      <c r="J794" s="4">
        <f>SUMIF(Cargas!$C$5:$C$3470,C794,Cargas!$O$5:$O$3470)</f>
        <v>0</v>
      </c>
      <c r="K794" s="18">
        <f t="shared" si="15"/>
        <v>2790</v>
      </c>
      <c r="L794" s="63" t="s">
        <v>8225</v>
      </c>
      <c r="M794" s="64">
        <v>195412</v>
      </c>
    </row>
    <row r="795" spans="2:13" ht="13.5" hidden="1" customHeight="1" x14ac:dyDescent="0.25">
      <c r="B795" s="58">
        <v>45216</v>
      </c>
      <c r="C795" s="59" t="s">
        <v>8226</v>
      </c>
      <c r="D795" s="61" t="s">
        <v>8227</v>
      </c>
      <c r="E795" s="61" t="s">
        <v>7877</v>
      </c>
      <c r="F795" s="61"/>
      <c r="G795" s="61" t="s">
        <v>7569</v>
      </c>
      <c r="H795" s="61" t="s">
        <v>7570</v>
      </c>
      <c r="I795" s="62">
        <v>1860</v>
      </c>
      <c r="J795" s="4">
        <f>SUMIF(Cargas!$C$5:$C$3470,C795,Cargas!$O$5:$O$3470)</f>
        <v>0</v>
      </c>
      <c r="K795" s="18">
        <f t="shared" si="15"/>
        <v>1860</v>
      </c>
      <c r="L795" s="63" t="s">
        <v>8228</v>
      </c>
      <c r="M795" s="64">
        <v>198017</v>
      </c>
    </row>
    <row r="796" spans="2:13" ht="13.5" hidden="1" customHeight="1" x14ac:dyDescent="0.25">
      <c r="B796" s="58">
        <v>45217</v>
      </c>
      <c r="C796" s="59" t="s">
        <v>8229</v>
      </c>
      <c r="D796" s="61" t="s">
        <v>8230</v>
      </c>
      <c r="E796" s="61" t="s">
        <v>7877</v>
      </c>
      <c r="F796" s="61"/>
      <c r="G796" s="61" t="s">
        <v>7569</v>
      </c>
      <c r="H796" s="61" t="s">
        <v>7570</v>
      </c>
      <c r="I796" s="62">
        <v>930</v>
      </c>
      <c r="J796" s="4">
        <f>SUMIF(Cargas!$C$5:$C$3470,C796,Cargas!$O$5:$O$3470)</f>
        <v>0</v>
      </c>
      <c r="K796" s="18">
        <f t="shared" si="15"/>
        <v>930</v>
      </c>
      <c r="L796" s="63" t="s">
        <v>8231</v>
      </c>
      <c r="M796" s="64">
        <v>199858</v>
      </c>
    </row>
    <row r="797" spans="2:13" ht="13.5" hidden="1" customHeight="1" x14ac:dyDescent="0.25">
      <c r="B797" s="58">
        <v>45217</v>
      </c>
      <c r="C797" s="59" t="s">
        <v>8232</v>
      </c>
      <c r="D797" s="61" t="s">
        <v>8233</v>
      </c>
      <c r="E797" s="61" t="s">
        <v>7877</v>
      </c>
      <c r="F797" s="61"/>
      <c r="G797" s="61" t="s">
        <v>7569</v>
      </c>
      <c r="H797" s="61" t="s">
        <v>7570</v>
      </c>
      <c r="I797" s="62">
        <v>930</v>
      </c>
      <c r="J797" s="4">
        <f>SUMIF(Cargas!$C$5:$C$3470,C797,Cargas!$O$5:$O$3470)</f>
        <v>0</v>
      </c>
      <c r="K797" s="18">
        <f t="shared" si="15"/>
        <v>930</v>
      </c>
      <c r="L797" s="63" t="s">
        <v>8234</v>
      </c>
      <c r="M797" s="64">
        <v>200039</v>
      </c>
    </row>
    <row r="798" spans="2:13" ht="13.5" hidden="1" customHeight="1" x14ac:dyDescent="0.25">
      <c r="B798" s="58">
        <v>45222</v>
      </c>
      <c r="C798" s="59" t="s">
        <v>8235</v>
      </c>
      <c r="D798" s="61" t="s">
        <v>8236</v>
      </c>
      <c r="E798" s="61" t="s">
        <v>7877</v>
      </c>
      <c r="F798" s="61"/>
      <c r="G798" s="61" t="s">
        <v>7569</v>
      </c>
      <c r="H798" s="61" t="s">
        <v>7570</v>
      </c>
      <c r="I798" s="62">
        <v>2790</v>
      </c>
      <c r="J798" s="4">
        <f>SUMIF(Cargas!$C$5:$C$3470,C798,Cargas!$O$5:$O$3470)</f>
        <v>0</v>
      </c>
      <c r="K798" s="18">
        <f t="shared" si="15"/>
        <v>2790</v>
      </c>
      <c r="L798" s="63" t="s">
        <v>8237</v>
      </c>
      <c r="M798" s="64">
        <v>202428</v>
      </c>
    </row>
    <row r="799" spans="2:13" ht="13.5" hidden="1" customHeight="1" x14ac:dyDescent="0.25">
      <c r="B799" s="58">
        <v>45224</v>
      </c>
      <c r="C799" s="59" t="s">
        <v>8238</v>
      </c>
      <c r="D799" s="61" t="s">
        <v>8239</v>
      </c>
      <c r="E799" s="61" t="s">
        <v>7877</v>
      </c>
      <c r="F799" s="61"/>
      <c r="G799" s="61" t="s">
        <v>7569</v>
      </c>
      <c r="H799" s="61" t="s">
        <v>7570</v>
      </c>
      <c r="I799" s="62">
        <v>1860</v>
      </c>
      <c r="J799" s="4">
        <f>SUMIF(Cargas!$C$5:$C$3470,C799,Cargas!$O$5:$O$3470)</f>
        <v>0</v>
      </c>
      <c r="K799" s="18">
        <f t="shared" si="15"/>
        <v>1860</v>
      </c>
      <c r="L799" s="63" t="s">
        <v>8240</v>
      </c>
      <c r="M799" s="64">
        <v>204041</v>
      </c>
    </row>
    <row r="800" spans="2:13" ht="13.5" hidden="1" customHeight="1" x14ac:dyDescent="0.25">
      <c r="B800" s="58">
        <v>45229</v>
      </c>
      <c r="C800" s="59" t="s">
        <v>8241</v>
      </c>
      <c r="D800" s="61" t="s">
        <v>8242</v>
      </c>
      <c r="E800" s="61" t="s">
        <v>7877</v>
      </c>
      <c r="F800" s="61"/>
      <c r="G800" s="61" t="s">
        <v>7569</v>
      </c>
      <c r="H800" s="61" t="s">
        <v>7570</v>
      </c>
      <c r="I800" s="62">
        <v>2790</v>
      </c>
      <c r="J800" s="4">
        <f>SUMIF(Cargas!$C$5:$C$3470,C800,Cargas!$O$5:$O$3470)</f>
        <v>0</v>
      </c>
      <c r="K800" s="18">
        <f t="shared" si="15"/>
        <v>2790</v>
      </c>
      <c r="L800" s="63"/>
      <c r="M800" s="64">
        <v>208132</v>
      </c>
    </row>
    <row r="801" spans="2:13" ht="13.5" hidden="1" customHeight="1" x14ac:dyDescent="0.25">
      <c r="B801" s="58">
        <v>45229</v>
      </c>
      <c r="C801" s="59" t="s">
        <v>8243</v>
      </c>
      <c r="D801" s="61" t="s">
        <v>8244</v>
      </c>
      <c r="E801" s="61" t="s">
        <v>7877</v>
      </c>
      <c r="F801" s="61"/>
      <c r="G801" s="61" t="s">
        <v>7569</v>
      </c>
      <c r="H801" s="61" t="s">
        <v>7570</v>
      </c>
      <c r="I801" s="62">
        <v>2790</v>
      </c>
      <c r="J801" s="4">
        <f>SUMIF(Cargas!$C$5:$C$3470,C801,Cargas!$O$5:$O$3470)</f>
        <v>0</v>
      </c>
      <c r="K801" s="18">
        <f t="shared" si="15"/>
        <v>2790</v>
      </c>
      <c r="L801" s="63" t="s">
        <v>8245</v>
      </c>
      <c r="M801" s="64">
        <v>208075</v>
      </c>
    </row>
    <row r="802" spans="2:13" ht="13.5" hidden="1" customHeight="1" x14ac:dyDescent="0.25">
      <c r="B802" s="58">
        <v>45236</v>
      </c>
      <c r="C802" s="59" t="s">
        <v>8246</v>
      </c>
      <c r="D802" s="61" t="s">
        <v>8247</v>
      </c>
      <c r="E802" s="61" t="s">
        <v>7877</v>
      </c>
      <c r="F802" s="61"/>
      <c r="G802" s="61" t="s">
        <v>7569</v>
      </c>
      <c r="H802" s="61"/>
      <c r="I802" s="62">
        <v>2790</v>
      </c>
      <c r="J802" s="4">
        <f>SUMIF(Cargas!$C$5:$C$3470,C802,Cargas!$O$5:$O$3470)</f>
        <v>0</v>
      </c>
      <c r="K802" s="18">
        <f t="shared" si="15"/>
        <v>2790</v>
      </c>
      <c r="L802" s="63"/>
      <c r="M802" s="64" t="s">
        <v>299</v>
      </c>
    </row>
    <row r="803" spans="2:13" ht="13.5" hidden="1" customHeight="1" x14ac:dyDescent="0.25">
      <c r="B803" s="58">
        <v>45236</v>
      </c>
      <c r="C803" s="59" t="s">
        <v>8248</v>
      </c>
      <c r="D803" s="61" t="s">
        <v>8249</v>
      </c>
      <c r="E803" s="61" t="s">
        <v>7877</v>
      </c>
      <c r="F803" s="61"/>
      <c r="G803" s="61" t="s">
        <v>7569</v>
      </c>
      <c r="H803" s="61"/>
      <c r="I803" s="62">
        <v>1860</v>
      </c>
      <c r="J803" s="4">
        <f>SUMIF(Cargas!$C$5:$C$3470,C803,Cargas!$O$5:$O$3470)</f>
        <v>0</v>
      </c>
      <c r="K803" s="18">
        <f t="shared" si="15"/>
        <v>1860</v>
      </c>
      <c r="L803" s="63"/>
      <c r="M803" s="64" t="s">
        <v>299</v>
      </c>
    </row>
    <row r="804" spans="2:13" ht="13.5" hidden="1" customHeight="1" x14ac:dyDescent="0.25">
      <c r="B804" s="58">
        <v>45238</v>
      </c>
      <c r="C804" s="59" t="s">
        <v>8250</v>
      </c>
      <c r="D804" s="61" t="s">
        <v>8251</v>
      </c>
      <c r="E804" s="61" t="s">
        <v>7877</v>
      </c>
      <c r="F804" s="61"/>
      <c r="G804" s="61" t="s">
        <v>7569</v>
      </c>
      <c r="H804" s="61"/>
      <c r="I804" s="62">
        <v>1860</v>
      </c>
      <c r="J804" s="4">
        <f>SUMIF(Cargas!$C$5:$C$3470,C804,Cargas!$O$5:$O$3470)</f>
        <v>0</v>
      </c>
      <c r="K804" s="18">
        <f t="shared" si="15"/>
        <v>1860</v>
      </c>
      <c r="L804" s="63"/>
      <c r="M804" s="64" t="s">
        <v>299</v>
      </c>
    </row>
    <row r="805" spans="2:13" ht="13.5" hidden="1" customHeight="1" x14ac:dyDescent="0.25">
      <c r="B805" s="46">
        <v>45238</v>
      </c>
      <c r="C805" s="6" t="s">
        <v>8252</v>
      </c>
      <c r="D805" s="2" t="s">
        <v>8253</v>
      </c>
      <c r="E805" s="2" t="s">
        <v>7877</v>
      </c>
      <c r="F805" s="2"/>
      <c r="G805" s="2" t="s">
        <v>7569</v>
      </c>
      <c r="H805" s="2"/>
      <c r="I805" s="3">
        <v>1860</v>
      </c>
      <c r="J805" s="4">
        <f>SUMIF(Cargas!$C$5:$C$3470,C805,Cargas!$O$5:$O$3470)</f>
        <v>0</v>
      </c>
      <c r="K805" s="18">
        <f t="shared" si="15"/>
        <v>1860</v>
      </c>
      <c r="L805" s="5"/>
      <c r="M805" s="37">
        <v>215721</v>
      </c>
    </row>
    <row r="806" spans="2:13" ht="13.5" hidden="1" customHeight="1" x14ac:dyDescent="0.25">
      <c r="B806" s="46">
        <v>45243</v>
      </c>
      <c r="C806" s="6" t="s">
        <v>8254</v>
      </c>
      <c r="D806" s="2" t="s">
        <v>8255</v>
      </c>
      <c r="E806" s="2" t="s">
        <v>7877</v>
      </c>
      <c r="F806" s="2"/>
      <c r="G806" s="2" t="s">
        <v>7569</v>
      </c>
      <c r="H806" s="2"/>
      <c r="I806" s="3">
        <v>4650</v>
      </c>
      <c r="J806" s="4">
        <f>SUMIF(Cargas!$C$5:$C$3470,C806,Cargas!$O$5:$O$3470)</f>
        <v>0</v>
      </c>
      <c r="K806" s="18">
        <f t="shared" si="15"/>
        <v>4650</v>
      </c>
      <c r="L806" s="5" t="s">
        <v>8256</v>
      </c>
      <c r="M806" s="37">
        <v>218956</v>
      </c>
    </row>
    <row r="807" spans="2:13" ht="13.5" hidden="1" customHeight="1" x14ac:dyDescent="0.25">
      <c r="B807" s="46">
        <v>45244</v>
      </c>
      <c r="C807" s="6" t="s">
        <v>8257</v>
      </c>
      <c r="D807" s="2" t="s">
        <v>8258</v>
      </c>
      <c r="E807" s="2" t="s">
        <v>7877</v>
      </c>
      <c r="F807" s="2"/>
      <c r="G807" s="2" t="s">
        <v>7569</v>
      </c>
      <c r="H807" s="2"/>
      <c r="I807" s="3">
        <v>930</v>
      </c>
      <c r="J807" s="4">
        <f>SUMIF(Cargas!$C$5:$C$3470,C807,Cargas!$O$5:$O$3470)</f>
        <v>0</v>
      </c>
      <c r="K807" s="18">
        <f t="shared" si="15"/>
        <v>930</v>
      </c>
      <c r="L807" s="5" t="s">
        <v>8259</v>
      </c>
      <c r="M807" s="37">
        <v>219011</v>
      </c>
    </row>
    <row r="808" spans="2:13" ht="13.5" hidden="1" customHeight="1" x14ac:dyDescent="0.25">
      <c r="B808" s="46">
        <v>45244</v>
      </c>
      <c r="C808" s="6" t="s">
        <v>8260</v>
      </c>
      <c r="D808" s="2" t="s">
        <v>8261</v>
      </c>
      <c r="E808" s="2" t="s">
        <v>7877</v>
      </c>
      <c r="F808" s="2"/>
      <c r="G808" s="2" t="s">
        <v>7569</v>
      </c>
      <c r="H808" s="2"/>
      <c r="I808" s="3">
        <v>1860</v>
      </c>
      <c r="J808" s="4">
        <f>SUMIF(Cargas!$C$5:$C$3470,C808,Cargas!$O$5:$O$3470)</f>
        <v>0</v>
      </c>
      <c r="K808" s="18">
        <f t="shared" si="15"/>
        <v>1860</v>
      </c>
      <c r="L808" s="5" t="s">
        <v>8262</v>
      </c>
      <c r="M808" s="37">
        <v>218895</v>
      </c>
    </row>
    <row r="809" spans="2:13" ht="13.5" hidden="1" customHeight="1" x14ac:dyDescent="0.25">
      <c r="B809" s="46">
        <v>45246</v>
      </c>
      <c r="C809" s="6" t="s">
        <v>8263</v>
      </c>
      <c r="D809" s="2" t="s">
        <v>8264</v>
      </c>
      <c r="E809" s="2" t="s">
        <v>7877</v>
      </c>
      <c r="F809" s="2"/>
      <c r="G809" s="2" t="s">
        <v>7569</v>
      </c>
      <c r="H809" s="2"/>
      <c r="I809" s="3">
        <v>1860</v>
      </c>
      <c r="J809" s="4">
        <f>SUMIF(Cargas!$C$5:$C$3470,C809,Cargas!$O$5:$O$3470)</f>
        <v>0</v>
      </c>
      <c r="K809" s="18">
        <f t="shared" si="15"/>
        <v>1860</v>
      </c>
      <c r="L809" s="5"/>
      <c r="M809" s="37">
        <v>219910</v>
      </c>
    </row>
    <row r="810" spans="2:13" ht="13.5" hidden="1" customHeight="1" x14ac:dyDescent="0.25">
      <c r="B810" s="46">
        <v>45250</v>
      </c>
      <c r="C810" s="6" t="s">
        <v>8265</v>
      </c>
      <c r="D810" s="2" t="s">
        <v>8266</v>
      </c>
      <c r="E810" s="2" t="s">
        <v>7877</v>
      </c>
      <c r="F810" s="2"/>
      <c r="G810" s="2" t="s">
        <v>7569</v>
      </c>
      <c r="H810" s="2"/>
      <c r="I810" s="3">
        <v>2790</v>
      </c>
      <c r="J810" s="4">
        <f>SUMIF(Cargas!$C$5:$C$3470,C810,Cargas!$O$5:$O$3470)</f>
        <v>0</v>
      </c>
      <c r="K810" s="18">
        <f t="shared" si="15"/>
        <v>2790</v>
      </c>
      <c r="L810" s="5" t="s">
        <v>8267</v>
      </c>
      <c r="M810" s="37">
        <v>224367</v>
      </c>
    </row>
    <row r="811" spans="2:13" ht="13.5" hidden="1" customHeight="1" x14ac:dyDescent="0.25">
      <c r="B811" s="46">
        <v>45250</v>
      </c>
      <c r="C811" s="6" t="s">
        <v>8268</v>
      </c>
      <c r="D811" s="2" t="s">
        <v>8269</v>
      </c>
      <c r="E811" s="2" t="s">
        <v>7877</v>
      </c>
      <c r="F811" s="2"/>
      <c r="G811" s="2" t="s">
        <v>7569</v>
      </c>
      <c r="H811" s="2"/>
      <c r="I811" s="3">
        <v>1860</v>
      </c>
      <c r="J811" s="4">
        <f>SUMIF(Cargas!$C$5:$C$3470,C811,Cargas!$O$5:$O$3470)</f>
        <v>0</v>
      </c>
      <c r="K811" s="18">
        <f t="shared" si="15"/>
        <v>1860</v>
      </c>
      <c r="L811" s="5" t="s">
        <v>8270</v>
      </c>
      <c r="M811" s="37">
        <v>224521</v>
      </c>
    </row>
    <row r="812" spans="2:13" ht="13.5" hidden="1" customHeight="1" x14ac:dyDescent="0.25">
      <c r="B812" s="46">
        <v>45253</v>
      </c>
      <c r="C812" s="6" t="s">
        <v>8271</v>
      </c>
      <c r="D812" s="2" t="s">
        <v>8272</v>
      </c>
      <c r="E812" s="2" t="s">
        <v>7877</v>
      </c>
      <c r="F812" s="2"/>
      <c r="G812" s="2" t="s">
        <v>7569</v>
      </c>
      <c r="H812" s="2"/>
      <c r="I812" s="3">
        <v>930</v>
      </c>
      <c r="J812" s="4">
        <f>SUMIF(Cargas!$C$5:$C$3470,C812,Cargas!$O$5:$O$3470)</f>
        <v>0</v>
      </c>
      <c r="K812" s="18">
        <f t="shared" si="15"/>
        <v>930</v>
      </c>
      <c r="L812" s="5" t="s">
        <v>8273</v>
      </c>
      <c r="M812" s="37">
        <v>227788</v>
      </c>
    </row>
    <row r="813" spans="2:13" ht="13.5" hidden="1" customHeight="1" x14ac:dyDescent="0.25">
      <c r="B813" s="58">
        <v>45257</v>
      </c>
      <c r="C813" s="59" t="s">
        <v>8274</v>
      </c>
      <c r="D813" s="61" t="s">
        <v>8275</v>
      </c>
      <c r="E813" s="61" t="s">
        <v>7877</v>
      </c>
      <c r="F813" s="61"/>
      <c r="G813" s="61" t="s">
        <v>7569</v>
      </c>
      <c r="H813" s="61"/>
      <c r="I813" s="62">
        <v>930</v>
      </c>
      <c r="J813" s="4">
        <f>SUMIF(Cargas!$C$5:$C$3470,C813,Cargas!$O$5:$O$3470)</f>
        <v>0</v>
      </c>
      <c r="K813" s="18">
        <f t="shared" si="15"/>
        <v>930</v>
      </c>
      <c r="L813" s="63" t="s">
        <v>8276</v>
      </c>
      <c r="M813" s="64">
        <v>230175</v>
      </c>
    </row>
    <row r="814" spans="2:13" ht="13.5" hidden="1" customHeight="1" x14ac:dyDescent="0.25">
      <c r="B814" s="58">
        <v>45258</v>
      </c>
      <c r="C814" s="59" t="s">
        <v>8277</v>
      </c>
      <c r="D814" s="61" t="s">
        <v>8278</v>
      </c>
      <c r="E814" s="61" t="s">
        <v>7877</v>
      </c>
      <c r="F814" s="61"/>
      <c r="G814" s="61" t="s">
        <v>7569</v>
      </c>
      <c r="H814" s="61"/>
      <c r="I814" s="62">
        <v>2790</v>
      </c>
      <c r="J814" s="4">
        <f>SUMIF(Cargas!$C$5:$C$3470,C814,Cargas!$O$5:$O$3470)</f>
        <v>0</v>
      </c>
      <c r="K814" s="18">
        <f t="shared" si="15"/>
        <v>2790</v>
      </c>
      <c r="L814" s="63" t="s">
        <v>8279</v>
      </c>
      <c r="M814" s="64">
        <v>230295</v>
      </c>
    </row>
    <row r="815" spans="2:13" ht="13.5" hidden="1" customHeight="1" x14ac:dyDescent="0.25">
      <c r="B815" s="58">
        <v>45258</v>
      </c>
      <c r="C815" s="59" t="s">
        <v>8280</v>
      </c>
      <c r="D815" s="61" t="s">
        <v>8281</v>
      </c>
      <c r="E815" s="61" t="s">
        <v>7877</v>
      </c>
      <c r="F815" s="61"/>
      <c r="G815" s="61" t="s">
        <v>7569</v>
      </c>
      <c r="H815" s="61"/>
      <c r="I815" s="62">
        <v>2790</v>
      </c>
      <c r="J815" s="4">
        <f>SUMIF(Cargas!$C$5:$C$3470,C815,Cargas!$O$5:$O$3470)</f>
        <v>0</v>
      </c>
      <c r="K815" s="18">
        <f t="shared" si="15"/>
        <v>2790</v>
      </c>
      <c r="L815" s="63" t="s">
        <v>8282</v>
      </c>
      <c r="M815" s="64">
        <v>231483</v>
      </c>
    </row>
    <row r="816" spans="2:13" ht="13.5" hidden="1" customHeight="1" x14ac:dyDescent="0.25">
      <c r="B816" s="58">
        <v>45259</v>
      </c>
      <c r="C816" s="59" t="s">
        <v>8283</v>
      </c>
      <c r="D816" s="61" t="s">
        <v>8284</v>
      </c>
      <c r="E816" s="61" t="s">
        <v>7877</v>
      </c>
      <c r="F816" s="61"/>
      <c r="G816" s="61" t="s">
        <v>7569</v>
      </c>
      <c r="H816" s="61"/>
      <c r="I816" s="62">
        <v>930</v>
      </c>
      <c r="J816" s="4">
        <f>SUMIF(Cargas!$C$5:$C$3470,C816,Cargas!$O$5:$O$3470)</f>
        <v>0</v>
      </c>
      <c r="K816" s="18">
        <f t="shared" si="15"/>
        <v>930</v>
      </c>
      <c r="L816" s="63" t="s">
        <v>8285</v>
      </c>
      <c r="M816" s="64">
        <v>232464</v>
      </c>
    </row>
    <row r="817" spans="2:13" ht="13.5" hidden="1" customHeight="1" x14ac:dyDescent="0.25">
      <c r="B817" s="58">
        <v>45259</v>
      </c>
      <c r="C817" s="59" t="s">
        <v>8286</v>
      </c>
      <c r="D817" s="61" t="s">
        <v>8287</v>
      </c>
      <c r="E817" s="61" t="s">
        <v>7877</v>
      </c>
      <c r="F817" s="61"/>
      <c r="G817" s="61" t="s">
        <v>7569</v>
      </c>
      <c r="H817" s="61"/>
      <c r="I817" s="62">
        <v>930</v>
      </c>
      <c r="J817" s="4">
        <f>SUMIF(Cargas!$C$5:$C$3470,C817,Cargas!$O$5:$O$3470)</f>
        <v>0</v>
      </c>
      <c r="K817" s="18">
        <f t="shared" si="15"/>
        <v>930</v>
      </c>
      <c r="L817" s="63" t="s">
        <v>8288</v>
      </c>
      <c r="M817" s="64">
        <v>232418</v>
      </c>
    </row>
    <row r="818" spans="2:13" ht="13.5" hidden="1" customHeight="1" x14ac:dyDescent="0.25">
      <c r="B818" s="58">
        <v>45264</v>
      </c>
      <c r="C818" s="59" t="s">
        <v>8289</v>
      </c>
      <c r="D818" s="61" t="s">
        <v>8290</v>
      </c>
      <c r="E818" s="61" t="s">
        <v>7877</v>
      </c>
      <c r="F818" s="61"/>
      <c r="G818" s="61" t="s">
        <v>7569</v>
      </c>
      <c r="H818" s="61"/>
      <c r="I818" s="62">
        <v>2790</v>
      </c>
      <c r="J818" s="4">
        <f>SUMIF(Cargas!$C$5:$C$3470,C818,Cargas!$O$5:$O$3470)</f>
        <v>0</v>
      </c>
      <c r="K818" s="18">
        <f t="shared" si="15"/>
        <v>2790</v>
      </c>
      <c r="L818" s="63" t="s">
        <v>8291</v>
      </c>
      <c r="M818" s="64">
        <v>235092</v>
      </c>
    </row>
    <row r="819" spans="2:13" ht="13.5" hidden="1" customHeight="1" x14ac:dyDescent="0.25">
      <c r="B819" s="58">
        <v>45265</v>
      </c>
      <c r="C819" s="59" t="s">
        <v>8292</v>
      </c>
      <c r="D819" s="61" t="s">
        <v>8293</v>
      </c>
      <c r="E819" s="61" t="s">
        <v>7877</v>
      </c>
      <c r="F819" s="61"/>
      <c r="G819" s="61" t="s">
        <v>7569</v>
      </c>
      <c r="H819" s="61"/>
      <c r="I819" s="62">
        <v>2790</v>
      </c>
      <c r="J819" s="4">
        <f>SUMIF(Cargas!$C$5:$C$3470,C819,Cargas!$O$5:$O$3470)</f>
        <v>0</v>
      </c>
      <c r="K819" s="18">
        <f t="shared" si="15"/>
        <v>2790</v>
      </c>
      <c r="L819" s="63" t="s">
        <v>8294</v>
      </c>
      <c r="M819" s="64">
        <v>237000</v>
      </c>
    </row>
    <row r="820" spans="2:13" ht="13.5" hidden="1" customHeight="1" x14ac:dyDescent="0.25">
      <c r="B820" s="58">
        <v>45265</v>
      </c>
      <c r="C820" s="59" t="s">
        <v>8295</v>
      </c>
      <c r="D820" s="61" t="s">
        <v>8296</v>
      </c>
      <c r="E820" s="61" t="s">
        <v>7877</v>
      </c>
      <c r="F820" s="61"/>
      <c r="G820" s="61" t="s">
        <v>7569</v>
      </c>
      <c r="H820" s="61"/>
      <c r="I820" s="62">
        <v>930</v>
      </c>
      <c r="J820" s="4">
        <f>SUMIF(Cargas!$C$5:$C$3470,C820,Cargas!$O$5:$O$3470)</f>
        <v>0</v>
      </c>
      <c r="K820" s="18">
        <f t="shared" si="15"/>
        <v>930</v>
      </c>
      <c r="L820" s="63" t="s">
        <v>8297</v>
      </c>
      <c r="M820" s="64">
        <v>236108</v>
      </c>
    </row>
    <row r="821" spans="2:13" ht="13.5" hidden="1" customHeight="1" x14ac:dyDescent="0.25">
      <c r="B821" s="58">
        <v>45271</v>
      </c>
      <c r="C821" s="59" t="s">
        <v>8298</v>
      </c>
      <c r="D821" s="61" t="s">
        <v>8299</v>
      </c>
      <c r="E821" s="61" t="s">
        <v>7877</v>
      </c>
      <c r="F821" s="61"/>
      <c r="G821" s="61" t="s">
        <v>7569</v>
      </c>
      <c r="H821" s="61"/>
      <c r="I821" s="62">
        <v>1860</v>
      </c>
      <c r="J821" s="4">
        <f>SUMIF(Cargas!$C$5:$C$3470,C821,Cargas!$O$5:$O$3470)</f>
        <v>0</v>
      </c>
      <c r="K821" s="18">
        <f t="shared" si="15"/>
        <v>1860</v>
      </c>
      <c r="L821" s="63" t="s">
        <v>8300</v>
      </c>
      <c r="M821" s="64">
        <v>239380</v>
      </c>
    </row>
    <row r="822" spans="2:13" ht="13.5" hidden="1" customHeight="1" x14ac:dyDescent="0.25">
      <c r="B822" s="58">
        <v>45271</v>
      </c>
      <c r="C822" s="59" t="s">
        <v>8301</v>
      </c>
      <c r="D822" s="61" t="s">
        <v>8302</v>
      </c>
      <c r="E822" s="61" t="s">
        <v>7877</v>
      </c>
      <c r="F822" s="61"/>
      <c r="G822" s="61" t="s">
        <v>7569</v>
      </c>
      <c r="H822" s="61"/>
      <c r="I822" s="62">
        <v>1860</v>
      </c>
      <c r="J822" s="4">
        <f>SUMIF(Cargas!$C$5:$C$3470,C822,Cargas!$O$5:$O$3470)</f>
        <v>0</v>
      </c>
      <c r="K822" s="18">
        <f t="shared" si="15"/>
        <v>1860</v>
      </c>
      <c r="L822" s="63" t="s">
        <v>8303</v>
      </c>
      <c r="M822" s="64">
        <v>242756</v>
      </c>
    </row>
    <row r="823" spans="2:13" ht="13.5" hidden="1" customHeight="1" x14ac:dyDescent="0.25">
      <c r="B823" s="58">
        <v>45273</v>
      </c>
      <c r="C823" s="59" t="s">
        <v>8304</v>
      </c>
      <c r="D823" s="61" t="s">
        <v>8305</v>
      </c>
      <c r="E823" s="61" t="s">
        <v>7877</v>
      </c>
      <c r="F823" s="61"/>
      <c r="G823" s="61" t="s">
        <v>7569</v>
      </c>
      <c r="H823" s="61"/>
      <c r="I823" s="62">
        <v>930</v>
      </c>
      <c r="J823" s="4">
        <f>SUMIF(Cargas!$C$5:$C$3470,C823,Cargas!$O$5:$O$3470)</f>
        <v>0</v>
      </c>
      <c r="K823" s="18">
        <f t="shared" si="15"/>
        <v>930</v>
      </c>
      <c r="L823" s="63" t="s">
        <v>8306</v>
      </c>
      <c r="M823" s="64">
        <v>142667</v>
      </c>
    </row>
    <row r="824" spans="2:13" ht="13.5" hidden="1" customHeight="1" x14ac:dyDescent="0.25">
      <c r="B824" s="58">
        <v>45279</v>
      </c>
      <c r="C824" s="59" t="s">
        <v>8307</v>
      </c>
      <c r="D824" s="61" t="s">
        <v>8308</v>
      </c>
      <c r="E824" s="61" t="s">
        <v>7877</v>
      </c>
      <c r="F824" s="61"/>
      <c r="G824" s="61" t="s">
        <v>7569</v>
      </c>
      <c r="H824" s="61"/>
      <c r="I824" s="62">
        <v>1860</v>
      </c>
      <c r="J824" s="4">
        <f>SUMIF(Cargas!$C$5:$C$3470,C824,Cargas!$O$5:$O$3470)</f>
        <v>0</v>
      </c>
      <c r="K824" s="18">
        <f t="shared" si="15"/>
        <v>1860</v>
      </c>
      <c r="L824" s="63" t="s">
        <v>8309</v>
      </c>
      <c r="M824" s="64">
        <v>246482</v>
      </c>
    </row>
    <row r="825" spans="2:13" ht="13.5" hidden="1" customHeight="1" x14ac:dyDescent="0.25">
      <c r="B825" s="46">
        <v>45280</v>
      </c>
      <c r="C825" s="6" t="s">
        <v>8310</v>
      </c>
      <c r="D825" s="2" t="s">
        <v>8311</v>
      </c>
      <c r="E825" s="2" t="s">
        <v>7877</v>
      </c>
      <c r="F825" s="2"/>
      <c r="G825" s="2" t="s">
        <v>7569</v>
      </c>
      <c r="H825" s="2"/>
      <c r="I825" s="3">
        <v>1860</v>
      </c>
      <c r="J825" s="4">
        <f>SUMIF(Cargas!$C$5:$C$3470,C825,Cargas!$O$5:$O$3470)</f>
        <v>0</v>
      </c>
      <c r="K825" s="18">
        <f t="shared" si="15"/>
        <v>1860</v>
      </c>
      <c r="L825" s="5" t="s">
        <v>8312</v>
      </c>
      <c r="M825" s="37">
        <v>247797</v>
      </c>
    </row>
    <row r="826" spans="2:13" ht="13.5" hidden="1" customHeight="1" x14ac:dyDescent="0.25">
      <c r="B826" s="46">
        <v>45280</v>
      </c>
      <c r="C826" s="6" t="s">
        <v>8313</v>
      </c>
      <c r="D826" s="2" t="s">
        <v>8314</v>
      </c>
      <c r="E826" s="2" t="s">
        <v>7877</v>
      </c>
      <c r="F826" s="2"/>
      <c r="G826" s="2" t="s">
        <v>7569</v>
      </c>
      <c r="H826" s="2"/>
      <c r="I826" s="3">
        <v>930</v>
      </c>
      <c r="J826" s="4">
        <f>SUMIF(Cargas!$C$5:$C$3470,C826,Cargas!$O$5:$O$3470)</f>
        <v>0</v>
      </c>
      <c r="K826" s="18">
        <f t="shared" si="15"/>
        <v>930</v>
      </c>
      <c r="L826" s="5" t="s">
        <v>8315</v>
      </c>
      <c r="M826" s="37">
        <v>247823</v>
      </c>
    </row>
    <row r="827" spans="2:13" ht="13.5" hidden="1" customHeight="1" x14ac:dyDescent="0.25">
      <c r="B827" s="46">
        <v>45280</v>
      </c>
      <c r="C827" s="6" t="s">
        <v>8316</v>
      </c>
      <c r="D827" s="2" t="s">
        <v>8317</v>
      </c>
      <c r="E827" s="2" t="s">
        <v>7877</v>
      </c>
      <c r="F827" s="2"/>
      <c r="G827" s="2" t="s">
        <v>7569</v>
      </c>
      <c r="H827" s="2"/>
      <c r="I827" s="3">
        <v>1860</v>
      </c>
      <c r="J827" s="4">
        <f>SUMIF(Cargas!$C$5:$C$3470,C827,Cargas!$O$5:$O$3470)</f>
        <v>0</v>
      </c>
      <c r="K827" s="18">
        <f t="shared" si="15"/>
        <v>1860</v>
      </c>
      <c r="L827" s="5"/>
      <c r="M827" s="37">
        <v>249405</v>
      </c>
    </row>
    <row r="828" spans="2:13" ht="13.5" hidden="1" customHeight="1" x14ac:dyDescent="0.25">
      <c r="B828" s="46">
        <v>45280</v>
      </c>
      <c r="C828" s="6" t="s">
        <v>8318</v>
      </c>
      <c r="D828" s="2" t="s">
        <v>8319</v>
      </c>
      <c r="E828" s="2" t="s">
        <v>7877</v>
      </c>
      <c r="F828" s="2"/>
      <c r="G828" s="2" t="s">
        <v>7569</v>
      </c>
      <c r="H828" s="2"/>
      <c r="I828" s="3">
        <v>930</v>
      </c>
      <c r="J828" s="4">
        <f>SUMIF(Cargas!$C$5:$C$3470,C828,Cargas!$O$5:$O$3470)</f>
        <v>0</v>
      </c>
      <c r="K828" s="18">
        <f t="shared" si="15"/>
        <v>930</v>
      </c>
      <c r="L828" s="5" t="s">
        <v>8320</v>
      </c>
      <c r="M828" s="37">
        <v>250586</v>
      </c>
    </row>
    <row r="829" spans="2:13" ht="13.5" hidden="1" customHeight="1" x14ac:dyDescent="0.25">
      <c r="B829" s="46">
        <v>45286</v>
      </c>
      <c r="C829" s="6" t="s">
        <v>8321</v>
      </c>
      <c r="D829" s="2" t="s">
        <v>8322</v>
      </c>
      <c r="E829" s="2" t="s">
        <v>7877</v>
      </c>
      <c r="F829" s="2"/>
      <c r="G829" s="2" t="s">
        <v>7569</v>
      </c>
      <c r="H829" s="2"/>
      <c r="I829" s="3">
        <v>930</v>
      </c>
      <c r="J829" s="4">
        <f>SUMIF(Cargas!$C$5:$C$3470,C829,Cargas!$O$5:$O$3470)</f>
        <v>0</v>
      </c>
      <c r="K829" s="18">
        <f t="shared" si="15"/>
        <v>930</v>
      </c>
      <c r="L829" s="5" t="s">
        <v>8323</v>
      </c>
      <c r="M829" s="37" t="s">
        <v>299</v>
      </c>
    </row>
    <row r="830" spans="2:13" ht="13.5" hidden="1" customHeight="1" x14ac:dyDescent="0.25">
      <c r="B830" s="58">
        <v>45259</v>
      </c>
      <c r="C830" s="59" t="s">
        <v>8324</v>
      </c>
      <c r="D830" s="61" t="s">
        <v>8325</v>
      </c>
      <c r="E830" s="61" t="s">
        <v>7877</v>
      </c>
      <c r="F830" s="61"/>
      <c r="G830" s="61" t="s">
        <v>7569</v>
      </c>
      <c r="H830" s="61"/>
      <c r="I830" s="62">
        <v>1408</v>
      </c>
      <c r="J830" s="4">
        <f>SUMIF(Cargas!$C$5:$C$3470,C830,Cargas!$O$5:$O$3470)</f>
        <v>0</v>
      </c>
      <c r="K830" s="18">
        <f t="shared" ref="K830:K893" si="16">IF(ABS(I830-J830)&lt;20,0,I830-J830)</f>
        <v>1408</v>
      </c>
      <c r="L830" s="63" t="s">
        <v>8326</v>
      </c>
      <c r="M830" s="64">
        <v>232400</v>
      </c>
    </row>
    <row r="831" spans="2:13" ht="13.5" hidden="1" customHeight="1" x14ac:dyDescent="0.25">
      <c r="B831" s="58">
        <v>45272</v>
      </c>
      <c r="C831" s="59" t="s">
        <v>8327</v>
      </c>
      <c r="D831" s="61" t="s">
        <v>8328</v>
      </c>
      <c r="E831" s="61" t="s">
        <v>7877</v>
      </c>
      <c r="F831" s="61"/>
      <c r="G831" s="61" t="s">
        <v>7569</v>
      </c>
      <c r="H831" s="61"/>
      <c r="I831" s="62">
        <v>2690</v>
      </c>
      <c r="J831" s="4">
        <f>SUMIF(Cargas!$C$5:$C$3470,C831,Cargas!$O$5:$O$3470)</f>
        <v>0</v>
      </c>
      <c r="K831" s="18">
        <f t="shared" si="16"/>
        <v>2690</v>
      </c>
      <c r="L831" s="63" t="s">
        <v>8329</v>
      </c>
      <c r="M831" s="64">
        <v>242593</v>
      </c>
    </row>
    <row r="832" spans="2:13" ht="13.5" hidden="1" customHeight="1" x14ac:dyDescent="0.25">
      <c r="B832" s="58">
        <v>44994</v>
      </c>
      <c r="C832" s="59" t="s">
        <v>8330</v>
      </c>
      <c r="D832" s="61" t="s">
        <v>6808</v>
      </c>
      <c r="E832" s="61" t="s">
        <v>6764</v>
      </c>
      <c r="F832" s="61"/>
      <c r="G832" s="61" t="s">
        <v>6443</v>
      </c>
      <c r="H832" s="61" t="s">
        <v>6444</v>
      </c>
      <c r="I832" s="62">
        <v>6426</v>
      </c>
      <c r="J832" s="4">
        <f>SUMIF(Cargas!$C$5:$C$3470,C832,Cargas!$O$5:$O$3470)</f>
        <v>0</v>
      </c>
      <c r="K832" s="18">
        <f t="shared" si="16"/>
        <v>6426</v>
      </c>
      <c r="L832" s="63" t="s">
        <v>8331</v>
      </c>
      <c r="M832" s="64">
        <v>44981</v>
      </c>
    </row>
    <row r="833" spans="2:13" ht="13.5" hidden="1" customHeight="1" x14ac:dyDescent="0.25">
      <c r="B833" s="58">
        <v>45007</v>
      </c>
      <c r="C833" s="59" t="s">
        <v>8332</v>
      </c>
      <c r="D833" s="61" t="s">
        <v>6813</v>
      </c>
      <c r="E833" s="61" t="s">
        <v>6764</v>
      </c>
      <c r="F833" s="61"/>
      <c r="G833" s="61" t="s">
        <v>6443</v>
      </c>
      <c r="H833" s="61" t="s">
        <v>6444</v>
      </c>
      <c r="I833" s="62">
        <v>5508</v>
      </c>
      <c r="J833" s="4">
        <f>SUMIF(Cargas!$C$5:$C$3470,C833,Cargas!$O$5:$O$3470)</f>
        <v>0</v>
      </c>
      <c r="K833" s="18">
        <f t="shared" si="16"/>
        <v>5508</v>
      </c>
      <c r="L833" s="63" t="s">
        <v>8333</v>
      </c>
      <c r="M833" s="64">
        <v>54312</v>
      </c>
    </row>
    <row r="834" spans="2:13" ht="13.5" hidden="1" customHeight="1" x14ac:dyDescent="0.25">
      <c r="B834" s="58">
        <v>44958</v>
      </c>
      <c r="C834" s="59" t="s">
        <v>8334</v>
      </c>
      <c r="D834" s="61" t="s">
        <v>6781</v>
      </c>
      <c r="E834" s="61" t="s">
        <v>6764</v>
      </c>
      <c r="F834" s="61"/>
      <c r="G834" s="61" t="s">
        <v>6443</v>
      </c>
      <c r="H834" s="61" t="s">
        <v>6444</v>
      </c>
      <c r="I834" s="62">
        <v>9180</v>
      </c>
      <c r="J834" s="4">
        <f>SUMIF(Cargas!$C$5:$C$3470,C834,Cargas!$O$5:$O$3470)</f>
        <v>0</v>
      </c>
      <c r="K834" s="18">
        <f t="shared" si="16"/>
        <v>9180</v>
      </c>
      <c r="L834" s="63" t="s">
        <v>8335</v>
      </c>
      <c r="M834" s="64">
        <v>20013</v>
      </c>
    </row>
    <row r="835" spans="2:13" ht="13.5" hidden="1" customHeight="1" x14ac:dyDescent="0.25">
      <c r="B835" s="58">
        <v>44980</v>
      </c>
      <c r="C835" s="59" t="s">
        <v>8336</v>
      </c>
      <c r="D835" s="61" t="s">
        <v>6790</v>
      </c>
      <c r="E835" s="61" t="s">
        <v>6764</v>
      </c>
      <c r="F835" s="61"/>
      <c r="G835" s="61" t="s">
        <v>6443</v>
      </c>
      <c r="H835" s="61" t="s">
        <v>6444</v>
      </c>
      <c r="I835" s="62">
        <v>6426</v>
      </c>
      <c r="J835" s="4">
        <f>SUMIF(Cargas!$C$5:$C$3470,C835,Cargas!$O$5:$O$3470)</f>
        <v>0</v>
      </c>
      <c r="K835" s="18">
        <f t="shared" si="16"/>
        <v>6426</v>
      </c>
      <c r="L835" s="63" t="s">
        <v>8337</v>
      </c>
      <c r="M835" s="64">
        <v>34542</v>
      </c>
    </row>
    <row r="836" spans="2:13" ht="13.5" hidden="1" customHeight="1" x14ac:dyDescent="0.25">
      <c r="B836" s="58">
        <v>45019</v>
      </c>
      <c r="C836" s="59" t="s">
        <v>8338</v>
      </c>
      <c r="D836" s="61" t="s">
        <v>6827</v>
      </c>
      <c r="E836" s="61" t="s">
        <v>6764</v>
      </c>
      <c r="F836" s="61"/>
      <c r="G836" s="61" t="s">
        <v>6443</v>
      </c>
      <c r="H836" s="61" t="s">
        <v>6444</v>
      </c>
      <c r="I836" s="62">
        <v>4590</v>
      </c>
      <c r="J836" s="4">
        <f>SUMIF(Cargas!$C$5:$C$3470,C836,Cargas!$O$5:$O$3470)</f>
        <v>0</v>
      </c>
      <c r="K836" s="18">
        <f t="shared" si="16"/>
        <v>4590</v>
      </c>
      <c r="L836" s="63" t="s">
        <v>8339</v>
      </c>
      <c r="M836" s="64">
        <v>59875</v>
      </c>
    </row>
    <row r="837" spans="2:13" ht="13.5" hidden="1" customHeight="1" x14ac:dyDescent="0.25">
      <c r="B837" s="58">
        <v>45040</v>
      </c>
      <c r="C837" s="59" t="s">
        <v>8340</v>
      </c>
      <c r="D837" s="61" t="s">
        <v>6840</v>
      </c>
      <c r="E837" s="61" t="s">
        <v>6764</v>
      </c>
      <c r="F837" s="61"/>
      <c r="G837" s="61" t="s">
        <v>6443</v>
      </c>
      <c r="H837" s="61" t="s">
        <v>6444</v>
      </c>
      <c r="I837" s="62">
        <v>4590</v>
      </c>
      <c r="J837" s="4">
        <f>SUMIF(Cargas!$C$5:$C$3470,C837,Cargas!$O$5:$O$3470)</f>
        <v>0</v>
      </c>
      <c r="K837" s="18">
        <f t="shared" si="16"/>
        <v>4590</v>
      </c>
      <c r="L837" s="63" t="s">
        <v>8341</v>
      </c>
      <c r="M837" s="64">
        <v>75682</v>
      </c>
    </row>
    <row r="838" spans="2:13" ht="13.5" hidden="1" customHeight="1" x14ac:dyDescent="0.25">
      <c r="B838" s="58">
        <v>44943</v>
      </c>
      <c r="C838" s="59" t="s">
        <v>8342</v>
      </c>
      <c r="D838" s="61" t="s">
        <v>6772</v>
      </c>
      <c r="E838" s="61" t="s">
        <v>6764</v>
      </c>
      <c r="F838" s="61"/>
      <c r="G838" s="61" t="s">
        <v>6443</v>
      </c>
      <c r="H838" s="61" t="s">
        <v>6444</v>
      </c>
      <c r="I838" s="62">
        <v>9180</v>
      </c>
      <c r="J838" s="4">
        <f>SUMIF(Cargas!$C$5:$C$3470,C838,Cargas!$O$5:$O$3470)</f>
        <v>0</v>
      </c>
      <c r="K838" s="18">
        <f t="shared" si="16"/>
        <v>9180</v>
      </c>
      <c r="L838" s="63" t="s">
        <v>8343</v>
      </c>
      <c r="M838" s="64">
        <v>12455</v>
      </c>
    </row>
    <row r="839" spans="2:13" ht="13.5" hidden="1" customHeight="1" x14ac:dyDescent="0.25">
      <c r="B839" s="58">
        <v>45056</v>
      </c>
      <c r="C839" s="59" t="s">
        <v>8344</v>
      </c>
      <c r="D839" s="61" t="s">
        <v>6855</v>
      </c>
      <c r="E839" s="61" t="s">
        <v>6764</v>
      </c>
      <c r="F839" s="61"/>
      <c r="G839" s="61" t="s">
        <v>6443</v>
      </c>
      <c r="H839" s="61" t="s">
        <v>6444</v>
      </c>
      <c r="I839" s="62">
        <v>4590</v>
      </c>
      <c r="J839" s="4">
        <f>SUMIF(Cargas!$C$5:$C$3470,C839,Cargas!$O$5:$O$3470)</f>
        <v>0</v>
      </c>
      <c r="K839" s="18">
        <f t="shared" si="16"/>
        <v>4590</v>
      </c>
      <c r="L839" s="63" t="s">
        <v>8345</v>
      </c>
      <c r="M839" s="64">
        <v>84835</v>
      </c>
    </row>
    <row r="840" spans="2:13" ht="13.5" hidden="1" customHeight="1" x14ac:dyDescent="0.25">
      <c r="B840" s="58">
        <v>45068</v>
      </c>
      <c r="C840" s="59" t="s">
        <v>8346</v>
      </c>
      <c r="D840" s="61" t="s">
        <v>6865</v>
      </c>
      <c r="E840" s="61" t="s">
        <v>6764</v>
      </c>
      <c r="F840" s="61"/>
      <c r="G840" s="61" t="s">
        <v>6443</v>
      </c>
      <c r="H840" s="61" t="s">
        <v>6444</v>
      </c>
      <c r="I840" s="62">
        <v>4590</v>
      </c>
      <c r="J840" s="4">
        <f>SUMIF(Cargas!$C$5:$C$3470,C840,Cargas!$O$5:$O$3470)</f>
        <v>0</v>
      </c>
      <c r="K840" s="18">
        <f t="shared" si="16"/>
        <v>4590</v>
      </c>
      <c r="L840" s="63" t="s">
        <v>8347</v>
      </c>
      <c r="M840" s="64">
        <v>93642</v>
      </c>
    </row>
    <row r="841" spans="2:13" ht="13.5" hidden="1" customHeight="1" x14ac:dyDescent="0.25">
      <c r="B841" s="58">
        <v>45078</v>
      </c>
      <c r="C841" s="59" t="s">
        <v>8348</v>
      </c>
      <c r="D841" s="61" t="s">
        <v>6874</v>
      </c>
      <c r="E841" s="61" t="s">
        <v>6764</v>
      </c>
      <c r="F841" s="61"/>
      <c r="G841" s="61" t="s">
        <v>6443</v>
      </c>
      <c r="H841" s="61" t="s">
        <v>6444</v>
      </c>
      <c r="I841" s="62">
        <v>4590</v>
      </c>
      <c r="J841" s="4">
        <f>SUMIF(Cargas!$C$5:$C$3470,C841,Cargas!$O$5:$O$3470)</f>
        <v>0</v>
      </c>
      <c r="K841" s="18">
        <f t="shared" si="16"/>
        <v>4590</v>
      </c>
      <c r="L841" s="63" t="s">
        <v>8349</v>
      </c>
      <c r="M841" s="64">
        <v>101758</v>
      </c>
    </row>
    <row r="842" spans="2:13" ht="13.5" hidden="1" customHeight="1" x14ac:dyDescent="0.25">
      <c r="B842" s="58">
        <v>45093</v>
      </c>
      <c r="C842" s="59" t="s">
        <v>8350</v>
      </c>
      <c r="D842" s="61" t="s">
        <v>6882</v>
      </c>
      <c r="E842" s="61" t="s">
        <v>6764</v>
      </c>
      <c r="F842" s="61"/>
      <c r="G842" s="61" t="s">
        <v>6443</v>
      </c>
      <c r="H842" s="61" t="s">
        <v>6444</v>
      </c>
      <c r="I842" s="62">
        <v>3672</v>
      </c>
      <c r="J842" s="4">
        <f>SUMIF(Cargas!$C$5:$C$3470,C842,Cargas!$O$5:$O$3470)</f>
        <v>0</v>
      </c>
      <c r="K842" s="18">
        <f t="shared" si="16"/>
        <v>3672</v>
      </c>
      <c r="L842" s="63" t="s">
        <v>8351</v>
      </c>
      <c r="M842" s="64">
        <v>111344</v>
      </c>
    </row>
    <row r="843" spans="2:13" ht="13.5" hidden="1" customHeight="1" x14ac:dyDescent="0.25">
      <c r="B843" s="58">
        <v>45105</v>
      </c>
      <c r="C843" s="59" t="s">
        <v>8352</v>
      </c>
      <c r="D843" s="61" t="s">
        <v>6888</v>
      </c>
      <c r="E843" s="61" t="s">
        <v>6764</v>
      </c>
      <c r="F843" s="61"/>
      <c r="G843" s="61" t="s">
        <v>6443</v>
      </c>
      <c r="H843" s="61" t="s">
        <v>6444</v>
      </c>
      <c r="I843" s="62">
        <v>3672</v>
      </c>
      <c r="J843" s="4">
        <f>SUMIF(Cargas!$C$5:$C$3470,C843,Cargas!$O$5:$O$3470)</f>
        <v>0</v>
      </c>
      <c r="K843" s="18">
        <f t="shared" si="16"/>
        <v>3672</v>
      </c>
      <c r="L843" s="63" t="s">
        <v>8353</v>
      </c>
      <c r="M843" s="64">
        <v>119484</v>
      </c>
    </row>
    <row r="844" spans="2:13" ht="13.5" hidden="1" customHeight="1" x14ac:dyDescent="0.25">
      <c r="B844" s="58">
        <v>45111</v>
      </c>
      <c r="C844" s="59" t="s">
        <v>8354</v>
      </c>
      <c r="D844" s="61" t="s">
        <v>6897</v>
      </c>
      <c r="E844" s="61" t="s">
        <v>6764</v>
      </c>
      <c r="F844" s="61"/>
      <c r="G844" s="61" t="s">
        <v>6443</v>
      </c>
      <c r="H844" s="61" t="s">
        <v>6444</v>
      </c>
      <c r="I844" s="62">
        <v>4590</v>
      </c>
      <c r="J844" s="4">
        <f>SUMIF(Cargas!$C$5:$C$3470,C844,Cargas!$O$5:$O$3470)</f>
        <v>0</v>
      </c>
      <c r="K844" s="18">
        <f t="shared" si="16"/>
        <v>4590</v>
      </c>
      <c r="L844" s="63" t="s">
        <v>8355</v>
      </c>
      <c r="M844" s="64">
        <v>123658</v>
      </c>
    </row>
    <row r="845" spans="2:13" ht="13.5" hidden="1" customHeight="1" x14ac:dyDescent="0.25">
      <c r="B845" s="58">
        <v>45118</v>
      </c>
      <c r="C845" s="59" t="s">
        <v>8356</v>
      </c>
      <c r="D845" s="61" t="s">
        <v>6904</v>
      </c>
      <c r="E845" s="61" t="s">
        <v>6764</v>
      </c>
      <c r="F845" s="61"/>
      <c r="G845" s="61" t="s">
        <v>6443</v>
      </c>
      <c r="H845" s="61" t="s">
        <v>6444</v>
      </c>
      <c r="I845" s="62">
        <v>4590</v>
      </c>
      <c r="J845" s="4">
        <f>SUMIF(Cargas!$C$5:$C$3470,C845,Cargas!$O$5:$O$3470)</f>
        <v>0</v>
      </c>
      <c r="K845" s="18">
        <f t="shared" si="16"/>
        <v>4590</v>
      </c>
      <c r="L845" s="63" t="s">
        <v>8357</v>
      </c>
      <c r="M845" s="64">
        <v>127432</v>
      </c>
    </row>
    <row r="846" spans="2:13" ht="13.5" hidden="1" customHeight="1" x14ac:dyDescent="0.25">
      <c r="B846" s="58">
        <v>45126</v>
      </c>
      <c r="C846" s="59" t="s">
        <v>8358</v>
      </c>
      <c r="D846" s="61" t="s">
        <v>6913</v>
      </c>
      <c r="E846" s="61" t="s">
        <v>6764</v>
      </c>
      <c r="F846" s="61"/>
      <c r="G846" s="61" t="s">
        <v>6443</v>
      </c>
      <c r="H846" s="61" t="s">
        <v>6444</v>
      </c>
      <c r="I846" s="62">
        <v>4590</v>
      </c>
      <c r="J846" s="4">
        <f>SUMIF(Cargas!$C$5:$C$3470,C846,Cargas!$O$5:$O$3470)</f>
        <v>0</v>
      </c>
      <c r="K846" s="18">
        <f t="shared" si="16"/>
        <v>4590</v>
      </c>
      <c r="L846" s="63" t="s">
        <v>8359</v>
      </c>
      <c r="M846" s="64">
        <v>132800</v>
      </c>
    </row>
    <row r="847" spans="2:13" ht="13.5" hidden="1" customHeight="1" x14ac:dyDescent="0.25">
      <c r="B847" s="58">
        <v>45153</v>
      </c>
      <c r="C847" s="59" t="s">
        <v>8360</v>
      </c>
      <c r="D847" s="61" t="s">
        <v>3704</v>
      </c>
      <c r="E847" s="61" t="s">
        <v>6764</v>
      </c>
      <c r="F847" s="61"/>
      <c r="G847" s="61" t="s">
        <v>6443</v>
      </c>
      <c r="H847" s="61" t="s">
        <v>6444</v>
      </c>
      <c r="I847" s="62">
        <v>4590</v>
      </c>
      <c r="J847" s="4">
        <f>SUMIF(Cargas!$C$5:$C$3470,C847,Cargas!$O$5:$O$3470)</f>
        <v>0</v>
      </c>
      <c r="K847" s="18">
        <f t="shared" si="16"/>
        <v>4590</v>
      </c>
      <c r="L847" s="63" t="s">
        <v>8361</v>
      </c>
      <c r="M847" s="64">
        <v>152546</v>
      </c>
    </row>
    <row r="848" spans="2:13" ht="13.5" hidden="1" customHeight="1" x14ac:dyDescent="0.25">
      <c r="B848" s="58">
        <v>45169</v>
      </c>
      <c r="C848" s="59" t="s">
        <v>8362</v>
      </c>
      <c r="D848" s="61" t="s">
        <v>3701</v>
      </c>
      <c r="E848" s="61" t="s">
        <v>6764</v>
      </c>
      <c r="F848" s="61"/>
      <c r="G848" s="61" t="s">
        <v>6443</v>
      </c>
      <c r="H848" s="61" t="s">
        <v>6444</v>
      </c>
      <c r="I848" s="62">
        <v>4590</v>
      </c>
      <c r="J848" s="4">
        <f>SUMIF(Cargas!$C$5:$C$3470,C848,Cargas!$O$5:$O$3470)</f>
        <v>0</v>
      </c>
      <c r="K848" s="18">
        <f t="shared" si="16"/>
        <v>4590</v>
      </c>
      <c r="L848" s="63" t="s">
        <v>8363</v>
      </c>
      <c r="M848" s="64">
        <v>164240</v>
      </c>
    </row>
    <row r="849" spans="2:13" ht="13.5" hidden="1" customHeight="1" x14ac:dyDescent="0.25">
      <c r="B849" s="58">
        <v>45189</v>
      </c>
      <c r="C849" s="59" t="s">
        <v>8364</v>
      </c>
      <c r="D849" s="61" t="s">
        <v>6926</v>
      </c>
      <c r="E849" s="61" t="s">
        <v>6764</v>
      </c>
      <c r="F849" s="61"/>
      <c r="G849" s="61" t="s">
        <v>6443</v>
      </c>
      <c r="H849" s="61" t="s">
        <v>6444</v>
      </c>
      <c r="I849" s="62">
        <v>3672</v>
      </c>
      <c r="J849" s="4">
        <f>SUMIF(Cargas!$C$5:$C$3470,C849,Cargas!$O$5:$O$3470)</f>
        <v>0</v>
      </c>
      <c r="K849" s="18">
        <f t="shared" si="16"/>
        <v>3672</v>
      </c>
      <c r="L849" s="63" t="s">
        <v>8365</v>
      </c>
      <c r="M849" s="64">
        <v>178622</v>
      </c>
    </row>
    <row r="850" spans="2:13" ht="13.5" hidden="1" customHeight="1" x14ac:dyDescent="0.25">
      <c r="B850" s="58">
        <v>45202</v>
      </c>
      <c r="C850" s="59" t="s">
        <v>8366</v>
      </c>
      <c r="D850" s="61" t="s">
        <v>7491</v>
      </c>
      <c r="E850" s="61" t="s">
        <v>6764</v>
      </c>
      <c r="F850" s="61"/>
      <c r="G850" s="61" t="s">
        <v>6443</v>
      </c>
      <c r="H850" s="61" t="s">
        <v>6444</v>
      </c>
      <c r="I850" s="62">
        <v>3672</v>
      </c>
      <c r="J850" s="4">
        <f>SUMIF(Cargas!$C$5:$C$3470,C850,Cargas!$O$5:$O$3470)</f>
        <v>0</v>
      </c>
      <c r="K850" s="18">
        <f t="shared" si="16"/>
        <v>3672</v>
      </c>
      <c r="L850" s="63" t="s">
        <v>8367</v>
      </c>
      <c r="M850" s="64">
        <v>187991</v>
      </c>
    </row>
    <row r="851" spans="2:13" ht="13.5" hidden="1" customHeight="1" x14ac:dyDescent="0.25">
      <c r="B851" s="58">
        <v>45208</v>
      </c>
      <c r="C851" s="59" t="s">
        <v>8368</v>
      </c>
      <c r="D851" s="61" t="s">
        <v>6935</v>
      </c>
      <c r="E851" s="61" t="s">
        <v>6764</v>
      </c>
      <c r="F851" s="61"/>
      <c r="G851" s="61" t="s">
        <v>6443</v>
      </c>
      <c r="H851" s="61" t="s">
        <v>6444</v>
      </c>
      <c r="I851" s="62">
        <v>4590</v>
      </c>
      <c r="J851" s="4">
        <f>SUMIF(Cargas!$C$5:$C$3470,C851,Cargas!$O$5:$O$3470)</f>
        <v>0</v>
      </c>
      <c r="K851" s="18">
        <f t="shared" si="16"/>
        <v>4590</v>
      </c>
      <c r="L851" s="63" t="s">
        <v>8369</v>
      </c>
      <c r="M851" s="64">
        <v>192534</v>
      </c>
    </row>
    <row r="852" spans="2:13" ht="13.5" hidden="1" customHeight="1" x14ac:dyDescent="0.25">
      <c r="B852" s="58">
        <v>45226</v>
      </c>
      <c r="C852" s="59" t="s">
        <v>8370</v>
      </c>
      <c r="D852" s="61" t="s">
        <v>7500</v>
      </c>
      <c r="E852" s="61" t="s">
        <v>6764</v>
      </c>
      <c r="F852" s="61"/>
      <c r="G852" s="61" t="s">
        <v>6443</v>
      </c>
      <c r="H852" s="61" t="s">
        <v>6444</v>
      </c>
      <c r="I852" s="62">
        <v>3672</v>
      </c>
      <c r="J852" s="4">
        <f>SUMIF(Cargas!$C$5:$C$3470,C852,Cargas!$O$5:$O$3470)</f>
        <v>0</v>
      </c>
      <c r="K852" s="18">
        <f t="shared" si="16"/>
        <v>3672</v>
      </c>
      <c r="L852" s="63" t="s">
        <v>8371</v>
      </c>
      <c r="M852" s="64">
        <v>205683</v>
      </c>
    </row>
    <row r="853" spans="2:13" ht="13.5" hidden="1" customHeight="1" x14ac:dyDescent="0.25">
      <c r="B853" s="58">
        <v>45271</v>
      </c>
      <c r="C853" s="59" t="s">
        <v>8372</v>
      </c>
      <c r="D853" s="61" t="s">
        <v>6947</v>
      </c>
      <c r="E853" s="61" t="s">
        <v>6764</v>
      </c>
      <c r="F853" s="61"/>
      <c r="G853" s="61" t="s">
        <v>6443</v>
      </c>
      <c r="H853" s="61" t="s">
        <v>6444</v>
      </c>
      <c r="I853" s="62">
        <v>2754</v>
      </c>
      <c r="J853" s="4">
        <f>SUMIF(Cargas!$C$5:$C$3470,C853,Cargas!$O$5:$O$3470)</f>
        <v>0</v>
      </c>
      <c r="K853" s="18">
        <f t="shared" si="16"/>
        <v>2754</v>
      </c>
      <c r="L853" s="63" t="s">
        <v>8373</v>
      </c>
      <c r="M853" s="64">
        <v>241759</v>
      </c>
    </row>
    <row r="854" spans="2:13" ht="13.5" hidden="1" customHeight="1" x14ac:dyDescent="0.25">
      <c r="B854" s="58">
        <v>45237</v>
      </c>
      <c r="C854" s="59" t="s">
        <v>8374</v>
      </c>
      <c r="D854" s="61" t="s">
        <v>8375</v>
      </c>
      <c r="E854" s="61" t="s">
        <v>6764</v>
      </c>
      <c r="F854" s="61"/>
      <c r="G854" s="61" t="s">
        <v>6443</v>
      </c>
      <c r="H854" s="61" t="s">
        <v>6444</v>
      </c>
      <c r="I854" s="62">
        <v>980</v>
      </c>
      <c r="J854" s="4">
        <f>SUMIF(Cargas!$C$5:$C$3470,C854,Cargas!$O$5:$O$3470)</f>
        <v>0</v>
      </c>
      <c r="K854" s="18">
        <f t="shared" si="16"/>
        <v>980</v>
      </c>
      <c r="L854" s="63" t="s">
        <v>8376</v>
      </c>
      <c r="M854" s="64" t="s">
        <v>299</v>
      </c>
    </row>
    <row r="855" spans="2:13" ht="13.5" hidden="1" customHeight="1" x14ac:dyDescent="0.25">
      <c r="B855" s="58">
        <v>45239</v>
      </c>
      <c r="C855" s="59" t="s">
        <v>8377</v>
      </c>
      <c r="D855" s="61" t="s">
        <v>8378</v>
      </c>
      <c r="E855" s="61" t="s">
        <v>6764</v>
      </c>
      <c r="F855" s="61"/>
      <c r="G855" s="61" t="s">
        <v>6443</v>
      </c>
      <c r="H855" s="61" t="s">
        <v>6444</v>
      </c>
      <c r="I855" s="62">
        <v>980</v>
      </c>
      <c r="J855" s="4">
        <f>SUMIF(Cargas!$C$5:$C$3470,C855,Cargas!$O$5:$O$3470)</f>
        <v>0</v>
      </c>
      <c r="K855" s="18">
        <f t="shared" si="16"/>
        <v>980</v>
      </c>
      <c r="L855" s="63" t="s">
        <v>8379</v>
      </c>
      <c r="M855" s="64" t="s">
        <v>299</v>
      </c>
    </row>
    <row r="856" spans="2:13" ht="13.5" hidden="1" customHeight="1" x14ac:dyDescent="0.25">
      <c r="B856" s="58">
        <v>44958</v>
      </c>
      <c r="C856" s="59" t="s">
        <v>8380</v>
      </c>
      <c r="D856" s="61" t="s">
        <v>6777</v>
      </c>
      <c r="E856" s="61" t="s">
        <v>6764</v>
      </c>
      <c r="F856" s="61"/>
      <c r="G856" s="61" t="s">
        <v>6443</v>
      </c>
      <c r="H856" s="61" t="s">
        <v>6768</v>
      </c>
      <c r="I856" s="62">
        <v>9180</v>
      </c>
      <c r="J856" s="4">
        <f>SUMIF(Cargas!$C$5:$C$3470,C856,Cargas!$O$5:$O$3470)</f>
        <v>0</v>
      </c>
      <c r="K856" s="18">
        <f t="shared" si="16"/>
        <v>9180</v>
      </c>
      <c r="L856" s="63" t="s">
        <v>8381</v>
      </c>
      <c r="M856" s="64">
        <v>20741</v>
      </c>
    </row>
    <row r="857" spans="2:13" ht="13.5" hidden="1" customHeight="1" x14ac:dyDescent="0.25">
      <c r="B857" s="58">
        <v>44980</v>
      </c>
      <c r="C857" s="59" t="s">
        <v>8382</v>
      </c>
      <c r="D857" s="61" t="s">
        <v>6793</v>
      </c>
      <c r="E857" s="61" t="s">
        <v>6764</v>
      </c>
      <c r="F857" s="61"/>
      <c r="G857" s="61" t="s">
        <v>6443</v>
      </c>
      <c r="H857" s="61" t="s">
        <v>6768</v>
      </c>
      <c r="I857" s="62">
        <v>6426</v>
      </c>
      <c r="J857" s="4">
        <f>SUMIF(Cargas!$C$5:$C$3470,C857,Cargas!$O$5:$O$3470)</f>
        <v>0</v>
      </c>
      <c r="K857" s="18">
        <f t="shared" si="16"/>
        <v>6426</v>
      </c>
      <c r="L857" s="63" t="s">
        <v>8383</v>
      </c>
      <c r="M857" s="64">
        <v>33753</v>
      </c>
    </row>
    <row r="858" spans="2:13" ht="13.5" hidden="1" customHeight="1" x14ac:dyDescent="0.25">
      <c r="B858" s="58">
        <v>45012</v>
      </c>
      <c r="C858" s="59" t="s">
        <v>8384</v>
      </c>
      <c r="D858" s="61" t="s">
        <v>6822</v>
      </c>
      <c r="E858" s="61" t="s">
        <v>6764</v>
      </c>
      <c r="F858" s="61"/>
      <c r="G858" s="61" t="s">
        <v>6443</v>
      </c>
      <c r="H858" s="61" t="s">
        <v>6768</v>
      </c>
      <c r="I858" s="62">
        <v>3672</v>
      </c>
      <c r="J858" s="4">
        <f>SUMIF(Cargas!$C$5:$C$3470,C858,Cargas!$O$5:$O$3470)</f>
        <v>0</v>
      </c>
      <c r="K858" s="18">
        <f t="shared" si="16"/>
        <v>3672</v>
      </c>
      <c r="L858" s="63" t="s">
        <v>8385</v>
      </c>
      <c r="M858" s="64">
        <v>55619</v>
      </c>
    </row>
    <row r="859" spans="2:13" ht="13.5" hidden="1" customHeight="1" x14ac:dyDescent="0.25">
      <c r="B859" s="58">
        <v>44930</v>
      </c>
      <c r="C859" s="59" t="s">
        <v>8386</v>
      </c>
      <c r="D859" s="61" t="s">
        <v>6763</v>
      </c>
      <c r="E859" s="61" t="s">
        <v>6764</v>
      </c>
      <c r="F859" s="61"/>
      <c r="G859" s="61" t="s">
        <v>6443</v>
      </c>
      <c r="H859" s="61" t="s">
        <v>6768</v>
      </c>
      <c r="I859" s="62">
        <v>9180</v>
      </c>
      <c r="J859" s="4">
        <f>SUMIF(Cargas!$C$5:$C$3470,C859,Cargas!$O$5:$O$3470)</f>
        <v>0</v>
      </c>
      <c r="K859" s="18">
        <f t="shared" si="16"/>
        <v>9180</v>
      </c>
      <c r="L859" s="63" t="s">
        <v>8387</v>
      </c>
      <c r="M859" s="64">
        <v>2305</v>
      </c>
    </row>
    <row r="860" spans="2:13" ht="13.5" hidden="1" customHeight="1" x14ac:dyDescent="0.25">
      <c r="B860" s="58">
        <v>44943</v>
      </c>
      <c r="C860" s="59" t="s">
        <v>8388</v>
      </c>
      <c r="D860" s="61" t="s">
        <v>6767</v>
      </c>
      <c r="E860" s="61" t="s">
        <v>6764</v>
      </c>
      <c r="F860" s="61"/>
      <c r="G860" s="61" t="s">
        <v>6443</v>
      </c>
      <c r="H860" s="61" t="s">
        <v>6768</v>
      </c>
      <c r="I860" s="62">
        <v>9180</v>
      </c>
      <c r="J860" s="4">
        <f>SUMIF(Cargas!$C$5:$C$3470,C860,Cargas!$O$5:$O$3470)</f>
        <v>0</v>
      </c>
      <c r="K860" s="18">
        <f t="shared" si="16"/>
        <v>9180</v>
      </c>
      <c r="L860" s="63" t="s">
        <v>8389</v>
      </c>
      <c r="M860" s="64"/>
    </row>
    <row r="861" spans="2:13" ht="13.5" hidden="1" customHeight="1" x14ac:dyDescent="0.25">
      <c r="B861" s="58">
        <v>45040</v>
      </c>
      <c r="C861" s="59" t="s">
        <v>8390</v>
      </c>
      <c r="D861" s="61" t="s">
        <v>6846</v>
      </c>
      <c r="E861" s="61" t="s">
        <v>6764</v>
      </c>
      <c r="F861" s="61"/>
      <c r="G861" s="61" t="s">
        <v>6443</v>
      </c>
      <c r="H861" s="61" t="s">
        <v>6768</v>
      </c>
      <c r="I861" s="62">
        <v>4590</v>
      </c>
      <c r="J861" s="4">
        <f>SUMIF(Cargas!$C$5:$C$3470,C861,Cargas!$O$5:$O$3470)</f>
        <v>0</v>
      </c>
      <c r="K861" s="18">
        <f t="shared" si="16"/>
        <v>4590</v>
      </c>
      <c r="L861" s="63" t="s">
        <v>8391</v>
      </c>
      <c r="M861" s="64">
        <v>75696</v>
      </c>
    </row>
    <row r="862" spans="2:13" ht="13.5" hidden="1" customHeight="1" x14ac:dyDescent="0.25">
      <c r="B862" s="58">
        <v>45068</v>
      </c>
      <c r="C862" s="59" t="s">
        <v>8392</v>
      </c>
      <c r="D862" s="61" t="s">
        <v>6861</v>
      </c>
      <c r="E862" s="61" t="s">
        <v>6764</v>
      </c>
      <c r="F862" s="61"/>
      <c r="G862" s="61" t="s">
        <v>6443</v>
      </c>
      <c r="H862" s="61" t="s">
        <v>6768</v>
      </c>
      <c r="I862" s="62">
        <v>4590</v>
      </c>
      <c r="J862" s="4">
        <f>SUMIF(Cargas!$C$5:$C$3470,C862,Cargas!$O$5:$O$3470)</f>
        <v>0</v>
      </c>
      <c r="K862" s="18">
        <f t="shared" si="16"/>
        <v>4590</v>
      </c>
      <c r="L862" s="63" t="s">
        <v>8393</v>
      </c>
      <c r="M862" s="64">
        <v>93617</v>
      </c>
    </row>
    <row r="863" spans="2:13" ht="13.5" hidden="1" customHeight="1" x14ac:dyDescent="0.25">
      <c r="B863" s="58">
        <v>45078</v>
      </c>
      <c r="C863" s="59" t="s">
        <v>8394</v>
      </c>
      <c r="D863" s="61" t="s">
        <v>6871</v>
      </c>
      <c r="E863" s="61" t="s">
        <v>6764</v>
      </c>
      <c r="F863" s="61"/>
      <c r="G863" s="61" t="s">
        <v>6443</v>
      </c>
      <c r="H863" s="61" t="s">
        <v>6768</v>
      </c>
      <c r="I863" s="62">
        <v>4590</v>
      </c>
      <c r="J863" s="4">
        <f>SUMIF(Cargas!$C$5:$C$3470,C863,Cargas!$O$5:$O$3470)</f>
        <v>0</v>
      </c>
      <c r="K863" s="18">
        <f t="shared" si="16"/>
        <v>4590</v>
      </c>
      <c r="L863" s="63" t="s">
        <v>8395</v>
      </c>
      <c r="M863" s="64">
        <v>109481</v>
      </c>
    </row>
    <row r="864" spans="2:13" ht="13.5" hidden="1" customHeight="1" x14ac:dyDescent="0.25">
      <c r="B864" s="58">
        <v>45110</v>
      </c>
      <c r="C864" s="59" t="s">
        <v>8396</v>
      </c>
      <c r="D864" s="61" t="s">
        <v>6894</v>
      </c>
      <c r="E864" s="61" t="s">
        <v>6764</v>
      </c>
      <c r="F864" s="61"/>
      <c r="G864" s="61" t="s">
        <v>6443</v>
      </c>
      <c r="H864" s="61" t="s">
        <v>6768</v>
      </c>
      <c r="I864" s="62">
        <v>2754</v>
      </c>
      <c r="J864" s="4">
        <f>SUMIF(Cargas!$C$5:$C$3470,C864,Cargas!$O$5:$O$3470)</f>
        <v>0</v>
      </c>
      <c r="K864" s="18">
        <f t="shared" si="16"/>
        <v>2754</v>
      </c>
      <c r="L864" s="63" t="s">
        <v>8397</v>
      </c>
      <c r="M864" s="64">
        <v>121826</v>
      </c>
    </row>
    <row r="865" spans="2:13" ht="13.5" hidden="1" customHeight="1" x14ac:dyDescent="0.25">
      <c r="B865" s="58">
        <v>45125</v>
      </c>
      <c r="C865" s="59" t="s">
        <v>8398</v>
      </c>
      <c r="D865" s="61" t="s">
        <v>6910</v>
      </c>
      <c r="E865" s="61" t="s">
        <v>6764</v>
      </c>
      <c r="F865" s="61"/>
      <c r="G865" s="61" t="s">
        <v>6443</v>
      </c>
      <c r="H865" s="61" t="s">
        <v>6768</v>
      </c>
      <c r="I865" s="62">
        <v>4590</v>
      </c>
      <c r="J865" s="4">
        <f>SUMIF(Cargas!$C$5:$C$3470,C865,Cargas!$O$5:$O$3470)</f>
        <v>0</v>
      </c>
      <c r="K865" s="18">
        <f t="shared" si="16"/>
        <v>4590</v>
      </c>
      <c r="L865" s="63" t="s">
        <v>8399</v>
      </c>
      <c r="M865" s="64">
        <v>131688</v>
      </c>
    </row>
    <row r="866" spans="2:13" ht="13.5" hidden="1" customHeight="1" x14ac:dyDescent="0.25">
      <c r="B866" s="58">
        <v>45184</v>
      </c>
      <c r="C866" s="59" t="s">
        <v>8400</v>
      </c>
      <c r="D866" s="61" t="s">
        <v>3703</v>
      </c>
      <c r="E866" s="61" t="s">
        <v>6764</v>
      </c>
      <c r="F866" s="61"/>
      <c r="G866" s="61" t="s">
        <v>6443</v>
      </c>
      <c r="H866" s="61" t="s">
        <v>6768</v>
      </c>
      <c r="I866" s="62">
        <v>2700</v>
      </c>
      <c r="J866" s="4">
        <f>SUMIF(Cargas!$C$5:$C$3470,C866,Cargas!$O$5:$O$3470)</f>
        <v>0</v>
      </c>
      <c r="K866" s="18">
        <f t="shared" si="16"/>
        <v>2700</v>
      </c>
      <c r="L866" s="63" t="s">
        <v>8401</v>
      </c>
      <c r="M866" s="64">
        <v>174772</v>
      </c>
    </row>
    <row r="867" spans="2:13" ht="13.5" hidden="1" customHeight="1" x14ac:dyDescent="0.25">
      <c r="B867" s="58">
        <v>45153</v>
      </c>
      <c r="C867" s="59" t="s">
        <v>8402</v>
      </c>
      <c r="D867" s="61" t="s">
        <v>3720</v>
      </c>
      <c r="E867" s="61" t="s">
        <v>6764</v>
      </c>
      <c r="F867" s="61"/>
      <c r="G867" s="61" t="s">
        <v>6443</v>
      </c>
      <c r="H867" s="61" t="s">
        <v>6768</v>
      </c>
      <c r="I867" s="62">
        <v>4500</v>
      </c>
      <c r="J867" s="4">
        <f>SUMIF(Cargas!$C$5:$C$3470,C867,Cargas!$O$5:$O$3470)</f>
        <v>0</v>
      </c>
      <c r="K867" s="18">
        <f t="shared" si="16"/>
        <v>4500</v>
      </c>
      <c r="L867" s="63" t="s">
        <v>8403</v>
      </c>
      <c r="M867" s="64">
        <v>152553</v>
      </c>
    </row>
    <row r="868" spans="2:13" ht="13.5" hidden="1" customHeight="1" x14ac:dyDescent="0.25">
      <c r="B868" s="58">
        <v>45062</v>
      </c>
      <c r="C868" s="59" t="s">
        <v>8404</v>
      </c>
      <c r="D868" s="61" t="s">
        <v>8405</v>
      </c>
      <c r="E868" s="61" t="s">
        <v>6764</v>
      </c>
      <c r="F868" s="61"/>
      <c r="G868" s="61" t="s">
        <v>6443</v>
      </c>
      <c r="H868" s="61" t="s">
        <v>6768</v>
      </c>
      <c r="I868" s="62">
        <v>1000</v>
      </c>
      <c r="J868" s="4">
        <f>SUMIF(Cargas!$C$5:$C$3470,C868,Cargas!$O$5:$O$3470)</f>
        <v>0</v>
      </c>
      <c r="K868" s="18">
        <f t="shared" si="16"/>
        <v>1000</v>
      </c>
      <c r="L868" s="63" t="s">
        <v>8406</v>
      </c>
      <c r="M868" s="64">
        <v>89817</v>
      </c>
    </row>
    <row r="869" spans="2:13" ht="13.5" hidden="1" customHeight="1" x14ac:dyDescent="0.25">
      <c r="B869" s="58">
        <v>45169</v>
      </c>
      <c r="C869" s="59" t="s">
        <v>8407</v>
      </c>
      <c r="D869" s="61" t="s">
        <v>3712</v>
      </c>
      <c r="E869" s="61" t="s">
        <v>6764</v>
      </c>
      <c r="F869" s="61"/>
      <c r="G869" s="61" t="s">
        <v>6443</v>
      </c>
      <c r="H869" s="61" t="s">
        <v>6768</v>
      </c>
      <c r="I869" s="62">
        <v>4500</v>
      </c>
      <c r="J869" s="4">
        <f>SUMIF(Cargas!$C$5:$C$3470,C869,Cargas!$O$5:$O$3470)</f>
        <v>0</v>
      </c>
      <c r="K869" s="18">
        <f t="shared" si="16"/>
        <v>4500</v>
      </c>
      <c r="L869" s="63" t="s">
        <v>8408</v>
      </c>
      <c r="M869" s="64">
        <v>164892</v>
      </c>
    </row>
    <row r="870" spans="2:13" ht="13.5" hidden="1" customHeight="1" x14ac:dyDescent="0.25">
      <c r="B870" s="58">
        <v>45195</v>
      </c>
      <c r="C870" s="59" t="s">
        <v>8409</v>
      </c>
      <c r="D870" s="61" t="s">
        <v>6929</v>
      </c>
      <c r="E870" s="61" t="s">
        <v>6764</v>
      </c>
      <c r="F870" s="61"/>
      <c r="G870" s="61" t="s">
        <v>6443</v>
      </c>
      <c r="H870" s="61" t="s">
        <v>6768</v>
      </c>
      <c r="I870" s="62">
        <v>3600</v>
      </c>
      <c r="J870" s="4">
        <f>SUMIF(Cargas!$C$5:$C$3470,C870,Cargas!$O$5:$O$3470)</f>
        <v>0</v>
      </c>
      <c r="K870" s="18">
        <f t="shared" si="16"/>
        <v>3600</v>
      </c>
      <c r="L870" s="63" t="s">
        <v>8410</v>
      </c>
      <c r="M870" s="64">
        <v>182999</v>
      </c>
    </row>
    <row r="871" spans="2:13" ht="13.5" hidden="1" customHeight="1" x14ac:dyDescent="0.25">
      <c r="B871" s="58">
        <v>45208</v>
      </c>
      <c r="C871" s="59" t="s">
        <v>8411</v>
      </c>
      <c r="D871" s="61" t="s">
        <v>6932</v>
      </c>
      <c r="E871" s="61" t="s">
        <v>6764</v>
      </c>
      <c r="F871" s="61"/>
      <c r="G871" s="61" t="s">
        <v>6443</v>
      </c>
      <c r="H871" s="61" t="s">
        <v>6768</v>
      </c>
      <c r="I871" s="62">
        <v>4500</v>
      </c>
      <c r="J871" s="4">
        <f>SUMIF(Cargas!$C$5:$C$3470,C871,Cargas!$O$5:$O$3470)</f>
        <v>0</v>
      </c>
      <c r="K871" s="18">
        <f t="shared" si="16"/>
        <v>4500</v>
      </c>
      <c r="L871" s="63" t="s">
        <v>8412</v>
      </c>
      <c r="M871" s="64">
        <v>190539</v>
      </c>
    </row>
    <row r="872" spans="2:13" ht="13.5" hidden="1" customHeight="1" x14ac:dyDescent="0.25">
      <c r="B872" s="58">
        <v>45216</v>
      </c>
      <c r="C872" s="59" t="s">
        <v>8413</v>
      </c>
      <c r="D872" s="61" t="s">
        <v>6938</v>
      </c>
      <c r="E872" s="61" t="s">
        <v>6764</v>
      </c>
      <c r="F872" s="61"/>
      <c r="G872" s="61" t="s">
        <v>6443</v>
      </c>
      <c r="H872" s="61" t="s">
        <v>6768</v>
      </c>
      <c r="I872" s="62">
        <v>3600</v>
      </c>
      <c r="J872" s="4">
        <f>SUMIF(Cargas!$C$5:$C$3470,C872,Cargas!$O$5:$O$3470)</f>
        <v>0</v>
      </c>
      <c r="K872" s="18">
        <f t="shared" si="16"/>
        <v>3600</v>
      </c>
      <c r="L872" s="63" t="s">
        <v>8414</v>
      </c>
      <c r="M872" s="64">
        <v>197900</v>
      </c>
    </row>
    <row r="873" spans="2:13" ht="13.5" hidden="1" customHeight="1" x14ac:dyDescent="0.25">
      <c r="B873" s="58">
        <v>45233</v>
      </c>
      <c r="C873" s="59" t="s">
        <v>8415</v>
      </c>
      <c r="D873" s="61" t="s">
        <v>6941</v>
      </c>
      <c r="E873" s="61" t="s">
        <v>6764</v>
      </c>
      <c r="F873" s="61"/>
      <c r="G873" s="61" t="s">
        <v>6443</v>
      </c>
      <c r="H873" s="61" t="s">
        <v>6768</v>
      </c>
      <c r="I873" s="62">
        <v>3600</v>
      </c>
      <c r="J873" s="4">
        <f>SUMIF(Cargas!$C$5:$C$3470,C873,Cargas!$O$5:$O$3470)</f>
        <v>0</v>
      </c>
      <c r="K873" s="18">
        <f t="shared" si="16"/>
        <v>3600</v>
      </c>
      <c r="L873" s="63" t="s">
        <v>8416</v>
      </c>
      <c r="M873" s="64">
        <v>210390</v>
      </c>
    </row>
    <row r="874" spans="2:13" ht="13.5" hidden="1" customHeight="1" x14ac:dyDescent="0.25">
      <c r="B874" s="58">
        <v>45271</v>
      </c>
      <c r="C874" s="59" t="s">
        <v>8417</v>
      </c>
      <c r="D874" s="61" t="s">
        <v>6944</v>
      </c>
      <c r="E874" s="61" t="s">
        <v>6764</v>
      </c>
      <c r="F874" s="61"/>
      <c r="G874" s="61" t="s">
        <v>6443</v>
      </c>
      <c r="H874" s="61" t="s">
        <v>6768</v>
      </c>
      <c r="I874" s="62">
        <v>1800</v>
      </c>
      <c r="J874" s="4">
        <f>SUMIF(Cargas!$C$5:$C$3470,C874,Cargas!$O$5:$O$3470)</f>
        <v>0</v>
      </c>
      <c r="K874" s="18">
        <f t="shared" si="16"/>
        <v>1800</v>
      </c>
      <c r="L874" s="63" t="s">
        <v>8418</v>
      </c>
      <c r="M874" s="64">
        <v>240578</v>
      </c>
    </row>
    <row r="875" spans="2:13" ht="13.5" hidden="1" customHeight="1" x14ac:dyDescent="0.25">
      <c r="B875" s="58">
        <v>45279</v>
      </c>
      <c r="C875" s="59" t="s">
        <v>8419</v>
      </c>
      <c r="D875" s="61" t="s">
        <v>6950</v>
      </c>
      <c r="E875" s="61" t="s">
        <v>6764</v>
      </c>
      <c r="F875" s="61"/>
      <c r="G875" s="61" t="s">
        <v>6443</v>
      </c>
      <c r="H875" s="61" t="s">
        <v>6768</v>
      </c>
      <c r="I875" s="62">
        <f>900*2</f>
        <v>1800</v>
      </c>
      <c r="J875" s="4">
        <f>SUMIF(Cargas!$C$5:$C$3470,C875,Cargas!$O$5:$O$3470)</f>
        <v>0</v>
      </c>
      <c r="K875" s="18">
        <f t="shared" si="16"/>
        <v>1800</v>
      </c>
      <c r="L875" s="63" t="s">
        <v>8420</v>
      </c>
      <c r="M875" s="64">
        <v>246189</v>
      </c>
    </row>
    <row r="876" spans="2:13" ht="13.5" hidden="1" customHeight="1" x14ac:dyDescent="0.25">
      <c r="B876" s="58">
        <v>45279</v>
      </c>
      <c r="C876" s="59" t="s">
        <v>8421</v>
      </c>
      <c r="D876" s="61" t="s">
        <v>6953</v>
      </c>
      <c r="E876" s="61" t="s">
        <v>6764</v>
      </c>
      <c r="F876" s="61"/>
      <c r="G876" s="61" t="s">
        <v>6443</v>
      </c>
      <c r="H876" s="61" t="s">
        <v>6768</v>
      </c>
      <c r="I876" s="62">
        <v>2754</v>
      </c>
      <c r="J876" s="4">
        <f>SUMIF(Cargas!$C$5:$C$3470,C876,Cargas!$O$5:$O$3470)</f>
        <v>0</v>
      </c>
      <c r="K876" s="18">
        <f t="shared" si="16"/>
        <v>2754</v>
      </c>
      <c r="L876" s="63" t="s">
        <v>8422</v>
      </c>
      <c r="M876" s="64">
        <v>247277</v>
      </c>
    </row>
    <row r="877" spans="2:13" ht="13.5" hidden="1" customHeight="1" x14ac:dyDescent="0.25">
      <c r="B877" s="58">
        <v>44991</v>
      </c>
      <c r="C877" s="59" t="s">
        <v>8423</v>
      </c>
      <c r="D877" s="61" t="s">
        <v>6804</v>
      </c>
      <c r="E877" s="61" t="s">
        <v>8424</v>
      </c>
      <c r="F877" s="61"/>
      <c r="G877" s="61" t="s">
        <v>6443</v>
      </c>
      <c r="H877" s="61" t="s">
        <v>6768</v>
      </c>
      <c r="I877" s="62">
        <v>6426</v>
      </c>
      <c r="J877" s="4">
        <f>SUMIF(Cargas!$C$5:$C$3470,C877,Cargas!$O$5:$O$3470)</f>
        <v>0</v>
      </c>
      <c r="K877" s="18">
        <f t="shared" si="16"/>
        <v>6426</v>
      </c>
      <c r="L877" s="63" t="s">
        <v>8425</v>
      </c>
      <c r="M877" s="64">
        <v>40844</v>
      </c>
    </row>
    <row r="878" spans="2:13" ht="13.5" hidden="1" customHeight="1" x14ac:dyDescent="0.25">
      <c r="B878" s="58">
        <v>45007</v>
      </c>
      <c r="C878" s="59" t="s">
        <v>8426</v>
      </c>
      <c r="D878" s="61" t="s">
        <v>6816</v>
      </c>
      <c r="E878" s="61" t="s">
        <v>8424</v>
      </c>
      <c r="F878" s="61"/>
      <c r="G878" s="61" t="s">
        <v>6443</v>
      </c>
      <c r="H878" s="61" t="s">
        <v>6768</v>
      </c>
      <c r="I878" s="62">
        <v>5508</v>
      </c>
      <c r="J878" s="4">
        <f>SUMIF(Cargas!$C$5:$C$3470,C878,Cargas!$O$5:$O$3470)</f>
        <v>0</v>
      </c>
      <c r="K878" s="18">
        <f t="shared" si="16"/>
        <v>5508</v>
      </c>
      <c r="L878" s="63" t="s">
        <v>8427</v>
      </c>
      <c r="M878" s="64">
        <v>52425</v>
      </c>
    </row>
    <row r="879" spans="2:13" ht="13.5" hidden="1" customHeight="1" x14ac:dyDescent="0.25">
      <c r="B879" s="58">
        <v>45026</v>
      </c>
      <c r="C879" s="59" t="s">
        <v>8428</v>
      </c>
      <c r="D879" s="61" t="s">
        <v>6831</v>
      </c>
      <c r="E879" s="61" t="s">
        <v>8424</v>
      </c>
      <c r="F879" s="61"/>
      <c r="G879" s="61" t="s">
        <v>6443</v>
      </c>
      <c r="H879" s="61" t="s">
        <v>6768</v>
      </c>
      <c r="I879" s="62">
        <v>5508</v>
      </c>
      <c r="J879" s="4">
        <f>SUMIF(Cargas!$C$5:$C$3470,C879,Cargas!$O$5:$O$3470)</f>
        <v>0</v>
      </c>
      <c r="K879" s="18">
        <f t="shared" si="16"/>
        <v>5508</v>
      </c>
      <c r="L879" s="63" t="s">
        <v>8429</v>
      </c>
      <c r="M879" s="64">
        <v>63301</v>
      </c>
    </row>
    <row r="880" spans="2:13" ht="13.5" hidden="1" customHeight="1" x14ac:dyDescent="0.25">
      <c r="B880" s="58">
        <v>44973</v>
      </c>
      <c r="C880" s="59" t="s">
        <v>8430</v>
      </c>
      <c r="D880" s="61" t="s">
        <v>6786</v>
      </c>
      <c r="E880" s="61" t="s">
        <v>8424</v>
      </c>
      <c r="F880" s="61"/>
      <c r="G880" s="61" t="s">
        <v>6443</v>
      </c>
      <c r="H880" s="61" t="s">
        <v>6768</v>
      </c>
      <c r="I880" s="62">
        <v>6426</v>
      </c>
      <c r="J880" s="4">
        <f>SUMIF(Cargas!$C$5:$C$3470,C880,Cargas!$O$5:$O$3470)</f>
        <v>0</v>
      </c>
      <c r="K880" s="18">
        <f t="shared" si="16"/>
        <v>6426</v>
      </c>
      <c r="L880" s="63" t="s">
        <v>8431</v>
      </c>
      <c r="M880" s="64">
        <v>29845</v>
      </c>
    </row>
    <row r="881" spans="2:13" ht="13.5" hidden="1" customHeight="1" x14ac:dyDescent="0.25">
      <c r="B881" s="58">
        <v>45040</v>
      </c>
      <c r="C881" s="59" t="s">
        <v>8432</v>
      </c>
      <c r="D881" s="61" t="s">
        <v>6843</v>
      </c>
      <c r="E881" s="61" t="s">
        <v>8424</v>
      </c>
      <c r="F881" s="61"/>
      <c r="G881" s="61" t="s">
        <v>6443</v>
      </c>
      <c r="H881" s="61" t="s">
        <v>6768</v>
      </c>
      <c r="I881" s="62">
        <v>5508</v>
      </c>
      <c r="J881" s="4">
        <f>SUMIF(Cargas!$C$5:$C$3470,C881,Cargas!$O$5:$O$3470)</f>
        <v>0</v>
      </c>
      <c r="K881" s="18">
        <f t="shared" si="16"/>
        <v>5508</v>
      </c>
      <c r="L881" s="63" t="s">
        <v>8433</v>
      </c>
      <c r="M881" s="64">
        <v>74659</v>
      </c>
    </row>
    <row r="882" spans="2:13" ht="13.5" hidden="1" customHeight="1" x14ac:dyDescent="0.25">
      <c r="B882" s="58">
        <v>45296</v>
      </c>
      <c r="C882" s="59" t="s">
        <v>62</v>
      </c>
      <c r="D882" s="61" t="s">
        <v>6441</v>
      </c>
      <c r="E882" s="61" t="s">
        <v>7934</v>
      </c>
      <c r="F882" s="61"/>
      <c r="G882" s="61" t="s">
        <v>6443</v>
      </c>
      <c r="H882" s="61" t="s">
        <v>6444</v>
      </c>
      <c r="I882" s="62">
        <v>1104</v>
      </c>
      <c r="J882" s="4">
        <f>SUMIF(Cargas!$C$5:$C$3470,C882,Cargas!$O$5:$O$3470)</f>
        <v>1104</v>
      </c>
      <c r="K882" s="18">
        <f t="shared" si="16"/>
        <v>0</v>
      </c>
      <c r="L882" s="63" t="s">
        <v>8434</v>
      </c>
      <c r="M882" s="64">
        <v>8165</v>
      </c>
    </row>
    <row r="883" spans="2:13" ht="13.5" hidden="1" customHeight="1" x14ac:dyDescent="0.25">
      <c r="B883" s="58">
        <v>45303</v>
      </c>
      <c r="C883" s="59" t="s">
        <v>131</v>
      </c>
      <c r="D883" s="61" t="s">
        <v>6451</v>
      </c>
      <c r="E883" s="61" t="s">
        <v>7934</v>
      </c>
      <c r="F883" s="61"/>
      <c r="G883" s="61" t="s">
        <v>6443</v>
      </c>
      <c r="H883" s="61" t="s">
        <v>6444</v>
      </c>
      <c r="I883" s="62">
        <v>1104</v>
      </c>
      <c r="J883" s="4">
        <f>SUMIF(Cargas!$C$5:$C$3470,C883,Cargas!$O$5:$O$3470)</f>
        <v>1104</v>
      </c>
      <c r="K883" s="18">
        <f t="shared" si="16"/>
        <v>0</v>
      </c>
      <c r="L883" s="63"/>
      <c r="M883" s="64">
        <v>12866</v>
      </c>
    </row>
    <row r="884" spans="2:13" ht="13.5" hidden="1" customHeight="1" x14ac:dyDescent="0.25">
      <c r="B884" s="58">
        <v>45309</v>
      </c>
      <c r="C884" s="59" t="s">
        <v>199</v>
      </c>
      <c r="D884" s="61" t="s">
        <v>6454</v>
      </c>
      <c r="E884" s="61" t="s">
        <v>7934</v>
      </c>
      <c r="F884" s="61"/>
      <c r="G884" s="61" t="s">
        <v>6443</v>
      </c>
      <c r="H884" s="61" t="s">
        <v>6444</v>
      </c>
      <c r="I884" s="62">
        <v>1104</v>
      </c>
      <c r="J884" s="4">
        <f>SUMIF(Cargas!$C$5:$C$3470,C884,Cargas!$O$5:$O$3470)</f>
        <v>1104</v>
      </c>
      <c r="K884" s="18">
        <f t="shared" si="16"/>
        <v>0</v>
      </c>
      <c r="L884" s="63"/>
      <c r="M884" s="64" t="s">
        <v>299</v>
      </c>
    </row>
    <row r="885" spans="2:13" ht="13.5" hidden="1" customHeight="1" x14ac:dyDescent="0.25">
      <c r="B885" s="58">
        <v>45280</v>
      </c>
      <c r="C885" s="59" t="s">
        <v>8435</v>
      </c>
      <c r="D885" s="61" t="s">
        <v>6542</v>
      </c>
      <c r="E885" s="61" t="s">
        <v>7934</v>
      </c>
      <c r="F885" s="61"/>
      <c r="G885" s="61" t="s">
        <v>6443</v>
      </c>
      <c r="H885" s="61" t="s">
        <v>6444</v>
      </c>
      <c r="I885" s="62">
        <v>1104</v>
      </c>
      <c r="J885" s="4">
        <f>SUMIF(Cargas!$C$5:$C$3470,C885,Cargas!$O$5:$O$3470)</f>
        <v>0</v>
      </c>
      <c r="K885" s="18">
        <f t="shared" si="16"/>
        <v>1104</v>
      </c>
      <c r="L885" s="63" t="s">
        <v>8436</v>
      </c>
      <c r="M885" s="64">
        <v>18888</v>
      </c>
    </row>
    <row r="886" spans="2:13" ht="13.5" hidden="1" customHeight="1" x14ac:dyDescent="0.25">
      <c r="B886" s="58">
        <v>45281</v>
      </c>
      <c r="C886" s="59" t="s">
        <v>8437</v>
      </c>
      <c r="D886" s="61" t="s">
        <v>6542</v>
      </c>
      <c r="E886" s="61" t="s">
        <v>7934</v>
      </c>
      <c r="F886" s="61"/>
      <c r="G886" s="61" t="s">
        <v>6443</v>
      </c>
      <c r="H886" s="61" t="s">
        <v>6444</v>
      </c>
      <c r="I886" s="62">
        <v>1104</v>
      </c>
      <c r="J886" s="4">
        <f>SUMIF(Cargas!$C$5:$C$3470,C886,Cargas!$O$5:$O$3470)</f>
        <v>0</v>
      </c>
      <c r="K886" s="18">
        <f t="shared" si="16"/>
        <v>1104</v>
      </c>
      <c r="L886" s="63" t="s">
        <v>8436</v>
      </c>
      <c r="M886" s="64">
        <v>18888</v>
      </c>
    </row>
    <row r="887" spans="2:13" ht="13.5" hidden="1" customHeight="1" x14ac:dyDescent="0.25">
      <c r="B887" s="58">
        <v>45282</v>
      </c>
      <c r="C887" s="59" t="s">
        <v>8438</v>
      </c>
      <c r="D887" s="61" t="s">
        <v>6542</v>
      </c>
      <c r="E887" s="61" t="s">
        <v>7934</v>
      </c>
      <c r="F887" s="61"/>
      <c r="G887" s="61" t="s">
        <v>6443</v>
      </c>
      <c r="H887" s="61" t="s">
        <v>6444</v>
      </c>
      <c r="I887" s="62">
        <v>1104</v>
      </c>
      <c r="J887" s="4">
        <f>SUMIF(Cargas!$C$5:$C$3470,C887,Cargas!$O$5:$O$3470)</f>
        <v>0</v>
      </c>
      <c r="K887" s="18">
        <f t="shared" si="16"/>
        <v>1104</v>
      </c>
      <c r="L887" s="63" t="s">
        <v>8436</v>
      </c>
      <c r="M887" s="64">
        <v>18888</v>
      </c>
    </row>
    <row r="888" spans="2:13" ht="13.5" hidden="1" customHeight="1" x14ac:dyDescent="0.25">
      <c r="B888" s="58">
        <v>45054</v>
      </c>
      <c r="C888" s="59" t="s">
        <v>8439</v>
      </c>
      <c r="D888" s="61" t="s">
        <v>6852</v>
      </c>
      <c r="E888" s="61" t="s">
        <v>8424</v>
      </c>
      <c r="F888" s="61"/>
      <c r="G888" s="61" t="s">
        <v>6443</v>
      </c>
      <c r="H888" s="61" t="s">
        <v>6768</v>
      </c>
      <c r="I888" s="62">
        <v>4500</v>
      </c>
      <c r="J888" s="4">
        <f>SUMIF(Cargas!$C$5:$C$3470,C888,Cargas!$O$5:$O$3470)</f>
        <v>0</v>
      </c>
      <c r="K888" s="18">
        <f t="shared" si="16"/>
        <v>4500</v>
      </c>
      <c r="L888" s="63" t="s">
        <v>8440</v>
      </c>
      <c r="M888" s="64">
        <v>84095</v>
      </c>
    </row>
    <row r="889" spans="2:13" ht="13.5" hidden="1" customHeight="1" x14ac:dyDescent="0.25">
      <c r="B889" s="58">
        <v>45078</v>
      </c>
      <c r="C889" s="59" t="s">
        <v>8441</v>
      </c>
      <c r="D889" s="61" t="s">
        <v>6868</v>
      </c>
      <c r="E889" s="61" t="s">
        <v>8424</v>
      </c>
      <c r="F889" s="61"/>
      <c r="G889" s="61" t="s">
        <v>6443</v>
      </c>
      <c r="H889" s="61" t="s">
        <v>6768</v>
      </c>
      <c r="I889" s="62">
        <v>5400</v>
      </c>
      <c r="J889" s="4">
        <f>SUMIF(Cargas!$C$5:$C$3470,C889,Cargas!$O$5:$O$3470)</f>
        <v>0</v>
      </c>
      <c r="K889" s="18">
        <f t="shared" si="16"/>
        <v>5400</v>
      </c>
      <c r="L889" s="63" t="s">
        <v>8442</v>
      </c>
      <c r="M889" s="64">
        <v>101720</v>
      </c>
    </row>
    <row r="890" spans="2:13" ht="13.5" hidden="1" customHeight="1" x14ac:dyDescent="0.25">
      <c r="B890" s="58">
        <v>45090</v>
      </c>
      <c r="C890" s="59" t="s">
        <v>8443</v>
      </c>
      <c r="D890" s="61" t="s">
        <v>6880</v>
      </c>
      <c r="E890" s="61" t="s">
        <v>8424</v>
      </c>
      <c r="F890" s="61"/>
      <c r="G890" s="61" t="s">
        <v>6443</v>
      </c>
      <c r="H890" s="61" t="s">
        <v>6768</v>
      </c>
      <c r="I890" s="62">
        <v>3600</v>
      </c>
      <c r="J890" s="4">
        <f>SUMIF(Cargas!$C$5:$C$3470,C890,Cargas!$O$5:$O$3470)</f>
        <v>0</v>
      </c>
      <c r="K890" s="18">
        <f t="shared" si="16"/>
        <v>3600</v>
      </c>
      <c r="L890" s="63" t="s">
        <v>8444</v>
      </c>
      <c r="M890" s="64">
        <v>108414</v>
      </c>
    </row>
    <row r="891" spans="2:13" ht="13.5" hidden="1" customHeight="1" x14ac:dyDescent="0.25">
      <c r="B891" s="58">
        <v>45288</v>
      </c>
      <c r="C891" s="59" t="s">
        <v>8445</v>
      </c>
      <c r="D891" s="61" t="s">
        <v>6542</v>
      </c>
      <c r="E891" s="61" t="s">
        <v>7934</v>
      </c>
      <c r="F891" s="61"/>
      <c r="G891" s="61" t="s">
        <v>6443</v>
      </c>
      <c r="H891" s="61" t="s">
        <v>6444</v>
      </c>
      <c r="I891" s="62">
        <v>1104</v>
      </c>
      <c r="J891" s="4">
        <f>SUMIF(Cargas!$C$5:$C$3470,C891,Cargas!$O$5:$O$3470)</f>
        <v>0</v>
      </c>
      <c r="K891" s="18">
        <f t="shared" si="16"/>
        <v>1104</v>
      </c>
      <c r="L891" s="63" t="s">
        <v>8446</v>
      </c>
      <c r="M891" s="64">
        <v>18888</v>
      </c>
    </row>
    <row r="892" spans="2:13" ht="13.5" hidden="1" customHeight="1" x14ac:dyDescent="0.25">
      <c r="B892" s="58">
        <v>45320</v>
      </c>
      <c r="C892" s="59" t="s">
        <v>261</v>
      </c>
      <c r="D892" s="61" t="s">
        <v>6458</v>
      </c>
      <c r="E892" s="61" t="s">
        <v>7934</v>
      </c>
      <c r="F892" s="61"/>
      <c r="G892" s="61" t="s">
        <v>6443</v>
      </c>
      <c r="H892" s="61" t="s">
        <v>6444</v>
      </c>
      <c r="I892" s="62">
        <v>1104</v>
      </c>
      <c r="J892" s="4">
        <f>SUMIF(Cargas!$C$5:$C$3470,C892,Cargas!$O$5:$O$3470)</f>
        <v>1104</v>
      </c>
      <c r="K892" s="18">
        <f t="shared" si="16"/>
        <v>0</v>
      </c>
      <c r="L892" s="63"/>
      <c r="M892" s="64" t="s">
        <v>299</v>
      </c>
    </row>
    <row r="893" spans="2:13" ht="13.5" hidden="1" customHeight="1" x14ac:dyDescent="0.25">
      <c r="B893" s="58">
        <v>45322</v>
      </c>
      <c r="C893" s="59" t="s">
        <v>275</v>
      </c>
      <c r="D893" s="61" t="s">
        <v>6458</v>
      </c>
      <c r="E893" s="61" t="s">
        <v>7934</v>
      </c>
      <c r="F893" s="61"/>
      <c r="G893" s="61" t="s">
        <v>6443</v>
      </c>
      <c r="H893" s="61" t="s">
        <v>6444</v>
      </c>
      <c r="I893" s="62">
        <v>1104</v>
      </c>
      <c r="J893" s="4">
        <f>SUMIF(Cargas!$C$5:$C$3470,C893,Cargas!$O$5:$O$3470)</f>
        <v>1103</v>
      </c>
      <c r="K893" s="18">
        <f t="shared" si="16"/>
        <v>0</v>
      </c>
      <c r="L893" s="63"/>
      <c r="M893" s="64" t="s">
        <v>299</v>
      </c>
    </row>
    <row r="894" spans="2:13" ht="13.5" hidden="1" customHeight="1" x14ac:dyDescent="0.25">
      <c r="B894" s="58">
        <v>45324</v>
      </c>
      <c r="C894" s="59" t="s">
        <v>279</v>
      </c>
      <c r="D894" s="61" t="s">
        <v>6463</v>
      </c>
      <c r="E894" s="61" t="s">
        <v>7934</v>
      </c>
      <c r="F894" s="61"/>
      <c r="G894" s="61" t="s">
        <v>6443</v>
      </c>
      <c r="H894" s="61" t="s">
        <v>6444</v>
      </c>
      <c r="I894" s="62">
        <v>1104</v>
      </c>
      <c r="J894" s="4">
        <f>SUMIF(Cargas!$C$5:$C$3470,C894,Cargas!$O$5:$O$3470)</f>
        <v>1104</v>
      </c>
      <c r="K894" s="18">
        <f t="shared" ref="K894:K957" si="17">IF(ABS(I894-J894)&lt;20,0,I894-J894)</f>
        <v>0</v>
      </c>
      <c r="L894" s="63" t="s">
        <v>8447</v>
      </c>
      <c r="M894" s="64">
        <v>26858</v>
      </c>
    </row>
    <row r="895" spans="2:13" ht="13.5" hidden="1" customHeight="1" x14ac:dyDescent="0.25">
      <c r="B895" s="58">
        <v>45327</v>
      </c>
      <c r="C895" s="59" t="s">
        <v>335</v>
      </c>
      <c r="D895" s="61" t="s">
        <v>6468</v>
      </c>
      <c r="E895" s="61" t="s">
        <v>7934</v>
      </c>
      <c r="F895" s="61"/>
      <c r="G895" s="61" t="s">
        <v>6443</v>
      </c>
      <c r="H895" s="61" t="s">
        <v>6444</v>
      </c>
      <c r="I895" s="62">
        <v>1104</v>
      </c>
      <c r="J895" s="4">
        <f>SUMIF(Cargas!$C$5:$C$3470,C895,Cargas!$O$5:$O$3470)</f>
        <v>1104</v>
      </c>
      <c r="K895" s="18">
        <f t="shared" si="17"/>
        <v>0</v>
      </c>
      <c r="L895" s="63" t="s">
        <v>8448</v>
      </c>
      <c r="M895" s="64">
        <v>29139</v>
      </c>
    </row>
    <row r="896" spans="2:13" ht="13.5" hidden="1" customHeight="1" x14ac:dyDescent="0.25">
      <c r="B896" s="58">
        <v>45329</v>
      </c>
      <c r="C896" s="59" t="s">
        <v>339</v>
      </c>
      <c r="D896" s="61" t="s">
        <v>6468</v>
      </c>
      <c r="E896" s="61" t="s">
        <v>7934</v>
      </c>
      <c r="F896" s="61"/>
      <c r="G896" s="61" t="s">
        <v>6443</v>
      </c>
      <c r="H896" s="61" t="s">
        <v>6444</v>
      </c>
      <c r="I896" s="62">
        <v>1104</v>
      </c>
      <c r="J896" s="4">
        <f>SUMIF(Cargas!$C$5:$C$3470,C896,Cargas!$O$5:$O$3470)</f>
        <v>1104</v>
      </c>
      <c r="K896" s="18">
        <f t="shared" si="17"/>
        <v>0</v>
      </c>
      <c r="L896" s="63" t="s">
        <v>8448</v>
      </c>
      <c r="M896" s="64">
        <v>29139</v>
      </c>
    </row>
    <row r="897" spans="2:13" ht="13.5" hidden="1" customHeight="1" x14ac:dyDescent="0.25">
      <c r="B897" s="58">
        <v>45331</v>
      </c>
      <c r="C897" s="59" t="s">
        <v>330</v>
      </c>
      <c r="D897" s="61" t="s">
        <v>6468</v>
      </c>
      <c r="E897" s="61" t="s">
        <v>7934</v>
      </c>
      <c r="F897" s="61"/>
      <c r="G897" s="61" t="s">
        <v>6443</v>
      </c>
      <c r="H897" s="61" t="s">
        <v>6444</v>
      </c>
      <c r="I897" s="62">
        <v>1104</v>
      </c>
      <c r="J897" s="4">
        <f>SUMIF(Cargas!$C$5:$C$3470,C897,Cargas!$O$5:$O$3470)</f>
        <v>1104</v>
      </c>
      <c r="K897" s="18">
        <f t="shared" si="17"/>
        <v>0</v>
      </c>
      <c r="L897" s="63" t="s">
        <v>8448</v>
      </c>
      <c r="M897" s="64">
        <v>29139</v>
      </c>
    </row>
    <row r="898" spans="2:13" ht="13.5" hidden="1" customHeight="1" x14ac:dyDescent="0.25">
      <c r="B898" s="58">
        <v>45338</v>
      </c>
      <c r="C898" s="59" t="s">
        <v>426</v>
      </c>
      <c r="D898" s="61" t="s">
        <v>6473</v>
      </c>
      <c r="E898" s="61" t="s">
        <v>7934</v>
      </c>
      <c r="F898" s="61"/>
      <c r="G898" s="61" t="s">
        <v>6443</v>
      </c>
      <c r="H898" s="61" t="s">
        <v>6444</v>
      </c>
      <c r="I898" s="62">
        <v>1104</v>
      </c>
      <c r="J898" s="4">
        <f>SUMIF(Cargas!$C$5:$C$3470,C898,Cargas!$O$5:$O$3470)</f>
        <v>1104</v>
      </c>
      <c r="K898" s="18">
        <f t="shared" si="17"/>
        <v>0</v>
      </c>
      <c r="L898" s="63" t="s">
        <v>8449</v>
      </c>
      <c r="M898" s="64">
        <v>36114</v>
      </c>
    </row>
    <row r="899" spans="2:13" ht="13.5" hidden="1" customHeight="1" x14ac:dyDescent="0.25">
      <c r="B899" s="58">
        <v>45097</v>
      </c>
      <c r="C899" s="59" t="s">
        <v>8450</v>
      </c>
      <c r="D899" s="61" t="s">
        <v>6885</v>
      </c>
      <c r="E899" s="61" t="s">
        <v>8424</v>
      </c>
      <c r="F899" s="61"/>
      <c r="G899" s="61" t="s">
        <v>6443</v>
      </c>
      <c r="H899" s="61" t="s">
        <v>6768</v>
      </c>
      <c r="I899" s="62">
        <v>4500</v>
      </c>
      <c r="J899" s="4">
        <f>SUMIF(Cargas!$C$5:$C$3470,C899,Cargas!$O$5:$O$3470)</f>
        <v>0</v>
      </c>
      <c r="K899" s="18">
        <f t="shared" si="17"/>
        <v>4500</v>
      </c>
      <c r="L899" s="63" t="s">
        <v>8451</v>
      </c>
      <c r="M899" s="64">
        <v>113423</v>
      </c>
    </row>
    <row r="900" spans="2:13" ht="13.5" hidden="1" customHeight="1" x14ac:dyDescent="0.25">
      <c r="B900" s="58">
        <v>45110</v>
      </c>
      <c r="C900" s="59" t="s">
        <v>8452</v>
      </c>
      <c r="D900" s="61" t="s">
        <v>6891</v>
      </c>
      <c r="E900" s="61" t="s">
        <v>8424</v>
      </c>
      <c r="F900" s="61"/>
      <c r="G900" s="61" t="s">
        <v>6443</v>
      </c>
      <c r="H900" s="61" t="s">
        <v>6768</v>
      </c>
      <c r="I900" s="62">
        <v>5400</v>
      </c>
      <c r="J900" s="4">
        <f>SUMIF(Cargas!$C$5:$C$3470,C900,Cargas!$O$5:$O$3470)</f>
        <v>0</v>
      </c>
      <c r="K900" s="18">
        <f t="shared" si="17"/>
        <v>5400</v>
      </c>
      <c r="L900" s="63" t="s">
        <v>8453</v>
      </c>
      <c r="M900" s="64">
        <v>121794</v>
      </c>
    </row>
    <row r="901" spans="2:13" ht="13.5" hidden="1" customHeight="1" x14ac:dyDescent="0.25">
      <c r="B901" s="58">
        <v>45118</v>
      </c>
      <c r="C901" s="59" t="s">
        <v>8454</v>
      </c>
      <c r="D901" s="61" t="s">
        <v>6901</v>
      </c>
      <c r="E901" s="61" t="s">
        <v>8424</v>
      </c>
      <c r="F901" s="61"/>
      <c r="G901" s="61" t="s">
        <v>6443</v>
      </c>
      <c r="H901" s="61" t="s">
        <v>6768</v>
      </c>
      <c r="I901" s="62">
        <v>5400</v>
      </c>
      <c r="J901" s="4">
        <f>SUMIF(Cargas!$C$5:$C$3470,C901,Cargas!$O$5:$O$3470)</f>
        <v>0</v>
      </c>
      <c r="K901" s="18">
        <f t="shared" si="17"/>
        <v>5400</v>
      </c>
      <c r="L901" s="63" t="s">
        <v>8455</v>
      </c>
      <c r="M901" s="64">
        <v>128563</v>
      </c>
    </row>
    <row r="902" spans="2:13" ht="13.5" hidden="1" customHeight="1" x14ac:dyDescent="0.25">
      <c r="B902" s="58">
        <v>45026</v>
      </c>
      <c r="C902" s="59" t="s">
        <v>8456</v>
      </c>
      <c r="D902" s="61" t="s">
        <v>6837</v>
      </c>
      <c r="E902" s="61" t="s">
        <v>8457</v>
      </c>
      <c r="F902" s="61"/>
      <c r="G902" s="61" t="s">
        <v>6443</v>
      </c>
      <c r="H902" s="61" t="s">
        <v>6963</v>
      </c>
      <c r="I902" s="62">
        <v>4032</v>
      </c>
      <c r="J902" s="4">
        <f>SUMIF(Cargas!$C$5:$C$3470,C902,Cargas!$O$5:$O$3470)</f>
        <v>0</v>
      </c>
      <c r="K902" s="18">
        <f t="shared" si="17"/>
        <v>4032</v>
      </c>
      <c r="L902" s="63" t="s">
        <v>8458</v>
      </c>
      <c r="M902" s="64">
        <v>63306</v>
      </c>
    </row>
    <row r="903" spans="2:13" ht="13.5" hidden="1" customHeight="1" x14ac:dyDescent="0.25">
      <c r="B903" s="58">
        <v>45051</v>
      </c>
      <c r="C903" s="59" t="s">
        <v>8459</v>
      </c>
      <c r="D903" s="61" t="s">
        <v>6849</v>
      </c>
      <c r="E903" s="61" t="s">
        <v>8457</v>
      </c>
      <c r="F903" s="61"/>
      <c r="G903" s="61" t="s">
        <v>6443</v>
      </c>
      <c r="H903" s="61" t="s">
        <v>6963</v>
      </c>
      <c r="I903" s="62">
        <v>5040</v>
      </c>
      <c r="J903" s="4">
        <f>SUMIF(Cargas!$C$5:$C$3470,C903,Cargas!$O$5:$O$3470)</f>
        <v>0</v>
      </c>
      <c r="K903" s="18">
        <f t="shared" si="17"/>
        <v>5040</v>
      </c>
      <c r="L903" s="63" t="s">
        <v>8458</v>
      </c>
      <c r="M903" s="64">
        <v>82072</v>
      </c>
    </row>
    <row r="904" spans="2:13" ht="13.5" hidden="1" customHeight="1" x14ac:dyDescent="0.25">
      <c r="B904" s="58">
        <v>44985</v>
      </c>
      <c r="C904" s="59" t="s">
        <v>8460</v>
      </c>
      <c r="D904" s="61" t="s">
        <v>6798</v>
      </c>
      <c r="E904" s="61" t="s">
        <v>8457</v>
      </c>
      <c r="F904" s="61"/>
      <c r="G904" s="61" t="s">
        <v>6443</v>
      </c>
      <c r="H904" s="61" t="s">
        <v>6963</v>
      </c>
      <c r="I904" s="62">
        <f>1008*5</f>
        <v>5040</v>
      </c>
      <c r="J904" s="4">
        <f>SUMIF(Cargas!$C$5:$C$3470,C904,Cargas!$O$5:$O$3470)</f>
        <v>0</v>
      </c>
      <c r="K904" s="18">
        <f t="shared" si="17"/>
        <v>5040</v>
      </c>
      <c r="L904" s="63" t="s">
        <v>8461</v>
      </c>
      <c r="M904" s="64">
        <v>37923</v>
      </c>
    </row>
    <row r="905" spans="2:13" ht="13.5" hidden="1" customHeight="1" x14ac:dyDescent="0.25">
      <c r="B905" s="58">
        <v>45078</v>
      </c>
      <c r="C905" s="59" t="s">
        <v>8462</v>
      </c>
      <c r="D905" s="61" t="s">
        <v>6877</v>
      </c>
      <c r="E905" s="61" t="s">
        <v>8457</v>
      </c>
      <c r="F905" s="61"/>
      <c r="G905" s="61" t="s">
        <v>6443</v>
      </c>
      <c r="H905" s="61" t="s">
        <v>6963</v>
      </c>
      <c r="I905" s="62">
        <v>4032</v>
      </c>
      <c r="J905" s="4">
        <f>SUMIF(Cargas!$C$5:$C$3470,C905,Cargas!$O$5:$O$3470)</f>
        <v>0</v>
      </c>
      <c r="K905" s="18">
        <f t="shared" si="17"/>
        <v>4032</v>
      </c>
      <c r="L905" s="63" t="s">
        <v>8463</v>
      </c>
      <c r="M905" s="64">
        <v>101789</v>
      </c>
    </row>
    <row r="906" spans="2:13" ht="13.5" hidden="1" customHeight="1" x14ac:dyDescent="0.25">
      <c r="B906" s="58">
        <v>45118</v>
      </c>
      <c r="C906" s="59" t="s">
        <v>8464</v>
      </c>
      <c r="D906" s="61" t="s">
        <v>6907</v>
      </c>
      <c r="E906" s="61" t="s">
        <v>8457</v>
      </c>
      <c r="F906" s="61"/>
      <c r="G906" s="61" t="s">
        <v>6443</v>
      </c>
      <c r="H906" s="61" t="s">
        <v>6963</v>
      </c>
      <c r="I906" s="62">
        <v>4032</v>
      </c>
      <c r="J906" s="4">
        <f>SUMIF(Cargas!$C$5:$C$3470,C906,Cargas!$O$5:$O$3470)</f>
        <v>0</v>
      </c>
      <c r="K906" s="18">
        <f t="shared" si="17"/>
        <v>4032</v>
      </c>
      <c r="L906" s="63" t="s">
        <v>8465</v>
      </c>
      <c r="M906" s="64">
        <v>130582</v>
      </c>
    </row>
    <row r="907" spans="2:13" ht="13.5" hidden="1" customHeight="1" x14ac:dyDescent="0.25">
      <c r="B907" s="58">
        <v>45064</v>
      </c>
      <c r="C907" s="59" t="s">
        <v>8466</v>
      </c>
      <c r="D907" s="61" t="s">
        <v>6858</v>
      </c>
      <c r="E907" s="61" t="s">
        <v>8467</v>
      </c>
      <c r="F907" s="61"/>
      <c r="G907" s="61" t="s">
        <v>6443</v>
      </c>
      <c r="H907" s="61" t="s">
        <v>6768</v>
      </c>
      <c r="I907" s="62">
        <v>5400</v>
      </c>
      <c r="J907" s="4">
        <f>SUMIF(Cargas!$C$5:$C$3470,C907,Cargas!$O$5:$O$3470)</f>
        <v>0</v>
      </c>
      <c r="K907" s="18">
        <f t="shared" si="17"/>
        <v>5400</v>
      </c>
      <c r="L907" s="63" t="s">
        <v>8468</v>
      </c>
      <c r="M907" s="64">
        <v>92130</v>
      </c>
    </row>
    <row r="908" spans="2:13" ht="13.5" hidden="1" customHeight="1" x14ac:dyDescent="0.25">
      <c r="B908" s="58">
        <v>45133</v>
      </c>
      <c r="C908" s="59" t="s">
        <v>8469</v>
      </c>
      <c r="D908" s="61" t="s">
        <v>3694</v>
      </c>
      <c r="E908" s="61" t="s">
        <v>8467</v>
      </c>
      <c r="F908" s="61"/>
      <c r="G908" s="61" t="s">
        <v>6443</v>
      </c>
      <c r="H908" s="61" t="s">
        <v>6768</v>
      </c>
      <c r="I908" s="62">
        <v>4500</v>
      </c>
      <c r="J908" s="4">
        <f>SUMIF(Cargas!$C$5:$C$3470,C908,Cargas!$O$5:$O$3470)</f>
        <v>0</v>
      </c>
      <c r="K908" s="18">
        <f t="shared" si="17"/>
        <v>4500</v>
      </c>
      <c r="L908" s="63">
        <v>1466809</v>
      </c>
      <c r="M908" s="64">
        <v>138840</v>
      </c>
    </row>
    <row r="909" spans="2:13" ht="13.5" hidden="1" customHeight="1" x14ac:dyDescent="0.25">
      <c r="B909" s="58">
        <v>45281</v>
      </c>
      <c r="C909" s="59" t="s">
        <v>8470</v>
      </c>
      <c r="D909" s="61" t="s">
        <v>7545</v>
      </c>
      <c r="E909" s="61" t="s">
        <v>8471</v>
      </c>
      <c r="F909" s="61"/>
      <c r="G909" s="61" t="s">
        <v>6443</v>
      </c>
      <c r="H909" s="61" t="s">
        <v>8472</v>
      </c>
      <c r="I909" s="62">
        <v>1580</v>
      </c>
      <c r="J909" s="4">
        <f>SUMIF(Cargas!$C$5:$C$3470,C909,Cargas!$O$5:$O$3470)</f>
        <v>0</v>
      </c>
      <c r="K909" s="18">
        <f t="shared" si="17"/>
        <v>1580</v>
      </c>
      <c r="L909" s="63"/>
      <c r="M909" s="64">
        <v>915</v>
      </c>
    </row>
    <row r="910" spans="2:13" ht="13.5" hidden="1" customHeight="1" x14ac:dyDescent="0.25">
      <c r="B910" s="58">
        <v>45260</v>
      </c>
      <c r="C910" s="59" t="s">
        <v>8473</v>
      </c>
      <c r="D910" s="61" t="s">
        <v>7541</v>
      </c>
      <c r="E910" s="61" t="s">
        <v>8471</v>
      </c>
      <c r="F910" s="61"/>
      <c r="G910" s="61" t="s">
        <v>6443</v>
      </c>
      <c r="H910" s="61" t="s">
        <v>6444</v>
      </c>
      <c r="I910" s="62">
        <v>1594</v>
      </c>
      <c r="J910" s="4">
        <f>SUMIF(Cargas!$C$5:$C$3470,C910,Cargas!$O$5:$O$3470)</f>
        <v>0</v>
      </c>
      <c r="K910" s="18">
        <f t="shared" si="17"/>
        <v>1594</v>
      </c>
      <c r="L910" s="63"/>
      <c r="M910" s="64">
        <v>235748</v>
      </c>
    </row>
    <row r="911" spans="2:13" ht="13.5" hidden="1" customHeight="1" x14ac:dyDescent="0.25">
      <c r="B911" s="58">
        <v>45183</v>
      </c>
      <c r="C911" s="59" t="s">
        <v>8474</v>
      </c>
      <c r="D911" s="61" t="s">
        <v>7320</v>
      </c>
      <c r="E911" s="61" t="s">
        <v>8475</v>
      </c>
      <c r="F911" s="61"/>
      <c r="G911" s="61" t="s">
        <v>6443</v>
      </c>
      <c r="H911" s="61" t="s">
        <v>6444</v>
      </c>
      <c r="I911" s="62">
        <v>1842</v>
      </c>
      <c r="J911" s="4">
        <f>SUMIF(Cargas!$C$5:$C$3470,C911,Cargas!$O$5:$O$3470)</f>
        <v>0</v>
      </c>
      <c r="K911" s="18">
        <f t="shared" si="17"/>
        <v>1842</v>
      </c>
      <c r="L911" s="63"/>
      <c r="M911" s="64">
        <v>177636</v>
      </c>
    </row>
    <row r="912" spans="2:13" ht="13.5" hidden="1" customHeight="1" x14ac:dyDescent="0.25">
      <c r="B912" s="58">
        <v>45218</v>
      </c>
      <c r="C912" s="59" t="s">
        <v>8476</v>
      </c>
      <c r="D912" s="61" t="s">
        <v>7346</v>
      </c>
      <c r="E912" s="61" t="s">
        <v>8475</v>
      </c>
      <c r="F912" s="61"/>
      <c r="G912" s="61" t="s">
        <v>6443</v>
      </c>
      <c r="H912" s="61" t="s">
        <v>6444</v>
      </c>
      <c r="I912" s="62">
        <v>1630</v>
      </c>
      <c r="J912" s="4">
        <f>SUMIF(Cargas!$C$5:$C$3470,C912,Cargas!$O$5:$O$3470)</f>
        <v>0</v>
      </c>
      <c r="K912" s="18">
        <f t="shared" si="17"/>
        <v>1630</v>
      </c>
      <c r="L912" s="63"/>
      <c r="M912" s="64">
        <v>202332</v>
      </c>
    </row>
    <row r="913" spans="2:13" ht="13.5" hidden="1" customHeight="1" x14ac:dyDescent="0.25">
      <c r="B913" s="58">
        <v>45225</v>
      </c>
      <c r="C913" s="59" t="s">
        <v>8477</v>
      </c>
      <c r="D913" s="61" t="s">
        <v>2717</v>
      </c>
      <c r="E913" s="61" t="s">
        <v>8475</v>
      </c>
      <c r="F913" s="61"/>
      <c r="G913" s="61" t="s">
        <v>6443</v>
      </c>
      <c r="H913" s="61" t="s">
        <v>6444</v>
      </c>
      <c r="I913" s="62">
        <v>1506</v>
      </c>
      <c r="J913" s="4">
        <f>SUMIF(Cargas!$C$5:$C$3470,C913,Cargas!$O$5:$O$3470)</f>
        <v>0</v>
      </c>
      <c r="K913" s="18">
        <f t="shared" si="17"/>
        <v>1506</v>
      </c>
      <c r="L913" s="63"/>
      <c r="M913" s="64">
        <v>206441</v>
      </c>
    </row>
    <row r="914" spans="2:13" ht="13.5" hidden="1" customHeight="1" x14ac:dyDescent="0.25">
      <c r="B914" s="58">
        <v>44929</v>
      </c>
      <c r="C914" s="59" t="s">
        <v>8478</v>
      </c>
      <c r="D914" s="61" t="s">
        <v>7573</v>
      </c>
      <c r="E914" s="61" t="s">
        <v>8479</v>
      </c>
      <c r="F914" s="61"/>
      <c r="G914" s="61" t="s">
        <v>7569</v>
      </c>
      <c r="H914" s="61" t="s">
        <v>7570</v>
      </c>
      <c r="I914" s="62">
        <v>984</v>
      </c>
      <c r="J914" s="4">
        <f>SUMIF(Cargas!$C$5:$C$3471,C914,Cargas!$O$5:$O$3471)</f>
        <v>0</v>
      </c>
      <c r="K914" s="18">
        <f t="shared" si="17"/>
        <v>984</v>
      </c>
      <c r="L914" s="63" t="s">
        <v>8061</v>
      </c>
      <c r="M914" s="64">
        <v>2164</v>
      </c>
    </row>
    <row r="915" spans="2:13" ht="13.5" hidden="1" customHeight="1" x14ac:dyDescent="0.25">
      <c r="B915" s="58">
        <v>44929</v>
      </c>
      <c r="C915" s="59" t="s">
        <v>8480</v>
      </c>
      <c r="D915" s="61" t="s">
        <v>7576</v>
      </c>
      <c r="E915" s="61" t="s">
        <v>8479</v>
      </c>
      <c r="F915" s="61"/>
      <c r="G915" s="61" t="s">
        <v>7569</v>
      </c>
      <c r="H915" s="61" t="s">
        <v>7570</v>
      </c>
      <c r="I915" s="62">
        <v>984</v>
      </c>
      <c r="J915" s="4">
        <f>SUMIF(Cargas!$C$5:$C$3471,C915,Cargas!$O$5:$O$3471)</f>
        <v>0</v>
      </c>
      <c r="K915" s="18">
        <f t="shared" si="17"/>
        <v>984</v>
      </c>
      <c r="L915" s="63" t="s">
        <v>8061</v>
      </c>
      <c r="M915" s="64">
        <v>2164</v>
      </c>
    </row>
    <row r="916" spans="2:13" ht="13.5" hidden="1" customHeight="1" x14ac:dyDescent="0.25">
      <c r="B916" s="58">
        <v>44956</v>
      </c>
      <c r="C916" s="59" t="s">
        <v>8481</v>
      </c>
      <c r="D916" s="61" t="s">
        <v>7582</v>
      </c>
      <c r="E916" s="61" t="s">
        <v>8479</v>
      </c>
      <c r="F916" s="61"/>
      <c r="G916" s="61" t="s">
        <v>7569</v>
      </c>
      <c r="H916" s="61" t="s">
        <v>7570</v>
      </c>
      <c r="I916" s="62">
        <v>984</v>
      </c>
      <c r="J916" s="4">
        <v>990</v>
      </c>
      <c r="K916" s="18">
        <f t="shared" si="17"/>
        <v>0</v>
      </c>
      <c r="L916" s="63"/>
      <c r="M916" s="64">
        <v>20097</v>
      </c>
    </row>
    <row r="917" spans="2:13" ht="13.5" hidden="1" customHeight="1" x14ac:dyDescent="0.25">
      <c r="B917" s="58">
        <v>44970</v>
      </c>
      <c r="C917" s="59" t="s">
        <v>8482</v>
      </c>
      <c r="D917" s="61" t="s">
        <v>7591</v>
      </c>
      <c r="E917" s="61" t="s">
        <v>8479</v>
      </c>
      <c r="F917" s="61"/>
      <c r="G917" s="61" t="s">
        <v>7569</v>
      </c>
      <c r="H917" s="61" t="s">
        <v>7570</v>
      </c>
      <c r="I917" s="62">
        <v>990</v>
      </c>
      <c r="J917" s="4">
        <v>990</v>
      </c>
      <c r="K917" s="18">
        <f t="shared" si="17"/>
        <v>0</v>
      </c>
      <c r="L917" s="63" t="s">
        <v>8483</v>
      </c>
      <c r="M917" s="64">
        <v>29348</v>
      </c>
    </row>
    <row r="918" spans="2:13" ht="13.5" hidden="1" customHeight="1" x14ac:dyDescent="0.25">
      <c r="B918" s="58">
        <v>44998</v>
      </c>
      <c r="C918" s="59" t="s">
        <v>8484</v>
      </c>
      <c r="D918" s="61" t="s">
        <v>7602</v>
      </c>
      <c r="E918" s="61" t="s">
        <v>8479</v>
      </c>
      <c r="F918" s="61"/>
      <c r="G918" s="61" t="s">
        <v>7569</v>
      </c>
      <c r="H918" s="61" t="s">
        <v>7570</v>
      </c>
      <c r="I918" s="62">
        <v>1988</v>
      </c>
      <c r="J918" s="4">
        <f>SUMIF(Cargas!$C$5:$C$3470,C918,Cargas!$O$5:$O$3470)</f>
        <v>0</v>
      </c>
      <c r="K918" s="18">
        <f t="shared" si="17"/>
        <v>1988</v>
      </c>
      <c r="L918" s="63" t="s">
        <v>8485</v>
      </c>
      <c r="M918" s="64">
        <v>47933</v>
      </c>
    </row>
    <row r="919" spans="2:13" ht="13.5" hidden="1" customHeight="1" x14ac:dyDescent="0.25">
      <c r="B919" s="58">
        <v>45005</v>
      </c>
      <c r="C919" s="59" t="s">
        <v>8486</v>
      </c>
      <c r="D919" s="61" t="s">
        <v>7608</v>
      </c>
      <c r="E919" s="61" t="s">
        <v>8479</v>
      </c>
      <c r="F919" s="61"/>
      <c r="G919" s="61" t="s">
        <v>7569</v>
      </c>
      <c r="H919" s="61" t="s">
        <v>7570</v>
      </c>
      <c r="I919" s="62">
        <v>1988</v>
      </c>
      <c r="J919" s="4">
        <f>SUMIF(Cargas!$C$5:$C$3470,C919,Cargas!$O$5:$O$3470)</f>
        <v>0</v>
      </c>
      <c r="K919" s="18">
        <f t="shared" si="17"/>
        <v>1988</v>
      </c>
      <c r="L919" s="63" t="s">
        <v>8487</v>
      </c>
      <c r="M919" s="64">
        <v>52287</v>
      </c>
    </row>
    <row r="920" spans="2:13" ht="13.5" hidden="1" customHeight="1" x14ac:dyDescent="0.25">
      <c r="B920" s="58">
        <v>45012</v>
      </c>
      <c r="C920" s="59" t="s">
        <v>8488</v>
      </c>
      <c r="D920" s="61" t="s">
        <v>7611</v>
      </c>
      <c r="E920" s="61" t="s">
        <v>8479</v>
      </c>
      <c r="F920" s="61"/>
      <c r="G920" s="61" t="s">
        <v>7569</v>
      </c>
      <c r="H920" s="61" t="s">
        <v>7570</v>
      </c>
      <c r="I920" s="62">
        <v>1988</v>
      </c>
      <c r="J920" s="4">
        <f>SUMIF(Cargas!$C$5:$C$3470,C920,Cargas!$O$5:$O$3470)</f>
        <v>0</v>
      </c>
      <c r="K920" s="18">
        <f t="shared" si="17"/>
        <v>1988</v>
      </c>
      <c r="L920" s="63" t="s">
        <v>8489</v>
      </c>
      <c r="M920" s="64">
        <v>57689</v>
      </c>
    </row>
    <row r="921" spans="2:13" ht="13.5" hidden="1" customHeight="1" x14ac:dyDescent="0.25">
      <c r="B921" s="58">
        <v>45013</v>
      </c>
      <c r="C921" s="59" t="s">
        <v>8490</v>
      </c>
      <c r="D921" s="61" t="s">
        <v>7617</v>
      </c>
      <c r="E921" s="61" t="s">
        <v>8479</v>
      </c>
      <c r="F921" s="61"/>
      <c r="G921" s="61" t="s">
        <v>7569</v>
      </c>
      <c r="H921" s="61" t="s">
        <v>7570</v>
      </c>
      <c r="I921" s="62">
        <v>994</v>
      </c>
      <c r="J921" s="4">
        <f>SUMIF(Cargas!$C$5:$C$3470,C921,Cargas!$O$5:$O$3470)</f>
        <v>0</v>
      </c>
      <c r="K921" s="18">
        <f t="shared" si="17"/>
        <v>994</v>
      </c>
      <c r="L921" s="63" t="s">
        <v>8491</v>
      </c>
      <c r="M921" s="64">
        <v>58605</v>
      </c>
    </row>
    <row r="922" spans="2:13" ht="13.5" hidden="1" customHeight="1" x14ac:dyDescent="0.25">
      <c r="B922" s="58">
        <v>45033</v>
      </c>
      <c r="C922" s="59" t="s">
        <v>8492</v>
      </c>
      <c r="D922" s="61" t="s">
        <v>7623</v>
      </c>
      <c r="E922" s="61" t="s">
        <v>8479</v>
      </c>
      <c r="F922" s="61"/>
      <c r="G922" s="61" t="s">
        <v>7569</v>
      </c>
      <c r="H922" s="61" t="s">
        <v>7570</v>
      </c>
      <c r="I922" s="62">
        <v>994</v>
      </c>
      <c r="J922" s="4">
        <f>SUMIF(Cargas!$C$5:$C$3470,C922,Cargas!$O$5:$O$3470)</f>
        <v>0</v>
      </c>
      <c r="K922" s="18">
        <f t="shared" si="17"/>
        <v>994</v>
      </c>
      <c r="L922" s="63" t="s">
        <v>8493</v>
      </c>
      <c r="M922" s="64">
        <v>69067</v>
      </c>
    </row>
    <row r="923" spans="2:13" ht="13.5" hidden="1" customHeight="1" x14ac:dyDescent="0.25">
      <c r="B923" s="58">
        <v>45033</v>
      </c>
      <c r="C923" s="59" t="s">
        <v>8494</v>
      </c>
      <c r="D923" s="61" t="s">
        <v>7626</v>
      </c>
      <c r="E923" s="61" t="s">
        <v>8479</v>
      </c>
      <c r="F923" s="61"/>
      <c r="G923" s="61" t="s">
        <v>7569</v>
      </c>
      <c r="H923" s="61" t="s">
        <v>7570</v>
      </c>
      <c r="I923" s="62">
        <v>994</v>
      </c>
      <c r="J923" s="4">
        <f>SUMIF(Cargas!$C$5:$C$3470,C923,Cargas!$O$5:$O$3470)</f>
        <v>0</v>
      </c>
      <c r="K923" s="18">
        <f t="shared" si="17"/>
        <v>994</v>
      </c>
      <c r="L923" s="63" t="s">
        <v>8495</v>
      </c>
      <c r="M923" s="64">
        <v>69043</v>
      </c>
    </row>
    <row r="924" spans="2:13" ht="13.5" hidden="1" customHeight="1" x14ac:dyDescent="0.25">
      <c r="B924" s="58">
        <v>45041</v>
      </c>
      <c r="C924" s="59" t="s">
        <v>8496</v>
      </c>
      <c r="D924" s="61" t="s">
        <v>7629</v>
      </c>
      <c r="E924" s="61" t="s">
        <v>8479</v>
      </c>
      <c r="F924" s="61"/>
      <c r="G924" s="61" t="s">
        <v>7569</v>
      </c>
      <c r="H924" s="61" t="s">
        <v>7570</v>
      </c>
      <c r="I924" s="62">
        <v>996</v>
      </c>
      <c r="J924" s="4">
        <f>SUMIF(Cargas!$C$5:$C$3470,C924,Cargas!$O$5:$O$3470)</f>
        <v>0</v>
      </c>
      <c r="K924" s="18">
        <f t="shared" si="17"/>
        <v>996</v>
      </c>
      <c r="L924" s="63" t="s">
        <v>8497</v>
      </c>
      <c r="M924" s="64">
        <v>75519</v>
      </c>
    </row>
    <row r="925" spans="2:13" ht="13.5" hidden="1" customHeight="1" x14ac:dyDescent="0.25">
      <c r="B925" s="58">
        <v>45048</v>
      </c>
      <c r="C925" s="59" t="s">
        <v>8498</v>
      </c>
      <c r="D925" s="61" t="s">
        <v>7635</v>
      </c>
      <c r="E925" s="61" t="s">
        <v>8479</v>
      </c>
      <c r="F925" s="61"/>
      <c r="G925" s="61" t="s">
        <v>7569</v>
      </c>
      <c r="H925" s="61" t="s">
        <v>7570</v>
      </c>
      <c r="I925" s="62">
        <v>996</v>
      </c>
      <c r="J925" s="4">
        <f>SUMIF(Cargas!$C$5:$C$3470,C925,Cargas!$O$5:$O$3470)</f>
        <v>0</v>
      </c>
      <c r="K925" s="18">
        <f t="shared" si="17"/>
        <v>996</v>
      </c>
      <c r="L925" s="63" t="s">
        <v>8082</v>
      </c>
      <c r="M925" s="64">
        <v>80741</v>
      </c>
    </row>
    <row r="926" spans="2:13" ht="13.5" hidden="1" customHeight="1" x14ac:dyDescent="0.25">
      <c r="B926" s="58">
        <v>45338</v>
      </c>
      <c r="C926" s="59" t="s">
        <v>422</v>
      </c>
      <c r="D926" s="61" t="s">
        <v>6473</v>
      </c>
      <c r="E926" s="61" t="s">
        <v>7934</v>
      </c>
      <c r="F926" s="61"/>
      <c r="G926" s="61" t="s">
        <v>6443</v>
      </c>
      <c r="H926" s="61" t="s">
        <v>6444</v>
      </c>
      <c r="I926" s="62">
        <v>1104</v>
      </c>
      <c r="J926" s="4">
        <f>SUMIF(Cargas!$C$5:$C$3470,C926,Cargas!$O$5:$O$3470)</f>
        <v>1104</v>
      </c>
      <c r="K926" s="18">
        <f t="shared" si="17"/>
        <v>0</v>
      </c>
      <c r="L926" s="63" t="s">
        <v>8449</v>
      </c>
      <c r="M926" s="64">
        <v>36114</v>
      </c>
    </row>
    <row r="927" spans="2:13" ht="13.5" hidden="1" customHeight="1" x14ac:dyDescent="0.25">
      <c r="B927" s="58">
        <v>45338</v>
      </c>
      <c r="C927" s="59" t="s">
        <v>415</v>
      </c>
      <c r="D927" s="61" t="s">
        <v>6473</v>
      </c>
      <c r="E927" s="61" t="s">
        <v>7934</v>
      </c>
      <c r="F927" s="61"/>
      <c r="G927" s="61" t="s">
        <v>6443</v>
      </c>
      <c r="H927" s="61" t="s">
        <v>6444</v>
      </c>
      <c r="I927" s="62">
        <v>1104</v>
      </c>
      <c r="J927" s="4">
        <f>SUMIF(Cargas!$C$5:$C$3470,C927,Cargas!$O$5:$O$3470)</f>
        <v>1104</v>
      </c>
      <c r="K927" s="18">
        <f t="shared" si="17"/>
        <v>0</v>
      </c>
      <c r="L927" s="63" t="s">
        <v>8449</v>
      </c>
      <c r="M927" s="64">
        <v>36114</v>
      </c>
    </row>
    <row r="928" spans="2:13" ht="13.5" hidden="1" customHeight="1" x14ac:dyDescent="0.25">
      <c r="B928" s="58">
        <v>45344</v>
      </c>
      <c r="C928" s="59" t="s">
        <v>465</v>
      </c>
      <c r="D928" s="61" t="s">
        <v>6477</v>
      </c>
      <c r="E928" s="61" t="s">
        <v>7934</v>
      </c>
      <c r="F928" s="61"/>
      <c r="G928" s="61" t="s">
        <v>6443</v>
      </c>
      <c r="H928" s="61" t="s">
        <v>6444</v>
      </c>
      <c r="I928" s="62">
        <v>1104</v>
      </c>
      <c r="J928" s="4">
        <f>SUMIF(Cargas!$C$5:$C$3470,C928,Cargas!$O$5:$O$3470)</f>
        <v>1104</v>
      </c>
      <c r="K928" s="18">
        <f t="shared" si="17"/>
        <v>0</v>
      </c>
      <c r="L928" s="63" t="s">
        <v>8499</v>
      </c>
      <c r="M928" s="64">
        <v>40483</v>
      </c>
    </row>
    <row r="929" spans="2:13" ht="13.5" hidden="1" customHeight="1" x14ac:dyDescent="0.25">
      <c r="B929" s="58">
        <v>45345</v>
      </c>
      <c r="C929" s="59" t="s">
        <v>473</v>
      </c>
      <c r="D929" s="61" t="s">
        <v>6477</v>
      </c>
      <c r="E929" s="61" t="s">
        <v>7934</v>
      </c>
      <c r="F929" s="61"/>
      <c r="G929" s="61" t="s">
        <v>6443</v>
      </c>
      <c r="H929" s="61" t="s">
        <v>6444</v>
      </c>
      <c r="I929" s="62">
        <v>1104</v>
      </c>
      <c r="J929" s="4">
        <f>SUMIF(Cargas!$C$5:$C$3470,C929,Cargas!$O$5:$O$3470)</f>
        <v>1104</v>
      </c>
      <c r="K929" s="18">
        <f t="shared" si="17"/>
        <v>0</v>
      </c>
      <c r="L929" s="63" t="s">
        <v>8499</v>
      </c>
      <c r="M929" s="64">
        <v>40483</v>
      </c>
    </row>
    <row r="930" spans="2:13" ht="13.5" hidden="1" customHeight="1" x14ac:dyDescent="0.25">
      <c r="B930" s="58">
        <v>45345</v>
      </c>
      <c r="C930" s="59" t="s">
        <v>469</v>
      </c>
      <c r="D930" s="61" t="s">
        <v>6477</v>
      </c>
      <c r="E930" s="61" t="s">
        <v>7934</v>
      </c>
      <c r="F930" s="61"/>
      <c r="G930" s="61" t="s">
        <v>6443</v>
      </c>
      <c r="H930" s="61" t="s">
        <v>6444</v>
      </c>
      <c r="I930" s="62">
        <v>1104</v>
      </c>
      <c r="J930" s="4">
        <f>SUMIF(Cargas!$C$5:$C$3470,C930,Cargas!$O$5:$O$3470)</f>
        <v>1104</v>
      </c>
      <c r="K930" s="18">
        <f t="shared" si="17"/>
        <v>0</v>
      </c>
      <c r="L930" s="63" t="s">
        <v>8499</v>
      </c>
      <c r="M930" s="64">
        <v>40483</v>
      </c>
    </row>
    <row r="931" spans="2:13" ht="13.5" hidden="1" customHeight="1" x14ac:dyDescent="0.25">
      <c r="B931" s="58">
        <v>45359</v>
      </c>
      <c r="C931" s="59" t="s">
        <v>581</v>
      </c>
      <c r="D931" s="61" t="s">
        <v>6480</v>
      </c>
      <c r="E931" s="61" t="s">
        <v>7934</v>
      </c>
      <c r="F931" s="61"/>
      <c r="G931" s="61" t="s">
        <v>6443</v>
      </c>
      <c r="H931" s="61" t="s">
        <v>6444</v>
      </c>
      <c r="I931" s="62">
        <v>1104</v>
      </c>
      <c r="J931" s="4">
        <f>SUMIF(Cargas!$C$5:$C$3470,C931,Cargas!$O$5:$O$3470)</f>
        <v>1104</v>
      </c>
      <c r="K931" s="18">
        <f t="shared" si="17"/>
        <v>0</v>
      </c>
      <c r="L931" s="63" t="s">
        <v>8500</v>
      </c>
      <c r="M931" s="64">
        <v>51221</v>
      </c>
    </row>
    <row r="932" spans="2:13" ht="13.5" hidden="1" customHeight="1" x14ac:dyDescent="0.25">
      <c r="B932" s="58">
        <v>45366</v>
      </c>
      <c r="C932" s="59" t="s">
        <v>659</v>
      </c>
      <c r="D932" s="61" t="s">
        <v>6483</v>
      </c>
      <c r="E932" s="61" t="s">
        <v>7934</v>
      </c>
      <c r="F932" s="61"/>
      <c r="G932" s="61" t="s">
        <v>6443</v>
      </c>
      <c r="H932" s="61" t="s">
        <v>6444</v>
      </c>
      <c r="I932" s="62">
        <v>1104</v>
      </c>
      <c r="J932" s="4">
        <f>SUMIF(Cargas!$C$5:$C$3470,C932,Cargas!$O$5:$O$3470)</f>
        <v>1104</v>
      </c>
      <c r="K932" s="18">
        <f t="shared" si="17"/>
        <v>0</v>
      </c>
      <c r="L932" s="63"/>
      <c r="M932" s="64">
        <v>56749</v>
      </c>
    </row>
    <row r="933" spans="2:13" ht="13.5" hidden="1" customHeight="1" x14ac:dyDescent="0.25">
      <c r="B933" s="58">
        <v>45300</v>
      </c>
      <c r="C933" s="59" t="s">
        <v>30</v>
      </c>
      <c r="D933" s="61" t="s">
        <v>6763</v>
      </c>
      <c r="E933" s="61" t="s">
        <v>6764</v>
      </c>
      <c r="F933" s="61"/>
      <c r="G933" s="61" t="s">
        <v>6443</v>
      </c>
      <c r="H933" s="61" t="s">
        <v>6768</v>
      </c>
      <c r="I933" s="62">
        <v>5508</v>
      </c>
      <c r="J933" s="4">
        <f>SUMIF(Cargas!$C$5:$C$3470,C933,Cargas!$O$5:$O$3470)</f>
        <v>5508</v>
      </c>
      <c r="K933" s="18">
        <f t="shared" si="17"/>
        <v>0</v>
      </c>
      <c r="L933" s="63" t="s">
        <v>8501</v>
      </c>
      <c r="M933" s="64">
        <v>5637</v>
      </c>
    </row>
    <row r="934" spans="2:13" ht="13.5" hidden="1" customHeight="1" x14ac:dyDescent="0.25">
      <c r="B934" s="58">
        <v>45306</v>
      </c>
      <c r="C934" s="59" t="s">
        <v>77</v>
      </c>
      <c r="D934" s="61" t="s">
        <v>6767</v>
      </c>
      <c r="E934" s="61" t="s">
        <v>6764</v>
      </c>
      <c r="F934" s="61"/>
      <c r="G934" s="61" t="s">
        <v>6443</v>
      </c>
      <c r="H934" s="61" t="s">
        <v>6768</v>
      </c>
      <c r="I934" s="62">
        <v>3600</v>
      </c>
      <c r="J934" s="4">
        <f>SUMIF(Cargas!$C$5:$C$3470,C934,Cargas!$O$5:$O$3470)</f>
        <v>3600</v>
      </c>
      <c r="K934" s="18">
        <f t="shared" si="17"/>
        <v>0</v>
      </c>
      <c r="L934" s="63" t="s">
        <v>8502</v>
      </c>
      <c r="M934" s="64">
        <v>10265</v>
      </c>
    </row>
    <row r="935" spans="2:13" ht="13.5" hidden="1" customHeight="1" x14ac:dyDescent="0.25">
      <c r="B935" s="58">
        <v>45313</v>
      </c>
      <c r="C935" s="59" t="s">
        <v>145</v>
      </c>
      <c r="D935" s="61" t="s">
        <v>6772</v>
      </c>
      <c r="E935" s="61" t="s">
        <v>6764</v>
      </c>
      <c r="F935" s="61"/>
      <c r="G935" s="61" t="s">
        <v>6443</v>
      </c>
      <c r="H935" s="61" t="s">
        <v>6768</v>
      </c>
      <c r="I935" s="62">
        <v>3672</v>
      </c>
      <c r="J935" s="4">
        <f>SUMIF(Cargas!$C$5:$C$3470,C935,Cargas!$O$5:$O$3470)</f>
        <v>3672</v>
      </c>
      <c r="K935" s="18">
        <f t="shared" si="17"/>
        <v>0</v>
      </c>
      <c r="L935" s="63" t="s">
        <v>8503</v>
      </c>
      <c r="M935" s="64">
        <v>14868</v>
      </c>
    </row>
    <row r="936" spans="2:13" ht="13.5" hidden="1" customHeight="1" x14ac:dyDescent="0.25">
      <c r="B936" s="58">
        <v>45314</v>
      </c>
      <c r="C936" s="59" t="s">
        <v>173</v>
      </c>
      <c r="D936" s="61" t="s">
        <v>6777</v>
      </c>
      <c r="E936" s="61" t="s">
        <v>6764</v>
      </c>
      <c r="F936" s="61"/>
      <c r="G936" s="61" t="s">
        <v>6443</v>
      </c>
      <c r="H936" s="61" t="s">
        <v>6444</v>
      </c>
      <c r="I936" s="62">
        <v>3672</v>
      </c>
      <c r="J936" s="4">
        <f>SUMIF(Cargas!$C$5:$C$3470,C936,Cargas!$O$5:$O$3470)</f>
        <v>3672</v>
      </c>
      <c r="K936" s="18">
        <f t="shared" si="17"/>
        <v>0</v>
      </c>
      <c r="L936" s="63" t="s">
        <v>8504</v>
      </c>
      <c r="M936" s="64" t="s">
        <v>299</v>
      </c>
    </row>
    <row r="937" spans="2:13" ht="13.5" hidden="1" customHeight="1" x14ac:dyDescent="0.25">
      <c r="B937" s="58">
        <v>45320</v>
      </c>
      <c r="C937" s="59" t="s">
        <v>227</v>
      </c>
      <c r="D937" s="61" t="s">
        <v>6781</v>
      </c>
      <c r="E937" s="61" t="s">
        <v>6764</v>
      </c>
      <c r="F937" s="61"/>
      <c r="G937" s="61" t="s">
        <v>6443</v>
      </c>
      <c r="H937" s="61" t="s">
        <v>6768</v>
      </c>
      <c r="I937" s="62">
        <v>3600</v>
      </c>
      <c r="J937" s="4">
        <f>SUMIF(Cargas!$C$5:$C$3470,C937,Cargas!$O$5:$O$3470)</f>
        <v>3600</v>
      </c>
      <c r="K937" s="18">
        <f t="shared" si="17"/>
        <v>0</v>
      </c>
      <c r="L937" s="63" t="s">
        <v>8505</v>
      </c>
      <c r="M937" s="64" t="s">
        <v>299</v>
      </c>
    </row>
    <row r="938" spans="2:13" ht="13.5" hidden="1" customHeight="1" x14ac:dyDescent="0.25">
      <c r="B938" s="58">
        <v>45323</v>
      </c>
      <c r="C938" s="59" t="s">
        <v>248</v>
      </c>
      <c r="D938" s="61" t="s">
        <v>6786</v>
      </c>
      <c r="E938" s="61" t="s">
        <v>6764</v>
      </c>
      <c r="F938" s="61"/>
      <c r="G938" s="61" t="s">
        <v>6443</v>
      </c>
      <c r="H938" s="61" t="s">
        <v>6444</v>
      </c>
      <c r="I938" s="62">
        <v>3672</v>
      </c>
      <c r="J938" s="4">
        <f>SUMIF(Cargas!$C$5:$C$3470,C938,Cargas!$O$5:$O$3470)</f>
        <v>3672</v>
      </c>
      <c r="K938" s="18">
        <f t="shared" si="17"/>
        <v>0</v>
      </c>
      <c r="L938" s="63" t="s">
        <v>8506</v>
      </c>
      <c r="M938" s="64" t="s">
        <v>299</v>
      </c>
    </row>
    <row r="939" spans="2:13" ht="13.5" hidden="1" customHeight="1" x14ac:dyDescent="0.25">
      <c r="B939" s="58">
        <v>45051</v>
      </c>
      <c r="C939" s="59" t="s">
        <v>8507</v>
      </c>
      <c r="D939" s="61" t="s">
        <v>7640</v>
      </c>
      <c r="E939" s="61" t="s">
        <v>8479</v>
      </c>
      <c r="F939" s="61"/>
      <c r="G939" s="61" t="s">
        <v>7569</v>
      </c>
      <c r="H939" s="61" t="s">
        <v>7570</v>
      </c>
      <c r="I939" s="62">
        <v>996</v>
      </c>
      <c r="J939" s="4">
        <f>SUMIF(Cargas!$C$5:$C$3470,C939,Cargas!$O$5:$O$3470)</f>
        <v>0</v>
      </c>
      <c r="K939" s="18">
        <f t="shared" si="17"/>
        <v>996</v>
      </c>
      <c r="L939" s="63" t="s">
        <v>8084</v>
      </c>
      <c r="M939" s="64">
        <v>84700</v>
      </c>
    </row>
    <row r="940" spans="2:13" ht="13.5" hidden="1" customHeight="1" x14ac:dyDescent="0.25">
      <c r="B940" s="58">
        <v>45059</v>
      </c>
      <c r="C940" s="59" t="s">
        <v>8508</v>
      </c>
      <c r="D940" s="61" t="s">
        <v>7646</v>
      </c>
      <c r="E940" s="61" t="s">
        <v>8479</v>
      </c>
      <c r="F940" s="61"/>
      <c r="G940" s="61" t="s">
        <v>7569</v>
      </c>
      <c r="H940" s="61" t="s">
        <v>7570</v>
      </c>
      <c r="I940" s="62">
        <v>994</v>
      </c>
      <c r="J940" s="4">
        <f>SUMIF(Cargas!$C$5:$C$3470,C940,Cargas!$O$5:$O$3470)</f>
        <v>0</v>
      </c>
      <c r="K940" s="18">
        <f t="shared" si="17"/>
        <v>994</v>
      </c>
      <c r="L940" s="63" t="s">
        <v>8509</v>
      </c>
      <c r="M940" s="64">
        <v>90050</v>
      </c>
    </row>
    <row r="941" spans="2:13" ht="13.5" hidden="1" customHeight="1" x14ac:dyDescent="0.25">
      <c r="B941" s="58">
        <v>45236</v>
      </c>
      <c r="C941" s="59" t="s">
        <v>8510</v>
      </c>
      <c r="D941" s="61" t="s">
        <v>8511</v>
      </c>
      <c r="E941" s="61" t="s">
        <v>8479</v>
      </c>
      <c r="F941" s="61"/>
      <c r="G941" s="61" t="s">
        <v>7569</v>
      </c>
      <c r="H941" s="61"/>
      <c r="I941" s="62">
        <v>2916</v>
      </c>
      <c r="J941" s="4">
        <f>SUMIF(Cargas!$C$5:$C$3470,C941,Cargas!$O$5:$O$3470)</f>
        <v>0</v>
      </c>
      <c r="K941" s="18">
        <f t="shared" si="17"/>
        <v>2916</v>
      </c>
      <c r="L941" s="63"/>
      <c r="M941" s="64" t="s">
        <v>299</v>
      </c>
    </row>
    <row r="942" spans="2:13" ht="13.5" hidden="1" customHeight="1" x14ac:dyDescent="0.25">
      <c r="B942" s="58">
        <v>45244</v>
      </c>
      <c r="C942" s="59" t="s">
        <v>8512</v>
      </c>
      <c r="D942" s="61" t="s">
        <v>8513</v>
      </c>
      <c r="E942" s="61" t="s">
        <v>8479</v>
      </c>
      <c r="F942" s="61"/>
      <c r="G942" s="61" t="s">
        <v>7569</v>
      </c>
      <c r="H942" s="61"/>
      <c r="I942" s="62">
        <v>1944</v>
      </c>
      <c r="J942" s="4">
        <f>SUMIF(Cargas!$C$5:$C$3470,C942,Cargas!$O$5:$O$3470)</f>
        <v>0</v>
      </c>
      <c r="K942" s="18">
        <f t="shared" si="17"/>
        <v>1944</v>
      </c>
      <c r="L942" s="63" t="s">
        <v>8514</v>
      </c>
      <c r="M942" s="64">
        <v>219877</v>
      </c>
    </row>
    <row r="943" spans="2:13" ht="13.5" hidden="1" customHeight="1" x14ac:dyDescent="0.25">
      <c r="B943" s="58">
        <v>45247</v>
      </c>
      <c r="C943" s="59" t="s">
        <v>8515</v>
      </c>
      <c r="D943" s="61" t="s">
        <v>8516</v>
      </c>
      <c r="E943" s="61" t="s">
        <v>8479</v>
      </c>
      <c r="F943" s="61"/>
      <c r="G943" s="61" t="s">
        <v>7569</v>
      </c>
      <c r="H943" s="61"/>
      <c r="I943" s="62">
        <v>1944</v>
      </c>
      <c r="J943" s="4">
        <f>SUMIF(Cargas!$C$5:$C$3470,C943,Cargas!$O$5:$O$3470)</f>
        <v>0</v>
      </c>
      <c r="K943" s="18">
        <f t="shared" si="17"/>
        <v>1944</v>
      </c>
      <c r="L943" s="63" t="s">
        <v>8517</v>
      </c>
      <c r="M943" s="64">
        <v>222285</v>
      </c>
    </row>
    <row r="944" spans="2:13" ht="13.5" hidden="1" customHeight="1" x14ac:dyDescent="0.25">
      <c r="B944" s="58">
        <v>45252</v>
      </c>
      <c r="C944" s="59" t="s">
        <v>8518</v>
      </c>
      <c r="D944" s="61" t="s">
        <v>8519</v>
      </c>
      <c r="E944" s="61" t="s">
        <v>8479</v>
      </c>
      <c r="F944" s="61"/>
      <c r="G944" s="61" t="s">
        <v>7569</v>
      </c>
      <c r="H944" s="61"/>
      <c r="I944" s="62">
        <v>1944</v>
      </c>
      <c r="J944" s="4">
        <f>SUMIF(Cargas!$C$5:$C$3470,C944,Cargas!$O$5:$O$3470)</f>
        <v>0</v>
      </c>
      <c r="K944" s="18">
        <f t="shared" si="17"/>
        <v>1944</v>
      </c>
      <c r="L944" s="63" t="s">
        <v>8520</v>
      </c>
      <c r="M944" s="64">
        <v>225367</v>
      </c>
    </row>
    <row r="945" spans="2:13" ht="13.5" hidden="1" customHeight="1" x14ac:dyDescent="0.25">
      <c r="B945" s="58">
        <v>45240</v>
      </c>
      <c r="C945" s="59" t="s">
        <v>8521</v>
      </c>
      <c r="D945" s="61" t="s">
        <v>8522</v>
      </c>
      <c r="E945" s="61" t="s">
        <v>8523</v>
      </c>
      <c r="F945" s="61"/>
      <c r="G945" s="61" t="s">
        <v>7569</v>
      </c>
      <c r="H945" s="61"/>
      <c r="I945" s="62">
        <v>1960</v>
      </c>
      <c r="J945" s="4">
        <f>SUMIF(Cargas!$C$5:$C$3470,C945,Cargas!$O$5:$O$3470)</f>
        <v>0</v>
      </c>
      <c r="K945" s="18">
        <f t="shared" si="17"/>
        <v>1960</v>
      </c>
      <c r="L945" s="63" t="s">
        <v>8434</v>
      </c>
      <c r="M945" s="64">
        <v>216971</v>
      </c>
    </row>
    <row r="946" spans="2:13" ht="13.5" hidden="1" customHeight="1" x14ac:dyDescent="0.25">
      <c r="B946" s="58">
        <v>45247</v>
      </c>
      <c r="C946" s="59" t="s">
        <v>8524</v>
      </c>
      <c r="D946" s="61" t="s">
        <v>8525</v>
      </c>
      <c r="E946" s="61" t="s">
        <v>8523</v>
      </c>
      <c r="F946" s="61"/>
      <c r="G946" s="61" t="s">
        <v>7569</v>
      </c>
      <c r="H946" s="61"/>
      <c r="I946" s="62">
        <v>2940</v>
      </c>
      <c r="J946" s="4">
        <f>SUMIF(Cargas!$C$5:$C$3470,C946,Cargas!$O$5:$O$3470)</f>
        <v>0</v>
      </c>
      <c r="K946" s="18">
        <f t="shared" si="17"/>
        <v>2940</v>
      </c>
      <c r="L946" s="63" t="s">
        <v>8526</v>
      </c>
      <c r="M946" s="64">
        <v>223074</v>
      </c>
    </row>
    <row r="947" spans="2:13" ht="13.5" hidden="1" customHeight="1" x14ac:dyDescent="0.25">
      <c r="B947" s="58">
        <v>45252</v>
      </c>
      <c r="C947" s="59" t="s">
        <v>8527</v>
      </c>
      <c r="D947" s="61" t="s">
        <v>8528</v>
      </c>
      <c r="E947" s="61" t="s">
        <v>8523</v>
      </c>
      <c r="F947" s="61"/>
      <c r="G947" s="61" t="s">
        <v>7569</v>
      </c>
      <c r="H947" s="61"/>
      <c r="I947" s="62">
        <v>3920</v>
      </c>
      <c r="J947" s="4">
        <f>SUMIF(Cargas!$C$5:$C$3470,C947,Cargas!$O$5:$O$3470)</f>
        <v>0</v>
      </c>
      <c r="K947" s="18">
        <f t="shared" si="17"/>
        <v>3920</v>
      </c>
      <c r="L947" s="63" t="s">
        <v>8529</v>
      </c>
      <c r="M947" s="64">
        <v>225657</v>
      </c>
    </row>
    <row r="948" spans="2:13" ht="13.5" hidden="1" customHeight="1" x14ac:dyDescent="0.25">
      <c r="B948" s="58">
        <v>45258</v>
      </c>
      <c r="C948" s="59" t="s">
        <v>8530</v>
      </c>
      <c r="D948" s="61" t="s">
        <v>8531</v>
      </c>
      <c r="E948" s="61" t="s">
        <v>8523</v>
      </c>
      <c r="F948" s="61"/>
      <c r="G948" s="61" t="s">
        <v>7569</v>
      </c>
      <c r="H948" s="61"/>
      <c r="I948" s="62">
        <v>3920</v>
      </c>
      <c r="J948" s="4">
        <f>SUMIF(Cargas!$C$5:$C$3470,C948,Cargas!$O$5:$O$3470)</f>
        <v>0</v>
      </c>
      <c r="K948" s="18">
        <f t="shared" si="17"/>
        <v>3920</v>
      </c>
      <c r="L948" s="63" t="s">
        <v>8532</v>
      </c>
      <c r="M948" s="64">
        <v>230535</v>
      </c>
    </row>
    <row r="949" spans="2:13" ht="13.5" hidden="1" customHeight="1" x14ac:dyDescent="0.25">
      <c r="B949" s="58">
        <v>45261</v>
      </c>
      <c r="C949" s="59" t="s">
        <v>8533</v>
      </c>
      <c r="D949" s="61" t="s">
        <v>8534</v>
      </c>
      <c r="E949" s="61" t="s">
        <v>8523</v>
      </c>
      <c r="F949" s="61"/>
      <c r="G949" s="61" t="s">
        <v>7569</v>
      </c>
      <c r="H949" s="61"/>
      <c r="I949" s="62">
        <v>5880</v>
      </c>
      <c r="J949" s="4">
        <f>SUMIF(Cargas!$C$5:$C$3470,C949,Cargas!$O$5:$O$3470)</f>
        <v>0</v>
      </c>
      <c r="K949" s="18">
        <f t="shared" si="17"/>
        <v>5880</v>
      </c>
      <c r="L949" s="63" t="s">
        <v>8535</v>
      </c>
      <c r="M949" s="64">
        <v>235035</v>
      </c>
    </row>
    <row r="950" spans="2:13" ht="13.5" hidden="1" customHeight="1" x14ac:dyDescent="0.25">
      <c r="B950" s="58">
        <v>45267</v>
      </c>
      <c r="C950" s="59" t="s">
        <v>8536</v>
      </c>
      <c r="D950" s="61" t="s">
        <v>8537</v>
      </c>
      <c r="E950" s="61" t="s">
        <v>8523</v>
      </c>
      <c r="F950" s="61"/>
      <c r="G950" s="61" t="s">
        <v>7569</v>
      </c>
      <c r="H950" s="61"/>
      <c r="I950" s="62">
        <v>3920</v>
      </c>
      <c r="J950" s="4">
        <f>SUMIF(Cargas!$C$5:$C$3470,C950,Cargas!$O$5:$O$3470)</f>
        <v>0</v>
      </c>
      <c r="K950" s="18">
        <f t="shared" si="17"/>
        <v>3920</v>
      </c>
      <c r="L950" s="63"/>
      <c r="M950" s="64">
        <v>240509</v>
      </c>
    </row>
    <row r="951" spans="2:13" ht="13.5" hidden="1" customHeight="1" x14ac:dyDescent="0.25">
      <c r="B951" s="58">
        <v>45267</v>
      </c>
      <c r="C951" s="59" t="s">
        <v>8538</v>
      </c>
      <c r="D951" s="61" t="s">
        <v>8539</v>
      </c>
      <c r="E951" s="61" t="s">
        <v>8523</v>
      </c>
      <c r="F951" s="61"/>
      <c r="G951" s="61" t="s">
        <v>7569</v>
      </c>
      <c r="H951" s="61"/>
      <c r="I951" s="62">
        <v>980</v>
      </c>
      <c r="J951" s="4">
        <f>SUMIF(Cargas!$C$5:$C$3470,C951,Cargas!$O$5:$O$3470)</f>
        <v>0</v>
      </c>
      <c r="K951" s="18">
        <f t="shared" si="17"/>
        <v>980</v>
      </c>
      <c r="L951" s="63" t="s">
        <v>8540</v>
      </c>
      <c r="M951" s="64">
        <v>243157</v>
      </c>
    </row>
    <row r="952" spans="2:13" ht="13.5" hidden="1" customHeight="1" x14ac:dyDescent="0.25">
      <c r="B952" s="58">
        <v>45278</v>
      </c>
      <c r="C952" s="59" t="s">
        <v>8541</v>
      </c>
      <c r="D952" s="61" t="s">
        <v>8542</v>
      </c>
      <c r="E952" s="61" t="s">
        <v>8523</v>
      </c>
      <c r="F952" s="61"/>
      <c r="G952" s="61" t="s">
        <v>7569</v>
      </c>
      <c r="H952" s="61"/>
      <c r="I952" s="62">
        <v>2940</v>
      </c>
      <c r="J952" s="4">
        <f>SUMIF(Cargas!$C$5:$C$3470,C952,Cargas!$O$5:$O$3470)</f>
        <v>0</v>
      </c>
      <c r="K952" s="18">
        <f t="shared" si="17"/>
        <v>2940</v>
      </c>
      <c r="L952" s="63" t="s">
        <v>8543</v>
      </c>
      <c r="M952" s="64">
        <v>246240</v>
      </c>
    </row>
    <row r="953" spans="2:13" ht="13.5" hidden="1" customHeight="1" x14ac:dyDescent="0.25">
      <c r="B953" s="58">
        <v>45286</v>
      </c>
      <c r="C953" s="59" t="s">
        <v>8544</v>
      </c>
      <c r="D953" s="61" t="s">
        <v>8545</v>
      </c>
      <c r="E953" s="61" t="s">
        <v>8523</v>
      </c>
      <c r="F953" s="61"/>
      <c r="G953" s="61" t="s">
        <v>7569</v>
      </c>
      <c r="H953" s="61"/>
      <c r="I953" s="62">
        <v>936</v>
      </c>
      <c r="J953" s="4">
        <f>SUMIF(Cargas!$C$5:$C$3470,C953,Cargas!$O$5:$O$3470)</f>
        <v>0</v>
      </c>
      <c r="K953" s="18">
        <f t="shared" si="17"/>
        <v>936</v>
      </c>
      <c r="L953" s="63"/>
      <c r="M953" s="64">
        <v>252998</v>
      </c>
    </row>
    <row r="954" spans="2:13" ht="13.5" hidden="1" customHeight="1" x14ac:dyDescent="0.25">
      <c r="B954" s="58">
        <v>45267</v>
      </c>
      <c r="C954" s="59" t="s">
        <v>8546</v>
      </c>
      <c r="D954" s="61" t="s">
        <v>8547</v>
      </c>
      <c r="E954" s="61" t="s">
        <v>8548</v>
      </c>
      <c r="F954" s="61"/>
      <c r="G954" s="61" t="s">
        <v>7569</v>
      </c>
      <c r="H954" s="61"/>
      <c r="I954" s="62">
        <v>972</v>
      </c>
      <c r="J954" s="4">
        <f>SUMIF(Cargas!$C$5:$C$3470,C954,Cargas!$O$5:$O$3470)</f>
        <v>0</v>
      </c>
      <c r="K954" s="18">
        <f t="shared" si="17"/>
        <v>972</v>
      </c>
      <c r="L954" s="63" t="s">
        <v>8549</v>
      </c>
      <c r="M954" s="64">
        <v>242624</v>
      </c>
    </row>
    <row r="955" spans="2:13" ht="13.5" hidden="1" customHeight="1" x14ac:dyDescent="0.25">
      <c r="B955" s="58">
        <v>45288</v>
      </c>
      <c r="C955" s="59" t="s">
        <v>8550</v>
      </c>
      <c r="D955" s="61" t="s">
        <v>8551</v>
      </c>
      <c r="E955" s="61" t="s">
        <v>8548</v>
      </c>
      <c r="F955" s="61"/>
      <c r="G955" s="61" t="s">
        <v>7569</v>
      </c>
      <c r="H955" s="61"/>
      <c r="I955" s="62">
        <v>972</v>
      </c>
      <c r="J955" s="4">
        <f>SUMIF(Cargas!$C$5:$C$3470,C955,Cargas!$O$5:$O$3470)</f>
        <v>0</v>
      </c>
      <c r="K955" s="18">
        <f t="shared" si="17"/>
        <v>972</v>
      </c>
      <c r="L955" s="63" t="s">
        <v>8552</v>
      </c>
      <c r="M955" s="64">
        <v>253051</v>
      </c>
    </row>
    <row r="956" spans="2:13" ht="13.5" hidden="1" customHeight="1" x14ac:dyDescent="0.25">
      <c r="B956" s="58">
        <v>45036</v>
      </c>
      <c r="C956" s="59" t="s">
        <v>8553</v>
      </c>
      <c r="D956" s="61" t="s">
        <v>7254</v>
      </c>
      <c r="E956" s="61" t="s">
        <v>7284</v>
      </c>
      <c r="F956" s="61"/>
      <c r="G956" s="61" t="s">
        <v>6443</v>
      </c>
      <c r="H956" s="61" t="s">
        <v>6444</v>
      </c>
      <c r="I956" s="62">
        <v>2520</v>
      </c>
      <c r="J956" s="4">
        <f>SUMIF(Cargas!$C$5:$C$3470,C956,Cargas!$O$5:$O$3470)</f>
        <v>0</v>
      </c>
      <c r="K956" s="18">
        <f t="shared" si="17"/>
        <v>2520</v>
      </c>
      <c r="L956" s="63" t="s">
        <v>8554</v>
      </c>
      <c r="M956" s="64">
        <v>74124</v>
      </c>
    </row>
    <row r="957" spans="2:13" ht="13.5" hidden="1" customHeight="1" x14ac:dyDescent="0.25">
      <c r="B957" s="58">
        <v>45058</v>
      </c>
      <c r="C957" s="59" t="s">
        <v>8555</v>
      </c>
      <c r="D957" s="61" t="s">
        <v>7265</v>
      </c>
      <c r="E957" s="61" t="s">
        <v>7284</v>
      </c>
      <c r="F957" s="61"/>
      <c r="G957" s="61" t="s">
        <v>6443</v>
      </c>
      <c r="H957" s="61" t="s">
        <v>6444</v>
      </c>
      <c r="I957" s="62">
        <v>2520</v>
      </c>
      <c r="J957" s="4">
        <f>SUMIF(Cargas!$C$5:$C$3470,C957,Cargas!$O$5:$O$3470)</f>
        <v>0</v>
      </c>
      <c r="K957" s="18">
        <f t="shared" si="17"/>
        <v>2520</v>
      </c>
      <c r="L957" s="63" t="s">
        <v>8556</v>
      </c>
      <c r="M957" s="64">
        <v>89871</v>
      </c>
    </row>
    <row r="958" spans="2:13" ht="13.5" hidden="1" customHeight="1" x14ac:dyDescent="0.25">
      <c r="B958" s="58">
        <v>45338</v>
      </c>
      <c r="C958" s="59" t="s">
        <v>369</v>
      </c>
      <c r="D958" s="61" t="s">
        <v>6790</v>
      </c>
      <c r="E958" s="61" t="s">
        <v>6764</v>
      </c>
      <c r="F958" s="61"/>
      <c r="G958" s="61" t="s">
        <v>6443</v>
      </c>
      <c r="H958" s="61" t="s">
        <v>6768</v>
      </c>
      <c r="I958" s="62">
        <v>3600</v>
      </c>
      <c r="J958" s="4">
        <f>SUMIF(Cargas!$C$5:$C$3470,C958,Cargas!$O$5:$O$3470)</f>
        <v>3600</v>
      </c>
      <c r="K958" s="18">
        <f t="shared" ref="K958:K1021" si="18">IF(ABS(I958-J958)&lt;20,0,I958-J958)</f>
        <v>0</v>
      </c>
      <c r="L958" s="63" t="s">
        <v>8557</v>
      </c>
      <c r="M958" s="64">
        <v>32600</v>
      </c>
    </row>
    <row r="959" spans="2:13" ht="13.5" hidden="1" customHeight="1" x14ac:dyDescent="0.25">
      <c r="B959" s="58">
        <v>45342</v>
      </c>
      <c r="C959" s="59" t="s">
        <v>408</v>
      </c>
      <c r="D959" s="61" t="s">
        <v>6793</v>
      </c>
      <c r="E959" s="61" t="s">
        <v>6764</v>
      </c>
      <c r="F959" s="61"/>
      <c r="G959" s="61" t="s">
        <v>6443</v>
      </c>
      <c r="H959" s="61" t="s">
        <v>6444</v>
      </c>
      <c r="I959" s="62">
        <v>3672</v>
      </c>
      <c r="J959" s="4">
        <f>SUMIF(Cargas!$C$5:$C$3470,C959,Cargas!$O$5:$O$3470)</f>
        <v>3672</v>
      </c>
      <c r="K959" s="18">
        <f t="shared" si="18"/>
        <v>0</v>
      </c>
      <c r="L959" s="63" t="s">
        <v>8558</v>
      </c>
      <c r="M959" s="64">
        <v>34119</v>
      </c>
    </row>
    <row r="960" spans="2:13" ht="13.5" hidden="1" customHeight="1" x14ac:dyDescent="0.25">
      <c r="B960" s="58">
        <v>45372</v>
      </c>
      <c r="C960" s="59" t="s">
        <v>691</v>
      </c>
      <c r="D960" s="61" t="s">
        <v>6487</v>
      </c>
      <c r="E960" s="61" t="s">
        <v>7934</v>
      </c>
      <c r="F960" s="61"/>
      <c r="G960" s="61" t="s">
        <v>6443</v>
      </c>
      <c r="H960" s="61" t="s">
        <v>6444</v>
      </c>
      <c r="I960" s="62">
        <v>1104</v>
      </c>
      <c r="J960" s="4">
        <f>SUMIF(Cargas!$C$5:$C$3470,C960,Cargas!$O$5:$O$3470)</f>
        <v>1104</v>
      </c>
      <c r="K960" s="18">
        <f t="shared" si="18"/>
        <v>0</v>
      </c>
      <c r="L960" s="63"/>
      <c r="M960" s="64">
        <v>58523</v>
      </c>
    </row>
    <row r="961" spans="2:13" ht="13.5" hidden="1" customHeight="1" x14ac:dyDescent="0.25">
      <c r="B961" s="58">
        <v>45378</v>
      </c>
      <c r="C961" s="59" t="s">
        <v>737</v>
      </c>
      <c r="D961" s="61" t="s">
        <v>6492</v>
      </c>
      <c r="E961" s="61" t="s">
        <v>7934</v>
      </c>
      <c r="F961" s="61"/>
      <c r="G961" s="61" t="s">
        <v>6443</v>
      </c>
      <c r="H961" s="61" t="s">
        <v>6444</v>
      </c>
      <c r="I961" s="62">
        <v>1104</v>
      </c>
      <c r="J961" s="4">
        <f>SUMIF(Cargas!$C$5:$C$3470,C961,Cargas!$O$5:$O$3470)</f>
        <v>1104</v>
      </c>
      <c r="K961" s="18">
        <f t="shared" si="18"/>
        <v>0</v>
      </c>
      <c r="L961" s="63"/>
      <c r="M961" s="64">
        <v>63811</v>
      </c>
    </row>
    <row r="962" spans="2:13" ht="13.5" hidden="1" customHeight="1" x14ac:dyDescent="0.25">
      <c r="B962" s="58">
        <v>45385</v>
      </c>
      <c r="C962" s="59" t="s">
        <v>786</v>
      </c>
      <c r="D962" s="61" t="s">
        <v>6496</v>
      </c>
      <c r="E962" s="61" t="s">
        <v>7934</v>
      </c>
      <c r="F962" s="61"/>
      <c r="G962" s="61" t="s">
        <v>6443</v>
      </c>
      <c r="H962" s="61" t="s">
        <v>6444</v>
      </c>
      <c r="I962" s="62">
        <v>1104</v>
      </c>
      <c r="J962" s="4">
        <f>SUMIF(Cargas!$C$5:$C$3470,C962,Cargas!$O$5:$O$3470)</f>
        <v>1104</v>
      </c>
      <c r="K962" s="18">
        <f t="shared" si="18"/>
        <v>0</v>
      </c>
      <c r="L962" s="63"/>
      <c r="M962" s="64">
        <v>67745</v>
      </c>
    </row>
    <row r="963" spans="2:13" ht="13.5" hidden="1" customHeight="1" x14ac:dyDescent="0.25">
      <c r="B963" s="58">
        <v>45356</v>
      </c>
      <c r="C963" s="59" t="s">
        <v>497</v>
      </c>
      <c r="D963" s="61" t="s">
        <v>6798</v>
      </c>
      <c r="E963" s="61" t="s">
        <v>6764</v>
      </c>
      <c r="F963" s="61"/>
      <c r="G963" s="61" t="s">
        <v>6443</v>
      </c>
      <c r="H963" s="61" t="s">
        <v>6444</v>
      </c>
      <c r="I963" s="62">
        <v>3672</v>
      </c>
      <c r="J963" s="4">
        <f>SUMIF(Cargas!$C$5:$C$3470,C963,Cargas!$O$5:$O$3470)</f>
        <v>3672</v>
      </c>
      <c r="K963" s="18">
        <f t="shared" si="18"/>
        <v>0</v>
      </c>
      <c r="L963" s="63" t="s">
        <v>8559</v>
      </c>
      <c r="M963" s="64">
        <v>43048</v>
      </c>
    </row>
    <row r="964" spans="2:13" ht="13.5" hidden="1" customHeight="1" x14ac:dyDescent="0.25">
      <c r="B964" s="58">
        <v>45356</v>
      </c>
      <c r="C964" s="59" t="s">
        <v>502</v>
      </c>
      <c r="D964" s="61" t="s">
        <v>6804</v>
      </c>
      <c r="E964" s="61" t="s">
        <v>6764</v>
      </c>
      <c r="F964" s="61"/>
      <c r="G964" s="61" t="s">
        <v>6443</v>
      </c>
      <c r="H964" s="61" t="s">
        <v>6768</v>
      </c>
      <c r="I964" s="62">
        <v>3600</v>
      </c>
      <c r="J964" s="4">
        <f>SUMIF(Cargas!$C$5:$C$3470,C964,Cargas!$O$5:$O$3470)</f>
        <v>3600</v>
      </c>
      <c r="K964" s="18">
        <f t="shared" si="18"/>
        <v>0</v>
      </c>
      <c r="L964" s="63" t="s">
        <v>8560</v>
      </c>
      <c r="M964" s="64">
        <v>43908</v>
      </c>
    </row>
    <row r="965" spans="2:13" ht="13.5" hidden="1" customHeight="1" x14ac:dyDescent="0.25">
      <c r="B965" s="58">
        <v>45370</v>
      </c>
      <c r="C965" s="59" t="s">
        <v>604</v>
      </c>
      <c r="D965" s="61" t="s">
        <v>6808</v>
      </c>
      <c r="E965" s="61" t="s">
        <v>6764</v>
      </c>
      <c r="F965" s="61"/>
      <c r="G965" s="61" t="s">
        <v>6443</v>
      </c>
      <c r="H965" s="61" t="s">
        <v>6768</v>
      </c>
      <c r="I965" s="62">
        <v>3600</v>
      </c>
      <c r="J965" s="4">
        <f>SUMIF(Cargas!$C$5:$C$3470,C965,Cargas!$O$5:$O$3470)</f>
        <v>3600</v>
      </c>
      <c r="K965" s="18">
        <f t="shared" si="18"/>
        <v>0</v>
      </c>
      <c r="L965" s="63" t="s">
        <v>8561</v>
      </c>
      <c r="M965" s="64">
        <v>54859</v>
      </c>
    </row>
    <row r="966" spans="2:13" ht="13.5" hidden="1" customHeight="1" x14ac:dyDescent="0.25">
      <c r="B966" s="58">
        <v>45370</v>
      </c>
      <c r="C966" s="59" t="s">
        <v>641</v>
      </c>
      <c r="D966" s="61" t="s">
        <v>6813</v>
      </c>
      <c r="E966" s="61" t="s">
        <v>6764</v>
      </c>
      <c r="F966" s="61"/>
      <c r="G966" s="61" t="s">
        <v>6443</v>
      </c>
      <c r="H966" s="61" t="s">
        <v>6444</v>
      </c>
      <c r="I966" s="62">
        <v>3672</v>
      </c>
      <c r="J966" s="4">
        <f>SUMIF(Cargas!$C$5:$C$3470,C966,Cargas!$O$5:$O$3470)</f>
        <v>3672</v>
      </c>
      <c r="K966" s="18">
        <f t="shared" si="18"/>
        <v>0</v>
      </c>
      <c r="L966" s="63" t="s">
        <v>8562</v>
      </c>
      <c r="M966" s="64">
        <v>55395</v>
      </c>
    </row>
    <row r="967" spans="2:13" ht="13.5" hidden="1" customHeight="1" x14ac:dyDescent="0.25">
      <c r="B967" s="58">
        <v>45296</v>
      </c>
      <c r="C967" s="59" t="s">
        <v>37</v>
      </c>
      <c r="D967" s="61" t="s">
        <v>7157</v>
      </c>
      <c r="E967" s="61" t="s">
        <v>7756</v>
      </c>
      <c r="F967" s="61"/>
      <c r="G967" s="61" t="s">
        <v>6443</v>
      </c>
      <c r="H967" s="61" t="s">
        <v>7756</v>
      </c>
      <c r="I967" s="62">
        <v>1054</v>
      </c>
      <c r="J967" s="4">
        <f>SUMIF(Cargas!$C$5:$C$3470,C967,Cargas!$O$5:$O$3470)</f>
        <v>1054</v>
      </c>
      <c r="K967" s="18">
        <f t="shared" si="18"/>
        <v>0</v>
      </c>
      <c r="L967" s="63" t="s">
        <v>8563</v>
      </c>
      <c r="M967" s="64">
        <v>5695</v>
      </c>
    </row>
    <row r="968" spans="2:13" ht="13.5" hidden="1" customHeight="1" x14ac:dyDescent="0.25">
      <c r="B968" s="58">
        <v>45316</v>
      </c>
      <c r="C968" s="59" t="s">
        <v>245</v>
      </c>
      <c r="D968" s="61" t="s">
        <v>7160</v>
      </c>
      <c r="E968" s="61" t="s">
        <v>8471</v>
      </c>
      <c r="F968" s="61"/>
      <c r="G968" s="61" t="s">
        <v>6443</v>
      </c>
      <c r="H968" s="61" t="s">
        <v>6444</v>
      </c>
      <c r="I968" s="62">
        <v>1610</v>
      </c>
      <c r="J968" s="4">
        <f>SUMIF(Cargas!$C$5:$C$3470,C968,Cargas!$O$5:$O$3470)</f>
        <v>1610</v>
      </c>
      <c r="K968" s="18">
        <f t="shared" si="18"/>
        <v>0</v>
      </c>
      <c r="L968" s="63"/>
      <c r="M968" s="64" t="s">
        <v>299</v>
      </c>
    </row>
    <row r="969" spans="2:13" ht="13.5" hidden="1" customHeight="1" x14ac:dyDescent="0.25">
      <c r="B969" s="58">
        <v>45330</v>
      </c>
      <c r="C969" s="59" t="s">
        <v>328</v>
      </c>
      <c r="D969" s="61" t="s">
        <v>7163</v>
      </c>
      <c r="E969" s="61" t="s">
        <v>8564</v>
      </c>
      <c r="F969" s="61"/>
      <c r="G969" s="61" t="s">
        <v>6443</v>
      </c>
      <c r="H969" s="61"/>
      <c r="I969" s="62">
        <v>1428</v>
      </c>
      <c r="J969" s="4">
        <f>SUMIF(Cargas!$C$5:$C$3470,C969,Cargas!$O$5:$O$3470)</f>
        <v>1428</v>
      </c>
      <c r="K969" s="18">
        <f t="shared" si="18"/>
        <v>0</v>
      </c>
      <c r="L969" s="63" t="s">
        <v>8565</v>
      </c>
      <c r="M969" s="64">
        <v>28178</v>
      </c>
    </row>
    <row r="970" spans="2:13" ht="13.5" hidden="1" customHeight="1" x14ac:dyDescent="0.25">
      <c r="B970" s="58">
        <v>45337</v>
      </c>
      <c r="C970" s="59" t="s">
        <v>366</v>
      </c>
      <c r="D970" s="61" t="s">
        <v>7166</v>
      </c>
      <c r="E970" s="61" t="s">
        <v>7756</v>
      </c>
      <c r="F970" s="61"/>
      <c r="G970" s="61" t="s">
        <v>6443</v>
      </c>
      <c r="H970" s="61"/>
      <c r="I970" s="62">
        <v>1032</v>
      </c>
      <c r="J970" s="4">
        <f>SUMIF(Cargas!$C$5:$C$3470,C970,Cargas!$O$5:$O$3470)</f>
        <v>1032</v>
      </c>
      <c r="K970" s="18">
        <f t="shared" si="18"/>
        <v>0</v>
      </c>
      <c r="L970" s="63" t="s">
        <v>8566</v>
      </c>
      <c r="M970" s="64">
        <v>29769</v>
      </c>
    </row>
    <row r="971" spans="2:13" ht="13.5" hidden="1" customHeight="1" x14ac:dyDescent="0.25">
      <c r="B971" s="58">
        <v>45344</v>
      </c>
      <c r="C971" s="59" t="s">
        <v>472</v>
      </c>
      <c r="D971" s="61" t="s">
        <v>7169</v>
      </c>
      <c r="E971" s="61" t="s">
        <v>8564</v>
      </c>
      <c r="F971" s="61"/>
      <c r="G971" s="61" t="s">
        <v>6443</v>
      </c>
      <c r="H971" s="61"/>
      <c r="I971" s="62">
        <v>1764</v>
      </c>
      <c r="J971" s="4">
        <f>SUMIF(Cargas!$C$5:$C$3470,C971,Cargas!$O$5:$O$3470)</f>
        <v>1824</v>
      </c>
      <c r="K971" s="18">
        <f t="shared" si="18"/>
        <v>-60</v>
      </c>
      <c r="L971" s="63" t="s">
        <v>8567</v>
      </c>
      <c r="M971" s="64" t="s">
        <v>299</v>
      </c>
    </row>
    <row r="972" spans="2:13" ht="13.5" hidden="1" customHeight="1" x14ac:dyDescent="0.25">
      <c r="B972" s="58">
        <v>45376</v>
      </c>
      <c r="C972" s="59" t="s">
        <v>685</v>
      </c>
      <c r="D972" s="61" t="s">
        <v>6816</v>
      </c>
      <c r="E972" s="61" t="s">
        <v>6764</v>
      </c>
      <c r="F972" s="61"/>
      <c r="G972" s="61" t="s">
        <v>6443</v>
      </c>
      <c r="H972" s="61" t="s">
        <v>6768</v>
      </c>
      <c r="I972" s="62">
        <v>3600</v>
      </c>
      <c r="J972" s="4">
        <f>SUMIF(Cargas!$C$5:$C$3470,C972,Cargas!$O$5:$O$3470)</f>
        <v>3600</v>
      </c>
      <c r="K972" s="18">
        <f t="shared" si="18"/>
        <v>0</v>
      </c>
      <c r="L972" s="63" t="s">
        <v>8568</v>
      </c>
      <c r="M972" s="64">
        <v>57767</v>
      </c>
    </row>
    <row r="973" spans="2:13" ht="13.5" hidden="1" customHeight="1" x14ac:dyDescent="0.25">
      <c r="B973" s="58">
        <v>45385</v>
      </c>
      <c r="C973" s="59" t="s">
        <v>1135</v>
      </c>
      <c r="D973" s="61" t="s">
        <v>6499</v>
      </c>
      <c r="E973" s="61" t="s">
        <v>7934</v>
      </c>
      <c r="F973" s="61"/>
      <c r="G973" s="61" t="s">
        <v>6443</v>
      </c>
      <c r="H973" s="61" t="s">
        <v>6444</v>
      </c>
      <c r="I973" s="62">
        <v>1104</v>
      </c>
      <c r="J973" s="4">
        <f>SUMIF(Cargas!$C$5:$C$3470,C973,Cargas!$O$5:$O$3470)</f>
        <v>1104</v>
      </c>
      <c r="K973" s="18">
        <f t="shared" si="18"/>
        <v>0</v>
      </c>
      <c r="L973" s="63"/>
      <c r="M973" s="64">
        <v>98545</v>
      </c>
    </row>
    <row r="974" spans="2:13" ht="13.5" hidden="1" customHeight="1" x14ac:dyDescent="0.25">
      <c r="B974" s="58">
        <v>45442</v>
      </c>
      <c r="C974" s="59" t="s">
        <v>1328</v>
      </c>
      <c r="D974" s="61" t="s">
        <v>6504</v>
      </c>
      <c r="E974" s="61" t="s">
        <v>7934</v>
      </c>
      <c r="F974" s="61"/>
      <c r="G974" s="61" t="s">
        <v>6443</v>
      </c>
      <c r="H974" s="61" t="s">
        <v>6444</v>
      </c>
      <c r="I974" s="62">
        <v>1104</v>
      </c>
      <c r="J974" s="4">
        <f>SUMIF(Cargas!$C$5:$C$3470,C974,Cargas!$O$5:$O$3470)</f>
        <v>1104</v>
      </c>
      <c r="K974" s="18">
        <f t="shared" si="18"/>
        <v>0</v>
      </c>
      <c r="L974" s="63" t="s">
        <v>8569</v>
      </c>
      <c r="M974" s="64">
        <v>109764</v>
      </c>
    </row>
    <row r="975" spans="2:13" ht="13.5" hidden="1" customHeight="1" x14ac:dyDescent="0.25">
      <c r="B975" s="58">
        <v>45385</v>
      </c>
      <c r="C975" s="59" t="s">
        <v>720</v>
      </c>
      <c r="D975" s="61" t="s">
        <v>6822</v>
      </c>
      <c r="E975" s="61" t="s">
        <v>6764</v>
      </c>
      <c r="F975" s="61"/>
      <c r="G975" s="61" t="s">
        <v>6443</v>
      </c>
      <c r="H975" s="61" t="s">
        <v>6444</v>
      </c>
      <c r="I975" s="62">
        <v>5508</v>
      </c>
      <c r="J975" s="4">
        <f>SUMIF(Cargas!$C$5:$C$3470,C975,Cargas!$O$5:$O$3470)</f>
        <v>5490</v>
      </c>
      <c r="K975" s="18">
        <f t="shared" si="18"/>
        <v>0</v>
      </c>
      <c r="L975" s="63" t="s">
        <v>8570</v>
      </c>
      <c r="M975" s="64">
        <v>61850</v>
      </c>
    </row>
    <row r="976" spans="2:13" ht="13.5" hidden="1" customHeight="1" x14ac:dyDescent="0.25">
      <c r="B976" s="58">
        <v>45385</v>
      </c>
      <c r="C976" s="59" t="s">
        <v>757</v>
      </c>
      <c r="D976" s="61" t="s">
        <v>6827</v>
      </c>
      <c r="E976" s="61" t="s">
        <v>6764</v>
      </c>
      <c r="F976" s="61"/>
      <c r="G976" s="61" t="s">
        <v>6443</v>
      </c>
      <c r="H976" s="61" t="s">
        <v>6768</v>
      </c>
      <c r="I976" s="62">
        <v>3600</v>
      </c>
      <c r="J976" s="4">
        <f>SUMIF(Cargas!$C$5:$C$3470,C976,Cargas!$O$5:$O$3470)</f>
        <v>3600</v>
      </c>
      <c r="K976" s="18">
        <f t="shared" si="18"/>
        <v>0</v>
      </c>
      <c r="L976" s="63" t="s">
        <v>8571</v>
      </c>
      <c r="M976" s="64">
        <v>63784</v>
      </c>
    </row>
    <row r="977" spans="2:13" ht="13.5" hidden="1" customHeight="1" x14ac:dyDescent="0.25">
      <c r="B977" s="58">
        <v>45391</v>
      </c>
      <c r="C977" s="59" t="s">
        <v>795</v>
      </c>
      <c r="D977" s="61" t="s">
        <v>6831</v>
      </c>
      <c r="E977" s="61" t="s">
        <v>6764</v>
      </c>
      <c r="F977" s="61"/>
      <c r="G977" s="61" t="s">
        <v>6443</v>
      </c>
      <c r="H977" s="61" t="s">
        <v>6444</v>
      </c>
      <c r="I977" s="62">
        <v>5508</v>
      </c>
      <c r="J977" s="4">
        <f>SUMIF(Cargas!$C$5:$C$3470,C977,Cargas!$O$5:$O$3470)</f>
        <v>5508</v>
      </c>
      <c r="K977" s="18">
        <f t="shared" si="18"/>
        <v>0</v>
      </c>
      <c r="L977" s="63" t="s">
        <v>8572</v>
      </c>
      <c r="M977" s="64">
        <v>67722</v>
      </c>
    </row>
    <row r="978" spans="2:13" ht="13.5" hidden="1" customHeight="1" x14ac:dyDescent="0.25">
      <c r="B978" s="58">
        <v>45391</v>
      </c>
      <c r="C978" s="59" t="s">
        <v>790</v>
      </c>
      <c r="D978" s="61" t="s">
        <v>6837</v>
      </c>
      <c r="E978" s="61" t="s">
        <v>6764</v>
      </c>
      <c r="F978" s="61"/>
      <c r="G978" s="61" t="s">
        <v>6443</v>
      </c>
      <c r="H978" s="61" t="s">
        <v>6768</v>
      </c>
      <c r="I978" s="62">
        <v>5400</v>
      </c>
      <c r="J978" s="4">
        <f>SUMIF(Cargas!$C$5:$C$3470,C978,Cargas!$O$5:$O$3470)</f>
        <v>5400</v>
      </c>
      <c r="K978" s="18">
        <f t="shared" si="18"/>
        <v>0</v>
      </c>
      <c r="L978" s="63" t="s">
        <v>8573</v>
      </c>
      <c r="M978" s="64">
        <v>67738</v>
      </c>
    </row>
    <row r="979" spans="2:13" ht="13.5" hidden="1" customHeight="1" x14ac:dyDescent="0.25">
      <c r="B979" s="58">
        <v>45392</v>
      </c>
      <c r="C979" s="59" t="s">
        <v>824</v>
      </c>
      <c r="D979" s="61" t="s">
        <v>6840</v>
      </c>
      <c r="E979" s="61" t="s">
        <v>6764</v>
      </c>
      <c r="F979" s="61"/>
      <c r="G979" s="61" t="s">
        <v>6443</v>
      </c>
      <c r="H979" s="61" t="s">
        <v>8574</v>
      </c>
      <c r="I979" s="62">
        <v>4032</v>
      </c>
      <c r="J979" s="4">
        <f>SUMIF(Cargas!$C$5:$C$3470,C979,Cargas!$O$5:$O$3470)</f>
        <v>4032</v>
      </c>
      <c r="K979" s="18">
        <f t="shared" si="18"/>
        <v>0</v>
      </c>
      <c r="L979" s="63" t="s">
        <v>8575</v>
      </c>
      <c r="M979" s="64">
        <v>67752</v>
      </c>
    </row>
    <row r="980" spans="2:13" ht="13.5" hidden="1" customHeight="1" x14ac:dyDescent="0.25">
      <c r="B980" s="58">
        <v>45397</v>
      </c>
      <c r="C980" s="59" t="s">
        <v>849</v>
      </c>
      <c r="D980" s="61" t="s">
        <v>6843</v>
      </c>
      <c r="E980" s="61" t="s">
        <v>6764</v>
      </c>
      <c r="F980" s="61"/>
      <c r="G980" s="61" t="s">
        <v>6443</v>
      </c>
      <c r="H980" s="61" t="s">
        <v>8576</v>
      </c>
      <c r="I980" s="62">
        <v>6048</v>
      </c>
      <c r="J980" s="4">
        <f>SUMIF(Cargas!$C$5:$C$3470,C980,Cargas!$O$5:$O$3470)</f>
        <v>6048</v>
      </c>
      <c r="K980" s="18">
        <f t="shared" si="18"/>
        <v>0</v>
      </c>
      <c r="L980" s="63" t="s">
        <v>8577</v>
      </c>
      <c r="M980" s="64">
        <v>72114</v>
      </c>
    </row>
    <row r="981" spans="2:13" ht="13.5" hidden="1" customHeight="1" x14ac:dyDescent="0.25">
      <c r="B981" s="58">
        <v>45397</v>
      </c>
      <c r="C981" s="59" t="s">
        <v>854</v>
      </c>
      <c r="D981" s="61" t="s">
        <v>6846</v>
      </c>
      <c r="E981" s="61" t="s">
        <v>6764</v>
      </c>
      <c r="F981" s="61"/>
      <c r="G981" s="61" t="s">
        <v>6443</v>
      </c>
      <c r="H981" s="61" t="s">
        <v>6444</v>
      </c>
      <c r="I981" s="62">
        <v>5508</v>
      </c>
      <c r="J981" s="4">
        <f>SUMIF(Cargas!$C$5:$C$3470,C981,Cargas!$O$5:$O$3470)</f>
        <v>5508</v>
      </c>
      <c r="K981" s="18">
        <f t="shared" si="18"/>
        <v>0</v>
      </c>
      <c r="L981" s="63" t="s">
        <v>8578</v>
      </c>
      <c r="M981" s="64">
        <v>72841</v>
      </c>
    </row>
    <row r="982" spans="2:13" ht="13.5" hidden="1" customHeight="1" x14ac:dyDescent="0.25">
      <c r="B982" s="58">
        <v>45397</v>
      </c>
      <c r="C982" s="59" t="s">
        <v>893</v>
      </c>
      <c r="D982" s="61" t="s">
        <v>6849</v>
      </c>
      <c r="E982" s="61" t="s">
        <v>6764</v>
      </c>
      <c r="F982" s="61"/>
      <c r="G982" s="61" t="s">
        <v>6443</v>
      </c>
      <c r="H982" s="61" t="s">
        <v>6768</v>
      </c>
      <c r="I982" s="62">
        <v>4500</v>
      </c>
      <c r="J982" s="4">
        <f>SUMIF(Cargas!$C$5:$C$3470,C982,Cargas!$O$5:$O$3470)</f>
        <v>4500</v>
      </c>
      <c r="K982" s="18">
        <f t="shared" si="18"/>
        <v>0</v>
      </c>
      <c r="L982" s="63" t="s">
        <v>8579</v>
      </c>
      <c r="M982" s="64">
        <v>75057</v>
      </c>
    </row>
    <row r="983" spans="2:13" ht="13.5" hidden="1" customHeight="1" x14ac:dyDescent="0.25">
      <c r="B983" s="58">
        <v>45369</v>
      </c>
      <c r="C983" s="59" t="s">
        <v>609</v>
      </c>
      <c r="D983" s="61" t="s">
        <v>7705</v>
      </c>
      <c r="E983" s="61" t="s">
        <v>7756</v>
      </c>
      <c r="F983" s="61"/>
      <c r="G983" s="61" t="s">
        <v>6443</v>
      </c>
      <c r="H983" s="61" t="s">
        <v>6444</v>
      </c>
      <c r="I983" s="62">
        <f>720+140+324</f>
        <v>1184</v>
      </c>
      <c r="J983" s="4">
        <f>SUMIF(Cargas!$C$5:$C$3470,C983,Cargas!$O$5:$O$3470)</f>
        <v>1184</v>
      </c>
      <c r="K983" s="18">
        <f t="shared" si="18"/>
        <v>0</v>
      </c>
      <c r="L983" s="63" t="s">
        <v>8580</v>
      </c>
      <c r="M983" s="64">
        <v>53701</v>
      </c>
    </row>
    <row r="984" spans="2:13" ht="13.5" hidden="1" customHeight="1" x14ac:dyDescent="0.25">
      <c r="B984" s="58">
        <v>45365</v>
      </c>
      <c r="C984" s="59" t="s">
        <v>617</v>
      </c>
      <c r="D984" s="61" t="s">
        <v>7172</v>
      </c>
      <c r="E984" s="61" t="s">
        <v>7756</v>
      </c>
      <c r="F984" s="61"/>
      <c r="G984" s="61" t="s">
        <v>6443</v>
      </c>
      <c r="H984" s="61" t="s">
        <v>6444</v>
      </c>
      <c r="I984" s="62">
        <v>840</v>
      </c>
      <c r="J984" s="4">
        <f>SUMIF(Cargas!$C$5:$C$3470,C984,Cargas!$O$5:$O$3470)</f>
        <v>840</v>
      </c>
      <c r="K984" s="18">
        <f t="shared" si="18"/>
        <v>0</v>
      </c>
      <c r="L984" s="63" t="s">
        <v>8581</v>
      </c>
      <c r="M984" s="64">
        <v>54763</v>
      </c>
    </row>
    <row r="985" spans="2:13" ht="13.5" hidden="1" customHeight="1" x14ac:dyDescent="0.25">
      <c r="B985" s="58">
        <v>45365</v>
      </c>
      <c r="C985" s="59" t="s">
        <v>613</v>
      </c>
      <c r="D985" s="61" t="s">
        <v>7175</v>
      </c>
      <c r="E985" s="61" t="s">
        <v>8471</v>
      </c>
      <c r="F985" s="61"/>
      <c r="G985" s="61" t="s">
        <v>6443</v>
      </c>
      <c r="H985" s="61" t="s">
        <v>6444</v>
      </c>
      <c r="I985" s="62">
        <v>1600</v>
      </c>
      <c r="J985" s="4">
        <f>SUMIF(Cargas!$C$5:$C$3470,C985,Cargas!$O$5:$O$3470)</f>
        <v>1600</v>
      </c>
      <c r="K985" s="18">
        <f t="shared" si="18"/>
        <v>0</v>
      </c>
      <c r="L985" s="63"/>
      <c r="M985" s="64">
        <v>54751</v>
      </c>
    </row>
    <row r="986" spans="2:13" ht="13.5" hidden="1" customHeight="1" x14ac:dyDescent="0.25">
      <c r="B986" s="58">
        <v>45288</v>
      </c>
      <c r="C986" s="59" t="s">
        <v>8582</v>
      </c>
      <c r="D986" s="61" t="s">
        <v>7573</v>
      </c>
      <c r="E986" s="61" t="s">
        <v>8548</v>
      </c>
      <c r="F986" s="61"/>
      <c r="G986" s="61" t="s">
        <v>7569</v>
      </c>
      <c r="H986" s="61"/>
      <c r="I986" s="62">
        <v>972</v>
      </c>
      <c r="J986" s="4">
        <f>SUMIF(Cargas!$C$5:$C$3470,C986,Cargas!$O$5:$O$3470)</f>
        <v>0</v>
      </c>
      <c r="K986" s="18">
        <f t="shared" si="18"/>
        <v>972</v>
      </c>
      <c r="L986" s="63" t="s">
        <v>8583</v>
      </c>
      <c r="M986" s="64">
        <v>2729</v>
      </c>
    </row>
    <row r="987" spans="2:13" ht="13.5" hidden="1" customHeight="1" x14ac:dyDescent="0.25">
      <c r="B987" s="58">
        <v>45289</v>
      </c>
      <c r="C987" s="59" t="s">
        <v>8584</v>
      </c>
      <c r="D987" s="61" t="s">
        <v>7576</v>
      </c>
      <c r="E987" s="61" t="s">
        <v>8523</v>
      </c>
      <c r="F987" s="61"/>
      <c r="G987" s="61" t="s">
        <v>7569</v>
      </c>
      <c r="H987" s="61"/>
      <c r="I987" s="62">
        <v>980</v>
      </c>
      <c r="J987" s="4">
        <f>SUMIF(Cargas!$C$5:$C$3470,C987,Cargas!$O$5:$O$3470)</f>
        <v>0</v>
      </c>
      <c r="K987" s="18">
        <f t="shared" si="18"/>
        <v>980</v>
      </c>
      <c r="L987" s="63" t="s">
        <v>8585</v>
      </c>
      <c r="M987" s="64">
        <v>2619</v>
      </c>
    </row>
    <row r="988" spans="2:13" ht="13.5" hidden="1" customHeight="1" x14ac:dyDescent="0.25">
      <c r="B988" s="58">
        <v>45289</v>
      </c>
      <c r="C988" s="59" t="s">
        <v>8586</v>
      </c>
      <c r="D988" s="61" t="s">
        <v>7579</v>
      </c>
      <c r="E988" s="61" t="s">
        <v>8523</v>
      </c>
      <c r="F988" s="61"/>
      <c r="G988" s="61" t="s">
        <v>7569</v>
      </c>
      <c r="H988" s="61"/>
      <c r="I988" s="62">
        <v>980</v>
      </c>
      <c r="J988" s="4">
        <f>SUMIF(Cargas!$C$5:$C$3470,C988,Cargas!$O$5:$O$3470)</f>
        <v>0</v>
      </c>
      <c r="K988" s="18">
        <f t="shared" si="18"/>
        <v>980</v>
      </c>
      <c r="L988" s="63" t="s">
        <v>8587</v>
      </c>
      <c r="M988" s="64">
        <v>2643</v>
      </c>
    </row>
    <row r="989" spans="2:13" ht="13.5" hidden="1" customHeight="1" x14ac:dyDescent="0.25">
      <c r="B989" s="58">
        <v>45293</v>
      </c>
      <c r="C989" s="59" t="s">
        <v>8588</v>
      </c>
      <c r="D989" s="61" t="s">
        <v>7567</v>
      </c>
      <c r="E989" s="61" t="s">
        <v>7877</v>
      </c>
      <c r="F989" s="61"/>
      <c r="G989" s="61" t="s">
        <v>7569</v>
      </c>
      <c r="H989" s="61"/>
      <c r="I989" s="62">
        <v>1860</v>
      </c>
      <c r="J989" s="4">
        <f>SUMIF(Cargas!$C$5:$C$3470,C989,Cargas!$O$5:$O$3470)</f>
        <v>0</v>
      </c>
      <c r="K989" s="18">
        <f t="shared" si="18"/>
        <v>1860</v>
      </c>
      <c r="L989" s="63" t="s">
        <v>8589</v>
      </c>
      <c r="M989" s="64">
        <v>1944</v>
      </c>
    </row>
    <row r="990" spans="2:13" ht="13.5" hidden="1" customHeight="1" x14ac:dyDescent="0.25">
      <c r="B990" s="58">
        <v>45295</v>
      </c>
      <c r="C990" s="59" t="s">
        <v>41</v>
      </c>
      <c r="D990" s="61" t="s">
        <v>7582</v>
      </c>
      <c r="E990" s="61" t="s">
        <v>8548</v>
      </c>
      <c r="F990" s="61"/>
      <c r="G990" s="61" t="s">
        <v>7569</v>
      </c>
      <c r="H990" s="61"/>
      <c r="I990" s="62">
        <v>972</v>
      </c>
      <c r="J990" s="4">
        <f>SUMIF(Cargas!$C$5:$C$3470,C990,Cargas!$O$5:$O$3470)</f>
        <v>930</v>
      </c>
      <c r="K990" s="18">
        <f t="shared" si="18"/>
        <v>42</v>
      </c>
      <c r="L990" s="63" t="s">
        <v>8590</v>
      </c>
      <c r="M990" s="64">
        <v>6442</v>
      </c>
    </row>
    <row r="991" spans="2:13" ht="13.5" hidden="1" customHeight="1" x14ac:dyDescent="0.25">
      <c r="B991" s="58">
        <v>45299</v>
      </c>
      <c r="C991" s="59" t="s">
        <v>53</v>
      </c>
      <c r="D991" s="61" t="s">
        <v>7585</v>
      </c>
      <c r="E991" s="61" t="s">
        <v>7877</v>
      </c>
      <c r="F991" s="61"/>
      <c r="G991" s="61" t="s">
        <v>7569</v>
      </c>
      <c r="H991" s="61"/>
      <c r="I991" s="62">
        <v>2790</v>
      </c>
      <c r="J991" s="4">
        <f>SUMIF(Cargas!$C$5:$C$3470,C991,Cargas!$O$5:$O$3470)</f>
        <v>2790</v>
      </c>
      <c r="K991" s="18">
        <f t="shared" si="18"/>
        <v>0</v>
      </c>
      <c r="L991" s="63" t="s">
        <v>8591</v>
      </c>
      <c r="M991" s="64">
        <v>5532</v>
      </c>
    </row>
    <row r="992" spans="2:13" ht="13.5" hidden="1" customHeight="1" x14ac:dyDescent="0.25">
      <c r="B992" s="58">
        <v>45299</v>
      </c>
      <c r="C992" s="59" t="s">
        <v>47</v>
      </c>
      <c r="D992" s="61" t="s">
        <v>7588</v>
      </c>
      <c r="E992" s="61" t="s">
        <v>7877</v>
      </c>
      <c r="F992" s="61"/>
      <c r="G992" s="61" t="s">
        <v>7569</v>
      </c>
      <c r="H992" s="61"/>
      <c r="I992" s="62">
        <v>930</v>
      </c>
      <c r="J992" s="4">
        <f>SUMIF(Cargas!$C$5:$C$3470,C992,Cargas!$O$5:$O$3470)</f>
        <v>930</v>
      </c>
      <c r="K992" s="18">
        <f t="shared" si="18"/>
        <v>0</v>
      </c>
      <c r="L992" s="63" t="s">
        <v>8592</v>
      </c>
      <c r="M992" s="64">
        <v>5532</v>
      </c>
    </row>
    <row r="993" spans="2:13" ht="13.5" hidden="1" customHeight="1" x14ac:dyDescent="0.25">
      <c r="B993" s="58">
        <v>45301</v>
      </c>
      <c r="C993" s="59" t="s">
        <v>72</v>
      </c>
      <c r="D993" s="61" t="s">
        <v>7591</v>
      </c>
      <c r="E993" s="61" t="s">
        <v>7877</v>
      </c>
      <c r="F993" s="61"/>
      <c r="G993" s="61" t="s">
        <v>7569</v>
      </c>
      <c r="H993" s="61"/>
      <c r="I993" s="62">
        <v>930</v>
      </c>
      <c r="J993" s="4">
        <f>SUMIF(Cargas!$C$5:$C$3470,C993,Cargas!$O$5:$O$3470)</f>
        <v>930</v>
      </c>
      <c r="K993" s="18">
        <f t="shared" si="18"/>
        <v>0</v>
      </c>
      <c r="L993" s="63" t="s">
        <v>8593</v>
      </c>
      <c r="M993" s="64">
        <v>7446</v>
      </c>
    </row>
    <row r="994" spans="2:13" ht="13.5" hidden="1" customHeight="1" x14ac:dyDescent="0.25">
      <c r="B994" s="58">
        <v>45303</v>
      </c>
      <c r="C994" s="59" t="s">
        <v>101</v>
      </c>
      <c r="D994" s="61" t="s">
        <v>7593</v>
      </c>
      <c r="E994" s="61" t="s">
        <v>8523</v>
      </c>
      <c r="F994" s="61"/>
      <c r="G994" s="61" t="s">
        <v>7569</v>
      </c>
      <c r="H994" s="61"/>
      <c r="I994" s="62">
        <v>1960</v>
      </c>
      <c r="J994" s="4">
        <f>SUMIF(Cargas!$C$5:$C$3470,C994,Cargas!$O$5:$O$3470)</f>
        <v>1960</v>
      </c>
      <c r="K994" s="18">
        <f t="shared" si="18"/>
        <v>0</v>
      </c>
      <c r="L994" s="63" t="s">
        <v>8594</v>
      </c>
      <c r="M994" s="64">
        <v>12004</v>
      </c>
    </row>
    <row r="995" spans="2:13" ht="13.5" hidden="1" customHeight="1" x14ac:dyDescent="0.25">
      <c r="B995" s="58">
        <v>45303</v>
      </c>
      <c r="C995" s="59" t="s">
        <v>120</v>
      </c>
      <c r="D995" s="61" t="s">
        <v>7596</v>
      </c>
      <c r="E995" s="61" t="s">
        <v>8595</v>
      </c>
      <c r="F995" s="61"/>
      <c r="G995" s="61" t="s">
        <v>7569</v>
      </c>
      <c r="H995" s="61"/>
      <c r="I995" s="62">
        <v>980</v>
      </c>
      <c r="J995" s="4">
        <f>SUMIF(Cargas!$C$5:$C$3470,C995,Cargas!$O$5:$O$3470)</f>
        <v>980</v>
      </c>
      <c r="K995" s="18">
        <f t="shared" si="18"/>
        <v>0</v>
      </c>
      <c r="L995" s="63" t="s">
        <v>8596</v>
      </c>
      <c r="M995" s="190">
        <v>12038</v>
      </c>
    </row>
    <row r="996" spans="2:13" ht="13.5" hidden="1" customHeight="1" x14ac:dyDescent="0.25">
      <c r="B996" s="58">
        <v>45301</v>
      </c>
      <c r="C996" s="59" t="s">
        <v>126</v>
      </c>
      <c r="D996" s="61" t="s">
        <v>7599</v>
      </c>
      <c r="E996" s="61" t="s">
        <v>8548</v>
      </c>
      <c r="F996" s="61"/>
      <c r="G996" s="61" t="s">
        <v>7569</v>
      </c>
      <c r="H996" s="61"/>
      <c r="I996" s="62">
        <v>972</v>
      </c>
      <c r="J996" s="4">
        <f>SUMIF(Cargas!$C$5:$C$3470,C996,Cargas!$O$5:$O$3470)</f>
        <v>972</v>
      </c>
      <c r="K996" s="18">
        <f t="shared" si="18"/>
        <v>0</v>
      </c>
      <c r="L996" s="63" t="s">
        <v>8597</v>
      </c>
      <c r="M996" s="64">
        <v>11979</v>
      </c>
    </row>
    <row r="997" spans="2:13" ht="13.5" hidden="1" customHeight="1" x14ac:dyDescent="0.25">
      <c r="B997" s="58">
        <v>45308</v>
      </c>
      <c r="C997" s="59" t="s">
        <v>96</v>
      </c>
      <c r="D997" s="61" t="s">
        <v>7602</v>
      </c>
      <c r="E997" s="61" t="s">
        <v>7877</v>
      </c>
      <c r="F997" s="61"/>
      <c r="G997" s="61" t="s">
        <v>7569</v>
      </c>
      <c r="H997" s="61"/>
      <c r="I997" s="62">
        <v>930</v>
      </c>
      <c r="J997" s="4">
        <f>SUMIF(Cargas!$C$5:$C$3470,C997,Cargas!$O$5:$O$3470)</f>
        <v>930</v>
      </c>
      <c r="K997" s="18">
        <f t="shared" si="18"/>
        <v>0</v>
      </c>
      <c r="L997" s="63" t="s">
        <v>8598</v>
      </c>
      <c r="M997" s="190">
        <v>12031</v>
      </c>
    </row>
    <row r="998" spans="2:13" ht="13.5" hidden="1" customHeight="1" x14ac:dyDescent="0.25">
      <c r="B998" s="58">
        <v>45309</v>
      </c>
      <c r="C998" s="59" t="s">
        <v>136</v>
      </c>
      <c r="D998" s="61" t="s">
        <v>7605</v>
      </c>
      <c r="E998" s="61" t="s">
        <v>7877</v>
      </c>
      <c r="F998" s="61"/>
      <c r="G998" s="61" t="s">
        <v>7569</v>
      </c>
      <c r="H998" s="61"/>
      <c r="I998" s="62">
        <v>930</v>
      </c>
      <c r="J998" s="4">
        <f>SUMIF(Cargas!$C$5:$C$3470,C998,Cargas!$O$5:$O$3470)</f>
        <v>930</v>
      </c>
      <c r="K998" s="18">
        <f t="shared" si="18"/>
        <v>0</v>
      </c>
      <c r="L998" s="63" t="s">
        <v>8599</v>
      </c>
      <c r="M998" s="190">
        <v>12031</v>
      </c>
    </row>
    <row r="999" spans="2:13" ht="13.5" hidden="1" customHeight="1" x14ac:dyDescent="0.25">
      <c r="B999" s="58">
        <v>45313</v>
      </c>
      <c r="C999" s="59" t="s">
        <v>182</v>
      </c>
      <c r="D999" s="61" t="s">
        <v>7608</v>
      </c>
      <c r="E999" s="61" t="s">
        <v>8600</v>
      </c>
      <c r="F999" s="61"/>
      <c r="G999" s="61" t="s">
        <v>7569</v>
      </c>
      <c r="H999" s="61"/>
      <c r="I999" s="62">
        <v>980</v>
      </c>
      <c r="J999" s="4">
        <f>SUMIF(Cargas!$C$5:$C$3470,C999,Cargas!$O$5:$O$3470)</f>
        <v>980</v>
      </c>
      <c r="K999" s="18">
        <f t="shared" si="18"/>
        <v>0</v>
      </c>
      <c r="L999" s="63" t="s">
        <v>8601</v>
      </c>
      <c r="M999" s="190">
        <v>15009</v>
      </c>
    </row>
    <row r="1000" spans="2:13" ht="13.5" hidden="1" customHeight="1" x14ac:dyDescent="0.25">
      <c r="B1000" s="58">
        <v>45309</v>
      </c>
      <c r="C1000" s="59" t="s">
        <v>195</v>
      </c>
      <c r="D1000" s="61" t="s">
        <v>7611</v>
      </c>
      <c r="E1000" s="61" t="s">
        <v>8595</v>
      </c>
      <c r="F1000" s="61"/>
      <c r="G1000" s="61" t="s">
        <v>7569</v>
      </c>
      <c r="H1000" s="61"/>
      <c r="I1000" s="62">
        <v>980</v>
      </c>
      <c r="J1000" s="4">
        <f>SUMIF(Cargas!$C$5:$C$3470,C1000,Cargas!$O$5:$O$3470)</f>
        <v>980</v>
      </c>
      <c r="K1000" s="18">
        <f t="shared" si="18"/>
        <v>0</v>
      </c>
      <c r="L1000" s="63" t="s">
        <v>8602</v>
      </c>
      <c r="M1000" s="190">
        <v>14803</v>
      </c>
    </row>
    <row r="1001" spans="2:13" ht="13.5" hidden="1" customHeight="1" x14ac:dyDescent="0.25">
      <c r="B1001" s="58">
        <v>45309</v>
      </c>
      <c r="C1001" s="59" t="s">
        <v>154</v>
      </c>
      <c r="D1001" s="61" t="s">
        <v>7614</v>
      </c>
      <c r="E1001" s="61" t="s">
        <v>8548</v>
      </c>
      <c r="F1001" s="61"/>
      <c r="G1001" s="61" t="s">
        <v>7569</v>
      </c>
      <c r="H1001" s="61"/>
      <c r="I1001" s="62">
        <v>1944</v>
      </c>
      <c r="J1001" s="4">
        <f>SUMIF(Cargas!$C$5:$C$3470,C1001,Cargas!$O$5:$O$3470)</f>
        <v>1960</v>
      </c>
      <c r="K1001" s="18">
        <f t="shared" si="18"/>
        <v>0</v>
      </c>
      <c r="L1001" s="63" t="s">
        <v>8603</v>
      </c>
      <c r="M1001" s="190">
        <v>14840</v>
      </c>
    </row>
    <row r="1002" spans="2:13" ht="13.5" hidden="1" customHeight="1" x14ac:dyDescent="0.25">
      <c r="B1002" s="58">
        <v>45313</v>
      </c>
      <c r="C1002" s="59" t="s">
        <v>164</v>
      </c>
      <c r="D1002" s="61" t="s">
        <v>7617</v>
      </c>
      <c r="E1002" s="61" t="s">
        <v>7877</v>
      </c>
      <c r="F1002" s="61"/>
      <c r="G1002" s="61" t="s">
        <v>7569</v>
      </c>
      <c r="H1002" s="61"/>
      <c r="I1002" s="62">
        <v>1860</v>
      </c>
      <c r="J1002" s="4">
        <f>SUMIF(Cargas!$C$5:$C$3470,C1002,Cargas!$O$5:$O$3470)</f>
        <v>1860</v>
      </c>
      <c r="K1002" s="18">
        <f t="shared" si="18"/>
        <v>0</v>
      </c>
      <c r="L1002" s="63" t="s">
        <v>8603</v>
      </c>
      <c r="M1002" s="190">
        <v>14884</v>
      </c>
    </row>
    <row r="1003" spans="2:13" ht="13.5" hidden="1" customHeight="1" x14ac:dyDescent="0.25">
      <c r="B1003" s="58">
        <v>45310</v>
      </c>
      <c r="C1003" s="59" t="s">
        <v>159</v>
      </c>
      <c r="D1003" s="61" t="s">
        <v>7620</v>
      </c>
      <c r="E1003" s="61" t="s">
        <v>8523</v>
      </c>
      <c r="F1003" s="61"/>
      <c r="G1003" s="61" t="s">
        <v>7569</v>
      </c>
      <c r="H1003" s="61"/>
      <c r="I1003" s="62">
        <v>980</v>
      </c>
      <c r="J1003" s="4">
        <f>SUMIF(Cargas!$C$5:$C$3470,C1003,Cargas!$O$5:$O$3470)</f>
        <v>980</v>
      </c>
      <c r="K1003" s="18">
        <f t="shared" si="18"/>
        <v>0</v>
      </c>
      <c r="L1003" s="63" t="s">
        <v>8603</v>
      </c>
      <c r="M1003" s="190">
        <v>14958</v>
      </c>
    </row>
    <row r="1004" spans="2:13" ht="13.5" hidden="1" customHeight="1" x14ac:dyDescent="0.25">
      <c r="B1004" s="58">
        <v>45310</v>
      </c>
      <c r="C1004" s="59" t="s">
        <v>190</v>
      </c>
      <c r="D1004" s="61" t="s">
        <v>7623</v>
      </c>
      <c r="E1004" s="61" t="s">
        <v>8523</v>
      </c>
      <c r="F1004" s="61"/>
      <c r="G1004" s="61" t="s">
        <v>7569</v>
      </c>
      <c r="H1004" s="61"/>
      <c r="I1004" s="62">
        <v>980</v>
      </c>
      <c r="J1004" s="4">
        <f>SUMIF(Cargas!$C$5:$C$3470,C1004,Cargas!$O$5:$O$3470)</f>
        <v>980</v>
      </c>
      <c r="K1004" s="18">
        <f t="shared" si="18"/>
        <v>0</v>
      </c>
      <c r="L1004" s="63" t="s">
        <v>8603</v>
      </c>
      <c r="M1004" s="190" t="s">
        <v>299</v>
      </c>
    </row>
    <row r="1005" spans="2:13" ht="13.5" hidden="1" customHeight="1" x14ac:dyDescent="0.25">
      <c r="B1005" s="58">
        <v>45310</v>
      </c>
      <c r="C1005" s="59" t="s">
        <v>231</v>
      </c>
      <c r="D1005" s="61" t="s">
        <v>7626</v>
      </c>
      <c r="E1005" s="61" t="s">
        <v>8548</v>
      </c>
      <c r="F1005" s="61"/>
      <c r="G1005" s="61" t="s">
        <v>7569</v>
      </c>
      <c r="H1005" s="61"/>
      <c r="I1005" s="62">
        <v>1944</v>
      </c>
      <c r="J1005" s="4">
        <f>SUMIF(Cargas!$C$5:$C$3470,C1005,Cargas!$O$5:$O$3470)</f>
        <v>1944</v>
      </c>
      <c r="K1005" s="18">
        <f t="shared" si="18"/>
        <v>0</v>
      </c>
      <c r="L1005" s="63" t="s">
        <v>8604</v>
      </c>
      <c r="M1005" s="190" t="s">
        <v>299</v>
      </c>
    </row>
    <row r="1006" spans="2:13" ht="13.5" hidden="1" customHeight="1" x14ac:dyDescent="0.25">
      <c r="B1006" s="58">
        <v>45314</v>
      </c>
      <c r="C1006" s="59" t="s">
        <v>210</v>
      </c>
      <c r="D1006" s="61" t="s">
        <v>7629</v>
      </c>
      <c r="E1006" s="61" t="s">
        <v>8595</v>
      </c>
      <c r="F1006" s="61"/>
      <c r="G1006" s="61" t="s">
        <v>7569</v>
      </c>
      <c r="H1006" s="61"/>
      <c r="I1006" s="62">
        <v>1960</v>
      </c>
      <c r="J1006" s="4">
        <f>SUMIF(Cargas!$C$5:$C$3470,C1006,Cargas!$O$5:$O$3470)</f>
        <v>1960</v>
      </c>
      <c r="K1006" s="18">
        <f t="shared" si="18"/>
        <v>0</v>
      </c>
      <c r="L1006" s="63" t="s">
        <v>8605</v>
      </c>
      <c r="M1006" s="190" t="s">
        <v>299</v>
      </c>
    </row>
    <row r="1007" spans="2:13" ht="13.5" hidden="1" customHeight="1" x14ac:dyDescent="0.25">
      <c r="B1007" s="58">
        <v>45320</v>
      </c>
      <c r="C1007" s="59" t="s">
        <v>223</v>
      </c>
      <c r="D1007" s="61" t="s">
        <v>7632</v>
      </c>
      <c r="E1007" s="61" t="s">
        <v>7877</v>
      </c>
      <c r="F1007" s="61"/>
      <c r="G1007" s="61" t="s">
        <v>7569</v>
      </c>
      <c r="H1007" s="61"/>
      <c r="I1007" s="62">
        <v>1860</v>
      </c>
      <c r="J1007" s="4">
        <f>SUMIF(Cargas!$C$5:$C$3470,C1007,Cargas!$O$5:$O$3470)</f>
        <v>1830</v>
      </c>
      <c r="K1007" s="18">
        <f t="shared" si="18"/>
        <v>30</v>
      </c>
      <c r="L1007" s="63" t="s">
        <v>8606</v>
      </c>
      <c r="M1007" s="190" t="s">
        <v>299</v>
      </c>
    </row>
    <row r="1008" spans="2:13" ht="13.5" hidden="1" customHeight="1" x14ac:dyDescent="0.25">
      <c r="B1008" s="58">
        <v>45320</v>
      </c>
      <c r="C1008" s="59" t="s">
        <v>235</v>
      </c>
      <c r="D1008" s="61" t="s">
        <v>7635</v>
      </c>
      <c r="E1008" s="61" t="s">
        <v>8523</v>
      </c>
      <c r="F1008" s="61"/>
      <c r="G1008" s="61" t="s">
        <v>7569</v>
      </c>
      <c r="H1008" s="61"/>
      <c r="I1008" s="62">
        <v>980</v>
      </c>
      <c r="J1008" s="4">
        <f>SUMIF(Cargas!$C$5:$C$3470,C1008,Cargas!$O$5:$O$3470)</f>
        <v>980</v>
      </c>
      <c r="K1008" s="18">
        <f t="shared" si="18"/>
        <v>0</v>
      </c>
      <c r="L1008" s="63" t="s">
        <v>8607</v>
      </c>
      <c r="M1008" s="190" t="s">
        <v>299</v>
      </c>
    </row>
    <row r="1009" spans="2:13" ht="13.5" hidden="1" customHeight="1" x14ac:dyDescent="0.25">
      <c r="B1009" s="58">
        <v>45322</v>
      </c>
      <c r="C1009" s="59" t="s">
        <v>266</v>
      </c>
      <c r="D1009" s="61" t="s">
        <v>7637</v>
      </c>
      <c r="E1009" s="61" t="s">
        <v>8595</v>
      </c>
      <c r="F1009" s="61"/>
      <c r="G1009" s="61" t="s">
        <v>7569</v>
      </c>
      <c r="H1009" s="61" t="s">
        <v>8608</v>
      </c>
      <c r="I1009" s="62">
        <v>980</v>
      </c>
      <c r="J1009" s="4">
        <f>SUMIF(Cargas!$C$5:$C$3470,C1009,Cargas!$O$5:$O$3470)</f>
        <v>980</v>
      </c>
      <c r="K1009" s="18">
        <f t="shared" si="18"/>
        <v>0</v>
      </c>
      <c r="L1009" s="63" t="s">
        <v>8609</v>
      </c>
      <c r="M1009" s="190">
        <v>23781</v>
      </c>
    </row>
    <row r="1010" spans="2:13" ht="13.5" hidden="1" customHeight="1" x14ac:dyDescent="0.25">
      <c r="B1010" s="58">
        <v>45323</v>
      </c>
      <c r="C1010" s="59" t="s">
        <v>300</v>
      </c>
      <c r="D1010" s="61" t="s">
        <v>7640</v>
      </c>
      <c r="E1010" s="61" t="s">
        <v>8548</v>
      </c>
      <c r="F1010" s="61"/>
      <c r="G1010" s="61" t="s">
        <v>7569</v>
      </c>
      <c r="H1010" s="61" t="s">
        <v>8608</v>
      </c>
      <c r="I1010" s="62">
        <v>1944</v>
      </c>
      <c r="J1010" s="4">
        <f>SUMIF(Cargas!$C$5:$C$3470,C1010,Cargas!$O$5:$O$3470)</f>
        <v>1952</v>
      </c>
      <c r="K1010" s="18">
        <f t="shared" si="18"/>
        <v>0</v>
      </c>
      <c r="L1010" s="63" t="s">
        <v>8610</v>
      </c>
      <c r="M1010" s="190">
        <v>26976</v>
      </c>
    </row>
    <row r="1011" spans="2:13" ht="13.5" hidden="1" customHeight="1" x14ac:dyDescent="0.25">
      <c r="B1011" s="58">
        <v>45324</v>
      </c>
      <c r="C1011" s="59" t="s">
        <v>271</v>
      </c>
      <c r="D1011" s="61" t="s">
        <v>7643</v>
      </c>
      <c r="E1011" s="61" t="s">
        <v>8523</v>
      </c>
      <c r="F1011" s="61"/>
      <c r="G1011" s="61" t="s">
        <v>7569</v>
      </c>
      <c r="H1011" s="61" t="s">
        <v>8608</v>
      </c>
      <c r="I1011" s="62">
        <v>1960</v>
      </c>
      <c r="J1011" s="4">
        <f>SUMIF(Cargas!$C$5:$C$3470,C1011,Cargas!$O$5:$O$3470)</f>
        <v>1960</v>
      </c>
      <c r="K1011" s="18">
        <f t="shared" si="18"/>
        <v>0</v>
      </c>
      <c r="L1011" s="63" t="s">
        <v>8611</v>
      </c>
      <c r="M1011" s="190">
        <v>25784</v>
      </c>
    </row>
    <row r="1012" spans="2:13" ht="13.5" hidden="1" customHeight="1" x14ac:dyDescent="0.25">
      <c r="B1012" s="58">
        <v>45328</v>
      </c>
      <c r="C1012" s="59" t="s">
        <v>305</v>
      </c>
      <c r="D1012" s="61" t="s">
        <v>7646</v>
      </c>
      <c r="E1012" s="61" t="s">
        <v>7877</v>
      </c>
      <c r="F1012" s="61"/>
      <c r="G1012" s="61" t="s">
        <v>7569</v>
      </c>
      <c r="H1012" s="61"/>
      <c r="I1012" s="62">
        <v>1860</v>
      </c>
      <c r="J1012" s="4">
        <f>SUMIF(Cargas!$C$5:$C$3470,C1012,Cargas!$O$5:$O$3470)</f>
        <v>1860</v>
      </c>
      <c r="K1012" s="18">
        <f t="shared" si="18"/>
        <v>0</v>
      </c>
      <c r="L1012" s="63" t="s">
        <v>8612</v>
      </c>
      <c r="M1012" s="190">
        <v>25607</v>
      </c>
    </row>
    <row r="1013" spans="2:13" ht="13.5" hidden="1" customHeight="1" x14ac:dyDescent="0.25">
      <c r="B1013" s="58">
        <v>45327</v>
      </c>
      <c r="C1013" s="59" t="s">
        <v>295</v>
      </c>
      <c r="D1013" s="61" t="s">
        <v>7649</v>
      </c>
      <c r="E1013" s="61" t="s">
        <v>8523</v>
      </c>
      <c r="F1013" s="61"/>
      <c r="G1013" s="61" t="s">
        <v>7569</v>
      </c>
      <c r="H1013" s="61"/>
      <c r="I1013" s="62">
        <v>980</v>
      </c>
      <c r="J1013" s="4">
        <f>SUMIF(Cargas!$C$5:$C$3470,C1013,Cargas!$O$5:$O$3470)</f>
        <v>980</v>
      </c>
      <c r="K1013" s="18">
        <f t="shared" si="18"/>
        <v>0</v>
      </c>
      <c r="L1013" s="63" t="s">
        <v>8613</v>
      </c>
      <c r="M1013" s="190">
        <v>26820</v>
      </c>
    </row>
    <row r="1014" spans="2:13" ht="13.5" hidden="1" customHeight="1" x14ac:dyDescent="0.25">
      <c r="B1014" s="58">
        <v>45330</v>
      </c>
      <c r="C1014" s="59" t="s">
        <v>302</v>
      </c>
      <c r="D1014" s="61" t="s">
        <v>7652</v>
      </c>
      <c r="E1014" s="61" t="s">
        <v>8548</v>
      </c>
      <c r="F1014" s="61"/>
      <c r="G1014" s="61" t="s">
        <v>7569</v>
      </c>
      <c r="H1014" s="61" t="s">
        <v>8614</v>
      </c>
      <c r="I1014" s="62">
        <v>972</v>
      </c>
      <c r="J1014" s="4">
        <f>SUMIF(Cargas!$C$5:$C$3470,C1014,Cargas!$O$5:$O$3470)</f>
        <v>972</v>
      </c>
      <c r="K1014" s="18">
        <f t="shared" si="18"/>
        <v>0</v>
      </c>
      <c r="L1014" s="63" t="s">
        <v>8615</v>
      </c>
      <c r="M1014" s="190">
        <v>26928</v>
      </c>
    </row>
    <row r="1015" spans="2:13" ht="13.5" hidden="1" customHeight="1" x14ac:dyDescent="0.25">
      <c r="B1015" s="58">
        <v>45334</v>
      </c>
      <c r="C1015" s="59" t="s">
        <v>308</v>
      </c>
      <c r="D1015" s="61" t="s">
        <v>7655</v>
      </c>
      <c r="E1015" s="61" t="s">
        <v>8595</v>
      </c>
      <c r="F1015" s="61"/>
      <c r="G1015" s="61" t="s">
        <v>7569</v>
      </c>
      <c r="H1015" s="61" t="s">
        <v>8614</v>
      </c>
      <c r="I1015" s="62">
        <v>980</v>
      </c>
      <c r="J1015" s="4">
        <f>SUMIF(Cargas!$C$5:$C$3470,C1015,Cargas!$O$5:$O$3470)</f>
        <v>980</v>
      </c>
      <c r="K1015" s="18">
        <f t="shared" si="18"/>
        <v>0</v>
      </c>
      <c r="L1015" s="63" t="s">
        <v>8616</v>
      </c>
      <c r="M1015" s="190">
        <v>27903</v>
      </c>
    </row>
    <row r="1016" spans="2:13" ht="13.5" hidden="1" customHeight="1" x14ac:dyDescent="0.25">
      <c r="B1016" s="58">
        <v>45335</v>
      </c>
      <c r="C1016" s="59" t="s">
        <v>313</v>
      </c>
      <c r="D1016" s="61" t="s">
        <v>7658</v>
      </c>
      <c r="E1016" s="61" t="s">
        <v>8600</v>
      </c>
      <c r="F1016" s="61"/>
      <c r="G1016" s="61" t="s">
        <v>7569</v>
      </c>
      <c r="H1016" s="61"/>
      <c r="I1016" s="62">
        <v>980</v>
      </c>
      <c r="J1016" s="4">
        <f>SUMIF(Cargas!$C$5:$C$3470,C1016,Cargas!$O$5:$O$3470)</f>
        <v>980</v>
      </c>
      <c r="K1016" s="18">
        <f t="shared" si="18"/>
        <v>0</v>
      </c>
      <c r="L1016" s="63" t="s">
        <v>8617</v>
      </c>
      <c r="M1016" s="190">
        <v>27591</v>
      </c>
    </row>
    <row r="1017" spans="2:13" ht="13.5" hidden="1" customHeight="1" x14ac:dyDescent="0.25">
      <c r="B1017" s="58">
        <v>45335</v>
      </c>
      <c r="C1017" s="59" t="s">
        <v>355</v>
      </c>
      <c r="D1017" s="61" t="s">
        <v>7661</v>
      </c>
      <c r="E1017" s="61" t="s">
        <v>7877</v>
      </c>
      <c r="F1017" s="61"/>
      <c r="G1017" s="61" t="s">
        <v>7569</v>
      </c>
      <c r="H1017" s="61"/>
      <c r="I1017" s="62">
        <v>1860</v>
      </c>
      <c r="J1017" s="4">
        <f>SUMIF(Cargas!$C$5:$C$3470,C1017,Cargas!$O$5:$O$3470)</f>
        <v>1860</v>
      </c>
      <c r="K1017" s="18">
        <f t="shared" si="18"/>
        <v>0</v>
      </c>
      <c r="L1017" s="63" t="s">
        <v>8618</v>
      </c>
      <c r="M1017" s="190">
        <v>27690</v>
      </c>
    </row>
    <row r="1018" spans="2:13" ht="13.5" hidden="1" customHeight="1" x14ac:dyDescent="0.25">
      <c r="B1018" s="58">
        <v>45334</v>
      </c>
      <c r="C1018" s="59" t="s">
        <v>342</v>
      </c>
      <c r="D1018" s="61" t="s">
        <v>7664</v>
      </c>
      <c r="E1018" s="61" t="s">
        <v>8523</v>
      </c>
      <c r="F1018" s="61"/>
      <c r="G1018" s="61" t="s">
        <v>7569</v>
      </c>
      <c r="H1018" s="61"/>
      <c r="I1018" s="62">
        <v>1960</v>
      </c>
      <c r="J1018" s="4">
        <f>SUMIF(Cargas!$C$5:$C$3470,C1018,Cargas!$O$5:$O$3470)</f>
        <v>1960</v>
      </c>
      <c r="K1018" s="18">
        <f t="shared" si="18"/>
        <v>0</v>
      </c>
      <c r="L1018" s="63" t="s">
        <v>8619</v>
      </c>
      <c r="M1018" s="190">
        <v>28907</v>
      </c>
    </row>
    <row r="1019" spans="2:13" ht="13.5" hidden="1" customHeight="1" x14ac:dyDescent="0.25">
      <c r="B1019" s="58">
        <v>45334</v>
      </c>
      <c r="C1019" s="59" t="s">
        <v>345</v>
      </c>
      <c r="D1019" s="61" t="s">
        <v>7667</v>
      </c>
      <c r="E1019" s="61" t="s">
        <v>8548</v>
      </c>
      <c r="F1019" s="61"/>
      <c r="G1019" s="61" t="s">
        <v>7569</v>
      </c>
      <c r="H1019" s="61"/>
      <c r="I1019" s="62">
        <v>972</v>
      </c>
      <c r="J1019" s="4">
        <f>SUMIF(Cargas!$C$5:$C$3470,C1019,Cargas!$O$5:$O$3470)</f>
        <v>972</v>
      </c>
      <c r="K1019" s="18">
        <f t="shared" si="18"/>
        <v>0</v>
      </c>
      <c r="L1019" s="63"/>
      <c r="M1019" s="190">
        <v>29997</v>
      </c>
    </row>
    <row r="1020" spans="2:13" ht="13.5" hidden="1" customHeight="1" x14ac:dyDescent="0.25">
      <c r="B1020" s="58">
        <v>45341</v>
      </c>
      <c r="C1020" s="59" t="s">
        <v>379</v>
      </c>
      <c r="D1020" s="61" t="s">
        <v>7670</v>
      </c>
      <c r="E1020" s="61" t="s">
        <v>8600</v>
      </c>
      <c r="F1020" s="61"/>
      <c r="G1020" s="61" t="s">
        <v>7569</v>
      </c>
      <c r="H1020" s="61"/>
      <c r="I1020" s="62">
        <v>980</v>
      </c>
      <c r="J1020" s="4">
        <f>SUMIF(Cargas!$C$5:$C$3470,C1020,Cargas!$O$5:$O$3470)</f>
        <v>980</v>
      </c>
      <c r="K1020" s="18">
        <f t="shared" si="18"/>
        <v>0</v>
      </c>
      <c r="L1020" s="63" t="s">
        <v>8620</v>
      </c>
      <c r="M1020" s="190">
        <v>33163</v>
      </c>
    </row>
    <row r="1021" spans="2:13" ht="13.5" hidden="1" customHeight="1" x14ac:dyDescent="0.25">
      <c r="B1021" s="58">
        <v>45338</v>
      </c>
      <c r="C1021" s="59" t="s">
        <v>404</v>
      </c>
      <c r="D1021" s="61" t="s">
        <v>7673</v>
      </c>
      <c r="E1021" s="61" t="s">
        <v>8548</v>
      </c>
      <c r="F1021" s="61"/>
      <c r="G1021" s="61" t="s">
        <v>7569</v>
      </c>
      <c r="H1021" s="61"/>
      <c r="I1021" s="62">
        <v>1944</v>
      </c>
      <c r="J1021" s="4">
        <f>SUMIF(Cargas!$C$5:$C$3470,C1021,Cargas!$O$5:$O$3470)</f>
        <v>1952</v>
      </c>
      <c r="K1021" s="18">
        <f t="shared" si="18"/>
        <v>0</v>
      </c>
      <c r="L1021" s="63" t="s">
        <v>8621</v>
      </c>
      <c r="M1021" s="190">
        <v>34055</v>
      </c>
    </row>
    <row r="1022" spans="2:13" ht="13.5" hidden="1" customHeight="1" x14ac:dyDescent="0.25">
      <c r="B1022" s="58">
        <v>45338</v>
      </c>
      <c r="C1022" s="59" t="s">
        <v>398</v>
      </c>
      <c r="D1022" s="61" t="s">
        <v>8104</v>
      </c>
      <c r="E1022" s="61" t="s">
        <v>7877</v>
      </c>
      <c r="F1022" s="61"/>
      <c r="G1022" s="61" t="s">
        <v>7569</v>
      </c>
      <c r="H1022" s="61"/>
      <c r="I1022" s="62">
        <v>930</v>
      </c>
      <c r="J1022" s="4">
        <f>SUMIF(Cargas!$C$5:$C$3470,C1022,Cargas!$O$5:$O$3470)</f>
        <v>930</v>
      </c>
      <c r="K1022" s="18">
        <f t="shared" ref="K1022:K1085" si="19">IF(ABS(I1022-J1022)&lt;20,0,I1022-J1022)</f>
        <v>0</v>
      </c>
      <c r="L1022" s="63"/>
      <c r="M1022" s="190">
        <v>33180</v>
      </c>
    </row>
    <row r="1023" spans="2:13" ht="13.5" hidden="1" customHeight="1" x14ac:dyDescent="0.25">
      <c r="B1023" s="58">
        <v>45342</v>
      </c>
      <c r="C1023" s="59" t="s">
        <v>384</v>
      </c>
      <c r="D1023" s="61" t="s">
        <v>8107</v>
      </c>
      <c r="E1023" s="61" t="s">
        <v>8595</v>
      </c>
      <c r="F1023" s="61"/>
      <c r="G1023" s="61" t="s">
        <v>7569</v>
      </c>
      <c r="H1023" s="61"/>
      <c r="I1023" s="62">
        <v>980</v>
      </c>
      <c r="J1023" s="4">
        <f>SUMIF(Cargas!$C$5:$C$3470,C1023,Cargas!$O$5:$O$3470)</f>
        <v>980</v>
      </c>
      <c r="K1023" s="18">
        <f t="shared" si="19"/>
        <v>0</v>
      </c>
      <c r="L1023" s="63"/>
      <c r="M1023" s="190">
        <v>34312</v>
      </c>
    </row>
    <row r="1024" spans="2:13" ht="13.5" hidden="1" customHeight="1" x14ac:dyDescent="0.25">
      <c r="B1024" s="58">
        <v>45342</v>
      </c>
      <c r="C1024" s="59" t="s">
        <v>374</v>
      </c>
      <c r="D1024" s="61" t="s">
        <v>8110</v>
      </c>
      <c r="E1024" s="61" t="s">
        <v>8600</v>
      </c>
      <c r="F1024" s="61"/>
      <c r="G1024" s="61" t="s">
        <v>7569</v>
      </c>
      <c r="H1024" s="61"/>
      <c r="I1024" s="62">
        <v>980</v>
      </c>
      <c r="J1024" s="4">
        <f>SUMIF(Cargas!$C$5:$C$3470,C1024,Cargas!$O$5:$O$3470)</f>
        <v>980</v>
      </c>
      <c r="K1024" s="18">
        <f t="shared" si="19"/>
        <v>0</v>
      </c>
      <c r="L1024" s="63" t="s">
        <v>8622</v>
      </c>
      <c r="M1024" s="190">
        <v>33172</v>
      </c>
    </row>
    <row r="1025" spans="2:13" ht="13.5" hidden="1" customHeight="1" x14ac:dyDescent="0.25">
      <c r="B1025" s="58">
        <v>45338</v>
      </c>
      <c r="C1025" s="59" t="s">
        <v>389</v>
      </c>
      <c r="D1025" s="61" t="s">
        <v>8113</v>
      </c>
      <c r="E1025" s="61" t="s">
        <v>8523</v>
      </c>
      <c r="F1025" s="61"/>
      <c r="G1025" s="61" t="s">
        <v>7569</v>
      </c>
      <c r="H1025" s="61"/>
      <c r="I1025" s="62">
        <v>1960</v>
      </c>
      <c r="J1025" s="4">
        <f>SUMIF(Cargas!$C$5:$C$3470,C1025,Cargas!$O$5:$O$3470)</f>
        <v>1960</v>
      </c>
      <c r="K1025" s="18">
        <f t="shared" si="19"/>
        <v>0</v>
      </c>
      <c r="L1025" s="63" t="s">
        <v>8623</v>
      </c>
      <c r="M1025" s="190">
        <v>34171</v>
      </c>
    </row>
    <row r="1026" spans="2:13" ht="13.5" hidden="1" customHeight="1" x14ac:dyDescent="0.25">
      <c r="B1026" s="58">
        <v>45348</v>
      </c>
      <c r="C1026" s="59" t="s">
        <v>431</v>
      </c>
      <c r="D1026" s="61" t="s">
        <v>8116</v>
      </c>
      <c r="E1026" s="61" t="s">
        <v>8600</v>
      </c>
      <c r="F1026" s="61"/>
      <c r="G1026" s="61" t="s">
        <v>7569</v>
      </c>
      <c r="H1026" s="61"/>
      <c r="I1026" s="62">
        <v>1960</v>
      </c>
      <c r="J1026" s="4">
        <f>SUMIF(Cargas!$C$5:$C$3470,C1026,Cargas!$O$5:$O$3470)</f>
        <v>1960</v>
      </c>
      <c r="K1026" s="18">
        <f t="shared" si="19"/>
        <v>0</v>
      </c>
      <c r="L1026" s="63" t="s">
        <v>8624</v>
      </c>
      <c r="M1026" s="190">
        <v>390483</v>
      </c>
    </row>
    <row r="1027" spans="2:13" ht="13.5" hidden="1" customHeight="1" x14ac:dyDescent="0.25">
      <c r="B1027" s="58">
        <v>45348</v>
      </c>
      <c r="C1027" s="59" t="s">
        <v>440</v>
      </c>
      <c r="D1027" s="61" t="s">
        <v>8119</v>
      </c>
      <c r="E1027" s="61" t="s">
        <v>8523</v>
      </c>
      <c r="F1027" s="61"/>
      <c r="G1027" s="61" t="s">
        <v>7569</v>
      </c>
      <c r="H1027" s="61" t="s">
        <v>8625</v>
      </c>
      <c r="I1027" s="62">
        <v>980</v>
      </c>
      <c r="J1027" s="4">
        <f>SUMIF(Cargas!$C$5:$C$3470,C1027,Cargas!$O$5:$O$3470)</f>
        <v>980</v>
      </c>
      <c r="K1027" s="18">
        <f t="shared" si="19"/>
        <v>0</v>
      </c>
      <c r="L1027" s="63" t="s">
        <v>8626</v>
      </c>
      <c r="M1027" s="190">
        <v>39357</v>
      </c>
    </row>
    <row r="1028" spans="2:13" ht="13.5" hidden="1" customHeight="1" x14ac:dyDescent="0.25">
      <c r="B1028" s="58">
        <v>45345</v>
      </c>
      <c r="C1028" s="59" t="s">
        <v>443</v>
      </c>
      <c r="D1028" s="61" t="s">
        <v>8122</v>
      </c>
      <c r="E1028" s="61" t="s">
        <v>8627</v>
      </c>
      <c r="F1028" s="61"/>
      <c r="G1028" s="61" t="s">
        <v>7569</v>
      </c>
      <c r="H1028" s="61" t="s">
        <v>8614</v>
      </c>
      <c r="I1028" s="62">
        <v>980</v>
      </c>
      <c r="J1028" s="4">
        <f>SUMIF(Cargas!$C$5:$C$3470,C1028,Cargas!$O$5:$O$3470)</f>
        <v>980</v>
      </c>
      <c r="K1028" s="18">
        <f t="shared" si="19"/>
        <v>0</v>
      </c>
      <c r="L1028" s="63" t="s">
        <v>8628</v>
      </c>
      <c r="M1028" s="190">
        <v>39227</v>
      </c>
    </row>
    <row r="1029" spans="2:13" ht="13.5" hidden="1" customHeight="1" x14ac:dyDescent="0.25">
      <c r="B1029" s="58">
        <v>45348</v>
      </c>
      <c r="C1029" s="59" t="s">
        <v>455</v>
      </c>
      <c r="D1029" s="61" t="s">
        <v>8125</v>
      </c>
      <c r="E1029" s="61" t="s">
        <v>8548</v>
      </c>
      <c r="F1029" s="61"/>
      <c r="G1029" s="61" t="s">
        <v>7569</v>
      </c>
      <c r="H1029" s="61" t="s">
        <v>8608</v>
      </c>
      <c r="I1029" s="62">
        <v>972</v>
      </c>
      <c r="J1029" s="4">
        <f>SUMIF(Cargas!$C$5:$C$3470,C1029,Cargas!$O$5:$O$3470)</f>
        <v>972</v>
      </c>
      <c r="K1029" s="18">
        <f t="shared" si="19"/>
        <v>0</v>
      </c>
      <c r="L1029" s="63" t="s">
        <v>8629</v>
      </c>
      <c r="M1029" s="190">
        <v>39423</v>
      </c>
    </row>
    <row r="1030" spans="2:13" ht="13.5" hidden="1" customHeight="1" x14ac:dyDescent="0.25">
      <c r="B1030" s="58">
        <v>45348</v>
      </c>
      <c r="C1030" s="59" t="s">
        <v>458</v>
      </c>
      <c r="D1030" s="61" t="s">
        <v>8128</v>
      </c>
      <c r="E1030" s="61" t="s">
        <v>7877</v>
      </c>
      <c r="F1030" s="61"/>
      <c r="G1030" s="61" t="s">
        <v>7569</v>
      </c>
      <c r="H1030" s="61"/>
      <c r="I1030" s="62">
        <f>930*2</f>
        <v>1860</v>
      </c>
      <c r="J1030" s="4">
        <f>SUMIF(Cargas!$C$5:$C$3470,C1030,Cargas!$O$5:$O$3470)</f>
        <v>1860</v>
      </c>
      <c r="K1030" s="18">
        <f t="shared" si="19"/>
        <v>0</v>
      </c>
      <c r="L1030" s="63"/>
      <c r="M1030" s="190">
        <v>39138</v>
      </c>
    </row>
    <row r="1031" spans="2:13" ht="13.5" hidden="1" customHeight="1" x14ac:dyDescent="0.25">
      <c r="B1031" s="58">
        <v>45355</v>
      </c>
      <c r="C1031" s="59" t="s">
        <v>476</v>
      </c>
      <c r="D1031" s="61" t="s">
        <v>8131</v>
      </c>
      <c r="E1031" s="61" t="s">
        <v>8600</v>
      </c>
      <c r="F1031" s="61"/>
      <c r="G1031" s="61" t="s">
        <v>7569</v>
      </c>
      <c r="H1031" s="61"/>
      <c r="I1031" s="62">
        <v>1960</v>
      </c>
      <c r="J1031" s="4">
        <f>SUMIF(Cargas!$C$5:$C$3470,C1031,Cargas!$O$5:$O$3470)</f>
        <v>1960</v>
      </c>
      <c r="K1031" s="18">
        <f t="shared" si="19"/>
        <v>0</v>
      </c>
      <c r="L1031" s="63" t="s">
        <v>8630</v>
      </c>
      <c r="M1031" s="190">
        <v>42827</v>
      </c>
    </row>
    <row r="1032" spans="2:13" ht="13.5" hidden="1" customHeight="1" x14ac:dyDescent="0.25">
      <c r="B1032" s="58">
        <v>45355</v>
      </c>
      <c r="C1032" s="59" t="s">
        <v>514</v>
      </c>
      <c r="D1032" s="61" t="s">
        <v>8134</v>
      </c>
      <c r="E1032" s="61" t="s">
        <v>7877</v>
      </c>
      <c r="F1032" s="61"/>
      <c r="G1032" s="61" t="s">
        <v>7569</v>
      </c>
      <c r="H1032" s="61"/>
      <c r="I1032" s="62">
        <v>1860</v>
      </c>
      <c r="J1032" s="4">
        <f>SUMIF(Cargas!$C$5:$C$3470,C1032,Cargas!$O$5:$O$3470)</f>
        <v>1860</v>
      </c>
      <c r="K1032" s="18">
        <f t="shared" si="19"/>
        <v>0</v>
      </c>
      <c r="L1032" s="63" t="s">
        <v>8631</v>
      </c>
      <c r="M1032" s="190">
        <v>42869</v>
      </c>
    </row>
    <row r="1033" spans="2:13" ht="13.5" hidden="1" customHeight="1" x14ac:dyDescent="0.25">
      <c r="B1033" s="58">
        <v>45351</v>
      </c>
      <c r="C1033" s="59" t="s">
        <v>486</v>
      </c>
      <c r="D1033" s="61" t="s">
        <v>8137</v>
      </c>
      <c r="E1033" s="61" t="s">
        <v>8548</v>
      </c>
      <c r="F1033" s="61"/>
      <c r="G1033" s="61" t="s">
        <v>7569</v>
      </c>
      <c r="H1033" s="61"/>
      <c r="I1033" s="62">
        <v>1944</v>
      </c>
      <c r="J1033" s="4">
        <f>SUMIF(Cargas!$C$5:$C$3470,C1033,Cargas!$O$5:$O$3470)</f>
        <v>1944</v>
      </c>
      <c r="K1033" s="18">
        <f t="shared" si="19"/>
        <v>0</v>
      </c>
      <c r="L1033" s="63" t="s">
        <v>8632</v>
      </c>
      <c r="M1033" s="190">
        <v>43961</v>
      </c>
    </row>
    <row r="1034" spans="2:13" ht="13.5" hidden="1" customHeight="1" x14ac:dyDescent="0.25">
      <c r="B1034" s="58">
        <v>45355</v>
      </c>
      <c r="C1034" s="59" t="s">
        <v>481</v>
      </c>
      <c r="D1034" s="61" t="s">
        <v>8140</v>
      </c>
      <c r="E1034" s="61" t="s">
        <v>8523</v>
      </c>
      <c r="F1034" s="61"/>
      <c r="G1034" s="61" t="s">
        <v>7569</v>
      </c>
      <c r="H1034" s="61"/>
      <c r="I1034" s="62">
        <v>1960</v>
      </c>
      <c r="J1034" s="4">
        <f>SUMIF(Cargas!$C$5:$C$3470,C1034,Cargas!$O$5:$O$3470)</f>
        <v>1960</v>
      </c>
      <c r="K1034" s="18">
        <f t="shared" si="19"/>
        <v>0</v>
      </c>
      <c r="L1034" s="63" t="s">
        <v>8633</v>
      </c>
      <c r="M1034" s="190">
        <v>42904</v>
      </c>
    </row>
    <row r="1035" spans="2:13" ht="13.5" hidden="1" customHeight="1" x14ac:dyDescent="0.25">
      <c r="B1035" s="58">
        <v>45357</v>
      </c>
      <c r="C1035" s="59" t="s">
        <v>511</v>
      </c>
      <c r="D1035" s="61" t="s">
        <v>8144</v>
      </c>
      <c r="E1035" s="61" t="s">
        <v>8523</v>
      </c>
      <c r="F1035" s="61"/>
      <c r="G1035" s="61" t="s">
        <v>7569</v>
      </c>
      <c r="H1035" s="61"/>
      <c r="I1035" s="62">
        <v>980</v>
      </c>
      <c r="J1035" s="4">
        <f>SUMIF(Cargas!$C$5:$C$3470,C1035,Cargas!$O$5:$O$3470)</f>
        <v>980</v>
      </c>
      <c r="K1035" s="18">
        <f t="shared" si="19"/>
        <v>0</v>
      </c>
      <c r="L1035" s="63" t="s">
        <v>8634</v>
      </c>
      <c r="M1035" s="190">
        <v>44818</v>
      </c>
    </row>
    <row r="1036" spans="2:13" ht="13.5" hidden="1" customHeight="1" x14ac:dyDescent="0.25">
      <c r="B1036" s="58">
        <v>45357</v>
      </c>
      <c r="C1036" s="59" t="s">
        <v>526</v>
      </c>
      <c r="D1036" s="61" t="s">
        <v>8147</v>
      </c>
      <c r="E1036" s="61" t="s">
        <v>8595</v>
      </c>
      <c r="F1036" s="61"/>
      <c r="G1036" s="61" t="s">
        <v>7569</v>
      </c>
      <c r="H1036" s="61"/>
      <c r="I1036" s="62">
        <v>980</v>
      </c>
      <c r="J1036" s="4">
        <f>SUMIF(Cargas!$C$5:$C$3470,C1036,Cargas!$O$5:$O$3470)</f>
        <v>980</v>
      </c>
      <c r="K1036" s="18">
        <f t="shared" si="19"/>
        <v>0</v>
      </c>
      <c r="L1036" s="63" t="s">
        <v>8635</v>
      </c>
      <c r="M1036" s="190">
        <v>47376</v>
      </c>
    </row>
    <row r="1037" spans="2:13" ht="13.5" hidden="1" customHeight="1" x14ac:dyDescent="0.25">
      <c r="B1037" s="58">
        <v>45357</v>
      </c>
      <c r="C1037" s="59" t="s">
        <v>534</v>
      </c>
      <c r="D1037" s="61" t="s">
        <v>8147</v>
      </c>
      <c r="E1037" s="61" t="s">
        <v>8595</v>
      </c>
      <c r="F1037" s="61"/>
      <c r="G1037" s="61" t="s">
        <v>7569</v>
      </c>
      <c r="H1037" s="61"/>
      <c r="I1037" s="62">
        <v>980</v>
      </c>
      <c r="J1037" s="4">
        <f>SUMIF(Cargas!$C$5:$C$3470,C1037,Cargas!$O$5:$O$3470)</f>
        <v>980</v>
      </c>
      <c r="K1037" s="18">
        <f t="shared" si="19"/>
        <v>0</v>
      </c>
      <c r="L1037" s="63" t="s">
        <v>8635</v>
      </c>
      <c r="M1037" s="190">
        <v>47376</v>
      </c>
    </row>
    <row r="1038" spans="2:13" ht="13.5" hidden="1" customHeight="1" x14ac:dyDescent="0.25">
      <c r="B1038" s="58">
        <v>45362</v>
      </c>
      <c r="C1038" s="59" t="s">
        <v>521</v>
      </c>
      <c r="D1038" s="61" t="s">
        <v>8150</v>
      </c>
      <c r="E1038" s="61" t="s">
        <v>8600</v>
      </c>
      <c r="F1038" s="61"/>
      <c r="G1038" s="61" t="s">
        <v>7569</v>
      </c>
      <c r="H1038" s="61"/>
      <c r="I1038" s="62">
        <v>2940</v>
      </c>
      <c r="J1038" s="4">
        <f>SUMIF(Cargas!$C$5:$C$3470,C1038,Cargas!$O$5:$O$3470)</f>
        <v>2940</v>
      </c>
      <c r="K1038" s="18">
        <f t="shared" si="19"/>
        <v>0</v>
      </c>
      <c r="L1038" s="63">
        <v>1486718</v>
      </c>
      <c r="M1038" s="190">
        <v>46703</v>
      </c>
    </row>
    <row r="1039" spans="2:13" ht="13.5" hidden="1" customHeight="1" x14ac:dyDescent="0.25">
      <c r="B1039" s="58">
        <v>45359</v>
      </c>
      <c r="C1039" s="59" t="s">
        <v>556</v>
      </c>
      <c r="D1039" s="61" t="s">
        <v>8153</v>
      </c>
      <c r="E1039" s="61" t="s">
        <v>8548</v>
      </c>
      <c r="F1039" s="61"/>
      <c r="G1039" s="61" t="s">
        <v>7569</v>
      </c>
      <c r="H1039" s="61"/>
      <c r="I1039" s="62">
        <v>972</v>
      </c>
      <c r="J1039" s="4">
        <f>SUMIF(Cargas!$C$5:$C$3470,C1039,Cargas!$O$5:$O$3470)</f>
        <v>972</v>
      </c>
      <c r="K1039" s="18">
        <f t="shared" si="19"/>
        <v>0</v>
      </c>
      <c r="L1039" s="63" t="s">
        <v>8636</v>
      </c>
      <c r="M1039" s="190">
        <v>50042</v>
      </c>
    </row>
    <row r="1040" spans="2:13" ht="13.5" hidden="1" customHeight="1" x14ac:dyDescent="0.25">
      <c r="B1040" s="58">
        <v>45362</v>
      </c>
      <c r="C1040" s="59" t="s">
        <v>531</v>
      </c>
      <c r="D1040" s="61" t="s">
        <v>8156</v>
      </c>
      <c r="E1040" s="61" t="s">
        <v>8523</v>
      </c>
      <c r="F1040" s="61"/>
      <c r="G1040" s="61" t="s">
        <v>7569</v>
      </c>
      <c r="H1040" s="61"/>
      <c r="I1040" s="62">
        <v>1960</v>
      </c>
      <c r="J1040" s="4">
        <f>SUMIF(Cargas!$C$5:$C$3470,C1040,Cargas!$O$5:$O$3470)</f>
        <v>1960</v>
      </c>
      <c r="K1040" s="18">
        <f t="shared" si="19"/>
        <v>0</v>
      </c>
      <c r="L1040" s="63" t="s">
        <v>8637</v>
      </c>
      <c r="M1040" s="190">
        <v>47906</v>
      </c>
    </row>
    <row r="1041" spans="2:13" ht="13.5" hidden="1" customHeight="1" x14ac:dyDescent="0.25">
      <c r="B1041" s="58">
        <v>45362</v>
      </c>
      <c r="C1041" s="59" t="s">
        <v>559</v>
      </c>
      <c r="D1041" s="61" t="s">
        <v>8159</v>
      </c>
      <c r="E1041" s="61" t="s">
        <v>7877</v>
      </c>
      <c r="F1041" s="61"/>
      <c r="G1041" s="61" t="s">
        <v>7569</v>
      </c>
      <c r="H1041" s="61"/>
      <c r="I1041" s="62">
        <v>1860</v>
      </c>
      <c r="J1041" s="4">
        <f>SUMIF(Cargas!$C$5:$C$3470,C1041,Cargas!$O$5:$O$3470)</f>
        <v>1860</v>
      </c>
      <c r="K1041" s="18">
        <f t="shared" si="19"/>
        <v>0</v>
      </c>
      <c r="L1041" s="63" t="s">
        <v>8638</v>
      </c>
      <c r="M1041" s="190">
        <v>48902</v>
      </c>
    </row>
    <row r="1042" spans="2:13" ht="13.5" hidden="1" customHeight="1" x14ac:dyDescent="0.25">
      <c r="B1042" s="58">
        <v>45364</v>
      </c>
      <c r="C1042" s="59" t="s">
        <v>566</v>
      </c>
      <c r="D1042" s="61" t="s">
        <v>8162</v>
      </c>
      <c r="E1042" s="61" t="s">
        <v>8600</v>
      </c>
      <c r="F1042" s="61"/>
      <c r="G1042" s="61" t="s">
        <v>7569</v>
      </c>
      <c r="H1042" s="61"/>
      <c r="I1042" s="62">
        <v>980</v>
      </c>
      <c r="J1042" s="4">
        <f>SUMIF(Cargas!$C$5:$C$3470,C1042,Cargas!$O$5:$O$3470)</f>
        <v>980</v>
      </c>
      <c r="K1042" s="18">
        <f t="shared" si="19"/>
        <v>0</v>
      </c>
      <c r="L1042" s="63" t="s">
        <v>8639</v>
      </c>
      <c r="M1042" s="190">
        <v>49620</v>
      </c>
    </row>
    <row r="1043" spans="2:13" ht="13.5" hidden="1" customHeight="1" x14ac:dyDescent="0.25">
      <c r="B1043" s="58">
        <v>45364</v>
      </c>
      <c r="C1043" s="59" t="s">
        <v>577</v>
      </c>
      <c r="D1043" s="61" t="s">
        <v>8165</v>
      </c>
      <c r="E1043" s="61" t="s">
        <v>7877</v>
      </c>
      <c r="F1043" s="61"/>
      <c r="G1043" s="61" t="s">
        <v>7569</v>
      </c>
      <c r="H1043" s="61"/>
      <c r="I1043" s="62">
        <v>930</v>
      </c>
      <c r="J1043" s="4">
        <f>SUMIF(Cargas!$C$5:$C$3470,C1043,Cargas!$O$5:$O$3470)</f>
        <v>930</v>
      </c>
      <c r="K1043" s="18">
        <f t="shared" si="19"/>
        <v>0</v>
      </c>
      <c r="L1043" s="63" t="s">
        <v>8640</v>
      </c>
      <c r="M1043" s="190">
        <v>49647</v>
      </c>
    </row>
    <row r="1044" spans="2:13" ht="13.5" hidden="1" customHeight="1" x14ac:dyDescent="0.25">
      <c r="B1044" s="58">
        <v>45363</v>
      </c>
      <c r="C1044" s="59" t="s">
        <v>590</v>
      </c>
      <c r="D1044" s="61" t="s">
        <v>8168</v>
      </c>
      <c r="E1044" s="61" t="s">
        <v>8595</v>
      </c>
      <c r="F1044" s="61"/>
      <c r="G1044" s="61" t="s">
        <v>7569</v>
      </c>
      <c r="H1044" s="61" t="s">
        <v>8608</v>
      </c>
      <c r="I1044" s="62">
        <v>1960</v>
      </c>
      <c r="J1044" s="4">
        <f>SUMIF(Cargas!$C$5:$C$3470,C1044,Cargas!$O$5:$O$3470)</f>
        <v>1960</v>
      </c>
      <c r="K1044" s="18">
        <f t="shared" si="19"/>
        <v>0</v>
      </c>
      <c r="L1044" s="63" t="s">
        <v>8641</v>
      </c>
      <c r="M1044" s="190">
        <v>53868</v>
      </c>
    </row>
    <row r="1045" spans="2:13" ht="13.5" hidden="1" customHeight="1" x14ac:dyDescent="0.25">
      <c r="B1045" s="58">
        <v>45369</v>
      </c>
      <c r="C1045" s="59" t="s">
        <v>585</v>
      </c>
      <c r="D1045" s="61" t="s">
        <v>8171</v>
      </c>
      <c r="E1045" s="61" t="s">
        <v>8600</v>
      </c>
      <c r="F1045" s="61"/>
      <c r="G1045" s="61" t="s">
        <v>7569</v>
      </c>
      <c r="H1045" s="61"/>
      <c r="I1045" s="62">
        <v>2940</v>
      </c>
      <c r="J1045" s="4">
        <f>SUMIF(Cargas!$C$5:$C$3470,C1045,Cargas!$O$5:$O$3470)</f>
        <v>2940</v>
      </c>
      <c r="K1045" s="18">
        <f t="shared" si="19"/>
        <v>0</v>
      </c>
      <c r="L1045" s="63" t="s">
        <v>8642</v>
      </c>
      <c r="M1045" s="190">
        <v>53444</v>
      </c>
    </row>
    <row r="1046" spans="2:13" ht="13.5" hidden="1" customHeight="1" x14ac:dyDescent="0.25">
      <c r="B1046" s="58">
        <v>45370</v>
      </c>
      <c r="C1046" s="59" t="s">
        <v>624</v>
      </c>
      <c r="D1046" s="61" t="s">
        <v>8174</v>
      </c>
      <c r="E1046" s="61" t="s">
        <v>7877</v>
      </c>
      <c r="F1046" s="61"/>
      <c r="G1046" s="61" t="s">
        <v>7569</v>
      </c>
      <c r="H1046" s="61"/>
      <c r="I1046" s="62">
        <v>930</v>
      </c>
      <c r="J1046" s="4">
        <f>SUMIF(Cargas!$C$5:$C$3470,C1046,Cargas!$O$5:$O$3470)</f>
        <v>930</v>
      </c>
      <c r="K1046" s="18">
        <f t="shared" si="19"/>
        <v>0</v>
      </c>
      <c r="L1046" s="63" t="s">
        <v>8643</v>
      </c>
      <c r="M1046" s="190">
        <v>53589</v>
      </c>
    </row>
    <row r="1047" spans="2:13" ht="13.5" hidden="1" customHeight="1" x14ac:dyDescent="0.25">
      <c r="B1047" s="58">
        <v>45370</v>
      </c>
      <c r="C1047" s="59" t="s">
        <v>632</v>
      </c>
      <c r="D1047" s="61" t="s">
        <v>8174</v>
      </c>
      <c r="E1047" s="61" t="s">
        <v>7877</v>
      </c>
      <c r="F1047" s="61"/>
      <c r="G1047" s="61" t="s">
        <v>7569</v>
      </c>
      <c r="H1047" s="61"/>
      <c r="I1047" s="62">
        <v>930</v>
      </c>
      <c r="J1047" s="4">
        <f>SUMIF(Cargas!$C$5:$C$3470,C1047,Cargas!$O$5:$O$3470)</f>
        <v>930</v>
      </c>
      <c r="K1047" s="18">
        <f t="shared" si="19"/>
        <v>0</v>
      </c>
      <c r="L1047" s="63" t="s">
        <v>8643</v>
      </c>
      <c r="M1047" s="190">
        <v>53589</v>
      </c>
    </row>
    <row r="1048" spans="2:13" ht="13.5" hidden="1" customHeight="1" x14ac:dyDescent="0.25">
      <c r="B1048" s="58">
        <v>45369</v>
      </c>
      <c r="C1048" s="59" t="s">
        <v>597</v>
      </c>
      <c r="D1048" s="61" t="s">
        <v>8177</v>
      </c>
      <c r="E1048" s="61" t="s">
        <v>8523</v>
      </c>
      <c r="F1048" s="61"/>
      <c r="G1048" s="61" t="s">
        <v>7569</v>
      </c>
      <c r="H1048" s="61"/>
      <c r="I1048" s="62">
        <v>2940</v>
      </c>
      <c r="J1048" s="4">
        <f>SUMIF(Cargas!$C$5:$C$3470,C1048,Cargas!$O$5:$O$3470)</f>
        <v>2940</v>
      </c>
      <c r="K1048" s="18">
        <f t="shared" si="19"/>
        <v>0</v>
      </c>
      <c r="L1048" s="63" t="s">
        <v>8644</v>
      </c>
      <c r="M1048" s="190">
        <v>54426</v>
      </c>
    </row>
    <row r="1049" spans="2:13" ht="13.5" hidden="1" customHeight="1" x14ac:dyDescent="0.25">
      <c r="B1049" s="58">
        <v>45371</v>
      </c>
      <c r="C1049" s="59" t="s">
        <v>646</v>
      </c>
      <c r="D1049" s="61" t="s">
        <v>8180</v>
      </c>
      <c r="E1049" s="61" t="s">
        <v>7877</v>
      </c>
      <c r="F1049" s="61"/>
      <c r="G1049" s="61" t="s">
        <v>7569</v>
      </c>
      <c r="H1049" s="61"/>
      <c r="I1049" s="62">
        <v>930</v>
      </c>
      <c r="J1049" s="4">
        <f>SUMIF(Cargas!$C$5:$C$3470,C1049,Cargas!$O$5:$O$3470)</f>
        <v>930</v>
      </c>
      <c r="K1049" s="18">
        <f t="shared" si="19"/>
        <v>0</v>
      </c>
      <c r="L1049" s="63" t="s">
        <v>8645</v>
      </c>
      <c r="M1049" s="190">
        <v>55457</v>
      </c>
    </row>
    <row r="1050" spans="2:13" ht="13.5" hidden="1" customHeight="1" x14ac:dyDescent="0.25">
      <c r="B1050" s="58">
        <v>45371</v>
      </c>
      <c r="C1050" s="59" t="s">
        <v>658</v>
      </c>
      <c r="D1050" s="61" t="s">
        <v>8183</v>
      </c>
      <c r="E1050" s="61" t="s">
        <v>8595</v>
      </c>
      <c r="F1050" s="61"/>
      <c r="G1050" s="61" t="s">
        <v>7569</v>
      </c>
      <c r="H1050" s="61"/>
      <c r="I1050" s="62">
        <v>980</v>
      </c>
      <c r="J1050" s="4">
        <f>SUMIF(Cargas!$C$5:$C$3470,C1050,Cargas!$O$5:$O$3470)</f>
        <v>980</v>
      </c>
      <c r="K1050" s="18">
        <f t="shared" si="19"/>
        <v>0</v>
      </c>
      <c r="L1050" s="63" t="s">
        <v>8646</v>
      </c>
      <c r="M1050" s="190">
        <v>57433</v>
      </c>
    </row>
    <row r="1051" spans="2:13" ht="13.5" hidden="1" customHeight="1" x14ac:dyDescent="0.25">
      <c r="B1051" s="58">
        <v>45376</v>
      </c>
      <c r="C1051" s="59" t="s">
        <v>653</v>
      </c>
      <c r="D1051" s="61" t="s">
        <v>8186</v>
      </c>
      <c r="E1051" s="61" t="s">
        <v>8600</v>
      </c>
      <c r="F1051" s="61"/>
      <c r="G1051" s="61" t="s">
        <v>7569</v>
      </c>
      <c r="H1051" s="61"/>
      <c r="I1051" s="62">
        <v>3920</v>
      </c>
      <c r="J1051" s="4">
        <f>SUMIF(Cargas!$C$5:$C$3470,C1051,Cargas!$O$5:$O$3470)</f>
        <v>3920</v>
      </c>
      <c r="K1051" s="18">
        <f t="shared" si="19"/>
        <v>0</v>
      </c>
      <c r="L1051" s="63" t="s">
        <v>8647</v>
      </c>
      <c r="M1051" s="190">
        <v>57381</v>
      </c>
    </row>
    <row r="1052" spans="2:13" ht="13.5" hidden="1" customHeight="1" x14ac:dyDescent="0.25">
      <c r="B1052" s="58">
        <v>45373</v>
      </c>
      <c r="C1052" s="59" t="s">
        <v>650</v>
      </c>
      <c r="D1052" s="61" t="s">
        <v>8189</v>
      </c>
      <c r="E1052" s="61" t="s">
        <v>8523</v>
      </c>
      <c r="F1052" s="61"/>
      <c r="G1052" s="61" t="s">
        <v>7569</v>
      </c>
      <c r="H1052" s="61"/>
      <c r="I1052" s="62">
        <v>1960</v>
      </c>
      <c r="J1052" s="4">
        <f>SUMIF(Cargas!$C$5:$C$3470,C1052,Cargas!$O$5:$O$3470)</f>
        <v>1960</v>
      </c>
      <c r="K1052" s="18">
        <f t="shared" si="19"/>
        <v>0</v>
      </c>
      <c r="L1052" s="63" t="s">
        <v>8648</v>
      </c>
      <c r="M1052" s="190">
        <v>57405</v>
      </c>
    </row>
    <row r="1053" spans="2:13" ht="13.5" hidden="1" customHeight="1" x14ac:dyDescent="0.25">
      <c r="B1053" s="58">
        <v>45371</v>
      </c>
      <c r="C1053" s="59" t="s">
        <v>694</v>
      </c>
      <c r="D1053" s="61" t="s">
        <v>8192</v>
      </c>
      <c r="E1053" s="61" t="s">
        <v>8548</v>
      </c>
      <c r="F1053" s="61"/>
      <c r="G1053" s="61" t="s">
        <v>7569</v>
      </c>
      <c r="H1053" s="61"/>
      <c r="I1053" s="62">
        <v>972</v>
      </c>
      <c r="J1053" s="4">
        <f>SUMIF(Cargas!$C$5:$C$3470,C1053,Cargas!$O$5:$O$3470)</f>
        <v>972</v>
      </c>
      <c r="K1053" s="18">
        <f t="shared" si="19"/>
        <v>0</v>
      </c>
      <c r="L1053" s="63" t="s">
        <v>8649</v>
      </c>
      <c r="M1053" s="190">
        <v>57759</v>
      </c>
    </row>
    <row r="1054" spans="2:13" ht="13.5" hidden="1" customHeight="1" x14ac:dyDescent="0.25">
      <c r="B1054" s="58">
        <v>45376</v>
      </c>
      <c r="C1054" s="59" t="s">
        <v>702</v>
      </c>
      <c r="D1054" s="61" t="s">
        <v>8195</v>
      </c>
      <c r="E1054" s="61" t="s">
        <v>7877</v>
      </c>
      <c r="F1054" s="61"/>
      <c r="G1054" s="61" t="s">
        <v>7569</v>
      </c>
      <c r="H1054" s="61"/>
      <c r="I1054" s="62">
        <v>1860</v>
      </c>
      <c r="J1054" s="4">
        <f>SUMIF(Cargas!$C$5:$C$3470,C1054,Cargas!$O$5:$O$3470)</f>
        <v>1860</v>
      </c>
      <c r="K1054" s="18">
        <f t="shared" si="19"/>
        <v>0</v>
      </c>
      <c r="L1054" s="63" t="s">
        <v>8650</v>
      </c>
      <c r="M1054" s="190">
        <v>57361</v>
      </c>
    </row>
    <row r="1055" spans="2:13" ht="13.5" hidden="1" customHeight="1" x14ac:dyDescent="0.25">
      <c r="B1055" s="58">
        <v>45400</v>
      </c>
      <c r="C1055" s="59" t="s">
        <v>8651</v>
      </c>
      <c r="D1055" s="61" t="s">
        <v>6852</v>
      </c>
      <c r="E1055" s="61" t="s">
        <v>6764</v>
      </c>
      <c r="F1055" s="61"/>
      <c r="G1055" s="61" t="s">
        <v>6443</v>
      </c>
      <c r="H1055" s="61" t="s">
        <v>8574</v>
      </c>
      <c r="I1055" s="62">
        <v>6048</v>
      </c>
      <c r="J1055" s="4">
        <f>SUMIF(Cargas!$C$5:$C$3470,C1055,Cargas!$O$5:$O$3470)</f>
        <v>0</v>
      </c>
      <c r="K1055" s="18">
        <f t="shared" si="19"/>
        <v>6048</v>
      </c>
      <c r="L1055" s="63" t="s">
        <v>8652</v>
      </c>
      <c r="M1055" s="64">
        <v>75247</v>
      </c>
    </row>
    <row r="1056" spans="2:13" ht="13.5" hidden="1" customHeight="1" x14ac:dyDescent="0.25">
      <c r="B1056" s="58">
        <v>45411</v>
      </c>
      <c r="C1056" s="59" t="s">
        <v>957</v>
      </c>
      <c r="D1056" s="61" t="s">
        <v>6855</v>
      </c>
      <c r="E1056" s="61" t="s">
        <v>6764</v>
      </c>
      <c r="F1056" s="61"/>
      <c r="G1056" s="61" t="s">
        <v>6443</v>
      </c>
      <c r="H1056" s="61" t="s">
        <v>6768</v>
      </c>
      <c r="I1056" s="62">
        <v>3600</v>
      </c>
      <c r="J1056" s="4">
        <f>SUMIF(Cargas!$C$5:$C$3470,C1056,Cargas!$O$5:$O$3470)</f>
        <v>3600</v>
      </c>
      <c r="K1056" s="18">
        <f t="shared" si="19"/>
        <v>0</v>
      </c>
      <c r="L1056" s="63" t="s">
        <v>8653</v>
      </c>
      <c r="M1056" s="64">
        <v>82331</v>
      </c>
    </row>
    <row r="1057" spans="2:13" ht="13.5" hidden="1" customHeight="1" x14ac:dyDescent="0.25">
      <c r="B1057" s="58">
        <v>45411</v>
      </c>
      <c r="C1057" s="59" t="s">
        <v>969</v>
      </c>
      <c r="D1057" s="61" t="s">
        <v>6858</v>
      </c>
      <c r="E1057" s="61" t="s">
        <v>6764</v>
      </c>
      <c r="F1057" s="61"/>
      <c r="G1057" s="61" t="s">
        <v>6443</v>
      </c>
      <c r="H1057" s="61" t="s">
        <v>8574</v>
      </c>
      <c r="I1057" s="62">
        <v>5940</v>
      </c>
      <c r="J1057" s="4">
        <f>SUMIF(Cargas!$C$5:$C$3470,C1057,Cargas!$O$5:$O$3470)</f>
        <v>5940</v>
      </c>
      <c r="K1057" s="18">
        <f t="shared" si="19"/>
        <v>0</v>
      </c>
      <c r="L1057" s="63" t="s">
        <v>8654</v>
      </c>
      <c r="M1057" s="64">
        <v>82348</v>
      </c>
    </row>
    <row r="1058" spans="2:13" ht="13.5" hidden="1" customHeight="1" x14ac:dyDescent="0.25">
      <c r="B1058" s="58">
        <v>45411</v>
      </c>
      <c r="C1058" s="59" t="s">
        <v>981</v>
      </c>
      <c r="D1058" s="61" t="s">
        <v>6861</v>
      </c>
      <c r="E1058" s="61" t="s">
        <v>6764</v>
      </c>
      <c r="F1058" s="61"/>
      <c r="G1058" s="61" t="s">
        <v>6443</v>
      </c>
      <c r="H1058" s="61" t="s">
        <v>6963</v>
      </c>
      <c r="I1058" s="62">
        <v>5940</v>
      </c>
      <c r="J1058" s="4">
        <f>SUMIF(Cargas!$C$5:$C$3470,C1058,Cargas!$O$5:$O$3470)</f>
        <v>5940</v>
      </c>
      <c r="K1058" s="18">
        <f t="shared" si="19"/>
        <v>0</v>
      </c>
      <c r="L1058" s="63" t="s">
        <v>8655</v>
      </c>
      <c r="M1058" s="64">
        <v>82385</v>
      </c>
    </row>
    <row r="1059" spans="2:13" ht="13.5" hidden="1" customHeight="1" x14ac:dyDescent="0.25">
      <c r="B1059" s="58">
        <v>45462</v>
      </c>
      <c r="C1059" s="59" t="s">
        <v>1444</v>
      </c>
      <c r="D1059" s="61" t="s">
        <v>6507</v>
      </c>
      <c r="E1059" s="61" t="s">
        <v>7934</v>
      </c>
      <c r="F1059" s="61"/>
      <c r="G1059" s="61" t="s">
        <v>6443</v>
      </c>
      <c r="H1059" s="61" t="s">
        <v>6444</v>
      </c>
      <c r="I1059" s="62">
        <v>1104</v>
      </c>
      <c r="J1059" s="4">
        <f>SUMIF(Cargas!$C$5:$C$3470,C1059,Cargas!$O$5:$O$3470)</f>
        <v>1104</v>
      </c>
      <c r="K1059" s="18">
        <f t="shared" si="19"/>
        <v>0</v>
      </c>
      <c r="L1059" s="63" t="s">
        <v>8656</v>
      </c>
      <c r="M1059" s="64">
        <v>122606</v>
      </c>
    </row>
    <row r="1060" spans="2:13" ht="13.5" hidden="1" customHeight="1" x14ac:dyDescent="0.25">
      <c r="B1060" s="58">
        <v>45462</v>
      </c>
      <c r="C1060" s="59" t="s">
        <v>1448</v>
      </c>
      <c r="D1060" s="61" t="s">
        <v>6507</v>
      </c>
      <c r="E1060" s="61" t="s">
        <v>7934</v>
      </c>
      <c r="F1060" s="61"/>
      <c r="G1060" s="61" t="s">
        <v>6443</v>
      </c>
      <c r="H1060" s="61" t="s">
        <v>6444</v>
      </c>
      <c r="I1060" s="62">
        <v>1104</v>
      </c>
      <c r="J1060" s="4">
        <f>SUMIF(Cargas!$C$5:$C$3470,C1060,Cargas!$O$5:$O$3470)</f>
        <v>1104</v>
      </c>
      <c r="K1060" s="18">
        <f t="shared" si="19"/>
        <v>0</v>
      </c>
      <c r="L1060" s="63" t="s">
        <v>8657</v>
      </c>
      <c r="M1060" s="64">
        <v>122606</v>
      </c>
    </row>
    <row r="1061" spans="2:13" ht="13.5" hidden="1" customHeight="1" x14ac:dyDescent="0.25">
      <c r="B1061" s="58">
        <v>45415</v>
      </c>
      <c r="C1061" s="59" t="s">
        <v>1006</v>
      </c>
      <c r="D1061" s="61" t="s">
        <v>6865</v>
      </c>
      <c r="E1061" s="61" t="s">
        <v>6764</v>
      </c>
      <c r="F1061" s="61"/>
      <c r="G1061" s="61" t="s">
        <v>6443</v>
      </c>
      <c r="H1061" s="61" t="s">
        <v>6444</v>
      </c>
      <c r="I1061" s="62">
        <v>3672</v>
      </c>
      <c r="J1061" s="4">
        <f>SUMIF(Cargas!$C$5:$C$3470,C1061,Cargas!$O$5:$O$3470)</f>
        <v>3672</v>
      </c>
      <c r="K1061" s="18">
        <f t="shared" si="19"/>
        <v>0</v>
      </c>
      <c r="L1061" s="63" t="s">
        <v>8658</v>
      </c>
      <c r="M1061" s="64">
        <v>86929</v>
      </c>
    </row>
    <row r="1062" spans="2:13" ht="13.5" hidden="1" customHeight="1" x14ac:dyDescent="0.25">
      <c r="B1062" s="58">
        <v>45421</v>
      </c>
      <c r="C1062" s="59" t="s">
        <v>1040</v>
      </c>
      <c r="D1062" s="61" t="s">
        <v>6868</v>
      </c>
      <c r="E1062" s="61" t="s">
        <v>6764</v>
      </c>
      <c r="F1062" s="61"/>
      <c r="G1062" s="61" t="s">
        <v>6443</v>
      </c>
      <c r="H1062" s="61" t="s">
        <v>8574</v>
      </c>
      <c r="I1062" s="62">
        <v>5940</v>
      </c>
      <c r="J1062" s="4">
        <f>SUMIF(Cargas!$C$5:$C$3470,C1062,Cargas!$O$5:$O$3470)</f>
        <v>5940</v>
      </c>
      <c r="K1062" s="18">
        <f t="shared" si="19"/>
        <v>0</v>
      </c>
      <c r="L1062" s="63" t="s">
        <v>8659</v>
      </c>
      <c r="M1062" s="64">
        <v>87713</v>
      </c>
    </row>
    <row r="1063" spans="2:13" ht="13.5" hidden="1" customHeight="1" x14ac:dyDescent="0.25">
      <c r="B1063" s="58">
        <v>45429</v>
      </c>
      <c r="C1063" s="59" t="s">
        <v>1103</v>
      </c>
      <c r="D1063" s="61" t="s">
        <v>6871</v>
      </c>
      <c r="E1063" s="61" t="s">
        <v>6764</v>
      </c>
      <c r="F1063" s="61"/>
      <c r="G1063" s="61" t="s">
        <v>6443</v>
      </c>
      <c r="H1063" s="61" t="s">
        <v>8660</v>
      </c>
      <c r="I1063" s="62">
        <v>3672</v>
      </c>
      <c r="J1063" s="4">
        <f>SUMIF(Cargas!$C$5:$C$3470,C1063,Cargas!$O$5:$O$3470)</f>
        <v>3672</v>
      </c>
      <c r="K1063" s="18">
        <f t="shared" si="19"/>
        <v>0</v>
      </c>
      <c r="L1063" s="63" t="s">
        <v>8661</v>
      </c>
      <c r="M1063" s="64">
        <v>94420</v>
      </c>
    </row>
    <row r="1064" spans="2:13" ht="13.5" hidden="1" customHeight="1" x14ac:dyDescent="0.25">
      <c r="B1064" s="58">
        <v>45433</v>
      </c>
      <c r="C1064" s="59" t="s">
        <v>1130</v>
      </c>
      <c r="D1064" s="61" t="s">
        <v>6874</v>
      </c>
      <c r="E1064" s="61" t="s">
        <v>6764</v>
      </c>
      <c r="F1064" s="61"/>
      <c r="G1064" s="61" t="s">
        <v>6443</v>
      </c>
      <c r="H1064" s="61" t="s">
        <v>8574</v>
      </c>
      <c r="I1064" s="62">
        <v>5940</v>
      </c>
      <c r="J1064" s="4">
        <f>SUMIF(Cargas!$C$5:$C$3470,C1064,Cargas!$O$5:$O$3470)</f>
        <v>5940</v>
      </c>
      <c r="K1064" s="18">
        <f t="shared" si="19"/>
        <v>0</v>
      </c>
      <c r="L1064" s="63">
        <v>1493027</v>
      </c>
      <c r="M1064" s="64">
        <v>97386</v>
      </c>
    </row>
    <row r="1065" spans="2:13" ht="13.5" hidden="1" customHeight="1" x14ac:dyDescent="0.25">
      <c r="B1065" s="58">
        <v>45435</v>
      </c>
      <c r="C1065" s="59" t="s">
        <v>1209</v>
      </c>
      <c r="D1065" s="61" t="s">
        <v>6877</v>
      </c>
      <c r="E1065" s="61" t="s">
        <v>6764</v>
      </c>
      <c r="F1065" s="61"/>
      <c r="G1065" s="61" t="s">
        <v>6443</v>
      </c>
      <c r="H1065" s="61" t="s">
        <v>6768</v>
      </c>
      <c r="I1065" s="62">
        <v>3600</v>
      </c>
      <c r="J1065" s="4">
        <f>SUMIF(Cargas!$C$5:$C$3470,C1065,Cargas!$O$5:$O$3470)</f>
        <v>3600</v>
      </c>
      <c r="K1065" s="18">
        <f t="shared" si="19"/>
        <v>0</v>
      </c>
      <c r="L1065" s="63" t="s">
        <v>8662</v>
      </c>
      <c r="M1065" s="64">
        <v>105631</v>
      </c>
    </row>
    <row r="1066" spans="2:13" ht="13.5" hidden="1" customHeight="1" x14ac:dyDescent="0.25">
      <c r="B1066" s="58">
        <v>45435</v>
      </c>
      <c r="C1066" s="59" t="s">
        <v>1152</v>
      </c>
      <c r="D1066" s="61" t="s">
        <v>6880</v>
      </c>
      <c r="E1066" s="61" t="s">
        <v>6764</v>
      </c>
      <c r="F1066" s="61"/>
      <c r="G1066" s="61" t="s">
        <v>6443</v>
      </c>
      <c r="H1066" s="61" t="s">
        <v>8574</v>
      </c>
      <c r="I1066" s="62">
        <v>5940</v>
      </c>
      <c r="J1066" s="4">
        <f>SUMIF(Cargas!$C$5:$C$3470,C1066,Cargas!$O$5:$O$3470)</f>
        <v>5940</v>
      </c>
      <c r="K1066" s="18">
        <f t="shared" si="19"/>
        <v>0</v>
      </c>
      <c r="L1066" s="63" t="s">
        <v>8663</v>
      </c>
      <c r="M1066" s="64">
        <v>99543</v>
      </c>
    </row>
    <row r="1067" spans="2:13" ht="13.5" hidden="1" customHeight="1" x14ac:dyDescent="0.25">
      <c r="B1067" s="58">
        <v>45435</v>
      </c>
      <c r="C1067" s="59" t="s">
        <v>1154</v>
      </c>
      <c r="D1067" s="61" t="s">
        <v>6882</v>
      </c>
      <c r="E1067" s="61" t="s">
        <v>6764</v>
      </c>
      <c r="F1067" s="61"/>
      <c r="G1067" s="61" t="s">
        <v>6443</v>
      </c>
      <c r="H1067" s="61" t="s">
        <v>6963</v>
      </c>
      <c r="I1067" s="62">
        <v>5940</v>
      </c>
      <c r="J1067" s="4">
        <f>SUMIF(Cargas!$C$5:$C$3470,C1067,Cargas!$O$5:$O$3470)</f>
        <v>5940</v>
      </c>
      <c r="K1067" s="18">
        <f t="shared" si="19"/>
        <v>0</v>
      </c>
      <c r="L1067" s="63" t="s">
        <v>8664</v>
      </c>
      <c r="M1067" s="64">
        <v>99570</v>
      </c>
    </row>
    <row r="1068" spans="2:13" ht="13.5" hidden="1" customHeight="1" x14ac:dyDescent="0.25">
      <c r="B1068" s="58">
        <v>45435</v>
      </c>
      <c r="C1068" s="59" t="s">
        <v>1175</v>
      </c>
      <c r="D1068" s="61" t="s">
        <v>6885</v>
      </c>
      <c r="E1068" s="61" t="s">
        <v>6764</v>
      </c>
      <c r="F1068" s="61"/>
      <c r="G1068" s="61" t="s">
        <v>6443</v>
      </c>
      <c r="H1068" s="61" t="s">
        <v>8665</v>
      </c>
      <c r="I1068" s="62">
        <v>3960</v>
      </c>
      <c r="J1068" s="4">
        <f>SUMIF(Cargas!$C$5:$C$3470,C1068,Cargas!$O$5:$O$3470)</f>
        <v>3960</v>
      </c>
      <c r="K1068" s="18">
        <f t="shared" si="19"/>
        <v>0</v>
      </c>
      <c r="L1068" s="63" t="s">
        <v>8666</v>
      </c>
      <c r="M1068" s="64">
        <v>101651</v>
      </c>
    </row>
    <row r="1069" spans="2:13" ht="13.5" hidden="1" customHeight="1" x14ac:dyDescent="0.25">
      <c r="B1069" s="58">
        <v>45475</v>
      </c>
      <c r="C1069" s="59" t="s">
        <v>1536</v>
      </c>
      <c r="D1069" s="61" t="s">
        <v>6510</v>
      </c>
      <c r="E1069" s="61" t="s">
        <v>7934</v>
      </c>
      <c r="F1069" s="61"/>
      <c r="G1069" s="61" t="s">
        <v>6443</v>
      </c>
      <c r="H1069" s="61" t="s">
        <v>7888</v>
      </c>
      <c r="I1069" s="62">
        <v>1104</v>
      </c>
      <c r="J1069" s="4">
        <f>SUMIF(Cargas!$C$5:$C$3470,C1069,Cargas!$O$5:$O$3470)</f>
        <v>1104</v>
      </c>
      <c r="K1069" s="18">
        <f t="shared" si="19"/>
        <v>0</v>
      </c>
      <c r="L1069" s="63" t="s">
        <v>8667</v>
      </c>
      <c r="M1069" s="64">
        <v>132424</v>
      </c>
    </row>
    <row r="1070" spans="2:13" ht="13.5" hidden="1" customHeight="1" x14ac:dyDescent="0.25">
      <c r="B1070" s="58">
        <v>45477</v>
      </c>
      <c r="C1070" s="59" t="s">
        <v>1543</v>
      </c>
      <c r="D1070" s="61" t="s">
        <v>6514</v>
      </c>
      <c r="E1070" s="61" t="s">
        <v>7934</v>
      </c>
      <c r="F1070" s="61"/>
      <c r="G1070" s="61" t="s">
        <v>6443</v>
      </c>
      <c r="H1070" s="61" t="s">
        <v>7888</v>
      </c>
      <c r="I1070" s="62">
        <v>1104</v>
      </c>
      <c r="J1070" s="4">
        <f>SUMIF(Cargas!$C$5:$C$3470,C1070,Cargas!$O$5:$O$3470)</f>
        <v>1104</v>
      </c>
      <c r="K1070" s="18">
        <f t="shared" si="19"/>
        <v>0</v>
      </c>
      <c r="L1070" s="63"/>
      <c r="M1070" s="64">
        <v>132986</v>
      </c>
    </row>
    <row r="1071" spans="2:13" ht="13.5" hidden="1" customHeight="1" x14ac:dyDescent="0.25">
      <c r="B1071" s="58">
        <v>45481</v>
      </c>
      <c r="C1071" s="59" t="s">
        <v>1652</v>
      </c>
      <c r="D1071" s="61" t="s">
        <v>6517</v>
      </c>
      <c r="E1071" s="61" t="s">
        <v>7934</v>
      </c>
      <c r="F1071" s="61"/>
      <c r="G1071" s="61" t="s">
        <v>6443</v>
      </c>
      <c r="H1071" s="61" t="s">
        <v>8660</v>
      </c>
      <c r="I1071" s="62">
        <v>1104</v>
      </c>
      <c r="J1071" s="4">
        <f>SUMIF(Cargas!$C$5:$C$3470,C1071,Cargas!$O$5:$O$3470)</f>
        <v>1104</v>
      </c>
      <c r="K1071" s="18">
        <f t="shared" si="19"/>
        <v>0</v>
      </c>
      <c r="L1071" s="63"/>
      <c r="M1071" s="64">
        <v>132999</v>
      </c>
    </row>
    <row r="1072" spans="2:13" ht="13.5" hidden="1" customHeight="1" x14ac:dyDescent="0.25">
      <c r="B1072" s="58">
        <v>45446</v>
      </c>
      <c r="C1072" s="59" t="s">
        <v>1218</v>
      </c>
      <c r="D1072" s="61" t="s">
        <v>6888</v>
      </c>
      <c r="E1072" s="61" t="s">
        <v>6764</v>
      </c>
      <c r="F1072" s="61"/>
      <c r="G1072" s="61" t="s">
        <v>6443</v>
      </c>
      <c r="H1072" s="61" t="s">
        <v>8574</v>
      </c>
      <c r="I1072" s="62">
        <v>5940</v>
      </c>
      <c r="J1072" s="4">
        <f>SUMIF(Cargas!$C$5:$C$3470,C1072,Cargas!$O$5:$O$3470)</f>
        <v>5940</v>
      </c>
      <c r="K1072" s="18">
        <f t="shared" si="19"/>
        <v>0</v>
      </c>
      <c r="L1072" s="63" t="s">
        <v>8668</v>
      </c>
      <c r="M1072" s="64">
        <v>105644</v>
      </c>
    </row>
    <row r="1073" spans="2:13" ht="13.5" hidden="1" customHeight="1" x14ac:dyDescent="0.25">
      <c r="B1073" s="58">
        <v>45449</v>
      </c>
      <c r="C1073" s="59" t="s">
        <v>1249</v>
      </c>
      <c r="D1073" s="61" t="s">
        <v>6891</v>
      </c>
      <c r="E1073" s="61" t="s">
        <v>6764</v>
      </c>
      <c r="F1073" s="61"/>
      <c r="G1073" s="61" t="s">
        <v>6443</v>
      </c>
      <c r="H1073" s="61" t="s">
        <v>6444</v>
      </c>
      <c r="I1073" s="62">
        <f>918*6</f>
        <v>5508</v>
      </c>
      <c r="J1073" s="4">
        <f>SUMIF(Cargas!$C$5:$C$3470,C1073,Cargas!$O$5:$O$3470)</f>
        <v>5508</v>
      </c>
      <c r="K1073" s="18">
        <f t="shared" si="19"/>
        <v>0</v>
      </c>
      <c r="L1073" s="63" t="s">
        <v>8669</v>
      </c>
      <c r="M1073" s="64">
        <v>109772</v>
      </c>
    </row>
    <row r="1074" spans="2:13" ht="13.5" hidden="1" customHeight="1" x14ac:dyDescent="0.25">
      <c r="B1074" s="58">
        <v>45453</v>
      </c>
      <c r="C1074" s="59" t="s">
        <v>1288</v>
      </c>
      <c r="D1074" s="61" t="s">
        <v>6894</v>
      </c>
      <c r="E1074" s="61" t="s">
        <v>6764</v>
      </c>
      <c r="F1074" s="61"/>
      <c r="G1074" s="61" t="s">
        <v>6443</v>
      </c>
      <c r="H1074" s="61" t="s">
        <v>8574</v>
      </c>
      <c r="I1074" s="62">
        <v>5940</v>
      </c>
      <c r="J1074" s="4">
        <f>SUMIF(Cargas!$C$5:$C$3470,C1074,Cargas!$O$5:$O$3470)</f>
        <v>5940</v>
      </c>
      <c r="K1074" s="18">
        <f t="shared" si="19"/>
        <v>0</v>
      </c>
      <c r="L1074" s="63" t="s">
        <v>8670</v>
      </c>
      <c r="M1074" s="64">
        <v>112901</v>
      </c>
    </row>
    <row r="1075" spans="2:13" ht="13.5" hidden="1" customHeight="1" x14ac:dyDescent="0.25">
      <c r="B1075" s="58">
        <v>45407</v>
      </c>
      <c r="C1075" s="59" t="s">
        <v>992</v>
      </c>
      <c r="D1075" s="61" t="s">
        <v>7178</v>
      </c>
      <c r="E1075" s="61" t="s">
        <v>8471</v>
      </c>
      <c r="F1075" s="61"/>
      <c r="G1075" s="61" t="s">
        <v>6443</v>
      </c>
      <c r="H1075" s="61" t="s">
        <v>6444</v>
      </c>
      <c r="I1075" s="62">
        <v>1620</v>
      </c>
      <c r="J1075" s="4">
        <f>SUMIF(Cargas!$C$5:$C$3470,C1075,Cargas!$O$5:$O$3470)</f>
        <v>1620</v>
      </c>
      <c r="K1075" s="18">
        <f t="shared" si="19"/>
        <v>0</v>
      </c>
      <c r="L1075" s="63" t="s">
        <v>8671</v>
      </c>
      <c r="M1075" s="64">
        <v>85297</v>
      </c>
    </row>
    <row r="1076" spans="2:13" ht="13.5" hidden="1" customHeight="1" x14ac:dyDescent="0.25">
      <c r="B1076" s="58">
        <v>45454</v>
      </c>
      <c r="C1076" s="59" t="s">
        <v>1297</v>
      </c>
      <c r="D1076" s="61" t="s">
        <v>6897</v>
      </c>
      <c r="E1076" s="61" t="s">
        <v>6764</v>
      </c>
      <c r="F1076" s="61"/>
      <c r="G1076" s="61" t="s">
        <v>6443</v>
      </c>
      <c r="H1076" s="61" t="s">
        <v>6768</v>
      </c>
      <c r="I1076" s="62">
        <v>5508</v>
      </c>
      <c r="J1076" s="4">
        <f>SUMIF(Cargas!$C$5:$C$3470,C1076,Cargas!$O$5:$O$3470)</f>
        <v>5508</v>
      </c>
      <c r="K1076" s="18">
        <f t="shared" si="19"/>
        <v>0</v>
      </c>
      <c r="L1076" s="63" t="s">
        <v>8672</v>
      </c>
      <c r="M1076" s="64">
        <v>112908</v>
      </c>
    </row>
    <row r="1077" spans="2:13" ht="13.5" hidden="1" customHeight="1" x14ac:dyDescent="0.25">
      <c r="B1077" s="58">
        <v>45457</v>
      </c>
      <c r="C1077" s="59" t="s">
        <v>1339</v>
      </c>
      <c r="D1077" s="61" t="s">
        <v>6901</v>
      </c>
      <c r="E1077" s="61" t="s">
        <v>6764</v>
      </c>
      <c r="F1077" s="61"/>
      <c r="G1077" s="61" t="s">
        <v>6443</v>
      </c>
      <c r="H1077" s="61" t="s">
        <v>8574</v>
      </c>
      <c r="I1077" s="62">
        <v>9900</v>
      </c>
      <c r="J1077" s="4">
        <f>SUMIF(Cargas!$C$5:$C$3470,C1077,Cargas!$O$5:$O$3470)</f>
        <v>9900</v>
      </c>
      <c r="K1077" s="18">
        <f t="shared" si="19"/>
        <v>0</v>
      </c>
      <c r="L1077" s="63" t="s">
        <v>8673</v>
      </c>
      <c r="M1077" s="64">
        <v>115040</v>
      </c>
    </row>
    <row r="1078" spans="2:13" ht="13.5" hidden="1" customHeight="1" x14ac:dyDescent="0.25">
      <c r="B1078" s="58">
        <v>45460</v>
      </c>
      <c r="C1078" s="59" t="s">
        <v>1359</v>
      </c>
      <c r="D1078" s="61" t="s">
        <v>6904</v>
      </c>
      <c r="E1078" s="61" t="s">
        <v>6764</v>
      </c>
      <c r="F1078" s="61"/>
      <c r="G1078" s="61" t="s">
        <v>6443</v>
      </c>
      <c r="H1078" s="61" t="s">
        <v>8660</v>
      </c>
      <c r="I1078" s="62">
        <v>5508</v>
      </c>
      <c r="J1078" s="4">
        <f>SUMIF(Cargas!$C$5:$C$3470,C1078,Cargas!$O$5:$O$3470)</f>
        <v>5508</v>
      </c>
      <c r="K1078" s="18">
        <f t="shared" si="19"/>
        <v>0</v>
      </c>
      <c r="L1078" s="63" t="s">
        <v>8674</v>
      </c>
      <c r="M1078" s="64">
        <v>117425</v>
      </c>
    </row>
    <row r="1079" spans="2:13" ht="13.5" hidden="1" customHeight="1" x14ac:dyDescent="0.25">
      <c r="B1079" s="58">
        <v>45460</v>
      </c>
      <c r="C1079" s="59" t="s">
        <v>1380</v>
      </c>
      <c r="D1079" s="61" t="s">
        <v>6907</v>
      </c>
      <c r="E1079" s="61" t="s">
        <v>6764</v>
      </c>
      <c r="F1079" s="61"/>
      <c r="G1079" s="61" t="s">
        <v>6443</v>
      </c>
      <c r="H1079" s="61" t="s">
        <v>6963</v>
      </c>
      <c r="I1079" s="62">
        <v>5940</v>
      </c>
      <c r="J1079" s="4">
        <f>SUMIF(Cargas!$C$5:$C$3470,C1079,Cargas!$O$5:$O$3470)</f>
        <v>5940</v>
      </c>
      <c r="K1079" s="18">
        <f t="shared" si="19"/>
        <v>0</v>
      </c>
      <c r="L1079" s="63" t="s">
        <v>8675</v>
      </c>
      <c r="M1079" s="64">
        <v>117430</v>
      </c>
    </row>
    <row r="1080" spans="2:13" ht="13.5" hidden="1" customHeight="1" x14ac:dyDescent="0.25">
      <c r="B1080" s="58">
        <v>45468</v>
      </c>
      <c r="C1080" s="59" t="s">
        <v>1428</v>
      </c>
      <c r="D1080" s="61" t="s">
        <v>6910</v>
      </c>
      <c r="E1080" s="61" t="s">
        <v>6764</v>
      </c>
      <c r="F1080" s="61"/>
      <c r="G1080" s="61" t="s">
        <v>6443</v>
      </c>
      <c r="H1080" s="61" t="s">
        <v>8574</v>
      </c>
      <c r="I1080" s="62">
        <v>9900</v>
      </c>
      <c r="J1080" s="4">
        <f>SUMIF(Cargas!$C$5:$C$3470,C1080,Cargas!$O$5:$O$3470)</f>
        <v>9900</v>
      </c>
      <c r="K1080" s="18">
        <f t="shared" si="19"/>
        <v>0</v>
      </c>
      <c r="L1080" s="63" t="s">
        <v>8676</v>
      </c>
      <c r="M1080" s="64">
        <v>122553</v>
      </c>
    </row>
    <row r="1081" spans="2:13" ht="13.5" hidden="1" customHeight="1" x14ac:dyDescent="0.25">
      <c r="B1081" s="58">
        <v>45468</v>
      </c>
      <c r="C1081" s="59" t="s">
        <v>1440</v>
      </c>
      <c r="D1081" s="61" t="s">
        <v>6913</v>
      </c>
      <c r="E1081" s="61" t="s">
        <v>6764</v>
      </c>
      <c r="F1081" s="61"/>
      <c r="G1081" s="61" t="s">
        <v>6443</v>
      </c>
      <c r="H1081" s="61" t="s">
        <v>6768</v>
      </c>
      <c r="I1081" s="62">
        <v>5508</v>
      </c>
      <c r="J1081" s="4">
        <f>SUMIF(Cargas!$C$5:$C$3470,C1081,Cargas!$O$5:$O$3470)</f>
        <v>5508</v>
      </c>
      <c r="K1081" s="18">
        <f t="shared" si="19"/>
        <v>0</v>
      </c>
      <c r="L1081" s="63" t="s">
        <v>8677</v>
      </c>
      <c r="M1081" s="64">
        <v>122721</v>
      </c>
    </row>
    <row r="1082" spans="2:13" ht="13.5" hidden="1" customHeight="1" x14ac:dyDescent="0.25">
      <c r="B1082" s="58">
        <v>45471</v>
      </c>
      <c r="C1082" s="59" t="s">
        <v>1470</v>
      </c>
      <c r="D1082" s="61" t="s">
        <v>3694</v>
      </c>
      <c r="E1082" s="61" t="s">
        <v>6764</v>
      </c>
      <c r="F1082" s="61"/>
      <c r="G1082" s="61" t="s">
        <v>6443</v>
      </c>
      <c r="H1082" s="61" t="s">
        <v>8660</v>
      </c>
      <c r="I1082" s="62">
        <v>5508</v>
      </c>
      <c r="J1082" s="4">
        <f>SUMIF(Cargas!$C$5:$C$3470,C1082,Cargas!$O$5:$O$3470)</f>
        <v>5508</v>
      </c>
      <c r="K1082" s="18">
        <f t="shared" si="19"/>
        <v>0</v>
      </c>
      <c r="L1082" s="63" t="s">
        <v>8678</v>
      </c>
      <c r="M1082" s="64">
        <v>124890</v>
      </c>
    </row>
    <row r="1083" spans="2:13" ht="13.5" hidden="1" customHeight="1" x14ac:dyDescent="0.25">
      <c r="B1083" s="58">
        <v>45477</v>
      </c>
      <c r="C1083" s="59" t="s">
        <v>1516</v>
      </c>
      <c r="D1083" s="61" t="s">
        <v>3704</v>
      </c>
      <c r="E1083" s="61" t="s">
        <v>6764</v>
      </c>
      <c r="F1083" s="61"/>
      <c r="G1083" s="61" t="s">
        <v>6443</v>
      </c>
      <c r="H1083" s="61" t="s">
        <v>8574</v>
      </c>
      <c r="I1083" s="62">
        <v>8910</v>
      </c>
      <c r="J1083" s="4">
        <f>SUMIF(Cargas!$C$5:$C$3470,C1083,Cargas!$O$5:$O$3470)</f>
        <v>8910</v>
      </c>
      <c r="K1083" s="18">
        <f t="shared" si="19"/>
        <v>0</v>
      </c>
      <c r="L1083" s="63" t="s">
        <v>8679</v>
      </c>
      <c r="M1083" s="64">
        <v>129715</v>
      </c>
    </row>
    <row r="1084" spans="2:13" ht="13.5" hidden="1" customHeight="1" x14ac:dyDescent="0.25">
      <c r="B1084" s="58">
        <v>45428</v>
      </c>
      <c r="C1084" s="59" t="s">
        <v>1131</v>
      </c>
      <c r="D1084" s="61" t="s">
        <v>7181</v>
      </c>
      <c r="E1084" s="61" t="s">
        <v>6442</v>
      </c>
      <c r="F1084" s="61"/>
      <c r="G1084" s="61" t="s">
        <v>6443</v>
      </c>
      <c r="H1084" s="61" t="s">
        <v>6444</v>
      </c>
      <c r="I1084" s="62">
        <v>1960</v>
      </c>
      <c r="J1084" s="4">
        <f>SUMIF(Cargas!$C$5:$C$3470,C1084,Cargas!$O$5:$O$3470)</f>
        <v>1960</v>
      </c>
      <c r="K1084" s="18">
        <f t="shared" si="19"/>
        <v>0</v>
      </c>
      <c r="L1084" s="63" t="s">
        <v>8680</v>
      </c>
      <c r="M1084" s="64">
        <v>97350</v>
      </c>
    </row>
    <row r="1085" spans="2:13" ht="13.5" hidden="1" customHeight="1" x14ac:dyDescent="0.25">
      <c r="B1085" s="58">
        <v>45427</v>
      </c>
      <c r="C1085" s="59" t="s">
        <v>1166</v>
      </c>
      <c r="D1085" s="61" t="s">
        <v>7208</v>
      </c>
      <c r="E1085" s="61" t="s">
        <v>8564</v>
      </c>
      <c r="F1085" s="61"/>
      <c r="G1085" s="61" t="s">
        <v>6665</v>
      </c>
      <c r="H1085" s="61" t="s">
        <v>6444</v>
      </c>
      <c r="I1085" s="62">
        <v>1658</v>
      </c>
      <c r="J1085" s="4">
        <f>SUMIF(Cargas!$C$5:$C$3470,C1085,Cargas!$O$5:$O$3470)</f>
        <v>1658</v>
      </c>
      <c r="K1085" s="18">
        <f t="shared" si="19"/>
        <v>0</v>
      </c>
      <c r="L1085" s="63" t="s">
        <v>8681</v>
      </c>
      <c r="M1085" s="64">
        <v>99415</v>
      </c>
    </row>
    <row r="1086" spans="2:13" ht="13.5" hidden="1" customHeight="1" x14ac:dyDescent="0.25">
      <c r="B1086" s="58">
        <v>45484</v>
      </c>
      <c r="C1086" s="59" t="s">
        <v>1569</v>
      </c>
      <c r="D1086" s="61" t="s">
        <v>3720</v>
      </c>
      <c r="E1086" s="61" t="s">
        <v>6764</v>
      </c>
      <c r="F1086" s="61"/>
      <c r="G1086" s="61" t="s">
        <v>6443</v>
      </c>
      <c r="H1086" s="61" t="s">
        <v>6963</v>
      </c>
      <c r="I1086" s="62">
        <v>5940</v>
      </c>
      <c r="J1086" s="4">
        <f>SUMIF(Cargas!$C$5:$C$3470,C1086,Cargas!$O$5:$O$3470)</f>
        <v>5940</v>
      </c>
      <c r="K1086" s="18">
        <f t="shared" ref="K1086:K1149" si="20">IF(ABS(I1086-J1086)&lt;20,0,I1086-J1086)</f>
        <v>0</v>
      </c>
      <c r="L1086" s="63" t="s">
        <v>8682</v>
      </c>
      <c r="M1086" s="64">
        <v>134545</v>
      </c>
    </row>
    <row r="1087" spans="2:13" ht="13.5" hidden="1" customHeight="1" x14ac:dyDescent="0.25">
      <c r="B1087" s="58">
        <v>45488</v>
      </c>
      <c r="C1087" s="59" t="s">
        <v>1594</v>
      </c>
      <c r="D1087" s="61" t="s">
        <v>3701</v>
      </c>
      <c r="E1087" s="61" t="s">
        <v>6764</v>
      </c>
      <c r="F1087" s="61"/>
      <c r="G1087" s="61" t="s">
        <v>6443</v>
      </c>
      <c r="H1087" s="61" t="s">
        <v>8660</v>
      </c>
      <c r="I1087" s="62">
        <v>5508</v>
      </c>
      <c r="J1087" s="4">
        <f>SUMIF(Cargas!$C$5:$C$3470,C1087,Cargas!$O$5:$O$3470)</f>
        <v>5508</v>
      </c>
      <c r="K1087" s="18">
        <f t="shared" si="20"/>
        <v>0</v>
      </c>
      <c r="L1087" s="63" t="s">
        <v>8683</v>
      </c>
      <c r="M1087" s="64">
        <v>136877</v>
      </c>
    </row>
    <row r="1088" spans="2:13" ht="13.5" hidden="1" customHeight="1" x14ac:dyDescent="0.25">
      <c r="B1088" s="58">
        <v>45489</v>
      </c>
      <c r="C1088" s="59" t="s">
        <v>1615</v>
      </c>
      <c r="D1088" s="61" t="s">
        <v>3712</v>
      </c>
      <c r="E1088" s="61" t="s">
        <v>6764</v>
      </c>
      <c r="F1088" s="61"/>
      <c r="G1088" s="61" t="s">
        <v>6443</v>
      </c>
      <c r="H1088" s="61" t="s">
        <v>8574</v>
      </c>
      <c r="I1088" s="62">
        <f>990*9</f>
        <v>8910</v>
      </c>
      <c r="J1088" s="4">
        <f>SUMIF(Cargas!$C$5:$C$3470,C1088,Cargas!$O$5:$O$3470)</f>
        <v>8910</v>
      </c>
      <c r="K1088" s="18">
        <f t="shared" si="20"/>
        <v>0</v>
      </c>
      <c r="L1088" s="63" t="s">
        <v>8684</v>
      </c>
      <c r="M1088" s="64">
        <v>136918</v>
      </c>
    </row>
    <row r="1089" spans="1:43" ht="13.5" hidden="1" customHeight="1" x14ac:dyDescent="0.25">
      <c r="B1089" s="58">
        <v>45489</v>
      </c>
      <c r="C1089" s="59" t="s">
        <v>1611</v>
      </c>
      <c r="D1089" s="61" t="s">
        <v>3703</v>
      </c>
      <c r="E1089" s="61" t="s">
        <v>6764</v>
      </c>
      <c r="F1089" s="61"/>
      <c r="G1089" s="61" t="s">
        <v>6443</v>
      </c>
      <c r="H1089" s="61" t="s">
        <v>6768</v>
      </c>
      <c r="I1089" s="62">
        <v>5508</v>
      </c>
      <c r="J1089" s="4">
        <f>SUMIF(Cargas!$C$5:$C$3470,C1089,Cargas!$O$5:$O$3470)</f>
        <v>5508</v>
      </c>
      <c r="K1089" s="18">
        <f t="shared" si="20"/>
        <v>0</v>
      </c>
      <c r="L1089" s="63" t="s">
        <v>8685</v>
      </c>
      <c r="M1089" s="64">
        <v>136935</v>
      </c>
    </row>
    <row r="1090" spans="1:43" ht="13.5" hidden="1" customHeight="1" x14ac:dyDescent="0.25">
      <c r="A1090" t="s">
        <v>8686</v>
      </c>
      <c r="B1090" s="191">
        <v>45498</v>
      </c>
      <c r="C1090" s="192" t="s">
        <v>1690</v>
      </c>
      <c r="D1090" s="193" t="s">
        <v>6926</v>
      </c>
      <c r="E1090" s="193" t="s">
        <v>6764</v>
      </c>
      <c r="F1090" s="193"/>
      <c r="G1090" s="61" t="s">
        <v>6443</v>
      </c>
      <c r="H1090" s="61" t="s">
        <v>8574</v>
      </c>
      <c r="I1090" s="62">
        <v>8910</v>
      </c>
      <c r="J1090" s="4">
        <f>SUMIF(Cargas!$C$5:$C$3470,C1090,Cargas!$O$5:$O$3470)</f>
        <v>8910</v>
      </c>
      <c r="K1090" s="18">
        <f t="shared" si="20"/>
        <v>0</v>
      </c>
      <c r="L1090" s="63" t="s">
        <v>8687</v>
      </c>
      <c r="M1090" s="64">
        <v>144863</v>
      </c>
    </row>
    <row r="1091" spans="1:43" ht="13.5" hidden="1" customHeight="1" x14ac:dyDescent="0.25">
      <c r="B1091" s="58">
        <v>45502</v>
      </c>
      <c r="C1091" s="59" t="s">
        <v>1695</v>
      </c>
      <c r="D1091" s="61" t="s">
        <v>6929</v>
      </c>
      <c r="E1091" s="61" t="s">
        <v>6764</v>
      </c>
      <c r="F1091" s="61"/>
      <c r="G1091" s="61" t="s">
        <v>6443</v>
      </c>
      <c r="H1091" s="61" t="s">
        <v>8574</v>
      </c>
      <c r="I1091" s="62">
        <v>900</v>
      </c>
      <c r="J1091" s="4">
        <f>SUMIF(Cargas!$C$5:$C$3470,C1091,Cargas!$O$5:$O$3470)</f>
        <v>900</v>
      </c>
      <c r="K1091" s="18">
        <f t="shared" si="20"/>
        <v>0</v>
      </c>
      <c r="L1091" s="63" t="s">
        <v>8688</v>
      </c>
      <c r="M1091" s="64">
        <v>145245</v>
      </c>
    </row>
    <row r="1092" spans="1:43" ht="13.5" hidden="1" customHeight="1" x14ac:dyDescent="0.25">
      <c r="B1092" s="58">
        <v>45506</v>
      </c>
      <c r="C1092" s="59" t="s">
        <v>1756</v>
      </c>
      <c r="D1092" s="61" t="s">
        <v>7491</v>
      </c>
      <c r="E1092" s="61" t="s">
        <v>6764</v>
      </c>
      <c r="F1092" s="61"/>
      <c r="G1092" s="61" t="s">
        <v>6443</v>
      </c>
      <c r="H1092" s="61" t="s">
        <v>8660</v>
      </c>
      <c r="I1092" s="62">
        <v>936</v>
      </c>
      <c r="J1092" s="4">
        <f>SUMIF(Cargas!$C$5:$C$3470,C1092,Cargas!$O$5:$O$3470)</f>
        <v>936</v>
      </c>
      <c r="K1092" s="18">
        <f t="shared" si="20"/>
        <v>0</v>
      </c>
      <c r="L1092" s="63" t="s">
        <v>8689</v>
      </c>
      <c r="M1092" s="64">
        <v>151683</v>
      </c>
    </row>
    <row r="1093" spans="1:43" ht="13.5" hidden="1" customHeight="1" x14ac:dyDescent="0.25">
      <c r="B1093" s="58">
        <v>45503</v>
      </c>
      <c r="C1093" s="59" t="s">
        <v>1769</v>
      </c>
      <c r="D1093" s="61" t="s">
        <v>6932</v>
      </c>
      <c r="E1093" s="61" t="s">
        <v>6764</v>
      </c>
      <c r="F1093" s="61"/>
      <c r="G1093" s="61" t="s">
        <v>6443</v>
      </c>
      <c r="H1093" s="61" t="s">
        <v>8690</v>
      </c>
      <c r="I1093" s="62">
        <v>936</v>
      </c>
      <c r="J1093" s="4">
        <f>SUMIF(Cargas!$C$5:$C$3470,C1093,Cargas!$O$5:$O$3470)</f>
        <v>936</v>
      </c>
      <c r="K1093" s="18">
        <f t="shared" si="20"/>
        <v>0</v>
      </c>
      <c r="L1093" s="63" t="s">
        <v>8691</v>
      </c>
      <c r="M1093" s="64">
        <v>153534</v>
      </c>
    </row>
    <row r="1094" spans="1:43" ht="13.5" hidden="1" customHeight="1" x14ac:dyDescent="0.25">
      <c r="B1094" s="58">
        <v>45506</v>
      </c>
      <c r="C1094" s="59" t="s">
        <v>1738</v>
      </c>
      <c r="D1094" s="61" t="s">
        <v>6935</v>
      </c>
      <c r="E1094" s="61" t="s">
        <v>6764</v>
      </c>
      <c r="F1094" s="61"/>
      <c r="G1094" s="61" t="s">
        <v>6443</v>
      </c>
      <c r="H1094" s="61" t="s">
        <v>8660</v>
      </c>
      <c r="I1094" s="62">
        <v>3672</v>
      </c>
      <c r="J1094" s="4">
        <f>SUMIF(Cargas!$C$5:$C$3470,C1094,Cargas!$O$5:$O$3470)</f>
        <v>3672</v>
      </c>
      <c r="K1094" s="18">
        <f t="shared" si="20"/>
        <v>0</v>
      </c>
      <c r="L1094" s="63" t="s">
        <v>8692</v>
      </c>
      <c r="M1094" s="64">
        <v>150284</v>
      </c>
    </row>
    <row r="1095" spans="1:43" ht="13.5" hidden="1" customHeight="1" x14ac:dyDescent="0.25">
      <c r="B1095" s="58">
        <v>45513</v>
      </c>
      <c r="C1095" s="59" t="s">
        <v>1780</v>
      </c>
      <c r="D1095" s="61" t="s">
        <v>6938</v>
      </c>
      <c r="E1095" s="61" t="s">
        <v>6764</v>
      </c>
      <c r="F1095" s="61"/>
      <c r="G1095" s="61" t="s">
        <v>6443</v>
      </c>
      <c r="H1095" s="61" t="s">
        <v>6768</v>
      </c>
      <c r="I1095" s="62">
        <v>4590</v>
      </c>
      <c r="J1095" s="4">
        <f>SUMIF(Cargas!$C$5:$C$3470,C1095,Cargas!$O$5:$O$3470)</f>
        <v>4590</v>
      </c>
      <c r="K1095" s="18">
        <f t="shared" si="20"/>
        <v>0</v>
      </c>
      <c r="L1095" s="63" t="s">
        <v>8693</v>
      </c>
      <c r="M1095" s="64">
        <v>154556</v>
      </c>
    </row>
    <row r="1096" spans="1:43" ht="13.5" hidden="1" customHeight="1" x14ac:dyDescent="0.25">
      <c r="B1096" s="58">
        <v>45512</v>
      </c>
      <c r="C1096" s="77" t="s">
        <v>1832</v>
      </c>
      <c r="D1096" s="78" t="s">
        <v>7500</v>
      </c>
      <c r="E1096" s="61" t="s">
        <v>6764</v>
      </c>
      <c r="F1096" s="61"/>
      <c r="G1096" s="61" t="s">
        <v>6443</v>
      </c>
      <c r="H1096" s="61" t="s">
        <v>8574</v>
      </c>
      <c r="I1096" s="62">
        <v>6930</v>
      </c>
      <c r="J1096" s="4">
        <f>SUMIF(Cargas!$C$5:$C$3470,C1096,Cargas!$O$5:$O$3470)</f>
        <v>6930</v>
      </c>
      <c r="K1096" s="18">
        <f t="shared" si="20"/>
        <v>0</v>
      </c>
      <c r="L1096" s="63" t="s">
        <v>8694</v>
      </c>
      <c r="M1096" s="64">
        <v>158933</v>
      </c>
    </row>
    <row r="1097" spans="1:43" ht="13.5" hidden="1" customHeight="1" x14ac:dyDescent="0.25">
      <c r="B1097" s="58">
        <v>45513</v>
      </c>
      <c r="C1097" s="59" t="s">
        <v>1817</v>
      </c>
      <c r="D1097" s="61" t="s">
        <v>6941</v>
      </c>
      <c r="E1097" s="61" t="s">
        <v>6764</v>
      </c>
      <c r="F1097" s="61"/>
      <c r="G1097" s="61" t="s">
        <v>6443</v>
      </c>
      <c r="H1097" s="61" t="s">
        <v>8660</v>
      </c>
      <c r="I1097" s="62">
        <v>936</v>
      </c>
      <c r="J1097" s="4">
        <f>SUMIF(Cargas!$C$5:$C$3470,C1097,Cargas!$O$5:$O$3470)</f>
        <v>936</v>
      </c>
      <c r="K1097" s="18">
        <f t="shared" si="20"/>
        <v>0</v>
      </c>
      <c r="L1097" s="63" t="s">
        <v>8695</v>
      </c>
      <c r="M1097" s="64">
        <v>158025</v>
      </c>
    </row>
    <row r="1098" spans="1:43" ht="13.5" hidden="1" customHeight="1" x14ac:dyDescent="0.25">
      <c r="B1098" s="58">
        <v>45516</v>
      </c>
      <c r="C1098" s="59" t="s">
        <v>1823</v>
      </c>
      <c r="D1098" s="61" t="s">
        <v>6944</v>
      </c>
      <c r="E1098" s="61" t="s">
        <v>6764</v>
      </c>
      <c r="F1098" s="61"/>
      <c r="G1098" s="61" t="s">
        <v>6443</v>
      </c>
      <c r="H1098" s="61" t="s">
        <v>8660</v>
      </c>
      <c r="I1098" s="62">
        <v>3672</v>
      </c>
      <c r="J1098" s="4">
        <f>SUMIF(Cargas!$C$5:$C$3470,C1098,Cargas!$O$5:$O$3470)</f>
        <v>3672</v>
      </c>
      <c r="K1098" s="18">
        <f t="shared" si="20"/>
        <v>0</v>
      </c>
      <c r="L1098" s="63" t="s">
        <v>8696</v>
      </c>
      <c r="M1098" s="64">
        <v>157985</v>
      </c>
    </row>
    <row r="1099" spans="1:43" ht="13.5" hidden="1" customHeight="1" x14ac:dyDescent="0.25">
      <c r="B1099" s="58">
        <v>45516</v>
      </c>
      <c r="C1099" s="59" t="s">
        <v>1813</v>
      </c>
      <c r="D1099" s="61" t="s">
        <v>6947</v>
      </c>
      <c r="E1099" s="61" t="s">
        <v>6764</v>
      </c>
      <c r="F1099" s="61"/>
      <c r="G1099" s="61" t="s">
        <v>6443</v>
      </c>
      <c r="H1099" s="61" t="s">
        <v>6963</v>
      </c>
      <c r="I1099" s="62">
        <v>3960</v>
      </c>
      <c r="J1099" s="4">
        <f>SUMIF(Cargas!$C$5:$C$3470,C1099,Cargas!$O$5:$O$3470)</f>
        <v>3960</v>
      </c>
      <c r="K1099" s="18">
        <f t="shared" si="20"/>
        <v>0</v>
      </c>
      <c r="L1099" s="63" t="s">
        <v>8697</v>
      </c>
      <c r="M1099" s="64">
        <v>157940</v>
      </c>
    </row>
    <row r="1100" spans="1:43" s="79" customFormat="1" ht="13.5" hidden="1" customHeight="1" x14ac:dyDescent="0.25">
      <c r="A1100" s="198"/>
      <c r="B1100" s="80">
        <v>45526</v>
      </c>
      <c r="C1100" s="77" t="s">
        <v>1886</v>
      </c>
      <c r="D1100" s="78" t="s">
        <v>6950</v>
      </c>
      <c r="E1100" s="78" t="s">
        <v>6764</v>
      </c>
      <c r="F1100" s="78"/>
      <c r="G1100" s="78" t="s">
        <v>6443</v>
      </c>
      <c r="H1100" s="78" t="s">
        <v>8574</v>
      </c>
      <c r="I1100" s="81">
        <v>8910</v>
      </c>
      <c r="J1100" s="82">
        <f>SUMIF(Cargas!$C$5:$C$3470,C1100,Cargas!$O$5:$O$3470)</f>
        <v>8910</v>
      </c>
      <c r="K1100" s="83">
        <f t="shared" si="20"/>
        <v>0</v>
      </c>
      <c r="L1100" s="84" t="s">
        <v>8698</v>
      </c>
      <c r="M1100" s="85">
        <v>165546</v>
      </c>
      <c r="N1100" s="198"/>
      <c r="O1100" s="198"/>
      <c r="P1100" s="198"/>
      <c r="Q1100" s="198"/>
      <c r="R1100" s="198"/>
      <c r="S1100" s="198"/>
      <c r="T1100" s="198"/>
      <c r="U1100" s="198"/>
      <c r="V1100" s="198"/>
      <c r="W1100" s="198"/>
      <c r="X1100" s="198"/>
      <c r="Y1100" s="198"/>
      <c r="Z1100" s="198"/>
      <c r="AA1100" s="198"/>
      <c r="AB1100" s="198"/>
      <c r="AC1100" s="198"/>
      <c r="AD1100" s="198"/>
      <c r="AE1100" s="198"/>
      <c r="AF1100" s="198"/>
      <c r="AG1100" s="198"/>
      <c r="AH1100" s="198"/>
      <c r="AI1100" s="198"/>
      <c r="AJ1100" s="198"/>
      <c r="AK1100" s="198"/>
      <c r="AL1100" s="198"/>
      <c r="AM1100" s="198"/>
      <c r="AN1100" s="198"/>
      <c r="AO1100" s="198"/>
      <c r="AP1100" s="198"/>
      <c r="AQ1100" s="198"/>
    </row>
    <row r="1101" spans="1:43" ht="13.5" hidden="1" customHeight="1" x14ac:dyDescent="0.25">
      <c r="B1101" s="58">
        <v>45526</v>
      </c>
      <c r="C1101" s="59" t="s">
        <v>1893</v>
      </c>
      <c r="D1101" s="61" t="s">
        <v>6953</v>
      </c>
      <c r="E1101" s="61" t="s">
        <v>6764</v>
      </c>
      <c r="F1101" s="61"/>
      <c r="G1101" s="61" t="s">
        <v>6443</v>
      </c>
      <c r="H1101" s="61" t="s">
        <v>6768</v>
      </c>
      <c r="I1101" s="62">
        <v>3672</v>
      </c>
      <c r="J1101" s="4">
        <f>SUMIF(Cargas!$C$5:$C$3470,C1101,Cargas!$O$5:$O$3470)</f>
        <v>3672</v>
      </c>
      <c r="K1101" s="18">
        <f t="shared" si="20"/>
        <v>0</v>
      </c>
      <c r="L1101" s="63" t="s">
        <v>8699</v>
      </c>
      <c r="M1101" s="64">
        <v>165549</v>
      </c>
    </row>
    <row r="1102" spans="1:43" ht="13.5" hidden="1" customHeight="1" x14ac:dyDescent="0.25">
      <c r="B1102" s="58">
        <v>45527</v>
      </c>
      <c r="C1102" s="59" t="s">
        <v>1909</v>
      </c>
      <c r="D1102" s="61" t="s">
        <v>6956</v>
      </c>
      <c r="E1102" s="61" t="s">
        <v>6764</v>
      </c>
      <c r="F1102" s="61"/>
      <c r="G1102" s="61" t="s">
        <v>6443</v>
      </c>
      <c r="H1102" s="61" t="s">
        <v>8660</v>
      </c>
      <c r="I1102" s="62">
        <v>1872</v>
      </c>
      <c r="J1102" s="4">
        <f>SUMIF(Cargas!$C$5:$C$3470,C1102,Cargas!$O$5:$O$3470)</f>
        <v>1872</v>
      </c>
      <c r="K1102" s="18">
        <f t="shared" si="20"/>
        <v>0</v>
      </c>
      <c r="L1102" s="63" t="s">
        <v>8700</v>
      </c>
      <c r="M1102" s="64">
        <v>166899</v>
      </c>
    </row>
    <row r="1103" spans="1:43" ht="13.5" hidden="1" customHeight="1" x14ac:dyDescent="0.25">
      <c r="B1103" s="58">
        <v>45534</v>
      </c>
      <c r="C1103" s="59" t="s">
        <v>1942</v>
      </c>
      <c r="D1103" s="61" t="s">
        <v>6959</v>
      </c>
      <c r="E1103" s="61" t="s">
        <v>6764</v>
      </c>
      <c r="F1103" s="61"/>
      <c r="G1103" s="61" t="s">
        <v>6443</v>
      </c>
      <c r="H1103" s="61" t="s">
        <v>6963</v>
      </c>
      <c r="I1103" s="62">
        <v>4950</v>
      </c>
      <c r="J1103" s="4">
        <f>SUMIF(Cargas!$C$5:$C$3470,C1103,Cargas!$O$5:$O$3470)</f>
        <v>4950</v>
      </c>
      <c r="K1103" s="18">
        <f t="shared" si="20"/>
        <v>0</v>
      </c>
      <c r="L1103" s="63" t="s">
        <v>8701</v>
      </c>
      <c r="M1103" s="64">
        <v>171304</v>
      </c>
    </row>
    <row r="1104" spans="1:43" s="93" customFormat="1" ht="13.5" hidden="1" customHeight="1" x14ac:dyDescent="0.25">
      <c r="B1104" s="86">
        <v>45538</v>
      </c>
      <c r="C1104" s="87" t="s">
        <v>1961</v>
      </c>
      <c r="D1104" s="88" t="s">
        <v>6962</v>
      </c>
      <c r="E1104" s="88" t="s">
        <v>6764</v>
      </c>
      <c r="F1104" s="88"/>
      <c r="G1104" s="88" t="s">
        <v>6443</v>
      </c>
      <c r="H1104" s="88" t="s">
        <v>8660</v>
      </c>
      <c r="I1104" s="89">
        <v>3672</v>
      </c>
      <c r="J1104" s="90">
        <f>SUMIF(Cargas!$C$5:$C$3470,C1104,Cargas!$O$5:$O$3470)</f>
        <v>3672</v>
      </c>
      <c r="K1104" s="91">
        <f t="shared" si="20"/>
        <v>0</v>
      </c>
      <c r="L1104" s="94" t="s">
        <v>8702</v>
      </c>
      <c r="M1104" s="92">
        <v>173451</v>
      </c>
    </row>
    <row r="1105" spans="2:13" s="93" customFormat="1" ht="13.5" hidden="1" customHeight="1" x14ac:dyDescent="0.25">
      <c r="B1105" s="86">
        <v>45538</v>
      </c>
      <c r="C1105" s="87" t="s">
        <v>1998</v>
      </c>
      <c r="D1105" s="88" t="s">
        <v>6966</v>
      </c>
      <c r="E1105" s="88" t="s">
        <v>6764</v>
      </c>
      <c r="F1105" s="88"/>
      <c r="G1105" s="88" t="s">
        <v>6443</v>
      </c>
      <c r="H1105" s="88" t="s">
        <v>7381</v>
      </c>
      <c r="I1105" s="89">
        <v>1872</v>
      </c>
      <c r="J1105" s="90">
        <f>SUMIF(Cargas!$C$5:$C$3470,C1105,Cargas!$O$5:$O$3470)</f>
        <v>1872</v>
      </c>
      <c r="K1105" s="91">
        <f t="shared" si="20"/>
        <v>0</v>
      </c>
      <c r="L1105" s="94" t="s">
        <v>8703</v>
      </c>
      <c r="M1105" s="92">
        <v>176700</v>
      </c>
    </row>
    <row r="1106" spans="2:13" s="93" customFormat="1" ht="13.5" hidden="1" customHeight="1" x14ac:dyDescent="0.25">
      <c r="B1106" s="86">
        <v>45538</v>
      </c>
      <c r="C1106" s="87" t="s">
        <v>1974</v>
      </c>
      <c r="D1106" s="88" t="s">
        <v>6969</v>
      </c>
      <c r="E1106" s="88" t="s">
        <v>6764</v>
      </c>
      <c r="F1106" s="88"/>
      <c r="G1106" s="88" t="s">
        <v>6443</v>
      </c>
      <c r="H1106" s="88" t="s">
        <v>8574</v>
      </c>
      <c r="I1106" s="89">
        <v>8910</v>
      </c>
      <c r="J1106" s="90">
        <f>SUMIF(Cargas!$C$5:$C$3470,C1106,Cargas!$O$5:$O$3470)</f>
        <v>8910</v>
      </c>
      <c r="K1106" s="91">
        <f t="shared" si="20"/>
        <v>0</v>
      </c>
      <c r="L1106" s="94" t="s">
        <v>8704</v>
      </c>
      <c r="M1106" s="92">
        <v>174421</v>
      </c>
    </row>
    <row r="1107" spans="2:13" s="93" customFormat="1" ht="13.5" hidden="1" customHeight="1" x14ac:dyDescent="0.25">
      <c r="B1107" s="86">
        <v>45546</v>
      </c>
      <c r="C1107" s="87" t="s">
        <v>2047</v>
      </c>
      <c r="D1107" s="88" t="s">
        <v>8705</v>
      </c>
      <c r="E1107" s="88" t="s">
        <v>6764</v>
      </c>
      <c r="F1107" s="88"/>
      <c r="G1107" s="88" t="s">
        <v>6443</v>
      </c>
      <c r="H1107" s="88" t="s">
        <v>7888</v>
      </c>
      <c r="I1107" s="89">
        <v>2808</v>
      </c>
      <c r="J1107" s="90">
        <f>SUMIF(Cargas!$C$5:$C$3470,C1107,Cargas!$O$5:$O$3470)</f>
        <v>2808</v>
      </c>
      <c r="K1107" s="91">
        <f t="shared" si="20"/>
        <v>0</v>
      </c>
      <c r="L1107" s="94" t="s">
        <v>8706</v>
      </c>
      <c r="M1107" s="92">
        <v>182381</v>
      </c>
    </row>
    <row r="1108" spans="2:13" s="93" customFormat="1" ht="13.5" hidden="1" customHeight="1" x14ac:dyDescent="0.25">
      <c r="B1108" s="86">
        <v>45548</v>
      </c>
      <c r="C1108" s="87" t="s">
        <v>2029</v>
      </c>
      <c r="D1108" s="88" t="s">
        <v>6972</v>
      </c>
      <c r="E1108" s="88" t="s">
        <v>6764</v>
      </c>
      <c r="F1108" s="88"/>
      <c r="G1108" s="88" t="s">
        <v>6443</v>
      </c>
      <c r="H1108" s="88" t="s">
        <v>6768</v>
      </c>
      <c r="I1108" s="89">
        <f>918*4</f>
        <v>3672</v>
      </c>
      <c r="J1108" s="90">
        <f>SUMIF(Cargas!$C$5:$C$3470,C1108,Cargas!$O$5:$O$3470)</f>
        <v>3672</v>
      </c>
      <c r="K1108" s="91">
        <f t="shared" si="20"/>
        <v>0</v>
      </c>
      <c r="L1108" s="94" t="s">
        <v>8707</v>
      </c>
      <c r="M1108" s="92">
        <v>182532</v>
      </c>
    </row>
    <row r="1109" spans="2:13" ht="13.5" hidden="1" customHeight="1" x14ac:dyDescent="0.25">
      <c r="B1109" s="58">
        <v>45497</v>
      </c>
      <c r="C1109" s="59" t="s">
        <v>1678</v>
      </c>
      <c r="D1109" s="61" t="s">
        <v>8708</v>
      </c>
      <c r="E1109" s="61" t="s">
        <v>8564</v>
      </c>
      <c r="F1109" s="61"/>
      <c r="G1109" s="61" t="s">
        <v>6443</v>
      </c>
      <c r="H1109" s="61" t="s">
        <v>8574</v>
      </c>
      <c r="I1109" s="62">
        <v>3960</v>
      </c>
      <c r="J1109" s="4">
        <f>SUMIF(Cargas!$C$5:$C$3470,C1109,Cargas!$O$5:$O$3470)</f>
        <v>3960</v>
      </c>
      <c r="K1109" s="18">
        <f t="shared" si="20"/>
        <v>0</v>
      </c>
      <c r="L1109" s="63" t="s">
        <v>8709</v>
      </c>
      <c r="M1109" s="64">
        <v>142675</v>
      </c>
    </row>
    <row r="1110" spans="2:13" ht="13.5" hidden="1" customHeight="1" x14ac:dyDescent="0.25">
      <c r="B1110" s="58">
        <v>45451</v>
      </c>
      <c r="C1110" s="59" t="s">
        <v>1270</v>
      </c>
      <c r="D1110" s="61" t="s">
        <v>7212</v>
      </c>
      <c r="E1110" s="61" t="s">
        <v>7756</v>
      </c>
      <c r="F1110" s="61"/>
      <c r="G1110" s="61" t="s">
        <v>6443</v>
      </c>
      <c r="H1110" s="61" t="s">
        <v>6444</v>
      </c>
      <c r="I1110" s="62">
        <v>25000</v>
      </c>
      <c r="J1110" s="4">
        <f>SUMIF(Cargas!$C$5:$C$3470,C1110,Cargas!$O$5:$O$3470)</f>
        <v>25000</v>
      </c>
      <c r="K1110" s="18">
        <f t="shared" si="20"/>
        <v>0</v>
      </c>
      <c r="L1110" s="63" t="s">
        <v>8710</v>
      </c>
      <c r="M1110" s="64">
        <v>110764</v>
      </c>
    </row>
    <row r="1111" spans="2:13" ht="13.5" hidden="1" customHeight="1" x14ac:dyDescent="0.25">
      <c r="B1111" s="58">
        <v>45383</v>
      </c>
      <c r="C1111" s="59" t="s">
        <v>712</v>
      </c>
      <c r="D1111" s="61" t="s">
        <v>8198</v>
      </c>
      <c r="E1111" s="61" t="s">
        <v>8600</v>
      </c>
      <c r="F1111" s="61"/>
      <c r="G1111" s="61" t="s">
        <v>7569</v>
      </c>
      <c r="H1111" s="61"/>
      <c r="I1111" s="62">
        <v>2940</v>
      </c>
      <c r="J1111" s="4">
        <f>SUMIF(Cargas!$C$5:$C$3470,C1111,Cargas!$O$5:$O$3470)</f>
        <v>2940</v>
      </c>
      <c r="K1111" s="18">
        <f t="shared" si="20"/>
        <v>0</v>
      </c>
      <c r="L1111" s="63" t="s">
        <v>8711</v>
      </c>
      <c r="M1111" s="190">
        <v>62420</v>
      </c>
    </row>
    <row r="1112" spans="2:13" ht="13.5" hidden="1" customHeight="1" x14ac:dyDescent="0.25">
      <c r="B1112" s="58">
        <v>45383</v>
      </c>
      <c r="C1112" s="59" t="s">
        <v>745</v>
      </c>
      <c r="D1112" s="61" t="s">
        <v>8200</v>
      </c>
      <c r="E1112" s="61" t="s">
        <v>7877</v>
      </c>
      <c r="F1112" s="61"/>
      <c r="G1112" s="61" t="s">
        <v>7569</v>
      </c>
      <c r="H1112" s="61"/>
      <c r="I1112" s="62">
        <v>1860</v>
      </c>
      <c r="J1112" s="4">
        <f>SUMIF(Cargas!$C$5:$C$3470,C1112,Cargas!$O$5:$O$3470)</f>
        <v>1860</v>
      </c>
      <c r="K1112" s="18">
        <f t="shared" si="20"/>
        <v>0</v>
      </c>
      <c r="L1112" s="63" t="s">
        <v>8712</v>
      </c>
      <c r="M1112" s="190">
        <v>62425</v>
      </c>
    </row>
    <row r="1113" spans="2:13" ht="13.5" hidden="1" customHeight="1" x14ac:dyDescent="0.25">
      <c r="B1113" s="58">
        <v>45376</v>
      </c>
      <c r="C1113" s="59" t="s">
        <v>717</v>
      </c>
      <c r="D1113" s="61" t="s">
        <v>8203</v>
      </c>
      <c r="E1113" s="61" t="s">
        <v>8595</v>
      </c>
      <c r="F1113" s="61"/>
      <c r="G1113" s="61" t="s">
        <v>7569</v>
      </c>
      <c r="H1113" s="61"/>
      <c r="I1113" s="62">
        <v>980</v>
      </c>
      <c r="J1113" s="4">
        <f>SUMIF(Cargas!$C$5:$C$3470,C1113,Cargas!$O$5:$O$3470)</f>
        <v>980</v>
      </c>
      <c r="K1113" s="18">
        <f t="shared" si="20"/>
        <v>0</v>
      </c>
      <c r="L1113" s="63" t="s">
        <v>8713</v>
      </c>
      <c r="M1113" s="190">
        <v>62417</v>
      </c>
    </row>
    <row r="1114" spans="2:13" ht="13.5" hidden="1" customHeight="1" x14ac:dyDescent="0.25">
      <c r="B1114" s="58">
        <v>45376</v>
      </c>
      <c r="C1114" s="59" t="s">
        <v>728</v>
      </c>
      <c r="D1114" s="61" t="s">
        <v>8206</v>
      </c>
      <c r="E1114" s="61" t="s">
        <v>8523</v>
      </c>
      <c r="F1114" s="61"/>
      <c r="G1114" s="61" t="s">
        <v>7569</v>
      </c>
      <c r="H1114" s="61"/>
      <c r="I1114" s="62">
        <v>980</v>
      </c>
      <c r="J1114" s="4">
        <f>SUMIF(Cargas!$C$5:$C$3470,C1114,Cargas!$O$5:$O$3470)</f>
        <v>980</v>
      </c>
      <c r="K1114" s="18">
        <f t="shared" si="20"/>
        <v>0</v>
      </c>
      <c r="L1114" s="63"/>
      <c r="M1114" s="190">
        <v>62409</v>
      </c>
    </row>
    <row r="1115" spans="2:13" ht="13.5" hidden="1" customHeight="1" x14ac:dyDescent="0.25">
      <c r="B1115" s="58">
        <v>45385</v>
      </c>
      <c r="C1115" s="59" t="s">
        <v>752</v>
      </c>
      <c r="D1115" s="61" t="s">
        <v>8209</v>
      </c>
      <c r="E1115" s="61" t="s">
        <v>8595</v>
      </c>
      <c r="F1115" s="61"/>
      <c r="G1115" s="61" t="s">
        <v>7569</v>
      </c>
      <c r="H1115" s="61"/>
      <c r="I1115" s="62">
        <v>980</v>
      </c>
      <c r="J1115" s="4">
        <f>SUMIF(Cargas!$C$5:$C$3470,C1115,Cargas!$O$5:$O$3470)</f>
        <v>980</v>
      </c>
      <c r="K1115" s="18">
        <f t="shared" si="20"/>
        <v>0</v>
      </c>
      <c r="L1115" s="63"/>
      <c r="M1115" s="190">
        <v>65658</v>
      </c>
    </row>
    <row r="1116" spans="2:13" ht="13.5" hidden="1" customHeight="1" x14ac:dyDescent="0.25">
      <c r="B1116" s="58">
        <v>45387</v>
      </c>
      <c r="C1116" s="59" t="s">
        <v>770</v>
      </c>
      <c r="D1116" s="61" t="s">
        <v>8212</v>
      </c>
      <c r="E1116" s="61" t="s">
        <v>8548</v>
      </c>
      <c r="F1116" s="61"/>
      <c r="G1116" s="61" t="s">
        <v>7569</v>
      </c>
      <c r="H1116" s="61"/>
      <c r="I1116" s="62">
        <v>980</v>
      </c>
      <c r="J1116" s="4">
        <f>SUMIF(Cargas!$C$5:$C$3470,C1116,Cargas!$O$5:$O$3470)</f>
        <v>980</v>
      </c>
      <c r="K1116" s="18">
        <f t="shared" si="20"/>
        <v>0</v>
      </c>
      <c r="L1116" s="63"/>
      <c r="M1116" s="190">
        <v>67005</v>
      </c>
    </row>
    <row r="1117" spans="2:13" ht="13.5" hidden="1" customHeight="1" x14ac:dyDescent="0.25">
      <c r="B1117" s="58">
        <v>45390</v>
      </c>
      <c r="C1117" s="59" t="s">
        <v>779</v>
      </c>
      <c r="D1117" s="61" t="s">
        <v>8215</v>
      </c>
      <c r="E1117" s="61" t="s">
        <v>7877</v>
      </c>
      <c r="F1117" s="61"/>
      <c r="G1117" s="61" t="s">
        <v>7569</v>
      </c>
      <c r="H1117" s="61"/>
      <c r="I1117" s="62">
        <v>1860</v>
      </c>
      <c r="J1117" s="4">
        <f>SUMIF(Cargas!$C$5:$C$3470,C1117,Cargas!$O$5:$O$3470)</f>
        <v>1860</v>
      </c>
      <c r="K1117" s="18">
        <f t="shared" si="20"/>
        <v>0</v>
      </c>
      <c r="L1117" s="63" t="s">
        <v>8714</v>
      </c>
      <c r="M1117" s="190">
        <v>67621</v>
      </c>
    </row>
    <row r="1118" spans="2:13" ht="13.5" hidden="1" customHeight="1" x14ac:dyDescent="0.25">
      <c r="B1118" s="58">
        <v>45387</v>
      </c>
      <c r="C1118" s="59" t="s">
        <v>773</v>
      </c>
      <c r="D1118" s="61" t="s">
        <v>8218</v>
      </c>
      <c r="E1118" s="61" t="s">
        <v>8523</v>
      </c>
      <c r="F1118" s="61"/>
      <c r="G1118" s="61" t="s">
        <v>7569</v>
      </c>
      <c r="H1118" s="61"/>
      <c r="I1118" s="62">
        <v>1960</v>
      </c>
      <c r="J1118" s="4">
        <f>SUMIF(Cargas!$C$5:$C$3470,C1118,Cargas!$O$5:$O$3470)</f>
        <v>1960</v>
      </c>
      <c r="K1118" s="18">
        <f t="shared" si="20"/>
        <v>0</v>
      </c>
      <c r="L1118" s="63" t="s">
        <v>8715</v>
      </c>
      <c r="M1118" s="190">
        <v>67645</v>
      </c>
    </row>
    <row r="1119" spans="2:13" ht="13.5" hidden="1" customHeight="1" x14ac:dyDescent="0.25">
      <c r="B1119" s="58">
        <v>45398</v>
      </c>
      <c r="C1119" s="59" t="s">
        <v>833</v>
      </c>
      <c r="D1119" s="61" t="s">
        <v>8221</v>
      </c>
      <c r="E1119" s="61" t="s">
        <v>7877</v>
      </c>
      <c r="F1119" s="61"/>
      <c r="G1119" s="61" t="s">
        <v>7569</v>
      </c>
      <c r="H1119" s="61"/>
      <c r="I1119" s="62">
        <v>930</v>
      </c>
      <c r="J1119" s="4">
        <f>SUMIF(Cargas!$C$5:$C$3470,C1119,Cargas!$O$5:$O$3470)</f>
        <v>930</v>
      </c>
      <c r="K1119" s="18">
        <f t="shared" si="20"/>
        <v>0</v>
      </c>
      <c r="L1119" s="63"/>
      <c r="M1119" s="190">
        <v>71703</v>
      </c>
    </row>
    <row r="1120" spans="2:13" ht="13.5" hidden="1" customHeight="1" x14ac:dyDescent="0.25">
      <c r="B1120" s="58">
        <v>45394</v>
      </c>
      <c r="C1120" s="59" t="s">
        <v>858</v>
      </c>
      <c r="D1120" s="61" t="s">
        <v>8224</v>
      </c>
      <c r="E1120" s="61" t="s">
        <v>8716</v>
      </c>
      <c r="F1120" s="61"/>
      <c r="G1120" s="61" t="s">
        <v>7569</v>
      </c>
      <c r="H1120" s="61"/>
      <c r="I1120" s="62">
        <v>1960</v>
      </c>
      <c r="J1120" s="4">
        <f>SUMIF(Cargas!$C$5:$C$3470,C1120,Cargas!$O$5:$O$3470)</f>
        <v>1960</v>
      </c>
      <c r="K1120" s="18">
        <f t="shared" si="20"/>
        <v>0</v>
      </c>
      <c r="L1120" s="63"/>
      <c r="M1120" s="190">
        <v>73688</v>
      </c>
    </row>
    <row r="1121" spans="1:13" ht="13.5" hidden="1" customHeight="1" x14ac:dyDescent="0.25">
      <c r="B1121" s="58">
        <v>45394</v>
      </c>
      <c r="C1121" s="59" t="s">
        <v>885</v>
      </c>
      <c r="D1121" s="61" t="s">
        <v>8227</v>
      </c>
      <c r="E1121" s="61" t="s">
        <v>8595</v>
      </c>
      <c r="F1121" s="61"/>
      <c r="G1121" s="61" t="s">
        <v>7569</v>
      </c>
      <c r="H1121" s="61"/>
      <c r="I1121" s="62">
        <v>980</v>
      </c>
      <c r="J1121" s="4">
        <f>SUMIF(Cargas!$C$5:$C$3470,C1121,Cargas!$O$5:$O$3470)</f>
        <v>980</v>
      </c>
      <c r="K1121" s="18">
        <f t="shared" si="20"/>
        <v>0</v>
      </c>
      <c r="L1121" s="63" t="s">
        <v>8717</v>
      </c>
      <c r="M1121" s="190">
        <v>74779</v>
      </c>
    </row>
    <row r="1122" spans="1:13" ht="13.5" hidden="1" customHeight="1" x14ac:dyDescent="0.25">
      <c r="B1122" s="58">
        <v>45401</v>
      </c>
      <c r="C1122" s="59" t="s">
        <v>898</v>
      </c>
      <c r="D1122" s="61" t="s">
        <v>8230</v>
      </c>
      <c r="E1122" s="61" t="s">
        <v>8523</v>
      </c>
      <c r="F1122" s="61"/>
      <c r="G1122" s="61" t="s">
        <v>7569</v>
      </c>
      <c r="H1122" s="61"/>
      <c r="I1122" s="62">
        <v>1960</v>
      </c>
      <c r="J1122" s="4">
        <f>SUMIF(Cargas!$C$5:$C$3470,C1122,Cargas!$O$5:$O$3470)</f>
        <v>1960</v>
      </c>
      <c r="K1122" s="18">
        <f t="shared" si="20"/>
        <v>0</v>
      </c>
      <c r="L1122" s="63"/>
      <c r="M1122" s="190">
        <v>76547</v>
      </c>
    </row>
    <row r="1123" spans="1:13" ht="13.5" hidden="1" customHeight="1" x14ac:dyDescent="0.25">
      <c r="B1123" s="58">
        <v>45404</v>
      </c>
      <c r="C1123" s="59" t="s">
        <v>901</v>
      </c>
      <c r="D1123" s="61" t="s">
        <v>8718</v>
      </c>
      <c r="E1123" s="61" t="s">
        <v>7877</v>
      </c>
      <c r="F1123" s="61"/>
      <c r="G1123" s="61" t="s">
        <v>7569</v>
      </c>
      <c r="H1123" s="61"/>
      <c r="I1123" s="62">
        <v>1860</v>
      </c>
      <c r="J1123" s="4">
        <f>SUMIF(Cargas!$C$5:$C$3470,C1123,Cargas!$O$5:$O$3470)</f>
        <v>1860</v>
      </c>
      <c r="K1123" s="18">
        <f t="shared" si="20"/>
        <v>0</v>
      </c>
      <c r="L1123" s="63" t="s">
        <v>8719</v>
      </c>
      <c r="M1123" s="190">
        <v>77303</v>
      </c>
    </row>
    <row r="1124" spans="1:13" ht="13.5" hidden="1" customHeight="1" x14ac:dyDescent="0.25">
      <c r="B1124" s="58">
        <v>45405</v>
      </c>
      <c r="C1124" s="59" t="s">
        <v>924</v>
      </c>
      <c r="D1124" s="61" t="s">
        <v>8236</v>
      </c>
      <c r="E1124" s="61" t="s">
        <v>8600</v>
      </c>
      <c r="F1124" s="61"/>
      <c r="G1124" s="61" t="s">
        <v>7569</v>
      </c>
      <c r="H1124" s="61"/>
      <c r="I1124" s="62">
        <v>980</v>
      </c>
      <c r="J1124" s="4">
        <f>SUMIF(Cargas!$C$5:$C$3470,C1124,Cargas!$O$5:$O$3470)</f>
        <v>980</v>
      </c>
      <c r="K1124" s="18">
        <f t="shared" si="20"/>
        <v>0</v>
      </c>
      <c r="L1124" s="63" t="s">
        <v>8720</v>
      </c>
      <c r="M1124" s="190">
        <v>77259</v>
      </c>
    </row>
    <row r="1125" spans="1:13" ht="13.5" hidden="1" customHeight="1" x14ac:dyDescent="0.25">
      <c r="B1125" s="58">
        <v>45404</v>
      </c>
      <c r="C1125" s="59" t="s">
        <v>946</v>
      </c>
      <c r="D1125" s="61" t="s">
        <v>8239</v>
      </c>
      <c r="E1125" s="61" t="s">
        <v>8548</v>
      </c>
      <c r="F1125" s="61"/>
      <c r="G1125" s="61" t="s">
        <v>7569</v>
      </c>
      <c r="H1125" s="61"/>
      <c r="I1125" s="62">
        <v>980</v>
      </c>
      <c r="J1125" s="4">
        <f>SUMIF(Cargas!$C$5:$C$3470,C1125,Cargas!$O$5:$O$3470)</f>
        <v>980</v>
      </c>
      <c r="K1125" s="18">
        <f t="shared" si="20"/>
        <v>0</v>
      </c>
      <c r="L1125" s="63" t="s">
        <v>8721</v>
      </c>
      <c r="M1125" s="190">
        <v>80826</v>
      </c>
    </row>
    <row r="1126" spans="1:13" ht="13.5" hidden="1" customHeight="1" x14ac:dyDescent="0.25">
      <c r="B1126" s="58">
        <v>45411</v>
      </c>
      <c r="C1126" s="59" t="s">
        <v>972</v>
      </c>
      <c r="D1126" s="61" t="s">
        <v>8242</v>
      </c>
      <c r="E1126" s="61" t="s">
        <v>7877</v>
      </c>
      <c r="F1126" s="61"/>
      <c r="G1126" s="61" t="s">
        <v>7569</v>
      </c>
      <c r="H1126" s="61"/>
      <c r="I1126" s="62">
        <v>930</v>
      </c>
      <c r="J1126" s="4">
        <f>SUMIF(Cargas!$C$5:$C$3470,C1126,Cargas!$O$5:$O$3470)</f>
        <v>930</v>
      </c>
      <c r="K1126" s="18">
        <f t="shared" si="20"/>
        <v>0</v>
      </c>
      <c r="L1126" s="63" t="s">
        <v>8722</v>
      </c>
      <c r="M1126" s="190">
        <v>82347</v>
      </c>
    </row>
    <row r="1127" spans="1:13" ht="13.5" hidden="1" customHeight="1" x14ac:dyDescent="0.25">
      <c r="B1127" s="58">
        <v>45408</v>
      </c>
      <c r="C1127" s="59" t="s">
        <v>962</v>
      </c>
      <c r="D1127" s="61" t="s">
        <v>8244</v>
      </c>
      <c r="E1127" s="61" t="s">
        <v>8523</v>
      </c>
      <c r="F1127" s="61"/>
      <c r="G1127" s="61" t="s">
        <v>7569</v>
      </c>
      <c r="H1127" s="61"/>
      <c r="I1127" s="62">
        <v>980</v>
      </c>
      <c r="J1127" s="4">
        <f>SUMIF(Cargas!$C$5:$C$3470,C1127,Cargas!$O$5:$O$3470)</f>
        <v>980</v>
      </c>
      <c r="K1127" s="18">
        <f t="shared" si="20"/>
        <v>0</v>
      </c>
      <c r="L1127" s="63" t="s">
        <v>8723</v>
      </c>
      <c r="M1127" s="190">
        <v>82131</v>
      </c>
    </row>
    <row r="1128" spans="1:13" ht="13.5" hidden="1" customHeight="1" x14ac:dyDescent="0.25">
      <c r="A1128" s="93"/>
      <c r="B1128" s="86">
        <v>45553</v>
      </c>
      <c r="C1128" s="87" t="s">
        <v>2071</v>
      </c>
      <c r="D1128" s="88" t="s">
        <v>6975</v>
      </c>
      <c r="E1128" s="88" t="s">
        <v>6764</v>
      </c>
      <c r="F1128" s="88"/>
      <c r="G1128" s="88" t="s">
        <v>6443</v>
      </c>
      <c r="H1128" s="88" t="s">
        <v>8660</v>
      </c>
      <c r="I1128" s="89">
        <v>3672</v>
      </c>
      <c r="J1128" s="90">
        <f>SUMIF(Cargas!$C$5:$C$3470,C1128,Cargas!$O$5:$O$3470)</f>
        <v>3672</v>
      </c>
      <c r="K1128" s="91">
        <f t="shared" si="20"/>
        <v>0</v>
      </c>
      <c r="L1128" s="94" t="s">
        <v>8702</v>
      </c>
      <c r="M1128" s="92">
        <v>184480</v>
      </c>
    </row>
    <row r="1129" spans="1:13" ht="13.5" hidden="1" customHeight="1" x14ac:dyDescent="0.25">
      <c r="B1129" s="58">
        <v>45457</v>
      </c>
      <c r="C1129" s="59" t="s">
        <v>1376</v>
      </c>
      <c r="D1129" s="61" t="s">
        <v>7220</v>
      </c>
      <c r="E1129" s="61" t="s">
        <v>8564</v>
      </c>
      <c r="F1129" s="61"/>
      <c r="G1129" s="61" t="s">
        <v>6443</v>
      </c>
      <c r="H1129" s="61"/>
      <c r="I1129" s="62">
        <v>25000</v>
      </c>
      <c r="J1129" s="4">
        <f>SUMIF(Cargas!$C$5:$C$3470,C1129,Cargas!$O$5:$O$3470)</f>
        <v>25000</v>
      </c>
      <c r="K1129" s="18">
        <f t="shared" si="20"/>
        <v>0</v>
      </c>
      <c r="L1129" s="63" t="s">
        <v>8724</v>
      </c>
      <c r="M1129" s="64">
        <v>118230</v>
      </c>
    </row>
    <row r="1130" spans="1:13" ht="13.5" hidden="1" customHeight="1" x14ac:dyDescent="0.25">
      <c r="B1130" s="58">
        <v>45463</v>
      </c>
      <c r="C1130" s="59" t="s">
        <v>1427</v>
      </c>
      <c r="D1130" s="61" t="s">
        <v>7223</v>
      </c>
      <c r="E1130" s="61" t="s">
        <v>6442</v>
      </c>
      <c r="F1130" s="61"/>
      <c r="G1130" s="61" t="s">
        <v>6443</v>
      </c>
      <c r="H1130" s="61"/>
      <c r="I1130" s="62">
        <v>1440</v>
      </c>
      <c r="J1130" s="4">
        <f>SUMIF(Cargas!$C$5:$C$3470,C1130,Cargas!$O$5:$O$3470)</f>
        <v>1440</v>
      </c>
      <c r="K1130" s="18">
        <f t="shared" si="20"/>
        <v>0</v>
      </c>
      <c r="L1130" s="63"/>
      <c r="M1130" s="64">
        <v>121741</v>
      </c>
    </row>
    <row r="1131" spans="1:13" ht="13.5" hidden="1" customHeight="1" x14ac:dyDescent="0.25">
      <c r="B1131" s="58">
        <v>45470</v>
      </c>
      <c r="C1131" s="59" t="s">
        <v>1487</v>
      </c>
      <c r="D1131" s="61" t="s">
        <v>7783</v>
      </c>
      <c r="E1131" s="61" t="s">
        <v>6442</v>
      </c>
      <c r="F1131" s="61"/>
      <c r="G1131" s="61" t="s">
        <v>6443</v>
      </c>
      <c r="H1131" s="61"/>
      <c r="I1131" s="62">
        <v>1540</v>
      </c>
      <c r="J1131" s="4">
        <f>SUMIF(Cargas!$C$5:$C$3470,C1131,Cargas!$O$5:$O$3470)</f>
        <v>1540</v>
      </c>
      <c r="K1131" s="18">
        <f t="shared" si="20"/>
        <v>0</v>
      </c>
      <c r="L1131" s="63"/>
      <c r="M1131" s="64">
        <v>127235</v>
      </c>
    </row>
    <row r="1132" spans="1:13" ht="13.5" hidden="1" customHeight="1" x14ac:dyDescent="0.25">
      <c r="B1132" s="58">
        <v>45471</v>
      </c>
      <c r="C1132" s="59" t="s">
        <v>1483</v>
      </c>
      <c r="D1132" s="61" t="s">
        <v>7785</v>
      </c>
      <c r="E1132" s="61" t="s">
        <v>8564</v>
      </c>
      <c r="F1132" s="61"/>
      <c r="G1132" s="61" t="s">
        <v>6665</v>
      </c>
      <c r="H1132" s="61"/>
      <c r="I1132" s="62">
        <v>1158</v>
      </c>
      <c r="J1132" s="4">
        <f>SUMIF(Cargas!$C$5:$C$3470,C1132,Cargas!$O$5:$O$3470)</f>
        <v>1158</v>
      </c>
      <c r="K1132" s="18">
        <f t="shared" si="20"/>
        <v>0</v>
      </c>
      <c r="L1132" s="63"/>
      <c r="M1132" s="64">
        <v>126009</v>
      </c>
    </row>
    <row r="1133" spans="1:13" s="93" customFormat="1" ht="13.5" hidden="1" customHeight="1" x14ac:dyDescent="0.25">
      <c r="B1133" s="86">
        <v>45553</v>
      </c>
      <c r="C1133" s="87" t="s">
        <v>2108</v>
      </c>
      <c r="D1133" s="88" t="s">
        <v>6978</v>
      </c>
      <c r="E1133" s="88" t="s">
        <v>6764</v>
      </c>
      <c r="F1133" s="88"/>
      <c r="G1133" s="88" t="s">
        <v>6443</v>
      </c>
      <c r="H1133" s="88" t="s">
        <v>7888</v>
      </c>
      <c r="I1133" s="89">
        <v>2808</v>
      </c>
      <c r="J1133" s="90">
        <f>SUMIF(Cargas!$C$5:$C$3470,C1133,Cargas!$O$5:$O$3470)</f>
        <v>2808</v>
      </c>
      <c r="K1133" s="91">
        <f t="shared" si="20"/>
        <v>0</v>
      </c>
      <c r="L1133" s="94" t="s">
        <v>8725</v>
      </c>
      <c r="M1133" s="92">
        <v>189150</v>
      </c>
    </row>
    <row r="1134" spans="1:13" s="93" customFormat="1" ht="13.5" hidden="1" customHeight="1" x14ac:dyDescent="0.25">
      <c r="A1134" s="103"/>
      <c r="B1134" s="95">
        <v>45555</v>
      </c>
      <c r="C1134" s="96" t="s">
        <v>2075</v>
      </c>
      <c r="D1134" s="97" t="s">
        <v>6981</v>
      </c>
      <c r="E1134" s="97" t="s">
        <v>6764</v>
      </c>
      <c r="F1134" s="97"/>
      <c r="G1134" s="97" t="s">
        <v>6443</v>
      </c>
      <c r="H1134" s="97" t="s">
        <v>8574</v>
      </c>
      <c r="I1134" s="98">
        <v>8910</v>
      </c>
      <c r="J1134" s="99">
        <f>SUMIF(Cargas!$C$5:$C$3470,C1134,Cargas!$O$5:$O$3470)</f>
        <v>8910</v>
      </c>
      <c r="K1134" s="100">
        <f t="shared" si="20"/>
        <v>0</v>
      </c>
      <c r="L1134" s="101" t="s">
        <v>8726</v>
      </c>
      <c r="M1134" s="102">
        <v>187430</v>
      </c>
    </row>
    <row r="1135" spans="1:13" s="103" customFormat="1" ht="13.5" hidden="1" customHeight="1" x14ac:dyDescent="0.25">
      <c r="A1135" s="93"/>
      <c r="B1135" s="86">
        <v>45555</v>
      </c>
      <c r="C1135" s="87" t="s">
        <v>2078</v>
      </c>
      <c r="D1135" s="88" t="s">
        <v>6984</v>
      </c>
      <c r="E1135" s="88" t="s">
        <v>6764</v>
      </c>
      <c r="F1135" s="88"/>
      <c r="G1135" s="88" t="s">
        <v>6443</v>
      </c>
      <c r="H1135" s="88" t="s">
        <v>6963</v>
      </c>
      <c r="I1135" s="89">
        <v>3960</v>
      </c>
      <c r="J1135" s="90">
        <f>SUMIF(Cargas!$C$5:$C$3470,C1135,Cargas!$O$5:$O$3470)</f>
        <v>3960</v>
      </c>
      <c r="K1135" s="91">
        <f t="shared" si="20"/>
        <v>0</v>
      </c>
      <c r="L1135" s="94" t="s">
        <v>8727</v>
      </c>
      <c r="M1135" s="92">
        <v>187456</v>
      </c>
    </row>
    <row r="1136" spans="1:13" ht="13.5" hidden="1" customHeight="1" x14ac:dyDescent="0.25">
      <c r="B1136" s="58">
        <v>45476</v>
      </c>
      <c r="C1136" s="59" t="s">
        <v>1539</v>
      </c>
      <c r="D1136" s="61" t="s">
        <v>7787</v>
      </c>
      <c r="E1136" s="61" t="s">
        <v>7756</v>
      </c>
      <c r="F1136" s="61"/>
      <c r="G1136" s="61" t="s">
        <v>6443</v>
      </c>
      <c r="H1136" s="61"/>
      <c r="I1136" s="62">
        <v>2520</v>
      </c>
      <c r="J1136" s="4">
        <f>SUMIF(Cargas!$C$5:$C$3470,C1136,Cargas!$O$5:$O$3470)</f>
        <v>2520</v>
      </c>
      <c r="K1136" s="18">
        <f t="shared" si="20"/>
        <v>0</v>
      </c>
      <c r="L1136" s="63"/>
      <c r="M1136" s="64">
        <v>131750</v>
      </c>
    </row>
    <row r="1137" spans="2:13" ht="13.5" hidden="1" customHeight="1" x14ac:dyDescent="0.25">
      <c r="B1137" s="58">
        <v>45418</v>
      </c>
      <c r="C1137" s="59" t="s">
        <v>990</v>
      </c>
      <c r="D1137" s="61" t="s">
        <v>8511</v>
      </c>
      <c r="E1137" s="61" t="s">
        <v>8523</v>
      </c>
      <c r="F1137" s="61"/>
      <c r="G1137" s="61" t="s">
        <v>7569</v>
      </c>
      <c r="H1137" s="61"/>
      <c r="I1137" s="62">
        <v>1960</v>
      </c>
      <c r="J1137" s="4">
        <f>SUMIF(Cargas!$C$5:$C$3470,C1137,Cargas!$O$5:$O$3470)</f>
        <v>1960</v>
      </c>
      <c r="K1137" s="18">
        <f t="shared" si="20"/>
        <v>0</v>
      </c>
      <c r="L1137" s="63" t="s">
        <v>8728</v>
      </c>
      <c r="M1137" s="190">
        <v>85239</v>
      </c>
    </row>
    <row r="1138" spans="2:13" ht="13.5" hidden="1" customHeight="1" x14ac:dyDescent="0.25">
      <c r="B1138" s="58">
        <v>45418</v>
      </c>
      <c r="C1138" s="59" t="s">
        <v>1019</v>
      </c>
      <c r="D1138" s="61" t="s">
        <v>8247</v>
      </c>
      <c r="E1138" s="61" t="s">
        <v>7877</v>
      </c>
      <c r="F1138" s="61"/>
      <c r="G1138" s="61" t="s">
        <v>7569</v>
      </c>
      <c r="H1138" s="61"/>
      <c r="I1138" s="62">
        <v>1860</v>
      </c>
      <c r="J1138" s="4">
        <f>SUMIF(Cargas!$C$5:$C$3470,C1138,Cargas!$O$5:$O$3470)</f>
        <v>1860</v>
      </c>
      <c r="K1138" s="18">
        <f t="shared" si="20"/>
        <v>0</v>
      </c>
      <c r="L1138" s="63" t="s">
        <v>8729</v>
      </c>
      <c r="M1138" s="190">
        <v>86110</v>
      </c>
    </row>
    <row r="1139" spans="2:13" ht="13.5" hidden="1" customHeight="1" x14ac:dyDescent="0.25">
      <c r="B1139" s="58">
        <v>45419</v>
      </c>
      <c r="C1139" s="59" t="s">
        <v>1014</v>
      </c>
      <c r="D1139" s="61" t="s">
        <v>8249</v>
      </c>
      <c r="E1139" s="61" t="s">
        <v>8600</v>
      </c>
      <c r="F1139" s="61"/>
      <c r="G1139" s="61" t="s">
        <v>7569</v>
      </c>
      <c r="H1139" s="61"/>
      <c r="I1139" s="62">
        <v>1960</v>
      </c>
      <c r="J1139" s="4">
        <f>SUMIF(Cargas!$C$5:$C$3470,C1139,Cargas!$O$5:$O$3470)</f>
        <v>1960</v>
      </c>
      <c r="K1139" s="18">
        <f t="shared" si="20"/>
        <v>0</v>
      </c>
      <c r="L1139" s="63" t="s">
        <v>8730</v>
      </c>
      <c r="M1139" s="190">
        <v>86154</v>
      </c>
    </row>
    <row r="1140" spans="2:13" ht="13.5" hidden="1" customHeight="1" x14ac:dyDescent="0.25">
      <c r="B1140" s="58">
        <v>45418</v>
      </c>
      <c r="C1140" s="59" t="s">
        <v>1009</v>
      </c>
      <c r="D1140" s="61" t="s">
        <v>8251</v>
      </c>
      <c r="E1140" s="61" t="s">
        <v>8595</v>
      </c>
      <c r="F1140" s="61"/>
      <c r="G1140" s="61" t="s">
        <v>7569</v>
      </c>
      <c r="H1140" s="61"/>
      <c r="I1140" s="62">
        <v>980</v>
      </c>
      <c r="J1140" s="4">
        <f>SUMIF(Cargas!$C$5:$C$3470,C1140,Cargas!$O$5:$O$3470)</f>
        <v>980</v>
      </c>
      <c r="K1140" s="18">
        <f t="shared" si="20"/>
        <v>0</v>
      </c>
      <c r="L1140" s="63" t="s">
        <v>8731</v>
      </c>
      <c r="M1140" s="190">
        <v>86188</v>
      </c>
    </row>
    <row r="1141" spans="2:13" ht="13.5" hidden="1" customHeight="1" x14ac:dyDescent="0.25">
      <c r="B1141" s="58">
        <v>45420</v>
      </c>
      <c r="C1141" s="59" t="s">
        <v>1029</v>
      </c>
      <c r="D1141" s="61" t="s">
        <v>8253</v>
      </c>
      <c r="E1141" s="61" t="s">
        <v>8523</v>
      </c>
      <c r="F1141" s="61"/>
      <c r="G1141" s="61" t="s">
        <v>7569</v>
      </c>
      <c r="H1141" s="61"/>
      <c r="I1141" s="62">
        <v>980</v>
      </c>
      <c r="J1141" s="4">
        <f>SUMIF(Cargas!$C$5:$C$3470,C1141,Cargas!$O$5:$O$3470)</f>
        <v>980</v>
      </c>
      <c r="K1141" s="18">
        <f t="shared" si="20"/>
        <v>0</v>
      </c>
      <c r="L1141" s="63"/>
      <c r="M1141" s="190">
        <v>87827</v>
      </c>
    </row>
    <row r="1142" spans="2:13" ht="13.5" hidden="1" customHeight="1" x14ac:dyDescent="0.25">
      <c r="B1142" s="58">
        <v>45421</v>
      </c>
      <c r="C1142" s="59" t="s">
        <v>1056</v>
      </c>
      <c r="D1142" s="61" t="s">
        <v>8522</v>
      </c>
      <c r="E1142" s="61" t="s">
        <v>8595</v>
      </c>
      <c r="F1142" s="61"/>
      <c r="G1142" s="61" t="s">
        <v>7569</v>
      </c>
      <c r="H1142" s="61"/>
      <c r="I1142" s="62">
        <v>980</v>
      </c>
      <c r="J1142" s="4">
        <f>SUMIF(Cargas!$C$5:$C$3470,C1142,Cargas!$O$5:$O$3470)</f>
        <v>990</v>
      </c>
      <c r="K1142" s="18">
        <f t="shared" si="20"/>
        <v>0</v>
      </c>
      <c r="L1142" s="63"/>
      <c r="M1142" s="190">
        <v>88603</v>
      </c>
    </row>
    <row r="1143" spans="2:13" ht="13.5" hidden="1" customHeight="1" x14ac:dyDescent="0.25">
      <c r="B1143" s="58">
        <v>45425</v>
      </c>
      <c r="C1143" s="59" t="s">
        <v>1067</v>
      </c>
      <c r="D1143" s="61" t="s">
        <v>8255</v>
      </c>
      <c r="E1143" s="61" t="s">
        <v>8600</v>
      </c>
      <c r="F1143" s="61"/>
      <c r="G1143" s="61" t="s">
        <v>7569</v>
      </c>
      <c r="H1143" s="61"/>
      <c r="I1143" s="62">
        <v>2940</v>
      </c>
      <c r="J1143" s="4">
        <f>SUMIF(Cargas!$C$5:$C$3470,C1143,Cargas!$O$5:$O$3470)</f>
        <v>2940</v>
      </c>
      <c r="K1143" s="18">
        <f t="shared" si="20"/>
        <v>0</v>
      </c>
      <c r="L1143" s="63"/>
      <c r="M1143" s="190">
        <v>90633</v>
      </c>
    </row>
    <row r="1144" spans="2:13" ht="13.5" hidden="1" customHeight="1" x14ac:dyDescent="0.25">
      <c r="B1144" s="58">
        <v>45421</v>
      </c>
      <c r="C1144" s="59" t="s">
        <v>1083</v>
      </c>
      <c r="D1144" s="61" t="s">
        <v>8513</v>
      </c>
      <c r="E1144" s="61" t="s">
        <v>8595</v>
      </c>
      <c r="F1144" s="61"/>
      <c r="G1144" s="61" t="s">
        <v>7569</v>
      </c>
      <c r="H1144" s="61"/>
      <c r="I1144" s="62">
        <v>1960</v>
      </c>
      <c r="J1144" s="4">
        <f>SUMIF(Cargas!$C$5:$C$3470,C1144,Cargas!$O$5:$O$3470)</f>
        <v>1970</v>
      </c>
      <c r="K1144" s="18">
        <f t="shared" si="20"/>
        <v>0</v>
      </c>
      <c r="L1144" s="63"/>
      <c r="M1144" s="190">
        <v>90669</v>
      </c>
    </row>
    <row r="1145" spans="2:13" ht="13.5" hidden="1" customHeight="1" x14ac:dyDescent="0.25">
      <c r="B1145" s="58">
        <v>45422</v>
      </c>
      <c r="C1145" s="59" t="s">
        <v>1060</v>
      </c>
      <c r="D1145" s="61" t="s">
        <v>8258</v>
      </c>
      <c r="E1145" s="61" t="s">
        <v>8523</v>
      </c>
      <c r="F1145" s="61"/>
      <c r="G1145" s="61" t="s">
        <v>7569</v>
      </c>
      <c r="H1145" s="61"/>
      <c r="I1145" s="62">
        <v>2940</v>
      </c>
      <c r="J1145" s="4">
        <f>SUMIF(Cargas!$C$5:$C$3470,C1145,Cargas!$O$5:$O$3470)</f>
        <v>2940</v>
      </c>
      <c r="K1145" s="18">
        <f t="shared" si="20"/>
        <v>0</v>
      </c>
      <c r="L1145" s="63"/>
      <c r="M1145" s="190">
        <v>90032</v>
      </c>
    </row>
    <row r="1146" spans="2:13" ht="13.5" hidden="1" customHeight="1" x14ac:dyDescent="0.25">
      <c r="B1146" s="58">
        <v>45425</v>
      </c>
      <c r="C1146" s="59" t="s">
        <v>1064</v>
      </c>
      <c r="D1146" s="61" t="s">
        <v>8261</v>
      </c>
      <c r="E1146" s="61" t="s">
        <v>7877</v>
      </c>
      <c r="F1146" s="61"/>
      <c r="G1146" s="61" t="s">
        <v>7569</v>
      </c>
      <c r="H1146" s="61"/>
      <c r="I1146" s="62">
        <v>1860</v>
      </c>
      <c r="J1146" s="4">
        <f>SUMIF(Cargas!$C$5:$C$3470,C1146,Cargas!$O$5:$O$3470)</f>
        <v>1848</v>
      </c>
      <c r="K1146" s="18">
        <f t="shared" si="20"/>
        <v>0</v>
      </c>
      <c r="L1146" s="63"/>
      <c r="M1146" s="190">
        <v>90697</v>
      </c>
    </row>
    <row r="1147" spans="2:13" ht="13.5" hidden="1" customHeight="1" x14ac:dyDescent="0.25">
      <c r="B1147" s="58">
        <v>45422</v>
      </c>
      <c r="C1147" s="59" t="s">
        <v>1096</v>
      </c>
      <c r="D1147" s="61" t="s">
        <v>8264</v>
      </c>
      <c r="E1147" s="61" t="s">
        <v>8548</v>
      </c>
      <c r="F1147" s="61"/>
      <c r="G1147" s="61" t="s">
        <v>7569</v>
      </c>
      <c r="H1147" s="61"/>
      <c r="I1147" s="62">
        <v>972</v>
      </c>
      <c r="J1147" s="4">
        <f>SUMIF(Cargas!$C$5:$C$3470,C1147,Cargas!$O$5:$O$3470)</f>
        <v>980</v>
      </c>
      <c r="K1147" s="18">
        <f t="shared" si="20"/>
        <v>0</v>
      </c>
      <c r="L1147" s="63"/>
      <c r="M1147" s="190">
        <v>92818</v>
      </c>
    </row>
    <row r="1148" spans="2:13" ht="13.5" hidden="1" customHeight="1" x14ac:dyDescent="0.25">
      <c r="B1148" s="58">
        <v>45429</v>
      </c>
      <c r="C1148" s="59" t="s">
        <v>1111</v>
      </c>
      <c r="D1148" s="61" t="s">
        <v>8525</v>
      </c>
      <c r="E1148" s="61" t="s">
        <v>8523</v>
      </c>
      <c r="F1148" s="61"/>
      <c r="G1148" s="61" t="s">
        <v>7569</v>
      </c>
      <c r="H1148" s="61"/>
      <c r="I1148" s="62">
        <v>1960</v>
      </c>
      <c r="J1148" s="4">
        <f>SUMIF(Cargas!$C$5:$C$3470,C1148,Cargas!$O$5:$O$3470)</f>
        <v>1960</v>
      </c>
      <c r="K1148" s="18">
        <f t="shared" si="20"/>
        <v>0</v>
      </c>
      <c r="L1148" s="63"/>
      <c r="M1148" s="190">
        <v>96186</v>
      </c>
    </row>
    <row r="1149" spans="2:13" ht="13.5" hidden="1" customHeight="1" x14ac:dyDescent="0.25">
      <c r="B1149" s="58">
        <v>45433</v>
      </c>
      <c r="C1149" s="59" t="s">
        <v>1121</v>
      </c>
      <c r="D1149" s="61" t="s">
        <v>8266</v>
      </c>
      <c r="E1149" s="61" t="s">
        <v>8600</v>
      </c>
      <c r="F1149" s="61"/>
      <c r="G1149" s="61" t="s">
        <v>7569</v>
      </c>
      <c r="H1149" s="61"/>
      <c r="I1149" s="62">
        <v>980</v>
      </c>
      <c r="J1149" s="4">
        <f>SUMIF(Cargas!$C$5:$C$3470,C1149,Cargas!$O$5:$O$3470)</f>
        <v>980</v>
      </c>
      <c r="K1149" s="18">
        <f t="shared" si="20"/>
        <v>0</v>
      </c>
      <c r="L1149" s="63"/>
      <c r="M1149" s="190">
        <v>96989</v>
      </c>
    </row>
    <row r="1150" spans="2:13" ht="13.5" hidden="1" customHeight="1" x14ac:dyDescent="0.25">
      <c r="B1150" s="58">
        <v>45433</v>
      </c>
      <c r="C1150" s="59" t="s">
        <v>1182</v>
      </c>
      <c r="D1150" s="61" t="s">
        <v>8516</v>
      </c>
      <c r="E1150" s="61" t="s">
        <v>8595</v>
      </c>
      <c r="F1150" s="61"/>
      <c r="G1150" s="61" t="s">
        <v>7569</v>
      </c>
      <c r="H1150" s="61"/>
      <c r="I1150" s="62">
        <v>980</v>
      </c>
      <c r="J1150" s="4">
        <f>SUMIF(Cargas!$C$5:$C$3470,C1150,Cargas!$O$5:$O$3470)</f>
        <v>990</v>
      </c>
      <c r="K1150" s="18">
        <f t="shared" ref="K1150:K1213" si="21">IF(ABS(I1150-J1150)&lt;20,0,I1150-J1150)</f>
        <v>0</v>
      </c>
      <c r="L1150" s="63"/>
      <c r="M1150" s="190">
        <v>100482</v>
      </c>
    </row>
    <row r="1151" spans="2:13" ht="13.5" hidden="1" customHeight="1" x14ac:dyDescent="0.25">
      <c r="B1151" s="58">
        <v>45439</v>
      </c>
      <c r="C1151" s="59" t="s">
        <v>1179</v>
      </c>
      <c r="D1151" s="61" t="s">
        <v>8269</v>
      </c>
      <c r="E1151" s="61" t="s">
        <v>8523</v>
      </c>
      <c r="F1151" s="61"/>
      <c r="G1151" s="61" t="s">
        <v>7569</v>
      </c>
      <c r="H1151" s="61"/>
      <c r="I1151" s="62">
        <v>1960</v>
      </c>
      <c r="J1151" s="4">
        <f>SUMIF(Cargas!$C$5:$C$3470,C1151,Cargas!$O$5:$O$3470)</f>
        <v>1960</v>
      </c>
      <c r="K1151" s="18">
        <f t="shared" si="21"/>
        <v>0</v>
      </c>
      <c r="L1151" s="63"/>
      <c r="M1151" s="190">
        <v>101657</v>
      </c>
    </row>
    <row r="1152" spans="2:13" ht="13.5" hidden="1" customHeight="1" x14ac:dyDescent="0.25">
      <c r="B1152" s="58">
        <v>45439</v>
      </c>
      <c r="C1152" s="59" t="s">
        <v>1187</v>
      </c>
      <c r="D1152" s="61" t="s">
        <v>8528</v>
      </c>
      <c r="E1152" s="61" t="s">
        <v>7877</v>
      </c>
      <c r="F1152" s="61"/>
      <c r="G1152" s="61" t="s">
        <v>7569</v>
      </c>
      <c r="H1152" s="61"/>
      <c r="I1152" s="62">
        <v>1860</v>
      </c>
      <c r="J1152" s="4">
        <f>SUMIF(Cargas!$C$5:$C$3470,C1152,Cargas!$O$5:$O$3470)</f>
        <v>1860</v>
      </c>
      <c r="K1152" s="18">
        <f t="shared" si="21"/>
        <v>0</v>
      </c>
      <c r="L1152" s="63"/>
      <c r="M1152" s="190">
        <v>102317</v>
      </c>
    </row>
    <row r="1153" spans="2:13" ht="13.5" hidden="1" customHeight="1" x14ac:dyDescent="0.25">
      <c r="B1153" s="58">
        <v>45440</v>
      </c>
      <c r="C1153" s="59" t="s">
        <v>1215</v>
      </c>
      <c r="D1153" s="61" t="s">
        <v>8519</v>
      </c>
      <c r="E1153" s="61" t="s">
        <v>8595</v>
      </c>
      <c r="F1153" s="61"/>
      <c r="G1153" s="61" t="s">
        <v>7569</v>
      </c>
      <c r="H1153" s="61"/>
      <c r="I1153" s="62">
        <v>980</v>
      </c>
      <c r="J1153" s="4">
        <f>SUMIF(Cargas!$C$5:$C$3470,C1153,Cargas!$O$5:$O$3470)</f>
        <v>990</v>
      </c>
      <c r="K1153" s="18">
        <f t="shared" si="21"/>
        <v>0</v>
      </c>
      <c r="L1153" s="63"/>
      <c r="M1153" s="190">
        <v>105625</v>
      </c>
    </row>
    <row r="1154" spans="2:13" ht="13.5" hidden="1" customHeight="1" x14ac:dyDescent="0.25">
      <c r="B1154" s="58">
        <v>45485</v>
      </c>
      <c r="C1154" s="59" t="s">
        <v>1587</v>
      </c>
      <c r="D1154" s="61" t="s">
        <v>7238</v>
      </c>
      <c r="E1154" s="61" t="s">
        <v>8564</v>
      </c>
      <c r="F1154" s="61"/>
      <c r="G1154" s="61" t="s">
        <v>6665</v>
      </c>
      <c r="H1154" s="61"/>
      <c r="I1154" s="62">
        <v>1384</v>
      </c>
      <c r="J1154" s="4">
        <f>SUMIF(Cargas!$C$5:$C$3470,C1154,Cargas!$O$5:$O$3470)</f>
        <v>1384</v>
      </c>
      <c r="K1154" s="18">
        <f t="shared" si="21"/>
        <v>0</v>
      </c>
      <c r="L1154" s="63"/>
      <c r="M1154" s="64">
        <v>135816</v>
      </c>
    </row>
    <row r="1155" spans="2:13" ht="13.5" hidden="1" customHeight="1" x14ac:dyDescent="0.25">
      <c r="B1155" s="58">
        <v>45497</v>
      </c>
      <c r="C1155" s="59" t="s">
        <v>1715</v>
      </c>
      <c r="D1155" s="61" t="s">
        <v>7241</v>
      </c>
      <c r="E1155" s="61" t="s">
        <v>8564</v>
      </c>
      <c r="F1155" s="61"/>
      <c r="G1155" s="61" t="s">
        <v>6665</v>
      </c>
      <c r="H1155" s="61" t="s">
        <v>8660</v>
      </c>
      <c r="I1155" s="62">
        <v>1483</v>
      </c>
      <c r="J1155" s="4">
        <f>SUMIF(Cargas!$C$5:$C$3470,C1155,Cargas!$O$5:$O$3470)</f>
        <v>1483</v>
      </c>
      <c r="K1155" s="18">
        <f t="shared" si="21"/>
        <v>0</v>
      </c>
      <c r="L1155" s="63"/>
      <c r="M1155" s="64">
        <v>148328</v>
      </c>
    </row>
    <row r="1156" spans="2:13" ht="13.5" hidden="1" customHeight="1" x14ac:dyDescent="0.25">
      <c r="B1156" s="58">
        <v>45446</v>
      </c>
      <c r="C1156" s="59" t="s">
        <v>1200</v>
      </c>
      <c r="D1156" s="61" t="s">
        <v>8272</v>
      </c>
      <c r="E1156" s="61" t="s">
        <v>8600</v>
      </c>
      <c r="F1156" s="61"/>
      <c r="G1156" s="61" t="s">
        <v>7569</v>
      </c>
      <c r="H1156" s="61"/>
      <c r="I1156" s="62">
        <v>980</v>
      </c>
      <c r="J1156" s="4">
        <f>SUMIF(Cargas!$C$5:$C$3470,C1156,Cargas!$O$5:$O$3470)</f>
        <v>980</v>
      </c>
      <c r="K1156" s="18">
        <f t="shared" si="21"/>
        <v>0</v>
      </c>
      <c r="L1156" s="63"/>
      <c r="M1156" s="190">
        <v>105679</v>
      </c>
    </row>
    <row r="1157" spans="2:13" ht="13.5" hidden="1" customHeight="1" x14ac:dyDescent="0.25">
      <c r="B1157" s="58">
        <v>45446</v>
      </c>
      <c r="C1157" s="59" t="s">
        <v>1231</v>
      </c>
      <c r="D1157" s="61" t="s">
        <v>8275</v>
      </c>
      <c r="E1157" s="61" t="s">
        <v>7877</v>
      </c>
      <c r="F1157" s="61"/>
      <c r="G1157" s="61" t="s">
        <v>7569</v>
      </c>
      <c r="H1157" s="61"/>
      <c r="I1157" s="62">
        <v>930</v>
      </c>
      <c r="J1157" s="4">
        <f>SUMIF(Cargas!$C$5:$C$3470,C1157,Cargas!$O$5:$O$3470)</f>
        <v>930</v>
      </c>
      <c r="K1157" s="18">
        <f t="shared" si="21"/>
        <v>0</v>
      </c>
      <c r="L1157" s="63"/>
      <c r="M1157" s="190">
        <v>107691</v>
      </c>
    </row>
    <row r="1158" spans="2:13" ht="13.5" hidden="1" customHeight="1" x14ac:dyDescent="0.25">
      <c r="B1158" s="58">
        <v>45446</v>
      </c>
      <c r="C1158" s="59" t="s">
        <v>1221</v>
      </c>
      <c r="D1158" s="61" t="s">
        <v>8278</v>
      </c>
      <c r="E1158" s="61" t="s">
        <v>8523</v>
      </c>
      <c r="F1158" s="61"/>
      <c r="G1158" s="61" t="s">
        <v>7569</v>
      </c>
      <c r="H1158" s="61"/>
      <c r="I1158" s="62">
        <v>980</v>
      </c>
      <c r="J1158" s="4">
        <f>SUMIF(Cargas!$C$5:$C$3470,C1158,Cargas!$O$5:$O$3470)</f>
        <v>980</v>
      </c>
      <c r="K1158" s="18">
        <f t="shared" si="21"/>
        <v>0</v>
      </c>
      <c r="L1158" s="63"/>
      <c r="M1158" s="190">
        <v>106637</v>
      </c>
    </row>
    <row r="1159" spans="2:13" ht="13.5" hidden="1" customHeight="1" x14ac:dyDescent="0.25">
      <c r="B1159" s="58">
        <v>45416</v>
      </c>
      <c r="C1159" s="59" t="s">
        <v>1330</v>
      </c>
      <c r="D1159" s="61" t="s">
        <v>8281</v>
      </c>
      <c r="E1159" s="61" t="s">
        <v>8548</v>
      </c>
      <c r="F1159" s="61"/>
      <c r="G1159" s="61" t="s">
        <v>7569</v>
      </c>
      <c r="H1159" s="61"/>
      <c r="I1159" s="62">
        <v>980</v>
      </c>
      <c r="J1159" s="4">
        <f>SUMIF(Cargas!$C$5:$C$3470,C1159,Cargas!$O$5:$O$3470)</f>
        <v>980</v>
      </c>
      <c r="K1159" s="18">
        <f t="shared" si="21"/>
        <v>0</v>
      </c>
      <c r="L1159" s="63"/>
      <c r="M1159" s="190">
        <v>112957</v>
      </c>
    </row>
    <row r="1160" spans="2:13" ht="13.5" hidden="1" customHeight="1" x14ac:dyDescent="0.25">
      <c r="B1160" s="58">
        <v>45416</v>
      </c>
      <c r="C1160" s="59" t="s">
        <v>1307</v>
      </c>
      <c r="D1160" s="61" t="s">
        <v>8531</v>
      </c>
      <c r="E1160" s="61" t="s">
        <v>8595</v>
      </c>
      <c r="F1160" s="61"/>
      <c r="G1160" s="61" t="s">
        <v>7569</v>
      </c>
      <c r="H1160" s="61"/>
      <c r="I1160" s="62">
        <v>1960</v>
      </c>
      <c r="J1160" s="4">
        <f>SUMIF(Cargas!$C$5:$C$3470,C1160,Cargas!$O$5:$O$3470)</f>
        <v>1960</v>
      </c>
      <c r="K1160" s="18">
        <f t="shared" si="21"/>
        <v>0</v>
      </c>
      <c r="L1160" s="63"/>
      <c r="M1160" s="190">
        <v>111705</v>
      </c>
    </row>
    <row r="1161" spans="2:13" ht="13.5" hidden="1" customHeight="1" x14ac:dyDescent="0.25">
      <c r="B1161" s="58">
        <v>45450</v>
      </c>
      <c r="C1161" s="59" t="s">
        <v>1267</v>
      </c>
      <c r="D1161" s="61" t="s">
        <v>8284</v>
      </c>
      <c r="E1161" s="61" t="s">
        <v>8523</v>
      </c>
      <c r="F1161" s="61"/>
      <c r="G1161" s="61" t="s">
        <v>7569</v>
      </c>
      <c r="H1161" s="61"/>
      <c r="I1161" s="62">
        <v>1960</v>
      </c>
      <c r="J1161" s="4">
        <f>SUMIF(Cargas!$C$5:$C$3470,C1161,Cargas!$O$5:$O$3470)</f>
        <v>1970</v>
      </c>
      <c r="K1161" s="18">
        <f t="shared" si="21"/>
        <v>0</v>
      </c>
      <c r="L1161" s="63"/>
      <c r="M1161" s="190">
        <v>110774</v>
      </c>
    </row>
    <row r="1162" spans="2:13" ht="13.5" hidden="1" customHeight="1" x14ac:dyDescent="0.25">
      <c r="B1162" s="58">
        <v>45454</v>
      </c>
      <c r="C1162" s="59" t="s">
        <v>1312</v>
      </c>
      <c r="D1162" s="61" t="s">
        <v>8287</v>
      </c>
      <c r="E1162" s="61" t="s">
        <v>7877</v>
      </c>
      <c r="F1162" s="61"/>
      <c r="G1162" s="61" t="s">
        <v>7569</v>
      </c>
      <c r="H1162" s="61"/>
      <c r="I1162" s="62">
        <v>2790</v>
      </c>
      <c r="J1162" s="4">
        <f>SUMIF(Cargas!$C$5:$C$3470,C1162,Cargas!$O$5:$O$3470)</f>
        <v>2790</v>
      </c>
      <c r="K1162" s="18">
        <f t="shared" si="21"/>
        <v>0</v>
      </c>
      <c r="L1162" s="63"/>
      <c r="M1162" s="190">
        <v>111796</v>
      </c>
    </row>
    <row r="1163" spans="2:13" ht="13.5" hidden="1" customHeight="1" x14ac:dyDescent="0.25">
      <c r="B1163" s="58">
        <v>45453</v>
      </c>
      <c r="C1163" s="59" t="s">
        <v>1274</v>
      </c>
      <c r="D1163" s="61" t="s">
        <v>8534</v>
      </c>
      <c r="E1163" s="61" t="s">
        <v>8600</v>
      </c>
      <c r="F1163" s="61"/>
      <c r="G1163" s="61" t="s">
        <v>7569</v>
      </c>
      <c r="H1163" s="61"/>
      <c r="I1163" s="62">
        <v>980</v>
      </c>
      <c r="J1163" s="4">
        <f>SUMIF(Cargas!$C$5:$C$3470,C1163,Cargas!$O$5:$O$3470)</f>
        <v>990</v>
      </c>
      <c r="K1163" s="18">
        <f t="shared" si="21"/>
        <v>0</v>
      </c>
      <c r="L1163" s="63"/>
      <c r="M1163" s="190">
        <v>111690</v>
      </c>
    </row>
    <row r="1164" spans="2:13" ht="13.5" hidden="1" customHeight="1" x14ac:dyDescent="0.25">
      <c r="B1164" s="58">
        <v>45460</v>
      </c>
      <c r="C1164" s="59" t="s">
        <v>1351</v>
      </c>
      <c r="D1164" s="61" t="s">
        <v>8290</v>
      </c>
      <c r="E1164" s="61" t="s">
        <v>7877</v>
      </c>
      <c r="F1164" s="61"/>
      <c r="G1164" s="61" t="s">
        <v>7569</v>
      </c>
      <c r="H1164" s="61"/>
      <c r="I1164" s="62">
        <v>1860</v>
      </c>
      <c r="J1164" s="4">
        <f>SUMIF(Cargas!$C$5:$C$3470,C1164,Cargas!$O$5:$O$3470)</f>
        <v>1860</v>
      </c>
      <c r="K1164" s="18">
        <f t="shared" si="21"/>
        <v>0</v>
      </c>
      <c r="L1164" s="63"/>
      <c r="M1164" s="190">
        <v>116015</v>
      </c>
    </row>
    <row r="1165" spans="2:13" ht="13.5" hidden="1" customHeight="1" x14ac:dyDescent="0.25">
      <c r="B1165" s="58">
        <v>45457</v>
      </c>
      <c r="C1165" s="59" t="s">
        <v>1356</v>
      </c>
      <c r="D1165" s="61" t="s">
        <v>8293</v>
      </c>
      <c r="E1165" s="61" t="s">
        <v>8523</v>
      </c>
      <c r="F1165" s="61"/>
      <c r="G1165" s="61" t="s">
        <v>7569</v>
      </c>
      <c r="H1165" s="61"/>
      <c r="I1165" s="62">
        <v>1960</v>
      </c>
      <c r="J1165" s="4">
        <f>SUMIF(Cargas!$C$5:$C$3470,C1165,Cargas!$O$5:$O$3470)</f>
        <v>1960</v>
      </c>
      <c r="K1165" s="18">
        <f t="shared" si="21"/>
        <v>0</v>
      </c>
      <c r="L1165" s="63"/>
      <c r="M1165" s="190">
        <v>117320</v>
      </c>
    </row>
    <row r="1166" spans="2:13" ht="13.5" hidden="1" customHeight="1" x14ac:dyDescent="0.25">
      <c r="B1166" s="58">
        <v>45467</v>
      </c>
      <c r="C1166" s="59" t="s">
        <v>1454</v>
      </c>
      <c r="D1166" s="61" t="s">
        <v>8296</v>
      </c>
      <c r="E1166" s="61" t="s">
        <v>7877</v>
      </c>
      <c r="F1166" s="61"/>
      <c r="G1166" s="61" t="s">
        <v>7569</v>
      </c>
      <c r="H1166" s="61"/>
      <c r="I1166" s="62">
        <v>930</v>
      </c>
      <c r="J1166" s="4">
        <f>SUMIF(Cargas!$C$5:$C$3470,C1166,Cargas!$O$5:$O$3470)</f>
        <v>930</v>
      </c>
      <c r="K1166" s="18">
        <f t="shared" si="21"/>
        <v>0</v>
      </c>
      <c r="L1166" s="63"/>
      <c r="M1166" s="190">
        <v>122811</v>
      </c>
    </row>
    <row r="1167" spans="2:13" ht="13.5" hidden="1" customHeight="1" x14ac:dyDescent="0.25">
      <c r="B1167" s="58">
        <v>45467</v>
      </c>
      <c r="C1167" s="59" t="s">
        <v>1424</v>
      </c>
      <c r="D1167" s="61" t="s">
        <v>8547</v>
      </c>
      <c r="E1167" s="61" t="s">
        <v>8523</v>
      </c>
      <c r="F1167" s="61"/>
      <c r="G1167" s="61" t="s">
        <v>7569</v>
      </c>
      <c r="H1167" s="61"/>
      <c r="I1167" s="62">
        <v>1960</v>
      </c>
      <c r="J1167" s="4">
        <f>SUMIF(Cargas!$C$5:$C$3470,C1167,Cargas!$O$5:$O$3470)</f>
        <v>1960</v>
      </c>
      <c r="K1167" s="18">
        <f t="shared" si="21"/>
        <v>0</v>
      </c>
      <c r="L1167" s="63"/>
      <c r="M1167" s="190">
        <v>121507</v>
      </c>
    </row>
    <row r="1168" spans="2:13" ht="13.5" hidden="1" customHeight="1" x14ac:dyDescent="0.25">
      <c r="B1168" s="58">
        <v>45498</v>
      </c>
      <c r="C1168" s="59" t="s">
        <v>1716</v>
      </c>
      <c r="D1168" s="61" t="s">
        <v>7244</v>
      </c>
      <c r="E1168" s="61" t="s">
        <v>6442</v>
      </c>
      <c r="F1168" s="61"/>
      <c r="G1168" s="61" t="s">
        <v>6665</v>
      </c>
      <c r="H1168" s="61" t="s">
        <v>8660</v>
      </c>
      <c r="I1168" s="62">
        <v>1512</v>
      </c>
      <c r="J1168" s="4">
        <f>SUMIF(Cargas!$C$5:$C$3470,C1168,Cargas!$O$5:$O$3470)</f>
        <v>1512</v>
      </c>
      <c r="K1168" s="18">
        <f t="shared" si="21"/>
        <v>0</v>
      </c>
      <c r="L1168" s="63"/>
      <c r="M1168" s="64">
        <v>135541</v>
      </c>
    </row>
    <row r="1169" spans="1:13" ht="13.5" hidden="1" customHeight="1" x14ac:dyDescent="0.25">
      <c r="B1169" s="58">
        <v>45502</v>
      </c>
      <c r="C1169" s="59" t="s">
        <v>1747</v>
      </c>
      <c r="D1169" s="61" t="s">
        <v>7798</v>
      </c>
      <c r="E1169" s="61" t="s">
        <v>7756</v>
      </c>
      <c r="F1169" s="61"/>
      <c r="G1169" s="61" t="s">
        <v>6443</v>
      </c>
      <c r="H1169" s="61" t="s">
        <v>7756</v>
      </c>
      <c r="I1169" s="62">
        <v>2520</v>
      </c>
      <c r="J1169" s="4">
        <f>SUMIF(Cargas!$C$5:$C$3470,C1169,Cargas!$O$5:$O$3470)</f>
        <v>2520</v>
      </c>
      <c r="K1169" s="18">
        <f t="shared" si="21"/>
        <v>0</v>
      </c>
      <c r="L1169" s="63"/>
      <c r="M1169" s="64">
        <v>150223</v>
      </c>
    </row>
    <row r="1170" spans="1:13" s="93" customFormat="1" ht="13.5" hidden="1" customHeight="1" x14ac:dyDescent="0.25">
      <c r="A1170"/>
      <c r="B1170" s="95">
        <v>45559</v>
      </c>
      <c r="C1170" s="96" t="s">
        <v>2151</v>
      </c>
      <c r="D1170" s="97" t="s">
        <v>6987</v>
      </c>
      <c r="E1170" s="97" t="s">
        <v>6764</v>
      </c>
      <c r="F1170" s="97"/>
      <c r="G1170" s="97" t="s">
        <v>6443</v>
      </c>
      <c r="H1170" s="97" t="s">
        <v>7888</v>
      </c>
      <c r="I1170" s="98">
        <v>2808</v>
      </c>
      <c r="J1170" s="99">
        <f>SUMIF(Cargas!$C$5:$C$3470,C1170,Cargas!$O$5:$O$3470)</f>
        <v>2808</v>
      </c>
      <c r="K1170" s="100">
        <f t="shared" si="21"/>
        <v>0</v>
      </c>
      <c r="L1170" s="101" t="s">
        <v>8732</v>
      </c>
      <c r="M1170" s="102">
        <v>192528</v>
      </c>
    </row>
    <row r="1171" spans="1:13" ht="13.5" hidden="1" customHeight="1" x14ac:dyDescent="0.25">
      <c r="B1171" s="95">
        <v>45562</v>
      </c>
      <c r="C1171" s="96" t="s">
        <v>2171</v>
      </c>
      <c r="D1171" s="97" t="s">
        <v>6990</v>
      </c>
      <c r="E1171" s="97" t="s">
        <v>6764</v>
      </c>
      <c r="F1171" s="97"/>
      <c r="G1171" s="97" t="s">
        <v>6443</v>
      </c>
      <c r="H1171" s="97" t="s">
        <v>7888</v>
      </c>
      <c r="I1171" s="98">
        <v>2808</v>
      </c>
      <c r="J1171" s="99">
        <f>SUMIF(Cargas!$C$5:$C$3470,C1171,Cargas!$O$5:$O$3470)</f>
        <v>2808</v>
      </c>
      <c r="K1171" s="100">
        <f t="shared" si="21"/>
        <v>0</v>
      </c>
      <c r="L1171" s="101" t="s">
        <v>8733</v>
      </c>
      <c r="M1171" s="102">
        <v>195767</v>
      </c>
    </row>
    <row r="1172" spans="1:13" ht="13.5" hidden="1" customHeight="1" x14ac:dyDescent="0.25">
      <c r="A1172" s="93"/>
      <c r="B1172" s="86">
        <v>45566</v>
      </c>
      <c r="C1172" s="87" t="s">
        <v>2221</v>
      </c>
      <c r="D1172" s="88" t="s">
        <v>6993</v>
      </c>
      <c r="E1172" s="88" t="s">
        <v>6764</v>
      </c>
      <c r="F1172" s="88"/>
      <c r="G1172" s="88" t="s">
        <v>6443</v>
      </c>
      <c r="H1172" s="88" t="s">
        <v>7888</v>
      </c>
      <c r="I1172" s="89">
        <v>4680</v>
      </c>
      <c r="J1172" s="90">
        <f>SUMIF(Cargas!$C$5:$C$3470,C1172,Cargas!$O$5:$O$3470)</f>
        <v>4680</v>
      </c>
      <c r="K1172" s="91">
        <f t="shared" si="21"/>
        <v>0</v>
      </c>
      <c r="L1172" s="92">
        <v>1505241</v>
      </c>
      <c r="M1172" s="92">
        <v>199079</v>
      </c>
    </row>
    <row r="1173" spans="1:13" ht="13.5" hidden="1" customHeight="1" x14ac:dyDescent="0.25">
      <c r="A1173" s="103"/>
      <c r="B1173" s="95">
        <v>45572</v>
      </c>
      <c r="C1173" s="96" t="s">
        <v>2201</v>
      </c>
      <c r="D1173" s="97" t="s">
        <v>6996</v>
      </c>
      <c r="E1173" s="97" t="s">
        <v>6764</v>
      </c>
      <c r="F1173" s="97"/>
      <c r="G1173" s="97" t="s">
        <v>6443</v>
      </c>
      <c r="H1173" s="97" t="s">
        <v>6768</v>
      </c>
      <c r="I1173" s="98">
        <v>3672</v>
      </c>
      <c r="J1173" s="99">
        <f>SUMIF(Cargas!$C$5:$C$3470,C1173,Cargas!$O$5:$O$3470)</f>
        <v>3672</v>
      </c>
      <c r="K1173" s="100">
        <f t="shared" si="21"/>
        <v>0</v>
      </c>
      <c r="L1173" s="102">
        <v>1505480</v>
      </c>
      <c r="M1173" s="102">
        <v>198119</v>
      </c>
    </row>
    <row r="1174" spans="1:13" s="93" customFormat="1" ht="13.5" hidden="1" customHeight="1" x14ac:dyDescent="0.25">
      <c r="A1174" s="104"/>
      <c r="B1174" s="95">
        <v>45566</v>
      </c>
      <c r="C1174" s="96" t="s">
        <v>2187</v>
      </c>
      <c r="D1174" s="97" t="s">
        <v>6999</v>
      </c>
      <c r="E1174" s="97" t="s">
        <v>6764</v>
      </c>
      <c r="F1174" s="97"/>
      <c r="G1174" s="97" t="s">
        <v>6443</v>
      </c>
      <c r="H1174" s="97" t="s">
        <v>8574</v>
      </c>
      <c r="I1174" s="98">
        <v>8910</v>
      </c>
      <c r="J1174" s="99">
        <f>SUMIF(Cargas!$C$5:$C$3470,C1174,Cargas!$O$5:$O$3470)</f>
        <v>8910</v>
      </c>
      <c r="K1174" s="100">
        <f t="shared" si="21"/>
        <v>0</v>
      </c>
      <c r="L1174" s="101" t="s">
        <v>8734</v>
      </c>
      <c r="M1174" s="102">
        <v>195810</v>
      </c>
    </row>
    <row r="1175" spans="1:13" s="103" customFormat="1" ht="13.5" hidden="1" customHeight="1" x14ac:dyDescent="0.25">
      <c r="A1175" s="104"/>
      <c r="B1175" s="95">
        <v>45572</v>
      </c>
      <c r="C1175" s="96" t="s">
        <v>2215</v>
      </c>
      <c r="D1175" s="97" t="s">
        <v>7002</v>
      </c>
      <c r="E1175" s="97" t="s">
        <v>6764</v>
      </c>
      <c r="F1175" s="97"/>
      <c r="G1175" s="97" t="s">
        <v>6443</v>
      </c>
      <c r="H1175" s="97" t="s">
        <v>8660</v>
      </c>
      <c r="I1175" s="98">
        <v>3672</v>
      </c>
      <c r="J1175" s="99">
        <f>SUMIF(Cargas!$C$5:$C$3470,C1175,Cargas!$O$5:$O$3470)</f>
        <v>3672</v>
      </c>
      <c r="K1175" s="100">
        <f t="shared" si="21"/>
        <v>0</v>
      </c>
      <c r="L1175" s="102">
        <v>1505478</v>
      </c>
      <c r="M1175" s="102">
        <v>198126</v>
      </c>
    </row>
    <row r="1176" spans="1:13" s="104" customFormat="1" ht="13.5" hidden="1" customHeight="1" x14ac:dyDescent="0.25">
      <c r="A1176"/>
      <c r="B1176" s="107">
        <v>45572</v>
      </c>
      <c r="C1176" s="108" t="s">
        <v>2263</v>
      </c>
      <c r="D1176" s="109" t="s">
        <v>8735</v>
      </c>
      <c r="E1176" s="109" t="s">
        <v>6764</v>
      </c>
      <c r="F1176" s="109"/>
      <c r="G1176" s="109" t="s">
        <v>6443</v>
      </c>
      <c r="H1176" s="109" t="s">
        <v>7888</v>
      </c>
      <c r="I1176" s="110">
        <v>4680</v>
      </c>
      <c r="J1176" s="111">
        <f>SUMIF(Cargas!$C$5:$C$3470,C1176,Cargas!$O$5:$O$3470)</f>
        <v>4680</v>
      </c>
      <c r="K1176" s="112">
        <f t="shared" si="21"/>
        <v>0</v>
      </c>
      <c r="L1176" s="113">
        <v>1506124</v>
      </c>
      <c r="M1176" s="113">
        <v>202276</v>
      </c>
    </row>
    <row r="1177" spans="1:13" s="104" customFormat="1" ht="13.5" hidden="1" customHeight="1" x14ac:dyDescent="0.25">
      <c r="A1177" s="103"/>
      <c r="B1177" s="95">
        <v>45575</v>
      </c>
      <c r="C1177" s="96" t="s">
        <v>2276</v>
      </c>
      <c r="D1177" s="97" t="s">
        <v>7005</v>
      </c>
      <c r="E1177" s="97" t="s">
        <v>6764</v>
      </c>
      <c r="F1177" s="97"/>
      <c r="G1177" s="97" t="s">
        <v>6443</v>
      </c>
      <c r="H1177" s="97" t="s">
        <v>6963</v>
      </c>
      <c r="I1177" s="98">
        <v>3960</v>
      </c>
      <c r="J1177" s="99">
        <f>SUMIF(Cargas!$C$5:$C$3470,C1177,Cargas!$O$5:$O$3470)</f>
        <v>3960</v>
      </c>
      <c r="K1177" s="100">
        <f t="shared" si="21"/>
        <v>0</v>
      </c>
      <c r="L1177" s="102">
        <v>1505482</v>
      </c>
      <c r="M1177" s="102">
        <v>203523</v>
      </c>
    </row>
    <row r="1178" spans="1:13" ht="13.5" hidden="1" customHeight="1" x14ac:dyDescent="0.25">
      <c r="A1178" s="103"/>
      <c r="B1178" s="95">
        <v>45575</v>
      </c>
      <c r="C1178" s="96" t="s">
        <v>2274</v>
      </c>
      <c r="D1178" s="97" t="s">
        <v>7008</v>
      </c>
      <c r="E1178" s="97" t="s">
        <v>6764</v>
      </c>
      <c r="F1178" s="97"/>
      <c r="G1178" s="97" t="s">
        <v>6443</v>
      </c>
      <c r="H1178" s="97" t="s">
        <v>8574</v>
      </c>
      <c r="I1178" s="98">
        <v>8910</v>
      </c>
      <c r="J1178" s="99">
        <f>SUMIF(Cargas!$C$5:$C$3470,C1178,Cargas!$O$5:$O$3470)</f>
        <v>8910</v>
      </c>
      <c r="K1178" s="100">
        <f t="shared" si="21"/>
        <v>0</v>
      </c>
      <c r="L1178" s="102">
        <v>1506902</v>
      </c>
      <c r="M1178" s="102">
        <v>203555</v>
      </c>
    </row>
    <row r="1179" spans="1:13" s="103" customFormat="1" ht="13.5" hidden="1" customHeight="1" x14ac:dyDescent="0.25">
      <c r="A1179"/>
      <c r="B1179" s="107">
        <v>45576</v>
      </c>
      <c r="C1179" s="108" t="s">
        <v>2295</v>
      </c>
      <c r="D1179" s="109" t="s">
        <v>8736</v>
      </c>
      <c r="E1179" s="109" t="s">
        <v>6764</v>
      </c>
      <c r="F1179" s="109"/>
      <c r="G1179" s="109" t="s">
        <v>6443</v>
      </c>
      <c r="H1179" s="109" t="s">
        <v>7888</v>
      </c>
      <c r="I1179" s="110">
        <v>4680</v>
      </c>
      <c r="J1179" s="111">
        <f>SUMIF(Cargas!$C$5:$C$3470,C1179,Cargas!$O$5:$O$3470)</f>
        <v>4680</v>
      </c>
      <c r="K1179" s="112">
        <f t="shared" si="21"/>
        <v>0</v>
      </c>
      <c r="L1179" s="113">
        <v>1506699</v>
      </c>
      <c r="M1179" s="113">
        <v>204364</v>
      </c>
    </row>
    <row r="1180" spans="1:13" s="103" customFormat="1" ht="13.5" hidden="1" customHeight="1" x14ac:dyDescent="0.25">
      <c r="A1180"/>
      <c r="B1180" s="107">
        <v>45579</v>
      </c>
      <c r="C1180" s="108" t="s">
        <v>2360</v>
      </c>
      <c r="D1180" s="109" t="s">
        <v>7011</v>
      </c>
      <c r="E1180" s="109" t="s">
        <v>6764</v>
      </c>
      <c r="F1180" s="109"/>
      <c r="G1180" s="109" t="s">
        <v>6443</v>
      </c>
      <c r="H1180" s="109" t="s">
        <v>7888</v>
      </c>
      <c r="I1180" s="110">
        <v>5616</v>
      </c>
      <c r="J1180" s="111">
        <f>SUMIF(Cargas!$C$5:$C$3470,C1180,Cargas!$O$5:$O$3470)</f>
        <v>5616</v>
      </c>
      <c r="K1180" s="112">
        <f t="shared" si="21"/>
        <v>0</v>
      </c>
      <c r="L1180" s="113" t="s">
        <v>8737</v>
      </c>
      <c r="M1180" s="113">
        <v>208596</v>
      </c>
    </row>
    <row r="1181" spans="1:13" ht="13.5" hidden="1" customHeight="1" x14ac:dyDescent="0.25">
      <c r="A1181" s="93"/>
      <c r="B1181" s="86">
        <v>45581</v>
      </c>
      <c r="C1181" s="87" t="s">
        <v>2352</v>
      </c>
      <c r="D1181" s="88" t="s">
        <v>7014</v>
      </c>
      <c r="E1181" s="88" t="s">
        <v>6764</v>
      </c>
      <c r="F1181" s="88"/>
      <c r="G1181" s="88" t="s">
        <v>6443</v>
      </c>
      <c r="H1181" s="88" t="s">
        <v>8660</v>
      </c>
      <c r="I1181" s="89">
        <v>3672</v>
      </c>
      <c r="J1181" s="90">
        <f>SUMIF(Cargas!$C$5:$C$3470,C1181,Cargas!$O$5:$O$3470)</f>
        <v>3672</v>
      </c>
      <c r="K1181" s="91">
        <f t="shared" si="21"/>
        <v>0</v>
      </c>
      <c r="L1181" s="92" t="s">
        <v>8738</v>
      </c>
      <c r="M1181" s="92">
        <v>207640</v>
      </c>
    </row>
    <row r="1182" spans="1:13" s="93" customFormat="1" ht="13.5" hidden="1" customHeight="1" x14ac:dyDescent="0.25">
      <c r="B1182" s="86">
        <v>45582</v>
      </c>
      <c r="C1182" s="87" t="s">
        <v>2388</v>
      </c>
      <c r="D1182" s="88" t="s">
        <v>7017</v>
      </c>
      <c r="E1182" s="88" t="s">
        <v>6764</v>
      </c>
      <c r="F1182" s="88"/>
      <c r="G1182" s="88" t="s">
        <v>6443</v>
      </c>
      <c r="H1182" s="88" t="s">
        <v>7888</v>
      </c>
      <c r="I1182" s="89">
        <v>3744</v>
      </c>
      <c r="J1182" s="90">
        <f>SUMIF(Cargas!$C$5:$C$3470,C1182,Cargas!$O$5:$O$3470)</f>
        <v>3744</v>
      </c>
      <c r="K1182" s="91">
        <f t="shared" si="21"/>
        <v>0</v>
      </c>
      <c r="L1182" s="94" t="s">
        <v>8739</v>
      </c>
      <c r="M1182" s="92">
        <v>210967</v>
      </c>
    </row>
    <row r="1183" spans="1:13" s="93" customFormat="1" ht="13.5" hidden="1" customHeight="1" x14ac:dyDescent="0.25">
      <c r="B1183" s="86">
        <v>45588</v>
      </c>
      <c r="C1183" s="87" t="s">
        <v>2427</v>
      </c>
      <c r="D1183" s="88" t="s">
        <v>7020</v>
      </c>
      <c r="E1183" s="88" t="s">
        <v>6764</v>
      </c>
      <c r="F1183" s="88"/>
      <c r="G1183" s="88" t="s">
        <v>6443</v>
      </c>
      <c r="H1183" s="88" t="s">
        <v>7888</v>
      </c>
      <c r="I1183" s="89">
        <v>4680</v>
      </c>
      <c r="J1183" s="90">
        <f>SUMIF(Cargas!$C$5:$C$3470,C1183,Cargas!$O$5:$O$3470)</f>
        <v>4680</v>
      </c>
      <c r="K1183" s="91">
        <f t="shared" si="21"/>
        <v>0</v>
      </c>
      <c r="L1183" s="94">
        <v>1508258</v>
      </c>
      <c r="M1183" s="92">
        <v>216214</v>
      </c>
    </row>
    <row r="1184" spans="1:13" s="93" customFormat="1" ht="13.5" hidden="1" customHeight="1" x14ac:dyDescent="0.25">
      <c r="A1184" s="103"/>
      <c r="B1184" s="95">
        <v>45588</v>
      </c>
      <c r="C1184" s="96" t="s">
        <v>2409</v>
      </c>
      <c r="D1184" s="97" t="s">
        <v>7023</v>
      </c>
      <c r="E1184" s="97" t="s">
        <v>6764</v>
      </c>
      <c r="F1184" s="97"/>
      <c r="G1184" s="97" t="s">
        <v>6443</v>
      </c>
      <c r="H1184" s="97" t="s">
        <v>6768</v>
      </c>
      <c r="I1184" s="98">
        <v>3672</v>
      </c>
      <c r="J1184" s="99">
        <f>SUMIF(Cargas!$C$5:$C$3470,C1184,Cargas!$O$5:$O$3470)</f>
        <v>3672</v>
      </c>
      <c r="K1184" s="100">
        <f t="shared" si="21"/>
        <v>0</v>
      </c>
      <c r="L1184" s="101" t="s">
        <v>8740</v>
      </c>
      <c r="M1184" s="102">
        <v>215193</v>
      </c>
    </row>
    <row r="1185" spans="2:13" s="103" customFormat="1" ht="13.5" hidden="1" customHeight="1" x14ac:dyDescent="0.25">
      <c r="B1185" s="95">
        <v>45594</v>
      </c>
      <c r="C1185" s="96" t="s">
        <v>2457</v>
      </c>
      <c r="D1185" s="97" t="s">
        <v>8741</v>
      </c>
      <c r="E1185" s="97" t="s">
        <v>6764</v>
      </c>
      <c r="F1185" s="97"/>
      <c r="G1185" s="97" t="s">
        <v>6443</v>
      </c>
      <c r="H1185" s="97" t="s">
        <v>8660</v>
      </c>
      <c r="I1185" s="98">
        <v>3672</v>
      </c>
      <c r="J1185" s="99">
        <f>SUMIF(Cargas!$C$5:$C$3470,C1185,Cargas!$O$5:$O$3470)</f>
        <v>3672</v>
      </c>
      <c r="K1185" s="100">
        <f t="shared" si="21"/>
        <v>0</v>
      </c>
      <c r="L1185" s="101" t="s">
        <v>8742</v>
      </c>
      <c r="M1185" s="102">
        <v>219744</v>
      </c>
    </row>
    <row r="1186" spans="2:13" s="103" customFormat="1" ht="13.5" hidden="1" customHeight="1" x14ac:dyDescent="0.25">
      <c r="B1186" s="95">
        <v>45596</v>
      </c>
      <c r="C1186" s="96" t="s">
        <v>2466</v>
      </c>
      <c r="D1186" s="97" t="s">
        <v>7026</v>
      </c>
      <c r="E1186" s="97" t="s">
        <v>6764</v>
      </c>
      <c r="F1186" s="97"/>
      <c r="G1186" s="97" t="s">
        <v>6443</v>
      </c>
      <c r="H1186" s="97" t="s">
        <v>6768</v>
      </c>
      <c r="I1186" s="98">
        <v>3672</v>
      </c>
      <c r="J1186" s="99">
        <f>SUMIF(Cargas!$C$5:$C$3470,C1186,Cargas!$O$5:$O$3470)</f>
        <v>3672</v>
      </c>
      <c r="K1186" s="100">
        <f t="shared" si="21"/>
        <v>0</v>
      </c>
      <c r="L1186" s="101" t="s">
        <v>8743</v>
      </c>
      <c r="M1186" s="102">
        <v>219742</v>
      </c>
    </row>
    <row r="1187" spans="2:13" s="103" customFormat="1" ht="13.5" hidden="1" customHeight="1" x14ac:dyDescent="0.25">
      <c r="B1187" s="95">
        <v>45601</v>
      </c>
      <c r="C1187" s="96" t="s">
        <v>2518</v>
      </c>
      <c r="D1187" s="97" t="s">
        <v>8744</v>
      </c>
      <c r="E1187" s="97" t="s">
        <v>6764</v>
      </c>
      <c r="F1187" s="97"/>
      <c r="G1187" s="97" t="s">
        <v>6443</v>
      </c>
      <c r="H1187" s="97" t="s">
        <v>8574</v>
      </c>
      <c r="I1187" s="98">
        <v>8910</v>
      </c>
      <c r="J1187" s="99">
        <f>SUMIF(Cargas!$C$5:$C$3470,C1187,Cargas!$O$5:$O$3470)</f>
        <v>8910</v>
      </c>
      <c r="K1187" s="100">
        <f t="shared" si="21"/>
        <v>0</v>
      </c>
      <c r="L1187" s="101" t="s">
        <v>8745</v>
      </c>
      <c r="M1187" s="102">
        <v>222979</v>
      </c>
    </row>
    <row r="1188" spans="2:13" s="93" customFormat="1" ht="13.5" hidden="1" customHeight="1" x14ac:dyDescent="0.25">
      <c r="B1188" s="86">
        <v>45601</v>
      </c>
      <c r="C1188" s="87" t="s">
        <v>2509</v>
      </c>
      <c r="D1188" s="88" t="s">
        <v>7030</v>
      </c>
      <c r="E1188" s="88" t="s">
        <v>6764</v>
      </c>
      <c r="F1188" s="88"/>
      <c r="G1188" s="88" t="s">
        <v>6443</v>
      </c>
      <c r="H1188" s="88" t="s">
        <v>8660</v>
      </c>
      <c r="I1188" s="89">
        <v>4590</v>
      </c>
      <c r="J1188" s="90">
        <f>SUMIF(Cargas!$C$5:$C$3470,C1188,Cargas!$O$5:$O$3470)</f>
        <v>4590</v>
      </c>
      <c r="K1188" s="91">
        <f t="shared" si="21"/>
        <v>0</v>
      </c>
      <c r="L1188" s="94" t="s">
        <v>8746</v>
      </c>
      <c r="M1188" s="92">
        <v>222964</v>
      </c>
    </row>
    <row r="1189" spans="2:13" ht="13.5" hidden="1" customHeight="1" x14ac:dyDescent="0.25">
      <c r="B1189" s="58">
        <v>45516</v>
      </c>
      <c r="C1189" s="59" t="s">
        <v>1835</v>
      </c>
      <c r="D1189" s="61" t="s">
        <v>8747</v>
      </c>
      <c r="E1189" s="61" t="s">
        <v>8564</v>
      </c>
      <c r="F1189" s="61"/>
      <c r="G1189" s="61" t="s">
        <v>6443</v>
      </c>
      <c r="H1189" s="61" t="s">
        <v>8574</v>
      </c>
      <c r="I1189" s="62">
        <v>3960</v>
      </c>
      <c r="J1189" s="4">
        <f>SUMIF(Cargas!$C$5:$C$3470,C1189,Cargas!$O$5:$O$3470)</f>
        <v>3960</v>
      </c>
      <c r="K1189" s="18">
        <f t="shared" si="21"/>
        <v>0</v>
      </c>
      <c r="L1189" s="63" t="s">
        <v>8748</v>
      </c>
      <c r="M1189" s="64">
        <v>158948</v>
      </c>
    </row>
    <row r="1190" spans="2:13" ht="13.5" hidden="1" customHeight="1" x14ac:dyDescent="0.25">
      <c r="B1190" s="58">
        <v>45537</v>
      </c>
      <c r="C1190" s="59" t="s">
        <v>1969</v>
      </c>
      <c r="D1190" s="61" t="s">
        <v>8749</v>
      </c>
      <c r="E1190" s="61" t="s">
        <v>8564</v>
      </c>
      <c r="F1190" s="61"/>
      <c r="G1190" s="61" t="s">
        <v>6443</v>
      </c>
      <c r="H1190" s="61" t="s">
        <v>8574</v>
      </c>
      <c r="I1190" s="62">
        <v>3960</v>
      </c>
      <c r="J1190" s="4">
        <f>SUMIF(Cargas!$C$5:$C$3470,C1190,Cargas!$O$5:$O$3470)</f>
        <v>3960</v>
      </c>
      <c r="K1190" s="18">
        <f t="shared" si="21"/>
        <v>0</v>
      </c>
      <c r="L1190" s="63" t="s">
        <v>8750</v>
      </c>
      <c r="M1190" s="64">
        <v>174501</v>
      </c>
    </row>
    <row r="1191" spans="2:13" ht="13.5" hidden="1" customHeight="1" x14ac:dyDescent="0.25">
      <c r="B1191" s="58">
        <v>45560</v>
      </c>
      <c r="C1191" s="59" t="s">
        <v>2146</v>
      </c>
      <c r="D1191" s="61" t="s">
        <v>8751</v>
      </c>
      <c r="E1191" s="61" t="s">
        <v>8564</v>
      </c>
      <c r="F1191" s="61"/>
      <c r="G1191" s="61" t="s">
        <v>6443</v>
      </c>
      <c r="H1191" s="61" t="s">
        <v>8574</v>
      </c>
      <c r="I1191" s="62">
        <v>3960</v>
      </c>
      <c r="J1191" s="4">
        <f>SUMIF(Cargas!$C$5:$C$3470,C1191,Cargas!$O$5:$O$3470)</f>
        <v>3960</v>
      </c>
      <c r="K1191" s="18">
        <f t="shared" si="21"/>
        <v>0</v>
      </c>
      <c r="L1191" s="63" t="s">
        <v>8752</v>
      </c>
      <c r="M1191" s="64">
        <v>192603</v>
      </c>
    </row>
    <row r="1192" spans="2:13" ht="13.5" hidden="1" customHeight="1" x14ac:dyDescent="0.25">
      <c r="B1192" s="58">
        <v>45519</v>
      </c>
      <c r="C1192" s="59" t="s">
        <v>1866</v>
      </c>
      <c r="D1192" s="61" t="s">
        <v>7251</v>
      </c>
      <c r="E1192" s="61" t="s">
        <v>8564</v>
      </c>
      <c r="F1192" s="61"/>
      <c r="G1192" s="61" t="s">
        <v>6443</v>
      </c>
      <c r="H1192" s="61"/>
      <c r="I1192" s="62">
        <f>276+325+210+648</f>
        <v>1459</v>
      </c>
      <c r="J1192" s="4">
        <f>SUMIF(Cargas!$C$5:$C$3470,C1192,Cargas!$O$5:$O$3470)</f>
        <v>1459</v>
      </c>
      <c r="K1192" s="18">
        <f t="shared" si="21"/>
        <v>0</v>
      </c>
      <c r="L1192" s="63"/>
      <c r="M1192" s="64">
        <v>163700</v>
      </c>
    </row>
    <row r="1193" spans="2:13" ht="13.5" hidden="1" customHeight="1" x14ac:dyDescent="0.25">
      <c r="B1193" s="58">
        <v>45525</v>
      </c>
      <c r="C1193" s="59" t="s">
        <v>1882</v>
      </c>
      <c r="D1193" s="61" t="s">
        <v>7254</v>
      </c>
      <c r="E1193" s="61" t="s">
        <v>7756</v>
      </c>
      <c r="F1193" s="61"/>
      <c r="G1193" s="61" t="s">
        <v>6443</v>
      </c>
      <c r="H1193" s="61"/>
      <c r="I1193" s="62">
        <v>25000</v>
      </c>
      <c r="J1193" s="4">
        <f>SUMIF(Cargas!$C$5:$C$3470,C1193,Cargas!$O$5:$O$3470)</f>
        <v>25000</v>
      </c>
      <c r="K1193" s="18">
        <f t="shared" si="21"/>
        <v>0</v>
      </c>
      <c r="L1193" s="63" t="s">
        <v>8753</v>
      </c>
      <c r="M1193" s="64">
        <v>165541</v>
      </c>
    </row>
    <row r="1194" spans="2:13" ht="13.5" hidden="1" customHeight="1" x14ac:dyDescent="0.25">
      <c r="B1194" s="58">
        <v>45525</v>
      </c>
      <c r="C1194" s="59" t="s">
        <v>1979</v>
      </c>
      <c r="D1194" s="61" t="s">
        <v>7257</v>
      </c>
      <c r="E1194" s="61" t="s">
        <v>7756</v>
      </c>
      <c r="F1194" s="61"/>
      <c r="G1194" s="61" t="s">
        <v>6443</v>
      </c>
      <c r="H1194" s="61" t="s">
        <v>7756</v>
      </c>
      <c r="I1194" s="62">
        <v>1430</v>
      </c>
      <c r="J1194" s="4">
        <f>SUMIF(Cargas!$C$5:$C$3470,C1194,Cargas!$O$5:$O$3470)</f>
        <v>1430</v>
      </c>
      <c r="K1194" s="18">
        <f t="shared" si="21"/>
        <v>0</v>
      </c>
      <c r="L1194" s="63" t="s">
        <v>8754</v>
      </c>
      <c r="M1194" s="64">
        <v>174633</v>
      </c>
    </row>
    <row r="1195" spans="2:13" ht="13.5" hidden="1" customHeight="1" x14ac:dyDescent="0.25">
      <c r="B1195" s="58">
        <v>45540</v>
      </c>
      <c r="C1195" s="59" t="s">
        <v>2011</v>
      </c>
      <c r="D1195" s="61" t="s">
        <v>7714</v>
      </c>
      <c r="E1195" s="61" t="s">
        <v>6442</v>
      </c>
      <c r="F1195" s="61"/>
      <c r="G1195" s="61" t="s">
        <v>6665</v>
      </c>
      <c r="H1195" s="61" t="s">
        <v>8660</v>
      </c>
      <c r="I1195" s="62">
        <v>2079</v>
      </c>
      <c r="J1195" s="4">
        <f>SUMIF(Cargas!$C$5:$C$3470,C1195,Cargas!$O$5:$O$3470)</f>
        <v>2079</v>
      </c>
      <c r="K1195" s="18">
        <f t="shared" si="21"/>
        <v>0</v>
      </c>
      <c r="L1195" s="63" t="s">
        <v>8755</v>
      </c>
      <c r="M1195" s="64">
        <v>180119</v>
      </c>
    </row>
    <row r="1196" spans="2:13" ht="13.5" hidden="1" customHeight="1" x14ac:dyDescent="0.25">
      <c r="B1196" s="58">
        <v>45542</v>
      </c>
      <c r="C1196" s="59" t="s">
        <v>2039</v>
      </c>
      <c r="D1196" s="61" t="s">
        <v>7265</v>
      </c>
      <c r="E1196" s="61" t="s">
        <v>8756</v>
      </c>
      <c r="F1196" s="61"/>
      <c r="G1196" s="61" t="s">
        <v>6443</v>
      </c>
      <c r="H1196" s="61" t="s">
        <v>8660</v>
      </c>
      <c r="I1196" s="62">
        <v>2520</v>
      </c>
      <c r="J1196" s="4">
        <f>SUMIF(Cargas!$C$5:$C$3470,C1196,Cargas!$O$5:$O$3470)</f>
        <v>2520</v>
      </c>
      <c r="K1196" s="18">
        <f t="shared" si="21"/>
        <v>0</v>
      </c>
      <c r="L1196" s="63"/>
      <c r="M1196" s="64">
        <v>180900</v>
      </c>
    </row>
    <row r="1197" spans="2:13" ht="13.5" hidden="1" customHeight="1" x14ac:dyDescent="0.25">
      <c r="B1197" s="58">
        <v>45545</v>
      </c>
      <c r="C1197" s="59" t="s">
        <v>2043</v>
      </c>
      <c r="D1197" s="61" t="s">
        <v>7759</v>
      </c>
      <c r="E1197" s="61" t="s">
        <v>7756</v>
      </c>
      <c r="F1197" s="61"/>
      <c r="G1197" s="61" t="s">
        <v>6443</v>
      </c>
      <c r="H1197" s="61" t="s">
        <v>7888</v>
      </c>
      <c r="I1197" s="62">
        <v>25000</v>
      </c>
      <c r="J1197" s="4">
        <f>SUMIF(Cargas!$C$5:$C$3470,C1197,Cargas!$O$5:$O$3470)</f>
        <v>25000</v>
      </c>
      <c r="K1197" s="18">
        <f t="shared" si="21"/>
        <v>0</v>
      </c>
      <c r="L1197" s="63" t="s">
        <v>8757</v>
      </c>
      <c r="M1197" s="64">
        <v>182370</v>
      </c>
    </row>
    <row r="1198" spans="2:13" ht="13.5" hidden="1" customHeight="1" x14ac:dyDescent="0.25">
      <c r="B1198" s="58">
        <v>45548</v>
      </c>
      <c r="C1198" s="59" t="s">
        <v>2067</v>
      </c>
      <c r="D1198" s="61" t="s">
        <v>7811</v>
      </c>
      <c r="E1198" s="61" t="s">
        <v>8564</v>
      </c>
      <c r="F1198" s="61"/>
      <c r="G1198" s="61" t="s">
        <v>6443</v>
      </c>
      <c r="H1198" s="61" t="s">
        <v>8660</v>
      </c>
      <c r="I1198" s="62">
        <v>1312</v>
      </c>
      <c r="J1198" s="4">
        <f>SUMIF(Cargas!$C$5:$C$3470,C1198,Cargas!$O$5:$O$3470)</f>
        <v>1316</v>
      </c>
      <c r="K1198" s="18">
        <f t="shared" si="21"/>
        <v>0</v>
      </c>
      <c r="L1198" s="63" t="s">
        <v>8758</v>
      </c>
      <c r="M1198" s="64">
        <v>185543</v>
      </c>
    </row>
    <row r="1199" spans="2:13" ht="13.5" hidden="1" customHeight="1" x14ac:dyDescent="0.25">
      <c r="B1199" s="58">
        <v>45555</v>
      </c>
      <c r="C1199" s="59" t="s">
        <v>2105</v>
      </c>
      <c r="D1199" s="61" t="s">
        <v>7770</v>
      </c>
      <c r="E1199" s="61" t="s">
        <v>7756</v>
      </c>
      <c r="F1199" s="61"/>
      <c r="G1199" s="61" t="s">
        <v>6443</v>
      </c>
      <c r="H1199" s="61" t="s">
        <v>7888</v>
      </c>
      <c r="I1199" s="62">
        <v>23700</v>
      </c>
      <c r="J1199" s="4">
        <f>SUMIF(Cargas!$C$5:$C$3470,C1199,Cargas!$O$5:$O$3470)</f>
        <v>23700</v>
      </c>
      <c r="K1199" s="18">
        <f t="shared" si="21"/>
        <v>0</v>
      </c>
      <c r="L1199" s="63"/>
      <c r="M1199" s="64">
        <v>187500</v>
      </c>
    </row>
    <row r="1200" spans="2:13" ht="13.5" hidden="1" customHeight="1" x14ac:dyDescent="0.25">
      <c r="B1200" s="58">
        <v>45558</v>
      </c>
      <c r="C1200" s="59" t="s">
        <v>2148</v>
      </c>
      <c r="D1200" s="61" t="s">
        <v>7280</v>
      </c>
      <c r="E1200" s="61" t="s">
        <v>7756</v>
      </c>
      <c r="F1200" s="61"/>
      <c r="G1200" s="61" t="s">
        <v>6443</v>
      </c>
      <c r="H1200" s="61" t="s">
        <v>7888</v>
      </c>
      <c r="I1200" s="62">
        <v>24000</v>
      </c>
      <c r="J1200" s="4">
        <f>SUMIF(Cargas!$C$5:$C$3470,C1200,Cargas!$O$5:$O$3470)</f>
        <v>24000</v>
      </c>
      <c r="K1200" s="18">
        <f t="shared" si="21"/>
        <v>0</v>
      </c>
      <c r="L1200" s="63"/>
      <c r="M1200" s="64">
        <v>193595</v>
      </c>
    </row>
    <row r="1201" spans="2:13" ht="13.5" hidden="1" customHeight="1" x14ac:dyDescent="0.25">
      <c r="B1201" s="58">
        <v>45561</v>
      </c>
      <c r="C1201" s="59" t="s">
        <v>2164</v>
      </c>
      <c r="D1201" s="61" t="s">
        <v>7283</v>
      </c>
      <c r="E1201" s="61" t="s">
        <v>8471</v>
      </c>
      <c r="F1201" s="61"/>
      <c r="G1201" s="61" t="s">
        <v>6443</v>
      </c>
      <c r="H1201" s="61" t="s">
        <v>8660</v>
      </c>
      <c r="I1201" s="62">
        <v>1580</v>
      </c>
      <c r="J1201" s="4">
        <f>SUMIF(Cargas!$C$5:$C$3470,C1201,Cargas!$O$5:$O$3470)</f>
        <v>1580</v>
      </c>
      <c r="K1201" s="18">
        <f t="shared" si="21"/>
        <v>0</v>
      </c>
      <c r="L1201" s="63"/>
      <c r="M1201" s="64">
        <v>194903</v>
      </c>
    </row>
    <row r="1202" spans="2:13" s="93" customFormat="1" ht="13.5" hidden="1" customHeight="1" x14ac:dyDescent="0.25">
      <c r="B1202" s="86">
        <v>45601</v>
      </c>
      <c r="C1202" s="87" t="s">
        <v>2539</v>
      </c>
      <c r="D1202" s="88" t="s">
        <v>7033</v>
      </c>
      <c r="E1202" s="88" t="s">
        <v>6764</v>
      </c>
      <c r="F1202" s="88"/>
      <c r="G1202" s="88" t="s">
        <v>6443</v>
      </c>
      <c r="H1202" s="88" t="s">
        <v>6768</v>
      </c>
      <c r="I1202" s="89">
        <v>4590</v>
      </c>
      <c r="J1202" s="90">
        <f>SUMIF(Cargas!$C$5:$C$3470,C1202,Cargas!$O$5:$O$3470)</f>
        <v>4590</v>
      </c>
      <c r="K1202" s="91">
        <f t="shared" si="21"/>
        <v>0</v>
      </c>
      <c r="L1202" s="94" t="s">
        <v>8759</v>
      </c>
      <c r="M1202" s="92">
        <v>225333</v>
      </c>
    </row>
    <row r="1203" spans="2:13" s="93" customFormat="1" ht="13.5" hidden="1" customHeight="1" x14ac:dyDescent="0.25">
      <c r="B1203" s="86">
        <v>45601</v>
      </c>
      <c r="C1203" s="87" t="s">
        <v>2546</v>
      </c>
      <c r="D1203" s="88" t="s">
        <v>7036</v>
      </c>
      <c r="E1203" s="88" t="s">
        <v>6764</v>
      </c>
      <c r="F1203" s="88"/>
      <c r="G1203" s="88" t="s">
        <v>6443</v>
      </c>
      <c r="H1203" s="88" t="s">
        <v>6963</v>
      </c>
      <c r="I1203" s="89">
        <v>3960</v>
      </c>
      <c r="J1203" s="90">
        <f>SUMIF(Cargas!$C$5:$C$3470,C1203,Cargas!$O$5:$O$3470)</f>
        <v>3960</v>
      </c>
      <c r="K1203" s="91">
        <f t="shared" si="21"/>
        <v>0</v>
      </c>
      <c r="L1203" s="94" t="s">
        <v>8760</v>
      </c>
      <c r="M1203" s="92">
        <v>225360</v>
      </c>
    </row>
    <row r="1204" spans="2:13" s="93" customFormat="1" ht="13.5" hidden="1" customHeight="1" x14ac:dyDescent="0.25">
      <c r="B1204" s="86">
        <v>45602</v>
      </c>
      <c r="C1204" s="87" t="s">
        <v>2563</v>
      </c>
      <c r="D1204" s="88" t="s">
        <v>7039</v>
      </c>
      <c r="E1204" s="88" t="s">
        <v>6764</v>
      </c>
      <c r="F1204" s="88"/>
      <c r="G1204" s="88" t="s">
        <v>6443</v>
      </c>
      <c r="H1204" s="88" t="s">
        <v>7888</v>
      </c>
      <c r="I1204" s="89">
        <v>3744</v>
      </c>
      <c r="J1204" s="90">
        <f>SUMIF(Cargas!$C$5:$C$3470,C1204,Cargas!$O$5:$O$3470)</f>
        <v>3744</v>
      </c>
      <c r="K1204" s="91">
        <f t="shared" si="21"/>
        <v>0</v>
      </c>
      <c r="L1204" s="94" t="s">
        <v>8761</v>
      </c>
      <c r="M1204" s="92">
        <v>225386</v>
      </c>
    </row>
    <row r="1205" spans="2:13" s="93" customFormat="1" ht="13.5" hidden="1" customHeight="1" x14ac:dyDescent="0.25">
      <c r="B1205" s="86">
        <v>45608</v>
      </c>
      <c r="C1205" s="87" t="s">
        <v>2598</v>
      </c>
      <c r="D1205" s="88" t="s">
        <v>8762</v>
      </c>
      <c r="E1205" s="88" t="s">
        <v>6764</v>
      </c>
      <c r="F1205" s="88"/>
      <c r="G1205" s="88" t="s">
        <v>6443</v>
      </c>
      <c r="H1205" s="88" t="s">
        <v>8574</v>
      </c>
      <c r="I1205" s="89">
        <v>8910</v>
      </c>
      <c r="J1205" s="90">
        <f>SUMIF(Cargas!$C$5:$C$3470,C1205,Cargas!$O$5:$O$3470)</f>
        <v>8910</v>
      </c>
      <c r="K1205" s="91">
        <f t="shared" si="21"/>
        <v>0</v>
      </c>
      <c r="L1205" s="94" t="s">
        <v>8763</v>
      </c>
      <c r="M1205" s="92">
        <v>227534</v>
      </c>
    </row>
    <row r="1206" spans="2:13" s="115" customFormat="1" ht="13.5" hidden="1" customHeight="1" x14ac:dyDescent="0.25">
      <c r="B1206" s="107">
        <v>45608</v>
      </c>
      <c r="C1206" s="108" t="s">
        <v>2629</v>
      </c>
      <c r="D1206" s="109" t="s">
        <v>7042</v>
      </c>
      <c r="E1206" s="109" t="s">
        <v>6764</v>
      </c>
      <c r="F1206" s="109"/>
      <c r="G1206" s="109" t="s">
        <v>6443</v>
      </c>
      <c r="H1206" s="109" t="s">
        <v>8660</v>
      </c>
      <c r="I1206" s="110">
        <v>4590</v>
      </c>
      <c r="J1206" s="111">
        <f>SUMIF(Cargas!$C$5:$C$3470,C1206,Cargas!$O$5:$O$3470)</f>
        <v>4590</v>
      </c>
      <c r="K1206" s="112">
        <f t="shared" si="21"/>
        <v>0</v>
      </c>
      <c r="L1206" s="114" t="s">
        <v>8764</v>
      </c>
      <c r="M1206" s="113">
        <v>231024</v>
      </c>
    </row>
    <row r="1207" spans="2:13" s="115" customFormat="1" ht="13.5" hidden="1" customHeight="1" x14ac:dyDescent="0.25">
      <c r="B1207" s="107">
        <v>45608</v>
      </c>
      <c r="C1207" s="108" t="s">
        <v>2634</v>
      </c>
      <c r="D1207" s="109" t="s">
        <v>7045</v>
      </c>
      <c r="E1207" s="109" t="s">
        <v>6764</v>
      </c>
      <c r="F1207" s="109"/>
      <c r="G1207" s="109" t="s">
        <v>6443</v>
      </c>
      <c r="H1207" s="109" t="s">
        <v>6768</v>
      </c>
      <c r="I1207" s="110">
        <v>5508</v>
      </c>
      <c r="J1207" s="111">
        <f>SUMIF(Cargas!$C$5:$C$3470,C1207,Cargas!$O$5:$O$3470)</f>
        <v>5508</v>
      </c>
      <c r="K1207" s="112">
        <f t="shared" si="21"/>
        <v>0</v>
      </c>
      <c r="L1207" s="114" t="s">
        <v>8765</v>
      </c>
      <c r="M1207" s="113">
        <v>231069</v>
      </c>
    </row>
    <row r="1208" spans="2:13" ht="13.5" hidden="1" customHeight="1" x14ac:dyDescent="0.25">
      <c r="B1208" s="58">
        <v>45453</v>
      </c>
      <c r="C1208" s="59" t="s">
        <v>1283</v>
      </c>
      <c r="D1208" s="61" t="s">
        <v>3726</v>
      </c>
      <c r="E1208" s="61" t="s">
        <v>6764</v>
      </c>
      <c r="F1208" s="61"/>
      <c r="G1208" s="61" t="s">
        <v>6443</v>
      </c>
      <c r="H1208" s="61" t="s">
        <v>6768</v>
      </c>
      <c r="I1208" s="62">
        <v>1240</v>
      </c>
      <c r="J1208" s="4">
        <f>SUMIF(Cargas!$C$5:$C$3470,C1208,Cargas!$O$5:$O$3470)</f>
        <v>1240</v>
      </c>
      <c r="K1208" s="18">
        <f t="shared" si="21"/>
        <v>0</v>
      </c>
      <c r="L1208" s="63" t="s">
        <v>8724</v>
      </c>
      <c r="M1208" s="64">
        <v>111968</v>
      </c>
    </row>
    <row r="1209" spans="2:13" s="93" customFormat="1" ht="13.5" hidden="1" customHeight="1" x14ac:dyDescent="0.25">
      <c r="B1209" s="86">
        <v>45614</v>
      </c>
      <c r="C1209" s="87" t="s">
        <v>2641</v>
      </c>
      <c r="D1209" s="88" t="s">
        <v>7048</v>
      </c>
      <c r="E1209" s="88" t="s">
        <v>6764</v>
      </c>
      <c r="F1209" s="88"/>
      <c r="G1209" s="88" t="s">
        <v>6443</v>
      </c>
      <c r="H1209" s="88" t="s">
        <v>7888</v>
      </c>
      <c r="I1209" s="89">
        <v>4680</v>
      </c>
      <c r="J1209" s="90">
        <f>SUMIF(Cargas!$C$5:$C$3470,C1209,Cargas!$O$5:$O$3470)</f>
        <v>4680</v>
      </c>
      <c r="K1209" s="91">
        <f t="shared" si="21"/>
        <v>0</v>
      </c>
      <c r="L1209" s="94" t="s">
        <v>8766</v>
      </c>
      <c r="M1209" s="92">
        <v>234297</v>
      </c>
    </row>
    <row r="1210" spans="2:13" s="115" customFormat="1" ht="13.5" hidden="1" customHeight="1" x14ac:dyDescent="0.25">
      <c r="B1210" s="107">
        <v>45617</v>
      </c>
      <c r="C1210" s="108" t="s">
        <v>2675</v>
      </c>
      <c r="D1210" s="109" t="s">
        <v>7051</v>
      </c>
      <c r="E1210" s="109" t="s">
        <v>6764</v>
      </c>
      <c r="F1210" s="109"/>
      <c r="G1210" s="109" t="s">
        <v>6443</v>
      </c>
      <c r="H1210" s="109" t="s">
        <v>6963</v>
      </c>
      <c r="I1210" s="110">
        <v>4950</v>
      </c>
      <c r="J1210" s="111">
        <f>SUMIF(Cargas!$C$5:$C$3470,C1210,Cargas!$O$5:$O$3470)</f>
        <v>4950</v>
      </c>
      <c r="K1210" s="112">
        <f t="shared" si="21"/>
        <v>0</v>
      </c>
      <c r="L1210" s="114" t="s">
        <v>8767</v>
      </c>
      <c r="M1210" s="113">
        <v>236618</v>
      </c>
    </row>
    <row r="1211" spans="2:13" s="93" customFormat="1" ht="13.5" hidden="1" customHeight="1" x14ac:dyDescent="0.25">
      <c r="B1211" s="86">
        <v>45618</v>
      </c>
      <c r="C1211" s="87" t="s">
        <v>2699</v>
      </c>
      <c r="D1211" s="88" t="s">
        <v>7054</v>
      </c>
      <c r="E1211" s="88" t="s">
        <v>6764</v>
      </c>
      <c r="F1211" s="88"/>
      <c r="G1211" s="88" t="s">
        <v>6443</v>
      </c>
      <c r="H1211" s="88" t="s">
        <v>7888</v>
      </c>
      <c r="I1211" s="89">
        <v>5616</v>
      </c>
      <c r="J1211" s="90">
        <f>SUMIF(Cargas!$C$5:$C$3470,C1211,Cargas!$O$5:$O$3470)</f>
        <v>5616</v>
      </c>
      <c r="K1211" s="91">
        <f t="shared" si="21"/>
        <v>0</v>
      </c>
      <c r="L1211" s="94" t="s">
        <v>8768</v>
      </c>
      <c r="M1211" s="92">
        <v>240252</v>
      </c>
    </row>
    <row r="1212" spans="2:13" s="115" customFormat="1" ht="13.5" hidden="1" customHeight="1" x14ac:dyDescent="0.25">
      <c r="B1212" s="107">
        <v>45618</v>
      </c>
      <c r="C1212" s="108" t="s">
        <v>2708</v>
      </c>
      <c r="D1212" s="109" t="s">
        <v>7057</v>
      </c>
      <c r="E1212" s="109" t="s">
        <v>6764</v>
      </c>
      <c r="F1212" s="109"/>
      <c r="G1212" s="109" t="s">
        <v>6443</v>
      </c>
      <c r="H1212" s="109" t="s">
        <v>8574</v>
      </c>
      <c r="I1212" s="110">
        <v>8910</v>
      </c>
      <c r="J1212" s="111">
        <f>SUMIF(Cargas!$C$5:$C$3470,C1212,Cargas!$O$5:$O$3470)</f>
        <v>8910</v>
      </c>
      <c r="K1212" s="112">
        <f t="shared" si="21"/>
        <v>0</v>
      </c>
      <c r="L1212" s="114" t="s">
        <v>8769</v>
      </c>
      <c r="M1212" s="113">
        <v>240276</v>
      </c>
    </row>
    <row r="1213" spans="2:13" s="93" customFormat="1" ht="13.5" hidden="1" customHeight="1" x14ac:dyDescent="0.25">
      <c r="B1213" s="86">
        <v>45625</v>
      </c>
      <c r="C1213" s="87" t="s">
        <v>2747</v>
      </c>
      <c r="D1213" s="88" t="s">
        <v>7060</v>
      </c>
      <c r="E1213" s="88" t="s">
        <v>6764</v>
      </c>
      <c r="F1213" s="88"/>
      <c r="G1213" s="88" t="s">
        <v>6443</v>
      </c>
      <c r="H1213" s="88" t="s">
        <v>8660</v>
      </c>
      <c r="I1213" s="89">
        <v>4590</v>
      </c>
      <c r="J1213" s="90">
        <f>SUMIF(Cargas!$C$5:$C$3470,C1213,Cargas!$O$5:$O$3470)</f>
        <v>4590</v>
      </c>
      <c r="K1213" s="91">
        <f t="shared" si="21"/>
        <v>0</v>
      </c>
      <c r="L1213" s="94" t="s">
        <v>8770</v>
      </c>
      <c r="M1213" s="92">
        <v>242641</v>
      </c>
    </row>
    <row r="1214" spans="2:13" ht="13.5" hidden="1" customHeight="1" x14ac:dyDescent="0.25">
      <c r="B1214" s="58">
        <v>45572</v>
      </c>
      <c r="C1214" s="59" t="s">
        <v>871</v>
      </c>
      <c r="D1214" s="61" t="s">
        <v>7817</v>
      </c>
      <c r="E1214" s="61" t="s">
        <v>7756</v>
      </c>
      <c r="F1214" s="61"/>
      <c r="G1214" s="61" t="s">
        <v>6443</v>
      </c>
      <c r="H1214" s="61" t="s">
        <v>7888</v>
      </c>
      <c r="I1214" s="62">
        <v>24000</v>
      </c>
      <c r="J1214" s="4">
        <v>24000</v>
      </c>
      <c r="K1214" s="18">
        <f t="shared" ref="K1214:K1231" si="22">IF(ABS(I1214-J1214)&lt;20,0,I1214-J1214)</f>
        <v>0</v>
      </c>
      <c r="L1214" s="63"/>
      <c r="M1214" s="64">
        <v>198413</v>
      </c>
    </row>
    <row r="1215" spans="2:13" s="93" customFormat="1" ht="13.5" hidden="1" customHeight="1" x14ac:dyDescent="0.25">
      <c r="B1215" s="86">
        <v>45628</v>
      </c>
      <c r="C1215" s="87" t="s">
        <v>2763</v>
      </c>
      <c r="D1215" s="88" t="s">
        <v>7064</v>
      </c>
      <c r="E1215" s="88" t="s">
        <v>6764</v>
      </c>
      <c r="F1215" s="88"/>
      <c r="G1215" s="88" t="s">
        <v>6443</v>
      </c>
      <c r="H1215" s="88" t="s">
        <v>7888</v>
      </c>
      <c r="I1215" s="89">
        <v>1872</v>
      </c>
      <c r="J1215" s="90">
        <f>SUMIF(Cargas!$C$5:$C$3470,C1215,Cargas!$O$5:$O$3470)</f>
        <v>1872</v>
      </c>
      <c r="K1215" s="91">
        <f t="shared" si="22"/>
        <v>0</v>
      </c>
      <c r="L1215" s="94" t="s">
        <v>8771</v>
      </c>
      <c r="M1215" s="92">
        <v>244785</v>
      </c>
    </row>
    <row r="1216" spans="2:13" ht="13.5" hidden="1" customHeight="1" x14ac:dyDescent="0.25">
      <c r="B1216" s="58">
        <v>45631</v>
      </c>
      <c r="C1216" s="59" t="s">
        <v>2793</v>
      </c>
      <c r="D1216" s="61" t="s">
        <v>8772</v>
      </c>
      <c r="E1216" s="61" t="s">
        <v>6764</v>
      </c>
      <c r="F1216" s="61"/>
      <c r="G1216" s="61" t="s">
        <v>6443</v>
      </c>
      <c r="H1216" s="61" t="s">
        <v>6963</v>
      </c>
      <c r="I1216" s="62">
        <v>4950</v>
      </c>
      <c r="J1216" s="4">
        <f>SUMIF(Cargas!$C$5:$C$3470,C1216,Cargas!$O$5:$O$3470)</f>
        <v>4950</v>
      </c>
      <c r="K1216" s="18">
        <f t="shared" si="22"/>
        <v>0</v>
      </c>
      <c r="L1216" s="63" t="s">
        <v>8773</v>
      </c>
      <c r="M1216" s="64">
        <v>248391</v>
      </c>
    </row>
    <row r="1217" spans="1:13" ht="13.5" hidden="1" customHeight="1" x14ac:dyDescent="0.25">
      <c r="B1217" s="58">
        <v>45632</v>
      </c>
      <c r="C1217" s="59" t="s">
        <v>2802</v>
      </c>
      <c r="D1217" s="61" t="s">
        <v>7074</v>
      </c>
      <c r="E1217" s="61" t="s">
        <v>6764</v>
      </c>
      <c r="F1217" s="61"/>
      <c r="G1217" s="61" t="s">
        <v>6443</v>
      </c>
      <c r="H1217" s="61" t="s">
        <v>8574</v>
      </c>
      <c r="I1217" s="62">
        <v>8910</v>
      </c>
      <c r="J1217" s="4">
        <f>SUMIF(Cargas!$C$5:$C$3470,C1217,Cargas!$O$5:$O$3470)</f>
        <v>8910</v>
      </c>
      <c r="K1217" s="18">
        <f t="shared" si="22"/>
        <v>0</v>
      </c>
      <c r="L1217" s="63" t="s">
        <v>8774</v>
      </c>
      <c r="M1217" s="64">
        <v>248407</v>
      </c>
    </row>
    <row r="1218" spans="1:13" ht="13.5" hidden="1" customHeight="1" x14ac:dyDescent="0.25">
      <c r="A1218" s="115"/>
      <c r="B1218" s="107">
        <v>45575</v>
      </c>
      <c r="C1218" s="108" t="s">
        <v>2313</v>
      </c>
      <c r="D1218" s="109" t="s">
        <v>7293</v>
      </c>
      <c r="E1218" s="109" t="s">
        <v>6764</v>
      </c>
      <c r="F1218" s="109"/>
      <c r="G1218" s="109" t="s">
        <v>6443</v>
      </c>
      <c r="H1218" s="109" t="s">
        <v>7888</v>
      </c>
      <c r="I1218" s="110">
        <v>1370</v>
      </c>
      <c r="J1218" s="111">
        <f>SUMIF(Cargas!$C$5:$C$3470,C1218,Cargas!$O$5:$O$3470)</f>
        <v>1370</v>
      </c>
      <c r="K1218" s="18">
        <f t="shared" si="22"/>
        <v>0</v>
      </c>
      <c r="L1218" s="114" t="s">
        <v>8775</v>
      </c>
      <c r="M1218" s="113">
        <v>204388</v>
      </c>
    </row>
    <row r="1219" spans="1:13" ht="13.5" hidden="1" customHeight="1" x14ac:dyDescent="0.25">
      <c r="B1219" s="58">
        <v>45576</v>
      </c>
      <c r="C1219" s="59" t="s">
        <v>2346</v>
      </c>
      <c r="D1219" s="61" t="s">
        <v>7296</v>
      </c>
      <c r="E1219" s="61" t="s">
        <v>6442</v>
      </c>
      <c r="F1219" s="61"/>
      <c r="G1219" s="61" t="s">
        <v>6665</v>
      </c>
      <c r="H1219" s="61" t="s">
        <v>8660</v>
      </c>
      <c r="I1219" s="62">
        <v>2023</v>
      </c>
      <c r="J1219" s="4">
        <f>SUMIF(Cargas!$C$5:$C$3470,C1219,Cargas!$O$5:$O$3470)</f>
        <v>2023</v>
      </c>
      <c r="K1219" s="18">
        <f t="shared" si="22"/>
        <v>0</v>
      </c>
      <c r="L1219" s="63"/>
      <c r="M1219" s="64">
        <v>207146</v>
      </c>
    </row>
    <row r="1220" spans="1:13" ht="13.5" hidden="1" customHeight="1" x14ac:dyDescent="0.25">
      <c r="A1220" s="115"/>
      <c r="B1220" s="107">
        <v>45575</v>
      </c>
      <c r="C1220" s="108" t="s">
        <v>2348</v>
      </c>
      <c r="D1220" s="109" t="s">
        <v>7299</v>
      </c>
      <c r="E1220" s="109" t="s">
        <v>6764</v>
      </c>
      <c r="F1220" s="109"/>
      <c r="G1220" s="109" t="s">
        <v>6443</v>
      </c>
      <c r="H1220" s="109" t="s">
        <v>7888</v>
      </c>
      <c r="I1220" s="110">
        <v>1370</v>
      </c>
      <c r="J1220" s="111">
        <f>SUMIF(Cargas!$C$5:$C$3470,C1220,Cargas!$O$5:$O$3470)</f>
        <v>1370</v>
      </c>
      <c r="K1220" s="18">
        <f t="shared" si="22"/>
        <v>0</v>
      </c>
      <c r="L1220" s="114" t="s">
        <v>8776</v>
      </c>
      <c r="M1220" s="113">
        <v>206855</v>
      </c>
    </row>
    <row r="1221" spans="1:13" ht="13.5" hidden="1" customHeight="1" x14ac:dyDescent="0.25">
      <c r="B1221" s="58">
        <v>45569</v>
      </c>
      <c r="C1221" s="59" t="s">
        <v>2342</v>
      </c>
      <c r="D1221" s="61" t="s">
        <v>7302</v>
      </c>
      <c r="E1221" s="61" t="s">
        <v>7756</v>
      </c>
      <c r="F1221" s="61"/>
      <c r="G1221" s="61" t="s">
        <v>6443</v>
      </c>
      <c r="H1221" s="61" t="s">
        <v>7756</v>
      </c>
      <c r="I1221" s="62">
        <v>2520</v>
      </c>
      <c r="J1221" s="4">
        <f>SUMIF(Cargas!$C$5:$C$3470,C1221,Cargas!$O$5:$O$3470)</f>
        <v>2520</v>
      </c>
      <c r="K1221" s="18">
        <f t="shared" si="22"/>
        <v>0</v>
      </c>
      <c r="L1221" s="63" t="s">
        <v>8777</v>
      </c>
      <c r="M1221" s="64">
        <v>206870</v>
      </c>
    </row>
    <row r="1222" spans="1:13" ht="13.5" hidden="1" customHeight="1" x14ac:dyDescent="0.25">
      <c r="B1222" s="58">
        <v>45580</v>
      </c>
      <c r="C1222" s="59" t="s">
        <v>2357</v>
      </c>
      <c r="D1222" s="61" t="s">
        <v>7306</v>
      </c>
      <c r="E1222" s="61" t="s">
        <v>7756</v>
      </c>
      <c r="F1222" s="61"/>
      <c r="G1222" s="61" t="s">
        <v>6443</v>
      </c>
      <c r="H1222" s="61" t="s">
        <v>7756</v>
      </c>
      <c r="I1222" s="62">
        <v>25000</v>
      </c>
      <c r="J1222" s="4">
        <f>SUMIF(Cargas!$C$5:$C$3470,C1222,Cargas!$O$5:$O$3470)</f>
        <v>25000</v>
      </c>
      <c r="K1222" s="18">
        <f t="shared" si="22"/>
        <v>0</v>
      </c>
      <c r="L1222" s="63"/>
      <c r="M1222" s="64">
        <v>207654</v>
      </c>
    </row>
    <row r="1223" spans="1:13" ht="13.5" hidden="1" customHeight="1" x14ac:dyDescent="0.25">
      <c r="B1223" s="107">
        <v>45588</v>
      </c>
      <c r="C1223" s="108" t="s">
        <v>2417</v>
      </c>
      <c r="D1223" s="109" t="s">
        <v>7309</v>
      </c>
      <c r="E1223" s="109" t="s">
        <v>6764</v>
      </c>
      <c r="F1223" s="109"/>
      <c r="G1223" s="109" t="s">
        <v>6443</v>
      </c>
      <c r="H1223" s="109" t="s">
        <v>7888</v>
      </c>
      <c r="I1223" s="110">
        <v>1388</v>
      </c>
      <c r="J1223" s="111">
        <f>SUMIF(Cargas!$C$5:$C$3470,C1223,Cargas!$O$5:$O$3470)</f>
        <v>1388</v>
      </c>
      <c r="K1223" s="18">
        <f t="shared" si="22"/>
        <v>0</v>
      </c>
      <c r="L1223" s="114" t="s">
        <v>8778</v>
      </c>
      <c r="M1223" s="113">
        <v>215033</v>
      </c>
    </row>
    <row r="1224" spans="1:13" ht="13.5" hidden="1" customHeight="1" x14ac:dyDescent="0.25">
      <c r="B1224" s="107">
        <v>45589</v>
      </c>
      <c r="C1224" s="108" t="s">
        <v>2453</v>
      </c>
      <c r="D1224" s="109" t="s">
        <v>7312</v>
      </c>
      <c r="E1224" s="109" t="s">
        <v>6764</v>
      </c>
      <c r="F1224" s="109"/>
      <c r="G1224" s="109" t="s">
        <v>6443</v>
      </c>
      <c r="H1224" s="109" t="s">
        <v>7888</v>
      </c>
      <c r="I1224" s="110">
        <v>1388</v>
      </c>
      <c r="J1224" s="111">
        <f>SUMIF(Cargas!$C$5:$C$3470,C1224,Cargas!$O$5:$O$3470)</f>
        <v>1388</v>
      </c>
      <c r="K1224" s="112">
        <f t="shared" si="22"/>
        <v>0</v>
      </c>
      <c r="L1224" s="114" t="s">
        <v>8779</v>
      </c>
      <c r="M1224" s="113">
        <v>218554</v>
      </c>
    </row>
    <row r="1225" spans="1:13" ht="13.5" hidden="1" customHeight="1" x14ac:dyDescent="0.25">
      <c r="B1225" s="58">
        <v>45589</v>
      </c>
      <c r="C1225" s="59" t="s">
        <v>2407</v>
      </c>
      <c r="D1225" s="61" t="s">
        <v>7837</v>
      </c>
      <c r="E1225" s="61" t="s">
        <v>7756</v>
      </c>
      <c r="F1225" s="61"/>
      <c r="G1225" s="61" t="s">
        <v>6443</v>
      </c>
      <c r="H1225" s="61" t="s">
        <v>7756</v>
      </c>
      <c r="I1225" s="62">
        <v>1290</v>
      </c>
      <c r="J1225" s="4">
        <f>SUMIF(Cargas!$C$5:$C$3470,C1225,Cargas!$O$5:$O$3470)</f>
        <v>1290</v>
      </c>
      <c r="K1225" s="18">
        <f t="shared" si="22"/>
        <v>0</v>
      </c>
      <c r="L1225" s="63"/>
      <c r="M1225" s="64">
        <v>212875</v>
      </c>
    </row>
    <row r="1226" spans="1:13" ht="13.5" hidden="1" customHeight="1" x14ac:dyDescent="0.25">
      <c r="B1226" s="58">
        <v>45588</v>
      </c>
      <c r="C1226" s="59" t="s">
        <v>2425</v>
      </c>
      <c r="D1226" s="61" t="s">
        <v>7320</v>
      </c>
      <c r="E1226" s="61" t="s">
        <v>8564</v>
      </c>
      <c r="F1226" s="61"/>
      <c r="G1226" s="61" t="s">
        <v>6665</v>
      </c>
      <c r="H1226" s="61" t="s">
        <v>8660</v>
      </c>
      <c r="I1226" s="62">
        <v>1176</v>
      </c>
      <c r="J1226" s="4">
        <f>SUMIF(Cargas!$C$5:$C$3470,C1226,Cargas!$O$5:$O$3470)</f>
        <v>1176</v>
      </c>
      <c r="K1226" s="18">
        <f t="shared" si="22"/>
        <v>0</v>
      </c>
      <c r="L1226" s="63"/>
      <c r="M1226" s="64">
        <v>215134</v>
      </c>
    </row>
    <row r="1227" spans="1:13" ht="13.5" hidden="1" customHeight="1" x14ac:dyDescent="0.25">
      <c r="A1227" s="93"/>
      <c r="B1227" s="86">
        <v>45590</v>
      </c>
      <c r="C1227" s="87" t="s">
        <v>2479</v>
      </c>
      <c r="D1227" s="88" t="s">
        <v>7842</v>
      </c>
      <c r="E1227" s="88" t="s">
        <v>6764</v>
      </c>
      <c r="F1227" s="88"/>
      <c r="G1227" s="88" t="s">
        <v>6443</v>
      </c>
      <c r="H1227" s="88" t="s">
        <v>7888</v>
      </c>
      <c r="I1227" s="89">
        <v>1344</v>
      </c>
      <c r="J1227" s="90">
        <f>SUMIF(Cargas!$C$5:$C$3470,C1227,Cargas!$O$5:$O$3470)</f>
        <v>1344</v>
      </c>
      <c r="K1227" s="91">
        <f t="shared" si="22"/>
        <v>0</v>
      </c>
      <c r="L1227" s="92" t="s">
        <v>8780</v>
      </c>
      <c r="M1227" s="92">
        <v>219616</v>
      </c>
    </row>
    <row r="1228" spans="1:13" s="93" customFormat="1" ht="13.5" hidden="1" customHeight="1" x14ac:dyDescent="0.25">
      <c r="B1228" s="86">
        <v>45594</v>
      </c>
      <c r="C1228" s="87" t="s">
        <v>2484</v>
      </c>
      <c r="D1228" s="88" t="s">
        <v>7327</v>
      </c>
      <c r="E1228" s="88" t="s">
        <v>6764</v>
      </c>
      <c r="F1228" s="88"/>
      <c r="G1228" s="88" t="s">
        <v>6443</v>
      </c>
      <c r="H1228" s="88" t="s">
        <v>7888</v>
      </c>
      <c r="I1228" s="89">
        <v>1110</v>
      </c>
      <c r="J1228" s="90">
        <f>SUMIF(Cargas!$C$5:$C$3470,C1228,Cargas!$O$5:$O$3470)</f>
        <v>1110</v>
      </c>
      <c r="K1228" s="91">
        <f t="shared" si="22"/>
        <v>0</v>
      </c>
      <c r="L1228" s="92" t="s">
        <v>8781</v>
      </c>
      <c r="M1228" s="92">
        <v>219565</v>
      </c>
    </row>
    <row r="1229" spans="1:13" s="93" customFormat="1" ht="13.5" hidden="1" customHeight="1" x14ac:dyDescent="0.25">
      <c r="B1229" s="86">
        <v>45590</v>
      </c>
      <c r="C1229" s="87" t="s">
        <v>2492</v>
      </c>
      <c r="D1229" s="88" t="s">
        <v>7330</v>
      </c>
      <c r="E1229" s="88" t="s">
        <v>6764</v>
      </c>
      <c r="F1229" s="88"/>
      <c r="G1229" s="88" t="s">
        <v>6443</v>
      </c>
      <c r="H1229" s="88" t="s">
        <v>6768</v>
      </c>
      <c r="I1229" s="89">
        <v>1360</v>
      </c>
      <c r="J1229" s="90">
        <f>SUMIF(Cargas!$C$5:$C$3470,C1229,Cargas!$O$5:$O$3470)</f>
        <v>1360</v>
      </c>
      <c r="K1229" s="91">
        <f t="shared" si="22"/>
        <v>0</v>
      </c>
      <c r="L1229" s="116" t="s">
        <v>8782</v>
      </c>
      <c r="M1229" s="92">
        <v>219547</v>
      </c>
    </row>
    <row r="1230" spans="1:13" s="93" customFormat="1" ht="13.5" hidden="1" customHeight="1" x14ac:dyDescent="0.25">
      <c r="B1230" s="86">
        <v>45639</v>
      </c>
      <c r="C1230" s="87" t="s">
        <v>2847</v>
      </c>
      <c r="D1230" s="88" t="s">
        <v>7077</v>
      </c>
      <c r="E1230" s="88" t="s">
        <v>6764</v>
      </c>
      <c r="F1230" s="88"/>
      <c r="G1230" s="88" t="s">
        <v>6443</v>
      </c>
      <c r="H1230" s="88" t="s">
        <v>6768</v>
      </c>
      <c r="I1230" s="89">
        <v>4590</v>
      </c>
      <c r="J1230" s="90">
        <f>SUMIF(Cargas!$C$5:$C$3470,C1230,Cargas!$O$5:$O$3470)</f>
        <v>4590</v>
      </c>
      <c r="K1230" s="91">
        <f t="shared" si="22"/>
        <v>0</v>
      </c>
      <c r="L1230" s="94" t="s">
        <v>8773</v>
      </c>
      <c r="M1230" s="92">
        <v>254142</v>
      </c>
    </row>
    <row r="1231" spans="1:13" s="115" customFormat="1" ht="13.5" hidden="1" customHeight="1" x14ac:dyDescent="0.25">
      <c r="B1231" s="107">
        <v>45665</v>
      </c>
      <c r="C1231" s="108" t="s">
        <v>3001</v>
      </c>
      <c r="D1231" s="109" t="s">
        <v>6763</v>
      </c>
      <c r="E1231" s="109" t="s">
        <v>6764</v>
      </c>
      <c r="F1231" s="109"/>
      <c r="G1231" s="109" t="s">
        <v>6443</v>
      </c>
      <c r="H1231" s="109" t="s">
        <v>8660</v>
      </c>
      <c r="I1231" s="110">
        <v>3672</v>
      </c>
      <c r="J1231" s="111">
        <f>SUMIF(Cargas!$C$5:$C$3470,C1231,Cargas!$O$5:$O$3470)</f>
        <v>3672</v>
      </c>
      <c r="K1231" s="112">
        <f t="shared" si="22"/>
        <v>0</v>
      </c>
      <c r="L1231" s="114" t="s">
        <v>8783</v>
      </c>
      <c r="M1231" s="113">
        <v>4626</v>
      </c>
    </row>
    <row r="1232" spans="1:13" s="115" customFormat="1" ht="13.5" hidden="1" customHeight="1" x14ac:dyDescent="0.25">
      <c r="A1232" s="93"/>
      <c r="B1232" s="86">
        <v>46024</v>
      </c>
      <c r="C1232" s="87" t="s">
        <v>5378</v>
      </c>
      <c r="D1232" s="88" t="s">
        <v>8784</v>
      </c>
      <c r="E1232" s="121" t="s">
        <v>6764</v>
      </c>
      <c r="F1232" s="121"/>
      <c r="G1232" s="88" t="s">
        <v>6443</v>
      </c>
      <c r="H1232" s="88" t="s">
        <v>8574</v>
      </c>
      <c r="I1232" s="89">
        <v>6048</v>
      </c>
      <c r="J1232" s="90">
        <f>SUMIF(Cargas!$C$5:$C$3470,C1232,Cargas!$O$5:$O$3470)</f>
        <v>6048</v>
      </c>
      <c r="K1232" s="91">
        <f t="shared" ref="K1232:K1295" si="23">IF(ABS(I1232-J1232)&lt;20,0,I1232-J1232)</f>
        <v>0</v>
      </c>
      <c r="L1232" s="122" t="s">
        <v>8785</v>
      </c>
      <c r="M1232" s="92">
        <v>950</v>
      </c>
    </row>
    <row r="1233" spans="2:13" s="93" customFormat="1" ht="13.5" hidden="1" customHeight="1" x14ac:dyDescent="0.25">
      <c r="B1233" s="86">
        <v>45601</v>
      </c>
      <c r="C1233" s="87" t="s">
        <v>2506</v>
      </c>
      <c r="D1233" s="88" t="s">
        <v>7333</v>
      </c>
      <c r="E1233" s="88" t="s">
        <v>6764</v>
      </c>
      <c r="F1233" s="88"/>
      <c r="G1233" s="88" t="s">
        <v>6443</v>
      </c>
      <c r="H1233" s="88" t="s">
        <v>7381</v>
      </c>
      <c r="I1233" s="89">
        <v>1350</v>
      </c>
      <c r="J1233" s="90">
        <f>SUMIF(Cargas!$C$5:$C$3470,C1233,Cargas!$O$5:$O$3470)</f>
        <v>1350</v>
      </c>
      <c r="K1233" s="91">
        <f t="shared" si="23"/>
        <v>0</v>
      </c>
      <c r="L1233" s="116" t="s">
        <v>8786</v>
      </c>
      <c r="M1233" s="92">
        <v>222992</v>
      </c>
    </row>
    <row r="1234" spans="2:13" s="93" customFormat="1" ht="13.5" hidden="1" customHeight="1" x14ac:dyDescent="0.25">
      <c r="B1234" s="86">
        <v>45602</v>
      </c>
      <c r="C1234" s="87" t="s">
        <v>2587</v>
      </c>
      <c r="D1234" s="88" t="s">
        <v>7336</v>
      </c>
      <c r="E1234" s="88" t="s">
        <v>6764</v>
      </c>
      <c r="F1234" s="88"/>
      <c r="G1234" s="88" t="s">
        <v>6443</v>
      </c>
      <c r="H1234" s="88" t="s">
        <v>6768</v>
      </c>
      <c r="I1234" s="89">
        <v>1230</v>
      </c>
      <c r="J1234" s="90">
        <f>SUMIF(Cargas!$C$5:$C$3470,C1234,Cargas!$O$5:$O$3470)</f>
        <v>1230</v>
      </c>
      <c r="K1234" s="91">
        <f t="shared" si="23"/>
        <v>0</v>
      </c>
      <c r="L1234" s="116" t="s">
        <v>8787</v>
      </c>
      <c r="M1234" s="92">
        <v>225408</v>
      </c>
    </row>
    <row r="1235" spans="2:13" s="93" customFormat="1" ht="13.5" hidden="1" customHeight="1" x14ac:dyDescent="0.25">
      <c r="B1235" s="86">
        <v>45608</v>
      </c>
      <c r="C1235" s="87" t="s">
        <v>2594</v>
      </c>
      <c r="D1235" s="88" t="s">
        <v>7339</v>
      </c>
      <c r="E1235" s="88" t="s">
        <v>6764</v>
      </c>
      <c r="F1235" s="88"/>
      <c r="G1235" s="88" t="s">
        <v>6443</v>
      </c>
      <c r="H1235" s="88" t="s">
        <v>7381</v>
      </c>
      <c r="I1235" s="89">
        <v>960</v>
      </c>
      <c r="J1235" s="90">
        <f>SUMIF(Cargas!$C$5:$C$3470,C1235,Cargas!$O$5:$O$3470)</f>
        <v>960</v>
      </c>
      <c r="K1235" s="91">
        <f t="shared" si="23"/>
        <v>0</v>
      </c>
      <c r="L1235" s="116" t="s">
        <v>8788</v>
      </c>
      <c r="M1235" s="92">
        <v>227595</v>
      </c>
    </row>
    <row r="1236" spans="2:13" s="93" customFormat="1" ht="13.5" hidden="1" customHeight="1" x14ac:dyDescent="0.25">
      <c r="B1236" s="86">
        <v>45609</v>
      </c>
      <c r="C1236" s="87" t="s">
        <v>2622</v>
      </c>
      <c r="D1236" s="88" t="s">
        <v>7343</v>
      </c>
      <c r="E1236" s="88" t="s">
        <v>6764</v>
      </c>
      <c r="F1236" s="88"/>
      <c r="G1236" s="88" t="s">
        <v>6443</v>
      </c>
      <c r="H1236" s="88" t="s">
        <v>6768</v>
      </c>
      <c r="I1236" s="89">
        <v>1184</v>
      </c>
      <c r="J1236" s="90">
        <f>SUMIF(Cargas!$C$5:$C$3470,C1236,Cargas!$O$5:$O$3470)</f>
        <v>1184</v>
      </c>
      <c r="K1236" s="91">
        <f t="shared" si="23"/>
        <v>0</v>
      </c>
      <c r="L1236" s="116" t="s">
        <v>8789</v>
      </c>
      <c r="M1236" s="92">
        <v>230765</v>
      </c>
    </row>
    <row r="1237" spans="2:13" s="93" customFormat="1" ht="13.5" hidden="1" customHeight="1" x14ac:dyDescent="0.25">
      <c r="B1237" s="86">
        <v>45604</v>
      </c>
      <c r="C1237" s="87" t="s">
        <v>2589</v>
      </c>
      <c r="D1237" s="88" t="s">
        <v>7346</v>
      </c>
      <c r="E1237" s="88" t="s">
        <v>6764</v>
      </c>
      <c r="F1237" s="88"/>
      <c r="G1237" s="88" t="s">
        <v>6443</v>
      </c>
      <c r="H1237" s="88" t="s">
        <v>7888</v>
      </c>
      <c r="I1237" s="89">
        <f>792+260</f>
        <v>1052</v>
      </c>
      <c r="J1237" s="90">
        <f>SUMIF(Cargas!$C$5:$C$3470,C1237,Cargas!$O$5:$O$3470)</f>
        <v>1052</v>
      </c>
      <c r="K1237" s="91">
        <f t="shared" si="23"/>
        <v>0</v>
      </c>
      <c r="L1237" s="116" t="s">
        <v>8790</v>
      </c>
      <c r="M1237" s="92">
        <v>227698</v>
      </c>
    </row>
    <row r="1238" spans="2:13" s="93" customFormat="1" ht="13.5" hidden="1" customHeight="1" x14ac:dyDescent="0.25">
      <c r="B1238" s="86">
        <v>45615</v>
      </c>
      <c r="C1238" s="87" t="s">
        <v>2687</v>
      </c>
      <c r="D1238" s="88" t="s">
        <v>7349</v>
      </c>
      <c r="E1238" s="88" t="s">
        <v>6764</v>
      </c>
      <c r="F1238" s="88"/>
      <c r="G1238" s="88" t="s">
        <v>6443</v>
      </c>
      <c r="H1238" s="88" t="s">
        <v>8660</v>
      </c>
      <c r="I1238" s="89">
        <v>2100</v>
      </c>
      <c r="J1238" s="90">
        <f>SUMIF(Cargas!$C$5:$C$3470,C1238,Cargas!$O$5:$O$3470)</f>
        <v>2100</v>
      </c>
      <c r="K1238" s="91">
        <f t="shared" si="23"/>
        <v>0</v>
      </c>
      <c r="L1238" s="116" t="s">
        <v>8791</v>
      </c>
      <c r="M1238" s="92">
        <v>237654</v>
      </c>
    </row>
    <row r="1239" spans="2:13" ht="13.5" hidden="1" customHeight="1" x14ac:dyDescent="0.25">
      <c r="B1239" s="58">
        <v>45617</v>
      </c>
      <c r="C1239" s="59" t="s">
        <v>2715</v>
      </c>
      <c r="D1239" s="61" t="s">
        <v>2717</v>
      </c>
      <c r="E1239" s="61" t="s">
        <v>8792</v>
      </c>
      <c r="F1239" s="61"/>
      <c r="G1239" s="61" t="s">
        <v>6443</v>
      </c>
      <c r="H1239" s="61" t="s">
        <v>8660</v>
      </c>
      <c r="I1239" s="62">
        <v>1560</v>
      </c>
      <c r="J1239" s="4">
        <f>SUMIF(Cargas!$C$5:$C$3470,C1239,Cargas!$O$5:$O$3470)</f>
        <v>1560</v>
      </c>
      <c r="K1239" s="18">
        <f t="shared" si="23"/>
        <v>0</v>
      </c>
      <c r="L1239" s="194"/>
      <c r="M1239" s="64">
        <v>241351</v>
      </c>
    </row>
    <row r="1240" spans="2:13" s="115" customFormat="1" ht="13.5" hidden="1" customHeight="1" x14ac:dyDescent="0.25">
      <c r="B1240" s="107">
        <v>45625</v>
      </c>
      <c r="C1240" s="108" t="s">
        <v>2742</v>
      </c>
      <c r="D1240" s="109" t="s">
        <v>7535</v>
      </c>
      <c r="E1240" s="109" t="s">
        <v>6764</v>
      </c>
      <c r="F1240" s="109"/>
      <c r="G1240" s="109" t="s">
        <v>6443</v>
      </c>
      <c r="H1240" s="109" t="s">
        <v>8793</v>
      </c>
      <c r="I1240" s="110">
        <v>980</v>
      </c>
      <c r="J1240" s="111">
        <f>SUMIF(Cargas!$C$5:$C$3470,C1240,Cargas!$O$5:$O$3470)</f>
        <v>980</v>
      </c>
      <c r="K1240" s="112">
        <f t="shared" si="23"/>
        <v>0</v>
      </c>
      <c r="L1240" s="117">
        <v>1511084</v>
      </c>
      <c r="M1240" s="113">
        <v>242818</v>
      </c>
    </row>
    <row r="1241" spans="2:13" ht="13.5" hidden="1" customHeight="1" x14ac:dyDescent="0.25">
      <c r="B1241" s="58">
        <v>45622</v>
      </c>
      <c r="C1241" s="59" t="s">
        <v>2774</v>
      </c>
      <c r="D1241" s="61" t="s">
        <v>7538</v>
      </c>
      <c r="E1241" s="61" t="s">
        <v>8564</v>
      </c>
      <c r="F1241" s="61"/>
      <c r="G1241" s="61" t="s">
        <v>8794</v>
      </c>
      <c r="H1241" s="61"/>
      <c r="I1241" s="62">
        <f>260+200+300+504</f>
        <v>1264</v>
      </c>
      <c r="J1241" s="4">
        <f>SUMIF(Cargas!$C$5:$C$3470,C1241,Cargas!$O$5:$O$3470)</f>
        <v>1264</v>
      </c>
      <c r="K1241" s="18">
        <f t="shared" si="23"/>
        <v>0</v>
      </c>
      <c r="L1241" s="195" t="s">
        <v>8795</v>
      </c>
      <c r="M1241" s="64">
        <v>244900</v>
      </c>
    </row>
    <row r="1242" spans="2:13" ht="13.5" hidden="1" customHeight="1" x14ac:dyDescent="0.25">
      <c r="B1242" s="58">
        <v>45566</v>
      </c>
      <c r="C1242" s="59" t="s">
        <v>2180</v>
      </c>
      <c r="D1242" s="61" t="s">
        <v>8796</v>
      </c>
      <c r="E1242" s="61" t="s">
        <v>7877</v>
      </c>
      <c r="F1242" s="61"/>
      <c r="G1242" s="61" t="s">
        <v>7569</v>
      </c>
      <c r="H1242" s="61"/>
      <c r="I1242" s="62">
        <v>1860</v>
      </c>
      <c r="J1242" s="4">
        <f>SUMIF(Cargas!$C$5:$C$3470,C1242,Cargas!$O$5:$O$3470)</f>
        <v>1860</v>
      </c>
      <c r="K1242" s="18">
        <f t="shared" si="23"/>
        <v>0</v>
      </c>
      <c r="L1242" s="63" t="s">
        <v>8797</v>
      </c>
      <c r="M1242" s="196">
        <v>195650</v>
      </c>
    </row>
    <row r="1243" spans="2:13" ht="13.5" hidden="1" customHeight="1" x14ac:dyDescent="0.25">
      <c r="B1243" s="58">
        <v>45566</v>
      </c>
      <c r="C1243" s="59" t="s">
        <v>2190</v>
      </c>
      <c r="D1243" s="61" t="s">
        <v>8798</v>
      </c>
      <c r="E1243" s="61" t="s">
        <v>8523</v>
      </c>
      <c r="F1243" s="61"/>
      <c r="G1243" s="61" t="s">
        <v>7569</v>
      </c>
      <c r="H1243" s="61"/>
      <c r="I1243" s="62">
        <v>1960</v>
      </c>
      <c r="J1243" s="4">
        <f>SUMIF(Cargas!$C$5:$C$3470,C1243,Cargas!$O$5:$O$3470)</f>
        <v>1960</v>
      </c>
      <c r="K1243" s="18">
        <f t="shared" si="23"/>
        <v>0</v>
      </c>
      <c r="L1243" s="63" t="s">
        <v>8799</v>
      </c>
      <c r="M1243" s="196">
        <v>206734</v>
      </c>
    </row>
    <row r="1244" spans="2:13" ht="13.5" hidden="1" customHeight="1" x14ac:dyDescent="0.25">
      <c r="B1244" s="58">
        <v>45572</v>
      </c>
      <c r="C1244" s="59" t="s">
        <v>2218</v>
      </c>
      <c r="D1244" s="61" t="s">
        <v>8800</v>
      </c>
      <c r="E1244" s="61" t="s">
        <v>7877</v>
      </c>
      <c r="F1244" s="61"/>
      <c r="G1244" s="61" t="s">
        <v>7569</v>
      </c>
      <c r="H1244" s="35"/>
      <c r="I1244" s="62">
        <v>1860</v>
      </c>
      <c r="J1244" s="4">
        <f>SUMIF(Cargas!$C$5:$C$3470,C1244,Cargas!$O$5:$O$3470)</f>
        <v>1860</v>
      </c>
      <c r="K1244" s="18">
        <f t="shared" si="23"/>
        <v>0</v>
      </c>
      <c r="L1244" s="63" t="s">
        <v>8799</v>
      </c>
      <c r="M1244" s="196">
        <v>198158</v>
      </c>
    </row>
    <row r="1245" spans="2:13" ht="13.5" hidden="1" customHeight="1" x14ac:dyDescent="0.25">
      <c r="B1245" s="58">
        <v>45569</v>
      </c>
      <c r="C1245" s="59" t="s">
        <v>2251</v>
      </c>
      <c r="D1245" s="61" t="s">
        <v>8801</v>
      </c>
      <c r="E1245" s="61" t="s">
        <v>8523</v>
      </c>
      <c r="F1245" s="61"/>
      <c r="G1245" s="61" t="s">
        <v>7569</v>
      </c>
      <c r="H1245" s="61"/>
      <c r="I1245" s="62">
        <v>1960</v>
      </c>
      <c r="J1245" s="4">
        <f>SUMIF(Cargas!$C$5:$C$3470,C1245,Cargas!$O$5:$O$3470)</f>
        <v>1960</v>
      </c>
      <c r="K1245" s="18">
        <f t="shared" si="23"/>
        <v>0</v>
      </c>
      <c r="L1245" s="63" t="s">
        <v>8799</v>
      </c>
      <c r="M1245" s="196">
        <v>200188</v>
      </c>
    </row>
    <row r="1246" spans="2:13" ht="13.5" hidden="1" customHeight="1" x14ac:dyDescent="0.25">
      <c r="B1246" s="58">
        <v>45474</v>
      </c>
      <c r="C1246" s="59" t="s">
        <v>1484</v>
      </c>
      <c r="D1246" s="61" t="s">
        <v>8299</v>
      </c>
      <c r="E1246" s="61" t="s">
        <v>8523</v>
      </c>
      <c r="F1246" s="61"/>
      <c r="G1246" s="61" t="s">
        <v>7569</v>
      </c>
      <c r="H1246" s="61"/>
      <c r="I1246" s="62">
        <v>1960</v>
      </c>
      <c r="J1246" s="4">
        <f>SUMIF(Cargas!$C$5:$C$3470,C1246,Cargas!$O$5:$O$3470)</f>
        <v>1960</v>
      </c>
      <c r="K1246" s="18">
        <f t="shared" si="23"/>
        <v>0</v>
      </c>
      <c r="L1246" s="63"/>
      <c r="M1246" s="196">
        <v>126928</v>
      </c>
    </row>
    <row r="1247" spans="2:13" ht="13.5" hidden="1" customHeight="1" x14ac:dyDescent="0.25">
      <c r="B1247" s="58">
        <v>45474</v>
      </c>
      <c r="C1247" s="59" t="s">
        <v>1496</v>
      </c>
      <c r="D1247" s="61" t="s">
        <v>8302</v>
      </c>
      <c r="E1247" s="61" t="s">
        <v>7877</v>
      </c>
      <c r="F1247" s="61"/>
      <c r="G1247" s="61" t="s">
        <v>7569</v>
      </c>
      <c r="H1247" s="61"/>
      <c r="I1247" s="62">
        <v>930</v>
      </c>
      <c r="J1247" s="4">
        <f>SUMIF(Cargas!$C$5:$C$3470,C1247,Cargas!$O$5:$O$3470)</f>
        <v>930</v>
      </c>
      <c r="K1247" s="18">
        <f t="shared" si="23"/>
        <v>0</v>
      </c>
      <c r="L1247" s="63"/>
      <c r="M1247" s="196">
        <v>126967</v>
      </c>
    </row>
    <row r="1248" spans="2:13" ht="13.5" hidden="1" customHeight="1" x14ac:dyDescent="0.25">
      <c r="B1248" s="58">
        <v>45481</v>
      </c>
      <c r="C1248" s="59" t="s">
        <v>1549</v>
      </c>
      <c r="D1248" s="61" t="s">
        <v>8537</v>
      </c>
      <c r="E1248" s="61" t="s">
        <v>7877</v>
      </c>
      <c r="F1248" s="61"/>
      <c r="G1248" s="61" t="s">
        <v>7569</v>
      </c>
      <c r="H1248" s="61"/>
      <c r="I1248" s="62">
        <v>930</v>
      </c>
      <c r="J1248" s="4">
        <f>SUMIF(Cargas!$C$5:$C$3470,C1248,Cargas!$O$5:$O$3470)</f>
        <v>930</v>
      </c>
      <c r="K1248" s="18">
        <f t="shared" si="23"/>
        <v>0</v>
      </c>
      <c r="L1248" s="63"/>
      <c r="M1248" s="196">
        <v>132433</v>
      </c>
    </row>
    <row r="1249" spans="2:13" ht="13.5" hidden="1" customHeight="1" x14ac:dyDescent="0.25">
      <c r="B1249" s="58">
        <v>45481</v>
      </c>
      <c r="C1249" s="59" t="s">
        <v>1560</v>
      </c>
      <c r="D1249" s="61" t="s">
        <v>8305</v>
      </c>
      <c r="E1249" s="61" t="s">
        <v>8523</v>
      </c>
      <c r="F1249" s="61"/>
      <c r="G1249" s="61" t="s">
        <v>7569</v>
      </c>
      <c r="H1249" s="61"/>
      <c r="I1249" s="62">
        <v>1960</v>
      </c>
      <c r="J1249" s="4">
        <f>SUMIF(Cargas!$C$5:$C$3470,C1249,Cargas!$O$5:$O$3470)</f>
        <v>1960</v>
      </c>
      <c r="K1249" s="18">
        <f t="shared" si="23"/>
        <v>0</v>
      </c>
      <c r="L1249" s="63"/>
      <c r="M1249" s="196">
        <v>132512</v>
      </c>
    </row>
    <row r="1250" spans="2:13" ht="13.5" hidden="1" customHeight="1" x14ac:dyDescent="0.25">
      <c r="B1250" s="58">
        <v>45482</v>
      </c>
      <c r="C1250" s="59" t="s">
        <v>1591</v>
      </c>
      <c r="D1250" s="61" t="s">
        <v>8539</v>
      </c>
      <c r="E1250" s="61" t="s">
        <v>8595</v>
      </c>
      <c r="F1250" s="61"/>
      <c r="G1250" s="61" t="s">
        <v>7569</v>
      </c>
      <c r="H1250" s="61"/>
      <c r="I1250" s="62">
        <v>1960</v>
      </c>
      <c r="J1250" s="4">
        <f>SUMIF(Cargas!$C$5:$C$3470,C1250,Cargas!$O$5:$O$3470)</f>
        <v>1960</v>
      </c>
      <c r="K1250" s="18">
        <f t="shared" si="23"/>
        <v>0</v>
      </c>
      <c r="L1250" s="63"/>
      <c r="M1250" s="196">
        <v>135805</v>
      </c>
    </row>
    <row r="1251" spans="2:13" ht="13.5" hidden="1" customHeight="1" x14ac:dyDescent="0.25">
      <c r="B1251" s="58">
        <v>45489</v>
      </c>
      <c r="C1251" s="59" t="s">
        <v>1606</v>
      </c>
      <c r="D1251" s="61" t="s">
        <v>8542</v>
      </c>
      <c r="E1251" s="61" t="s">
        <v>7877</v>
      </c>
      <c r="F1251" s="61"/>
      <c r="G1251" s="61" t="s">
        <v>7569</v>
      </c>
      <c r="H1251" s="61"/>
      <c r="I1251" s="62">
        <v>930</v>
      </c>
      <c r="J1251" s="4">
        <f>SUMIF(Cargas!$C$5:$C$3470,C1251,Cargas!$O$5:$O$3470)</f>
        <v>930</v>
      </c>
      <c r="K1251" s="18">
        <f t="shared" si="23"/>
        <v>0</v>
      </c>
      <c r="L1251" s="63"/>
      <c r="M1251" s="196">
        <v>137036</v>
      </c>
    </row>
    <row r="1252" spans="2:13" ht="13.5" hidden="1" customHeight="1" x14ac:dyDescent="0.25">
      <c r="B1252" s="58">
        <v>45488</v>
      </c>
      <c r="C1252" s="59" t="s">
        <v>1603</v>
      </c>
      <c r="D1252" s="61" t="s">
        <v>8308</v>
      </c>
      <c r="E1252" s="61" t="s">
        <v>8523</v>
      </c>
      <c r="F1252" s="61"/>
      <c r="G1252" s="61" t="s">
        <v>7569</v>
      </c>
      <c r="H1252" s="61"/>
      <c r="I1252" s="62">
        <v>1960</v>
      </c>
      <c r="J1252" s="4">
        <f>SUMIF(Cargas!$C$5:$C$3470,C1252,Cargas!$O$5:$O$3470)</f>
        <v>1960</v>
      </c>
      <c r="K1252" s="18">
        <f t="shared" si="23"/>
        <v>0</v>
      </c>
      <c r="L1252" s="63"/>
      <c r="M1252" s="196">
        <v>137124</v>
      </c>
    </row>
    <row r="1253" spans="2:13" ht="13.5" hidden="1" customHeight="1" x14ac:dyDescent="0.25">
      <c r="B1253" s="58">
        <v>45496</v>
      </c>
      <c r="C1253" s="59" t="s">
        <v>1665</v>
      </c>
      <c r="D1253" s="61" t="s">
        <v>8311</v>
      </c>
      <c r="E1253" s="61" t="s">
        <v>8595</v>
      </c>
      <c r="F1253" s="61"/>
      <c r="G1253" s="61" t="s">
        <v>7569</v>
      </c>
      <c r="H1253" s="61"/>
      <c r="I1253" s="62">
        <v>1960</v>
      </c>
      <c r="J1253" s="4">
        <f>SUMIF(Cargas!$C$5:$C$3470,C1253,Cargas!$O$5:$O$3470)</f>
        <v>1960</v>
      </c>
      <c r="K1253" s="18">
        <f t="shared" si="23"/>
        <v>0</v>
      </c>
      <c r="L1253" s="63"/>
      <c r="M1253" s="196">
        <v>141510</v>
      </c>
    </row>
    <row r="1254" spans="2:13" ht="13.5" hidden="1" customHeight="1" x14ac:dyDescent="0.25">
      <c r="B1254" s="58">
        <v>45496</v>
      </c>
      <c r="C1254" s="59" t="s">
        <v>1671</v>
      </c>
      <c r="D1254" s="61" t="s">
        <v>8314</v>
      </c>
      <c r="E1254" s="61" t="s">
        <v>8802</v>
      </c>
      <c r="F1254" s="61"/>
      <c r="G1254" s="61" t="s">
        <v>7569</v>
      </c>
      <c r="H1254" s="61"/>
      <c r="I1254" s="62">
        <v>980</v>
      </c>
      <c r="J1254" s="4">
        <f>SUMIF(Cargas!$C$5:$C$3470,C1254,Cargas!$O$5:$O$3470)</f>
        <v>980</v>
      </c>
      <c r="K1254" s="18">
        <f t="shared" si="23"/>
        <v>0</v>
      </c>
      <c r="L1254" s="63"/>
      <c r="M1254" s="196">
        <v>142408</v>
      </c>
    </row>
    <row r="1255" spans="2:13" ht="13.5" hidden="1" customHeight="1" x14ac:dyDescent="0.25">
      <c r="B1255" s="58">
        <v>45502</v>
      </c>
      <c r="C1255" s="59" t="s">
        <v>1706</v>
      </c>
      <c r="D1255" s="61" t="s">
        <v>8317</v>
      </c>
      <c r="E1255" s="61" t="s">
        <v>8802</v>
      </c>
      <c r="F1255" s="61"/>
      <c r="G1255" s="61" t="s">
        <v>7569</v>
      </c>
      <c r="H1255" s="61"/>
      <c r="I1255" s="62">
        <v>980</v>
      </c>
      <c r="J1255" s="4">
        <f>SUMIF(Cargas!$C$5:$C$3470,C1255,Cargas!$O$5:$O$3470)</f>
        <v>980</v>
      </c>
      <c r="K1255" s="18">
        <f t="shared" si="23"/>
        <v>0</v>
      </c>
      <c r="L1255" s="63"/>
      <c r="M1255" s="196">
        <v>148154</v>
      </c>
    </row>
    <row r="1256" spans="2:13" ht="13.5" hidden="1" customHeight="1" x14ac:dyDescent="0.25">
      <c r="B1256" s="58">
        <v>45502</v>
      </c>
      <c r="C1256" s="59" t="s">
        <v>1717</v>
      </c>
      <c r="D1256" s="61" t="s">
        <v>8319</v>
      </c>
      <c r="E1256" s="61" t="s">
        <v>7877</v>
      </c>
      <c r="F1256" s="61"/>
      <c r="G1256" s="61" t="s">
        <v>7569</v>
      </c>
      <c r="H1256" s="61"/>
      <c r="I1256" s="62">
        <v>1860</v>
      </c>
      <c r="J1256" s="4">
        <f>SUMIF(Cargas!$C$5:$C$3470,C1256,Cargas!$O$5:$O$3470)</f>
        <v>1860</v>
      </c>
      <c r="K1256" s="18">
        <f t="shared" si="23"/>
        <v>0</v>
      </c>
      <c r="L1256" s="63"/>
      <c r="M1256" s="196">
        <v>149074</v>
      </c>
    </row>
    <row r="1257" spans="2:13" ht="13.5" hidden="1" customHeight="1" x14ac:dyDescent="0.25">
      <c r="B1257" s="58">
        <v>45516</v>
      </c>
      <c r="C1257" s="59" t="s">
        <v>1751</v>
      </c>
      <c r="D1257" s="61" t="s">
        <v>8322</v>
      </c>
      <c r="E1257" s="61" t="s">
        <v>7877</v>
      </c>
      <c r="F1257" s="61"/>
      <c r="G1257" s="61" t="s">
        <v>7569</v>
      </c>
      <c r="H1257" s="61"/>
      <c r="I1257" s="62">
        <v>1860</v>
      </c>
      <c r="J1257" s="4">
        <f>SUMIF(Cargas!$C$5:$C$3470,C1257,Cargas!$O$5:$O$3470)</f>
        <v>1860</v>
      </c>
      <c r="K1257" s="18">
        <f t="shared" si="23"/>
        <v>0</v>
      </c>
      <c r="L1257" s="63"/>
      <c r="M1257" s="196">
        <v>151658</v>
      </c>
    </row>
    <row r="1258" spans="2:13" ht="13.5" hidden="1" customHeight="1" x14ac:dyDescent="0.25">
      <c r="B1258" s="58">
        <v>45558</v>
      </c>
      <c r="C1258" s="59" t="s">
        <v>2245</v>
      </c>
      <c r="D1258" s="61" t="s">
        <v>7291</v>
      </c>
      <c r="E1258" s="61" t="s">
        <v>8564</v>
      </c>
      <c r="F1258" s="61"/>
      <c r="G1258" s="61" t="s">
        <v>6665</v>
      </c>
      <c r="H1258" s="61" t="s">
        <v>8660</v>
      </c>
      <c r="I1258" s="62">
        <v>1468</v>
      </c>
      <c r="J1258" s="4">
        <f>SUMIF(Cargas!$C$5:$C$3470,C1258,Cargas!$O$5:$O$3470)</f>
        <v>1468</v>
      </c>
      <c r="K1258" s="18">
        <f t="shared" si="23"/>
        <v>0</v>
      </c>
      <c r="L1258" s="63" t="s">
        <v>8803</v>
      </c>
      <c r="M1258" s="64">
        <v>200094</v>
      </c>
    </row>
    <row r="1259" spans="2:13" ht="13.5" hidden="1" customHeight="1" x14ac:dyDescent="0.25">
      <c r="B1259" s="58">
        <v>45509</v>
      </c>
      <c r="C1259" s="59" t="s">
        <v>1774</v>
      </c>
      <c r="D1259" s="61" t="s">
        <v>8545</v>
      </c>
      <c r="E1259" s="61" t="s">
        <v>8802</v>
      </c>
      <c r="F1259" s="61"/>
      <c r="G1259" s="61" t="s">
        <v>7569</v>
      </c>
      <c r="H1259" s="61"/>
      <c r="I1259" s="62">
        <v>980</v>
      </c>
      <c r="J1259" s="4">
        <f>SUMIF(Cargas!$C$5:$C$3470,C1259,Cargas!$O$5:$O$3470)</f>
        <v>980</v>
      </c>
      <c r="K1259" s="18">
        <f t="shared" si="23"/>
        <v>0</v>
      </c>
      <c r="L1259" s="63"/>
      <c r="M1259" s="196">
        <v>153417</v>
      </c>
    </row>
    <row r="1260" spans="2:13" ht="13.5" hidden="1" customHeight="1" x14ac:dyDescent="0.25">
      <c r="B1260" s="58">
        <v>45509</v>
      </c>
      <c r="C1260" s="59" t="s">
        <v>1777</v>
      </c>
      <c r="D1260" s="61" t="s">
        <v>8551</v>
      </c>
      <c r="E1260" s="61" t="s">
        <v>8595</v>
      </c>
      <c r="F1260" s="61"/>
      <c r="G1260" s="61" t="s">
        <v>7569</v>
      </c>
      <c r="H1260" s="61"/>
      <c r="I1260" s="62">
        <v>980</v>
      </c>
      <c r="J1260" s="4">
        <f>SUMIF(Cargas!$C$5:$C$3470,C1260,Cargas!$O$5:$O$3470)</f>
        <v>980</v>
      </c>
      <c r="K1260" s="18">
        <f t="shared" si="23"/>
        <v>0</v>
      </c>
      <c r="L1260" s="63"/>
      <c r="M1260" s="196">
        <v>154582</v>
      </c>
    </row>
    <row r="1261" spans="2:13" ht="13.5" hidden="1" customHeight="1" x14ac:dyDescent="0.25">
      <c r="B1261" s="58">
        <v>45513</v>
      </c>
      <c r="C1261" s="59" t="s">
        <v>1803</v>
      </c>
      <c r="D1261" s="61" t="s">
        <v>8804</v>
      </c>
      <c r="E1261" s="61" t="s">
        <v>8595</v>
      </c>
      <c r="F1261" s="61"/>
      <c r="G1261" s="61" t="s">
        <v>7569</v>
      </c>
      <c r="H1261" s="61"/>
      <c r="I1261" s="62">
        <v>980</v>
      </c>
      <c r="J1261" s="4">
        <f>SUMIF(Cargas!$C$5:$C$3470,C1261,Cargas!$O$5:$O$3470)</f>
        <v>980</v>
      </c>
      <c r="K1261" s="18">
        <f t="shared" si="23"/>
        <v>0</v>
      </c>
      <c r="L1261" s="63" t="s">
        <v>8805</v>
      </c>
      <c r="M1261" s="196">
        <v>156692</v>
      </c>
    </row>
    <row r="1262" spans="2:13" ht="13.5" hidden="1" customHeight="1" x14ac:dyDescent="0.25">
      <c r="B1262" s="58">
        <v>45516</v>
      </c>
      <c r="C1262" s="59" t="s">
        <v>1827</v>
      </c>
      <c r="D1262" s="61" t="s">
        <v>8806</v>
      </c>
      <c r="E1262" s="61" t="s">
        <v>7877</v>
      </c>
      <c r="F1262" s="61"/>
      <c r="G1262" s="61" t="s">
        <v>7569</v>
      </c>
      <c r="H1262" s="61"/>
      <c r="I1262" s="62">
        <v>1860</v>
      </c>
      <c r="J1262" s="4">
        <f>SUMIF(Cargas!$C$5:$C$3470,C1262,Cargas!$O$5:$O$3470)</f>
        <v>1860</v>
      </c>
      <c r="K1262" s="18">
        <f t="shared" si="23"/>
        <v>0</v>
      </c>
      <c r="L1262" s="63" t="s">
        <v>8807</v>
      </c>
      <c r="M1262" s="196">
        <v>157720</v>
      </c>
    </row>
    <row r="1263" spans="2:13" ht="13.5" hidden="1" customHeight="1" x14ac:dyDescent="0.25">
      <c r="B1263" s="58">
        <v>45516</v>
      </c>
      <c r="C1263" s="59" t="s">
        <v>1810</v>
      </c>
      <c r="D1263" s="61" t="s">
        <v>8808</v>
      </c>
      <c r="E1263" s="61" t="s">
        <v>8523</v>
      </c>
      <c r="F1263" s="61"/>
      <c r="G1263" s="61" t="s">
        <v>7569</v>
      </c>
      <c r="H1263" s="61"/>
      <c r="I1263" s="62">
        <v>1960</v>
      </c>
      <c r="J1263" s="4">
        <f>SUMIF(Cargas!$C$5:$C$3470,C1263,Cargas!$O$5:$O$3470)</f>
        <v>1960</v>
      </c>
      <c r="K1263" s="18">
        <f t="shared" si="23"/>
        <v>0</v>
      </c>
      <c r="L1263" s="63" t="s">
        <v>8809</v>
      </c>
      <c r="M1263" s="196">
        <v>157734</v>
      </c>
    </row>
    <row r="1264" spans="2:13" ht="13.5" hidden="1" customHeight="1" x14ac:dyDescent="0.25">
      <c r="B1264" s="58">
        <v>45523</v>
      </c>
      <c r="C1264" s="59" t="s">
        <v>1880</v>
      </c>
      <c r="D1264" s="61" t="s">
        <v>8810</v>
      </c>
      <c r="E1264" s="61" t="s">
        <v>8523</v>
      </c>
      <c r="F1264" s="61"/>
      <c r="G1264" s="61" t="s">
        <v>7569</v>
      </c>
      <c r="H1264" s="61"/>
      <c r="I1264" s="62">
        <v>980</v>
      </c>
      <c r="J1264" s="4">
        <f>SUMIF(Cargas!$C$5:$C$3470,C1264,Cargas!$O$5:$O$3470)</f>
        <v>980</v>
      </c>
      <c r="K1264" s="18">
        <f t="shared" si="23"/>
        <v>0</v>
      </c>
      <c r="L1264" s="63" t="s">
        <v>8811</v>
      </c>
      <c r="M1264" s="196">
        <v>163500</v>
      </c>
    </row>
    <row r="1265" spans="2:13" ht="13.5" hidden="1" customHeight="1" x14ac:dyDescent="0.25">
      <c r="B1265" s="58">
        <v>45530</v>
      </c>
      <c r="C1265" s="59" t="s">
        <v>1916</v>
      </c>
      <c r="D1265" s="61" t="s">
        <v>8812</v>
      </c>
      <c r="E1265" s="61" t="s">
        <v>7877</v>
      </c>
      <c r="F1265" s="61"/>
      <c r="G1265" s="61" t="s">
        <v>7569</v>
      </c>
      <c r="H1265" s="61"/>
      <c r="I1265" s="62">
        <v>930</v>
      </c>
      <c r="J1265" s="4">
        <f>SUMIF(Cargas!$C$5:$C$3470,C1265,Cargas!$O$5:$O$3470)</f>
        <v>930</v>
      </c>
      <c r="K1265" s="18">
        <f t="shared" si="23"/>
        <v>0</v>
      </c>
      <c r="L1265" s="63" t="s">
        <v>8813</v>
      </c>
      <c r="M1265" s="196">
        <v>168672</v>
      </c>
    </row>
    <row r="1266" spans="2:13" ht="13.5" hidden="1" customHeight="1" x14ac:dyDescent="0.25">
      <c r="B1266" s="58">
        <v>45527</v>
      </c>
      <c r="C1266" s="59" t="s">
        <v>1930</v>
      </c>
      <c r="D1266" s="61" t="s">
        <v>8814</v>
      </c>
      <c r="E1266" s="61" t="s">
        <v>8523</v>
      </c>
      <c r="F1266" s="61"/>
      <c r="G1266" s="61" t="s">
        <v>7569</v>
      </c>
      <c r="H1266" s="61"/>
      <c r="I1266" s="62">
        <v>980</v>
      </c>
      <c r="J1266" s="4">
        <f>SUMIF(Cargas!$C$5:$C$3470,C1266,Cargas!$O$5:$O$3470)</f>
        <v>980</v>
      </c>
      <c r="K1266" s="18">
        <f t="shared" si="23"/>
        <v>0</v>
      </c>
      <c r="L1266" s="63" t="s">
        <v>8815</v>
      </c>
      <c r="M1266" s="196">
        <v>169087</v>
      </c>
    </row>
    <row r="1267" spans="2:13" ht="13.5" hidden="1" customHeight="1" x14ac:dyDescent="0.25">
      <c r="B1267" s="58">
        <v>45537</v>
      </c>
      <c r="C1267" s="59" t="s">
        <v>1964</v>
      </c>
      <c r="D1267" s="61" t="s">
        <v>8816</v>
      </c>
      <c r="E1267" s="61" t="s">
        <v>7877</v>
      </c>
      <c r="F1267" s="61"/>
      <c r="G1267" s="61" t="s">
        <v>7569</v>
      </c>
      <c r="H1267" s="61"/>
      <c r="I1267" s="62">
        <v>1860</v>
      </c>
      <c r="J1267" s="4">
        <f>SUMIF(Cargas!$C$5:$C$3470,C1267,Cargas!$O$5:$O$3470)</f>
        <v>1860</v>
      </c>
      <c r="K1267" s="18">
        <f t="shared" si="23"/>
        <v>0</v>
      </c>
      <c r="L1267" s="63"/>
      <c r="M1267" s="196">
        <v>172346</v>
      </c>
    </row>
    <row r="1268" spans="2:13" ht="13.5" hidden="1" customHeight="1" x14ac:dyDescent="0.25">
      <c r="B1268" s="58">
        <v>45534</v>
      </c>
      <c r="C1268" s="59" t="s">
        <v>1952</v>
      </c>
      <c r="D1268" s="61" t="s">
        <v>8817</v>
      </c>
      <c r="E1268" s="61" t="s">
        <v>8523</v>
      </c>
      <c r="F1268" s="61"/>
      <c r="G1268" s="61" t="s">
        <v>7569</v>
      </c>
      <c r="H1268" s="61"/>
      <c r="I1268" s="62">
        <v>1960</v>
      </c>
      <c r="J1268" s="4">
        <f>SUMIF(Cargas!$C$5:$C$3470,C1268,Cargas!$O$5:$O$3470)</f>
        <v>1960</v>
      </c>
      <c r="K1268" s="18">
        <f t="shared" si="23"/>
        <v>0</v>
      </c>
      <c r="L1268" s="63" t="s">
        <v>8818</v>
      </c>
      <c r="M1268" s="196">
        <v>173307</v>
      </c>
    </row>
    <row r="1269" spans="2:13" ht="13.5" hidden="1" customHeight="1" x14ac:dyDescent="0.25">
      <c r="B1269" s="58">
        <v>45084</v>
      </c>
      <c r="C1269" s="59" t="s">
        <v>8819</v>
      </c>
      <c r="D1269" s="61" t="s">
        <v>7811</v>
      </c>
      <c r="E1269" s="61" t="s">
        <v>7284</v>
      </c>
      <c r="F1269" s="61"/>
      <c r="G1269" s="61" t="s">
        <v>6443</v>
      </c>
      <c r="H1269" s="61" t="s">
        <v>6444</v>
      </c>
      <c r="I1269" s="62">
        <v>2070</v>
      </c>
      <c r="J1269" s="4">
        <f>SUMIF(Cargas!$C$5:$C$3470,C1269,Cargas!$O$5:$O$3470)</f>
        <v>0</v>
      </c>
      <c r="K1269" s="18">
        <f t="shared" si="23"/>
        <v>2070</v>
      </c>
      <c r="L1269" s="63" t="s">
        <v>8820</v>
      </c>
      <c r="M1269" s="64">
        <v>108301</v>
      </c>
    </row>
    <row r="1270" spans="2:13" ht="13.5" hidden="1" customHeight="1" x14ac:dyDescent="0.25">
      <c r="B1270" s="58">
        <v>45135</v>
      </c>
      <c r="C1270" s="59" t="s">
        <v>8821</v>
      </c>
      <c r="D1270" s="61" t="s">
        <v>7293</v>
      </c>
      <c r="E1270" s="61" t="s">
        <v>7284</v>
      </c>
      <c r="F1270" s="61"/>
      <c r="G1270" s="61" t="s">
        <v>6443</v>
      </c>
      <c r="H1270" s="61" t="s">
        <v>6444</v>
      </c>
      <c r="I1270" s="62">
        <v>1980</v>
      </c>
      <c r="J1270" s="4">
        <f>SUMIF(Cargas!$C$5:$C$3470,C1270,Cargas!$O$5:$O$3470)</f>
        <v>0</v>
      </c>
      <c r="K1270" s="18">
        <f t="shared" si="23"/>
        <v>1980</v>
      </c>
      <c r="L1270" s="63"/>
      <c r="M1270" s="64">
        <v>143984</v>
      </c>
    </row>
    <row r="1271" spans="2:13" ht="13.5" hidden="1" customHeight="1" x14ac:dyDescent="0.25">
      <c r="B1271" s="58">
        <v>45176</v>
      </c>
      <c r="C1271" s="59" t="s">
        <v>8822</v>
      </c>
      <c r="D1271" s="61" t="s">
        <v>7312</v>
      </c>
      <c r="E1271" s="61" t="s">
        <v>7284</v>
      </c>
      <c r="F1271" s="61"/>
      <c r="G1271" s="61" t="s">
        <v>6443</v>
      </c>
      <c r="H1271" s="61" t="s">
        <v>6444</v>
      </c>
      <c r="I1271" s="62">
        <v>1800</v>
      </c>
      <c r="J1271" s="4">
        <f>SUMIF(Cargas!$C$5:$C$3470,C1271,Cargas!$O$5:$O$3470)</f>
        <v>0</v>
      </c>
      <c r="K1271" s="18">
        <f t="shared" si="23"/>
        <v>1800</v>
      </c>
      <c r="L1271" s="63" t="s">
        <v>8823</v>
      </c>
      <c r="M1271" s="64">
        <v>172662</v>
      </c>
    </row>
    <row r="1272" spans="2:13" ht="13.5" hidden="1" customHeight="1" x14ac:dyDescent="0.25">
      <c r="B1272" s="58">
        <v>44992</v>
      </c>
      <c r="C1272" s="59" t="s">
        <v>8824</v>
      </c>
      <c r="D1272" s="61" t="s">
        <v>7785</v>
      </c>
      <c r="E1272" s="61" t="s">
        <v>7303</v>
      </c>
      <c r="F1272" s="61"/>
      <c r="G1272" s="61" t="s">
        <v>6443</v>
      </c>
      <c r="H1272" s="61" t="s">
        <v>7381</v>
      </c>
      <c r="I1272" s="62">
        <v>1200</v>
      </c>
      <c r="J1272" s="4">
        <f>SUMIF(Cargas!$C$5:$C$3470,C1272,Cargas!$O$5:$O$3470)</f>
        <v>0</v>
      </c>
      <c r="K1272" s="18">
        <f t="shared" si="23"/>
        <v>1200</v>
      </c>
      <c r="L1272" s="63"/>
      <c r="M1272" s="64">
        <v>43127</v>
      </c>
    </row>
    <row r="1273" spans="2:13" ht="13.5" hidden="1" customHeight="1" x14ac:dyDescent="0.25">
      <c r="B1273" s="58">
        <v>44950</v>
      </c>
      <c r="C1273" s="59" t="s">
        <v>8825</v>
      </c>
      <c r="D1273" s="61" t="s">
        <v>7166</v>
      </c>
      <c r="E1273" s="61" t="s">
        <v>7303</v>
      </c>
      <c r="F1273" s="61"/>
      <c r="G1273" s="61" t="s">
        <v>6443</v>
      </c>
      <c r="H1273" s="61" t="s">
        <v>7381</v>
      </c>
      <c r="I1273" s="62">
        <v>1010</v>
      </c>
      <c r="J1273" s="4">
        <v>1010</v>
      </c>
      <c r="K1273" s="18">
        <f t="shared" si="23"/>
        <v>0</v>
      </c>
      <c r="L1273" s="63" t="s">
        <v>8826</v>
      </c>
      <c r="M1273" s="64">
        <v>14995</v>
      </c>
    </row>
    <row r="1274" spans="2:13" ht="13.5" hidden="1" customHeight="1" x14ac:dyDescent="0.25">
      <c r="B1274" s="58">
        <v>44964</v>
      </c>
      <c r="C1274" s="59" t="s">
        <v>8827</v>
      </c>
      <c r="D1274" s="61" t="s">
        <v>7172</v>
      </c>
      <c r="E1274" s="61" t="s">
        <v>7303</v>
      </c>
      <c r="F1274" s="61"/>
      <c r="G1274" s="61" t="s">
        <v>6443</v>
      </c>
      <c r="H1274" s="61" t="s">
        <v>7381</v>
      </c>
      <c r="I1274" s="62">
        <v>1411</v>
      </c>
      <c r="J1274" s="4">
        <f>SUMIF(Cargas!$C$5:$C$3470,C1274,Cargas!$O$5:$O$3470)</f>
        <v>0</v>
      </c>
      <c r="K1274" s="18">
        <f t="shared" si="23"/>
        <v>1411</v>
      </c>
      <c r="L1274" s="63"/>
      <c r="M1274" s="64">
        <v>24470</v>
      </c>
    </row>
    <row r="1275" spans="2:13" ht="13.5" hidden="1" customHeight="1" x14ac:dyDescent="0.25">
      <c r="B1275" s="58">
        <v>44979</v>
      </c>
      <c r="C1275" s="59" t="s">
        <v>8828</v>
      </c>
      <c r="D1275" s="61" t="s">
        <v>7208</v>
      </c>
      <c r="E1275" s="61" t="s">
        <v>7303</v>
      </c>
      <c r="F1275" s="61"/>
      <c r="G1275" s="61" t="s">
        <v>6443</v>
      </c>
      <c r="H1275" s="61" t="s">
        <v>7381</v>
      </c>
      <c r="I1275" s="62">
        <v>1200</v>
      </c>
      <c r="J1275" s="4">
        <f>SUMIF(Cargas!$C$5:$C$3470,C1275,Cargas!$O$5:$O$3470)</f>
        <v>0</v>
      </c>
      <c r="K1275" s="18">
        <f t="shared" si="23"/>
        <v>1200</v>
      </c>
      <c r="L1275" s="63" t="s">
        <v>8829</v>
      </c>
      <c r="M1275" s="64">
        <v>32286</v>
      </c>
    </row>
    <row r="1276" spans="2:13" ht="13.5" hidden="1" customHeight="1" x14ac:dyDescent="0.25">
      <c r="B1276" s="58">
        <v>44999</v>
      </c>
      <c r="C1276" s="59" t="s">
        <v>8830</v>
      </c>
      <c r="D1276" s="61" t="s">
        <v>7241</v>
      </c>
      <c r="E1276" s="61" t="s">
        <v>7303</v>
      </c>
      <c r="F1276" s="61"/>
      <c r="G1276" s="61" t="s">
        <v>6443</v>
      </c>
      <c r="H1276" s="61" t="s">
        <v>7381</v>
      </c>
      <c r="I1276" s="62">
        <v>1490</v>
      </c>
      <c r="J1276" s="4">
        <f>SUMIF(Cargas!$C$5:$C$3470,C1276,Cargas!$O$5:$O$3470)</f>
        <v>0</v>
      </c>
      <c r="K1276" s="18">
        <f t="shared" si="23"/>
        <v>1490</v>
      </c>
      <c r="L1276" s="63" t="s">
        <v>8831</v>
      </c>
      <c r="M1276" s="64">
        <v>47774</v>
      </c>
    </row>
    <row r="1277" spans="2:13" ht="13.5" hidden="1" customHeight="1" x14ac:dyDescent="0.25">
      <c r="B1277" s="58">
        <v>45034</v>
      </c>
      <c r="C1277" s="59" t="s">
        <v>8832</v>
      </c>
      <c r="D1277" s="61" t="s">
        <v>7251</v>
      </c>
      <c r="E1277" s="61" t="s">
        <v>7303</v>
      </c>
      <c r="F1277" s="61"/>
      <c r="G1277" s="61" t="s">
        <v>6443</v>
      </c>
      <c r="H1277" s="61" t="s">
        <v>7381</v>
      </c>
      <c r="I1277" s="62">
        <v>1332</v>
      </c>
      <c r="J1277" s="4">
        <f>SUMIF(Cargas!$C$5:$C$3470,C1277,Cargas!$O$5:$O$3470)</f>
        <v>0</v>
      </c>
      <c r="K1277" s="18">
        <f t="shared" si="23"/>
        <v>1332</v>
      </c>
      <c r="L1277" s="63" t="s">
        <v>8833</v>
      </c>
      <c r="M1277" s="64">
        <v>70201</v>
      </c>
    </row>
    <row r="1278" spans="2:13" ht="13.5" hidden="1" customHeight="1" x14ac:dyDescent="0.25">
      <c r="B1278" s="58">
        <v>44972</v>
      </c>
      <c r="C1278" s="59" t="s">
        <v>8834</v>
      </c>
      <c r="D1278" s="61" t="s">
        <v>7181</v>
      </c>
      <c r="E1278" s="61" t="s">
        <v>7303</v>
      </c>
      <c r="F1278" s="61"/>
      <c r="G1278" s="61" t="s">
        <v>6443</v>
      </c>
      <c r="H1278" s="61" t="s">
        <v>7536</v>
      </c>
      <c r="I1278" s="62">
        <v>1200</v>
      </c>
      <c r="J1278" s="4">
        <f>SUMIF(Cargas!$C$5:$C$3470,C1278,Cargas!$O$5:$O$3470)</f>
        <v>0</v>
      </c>
      <c r="K1278" s="18">
        <f t="shared" si="23"/>
        <v>1200</v>
      </c>
      <c r="L1278" s="63" t="s">
        <v>8835</v>
      </c>
      <c r="M1278" s="64">
        <v>29315</v>
      </c>
    </row>
    <row r="1279" spans="2:13" ht="13.5" hidden="1" customHeight="1" x14ac:dyDescent="0.25">
      <c r="B1279" s="58">
        <v>44995</v>
      </c>
      <c r="C1279" s="59" t="s">
        <v>8836</v>
      </c>
      <c r="D1279" s="61" t="s">
        <v>7787</v>
      </c>
      <c r="E1279" s="61" t="s">
        <v>7303</v>
      </c>
      <c r="F1279" s="61"/>
      <c r="G1279" s="61" t="s">
        <v>6443</v>
      </c>
      <c r="H1279" s="61" t="s">
        <v>6444</v>
      </c>
      <c r="I1279" s="62">
        <v>1200</v>
      </c>
      <c r="J1279" s="4">
        <f>SUMIF(Cargas!$C$5:$C$3470,C1279,Cargas!$O$5:$O$3470)</f>
        <v>0</v>
      </c>
      <c r="K1279" s="18">
        <f t="shared" si="23"/>
        <v>1200</v>
      </c>
      <c r="L1279" s="63" t="s">
        <v>8837</v>
      </c>
      <c r="M1279" s="64">
        <v>44994</v>
      </c>
    </row>
    <row r="1280" spans="2:13" ht="13.5" hidden="1" customHeight="1" x14ac:dyDescent="0.25">
      <c r="B1280" s="58">
        <v>45000</v>
      </c>
      <c r="C1280" s="59" t="s">
        <v>8838</v>
      </c>
      <c r="D1280" s="61" t="s">
        <v>7244</v>
      </c>
      <c r="E1280" s="61" t="s">
        <v>7303</v>
      </c>
      <c r="F1280" s="61"/>
      <c r="G1280" s="61" t="s">
        <v>6443</v>
      </c>
      <c r="H1280" s="61" t="s">
        <v>6444</v>
      </c>
      <c r="I1280" s="62">
        <v>1304</v>
      </c>
      <c r="J1280" s="4">
        <f>SUMIF(Cargas!$C$5:$C$3470,C1280,Cargas!$O$5:$O$3470)</f>
        <v>0</v>
      </c>
      <c r="K1280" s="18">
        <f t="shared" si="23"/>
        <v>1304</v>
      </c>
      <c r="L1280" s="63" t="s">
        <v>8839</v>
      </c>
      <c r="M1280" s="64">
        <v>48671</v>
      </c>
    </row>
    <row r="1281" spans="2:13" ht="13.5" hidden="1" customHeight="1" x14ac:dyDescent="0.25">
      <c r="B1281" s="58">
        <v>44987</v>
      </c>
      <c r="C1281" s="59" t="s">
        <v>8840</v>
      </c>
      <c r="D1281" s="61" t="s">
        <v>7220</v>
      </c>
      <c r="E1281" s="61" t="s">
        <v>7303</v>
      </c>
      <c r="F1281" s="61"/>
      <c r="G1281" s="61" t="s">
        <v>6443</v>
      </c>
      <c r="H1281" s="61" t="s">
        <v>6768</v>
      </c>
      <c r="I1281" s="62">
        <v>1440</v>
      </c>
      <c r="J1281" s="4">
        <f>SUMIF(Cargas!$C$5:$C$3470,C1281,Cargas!$O$5:$O$3470)</f>
        <v>0</v>
      </c>
      <c r="K1281" s="18">
        <f t="shared" si="23"/>
        <v>1440</v>
      </c>
      <c r="L1281" s="63" t="s">
        <v>8841</v>
      </c>
      <c r="M1281" s="64">
        <v>39693</v>
      </c>
    </row>
    <row r="1282" spans="2:13" ht="13.5" hidden="1" customHeight="1" x14ac:dyDescent="0.25">
      <c r="B1282" s="58">
        <v>44989</v>
      </c>
      <c r="C1282" s="59" t="s">
        <v>8842</v>
      </c>
      <c r="D1282" s="61" t="s">
        <v>7223</v>
      </c>
      <c r="E1282" s="61" t="s">
        <v>7303</v>
      </c>
      <c r="F1282" s="61"/>
      <c r="G1282" s="61" t="s">
        <v>6443</v>
      </c>
      <c r="H1282" s="61" t="s">
        <v>6768</v>
      </c>
      <c r="I1282" s="62">
        <v>1356</v>
      </c>
      <c r="J1282" s="4">
        <f>SUMIF(Cargas!$C$5:$C$3470,C1282,Cargas!$O$5:$O$3470)</f>
        <v>0</v>
      </c>
      <c r="K1282" s="18">
        <f t="shared" si="23"/>
        <v>1356</v>
      </c>
      <c r="L1282" s="63" t="s">
        <v>8843</v>
      </c>
      <c r="M1282" s="64">
        <v>40606</v>
      </c>
    </row>
    <row r="1283" spans="2:13" ht="13.5" hidden="1" customHeight="1" x14ac:dyDescent="0.25">
      <c r="B1283" s="58">
        <v>44991</v>
      </c>
      <c r="C1283" s="59" t="s">
        <v>8844</v>
      </c>
      <c r="D1283" s="61" t="s">
        <v>7783</v>
      </c>
      <c r="E1283" s="61" t="s">
        <v>7303</v>
      </c>
      <c r="F1283" s="61"/>
      <c r="G1283" s="61" t="s">
        <v>6443</v>
      </c>
      <c r="H1283" s="61" t="s">
        <v>6768</v>
      </c>
      <c r="I1283" s="62">
        <v>1200</v>
      </c>
      <c r="J1283" s="4">
        <f>SUMIF(Cargas!$C$5:$C$3470,C1283,Cargas!$O$5:$O$3470)</f>
        <v>0</v>
      </c>
      <c r="K1283" s="18">
        <f t="shared" si="23"/>
        <v>1200</v>
      </c>
      <c r="L1283" s="63" t="s">
        <v>8425</v>
      </c>
      <c r="M1283" s="64">
        <v>40765</v>
      </c>
    </row>
    <row r="1284" spans="2:13" ht="13.5" hidden="1" customHeight="1" x14ac:dyDescent="0.25">
      <c r="B1284" s="58">
        <v>44935</v>
      </c>
      <c r="C1284" s="59" t="s">
        <v>8845</v>
      </c>
      <c r="D1284" s="61" t="s">
        <v>7157</v>
      </c>
      <c r="E1284" s="61" t="s">
        <v>7303</v>
      </c>
      <c r="F1284" s="61"/>
      <c r="G1284" s="61" t="s">
        <v>6443</v>
      </c>
      <c r="H1284" s="61" t="s">
        <v>6768</v>
      </c>
      <c r="I1284" s="62">
        <v>1200</v>
      </c>
      <c r="J1284" s="4">
        <f>SUMIF(Cargas!$C$5:$C$3470,C1284,Cargas!$O$5:$O$3470)</f>
        <v>0</v>
      </c>
      <c r="K1284" s="18">
        <f t="shared" si="23"/>
        <v>1200</v>
      </c>
      <c r="L1284" s="63" t="s">
        <v>8846</v>
      </c>
      <c r="M1284" s="64">
        <v>4938</v>
      </c>
    </row>
    <row r="1285" spans="2:13" ht="13.5" hidden="1" customHeight="1" x14ac:dyDescent="0.25">
      <c r="B1285" s="58">
        <v>44965</v>
      </c>
      <c r="C1285" s="59" t="s">
        <v>8847</v>
      </c>
      <c r="D1285" s="61" t="s">
        <v>7175</v>
      </c>
      <c r="E1285" s="61" t="s">
        <v>7303</v>
      </c>
      <c r="F1285" s="61"/>
      <c r="G1285" s="61" t="s">
        <v>6443</v>
      </c>
      <c r="H1285" s="61" t="s">
        <v>6768</v>
      </c>
      <c r="I1285" s="62">
        <v>1044</v>
      </c>
      <c r="J1285" s="4">
        <f>SUMIF(Cargas!$C$5:$C$3470,C1285,Cargas!$O$5:$O$3470)</f>
        <v>0</v>
      </c>
      <c r="K1285" s="18">
        <f t="shared" si="23"/>
        <v>1044</v>
      </c>
      <c r="L1285" s="63" t="s">
        <v>8848</v>
      </c>
      <c r="M1285" s="64">
        <v>24472</v>
      </c>
    </row>
    <row r="1286" spans="2:13" ht="13.5" hidden="1" customHeight="1" x14ac:dyDescent="0.25">
      <c r="B1286" s="58">
        <v>44971</v>
      </c>
      <c r="C1286" s="59" t="s">
        <v>8849</v>
      </c>
      <c r="D1286" s="61" t="s">
        <v>7178</v>
      </c>
      <c r="E1286" s="61" t="s">
        <v>7303</v>
      </c>
      <c r="F1286" s="61"/>
      <c r="G1286" s="61" t="s">
        <v>6443</v>
      </c>
      <c r="H1286" s="61" t="s">
        <v>6768</v>
      </c>
      <c r="I1286" s="62">
        <v>1400</v>
      </c>
      <c r="J1286" s="4">
        <f>SUMIF(Cargas!$C$5:$C$3470,C1286,Cargas!$O$5:$O$3470)</f>
        <v>0</v>
      </c>
      <c r="K1286" s="18">
        <f t="shared" si="23"/>
        <v>1400</v>
      </c>
      <c r="L1286" s="63" t="s">
        <v>8850</v>
      </c>
      <c r="M1286" s="64">
        <v>29116</v>
      </c>
    </row>
    <row r="1287" spans="2:13" ht="13.5" hidden="1" customHeight="1" x14ac:dyDescent="0.25">
      <c r="B1287" s="58">
        <v>44982</v>
      </c>
      <c r="C1287" s="59" t="s">
        <v>8851</v>
      </c>
      <c r="D1287" s="61" t="s">
        <v>7212</v>
      </c>
      <c r="E1287" s="61" t="s">
        <v>7303</v>
      </c>
      <c r="F1287" s="61"/>
      <c r="G1287" s="61" t="s">
        <v>6443</v>
      </c>
      <c r="H1287" s="61" t="s">
        <v>6768</v>
      </c>
      <c r="I1287" s="62">
        <v>1200</v>
      </c>
      <c r="J1287" s="4">
        <f>SUMIF(Cargas!$C$5:$C$3470,C1287,Cargas!$O$5:$O$3470)</f>
        <v>0</v>
      </c>
      <c r="K1287" s="18">
        <f t="shared" si="23"/>
        <v>1200</v>
      </c>
      <c r="L1287" s="63" t="s">
        <v>8852</v>
      </c>
      <c r="M1287" s="64">
        <v>35408</v>
      </c>
    </row>
    <row r="1288" spans="2:13" ht="13.5" hidden="1" customHeight="1" x14ac:dyDescent="0.25">
      <c r="B1288" s="58">
        <v>44984</v>
      </c>
      <c r="C1288" s="59" t="s">
        <v>8853</v>
      </c>
      <c r="D1288" s="61" t="s">
        <v>3726</v>
      </c>
      <c r="E1288" s="61" t="s">
        <v>7303</v>
      </c>
      <c r="F1288" s="61"/>
      <c r="G1288" s="61" t="s">
        <v>6443</v>
      </c>
      <c r="H1288" s="61" t="s">
        <v>6768</v>
      </c>
      <c r="I1288" s="62">
        <v>1502</v>
      </c>
      <c r="J1288" s="4">
        <f>SUMIF(Cargas!$C$5:$C$3470,C1288,Cargas!$O$5:$O$3470)</f>
        <v>0</v>
      </c>
      <c r="K1288" s="18">
        <f t="shared" si="23"/>
        <v>1502</v>
      </c>
      <c r="L1288" s="63" t="s">
        <v>8854</v>
      </c>
      <c r="M1288" s="64">
        <v>36921</v>
      </c>
    </row>
    <row r="1289" spans="2:13" ht="13.5" hidden="1" customHeight="1" x14ac:dyDescent="0.25">
      <c r="B1289" s="58">
        <v>45009</v>
      </c>
      <c r="C1289" s="59" t="s">
        <v>8855</v>
      </c>
      <c r="D1289" s="61" t="s">
        <v>7798</v>
      </c>
      <c r="E1289" s="61" t="s">
        <v>7303</v>
      </c>
      <c r="F1289" s="61"/>
      <c r="G1289" s="61" t="s">
        <v>6443</v>
      </c>
      <c r="H1289" s="61" t="s">
        <v>6768</v>
      </c>
      <c r="I1289" s="62">
        <f>200+200+325+70+216+432</f>
        <v>1443</v>
      </c>
      <c r="J1289" s="4">
        <f>SUMIF(Cargas!$C$5:$C$3470,C1289,Cargas!$O$5:$O$3470)</f>
        <v>0</v>
      </c>
      <c r="K1289" s="18">
        <f t="shared" si="23"/>
        <v>1443</v>
      </c>
      <c r="L1289" s="63" t="s">
        <v>8856</v>
      </c>
      <c r="M1289" s="64" t="s">
        <v>299</v>
      </c>
    </row>
    <row r="1290" spans="2:13" ht="13.5" hidden="1" customHeight="1" x14ac:dyDescent="0.25">
      <c r="B1290" s="58">
        <v>44900</v>
      </c>
      <c r="C1290" s="59" t="s">
        <v>8857</v>
      </c>
      <c r="D1290" s="61" t="s">
        <v>7637</v>
      </c>
      <c r="E1290" s="61" t="s">
        <v>7877</v>
      </c>
      <c r="F1290" s="61"/>
      <c r="G1290" s="61" t="s">
        <v>7569</v>
      </c>
      <c r="H1290" s="61" t="s">
        <v>7570</v>
      </c>
      <c r="I1290" s="62">
        <v>1980</v>
      </c>
      <c r="J1290" s="4">
        <f>SUMIF(Cargas!$C$5:$C$3471,C1290,Cargas!$O$5:$O$3471)</f>
        <v>0</v>
      </c>
      <c r="K1290" s="18">
        <f t="shared" si="23"/>
        <v>1980</v>
      </c>
      <c r="L1290" s="63" t="s">
        <v>8858</v>
      </c>
      <c r="M1290" s="64">
        <v>232251</v>
      </c>
    </row>
    <row r="1291" spans="2:13" ht="13.5" hidden="1" customHeight="1" x14ac:dyDescent="0.25">
      <c r="B1291" s="58">
        <v>44897</v>
      </c>
      <c r="C1291" s="59" t="s">
        <v>8859</v>
      </c>
      <c r="D1291" s="61" t="s">
        <v>7640</v>
      </c>
      <c r="E1291" s="61" t="s">
        <v>8479</v>
      </c>
      <c r="F1291" s="61"/>
      <c r="G1291" s="61" t="s">
        <v>7569</v>
      </c>
      <c r="H1291" s="61" t="s">
        <v>7570</v>
      </c>
      <c r="I1291" s="62">
        <v>994</v>
      </c>
      <c r="J1291" s="4">
        <f>SUMIF(Cargas!$C$5:$C$3471,C1291,Cargas!$O$5:$O$3471)</f>
        <v>0</v>
      </c>
      <c r="K1291" s="18">
        <f t="shared" si="23"/>
        <v>994</v>
      </c>
      <c r="L1291" s="63" t="s">
        <v>8860</v>
      </c>
      <c r="M1291" s="64">
        <v>236737</v>
      </c>
    </row>
    <row r="1292" spans="2:13" ht="13.5" hidden="1" customHeight="1" x14ac:dyDescent="0.25">
      <c r="B1292" s="58">
        <v>44904</v>
      </c>
      <c r="C1292" s="59" t="s">
        <v>8861</v>
      </c>
      <c r="D1292" s="61" t="s">
        <v>7643</v>
      </c>
      <c r="E1292" s="61" t="s">
        <v>8479</v>
      </c>
      <c r="F1292" s="61"/>
      <c r="G1292" s="61" t="s">
        <v>7569</v>
      </c>
      <c r="H1292" s="61" t="s">
        <v>7570</v>
      </c>
      <c r="I1292" s="62">
        <v>994</v>
      </c>
      <c r="J1292" s="4">
        <f>SUMIF(Cargas!$C$5:$C$3471,C1292,Cargas!$O$5:$O$3471)</f>
        <v>0</v>
      </c>
      <c r="K1292" s="18">
        <f t="shared" si="23"/>
        <v>994</v>
      </c>
      <c r="L1292" s="63" t="s">
        <v>8862</v>
      </c>
      <c r="M1292" s="64">
        <v>236737</v>
      </c>
    </row>
    <row r="1293" spans="2:13" ht="13.5" hidden="1" customHeight="1" x14ac:dyDescent="0.25">
      <c r="B1293" s="58">
        <v>44907</v>
      </c>
      <c r="C1293" s="59" t="s">
        <v>8863</v>
      </c>
      <c r="D1293" s="61" t="s">
        <v>7646</v>
      </c>
      <c r="E1293" s="61" t="s">
        <v>8479</v>
      </c>
      <c r="F1293" s="61"/>
      <c r="G1293" s="61" t="s">
        <v>7569</v>
      </c>
      <c r="H1293" s="61" t="s">
        <v>7570</v>
      </c>
      <c r="I1293" s="62">
        <v>924</v>
      </c>
      <c r="J1293" s="4">
        <f>SUMIF(Cargas!$C$5:$C$3471,C1293,Cargas!$O$5:$O$3471)</f>
        <v>0</v>
      </c>
      <c r="K1293" s="18">
        <f t="shared" si="23"/>
        <v>924</v>
      </c>
      <c r="L1293" s="63" t="s">
        <v>8864</v>
      </c>
      <c r="M1293" s="64">
        <v>236737</v>
      </c>
    </row>
    <row r="1294" spans="2:13" ht="13.5" hidden="1" customHeight="1" x14ac:dyDescent="0.25">
      <c r="B1294" s="58">
        <v>44907</v>
      </c>
      <c r="C1294" s="59" t="s">
        <v>8865</v>
      </c>
      <c r="D1294" s="61" t="s">
        <v>7649</v>
      </c>
      <c r="E1294" s="61" t="s">
        <v>7877</v>
      </c>
      <c r="F1294" s="61"/>
      <c r="G1294" s="61" t="s">
        <v>7569</v>
      </c>
      <c r="H1294" s="61" t="s">
        <v>7570</v>
      </c>
      <c r="I1294" s="62">
        <v>3960</v>
      </c>
      <c r="J1294" s="4">
        <f>SUMIF(Cargas!$C$5:$C$3471,C1294,Cargas!$O$5:$O$3471)</f>
        <v>0</v>
      </c>
      <c r="K1294" s="18">
        <f t="shared" si="23"/>
        <v>3960</v>
      </c>
      <c r="L1294" s="63" t="s">
        <v>8866</v>
      </c>
      <c r="M1294" s="64">
        <v>236238</v>
      </c>
    </row>
    <row r="1295" spans="2:13" ht="13.5" hidden="1" customHeight="1" x14ac:dyDescent="0.25">
      <c r="B1295" s="58">
        <v>44909</v>
      </c>
      <c r="C1295" s="59" t="s">
        <v>8867</v>
      </c>
      <c r="D1295" s="61" t="s">
        <v>7652</v>
      </c>
      <c r="E1295" s="61" t="s">
        <v>8479</v>
      </c>
      <c r="F1295" s="61"/>
      <c r="G1295" s="61" t="s">
        <v>7569</v>
      </c>
      <c r="H1295" s="61" t="s">
        <v>7570</v>
      </c>
      <c r="I1295" s="62">
        <v>994</v>
      </c>
      <c r="J1295" s="4">
        <f>SUMIF(Cargas!$C$5:$C$3471,C1295,Cargas!$O$5:$O$3471)</f>
        <v>0</v>
      </c>
      <c r="K1295" s="18">
        <f t="shared" si="23"/>
        <v>994</v>
      </c>
      <c r="L1295" s="63" t="s">
        <v>8868</v>
      </c>
      <c r="M1295" s="64">
        <v>238846</v>
      </c>
    </row>
    <row r="1296" spans="2:13" ht="13.5" hidden="1" customHeight="1" x14ac:dyDescent="0.25">
      <c r="B1296" s="58">
        <v>44910</v>
      </c>
      <c r="C1296" s="59" t="s">
        <v>8869</v>
      </c>
      <c r="D1296" s="61" t="s">
        <v>7655</v>
      </c>
      <c r="E1296" s="61" t="s">
        <v>8479</v>
      </c>
      <c r="F1296" s="61"/>
      <c r="G1296" s="61" t="s">
        <v>7569</v>
      </c>
      <c r="H1296" s="61" t="s">
        <v>7570</v>
      </c>
      <c r="I1296" s="62">
        <v>994</v>
      </c>
      <c r="J1296" s="4">
        <f>SUMIF(Cargas!$C$5:$C$3471,C1296,Cargas!$O$5:$O$3471)</f>
        <v>0</v>
      </c>
      <c r="K1296" s="18">
        <f t="shared" ref="K1296:K1359" si="24">IF(ABS(I1296-J1296)&lt;20,0,I1296-J1296)</f>
        <v>994</v>
      </c>
      <c r="L1296" s="63" t="s">
        <v>8870</v>
      </c>
      <c r="M1296" s="64">
        <v>238846</v>
      </c>
    </row>
    <row r="1297" spans="1:13" ht="13.5" hidden="1" customHeight="1" x14ac:dyDescent="0.25">
      <c r="B1297" s="58">
        <v>44911</v>
      </c>
      <c r="C1297" s="59" t="s">
        <v>8871</v>
      </c>
      <c r="D1297" s="61" t="s">
        <v>7658</v>
      </c>
      <c r="E1297" s="61" t="s">
        <v>7877</v>
      </c>
      <c r="F1297" s="61"/>
      <c r="G1297" s="61" t="s">
        <v>7569</v>
      </c>
      <c r="H1297" s="61" t="s">
        <v>7570</v>
      </c>
      <c r="I1297" s="62">
        <v>1980</v>
      </c>
      <c r="J1297" s="4">
        <f>SUMIF(Cargas!$C$5:$C$3471,C1297,Cargas!$O$5:$O$3471)</f>
        <v>0</v>
      </c>
      <c r="K1297" s="18">
        <f t="shared" si="24"/>
        <v>1980</v>
      </c>
      <c r="L1297" s="63" t="s">
        <v>8872</v>
      </c>
      <c r="M1297" s="64">
        <v>241112</v>
      </c>
    </row>
    <row r="1298" spans="1:13" ht="13.5" hidden="1" customHeight="1" x14ac:dyDescent="0.25">
      <c r="B1298" s="58">
        <v>44911</v>
      </c>
      <c r="C1298" s="59" t="s">
        <v>8873</v>
      </c>
      <c r="D1298" s="61" t="s">
        <v>7661</v>
      </c>
      <c r="E1298" s="61" t="s">
        <v>8479</v>
      </c>
      <c r="F1298" s="61"/>
      <c r="G1298" s="61" t="s">
        <v>7569</v>
      </c>
      <c r="H1298" s="61" t="s">
        <v>7570</v>
      </c>
      <c r="I1298" s="62">
        <v>994</v>
      </c>
      <c r="J1298" s="4">
        <f>SUMIF(Cargas!$C$5:$C$3471,C1298,Cargas!$O$5:$O$3471)</f>
        <v>0</v>
      </c>
      <c r="K1298" s="18">
        <f t="shared" si="24"/>
        <v>994</v>
      </c>
      <c r="L1298" s="63" t="s">
        <v>8874</v>
      </c>
      <c r="M1298" s="64">
        <v>241321</v>
      </c>
    </row>
    <row r="1299" spans="1:13" ht="13.5" hidden="1" customHeight="1" x14ac:dyDescent="0.25">
      <c r="B1299" s="58">
        <v>44915</v>
      </c>
      <c r="C1299" s="59" t="s">
        <v>8875</v>
      </c>
      <c r="D1299" s="61" t="s">
        <v>7664</v>
      </c>
      <c r="E1299" s="61" t="s">
        <v>8479</v>
      </c>
      <c r="F1299" s="61"/>
      <c r="G1299" s="61" t="s">
        <v>7569</v>
      </c>
      <c r="H1299" s="61" t="s">
        <v>7570</v>
      </c>
      <c r="I1299" s="62">
        <v>994</v>
      </c>
      <c r="J1299" s="62">
        <f>SUMIF(Cargas!$C$5:$C$3471,C1299,Cargas!$O$5:$O$3471)</f>
        <v>0</v>
      </c>
      <c r="K1299" s="18">
        <f t="shared" si="24"/>
        <v>994</v>
      </c>
      <c r="L1299" s="63" t="s">
        <v>8876</v>
      </c>
      <c r="M1299" s="64">
        <v>243515</v>
      </c>
    </row>
    <row r="1300" spans="1:13" ht="13.5" hidden="1" customHeight="1" x14ac:dyDescent="0.25">
      <c r="B1300" s="58">
        <v>44917</v>
      </c>
      <c r="C1300" s="59" t="s">
        <v>8877</v>
      </c>
      <c r="D1300" s="61" t="s">
        <v>7667</v>
      </c>
      <c r="E1300" s="61" t="s">
        <v>7877</v>
      </c>
      <c r="F1300" s="61"/>
      <c r="G1300" s="61" t="s">
        <v>7569</v>
      </c>
      <c r="H1300" s="61" t="s">
        <v>7570</v>
      </c>
      <c r="I1300" s="62">
        <v>1980</v>
      </c>
      <c r="J1300" s="62">
        <f>SUMIF(Cargas!$C$5:$C$3471,C1300,Cargas!$O$5:$O$3471)</f>
        <v>0</v>
      </c>
      <c r="K1300" s="18">
        <f t="shared" si="24"/>
        <v>1980</v>
      </c>
      <c r="L1300" s="63" t="s">
        <v>8878</v>
      </c>
      <c r="M1300" s="64">
        <v>246682</v>
      </c>
    </row>
    <row r="1301" spans="1:13" ht="13.5" hidden="1" customHeight="1" x14ac:dyDescent="0.25">
      <c r="B1301" s="58">
        <v>44922</v>
      </c>
      <c r="C1301" s="59" t="s">
        <v>8879</v>
      </c>
      <c r="D1301" s="61" t="s">
        <v>7670</v>
      </c>
      <c r="E1301" s="61" t="s">
        <v>8479</v>
      </c>
      <c r="F1301" s="61"/>
      <c r="G1301" s="61" t="s">
        <v>7569</v>
      </c>
      <c r="H1301" s="61" t="s">
        <v>7570</v>
      </c>
      <c r="I1301" s="62">
        <v>994</v>
      </c>
      <c r="J1301" s="62">
        <v>994</v>
      </c>
      <c r="K1301" s="18">
        <f t="shared" si="24"/>
        <v>0</v>
      </c>
      <c r="L1301" s="63" t="s">
        <v>8880</v>
      </c>
      <c r="M1301" s="64">
        <v>248828</v>
      </c>
    </row>
    <row r="1302" spans="1:13" ht="13.5" hidden="1" customHeight="1" x14ac:dyDescent="0.25">
      <c r="B1302" s="58">
        <v>44921</v>
      </c>
      <c r="C1302" s="59" t="s">
        <v>8881</v>
      </c>
      <c r="D1302" s="61" t="s">
        <v>7673</v>
      </c>
      <c r="E1302" s="61" t="s">
        <v>8479</v>
      </c>
      <c r="F1302" s="61"/>
      <c r="G1302" s="61" t="s">
        <v>7569</v>
      </c>
      <c r="H1302" s="61" t="s">
        <v>7570</v>
      </c>
      <c r="I1302" s="62">
        <v>994</v>
      </c>
      <c r="J1302" s="62">
        <v>989</v>
      </c>
      <c r="K1302" s="18">
        <f t="shared" si="24"/>
        <v>0</v>
      </c>
      <c r="L1302" s="63" t="s">
        <v>8882</v>
      </c>
      <c r="M1302" s="64">
        <v>248866</v>
      </c>
    </row>
    <row r="1303" spans="1:13" ht="13.5" hidden="1" customHeight="1" x14ac:dyDescent="0.25">
      <c r="B1303" s="58">
        <v>44922</v>
      </c>
      <c r="C1303" s="59" t="s">
        <v>8883</v>
      </c>
      <c r="D1303" s="61" t="s">
        <v>8104</v>
      </c>
      <c r="E1303" s="61" t="s">
        <v>8479</v>
      </c>
      <c r="F1303" s="61"/>
      <c r="G1303" s="61" t="s">
        <v>7569</v>
      </c>
      <c r="H1303" s="61" t="s">
        <v>7570</v>
      </c>
      <c r="I1303" s="62">
        <v>994</v>
      </c>
      <c r="J1303" s="62">
        <v>989</v>
      </c>
      <c r="K1303" s="18">
        <f t="shared" si="24"/>
        <v>0</v>
      </c>
      <c r="L1303" s="63" t="s">
        <v>8884</v>
      </c>
      <c r="M1303" s="64">
        <v>249230</v>
      </c>
    </row>
    <row r="1304" spans="1:13" s="115" customFormat="1" ht="13.5" hidden="1" customHeight="1" x14ac:dyDescent="0.25">
      <c r="B1304" s="107">
        <v>45636</v>
      </c>
      <c r="C1304" s="108" t="s">
        <v>2818</v>
      </c>
      <c r="D1304" s="109" t="s">
        <v>7541</v>
      </c>
      <c r="E1304" s="109" t="s">
        <v>6764</v>
      </c>
      <c r="F1304" s="109"/>
      <c r="G1304" s="109" t="s">
        <v>6443</v>
      </c>
      <c r="H1304" s="109" t="s">
        <v>8660</v>
      </c>
      <c r="I1304" s="110">
        <v>1242</v>
      </c>
      <c r="J1304" s="111">
        <f>SUMIF(Cargas!$C$5:$C$3470,C1304,Cargas!$O$5:$O$3470)</f>
        <v>1242</v>
      </c>
      <c r="K1304" s="112">
        <f t="shared" si="24"/>
        <v>0</v>
      </c>
      <c r="L1304" s="117" t="s">
        <v>8885</v>
      </c>
      <c r="M1304" s="113">
        <v>251724</v>
      </c>
    </row>
    <row r="1305" spans="1:13" ht="13.5" hidden="1" customHeight="1" x14ac:dyDescent="0.25">
      <c r="B1305" s="58">
        <v>45617</v>
      </c>
      <c r="C1305" s="59" t="s">
        <v>2873</v>
      </c>
      <c r="D1305" s="61" t="s">
        <v>7543</v>
      </c>
      <c r="E1305" s="61" t="s">
        <v>8792</v>
      </c>
      <c r="F1305" s="61"/>
      <c r="G1305" s="61" t="s">
        <v>6443</v>
      </c>
      <c r="H1305" s="61" t="s">
        <v>8660</v>
      </c>
      <c r="I1305" s="62">
        <v>1560</v>
      </c>
      <c r="J1305" s="4">
        <f>SUMIF(Cargas!$C$5:$C$3470,C1305,Cargas!$O$5:$O$3470)</f>
        <v>1560</v>
      </c>
      <c r="K1305" s="18">
        <f t="shared" si="24"/>
        <v>0</v>
      </c>
      <c r="L1305" s="194"/>
      <c r="M1305" s="64">
        <v>256677</v>
      </c>
    </row>
    <row r="1306" spans="1:13" s="115" customFormat="1" ht="13.5" hidden="1" customHeight="1" x14ac:dyDescent="0.25">
      <c r="B1306" s="107">
        <v>45643</v>
      </c>
      <c r="C1306" s="108" t="s">
        <v>2877</v>
      </c>
      <c r="D1306" s="109" t="s">
        <v>7545</v>
      </c>
      <c r="E1306" s="109" t="s">
        <v>6764</v>
      </c>
      <c r="F1306" s="109"/>
      <c r="G1306" s="109" t="s">
        <v>6443</v>
      </c>
      <c r="H1306" s="109" t="s">
        <v>7381</v>
      </c>
      <c r="I1306" s="110">
        <v>1320</v>
      </c>
      <c r="J1306" s="111">
        <f>SUMIF(Cargas!$C$5:$C$3470,C1306,Cargas!$O$5:$O$3470)</f>
        <v>1320</v>
      </c>
      <c r="K1306" s="112">
        <f t="shared" si="24"/>
        <v>0</v>
      </c>
      <c r="L1306" s="118" t="s">
        <v>8886</v>
      </c>
      <c r="M1306" s="113">
        <v>257891</v>
      </c>
    </row>
    <row r="1307" spans="1:13" s="93" customFormat="1" ht="13.5" hidden="1" customHeight="1" x14ac:dyDescent="0.25">
      <c r="B1307" s="86">
        <v>45649</v>
      </c>
      <c r="C1307" s="87" t="s">
        <v>2928</v>
      </c>
      <c r="D1307" s="88" t="s">
        <v>7926</v>
      </c>
      <c r="E1307" s="88" t="s">
        <v>6764</v>
      </c>
      <c r="F1307" s="88"/>
      <c r="G1307" s="88" t="s">
        <v>6443</v>
      </c>
      <c r="H1307" s="88" t="s">
        <v>8660</v>
      </c>
      <c r="I1307" s="89">
        <v>3228</v>
      </c>
      <c r="J1307" s="90">
        <f>SUMIF(Cargas!$C$5:$C$3470,C1307,Cargas!$O$5:$O$3470)</f>
        <v>3228</v>
      </c>
      <c r="K1307" s="91">
        <f t="shared" si="24"/>
        <v>0</v>
      </c>
      <c r="L1307" s="116" t="s">
        <v>8887</v>
      </c>
      <c r="M1307" s="92">
        <v>265400</v>
      </c>
    </row>
    <row r="1308" spans="1:13" s="115" customFormat="1" ht="13.5" hidden="1" customHeight="1" x14ac:dyDescent="0.25">
      <c r="B1308" s="107">
        <v>45665</v>
      </c>
      <c r="C1308" s="108" t="s">
        <v>3006</v>
      </c>
      <c r="D1308" s="109" t="s">
        <v>6767</v>
      </c>
      <c r="E1308" s="109" t="s">
        <v>6764</v>
      </c>
      <c r="F1308" s="109"/>
      <c r="G1308" s="109" t="s">
        <v>6443</v>
      </c>
      <c r="H1308" s="109" t="s">
        <v>6768</v>
      </c>
      <c r="I1308" s="110">
        <v>3672</v>
      </c>
      <c r="J1308" s="111">
        <f>SUMIF(Cargas!$C$5:$C$3470,C1308,Cargas!$O$5:$O$3470)</f>
        <v>3672</v>
      </c>
      <c r="K1308" s="112">
        <f t="shared" si="24"/>
        <v>0</v>
      </c>
      <c r="L1308" s="114" t="s">
        <v>8888</v>
      </c>
      <c r="M1308" s="113">
        <v>4649</v>
      </c>
    </row>
    <row r="1309" spans="1:13" s="115" customFormat="1" hidden="1" x14ac:dyDescent="0.25">
      <c r="A1309" s="93"/>
      <c r="B1309" s="86">
        <v>46027</v>
      </c>
      <c r="C1309" s="87" t="s">
        <v>5384</v>
      </c>
      <c r="D1309" s="88" t="s">
        <v>8889</v>
      </c>
      <c r="E1309" s="121" t="s">
        <v>6764</v>
      </c>
      <c r="F1309" s="121"/>
      <c r="G1309" s="88" t="s">
        <v>6443</v>
      </c>
      <c r="H1309" s="88" t="s">
        <v>8660</v>
      </c>
      <c r="I1309" s="89">
        <v>3744</v>
      </c>
      <c r="J1309" s="90">
        <f>SUMIF(Cargas!$C$5:$C$3470,C1309,Cargas!$O$5:$O$3470)</f>
        <v>3744</v>
      </c>
      <c r="K1309" s="91">
        <f t="shared" si="24"/>
        <v>0</v>
      </c>
      <c r="L1309" s="122" t="s">
        <v>8890</v>
      </c>
      <c r="M1309" s="92">
        <v>1978</v>
      </c>
    </row>
    <row r="1310" spans="1:13" ht="26.25" hidden="1" x14ac:dyDescent="0.25">
      <c r="B1310" s="58">
        <v>45656</v>
      </c>
      <c r="C1310" s="59" t="s">
        <v>2954</v>
      </c>
      <c r="D1310" s="61" t="s">
        <v>7573</v>
      </c>
      <c r="E1310" s="197" t="s">
        <v>8595</v>
      </c>
      <c r="F1310" s="197"/>
      <c r="G1310" s="61" t="s">
        <v>7569</v>
      </c>
      <c r="H1310" s="61"/>
      <c r="I1310" s="62">
        <v>980</v>
      </c>
      <c r="J1310" s="4">
        <f>SUMIF(Cargas!$C$5:$C$3470,C1310,Cargas!$O$5:$O$3470)</f>
        <v>980</v>
      </c>
      <c r="K1310" s="18">
        <f t="shared" si="24"/>
        <v>0</v>
      </c>
      <c r="L1310" s="195" t="s">
        <v>8891</v>
      </c>
      <c r="M1310" s="64">
        <v>1308</v>
      </c>
    </row>
    <row r="1311" spans="1:13" s="115" customFormat="1" ht="15" hidden="1" customHeight="1" x14ac:dyDescent="0.25">
      <c r="B1311" s="107">
        <v>45674</v>
      </c>
      <c r="C1311" s="108" t="s">
        <v>3037</v>
      </c>
      <c r="D1311" s="109" t="s">
        <v>6772</v>
      </c>
      <c r="E1311" s="119" t="s">
        <v>6764</v>
      </c>
      <c r="F1311" s="119"/>
      <c r="G1311" s="109" t="s">
        <v>6443</v>
      </c>
      <c r="H1311" s="109" t="s">
        <v>6768</v>
      </c>
      <c r="I1311" s="110">
        <v>3672</v>
      </c>
      <c r="J1311" s="111">
        <f>SUMIF(Cargas!$C$5:$C$3470,C1311,Cargas!$O$5:$O$3470)</f>
        <v>3672</v>
      </c>
      <c r="K1311" s="112">
        <f t="shared" si="24"/>
        <v>0</v>
      </c>
      <c r="L1311" s="117">
        <v>1515338</v>
      </c>
      <c r="M1311" s="113">
        <v>11554</v>
      </c>
    </row>
    <row r="1312" spans="1:13" hidden="1" x14ac:dyDescent="0.25">
      <c r="B1312" s="58">
        <v>45544</v>
      </c>
      <c r="C1312" s="59" t="s">
        <v>2015</v>
      </c>
      <c r="D1312" s="61" t="s">
        <v>8892</v>
      </c>
      <c r="E1312" s="61" t="s">
        <v>7877</v>
      </c>
      <c r="F1312" s="61"/>
      <c r="G1312" s="61" t="s">
        <v>7569</v>
      </c>
      <c r="H1312" s="61"/>
      <c r="I1312" s="62">
        <v>1860</v>
      </c>
      <c r="J1312" s="4">
        <f>SUMIF(Cargas!$C$5:$C$3470,C1312,Cargas!$O$5:$O$3470)</f>
        <v>1860</v>
      </c>
      <c r="K1312" s="18">
        <f t="shared" si="24"/>
        <v>0</v>
      </c>
      <c r="L1312" s="63" t="s">
        <v>8893</v>
      </c>
      <c r="M1312" s="196">
        <v>179830</v>
      </c>
    </row>
    <row r="1313" spans="1:13" hidden="1" x14ac:dyDescent="0.25">
      <c r="B1313" s="58">
        <v>45541</v>
      </c>
      <c r="C1313" s="59" t="s">
        <v>2012</v>
      </c>
      <c r="D1313" s="61" t="s">
        <v>8894</v>
      </c>
      <c r="E1313" s="61" t="s">
        <v>8523</v>
      </c>
      <c r="F1313" s="61"/>
      <c r="G1313" s="61" t="s">
        <v>7569</v>
      </c>
      <c r="H1313" s="61"/>
      <c r="I1313" s="62">
        <v>980</v>
      </c>
      <c r="J1313" s="4">
        <f>SUMIF(Cargas!$C$5:$C$3470,C1313,Cargas!$O$5:$O$3470)</f>
        <v>980</v>
      </c>
      <c r="K1313" s="18">
        <f t="shared" si="24"/>
        <v>0</v>
      </c>
      <c r="L1313" s="63" t="s">
        <v>8895</v>
      </c>
      <c r="M1313" s="196">
        <v>179795</v>
      </c>
    </row>
    <row r="1314" spans="1:13" hidden="1" x14ac:dyDescent="0.25">
      <c r="B1314" s="58">
        <v>45551</v>
      </c>
      <c r="C1314" s="59" t="s">
        <v>2053</v>
      </c>
      <c r="D1314" s="61" t="s">
        <v>8896</v>
      </c>
      <c r="E1314" s="61" t="s">
        <v>7877</v>
      </c>
      <c r="F1314" s="61"/>
      <c r="G1314" s="61" t="s">
        <v>7569</v>
      </c>
      <c r="H1314" s="61"/>
      <c r="I1314" s="62">
        <v>930</v>
      </c>
      <c r="J1314" s="4">
        <f>SUMIF(Cargas!$C$5:$C$3470,C1314,Cargas!$O$5:$O$3470)</f>
        <v>930</v>
      </c>
      <c r="K1314" s="18">
        <f t="shared" si="24"/>
        <v>0</v>
      </c>
      <c r="L1314" s="63" t="s">
        <v>8897</v>
      </c>
      <c r="M1314" s="196">
        <v>183126</v>
      </c>
    </row>
    <row r="1315" spans="1:13" hidden="1" x14ac:dyDescent="0.25">
      <c r="B1315" s="58">
        <v>45551</v>
      </c>
      <c r="C1315" s="59" t="s">
        <v>2056</v>
      </c>
      <c r="D1315" s="61" t="s">
        <v>8898</v>
      </c>
      <c r="E1315" s="61" t="s">
        <v>8523</v>
      </c>
      <c r="F1315" s="61"/>
      <c r="G1315" s="61" t="s">
        <v>7569</v>
      </c>
      <c r="H1315" s="61"/>
      <c r="I1315" s="62">
        <v>980</v>
      </c>
      <c r="J1315" s="4">
        <f>SUMIF(Cargas!$C$5:$C$3470,C1315,Cargas!$O$5:$O$3470)</f>
        <v>980</v>
      </c>
      <c r="K1315" s="18">
        <f t="shared" si="24"/>
        <v>0</v>
      </c>
      <c r="L1315" s="63" t="s">
        <v>8899</v>
      </c>
      <c r="M1315" s="196">
        <v>184019</v>
      </c>
    </row>
    <row r="1316" spans="1:13" hidden="1" x14ac:dyDescent="0.25">
      <c r="B1316" s="58">
        <v>45558</v>
      </c>
      <c r="C1316" s="59" t="s">
        <v>2113</v>
      </c>
      <c r="D1316" s="61" t="s">
        <v>8900</v>
      </c>
      <c r="E1316" s="61" t="s">
        <v>8523</v>
      </c>
      <c r="F1316" s="61"/>
      <c r="G1316" s="61" t="s">
        <v>7569</v>
      </c>
      <c r="H1316" s="61"/>
      <c r="I1316" s="62">
        <v>1960</v>
      </c>
      <c r="J1316" s="4">
        <f>SUMIF(Cargas!$C$5:$C$3470,C1316,Cargas!$O$5:$O$3470)</f>
        <v>1960</v>
      </c>
      <c r="K1316" s="18">
        <f t="shared" si="24"/>
        <v>0</v>
      </c>
      <c r="L1316" s="63" t="s">
        <v>8901</v>
      </c>
      <c r="M1316" s="196">
        <v>189103</v>
      </c>
    </row>
    <row r="1317" spans="1:13" hidden="1" x14ac:dyDescent="0.25">
      <c r="B1317" s="58">
        <v>45559</v>
      </c>
      <c r="C1317" s="59" t="s">
        <v>2141</v>
      </c>
      <c r="D1317" s="61" t="s">
        <v>8902</v>
      </c>
      <c r="E1317" s="61" t="s">
        <v>7877</v>
      </c>
      <c r="F1317" s="61"/>
      <c r="G1317" s="61" t="s">
        <v>7569</v>
      </c>
      <c r="H1317" s="61"/>
      <c r="I1317" s="62">
        <v>930</v>
      </c>
      <c r="J1317" s="4">
        <f>SUMIF(Cargas!$C$5:$C$3470,C1317,Cargas!$O$5:$O$3470)</f>
        <v>930</v>
      </c>
      <c r="K1317" s="18">
        <f t="shared" si="24"/>
        <v>0</v>
      </c>
      <c r="L1317" s="63" t="s">
        <v>8903</v>
      </c>
      <c r="M1317" s="196">
        <v>190126</v>
      </c>
    </row>
    <row r="1318" spans="1:13" hidden="1" x14ac:dyDescent="0.25">
      <c r="B1318" s="58">
        <v>45533</v>
      </c>
      <c r="C1318" s="59" t="s">
        <v>1947</v>
      </c>
      <c r="D1318" s="61" t="s">
        <v>8904</v>
      </c>
      <c r="E1318" s="61" t="s">
        <v>8595</v>
      </c>
      <c r="F1318" s="61"/>
      <c r="G1318" s="61" t="s">
        <v>7569</v>
      </c>
      <c r="H1318" s="61"/>
      <c r="I1318" s="62">
        <v>980</v>
      </c>
      <c r="J1318" s="4">
        <f>SUMIF(Cargas!$C$5:$C$3470,C1318,Cargas!$O$5:$O$3470)</f>
        <v>980</v>
      </c>
      <c r="K1318" s="18">
        <f t="shared" si="24"/>
        <v>0</v>
      </c>
      <c r="L1318" s="63" t="s">
        <v>8905</v>
      </c>
      <c r="M1318" s="196">
        <v>172251</v>
      </c>
    </row>
    <row r="1319" spans="1:13" hidden="1" x14ac:dyDescent="0.25">
      <c r="B1319" s="58">
        <v>45576</v>
      </c>
      <c r="C1319" s="59" t="s">
        <v>2311</v>
      </c>
      <c r="D1319" s="61" t="s">
        <v>8906</v>
      </c>
      <c r="E1319" s="61" t="s">
        <v>7877</v>
      </c>
      <c r="F1319" s="61"/>
      <c r="G1319" s="61" t="s">
        <v>7569</v>
      </c>
      <c r="H1319" s="35"/>
      <c r="I1319" s="62">
        <v>1860</v>
      </c>
      <c r="J1319" s="4">
        <f>SUMIF(Cargas!$C$5:$C$3470,C1319,Cargas!$O$5:$O$3470)</f>
        <v>1860</v>
      </c>
      <c r="K1319" s="18">
        <f t="shared" si="24"/>
        <v>0</v>
      </c>
      <c r="L1319" s="63" t="s">
        <v>8907</v>
      </c>
      <c r="M1319" s="196">
        <v>205709</v>
      </c>
    </row>
    <row r="1320" spans="1:13" hidden="1" x14ac:dyDescent="0.25">
      <c r="B1320" s="58">
        <v>45576</v>
      </c>
      <c r="C1320" s="59" t="s">
        <v>2328</v>
      </c>
      <c r="D1320" s="61" t="s">
        <v>8908</v>
      </c>
      <c r="E1320" s="61" t="s">
        <v>8595</v>
      </c>
      <c r="F1320" s="61"/>
      <c r="G1320" s="61" t="s">
        <v>7569</v>
      </c>
      <c r="H1320" s="61"/>
      <c r="I1320" s="62">
        <v>980</v>
      </c>
      <c r="J1320" s="4">
        <f>SUMIF(Cargas!$C$5:$C$3470,C1320,Cargas!$O$5:$O$3470)</f>
        <v>980</v>
      </c>
      <c r="K1320" s="18">
        <f t="shared" si="24"/>
        <v>0</v>
      </c>
      <c r="L1320" s="63" t="s">
        <v>8909</v>
      </c>
      <c r="M1320" s="196">
        <v>206735</v>
      </c>
    </row>
    <row r="1321" spans="1:13" hidden="1" x14ac:dyDescent="0.25">
      <c r="B1321" s="58">
        <v>45579</v>
      </c>
      <c r="C1321" s="59" t="s">
        <v>2325</v>
      </c>
      <c r="D1321" s="61" t="s">
        <v>8910</v>
      </c>
      <c r="E1321" s="61" t="s">
        <v>8523</v>
      </c>
      <c r="F1321" s="61"/>
      <c r="G1321" s="61" t="s">
        <v>7569</v>
      </c>
      <c r="H1321" s="61"/>
      <c r="I1321" s="62">
        <v>980</v>
      </c>
      <c r="J1321" s="4">
        <f>SUMIF(Cargas!$C$5:$C$3470,C1321,Cargas!$O$5:$O$3470)</f>
        <v>980</v>
      </c>
      <c r="K1321" s="18">
        <f t="shared" si="24"/>
        <v>0</v>
      </c>
      <c r="L1321" s="63" t="s">
        <v>8911</v>
      </c>
      <c r="M1321" s="196">
        <v>206734</v>
      </c>
    </row>
    <row r="1322" spans="1:13" s="115" customFormat="1" ht="16.5" hidden="1" customHeight="1" x14ac:dyDescent="0.25">
      <c r="A1322" s="93"/>
      <c r="B1322" s="86">
        <v>46028</v>
      </c>
      <c r="C1322" s="87" t="s">
        <v>5393</v>
      </c>
      <c r="D1322" s="88" t="s">
        <v>8912</v>
      </c>
      <c r="E1322" s="121" t="s">
        <v>6764</v>
      </c>
      <c r="F1322" s="121"/>
      <c r="G1322" s="88" t="s">
        <v>6443</v>
      </c>
      <c r="H1322" s="88" t="s">
        <v>6963</v>
      </c>
      <c r="I1322" s="89">
        <v>4032</v>
      </c>
      <c r="J1322" s="90">
        <f>SUMIF(Cargas!$C$5:$C$3470,C1322,Cargas!$O$5:$O$3470)</f>
        <v>4032</v>
      </c>
      <c r="K1322" s="91">
        <f t="shared" si="24"/>
        <v>0</v>
      </c>
      <c r="L1322" s="122" t="s">
        <v>8913</v>
      </c>
      <c r="M1322" s="92">
        <v>1966</v>
      </c>
    </row>
    <row r="1323" spans="1:13" s="115" customFormat="1" hidden="1" x14ac:dyDescent="0.25">
      <c r="B1323" s="107">
        <v>45680</v>
      </c>
      <c r="C1323" s="108" t="s">
        <v>3081</v>
      </c>
      <c r="D1323" s="109" t="s">
        <v>6777</v>
      </c>
      <c r="E1323" s="119" t="s">
        <v>6764</v>
      </c>
      <c r="F1323" s="119"/>
      <c r="G1323" s="109" t="s">
        <v>6443</v>
      </c>
      <c r="H1323" s="109" t="s">
        <v>8660</v>
      </c>
      <c r="I1323" s="110">
        <v>3672</v>
      </c>
      <c r="J1323" s="111">
        <f>SUMIF(Cargas!$C$5:$C$3470,C1323,Cargas!$O$5:$O$3470)</f>
        <v>3672</v>
      </c>
      <c r="K1323" s="112">
        <f t="shared" si="24"/>
        <v>0</v>
      </c>
      <c r="L1323" s="117">
        <v>1515750</v>
      </c>
      <c r="M1323" s="113"/>
    </row>
    <row r="1324" spans="1:13" s="93" customFormat="1" hidden="1" x14ac:dyDescent="0.25">
      <c r="B1324" s="86">
        <v>46029</v>
      </c>
      <c r="C1324" s="87" t="s">
        <v>5400</v>
      </c>
      <c r="D1324" s="88" t="s">
        <v>8914</v>
      </c>
      <c r="E1324" s="121" t="s">
        <v>6764</v>
      </c>
      <c r="F1324" s="121"/>
      <c r="G1324" s="88" t="s">
        <v>6443</v>
      </c>
      <c r="H1324" s="88" t="s">
        <v>8574</v>
      </c>
      <c r="I1324" s="89">
        <v>6048</v>
      </c>
      <c r="J1324" s="90">
        <f>SUMIF(Cargas!$C$5:$C$3470,C1324,Cargas!$O$5:$O$3470)</f>
        <v>6048</v>
      </c>
      <c r="K1324" s="91">
        <f t="shared" si="24"/>
        <v>0</v>
      </c>
      <c r="L1324" s="122" t="s">
        <v>8915</v>
      </c>
      <c r="M1324" s="92">
        <v>4090</v>
      </c>
    </row>
    <row r="1325" spans="1:13" s="93" customFormat="1" hidden="1" x14ac:dyDescent="0.25">
      <c r="A1325" s="115"/>
      <c r="B1325" s="107">
        <v>45678</v>
      </c>
      <c r="C1325" s="108" t="s">
        <v>3069</v>
      </c>
      <c r="D1325" s="109" t="s">
        <v>6781</v>
      </c>
      <c r="E1325" s="119" t="s">
        <v>6764</v>
      </c>
      <c r="F1325" s="119"/>
      <c r="G1325" s="109" t="s">
        <v>6443</v>
      </c>
      <c r="H1325" s="109" t="s">
        <v>8574</v>
      </c>
      <c r="I1325" s="110">
        <v>3960</v>
      </c>
      <c r="J1325" s="111">
        <f>SUMIF(Cargas!$C$5:$C$3470,C1325,Cargas!$O$5:$O$3470)</f>
        <v>3960</v>
      </c>
      <c r="K1325" s="112">
        <f t="shared" si="24"/>
        <v>0</v>
      </c>
      <c r="L1325" s="117">
        <v>1515605</v>
      </c>
      <c r="M1325" s="113"/>
    </row>
    <row r="1326" spans="1:13" s="93" customFormat="1" hidden="1" x14ac:dyDescent="0.25">
      <c r="B1326" s="86">
        <v>46027</v>
      </c>
      <c r="C1326" s="87" t="s">
        <v>5389</v>
      </c>
      <c r="D1326" s="88" t="s">
        <v>8916</v>
      </c>
      <c r="E1326" s="121" t="s">
        <v>8917</v>
      </c>
      <c r="F1326" s="121"/>
      <c r="G1326" s="88" t="s">
        <v>6665</v>
      </c>
      <c r="H1326" s="88" t="s">
        <v>6768</v>
      </c>
      <c r="I1326" s="89">
        <v>3744</v>
      </c>
      <c r="J1326" s="90">
        <f>SUMIF(Cargas!$C$5:$C$3470,C1326,Cargas!$O$5:$O$3470)</f>
        <v>3726</v>
      </c>
      <c r="K1326" s="91">
        <f t="shared" si="24"/>
        <v>0</v>
      </c>
      <c r="L1326" s="122" t="s">
        <v>8918</v>
      </c>
      <c r="M1326" s="92">
        <v>3062</v>
      </c>
    </row>
    <row r="1327" spans="1:13" s="93" customFormat="1" hidden="1" x14ac:dyDescent="0.25">
      <c r="A1327" s="115"/>
      <c r="B1327" s="107">
        <v>45685</v>
      </c>
      <c r="C1327" s="108" t="s">
        <v>3097</v>
      </c>
      <c r="D1327" s="109" t="s">
        <v>6786</v>
      </c>
      <c r="E1327" s="119" t="s">
        <v>6764</v>
      </c>
      <c r="F1327" s="119"/>
      <c r="G1327" s="109" t="s">
        <v>6443</v>
      </c>
      <c r="H1327" s="109" t="s">
        <v>8919</v>
      </c>
      <c r="I1327" s="110">
        <v>3960</v>
      </c>
      <c r="J1327" s="111">
        <f>SUMIF(Cargas!$C$5:$C$3470,C1327,Cargas!$O$5:$O$3470)</f>
        <v>3960</v>
      </c>
      <c r="K1327" s="112">
        <f t="shared" si="24"/>
        <v>0</v>
      </c>
      <c r="L1327" s="117">
        <v>1515934</v>
      </c>
      <c r="M1327" s="113"/>
    </row>
    <row r="1328" spans="1:13" s="93" customFormat="1" hidden="1" x14ac:dyDescent="0.25">
      <c r="B1328" s="86">
        <v>46027</v>
      </c>
      <c r="C1328" s="87" t="s">
        <v>5391</v>
      </c>
      <c r="D1328" s="88" t="s">
        <v>8920</v>
      </c>
      <c r="E1328" s="121" t="s">
        <v>8917</v>
      </c>
      <c r="F1328" s="121"/>
      <c r="G1328" s="88" t="s">
        <v>6443</v>
      </c>
      <c r="H1328" s="88" t="s">
        <v>7061</v>
      </c>
      <c r="I1328" s="89">
        <v>4032</v>
      </c>
      <c r="J1328" s="90">
        <f>SUMIF(Cargas!$C$5:$C$3470,C1328,Cargas!$O$5:$O$3470)</f>
        <v>4032</v>
      </c>
      <c r="K1328" s="91">
        <f t="shared" si="24"/>
        <v>0</v>
      </c>
      <c r="L1328" s="122" t="s">
        <v>8921</v>
      </c>
      <c r="M1328" s="92">
        <v>3107</v>
      </c>
    </row>
    <row r="1329" spans="1:13" s="93" customFormat="1" hidden="1" x14ac:dyDescent="0.25">
      <c r="A1329" s="115"/>
      <c r="B1329" s="107">
        <v>45685</v>
      </c>
      <c r="C1329" s="108" t="s">
        <v>3103</v>
      </c>
      <c r="D1329" s="109" t="s">
        <v>6790</v>
      </c>
      <c r="E1329" s="119" t="s">
        <v>6764</v>
      </c>
      <c r="F1329" s="119"/>
      <c r="G1329" s="109" t="s">
        <v>6443</v>
      </c>
      <c r="H1329" s="109" t="s">
        <v>6963</v>
      </c>
      <c r="I1329" s="110">
        <v>3960</v>
      </c>
      <c r="J1329" s="111">
        <f>SUMIF(Cargas!$C$5:$C$3470,C1329,Cargas!$O$5:$O$3470)</f>
        <v>3960</v>
      </c>
      <c r="K1329" s="112">
        <f t="shared" si="24"/>
        <v>0</v>
      </c>
      <c r="L1329" s="117">
        <v>1515940</v>
      </c>
      <c r="M1329" s="113"/>
    </row>
    <row r="1330" spans="1:13" s="93" customFormat="1" hidden="1" x14ac:dyDescent="0.25">
      <c r="B1330" s="86">
        <v>46034</v>
      </c>
      <c r="C1330" s="87" t="s">
        <v>5421</v>
      </c>
      <c r="D1330" s="88" t="s">
        <v>8922</v>
      </c>
      <c r="E1330" s="121" t="s">
        <v>6764</v>
      </c>
      <c r="F1330" s="121"/>
      <c r="G1330" s="88" t="s">
        <v>6443</v>
      </c>
      <c r="H1330" s="88" t="s">
        <v>8660</v>
      </c>
      <c r="I1330" s="89">
        <v>3744</v>
      </c>
      <c r="J1330" s="90">
        <f>SUMIF(Cargas!$C$5:$C$3470,C1330,Cargas!$O$5:$O$3470)</f>
        <v>3744</v>
      </c>
      <c r="K1330" s="91">
        <f t="shared" si="24"/>
        <v>0</v>
      </c>
      <c r="L1330" s="122">
        <v>1547430</v>
      </c>
      <c r="M1330" s="92">
        <v>7331</v>
      </c>
    </row>
    <row r="1331" spans="1:13" s="93" customFormat="1" hidden="1" x14ac:dyDescent="0.25">
      <c r="B1331" s="86">
        <v>45687</v>
      </c>
      <c r="C1331" s="87" t="s">
        <v>3112</v>
      </c>
      <c r="D1331" s="88" t="s">
        <v>6793</v>
      </c>
      <c r="E1331" s="121" t="s">
        <v>6764</v>
      </c>
      <c r="F1331" s="121"/>
      <c r="G1331" s="88" t="s">
        <v>6443</v>
      </c>
      <c r="H1331" s="88" t="s">
        <v>6768</v>
      </c>
      <c r="I1331" s="89">
        <v>3672</v>
      </c>
      <c r="J1331" s="90">
        <f>SUMIF(Cargas!$C$5:$C$3470,C1331,Cargas!$O$5:$O$3470)</f>
        <v>3672</v>
      </c>
      <c r="K1331" s="91">
        <f t="shared" si="24"/>
        <v>0</v>
      </c>
      <c r="L1331" s="122">
        <v>1515941</v>
      </c>
      <c r="M1331" s="92"/>
    </row>
    <row r="1332" spans="1:13" s="93" customFormat="1" hidden="1" x14ac:dyDescent="0.25">
      <c r="B1332" s="86">
        <v>46037</v>
      </c>
      <c r="C1332" s="87" t="s">
        <v>5433</v>
      </c>
      <c r="D1332" s="88" t="s">
        <v>8923</v>
      </c>
      <c r="E1332" s="121" t="s">
        <v>6764</v>
      </c>
      <c r="F1332" s="121"/>
      <c r="G1332" s="88" t="s">
        <v>6443</v>
      </c>
      <c r="H1332" s="88" t="s">
        <v>8574</v>
      </c>
      <c r="I1332" s="89">
        <v>7056</v>
      </c>
      <c r="J1332" s="90">
        <f>SUMIF(Cargas!$C$5:$C$3470,C1332,Cargas!$O$5:$O$3470)</f>
        <v>7056</v>
      </c>
      <c r="K1332" s="91">
        <f t="shared" si="24"/>
        <v>0</v>
      </c>
      <c r="L1332" s="122">
        <v>1547572</v>
      </c>
      <c r="M1332" s="92">
        <v>10331</v>
      </c>
    </row>
    <row r="1333" spans="1:13" s="93" customFormat="1" hidden="1" x14ac:dyDescent="0.25">
      <c r="B1333" s="86">
        <v>45691</v>
      </c>
      <c r="C1333" s="87" t="s">
        <v>3137</v>
      </c>
      <c r="D1333" s="88" t="s">
        <v>6798</v>
      </c>
      <c r="E1333" s="121" t="s">
        <v>6764</v>
      </c>
      <c r="F1333" s="121"/>
      <c r="G1333" s="88" t="s">
        <v>6443</v>
      </c>
      <c r="H1333" s="88" t="s">
        <v>8574</v>
      </c>
      <c r="I1333" s="89">
        <v>8910</v>
      </c>
      <c r="J1333" s="90">
        <f>SUMIF(Cargas!$C$5:$C$3470,C1333,Cargas!$O$5:$O$3470)</f>
        <v>8910</v>
      </c>
      <c r="K1333" s="91">
        <f t="shared" si="24"/>
        <v>0</v>
      </c>
      <c r="L1333" s="122" t="s">
        <v>8924</v>
      </c>
      <c r="M1333" s="92">
        <v>23261</v>
      </c>
    </row>
    <row r="1334" spans="1:13" s="93" customFormat="1" hidden="1" x14ac:dyDescent="0.25">
      <c r="B1334" s="86">
        <v>46037</v>
      </c>
      <c r="C1334" s="87" t="s">
        <v>5440</v>
      </c>
      <c r="D1334" s="88" t="s">
        <v>8925</v>
      </c>
      <c r="E1334" s="121" t="s">
        <v>6764</v>
      </c>
      <c r="F1334" s="121"/>
      <c r="G1334" s="88" t="s">
        <v>6443</v>
      </c>
      <c r="H1334" s="88" t="s">
        <v>6963</v>
      </c>
      <c r="I1334" s="89">
        <v>4032</v>
      </c>
      <c r="J1334" s="90">
        <f>SUMIF(Cargas!$C$5:$C$3470,C1334,Cargas!$O$5:$O$3470)</f>
        <v>4032</v>
      </c>
      <c r="K1334" s="91">
        <f t="shared" si="24"/>
        <v>0</v>
      </c>
      <c r="L1334" s="122">
        <v>1547732</v>
      </c>
      <c r="M1334" s="92">
        <v>10363</v>
      </c>
    </row>
    <row r="1335" spans="1:13" s="115" customFormat="1" hidden="1" x14ac:dyDescent="0.25">
      <c r="A1335" s="93"/>
      <c r="B1335" s="86">
        <v>45691</v>
      </c>
      <c r="C1335" s="87" t="s">
        <v>3158</v>
      </c>
      <c r="D1335" s="88" t="s">
        <v>6804</v>
      </c>
      <c r="E1335" s="121" t="s">
        <v>6764</v>
      </c>
      <c r="F1335" s="121"/>
      <c r="G1335" s="88" t="s">
        <v>6443</v>
      </c>
      <c r="H1335" s="88" t="s">
        <v>8660</v>
      </c>
      <c r="I1335" s="89">
        <v>5508</v>
      </c>
      <c r="J1335" s="90">
        <f>SUMIF(Cargas!$C$5:$C$3470,C1335,Cargas!$O$5:$O$3470)</f>
        <v>5508</v>
      </c>
      <c r="K1335" s="91">
        <f t="shared" si="24"/>
        <v>0</v>
      </c>
      <c r="L1335" s="122" t="s">
        <v>8926</v>
      </c>
      <c r="M1335" s="92">
        <v>25130</v>
      </c>
    </row>
    <row r="1336" spans="1:13" s="93" customFormat="1" hidden="1" x14ac:dyDescent="0.25">
      <c r="B1336" s="86">
        <v>46041</v>
      </c>
      <c r="C1336" s="87" t="s">
        <v>5453</v>
      </c>
      <c r="D1336" s="88" t="s">
        <v>8927</v>
      </c>
      <c r="E1336" s="121" t="s">
        <v>8917</v>
      </c>
      <c r="F1336" s="121"/>
      <c r="G1336" s="88" t="s">
        <v>6665</v>
      </c>
      <c r="H1336" s="88" t="s">
        <v>8928</v>
      </c>
      <c r="I1336" s="89">
        <v>4680</v>
      </c>
      <c r="J1336" s="90">
        <f>SUMIF(Cargas!$C$5:$C$3470,C1336,Cargas!$O$5:$O$3470)</f>
        <v>4680</v>
      </c>
      <c r="K1336" s="91">
        <f t="shared" si="24"/>
        <v>0</v>
      </c>
      <c r="L1336" s="122">
        <v>1547976</v>
      </c>
      <c r="M1336" s="92">
        <v>13774</v>
      </c>
    </row>
    <row r="1337" spans="1:13" s="115" customFormat="1" hidden="1" x14ac:dyDescent="0.25">
      <c r="A1337" s="93"/>
      <c r="B1337" s="86">
        <v>45693</v>
      </c>
      <c r="C1337" s="87" t="s">
        <v>3164</v>
      </c>
      <c r="D1337" s="88" t="s">
        <v>6808</v>
      </c>
      <c r="E1337" s="121" t="s">
        <v>6764</v>
      </c>
      <c r="F1337" s="121"/>
      <c r="G1337" s="88" t="s">
        <v>6443</v>
      </c>
      <c r="H1337" s="88" t="s">
        <v>6768</v>
      </c>
      <c r="I1337" s="89">
        <v>8262</v>
      </c>
      <c r="J1337" s="90">
        <f>SUMIF(Cargas!$C$5:$C$3470,C1337,Cargas!$O$5:$O$3470)</f>
        <v>8262</v>
      </c>
      <c r="K1337" s="91">
        <f t="shared" si="24"/>
        <v>0</v>
      </c>
      <c r="L1337" s="122" t="s">
        <v>8929</v>
      </c>
      <c r="M1337" s="92">
        <v>25902</v>
      </c>
    </row>
    <row r="1338" spans="1:13" s="93" customFormat="1" hidden="1" x14ac:dyDescent="0.25">
      <c r="B1338" s="86">
        <v>46043</v>
      </c>
      <c r="C1338" s="87" t="s">
        <v>5467</v>
      </c>
      <c r="D1338" s="88" t="s">
        <v>8930</v>
      </c>
      <c r="E1338" s="121" t="s">
        <v>6764</v>
      </c>
      <c r="F1338" s="121"/>
      <c r="G1338" s="88" t="s">
        <v>6443</v>
      </c>
      <c r="H1338" s="88" t="s">
        <v>8574</v>
      </c>
      <c r="I1338" s="89">
        <v>6048</v>
      </c>
      <c r="J1338" s="90">
        <f>SUMIF(Cargas!$C$5:$C$3470,C1338,Cargas!$O$5:$O$3470)</f>
        <v>6048</v>
      </c>
      <c r="K1338" s="91">
        <f t="shared" si="24"/>
        <v>0</v>
      </c>
      <c r="L1338" s="122">
        <v>1548166</v>
      </c>
      <c r="M1338" s="92">
        <v>14714</v>
      </c>
    </row>
    <row r="1339" spans="1:13" s="115" customFormat="1" hidden="1" x14ac:dyDescent="0.25">
      <c r="A1339" s="93"/>
      <c r="B1339" s="86">
        <v>45699</v>
      </c>
      <c r="C1339" s="87" t="s">
        <v>3191</v>
      </c>
      <c r="D1339" s="88" t="s">
        <v>6813</v>
      </c>
      <c r="E1339" s="121" t="s">
        <v>6764</v>
      </c>
      <c r="F1339" s="121"/>
      <c r="G1339" s="88" t="s">
        <v>6443</v>
      </c>
      <c r="H1339" s="88" t="s">
        <v>8574</v>
      </c>
      <c r="I1339" s="89">
        <v>8910</v>
      </c>
      <c r="J1339" s="90">
        <f>SUMIF(Cargas!$C$5:$C$3470,C1339,Cargas!$O$5:$O$3470)</f>
        <v>8910</v>
      </c>
      <c r="K1339" s="91">
        <f t="shared" si="24"/>
        <v>0</v>
      </c>
      <c r="L1339" s="122" t="s">
        <v>8924</v>
      </c>
      <c r="M1339" s="92">
        <v>29254</v>
      </c>
    </row>
    <row r="1340" spans="1:13" s="93" customFormat="1" hidden="1" x14ac:dyDescent="0.25">
      <c r="B1340" s="86">
        <v>46048</v>
      </c>
      <c r="C1340" s="87" t="s">
        <v>5482</v>
      </c>
      <c r="D1340" s="88" t="s">
        <v>8931</v>
      </c>
      <c r="E1340" s="121" t="s">
        <v>8917</v>
      </c>
      <c r="F1340" s="121"/>
      <c r="G1340" s="88" t="s">
        <v>6665</v>
      </c>
      <c r="H1340" s="88" t="s">
        <v>8928</v>
      </c>
      <c r="I1340" s="89">
        <v>5616</v>
      </c>
      <c r="J1340" s="90">
        <f>SUMIF(Cargas!$C$5:$C$3470,C1340,Cargas!$O$5:$O$3470)</f>
        <v>5616</v>
      </c>
      <c r="K1340" s="91">
        <f t="shared" si="24"/>
        <v>0</v>
      </c>
      <c r="L1340" s="122">
        <v>1548910</v>
      </c>
      <c r="M1340" s="92">
        <v>18821</v>
      </c>
    </row>
    <row r="1341" spans="1:13" s="115" customFormat="1" hidden="1" x14ac:dyDescent="0.25">
      <c r="A1341" s="93"/>
      <c r="B1341" s="86">
        <v>45702</v>
      </c>
      <c r="C1341" s="87" t="s">
        <v>3230</v>
      </c>
      <c r="D1341" s="88" t="s">
        <v>6816</v>
      </c>
      <c r="E1341" s="121" t="s">
        <v>6764</v>
      </c>
      <c r="F1341" s="121"/>
      <c r="G1341" s="88" t="s">
        <v>6443</v>
      </c>
      <c r="H1341" s="88" t="s">
        <v>8660</v>
      </c>
      <c r="I1341" s="89">
        <v>5508</v>
      </c>
      <c r="J1341" s="90">
        <f>SUMIF(Cargas!$C$5:$C$3470,C1341,Cargas!$O$5:$O$3470)</f>
        <v>5508</v>
      </c>
      <c r="K1341" s="91">
        <f t="shared" si="24"/>
        <v>0</v>
      </c>
      <c r="L1341" s="122" t="s">
        <v>8932</v>
      </c>
      <c r="M1341" s="92">
        <v>36430</v>
      </c>
    </row>
    <row r="1342" spans="1:13" s="93" customFormat="1" hidden="1" x14ac:dyDescent="0.25">
      <c r="B1342" s="86">
        <v>46051</v>
      </c>
      <c r="C1342" s="87" t="s">
        <v>5494</v>
      </c>
      <c r="D1342" s="88" t="s">
        <v>8933</v>
      </c>
      <c r="E1342" s="121" t="s">
        <v>6764</v>
      </c>
      <c r="F1342" s="121"/>
      <c r="G1342" s="88" t="s">
        <v>6443</v>
      </c>
      <c r="H1342" s="88" t="s">
        <v>8574</v>
      </c>
      <c r="I1342" s="89">
        <v>6048</v>
      </c>
      <c r="J1342" s="90">
        <f>SUMIF(Cargas!$C$5:$C$3470,C1342,Cargas!$O$5:$O$3470)</f>
        <v>6048</v>
      </c>
      <c r="K1342" s="91">
        <f t="shared" si="24"/>
        <v>0</v>
      </c>
      <c r="L1342" s="122">
        <v>1549007</v>
      </c>
      <c r="M1342" s="92">
        <v>22280</v>
      </c>
    </row>
    <row r="1343" spans="1:13" s="93" customFormat="1" hidden="1" x14ac:dyDescent="0.25">
      <c r="B1343" s="86">
        <v>45708</v>
      </c>
      <c r="C1343" s="87" t="s">
        <v>3236</v>
      </c>
      <c r="D1343" s="88" t="s">
        <v>6822</v>
      </c>
      <c r="E1343" s="121" t="s">
        <v>6764</v>
      </c>
      <c r="F1343" s="121"/>
      <c r="G1343" s="88" t="s">
        <v>6443</v>
      </c>
      <c r="H1343" s="88" t="s">
        <v>6768</v>
      </c>
      <c r="I1343" s="89">
        <v>7344</v>
      </c>
      <c r="J1343" s="90">
        <f>SUMIF(Cargas!$C$5:$C$3470,C1343,Cargas!$O$5:$O$3470)</f>
        <v>7344</v>
      </c>
      <c r="K1343" s="91">
        <f t="shared" si="24"/>
        <v>0</v>
      </c>
      <c r="L1343" s="122" t="s">
        <v>8934</v>
      </c>
      <c r="M1343" s="92">
        <v>35693</v>
      </c>
    </row>
    <row r="1344" spans="1:13" s="93" customFormat="1" hidden="1" x14ac:dyDescent="0.25">
      <c r="B1344" s="86">
        <v>46051</v>
      </c>
      <c r="C1344" s="87" t="s">
        <v>5496</v>
      </c>
      <c r="D1344" s="88" t="s">
        <v>8935</v>
      </c>
      <c r="E1344" s="121" t="s">
        <v>6764</v>
      </c>
      <c r="F1344" s="121"/>
      <c r="G1344" s="88" t="s">
        <v>6443</v>
      </c>
      <c r="H1344" s="88" t="s">
        <v>8936</v>
      </c>
      <c r="I1344" s="89">
        <v>4032</v>
      </c>
      <c r="J1344" s="90">
        <f>SUMIF(Cargas!$C$5:$C$3470,C1344,Cargas!$O$5:$O$3470)</f>
        <v>4032</v>
      </c>
      <c r="K1344" s="91">
        <f t="shared" si="24"/>
        <v>0</v>
      </c>
      <c r="L1344" s="122">
        <v>1549009</v>
      </c>
      <c r="M1344" s="92">
        <v>22351</v>
      </c>
    </row>
    <row r="1345" spans="1:19" s="93" customFormat="1" hidden="1" x14ac:dyDescent="0.25">
      <c r="B1345" s="86">
        <v>45708</v>
      </c>
      <c r="C1345" s="87" t="s">
        <v>3262</v>
      </c>
      <c r="D1345" s="88" t="s">
        <v>6827</v>
      </c>
      <c r="E1345" s="121" t="s">
        <v>6764</v>
      </c>
      <c r="F1345" s="121"/>
      <c r="G1345" s="88" t="s">
        <v>6443</v>
      </c>
      <c r="H1345" s="88" t="s">
        <v>6963</v>
      </c>
      <c r="I1345" s="89">
        <v>3960</v>
      </c>
      <c r="J1345" s="90">
        <f>SUMIF(Cargas!$C$5:$C$3470,C1345,Cargas!$O$5:$O$3470)</f>
        <v>3960</v>
      </c>
      <c r="K1345" s="91">
        <f t="shared" si="24"/>
        <v>0</v>
      </c>
      <c r="L1345" s="122" t="s">
        <v>8937</v>
      </c>
      <c r="M1345" s="92">
        <v>37751</v>
      </c>
    </row>
    <row r="1346" spans="1:19" s="93" customFormat="1" hidden="1" x14ac:dyDescent="0.25">
      <c r="B1346" s="86">
        <v>46057</v>
      </c>
      <c r="C1346" s="87" t="s">
        <v>5523</v>
      </c>
      <c r="D1346" s="88" t="s">
        <v>8938</v>
      </c>
      <c r="E1346" s="121" t="s">
        <v>6764</v>
      </c>
      <c r="F1346" s="121"/>
      <c r="G1346" s="88" t="s">
        <v>6443</v>
      </c>
      <c r="H1346" s="88" t="s">
        <v>8574</v>
      </c>
      <c r="I1346" s="89">
        <v>9072</v>
      </c>
      <c r="J1346" s="90">
        <f>SUMIF(Cargas!$C$5:$C$3470,C1346,Cargas!$O$5:$O$3470)</f>
        <v>9072</v>
      </c>
      <c r="K1346" s="91">
        <f t="shared" si="24"/>
        <v>0</v>
      </c>
      <c r="L1346" s="122">
        <v>154.95500000000001</v>
      </c>
      <c r="M1346" s="92">
        <v>25068</v>
      </c>
    </row>
    <row r="1347" spans="1:19" s="93" customFormat="1" hidden="1" x14ac:dyDescent="0.25">
      <c r="B1347" s="86">
        <v>45709</v>
      </c>
      <c r="C1347" s="87" t="s">
        <v>3254</v>
      </c>
      <c r="D1347" s="88" t="s">
        <v>6831</v>
      </c>
      <c r="E1347" s="121" t="s">
        <v>6764</v>
      </c>
      <c r="F1347" s="121"/>
      <c r="G1347" s="88" t="s">
        <v>6443</v>
      </c>
      <c r="H1347" s="88" t="s">
        <v>6862</v>
      </c>
      <c r="I1347" s="89">
        <v>3672</v>
      </c>
      <c r="J1347" s="90">
        <f>SUMIF(Cargas!$C$5:$C$3470,C1347,Cargas!$O$5:$O$3470)</f>
        <v>3672</v>
      </c>
      <c r="K1347" s="91">
        <f t="shared" si="24"/>
        <v>0</v>
      </c>
      <c r="L1347" s="122" t="s">
        <v>8939</v>
      </c>
      <c r="M1347" s="92">
        <v>37609</v>
      </c>
    </row>
    <row r="1348" spans="1:19" s="93" customFormat="1" hidden="1" x14ac:dyDescent="0.25">
      <c r="B1348" s="86">
        <v>46059</v>
      </c>
      <c r="C1348" s="87" t="s">
        <v>5533</v>
      </c>
      <c r="D1348" s="88" t="s">
        <v>8940</v>
      </c>
      <c r="E1348" s="121" t="s">
        <v>8917</v>
      </c>
      <c r="F1348" s="121"/>
      <c r="G1348" s="88" t="s">
        <v>6665</v>
      </c>
      <c r="H1348" s="88" t="s">
        <v>8928</v>
      </c>
      <c r="I1348" s="89">
        <v>936</v>
      </c>
      <c r="J1348" s="90">
        <f>SUMIF(Cargas!$C$5:$C$3470,C1348,Cargas!$O$5:$O$3470)</f>
        <v>936</v>
      </c>
      <c r="K1348" s="91">
        <f t="shared" si="24"/>
        <v>0</v>
      </c>
      <c r="L1348" s="122" t="s">
        <v>8941</v>
      </c>
      <c r="M1348" s="92">
        <v>26227</v>
      </c>
    </row>
    <row r="1349" spans="1:19" s="115" customFormat="1" hidden="1" x14ac:dyDescent="0.25">
      <c r="A1349" s="93"/>
      <c r="B1349" s="86">
        <v>45709</v>
      </c>
      <c r="C1349" s="87" t="s">
        <v>3272</v>
      </c>
      <c r="D1349" s="88" t="s">
        <v>6837</v>
      </c>
      <c r="E1349" s="121" t="s">
        <v>6764</v>
      </c>
      <c r="F1349" s="121"/>
      <c r="G1349" s="88" t="s">
        <v>6443</v>
      </c>
      <c r="H1349" s="88" t="s">
        <v>7888</v>
      </c>
      <c r="I1349" s="89">
        <v>936</v>
      </c>
      <c r="J1349" s="90">
        <f>SUMIF(Cargas!$C$5:$C$3470,C1349,Cargas!$O$5:$O$3470)</f>
        <v>936</v>
      </c>
      <c r="K1349" s="91">
        <f t="shared" si="24"/>
        <v>0</v>
      </c>
      <c r="L1349" s="122" t="s">
        <v>8942</v>
      </c>
      <c r="M1349" s="92">
        <v>40080</v>
      </c>
      <c r="N1349"/>
      <c r="O1349"/>
      <c r="P1349"/>
      <c r="Q1349"/>
      <c r="R1349"/>
      <c r="S1349"/>
    </row>
    <row r="1350" spans="1:19" s="93" customFormat="1" hidden="1" x14ac:dyDescent="0.25">
      <c r="B1350" s="86">
        <v>46063</v>
      </c>
      <c r="C1350" s="87" t="s">
        <v>5553</v>
      </c>
      <c r="D1350" s="88" t="s">
        <v>8943</v>
      </c>
      <c r="E1350" s="121" t="s">
        <v>6764</v>
      </c>
      <c r="F1350" s="121"/>
      <c r="G1350" s="88" t="s">
        <v>6443</v>
      </c>
      <c r="H1350" s="88" t="s">
        <v>8574</v>
      </c>
      <c r="I1350" s="89">
        <v>9072</v>
      </c>
      <c r="J1350" s="90">
        <f>SUMIF(Cargas!$C$5:$C$3470,C1350,Cargas!$O$5:$O$3470)</f>
        <v>9072</v>
      </c>
      <c r="K1350" s="91">
        <f t="shared" si="24"/>
        <v>0</v>
      </c>
      <c r="L1350" s="122" t="s">
        <v>8944</v>
      </c>
      <c r="M1350" s="92">
        <v>29624</v>
      </c>
    </row>
    <row r="1351" spans="1:19" s="93" customFormat="1" hidden="1" x14ac:dyDescent="0.25">
      <c r="B1351" s="86">
        <v>45709</v>
      </c>
      <c r="C1351" s="87" t="s">
        <v>3278</v>
      </c>
      <c r="D1351" s="88" t="s">
        <v>6840</v>
      </c>
      <c r="E1351" s="121" t="s">
        <v>6764</v>
      </c>
      <c r="F1351" s="121"/>
      <c r="G1351" s="88" t="s">
        <v>6443</v>
      </c>
      <c r="H1351" s="88" t="s">
        <v>8574</v>
      </c>
      <c r="I1351" s="89">
        <v>8910</v>
      </c>
      <c r="J1351" s="90">
        <f>SUMIF(Cargas!$C$5:$C$3470,C1351,Cargas!$O$5:$O$3470)</f>
        <v>8910</v>
      </c>
      <c r="K1351" s="91">
        <f t="shared" si="24"/>
        <v>0</v>
      </c>
      <c r="L1351" s="122" t="s">
        <v>8945</v>
      </c>
      <c r="M1351" s="92">
        <v>40108</v>
      </c>
    </row>
    <row r="1352" spans="1:19" s="93" customFormat="1" hidden="1" x14ac:dyDescent="0.25">
      <c r="B1352" s="86">
        <v>46063</v>
      </c>
      <c r="C1352" s="87" t="s">
        <v>5558</v>
      </c>
      <c r="D1352" s="88" t="s">
        <v>8946</v>
      </c>
      <c r="E1352" s="121" t="s">
        <v>6764</v>
      </c>
      <c r="F1352" s="121"/>
      <c r="G1352" s="88" t="s">
        <v>6443</v>
      </c>
      <c r="H1352" s="88" t="s">
        <v>6963</v>
      </c>
      <c r="I1352" s="89">
        <v>5040</v>
      </c>
      <c r="J1352" s="90">
        <f>SUMIF(Cargas!$C$5:$C$3470,C1352,Cargas!$O$5:$O$3470)</f>
        <v>5040</v>
      </c>
      <c r="K1352" s="91">
        <f t="shared" si="24"/>
        <v>0</v>
      </c>
      <c r="L1352" s="122" t="s">
        <v>8947</v>
      </c>
      <c r="M1352" s="92">
        <v>29521</v>
      </c>
    </row>
    <row r="1353" spans="1:19" s="93" customFormat="1" hidden="1" x14ac:dyDescent="0.25">
      <c r="A1353" s="115"/>
      <c r="B1353" s="107">
        <v>45715</v>
      </c>
      <c r="C1353" s="108" t="s">
        <v>3289</v>
      </c>
      <c r="D1353" s="109" t="s">
        <v>6843</v>
      </c>
      <c r="E1353" s="119" t="s">
        <v>6764</v>
      </c>
      <c r="F1353" s="119"/>
      <c r="G1353" s="109" t="s">
        <v>6443</v>
      </c>
      <c r="H1353" s="109" t="s">
        <v>8660</v>
      </c>
      <c r="I1353" s="110">
        <v>5508</v>
      </c>
      <c r="J1353" s="111">
        <f>SUMIF(Cargas!$C$5:$C$3470,C1353,Cargas!$O$5:$O$3470)</f>
        <v>5508</v>
      </c>
      <c r="K1353" s="112">
        <f t="shared" si="24"/>
        <v>0</v>
      </c>
      <c r="L1353" s="117" t="s">
        <v>8948</v>
      </c>
      <c r="M1353" s="113">
        <v>43040</v>
      </c>
    </row>
    <row r="1354" spans="1:19" s="93" customFormat="1" hidden="1" x14ac:dyDescent="0.25">
      <c r="B1354" s="86">
        <v>46066</v>
      </c>
      <c r="C1354" s="87" t="s">
        <v>5567</v>
      </c>
      <c r="D1354" s="88" t="s">
        <v>8949</v>
      </c>
      <c r="E1354" s="121" t="s">
        <v>8917</v>
      </c>
      <c r="F1354" s="121"/>
      <c r="G1354" s="88" t="s">
        <v>6665</v>
      </c>
      <c r="H1354" s="88" t="s">
        <v>8928</v>
      </c>
      <c r="I1354" s="89">
        <v>4680</v>
      </c>
      <c r="J1354" s="90">
        <f>SUMIF(Cargas!$C$5:$C$3470,C1354,Cargas!$O$5:$O$3470)</f>
        <v>4680</v>
      </c>
      <c r="K1354" s="91">
        <f t="shared" si="24"/>
        <v>0</v>
      </c>
      <c r="L1354" s="122">
        <v>1550406</v>
      </c>
      <c r="M1354" s="92">
        <v>31947</v>
      </c>
    </row>
    <row r="1355" spans="1:19" s="93" customFormat="1" hidden="1" x14ac:dyDescent="0.25">
      <c r="A1355" s="115"/>
      <c r="B1355" s="107">
        <v>45721</v>
      </c>
      <c r="C1355" s="108" t="s">
        <v>3313</v>
      </c>
      <c r="D1355" s="109" t="s">
        <v>6846</v>
      </c>
      <c r="E1355" s="119" t="s">
        <v>6764</v>
      </c>
      <c r="F1355" s="119"/>
      <c r="G1355" s="109" t="s">
        <v>6443</v>
      </c>
      <c r="H1355" s="109" t="s">
        <v>6768</v>
      </c>
      <c r="I1355" s="110">
        <v>5508</v>
      </c>
      <c r="J1355" s="111">
        <f>SUMIF(Cargas!$C$5:$C$3470,C1355,Cargas!$O$5:$O$3470)</f>
        <v>5508</v>
      </c>
      <c r="K1355" s="112">
        <f t="shared" si="24"/>
        <v>0</v>
      </c>
      <c r="L1355" s="117" t="s">
        <v>8950</v>
      </c>
      <c r="M1355" s="113">
        <v>45426</v>
      </c>
    </row>
    <row r="1356" spans="1:19" s="93" customFormat="1" hidden="1" x14ac:dyDescent="0.25">
      <c r="A1356" s="115"/>
      <c r="B1356" s="107">
        <v>45723</v>
      </c>
      <c r="C1356" s="108" t="s">
        <v>3318</v>
      </c>
      <c r="D1356" s="109" t="s">
        <v>6849</v>
      </c>
      <c r="E1356" s="119" t="s">
        <v>6764</v>
      </c>
      <c r="F1356" s="119"/>
      <c r="G1356" s="109" t="s">
        <v>6443</v>
      </c>
      <c r="H1356" s="109" t="s">
        <v>7888</v>
      </c>
      <c r="I1356" s="110">
        <v>936</v>
      </c>
      <c r="J1356" s="111">
        <f>SUMIF(Cargas!$C$5:$C$3470,C1356,Cargas!$O$5:$O$3470)</f>
        <v>936</v>
      </c>
      <c r="K1356" s="112">
        <f t="shared" si="24"/>
        <v>0</v>
      </c>
      <c r="L1356" s="117" t="s">
        <v>8942</v>
      </c>
      <c r="M1356" s="113">
        <v>46158</v>
      </c>
    </row>
    <row r="1357" spans="1:19" s="93" customFormat="1" hidden="1" x14ac:dyDescent="0.25">
      <c r="A1357" s="115"/>
      <c r="B1357" s="107">
        <v>45723</v>
      </c>
      <c r="C1357" s="108" t="s">
        <v>3332</v>
      </c>
      <c r="D1357" s="109" t="s">
        <v>6852</v>
      </c>
      <c r="E1357" s="119" t="s">
        <v>6764</v>
      </c>
      <c r="F1357" s="119"/>
      <c r="G1357" s="109" t="s">
        <v>6443</v>
      </c>
      <c r="H1357" s="109" t="s">
        <v>8574</v>
      </c>
      <c r="I1357" s="110">
        <v>8910</v>
      </c>
      <c r="J1357" s="111">
        <f>SUMIF(Cargas!$C$5:$C$3470,C1357,Cargas!$O$5:$O$3470)</f>
        <v>8910</v>
      </c>
      <c r="K1357" s="112">
        <f t="shared" si="24"/>
        <v>0</v>
      </c>
      <c r="L1357" s="117" t="s">
        <v>8951</v>
      </c>
      <c r="M1357" s="113">
        <v>46054</v>
      </c>
    </row>
    <row r="1358" spans="1:19" s="93" customFormat="1" hidden="1" x14ac:dyDescent="0.25">
      <c r="A1358" s="115"/>
      <c r="B1358" s="107">
        <v>45723</v>
      </c>
      <c r="C1358" s="108" t="s">
        <v>3343</v>
      </c>
      <c r="D1358" s="109" t="s">
        <v>6855</v>
      </c>
      <c r="E1358" s="119" t="s">
        <v>6764</v>
      </c>
      <c r="F1358" s="119"/>
      <c r="G1358" s="109" t="s">
        <v>6443</v>
      </c>
      <c r="H1358" s="109" t="s">
        <v>6862</v>
      </c>
      <c r="I1358" s="110">
        <v>4590</v>
      </c>
      <c r="J1358" s="111">
        <f>SUMIF(Cargas!$C$5:$C$3470,C1358,Cargas!$O$5:$O$3470)</f>
        <v>4590</v>
      </c>
      <c r="K1358" s="112">
        <f t="shared" si="24"/>
        <v>0</v>
      </c>
      <c r="L1358" s="117" t="s">
        <v>8939</v>
      </c>
      <c r="M1358" s="113">
        <v>46117</v>
      </c>
    </row>
    <row r="1359" spans="1:19" s="93" customFormat="1" hidden="1" x14ac:dyDescent="0.25">
      <c r="A1359" s="115"/>
      <c r="B1359" s="107">
        <v>45726</v>
      </c>
      <c r="C1359" s="108" t="s">
        <v>3359</v>
      </c>
      <c r="D1359" s="109" t="s">
        <v>6858</v>
      </c>
      <c r="E1359" s="119" t="s">
        <v>6764</v>
      </c>
      <c r="F1359" s="119"/>
      <c r="G1359" s="109" t="s">
        <v>6443</v>
      </c>
      <c r="H1359" s="109" t="s">
        <v>6963</v>
      </c>
      <c r="I1359" s="110">
        <v>3960</v>
      </c>
      <c r="J1359" s="111">
        <f>SUMIF(Cargas!$C$5:$C$3470,C1359,Cargas!$O$5:$O$3470)</f>
        <v>3960</v>
      </c>
      <c r="K1359" s="112">
        <f t="shared" si="24"/>
        <v>0</v>
      </c>
      <c r="L1359" s="117" t="s">
        <v>8952</v>
      </c>
      <c r="M1359" s="113">
        <v>49664</v>
      </c>
    </row>
    <row r="1360" spans="1:19" s="93" customFormat="1" hidden="1" x14ac:dyDescent="0.25">
      <c r="A1360" s="115"/>
      <c r="B1360" s="107">
        <v>45728</v>
      </c>
      <c r="C1360" s="108" t="s">
        <v>3398</v>
      </c>
      <c r="D1360" s="109" t="s">
        <v>6861</v>
      </c>
      <c r="E1360" s="119" t="s">
        <v>6764</v>
      </c>
      <c r="F1360" s="119"/>
      <c r="G1360" s="109" t="s">
        <v>6443</v>
      </c>
      <c r="H1360" s="109" t="s">
        <v>7888</v>
      </c>
      <c r="I1360" s="110">
        <v>1872</v>
      </c>
      <c r="J1360" s="111">
        <f>SUMIF(Cargas!$C$5:$C$3470,C1360,Cargas!$O$5:$O$3470)</f>
        <v>1872</v>
      </c>
      <c r="K1360" s="112">
        <f t="shared" ref="K1360:K1423" si="25">IF(ABS(I1360-J1360)&lt;20,0,I1360-J1360)</f>
        <v>0</v>
      </c>
      <c r="L1360" s="117" t="s">
        <v>8953</v>
      </c>
      <c r="M1360" s="113">
        <v>51836</v>
      </c>
    </row>
    <row r="1361" spans="1:13" s="93" customFormat="1" hidden="1" x14ac:dyDescent="0.25">
      <c r="A1361" s="115"/>
      <c r="B1361" s="107">
        <v>45729</v>
      </c>
      <c r="C1361" s="108" t="s">
        <v>3394</v>
      </c>
      <c r="D1361" s="109" t="s">
        <v>6865</v>
      </c>
      <c r="E1361" s="119" t="s">
        <v>6764</v>
      </c>
      <c r="F1361" s="119"/>
      <c r="G1361" s="109" t="s">
        <v>6443</v>
      </c>
      <c r="H1361" s="109" t="s">
        <v>6862</v>
      </c>
      <c r="I1361" s="110">
        <v>4590</v>
      </c>
      <c r="J1361" s="111">
        <f>SUMIF(Cargas!$C$5:$C$3470,C1361,Cargas!$O$5:$O$3470)</f>
        <v>4590</v>
      </c>
      <c r="K1361" s="112">
        <f t="shared" si="25"/>
        <v>0</v>
      </c>
      <c r="L1361" s="117" t="s">
        <v>8954</v>
      </c>
      <c r="M1361" s="113">
        <v>51822</v>
      </c>
    </row>
    <row r="1362" spans="1:13" s="93" customFormat="1" hidden="1" x14ac:dyDescent="0.25">
      <c r="A1362" s="93" t="s">
        <v>8955</v>
      </c>
      <c r="B1362" s="86">
        <v>45730</v>
      </c>
      <c r="C1362" s="87" t="s">
        <v>3387</v>
      </c>
      <c r="D1362" s="88" t="s">
        <v>6868</v>
      </c>
      <c r="E1362" s="121" t="s">
        <v>6764</v>
      </c>
      <c r="F1362" s="121"/>
      <c r="G1362" s="88" t="s">
        <v>6443</v>
      </c>
      <c r="H1362" s="88" t="s">
        <v>8574</v>
      </c>
      <c r="I1362" s="89">
        <v>8910</v>
      </c>
      <c r="J1362" s="90">
        <f>SUMIF(Cargas!$C$5:$C$3470,C1362,Cargas!$O$5:$O$3470)</f>
        <v>8910</v>
      </c>
      <c r="K1362" s="91">
        <f t="shared" si="25"/>
        <v>0</v>
      </c>
      <c r="L1362" s="122" t="s">
        <v>8956</v>
      </c>
      <c r="M1362" s="92">
        <v>51804</v>
      </c>
    </row>
    <row r="1363" spans="1:13" s="93" customFormat="1" hidden="1" x14ac:dyDescent="0.25">
      <c r="B1363" s="86">
        <v>45734</v>
      </c>
      <c r="C1363" s="87" t="s">
        <v>3439</v>
      </c>
      <c r="D1363" s="88" t="s">
        <v>6871</v>
      </c>
      <c r="E1363" s="121" t="s">
        <v>6764</v>
      </c>
      <c r="F1363" s="121"/>
      <c r="G1363" s="88" t="s">
        <v>6443</v>
      </c>
      <c r="H1363" s="88" t="s">
        <v>7888</v>
      </c>
      <c r="I1363" s="89">
        <v>1872</v>
      </c>
      <c r="J1363" s="90">
        <f>SUMIF(Cargas!$C$5:$C$3470,C1363,Cargas!$O$5:$O$3470)</f>
        <v>1872</v>
      </c>
      <c r="K1363" s="91">
        <f t="shared" si="25"/>
        <v>0</v>
      </c>
      <c r="L1363" s="122" t="s">
        <v>8957</v>
      </c>
      <c r="M1363" s="92">
        <v>57235</v>
      </c>
    </row>
    <row r="1364" spans="1:13" s="115" customFormat="1" hidden="1" x14ac:dyDescent="0.25">
      <c r="A1364" s="93"/>
      <c r="B1364" s="86">
        <v>45735</v>
      </c>
      <c r="C1364" s="87" t="s">
        <v>3427</v>
      </c>
      <c r="D1364" s="88" t="s">
        <v>6874</v>
      </c>
      <c r="E1364" s="121" t="s">
        <v>6764</v>
      </c>
      <c r="F1364" s="121"/>
      <c r="G1364" s="88" t="s">
        <v>6443</v>
      </c>
      <c r="H1364" s="88" t="s">
        <v>8660</v>
      </c>
      <c r="I1364" s="89">
        <v>5508</v>
      </c>
      <c r="J1364" s="90">
        <f>SUMIF(Cargas!$C$5:$C$3470,C1364,Cargas!$O$5:$O$3470)</f>
        <v>5508</v>
      </c>
      <c r="K1364" s="91">
        <f t="shared" si="25"/>
        <v>0</v>
      </c>
      <c r="L1364" s="122" t="s">
        <v>8958</v>
      </c>
      <c r="M1364" s="92">
        <v>55199</v>
      </c>
    </row>
    <row r="1365" spans="1:13" s="93" customFormat="1" hidden="1" x14ac:dyDescent="0.25">
      <c r="B1365" s="86">
        <v>45735</v>
      </c>
      <c r="C1365" s="87" t="s">
        <v>3430</v>
      </c>
      <c r="D1365" s="88" t="s">
        <v>6877</v>
      </c>
      <c r="E1365" s="121" t="s">
        <v>6764</v>
      </c>
      <c r="F1365" s="121"/>
      <c r="G1365" s="88" t="s">
        <v>6443</v>
      </c>
      <c r="H1365" s="88" t="s">
        <v>6768</v>
      </c>
      <c r="I1365" s="89">
        <v>5508</v>
      </c>
      <c r="J1365" s="90">
        <f>SUMIF(Cargas!$C$5:$C$3470,C1365,Cargas!$O$5:$O$3470)</f>
        <v>5508</v>
      </c>
      <c r="K1365" s="91">
        <f t="shared" si="25"/>
        <v>0</v>
      </c>
      <c r="L1365" s="122" t="s">
        <v>8959</v>
      </c>
      <c r="M1365" s="92">
        <v>55220</v>
      </c>
    </row>
    <row r="1366" spans="1:13" s="93" customFormat="1" hidden="1" x14ac:dyDescent="0.25">
      <c r="B1366" s="86">
        <v>45737</v>
      </c>
      <c r="C1366" s="87" t="s">
        <v>3456</v>
      </c>
      <c r="D1366" s="88" t="s">
        <v>6880</v>
      </c>
      <c r="E1366" s="121" t="s">
        <v>6764</v>
      </c>
      <c r="F1366" s="121"/>
      <c r="G1366" s="88" t="s">
        <v>6443</v>
      </c>
      <c r="H1366" s="88" t="s">
        <v>6963</v>
      </c>
      <c r="I1366" s="89">
        <v>3960</v>
      </c>
      <c r="J1366" s="90">
        <f>SUMIF(Cargas!$C$5:$C$3470,C1366,Cargas!$O$5:$O$3470)</f>
        <v>3960</v>
      </c>
      <c r="K1366" s="91">
        <f t="shared" si="25"/>
        <v>0</v>
      </c>
      <c r="L1366" s="122" t="s">
        <v>8960</v>
      </c>
      <c r="M1366" s="92">
        <v>58471</v>
      </c>
    </row>
    <row r="1367" spans="1:13" s="93" customFormat="1" hidden="1" x14ac:dyDescent="0.25">
      <c r="B1367" s="86">
        <v>45737</v>
      </c>
      <c r="C1367" s="87" t="s">
        <v>3464</v>
      </c>
      <c r="D1367" s="88" t="s">
        <v>6882</v>
      </c>
      <c r="E1367" s="121" t="s">
        <v>6764</v>
      </c>
      <c r="F1367" s="121"/>
      <c r="G1367" s="88" t="s">
        <v>6443</v>
      </c>
      <c r="H1367" s="88" t="s">
        <v>8574</v>
      </c>
      <c r="I1367" s="89">
        <v>8910</v>
      </c>
      <c r="J1367" s="90">
        <f>SUMIF(Cargas!$C$5:$C$3470,C1367,Cargas!$O$5:$O$3470)</f>
        <v>8910</v>
      </c>
      <c r="K1367" s="91">
        <f t="shared" si="25"/>
        <v>0</v>
      </c>
      <c r="L1367" s="122" t="s">
        <v>8961</v>
      </c>
      <c r="M1367" s="92">
        <v>59261</v>
      </c>
    </row>
    <row r="1368" spans="1:13" s="93" customFormat="1" hidden="1" x14ac:dyDescent="0.25">
      <c r="B1368" s="86">
        <v>45740</v>
      </c>
      <c r="C1368" s="87" t="s">
        <v>3493</v>
      </c>
      <c r="D1368" s="88" t="s">
        <v>6885</v>
      </c>
      <c r="E1368" s="121" t="s">
        <v>6764</v>
      </c>
      <c r="F1368" s="121"/>
      <c r="G1368" s="88" t="s">
        <v>6443</v>
      </c>
      <c r="H1368" s="88" t="s">
        <v>7888</v>
      </c>
      <c r="I1368" s="89">
        <v>1872</v>
      </c>
      <c r="J1368" s="90">
        <f>SUMIF(Cargas!$C$5:$C$3470,C1368,Cargas!$O$5:$O$3470)</f>
        <v>1872</v>
      </c>
      <c r="K1368" s="91">
        <f t="shared" si="25"/>
        <v>0</v>
      </c>
      <c r="L1368" s="122" t="s">
        <v>8962</v>
      </c>
      <c r="M1368" s="92">
        <v>60599</v>
      </c>
    </row>
    <row r="1369" spans="1:13" s="93" customFormat="1" hidden="1" x14ac:dyDescent="0.25">
      <c r="B1369" s="86">
        <v>45742</v>
      </c>
      <c r="C1369" s="87" t="s">
        <v>3476</v>
      </c>
      <c r="D1369" s="88" t="s">
        <v>6888</v>
      </c>
      <c r="E1369" s="121" t="s">
        <v>6764</v>
      </c>
      <c r="F1369" s="121"/>
      <c r="G1369" s="88" t="s">
        <v>6443</v>
      </c>
      <c r="H1369" s="88" t="s">
        <v>6862</v>
      </c>
      <c r="I1369" s="89">
        <v>4590</v>
      </c>
      <c r="J1369" s="90">
        <f>SUMIF(Cargas!$C$5:$C$3470,C1369,Cargas!$O$5:$O$3470)</f>
        <v>4590</v>
      </c>
      <c r="K1369" s="91">
        <f t="shared" si="25"/>
        <v>0</v>
      </c>
      <c r="L1369" s="122" t="s">
        <v>8963</v>
      </c>
      <c r="M1369" s="92">
        <v>60623</v>
      </c>
    </row>
    <row r="1370" spans="1:13" s="93" customFormat="1" hidden="1" x14ac:dyDescent="0.25">
      <c r="B1370" s="86">
        <v>45749</v>
      </c>
      <c r="C1370" s="87" t="s">
        <v>3515</v>
      </c>
      <c r="D1370" s="88" t="s">
        <v>6891</v>
      </c>
      <c r="E1370" s="121" t="s">
        <v>6764</v>
      </c>
      <c r="F1370" s="121"/>
      <c r="G1370" s="88" t="s">
        <v>6443</v>
      </c>
      <c r="H1370" s="88" t="s">
        <v>8574</v>
      </c>
      <c r="I1370" s="89">
        <v>8910</v>
      </c>
      <c r="J1370" s="90">
        <f>SUMIF(Cargas!$C$5:$C$3470,C1370,Cargas!$O$5:$O$3470)</f>
        <v>8910</v>
      </c>
      <c r="K1370" s="91">
        <f t="shared" si="25"/>
        <v>0</v>
      </c>
      <c r="L1370" s="122" t="s">
        <v>8964</v>
      </c>
      <c r="M1370" s="92">
        <v>65869</v>
      </c>
    </row>
    <row r="1371" spans="1:13" s="103" customFormat="1" hidden="1" x14ac:dyDescent="0.25">
      <c r="A1371" s="93"/>
      <c r="B1371" s="86">
        <v>45749</v>
      </c>
      <c r="C1371" s="87" t="s">
        <v>3518</v>
      </c>
      <c r="D1371" s="88" t="s">
        <v>6894</v>
      </c>
      <c r="E1371" s="121" t="s">
        <v>6764</v>
      </c>
      <c r="F1371" s="121"/>
      <c r="G1371" s="88" t="s">
        <v>6443</v>
      </c>
      <c r="H1371" s="88" t="s">
        <v>6768</v>
      </c>
      <c r="I1371" s="89">
        <v>5508</v>
      </c>
      <c r="J1371" s="90">
        <f>SUMIF(Cargas!$C$5:$C$3470,C1371,Cargas!$O$5:$O$3470)</f>
        <v>5508</v>
      </c>
      <c r="K1371" s="91">
        <f t="shared" si="25"/>
        <v>0</v>
      </c>
      <c r="L1371" s="122" t="s">
        <v>8965</v>
      </c>
      <c r="M1371" s="92">
        <v>65881</v>
      </c>
    </row>
    <row r="1372" spans="1:13" s="103" customFormat="1" hidden="1" x14ac:dyDescent="0.25">
      <c r="A1372" s="93"/>
      <c r="B1372" s="86">
        <v>45751</v>
      </c>
      <c r="C1372" s="87" t="s">
        <v>3541</v>
      </c>
      <c r="D1372" s="88" t="s">
        <v>6897</v>
      </c>
      <c r="E1372" s="121" t="s">
        <v>6764</v>
      </c>
      <c r="F1372" s="121"/>
      <c r="G1372" s="88" t="s">
        <v>6443</v>
      </c>
      <c r="H1372" s="88" t="s">
        <v>8660</v>
      </c>
      <c r="I1372" s="89">
        <v>2754</v>
      </c>
      <c r="J1372" s="90">
        <f>SUMIF(Cargas!$C$5:$C$3470,C1372,Cargas!$O$5:$O$3470)</f>
        <v>2754</v>
      </c>
      <c r="K1372" s="91">
        <f t="shared" si="25"/>
        <v>0</v>
      </c>
      <c r="L1372" s="122" t="s">
        <v>8966</v>
      </c>
      <c r="M1372" s="92">
        <v>70245</v>
      </c>
    </row>
    <row r="1373" spans="1:13" s="103" customFormat="1" hidden="1" x14ac:dyDescent="0.25">
      <c r="A1373" s="93"/>
      <c r="B1373" s="86">
        <v>45756</v>
      </c>
      <c r="C1373" s="87" t="s">
        <v>3584</v>
      </c>
      <c r="D1373" s="88" t="s">
        <v>6901</v>
      </c>
      <c r="E1373" s="121" t="s">
        <v>6764</v>
      </c>
      <c r="F1373" s="121"/>
      <c r="G1373" s="88" t="s">
        <v>6443</v>
      </c>
      <c r="H1373" s="88" t="s">
        <v>6862</v>
      </c>
      <c r="I1373" s="89">
        <v>5508</v>
      </c>
      <c r="J1373" s="90">
        <f>SUMIF(Cargas!$C$5:$C$3470,C1373,Cargas!$O$5:$O$3470)</f>
        <v>5508</v>
      </c>
      <c r="K1373" s="91">
        <f t="shared" si="25"/>
        <v>0</v>
      </c>
      <c r="L1373" s="122" t="s">
        <v>8967</v>
      </c>
      <c r="M1373" s="92">
        <v>72060</v>
      </c>
    </row>
    <row r="1374" spans="1:13" s="103" customFormat="1" hidden="1" x14ac:dyDescent="0.25">
      <c r="A1374" s="93"/>
      <c r="B1374" s="86">
        <v>45756</v>
      </c>
      <c r="C1374" s="87" t="s">
        <v>3571</v>
      </c>
      <c r="D1374" s="88" t="s">
        <v>6904</v>
      </c>
      <c r="E1374" s="121" t="s">
        <v>6764</v>
      </c>
      <c r="F1374" s="121"/>
      <c r="G1374" s="88" t="s">
        <v>6443</v>
      </c>
      <c r="H1374" s="88" t="s">
        <v>8574</v>
      </c>
      <c r="I1374" s="89">
        <v>8910</v>
      </c>
      <c r="J1374" s="90">
        <f>SUMIF(Cargas!$C$5:$C$3470,C1374,Cargas!$O$5:$O$3470)</f>
        <v>8910</v>
      </c>
      <c r="K1374" s="91">
        <f t="shared" si="25"/>
        <v>0</v>
      </c>
      <c r="L1374" s="122" t="s">
        <v>8968</v>
      </c>
      <c r="M1374" s="92">
        <v>72200</v>
      </c>
    </row>
    <row r="1375" spans="1:13" s="93" customFormat="1" hidden="1" x14ac:dyDescent="0.25">
      <c r="B1375" s="86">
        <v>45757</v>
      </c>
      <c r="C1375" s="87" t="s">
        <v>3625</v>
      </c>
      <c r="D1375" s="88" t="s">
        <v>6907</v>
      </c>
      <c r="E1375" s="121" t="s">
        <v>6764</v>
      </c>
      <c r="F1375" s="121"/>
      <c r="G1375" s="88" t="s">
        <v>6443</v>
      </c>
      <c r="H1375" s="88" t="s">
        <v>7888</v>
      </c>
      <c r="I1375" s="89">
        <v>936</v>
      </c>
      <c r="J1375" s="90">
        <f>SUMIF(Cargas!$C$5:$C$3470,C1375,Cargas!$O$5:$O$3470)</f>
        <v>936</v>
      </c>
      <c r="K1375" s="91">
        <f t="shared" si="25"/>
        <v>0</v>
      </c>
      <c r="L1375" s="122" t="s">
        <v>8969</v>
      </c>
      <c r="M1375" s="92">
        <v>72972</v>
      </c>
    </row>
    <row r="1376" spans="1:13" s="93" customFormat="1" hidden="1" x14ac:dyDescent="0.25">
      <c r="B1376" s="86">
        <v>45757</v>
      </c>
      <c r="C1376" s="87" t="s">
        <v>3633</v>
      </c>
      <c r="D1376" s="88" t="s">
        <v>6910</v>
      </c>
      <c r="E1376" s="121" t="s">
        <v>6764</v>
      </c>
      <c r="F1376" s="121"/>
      <c r="G1376" s="88" t="s">
        <v>6443</v>
      </c>
      <c r="H1376" s="88" t="s">
        <v>8660</v>
      </c>
      <c r="I1376" s="89">
        <v>5508</v>
      </c>
      <c r="J1376" s="90">
        <f>SUMIF(Cargas!$C$5:$C$3470,C1376,Cargas!$O$5:$O$3470)</f>
        <v>5508</v>
      </c>
      <c r="K1376" s="91">
        <f t="shared" si="25"/>
        <v>0</v>
      </c>
      <c r="L1376" s="122" t="s">
        <v>8970</v>
      </c>
      <c r="M1376" s="92">
        <v>73004</v>
      </c>
    </row>
    <row r="1377" spans="1:13" s="103" customFormat="1" hidden="1" x14ac:dyDescent="0.25">
      <c r="A1377" s="93"/>
      <c r="B1377" s="86">
        <v>45757</v>
      </c>
      <c r="C1377" s="87" t="s">
        <v>3598</v>
      </c>
      <c r="D1377" s="88" t="s">
        <v>6913</v>
      </c>
      <c r="E1377" s="121" t="s">
        <v>6764</v>
      </c>
      <c r="F1377" s="121"/>
      <c r="G1377" s="88" t="s">
        <v>6443</v>
      </c>
      <c r="H1377" s="88" t="s">
        <v>6963</v>
      </c>
      <c r="I1377" s="89">
        <v>3960</v>
      </c>
      <c r="J1377" s="90">
        <f>SUMIF(Cargas!$C$5:$C$3470,C1377,Cargas!$O$5:$O$3470)</f>
        <v>3960</v>
      </c>
      <c r="K1377" s="91">
        <f t="shared" si="25"/>
        <v>0</v>
      </c>
      <c r="L1377" s="122" t="s">
        <v>8971</v>
      </c>
      <c r="M1377" s="92">
        <v>73028</v>
      </c>
    </row>
    <row r="1378" spans="1:13" s="93" customFormat="1" hidden="1" x14ac:dyDescent="0.25">
      <c r="B1378" s="86">
        <v>45761</v>
      </c>
      <c r="C1378" s="87" t="s">
        <v>3637</v>
      </c>
      <c r="D1378" s="88" t="s">
        <v>3694</v>
      </c>
      <c r="E1378" s="121" t="s">
        <v>6764</v>
      </c>
      <c r="F1378" s="121"/>
      <c r="G1378" s="88" t="s">
        <v>6443</v>
      </c>
      <c r="H1378" s="88" t="s">
        <v>8574</v>
      </c>
      <c r="I1378" s="89">
        <v>8910</v>
      </c>
      <c r="J1378" s="90">
        <f>SUMIF(Cargas!$C$5:$C$3470,C1378,Cargas!$O$5:$O$3470)</f>
        <v>8910</v>
      </c>
      <c r="K1378" s="91">
        <f t="shared" si="25"/>
        <v>0</v>
      </c>
      <c r="L1378" s="122" t="s">
        <v>8972</v>
      </c>
      <c r="M1378" s="92">
        <v>74062</v>
      </c>
    </row>
    <row r="1379" spans="1:13" s="93" customFormat="1" hidden="1" x14ac:dyDescent="0.25">
      <c r="B1379" s="86">
        <v>45770</v>
      </c>
      <c r="C1379" s="87" t="s">
        <v>3673</v>
      </c>
      <c r="D1379" s="88" t="s">
        <v>3704</v>
      </c>
      <c r="E1379" s="121" t="s">
        <v>6764</v>
      </c>
      <c r="F1379" s="121"/>
      <c r="G1379" s="88" t="s">
        <v>6443</v>
      </c>
      <c r="H1379" s="88" t="s">
        <v>6862</v>
      </c>
      <c r="I1379" s="89">
        <v>5508</v>
      </c>
      <c r="J1379" s="90">
        <f>SUMIF(Cargas!$C$5:$C$3470,C1379,Cargas!$O$5:$O$3470)</f>
        <v>5508</v>
      </c>
      <c r="K1379" s="91">
        <f t="shared" si="25"/>
        <v>0</v>
      </c>
      <c r="L1379" s="122" t="s">
        <v>8973</v>
      </c>
      <c r="M1379" s="92">
        <v>80087</v>
      </c>
    </row>
    <row r="1380" spans="1:13" s="93" customFormat="1" hidden="1" x14ac:dyDescent="0.25">
      <c r="B1380" s="86">
        <v>45771</v>
      </c>
      <c r="C1380" s="87" t="s">
        <v>3678</v>
      </c>
      <c r="D1380" s="88" t="s">
        <v>3720</v>
      </c>
      <c r="E1380" s="121" t="s">
        <v>6764</v>
      </c>
      <c r="F1380" s="121"/>
      <c r="G1380" s="88" t="s">
        <v>6443</v>
      </c>
      <c r="H1380" s="88" t="s">
        <v>6768</v>
      </c>
      <c r="I1380" s="89">
        <v>5508</v>
      </c>
      <c r="J1380" s="90">
        <f>SUMIF(Cargas!$C$5:$C$3470,C1380,Cargas!$O$5:$O$3470)</f>
        <v>5508</v>
      </c>
      <c r="K1380" s="91">
        <f t="shared" si="25"/>
        <v>0</v>
      </c>
      <c r="L1380" s="122" t="s">
        <v>8974</v>
      </c>
      <c r="M1380" s="92">
        <v>81580</v>
      </c>
    </row>
    <row r="1381" spans="1:13" s="146" customFormat="1" hidden="1" x14ac:dyDescent="0.25">
      <c r="A1381" s="93"/>
      <c r="B1381" s="86">
        <v>45775</v>
      </c>
      <c r="C1381" s="87" t="s">
        <v>3700</v>
      </c>
      <c r="D1381" s="88" t="s">
        <v>3701</v>
      </c>
      <c r="E1381" s="121" t="s">
        <v>6764</v>
      </c>
      <c r="F1381" s="121"/>
      <c r="G1381" s="88" t="s">
        <v>6443</v>
      </c>
      <c r="H1381" s="88" t="s">
        <v>8574</v>
      </c>
      <c r="I1381" s="89">
        <v>8910</v>
      </c>
      <c r="J1381" s="90">
        <f>SUMIF(Cargas!$C$5:$C$3470,C1381,Cargas!$O$5:$O$3470)</f>
        <v>8910</v>
      </c>
      <c r="K1381" s="91">
        <f t="shared" si="25"/>
        <v>0</v>
      </c>
      <c r="L1381" s="122" t="s">
        <v>8975</v>
      </c>
      <c r="M1381" s="92">
        <v>82524</v>
      </c>
    </row>
    <row r="1382" spans="1:13" s="93" customFormat="1" hidden="1" x14ac:dyDescent="0.25">
      <c r="B1382" s="86">
        <v>45775</v>
      </c>
      <c r="C1382" s="87" t="s">
        <v>3711</v>
      </c>
      <c r="D1382" s="88" t="s">
        <v>3712</v>
      </c>
      <c r="E1382" s="121" t="s">
        <v>8564</v>
      </c>
      <c r="F1382" s="121"/>
      <c r="G1382" s="88" t="s">
        <v>6443</v>
      </c>
      <c r="H1382" s="88" t="s">
        <v>8660</v>
      </c>
      <c r="I1382" s="89">
        <v>2754</v>
      </c>
      <c r="J1382" s="90">
        <f>SUMIF(Cargas!$C$5:$C$3470,C1382,Cargas!$O$5:$O$3470)</f>
        <v>2754</v>
      </c>
      <c r="K1382" s="91">
        <f t="shared" si="25"/>
        <v>0</v>
      </c>
      <c r="L1382" s="122" t="s">
        <v>8976</v>
      </c>
      <c r="M1382" s="92">
        <v>84119</v>
      </c>
    </row>
    <row r="1383" spans="1:13" s="103" customFormat="1" hidden="1" x14ac:dyDescent="0.25">
      <c r="B1383" s="95">
        <v>45775</v>
      </c>
      <c r="C1383" s="96" t="s">
        <v>3702</v>
      </c>
      <c r="D1383" s="97" t="s">
        <v>3703</v>
      </c>
      <c r="E1383" s="135" t="s">
        <v>6764</v>
      </c>
      <c r="F1383" s="135"/>
      <c r="G1383" s="97" t="s">
        <v>6443</v>
      </c>
      <c r="H1383" s="97" t="s">
        <v>6963</v>
      </c>
      <c r="I1383" s="98">
        <v>3960</v>
      </c>
      <c r="J1383" s="99">
        <f>SUMIF(Cargas!$C$5:$C$3470,C1383,Cargas!$O$5:$O$3470)</f>
        <v>3960</v>
      </c>
      <c r="K1383" s="100">
        <f t="shared" si="25"/>
        <v>0</v>
      </c>
      <c r="L1383" s="136" t="s">
        <v>8977</v>
      </c>
      <c r="M1383" s="102">
        <v>82470</v>
      </c>
    </row>
    <row r="1384" spans="1:13" s="93" customFormat="1" hidden="1" x14ac:dyDescent="0.25">
      <c r="A1384" s="103"/>
      <c r="B1384" s="95">
        <v>45779</v>
      </c>
      <c r="C1384" s="96" t="s">
        <v>3761</v>
      </c>
      <c r="D1384" s="97" t="s">
        <v>6926</v>
      </c>
      <c r="E1384" s="135" t="s">
        <v>6764</v>
      </c>
      <c r="F1384" s="135"/>
      <c r="G1384" s="97" t="s">
        <v>6443</v>
      </c>
      <c r="H1384" s="97" t="s">
        <v>6768</v>
      </c>
      <c r="I1384" s="98">
        <v>5508</v>
      </c>
      <c r="J1384" s="99">
        <f>SUMIF(Cargas!$C$5:$C$3470,C1384,Cargas!$O$5:$O$3470)</f>
        <v>5508</v>
      </c>
      <c r="K1384" s="100">
        <f t="shared" si="25"/>
        <v>0</v>
      </c>
      <c r="L1384" s="136" t="s">
        <v>8978</v>
      </c>
      <c r="M1384" s="102">
        <v>85887</v>
      </c>
    </row>
    <row r="1385" spans="1:13" s="93" customFormat="1" hidden="1" x14ac:dyDescent="0.25">
      <c r="A1385" s="103"/>
      <c r="B1385" s="95">
        <v>45783</v>
      </c>
      <c r="C1385" s="96" t="s">
        <v>3778</v>
      </c>
      <c r="D1385" s="97" t="s">
        <v>6929</v>
      </c>
      <c r="E1385" s="135" t="s">
        <v>6764</v>
      </c>
      <c r="F1385" s="135"/>
      <c r="G1385" s="97" t="s">
        <v>6443</v>
      </c>
      <c r="H1385" s="97" t="s">
        <v>8574</v>
      </c>
      <c r="I1385" s="98">
        <v>8910</v>
      </c>
      <c r="J1385" s="99">
        <f>SUMIF(Cargas!$C$5:$C$3470,C1385,Cargas!$O$5:$O$3470)</f>
        <v>8910</v>
      </c>
      <c r="K1385" s="100">
        <f t="shared" si="25"/>
        <v>0</v>
      </c>
      <c r="L1385" s="136" t="s">
        <v>8979</v>
      </c>
      <c r="M1385" s="102">
        <v>88205</v>
      </c>
    </row>
    <row r="1386" spans="1:13" s="93" customFormat="1" hidden="1" x14ac:dyDescent="0.25">
      <c r="A1386" s="103"/>
      <c r="B1386" s="95">
        <v>45784</v>
      </c>
      <c r="C1386" s="96" t="s">
        <v>3814</v>
      </c>
      <c r="D1386" s="97" t="s">
        <v>7491</v>
      </c>
      <c r="E1386" s="135" t="s">
        <v>8564</v>
      </c>
      <c r="F1386" s="135"/>
      <c r="G1386" s="97" t="s">
        <v>6665</v>
      </c>
      <c r="H1386" s="97" t="s">
        <v>8660</v>
      </c>
      <c r="I1386" s="98">
        <v>3672</v>
      </c>
      <c r="J1386" s="99">
        <f>SUMIF(Cargas!$C$5:$C$3470,C1386,Cargas!$O$5:$O$3470)</f>
        <v>3672</v>
      </c>
      <c r="K1386" s="100">
        <f t="shared" si="25"/>
        <v>0</v>
      </c>
      <c r="L1386" s="136" t="s">
        <v>8980</v>
      </c>
      <c r="M1386" s="102">
        <v>91289</v>
      </c>
    </row>
    <row r="1387" spans="1:13" s="93" customFormat="1" ht="15" hidden="1" customHeight="1" x14ac:dyDescent="0.25">
      <c r="B1387" s="86">
        <v>45785</v>
      </c>
      <c r="C1387" s="87" t="s">
        <v>3804</v>
      </c>
      <c r="D1387" s="88" t="s">
        <v>6932</v>
      </c>
      <c r="E1387" s="121" t="s">
        <v>6764</v>
      </c>
      <c r="F1387" s="121"/>
      <c r="G1387" s="88" t="s">
        <v>6443</v>
      </c>
      <c r="H1387" s="88" t="s">
        <v>6862</v>
      </c>
      <c r="I1387" s="89">
        <v>5508</v>
      </c>
      <c r="J1387" s="90">
        <f>SUMIF(Cargas!$C$5:$C$3470,C1387,Cargas!$O$5:$O$3470)</f>
        <v>5508</v>
      </c>
      <c r="K1387" s="91">
        <f t="shared" si="25"/>
        <v>0</v>
      </c>
      <c r="L1387" s="122" t="s">
        <v>8981</v>
      </c>
      <c r="M1387" s="92">
        <v>90382</v>
      </c>
    </row>
    <row r="1388" spans="1:13" hidden="1" x14ac:dyDescent="0.25">
      <c r="B1388" s="58">
        <v>45604</v>
      </c>
      <c r="C1388" s="59" t="s">
        <v>2568</v>
      </c>
      <c r="D1388" s="61" t="s">
        <v>8982</v>
      </c>
      <c r="E1388" s="61" t="s">
        <v>7872</v>
      </c>
      <c r="F1388" s="61"/>
      <c r="G1388" s="61" t="s">
        <v>7569</v>
      </c>
      <c r="H1388" s="61"/>
      <c r="I1388" s="62">
        <v>930</v>
      </c>
      <c r="J1388" s="4">
        <f>SUMIF(Cargas!$C$5:$C$3470,C1388,Cargas!$O$5:$O$3470)</f>
        <v>930</v>
      </c>
      <c r="K1388" s="18">
        <f t="shared" si="25"/>
        <v>0</v>
      </c>
      <c r="L1388" s="195" t="s">
        <v>8983</v>
      </c>
      <c r="M1388" s="64">
        <v>226209</v>
      </c>
    </row>
    <row r="1389" spans="1:13" hidden="1" x14ac:dyDescent="0.25">
      <c r="B1389" s="58">
        <v>45603</v>
      </c>
      <c r="C1389" s="59" t="s">
        <v>2571</v>
      </c>
      <c r="D1389" s="61" t="s">
        <v>8984</v>
      </c>
      <c r="E1389" s="61" t="s">
        <v>8523</v>
      </c>
      <c r="F1389" s="61"/>
      <c r="G1389" s="61" t="s">
        <v>7569</v>
      </c>
      <c r="H1389" s="61"/>
      <c r="I1389" s="62">
        <v>980</v>
      </c>
      <c r="J1389" s="4">
        <f>SUMIF(Cargas!$C$5:$C$3470,C1389,Cargas!$O$5:$O$3470)</f>
        <v>980</v>
      </c>
      <c r="K1389" s="18">
        <f t="shared" si="25"/>
        <v>0</v>
      </c>
      <c r="L1389" s="195" t="s">
        <v>8985</v>
      </c>
      <c r="M1389" s="64">
        <v>226252</v>
      </c>
    </row>
    <row r="1390" spans="1:13" hidden="1" x14ac:dyDescent="0.25">
      <c r="B1390" s="58">
        <v>45621</v>
      </c>
      <c r="C1390" s="59" t="s">
        <v>2692</v>
      </c>
      <c r="D1390" s="61" t="s">
        <v>8986</v>
      </c>
      <c r="E1390" s="61" t="s">
        <v>8523</v>
      </c>
      <c r="F1390" s="61"/>
      <c r="G1390" s="61" t="s">
        <v>7569</v>
      </c>
      <c r="H1390" s="61"/>
      <c r="I1390" s="62">
        <v>980</v>
      </c>
      <c r="J1390" s="4">
        <f>SUMIF(Cargas!$C$5:$C$3470,C1390,Cargas!$O$5:$O$3470)</f>
        <v>980</v>
      </c>
      <c r="K1390" s="18">
        <f t="shared" si="25"/>
        <v>0</v>
      </c>
      <c r="L1390" s="195"/>
      <c r="M1390" s="64">
        <v>238888</v>
      </c>
    </row>
    <row r="1391" spans="1:13" hidden="1" x14ac:dyDescent="0.25">
      <c r="B1391" s="58">
        <v>45628</v>
      </c>
      <c r="C1391" s="59" t="s">
        <v>2760</v>
      </c>
      <c r="D1391" s="61" t="s">
        <v>8987</v>
      </c>
      <c r="E1391" s="61" t="s">
        <v>8523</v>
      </c>
      <c r="F1391" s="61"/>
      <c r="G1391" s="61" t="s">
        <v>7569</v>
      </c>
      <c r="H1391" s="61"/>
      <c r="I1391" s="62">
        <v>1960</v>
      </c>
      <c r="J1391" s="4">
        <f>SUMIF(Cargas!$C$5:$C$3470,C1391,Cargas!$O$5:$O$3470)</f>
        <v>1960</v>
      </c>
      <c r="K1391" s="18">
        <f t="shared" si="25"/>
        <v>0</v>
      </c>
      <c r="L1391" s="195" t="s">
        <v>8988</v>
      </c>
      <c r="M1391" s="64">
        <v>244926</v>
      </c>
    </row>
    <row r="1392" spans="1:13" hidden="1" x14ac:dyDescent="0.25">
      <c r="B1392" s="58">
        <v>45631</v>
      </c>
      <c r="C1392" s="59" t="s">
        <v>2833</v>
      </c>
      <c r="D1392" s="61" t="s">
        <v>8989</v>
      </c>
      <c r="E1392" s="61" t="s">
        <v>8990</v>
      </c>
      <c r="F1392" s="61"/>
      <c r="G1392" s="61" t="s">
        <v>7569</v>
      </c>
      <c r="H1392" s="61"/>
      <c r="I1392" s="62">
        <v>972</v>
      </c>
      <c r="J1392" s="4">
        <f>SUMIF(Cargas!$C$5:$C$3470,C1392,Cargas!$O$5:$O$3470)</f>
        <v>980</v>
      </c>
      <c r="K1392" s="18">
        <f t="shared" si="25"/>
        <v>0</v>
      </c>
      <c r="L1392" s="195" t="s">
        <v>8991</v>
      </c>
      <c r="M1392" s="64">
        <v>252948</v>
      </c>
    </row>
    <row r="1393" spans="2:13" hidden="1" x14ac:dyDescent="0.25">
      <c r="B1393" s="58">
        <v>45630</v>
      </c>
      <c r="C1393" s="59" t="s">
        <v>2810</v>
      </c>
      <c r="D1393" s="61" t="s">
        <v>8992</v>
      </c>
      <c r="E1393" s="61" t="s">
        <v>8595</v>
      </c>
      <c r="F1393" s="61"/>
      <c r="G1393" s="61" t="s">
        <v>7569</v>
      </c>
      <c r="H1393" s="61"/>
      <c r="I1393" s="62">
        <v>1960</v>
      </c>
      <c r="J1393" s="4">
        <f>SUMIF(Cargas!$C$5:$C$3470,C1393,Cargas!$O$5:$O$3470)</f>
        <v>1960</v>
      </c>
      <c r="K1393" s="18">
        <f t="shared" si="25"/>
        <v>0</v>
      </c>
      <c r="L1393" s="195" t="s">
        <v>8993</v>
      </c>
      <c r="M1393" s="64">
        <v>252011</v>
      </c>
    </row>
    <row r="1394" spans="2:13" hidden="1" x14ac:dyDescent="0.25">
      <c r="B1394" s="58">
        <v>45637</v>
      </c>
      <c r="C1394" s="59" t="s">
        <v>2856</v>
      </c>
      <c r="D1394" s="61" t="s">
        <v>8994</v>
      </c>
      <c r="E1394" s="61" t="s">
        <v>8990</v>
      </c>
      <c r="F1394" s="61"/>
      <c r="G1394" s="61" t="s">
        <v>7569</v>
      </c>
      <c r="H1394" s="61"/>
      <c r="I1394" s="62">
        <v>972</v>
      </c>
      <c r="J1394" s="4">
        <f>SUMIF(Cargas!$C$5:$C$3470,C1394,Cargas!$O$5:$O$3470)</f>
        <v>980</v>
      </c>
      <c r="K1394" s="18">
        <f t="shared" si="25"/>
        <v>0</v>
      </c>
      <c r="L1394" s="195" t="s">
        <v>8995</v>
      </c>
      <c r="M1394" s="64">
        <v>255425</v>
      </c>
    </row>
    <row r="1395" spans="2:13" hidden="1" x14ac:dyDescent="0.25">
      <c r="B1395" s="58">
        <v>45635</v>
      </c>
      <c r="C1395" s="59" t="s">
        <v>2820</v>
      </c>
      <c r="D1395" s="61" t="s">
        <v>8996</v>
      </c>
      <c r="E1395" s="61" t="s">
        <v>8523</v>
      </c>
      <c r="F1395" s="61"/>
      <c r="G1395" s="61" t="s">
        <v>7569</v>
      </c>
      <c r="H1395" s="61"/>
      <c r="I1395" s="62">
        <v>1960</v>
      </c>
      <c r="J1395" s="4">
        <f>SUMIF(Cargas!$C$5:$C$3470,C1395,Cargas!$O$5:$O$3470)</f>
        <v>1960</v>
      </c>
      <c r="K1395" s="18">
        <f t="shared" si="25"/>
        <v>0</v>
      </c>
      <c r="L1395" s="195" t="s">
        <v>8988</v>
      </c>
      <c r="M1395" s="64">
        <v>252078</v>
      </c>
    </row>
    <row r="1396" spans="2:13" hidden="1" x14ac:dyDescent="0.25">
      <c r="B1396" s="58">
        <v>45637</v>
      </c>
      <c r="C1396" s="59" t="s">
        <v>2825</v>
      </c>
      <c r="D1396" s="61" t="s">
        <v>8997</v>
      </c>
      <c r="E1396" s="61" t="s">
        <v>8600</v>
      </c>
      <c r="F1396" s="61"/>
      <c r="G1396" s="61" t="s">
        <v>7569</v>
      </c>
      <c r="H1396" s="61"/>
      <c r="I1396" s="62">
        <v>1960</v>
      </c>
      <c r="J1396" s="4">
        <f>SUMIF(Cargas!$C$5:$C$3470,C1396,Cargas!$O$5:$O$3470)</f>
        <v>1960</v>
      </c>
      <c r="K1396" s="18">
        <f t="shared" si="25"/>
        <v>0</v>
      </c>
      <c r="L1396" s="195" t="s">
        <v>8998</v>
      </c>
      <c r="M1396" s="64">
        <v>252862</v>
      </c>
    </row>
    <row r="1397" spans="2:13" hidden="1" x14ac:dyDescent="0.25">
      <c r="B1397" s="58">
        <v>45637</v>
      </c>
      <c r="C1397" s="59" t="s">
        <v>2842</v>
      </c>
      <c r="D1397" s="61" t="s">
        <v>8999</v>
      </c>
      <c r="E1397" s="61" t="s">
        <v>7872</v>
      </c>
      <c r="F1397" s="61"/>
      <c r="G1397" s="61" t="s">
        <v>7569</v>
      </c>
      <c r="H1397" s="61"/>
      <c r="I1397" s="62">
        <v>1860</v>
      </c>
      <c r="J1397" s="4">
        <f>SUMIF(Cargas!$C$5:$C$3470,C1397,Cargas!$O$5:$O$3470)</f>
        <v>1860</v>
      </c>
      <c r="K1397" s="18">
        <f t="shared" si="25"/>
        <v>0</v>
      </c>
      <c r="L1397" s="195" t="s">
        <v>9000</v>
      </c>
      <c r="M1397" s="64">
        <v>254073</v>
      </c>
    </row>
    <row r="1398" spans="2:13" hidden="1" x14ac:dyDescent="0.25">
      <c r="B1398" s="58">
        <v>45639</v>
      </c>
      <c r="C1398" s="59" t="s">
        <v>2880</v>
      </c>
      <c r="D1398" s="61" t="s">
        <v>9001</v>
      </c>
      <c r="E1398" s="61" t="s">
        <v>7872</v>
      </c>
      <c r="F1398" s="61"/>
      <c r="G1398" s="61" t="s">
        <v>7569</v>
      </c>
      <c r="H1398" s="61"/>
      <c r="I1398" s="62">
        <v>1860</v>
      </c>
      <c r="J1398" s="4">
        <f>SUMIF(Cargas!$C$5:$C$3470,C1398,Cargas!$O$5:$O$3470)</f>
        <v>1860</v>
      </c>
      <c r="K1398" s="18">
        <f t="shared" si="25"/>
        <v>0</v>
      </c>
      <c r="L1398" s="195" t="s">
        <v>9002</v>
      </c>
      <c r="M1398" s="64">
        <v>258024</v>
      </c>
    </row>
    <row r="1399" spans="2:13" ht="26.25" hidden="1" x14ac:dyDescent="0.25">
      <c r="B1399" s="58">
        <v>45636</v>
      </c>
      <c r="C1399" s="59" t="s">
        <v>2862</v>
      </c>
      <c r="D1399" s="61" t="s">
        <v>9003</v>
      </c>
      <c r="E1399" s="197" t="s">
        <v>8595</v>
      </c>
      <c r="F1399" s="197"/>
      <c r="G1399" s="61" t="s">
        <v>7569</v>
      </c>
      <c r="H1399" s="61"/>
      <c r="I1399" s="62">
        <v>2940</v>
      </c>
      <c r="J1399" s="4">
        <f>SUMIF(Cargas!$C$5:$C$3470,C1399,Cargas!$O$5:$O$3470)</f>
        <v>2940</v>
      </c>
      <c r="K1399" s="18">
        <f t="shared" si="25"/>
        <v>0</v>
      </c>
      <c r="L1399" s="195" t="s">
        <v>9004</v>
      </c>
      <c r="M1399" s="64">
        <v>256958</v>
      </c>
    </row>
    <row r="1400" spans="2:13" hidden="1" x14ac:dyDescent="0.25">
      <c r="B1400" s="58">
        <v>45640</v>
      </c>
      <c r="C1400" s="59" t="s">
        <v>2859</v>
      </c>
      <c r="D1400" s="61" t="s">
        <v>9005</v>
      </c>
      <c r="E1400" s="197" t="s">
        <v>8600</v>
      </c>
      <c r="F1400" s="197"/>
      <c r="G1400" s="61" t="s">
        <v>7569</v>
      </c>
      <c r="H1400" s="61"/>
      <c r="I1400" s="62">
        <v>2940</v>
      </c>
      <c r="J1400" s="4">
        <f>SUMIF(Cargas!$C$5:$C$3470,C1400,Cargas!$O$5:$O$3470)</f>
        <v>2940</v>
      </c>
      <c r="K1400" s="18">
        <f t="shared" si="25"/>
        <v>0</v>
      </c>
      <c r="L1400" s="195" t="s">
        <v>9006</v>
      </c>
      <c r="M1400" s="64">
        <v>256632</v>
      </c>
    </row>
    <row r="1401" spans="2:13" hidden="1" x14ac:dyDescent="0.25">
      <c r="B1401" s="58">
        <v>45642</v>
      </c>
      <c r="C1401" s="59" t="s">
        <v>2901</v>
      </c>
      <c r="D1401" s="61" t="s">
        <v>9007</v>
      </c>
      <c r="E1401" s="197" t="s">
        <v>8990</v>
      </c>
      <c r="F1401" s="197"/>
      <c r="G1401" s="61" t="s">
        <v>7569</v>
      </c>
      <c r="H1401" s="61"/>
      <c r="I1401" s="62">
        <v>972</v>
      </c>
      <c r="J1401" s="4">
        <f>SUMIF(Cargas!$C$5:$C$3470,C1401,Cargas!$O$5:$O$3470)</f>
        <v>972</v>
      </c>
      <c r="K1401" s="18">
        <f t="shared" si="25"/>
        <v>0</v>
      </c>
      <c r="L1401" s="195" t="s">
        <v>9008</v>
      </c>
      <c r="M1401" s="64">
        <v>259701</v>
      </c>
    </row>
    <row r="1402" spans="2:13" hidden="1" x14ac:dyDescent="0.25">
      <c r="B1402" s="58">
        <v>45642</v>
      </c>
      <c r="C1402" s="59" t="s">
        <v>2868</v>
      </c>
      <c r="D1402" s="61" t="s">
        <v>9009</v>
      </c>
      <c r="E1402" s="197" t="s">
        <v>8523</v>
      </c>
      <c r="F1402" s="197"/>
      <c r="G1402" s="61" t="s">
        <v>7569</v>
      </c>
      <c r="H1402" s="61"/>
      <c r="I1402" s="62">
        <v>2940</v>
      </c>
      <c r="J1402" s="4">
        <f>SUMIF(Cargas!$C$5:$C$3470,C1402,Cargas!$O$5:$O$3470)</f>
        <v>2940</v>
      </c>
      <c r="K1402" s="18">
        <f t="shared" si="25"/>
        <v>0</v>
      </c>
      <c r="L1402" s="195"/>
      <c r="M1402" s="64">
        <v>256623</v>
      </c>
    </row>
    <row r="1403" spans="2:13" hidden="1" x14ac:dyDescent="0.25">
      <c r="B1403" s="58">
        <v>45642</v>
      </c>
      <c r="C1403" s="59" t="s">
        <v>2911</v>
      </c>
      <c r="D1403" s="61" t="s">
        <v>9010</v>
      </c>
      <c r="E1403" s="197" t="s">
        <v>8990</v>
      </c>
      <c r="F1403" s="197"/>
      <c r="G1403" s="61" t="s">
        <v>7569</v>
      </c>
      <c r="H1403" s="61"/>
      <c r="I1403" s="62">
        <v>972</v>
      </c>
      <c r="J1403" s="4">
        <f>SUMIF(Cargas!$C$5:$C$3470,C1403,Cargas!$O$5:$O$3470)</f>
        <v>972</v>
      </c>
      <c r="K1403" s="18">
        <f t="shared" si="25"/>
        <v>0</v>
      </c>
      <c r="L1403" s="195" t="s">
        <v>9011</v>
      </c>
      <c r="M1403" s="64">
        <v>259691</v>
      </c>
    </row>
    <row r="1404" spans="2:13" hidden="1" x14ac:dyDescent="0.25">
      <c r="B1404" s="58">
        <v>45644</v>
      </c>
      <c r="C1404" s="59" t="s">
        <v>2897</v>
      </c>
      <c r="D1404" s="61" t="s">
        <v>9012</v>
      </c>
      <c r="E1404" s="197" t="s">
        <v>8600</v>
      </c>
      <c r="F1404" s="197"/>
      <c r="G1404" s="61" t="s">
        <v>7569</v>
      </c>
      <c r="H1404" s="61"/>
      <c r="I1404" s="62">
        <v>980</v>
      </c>
      <c r="J1404" s="4">
        <f>SUMIF(Cargas!$C$5:$C$3470,C1404,Cargas!$O$5:$O$3470)</f>
        <v>980</v>
      </c>
      <c r="K1404" s="18">
        <f t="shared" si="25"/>
        <v>0</v>
      </c>
      <c r="L1404" s="195">
        <v>1513275</v>
      </c>
      <c r="M1404" s="64">
        <v>259283</v>
      </c>
    </row>
    <row r="1405" spans="2:13" hidden="1" x14ac:dyDescent="0.25">
      <c r="B1405" s="58">
        <v>45644</v>
      </c>
      <c r="C1405" s="59" t="s">
        <v>2905</v>
      </c>
      <c r="D1405" s="61" t="s">
        <v>9013</v>
      </c>
      <c r="E1405" s="197" t="s">
        <v>7872</v>
      </c>
      <c r="F1405" s="197"/>
      <c r="G1405" s="61" t="s">
        <v>7569</v>
      </c>
      <c r="H1405" s="61"/>
      <c r="I1405" s="62">
        <v>2000</v>
      </c>
      <c r="J1405" s="4">
        <f>SUMIF(Cargas!$C$5:$C$3470,C1405,Cargas!$O$5:$O$3470)</f>
        <v>2000</v>
      </c>
      <c r="K1405" s="18">
        <f t="shared" si="25"/>
        <v>0</v>
      </c>
      <c r="L1405" s="195" t="s">
        <v>9014</v>
      </c>
      <c r="M1405" s="64">
        <v>260616</v>
      </c>
    </row>
    <row r="1406" spans="2:13" hidden="1" x14ac:dyDescent="0.25">
      <c r="B1406" s="58">
        <v>45646</v>
      </c>
      <c r="C1406" s="59" t="s">
        <v>2920</v>
      </c>
      <c r="D1406" s="61" t="s">
        <v>9015</v>
      </c>
      <c r="E1406" s="197" t="s">
        <v>8523</v>
      </c>
      <c r="F1406" s="197"/>
      <c r="G1406" s="61" t="s">
        <v>7569</v>
      </c>
      <c r="H1406" s="61"/>
      <c r="I1406" s="62">
        <v>1960</v>
      </c>
      <c r="J1406" s="4">
        <f>SUMIF(Cargas!$C$5:$C$3470,C1406,Cargas!$O$5:$O$3470)</f>
        <v>1960</v>
      </c>
      <c r="K1406" s="18">
        <f t="shared" si="25"/>
        <v>0</v>
      </c>
      <c r="L1406" s="195"/>
      <c r="M1406" s="64">
        <v>262402</v>
      </c>
    </row>
    <row r="1407" spans="2:13" ht="26.25" hidden="1" x14ac:dyDescent="0.25">
      <c r="B1407" s="58">
        <v>45643</v>
      </c>
      <c r="C1407" s="59" t="s">
        <v>2914</v>
      </c>
      <c r="D1407" s="61" t="s">
        <v>9016</v>
      </c>
      <c r="E1407" s="197" t="s">
        <v>8595</v>
      </c>
      <c r="F1407" s="197"/>
      <c r="G1407" s="61" t="s">
        <v>7569</v>
      </c>
      <c r="H1407" s="61"/>
      <c r="I1407" s="62">
        <v>1960</v>
      </c>
      <c r="J1407" s="4">
        <f>SUMIF(Cargas!$C$5:$C$3470,C1407,Cargas!$O$5:$O$3470)</f>
        <v>1960</v>
      </c>
      <c r="K1407" s="18">
        <f t="shared" si="25"/>
        <v>0</v>
      </c>
      <c r="L1407" s="195"/>
      <c r="M1407" s="64">
        <v>262324</v>
      </c>
    </row>
    <row r="1408" spans="2:13" hidden="1" x14ac:dyDescent="0.25">
      <c r="B1408" s="58">
        <v>45652</v>
      </c>
      <c r="C1408" s="59" t="s">
        <v>2924</v>
      </c>
      <c r="D1408" s="61" t="s">
        <v>9017</v>
      </c>
      <c r="E1408" s="197" t="s">
        <v>8600</v>
      </c>
      <c r="F1408" s="197"/>
      <c r="G1408" s="61" t="s">
        <v>7569</v>
      </c>
      <c r="H1408" s="61"/>
      <c r="I1408" s="62">
        <v>1960</v>
      </c>
      <c r="J1408" s="4">
        <f>SUMIF(Cargas!$C$5:$C$3470,C1408,Cargas!$O$5:$O$3470)</f>
        <v>1960</v>
      </c>
      <c r="K1408" s="18">
        <f t="shared" si="25"/>
        <v>0</v>
      </c>
      <c r="L1408" s="195"/>
      <c r="M1408" s="64">
        <v>264062</v>
      </c>
    </row>
    <row r="1409" spans="1:13" ht="26.25" hidden="1" x14ac:dyDescent="0.25">
      <c r="B1409" s="58">
        <v>45649</v>
      </c>
      <c r="C1409" s="59" t="s">
        <v>2941</v>
      </c>
      <c r="D1409" s="61" t="s">
        <v>9018</v>
      </c>
      <c r="E1409" s="197" t="s">
        <v>8595</v>
      </c>
      <c r="F1409" s="197"/>
      <c r="G1409" s="61" t="s">
        <v>7569</v>
      </c>
      <c r="H1409" s="61"/>
      <c r="I1409" s="62">
        <v>1960</v>
      </c>
      <c r="J1409" s="4">
        <f>SUMIF(Cargas!$C$5:$C$3470,C1409,Cargas!$O$5:$O$3470)</f>
        <v>1960</v>
      </c>
      <c r="K1409" s="18">
        <f t="shared" si="25"/>
        <v>0</v>
      </c>
      <c r="L1409" s="195"/>
      <c r="M1409" s="64">
        <v>264159</v>
      </c>
    </row>
    <row r="1410" spans="1:13" s="93" customFormat="1" hidden="1" x14ac:dyDescent="0.25">
      <c r="B1410" s="86">
        <v>45785</v>
      </c>
      <c r="C1410" s="87" t="s">
        <v>3819</v>
      </c>
      <c r="D1410" s="88" t="s">
        <v>6935</v>
      </c>
      <c r="E1410" s="121" t="s">
        <v>6764</v>
      </c>
      <c r="F1410" s="121"/>
      <c r="G1410" s="88" t="s">
        <v>6443</v>
      </c>
      <c r="H1410" s="88" t="s">
        <v>6963</v>
      </c>
      <c r="I1410" s="89">
        <v>3960</v>
      </c>
      <c r="J1410" s="90">
        <f>SUMIF(Cargas!$C$5:$C$3470,C1410,Cargas!$O$5:$O$3470)</f>
        <v>3960</v>
      </c>
      <c r="K1410" s="91">
        <f t="shared" si="25"/>
        <v>0</v>
      </c>
      <c r="L1410" s="122" t="s">
        <v>9019</v>
      </c>
      <c r="M1410" s="92">
        <v>91756</v>
      </c>
    </row>
    <row r="1411" spans="1:13" s="93" customFormat="1" ht="14.25" hidden="1" customHeight="1" x14ac:dyDescent="0.25">
      <c r="A1411" s="103"/>
      <c r="B1411" s="95">
        <v>45786</v>
      </c>
      <c r="C1411" s="96" t="s">
        <v>3810</v>
      </c>
      <c r="D1411" s="97" t="s">
        <v>6938</v>
      </c>
      <c r="E1411" s="135" t="s">
        <v>8564</v>
      </c>
      <c r="F1411" s="135"/>
      <c r="G1411" s="97" t="s">
        <v>6665</v>
      </c>
      <c r="H1411" s="97" t="s">
        <v>6862</v>
      </c>
      <c r="I1411" s="98">
        <v>3672</v>
      </c>
      <c r="J1411" s="99">
        <f>SUMIF(Cargas!$C$5:$C$3470,C1411,Cargas!$O$5:$O$3470)</f>
        <v>3672</v>
      </c>
      <c r="K1411" s="100">
        <f t="shared" si="25"/>
        <v>0</v>
      </c>
      <c r="L1411" s="136" t="s">
        <v>9020</v>
      </c>
      <c r="M1411" s="102">
        <v>91849</v>
      </c>
    </row>
    <row r="1412" spans="1:13" s="93" customFormat="1" hidden="1" x14ac:dyDescent="0.25">
      <c r="B1412" s="86">
        <v>45789</v>
      </c>
      <c r="C1412" s="87" t="s">
        <v>3830</v>
      </c>
      <c r="D1412" s="88" t="s">
        <v>7500</v>
      </c>
      <c r="E1412" s="121" t="s">
        <v>6764</v>
      </c>
      <c r="F1412" s="121"/>
      <c r="G1412" s="88" t="s">
        <v>6443</v>
      </c>
      <c r="H1412" s="88" t="s">
        <v>8574</v>
      </c>
      <c r="I1412" s="89">
        <v>8910</v>
      </c>
      <c r="J1412" s="90">
        <f>SUMIF(Cargas!$C$5:$C$3470,C1412,Cargas!$O$5:$O$3470)</f>
        <v>8910</v>
      </c>
      <c r="K1412" s="91">
        <f t="shared" si="25"/>
        <v>0</v>
      </c>
      <c r="L1412" s="122" t="s">
        <v>9021</v>
      </c>
      <c r="M1412" s="92">
        <v>93578</v>
      </c>
    </row>
    <row r="1413" spans="1:13" hidden="1" x14ac:dyDescent="0.25">
      <c r="B1413" s="58">
        <v>45656</v>
      </c>
      <c r="C1413" s="59" t="s">
        <v>2962</v>
      </c>
      <c r="D1413" s="61" t="s">
        <v>9022</v>
      </c>
      <c r="E1413" s="197" t="s">
        <v>8990</v>
      </c>
      <c r="F1413" s="197"/>
      <c r="G1413" s="61" t="s">
        <v>7569</v>
      </c>
      <c r="H1413" s="61"/>
      <c r="I1413" s="62">
        <v>972</v>
      </c>
      <c r="J1413" s="4">
        <f>SUMIF(Cargas!$C$5:$C$3470,C1413,Cargas!$O$5:$O$3470)</f>
        <v>972</v>
      </c>
      <c r="K1413" s="18">
        <f t="shared" si="25"/>
        <v>0</v>
      </c>
      <c r="L1413" s="195" t="s">
        <v>9023</v>
      </c>
      <c r="M1413" s="64">
        <v>2363</v>
      </c>
    </row>
    <row r="1414" spans="1:13" hidden="1" x14ac:dyDescent="0.25">
      <c r="B1414" s="58"/>
      <c r="C1414" s="59"/>
      <c r="D1414" s="61"/>
      <c r="E1414" s="197"/>
      <c r="F1414" s="197"/>
      <c r="G1414" s="61"/>
      <c r="H1414" s="61"/>
      <c r="I1414" s="62"/>
      <c r="J1414" s="4">
        <f>SUMIF(Cargas!$C$5:$C$3471,C1414,Cargas!$O$5:$O$3471)</f>
        <v>0</v>
      </c>
      <c r="K1414" s="18">
        <f t="shared" si="25"/>
        <v>0</v>
      </c>
      <c r="L1414" s="195"/>
      <c r="M1414" s="64"/>
    </row>
    <row r="1415" spans="1:13" hidden="1" x14ac:dyDescent="0.25">
      <c r="B1415" s="58"/>
      <c r="C1415" s="59"/>
      <c r="D1415" s="61"/>
      <c r="E1415" s="197"/>
      <c r="F1415" s="197"/>
      <c r="G1415" s="61"/>
      <c r="H1415" s="61"/>
      <c r="I1415" s="62"/>
      <c r="J1415" s="4"/>
      <c r="K1415" s="18">
        <f t="shared" si="25"/>
        <v>0</v>
      </c>
      <c r="L1415" s="195"/>
      <c r="M1415" s="64"/>
    </row>
    <row r="1416" spans="1:13" hidden="1" x14ac:dyDescent="0.25">
      <c r="B1416" s="58"/>
      <c r="C1416" s="59" t="s">
        <v>9024</v>
      </c>
      <c r="D1416" s="61"/>
      <c r="E1416" s="197"/>
      <c r="F1416" s="197"/>
      <c r="G1416" s="61"/>
      <c r="H1416" s="61"/>
      <c r="I1416" s="62"/>
      <c r="J1416" s="4"/>
      <c r="K1416" s="18">
        <f t="shared" si="25"/>
        <v>0</v>
      </c>
      <c r="L1416" s="195"/>
      <c r="M1416" s="64"/>
    </row>
    <row r="1417" spans="1:13" hidden="1" x14ac:dyDescent="0.25">
      <c r="B1417" s="58"/>
      <c r="C1417" s="59"/>
      <c r="D1417" s="61"/>
      <c r="E1417" s="197"/>
      <c r="F1417" s="197"/>
      <c r="G1417" s="61"/>
      <c r="H1417" s="61"/>
      <c r="I1417" s="62"/>
      <c r="J1417" s="4"/>
      <c r="K1417" s="18">
        <f t="shared" si="25"/>
        <v>0</v>
      </c>
      <c r="L1417" s="195"/>
      <c r="M1417" s="64"/>
    </row>
    <row r="1418" spans="1:13" s="93" customFormat="1" hidden="1" x14ac:dyDescent="0.25">
      <c r="B1418" s="86">
        <v>45793</v>
      </c>
      <c r="C1418" s="87" t="s">
        <v>3867</v>
      </c>
      <c r="D1418" s="88" t="s">
        <v>6941</v>
      </c>
      <c r="E1418" s="121" t="s">
        <v>6764</v>
      </c>
      <c r="F1418" s="121"/>
      <c r="G1418" s="88" t="s">
        <v>6443</v>
      </c>
      <c r="H1418" s="88" t="s">
        <v>6768</v>
      </c>
      <c r="I1418" s="89">
        <v>5508</v>
      </c>
      <c r="J1418" s="90">
        <f>SUMIF(Cargas!$C$5:$C$3470,C1418,Cargas!$O$5:$O$3470)</f>
        <v>5508</v>
      </c>
      <c r="K1418" s="91">
        <f t="shared" si="25"/>
        <v>0</v>
      </c>
      <c r="L1418" s="122" t="s">
        <v>9025</v>
      </c>
      <c r="M1418" s="92">
        <v>96529</v>
      </c>
    </row>
    <row r="1419" spans="1:13" s="93" customFormat="1" hidden="1" x14ac:dyDescent="0.25">
      <c r="B1419" s="86">
        <v>45796</v>
      </c>
      <c r="C1419" s="87" t="s">
        <v>3878</v>
      </c>
      <c r="D1419" s="88" t="s">
        <v>6944</v>
      </c>
      <c r="E1419" s="121" t="s">
        <v>6764</v>
      </c>
      <c r="F1419" s="121"/>
      <c r="G1419" s="88" t="s">
        <v>6443</v>
      </c>
      <c r="H1419" s="88" t="s">
        <v>8574</v>
      </c>
      <c r="I1419" s="89">
        <v>8910</v>
      </c>
      <c r="J1419" s="90">
        <f>SUMIF(Cargas!$C$5:$C$3470,C1419,Cargas!$O$5:$O$3470)</f>
        <v>8910</v>
      </c>
      <c r="K1419" s="91">
        <f t="shared" si="25"/>
        <v>0</v>
      </c>
      <c r="L1419" s="122" t="s">
        <v>9026</v>
      </c>
      <c r="M1419" s="92">
        <v>98699</v>
      </c>
    </row>
    <row r="1420" spans="1:13" s="93" customFormat="1" ht="16.5" hidden="1" customHeight="1" x14ac:dyDescent="0.25">
      <c r="B1420" s="86">
        <v>45803</v>
      </c>
      <c r="C1420" s="87" t="s">
        <v>3936</v>
      </c>
      <c r="D1420" s="88" t="s">
        <v>6947</v>
      </c>
      <c r="E1420" s="121" t="s">
        <v>6764</v>
      </c>
      <c r="F1420" s="121"/>
      <c r="G1420" s="88" t="s">
        <v>6443</v>
      </c>
      <c r="H1420" s="88" t="s">
        <v>8574</v>
      </c>
      <c r="I1420" s="89">
        <v>8910</v>
      </c>
      <c r="J1420" s="90">
        <f>SUMIF(Cargas!$C$5:$C$3470,C1420,Cargas!$O$5:$O$3470)</f>
        <v>8910</v>
      </c>
      <c r="K1420" s="91">
        <f t="shared" si="25"/>
        <v>0</v>
      </c>
      <c r="L1420" s="122" t="s">
        <v>9027</v>
      </c>
      <c r="M1420" s="92">
        <v>103978</v>
      </c>
    </row>
    <row r="1421" spans="1:13" s="93" customFormat="1" ht="15" hidden="1" customHeight="1" x14ac:dyDescent="0.25">
      <c r="B1421" s="86">
        <v>45803</v>
      </c>
      <c r="C1421" s="87" t="s">
        <v>3932</v>
      </c>
      <c r="D1421" s="88" t="s">
        <v>6950</v>
      </c>
      <c r="E1421" s="121" t="s">
        <v>6764</v>
      </c>
      <c r="F1421" s="121"/>
      <c r="G1421" s="88" t="s">
        <v>6443</v>
      </c>
      <c r="H1421" s="88" t="s">
        <v>6444</v>
      </c>
      <c r="I1421" s="89">
        <v>4590</v>
      </c>
      <c r="J1421" s="90">
        <f>SUMIF(Cargas!$C$5:$C$3470,C1421,Cargas!$O$5:$O$3470)</f>
        <v>4590</v>
      </c>
      <c r="K1421" s="91">
        <f t="shared" si="25"/>
        <v>0</v>
      </c>
      <c r="L1421" s="122" t="s">
        <v>9028</v>
      </c>
      <c r="M1421" s="92">
        <v>104004</v>
      </c>
    </row>
    <row r="1422" spans="1:13" s="198" customFormat="1" ht="13.5" hidden="1" customHeight="1" x14ac:dyDescent="0.25">
      <c r="A1422" s="103"/>
      <c r="B1422" s="95">
        <v>45798</v>
      </c>
      <c r="C1422" s="96" t="s">
        <v>3926</v>
      </c>
      <c r="D1422" s="97" t="s">
        <v>6953</v>
      </c>
      <c r="E1422" s="135" t="s">
        <v>8564</v>
      </c>
      <c r="F1422" s="135"/>
      <c r="G1422" s="97" t="s">
        <v>6665</v>
      </c>
      <c r="H1422" s="97" t="s">
        <v>6768</v>
      </c>
      <c r="I1422" s="98">
        <v>1008</v>
      </c>
      <c r="J1422" s="99">
        <f>SUMIF(Cargas!$C$5:$C$3470,C1422,Cargas!$O$5:$O$3470)</f>
        <v>1008</v>
      </c>
      <c r="K1422" s="100">
        <f t="shared" si="25"/>
        <v>0</v>
      </c>
      <c r="L1422" s="136" t="s">
        <v>9029</v>
      </c>
      <c r="M1422" s="102">
        <v>103997</v>
      </c>
    </row>
    <row r="1423" spans="1:13" s="93" customFormat="1" hidden="1" x14ac:dyDescent="0.25">
      <c r="B1423" s="86">
        <v>45806</v>
      </c>
      <c r="C1423" s="87" t="s">
        <v>3970</v>
      </c>
      <c r="D1423" s="88" t="s">
        <v>6956</v>
      </c>
      <c r="E1423" s="121" t="s">
        <v>6764</v>
      </c>
      <c r="F1423" s="121"/>
      <c r="G1423" s="88" t="s">
        <v>6443</v>
      </c>
      <c r="H1423" s="88" t="s">
        <v>8574</v>
      </c>
      <c r="I1423" s="89">
        <v>8910</v>
      </c>
      <c r="J1423" s="90">
        <f>SUMIF(Cargas!$C$5:$C$3470,C1423,Cargas!$O$5:$O$3470)</f>
        <v>8910</v>
      </c>
      <c r="K1423" s="91">
        <f t="shared" si="25"/>
        <v>0</v>
      </c>
      <c r="L1423" s="122" t="s">
        <v>9030</v>
      </c>
      <c r="M1423" s="92">
        <v>107079</v>
      </c>
    </row>
    <row r="1424" spans="1:13" s="93" customFormat="1" hidden="1" x14ac:dyDescent="0.25">
      <c r="B1424" s="86">
        <v>45812</v>
      </c>
      <c r="C1424" s="87" t="s">
        <v>3994</v>
      </c>
      <c r="D1424" s="88" t="s">
        <v>6959</v>
      </c>
      <c r="E1424" s="121" t="s">
        <v>6764</v>
      </c>
      <c r="F1424" s="121"/>
      <c r="G1424" s="88" t="s">
        <v>6443</v>
      </c>
      <c r="H1424" s="88" t="s">
        <v>6768</v>
      </c>
      <c r="I1424" s="89">
        <v>5508</v>
      </c>
      <c r="J1424" s="90">
        <f>SUMIF(Cargas!$C$5:$C$3470,C1424,Cargas!$O$5:$O$3470)</f>
        <v>5508</v>
      </c>
      <c r="K1424" s="91">
        <f t="shared" ref="K1424:K1487" si="26">IF(ABS(I1424-J1424)&lt;20,0,I1424-J1424)</f>
        <v>0</v>
      </c>
      <c r="L1424" s="122" t="s">
        <v>9031</v>
      </c>
      <c r="M1424" s="92">
        <v>111990</v>
      </c>
    </row>
    <row r="1425" spans="1:13" s="93" customFormat="1" ht="17.25" hidden="1" customHeight="1" x14ac:dyDescent="0.25">
      <c r="B1425" s="86">
        <v>45812</v>
      </c>
      <c r="C1425" s="87" t="s">
        <v>4013</v>
      </c>
      <c r="D1425" s="88" t="s">
        <v>6962</v>
      </c>
      <c r="E1425" s="121" t="s">
        <v>6764</v>
      </c>
      <c r="F1425" s="121"/>
      <c r="G1425" s="88" t="s">
        <v>6443</v>
      </c>
      <c r="H1425" s="88" t="s">
        <v>6963</v>
      </c>
      <c r="I1425" s="89">
        <v>3960</v>
      </c>
      <c r="J1425" s="90">
        <f>SUMIF(Cargas!$C$5:$C$3470,C1425,Cargas!$O$5:$O$3470)</f>
        <v>3960</v>
      </c>
      <c r="K1425" s="91">
        <f t="shared" si="26"/>
        <v>0</v>
      </c>
      <c r="L1425" s="122" t="s">
        <v>9032</v>
      </c>
      <c r="M1425" s="92">
        <v>110607</v>
      </c>
    </row>
    <row r="1426" spans="1:13" hidden="1" x14ac:dyDescent="0.25">
      <c r="A1426" s="93"/>
      <c r="B1426" s="86">
        <v>45813</v>
      </c>
      <c r="C1426" s="87" t="s">
        <v>4008</v>
      </c>
      <c r="D1426" s="88" t="s">
        <v>6966</v>
      </c>
      <c r="E1426" s="121" t="s">
        <v>6764</v>
      </c>
      <c r="F1426" s="121"/>
      <c r="G1426" s="88" t="s">
        <v>6443</v>
      </c>
      <c r="H1426" s="88" t="s">
        <v>8574</v>
      </c>
      <c r="I1426" s="89">
        <v>8910</v>
      </c>
      <c r="J1426" s="90">
        <f>SUMIF(Cargas!$C$5:$C$3470,C1426,Cargas!$O$5:$O$3470)</f>
        <v>8910</v>
      </c>
      <c r="K1426" s="91">
        <f t="shared" si="26"/>
        <v>0</v>
      </c>
      <c r="L1426" s="122" t="s">
        <v>9033</v>
      </c>
      <c r="M1426" s="92">
        <v>111268</v>
      </c>
    </row>
    <row r="1427" spans="1:13" hidden="1" x14ac:dyDescent="0.25">
      <c r="B1427" s="58">
        <v>45653</v>
      </c>
      <c r="C1427" s="59" t="s">
        <v>2946</v>
      </c>
      <c r="D1427" s="61" t="s">
        <v>9034</v>
      </c>
      <c r="E1427" s="197" t="s">
        <v>8523</v>
      </c>
      <c r="F1427" s="197"/>
      <c r="G1427" s="61" t="s">
        <v>7569</v>
      </c>
      <c r="H1427" s="61"/>
      <c r="I1427" s="62">
        <v>1960</v>
      </c>
      <c r="J1427" s="4">
        <f>SUMIF(Cargas!$C$5:$C$3470,C1427,Cargas!$O$5:$O$3470)</f>
        <v>1960</v>
      </c>
      <c r="K1427" s="18">
        <f t="shared" si="26"/>
        <v>0</v>
      </c>
      <c r="L1427" s="195"/>
      <c r="M1427" s="64">
        <v>1117</v>
      </c>
    </row>
    <row r="1428" spans="1:13" hidden="1" x14ac:dyDescent="0.25">
      <c r="A1428" s="146"/>
      <c r="B1428" s="158">
        <v>45813</v>
      </c>
      <c r="C1428" s="159" t="s">
        <v>4029</v>
      </c>
      <c r="D1428" s="160" t="s">
        <v>6969</v>
      </c>
      <c r="E1428" s="161" t="s">
        <v>6764</v>
      </c>
      <c r="F1428" s="161"/>
      <c r="G1428" s="160" t="s">
        <v>6443</v>
      </c>
      <c r="H1428" s="160" t="s">
        <v>6862</v>
      </c>
      <c r="I1428" s="162">
        <v>2754</v>
      </c>
      <c r="J1428" s="163">
        <f>SUMIF(Cargas!$C$5:$C$3470,C1428,Cargas!$O$5:$O$3470)</f>
        <v>2754</v>
      </c>
      <c r="K1428" s="164">
        <f t="shared" si="26"/>
        <v>0</v>
      </c>
      <c r="L1428" s="165" t="s">
        <v>9035</v>
      </c>
      <c r="M1428" s="166">
        <v>112014</v>
      </c>
    </row>
    <row r="1429" spans="1:13" s="93" customFormat="1" hidden="1" x14ac:dyDescent="0.25">
      <c r="B1429" s="86">
        <v>45812</v>
      </c>
      <c r="C1429" s="87" t="s">
        <v>4035</v>
      </c>
      <c r="D1429" s="88" t="s">
        <v>8705</v>
      </c>
      <c r="E1429" s="121" t="s">
        <v>8564</v>
      </c>
      <c r="F1429" s="121"/>
      <c r="G1429" s="88" t="s">
        <v>6665</v>
      </c>
      <c r="H1429" s="88" t="s">
        <v>8660</v>
      </c>
      <c r="I1429" s="89">
        <v>3672</v>
      </c>
      <c r="J1429" s="90">
        <f>SUMIF(Cargas!$C$5:$C$3470,C1429,Cargas!$O$5:$O$3470)</f>
        <v>3672</v>
      </c>
      <c r="K1429" s="91">
        <f t="shared" si="26"/>
        <v>0</v>
      </c>
      <c r="L1429" s="122" t="s">
        <v>9032</v>
      </c>
      <c r="M1429" s="92">
        <v>112308</v>
      </c>
    </row>
    <row r="1430" spans="1:13" s="93" customFormat="1" hidden="1" x14ac:dyDescent="0.25">
      <c r="B1430" s="86">
        <v>45819</v>
      </c>
      <c r="C1430" s="87" t="s">
        <v>4066</v>
      </c>
      <c r="D1430" s="88" t="s">
        <v>6972</v>
      </c>
      <c r="E1430" s="121" t="s">
        <v>6764</v>
      </c>
      <c r="F1430" s="121"/>
      <c r="G1430" s="88" t="s">
        <v>6443</v>
      </c>
      <c r="H1430" s="88" t="s">
        <v>8574</v>
      </c>
      <c r="I1430" s="89">
        <v>8910</v>
      </c>
      <c r="J1430" s="90">
        <f>SUMIF(Cargas!$C$5:$C$3470,C1430,Cargas!$O$5:$O$3470)</f>
        <v>8910</v>
      </c>
      <c r="K1430" s="91">
        <f t="shared" si="26"/>
        <v>0</v>
      </c>
      <c r="L1430" s="122" t="s">
        <v>9036</v>
      </c>
      <c r="M1430" s="92">
        <v>115522</v>
      </c>
    </row>
    <row r="1431" spans="1:13" s="93" customFormat="1" hidden="1" x14ac:dyDescent="0.25">
      <c r="B1431" s="86">
        <v>45826</v>
      </c>
      <c r="C1431" s="87" t="s">
        <v>4108</v>
      </c>
      <c r="D1431" s="88" t="s">
        <v>6975</v>
      </c>
      <c r="E1431" s="121" t="s">
        <v>6764</v>
      </c>
      <c r="F1431" s="121"/>
      <c r="G1431" s="88" t="s">
        <v>6443</v>
      </c>
      <c r="H1431" s="88" t="s">
        <v>8574</v>
      </c>
      <c r="I1431" s="89">
        <v>8910</v>
      </c>
      <c r="J1431" s="90">
        <f>SUMIF(Cargas!$C$5:$C$3470,C1431,Cargas!$O$5:$O$3470)</f>
        <v>8910</v>
      </c>
      <c r="K1431" s="91">
        <f t="shared" si="26"/>
        <v>0</v>
      </c>
      <c r="L1431" s="122" t="s">
        <v>9037</v>
      </c>
      <c r="M1431" s="92">
        <v>121367</v>
      </c>
    </row>
    <row r="1432" spans="1:13" s="93" customFormat="1" hidden="1" x14ac:dyDescent="0.25">
      <c r="B1432" s="86">
        <v>45826</v>
      </c>
      <c r="C1432" s="87" t="s">
        <v>4114</v>
      </c>
      <c r="D1432" s="88" t="s">
        <v>6978</v>
      </c>
      <c r="E1432" s="121" t="s">
        <v>8564</v>
      </c>
      <c r="F1432" s="121"/>
      <c r="G1432" s="88" t="s">
        <v>6665</v>
      </c>
      <c r="H1432" s="88" t="s">
        <v>6862</v>
      </c>
      <c r="I1432" s="89">
        <v>3672</v>
      </c>
      <c r="J1432" s="90">
        <f>SUMIF(Cargas!$C$5:$C$3470,C1432,Cargas!$O$5:$O$3470)</f>
        <v>3672</v>
      </c>
      <c r="K1432" s="91">
        <f t="shared" si="26"/>
        <v>0</v>
      </c>
      <c r="L1432" s="122" t="s">
        <v>9038</v>
      </c>
      <c r="M1432" s="92">
        <v>121497</v>
      </c>
    </row>
    <row r="1433" spans="1:13" s="93" customFormat="1" hidden="1" x14ac:dyDescent="0.25">
      <c r="B1433" s="86">
        <v>45828</v>
      </c>
      <c r="C1433" s="87" t="s">
        <v>4127</v>
      </c>
      <c r="D1433" s="88" t="s">
        <v>6981</v>
      </c>
      <c r="E1433" s="121" t="s">
        <v>6764</v>
      </c>
      <c r="F1433" s="121"/>
      <c r="G1433" s="88" t="s">
        <v>6443</v>
      </c>
      <c r="H1433" s="88" t="s">
        <v>7061</v>
      </c>
      <c r="I1433" s="89">
        <v>3960</v>
      </c>
      <c r="J1433" s="90">
        <f>SUMIF(Cargas!$C$5:$C$3470,C1433,Cargas!$O$5:$O$3470)</f>
        <v>3960</v>
      </c>
      <c r="K1433" s="91">
        <f t="shared" si="26"/>
        <v>0</v>
      </c>
      <c r="L1433" s="122" t="s">
        <v>9039</v>
      </c>
      <c r="M1433" s="92">
        <v>123627</v>
      </c>
    </row>
    <row r="1434" spans="1:13" s="93" customFormat="1" hidden="1" x14ac:dyDescent="0.25">
      <c r="B1434" s="86">
        <v>45831</v>
      </c>
      <c r="C1434" s="87" t="s">
        <v>4124</v>
      </c>
      <c r="D1434" s="88" t="s">
        <v>6984</v>
      </c>
      <c r="E1434" s="121" t="s">
        <v>6764</v>
      </c>
      <c r="F1434" s="121"/>
      <c r="G1434" s="88" t="s">
        <v>6443</v>
      </c>
      <c r="H1434" s="88" t="s">
        <v>6768</v>
      </c>
      <c r="I1434" s="89">
        <v>3672</v>
      </c>
      <c r="J1434" s="90">
        <f>SUMIF(Cargas!$C$5:$C$3470,C1434,Cargas!$O$5:$O$3470)</f>
        <v>3672</v>
      </c>
      <c r="K1434" s="91">
        <f t="shared" si="26"/>
        <v>0</v>
      </c>
      <c r="L1434" s="122" t="s">
        <v>9040</v>
      </c>
      <c r="M1434" s="92">
        <v>123703</v>
      </c>
    </row>
    <row r="1435" spans="1:13" s="93" customFormat="1" hidden="1" x14ac:dyDescent="0.25">
      <c r="B1435" s="86">
        <v>45834</v>
      </c>
      <c r="C1435" s="87" t="s">
        <v>4154</v>
      </c>
      <c r="D1435" s="88" t="s">
        <v>6987</v>
      </c>
      <c r="E1435" s="121" t="s">
        <v>6764</v>
      </c>
      <c r="F1435" s="121"/>
      <c r="G1435" s="88" t="s">
        <v>6443</v>
      </c>
      <c r="H1435" s="88" t="s">
        <v>6963</v>
      </c>
      <c r="I1435" s="89">
        <v>3960</v>
      </c>
      <c r="J1435" s="90">
        <f>SUMIF(Cargas!$C$5:$C$3470,C1435,Cargas!$O$5:$O$3470)</f>
        <v>3960</v>
      </c>
      <c r="K1435" s="91">
        <f t="shared" si="26"/>
        <v>0</v>
      </c>
      <c r="L1435" s="122" t="s">
        <v>9041</v>
      </c>
      <c r="M1435" s="92">
        <v>125969</v>
      </c>
    </row>
    <row r="1436" spans="1:13" s="93" customFormat="1" hidden="1" x14ac:dyDescent="0.25">
      <c r="B1436" s="86">
        <v>45834</v>
      </c>
      <c r="C1436" s="87" t="s">
        <v>4160</v>
      </c>
      <c r="D1436" s="88" t="s">
        <v>6990</v>
      </c>
      <c r="E1436" s="121" t="s">
        <v>6764</v>
      </c>
      <c r="F1436" s="121"/>
      <c r="G1436" s="88" t="s">
        <v>6443</v>
      </c>
      <c r="H1436" s="88" t="s">
        <v>8574</v>
      </c>
      <c r="I1436" s="89">
        <v>8910</v>
      </c>
      <c r="J1436" s="90">
        <f>SUMIF(Cargas!$C$5:$C$3470,C1436,Cargas!$O$5:$O$3470)</f>
        <v>8910</v>
      </c>
      <c r="K1436" s="91">
        <f t="shared" si="26"/>
        <v>0</v>
      </c>
      <c r="L1436" s="122" t="s">
        <v>9042</v>
      </c>
      <c r="M1436" s="92">
        <v>125966</v>
      </c>
    </row>
    <row r="1437" spans="1:13" s="215" customFormat="1" hidden="1" x14ac:dyDescent="0.25">
      <c r="A1437" s="93"/>
      <c r="B1437" s="86">
        <v>45834</v>
      </c>
      <c r="C1437" s="87" t="s">
        <v>4157</v>
      </c>
      <c r="D1437" s="88" t="s">
        <v>6993</v>
      </c>
      <c r="E1437" s="121" t="s">
        <v>8564</v>
      </c>
      <c r="F1437" s="121"/>
      <c r="G1437" s="88" t="s">
        <v>6665</v>
      </c>
      <c r="H1437" s="88" t="s">
        <v>8660</v>
      </c>
      <c r="I1437" s="89">
        <v>3672</v>
      </c>
      <c r="J1437" s="90">
        <f>SUMIF(Cargas!$C$5:$C$3470,C1437,Cargas!$O$5:$O$3470)</f>
        <v>3672</v>
      </c>
      <c r="K1437" s="91">
        <f t="shared" si="26"/>
        <v>0</v>
      </c>
      <c r="L1437" s="122" t="s">
        <v>9043</v>
      </c>
      <c r="M1437" s="92">
        <v>126108</v>
      </c>
    </row>
    <row r="1438" spans="1:13" s="103" customFormat="1" hidden="1" x14ac:dyDescent="0.25">
      <c r="A1438" s="93"/>
      <c r="B1438" s="86">
        <v>45846</v>
      </c>
      <c r="C1438" s="87" t="s">
        <v>4191</v>
      </c>
      <c r="D1438" s="88" t="s">
        <v>6996</v>
      </c>
      <c r="E1438" s="121" t="s">
        <v>6764</v>
      </c>
      <c r="F1438" s="121"/>
      <c r="G1438" s="88" t="s">
        <v>6443</v>
      </c>
      <c r="H1438" s="88" t="s">
        <v>8574</v>
      </c>
      <c r="I1438" s="89">
        <v>8910</v>
      </c>
      <c r="J1438" s="90">
        <f>SUMIF(Cargas!$C$5:$C$3470,C1438,Cargas!$O$5:$O$3470)</f>
        <v>8910</v>
      </c>
      <c r="K1438" s="91">
        <f t="shared" si="26"/>
        <v>0</v>
      </c>
      <c r="L1438" s="122" t="s">
        <v>9044</v>
      </c>
      <c r="M1438" s="92">
        <v>134322</v>
      </c>
    </row>
    <row r="1439" spans="1:13" s="103" customFormat="1" hidden="1" x14ac:dyDescent="0.25">
      <c r="A1439" s="93"/>
      <c r="B1439" s="86">
        <v>45846</v>
      </c>
      <c r="C1439" s="87" t="s">
        <v>4218</v>
      </c>
      <c r="D1439" s="88" t="s">
        <v>6999</v>
      </c>
      <c r="E1439" s="121" t="s">
        <v>6764</v>
      </c>
      <c r="F1439" s="121"/>
      <c r="G1439" s="88" t="s">
        <v>6443</v>
      </c>
      <c r="H1439" s="88" t="s">
        <v>6862</v>
      </c>
      <c r="I1439" s="89">
        <v>1872</v>
      </c>
      <c r="J1439" s="90">
        <f>SUMIF(Cargas!$C$5:$C$3470,C1439,Cargas!$O$5:$O$3470)</f>
        <v>1872</v>
      </c>
      <c r="K1439" s="91">
        <f t="shared" si="26"/>
        <v>0</v>
      </c>
      <c r="L1439" s="122">
        <v>1529899</v>
      </c>
      <c r="M1439" s="92">
        <v>136127</v>
      </c>
    </row>
    <row r="1440" spans="1:13" s="93" customFormat="1" hidden="1" x14ac:dyDescent="0.25">
      <c r="B1440" s="86">
        <v>45848</v>
      </c>
      <c r="C1440" s="87" t="s">
        <v>4237</v>
      </c>
      <c r="D1440" s="88" t="s">
        <v>7002</v>
      </c>
      <c r="E1440" s="121" t="s">
        <v>6764</v>
      </c>
      <c r="F1440" s="121"/>
      <c r="G1440" s="88" t="s">
        <v>6443</v>
      </c>
      <c r="H1440" s="88" t="s">
        <v>8574</v>
      </c>
      <c r="I1440" s="89">
        <v>8910</v>
      </c>
      <c r="J1440" s="90">
        <f>SUMIF(Cargas!$C$5:$C$3470,C1440,Cargas!$O$5:$O$3470)</f>
        <v>8910</v>
      </c>
      <c r="K1440" s="91">
        <f t="shared" si="26"/>
        <v>0</v>
      </c>
      <c r="L1440" s="122" t="s">
        <v>9045</v>
      </c>
      <c r="M1440" s="92">
        <v>137322</v>
      </c>
    </row>
    <row r="1441" spans="1:13" s="103" customFormat="1" hidden="1" x14ac:dyDescent="0.25">
      <c r="A1441" s="93"/>
      <c r="B1441" s="86">
        <v>45848</v>
      </c>
      <c r="C1441" s="87" t="s">
        <v>4234</v>
      </c>
      <c r="D1441" s="88" t="s">
        <v>8735</v>
      </c>
      <c r="E1441" s="121" t="s">
        <v>6764</v>
      </c>
      <c r="F1441" s="121"/>
      <c r="G1441" s="88" t="s">
        <v>6443</v>
      </c>
      <c r="H1441" s="88" t="s">
        <v>6768</v>
      </c>
      <c r="I1441" s="89">
        <v>3672</v>
      </c>
      <c r="J1441" s="90">
        <f>SUMIF(Cargas!$C$5:$C$3470,C1441,Cargas!$O$5:$O$3470)</f>
        <v>3672</v>
      </c>
      <c r="K1441" s="91">
        <f t="shared" si="26"/>
        <v>0</v>
      </c>
      <c r="L1441" s="122" t="s">
        <v>9046</v>
      </c>
      <c r="M1441" s="92">
        <v>137296</v>
      </c>
    </row>
    <row r="1442" spans="1:13" s="103" customFormat="1" hidden="1" x14ac:dyDescent="0.25">
      <c r="A1442" s="206"/>
      <c r="B1442" s="207">
        <v>45848</v>
      </c>
      <c r="C1442" s="208" t="s">
        <v>4239</v>
      </c>
      <c r="D1442" s="209" t="s">
        <v>7005</v>
      </c>
      <c r="E1442" s="210" t="s">
        <v>6764</v>
      </c>
      <c r="F1442" s="210"/>
      <c r="G1442" s="209" t="s">
        <v>6443</v>
      </c>
      <c r="H1442" s="209" t="s">
        <v>6444</v>
      </c>
      <c r="I1442" s="211">
        <v>3672</v>
      </c>
      <c r="J1442" s="142">
        <f>SUMIF(Cargas!$C$5:$C$3470,C1442,Cargas!$O$5:$O$3470)</f>
        <v>2754</v>
      </c>
      <c r="K1442" s="212">
        <f t="shared" si="26"/>
        <v>918</v>
      </c>
      <c r="L1442" s="213" t="s">
        <v>9047</v>
      </c>
      <c r="M1442" s="214">
        <v>137204</v>
      </c>
    </row>
    <row r="1443" spans="1:13" s="93" customFormat="1" hidden="1" x14ac:dyDescent="0.25">
      <c r="B1443" s="86">
        <v>45852</v>
      </c>
      <c r="C1443" s="87" t="s">
        <v>4264</v>
      </c>
      <c r="D1443" s="88" t="s">
        <v>7008</v>
      </c>
      <c r="E1443" s="121" t="s">
        <v>8564</v>
      </c>
      <c r="F1443" s="121"/>
      <c r="G1443" s="88" t="s">
        <v>6665</v>
      </c>
      <c r="H1443" s="88" t="s">
        <v>6963</v>
      </c>
      <c r="I1443" s="89">
        <v>1980</v>
      </c>
      <c r="J1443" s="90">
        <f>SUMIF(Cargas!$C$5:$C$3470,C1443,Cargas!$O$5:$O$3470)</f>
        <v>1980</v>
      </c>
      <c r="K1443" s="91">
        <f t="shared" si="26"/>
        <v>0</v>
      </c>
      <c r="L1443" s="122" t="s">
        <v>9048</v>
      </c>
      <c r="M1443" s="92">
        <v>139223</v>
      </c>
    </row>
    <row r="1444" spans="1:13" s="93" customFormat="1" hidden="1" x14ac:dyDescent="0.25">
      <c r="B1444" s="86">
        <v>45855</v>
      </c>
      <c r="C1444" s="87" t="s">
        <v>4286</v>
      </c>
      <c r="D1444" s="88" t="s">
        <v>8736</v>
      </c>
      <c r="E1444" s="121" t="s">
        <v>6764</v>
      </c>
      <c r="F1444" s="121"/>
      <c r="G1444" s="88" t="s">
        <v>6443</v>
      </c>
      <c r="H1444" s="88" t="s">
        <v>8574</v>
      </c>
      <c r="I1444" s="89">
        <v>8910</v>
      </c>
      <c r="J1444" s="90">
        <f>SUMIF(Cargas!$C$5:$C$3470,C1444,Cargas!$O$5:$O$3470)</f>
        <v>8910</v>
      </c>
      <c r="K1444" s="91">
        <f t="shared" si="26"/>
        <v>0</v>
      </c>
      <c r="L1444" s="122" t="s">
        <v>9049</v>
      </c>
      <c r="M1444" s="92">
        <v>141316</v>
      </c>
    </row>
    <row r="1445" spans="1:13" s="93" customFormat="1" hidden="1" x14ac:dyDescent="0.25">
      <c r="B1445" s="86">
        <v>45855</v>
      </c>
      <c r="C1445" s="87" t="s">
        <v>4274</v>
      </c>
      <c r="D1445" s="88" t="s">
        <v>7011</v>
      </c>
      <c r="E1445" s="121" t="s">
        <v>6764</v>
      </c>
      <c r="F1445" s="121"/>
      <c r="G1445" s="88" t="s">
        <v>6443</v>
      </c>
      <c r="H1445" s="88" t="s">
        <v>7061</v>
      </c>
      <c r="I1445" s="89">
        <v>3960</v>
      </c>
      <c r="J1445" s="90">
        <f>SUMIF(Cargas!$C$5:$C$3470,C1445,Cargas!$O$5:$O$3470)</f>
        <v>3960</v>
      </c>
      <c r="K1445" s="91">
        <f t="shared" si="26"/>
        <v>0</v>
      </c>
      <c r="L1445" s="122" t="s">
        <v>9050</v>
      </c>
      <c r="M1445" s="92">
        <v>141372</v>
      </c>
    </row>
    <row r="1446" spans="1:13" s="93" customFormat="1" hidden="1" x14ac:dyDescent="0.25">
      <c r="B1446" s="86">
        <v>45862</v>
      </c>
      <c r="C1446" s="87" t="s">
        <v>4327</v>
      </c>
      <c r="D1446" s="88" t="s">
        <v>7014</v>
      </c>
      <c r="E1446" s="121" t="s">
        <v>6764</v>
      </c>
      <c r="F1446" s="121"/>
      <c r="G1446" s="88" t="s">
        <v>6443</v>
      </c>
      <c r="H1446" s="88" t="s">
        <v>6862</v>
      </c>
      <c r="I1446" s="89">
        <v>1872</v>
      </c>
      <c r="J1446" s="90">
        <f>SUMIF(Cargas!$C$5:$C$3470,C1446,Cargas!$O$5:$O$3470)</f>
        <v>1872</v>
      </c>
      <c r="K1446" s="91">
        <f t="shared" si="26"/>
        <v>0</v>
      </c>
      <c r="L1446" s="122" t="s">
        <v>9051</v>
      </c>
      <c r="M1446" s="92">
        <v>148064</v>
      </c>
    </row>
    <row r="1447" spans="1:13" s="93" customFormat="1" hidden="1" x14ac:dyDescent="0.25">
      <c r="B1447" s="86">
        <v>45862</v>
      </c>
      <c r="C1447" s="87" t="s">
        <v>4314</v>
      </c>
      <c r="D1447" s="88" t="s">
        <v>7017</v>
      </c>
      <c r="E1447" s="121" t="s">
        <v>6764</v>
      </c>
      <c r="F1447" s="121"/>
      <c r="G1447" s="88" t="s">
        <v>6443</v>
      </c>
      <c r="H1447" s="88" t="s">
        <v>8574</v>
      </c>
      <c r="I1447" s="89">
        <v>8910</v>
      </c>
      <c r="J1447" s="90">
        <f>SUMIF(Cargas!$C$5:$C$3470,C1447,Cargas!$O$5:$O$3470)</f>
        <v>8910</v>
      </c>
      <c r="K1447" s="91">
        <f t="shared" si="26"/>
        <v>0</v>
      </c>
      <c r="L1447" s="122" t="s">
        <v>9052</v>
      </c>
      <c r="M1447" s="92">
        <v>146842</v>
      </c>
    </row>
    <row r="1448" spans="1:13" s="93" customFormat="1" hidden="1" x14ac:dyDescent="0.25">
      <c r="B1448" s="86">
        <v>45868</v>
      </c>
      <c r="C1448" s="87" t="s">
        <v>4353</v>
      </c>
      <c r="D1448" s="88" t="s">
        <v>7020</v>
      </c>
      <c r="E1448" s="121" t="s">
        <v>6764</v>
      </c>
      <c r="F1448" s="121"/>
      <c r="G1448" s="88" t="s">
        <v>6443</v>
      </c>
      <c r="H1448" s="88" t="s">
        <v>8574</v>
      </c>
      <c r="I1448" s="89">
        <v>8910</v>
      </c>
      <c r="J1448" s="90">
        <f>SUMIF(Cargas!$C$5:$C$3470,C1448,Cargas!$O$5:$O$3470)</f>
        <v>8910</v>
      </c>
      <c r="K1448" s="91">
        <f t="shared" si="26"/>
        <v>0</v>
      </c>
      <c r="L1448" s="122" t="s">
        <v>9053</v>
      </c>
      <c r="M1448" s="92">
        <v>150572</v>
      </c>
    </row>
    <row r="1449" spans="1:13" s="93" customFormat="1" hidden="1" x14ac:dyDescent="0.25">
      <c r="B1449" s="86">
        <v>45868</v>
      </c>
      <c r="C1449" s="87" t="s">
        <v>4362</v>
      </c>
      <c r="D1449" s="88" t="s">
        <v>7023</v>
      </c>
      <c r="E1449" s="121" t="s">
        <v>6764</v>
      </c>
      <c r="F1449" s="121"/>
      <c r="G1449" s="88" t="s">
        <v>6443</v>
      </c>
      <c r="H1449" s="88" t="s">
        <v>7061</v>
      </c>
      <c r="I1449" s="89">
        <v>3960</v>
      </c>
      <c r="J1449" s="90">
        <f>SUMIF(Cargas!$C$5:$C$3470,C1449,Cargas!$O$5:$O$3470)</f>
        <v>3960</v>
      </c>
      <c r="K1449" s="91">
        <f t="shared" si="26"/>
        <v>0</v>
      </c>
      <c r="L1449" s="122" t="s">
        <v>9054</v>
      </c>
      <c r="M1449" s="92">
        <v>152690</v>
      </c>
    </row>
    <row r="1450" spans="1:13" s="93" customFormat="1" hidden="1" x14ac:dyDescent="0.25">
      <c r="B1450" s="86">
        <v>45868</v>
      </c>
      <c r="C1450" s="87" t="s">
        <v>4373</v>
      </c>
      <c r="D1450" s="88" t="s">
        <v>8741</v>
      </c>
      <c r="E1450" s="121" t="s">
        <v>6764</v>
      </c>
      <c r="F1450" s="121"/>
      <c r="G1450" s="88" t="s">
        <v>6443</v>
      </c>
      <c r="H1450" s="88" t="s">
        <v>6963</v>
      </c>
      <c r="I1450" s="89">
        <v>3960</v>
      </c>
      <c r="J1450" s="90">
        <f>SUMIF(Cargas!$C$5:$C$3470,C1450,Cargas!$O$5:$O$3470)</f>
        <v>3960</v>
      </c>
      <c r="K1450" s="91">
        <f t="shared" si="26"/>
        <v>0</v>
      </c>
      <c r="L1450" s="122" t="s">
        <v>9055</v>
      </c>
      <c r="M1450" s="92">
        <v>152681</v>
      </c>
    </row>
    <row r="1451" spans="1:13" s="93" customFormat="1" hidden="1" x14ac:dyDescent="0.25">
      <c r="B1451" s="86">
        <v>45875</v>
      </c>
      <c r="C1451" s="87" t="s">
        <v>4392</v>
      </c>
      <c r="D1451" s="88" t="s">
        <v>7026</v>
      </c>
      <c r="E1451" s="121" t="s">
        <v>6764</v>
      </c>
      <c r="F1451" s="121"/>
      <c r="G1451" s="88" t="s">
        <v>6443</v>
      </c>
      <c r="H1451" s="88" t="s">
        <v>8574</v>
      </c>
      <c r="I1451" s="89">
        <v>8910</v>
      </c>
      <c r="J1451" s="90">
        <f>SUMIF(Cargas!$C$5:$C$3470,C1451,Cargas!$O$5:$O$3470)</f>
        <v>8910</v>
      </c>
      <c r="K1451" s="91">
        <f t="shared" si="26"/>
        <v>0</v>
      </c>
      <c r="L1451" s="122" t="s">
        <v>9056</v>
      </c>
      <c r="M1451" s="92">
        <v>155612</v>
      </c>
    </row>
    <row r="1452" spans="1:13" s="93" customFormat="1" hidden="1" x14ac:dyDescent="0.25">
      <c r="B1452" s="86">
        <v>45877</v>
      </c>
      <c r="C1452" s="87" t="s">
        <v>4412</v>
      </c>
      <c r="D1452" s="88" t="s">
        <v>8744</v>
      </c>
      <c r="E1452" s="121" t="s">
        <v>6764</v>
      </c>
      <c r="F1452" s="121"/>
      <c r="G1452" s="88" t="s">
        <v>6443</v>
      </c>
      <c r="H1452" s="88" t="s">
        <v>6862</v>
      </c>
      <c r="I1452" s="89">
        <v>3672</v>
      </c>
      <c r="J1452" s="90">
        <f>SUMIF(Cargas!$C$5:$C$3470,C1452,Cargas!$O$5:$O$3470)</f>
        <v>3672</v>
      </c>
      <c r="K1452" s="91">
        <f t="shared" si="26"/>
        <v>0</v>
      </c>
      <c r="L1452" s="122" t="s">
        <v>9057</v>
      </c>
      <c r="M1452" s="92">
        <v>157393</v>
      </c>
    </row>
    <row r="1453" spans="1:13" s="103" customFormat="1" hidden="1" x14ac:dyDescent="0.25">
      <c r="A1453" s="93"/>
      <c r="B1453" s="86">
        <v>45880</v>
      </c>
      <c r="C1453" s="87" t="s">
        <v>4426</v>
      </c>
      <c r="D1453" s="88" t="s">
        <v>7030</v>
      </c>
      <c r="E1453" s="121" t="s">
        <v>6764</v>
      </c>
      <c r="F1453" s="121"/>
      <c r="G1453" s="88" t="s">
        <v>6443</v>
      </c>
      <c r="H1453" s="88" t="s">
        <v>8574</v>
      </c>
      <c r="I1453" s="89">
        <v>8910</v>
      </c>
      <c r="J1453" s="90">
        <f>SUMIF(Cargas!$C$5:$C$3470,C1453,Cargas!$O$5:$O$3470)</f>
        <v>8910</v>
      </c>
      <c r="K1453" s="91">
        <f t="shared" si="26"/>
        <v>0</v>
      </c>
      <c r="L1453" s="122" t="s">
        <v>9058</v>
      </c>
      <c r="M1453" s="92">
        <v>160408</v>
      </c>
    </row>
    <row r="1454" spans="1:13" s="93" customFormat="1" hidden="1" x14ac:dyDescent="0.25">
      <c r="B1454" s="86">
        <v>45883</v>
      </c>
      <c r="C1454" s="87" t="s">
        <v>4448</v>
      </c>
      <c r="D1454" s="88" t="s">
        <v>7033</v>
      </c>
      <c r="E1454" s="121" t="s">
        <v>6764</v>
      </c>
      <c r="F1454" s="121"/>
      <c r="G1454" s="88" t="s">
        <v>6443</v>
      </c>
      <c r="H1454" s="88" t="s">
        <v>6768</v>
      </c>
      <c r="I1454" s="89">
        <v>3672</v>
      </c>
      <c r="J1454" s="90">
        <f>SUMIF(Cargas!$C$5:$C$3470,C1454,Cargas!$O$5:$O$3470)</f>
        <v>3672</v>
      </c>
      <c r="K1454" s="91">
        <f t="shared" si="26"/>
        <v>0</v>
      </c>
      <c r="L1454" s="122" t="s">
        <v>9059</v>
      </c>
      <c r="M1454" s="92">
        <v>162488</v>
      </c>
    </row>
    <row r="1455" spans="1:13" s="93" customFormat="1" hidden="1" x14ac:dyDescent="0.25">
      <c r="B1455" s="86">
        <v>45887</v>
      </c>
      <c r="C1455" s="87" t="s">
        <v>4465</v>
      </c>
      <c r="D1455" s="88" t="s">
        <v>7036</v>
      </c>
      <c r="E1455" s="121" t="s">
        <v>6764</v>
      </c>
      <c r="F1455" s="121"/>
      <c r="G1455" s="88" t="s">
        <v>6443</v>
      </c>
      <c r="H1455" s="88" t="s">
        <v>8574</v>
      </c>
      <c r="I1455" s="89">
        <v>8910</v>
      </c>
      <c r="J1455" s="90">
        <f>SUMIF(Cargas!$C$5:$C$3470,C1455,Cargas!$O$5:$O$3470)</f>
        <v>8910</v>
      </c>
      <c r="K1455" s="91">
        <f t="shared" si="26"/>
        <v>0</v>
      </c>
      <c r="L1455" s="122" t="s">
        <v>9060</v>
      </c>
      <c r="M1455" s="92">
        <v>165889</v>
      </c>
    </row>
    <row r="1456" spans="1:13" s="93" customFormat="1" hidden="1" x14ac:dyDescent="0.25">
      <c r="B1456" s="86">
        <v>45889</v>
      </c>
      <c r="C1456" s="87" t="s">
        <v>4477</v>
      </c>
      <c r="D1456" s="88" t="s">
        <v>7039</v>
      </c>
      <c r="E1456" s="121" t="s">
        <v>8917</v>
      </c>
      <c r="F1456" s="121"/>
      <c r="G1456" s="88" t="s">
        <v>6665</v>
      </c>
      <c r="H1456" s="88" t="s">
        <v>7061</v>
      </c>
      <c r="I1456" s="89">
        <v>3960</v>
      </c>
      <c r="J1456" s="90">
        <f>SUMIF(Cargas!$C$5:$C$3470,C1456,Cargas!$O$5:$O$3470)</f>
        <v>3960</v>
      </c>
      <c r="K1456" s="91">
        <f t="shared" si="26"/>
        <v>0</v>
      </c>
      <c r="L1456" s="122" t="s">
        <v>9061</v>
      </c>
      <c r="M1456" s="92">
        <v>167915</v>
      </c>
    </row>
    <row r="1457" spans="1:13" s="103" customFormat="1" hidden="1" x14ac:dyDescent="0.25">
      <c r="B1457" s="95">
        <v>45895</v>
      </c>
      <c r="C1457" s="96" t="s">
        <v>4497</v>
      </c>
      <c r="D1457" s="97" t="s">
        <v>8762</v>
      </c>
      <c r="E1457" s="135" t="s">
        <v>6764</v>
      </c>
      <c r="F1457" s="135"/>
      <c r="G1457" s="97" t="s">
        <v>6443</v>
      </c>
      <c r="H1457" s="97" t="s">
        <v>8574</v>
      </c>
      <c r="I1457" s="98">
        <v>8910</v>
      </c>
      <c r="J1457" s="99">
        <f>SUMIF(Cargas!$C$5:$C$3470,C1457,Cargas!$O$5:$O$3470)</f>
        <v>8910</v>
      </c>
      <c r="K1457" s="100">
        <f t="shared" si="26"/>
        <v>0</v>
      </c>
      <c r="L1457" s="136" t="s">
        <v>9062</v>
      </c>
      <c r="M1457" s="102">
        <v>171641</v>
      </c>
    </row>
    <row r="1458" spans="1:13" s="93" customFormat="1" hidden="1" x14ac:dyDescent="0.25">
      <c r="A1458" s="103"/>
      <c r="B1458" s="95">
        <v>45901</v>
      </c>
      <c r="C1458" s="96" t="s">
        <v>4580</v>
      </c>
      <c r="D1458" s="97" t="s">
        <v>7042</v>
      </c>
      <c r="E1458" s="135" t="s">
        <v>6764</v>
      </c>
      <c r="F1458" s="135"/>
      <c r="G1458" s="97" t="s">
        <v>6443</v>
      </c>
      <c r="H1458" s="97" t="s">
        <v>6862</v>
      </c>
      <c r="I1458" s="98">
        <v>1872</v>
      </c>
      <c r="J1458" s="99">
        <f>SUMIF(Cargas!$C$5:$C$3470,C1458,Cargas!$O$5:$O$3470)</f>
        <v>1872</v>
      </c>
      <c r="K1458" s="100">
        <f t="shared" si="26"/>
        <v>0</v>
      </c>
      <c r="L1458" s="136" t="s">
        <v>9063</v>
      </c>
      <c r="M1458" s="102">
        <v>178158</v>
      </c>
    </row>
    <row r="1459" spans="1:13" s="93" customFormat="1" hidden="1" x14ac:dyDescent="0.25">
      <c r="B1459" s="86">
        <v>45901</v>
      </c>
      <c r="C1459" s="87" t="s">
        <v>4517</v>
      </c>
      <c r="D1459" s="88" t="s">
        <v>7045</v>
      </c>
      <c r="E1459" s="121" t="s">
        <v>6764</v>
      </c>
      <c r="F1459" s="121"/>
      <c r="G1459" s="88" t="s">
        <v>6443</v>
      </c>
      <c r="H1459" s="88" t="s">
        <v>8660</v>
      </c>
      <c r="I1459" s="89">
        <v>2754</v>
      </c>
      <c r="J1459" s="90">
        <f>SUMIF(Cargas!$C$5:$C$3470,C1459,Cargas!$O$5:$O$3470)</f>
        <v>2754</v>
      </c>
      <c r="K1459" s="91">
        <f t="shared" si="26"/>
        <v>0</v>
      </c>
      <c r="L1459" s="122" t="s">
        <v>9064</v>
      </c>
      <c r="M1459" s="92">
        <v>174501</v>
      </c>
    </row>
    <row r="1460" spans="1:13" s="103" customFormat="1" hidden="1" x14ac:dyDescent="0.25">
      <c r="B1460" s="95">
        <v>45902</v>
      </c>
      <c r="C1460" s="96" t="s">
        <v>4529</v>
      </c>
      <c r="D1460" s="97" t="s">
        <v>7048</v>
      </c>
      <c r="E1460" s="135" t="s">
        <v>6764</v>
      </c>
      <c r="F1460" s="135"/>
      <c r="G1460" s="97" t="s">
        <v>6443</v>
      </c>
      <c r="H1460" s="97" t="s">
        <v>6768</v>
      </c>
      <c r="I1460" s="98">
        <v>2754</v>
      </c>
      <c r="J1460" s="99">
        <f>SUMIF(Cargas!$C$5:$C$3470,C1460,Cargas!$O$5:$O$3470)</f>
        <v>2754</v>
      </c>
      <c r="K1460" s="100">
        <f t="shared" si="26"/>
        <v>0</v>
      </c>
      <c r="L1460" s="136" t="s">
        <v>9065</v>
      </c>
      <c r="M1460" s="102">
        <v>175252</v>
      </c>
    </row>
    <row r="1461" spans="1:13" s="93" customFormat="1" hidden="1" x14ac:dyDescent="0.25">
      <c r="A1461" s="103"/>
      <c r="B1461" s="95">
        <v>45904</v>
      </c>
      <c r="C1461" s="96" t="s">
        <v>4576</v>
      </c>
      <c r="D1461" s="97" t="s">
        <v>7051</v>
      </c>
      <c r="E1461" s="135" t="s">
        <v>8917</v>
      </c>
      <c r="F1461" s="135"/>
      <c r="G1461" s="97" t="s">
        <v>6665</v>
      </c>
      <c r="H1461" s="97" t="s">
        <v>7061</v>
      </c>
      <c r="I1461" s="98">
        <v>3960</v>
      </c>
      <c r="J1461" s="99">
        <f>SUMIF(Cargas!$C$5:$C$3470,C1461,Cargas!$O$5:$O$3470)</f>
        <v>3960</v>
      </c>
      <c r="K1461" s="100">
        <f t="shared" si="26"/>
        <v>0</v>
      </c>
      <c r="L1461" s="136" t="s">
        <v>9066</v>
      </c>
      <c r="M1461" s="102">
        <v>178202</v>
      </c>
    </row>
    <row r="1462" spans="1:13" s="93" customFormat="1" hidden="1" x14ac:dyDescent="0.25">
      <c r="B1462" s="86">
        <v>45903</v>
      </c>
      <c r="C1462" s="87" t="s">
        <v>4541</v>
      </c>
      <c r="D1462" s="88" t="s">
        <v>7054</v>
      </c>
      <c r="E1462" s="121" t="s">
        <v>6764</v>
      </c>
      <c r="F1462" s="121"/>
      <c r="G1462" s="88" t="s">
        <v>6443</v>
      </c>
      <c r="H1462" s="88" t="s">
        <v>8574</v>
      </c>
      <c r="I1462" s="89">
        <v>8910</v>
      </c>
      <c r="J1462" s="90">
        <f>SUMIF(Cargas!$C$5:$C$3470,C1462,Cargas!$O$5:$O$3470)</f>
        <v>8910</v>
      </c>
      <c r="K1462" s="91">
        <f t="shared" si="26"/>
        <v>0</v>
      </c>
      <c r="L1462" s="122" t="s">
        <v>9067</v>
      </c>
      <c r="M1462" s="92">
        <v>176115</v>
      </c>
    </row>
    <row r="1463" spans="1:13" s="93" customFormat="1" hidden="1" x14ac:dyDescent="0.25">
      <c r="B1463" s="86">
        <v>45903</v>
      </c>
      <c r="C1463" s="87" t="s">
        <v>4570</v>
      </c>
      <c r="D1463" s="88" t="s">
        <v>7057</v>
      </c>
      <c r="E1463" s="121" t="s">
        <v>6764</v>
      </c>
      <c r="F1463" s="121"/>
      <c r="G1463" s="88" t="s">
        <v>6443</v>
      </c>
      <c r="H1463" s="88" t="s">
        <v>6963</v>
      </c>
      <c r="I1463" s="89">
        <v>2970</v>
      </c>
      <c r="J1463" s="90">
        <f>SUMIF(Cargas!$C$5:$C$3470,C1463,Cargas!$O$5:$O$3470)</f>
        <v>2970</v>
      </c>
      <c r="K1463" s="91">
        <f t="shared" si="26"/>
        <v>0</v>
      </c>
      <c r="L1463" s="122" t="s">
        <v>9068</v>
      </c>
      <c r="M1463" s="92">
        <v>179585</v>
      </c>
    </row>
    <row r="1464" spans="1:13" s="93" customFormat="1" hidden="1" x14ac:dyDescent="0.25">
      <c r="B1464" s="86">
        <v>45878</v>
      </c>
      <c r="C1464" s="87" t="s">
        <v>4588</v>
      </c>
      <c r="D1464" s="88" t="s">
        <v>7060</v>
      </c>
      <c r="E1464" s="121" t="s">
        <v>6764</v>
      </c>
      <c r="F1464" s="121"/>
      <c r="G1464" s="88" t="s">
        <v>6443</v>
      </c>
      <c r="H1464" s="88" t="s">
        <v>7061</v>
      </c>
      <c r="I1464" s="89">
        <v>990</v>
      </c>
      <c r="J1464" s="90">
        <f>SUMIF(Cargas!$C$5:$C$3470,C1464,Cargas!$O$5:$O$3470)</f>
        <v>990</v>
      </c>
      <c r="K1464" s="91">
        <f t="shared" si="26"/>
        <v>0</v>
      </c>
      <c r="L1464" s="122" t="s">
        <v>9069</v>
      </c>
      <c r="M1464" s="92">
        <v>179612</v>
      </c>
    </row>
    <row r="1465" spans="1:13" s="93" customFormat="1" hidden="1" x14ac:dyDescent="0.25">
      <c r="B1465" s="86">
        <v>45878</v>
      </c>
      <c r="C1465" s="87" t="s">
        <v>4623</v>
      </c>
      <c r="D1465" s="88" t="s">
        <v>7064</v>
      </c>
      <c r="E1465" s="121" t="s">
        <v>6764</v>
      </c>
      <c r="F1465" s="121"/>
      <c r="G1465" s="88" t="s">
        <v>6443</v>
      </c>
      <c r="H1465" s="88" t="s">
        <v>6862</v>
      </c>
      <c r="I1465" s="89">
        <f>936*2</f>
        <v>1872</v>
      </c>
      <c r="J1465" s="90">
        <f>SUMIF(Cargas!$C$5:$C$3470,C1465,Cargas!$O$5:$O$3470)</f>
        <v>1872</v>
      </c>
      <c r="K1465" s="91">
        <f t="shared" si="26"/>
        <v>0</v>
      </c>
      <c r="L1465" s="122" t="s">
        <v>9070</v>
      </c>
      <c r="M1465" s="92">
        <v>183918</v>
      </c>
    </row>
    <row r="1466" spans="1:13" s="93" customFormat="1" hidden="1" x14ac:dyDescent="0.25">
      <c r="B1466" s="86">
        <v>45910</v>
      </c>
      <c r="C1466" s="87" t="s">
        <v>4595</v>
      </c>
      <c r="D1466" s="88" t="s">
        <v>8772</v>
      </c>
      <c r="E1466" s="121" t="s">
        <v>6764</v>
      </c>
      <c r="F1466" s="121"/>
      <c r="G1466" s="88" t="s">
        <v>6443</v>
      </c>
      <c r="H1466" s="88" t="s">
        <v>8574</v>
      </c>
      <c r="I1466" s="89">
        <v>8910</v>
      </c>
      <c r="J1466" s="90">
        <f>SUMIF(Cargas!$C$5:$C$3470,C1466,Cargas!$O$5:$O$3470)</f>
        <v>8910</v>
      </c>
      <c r="K1466" s="91">
        <f t="shared" si="26"/>
        <v>0</v>
      </c>
      <c r="L1466" s="122" t="s">
        <v>9071</v>
      </c>
      <c r="M1466" s="92">
        <v>181727</v>
      </c>
    </row>
    <row r="1467" spans="1:13" s="93" customFormat="1" hidden="1" x14ac:dyDescent="0.25">
      <c r="B1467" s="86">
        <v>45916</v>
      </c>
      <c r="C1467" s="87" t="s">
        <v>4644</v>
      </c>
      <c r="D1467" s="88" t="s">
        <v>7074</v>
      </c>
      <c r="E1467" s="121" t="s">
        <v>6764</v>
      </c>
      <c r="F1467" s="121"/>
      <c r="G1467" s="88" t="s">
        <v>6443</v>
      </c>
      <c r="H1467" s="88" t="s">
        <v>6963</v>
      </c>
      <c r="I1467" s="89">
        <v>2970</v>
      </c>
      <c r="J1467" s="90">
        <f>SUMIF(Cargas!$C$5:$C$3470,C1467,Cargas!$O$5:$O$3470)</f>
        <v>2970</v>
      </c>
      <c r="K1467" s="91">
        <f t="shared" si="26"/>
        <v>0</v>
      </c>
      <c r="L1467" s="122" t="s">
        <v>9072</v>
      </c>
      <c r="M1467" s="92">
        <v>187366</v>
      </c>
    </row>
    <row r="1468" spans="1:13" s="93" customFormat="1" hidden="1" x14ac:dyDescent="0.25">
      <c r="B1468" s="86">
        <v>45916</v>
      </c>
      <c r="C1468" s="87" t="s">
        <v>4673</v>
      </c>
      <c r="D1468" s="88" t="s">
        <v>7077</v>
      </c>
      <c r="E1468" s="121" t="s">
        <v>6764</v>
      </c>
      <c r="F1468" s="121"/>
      <c r="G1468" s="88" t="s">
        <v>6443</v>
      </c>
      <c r="H1468" s="88" t="s">
        <v>6862</v>
      </c>
      <c r="I1468" s="89">
        <v>1872</v>
      </c>
      <c r="J1468" s="90">
        <f>SUMIF(Cargas!$C$5:$C$3470,C1468,Cargas!$O$5:$O$3470)</f>
        <v>1872</v>
      </c>
      <c r="K1468" s="91">
        <f t="shared" si="26"/>
        <v>0</v>
      </c>
      <c r="L1468" s="122" t="s">
        <v>9073</v>
      </c>
      <c r="M1468" s="92">
        <v>189331</v>
      </c>
    </row>
    <row r="1469" spans="1:13" s="93" customFormat="1" ht="18" hidden="1" customHeight="1" x14ac:dyDescent="0.25">
      <c r="B1469" s="86">
        <v>45917</v>
      </c>
      <c r="C1469" s="87" t="s">
        <v>4647</v>
      </c>
      <c r="D1469" s="88" t="s">
        <v>7080</v>
      </c>
      <c r="E1469" s="121" t="s">
        <v>6764</v>
      </c>
      <c r="F1469" s="121"/>
      <c r="G1469" s="88" t="s">
        <v>6443</v>
      </c>
      <c r="H1469" s="88" t="s">
        <v>8574</v>
      </c>
      <c r="I1469" s="89">
        <v>8910</v>
      </c>
      <c r="J1469" s="90">
        <f>SUMIF(Cargas!$C$5:$C$3470,C1469,Cargas!$O$5:$O$3470)</f>
        <v>8910</v>
      </c>
      <c r="K1469" s="91">
        <f t="shared" si="26"/>
        <v>0</v>
      </c>
      <c r="L1469" s="122" t="s">
        <v>9074</v>
      </c>
      <c r="M1469" s="92">
        <v>187366</v>
      </c>
    </row>
    <row r="1470" spans="1:13" s="93" customFormat="1" ht="18" hidden="1" customHeight="1" x14ac:dyDescent="0.25">
      <c r="B1470" s="86">
        <v>45917</v>
      </c>
      <c r="C1470" s="87" t="s">
        <v>4653</v>
      </c>
      <c r="D1470" s="88" t="s">
        <v>7083</v>
      </c>
      <c r="E1470" s="121" t="s">
        <v>6764</v>
      </c>
      <c r="F1470" s="121"/>
      <c r="G1470" s="88" t="s">
        <v>6443</v>
      </c>
      <c r="H1470" s="88" t="s">
        <v>7061</v>
      </c>
      <c r="I1470" s="89">
        <v>990</v>
      </c>
      <c r="J1470" s="90">
        <f>SUMIF(Cargas!$C$5:$C$3470,C1470,Cargas!$O$5:$O$3470)</f>
        <v>990</v>
      </c>
      <c r="K1470" s="91">
        <f t="shared" si="26"/>
        <v>0</v>
      </c>
      <c r="L1470" s="122" t="s">
        <v>9075</v>
      </c>
      <c r="M1470" s="92">
        <v>188259</v>
      </c>
    </row>
    <row r="1471" spans="1:13" s="93" customFormat="1" ht="18" hidden="1" customHeight="1" x14ac:dyDescent="0.25">
      <c r="B1471" s="86">
        <v>45917</v>
      </c>
      <c r="C1471" s="87" t="s">
        <v>4658</v>
      </c>
      <c r="D1471" s="88" t="s">
        <v>9076</v>
      </c>
      <c r="E1471" s="121" t="s">
        <v>6764</v>
      </c>
      <c r="F1471" s="121"/>
      <c r="G1471" s="88" t="s">
        <v>6443</v>
      </c>
      <c r="H1471" s="88" t="s">
        <v>6768</v>
      </c>
      <c r="I1471" s="89">
        <v>2754</v>
      </c>
      <c r="J1471" s="90">
        <f>SUMIF(Cargas!$C$5:$C$3470,C1471,Cargas!$O$5:$O$3470)</f>
        <v>2754</v>
      </c>
      <c r="K1471" s="91">
        <f t="shared" si="26"/>
        <v>0</v>
      </c>
      <c r="L1471" s="122" t="s">
        <v>9077</v>
      </c>
      <c r="M1471" s="92">
        <v>188679</v>
      </c>
    </row>
    <row r="1472" spans="1:13" s="93" customFormat="1" ht="18" hidden="1" customHeight="1" x14ac:dyDescent="0.25">
      <c r="A1472" s="103"/>
      <c r="B1472" s="95">
        <v>45917</v>
      </c>
      <c r="C1472" s="96" t="s">
        <v>4661</v>
      </c>
      <c r="D1472" s="97" t="s">
        <v>7086</v>
      </c>
      <c r="E1472" s="135" t="s">
        <v>8917</v>
      </c>
      <c r="F1472" s="135"/>
      <c r="G1472" s="97" t="s">
        <v>6665</v>
      </c>
      <c r="H1472" s="97" t="s">
        <v>7061</v>
      </c>
      <c r="I1472" s="98">
        <v>3960</v>
      </c>
      <c r="J1472" s="99">
        <f>SUMIF(Cargas!$C$5:$C$3470,C1472,Cargas!$O$5:$O$3470)</f>
        <v>3960</v>
      </c>
      <c r="K1472" s="100">
        <f t="shared" si="26"/>
        <v>0</v>
      </c>
      <c r="L1472" s="136" t="s">
        <v>9078</v>
      </c>
      <c r="M1472" s="102">
        <v>188246</v>
      </c>
    </row>
    <row r="1473" spans="1:14" s="93" customFormat="1" ht="18" hidden="1" customHeight="1" x14ac:dyDescent="0.25">
      <c r="B1473" s="86">
        <v>45923</v>
      </c>
      <c r="C1473" s="87" t="s">
        <v>4703</v>
      </c>
      <c r="D1473" s="88" t="s">
        <v>7089</v>
      </c>
      <c r="E1473" s="121" t="s">
        <v>6764</v>
      </c>
      <c r="F1473" s="121"/>
      <c r="G1473" s="88" t="s">
        <v>6443</v>
      </c>
      <c r="H1473" s="88" t="s">
        <v>8574</v>
      </c>
      <c r="I1473" s="89">
        <v>8910</v>
      </c>
      <c r="J1473" s="90">
        <f>SUMIF(Cargas!$C$5:$C$3470,C1473,Cargas!$O$5:$O$3470)</f>
        <v>8910</v>
      </c>
      <c r="K1473" s="91">
        <f t="shared" si="26"/>
        <v>0</v>
      </c>
      <c r="L1473" s="122">
        <v>1537456</v>
      </c>
      <c r="M1473" s="92">
        <v>192924</v>
      </c>
    </row>
    <row r="1474" spans="1:14" s="93" customFormat="1" hidden="1" x14ac:dyDescent="0.25">
      <c r="B1474" s="86">
        <v>45924</v>
      </c>
      <c r="C1474" s="87" t="s">
        <v>4721</v>
      </c>
      <c r="D1474" s="88" t="s">
        <v>7092</v>
      </c>
      <c r="E1474" s="121" t="s">
        <v>6764</v>
      </c>
      <c r="F1474" s="121"/>
      <c r="G1474" s="88" t="s">
        <v>6443</v>
      </c>
      <c r="H1474" s="88" t="s">
        <v>8660</v>
      </c>
      <c r="I1474" s="89">
        <v>2754</v>
      </c>
      <c r="J1474" s="90">
        <f>SUMIF(Cargas!$C$5:$C$3470,C1474,Cargas!$O$5:$O$3470)</f>
        <v>2754</v>
      </c>
      <c r="K1474" s="91">
        <f t="shared" si="26"/>
        <v>0</v>
      </c>
      <c r="L1474" s="122" t="s">
        <v>9079</v>
      </c>
      <c r="M1474" s="92">
        <v>193647</v>
      </c>
    </row>
    <row r="1475" spans="1:14" s="93" customFormat="1" hidden="1" x14ac:dyDescent="0.25">
      <c r="B1475" s="86">
        <v>45922</v>
      </c>
      <c r="C1475" s="87" t="s">
        <v>4743</v>
      </c>
      <c r="D1475" s="88" t="s">
        <v>7095</v>
      </c>
      <c r="E1475" s="121" t="s">
        <v>6764</v>
      </c>
      <c r="F1475" s="121"/>
      <c r="G1475" s="88" t="s">
        <v>6443</v>
      </c>
      <c r="H1475" s="88" t="s">
        <v>6862</v>
      </c>
      <c r="I1475" s="89">
        <v>1872</v>
      </c>
      <c r="J1475" s="90">
        <f>SUMIF(Cargas!$C$5:$C$3470,C1475,Cargas!$O$5:$O$3470)</f>
        <v>1872</v>
      </c>
      <c r="K1475" s="91">
        <f t="shared" si="26"/>
        <v>0</v>
      </c>
      <c r="L1475" s="122" t="s">
        <v>9080</v>
      </c>
      <c r="M1475" s="92">
        <v>194094</v>
      </c>
    </row>
    <row r="1476" spans="1:14" s="93" customFormat="1" hidden="1" x14ac:dyDescent="0.25">
      <c r="A1476" s="103"/>
      <c r="B1476" s="95">
        <v>45926</v>
      </c>
      <c r="C1476" s="96" t="s">
        <v>4740</v>
      </c>
      <c r="D1476" s="97" t="s">
        <v>7067</v>
      </c>
      <c r="E1476" s="135" t="s">
        <v>8917</v>
      </c>
      <c r="F1476" s="135"/>
      <c r="G1476" s="97" t="s">
        <v>6665</v>
      </c>
      <c r="H1476" s="97" t="s">
        <v>7061</v>
      </c>
      <c r="I1476" s="98">
        <v>3960</v>
      </c>
      <c r="J1476" s="99">
        <f>SUMIF(Cargas!$C$5:$C$3470,C1476,Cargas!$O$5:$O$3470)</f>
        <v>3960</v>
      </c>
      <c r="K1476" s="100">
        <f t="shared" si="26"/>
        <v>0</v>
      </c>
      <c r="L1476" s="136" t="s">
        <v>9081</v>
      </c>
      <c r="M1476" s="102">
        <v>194149</v>
      </c>
    </row>
    <row r="1477" spans="1:14" s="199" customFormat="1" hidden="1" x14ac:dyDescent="0.25">
      <c r="A1477" s="93"/>
      <c r="B1477" s="86">
        <v>45930</v>
      </c>
      <c r="C1477" s="87" t="s">
        <v>4781</v>
      </c>
      <c r="D1477" s="88" t="s">
        <v>7100</v>
      </c>
      <c r="E1477" s="121" t="s">
        <v>6764</v>
      </c>
      <c r="F1477" s="121"/>
      <c r="G1477" s="88" t="s">
        <v>6443</v>
      </c>
      <c r="H1477" s="88" t="s">
        <v>6862</v>
      </c>
      <c r="I1477" s="89">
        <v>1872</v>
      </c>
      <c r="J1477" s="90">
        <f>SUMIF(Cargas!$C$5:$C$3470,C1477,Cargas!$O$5:$O$3470)</f>
        <v>1872</v>
      </c>
      <c r="K1477" s="91">
        <f t="shared" si="26"/>
        <v>0</v>
      </c>
      <c r="L1477" s="122">
        <v>1537624</v>
      </c>
      <c r="M1477" s="92"/>
    </row>
    <row r="1478" spans="1:14" s="93" customFormat="1" hidden="1" x14ac:dyDescent="0.25">
      <c r="B1478" s="86">
        <v>45930</v>
      </c>
      <c r="C1478" s="87" t="s">
        <v>4781</v>
      </c>
      <c r="D1478" s="88" t="s">
        <v>7100</v>
      </c>
      <c r="E1478" s="121" t="s">
        <v>6764</v>
      </c>
      <c r="F1478" s="121"/>
      <c r="G1478" s="88" t="s">
        <v>6443</v>
      </c>
      <c r="H1478" s="88" t="s">
        <v>6862</v>
      </c>
      <c r="I1478" s="89">
        <v>1872</v>
      </c>
      <c r="J1478" s="90">
        <f>SUMIF(Cargas!$C$5:$C$3470,C1478,Cargas!$O$5:$O$3470)</f>
        <v>1872</v>
      </c>
      <c r="K1478" s="91">
        <f t="shared" si="26"/>
        <v>0</v>
      </c>
      <c r="L1478" s="122" t="s">
        <v>9082</v>
      </c>
      <c r="M1478" s="92">
        <v>200429</v>
      </c>
    </row>
    <row r="1479" spans="1:14" s="93" customFormat="1" hidden="1" x14ac:dyDescent="0.25">
      <c r="A1479" s="103"/>
      <c r="B1479" s="95">
        <v>45930</v>
      </c>
      <c r="C1479" s="96" t="s">
        <v>4753</v>
      </c>
      <c r="D1479" s="97" t="s">
        <v>7103</v>
      </c>
      <c r="E1479" s="135" t="s">
        <v>6764</v>
      </c>
      <c r="F1479" s="135"/>
      <c r="G1479" s="97" t="s">
        <v>6443</v>
      </c>
      <c r="H1479" s="97" t="s">
        <v>8574</v>
      </c>
      <c r="I1479" s="98">
        <v>8910</v>
      </c>
      <c r="J1479" s="99">
        <f>SUMIF(Cargas!$C$5:$C$3470,C1479,Cargas!$O$5:$O$3470)</f>
        <v>8910</v>
      </c>
      <c r="K1479" s="100">
        <f t="shared" si="26"/>
        <v>0</v>
      </c>
      <c r="L1479" s="136">
        <v>1537622</v>
      </c>
      <c r="M1479" s="102">
        <v>197619</v>
      </c>
    </row>
    <row r="1480" spans="1:14" s="93" customFormat="1" hidden="1" x14ac:dyDescent="0.25">
      <c r="B1480" s="86">
        <v>45933</v>
      </c>
      <c r="C1480" s="87" t="s">
        <v>4797</v>
      </c>
      <c r="D1480" s="88" t="s">
        <v>7106</v>
      </c>
      <c r="E1480" s="121" t="s">
        <v>6764</v>
      </c>
      <c r="F1480" s="121"/>
      <c r="G1480" s="88" t="s">
        <v>6443</v>
      </c>
      <c r="H1480" s="88" t="s">
        <v>8574</v>
      </c>
      <c r="I1480" s="89">
        <v>8910</v>
      </c>
      <c r="J1480" s="90">
        <f>SUMIF(Cargas!$C$5:$C$3470,C1480,Cargas!$O$5:$O$3470)</f>
        <v>8910</v>
      </c>
      <c r="K1480" s="91">
        <f t="shared" si="26"/>
        <v>0</v>
      </c>
      <c r="L1480" s="122" t="s">
        <v>9083</v>
      </c>
      <c r="M1480" s="92">
        <v>200450</v>
      </c>
    </row>
    <row r="1481" spans="1:14" s="93" customFormat="1" hidden="1" x14ac:dyDescent="0.25">
      <c r="B1481" s="86">
        <v>45936</v>
      </c>
      <c r="C1481" s="87" t="s">
        <v>4840</v>
      </c>
      <c r="D1481" s="88" t="s">
        <v>7109</v>
      </c>
      <c r="E1481" s="121" t="s">
        <v>6764</v>
      </c>
      <c r="F1481" s="121"/>
      <c r="G1481" s="88" t="s">
        <v>6443</v>
      </c>
      <c r="H1481" s="88" t="s">
        <v>6963</v>
      </c>
      <c r="I1481" s="89">
        <v>2970</v>
      </c>
      <c r="J1481" s="90">
        <f>SUMIF(Cargas!$C$5:$C$3470,C1481,Cargas!$O$5:$O$3470)</f>
        <v>2970</v>
      </c>
      <c r="K1481" s="91">
        <f t="shared" si="26"/>
        <v>0</v>
      </c>
      <c r="L1481" s="122" t="s">
        <v>9084</v>
      </c>
      <c r="M1481" s="92">
        <v>203626</v>
      </c>
    </row>
    <row r="1482" spans="1:14" s="93" customFormat="1" hidden="1" x14ac:dyDescent="0.25">
      <c r="B1482" s="86">
        <v>45937</v>
      </c>
      <c r="C1482" s="87" t="s">
        <v>4832</v>
      </c>
      <c r="D1482" s="88" t="s">
        <v>7112</v>
      </c>
      <c r="E1482" s="121" t="s">
        <v>6764</v>
      </c>
      <c r="F1482" s="121"/>
      <c r="G1482" s="88" t="s">
        <v>6443</v>
      </c>
      <c r="H1482" s="88" t="s">
        <v>6862</v>
      </c>
      <c r="I1482" s="89">
        <v>2754</v>
      </c>
      <c r="J1482" s="90">
        <f>SUMIF(Cargas!$C$5:$C$3470,C1482,Cargas!$O$5:$O$3470)</f>
        <v>2754</v>
      </c>
      <c r="K1482" s="91">
        <f t="shared" si="26"/>
        <v>0</v>
      </c>
      <c r="L1482" s="122" t="s">
        <v>9085</v>
      </c>
      <c r="M1482" s="92">
        <v>203665</v>
      </c>
    </row>
    <row r="1483" spans="1:14" s="93" customFormat="1" hidden="1" x14ac:dyDescent="0.25">
      <c r="B1483" s="86">
        <v>45937</v>
      </c>
      <c r="C1483" s="87" t="s">
        <v>4837</v>
      </c>
      <c r="D1483" s="88" t="s">
        <v>7115</v>
      </c>
      <c r="E1483" s="121" t="s">
        <v>6764</v>
      </c>
      <c r="F1483" s="121"/>
      <c r="G1483" s="88" t="s">
        <v>6443</v>
      </c>
      <c r="H1483" s="88" t="s">
        <v>6768</v>
      </c>
      <c r="I1483" s="89">
        <v>2754</v>
      </c>
      <c r="J1483" s="90">
        <f>SUMIF(Cargas!$C$5:$C$3470,C1483,Cargas!$O$5:$O$3470)</f>
        <v>2754</v>
      </c>
      <c r="K1483" s="91">
        <f t="shared" si="26"/>
        <v>0</v>
      </c>
      <c r="L1483" s="122" t="s">
        <v>9086</v>
      </c>
      <c r="M1483" s="92">
        <v>203654</v>
      </c>
    </row>
    <row r="1484" spans="1:14" s="93" customFormat="1" hidden="1" x14ac:dyDescent="0.25">
      <c r="B1484" s="86">
        <v>45936</v>
      </c>
      <c r="C1484" s="87" t="s">
        <v>4819</v>
      </c>
      <c r="D1484" s="88" t="s">
        <v>7118</v>
      </c>
      <c r="E1484" s="121" t="s">
        <v>8917</v>
      </c>
      <c r="F1484" s="121"/>
      <c r="G1484" s="88" t="s">
        <v>6665</v>
      </c>
      <c r="H1484" s="88" t="s">
        <v>7061</v>
      </c>
      <c r="I1484" s="89">
        <v>3960</v>
      </c>
      <c r="J1484" s="90">
        <f>SUMIF(Cargas!$C$5:$C$3470,C1484,Cargas!$O$5:$O$3470)</f>
        <v>3961</v>
      </c>
      <c r="K1484" s="91">
        <f t="shared" si="26"/>
        <v>0</v>
      </c>
      <c r="L1484" s="122" t="s">
        <v>9087</v>
      </c>
      <c r="M1484" s="92">
        <v>202758</v>
      </c>
    </row>
    <row r="1485" spans="1:14" s="93" customFormat="1" hidden="1" x14ac:dyDescent="0.25">
      <c r="B1485" s="86">
        <v>45943</v>
      </c>
      <c r="C1485" s="87" t="s">
        <v>4866</v>
      </c>
      <c r="D1485" s="88" t="s">
        <v>7121</v>
      </c>
      <c r="E1485" s="121" t="s">
        <v>6764</v>
      </c>
      <c r="F1485" s="121"/>
      <c r="G1485" s="88" t="s">
        <v>6443</v>
      </c>
      <c r="H1485" s="88" t="s">
        <v>8574</v>
      </c>
      <c r="I1485" s="89">
        <v>8910</v>
      </c>
      <c r="J1485" s="90">
        <f>SUMIF(Cargas!$C$5:$C$3470,C1485,Cargas!$O$5:$O$3470)</f>
        <v>8910</v>
      </c>
      <c r="K1485" s="91">
        <f t="shared" si="26"/>
        <v>0</v>
      </c>
      <c r="L1485" s="122" t="s">
        <v>9088</v>
      </c>
      <c r="M1485" s="92">
        <v>208075</v>
      </c>
    </row>
    <row r="1486" spans="1:14" s="198" customFormat="1" hidden="1" x14ac:dyDescent="0.25">
      <c r="A1486" s="93"/>
      <c r="B1486" s="86">
        <v>45943</v>
      </c>
      <c r="C1486" s="87" t="s">
        <v>4863</v>
      </c>
      <c r="D1486" s="88" t="s">
        <v>7125</v>
      </c>
      <c r="E1486" s="121" t="s">
        <v>8917</v>
      </c>
      <c r="F1486" s="121"/>
      <c r="G1486" s="88" t="s">
        <v>6443</v>
      </c>
      <c r="H1486" s="88" t="s">
        <v>7061</v>
      </c>
      <c r="I1486" s="89">
        <v>3960</v>
      </c>
      <c r="J1486" s="90">
        <f>SUMIF(Cargas!$C$5:$C$3470,C1486,Cargas!$O$5:$O$3470)</f>
        <v>3960</v>
      </c>
      <c r="K1486" s="91">
        <f t="shared" si="26"/>
        <v>0</v>
      </c>
      <c r="L1486" s="122" t="s">
        <v>9089</v>
      </c>
      <c r="M1486" s="92">
        <v>208112</v>
      </c>
      <c r="N1486" s="198" t="s">
        <v>9090</v>
      </c>
    </row>
    <row r="1487" spans="1:14" s="93" customFormat="1" hidden="1" x14ac:dyDescent="0.25">
      <c r="B1487" s="86">
        <v>45943</v>
      </c>
      <c r="C1487" s="87" t="s">
        <v>4891</v>
      </c>
      <c r="D1487" s="88" t="s">
        <v>7128</v>
      </c>
      <c r="E1487" s="121" t="s">
        <v>6764</v>
      </c>
      <c r="F1487" s="121"/>
      <c r="G1487" s="88" t="s">
        <v>6443</v>
      </c>
      <c r="H1487" s="88" t="s">
        <v>8660</v>
      </c>
      <c r="I1487" s="89">
        <v>2754</v>
      </c>
      <c r="J1487" s="90">
        <f>SUMIF(Cargas!$C$5:$C$3470,C1487,Cargas!$O$5:$O$3470)</f>
        <v>2754</v>
      </c>
      <c r="K1487" s="91">
        <f t="shared" si="26"/>
        <v>0</v>
      </c>
      <c r="L1487" s="122" t="s">
        <v>9091</v>
      </c>
      <c r="M1487" s="92">
        <v>210777</v>
      </c>
      <c r="N1487" s="198" t="s">
        <v>9092</v>
      </c>
    </row>
    <row r="1488" spans="1:14" s="93" customFormat="1" hidden="1" x14ac:dyDescent="0.25">
      <c r="B1488" s="86">
        <v>45947</v>
      </c>
      <c r="C1488" s="87" t="s">
        <v>4910</v>
      </c>
      <c r="D1488" s="88" t="s">
        <v>7131</v>
      </c>
      <c r="E1488" s="121" t="s">
        <v>6764</v>
      </c>
      <c r="F1488" s="121"/>
      <c r="G1488" s="88" t="s">
        <v>6443</v>
      </c>
      <c r="H1488" s="88" t="s">
        <v>8574</v>
      </c>
      <c r="I1488" s="89">
        <v>8910</v>
      </c>
      <c r="J1488" s="90">
        <f>SUMIF(Cargas!$C$5:$C$3470,C1488,Cargas!$O$5:$O$3470)</f>
        <v>8910</v>
      </c>
      <c r="K1488" s="91">
        <f t="shared" ref="K1488:K1532" si="27">IF(ABS(I1488-J1488)&lt;20,0,I1488-J1488)</f>
        <v>0</v>
      </c>
      <c r="L1488" s="122" t="s">
        <v>9093</v>
      </c>
      <c r="M1488" s="92">
        <v>211371</v>
      </c>
    </row>
    <row r="1489" spans="1:19" s="93" customFormat="1" hidden="1" x14ac:dyDescent="0.25">
      <c r="B1489" s="86">
        <v>45950</v>
      </c>
      <c r="C1489" s="87" t="s">
        <v>4913</v>
      </c>
      <c r="D1489" s="88" t="s">
        <v>7134</v>
      </c>
      <c r="E1489" s="121" t="s">
        <v>6764</v>
      </c>
      <c r="F1489" s="121"/>
      <c r="G1489" s="88" t="s">
        <v>6443</v>
      </c>
      <c r="H1489" s="88" t="s">
        <v>7061</v>
      </c>
      <c r="I1489" s="89">
        <v>2970</v>
      </c>
      <c r="J1489" s="90">
        <f>SUMIF(Cargas!$C$5:$C$3470,C1489,Cargas!$O$5:$O$3470)</f>
        <v>2970</v>
      </c>
      <c r="K1489" s="91">
        <f t="shared" si="27"/>
        <v>0</v>
      </c>
      <c r="L1489" s="122" t="s">
        <v>9094</v>
      </c>
      <c r="M1489" s="92">
        <v>212657</v>
      </c>
    </row>
    <row r="1490" spans="1:19" s="93" customFormat="1" hidden="1" x14ac:dyDescent="0.25">
      <c r="B1490" s="86">
        <v>45951</v>
      </c>
      <c r="C1490" s="87" t="s">
        <v>4921</v>
      </c>
      <c r="D1490" s="88" t="s">
        <v>7444</v>
      </c>
      <c r="E1490" s="121" t="s">
        <v>6764</v>
      </c>
      <c r="F1490" s="121"/>
      <c r="G1490" s="88" t="s">
        <v>6443</v>
      </c>
      <c r="H1490" s="88" t="s">
        <v>6768</v>
      </c>
      <c r="I1490" s="89">
        <v>2754</v>
      </c>
      <c r="J1490" s="90">
        <f>SUMIF(Cargas!$C$5:$C$3470,C1490,Cargas!$O$5:$O$3470)</f>
        <v>2754</v>
      </c>
      <c r="K1490" s="91">
        <f t="shared" si="27"/>
        <v>0</v>
      </c>
      <c r="L1490" s="122" t="s">
        <v>9095</v>
      </c>
      <c r="M1490" s="92">
        <v>214549</v>
      </c>
    </row>
    <row r="1491" spans="1:19" s="93" customFormat="1" hidden="1" x14ac:dyDescent="0.25">
      <c r="B1491" s="86">
        <v>45953</v>
      </c>
      <c r="C1491" s="87" t="s">
        <v>4953</v>
      </c>
      <c r="D1491" s="88" t="s">
        <v>7447</v>
      </c>
      <c r="E1491" s="121" t="s">
        <v>6764</v>
      </c>
      <c r="F1491" s="121"/>
      <c r="G1491" s="88" t="s">
        <v>6443</v>
      </c>
      <c r="H1491" s="88" t="s">
        <v>6862</v>
      </c>
      <c r="I1491" s="89">
        <v>1872</v>
      </c>
      <c r="J1491" s="90">
        <f>SUMIF(Cargas!$C$5:$C$3470,C1491,Cargas!$O$5:$O$3470)</f>
        <v>1872</v>
      </c>
      <c r="K1491" s="91">
        <f t="shared" si="27"/>
        <v>0</v>
      </c>
      <c r="L1491" s="122" t="s">
        <v>9096</v>
      </c>
      <c r="M1491" s="92">
        <v>217875</v>
      </c>
    </row>
    <row r="1492" spans="1:19" s="93" customFormat="1" hidden="1" x14ac:dyDescent="0.25">
      <c r="B1492" s="86">
        <v>45950</v>
      </c>
      <c r="C1492" s="87" t="s">
        <v>4943</v>
      </c>
      <c r="D1492" s="88" t="s">
        <v>7450</v>
      </c>
      <c r="E1492" s="121" t="s">
        <v>8917</v>
      </c>
      <c r="F1492" s="121"/>
      <c r="G1492" s="88" t="s">
        <v>6665</v>
      </c>
      <c r="H1492" s="88" t="s">
        <v>6862</v>
      </c>
      <c r="I1492" s="89">
        <v>2754</v>
      </c>
      <c r="J1492" s="90">
        <f>SUMIF(Cargas!$C$5:$C$3470,C1492,Cargas!$O$5:$O$3470)</f>
        <v>2754</v>
      </c>
      <c r="K1492" s="91">
        <f t="shared" si="27"/>
        <v>0</v>
      </c>
      <c r="L1492" s="122">
        <v>1540044</v>
      </c>
      <c r="M1492" s="92">
        <v>218229</v>
      </c>
    </row>
    <row r="1493" spans="1:19" s="93" customFormat="1" hidden="1" x14ac:dyDescent="0.25">
      <c r="B1493" s="86">
        <v>45960</v>
      </c>
      <c r="C1493" s="87" t="s">
        <v>4994</v>
      </c>
      <c r="D1493" s="88" t="s">
        <v>7453</v>
      </c>
      <c r="E1493" s="121" t="s">
        <v>6764</v>
      </c>
      <c r="F1493" s="121"/>
      <c r="G1493" s="88" t="s">
        <v>6443</v>
      </c>
      <c r="H1493" s="88" t="s">
        <v>6862</v>
      </c>
      <c r="I1493" s="89">
        <v>3744</v>
      </c>
      <c r="J1493" s="90">
        <f>SUMIF(Cargas!$C$5:$C$3470,C1493,Cargas!$O$5:$O$3470)</f>
        <v>3744</v>
      </c>
      <c r="K1493" s="91">
        <f t="shared" si="27"/>
        <v>0</v>
      </c>
      <c r="L1493" s="122" t="s">
        <v>9097</v>
      </c>
      <c r="M1493" s="92">
        <v>224726</v>
      </c>
    </row>
    <row r="1494" spans="1:19" s="93" customFormat="1" hidden="1" x14ac:dyDescent="0.25">
      <c r="B1494" s="86">
        <v>45960</v>
      </c>
      <c r="C1494" s="87" t="s">
        <v>4970</v>
      </c>
      <c r="D1494" s="88" t="s">
        <v>7456</v>
      </c>
      <c r="E1494" s="121" t="s">
        <v>6764</v>
      </c>
      <c r="F1494" s="121"/>
      <c r="G1494" s="88" t="s">
        <v>6443</v>
      </c>
      <c r="H1494" s="88" t="s">
        <v>6768</v>
      </c>
      <c r="I1494" s="89">
        <v>3672</v>
      </c>
      <c r="J1494" s="90">
        <f>SUMIF(Cargas!$C$5:$C$3470,C1494,Cargas!$O$5:$O$3470)</f>
        <v>3672</v>
      </c>
      <c r="K1494" s="91">
        <f t="shared" si="27"/>
        <v>0</v>
      </c>
      <c r="L1494" s="122" t="s">
        <v>9098</v>
      </c>
      <c r="M1494" s="92">
        <v>221249</v>
      </c>
    </row>
    <row r="1495" spans="1:19" s="93" customFormat="1" hidden="1" x14ac:dyDescent="0.25">
      <c r="B1495" s="86">
        <v>45961</v>
      </c>
      <c r="C1495" s="87" t="s">
        <v>4987</v>
      </c>
      <c r="D1495" s="88" t="s">
        <v>7459</v>
      </c>
      <c r="E1495" s="121" t="s">
        <v>6764</v>
      </c>
      <c r="F1495" s="121"/>
      <c r="G1495" s="88" t="s">
        <v>6443</v>
      </c>
      <c r="H1495" s="88" t="s">
        <v>8574</v>
      </c>
      <c r="I1495" s="89">
        <v>4950</v>
      </c>
      <c r="J1495" s="90">
        <f>SUMIF(Cargas!$C$5:$C$3470,C1495,Cargas!$O$5:$O$3470)</f>
        <v>4950</v>
      </c>
      <c r="K1495" s="91">
        <f t="shared" si="27"/>
        <v>0</v>
      </c>
      <c r="L1495" s="122" t="s">
        <v>9099</v>
      </c>
      <c r="M1495" s="92">
        <v>222494</v>
      </c>
    </row>
    <row r="1496" spans="1:19" s="93" customFormat="1" hidden="1" x14ac:dyDescent="0.25">
      <c r="B1496" s="86">
        <v>45959</v>
      </c>
      <c r="C1496" s="87" t="s">
        <v>4973</v>
      </c>
      <c r="D1496" s="88" t="s">
        <v>7462</v>
      </c>
      <c r="E1496" s="121" t="s">
        <v>8917</v>
      </c>
      <c r="F1496" s="121"/>
      <c r="G1496" s="88" t="s">
        <v>6443</v>
      </c>
      <c r="H1496" s="88" t="s">
        <v>7061</v>
      </c>
      <c r="I1496" s="89">
        <v>3960</v>
      </c>
      <c r="J1496" s="90">
        <f>SUMIF(Cargas!$C$5:$C$3470,C1496,Cargas!$O$5:$O$3470)</f>
        <v>3960</v>
      </c>
      <c r="K1496" s="91">
        <f t="shared" si="27"/>
        <v>0</v>
      </c>
      <c r="L1496" s="122" t="s">
        <v>9100</v>
      </c>
      <c r="M1496" s="92">
        <v>221607</v>
      </c>
    </row>
    <row r="1497" spans="1:19" s="93" customFormat="1" hidden="1" x14ac:dyDescent="0.25">
      <c r="B1497" s="86">
        <v>45965</v>
      </c>
      <c r="C1497" s="87" t="s">
        <v>5028</v>
      </c>
      <c r="D1497" s="88" t="s">
        <v>9101</v>
      </c>
      <c r="E1497" s="121" t="s">
        <v>6764</v>
      </c>
      <c r="F1497" s="121"/>
      <c r="G1497" s="88" t="s">
        <v>6443</v>
      </c>
      <c r="H1497" s="88" t="s">
        <v>7888</v>
      </c>
      <c r="I1497" s="89">
        <v>5616</v>
      </c>
      <c r="J1497" s="90">
        <f>SUMIF(Cargas!$C$5:$C$3470,C1497,Cargas!$O$5:$O$3470)</f>
        <v>5616</v>
      </c>
      <c r="K1497" s="91">
        <f t="shared" si="27"/>
        <v>0</v>
      </c>
      <c r="L1497" s="122" t="s">
        <v>9102</v>
      </c>
      <c r="M1497" s="92">
        <v>228348</v>
      </c>
    </row>
    <row r="1498" spans="1:19" s="93" customFormat="1" hidden="1" x14ac:dyDescent="0.25">
      <c r="B1498" s="86">
        <v>45967</v>
      </c>
      <c r="C1498" s="87" t="s">
        <v>5063</v>
      </c>
      <c r="D1498" s="88" t="s">
        <v>9103</v>
      </c>
      <c r="E1498" s="121" t="s">
        <v>6764</v>
      </c>
      <c r="F1498" s="121"/>
      <c r="G1498" s="88" t="s">
        <v>6443</v>
      </c>
      <c r="H1498" s="88" t="s">
        <v>6862</v>
      </c>
      <c r="I1498" s="89">
        <v>1872</v>
      </c>
      <c r="J1498" s="90">
        <f>SUMIF(Cargas!$C$5:$C$3470,C1498,Cargas!$O$5:$O$3470)</f>
        <v>1872</v>
      </c>
      <c r="K1498" s="91">
        <f t="shared" si="27"/>
        <v>0</v>
      </c>
      <c r="L1498" s="122" t="s">
        <v>9104</v>
      </c>
      <c r="M1498" s="92">
        <v>229660</v>
      </c>
    </row>
    <row r="1499" spans="1:19" hidden="1" x14ac:dyDescent="0.25">
      <c r="A1499" s="93"/>
      <c r="B1499" s="86">
        <v>45967</v>
      </c>
      <c r="C1499" s="87" t="s">
        <v>5015</v>
      </c>
      <c r="D1499" s="88" t="s">
        <v>9105</v>
      </c>
      <c r="E1499" s="121" t="s">
        <v>6764</v>
      </c>
      <c r="F1499" s="121"/>
      <c r="G1499" s="88" t="s">
        <v>6443</v>
      </c>
      <c r="H1499" s="88" t="s">
        <v>8574</v>
      </c>
      <c r="I1499" s="89">
        <v>5940</v>
      </c>
      <c r="J1499" s="90">
        <f>SUMIF(Cargas!$C$5:$C$3470,C1499,Cargas!$O$5:$O$3470)</f>
        <v>5940</v>
      </c>
      <c r="K1499" s="91">
        <f t="shared" si="27"/>
        <v>0</v>
      </c>
      <c r="L1499" s="122" t="s">
        <v>9106</v>
      </c>
      <c r="M1499" s="92">
        <v>228501</v>
      </c>
    </row>
    <row r="1500" spans="1:19" s="93" customFormat="1" hidden="1" x14ac:dyDescent="0.25">
      <c r="B1500" s="86">
        <v>45973</v>
      </c>
      <c r="C1500" s="87" t="s">
        <v>5042</v>
      </c>
      <c r="D1500" s="88" t="s">
        <v>9107</v>
      </c>
      <c r="E1500" s="121" t="s">
        <v>6764</v>
      </c>
      <c r="F1500" s="121"/>
      <c r="G1500" s="88" t="s">
        <v>6443</v>
      </c>
      <c r="H1500" s="88" t="s">
        <v>6768</v>
      </c>
      <c r="I1500" s="89">
        <v>2754</v>
      </c>
      <c r="J1500" s="90">
        <f>SUMIF(Cargas!$C$5:$C$3470,C1500,Cargas!$O$5:$O$3470)</f>
        <v>2754</v>
      </c>
      <c r="K1500" s="91">
        <f t="shared" si="27"/>
        <v>0</v>
      </c>
      <c r="L1500" s="122" t="s">
        <v>9108</v>
      </c>
      <c r="M1500" s="92">
        <v>231173</v>
      </c>
      <c r="N1500"/>
      <c r="O1500"/>
      <c r="P1500"/>
      <c r="Q1500"/>
      <c r="R1500"/>
      <c r="S1500"/>
    </row>
    <row r="1501" spans="1:19" s="93" customFormat="1" hidden="1" x14ac:dyDescent="0.25">
      <c r="B1501" s="86">
        <v>45974</v>
      </c>
      <c r="C1501" s="87" t="s">
        <v>5104</v>
      </c>
      <c r="D1501" s="88" t="s">
        <v>9109</v>
      </c>
      <c r="E1501" s="121" t="s">
        <v>6764</v>
      </c>
      <c r="F1501" s="121"/>
      <c r="G1501" s="88" t="s">
        <v>6443</v>
      </c>
      <c r="H1501" s="88" t="s">
        <v>7888</v>
      </c>
      <c r="I1501" s="89">
        <v>5616</v>
      </c>
      <c r="J1501" s="90">
        <f>SUMIF(Cargas!$C$5:$C$3470,C1501,Cargas!$O$5:$O$3470)</f>
        <v>5616</v>
      </c>
      <c r="K1501" s="91">
        <f t="shared" si="27"/>
        <v>0</v>
      </c>
      <c r="L1501" s="122" t="s">
        <v>9110</v>
      </c>
      <c r="M1501" s="92">
        <v>237359</v>
      </c>
    </row>
    <row r="1502" spans="1:19" s="93" customFormat="1" hidden="1" x14ac:dyDescent="0.25">
      <c r="B1502" s="86">
        <v>45973</v>
      </c>
      <c r="C1502" s="87" t="s">
        <v>5073</v>
      </c>
      <c r="D1502" s="88" t="s">
        <v>9111</v>
      </c>
      <c r="E1502" s="121" t="s">
        <v>8917</v>
      </c>
      <c r="F1502" s="121"/>
      <c r="G1502" s="88" t="s">
        <v>6443</v>
      </c>
      <c r="H1502" s="88" t="s">
        <v>7061</v>
      </c>
      <c r="I1502" s="89">
        <v>3960</v>
      </c>
      <c r="J1502" s="90">
        <f>SUMIF(Cargas!$C$5:$C$3470,C1502,Cargas!$O$5:$O$3470)</f>
        <v>3960</v>
      </c>
      <c r="K1502" s="91">
        <f t="shared" si="27"/>
        <v>0</v>
      </c>
      <c r="L1502" s="122" t="s">
        <v>9112</v>
      </c>
      <c r="M1502" s="92">
        <v>233231</v>
      </c>
    </row>
    <row r="1503" spans="1:19" s="93" customFormat="1" hidden="1" x14ac:dyDescent="0.25">
      <c r="B1503" s="86">
        <v>45974</v>
      </c>
      <c r="C1503" s="87" t="s">
        <v>5109</v>
      </c>
      <c r="D1503" s="88" t="s">
        <v>9113</v>
      </c>
      <c r="E1503" s="121" t="s">
        <v>6764</v>
      </c>
      <c r="F1503" s="121"/>
      <c r="G1503" s="88" t="s">
        <v>6443</v>
      </c>
      <c r="H1503" s="88" t="s">
        <v>8574</v>
      </c>
      <c r="I1503" s="89">
        <v>5940</v>
      </c>
      <c r="J1503" s="90">
        <f>SUMIF(Cargas!$C$5:$C$3470,C1503,Cargas!$O$5:$O$3470)</f>
        <v>5940</v>
      </c>
      <c r="K1503" s="91">
        <f t="shared" si="27"/>
        <v>0</v>
      </c>
      <c r="L1503" s="122" t="s">
        <v>9114</v>
      </c>
      <c r="M1503" s="92">
        <v>237385</v>
      </c>
      <c r="N1503"/>
      <c r="O1503"/>
      <c r="P1503"/>
      <c r="Q1503"/>
      <c r="R1503"/>
      <c r="S1503"/>
    </row>
    <row r="1504" spans="1:19" s="93" customFormat="1" hidden="1" x14ac:dyDescent="0.25">
      <c r="B1504" s="86">
        <v>45979</v>
      </c>
      <c r="C1504" s="87" t="s">
        <v>5126</v>
      </c>
      <c r="D1504" s="88" t="s">
        <v>9115</v>
      </c>
      <c r="E1504" s="121" t="s">
        <v>6764</v>
      </c>
      <c r="F1504" s="121"/>
      <c r="G1504" s="88" t="s">
        <v>6443</v>
      </c>
      <c r="H1504" s="88" t="s">
        <v>7061</v>
      </c>
      <c r="I1504" s="89">
        <v>3960</v>
      </c>
      <c r="J1504" s="90">
        <f>SUMIF(Cargas!$C$5:$C$3470,C1504,Cargas!$O$5:$O$3470)</f>
        <v>3960</v>
      </c>
      <c r="K1504" s="91">
        <f t="shared" si="27"/>
        <v>0</v>
      </c>
      <c r="L1504" s="122" t="s">
        <v>9116</v>
      </c>
      <c r="M1504" s="92">
        <v>238877</v>
      </c>
      <c r="N1504"/>
      <c r="O1504"/>
      <c r="P1504"/>
      <c r="Q1504"/>
      <c r="R1504"/>
      <c r="S1504"/>
    </row>
    <row r="1505" spans="2:19" s="93" customFormat="1" hidden="1" x14ac:dyDescent="0.25">
      <c r="B1505" s="86">
        <v>45980</v>
      </c>
      <c r="C1505" s="87" t="s">
        <v>5145</v>
      </c>
      <c r="D1505" s="88" t="s">
        <v>9117</v>
      </c>
      <c r="E1505" s="121" t="s">
        <v>6764</v>
      </c>
      <c r="F1505" s="121"/>
      <c r="G1505" s="88" t="s">
        <v>6443</v>
      </c>
      <c r="H1505" s="88" t="s">
        <v>8660</v>
      </c>
      <c r="I1505" s="89">
        <v>1872</v>
      </c>
      <c r="J1505" s="90">
        <f>SUMIF(Cargas!$C$5:$C$3470,C1505,Cargas!$O$5:$O$3470)</f>
        <v>1872</v>
      </c>
      <c r="K1505" s="91">
        <f t="shared" si="27"/>
        <v>0</v>
      </c>
      <c r="L1505" s="122" t="s">
        <v>9118</v>
      </c>
      <c r="M1505" s="92">
        <v>239846</v>
      </c>
    </row>
    <row r="1506" spans="2:19" s="93" customFormat="1" hidden="1" x14ac:dyDescent="0.25">
      <c r="B1506" s="86">
        <v>45978</v>
      </c>
      <c r="C1506" s="87" t="s">
        <v>5119</v>
      </c>
      <c r="D1506" s="88" t="s">
        <v>9119</v>
      </c>
      <c r="E1506" s="121" t="s">
        <v>8917</v>
      </c>
      <c r="F1506" s="121"/>
      <c r="G1506" s="88" t="s">
        <v>6665</v>
      </c>
      <c r="H1506" s="88" t="s">
        <v>6768</v>
      </c>
      <c r="I1506" s="89">
        <v>1836</v>
      </c>
      <c r="J1506" s="90">
        <f>SUMIF(Cargas!$C$5:$C$3470,C1506,Cargas!$O$5:$O$3470)</f>
        <v>1836</v>
      </c>
      <c r="K1506" s="91">
        <f t="shared" si="27"/>
        <v>0</v>
      </c>
      <c r="L1506" s="122" t="s">
        <v>9120</v>
      </c>
      <c r="M1506" s="92">
        <v>238142</v>
      </c>
      <c r="N1506"/>
      <c r="O1506"/>
      <c r="P1506"/>
      <c r="Q1506"/>
      <c r="R1506"/>
      <c r="S1506"/>
    </row>
    <row r="1507" spans="2:19" s="93" customFormat="1" hidden="1" x14ac:dyDescent="0.25">
      <c r="B1507" s="86">
        <v>45978</v>
      </c>
      <c r="C1507" s="87" t="s">
        <v>5133</v>
      </c>
      <c r="D1507" s="88" t="s">
        <v>9121</v>
      </c>
      <c r="E1507" s="121" t="s">
        <v>8917</v>
      </c>
      <c r="F1507" s="121"/>
      <c r="G1507" s="88" t="s">
        <v>6665</v>
      </c>
      <c r="H1507" s="88" t="s">
        <v>6862</v>
      </c>
      <c r="I1507" s="89">
        <v>1836</v>
      </c>
      <c r="J1507" s="90">
        <f>SUMIF(Cargas!$C$5:$C$3470,C1507,Cargas!$O$5:$O$3470)</f>
        <v>1836</v>
      </c>
      <c r="K1507" s="91">
        <f t="shared" si="27"/>
        <v>0</v>
      </c>
      <c r="L1507" s="122" t="s">
        <v>9122</v>
      </c>
      <c r="M1507" s="92">
        <v>237829</v>
      </c>
    </row>
    <row r="1508" spans="2:19" s="93" customFormat="1" hidden="1" x14ac:dyDescent="0.25">
      <c r="B1508" s="86">
        <v>45982</v>
      </c>
      <c r="C1508" s="87" t="s">
        <v>5151</v>
      </c>
      <c r="D1508" s="88" t="s">
        <v>9123</v>
      </c>
      <c r="E1508" s="121" t="s">
        <v>6764</v>
      </c>
      <c r="F1508" s="121"/>
      <c r="G1508" s="88" t="s">
        <v>6443</v>
      </c>
      <c r="H1508" s="88" t="s">
        <v>6963</v>
      </c>
      <c r="I1508" s="89">
        <v>2970</v>
      </c>
      <c r="J1508" s="90">
        <f>SUMIF(Cargas!$C$5:$C$3470,C1508,Cargas!$O$5:$O$3470)</f>
        <v>2970</v>
      </c>
      <c r="K1508" s="91">
        <f t="shared" si="27"/>
        <v>0</v>
      </c>
      <c r="L1508" s="122" t="s">
        <v>9124</v>
      </c>
      <c r="M1508" s="92">
        <v>239725</v>
      </c>
    </row>
    <row r="1509" spans="2:19" s="93" customFormat="1" hidden="1" x14ac:dyDescent="0.25">
      <c r="B1509" s="86">
        <v>45982</v>
      </c>
      <c r="C1509" s="87" t="s">
        <v>5165</v>
      </c>
      <c r="D1509" s="88" t="s">
        <v>9125</v>
      </c>
      <c r="E1509" s="121" t="s">
        <v>6764</v>
      </c>
      <c r="F1509" s="121"/>
      <c r="G1509" s="88" t="s">
        <v>6443</v>
      </c>
      <c r="H1509" s="88" t="s">
        <v>7888</v>
      </c>
      <c r="I1509" s="89">
        <v>3744</v>
      </c>
      <c r="J1509" s="90">
        <f>SUMIF(Cargas!$C$5:$C$3470,C1509,Cargas!$O$5:$O$3470)</f>
        <v>3744</v>
      </c>
      <c r="K1509" s="91">
        <f t="shared" si="27"/>
        <v>0</v>
      </c>
      <c r="L1509" s="122" t="s">
        <v>9126</v>
      </c>
      <c r="M1509" s="92">
        <v>242487</v>
      </c>
    </row>
    <row r="1510" spans="2:19" s="93" customFormat="1" hidden="1" x14ac:dyDescent="0.25">
      <c r="B1510" s="86">
        <v>45987</v>
      </c>
      <c r="C1510" s="87" t="s">
        <v>5187</v>
      </c>
      <c r="D1510" s="88" t="s">
        <v>9127</v>
      </c>
      <c r="E1510" s="121" t="s">
        <v>6764</v>
      </c>
      <c r="F1510" s="121"/>
      <c r="G1510" s="88" t="s">
        <v>6443</v>
      </c>
      <c r="H1510" s="88" t="s">
        <v>8574</v>
      </c>
      <c r="I1510" s="89">
        <v>4950</v>
      </c>
      <c r="J1510" s="90">
        <f>SUMIF(Cargas!$C$5:$C$3470,C1510,Cargas!$O$5:$O$3470)</f>
        <v>4950</v>
      </c>
      <c r="K1510" s="91">
        <f t="shared" si="27"/>
        <v>0</v>
      </c>
      <c r="L1510" s="122" t="s">
        <v>9128</v>
      </c>
      <c r="M1510" s="92">
        <v>243386</v>
      </c>
      <c r="N1510"/>
      <c r="O1510"/>
      <c r="P1510"/>
      <c r="Q1510"/>
      <c r="R1510"/>
      <c r="S1510"/>
    </row>
    <row r="1511" spans="2:19" s="93" customFormat="1" hidden="1" x14ac:dyDescent="0.25">
      <c r="B1511" s="86">
        <v>45989</v>
      </c>
      <c r="C1511" s="87" t="s">
        <v>5212</v>
      </c>
      <c r="D1511" s="88" t="s">
        <v>9129</v>
      </c>
      <c r="E1511" s="121" t="s">
        <v>6764</v>
      </c>
      <c r="F1511" s="121"/>
      <c r="G1511" s="88" t="s">
        <v>6443</v>
      </c>
      <c r="H1511" s="88" t="s">
        <v>6862</v>
      </c>
      <c r="I1511" s="89">
        <v>1836</v>
      </c>
      <c r="J1511" s="90">
        <f>SUMIF(Cargas!$C$5:$C$3470,C1511,Cargas!$O$5:$O$3470)</f>
        <v>1836</v>
      </c>
      <c r="K1511" s="91">
        <f t="shared" si="27"/>
        <v>0</v>
      </c>
      <c r="L1511" s="122" t="s">
        <v>9130</v>
      </c>
      <c r="M1511" s="92">
        <v>246116</v>
      </c>
    </row>
    <row r="1512" spans="2:19" s="93" customFormat="1" hidden="1" x14ac:dyDescent="0.25">
      <c r="B1512" s="86">
        <v>45989</v>
      </c>
      <c r="C1512" s="87" t="s">
        <v>5209</v>
      </c>
      <c r="D1512" s="88" t="s">
        <v>9131</v>
      </c>
      <c r="E1512" s="121" t="s">
        <v>6764</v>
      </c>
      <c r="F1512" s="121"/>
      <c r="G1512" s="88" t="s">
        <v>6443</v>
      </c>
      <c r="H1512" s="88" t="s">
        <v>6768</v>
      </c>
      <c r="I1512" s="89">
        <v>3672</v>
      </c>
      <c r="J1512" s="90">
        <f>SUMIF(Cargas!$C$5:$C$3470,C1512,Cargas!$O$5:$O$3470)</f>
        <v>3672</v>
      </c>
      <c r="K1512" s="91">
        <f t="shared" si="27"/>
        <v>0</v>
      </c>
      <c r="L1512" s="122" t="s">
        <v>9132</v>
      </c>
      <c r="M1512" s="92">
        <v>246090</v>
      </c>
    </row>
    <row r="1513" spans="2:19" s="93" customFormat="1" hidden="1" x14ac:dyDescent="0.25">
      <c r="B1513" s="86">
        <v>46076</v>
      </c>
      <c r="C1513" s="87" t="s">
        <v>5604</v>
      </c>
      <c r="D1513" s="88" t="s">
        <v>9133</v>
      </c>
      <c r="E1513" s="121" t="s">
        <v>8917</v>
      </c>
      <c r="F1513" s="121"/>
      <c r="G1513" s="88" t="s">
        <v>6665</v>
      </c>
      <c r="H1513" s="88" t="s">
        <v>8928</v>
      </c>
      <c r="I1513" s="89">
        <v>4680</v>
      </c>
      <c r="J1513" s="90">
        <f>SUMIF(Cargas!$C$5:$C$3470,C1513,Cargas!$O$5:$O$3470)</f>
        <v>4680</v>
      </c>
      <c r="K1513" s="91">
        <f t="shared" si="27"/>
        <v>0</v>
      </c>
      <c r="L1513" s="122" t="s">
        <v>9134</v>
      </c>
      <c r="M1513" s="92">
        <v>38633</v>
      </c>
    </row>
    <row r="1514" spans="2:19" s="93" customFormat="1" hidden="1" x14ac:dyDescent="0.25">
      <c r="B1514" s="86">
        <v>45993</v>
      </c>
      <c r="C1514" s="87" t="s">
        <v>5229</v>
      </c>
      <c r="D1514" s="88" t="s">
        <v>9135</v>
      </c>
      <c r="E1514" s="121" t="s">
        <v>8917</v>
      </c>
      <c r="F1514" s="121"/>
      <c r="G1514" s="88" t="s">
        <v>6443</v>
      </c>
      <c r="H1514" s="88" t="s">
        <v>7061</v>
      </c>
      <c r="I1514" s="89">
        <v>3960</v>
      </c>
      <c r="J1514" s="90">
        <f>SUMIF(Cargas!$C$5:$C$3470,C1514,Cargas!$O$5:$O$3470)</f>
        <v>3960</v>
      </c>
      <c r="K1514" s="91">
        <f t="shared" si="27"/>
        <v>0</v>
      </c>
      <c r="L1514" s="122" t="s">
        <v>9136</v>
      </c>
      <c r="M1514" s="92">
        <v>248304</v>
      </c>
    </row>
    <row r="1515" spans="2:19" s="93" customFormat="1" hidden="1" x14ac:dyDescent="0.25">
      <c r="B1515" s="86">
        <v>45994</v>
      </c>
      <c r="C1515" s="87" t="s">
        <v>5234</v>
      </c>
      <c r="D1515" s="88" t="s">
        <v>9137</v>
      </c>
      <c r="E1515" s="121" t="s">
        <v>6764</v>
      </c>
      <c r="F1515" s="121"/>
      <c r="G1515" s="88" t="s">
        <v>6443</v>
      </c>
      <c r="H1515" s="88" t="s">
        <v>8574</v>
      </c>
      <c r="I1515" s="89">
        <v>5940</v>
      </c>
      <c r="J1515" s="90">
        <f>SUMIF(Cargas!$C$5:$C$3470,C1515,Cargas!$O$5:$O$3470)</f>
        <v>5940</v>
      </c>
      <c r="K1515" s="91">
        <f t="shared" si="27"/>
        <v>0</v>
      </c>
      <c r="L1515" s="122" t="s">
        <v>9138</v>
      </c>
      <c r="M1515" s="92">
        <v>250832</v>
      </c>
    </row>
    <row r="1516" spans="2:19" s="93" customFormat="1" hidden="1" x14ac:dyDescent="0.25">
      <c r="B1516" s="86">
        <v>45995</v>
      </c>
      <c r="C1516" s="87" t="s">
        <v>5257</v>
      </c>
      <c r="D1516" s="88" t="s">
        <v>9139</v>
      </c>
      <c r="E1516" s="121" t="s">
        <v>6764</v>
      </c>
      <c r="F1516" s="121"/>
      <c r="G1516" s="88" t="s">
        <v>6443</v>
      </c>
      <c r="H1516" s="88" t="s">
        <v>6862</v>
      </c>
      <c r="I1516" s="89">
        <v>936</v>
      </c>
      <c r="J1516" s="90">
        <f>SUMIF(Cargas!$C$5:$C$3470,C1516,Cargas!$O$5:$O$3470)</f>
        <v>936</v>
      </c>
      <c r="K1516" s="91">
        <f t="shared" si="27"/>
        <v>0</v>
      </c>
      <c r="L1516" s="122" t="s">
        <v>9140</v>
      </c>
      <c r="M1516" s="92">
        <v>253347</v>
      </c>
    </row>
    <row r="1517" spans="2:19" s="93" customFormat="1" hidden="1" x14ac:dyDescent="0.25">
      <c r="B1517" s="86">
        <v>45999</v>
      </c>
      <c r="C1517" s="87" t="s">
        <v>5262</v>
      </c>
      <c r="D1517" s="88" t="s">
        <v>9141</v>
      </c>
      <c r="E1517" s="121" t="s">
        <v>8917</v>
      </c>
      <c r="F1517" s="121"/>
      <c r="G1517" s="88" t="s">
        <v>6665</v>
      </c>
      <c r="H1517" s="88" t="s">
        <v>6768</v>
      </c>
      <c r="I1517" s="89">
        <v>3672</v>
      </c>
      <c r="J1517" s="90">
        <f>SUMIF(Cargas!$C$5:$C$3470,C1517,Cargas!$O$5:$O$3470)</f>
        <v>3672</v>
      </c>
      <c r="K1517" s="91">
        <f t="shared" si="27"/>
        <v>0</v>
      </c>
      <c r="L1517" s="122" t="s">
        <v>9142</v>
      </c>
      <c r="M1517" s="92">
        <v>254159</v>
      </c>
    </row>
    <row r="1518" spans="2:19" s="93" customFormat="1" hidden="1" x14ac:dyDescent="0.25">
      <c r="B1518" s="86">
        <v>46001</v>
      </c>
      <c r="C1518" s="87" t="s">
        <v>5293</v>
      </c>
      <c r="D1518" s="88" t="s">
        <v>9143</v>
      </c>
      <c r="E1518" s="121" t="s">
        <v>6764</v>
      </c>
      <c r="F1518" s="121"/>
      <c r="G1518" s="88" t="s">
        <v>6443</v>
      </c>
      <c r="H1518" s="88" t="s">
        <v>8574</v>
      </c>
      <c r="I1518" s="89">
        <v>5940</v>
      </c>
      <c r="J1518" s="90">
        <f>SUMIF(Cargas!$C$5:$C$3470,C1518,Cargas!$O$5:$O$3470)</f>
        <v>5940</v>
      </c>
      <c r="K1518" s="91">
        <f t="shared" si="27"/>
        <v>0</v>
      </c>
      <c r="L1518" s="122" t="s">
        <v>9144</v>
      </c>
      <c r="M1518" s="92">
        <v>255176</v>
      </c>
    </row>
    <row r="1519" spans="2:19" s="93" customFormat="1" hidden="1" x14ac:dyDescent="0.25">
      <c r="B1519" s="86">
        <v>46002</v>
      </c>
      <c r="C1519" s="87" t="s">
        <v>5284</v>
      </c>
      <c r="D1519" s="88" t="s">
        <v>9145</v>
      </c>
      <c r="E1519" s="121" t="s">
        <v>6764</v>
      </c>
      <c r="F1519" s="121"/>
      <c r="G1519" s="88" t="s">
        <v>6443</v>
      </c>
      <c r="H1519" s="88" t="s">
        <v>6963</v>
      </c>
      <c r="I1519" s="89">
        <v>3024</v>
      </c>
      <c r="J1519" s="90">
        <f>SUMIF(Cargas!$C$5:$C$3470,C1519,Cargas!$O$5:$O$3470)</f>
        <v>3006</v>
      </c>
      <c r="K1519" s="91">
        <f t="shared" si="27"/>
        <v>0</v>
      </c>
      <c r="L1519" s="122" t="s">
        <v>9146</v>
      </c>
      <c r="M1519" s="92">
        <v>257609</v>
      </c>
    </row>
    <row r="1520" spans="2:19" s="93" customFormat="1" hidden="1" x14ac:dyDescent="0.25">
      <c r="B1520" s="86">
        <v>46007</v>
      </c>
      <c r="C1520" s="87" t="s">
        <v>5300</v>
      </c>
      <c r="D1520" s="88" t="s">
        <v>9147</v>
      </c>
      <c r="E1520" s="121" t="s">
        <v>8917</v>
      </c>
      <c r="F1520" s="121"/>
      <c r="G1520" s="88" t="s">
        <v>6665</v>
      </c>
      <c r="H1520" s="88" t="s">
        <v>6768</v>
      </c>
      <c r="I1520" s="89">
        <v>3672</v>
      </c>
      <c r="J1520" s="90">
        <f>SUMIF(Cargas!$C$5:$C$3470,C1520,Cargas!$O$5:$O$3470)</f>
        <v>3672</v>
      </c>
      <c r="K1520" s="91">
        <f t="shared" si="27"/>
        <v>0</v>
      </c>
      <c r="L1520" s="122" t="s">
        <v>9148</v>
      </c>
      <c r="M1520" s="92">
        <v>260582</v>
      </c>
    </row>
    <row r="1521" spans="1:43" s="93" customFormat="1" hidden="1" x14ac:dyDescent="0.25">
      <c r="B1521" s="86">
        <v>46009</v>
      </c>
      <c r="C1521" s="87" t="s">
        <v>5329</v>
      </c>
      <c r="D1521" s="88" t="s">
        <v>9149</v>
      </c>
      <c r="E1521" s="121" t="s">
        <v>6764</v>
      </c>
      <c r="F1521" s="121"/>
      <c r="G1521" s="88" t="s">
        <v>6443</v>
      </c>
      <c r="H1521" s="88" t="s">
        <v>6862</v>
      </c>
      <c r="I1521" s="89">
        <v>1872</v>
      </c>
      <c r="J1521" s="90">
        <f>SUMIF(Cargas!$C$5:$C$3470,C1521,Cargas!$O$5:$O$3470)</f>
        <v>1872</v>
      </c>
      <c r="K1521" s="91">
        <f t="shared" si="27"/>
        <v>0</v>
      </c>
      <c r="L1521" s="122" t="s">
        <v>9150</v>
      </c>
      <c r="M1521" s="92">
        <v>264548</v>
      </c>
      <c r="N1521"/>
      <c r="O1521"/>
      <c r="P1521"/>
      <c r="Q1521"/>
      <c r="R1521"/>
      <c r="S1521"/>
    </row>
    <row r="1522" spans="1:43" s="93" customFormat="1" hidden="1" x14ac:dyDescent="0.25">
      <c r="B1522" s="86">
        <v>46009</v>
      </c>
      <c r="C1522" s="87" t="s">
        <v>5326</v>
      </c>
      <c r="D1522" s="88" t="s">
        <v>9151</v>
      </c>
      <c r="E1522" s="121" t="s">
        <v>6764</v>
      </c>
      <c r="F1522" s="121"/>
      <c r="G1522" s="88" t="s">
        <v>6443</v>
      </c>
      <c r="H1522" s="88" t="s">
        <v>8574</v>
      </c>
      <c r="I1522" s="89">
        <v>6048</v>
      </c>
      <c r="J1522" s="90">
        <f>SUMIF(Cargas!$C$5:$C$3470,C1522,Cargas!$O$5:$O$3470)</f>
        <v>6048</v>
      </c>
      <c r="K1522" s="91">
        <f t="shared" si="27"/>
        <v>0</v>
      </c>
      <c r="L1522" s="122" t="s">
        <v>9152</v>
      </c>
      <c r="M1522" s="92">
        <v>264517</v>
      </c>
    </row>
    <row r="1523" spans="1:43" s="93" customFormat="1" hidden="1" x14ac:dyDescent="0.25">
      <c r="B1523" s="86">
        <v>46009</v>
      </c>
      <c r="C1523" s="87" t="s">
        <v>5340</v>
      </c>
      <c r="D1523" s="88" t="s">
        <v>9153</v>
      </c>
      <c r="E1523" s="121" t="s">
        <v>6764</v>
      </c>
      <c r="F1523" s="121"/>
      <c r="G1523" s="88" t="s">
        <v>6443</v>
      </c>
      <c r="H1523" s="88" t="s">
        <v>7061</v>
      </c>
      <c r="I1523" s="89">
        <v>4032</v>
      </c>
      <c r="J1523" s="90">
        <f>SUMIF(Cargas!$C$5:$C$3470,C1523,Cargas!$O$5:$O$3470)</f>
        <v>4032</v>
      </c>
      <c r="K1523" s="91">
        <f t="shared" si="27"/>
        <v>0</v>
      </c>
      <c r="L1523" s="122" t="s">
        <v>9154</v>
      </c>
      <c r="M1523" s="92">
        <v>264552</v>
      </c>
    </row>
    <row r="1524" spans="1:43" s="93" customFormat="1" hidden="1" x14ac:dyDescent="0.25">
      <c r="B1524" s="86">
        <v>46013</v>
      </c>
      <c r="C1524" s="87" t="s">
        <v>5347</v>
      </c>
      <c r="D1524" s="88" t="s">
        <v>9155</v>
      </c>
      <c r="E1524" s="121" t="s">
        <v>6764</v>
      </c>
      <c r="F1524" s="121"/>
      <c r="G1524" s="88" t="s">
        <v>6443</v>
      </c>
      <c r="H1524" s="88" t="s">
        <v>6768</v>
      </c>
      <c r="I1524" s="89">
        <v>2808</v>
      </c>
      <c r="J1524" s="90">
        <f>SUMIF(Cargas!$C$5:$C$3470,C1524,Cargas!$O$5:$O$3470)</f>
        <v>2808</v>
      </c>
      <c r="K1524" s="91">
        <f t="shared" si="27"/>
        <v>0</v>
      </c>
      <c r="L1524" s="122" t="s">
        <v>9156</v>
      </c>
      <c r="M1524" s="92">
        <v>265701</v>
      </c>
    </row>
    <row r="1525" spans="1:43" s="93" customFormat="1" hidden="1" x14ac:dyDescent="0.25">
      <c r="A1525" s="198"/>
      <c r="B1525" s="137">
        <v>46020</v>
      </c>
      <c r="C1525" s="138" t="s">
        <v>5363</v>
      </c>
      <c r="D1525" s="139" t="s">
        <v>9157</v>
      </c>
      <c r="E1525" s="140" t="s">
        <v>6764</v>
      </c>
      <c r="F1525" s="140"/>
      <c r="G1525" s="139" t="s">
        <v>6443</v>
      </c>
      <c r="H1525" s="139" t="s">
        <v>6768</v>
      </c>
      <c r="I1525" s="141">
        <v>3744</v>
      </c>
      <c r="J1525" s="142">
        <f>SUMIF(Cargas!$C$5:$C$3470,C1525,Cargas!$O$5:$O$3470)</f>
        <v>1872</v>
      </c>
      <c r="K1525" s="143">
        <f t="shared" si="27"/>
        <v>1872</v>
      </c>
      <c r="L1525" s="144" t="s">
        <v>9158</v>
      </c>
      <c r="M1525" s="145">
        <v>269423</v>
      </c>
    </row>
    <row r="1526" spans="1:43" s="79" customFormat="1" hidden="1" x14ac:dyDescent="0.25">
      <c r="A1526" s="115"/>
      <c r="B1526" s="107">
        <v>45664</v>
      </c>
      <c r="C1526" s="108" t="s">
        <v>3009</v>
      </c>
      <c r="D1526" s="109" t="s">
        <v>7148</v>
      </c>
      <c r="E1526" s="109" t="s">
        <v>6764</v>
      </c>
      <c r="F1526" s="109"/>
      <c r="G1526" s="109" t="s">
        <v>6443</v>
      </c>
      <c r="H1526" s="109" t="s">
        <v>7381</v>
      </c>
      <c r="I1526" s="110">
        <v>1436</v>
      </c>
      <c r="J1526" s="111">
        <f>SUMIF(Cargas!$C$5:$C$3470,C1526,Cargas!$O$5:$O$3470)</f>
        <v>1436</v>
      </c>
      <c r="K1526" s="112">
        <f t="shared" si="27"/>
        <v>0</v>
      </c>
      <c r="L1526" s="118"/>
      <c r="M1526" s="113">
        <v>4562</v>
      </c>
      <c r="N1526" s="198"/>
      <c r="O1526" s="198"/>
      <c r="P1526" s="198"/>
      <c r="Q1526" s="198"/>
      <c r="R1526" s="198"/>
      <c r="S1526" s="198"/>
      <c r="T1526" s="198"/>
      <c r="U1526" s="198"/>
      <c r="V1526" s="198"/>
      <c r="W1526" s="198"/>
      <c r="X1526" s="198"/>
      <c r="Y1526" s="198"/>
      <c r="Z1526" s="198"/>
      <c r="AA1526" s="198"/>
      <c r="AB1526" s="198"/>
      <c r="AC1526" s="198"/>
      <c r="AD1526" s="198"/>
      <c r="AE1526" s="198"/>
      <c r="AF1526" s="198"/>
      <c r="AG1526" s="198"/>
      <c r="AH1526" s="198"/>
      <c r="AI1526" s="198"/>
      <c r="AJ1526" s="198"/>
      <c r="AK1526" s="198"/>
      <c r="AL1526" s="198"/>
      <c r="AM1526" s="198"/>
      <c r="AN1526" s="198"/>
      <c r="AO1526" s="198"/>
      <c r="AP1526" s="198"/>
      <c r="AQ1526" s="198"/>
    </row>
    <row r="1527" spans="1:43" s="93" customFormat="1" hidden="1" x14ac:dyDescent="0.25">
      <c r="B1527" s="86">
        <v>46078</v>
      </c>
      <c r="C1527" s="87" t="s">
        <v>5614</v>
      </c>
      <c r="D1527" s="88" t="s">
        <v>9159</v>
      </c>
      <c r="E1527" s="121" t="s">
        <v>6764</v>
      </c>
      <c r="F1527" s="121"/>
      <c r="G1527" s="88" t="s">
        <v>6443</v>
      </c>
      <c r="H1527" s="88" t="s">
        <v>8574</v>
      </c>
      <c r="I1527" s="89">
        <v>9072</v>
      </c>
      <c r="J1527" s="90">
        <f>SUMIF(Cargas!$C$5:$C$3470,C1527,Cargas!$O$5:$O$3470)</f>
        <v>9072</v>
      </c>
      <c r="K1527" s="91">
        <f t="shared" si="27"/>
        <v>0</v>
      </c>
      <c r="L1527" s="122" t="s">
        <v>9160</v>
      </c>
      <c r="M1527" s="92">
        <v>38654</v>
      </c>
    </row>
    <row r="1528" spans="1:43" s="93" customFormat="1" hidden="1" x14ac:dyDescent="0.25">
      <c r="B1528" s="86">
        <v>46083</v>
      </c>
      <c r="C1528" s="87" t="s">
        <v>5632</v>
      </c>
      <c r="D1528" s="88" t="s">
        <v>9161</v>
      </c>
      <c r="E1528" s="121" t="s">
        <v>6764</v>
      </c>
      <c r="F1528" s="121"/>
      <c r="G1528" s="88" t="s">
        <v>6443</v>
      </c>
      <c r="H1528" s="88" t="s">
        <v>8574</v>
      </c>
      <c r="I1528" s="89">
        <v>9072</v>
      </c>
      <c r="J1528" s="90">
        <f>SUMIF(Cargas!$C$5:$C$3470,C1528,Cargas!$O$5:$O$3470)</f>
        <v>9072</v>
      </c>
      <c r="K1528" s="91">
        <f t="shared" si="27"/>
        <v>0</v>
      </c>
      <c r="L1528" s="122" t="s">
        <v>9162</v>
      </c>
      <c r="M1528" s="92">
        <v>44306</v>
      </c>
    </row>
    <row r="1529" spans="1:43" s="93" customFormat="1" hidden="1" x14ac:dyDescent="0.25">
      <c r="B1529" s="86">
        <v>46083</v>
      </c>
      <c r="C1529" s="87" t="s">
        <v>5633</v>
      </c>
      <c r="D1529" s="88" t="s">
        <v>9163</v>
      </c>
      <c r="E1529" s="121" t="s">
        <v>6764</v>
      </c>
      <c r="F1529" s="121"/>
      <c r="G1529" s="88" t="s">
        <v>6443</v>
      </c>
      <c r="H1529" s="88" t="s">
        <v>7061</v>
      </c>
      <c r="I1529" s="89">
        <v>4032</v>
      </c>
      <c r="J1529" s="90">
        <f>SUMIF(Cargas!$C$5:$C$3470,C1529,Cargas!$O$5:$O$3470)</f>
        <v>4032</v>
      </c>
      <c r="K1529" s="91">
        <f t="shared" si="27"/>
        <v>0</v>
      </c>
      <c r="L1529" s="122" t="s">
        <v>9164</v>
      </c>
      <c r="M1529" s="92">
        <v>45260</v>
      </c>
    </row>
    <row r="1530" spans="1:43" s="93" customFormat="1" hidden="1" x14ac:dyDescent="0.25">
      <c r="B1530" s="86">
        <v>46083</v>
      </c>
      <c r="C1530" s="87" t="s">
        <v>5629</v>
      </c>
      <c r="D1530" s="88" t="s">
        <v>9165</v>
      </c>
      <c r="E1530" s="121" t="s">
        <v>8917</v>
      </c>
      <c r="F1530" s="121"/>
      <c r="G1530" s="88" t="s">
        <v>6665</v>
      </c>
      <c r="H1530" s="88" t="s">
        <v>8928</v>
      </c>
      <c r="I1530" s="89">
        <v>4680</v>
      </c>
      <c r="J1530" s="90">
        <f>SUMIF(Cargas!$C$5:$C$3470,C1530,Cargas!$O$5:$O$3470)</f>
        <v>4680</v>
      </c>
      <c r="K1530" s="91">
        <f t="shared" si="27"/>
        <v>0</v>
      </c>
      <c r="L1530" s="122" t="s">
        <v>9166</v>
      </c>
      <c r="M1530" s="92">
        <v>44332</v>
      </c>
    </row>
    <row r="1531" spans="1:43" s="93" customFormat="1" hidden="1" x14ac:dyDescent="0.25">
      <c r="B1531" s="86">
        <v>46092</v>
      </c>
      <c r="C1531" s="87" t="s">
        <v>5670</v>
      </c>
      <c r="D1531" s="88" t="s">
        <v>9167</v>
      </c>
      <c r="E1531" s="121" t="s">
        <v>8917</v>
      </c>
      <c r="F1531" s="121"/>
      <c r="G1531" s="88" t="s">
        <v>6665</v>
      </c>
      <c r="H1531" s="88" t="s">
        <v>8928</v>
      </c>
      <c r="I1531" s="89">
        <v>2808</v>
      </c>
      <c r="J1531" s="90">
        <f>SUMIF(Cargas!$C$5:$C$3470,C1531,Cargas!$O$5:$O$3470)</f>
        <v>2808</v>
      </c>
      <c r="K1531" s="91">
        <f t="shared" si="27"/>
        <v>0</v>
      </c>
      <c r="L1531" s="122" t="s">
        <v>9168</v>
      </c>
      <c r="M1531" s="92">
        <v>50729</v>
      </c>
    </row>
    <row r="1532" spans="1:43" s="93" customFormat="1" hidden="1" x14ac:dyDescent="0.25">
      <c r="B1532" s="86">
        <v>46093</v>
      </c>
      <c r="C1532" s="87" t="s">
        <v>5683</v>
      </c>
      <c r="D1532" s="88" t="s">
        <v>9169</v>
      </c>
      <c r="E1532" s="121" t="s">
        <v>6764</v>
      </c>
      <c r="F1532" s="121"/>
      <c r="G1532" s="88" t="s">
        <v>6443</v>
      </c>
      <c r="H1532" s="88" t="s">
        <v>8574</v>
      </c>
      <c r="I1532" s="89">
        <v>6048</v>
      </c>
      <c r="J1532" s="90">
        <f>SUMIF(Cargas!$C$5:$C$3470,C1532,Cargas!$O$5:$O$3470)</f>
        <v>6048</v>
      </c>
      <c r="K1532" s="91">
        <f t="shared" si="27"/>
        <v>0</v>
      </c>
      <c r="L1532" s="122" t="s">
        <v>9170</v>
      </c>
      <c r="M1532" s="92">
        <v>51709</v>
      </c>
    </row>
    <row r="1533" spans="1:43" s="93" customFormat="1" hidden="1" x14ac:dyDescent="0.25">
      <c r="A1533" s="115"/>
      <c r="B1533" s="107">
        <v>45674</v>
      </c>
      <c r="C1533" s="108" t="s">
        <v>3043</v>
      </c>
      <c r="D1533" s="109" t="s">
        <v>7160</v>
      </c>
      <c r="E1533" s="119" t="s">
        <v>6764</v>
      </c>
      <c r="F1533" s="119"/>
      <c r="G1533" s="109" t="s">
        <v>6443</v>
      </c>
      <c r="H1533" s="109" t="s">
        <v>6768</v>
      </c>
      <c r="I1533" s="110">
        <v>918</v>
      </c>
      <c r="J1533" s="111">
        <f>SUMIF(Cargas!$C$5:$C$3470,C1533,Cargas!$O$5:$O$3470)</f>
        <v>972</v>
      </c>
      <c r="K1533" s="112">
        <v>0</v>
      </c>
      <c r="L1533" s="117" t="s">
        <v>9171</v>
      </c>
      <c r="M1533" s="113">
        <v>11784</v>
      </c>
    </row>
    <row r="1534" spans="1:43" s="93" customFormat="1" hidden="1" x14ac:dyDescent="0.25">
      <c r="B1534" s="86">
        <v>46093</v>
      </c>
      <c r="C1534" s="87" t="s">
        <v>5678</v>
      </c>
      <c r="D1534" s="88" t="s">
        <v>9172</v>
      </c>
      <c r="E1534" s="121" t="s">
        <v>6764</v>
      </c>
      <c r="F1534" s="121"/>
      <c r="G1534" s="88" t="s">
        <v>6443</v>
      </c>
      <c r="H1534" s="88" t="s">
        <v>7061</v>
      </c>
      <c r="I1534" s="89">
        <v>3024</v>
      </c>
      <c r="J1534" s="90">
        <f>SUMIF(Cargas!$C$5:$C$3470,C1534,Cargas!$O$5:$O$3470)</f>
        <v>3024</v>
      </c>
      <c r="K1534" s="91">
        <f t="shared" ref="K1534:K1552" si="28">IF(ABS(I1534-J1534)&lt;20,0,I1534-J1534)</f>
        <v>0</v>
      </c>
      <c r="L1534" s="122" t="s">
        <v>9173</v>
      </c>
      <c r="M1534" s="92">
        <v>51727</v>
      </c>
    </row>
    <row r="1535" spans="1:43" s="198" customFormat="1" hidden="1" x14ac:dyDescent="0.25">
      <c r="A1535" s="115"/>
      <c r="B1535" s="107">
        <v>45680</v>
      </c>
      <c r="C1535" s="108" t="s">
        <v>3099</v>
      </c>
      <c r="D1535" s="109" t="s">
        <v>7163</v>
      </c>
      <c r="E1535" s="119" t="s">
        <v>6764</v>
      </c>
      <c r="F1535" s="119"/>
      <c r="G1535" s="109" t="s">
        <v>6443</v>
      </c>
      <c r="H1535" s="109" t="s">
        <v>8660</v>
      </c>
      <c r="I1535" s="110">
        <v>3204</v>
      </c>
      <c r="J1535" s="111">
        <f>SUMIF(Cargas!$C$5:$C$3470,C1535,Cargas!$O$5:$O$3470)</f>
        <v>3204</v>
      </c>
      <c r="K1535" s="112">
        <f t="shared" si="28"/>
        <v>0</v>
      </c>
      <c r="L1535" s="117">
        <v>1515078</v>
      </c>
      <c r="M1535" s="113"/>
      <c r="N1535" s="198" t="s">
        <v>9174</v>
      </c>
    </row>
    <row r="1536" spans="1:43" s="93" customFormat="1" hidden="1" x14ac:dyDescent="0.25">
      <c r="B1536" s="86">
        <v>46098</v>
      </c>
      <c r="C1536" s="87" t="s">
        <v>5693</v>
      </c>
      <c r="D1536" s="88" t="s">
        <v>9175</v>
      </c>
      <c r="E1536" s="121" t="s">
        <v>6764</v>
      </c>
      <c r="F1536" s="121"/>
      <c r="G1536" s="88" t="s">
        <v>6443</v>
      </c>
      <c r="H1536" s="88" t="s">
        <v>8574</v>
      </c>
      <c r="I1536" s="89">
        <v>6048</v>
      </c>
      <c r="J1536" s="90">
        <f>SUMIF(Cargas!$C$5:$C$3470,C1536,Cargas!$O$5:$O$3470)</f>
        <v>6048</v>
      </c>
      <c r="K1536" s="91">
        <f t="shared" si="28"/>
        <v>0</v>
      </c>
      <c r="L1536" s="122" t="s">
        <v>9176</v>
      </c>
      <c r="M1536" s="92">
        <v>54914</v>
      </c>
    </row>
    <row r="1537" spans="2:13" s="93" customFormat="1" hidden="1" x14ac:dyDescent="0.25">
      <c r="B1537" s="86">
        <v>46101</v>
      </c>
      <c r="C1537" s="87" t="s">
        <v>5712</v>
      </c>
      <c r="D1537" s="88" t="s">
        <v>9177</v>
      </c>
      <c r="E1537" s="121" t="s">
        <v>6764</v>
      </c>
      <c r="F1537" s="121"/>
      <c r="G1537" s="88" t="s">
        <v>6443</v>
      </c>
      <c r="H1537" s="88" t="s">
        <v>7061</v>
      </c>
      <c r="I1537" s="89">
        <v>6048</v>
      </c>
      <c r="J1537" s="90">
        <f>SUMIF(Cargas!$C$5:$C$3470,C1537,Cargas!$O$5:$O$3470)</f>
        <v>6048</v>
      </c>
      <c r="K1537" s="91">
        <f t="shared" si="28"/>
        <v>0</v>
      </c>
      <c r="L1537" s="122" t="s">
        <v>9178</v>
      </c>
      <c r="M1537" s="92">
        <v>57297</v>
      </c>
    </row>
    <row r="1538" spans="2:13" s="93" customFormat="1" hidden="1" x14ac:dyDescent="0.25">
      <c r="B1538" s="86">
        <v>46099</v>
      </c>
      <c r="C1538" s="87" t="s">
        <v>5707</v>
      </c>
      <c r="D1538" s="88" t="s">
        <v>9179</v>
      </c>
      <c r="E1538" s="121" t="s">
        <v>8917</v>
      </c>
      <c r="F1538" s="121"/>
      <c r="G1538" s="88" t="s">
        <v>6665</v>
      </c>
      <c r="H1538" s="88" t="s">
        <v>8928</v>
      </c>
      <c r="I1538" s="89">
        <v>3744</v>
      </c>
      <c r="J1538" s="90">
        <f>SUMIF(Cargas!$C$5:$C$3470,C1538,Cargas!$O$5:$O$3470)</f>
        <v>3744</v>
      </c>
      <c r="K1538" s="91">
        <f t="shared" si="28"/>
        <v>0</v>
      </c>
      <c r="L1538" s="122" t="s">
        <v>9180</v>
      </c>
      <c r="M1538" s="92">
        <v>55270</v>
      </c>
    </row>
    <row r="1539" spans="2:13" s="93" customFormat="1" hidden="1" x14ac:dyDescent="0.25">
      <c r="B1539" s="86">
        <v>46101</v>
      </c>
      <c r="C1539" s="87" t="s">
        <v>5716</v>
      </c>
      <c r="D1539" s="88" t="s">
        <v>9181</v>
      </c>
      <c r="E1539" s="121" t="s">
        <v>6764</v>
      </c>
      <c r="F1539" s="121"/>
      <c r="G1539" s="88" t="s">
        <v>6443</v>
      </c>
      <c r="H1539" s="88" t="s">
        <v>8574</v>
      </c>
      <c r="I1539" s="89">
        <v>9072</v>
      </c>
      <c r="J1539" s="90">
        <f>SUMIF(Cargas!$C$5:$C$3470,C1539,Cargas!$O$5:$O$3470)</f>
        <v>9072</v>
      </c>
      <c r="K1539" s="91">
        <f t="shared" si="28"/>
        <v>0</v>
      </c>
      <c r="L1539" s="122" t="s">
        <v>9182</v>
      </c>
      <c r="M1539" s="92">
        <v>57282</v>
      </c>
    </row>
    <row r="1540" spans="2:13" s="93" customFormat="1" hidden="1" x14ac:dyDescent="0.25">
      <c r="B1540" s="86">
        <v>46105</v>
      </c>
      <c r="C1540" s="87" t="s">
        <v>5732</v>
      </c>
      <c r="D1540" s="88" t="s">
        <v>9183</v>
      </c>
      <c r="E1540" s="121" t="s">
        <v>6764</v>
      </c>
      <c r="F1540" s="121"/>
      <c r="G1540" s="88" t="s">
        <v>6443</v>
      </c>
      <c r="H1540" s="88" t="s">
        <v>6963</v>
      </c>
      <c r="I1540" s="89">
        <v>4032</v>
      </c>
      <c r="J1540" s="90">
        <f>SUMIF(Cargas!$C$5:$C$3470,C1540,Cargas!$O$5:$O$3470)</f>
        <v>4032</v>
      </c>
      <c r="K1540" s="91">
        <f t="shared" si="28"/>
        <v>0</v>
      </c>
      <c r="L1540" s="122" t="s">
        <v>9184</v>
      </c>
      <c r="M1540" s="92">
        <v>60906</v>
      </c>
    </row>
    <row r="1541" spans="2:13" s="93" customFormat="1" hidden="1" x14ac:dyDescent="0.25">
      <c r="B1541" s="86">
        <v>46106</v>
      </c>
      <c r="C1541" s="87" t="s">
        <v>5735</v>
      </c>
      <c r="D1541" s="88" t="s">
        <v>9185</v>
      </c>
      <c r="E1541" s="121" t="s">
        <v>8917</v>
      </c>
      <c r="F1541" s="121"/>
      <c r="G1541" s="88" t="s">
        <v>6443</v>
      </c>
      <c r="H1541" s="88" t="s">
        <v>8928</v>
      </c>
      <c r="I1541" s="89">
        <v>5616</v>
      </c>
      <c r="J1541" s="90">
        <f>SUMIF(Cargas!$C$5:$C$3470,C1541,Cargas!$O$5:$O$3470)</f>
        <v>5616</v>
      </c>
      <c r="K1541" s="91">
        <f t="shared" si="28"/>
        <v>0</v>
      </c>
      <c r="L1541" s="122" t="s">
        <v>9186</v>
      </c>
      <c r="M1541" s="92">
        <v>61858</v>
      </c>
    </row>
    <row r="1542" spans="2:13" s="93" customFormat="1" hidden="1" x14ac:dyDescent="0.25">
      <c r="B1542" s="86">
        <v>46108</v>
      </c>
      <c r="C1542" s="87" t="s">
        <v>5753</v>
      </c>
      <c r="D1542" s="88" t="s">
        <v>9187</v>
      </c>
      <c r="E1542" s="121" t="s">
        <v>6764</v>
      </c>
      <c r="F1542" s="121"/>
      <c r="G1542" s="88" t="s">
        <v>6443</v>
      </c>
      <c r="H1542" s="88" t="s">
        <v>8574</v>
      </c>
      <c r="I1542" s="89">
        <v>9072</v>
      </c>
      <c r="J1542" s="90">
        <f>SUMIF(Cargas!$C$5:$C$3470,C1542,Cargas!$O$5:$O$3470)</f>
        <v>9072</v>
      </c>
      <c r="K1542" s="91">
        <f t="shared" si="28"/>
        <v>0</v>
      </c>
      <c r="L1542" s="122" t="s">
        <v>9188</v>
      </c>
      <c r="M1542" s="92">
        <v>62958</v>
      </c>
    </row>
    <row r="1543" spans="2:13" s="93" customFormat="1" hidden="1" x14ac:dyDescent="0.25">
      <c r="B1543" s="86">
        <v>46108</v>
      </c>
      <c r="C1543" s="87" t="s">
        <v>5756</v>
      </c>
      <c r="D1543" s="88" t="s">
        <v>9189</v>
      </c>
      <c r="E1543" s="121" t="s">
        <v>6764</v>
      </c>
      <c r="F1543" s="121"/>
      <c r="G1543" s="88" t="s">
        <v>6443</v>
      </c>
      <c r="H1543" s="88" t="s">
        <v>7061</v>
      </c>
      <c r="I1543" s="89">
        <v>6048</v>
      </c>
      <c r="J1543" s="90">
        <f>SUMIF(Cargas!$C$5:$C$3470,C1543,Cargas!$O$5:$O$3470)</f>
        <v>6048</v>
      </c>
      <c r="K1543" s="91">
        <f t="shared" si="28"/>
        <v>0</v>
      </c>
      <c r="L1543" s="122" t="s">
        <v>9190</v>
      </c>
      <c r="M1543" s="92">
        <v>63952</v>
      </c>
    </row>
    <row r="1544" spans="2:13" s="93" customFormat="1" hidden="1" x14ac:dyDescent="0.25">
      <c r="B1544" s="86">
        <v>46120</v>
      </c>
      <c r="C1544" s="87" t="s">
        <v>5779</v>
      </c>
      <c r="D1544" s="88" t="s">
        <v>9191</v>
      </c>
      <c r="E1544" s="121" t="s">
        <v>6764</v>
      </c>
      <c r="F1544" s="121" t="s">
        <v>6116</v>
      </c>
      <c r="G1544" s="88" t="s">
        <v>6443</v>
      </c>
      <c r="H1544" s="88" t="s">
        <v>7061</v>
      </c>
      <c r="I1544" s="89">
        <v>9072</v>
      </c>
      <c r="J1544" s="90">
        <f>SUMIF(Cargas!$C$5:$C$3470,C1544,Cargas!$O$5:$O$3470)</f>
        <v>9072</v>
      </c>
      <c r="K1544" s="91">
        <f t="shared" si="28"/>
        <v>0</v>
      </c>
      <c r="L1544" s="122">
        <v>1554969</v>
      </c>
      <c r="M1544" s="92">
        <v>69499</v>
      </c>
    </row>
    <row r="1545" spans="2:13" s="93" customFormat="1" hidden="1" x14ac:dyDescent="0.25">
      <c r="B1545" s="86">
        <v>46122</v>
      </c>
      <c r="C1545" s="87" t="s">
        <v>5803</v>
      </c>
      <c r="D1545" s="88" t="s">
        <v>9192</v>
      </c>
      <c r="E1545" s="121" t="s">
        <v>8917</v>
      </c>
      <c r="F1545" s="121" t="s">
        <v>6116</v>
      </c>
      <c r="G1545" s="88" t="s">
        <v>6665</v>
      </c>
      <c r="H1545" s="88" t="s">
        <v>8928</v>
      </c>
      <c r="I1545" s="89">
        <v>5616</v>
      </c>
      <c r="J1545" s="90">
        <f>SUMIF(Cargas!$C$5:$C$3470,C1545,Cargas!$O$5:$O$3470)</f>
        <v>5616</v>
      </c>
      <c r="K1545" s="91">
        <f t="shared" si="28"/>
        <v>0</v>
      </c>
      <c r="L1545" s="122" t="s">
        <v>9193</v>
      </c>
      <c r="M1545" s="92">
        <v>71910</v>
      </c>
    </row>
    <row r="1546" spans="2:13" s="93" customFormat="1" hidden="1" x14ac:dyDescent="0.25">
      <c r="B1546" s="86">
        <v>46126</v>
      </c>
      <c r="C1546" s="87" t="s">
        <v>5811</v>
      </c>
      <c r="D1546" s="88" t="s">
        <v>9194</v>
      </c>
      <c r="E1546" s="121" t="s">
        <v>6764</v>
      </c>
      <c r="F1546" s="121" t="s">
        <v>6116</v>
      </c>
      <c r="G1546" s="88" t="s">
        <v>6443</v>
      </c>
      <c r="H1546" s="88" t="s">
        <v>8574</v>
      </c>
      <c r="I1546" s="89">
        <v>9072</v>
      </c>
      <c r="J1546" s="90">
        <f>SUMIF(Cargas!$C$5:$C$3470,C1546,Cargas!$O$5:$O$3470)</f>
        <v>9073</v>
      </c>
      <c r="K1546" s="91">
        <f t="shared" si="28"/>
        <v>0</v>
      </c>
      <c r="L1546" s="122" t="s">
        <v>9195</v>
      </c>
      <c r="M1546" s="92">
        <v>74233</v>
      </c>
    </row>
    <row r="1547" spans="2:13" s="93" customFormat="1" hidden="1" x14ac:dyDescent="0.25">
      <c r="B1547" s="86">
        <v>46129</v>
      </c>
      <c r="C1547" s="87" t="s">
        <v>5831</v>
      </c>
      <c r="D1547" s="88" t="s">
        <v>9196</v>
      </c>
      <c r="E1547" s="121" t="s">
        <v>6764</v>
      </c>
      <c r="F1547" s="121" t="s">
        <v>6116</v>
      </c>
      <c r="G1547" s="88" t="s">
        <v>6443</v>
      </c>
      <c r="H1547" s="88" t="s">
        <v>6963</v>
      </c>
      <c r="I1547" s="89">
        <v>4032</v>
      </c>
      <c r="J1547" s="90">
        <f>SUMIF(Cargas!$C$5:$C$3470,C1547,Cargas!$O$5:$O$3470)</f>
        <v>4032</v>
      </c>
      <c r="K1547" s="91">
        <f t="shared" si="28"/>
        <v>0</v>
      </c>
      <c r="L1547" s="122" t="s">
        <v>9197</v>
      </c>
      <c r="M1547" s="92">
        <v>79575</v>
      </c>
    </row>
    <row r="1548" spans="2:13" s="93" customFormat="1" hidden="1" x14ac:dyDescent="0.25">
      <c r="B1548" s="86">
        <v>46132</v>
      </c>
      <c r="C1548" s="87" t="s">
        <v>5839</v>
      </c>
      <c r="D1548" s="88" t="s">
        <v>9198</v>
      </c>
      <c r="E1548" s="121" t="s">
        <v>6764</v>
      </c>
      <c r="F1548" s="121" t="s">
        <v>6116</v>
      </c>
      <c r="G1548" s="88" t="s">
        <v>6443</v>
      </c>
      <c r="H1548" s="88" t="s">
        <v>7061</v>
      </c>
      <c r="I1548" s="89">
        <v>9072</v>
      </c>
      <c r="J1548" s="90">
        <f>SUMIF(Cargas!$C$5:$C$3470,C1548,Cargas!$O$5:$O$3470)</f>
        <v>9072</v>
      </c>
      <c r="K1548" s="91">
        <f t="shared" si="28"/>
        <v>0</v>
      </c>
      <c r="L1548" s="122">
        <v>1556155</v>
      </c>
      <c r="M1548" s="92">
        <v>79994</v>
      </c>
    </row>
    <row r="1549" spans="2:13" s="93" customFormat="1" hidden="1" x14ac:dyDescent="0.25">
      <c r="B1549" s="86">
        <v>46136</v>
      </c>
      <c r="C1549" s="87" t="s">
        <v>5850</v>
      </c>
      <c r="D1549" s="88" t="s">
        <v>9199</v>
      </c>
      <c r="E1549" s="121" t="s">
        <v>6764</v>
      </c>
      <c r="F1549" s="121" t="s">
        <v>6116</v>
      </c>
      <c r="G1549" s="88" t="s">
        <v>6443</v>
      </c>
      <c r="H1549" s="88" t="s">
        <v>8574</v>
      </c>
      <c r="I1549" s="89">
        <v>9072</v>
      </c>
      <c r="J1549" s="90">
        <f>SUMIF(Cargas!$C$5:$C$3470,C1549,Cargas!$O$5:$O$3470)</f>
        <v>9072</v>
      </c>
      <c r="K1549" s="91">
        <f t="shared" si="28"/>
        <v>0</v>
      </c>
      <c r="L1549" s="122">
        <v>1556795</v>
      </c>
      <c r="M1549" s="92">
        <v>82567</v>
      </c>
    </row>
    <row r="1550" spans="2:13" s="93" customFormat="1" hidden="1" x14ac:dyDescent="0.25">
      <c r="B1550" s="86">
        <v>46141</v>
      </c>
      <c r="C1550" s="87" t="s">
        <v>5900</v>
      </c>
      <c r="D1550" s="88" t="s">
        <v>9200</v>
      </c>
      <c r="E1550" s="121" t="s">
        <v>6764</v>
      </c>
      <c r="F1550" s="121" t="s">
        <v>6116</v>
      </c>
      <c r="G1550" s="88" t="s">
        <v>6443</v>
      </c>
      <c r="H1550" s="88" t="s">
        <v>8574</v>
      </c>
      <c r="I1550" s="89">
        <v>9072</v>
      </c>
      <c r="J1550" s="90">
        <f>SUMIF(Cargas!$C$5:$C$3470,C1550,Cargas!$O$5:$O$3470)</f>
        <v>9072</v>
      </c>
      <c r="K1550" s="91">
        <f t="shared" si="28"/>
        <v>0</v>
      </c>
      <c r="L1550" s="122" t="s">
        <v>9201</v>
      </c>
      <c r="M1550" s="92">
        <v>90085</v>
      </c>
    </row>
    <row r="1551" spans="2:13" s="93" customFormat="1" hidden="1" x14ac:dyDescent="0.25">
      <c r="B1551" s="86">
        <v>46141</v>
      </c>
      <c r="C1551" s="87" t="s">
        <v>5880</v>
      </c>
      <c r="D1551" s="88" t="s">
        <v>9202</v>
      </c>
      <c r="E1551" s="121" t="s">
        <v>6764</v>
      </c>
      <c r="F1551" s="121" t="s">
        <v>6116</v>
      </c>
      <c r="G1551" s="88" t="s">
        <v>6443</v>
      </c>
      <c r="H1551" s="88" t="s">
        <v>6963</v>
      </c>
      <c r="I1551" s="89">
        <v>4032</v>
      </c>
      <c r="J1551" s="90">
        <f>SUMIF(Cargas!$C$5:$C$3470,C1551,Cargas!$O$5:$O$3470)</f>
        <v>4032</v>
      </c>
      <c r="K1551" s="91">
        <f t="shared" si="28"/>
        <v>0</v>
      </c>
      <c r="L1551" s="122" t="s">
        <v>9203</v>
      </c>
      <c r="M1551" s="92">
        <v>87686</v>
      </c>
    </row>
    <row r="1552" spans="2:13" s="93" customFormat="1" hidden="1" x14ac:dyDescent="0.25">
      <c r="B1552" s="86">
        <v>46136</v>
      </c>
      <c r="C1552" s="87" t="s">
        <v>5908</v>
      </c>
      <c r="D1552" s="88" t="s">
        <v>9204</v>
      </c>
      <c r="E1552" s="121" t="s">
        <v>8917</v>
      </c>
      <c r="F1552" s="121" t="s">
        <v>6116</v>
      </c>
      <c r="G1552" s="88" t="s">
        <v>6665</v>
      </c>
      <c r="H1552" s="88" t="s">
        <v>8928</v>
      </c>
      <c r="I1552" s="89">
        <v>1872</v>
      </c>
      <c r="J1552" s="90">
        <f>SUMIF(Cargas!$C$5:$C$3470,C1552,Cargas!$O$5:$O$3470)</f>
        <v>1872</v>
      </c>
      <c r="K1552" s="91">
        <f t="shared" si="28"/>
        <v>0</v>
      </c>
      <c r="L1552" s="122">
        <v>1556822</v>
      </c>
      <c r="M1552" s="92">
        <v>90209</v>
      </c>
    </row>
    <row r="1553" spans="1:19" s="93" customFormat="1" hidden="1" x14ac:dyDescent="0.25">
      <c r="B1553" s="86">
        <v>46153</v>
      </c>
      <c r="C1553" s="87" t="s">
        <v>5925</v>
      </c>
      <c r="D1553" s="88" t="s">
        <v>9205</v>
      </c>
      <c r="E1553" s="121" t="s">
        <v>6764</v>
      </c>
      <c r="F1553" s="121" t="s">
        <v>6116</v>
      </c>
      <c r="G1553" s="88" t="s">
        <v>6443</v>
      </c>
      <c r="H1553" s="88" t="s">
        <v>7061</v>
      </c>
      <c r="I1553" s="89">
        <v>6048</v>
      </c>
      <c r="J1553" s="90">
        <f>SUMIF(Cargas!$C$5:$C$3470,C1553,Cargas!$O$5:$O$3470)</f>
        <v>6048</v>
      </c>
      <c r="K1553" s="91">
        <f t="shared" ref="K1553:K1584" si="29">IF(ABS(I1553-J1553)&lt;20,0,I1553-J1553)</f>
        <v>0</v>
      </c>
      <c r="L1553" s="122">
        <v>1558017</v>
      </c>
      <c r="M1553" s="92">
        <v>95052</v>
      </c>
    </row>
    <row r="1554" spans="1:19" s="93" customFormat="1" hidden="1" x14ac:dyDescent="0.25">
      <c r="B1554" s="86">
        <v>46156</v>
      </c>
      <c r="C1554" s="87" t="s">
        <v>5930</v>
      </c>
      <c r="D1554" s="88" t="s">
        <v>9206</v>
      </c>
      <c r="E1554" s="121" t="s">
        <v>6764</v>
      </c>
      <c r="F1554" s="121" t="s">
        <v>6116</v>
      </c>
      <c r="G1554" s="88" t="s">
        <v>6443</v>
      </c>
      <c r="H1554" s="88" t="s">
        <v>8574</v>
      </c>
      <c r="I1554" s="89">
        <v>9072</v>
      </c>
      <c r="J1554" s="90">
        <f>SUMIF(Cargas!$C$5:$C$3470,C1554,Cargas!$O$5:$O$3470)</f>
        <v>9072</v>
      </c>
      <c r="K1554" s="91">
        <f t="shared" si="29"/>
        <v>0</v>
      </c>
      <c r="L1554" s="122">
        <v>1558382</v>
      </c>
      <c r="M1554" s="92">
        <v>95912</v>
      </c>
    </row>
    <row r="1555" spans="1:19" s="93" customFormat="1" hidden="1" x14ac:dyDescent="0.25">
      <c r="B1555" s="86">
        <v>46156</v>
      </c>
      <c r="C1555" s="87" t="s">
        <v>5932</v>
      </c>
      <c r="D1555" s="88" t="s">
        <v>9207</v>
      </c>
      <c r="E1555" s="121" t="s">
        <v>6764</v>
      </c>
      <c r="F1555" s="121" t="s">
        <v>6116</v>
      </c>
      <c r="G1555" s="88" t="s">
        <v>6443</v>
      </c>
      <c r="H1555" s="88" t="s">
        <v>6963</v>
      </c>
      <c r="I1555" s="89">
        <v>4032</v>
      </c>
      <c r="J1555" s="90">
        <f>SUMIF(Cargas!$C$5:$C$3470,C1555,Cargas!$O$5:$O$3470)</f>
        <v>4032</v>
      </c>
      <c r="K1555" s="91">
        <f t="shared" si="29"/>
        <v>0</v>
      </c>
      <c r="L1555" s="122">
        <v>1558383</v>
      </c>
      <c r="M1555" s="92">
        <v>95907</v>
      </c>
    </row>
    <row r="1556" spans="1:19" s="93" customFormat="1" hidden="1" x14ac:dyDescent="0.25">
      <c r="B1556" s="86">
        <v>46163</v>
      </c>
      <c r="C1556" s="87" t="s">
        <v>5947</v>
      </c>
      <c r="D1556" s="88" t="s">
        <v>9208</v>
      </c>
      <c r="E1556" s="121" t="s">
        <v>8917</v>
      </c>
      <c r="F1556" s="121" t="s">
        <v>6116</v>
      </c>
      <c r="G1556" s="88" t="s">
        <v>6665</v>
      </c>
      <c r="H1556" s="88" t="s">
        <v>8928</v>
      </c>
      <c r="I1556" s="89">
        <v>3744</v>
      </c>
      <c r="J1556" s="90">
        <f>SUMIF(Cargas!$C$5:$C$3470,C1556,Cargas!$O$5:$O$3470)</f>
        <v>3744</v>
      </c>
      <c r="K1556" s="91">
        <f t="shared" si="29"/>
        <v>0</v>
      </c>
      <c r="L1556" s="122">
        <v>1559003</v>
      </c>
      <c r="M1556" s="92">
        <v>101722</v>
      </c>
    </row>
    <row r="1557" spans="1:19" ht="26.25" hidden="1" x14ac:dyDescent="0.25">
      <c r="A1557" s="115"/>
      <c r="B1557" s="107">
        <v>45695</v>
      </c>
      <c r="C1557" s="108" t="s">
        <v>3178</v>
      </c>
      <c r="D1557" s="109" t="s">
        <v>7166</v>
      </c>
      <c r="E1557" s="119" t="s">
        <v>6764</v>
      </c>
      <c r="F1557" s="119"/>
      <c r="G1557" s="109" t="s">
        <v>6443</v>
      </c>
      <c r="H1557" s="109" t="s">
        <v>6455</v>
      </c>
      <c r="I1557" s="110">
        <v>1297</v>
      </c>
      <c r="J1557" s="111">
        <f>SUMIF(Cargas!$C$5:$C$3470,C1557,Cargas!$O$5:$O$3470)</f>
        <v>1297</v>
      </c>
      <c r="K1557" s="112">
        <f t="shared" si="29"/>
        <v>0</v>
      </c>
      <c r="L1557" s="117" t="s">
        <v>9209</v>
      </c>
      <c r="M1557" s="113">
        <v>26852</v>
      </c>
      <c r="N1557" s="93"/>
      <c r="O1557" s="93"/>
      <c r="P1557" s="93"/>
      <c r="Q1557" s="93"/>
      <c r="R1557" s="93"/>
      <c r="S1557" s="93"/>
    </row>
    <row r="1558" spans="1:19" s="93" customFormat="1" hidden="1" x14ac:dyDescent="0.25">
      <c r="B1558" s="86">
        <v>46170</v>
      </c>
      <c r="C1558" s="87" t="s">
        <v>5978</v>
      </c>
      <c r="D1558" s="88" t="s">
        <v>9210</v>
      </c>
      <c r="E1558" s="121" t="s">
        <v>6764</v>
      </c>
      <c r="F1558" s="121" t="s">
        <v>6116</v>
      </c>
      <c r="G1558" s="88" t="s">
        <v>6443</v>
      </c>
      <c r="H1558" s="88" t="s">
        <v>8574</v>
      </c>
      <c r="I1558" s="89">
        <v>9072</v>
      </c>
      <c r="J1558" s="90">
        <f>SUMIF(Cargas!$C$5:$C$3470,C1558,Cargas!$O$5:$O$3470)</f>
        <v>9072</v>
      </c>
      <c r="K1558" s="91">
        <f t="shared" si="29"/>
        <v>0</v>
      </c>
      <c r="L1558" s="122">
        <v>1559613</v>
      </c>
      <c r="M1558" s="92">
        <v>107235</v>
      </c>
    </row>
    <row r="1559" spans="1:19" s="93" customFormat="1" ht="26.25" hidden="1" x14ac:dyDescent="0.25">
      <c r="B1559" s="86">
        <v>45706</v>
      </c>
      <c r="C1559" s="87" t="s">
        <v>3241</v>
      </c>
      <c r="D1559" s="88" t="s">
        <v>7169</v>
      </c>
      <c r="E1559" s="121" t="s">
        <v>6764</v>
      </c>
      <c r="F1559" s="121"/>
      <c r="G1559" s="88" t="s">
        <v>6443</v>
      </c>
      <c r="H1559" s="88" t="s">
        <v>7888</v>
      </c>
      <c r="I1559" s="89">
        <v>1568</v>
      </c>
      <c r="J1559" s="90">
        <f>SUMIF(Cargas!$C$5:$C$3470,C1559,Cargas!$O$5:$O$3470)</f>
        <v>1568</v>
      </c>
      <c r="K1559" s="91">
        <f t="shared" si="29"/>
        <v>0</v>
      </c>
      <c r="L1559" s="122" t="s">
        <v>9211</v>
      </c>
      <c r="M1559" s="92">
        <v>37726</v>
      </c>
    </row>
    <row r="1560" spans="1:19" s="93" customFormat="1" hidden="1" x14ac:dyDescent="0.25">
      <c r="B1560" s="86">
        <v>46170</v>
      </c>
      <c r="C1560" s="87" t="s">
        <v>5974</v>
      </c>
      <c r="D1560" s="88" t="s">
        <v>9212</v>
      </c>
      <c r="E1560" s="121" t="s">
        <v>6764</v>
      </c>
      <c r="F1560" s="121" t="s">
        <v>6116</v>
      </c>
      <c r="G1560" s="88" t="s">
        <v>6443</v>
      </c>
      <c r="H1560" s="88" t="s">
        <v>6963</v>
      </c>
      <c r="I1560" s="89">
        <v>4032</v>
      </c>
      <c r="J1560" s="90">
        <f>SUMIF(Cargas!$C$5:$C$3470,C1560,Cargas!$O$5:$O$3470)</f>
        <v>4032</v>
      </c>
      <c r="K1560" s="91">
        <f t="shared" si="29"/>
        <v>0</v>
      </c>
      <c r="L1560" s="122">
        <v>1559612</v>
      </c>
      <c r="M1560" s="92">
        <v>107311</v>
      </c>
    </row>
    <row r="1561" spans="1:19" s="93" customFormat="1" hidden="1" x14ac:dyDescent="0.25">
      <c r="B1561" s="86">
        <v>45709</v>
      </c>
      <c r="C1561" s="87" t="s">
        <v>3270</v>
      </c>
      <c r="D1561" s="88" t="s">
        <v>7705</v>
      </c>
      <c r="E1561" s="121" t="s">
        <v>9213</v>
      </c>
      <c r="F1561" s="121"/>
      <c r="G1561" s="88" t="s">
        <v>6665</v>
      </c>
      <c r="H1561" s="88" t="s">
        <v>9213</v>
      </c>
      <c r="I1561" s="89">
        <v>5616</v>
      </c>
      <c r="J1561" s="90">
        <f>SUMIF(Cargas!$C$5:$C$3470,C1561,Cargas!$O$5:$O$3470)</f>
        <v>5616</v>
      </c>
      <c r="K1561" s="91">
        <f t="shared" si="29"/>
        <v>0</v>
      </c>
      <c r="L1561" s="122" t="s">
        <v>9214</v>
      </c>
      <c r="M1561" s="92">
        <v>38488</v>
      </c>
    </row>
    <row r="1562" spans="1:19" s="93" customFormat="1" ht="26.25" hidden="1" x14ac:dyDescent="0.25">
      <c r="A1562" s="93">
        <v>2</v>
      </c>
      <c r="B1562" s="86">
        <v>45712</v>
      </c>
      <c r="C1562" s="87" t="s">
        <v>3266</v>
      </c>
      <c r="D1562" s="88" t="s">
        <v>7172</v>
      </c>
      <c r="E1562" s="121" t="s">
        <v>9213</v>
      </c>
      <c r="F1562" s="121"/>
      <c r="G1562" s="88" t="s">
        <v>6665</v>
      </c>
      <c r="H1562" s="88" t="s">
        <v>9213</v>
      </c>
      <c r="I1562" s="89">
        <v>1220</v>
      </c>
      <c r="J1562" s="90">
        <f>SUMIF(Cargas!$C$5:$C$3470,C1562,Cargas!$O$5:$O$3470)</f>
        <v>1220</v>
      </c>
      <c r="K1562" s="91">
        <f t="shared" si="29"/>
        <v>0</v>
      </c>
      <c r="L1562" s="122" t="s">
        <v>9215</v>
      </c>
      <c r="M1562" s="92">
        <v>39650</v>
      </c>
    </row>
    <row r="1563" spans="1:19" s="93" customFormat="1" hidden="1" x14ac:dyDescent="0.25">
      <c r="A1563" s="93">
        <v>2</v>
      </c>
      <c r="B1563" s="86">
        <v>45721</v>
      </c>
      <c r="C1563" s="87" t="s">
        <v>3327</v>
      </c>
      <c r="D1563" s="88" t="s">
        <v>7175</v>
      </c>
      <c r="E1563" s="121" t="s">
        <v>6764</v>
      </c>
      <c r="F1563" s="121"/>
      <c r="G1563" s="88" t="s">
        <v>6443</v>
      </c>
      <c r="H1563" s="88" t="s">
        <v>6768</v>
      </c>
      <c r="I1563" s="89">
        <v>2288</v>
      </c>
      <c r="J1563" s="90">
        <f>SUMIF(Cargas!$C$5:$C$3470,C1563,Cargas!$O$5:$O$3470)</f>
        <v>2288</v>
      </c>
      <c r="K1563" s="18">
        <f t="shared" si="29"/>
        <v>0</v>
      </c>
      <c r="L1563" s="122">
        <v>1519044</v>
      </c>
      <c r="M1563" s="92">
        <v>46273</v>
      </c>
    </row>
    <row r="1564" spans="1:19" s="93" customFormat="1" ht="26.25" hidden="1" x14ac:dyDescent="0.25">
      <c r="A1564" s="93">
        <v>2</v>
      </c>
      <c r="B1564" s="86">
        <v>45733</v>
      </c>
      <c r="C1564" s="87" t="s">
        <v>3423</v>
      </c>
      <c r="D1564" s="88" t="s">
        <v>7178</v>
      </c>
      <c r="E1564" s="121" t="s">
        <v>6764</v>
      </c>
      <c r="F1564" s="121"/>
      <c r="G1564" s="88" t="s">
        <v>6443</v>
      </c>
      <c r="H1564" s="88" t="s">
        <v>6455</v>
      </c>
      <c r="I1564" s="89">
        <v>1296</v>
      </c>
      <c r="J1564" s="90">
        <f>SUMIF(Cargas!$C$5:$C$3470,C1564,Cargas!$O$5:$O$3470)</f>
        <v>1296</v>
      </c>
      <c r="K1564" s="18">
        <f t="shared" si="29"/>
        <v>0</v>
      </c>
      <c r="L1564" s="122" t="s">
        <v>9216</v>
      </c>
      <c r="M1564" s="92">
        <v>55141</v>
      </c>
    </row>
    <row r="1565" spans="1:19" s="93" customFormat="1" ht="26.25" hidden="1" x14ac:dyDescent="0.25">
      <c r="A1565" s="93">
        <v>2</v>
      </c>
      <c r="B1565" s="86">
        <v>45747</v>
      </c>
      <c r="C1565" s="87" t="s">
        <v>3505</v>
      </c>
      <c r="D1565" s="88" t="s">
        <v>7181</v>
      </c>
      <c r="E1565" s="121" t="s">
        <v>9213</v>
      </c>
      <c r="F1565" s="121"/>
      <c r="G1565" s="88" t="s">
        <v>6665</v>
      </c>
      <c r="H1565" s="88" t="s">
        <v>9217</v>
      </c>
      <c r="I1565" s="89">
        <v>3060</v>
      </c>
      <c r="J1565" s="90">
        <f>SUMIF(Cargas!$C$5:$C$3470,C1565,Cargas!$O$5:$O$3470)</f>
        <v>3060</v>
      </c>
      <c r="K1565" s="18">
        <f t="shared" si="29"/>
        <v>0</v>
      </c>
      <c r="L1565" s="122" t="s">
        <v>9218</v>
      </c>
      <c r="M1565" s="92">
        <v>65114</v>
      </c>
    </row>
    <row r="1566" spans="1:19" s="93" customFormat="1" ht="26.25" hidden="1" x14ac:dyDescent="0.25">
      <c r="B1566" s="86">
        <v>45755</v>
      </c>
      <c r="C1566" s="87" t="s">
        <v>3552</v>
      </c>
      <c r="D1566" s="88" t="s">
        <v>7208</v>
      </c>
      <c r="E1566" s="121" t="s">
        <v>9213</v>
      </c>
      <c r="F1566" s="121"/>
      <c r="G1566" s="88" t="s">
        <v>6665</v>
      </c>
      <c r="H1566" s="88" t="s">
        <v>9219</v>
      </c>
      <c r="I1566" s="89">
        <v>1224</v>
      </c>
      <c r="J1566" s="90">
        <f>SUMIF(Cargas!$C$5:$C$3470,C1566,Cargas!$O$5:$O$3470)</f>
        <v>1224</v>
      </c>
      <c r="K1566" s="91">
        <f t="shared" si="29"/>
        <v>0</v>
      </c>
      <c r="L1566" s="122" t="s">
        <v>9220</v>
      </c>
      <c r="M1566" s="92">
        <v>71097</v>
      </c>
    </row>
    <row r="1567" spans="1:19" s="93" customFormat="1" hidden="1" x14ac:dyDescent="0.25">
      <c r="A1567" s="103"/>
      <c r="B1567" s="95">
        <v>45764</v>
      </c>
      <c r="C1567" s="96" t="s">
        <v>3661</v>
      </c>
      <c r="D1567" s="97" t="s">
        <v>7212</v>
      </c>
      <c r="E1567" s="135" t="s">
        <v>9213</v>
      </c>
      <c r="F1567" s="135"/>
      <c r="G1567" s="97" t="s">
        <v>6665</v>
      </c>
      <c r="H1567" s="97" t="s">
        <v>9219</v>
      </c>
      <c r="I1567" s="98">
        <v>5616</v>
      </c>
      <c r="J1567" s="99">
        <f>SUMIF(Cargas!$C$5:$C$3470,C1567,Cargas!$O$5:$O$3470)</f>
        <v>5616</v>
      </c>
      <c r="K1567" s="100">
        <f t="shared" si="29"/>
        <v>0</v>
      </c>
      <c r="L1567" s="136">
        <v>1522612</v>
      </c>
      <c r="M1567" s="102">
        <v>78030</v>
      </c>
    </row>
    <row r="1568" spans="1:19" s="93" customFormat="1" hidden="1" x14ac:dyDescent="0.25">
      <c r="A1568" s="103"/>
      <c r="B1568" s="95">
        <v>45777</v>
      </c>
      <c r="C1568" s="96" t="s">
        <v>3725</v>
      </c>
      <c r="D1568" s="97" t="s">
        <v>3726</v>
      </c>
      <c r="E1568" s="135" t="s">
        <v>6764</v>
      </c>
      <c r="F1568" s="135"/>
      <c r="G1568" s="97" t="s">
        <v>6443</v>
      </c>
      <c r="H1568" s="97" t="s">
        <v>6444</v>
      </c>
      <c r="I1568" s="98">
        <v>1044</v>
      </c>
      <c r="J1568" s="99">
        <v>1044</v>
      </c>
      <c r="K1568" s="100">
        <f t="shared" si="29"/>
        <v>0</v>
      </c>
      <c r="L1568" s="136" t="s">
        <v>9221</v>
      </c>
      <c r="M1568" s="102">
        <v>84647</v>
      </c>
    </row>
    <row r="1569" spans="1:19" s="93" customFormat="1" hidden="1" x14ac:dyDescent="0.25">
      <c r="B1569" s="86">
        <v>45785</v>
      </c>
      <c r="C1569" s="87" t="s">
        <v>3825</v>
      </c>
      <c r="D1569" s="88" t="s">
        <v>7220</v>
      </c>
      <c r="E1569" s="121" t="s">
        <v>6442</v>
      </c>
      <c r="F1569" s="121"/>
      <c r="G1569" s="88" t="s">
        <v>6665</v>
      </c>
      <c r="H1569" s="88" t="s">
        <v>8660</v>
      </c>
      <c r="I1569" s="89">
        <v>1560</v>
      </c>
      <c r="J1569" s="90">
        <f>SUMIF(Cargas!$C$5:$C$3470,C1569,Cargas!$O$5:$O$3470)</f>
        <v>1560</v>
      </c>
      <c r="K1569" s="91">
        <f t="shared" si="29"/>
        <v>0</v>
      </c>
      <c r="L1569" s="122"/>
      <c r="M1569" s="92">
        <v>93534</v>
      </c>
    </row>
    <row r="1570" spans="1:19" s="93" customFormat="1" ht="26.25" hidden="1" x14ac:dyDescent="0.25">
      <c r="A1570" s="103"/>
      <c r="B1570" s="95">
        <v>45789</v>
      </c>
      <c r="C1570" s="96" t="s">
        <v>3838</v>
      </c>
      <c r="D1570" s="97" t="s">
        <v>7223</v>
      </c>
      <c r="E1570" s="135" t="s">
        <v>6764</v>
      </c>
      <c r="F1570" s="135"/>
      <c r="G1570" s="97" t="s">
        <v>6443</v>
      </c>
      <c r="H1570" s="97" t="s">
        <v>8660</v>
      </c>
      <c r="I1570" s="98">
        <v>1600</v>
      </c>
      <c r="J1570" s="99">
        <f>SUMIF(Cargas!$C$5:$C$3470,C1570,Cargas!$O$5:$O$3470)</f>
        <v>1600</v>
      </c>
      <c r="K1570" s="100">
        <f t="shared" si="29"/>
        <v>0</v>
      </c>
      <c r="L1570" s="136" t="s">
        <v>9222</v>
      </c>
      <c r="M1570" s="102">
        <v>94505</v>
      </c>
    </row>
    <row r="1571" spans="1:19" s="93" customFormat="1" hidden="1" x14ac:dyDescent="0.25">
      <c r="B1571" s="86">
        <v>45799</v>
      </c>
      <c r="C1571" s="87" t="s">
        <v>3939</v>
      </c>
      <c r="D1571" s="88" t="s">
        <v>7783</v>
      </c>
      <c r="E1571" s="121" t="s">
        <v>6442</v>
      </c>
      <c r="F1571" s="121"/>
      <c r="G1571" s="88" t="s">
        <v>6665</v>
      </c>
      <c r="H1571" s="88" t="s">
        <v>8660</v>
      </c>
      <c r="I1571" s="89">
        <v>1864</v>
      </c>
      <c r="J1571" s="90">
        <f>SUMIF(Cargas!$C$5:$C$3470,C1571,Cargas!$O$5:$O$3470)</f>
        <v>1864</v>
      </c>
      <c r="K1571" s="91">
        <f t="shared" si="29"/>
        <v>0</v>
      </c>
      <c r="L1571" s="122"/>
      <c r="M1571" s="92">
        <v>104175</v>
      </c>
    </row>
    <row r="1572" spans="1:19" s="93" customFormat="1" hidden="1" x14ac:dyDescent="0.25">
      <c r="B1572" s="86">
        <v>45801</v>
      </c>
      <c r="C1572" s="87" t="s">
        <v>3951</v>
      </c>
      <c r="D1572" s="88" t="s">
        <v>7785</v>
      </c>
      <c r="E1572" s="121" t="s">
        <v>9213</v>
      </c>
      <c r="F1572" s="121"/>
      <c r="G1572" s="88" t="s">
        <v>6665</v>
      </c>
      <c r="H1572" s="88" t="s">
        <v>8660</v>
      </c>
      <c r="I1572" s="89">
        <v>2640</v>
      </c>
      <c r="J1572" s="90">
        <f>SUMIF(Cargas!$C$5:$C$3470,C1572,Cargas!$O$5:$O$3470)</f>
        <v>2640</v>
      </c>
      <c r="K1572" s="91">
        <f t="shared" si="29"/>
        <v>0</v>
      </c>
      <c r="L1572" s="122"/>
      <c r="M1572" s="92">
        <v>104127</v>
      </c>
    </row>
    <row r="1573" spans="1:19" s="93" customFormat="1" hidden="1" x14ac:dyDescent="0.25">
      <c r="B1573" s="86">
        <v>45805</v>
      </c>
      <c r="C1573" s="87" t="s">
        <v>3960</v>
      </c>
      <c r="D1573" s="88" t="s">
        <v>7787</v>
      </c>
      <c r="E1573" s="121" t="s">
        <v>6764</v>
      </c>
      <c r="F1573" s="121"/>
      <c r="G1573" s="88" t="s">
        <v>6443</v>
      </c>
      <c r="H1573" s="88" t="s">
        <v>8660</v>
      </c>
      <c r="I1573" s="89">
        <v>1638</v>
      </c>
      <c r="J1573" s="90">
        <f>SUMIF(Cargas!$C$5:$C$3470,C1573,Cargas!$O$5:$O$3470)</f>
        <v>1638</v>
      </c>
      <c r="K1573" s="91">
        <f t="shared" si="29"/>
        <v>0</v>
      </c>
      <c r="L1573" s="122">
        <v>1526146</v>
      </c>
      <c r="M1573" s="92">
        <v>107130</v>
      </c>
      <c r="N1573"/>
      <c r="O1573"/>
      <c r="P1573"/>
      <c r="Q1573"/>
      <c r="R1573"/>
      <c r="S1573"/>
    </row>
    <row r="1574" spans="1:19" s="93" customFormat="1" hidden="1" x14ac:dyDescent="0.25">
      <c r="B1574" s="86">
        <v>45805</v>
      </c>
      <c r="C1574" s="87" t="s">
        <v>4004</v>
      </c>
      <c r="D1574" s="88" t="s">
        <v>7238</v>
      </c>
      <c r="E1574" s="121" t="s">
        <v>6764</v>
      </c>
      <c r="F1574" s="121"/>
      <c r="G1574" s="88" t="s">
        <v>6443</v>
      </c>
      <c r="H1574" s="88" t="s">
        <v>6768</v>
      </c>
      <c r="I1574" s="89">
        <v>1192</v>
      </c>
      <c r="J1574" s="90">
        <f>SUMIF(Cargas!$C$5:$C$3470,C1574,Cargas!$O$5:$O$3470)</f>
        <v>1192</v>
      </c>
      <c r="K1574" s="91">
        <f t="shared" si="29"/>
        <v>0</v>
      </c>
      <c r="L1574" s="122" t="s">
        <v>9223</v>
      </c>
      <c r="M1574" s="92">
        <v>110280</v>
      </c>
    </row>
    <row r="1575" spans="1:19" s="93" customFormat="1" hidden="1" x14ac:dyDescent="0.25">
      <c r="B1575" s="86">
        <v>45817</v>
      </c>
      <c r="C1575" s="87" t="s">
        <v>4056</v>
      </c>
      <c r="D1575" s="88" t="s">
        <v>7241</v>
      </c>
      <c r="E1575" s="121" t="s">
        <v>6764</v>
      </c>
      <c r="F1575" s="121"/>
      <c r="G1575" s="88" t="s">
        <v>6443</v>
      </c>
      <c r="H1575" s="88" t="s">
        <v>8660</v>
      </c>
      <c r="I1575" s="89">
        <v>1456</v>
      </c>
      <c r="J1575" s="90">
        <f>SUMIF(Cargas!$C$5:$C$3470,C1575,Cargas!$O$5:$O$3470)</f>
        <v>1456</v>
      </c>
      <c r="K1575" s="91">
        <f t="shared" si="29"/>
        <v>0</v>
      </c>
      <c r="L1575" s="122" t="s">
        <v>9224</v>
      </c>
      <c r="M1575" s="92">
        <v>115288</v>
      </c>
      <c r="N1575"/>
      <c r="O1575"/>
      <c r="P1575"/>
      <c r="Q1575"/>
      <c r="R1575"/>
      <c r="S1575"/>
    </row>
    <row r="1576" spans="1:19" s="93" customFormat="1" hidden="1" x14ac:dyDescent="0.25">
      <c r="B1576" s="86">
        <v>45814</v>
      </c>
      <c r="C1576" s="87" t="s">
        <v>9225</v>
      </c>
      <c r="D1576" s="88" t="s">
        <v>7244</v>
      </c>
      <c r="E1576" s="121" t="s">
        <v>9213</v>
      </c>
      <c r="F1576" s="121"/>
      <c r="G1576" s="88" t="s">
        <v>6665</v>
      </c>
      <c r="H1576" s="88" t="s">
        <v>9226</v>
      </c>
      <c r="I1576" s="89">
        <v>5184</v>
      </c>
      <c r="J1576" s="90">
        <f>SUMIF(Cargas!$C$5:$C$3470,C1576,Cargas!$O$5:$O$3470)</f>
        <v>5184</v>
      </c>
      <c r="K1576" s="91">
        <f t="shared" si="29"/>
        <v>0</v>
      </c>
      <c r="L1576" s="122">
        <v>1526924</v>
      </c>
      <c r="M1576" s="92">
        <v>115346</v>
      </c>
      <c r="N1576"/>
      <c r="O1576"/>
      <c r="P1576"/>
      <c r="Q1576"/>
      <c r="R1576"/>
      <c r="S1576"/>
    </row>
    <row r="1577" spans="1:19" s="93" customFormat="1" hidden="1" x14ac:dyDescent="0.25">
      <c r="A1577" s="198"/>
      <c r="B1577" s="137">
        <v>45819</v>
      </c>
      <c r="C1577" s="138" t="s">
        <v>4243</v>
      </c>
      <c r="D1577" s="139" t="s">
        <v>7798</v>
      </c>
      <c r="E1577" s="140" t="s">
        <v>6764</v>
      </c>
      <c r="F1577" s="140"/>
      <c r="G1577" s="139" t="s">
        <v>6443</v>
      </c>
      <c r="H1577" s="139" t="s">
        <v>6768</v>
      </c>
      <c r="I1577" s="141">
        <v>1400</v>
      </c>
      <c r="J1577" s="142">
        <f>SUMIF(Cargas!$C$5:$C$3470,C1577,Cargas!$O$5:$O$3470)</f>
        <v>1400</v>
      </c>
      <c r="K1577" s="143">
        <f t="shared" si="29"/>
        <v>0</v>
      </c>
      <c r="L1577" s="144" t="s">
        <v>9227</v>
      </c>
      <c r="M1577" s="145">
        <v>117268</v>
      </c>
    </row>
    <row r="1578" spans="1:19" s="93" customFormat="1" hidden="1" x14ac:dyDescent="0.25">
      <c r="A1578" s="198"/>
      <c r="B1578" s="137">
        <v>45828</v>
      </c>
      <c r="C1578" s="138" t="s">
        <v>4176</v>
      </c>
      <c r="D1578" s="139" t="s">
        <v>7251</v>
      </c>
      <c r="E1578" s="140" t="s">
        <v>8756</v>
      </c>
      <c r="F1578" s="140"/>
      <c r="G1578" s="139" t="s">
        <v>6443</v>
      </c>
      <c r="H1578" s="139" t="s">
        <v>8660</v>
      </c>
      <c r="I1578" s="141">
        <v>2520</v>
      </c>
      <c r="J1578" s="142">
        <f>SUMIF(Cargas!$C$5:$C$3470,C1578,Cargas!$O$5:$O$3470)</f>
        <v>2520</v>
      </c>
      <c r="K1578" s="143">
        <f t="shared" si="29"/>
        <v>0</v>
      </c>
      <c r="L1578" s="144"/>
      <c r="M1578" s="145">
        <v>127170</v>
      </c>
    </row>
    <row r="1579" spans="1:19" s="93" customFormat="1" hidden="1" x14ac:dyDescent="0.25">
      <c r="B1579" s="86">
        <v>45832</v>
      </c>
      <c r="C1579" s="87" t="s">
        <v>4147</v>
      </c>
      <c r="D1579" s="88" t="s">
        <v>7254</v>
      </c>
      <c r="E1579" s="121" t="s">
        <v>6764</v>
      </c>
      <c r="F1579" s="121"/>
      <c r="G1579" s="88" t="s">
        <v>6443</v>
      </c>
      <c r="H1579" s="88" t="s">
        <v>6768</v>
      </c>
      <c r="I1579" s="89">
        <v>1456</v>
      </c>
      <c r="J1579" s="90">
        <f>SUMIF(Cargas!$C$5:$C$3470,C1579,Cargas!$O$5:$O$3470)</f>
        <v>1456</v>
      </c>
      <c r="K1579" s="91">
        <f t="shared" si="29"/>
        <v>0</v>
      </c>
      <c r="L1579" s="122" t="s">
        <v>9228</v>
      </c>
      <c r="M1579" s="92">
        <v>124846</v>
      </c>
    </row>
    <row r="1580" spans="1:19" s="93" customFormat="1" hidden="1" x14ac:dyDescent="0.25">
      <c r="B1580" s="86">
        <v>45832</v>
      </c>
      <c r="C1580" s="87" t="s">
        <v>4140</v>
      </c>
      <c r="D1580" s="88" t="s">
        <v>7257</v>
      </c>
      <c r="E1580" s="121" t="s">
        <v>9213</v>
      </c>
      <c r="F1580" s="121"/>
      <c r="G1580" s="88" t="s">
        <v>6665</v>
      </c>
      <c r="H1580" s="88" t="s">
        <v>9226</v>
      </c>
      <c r="I1580" s="89">
        <v>1151</v>
      </c>
      <c r="J1580" s="90">
        <f>SUMIF(Cargas!$C$5:$C$3470,C1580,Cargas!$O$5:$O$3470)</f>
        <v>1151</v>
      </c>
      <c r="K1580" s="91">
        <f t="shared" si="29"/>
        <v>0</v>
      </c>
      <c r="L1580" s="122" t="s">
        <v>9229</v>
      </c>
      <c r="M1580" s="92">
        <v>125329</v>
      </c>
    </row>
    <row r="1581" spans="1:19" hidden="1" x14ac:dyDescent="0.25">
      <c r="A1581" s="199"/>
      <c r="B1581" s="191">
        <v>45841</v>
      </c>
      <c r="C1581" s="192" t="s">
        <v>4230</v>
      </c>
      <c r="D1581" s="193" t="s">
        <v>7714</v>
      </c>
      <c r="E1581" s="200" t="s">
        <v>6442</v>
      </c>
      <c r="F1581" s="200"/>
      <c r="G1581" s="193" t="s">
        <v>6665</v>
      </c>
      <c r="H1581" s="193" t="s">
        <v>6444</v>
      </c>
      <c r="I1581" s="201">
        <v>1578</v>
      </c>
      <c r="J1581" s="202">
        <f>SUMIF(Cargas!$C$5:$C$3470,C1581,Cargas!$O$5:$O$3470)</f>
        <v>1578</v>
      </c>
      <c r="K1581" s="203">
        <f t="shared" si="29"/>
        <v>0</v>
      </c>
      <c r="L1581" s="204"/>
      <c r="M1581" s="205">
        <v>136155</v>
      </c>
    </row>
    <row r="1582" spans="1:19" hidden="1" x14ac:dyDescent="0.25">
      <c r="A1582" s="93"/>
      <c r="B1582" s="86">
        <v>45848</v>
      </c>
      <c r="C1582" s="87" t="s">
        <v>4210</v>
      </c>
      <c r="D1582" s="88" t="s">
        <v>7265</v>
      </c>
      <c r="E1582" s="121" t="s">
        <v>6764</v>
      </c>
      <c r="F1582" s="121"/>
      <c r="G1582" s="88" t="s">
        <v>6443</v>
      </c>
      <c r="H1582" s="88" t="s">
        <v>6768</v>
      </c>
      <c r="I1582" s="89">
        <v>1400</v>
      </c>
      <c r="J1582" s="90">
        <f>SUMIF(Cargas!$C$5:$C$3470,C1582,Cargas!$O$5:$O$3470)</f>
        <v>1400</v>
      </c>
      <c r="K1582" s="91">
        <f t="shared" si="29"/>
        <v>0</v>
      </c>
      <c r="L1582" s="122">
        <v>1530001</v>
      </c>
      <c r="M1582" s="92">
        <v>136273</v>
      </c>
    </row>
    <row r="1583" spans="1:19" hidden="1" x14ac:dyDescent="0.25">
      <c r="A1583" s="93"/>
      <c r="B1583" s="86">
        <v>45853</v>
      </c>
      <c r="C1583" s="87" t="s">
        <v>4248</v>
      </c>
      <c r="D1583" s="88" t="s">
        <v>7759</v>
      </c>
      <c r="E1583" s="121" t="s">
        <v>9213</v>
      </c>
      <c r="F1583" s="121"/>
      <c r="G1583" s="88" t="s">
        <v>6665</v>
      </c>
      <c r="H1583" s="88" t="s">
        <v>9226</v>
      </c>
      <c r="I1583" s="89">
        <v>1136</v>
      </c>
      <c r="J1583" s="90">
        <f>SUMIF(Cargas!$C$5:$C$3470,C1583,Cargas!$O$5:$O$3470)</f>
        <v>1136</v>
      </c>
      <c r="K1583" s="91">
        <f t="shared" si="29"/>
        <v>0</v>
      </c>
      <c r="L1583" s="122" t="s">
        <v>9230</v>
      </c>
      <c r="M1583" s="92">
        <v>139399</v>
      </c>
    </row>
    <row r="1584" spans="1:19" s="103" customFormat="1" hidden="1" x14ac:dyDescent="0.25">
      <c r="A1584" s="93"/>
      <c r="B1584" s="86">
        <v>45848</v>
      </c>
      <c r="C1584" s="87" t="s">
        <v>4256</v>
      </c>
      <c r="D1584" s="88" t="s">
        <v>7811</v>
      </c>
      <c r="E1584" s="121" t="s">
        <v>6442</v>
      </c>
      <c r="F1584" s="121"/>
      <c r="G1584" s="88" t="s">
        <v>6665</v>
      </c>
      <c r="H1584" s="88" t="s">
        <v>7888</v>
      </c>
      <c r="I1584" s="89">
        <v>2016</v>
      </c>
      <c r="J1584" s="90">
        <f>SUMIF(Cargas!$C$5:$C$3470,C1584,Cargas!$O$5:$O$3470)</f>
        <v>2016</v>
      </c>
      <c r="K1584" s="91">
        <f t="shared" si="29"/>
        <v>0</v>
      </c>
      <c r="L1584" s="122"/>
      <c r="M1584" s="92">
        <v>139577</v>
      </c>
    </row>
    <row r="1585" spans="1:40" s="93" customFormat="1" hidden="1" x14ac:dyDescent="0.25">
      <c r="B1585" s="86">
        <v>45855</v>
      </c>
      <c r="C1585" s="87" t="s">
        <v>4279</v>
      </c>
      <c r="D1585" s="88" t="s">
        <v>7770</v>
      </c>
      <c r="E1585" s="121" t="s">
        <v>6764</v>
      </c>
      <c r="F1585" s="121"/>
      <c r="G1585" s="88" t="s">
        <v>6443</v>
      </c>
      <c r="H1585" s="88" t="s">
        <v>6768</v>
      </c>
      <c r="I1585" s="89">
        <v>1400</v>
      </c>
      <c r="J1585" s="90">
        <f>SUMIF(Cargas!$C$5:$C$3470,C1585,Cargas!$O$5:$O$3470)</f>
        <v>1400</v>
      </c>
      <c r="K1585" s="91">
        <f t="shared" ref="K1585:K1616" si="30">IF(ABS(I1585-J1585)&lt;20,0,I1585-J1585)</f>
        <v>0</v>
      </c>
      <c r="L1585" s="122" t="s">
        <v>9231</v>
      </c>
      <c r="M1585" s="92">
        <v>141308</v>
      </c>
    </row>
    <row r="1586" spans="1:40" s="93" customFormat="1" hidden="1" x14ac:dyDescent="0.25">
      <c r="B1586" s="86">
        <v>45860</v>
      </c>
      <c r="C1586" s="87" t="s">
        <v>4302</v>
      </c>
      <c r="D1586" s="88" t="s">
        <v>7280</v>
      </c>
      <c r="E1586" s="121" t="s">
        <v>6764</v>
      </c>
      <c r="F1586" s="121"/>
      <c r="G1586" s="88" t="s">
        <v>6443</v>
      </c>
      <c r="H1586" s="88" t="s">
        <v>6768</v>
      </c>
      <c r="I1586" s="89">
        <v>1636</v>
      </c>
      <c r="J1586" s="90">
        <f>SUMIF(Cargas!$C$5:$C$3470,C1586,Cargas!$O$5:$O$3470)</f>
        <v>1638</v>
      </c>
      <c r="K1586" s="91">
        <f t="shared" si="30"/>
        <v>0</v>
      </c>
      <c r="L1586" s="122" t="s">
        <v>9232</v>
      </c>
      <c r="M1586" s="92">
        <v>145134</v>
      </c>
    </row>
    <row r="1587" spans="1:40" s="93" customFormat="1" hidden="1" x14ac:dyDescent="0.25">
      <c r="B1587" s="86">
        <v>45859</v>
      </c>
      <c r="C1587" s="87" t="s">
        <v>4300</v>
      </c>
      <c r="D1587" s="88" t="s">
        <v>7283</v>
      </c>
      <c r="E1587" s="121" t="s">
        <v>9213</v>
      </c>
      <c r="F1587" s="121"/>
      <c r="G1587" s="88" t="s">
        <v>6665</v>
      </c>
      <c r="H1587" s="88" t="s">
        <v>9233</v>
      </c>
      <c r="I1587" s="89">
        <v>5184</v>
      </c>
      <c r="J1587" s="90">
        <f>SUMIF(Cargas!$C$5:$C$3470,C1587,Cargas!$O$5:$O$3470)</f>
        <v>5184</v>
      </c>
      <c r="K1587" s="91">
        <f t="shared" si="30"/>
        <v>0</v>
      </c>
      <c r="L1587" s="122">
        <v>1530690</v>
      </c>
      <c r="M1587" s="92">
        <v>144813</v>
      </c>
    </row>
    <row r="1588" spans="1:40" s="103" customFormat="1" hidden="1" x14ac:dyDescent="0.25">
      <c r="A1588" s="93"/>
      <c r="B1588" s="86">
        <v>45863</v>
      </c>
      <c r="C1588" s="87" t="s">
        <v>4331</v>
      </c>
      <c r="D1588" s="88" t="s">
        <v>7817</v>
      </c>
      <c r="E1588" s="121" t="s">
        <v>6764</v>
      </c>
      <c r="F1588" s="121"/>
      <c r="G1588" s="88" t="s">
        <v>6443</v>
      </c>
      <c r="H1588" s="88" t="s">
        <v>9234</v>
      </c>
      <c r="I1588" s="89">
        <v>24500</v>
      </c>
      <c r="J1588" s="90">
        <f>SUMIF(Cargas!$C$5:$C$3470,C1588,Cargas!$O$5:$O$3470)</f>
        <v>24500</v>
      </c>
      <c r="K1588" s="91">
        <f t="shared" si="30"/>
        <v>0</v>
      </c>
      <c r="L1588" s="122" t="s">
        <v>9235</v>
      </c>
      <c r="M1588" s="92">
        <v>146986</v>
      </c>
    </row>
    <row r="1589" spans="1:40" s="103" customFormat="1" hidden="1" x14ac:dyDescent="0.25">
      <c r="A1589" s="93"/>
      <c r="B1589" s="86">
        <v>45863</v>
      </c>
      <c r="C1589" s="87" t="s">
        <v>4349</v>
      </c>
      <c r="D1589" s="88" t="s">
        <v>7291</v>
      </c>
      <c r="E1589" s="121" t="s">
        <v>6764</v>
      </c>
      <c r="F1589" s="121"/>
      <c r="G1589" s="88" t="s">
        <v>6443</v>
      </c>
      <c r="H1589" s="88" t="s">
        <v>6768</v>
      </c>
      <c r="I1589" s="89">
        <v>1400</v>
      </c>
      <c r="J1589" s="90">
        <f>SUMIF(Cargas!$C$5:$C$3470,C1589,Cargas!$O$5:$O$3470)</f>
        <v>1400</v>
      </c>
      <c r="K1589" s="91">
        <f t="shared" si="30"/>
        <v>0</v>
      </c>
      <c r="L1589" s="122" t="s">
        <v>9236</v>
      </c>
      <c r="M1589" s="92">
        <v>146952</v>
      </c>
      <c r="N1589"/>
      <c r="O1589"/>
      <c r="P1589"/>
      <c r="Q1589"/>
      <c r="R1589"/>
      <c r="S1589"/>
      <c r="T1589" s="93"/>
      <c r="U1589" s="93"/>
      <c r="V1589" s="93"/>
      <c r="W1589" s="93"/>
      <c r="X1589" s="93"/>
      <c r="Y1589" s="93"/>
      <c r="Z1589" s="93"/>
      <c r="AA1589" s="93"/>
      <c r="AB1589" s="93"/>
      <c r="AC1589" s="93"/>
      <c r="AD1589" s="93"/>
      <c r="AE1589" s="93"/>
      <c r="AF1589" s="93"/>
      <c r="AG1589" s="93"/>
      <c r="AH1589" s="93"/>
      <c r="AI1589" s="93"/>
      <c r="AJ1589" s="93"/>
      <c r="AK1589" s="93"/>
      <c r="AL1589" s="93"/>
      <c r="AM1589" s="93"/>
      <c r="AN1589" s="93"/>
    </row>
    <row r="1590" spans="1:40" s="93" customFormat="1" hidden="1" x14ac:dyDescent="0.25">
      <c r="B1590" s="86">
        <v>45873</v>
      </c>
      <c r="C1590" s="87" t="s">
        <v>4387</v>
      </c>
      <c r="D1590" s="88" t="s">
        <v>7293</v>
      </c>
      <c r="E1590" s="121" t="s">
        <v>6764</v>
      </c>
      <c r="F1590" s="121"/>
      <c r="G1590" s="88" t="s">
        <v>6443</v>
      </c>
      <c r="H1590" s="88" t="s">
        <v>9234</v>
      </c>
      <c r="I1590" s="89">
        <v>24500</v>
      </c>
      <c r="J1590" s="90">
        <f>SUMIF(Cargas!$C$5:$C$3470,C1590,Cargas!$O$5:$O$3470)</f>
        <v>24500</v>
      </c>
      <c r="K1590" s="91">
        <f t="shared" si="30"/>
        <v>0</v>
      </c>
      <c r="L1590" s="122" t="s">
        <v>9237</v>
      </c>
      <c r="M1590" s="92">
        <v>154880</v>
      </c>
    </row>
    <row r="1591" spans="1:40" s="103" customFormat="1" hidden="1" x14ac:dyDescent="0.25">
      <c r="A1591" s="93"/>
      <c r="B1591" s="86">
        <v>45877</v>
      </c>
      <c r="C1591" s="87" t="s">
        <v>4419</v>
      </c>
      <c r="D1591" s="88" t="s">
        <v>7296</v>
      </c>
      <c r="E1591" s="121" t="s">
        <v>6764</v>
      </c>
      <c r="F1591" s="121"/>
      <c r="G1591" s="88" t="s">
        <v>6443</v>
      </c>
      <c r="H1591" s="88" t="s">
        <v>6768</v>
      </c>
      <c r="I1591" s="89">
        <v>1400</v>
      </c>
      <c r="J1591" s="90">
        <f>SUMIF(Cargas!$C$5:$C$3470,C1591,Cargas!$O$5:$O$3470)</f>
        <v>1400</v>
      </c>
      <c r="K1591" s="91">
        <f t="shared" si="30"/>
        <v>0</v>
      </c>
      <c r="L1591" s="122" t="s">
        <v>9238</v>
      </c>
      <c r="M1591" s="92">
        <v>157382</v>
      </c>
      <c r="N1591"/>
      <c r="O1591"/>
      <c r="P1591"/>
      <c r="Q1591"/>
      <c r="R1591"/>
      <c r="S1591"/>
    </row>
    <row r="1592" spans="1:40" s="103" customFormat="1" hidden="1" x14ac:dyDescent="0.25">
      <c r="A1592" s="93"/>
      <c r="B1592" s="86">
        <v>45880</v>
      </c>
      <c r="C1592" s="87" t="s">
        <v>4437</v>
      </c>
      <c r="D1592" s="88" t="s">
        <v>7299</v>
      </c>
      <c r="E1592" s="121" t="s">
        <v>9213</v>
      </c>
      <c r="F1592" s="121"/>
      <c r="G1592" s="88" t="s">
        <v>6665</v>
      </c>
      <c r="H1592" s="88" t="s">
        <v>9239</v>
      </c>
      <c r="I1592" s="89">
        <v>2520</v>
      </c>
      <c r="J1592" s="90">
        <f>SUMIF(Cargas!$C$5:$C$3470,C1592,Cargas!$O$5:$O$3470)</f>
        <v>2520</v>
      </c>
      <c r="K1592" s="91">
        <f t="shared" si="30"/>
        <v>0</v>
      </c>
      <c r="L1592" s="122" t="s">
        <v>9240</v>
      </c>
      <c r="M1592" s="92">
        <v>159927</v>
      </c>
      <c r="N1592"/>
      <c r="O1592"/>
      <c r="P1592"/>
      <c r="Q1592"/>
      <c r="R1592"/>
      <c r="S1592"/>
    </row>
    <row r="1593" spans="1:40" s="103" customFormat="1" ht="26.25" hidden="1" x14ac:dyDescent="0.25">
      <c r="A1593" s="93"/>
      <c r="B1593" s="86">
        <v>45882</v>
      </c>
      <c r="C1593" s="87" t="s">
        <v>4443</v>
      </c>
      <c r="D1593" s="88" t="s">
        <v>7302</v>
      </c>
      <c r="E1593" s="121" t="s">
        <v>6764</v>
      </c>
      <c r="F1593" s="121"/>
      <c r="G1593" s="88" t="s">
        <v>6443</v>
      </c>
      <c r="H1593" s="88" t="s">
        <v>6768</v>
      </c>
      <c r="I1593" s="89">
        <v>1158</v>
      </c>
      <c r="J1593" s="90">
        <f>SUMIF(Cargas!$C$5:$C$3470,C1593,Cargas!$O$5:$O$3470)</f>
        <v>1158</v>
      </c>
      <c r="K1593" s="91">
        <f t="shared" si="30"/>
        <v>0</v>
      </c>
      <c r="L1593" s="122" t="s">
        <v>9241</v>
      </c>
      <c r="M1593" s="92">
        <v>160634</v>
      </c>
      <c r="N1593"/>
      <c r="O1593"/>
      <c r="P1593"/>
      <c r="Q1593"/>
      <c r="R1593"/>
      <c r="S1593"/>
      <c r="T1593" s="93"/>
      <c r="U1593" s="93"/>
      <c r="V1593" s="93"/>
      <c r="W1593" s="93"/>
      <c r="X1593" s="93"/>
      <c r="Y1593" s="93"/>
      <c r="Z1593" s="93"/>
      <c r="AA1593" s="93"/>
      <c r="AB1593" s="93"/>
      <c r="AC1593" s="93"/>
      <c r="AD1593" s="93"/>
      <c r="AE1593" s="93"/>
      <c r="AF1593" s="93"/>
      <c r="AG1593" s="93"/>
      <c r="AH1593" s="93"/>
      <c r="AI1593" s="93"/>
      <c r="AJ1593" s="93"/>
      <c r="AK1593" s="93"/>
      <c r="AL1593" s="93"/>
      <c r="AM1593" s="93"/>
      <c r="AN1593" s="93"/>
    </row>
    <row r="1594" spans="1:40" s="103" customFormat="1" hidden="1" x14ac:dyDescent="0.25">
      <c r="A1594" s="93"/>
      <c r="B1594" s="86">
        <v>45884</v>
      </c>
      <c r="C1594" s="87" t="s">
        <v>4456</v>
      </c>
      <c r="D1594" s="88" t="s">
        <v>7306</v>
      </c>
      <c r="E1594" s="121" t="s">
        <v>6764</v>
      </c>
      <c r="F1594" s="121"/>
      <c r="G1594" s="88" t="s">
        <v>6443</v>
      </c>
      <c r="H1594" s="88" t="s">
        <v>9234</v>
      </c>
      <c r="I1594" s="89">
        <v>24300</v>
      </c>
      <c r="J1594" s="90">
        <f>SUMIF(Cargas!$C$5:$C$3470,C1594,Cargas!$O$5:$O$3470)</f>
        <v>24300</v>
      </c>
      <c r="K1594" s="91">
        <f t="shared" si="30"/>
        <v>0</v>
      </c>
      <c r="L1594" s="122" t="s">
        <v>9242</v>
      </c>
      <c r="M1594" s="92">
        <v>163800</v>
      </c>
      <c r="N1594"/>
      <c r="O1594"/>
      <c r="P1594"/>
      <c r="Q1594"/>
      <c r="R1594"/>
      <c r="S1594"/>
      <c r="T1594" s="93"/>
      <c r="U1594" s="93"/>
      <c r="V1594" s="93"/>
      <c r="W1594" s="93"/>
      <c r="X1594" s="93"/>
      <c r="Y1594" s="93"/>
      <c r="Z1594" s="93"/>
      <c r="AA1594" s="93"/>
      <c r="AB1594" s="93"/>
      <c r="AC1594" s="93"/>
      <c r="AD1594" s="93"/>
      <c r="AE1594" s="93"/>
      <c r="AF1594" s="93"/>
      <c r="AG1594" s="93"/>
      <c r="AH1594" s="93"/>
      <c r="AI1594" s="93"/>
      <c r="AJ1594" s="93"/>
      <c r="AK1594" s="93"/>
      <c r="AL1594" s="93"/>
      <c r="AM1594" s="93"/>
      <c r="AN1594" s="93"/>
    </row>
    <row r="1595" spans="1:40" s="103" customFormat="1" hidden="1" x14ac:dyDescent="0.25">
      <c r="A1595" s="198"/>
      <c r="B1595" s="137">
        <v>45891</v>
      </c>
      <c r="C1595" s="138" t="s">
        <v>9243</v>
      </c>
      <c r="D1595" s="139" t="s">
        <v>7309</v>
      </c>
      <c r="E1595" s="140" t="s">
        <v>6764</v>
      </c>
      <c r="F1595" s="140"/>
      <c r="G1595" s="139" t="s">
        <v>6443</v>
      </c>
      <c r="H1595" s="139" t="s">
        <v>8660</v>
      </c>
      <c r="I1595" s="141">
        <v>1400</v>
      </c>
      <c r="J1595" s="142">
        <f>SUMIF(Cargas!$C$5:$C$3470,C1595,Cargas!$O$5:$O$3470)</f>
        <v>0</v>
      </c>
      <c r="K1595" s="143">
        <f t="shared" si="30"/>
        <v>1400</v>
      </c>
      <c r="L1595" s="144" t="s">
        <v>9244</v>
      </c>
      <c r="M1595" s="145">
        <v>168029</v>
      </c>
      <c r="N1595"/>
      <c r="O1595"/>
      <c r="P1595"/>
      <c r="Q1595"/>
      <c r="R1595"/>
      <c r="S1595"/>
      <c r="T1595" s="93"/>
      <c r="U1595" s="93"/>
      <c r="V1595" s="93"/>
      <c r="W1595" s="93"/>
      <c r="X1595" s="93"/>
      <c r="Y1595" s="93"/>
      <c r="Z1595" s="93"/>
      <c r="AA1595" s="93"/>
      <c r="AB1595" s="93"/>
      <c r="AC1595" s="93"/>
      <c r="AD1595" s="93"/>
      <c r="AE1595" s="93"/>
      <c r="AF1595" s="93"/>
      <c r="AG1595" s="93"/>
      <c r="AH1595" s="93"/>
      <c r="AI1595" s="93"/>
      <c r="AJ1595" s="93"/>
      <c r="AK1595" s="93"/>
      <c r="AL1595" s="93"/>
      <c r="AM1595" s="93"/>
      <c r="AN1595" s="93"/>
    </row>
    <row r="1596" spans="1:40" s="103" customFormat="1" hidden="1" x14ac:dyDescent="0.25">
      <c r="A1596" s="93"/>
      <c r="B1596" s="86">
        <v>45897</v>
      </c>
      <c r="C1596" s="87" t="s">
        <v>4544</v>
      </c>
      <c r="D1596" s="88" t="s">
        <v>7312</v>
      </c>
      <c r="E1596" s="121" t="s">
        <v>6442</v>
      </c>
      <c r="F1596" s="121"/>
      <c r="G1596" s="88" t="s">
        <v>6665</v>
      </c>
      <c r="H1596" s="88" t="s">
        <v>7888</v>
      </c>
      <c r="I1596" s="89">
        <v>1572</v>
      </c>
      <c r="J1596" s="90">
        <f>SUMIF(Cargas!$C$5:$C$3470,C1596,Cargas!$O$5:$O$3470)</f>
        <v>1572</v>
      </c>
      <c r="K1596" s="91">
        <f t="shared" si="30"/>
        <v>0</v>
      </c>
      <c r="L1596" s="122" t="s">
        <v>9244</v>
      </c>
      <c r="M1596" s="92">
        <v>176361</v>
      </c>
      <c r="N1596"/>
      <c r="O1596"/>
      <c r="P1596"/>
      <c r="Q1596"/>
      <c r="R1596"/>
      <c r="S1596"/>
      <c r="T1596" s="93"/>
      <c r="U1596" s="93"/>
      <c r="V1596" s="93"/>
      <c r="W1596" s="93"/>
      <c r="X1596" s="93"/>
      <c r="Y1596" s="93"/>
      <c r="Z1596" s="93"/>
      <c r="AA1596" s="93"/>
      <c r="AB1596" s="93"/>
      <c r="AC1596" s="93"/>
      <c r="AD1596" s="93"/>
      <c r="AE1596" s="93"/>
      <c r="AF1596" s="93"/>
      <c r="AG1596" s="93"/>
      <c r="AH1596" s="93"/>
      <c r="AI1596" s="93"/>
      <c r="AJ1596" s="93"/>
      <c r="AK1596" s="93"/>
      <c r="AL1596" s="93"/>
      <c r="AM1596" s="93"/>
      <c r="AN1596" s="93"/>
    </row>
    <row r="1597" spans="1:40" s="103" customFormat="1" hidden="1" x14ac:dyDescent="0.25">
      <c r="B1597" s="95">
        <v>45897</v>
      </c>
      <c r="C1597" s="96" t="s">
        <v>4532</v>
      </c>
      <c r="D1597" s="97" t="s">
        <v>7837</v>
      </c>
      <c r="E1597" s="135" t="s">
        <v>8051</v>
      </c>
      <c r="F1597" s="135"/>
      <c r="G1597" s="97" t="s">
        <v>6665</v>
      </c>
      <c r="H1597" s="97" t="s">
        <v>7888</v>
      </c>
      <c r="I1597" s="98">
        <v>1560</v>
      </c>
      <c r="J1597" s="99">
        <f>SUMIF(Cargas!$C$5:$C$3470,C1597,Cargas!$O$5:$O$3470)</f>
        <v>1560</v>
      </c>
      <c r="K1597" s="100">
        <f t="shared" si="30"/>
        <v>0</v>
      </c>
      <c r="L1597" s="136"/>
      <c r="M1597" s="102">
        <v>176418</v>
      </c>
      <c r="N1597"/>
      <c r="O1597"/>
      <c r="P1597"/>
      <c r="Q1597"/>
      <c r="R1597"/>
      <c r="S1597"/>
      <c r="T1597" s="93"/>
      <c r="U1597" s="93"/>
      <c r="V1597" s="93"/>
      <c r="W1597" s="93"/>
      <c r="X1597" s="93"/>
      <c r="Y1597" s="93"/>
      <c r="Z1597" s="93"/>
      <c r="AA1597" s="93"/>
      <c r="AB1597" s="93"/>
      <c r="AC1597" s="93"/>
      <c r="AD1597" s="93"/>
      <c r="AE1597" s="93"/>
      <c r="AF1597" s="93"/>
      <c r="AG1597" s="93"/>
      <c r="AH1597" s="93"/>
      <c r="AI1597" s="93"/>
      <c r="AJ1597" s="93"/>
      <c r="AK1597" s="93"/>
      <c r="AL1597" s="93"/>
      <c r="AM1597" s="93"/>
      <c r="AN1597" s="93"/>
    </row>
    <row r="1598" spans="1:40" s="103" customFormat="1" ht="26.25" hidden="1" x14ac:dyDescent="0.25">
      <c r="A1598" s="93"/>
      <c r="B1598" s="86">
        <v>45902</v>
      </c>
      <c r="C1598" s="87" t="s">
        <v>4526</v>
      </c>
      <c r="D1598" s="88" t="s">
        <v>7320</v>
      </c>
      <c r="E1598" s="121" t="s">
        <v>9245</v>
      </c>
      <c r="F1598" s="121"/>
      <c r="G1598" s="88" t="s">
        <v>6665</v>
      </c>
      <c r="H1598" s="88" t="s">
        <v>9226</v>
      </c>
      <c r="I1598" s="89">
        <v>1186</v>
      </c>
      <c r="J1598" s="90">
        <f>SUMIF(Cargas!$C$5:$C$3470,C1598,Cargas!$O$5:$O$3470)</f>
        <v>1186</v>
      </c>
      <c r="K1598" s="91">
        <f t="shared" si="30"/>
        <v>0</v>
      </c>
      <c r="L1598" s="122" t="s">
        <v>9246</v>
      </c>
      <c r="M1598" s="92">
        <v>175179</v>
      </c>
      <c r="N1598"/>
      <c r="O1598"/>
      <c r="P1598"/>
      <c r="Q1598"/>
      <c r="R1598"/>
      <c r="S1598"/>
      <c r="T1598" s="93"/>
      <c r="U1598" s="93"/>
      <c r="V1598" s="93"/>
      <c r="W1598" s="93"/>
      <c r="X1598" s="93"/>
      <c r="Y1598" s="93"/>
      <c r="Z1598" s="93"/>
      <c r="AA1598" s="93"/>
      <c r="AB1598" s="93"/>
      <c r="AC1598" s="93"/>
      <c r="AD1598" s="93"/>
      <c r="AE1598" s="93"/>
      <c r="AF1598" s="93"/>
      <c r="AG1598" s="93"/>
      <c r="AH1598" s="93"/>
      <c r="AI1598" s="93"/>
      <c r="AJ1598" s="93"/>
      <c r="AK1598" s="93"/>
      <c r="AL1598" s="93"/>
      <c r="AM1598" s="93"/>
      <c r="AN1598" s="93"/>
    </row>
    <row r="1599" spans="1:40" s="103" customFormat="1" hidden="1" x14ac:dyDescent="0.25">
      <c r="B1599" s="95">
        <v>45901</v>
      </c>
      <c r="C1599" s="96" t="s">
        <v>4545</v>
      </c>
      <c r="D1599" s="97" t="s">
        <v>7842</v>
      </c>
      <c r="E1599" s="135" t="s">
        <v>6764</v>
      </c>
      <c r="F1599" s="135"/>
      <c r="G1599" s="97" t="s">
        <v>6443</v>
      </c>
      <c r="H1599" s="97" t="s">
        <v>9234</v>
      </c>
      <c r="I1599" s="98">
        <v>24500</v>
      </c>
      <c r="J1599" s="99">
        <f>SUMIF(Cargas!$C$5:$C$3470,C1599,Cargas!$O$5:$O$3470)</f>
        <v>24500</v>
      </c>
      <c r="K1599" s="100">
        <f t="shared" si="30"/>
        <v>0</v>
      </c>
      <c r="L1599" s="136" t="s">
        <v>9247</v>
      </c>
      <c r="M1599" s="102">
        <v>176149</v>
      </c>
      <c r="N1599"/>
      <c r="O1599"/>
      <c r="P1599"/>
      <c r="Q1599"/>
      <c r="R1599"/>
      <c r="S1599"/>
      <c r="T1599" s="93"/>
      <c r="U1599" s="93"/>
      <c r="V1599" s="93"/>
      <c r="W1599" s="93"/>
      <c r="X1599" s="93"/>
      <c r="Y1599" s="93"/>
      <c r="Z1599" s="93"/>
      <c r="AA1599" s="93"/>
      <c r="AB1599" s="93"/>
      <c r="AC1599" s="93"/>
      <c r="AD1599" s="93"/>
      <c r="AE1599" s="93"/>
      <c r="AF1599" s="93"/>
      <c r="AG1599" s="93"/>
      <c r="AH1599" s="93"/>
      <c r="AI1599" s="93"/>
      <c r="AJ1599" s="93"/>
      <c r="AK1599" s="93"/>
      <c r="AL1599" s="93"/>
      <c r="AM1599" s="93"/>
      <c r="AN1599" s="93"/>
    </row>
    <row r="1600" spans="1:40" s="103" customFormat="1" ht="26.25" hidden="1" x14ac:dyDescent="0.25">
      <c r="A1600" s="93"/>
      <c r="B1600" s="86">
        <v>45901</v>
      </c>
      <c r="C1600" s="87" t="s">
        <v>4627</v>
      </c>
      <c r="D1600" s="88" t="s">
        <v>7327</v>
      </c>
      <c r="E1600" s="121" t="s">
        <v>9213</v>
      </c>
      <c r="F1600" s="121"/>
      <c r="G1600" s="88" t="s">
        <v>6665</v>
      </c>
      <c r="H1600" s="88" t="s">
        <v>9226</v>
      </c>
      <c r="I1600" s="89">
        <v>1064</v>
      </c>
      <c r="J1600" s="90">
        <f>SUMIF(Cargas!$C$5:$C$3470,C1600,Cargas!$O$5:$O$3470)</f>
        <v>1064</v>
      </c>
      <c r="K1600" s="91">
        <f t="shared" si="30"/>
        <v>0</v>
      </c>
      <c r="L1600" s="122" t="s">
        <v>9248</v>
      </c>
      <c r="M1600" s="92">
        <v>184019</v>
      </c>
      <c r="N1600"/>
      <c r="O1600"/>
      <c r="P1600"/>
      <c r="Q1600"/>
      <c r="R1600"/>
      <c r="S1600"/>
      <c r="T1600" s="93"/>
      <c r="U1600" s="93"/>
      <c r="V1600" s="93"/>
      <c r="W1600" s="93"/>
      <c r="X1600" s="93"/>
      <c r="Y1600" s="93"/>
      <c r="Z1600" s="93"/>
      <c r="AA1600" s="93"/>
      <c r="AB1600" s="93"/>
      <c r="AC1600" s="93"/>
      <c r="AD1600" s="93"/>
      <c r="AE1600" s="93"/>
      <c r="AF1600" s="93"/>
      <c r="AG1600" s="93"/>
      <c r="AH1600" s="93"/>
      <c r="AI1600" s="93"/>
      <c r="AJ1600" s="93"/>
      <c r="AK1600" s="93"/>
      <c r="AL1600" s="93"/>
      <c r="AM1600" s="93"/>
      <c r="AN1600" s="93"/>
    </row>
    <row r="1601" spans="1:40" s="103" customFormat="1" hidden="1" x14ac:dyDescent="0.25">
      <c r="A1601" s="93"/>
      <c r="B1601" s="86">
        <v>45910</v>
      </c>
      <c r="C1601" s="87" t="s">
        <v>4629</v>
      </c>
      <c r="D1601" s="88" t="s">
        <v>7330</v>
      </c>
      <c r="E1601" s="121" t="s">
        <v>6764</v>
      </c>
      <c r="F1601" s="121"/>
      <c r="G1601" s="88" t="s">
        <v>6443</v>
      </c>
      <c r="H1601" s="88" t="s">
        <v>9234</v>
      </c>
      <c r="I1601" s="89">
        <v>24500</v>
      </c>
      <c r="J1601" s="90">
        <f>SUMIF(Cargas!$C$5:$C$3470,C1601,Cargas!$O$5:$O$3470)</f>
        <v>24500</v>
      </c>
      <c r="K1601" s="91">
        <f t="shared" si="30"/>
        <v>0</v>
      </c>
      <c r="L1601" s="122" t="s">
        <v>9249</v>
      </c>
      <c r="M1601" s="92">
        <v>184924</v>
      </c>
      <c r="N1601"/>
      <c r="O1601"/>
      <c r="P1601"/>
      <c r="Q1601"/>
      <c r="R1601"/>
      <c r="S1601"/>
      <c r="T1601" s="93"/>
      <c r="U1601" s="93"/>
      <c r="V1601" s="93"/>
      <c r="W1601" s="93"/>
      <c r="X1601" s="93"/>
      <c r="Y1601" s="93"/>
      <c r="Z1601" s="93"/>
      <c r="AA1601" s="93"/>
      <c r="AB1601" s="93"/>
      <c r="AC1601" s="93"/>
      <c r="AD1601" s="93"/>
      <c r="AE1601" s="93"/>
      <c r="AF1601" s="93"/>
      <c r="AG1601" s="93"/>
      <c r="AH1601" s="93"/>
      <c r="AI1601" s="93"/>
      <c r="AJ1601" s="93"/>
      <c r="AK1601" s="93"/>
      <c r="AL1601" s="93"/>
      <c r="AM1601" s="93"/>
      <c r="AN1601" s="93"/>
    </row>
    <row r="1602" spans="1:40" s="103" customFormat="1" hidden="1" x14ac:dyDescent="0.25">
      <c r="A1602" s="93"/>
      <c r="B1602" s="86">
        <v>45912</v>
      </c>
      <c r="C1602" s="87" t="s">
        <v>4641</v>
      </c>
      <c r="D1602" s="88" t="s">
        <v>7333</v>
      </c>
      <c r="E1602" s="121" t="s">
        <v>6764</v>
      </c>
      <c r="F1602" s="121"/>
      <c r="G1602" s="88" t="s">
        <v>6443</v>
      </c>
      <c r="H1602" s="88" t="s">
        <v>9234</v>
      </c>
      <c r="I1602" s="89">
        <v>24500</v>
      </c>
      <c r="J1602" s="90">
        <f>SUMIF(Cargas!$C$5:$C$3470,C1602,Cargas!$O$5:$O$3470)</f>
        <v>24500</v>
      </c>
      <c r="K1602" s="91">
        <f t="shared" si="30"/>
        <v>0</v>
      </c>
      <c r="L1602" s="122" t="s">
        <v>9250</v>
      </c>
      <c r="M1602" s="92">
        <v>185069</v>
      </c>
      <c r="N1602"/>
      <c r="O1602"/>
      <c r="P1602"/>
      <c r="Q1602"/>
      <c r="R1602"/>
      <c r="S1602"/>
      <c r="T1602" s="93"/>
      <c r="U1602" s="93"/>
      <c r="V1602" s="93"/>
      <c r="W1602" s="93"/>
      <c r="X1602" s="93"/>
      <c r="Y1602" s="93"/>
      <c r="Z1602" s="93"/>
      <c r="AA1602" s="93"/>
      <c r="AB1602" s="93"/>
      <c r="AC1602" s="93"/>
      <c r="AD1602" s="93"/>
      <c r="AE1602" s="93"/>
      <c r="AF1602" s="93"/>
      <c r="AG1602" s="93"/>
      <c r="AH1602" s="93"/>
      <c r="AI1602" s="93"/>
      <c r="AJ1602" s="93"/>
      <c r="AK1602" s="93"/>
      <c r="AL1602" s="93"/>
      <c r="AM1602" s="93"/>
      <c r="AN1602" s="93"/>
    </row>
    <row r="1603" spans="1:40" s="103" customFormat="1" ht="26.25" hidden="1" x14ac:dyDescent="0.25">
      <c r="A1603" s="93"/>
      <c r="B1603" s="86">
        <v>45922</v>
      </c>
      <c r="C1603" s="87" t="s">
        <v>4693</v>
      </c>
      <c r="D1603" s="88" t="s">
        <v>7336</v>
      </c>
      <c r="E1603" s="121" t="s">
        <v>9213</v>
      </c>
      <c r="F1603" s="121"/>
      <c r="G1603" s="88" t="s">
        <v>6443</v>
      </c>
      <c r="H1603" s="88" t="s">
        <v>9226</v>
      </c>
      <c r="I1603" s="89">
        <v>1064</v>
      </c>
      <c r="J1603" s="90">
        <f>SUMIF(Cargas!$C$5:$C$3470,C1603,Cargas!$O$5:$O$3470)</f>
        <v>1064</v>
      </c>
      <c r="K1603" s="91">
        <f t="shared" si="30"/>
        <v>0</v>
      </c>
      <c r="L1603" s="122" t="s">
        <v>9251</v>
      </c>
      <c r="M1603" s="92">
        <v>191797</v>
      </c>
      <c r="N1603"/>
      <c r="O1603"/>
      <c r="P1603"/>
      <c r="Q1603"/>
      <c r="R1603"/>
      <c r="S1603"/>
      <c r="T1603" s="93"/>
      <c r="U1603" s="93"/>
      <c r="V1603" s="93"/>
      <c r="W1603" s="93"/>
      <c r="X1603" s="93"/>
      <c r="Y1603" s="93"/>
      <c r="Z1603" s="93"/>
      <c r="AA1603" s="93"/>
      <c r="AB1603" s="93"/>
      <c r="AC1603" s="93"/>
      <c r="AD1603" s="93"/>
      <c r="AE1603" s="93"/>
      <c r="AF1603" s="93"/>
      <c r="AG1603" s="93"/>
      <c r="AH1603" s="93"/>
      <c r="AI1603" s="93"/>
      <c r="AJ1603" s="93"/>
      <c r="AK1603" s="93"/>
      <c r="AL1603" s="93"/>
      <c r="AM1603" s="93"/>
      <c r="AN1603" s="93"/>
    </row>
    <row r="1604" spans="1:40" s="103" customFormat="1" hidden="1" x14ac:dyDescent="0.25">
      <c r="A1604" s="93"/>
      <c r="B1604" s="86">
        <v>45922</v>
      </c>
      <c r="C1604" s="87" t="s">
        <v>4706</v>
      </c>
      <c r="D1604" s="88" t="s">
        <v>7339</v>
      </c>
      <c r="E1604" s="121" t="s">
        <v>6764</v>
      </c>
      <c r="F1604" s="121"/>
      <c r="G1604" s="88" t="s">
        <v>6443</v>
      </c>
      <c r="H1604" s="88" t="s">
        <v>9234</v>
      </c>
      <c r="I1604" s="89">
        <v>24500</v>
      </c>
      <c r="J1604" s="90">
        <f>SUMIF(Cargas!$C$5:$C$3470,C1604,Cargas!$O$5:$O$3470)</f>
        <v>24500</v>
      </c>
      <c r="K1604" s="91">
        <f t="shared" si="30"/>
        <v>0</v>
      </c>
      <c r="L1604" s="122">
        <v>1537155</v>
      </c>
      <c r="M1604" s="92">
        <v>192914</v>
      </c>
      <c r="N1604"/>
      <c r="O1604"/>
      <c r="P1604"/>
      <c r="Q1604"/>
      <c r="R1604"/>
      <c r="S1604"/>
      <c r="T1604" s="93"/>
      <c r="U1604" s="93"/>
      <c r="V1604" s="93"/>
      <c r="W1604" s="93"/>
      <c r="X1604" s="93"/>
      <c r="Y1604" s="93"/>
      <c r="Z1604" s="93"/>
      <c r="AA1604" s="93"/>
      <c r="AB1604" s="93"/>
      <c r="AC1604" s="93"/>
      <c r="AD1604" s="93"/>
      <c r="AE1604" s="93"/>
      <c r="AF1604" s="93"/>
      <c r="AG1604" s="93"/>
      <c r="AH1604" s="93"/>
      <c r="AI1604" s="93"/>
      <c r="AJ1604" s="93"/>
      <c r="AK1604" s="93"/>
      <c r="AL1604" s="93"/>
      <c r="AM1604" s="93"/>
      <c r="AN1604" s="93"/>
    </row>
    <row r="1605" spans="1:40" s="93" customFormat="1" hidden="1" x14ac:dyDescent="0.25">
      <c r="B1605" s="86">
        <v>46174</v>
      </c>
      <c r="C1605" s="87" t="s">
        <v>5982</v>
      </c>
      <c r="D1605" s="88" t="s">
        <v>9252</v>
      </c>
      <c r="E1605" s="121" t="s">
        <v>6764</v>
      </c>
      <c r="F1605" s="121" t="s">
        <v>6116</v>
      </c>
      <c r="G1605" s="88" t="s">
        <v>6443</v>
      </c>
      <c r="H1605" s="88" t="s">
        <v>7061</v>
      </c>
      <c r="I1605" s="89">
        <v>6048</v>
      </c>
      <c r="J1605" s="90">
        <f>SUMIF(Cargas!$C$5:$C$3470,C1605,Cargas!$O$5:$O$3470)</f>
        <v>6048</v>
      </c>
      <c r="K1605" s="91">
        <f t="shared" si="30"/>
        <v>0</v>
      </c>
      <c r="L1605" s="122">
        <v>1559849</v>
      </c>
      <c r="M1605" s="92">
        <v>108266</v>
      </c>
    </row>
    <row r="1606" spans="1:40" s="103" customFormat="1" hidden="1" x14ac:dyDescent="0.25">
      <c r="B1606" s="95">
        <v>45923</v>
      </c>
      <c r="C1606" s="96" t="s">
        <v>4718</v>
      </c>
      <c r="D1606" s="97" t="s">
        <v>7343</v>
      </c>
      <c r="E1606" s="135" t="s">
        <v>8917</v>
      </c>
      <c r="F1606" s="135"/>
      <c r="G1606" s="97" t="s">
        <v>6665</v>
      </c>
      <c r="H1606" s="97" t="s">
        <v>6768</v>
      </c>
      <c r="I1606" s="98">
        <f>504*2</f>
        <v>1008</v>
      </c>
      <c r="J1606" s="99">
        <f>SUMIF(Cargas!$C$5:$C$3470,C1606,Cargas!$O$5:$O$3470)</f>
        <v>1008</v>
      </c>
      <c r="K1606" s="100">
        <f t="shared" si="30"/>
        <v>0</v>
      </c>
      <c r="L1606" s="136" t="s">
        <v>9253</v>
      </c>
      <c r="M1606" s="102">
        <v>194031</v>
      </c>
    </row>
    <row r="1607" spans="1:40" s="93" customFormat="1" hidden="1" x14ac:dyDescent="0.25">
      <c r="B1607" s="86">
        <v>45925</v>
      </c>
      <c r="C1607" s="87" t="s">
        <v>4758</v>
      </c>
      <c r="D1607" s="88" t="s">
        <v>7346</v>
      </c>
      <c r="E1607" s="121" t="s">
        <v>6764</v>
      </c>
      <c r="F1607" s="121"/>
      <c r="G1607" s="88" t="s">
        <v>6443</v>
      </c>
      <c r="H1607" s="88" t="s">
        <v>7888</v>
      </c>
      <c r="I1607" s="89">
        <v>3096</v>
      </c>
      <c r="J1607" s="90">
        <v>3096</v>
      </c>
      <c r="K1607" s="91">
        <v>0</v>
      </c>
      <c r="L1607" s="122" t="s">
        <v>9254</v>
      </c>
      <c r="M1607" s="92">
        <v>197657</v>
      </c>
    </row>
    <row r="1608" spans="1:40" s="93" customFormat="1" hidden="1" x14ac:dyDescent="0.25">
      <c r="B1608" s="86">
        <v>45925</v>
      </c>
      <c r="C1608" s="87" t="s">
        <v>4750</v>
      </c>
      <c r="D1608" s="88" t="s">
        <v>7349</v>
      </c>
      <c r="E1608" s="121" t="s">
        <v>6764</v>
      </c>
      <c r="F1608" s="121"/>
      <c r="G1608" s="88" t="s">
        <v>6443</v>
      </c>
      <c r="H1608" s="88" t="s">
        <v>6768</v>
      </c>
      <c r="I1608" s="89">
        <v>1535</v>
      </c>
      <c r="J1608" s="90">
        <v>1535</v>
      </c>
      <c r="K1608" s="91">
        <v>0</v>
      </c>
      <c r="L1608" s="122" t="s">
        <v>9255</v>
      </c>
      <c r="M1608" s="92">
        <v>197647</v>
      </c>
    </row>
    <row r="1609" spans="1:40" s="93" customFormat="1" hidden="1" x14ac:dyDescent="0.25">
      <c r="B1609" s="86">
        <v>45926</v>
      </c>
      <c r="C1609" s="87" t="s">
        <v>4726</v>
      </c>
      <c r="D1609" s="88" t="s">
        <v>2717</v>
      </c>
      <c r="E1609" s="121" t="s">
        <v>6764</v>
      </c>
      <c r="F1609" s="121"/>
      <c r="G1609" s="88" t="s">
        <v>6443</v>
      </c>
      <c r="H1609" s="88" t="s">
        <v>9234</v>
      </c>
      <c r="I1609" s="89">
        <v>24500</v>
      </c>
      <c r="J1609" s="90">
        <f>SUMIF(Cargas!$C$5:$C$3470,C1609,Cargas!$O$5:$O$3470)</f>
        <v>24500</v>
      </c>
      <c r="K1609" s="91">
        <f t="shared" ref="K1609:K1640" si="31">IF(ABS(I1609-J1609)&lt;20,0,I1609-J1609)</f>
        <v>0</v>
      </c>
      <c r="L1609" s="122">
        <v>1537476</v>
      </c>
      <c r="M1609" s="92">
        <v>195023</v>
      </c>
    </row>
    <row r="1610" spans="1:40" s="93" customFormat="1" hidden="1" x14ac:dyDescent="0.25">
      <c r="A1610" s="103"/>
      <c r="B1610" s="95">
        <v>45926</v>
      </c>
      <c r="C1610" s="96" t="s">
        <v>4756</v>
      </c>
      <c r="D1610" s="97" t="s">
        <v>7535</v>
      </c>
      <c r="E1610" s="135" t="s">
        <v>8051</v>
      </c>
      <c r="F1610" s="135"/>
      <c r="G1610" s="97" t="s">
        <v>6665</v>
      </c>
      <c r="H1610" s="97" t="s">
        <v>8660</v>
      </c>
      <c r="I1610" s="98">
        <v>1560</v>
      </c>
      <c r="J1610" s="99">
        <f>SUMIF(Cargas!$C$5:$C$3470,C1610,Cargas!$O$5:$O$3470)</f>
        <v>1560</v>
      </c>
      <c r="K1610" s="100">
        <f t="shared" si="31"/>
        <v>0</v>
      </c>
      <c r="L1610" s="136" t="s">
        <v>9256</v>
      </c>
      <c r="M1610" s="102">
        <v>198708</v>
      </c>
    </row>
    <row r="1611" spans="1:40" s="103" customFormat="1" hidden="1" x14ac:dyDescent="0.25">
      <c r="B1611" s="95">
        <v>45931</v>
      </c>
      <c r="C1611" s="96" t="s">
        <v>4802</v>
      </c>
      <c r="D1611" s="97" t="s">
        <v>7538</v>
      </c>
      <c r="E1611" s="135" t="s">
        <v>9245</v>
      </c>
      <c r="F1611" s="135"/>
      <c r="G1611" s="97" t="s">
        <v>6665</v>
      </c>
      <c r="H1611" s="97" t="s">
        <v>9226</v>
      </c>
      <c r="I1611" s="98">
        <v>1114</v>
      </c>
      <c r="J1611" s="99">
        <f>SUMIF(Cargas!$C$5:$C$3470,C1611,Cargas!$O$5:$O$3470)</f>
        <v>1114</v>
      </c>
      <c r="K1611" s="100">
        <f t="shared" si="31"/>
        <v>0</v>
      </c>
      <c r="L1611" s="136"/>
      <c r="M1611" s="102">
        <v>199505</v>
      </c>
    </row>
    <row r="1612" spans="1:40" s="93" customFormat="1" hidden="1" x14ac:dyDescent="0.25">
      <c r="B1612" s="86">
        <v>45932</v>
      </c>
      <c r="C1612" s="87" t="s">
        <v>4816</v>
      </c>
      <c r="D1612" s="88" t="s">
        <v>7541</v>
      </c>
      <c r="E1612" s="121" t="s">
        <v>6442</v>
      </c>
      <c r="F1612" s="121"/>
      <c r="G1612" s="88" t="s">
        <v>6665</v>
      </c>
      <c r="H1612" s="88" t="s">
        <v>7888</v>
      </c>
      <c r="I1612" s="89">
        <v>1512</v>
      </c>
      <c r="J1612" s="90">
        <f>SUMIF(Cargas!$C$5:$C$3470,C1612,Cargas!$O$5:$O$3470)</f>
        <v>1512</v>
      </c>
      <c r="K1612" s="91">
        <f t="shared" si="31"/>
        <v>0</v>
      </c>
      <c r="L1612" s="122"/>
      <c r="M1612" s="92">
        <v>202655</v>
      </c>
    </row>
    <row r="1613" spans="1:40" s="93" customFormat="1" hidden="1" x14ac:dyDescent="0.25">
      <c r="B1613" s="86">
        <v>45933</v>
      </c>
      <c r="C1613" s="87" t="s">
        <v>4813</v>
      </c>
      <c r="D1613" s="88" t="s">
        <v>7543</v>
      </c>
      <c r="E1613" s="121" t="s">
        <v>6764</v>
      </c>
      <c r="F1613" s="121"/>
      <c r="G1613" s="88" t="s">
        <v>6443</v>
      </c>
      <c r="H1613" s="88" t="s">
        <v>9234</v>
      </c>
      <c r="I1613" s="89">
        <v>24500</v>
      </c>
      <c r="J1613" s="90">
        <f>SUMIF(Cargas!$C$5:$C$3470,C1613,Cargas!$O$5:$O$3470)</f>
        <v>24500</v>
      </c>
      <c r="K1613" s="91">
        <f t="shared" si="31"/>
        <v>0</v>
      </c>
      <c r="L1613" s="122"/>
      <c r="M1613" s="92">
        <v>201477</v>
      </c>
    </row>
    <row r="1614" spans="1:40" s="93" customFormat="1" hidden="1" x14ac:dyDescent="0.25">
      <c r="B1614" s="86">
        <v>45936</v>
      </c>
      <c r="C1614" s="87" t="s">
        <v>4853</v>
      </c>
      <c r="D1614" s="88" t="s">
        <v>7545</v>
      </c>
      <c r="E1614" s="121" t="s">
        <v>6764</v>
      </c>
      <c r="F1614" s="121"/>
      <c r="G1614" s="88" t="s">
        <v>6443</v>
      </c>
      <c r="H1614" s="88" t="s">
        <v>9234</v>
      </c>
      <c r="I1614" s="89">
        <v>24500</v>
      </c>
      <c r="J1614" s="90">
        <f>SUMIF(Cargas!$C$5:$C$3470,C1614,Cargas!$O$5:$O$3470)</f>
        <v>24500</v>
      </c>
      <c r="K1614" s="91">
        <f t="shared" si="31"/>
        <v>0</v>
      </c>
      <c r="L1614" s="122"/>
      <c r="M1614" s="92">
        <v>203639</v>
      </c>
    </row>
    <row r="1615" spans="1:40" s="93" customFormat="1" hidden="1" x14ac:dyDescent="0.25">
      <c r="B1615" s="86">
        <v>45938</v>
      </c>
      <c r="C1615" s="87" t="s">
        <v>4871</v>
      </c>
      <c r="D1615" s="88" t="s">
        <v>7926</v>
      </c>
      <c r="E1615" s="121" t="s">
        <v>6764</v>
      </c>
      <c r="F1615" s="121"/>
      <c r="G1615" s="88" t="s">
        <v>6443</v>
      </c>
      <c r="H1615" s="88" t="s">
        <v>9234</v>
      </c>
      <c r="I1615" s="89">
        <v>24500</v>
      </c>
      <c r="J1615" s="90">
        <f>SUMIF(Cargas!$C$5:$C$3470,C1615,Cargas!$O$5:$O$3470)</f>
        <v>24500</v>
      </c>
      <c r="K1615" s="91">
        <f t="shared" si="31"/>
        <v>0</v>
      </c>
      <c r="L1615" s="122"/>
      <c r="M1615" s="92">
        <v>205814</v>
      </c>
    </row>
    <row r="1616" spans="1:40" hidden="1" x14ac:dyDescent="0.25">
      <c r="A1616" s="103"/>
      <c r="B1616" s="95">
        <v>45940</v>
      </c>
      <c r="C1616" s="96" t="s">
        <v>4859</v>
      </c>
      <c r="D1616" s="97" t="s">
        <v>9257</v>
      </c>
      <c r="E1616" s="135" t="s">
        <v>9213</v>
      </c>
      <c r="F1616" s="135"/>
      <c r="G1616" s="97" t="s">
        <v>6665</v>
      </c>
      <c r="H1616" s="97" t="s">
        <v>9226</v>
      </c>
      <c r="I1616" s="98">
        <v>1122</v>
      </c>
      <c r="J1616" s="99">
        <f>SUMIF(Cargas!$C$5:$C$3470,C1616,Cargas!$O$5:$O$3470)</f>
        <v>1122</v>
      </c>
      <c r="K1616" s="100">
        <f t="shared" si="31"/>
        <v>0</v>
      </c>
      <c r="L1616" s="136"/>
      <c r="M1616" s="102">
        <v>206102</v>
      </c>
    </row>
    <row r="1617" spans="1:40" hidden="1" x14ac:dyDescent="0.25">
      <c r="A1617" s="93"/>
      <c r="B1617" s="86">
        <v>45940</v>
      </c>
      <c r="C1617" s="87" t="s">
        <v>4861</v>
      </c>
      <c r="D1617" s="88" t="s">
        <v>9258</v>
      </c>
      <c r="E1617" s="121" t="s">
        <v>6764</v>
      </c>
      <c r="F1617" s="121"/>
      <c r="G1617" s="88" t="s">
        <v>6443</v>
      </c>
      <c r="H1617" s="88" t="s">
        <v>9234</v>
      </c>
      <c r="I1617" s="89">
        <v>24500</v>
      </c>
      <c r="J1617" s="90">
        <f>SUMIF(Cargas!$C$5:$C$3470,C1617,Cargas!$O$5:$O$3470)</f>
        <v>24500</v>
      </c>
      <c r="K1617" s="91">
        <f t="shared" si="31"/>
        <v>0</v>
      </c>
      <c r="L1617" s="122"/>
      <c r="M1617" s="92">
        <v>206983</v>
      </c>
    </row>
    <row r="1618" spans="1:40" hidden="1" x14ac:dyDescent="0.25">
      <c r="A1618" s="93"/>
      <c r="B1618" s="86">
        <v>45940</v>
      </c>
      <c r="C1618" s="87" t="s">
        <v>4882</v>
      </c>
      <c r="D1618" s="88" t="s">
        <v>9259</v>
      </c>
      <c r="E1618" s="121" t="s">
        <v>6764</v>
      </c>
      <c r="F1618" s="121"/>
      <c r="G1618" s="88" t="s">
        <v>6443</v>
      </c>
      <c r="H1618" s="88" t="s">
        <v>7888</v>
      </c>
      <c r="I1618" s="89">
        <v>5616</v>
      </c>
      <c r="J1618" s="90">
        <f>SUMIF(Cargas!$C$5:$C$3470,C1618,Cargas!$O$5:$O$3470)</f>
        <v>5616</v>
      </c>
      <c r="K1618" s="91">
        <f t="shared" si="31"/>
        <v>0</v>
      </c>
      <c r="L1618" s="122">
        <v>1539052</v>
      </c>
      <c r="M1618" s="92">
        <v>208050</v>
      </c>
    </row>
    <row r="1619" spans="1:40" hidden="1" x14ac:dyDescent="0.25">
      <c r="A1619" s="93"/>
      <c r="B1619" s="86">
        <v>45939</v>
      </c>
      <c r="C1619" s="87" t="s">
        <v>4869</v>
      </c>
      <c r="D1619" s="88" t="s">
        <v>9260</v>
      </c>
      <c r="E1619" s="121" t="s">
        <v>6442</v>
      </c>
      <c r="F1619" s="121"/>
      <c r="G1619" s="88" t="s">
        <v>6443</v>
      </c>
      <c r="H1619" s="88" t="s">
        <v>7888</v>
      </c>
      <c r="I1619" s="89">
        <v>1995</v>
      </c>
      <c r="J1619" s="90">
        <f>SUMIF(Cargas!$C$5:$C$3470,C1619,Cargas!$O$5:$O$3470)</f>
        <v>1995</v>
      </c>
      <c r="K1619" s="91">
        <f t="shared" si="31"/>
        <v>0</v>
      </c>
      <c r="L1619" s="122"/>
      <c r="M1619" s="92">
        <v>208034</v>
      </c>
    </row>
    <row r="1620" spans="1:40" hidden="1" x14ac:dyDescent="0.25">
      <c r="A1620" s="93"/>
      <c r="B1620" s="86">
        <v>45943</v>
      </c>
      <c r="C1620" s="87" t="s">
        <v>4894</v>
      </c>
      <c r="D1620" s="88" t="s">
        <v>9261</v>
      </c>
      <c r="E1620" s="121" t="s">
        <v>6764</v>
      </c>
      <c r="F1620" s="121"/>
      <c r="G1620" s="88" t="s">
        <v>6443</v>
      </c>
      <c r="H1620" s="88" t="s">
        <v>9234</v>
      </c>
      <c r="I1620" s="89">
        <v>24500</v>
      </c>
      <c r="J1620" s="90">
        <f>SUMIF(Cargas!$C$5:$C$3470,C1620,Cargas!$O$5:$O$3470)</f>
        <v>24500</v>
      </c>
      <c r="K1620" s="91">
        <f t="shared" si="31"/>
        <v>0</v>
      </c>
      <c r="L1620" s="122"/>
      <c r="M1620" s="92">
        <v>210345</v>
      </c>
    </row>
    <row r="1621" spans="1:40" hidden="1" x14ac:dyDescent="0.25">
      <c r="A1621" s="93"/>
      <c r="B1621" s="86">
        <v>45946</v>
      </c>
      <c r="C1621" s="87" t="s">
        <v>4918</v>
      </c>
      <c r="D1621" s="88" t="s">
        <v>9262</v>
      </c>
      <c r="E1621" s="121" t="s">
        <v>6764</v>
      </c>
      <c r="F1621" s="121"/>
      <c r="G1621" s="88" t="s">
        <v>6443</v>
      </c>
      <c r="H1621" s="88" t="s">
        <v>9234</v>
      </c>
      <c r="I1621" s="89">
        <v>24500</v>
      </c>
      <c r="J1621" s="90">
        <f>SUMIF(Cargas!$C$5:$C$3470,C1621,Cargas!$O$5:$O$3470)</f>
        <v>24500</v>
      </c>
      <c r="K1621" s="91">
        <f t="shared" si="31"/>
        <v>0</v>
      </c>
      <c r="L1621" s="122" t="s">
        <v>9263</v>
      </c>
      <c r="M1621" s="92">
        <v>213603</v>
      </c>
    </row>
    <row r="1622" spans="1:40" hidden="1" x14ac:dyDescent="0.25">
      <c r="A1622" s="93"/>
      <c r="B1622" s="86">
        <v>45947</v>
      </c>
      <c r="C1622" s="87" t="s">
        <v>4915</v>
      </c>
      <c r="D1622" s="88" t="s">
        <v>9264</v>
      </c>
      <c r="E1622" s="121" t="s">
        <v>6764</v>
      </c>
      <c r="F1622" s="121"/>
      <c r="G1622" s="88" t="s">
        <v>6443</v>
      </c>
      <c r="H1622" s="88" t="s">
        <v>6768</v>
      </c>
      <c r="I1622" s="89">
        <v>24500</v>
      </c>
      <c r="J1622" s="90">
        <f>SUMIF(Cargas!$C$5:$C$3470,C1622,Cargas!$O$5:$O$3470)</f>
        <v>24500</v>
      </c>
      <c r="K1622" s="91">
        <f t="shared" si="31"/>
        <v>0</v>
      </c>
      <c r="L1622" s="122">
        <v>1539810</v>
      </c>
      <c r="M1622" s="92">
        <v>212670</v>
      </c>
    </row>
    <row r="1623" spans="1:40" hidden="1" x14ac:dyDescent="0.25">
      <c r="A1623" s="93"/>
      <c r="B1623" s="86">
        <v>45952</v>
      </c>
      <c r="C1623" s="87" t="s">
        <v>4952</v>
      </c>
      <c r="D1623" s="88" t="s">
        <v>9265</v>
      </c>
      <c r="E1623" s="121" t="s">
        <v>6764</v>
      </c>
      <c r="F1623" s="121"/>
      <c r="G1623" s="88" t="s">
        <v>6443</v>
      </c>
      <c r="H1623" s="88" t="s">
        <v>9234</v>
      </c>
      <c r="I1623" s="89">
        <v>24500</v>
      </c>
      <c r="J1623" s="90">
        <f>SUMIF(Cargas!$C$5:$C$3470,C1623,Cargas!$O$5:$O$3470)</f>
        <v>24500</v>
      </c>
      <c r="K1623" s="91">
        <f t="shared" si="31"/>
        <v>0</v>
      </c>
      <c r="L1623" s="122">
        <v>1540045</v>
      </c>
      <c r="M1623" s="92">
        <v>217760</v>
      </c>
      <c r="N1623" s="198"/>
      <c r="O1623" s="198"/>
      <c r="P1623" s="198"/>
      <c r="Q1623" s="198"/>
      <c r="R1623" s="198"/>
      <c r="S1623" s="198"/>
      <c r="T1623" s="198"/>
      <c r="U1623" s="198"/>
      <c r="V1623" s="198"/>
      <c r="W1623" s="198"/>
      <c r="X1623" s="198"/>
      <c r="Y1623" s="198"/>
      <c r="Z1623" s="198"/>
      <c r="AA1623" s="198"/>
      <c r="AB1623" s="198"/>
      <c r="AC1623" s="198"/>
      <c r="AD1623" s="198"/>
      <c r="AE1623" s="198"/>
      <c r="AF1623" s="198"/>
      <c r="AG1623" s="198"/>
      <c r="AH1623" s="198"/>
      <c r="AI1623" s="198"/>
      <c r="AJ1623" s="198"/>
      <c r="AK1623" s="198"/>
      <c r="AL1623" s="198"/>
      <c r="AM1623" s="198"/>
      <c r="AN1623" s="198"/>
    </row>
    <row r="1624" spans="1:40" s="198" customFormat="1" hidden="1" x14ac:dyDescent="0.25">
      <c r="A1624" s="93"/>
      <c r="B1624" s="86">
        <v>45952</v>
      </c>
      <c r="C1624" s="87" t="s">
        <v>4948</v>
      </c>
      <c r="D1624" s="88" t="s">
        <v>9266</v>
      </c>
      <c r="E1624" s="121" t="s">
        <v>6764</v>
      </c>
      <c r="F1624" s="121"/>
      <c r="G1624" s="88" t="s">
        <v>6443</v>
      </c>
      <c r="H1624" s="88" t="s">
        <v>9234</v>
      </c>
      <c r="I1624" s="89">
        <v>24500</v>
      </c>
      <c r="J1624" s="90">
        <f>SUMIF(Cargas!$C$5:$C$3470,C1624,Cargas!$O$5:$O$3470)</f>
        <v>24500</v>
      </c>
      <c r="K1624" s="91">
        <f t="shared" si="31"/>
        <v>0</v>
      </c>
      <c r="L1624" s="122">
        <v>1540344</v>
      </c>
      <c r="M1624" s="92">
        <v>217744</v>
      </c>
    </row>
    <row r="1625" spans="1:40" hidden="1" x14ac:dyDescent="0.25">
      <c r="A1625" s="93"/>
      <c r="B1625" s="86">
        <v>45953</v>
      </c>
      <c r="C1625" s="87" t="s">
        <v>4949</v>
      </c>
      <c r="D1625" s="88" t="s">
        <v>9267</v>
      </c>
      <c r="E1625" s="121" t="s">
        <v>6764</v>
      </c>
      <c r="F1625" s="121"/>
      <c r="G1625" s="88" t="s">
        <v>6443</v>
      </c>
      <c r="H1625" s="88" t="s">
        <v>9234</v>
      </c>
      <c r="I1625" s="89">
        <v>24000</v>
      </c>
      <c r="J1625" s="90">
        <f>SUMIF(Cargas!$C$5:$C$3470,C1625,Cargas!$O$5:$O$3470)</f>
        <v>24000</v>
      </c>
      <c r="K1625" s="91">
        <f t="shared" si="31"/>
        <v>0</v>
      </c>
      <c r="L1625" s="122">
        <v>1540345</v>
      </c>
      <c r="M1625" s="92">
        <v>217737</v>
      </c>
    </row>
    <row r="1626" spans="1:40" hidden="1" x14ac:dyDescent="0.25">
      <c r="A1626" s="93"/>
      <c r="B1626" s="86">
        <v>45953</v>
      </c>
      <c r="C1626" s="87" t="s">
        <v>4968</v>
      </c>
      <c r="D1626" s="88" t="s">
        <v>9268</v>
      </c>
      <c r="E1626" s="121" t="s">
        <v>6442</v>
      </c>
      <c r="F1626" s="121"/>
      <c r="G1626" s="88" t="s">
        <v>6443</v>
      </c>
      <c r="H1626" s="88" t="s">
        <v>7888</v>
      </c>
      <c r="I1626" s="89">
        <v>1512</v>
      </c>
      <c r="J1626" s="90">
        <f>SUMIF(Cargas!$C$5:$C$3470,C1626,Cargas!$O$5:$O$3470)</f>
        <v>1512</v>
      </c>
      <c r="K1626" s="91">
        <f t="shared" si="31"/>
        <v>0</v>
      </c>
      <c r="L1626" s="122"/>
      <c r="M1626" s="92">
        <v>220596</v>
      </c>
    </row>
    <row r="1627" spans="1:40" hidden="1" x14ac:dyDescent="0.25">
      <c r="A1627" s="103"/>
      <c r="B1627" s="95">
        <v>45953</v>
      </c>
      <c r="C1627" s="96" t="s">
        <v>4969</v>
      </c>
      <c r="D1627" s="97" t="s">
        <v>9269</v>
      </c>
      <c r="E1627" s="135" t="s">
        <v>8051</v>
      </c>
      <c r="F1627" s="135"/>
      <c r="G1627" s="97" t="s">
        <v>6443</v>
      </c>
      <c r="H1627" s="97" t="s">
        <v>7888</v>
      </c>
      <c r="I1627" s="98">
        <v>1560</v>
      </c>
      <c r="J1627" s="99">
        <f>SUMIF(Cargas!$C$5:$C$3470,C1627,Cargas!$O$5:$O$3470)</f>
        <v>1560</v>
      </c>
      <c r="K1627" s="100">
        <f t="shared" si="31"/>
        <v>0</v>
      </c>
      <c r="L1627" s="136"/>
      <c r="M1627" s="102">
        <v>220728</v>
      </c>
    </row>
    <row r="1628" spans="1:40" s="93" customFormat="1" hidden="1" x14ac:dyDescent="0.25">
      <c r="B1628" s="86">
        <v>45968</v>
      </c>
      <c r="C1628" s="87" t="s">
        <v>5051</v>
      </c>
      <c r="D1628" s="88" t="s">
        <v>9270</v>
      </c>
      <c r="E1628" s="121" t="s">
        <v>6764</v>
      </c>
      <c r="F1628" s="121"/>
      <c r="G1628" s="88" t="s">
        <v>6443</v>
      </c>
      <c r="H1628" s="88" t="s">
        <v>7888</v>
      </c>
      <c r="I1628" s="89">
        <v>5616</v>
      </c>
      <c r="J1628" s="90">
        <f>SUMIF(Cargas!$C$5:$C$3470,C1628,Cargas!$O$5:$O$3470)</f>
        <v>5616</v>
      </c>
      <c r="K1628" s="91">
        <f t="shared" si="31"/>
        <v>0</v>
      </c>
      <c r="L1628" s="122">
        <v>1541137</v>
      </c>
      <c r="M1628" s="92">
        <v>231922</v>
      </c>
    </row>
    <row r="1629" spans="1:40" s="93" customFormat="1" ht="26.25" hidden="1" x14ac:dyDescent="0.25">
      <c r="B1629" s="86">
        <v>45968</v>
      </c>
      <c r="C1629" s="87" t="s">
        <v>5037</v>
      </c>
      <c r="D1629" s="88" t="s">
        <v>9271</v>
      </c>
      <c r="E1629" s="121" t="s">
        <v>9213</v>
      </c>
      <c r="F1629" s="121"/>
      <c r="G1629" s="88" t="s">
        <v>6665</v>
      </c>
      <c r="H1629" s="88" t="s">
        <v>9226</v>
      </c>
      <c r="I1629" s="89">
        <v>1294</v>
      </c>
      <c r="J1629" s="90">
        <f>SUMIF(Cargas!$C$5:$C$3470,C1629,Cargas!$O$5:$O$3470)</f>
        <v>1294</v>
      </c>
      <c r="K1629" s="91">
        <f t="shared" si="31"/>
        <v>0</v>
      </c>
      <c r="L1629" s="122" t="s">
        <v>9272</v>
      </c>
      <c r="M1629" s="92">
        <v>229601</v>
      </c>
    </row>
    <row r="1630" spans="1:40" s="93" customFormat="1" ht="26.25" hidden="1" x14ac:dyDescent="0.25">
      <c r="B1630" s="86">
        <v>45986</v>
      </c>
      <c r="C1630" s="87" t="s">
        <v>5184</v>
      </c>
      <c r="D1630" s="88" t="s">
        <v>9273</v>
      </c>
      <c r="E1630" s="121" t="s">
        <v>9213</v>
      </c>
      <c r="F1630" s="121"/>
      <c r="G1630" s="88" t="s">
        <v>6665</v>
      </c>
      <c r="H1630" s="88" t="s">
        <v>9226</v>
      </c>
      <c r="I1630" s="89">
        <v>1206</v>
      </c>
      <c r="J1630" s="90">
        <f>SUMIF(Cargas!$C$5:$C$3470,C1630,Cargas!$O$5:$O$3470)</f>
        <v>1206</v>
      </c>
      <c r="K1630" s="91">
        <f t="shared" si="31"/>
        <v>0</v>
      </c>
      <c r="L1630" s="122" t="s">
        <v>9274</v>
      </c>
      <c r="M1630" s="92">
        <v>243299</v>
      </c>
    </row>
    <row r="1631" spans="1:40" s="93" customFormat="1" hidden="1" x14ac:dyDescent="0.25">
      <c r="B1631" s="86">
        <v>45982</v>
      </c>
      <c r="C1631" s="87" t="s">
        <v>5222</v>
      </c>
      <c r="D1631" s="88" t="s">
        <v>9275</v>
      </c>
      <c r="E1631" s="121" t="s">
        <v>6764</v>
      </c>
      <c r="F1631" s="121"/>
      <c r="G1631" s="88" t="s">
        <v>6443</v>
      </c>
      <c r="H1631" s="88" t="s">
        <v>6768</v>
      </c>
      <c r="I1631" s="89">
        <v>1758</v>
      </c>
      <c r="J1631" s="90">
        <f>SUMIF(Cargas!$C$5:$C$3470,C1631,Cargas!$O$5:$O$3470)</f>
        <v>1758</v>
      </c>
      <c r="K1631" s="91">
        <f t="shared" si="31"/>
        <v>0</v>
      </c>
      <c r="L1631" s="122" t="s">
        <v>9276</v>
      </c>
      <c r="M1631" s="92">
        <v>247014</v>
      </c>
    </row>
    <row r="1632" spans="1:40" s="93" customFormat="1" hidden="1" x14ac:dyDescent="0.25">
      <c r="B1632" s="86">
        <v>45999</v>
      </c>
      <c r="C1632" s="87" t="s">
        <v>5270</v>
      </c>
      <c r="D1632" s="88" t="s">
        <v>9277</v>
      </c>
      <c r="E1632" s="121" t="s">
        <v>9213</v>
      </c>
      <c r="F1632" s="121"/>
      <c r="G1632" s="88" t="s">
        <v>6443</v>
      </c>
      <c r="H1632" s="88" t="s">
        <v>9226</v>
      </c>
      <c r="I1632" s="89">
        <v>1268</v>
      </c>
      <c r="J1632" s="90">
        <f>SUMIF(Cargas!$C$5:$C$3470,C1632,Cargas!$O$5:$O$3470)</f>
        <v>1268</v>
      </c>
      <c r="K1632" s="91">
        <f t="shared" si="31"/>
        <v>0</v>
      </c>
      <c r="L1632" s="122" t="s">
        <v>9278</v>
      </c>
      <c r="M1632" s="92">
        <v>255232</v>
      </c>
      <c r="N1632"/>
      <c r="O1632"/>
      <c r="P1632"/>
      <c r="Q1632"/>
      <c r="R1632"/>
      <c r="S1632"/>
      <c r="T1632"/>
      <c r="U1632"/>
      <c r="V1632"/>
      <c r="W1632"/>
      <c r="X1632"/>
      <c r="Y1632"/>
      <c r="Z1632"/>
      <c r="AA1632"/>
      <c r="AB1632"/>
      <c r="AC1632"/>
      <c r="AD1632"/>
      <c r="AE1632"/>
      <c r="AF1632"/>
      <c r="AG1632"/>
      <c r="AH1632"/>
      <c r="AI1632"/>
      <c r="AJ1632"/>
      <c r="AK1632"/>
      <c r="AL1632"/>
      <c r="AM1632"/>
      <c r="AN1632"/>
    </row>
    <row r="1633" spans="1:13" hidden="1" x14ac:dyDescent="0.25">
      <c r="A1633" s="93"/>
      <c r="B1633" s="86">
        <v>45669</v>
      </c>
      <c r="C1633" s="87" t="s">
        <v>5305</v>
      </c>
      <c r="D1633" s="88" t="s">
        <v>9279</v>
      </c>
      <c r="E1633" s="121" t="s">
        <v>6764</v>
      </c>
      <c r="F1633" s="121"/>
      <c r="G1633" s="88" t="s">
        <v>6443</v>
      </c>
      <c r="H1633" s="88" t="s">
        <v>7888</v>
      </c>
      <c r="I1633" s="89">
        <v>2916</v>
      </c>
      <c r="J1633" s="90">
        <f>SUMIF(Cargas!$C$5:$C$3470,C1633,Cargas!$O$5:$O$3470)</f>
        <v>2916</v>
      </c>
      <c r="K1633" s="91">
        <f t="shared" si="31"/>
        <v>0</v>
      </c>
      <c r="L1633" s="122" t="s">
        <v>9280</v>
      </c>
      <c r="M1633" s="92">
        <v>260324</v>
      </c>
    </row>
    <row r="1634" spans="1:13" hidden="1" x14ac:dyDescent="0.25">
      <c r="A1634" s="93"/>
      <c r="B1634" s="86">
        <v>46010</v>
      </c>
      <c r="C1634" s="87" t="s">
        <v>5334</v>
      </c>
      <c r="D1634" s="88" t="s">
        <v>9281</v>
      </c>
      <c r="E1634" s="121" t="s">
        <v>9213</v>
      </c>
      <c r="F1634" s="121"/>
      <c r="G1634" s="88" t="s">
        <v>6443</v>
      </c>
      <c r="H1634" s="88" t="s">
        <v>9226</v>
      </c>
      <c r="I1634" s="89">
        <v>1268</v>
      </c>
      <c r="J1634" s="90">
        <f>SUMIF(Cargas!$C$5:$C$3470,C1634,Cargas!$O$5:$O$3470)</f>
        <v>1268</v>
      </c>
      <c r="K1634" s="91">
        <f t="shared" si="31"/>
        <v>0</v>
      </c>
      <c r="L1634" s="122" t="s">
        <v>9282</v>
      </c>
      <c r="M1634" s="92">
        <v>264481</v>
      </c>
    </row>
    <row r="1635" spans="1:13" hidden="1" x14ac:dyDescent="0.25">
      <c r="A1635" s="93"/>
      <c r="B1635" s="86">
        <v>46007</v>
      </c>
      <c r="C1635" s="87" t="s">
        <v>5350</v>
      </c>
      <c r="D1635" s="88" t="s">
        <v>9283</v>
      </c>
      <c r="E1635" s="121" t="s">
        <v>9213</v>
      </c>
      <c r="F1635" s="121"/>
      <c r="G1635" s="88" t="s">
        <v>6443</v>
      </c>
      <c r="H1635" s="88" t="s">
        <v>9226</v>
      </c>
      <c r="I1635" s="89">
        <v>5184</v>
      </c>
      <c r="J1635" s="90">
        <f>SUMIF(Cargas!$C$5:$C$3470,C1635,Cargas!$O$5:$O$3470)</f>
        <v>5184</v>
      </c>
      <c r="K1635" s="91">
        <f t="shared" si="31"/>
        <v>0</v>
      </c>
      <c r="L1635" s="122">
        <v>1545131</v>
      </c>
      <c r="M1635" s="92">
        <v>267097</v>
      </c>
    </row>
    <row r="1636" spans="1:13" hidden="1" x14ac:dyDescent="0.25">
      <c r="B1636" s="80">
        <v>46017</v>
      </c>
      <c r="C1636" s="77" t="s">
        <v>5355</v>
      </c>
      <c r="D1636" s="78" t="s">
        <v>9284</v>
      </c>
      <c r="E1636" s="123" t="s">
        <v>9213</v>
      </c>
      <c r="F1636" s="123"/>
      <c r="G1636" s="78" t="s">
        <v>6443</v>
      </c>
      <c r="H1636" s="78" t="s">
        <v>9226</v>
      </c>
      <c r="I1636" s="81">
        <v>1290</v>
      </c>
      <c r="J1636" s="82">
        <f>SUMIF(Cargas!$C$5:$C$3470,C1636,Cargas!$O$5:$O$3470)</f>
        <v>1290</v>
      </c>
      <c r="K1636" s="83">
        <f t="shared" si="31"/>
        <v>0</v>
      </c>
      <c r="L1636" s="124" t="s">
        <v>9285</v>
      </c>
      <c r="M1636" s="85">
        <v>268175</v>
      </c>
    </row>
    <row r="1637" spans="1:13" hidden="1" x14ac:dyDescent="0.25">
      <c r="B1637" s="58">
        <v>45659</v>
      </c>
      <c r="C1637" s="59" t="s">
        <v>2957</v>
      </c>
      <c r="D1637" s="61" t="s">
        <v>7567</v>
      </c>
      <c r="E1637" s="197" t="s">
        <v>7872</v>
      </c>
      <c r="F1637" s="197"/>
      <c r="G1637" s="61" t="s">
        <v>7569</v>
      </c>
      <c r="H1637" s="61"/>
      <c r="I1637" s="62">
        <v>930</v>
      </c>
      <c r="J1637" s="4">
        <f>SUMIF(Cargas!$C$5:$C$3470,C1637,Cargas!$O$5:$O$3470)</f>
        <v>930</v>
      </c>
      <c r="K1637" s="18">
        <f t="shared" si="31"/>
        <v>0</v>
      </c>
      <c r="L1637" s="195" t="s">
        <v>9286</v>
      </c>
      <c r="M1637" s="64">
        <v>1158</v>
      </c>
    </row>
    <row r="1638" spans="1:13" s="93" customFormat="1" hidden="1" x14ac:dyDescent="0.25">
      <c r="B1638" s="86">
        <v>46181</v>
      </c>
      <c r="C1638" s="87" t="s">
        <v>6032</v>
      </c>
      <c r="D1638" s="88" t="s">
        <v>9287</v>
      </c>
      <c r="E1638" s="121" t="s">
        <v>8917</v>
      </c>
      <c r="F1638" s="121" t="s">
        <v>6116</v>
      </c>
      <c r="G1638" s="88" t="s">
        <v>6665</v>
      </c>
      <c r="H1638" s="88" t="s">
        <v>8928</v>
      </c>
      <c r="I1638" s="89">
        <v>1872</v>
      </c>
      <c r="J1638" s="90">
        <f>SUMIF(Cargas!$C$5:$C$3470,C1638,Cargas!$O$5:$O$3470)</f>
        <v>1872</v>
      </c>
      <c r="K1638" s="91">
        <f t="shared" si="31"/>
        <v>0</v>
      </c>
      <c r="L1638" s="122" t="s">
        <v>9288</v>
      </c>
      <c r="M1638" s="92">
        <v>115276</v>
      </c>
    </row>
    <row r="1639" spans="1:13" s="93" customFormat="1" hidden="1" x14ac:dyDescent="0.25">
      <c r="B1639" s="86">
        <v>46183</v>
      </c>
      <c r="C1639" s="87" t="s">
        <v>6029</v>
      </c>
      <c r="D1639" s="88" t="s">
        <v>9289</v>
      </c>
      <c r="E1639" s="121" t="s">
        <v>6764</v>
      </c>
      <c r="F1639" s="121" t="s">
        <v>6116</v>
      </c>
      <c r="G1639" s="88" t="s">
        <v>6443</v>
      </c>
      <c r="H1639" s="88" t="s">
        <v>8574</v>
      </c>
      <c r="I1639" s="89">
        <v>9072</v>
      </c>
      <c r="J1639" s="90">
        <f>SUMIF(Cargas!$C$5:$C$3470,C1639,Cargas!$O$5:$O$3470)</f>
        <v>9072</v>
      </c>
      <c r="K1639" s="91">
        <f t="shared" si="31"/>
        <v>0</v>
      </c>
      <c r="L1639" s="122">
        <v>1560434</v>
      </c>
      <c r="M1639" s="92">
        <v>115150</v>
      </c>
    </row>
    <row r="1640" spans="1:13" s="93" customFormat="1" hidden="1" x14ac:dyDescent="0.25">
      <c r="B1640" s="86">
        <v>46189</v>
      </c>
      <c r="C1640" s="87" t="s">
        <v>6070</v>
      </c>
      <c r="D1640" s="88" t="s">
        <v>9290</v>
      </c>
      <c r="E1640" s="121" t="s">
        <v>6764</v>
      </c>
      <c r="F1640" s="121" t="s">
        <v>6116</v>
      </c>
      <c r="G1640" s="88" t="s">
        <v>6443</v>
      </c>
      <c r="H1640" s="88" t="s">
        <v>6963</v>
      </c>
      <c r="I1640" s="89">
        <v>4032</v>
      </c>
      <c r="J1640" s="90">
        <f>SUMIF(Cargas!$C$5:$C$3470,C1640,Cargas!$O$5:$O$3470)</f>
        <v>4032</v>
      </c>
      <c r="K1640" s="91">
        <f t="shared" si="31"/>
        <v>0</v>
      </c>
      <c r="L1640" s="122" t="s">
        <v>9291</v>
      </c>
      <c r="M1640" s="92">
        <v>120372</v>
      </c>
    </row>
    <row r="1641" spans="1:13" s="103" customFormat="1" hidden="1" x14ac:dyDescent="0.25">
      <c r="B1641" s="95">
        <v>46189</v>
      </c>
      <c r="C1641" s="96" t="s">
        <v>6073</v>
      </c>
      <c r="D1641" s="97" t="s">
        <v>9292</v>
      </c>
      <c r="E1641" s="135" t="s">
        <v>8917</v>
      </c>
      <c r="F1641" s="135" t="s">
        <v>6116</v>
      </c>
      <c r="G1641" s="97" t="s">
        <v>6665</v>
      </c>
      <c r="H1641" s="97" t="s">
        <v>8928</v>
      </c>
      <c r="I1641" s="98">
        <v>2808</v>
      </c>
      <c r="J1641" s="99">
        <f>SUMIF(Cargas!$C$5:$C$3470,C1641,Cargas!$O$5:$O$3470)</f>
        <v>2808</v>
      </c>
      <c r="K1641" s="100">
        <f t="shared" ref="K1641:K1672" si="32">IF(ABS(I1641-J1641)&lt;20,0,I1641-J1641)</f>
        <v>0</v>
      </c>
      <c r="L1641" s="136">
        <v>1560961</v>
      </c>
      <c r="M1641" s="102">
        <v>120496</v>
      </c>
    </row>
    <row r="1642" spans="1:13" s="103" customFormat="1" hidden="1" x14ac:dyDescent="0.25">
      <c r="B1642" s="95">
        <v>46191</v>
      </c>
      <c r="C1642" s="96" t="s">
        <v>6079</v>
      </c>
      <c r="D1642" s="97" t="s">
        <v>9293</v>
      </c>
      <c r="E1642" s="135" t="s">
        <v>6764</v>
      </c>
      <c r="F1642" s="135" t="s">
        <v>6116</v>
      </c>
      <c r="G1642" s="97" t="s">
        <v>6443</v>
      </c>
      <c r="H1642" s="97" t="s">
        <v>8574</v>
      </c>
      <c r="I1642" s="98">
        <v>9072</v>
      </c>
      <c r="J1642" s="99">
        <f>SUMIF(Cargas!$C$5:$C$3470,C1642,Cargas!$O$5:$O$3470)</f>
        <v>9072</v>
      </c>
      <c r="K1642" s="100">
        <f t="shared" si="32"/>
        <v>0</v>
      </c>
      <c r="L1642" s="136">
        <v>1560929</v>
      </c>
      <c r="M1642" s="102">
        <v>121851</v>
      </c>
    </row>
    <row r="1643" spans="1:13" s="103" customFormat="1" hidden="1" x14ac:dyDescent="0.25">
      <c r="B1643" s="95">
        <v>46191</v>
      </c>
      <c r="C1643" s="96" t="s">
        <v>6085</v>
      </c>
      <c r="D1643" s="97" t="s">
        <v>9294</v>
      </c>
      <c r="E1643" s="135" t="s">
        <v>6764</v>
      </c>
      <c r="F1643" s="135" t="s">
        <v>6116</v>
      </c>
      <c r="G1643" s="97" t="s">
        <v>6443</v>
      </c>
      <c r="H1643" s="97" t="s">
        <v>7061</v>
      </c>
      <c r="I1643" s="98">
        <v>5040</v>
      </c>
      <c r="J1643" s="99">
        <f>SUMIF(Cargas!$C$5:$C$3470,C1643,Cargas!$O$5:$O$3470)</f>
        <v>5040</v>
      </c>
      <c r="K1643" s="100">
        <f t="shared" si="32"/>
        <v>0</v>
      </c>
      <c r="L1643" s="136">
        <v>1560930</v>
      </c>
      <c r="M1643" s="102">
        <v>121816</v>
      </c>
    </row>
    <row r="1644" spans="1:13" s="93" customFormat="1" hidden="1" x14ac:dyDescent="0.25">
      <c r="B1644" s="86">
        <v>46202</v>
      </c>
      <c r="C1644" s="87" t="s">
        <v>6129</v>
      </c>
      <c r="D1644" s="88" t="s">
        <v>9295</v>
      </c>
      <c r="E1644" s="121" t="s">
        <v>8917</v>
      </c>
      <c r="F1644" s="121" t="s">
        <v>6116</v>
      </c>
      <c r="G1644" s="88" t="s">
        <v>6665</v>
      </c>
      <c r="H1644" s="88" t="s">
        <v>8928</v>
      </c>
      <c r="I1644" s="89">
        <v>1872</v>
      </c>
      <c r="J1644" s="90">
        <f>SUMIF(Cargas!$C$5:$C$3470,C1644,Cargas!$O$5:$O$3470)</f>
        <v>1872</v>
      </c>
      <c r="K1644" s="91">
        <f t="shared" si="32"/>
        <v>0</v>
      </c>
      <c r="L1644" s="122">
        <v>1565123</v>
      </c>
      <c r="M1644" s="92">
        <v>130888</v>
      </c>
    </row>
    <row r="1645" spans="1:13" s="103" customFormat="1" x14ac:dyDescent="0.25">
      <c r="B1645" s="95">
        <v>46204</v>
      </c>
      <c r="C1645" s="96" t="s">
        <v>6124</v>
      </c>
      <c r="D1645" s="97" t="s">
        <v>9296</v>
      </c>
      <c r="E1645" s="135" t="s">
        <v>6764</v>
      </c>
      <c r="F1645" s="135" t="s">
        <v>6116</v>
      </c>
      <c r="G1645" s="97" t="s">
        <v>6443</v>
      </c>
      <c r="H1645" s="97" t="s">
        <v>8574</v>
      </c>
      <c r="I1645" s="98">
        <v>9072</v>
      </c>
      <c r="J1645" s="99">
        <f>SUMIF(Cargas!$C$5:$C$3470,C1645,Cargas!$O$5:$O$3470)</f>
        <v>9072</v>
      </c>
      <c r="K1645" s="100">
        <f t="shared" si="32"/>
        <v>0</v>
      </c>
      <c r="L1645" s="136">
        <v>1562128</v>
      </c>
      <c r="M1645" s="102">
        <v>130131</v>
      </c>
    </row>
    <row r="1646" spans="1:13" s="93" customFormat="1" x14ac:dyDescent="0.25">
      <c r="B1646" s="86">
        <v>46204</v>
      </c>
      <c r="C1646" s="87" t="s">
        <v>6136</v>
      </c>
      <c r="D1646" s="88" t="s">
        <v>9297</v>
      </c>
      <c r="E1646" s="121" t="s">
        <v>6764</v>
      </c>
      <c r="F1646" s="121" t="s">
        <v>6116</v>
      </c>
      <c r="G1646" s="88" t="s">
        <v>6443</v>
      </c>
      <c r="H1646" s="88" t="s">
        <v>6963</v>
      </c>
      <c r="I1646" s="89">
        <v>3024</v>
      </c>
      <c r="J1646" s="90">
        <f>SUMIF(Cargas!$C$5:$C$3470,C1646,Cargas!$O$5:$O$3470)</f>
        <v>3024</v>
      </c>
      <c r="K1646" s="91">
        <f t="shared" si="32"/>
        <v>0</v>
      </c>
      <c r="L1646" s="122" t="s">
        <v>9298</v>
      </c>
      <c r="M1646" s="92">
        <v>132704</v>
      </c>
    </row>
    <row r="1647" spans="1:13" s="93" customFormat="1" hidden="1" x14ac:dyDescent="0.25">
      <c r="B1647" s="86">
        <v>46034</v>
      </c>
      <c r="C1647" s="87" t="s">
        <v>5413</v>
      </c>
      <c r="D1647" s="88" t="s">
        <v>9299</v>
      </c>
      <c r="E1647" s="121" t="s">
        <v>9213</v>
      </c>
      <c r="F1647" s="121"/>
      <c r="G1647" s="88" t="s">
        <v>6443</v>
      </c>
      <c r="H1647" s="88" t="s">
        <v>9226</v>
      </c>
      <c r="I1647" s="89">
        <v>1492</v>
      </c>
      <c r="J1647" s="90">
        <f>SUMIF(Cargas!$C$5:$C$3470,C1647,Cargas!$O$5:$O$3470)</f>
        <v>1492</v>
      </c>
      <c r="K1647" s="91">
        <f t="shared" si="32"/>
        <v>0</v>
      </c>
      <c r="L1647" s="122" t="s">
        <v>9300</v>
      </c>
      <c r="M1647" s="92">
        <v>5964</v>
      </c>
    </row>
    <row r="1648" spans="1:13" s="93" customFormat="1" hidden="1" x14ac:dyDescent="0.25">
      <c r="B1648" s="86">
        <v>46038</v>
      </c>
      <c r="C1648" s="87" t="s">
        <v>5446</v>
      </c>
      <c r="D1648" s="88" t="s">
        <v>9301</v>
      </c>
      <c r="E1648" s="121" t="s">
        <v>9213</v>
      </c>
      <c r="F1648" s="121"/>
      <c r="G1648" s="88" t="s">
        <v>6443</v>
      </c>
      <c r="H1648" s="88" t="s">
        <v>9226</v>
      </c>
      <c r="I1648" s="89">
        <v>3420</v>
      </c>
      <c r="J1648" s="90">
        <f>SUMIF(Cargas!$C$5:$C$3470,C1648,Cargas!$O$5:$O$3470)</f>
        <v>3420</v>
      </c>
      <c r="K1648" s="91">
        <f t="shared" si="32"/>
        <v>0</v>
      </c>
      <c r="L1648" s="122" t="s">
        <v>9302</v>
      </c>
      <c r="M1648" s="92">
        <v>12623</v>
      </c>
    </row>
    <row r="1649" spans="2:13" s="93" customFormat="1" hidden="1" x14ac:dyDescent="0.25">
      <c r="B1649" s="86">
        <v>46038</v>
      </c>
      <c r="C1649" s="87" t="s">
        <v>5446</v>
      </c>
      <c r="D1649" s="88" t="s">
        <v>9301</v>
      </c>
      <c r="E1649" s="121" t="s">
        <v>9213</v>
      </c>
      <c r="F1649" s="121"/>
      <c r="G1649" s="88" t="s">
        <v>6443</v>
      </c>
      <c r="H1649" s="88" t="s">
        <v>9226</v>
      </c>
      <c r="I1649" s="89">
        <v>3420</v>
      </c>
      <c r="J1649" s="90">
        <f>SUMIF(Cargas!$C$5:$C$3470,C1649,Cargas!$O$5:$O$3470)</f>
        <v>3420</v>
      </c>
      <c r="K1649" s="91">
        <f t="shared" si="32"/>
        <v>0</v>
      </c>
      <c r="L1649" s="122" t="s">
        <v>9302</v>
      </c>
      <c r="M1649" s="92">
        <v>12623</v>
      </c>
    </row>
    <row r="1650" spans="2:13" s="93" customFormat="1" hidden="1" x14ac:dyDescent="0.25">
      <c r="B1650" s="86">
        <v>46052</v>
      </c>
      <c r="C1650" s="87" t="s">
        <v>5492</v>
      </c>
      <c r="D1650" s="88" t="s">
        <v>9303</v>
      </c>
      <c r="E1650" s="121" t="s">
        <v>9213</v>
      </c>
      <c r="F1650" s="121"/>
      <c r="G1650" s="88" t="s">
        <v>6443</v>
      </c>
      <c r="H1650" s="88" t="s">
        <v>9226</v>
      </c>
      <c r="I1650" s="89">
        <v>1160</v>
      </c>
      <c r="J1650" s="90">
        <f>SUMIF(Cargas!$C$5:$C$3470,C1650,Cargas!$O$5:$O$3470)</f>
        <v>1160</v>
      </c>
      <c r="K1650" s="91">
        <f t="shared" si="32"/>
        <v>0</v>
      </c>
      <c r="L1650" s="122" t="s">
        <v>9304</v>
      </c>
      <c r="M1650" s="92">
        <v>21203</v>
      </c>
    </row>
    <row r="1651" spans="2:13" s="93" customFormat="1" hidden="1" x14ac:dyDescent="0.25">
      <c r="B1651" s="86">
        <v>46057</v>
      </c>
      <c r="C1651" s="87" t="s">
        <v>5528</v>
      </c>
      <c r="D1651" s="88" t="s">
        <v>9305</v>
      </c>
      <c r="E1651" s="121" t="s">
        <v>6764</v>
      </c>
      <c r="F1651" s="121"/>
      <c r="G1651" s="88" t="s">
        <v>6443</v>
      </c>
      <c r="H1651" s="88" t="s">
        <v>6768</v>
      </c>
      <c r="I1651" s="89">
        <v>1190</v>
      </c>
      <c r="J1651" s="90">
        <f>SUMIF(Cargas!$C$5:$C$3470,C1651,Cargas!$O$5:$O$3470)</f>
        <v>1190</v>
      </c>
      <c r="K1651" s="91">
        <f t="shared" si="32"/>
        <v>0</v>
      </c>
      <c r="L1651" s="122" t="s">
        <v>9306</v>
      </c>
      <c r="M1651" s="92">
        <v>26134</v>
      </c>
    </row>
    <row r="1652" spans="2:13" s="93" customFormat="1" hidden="1" x14ac:dyDescent="0.25">
      <c r="B1652" s="86">
        <v>46064</v>
      </c>
      <c r="C1652" s="87" t="s">
        <v>5554</v>
      </c>
      <c r="D1652" s="88" t="s">
        <v>9307</v>
      </c>
      <c r="E1652" s="121" t="s">
        <v>9213</v>
      </c>
      <c r="F1652" s="121"/>
      <c r="G1652" s="88" t="s">
        <v>6665</v>
      </c>
      <c r="H1652" s="88" t="s">
        <v>9226</v>
      </c>
      <c r="I1652" s="89">
        <v>1420</v>
      </c>
      <c r="J1652" s="90">
        <f>SUMIF(Cargas!$C$5:$C$3470,C1652,Cargas!$O$5:$O$3470)</f>
        <v>1420</v>
      </c>
      <c r="K1652" s="91">
        <f t="shared" si="32"/>
        <v>0</v>
      </c>
      <c r="L1652" s="122">
        <v>1550025</v>
      </c>
      <c r="M1652" s="92">
        <v>29986</v>
      </c>
    </row>
    <row r="1653" spans="2:13" s="93" customFormat="1" hidden="1" x14ac:dyDescent="0.25">
      <c r="B1653" s="86">
        <v>46071</v>
      </c>
      <c r="C1653" s="87" t="s">
        <v>5579</v>
      </c>
      <c r="D1653" s="88" t="s">
        <v>9308</v>
      </c>
      <c r="E1653" s="121" t="s">
        <v>6764</v>
      </c>
      <c r="F1653" s="121"/>
      <c r="G1653" s="88" t="s">
        <v>6443</v>
      </c>
      <c r="H1653" s="88" t="s">
        <v>7888</v>
      </c>
      <c r="I1653" s="89">
        <v>5616</v>
      </c>
      <c r="J1653" s="90">
        <f>SUMIF(Cargas!$C$5:$C$3470,C1653,Cargas!$O$5:$O$3470)</f>
        <v>5616</v>
      </c>
      <c r="K1653" s="91">
        <f t="shared" si="32"/>
        <v>0</v>
      </c>
      <c r="L1653" s="122" t="s">
        <v>9309</v>
      </c>
      <c r="M1653" s="92">
        <v>33342</v>
      </c>
    </row>
    <row r="1654" spans="2:13" s="93" customFormat="1" hidden="1" x14ac:dyDescent="0.25">
      <c r="B1654" s="86">
        <v>46083</v>
      </c>
      <c r="C1654" s="87" t="s">
        <v>5649</v>
      </c>
      <c r="D1654" s="88" t="s">
        <v>9310</v>
      </c>
      <c r="E1654" s="121" t="s">
        <v>9311</v>
      </c>
      <c r="F1654" s="121"/>
      <c r="G1654" s="88" t="s">
        <v>6443</v>
      </c>
      <c r="H1654" s="88" t="s">
        <v>8928</v>
      </c>
      <c r="I1654" s="89">
        <v>2304</v>
      </c>
      <c r="J1654" s="90">
        <f>SUMIF(Cargas!$C$5:$C$3470,C1654,Cargas!$O$5:$O$3470)</f>
        <v>2304</v>
      </c>
      <c r="K1654" s="91">
        <f t="shared" si="32"/>
        <v>0</v>
      </c>
      <c r="L1654" s="122"/>
      <c r="M1654" s="92">
        <v>45254</v>
      </c>
    </row>
    <row r="1655" spans="2:13" s="93" customFormat="1" ht="26.25" hidden="1" x14ac:dyDescent="0.25">
      <c r="B1655" s="86">
        <v>46091</v>
      </c>
      <c r="C1655" s="87" t="s">
        <v>5661</v>
      </c>
      <c r="D1655" s="88" t="s">
        <v>9312</v>
      </c>
      <c r="E1655" s="121" t="s">
        <v>9213</v>
      </c>
      <c r="F1655" s="121"/>
      <c r="G1655" s="88" t="s">
        <v>6443</v>
      </c>
      <c r="H1655" s="88" t="s">
        <v>9226</v>
      </c>
      <c r="I1655" s="89">
        <v>1232</v>
      </c>
      <c r="J1655" s="90">
        <f>SUMIF(Cargas!$C$5:$C$3470,C1655,Cargas!$O$5:$O$3470)</f>
        <v>1232</v>
      </c>
      <c r="K1655" s="91">
        <f t="shared" si="32"/>
        <v>0</v>
      </c>
      <c r="L1655" s="122" t="s">
        <v>9313</v>
      </c>
      <c r="M1655" s="92">
        <v>48603</v>
      </c>
    </row>
    <row r="1656" spans="2:13" s="93" customFormat="1" hidden="1" x14ac:dyDescent="0.25">
      <c r="B1656" s="86">
        <v>46095</v>
      </c>
      <c r="C1656" s="87" t="s">
        <v>5684</v>
      </c>
      <c r="D1656" s="88" t="s">
        <v>9314</v>
      </c>
      <c r="E1656" s="121" t="s">
        <v>9311</v>
      </c>
      <c r="F1656" s="121"/>
      <c r="G1656" s="88" t="s">
        <v>6443</v>
      </c>
      <c r="H1656" s="88" t="s">
        <v>8660</v>
      </c>
      <c r="I1656" s="89">
        <f>1248+1056</f>
        <v>2304</v>
      </c>
      <c r="J1656" s="90">
        <f>SUMIF(Cargas!$C$5:$C$3470,C1656,Cargas!$O$5:$O$3470)</f>
        <v>2304</v>
      </c>
      <c r="K1656" s="91">
        <f t="shared" si="32"/>
        <v>0</v>
      </c>
      <c r="L1656" s="122"/>
      <c r="M1656" s="92">
        <v>54027</v>
      </c>
    </row>
    <row r="1657" spans="2:13" s="93" customFormat="1" hidden="1" x14ac:dyDescent="0.25">
      <c r="B1657" s="86">
        <v>46098</v>
      </c>
      <c r="C1657" s="87" t="s">
        <v>5702</v>
      </c>
      <c r="D1657" s="88" t="s">
        <v>9315</v>
      </c>
      <c r="E1657" s="121" t="s">
        <v>9311</v>
      </c>
      <c r="F1657" s="121"/>
      <c r="G1657" s="88" t="s">
        <v>6443</v>
      </c>
      <c r="H1657" s="88" t="s">
        <v>6768</v>
      </c>
      <c r="I1657" s="89">
        <f>1248+1056</f>
        <v>2304</v>
      </c>
      <c r="J1657" s="90">
        <f>SUMIF(Cargas!$C$5:$C$3470,C1657,Cargas!$O$5:$O$3470)</f>
        <v>2304</v>
      </c>
      <c r="K1657" s="91">
        <f t="shared" si="32"/>
        <v>0</v>
      </c>
      <c r="L1657" s="122">
        <v>1552816</v>
      </c>
      <c r="M1657" s="92">
        <v>54027</v>
      </c>
    </row>
    <row r="1658" spans="2:13" s="93" customFormat="1" hidden="1" x14ac:dyDescent="0.25">
      <c r="B1658" s="86">
        <v>46101</v>
      </c>
      <c r="C1658" s="87" t="s">
        <v>5720</v>
      </c>
      <c r="D1658" s="88" t="s">
        <v>9316</v>
      </c>
      <c r="E1658" s="121" t="s">
        <v>6764</v>
      </c>
      <c r="F1658" s="121"/>
      <c r="G1658" s="88" t="s">
        <v>6443</v>
      </c>
      <c r="H1658" s="88" t="s">
        <v>6768</v>
      </c>
      <c r="I1658" s="89">
        <v>1116</v>
      </c>
      <c r="J1658" s="90">
        <f>SUMIF(Cargas!$C$5:$C$3470,C1658,Cargas!$O$5:$O$3470)</f>
        <v>1116</v>
      </c>
      <c r="K1658" s="91">
        <f t="shared" si="32"/>
        <v>0</v>
      </c>
      <c r="L1658" s="122" t="s">
        <v>9317</v>
      </c>
      <c r="M1658" s="92">
        <v>58229</v>
      </c>
    </row>
    <row r="1659" spans="2:13" s="93" customFormat="1" hidden="1" x14ac:dyDescent="0.25">
      <c r="B1659" s="86">
        <v>46098</v>
      </c>
      <c r="C1659" s="87" t="s">
        <v>5704</v>
      </c>
      <c r="D1659" s="88" t="s">
        <v>9318</v>
      </c>
      <c r="E1659" s="121" t="s">
        <v>9311</v>
      </c>
      <c r="F1659" s="121"/>
      <c r="G1659" s="88" t="s">
        <v>6443</v>
      </c>
      <c r="H1659" s="88" t="s">
        <v>8660</v>
      </c>
      <c r="I1659" s="89">
        <f>1248+1056</f>
        <v>2304</v>
      </c>
      <c r="J1659" s="90">
        <f>SUMIF(Cargas!$C$5:$C$3470,C1659,Cargas!$O$5:$O$3470)</f>
        <v>2304</v>
      </c>
      <c r="K1659" s="91">
        <f t="shared" si="32"/>
        <v>0</v>
      </c>
      <c r="L1659" s="122">
        <v>1552817</v>
      </c>
      <c r="M1659" s="92">
        <v>55244</v>
      </c>
    </row>
    <row r="1660" spans="2:13" s="93" customFormat="1" hidden="1" x14ac:dyDescent="0.25">
      <c r="B1660" s="86">
        <v>46104</v>
      </c>
      <c r="C1660" s="87" t="s">
        <v>5724</v>
      </c>
      <c r="D1660" s="88" t="s">
        <v>9319</v>
      </c>
      <c r="E1660" s="121" t="s">
        <v>9213</v>
      </c>
      <c r="F1660" s="121"/>
      <c r="G1660" s="88" t="s">
        <v>6443</v>
      </c>
      <c r="H1660" s="88" t="s">
        <v>9226</v>
      </c>
      <c r="I1660" s="89">
        <v>1460</v>
      </c>
      <c r="J1660" s="90">
        <f>SUMIF(Cargas!$C$5:$C$3470,C1660,Cargas!$O$5:$O$3470)</f>
        <v>1460</v>
      </c>
      <c r="K1660" s="91">
        <f t="shared" si="32"/>
        <v>0</v>
      </c>
      <c r="L1660" s="122" t="s">
        <v>9320</v>
      </c>
      <c r="M1660" s="92">
        <v>59541</v>
      </c>
    </row>
    <row r="1661" spans="2:13" s="93" customFormat="1" hidden="1" x14ac:dyDescent="0.25">
      <c r="B1661" s="86">
        <v>46107</v>
      </c>
      <c r="C1661" s="87" t="s">
        <v>5738</v>
      </c>
      <c r="D1661" s="88" t="s">
        <v>9321</v>
      </c>
      <c r="E1661" s="121" t="s">
        <v>9311</v>
      </c>
      <c r="F1661" s="121"/>
      <c r="G1661" s="88" t="s">
        <v>6443</v>
      </c>
      <c r="H1661" s="88" t="s">
        <v>8660</v>
      </c>
      <c r="I1661" s="89">
        <f>1248+1056</f>
        <v>2304</v>
      </c>
      <c r="J1661" s="90">
        <f>SUMIF(Cargas!$C$5:$C$3470,C1661,Cargas!$O$5:$O$3470)</f>
        <v>2304</v>
      </c>
      <c r="K1661" s="91">
        <f t="shared" si="32"/>
        <v>0</v>
      </c>
      <c r="L1661" s="122" t="s">
        <v>9322</v>
      </c>
      <c r="M1661" s="92">
        <v>62952</v>
      </c>
    </row>
    <row r="1662" spans="2:13" s="93" customFormat="1" hidden="1" x14ac:dyDescent="0.25">
      <c r="B1662" s="86">
        <v>46117</v>
      </c>
      <c r="C1662" s="87" t="s">
        <v>5770</v>
      </c>
      <c r="D1662" s="88" t="s">
        <v>9323</v>
      </c>
      <c r="E1662" s="121" t="s">
        <v>9311</v>
      </c>
      <c r="F1662" s="121" t="s">
        <v>5813</v>
      </c>
      <c r="G1662" s="88" t="s">
        <v>6443</v>
      </c>
      <c r="H1662" s="88" t="s">
        <v>8660</v>
      </c>
      <c r="I1662" s="89">
        <f>1248+1056</f>
        <v>2304</v>
      </c>
      <c r="J1662" s="90">
        <f>SUMIF(Cargas!$C$5:$C$3470,C1662,Cargas!$O$5:$O$3470)</f>
        <v>2304</v>
      </c>
      <c r="K1662" s="91">
        <f t="shared" si="32"/>
        <v>0</v>
      </c>
      <c r="L1662" s="122">
        <v>1554377</v>
      </c>
      <c r="M1662" s="92" t="s">
        <v>9324</v>
      </c>
    </row>
    <row r="1663" spans="2:13" s="93" customFormat="1" hidden="1" x14ac:dyDescent="0.25">
      <c r="B1663" s="86">
        <v>46116</v>
      </c>
      <c r="C1663" s="87" t="s">
        <v>5785</v>
      </c>
      <c r="D1663" s="88" t="s">
        <v>9325</v>
      </c>
      <c r="E1663" s="121" t="s">
        <v>9213</v>
      </c>
      <c r="F1663" s="121" t="s">
        <v>1168</v>
      </c>
      <c r="G1663" s="88" t="s">
        <v>6665</v>
      </c>
      <c r="H1663" s="88" t="s">
        <v>9226</v>
      </c>
      <c r="I1663" s="89">
        <v>1220</v>
      </c>
      <c r="J1663" s="90">
        <f>SUMIF(Cargas!$C$5:$C$3470,C1663,Cargas!$O$5:$O$3470)</f>
        <v>1220</v>
      </c>
      <c r="K1663" s="91">
        <f t="shared" si="32"/>
        <v>0</v>
      </c>
      <c r="L1663" s="122" t="s">
        <v>9326</v>
      </c>
      <c r="M1663" s="92">
        <v>69554</v>
      </c>
    </row>
    <row r="1664" spans="2:13" s="93" customFormat="1" ht="26.25" hidden="1" x14ac:dyDescent="0.25">
      <c r="B1664" s="86">
        <v>46119</v>
      </c>
      <c r="C1664" s="87" t="s">
        <v>5788</v>
      </c>
      <c r="D1664" s="88" t="s">
        <v>9327</v>
      </c>
      <c r="E1664" s="121" t="s">
        <v>6764</v>
      </c>
      <c r="F1664" s="121" t="s">
        <v>9328</v>
      </c>
      <c r="G1664" s="88" t="s">
        <v>6443</v>
      </c>
      <c r="H1664" s="88" t="s">
        <v>8660</v>
      </c>
      <c r="I1664" s="89">
        <v>1188</v>
      </c>
      <c r="J1664" s="90">
        <f>SUMIF(Cargas!$C$5:$C$3470,C1664,Cargas!$O$5:$O$3470)</f>
        <v>1188</v>
      </c>
      <c r="K1664" s="91">
        <f t="shared" si="32"/>
        <v>0</v>
      </c>
      <c r="L1664" s="122" t="s">
        <v>9329</v>
      </c>
      <c r="M1664" s="92">
        <v>70038</v>
      </c>
    </row>
    <row r="1665" spans="1:40" s="93" customFormat="1" hidden="1" x14ac:dyDescent="0.25">
      <c r="B1665" s="86">
        <v>46122</v>
      </c>
      <c r="C1665" s="87" t="s">
        <v>5808</v>
      </c>
      <c r="D1665" s="88" t="s">
        <v>9330</v>
      </c>
      <c r="E1665" s="121" t="s">
        <v>9311</v>
      </c>
      <c r="F1665" s="121" t="s">
        <v>5813</v>
      </c>
      <c r="G1665" s="88" t="s">
        <v>6443</v>
      </c>
      <c r="H1665" s="88" t="s">
        <v>8660</v>
      </c>
      <c r="I1665" s="89">
        <v>2304</v>
      </c>
      <c r="J1665" s="90">
        <f>SUMIF(Cargas!$C$5:$C$3470,C1665,Cargas!$O$5:$O$3470)</f>
        <v>2304</v>
      </c>
      <c r="K1665" s="91">
        <f t="shared" si="32"/>
        <v>0</v>
      </c>
      <c r="L1665" s="122"/>
      <c r="M1665" s="92">
        <v>71884</v>
      </c>
    </row>
    <row r="1666" spans="1:40" s="93" customFormat="1" hidden="1" x14ac:dyDescent="0.25">
      <c r="B1666" s="86">
        <v>46128</v>
      </c>
      <c r="C1666" s="87" t="s">
        <v>5834</v>
      </c>
      <c r="D1666" s="88" t="s">
        <v>9331</v>
      </c>
      <c r="E1666" s="121" t="s">
        <v>6764</v>
      </c>
      <c r="F1666" s="121" t="s">
        <v>9332</v>
      </c>
      <c r="G1666" s="88" t="s">
        <v>6443</v>
      </c>
      <c r="H1666" s="88" t="s">
        <v>6768</v>
      </c>
      <c r="I1666" s="89">
        <v>1120</v>
      </c>
      <c r="J1666" s="90">
        <f>SUMIF(Cargas!$C$5:$C$3470,C1666,Cargas!$O$5:$O$3470)</f>
        <v>1120</v>
      </c>
      <c r="K1666" s="91">
        <f t="shared" si="32"/>
        <v>0</v>
      </c>
      <c r="L1666" s="122" t="s">
        <v>9333</v>
      </c>
      <c r="M1666" s="92">
        <v>78844</v>
      </c>
    </row>
    <row r="1667" spans="1:40" s="93" customFormat="1" hidden="1" x14ac:dyDescent="0.25">
      <c r="B1667" s="86">
        <v>46132</v>
      </c>
      <c r="C1667" s="87" t="s">
        <v>5853</v>
      </c>
      <c r="D1667" s="88" t="s">
        <v>9334</v>
      </c>
      <c r="E1667" s="121" t="s">
        <v>9213</v>
      </c>
      <c r="F1667" s="121"/>
      <c r="G1667" s="88" t="s">
        <v>6665</v>
      </c>
      <c r="H1667" s="88" t="s">
        <v>9226</v>
      </c>
      <c r="I1667" s="89">
        <v>5184</v>
      </c>
      <c r="J1667" s="90">
        <f>SUMIF(Cargas!$C$5:$C$3470,C1667,Cargas!$O$5:$O$3470)</f>
        <v>5184</v>
      </c>
      <c r="K1667" s="91">
        <f t="shared" si="32"/>
        <v>0</v>
      </c>
      <c r="L1667" s="122">
        <v>1555217</v>
      </c>
      <c r="M1667" s="92">
        <v>79548</v>
      </c>
      <c r="T1667"/>
      <c r="U1667"/>
      <c r="V1667"/>
      <c r="W1667"/>
      <c r="X1667"/>
      <c r="Y1667"/>
      <c r="Z1667"/>
      <c r="AA1667"/>
      <c r="AB1667"/>
      <c r="AC1667"/>
      <c r="AD1667"/>
      <c r="AE1667"/>
      <c r="AF1667"/>
      <c r="AG1667"/>
      <c r="AH1667"/>
      <c r="AI1667"/>
      <c r="AJ1667"/>
      <c r="AK1667"/>
      <c r="AL1667"/>
      <c r="AM1667"/>
      <c r="AN1667"/>
    </row>
    <row r="1668" spans="1:40" s="93" customFormat="1" ht="26.25" hidden="1" x14ac:dyDescent="0.25">
      <c r="B1668" s="86">
        <v>46132</v>
      </c>
      <c r="C1668" s="87" t="s">
        <v>5836</v>
      </c>
      <c r="D1668" s="88" t="s">
        <v>9335</v>
      </c>
      <c r="E1668" s="121" t="s">
        <v>6764</v>
      </c>
      <c r="F1668" s="121" t="s">
        <v>9336</v>
      </c>
      <c r="G1668" s="88" t="s">
        <v>6443</v>
      </c>
      <c r="H1668" s="88" t="s">
        <v>6444</v>
      </c>
      <c r="I1668" s="89">
        <v>1529</v>
      </c>
      <c r="J1668" s="90">
        <f>SUMIF(Cargas!$C$5:$C$3470,C1668,Cargas!$O$5:$O$3470)</f>
        <v>1529</v>
      </c>
      <c r="K1668" s="91">
        <f t="shared" si="32"/>
        <v>0</v>
      </c>
      <c r="L1668" s="122">
        <v>1555712</v>
      </c>
      <c r="M1668" s="92" t="s">
        <v>9337</v>
      </c>
      <c r="T1668"/>
      <c r="U1668"/>
      <c r="V1668"/>
      <c r="W1668"/>
      <c r="X1668"/>
      <c r="Y1668"/>
      <c r="Z1668"/>
      <c r="AA1668"/>
      <c r="AB1668"/>
      <c r="AC1668"/>
      <c r="AD1668"/>
      <c r="AE1668"/>
      <c r="AF1668"/>
      <c r="AG1668"/>
      <c r="AH1668"/>
      <c r="AI1668"/>
      <c r="AJ1668"/>
      <c r="AK1668"/>
      <c r="AL1668"/>
      <c r="AM1668"/>
      <c r="AN1668"/>
    </row>
    <row r="1669" spans="1:40" s="93" customFormat="1" ht="26.25" hidden="1" x14ac:dyDescent="0.25">
      <c r="B1669" s="86">
        <v>46132</v>
      </c>
      <c r="C1669" s="87" t="s">
        <v>5841</v>
      </c>
      <c r="D1669" s="88" t="s">
        <v>9338</v>
      </c>
      <c r="E1669" s="121" t="s">
        <v>9213</v>
      </c>
      <c r="F1669" s="121" t="s">
        <v>1168</v>
      </c>
      <c r="G1669" s="88" t="s">
        <v>6665</v>
      </c>
      <c r="H1669" s="88" t="s">
        <v>9226</v>
      </c>
      <c r="I1669" s="89">
        <v>1252</v>
      </c>
      <c r="J1669" s="90">
        <f>SUMIF(Cargas!$C$5:$C$3470,C1669,Cargas!$O$5:$O$3470)</f>
        <v>1252</v>
      </c>
      <c r="K1669" s="91">
        <f t="shared" si="32"/>
        <v>0</v>
      </c>
      <c r="L1669" s="122" t="s">
        <v>9339</v>
      </c>
      <c r="M1669" s="92">
        <v>79611</v>
      </c>
      <c r="T1669"/>
      <c r="U1669"/>
      <c r="V1669"/>
      <c r="W1669"/>
      <c r="X1669"/>
      <c r="Y1669"/>
      <c r="Z1669"/>
      <c r="AA1669"/>
      <c r="AB1669"/>
      <c r="AC1669"/>
      <c r="AD1669"/>
      <c r="AE1669"/>
      <c r="AF1669"/>
      <c r="AG1669"/>
      <c r="AH1669"/>
      <c r="AI1669"/>
      <c r="AJ1669"/>
      <c r="AK1669"/>
      <c r="AL1669"/>
      <c r="AM1669"/>
      <c r="AN1669"/>
    </row>
    <row r="1670" spans="1:40" s="93" customFormat="1" hidden="1" x14ac:dyDescent="0.25">
      <c r="B1670" s="86">
        <v>46137</v>
      </c>
      <c r="C1670" s="87" t="s">
        <v>5858</v>
      </c>
      <c r="D1670" s="88" t="s">
        <v>9340</v>
      </c>
      <c r="E1670" s="121" t="s">
        <v>9311</v>
      </c>
      <c r="F1670" s="121" t="s">
        <v>5813</v>
      </c>
      <c r="G1670" s="88" t="s">
        <v>6665</v>
      </c>
      <c r="H1670" s="88" t="s">
        <v>8660</v>
      </c>
      <c r="I1670" s="89">
        <v>2304</v>
      </c>
      <c r="J1670" s="90">
        <f>SUMIF(Cargas!$C$5:$C$3470,C1670,Cargas!$O$5:$O$3470)</f>
        <v>2304</v>
      </c>
      <c r="K1670" s="91">
        <f t="shared" si="32"/>
        <v>0</v>
      </c>
      <c r="L1670" s="122"/>
      <c r="M1670" s="92">
        <v>83733</v>
      </c>
      <c r="T1670"/>
      <c r="U1670"/>
      <c r="V1670"/>
      <c r="W1670"/>
      <c r="X1670"/>
      <c r="Y1670"/>
      <c r="Z1670"/>
      <c r="AA1670"/>
      <c r="AB1670"/>
      <c r="AC1670"/>
      <c r="AD1670"/>
      <c r="AE1670"/>
      <c r="AF1670"/>
      <c r="AG1670"/>
      <c r="AH1670"/>
      <c r="AI1670"/>
      <c r="AJ1670"/>
      <c r="AK1670"/>
      <c r="AL1670"/>
      <c r="AM1670"/>
      <c r="AN1670"/>
    </row>
    <row r="1671" spans="1:40" s="93" customFormat="1" hidden="1" x14ac:dyDescent="0.25">
      <c r="B1671" s="86">
        <v>46140</v>
      </c>
      <c r="C1671" s="87" t="s">
        <v>5861</v>
      </c>
      <c r="D1671" s="88" t="s">
        <v>9341</v>
      </c>
      <c r="E1671" s="121" t="s">
        <v>9213</v>
      </c>
      <c r="F1671" s="121" t="s">
        <v>1168</v>
      </c>
      <c r="G1671" s="88" t="s">
        <v>6665</v>
      </c>
      <c r="H1671" s="88" t="s">
        <v>9226</v>
      </c>
      <c r="I1671" s="89">
        <v>1326</v>
      </c>
      <c r="J1671" s="90">
        <f>SUMIF(Cargas!$C$5:$C$3470,C1671,Cargas!$O$5:$O$3470)</f>
        <v>1326</v>
      </c>
      <c r="K1671" s="91">
        <f t="shared" si="32"/>
        <v>0</v>
      </c>
      <c r="L1671" s="122"/>
      <c r="M1671" s="92">
        <v>84925</v>
      </c>
      <c r="T1671"/>
      <c r="U1671"/>
      <c r="V1671"/>
      <c r="W1671"/>
      <c r="X1671"/>
      <c r="Y1671"/>
      <c r="Z1671"/>
      <c r="AA1671"/>
      <c r="AB1671"/>
      <c r="AC1671"/>
      <c r="AD1671"/>
      <c r="AE1671"/>
      <c r="AF1671"/>
      <c r="AG1671"/>
      <c r="AH1671"/>
      <c r="AI1671"/>
      <c r="AJ1671"/>
      <c r="AK1671"/>
      <c r="AL1671"/>
      <c r="AM1671"/>
      <c r="AN1671"/>
    </row>
    <row r="1672" spans="1:40" s="93" customFormat="1" hidden="1" x14ac:dyDescent="0.25">
      <c r="B1672" s="86">
        <v>46142</v>
      </c>
      <c r="C1672" s="87" t="s">
        <v>5885</v>
      </c>
      <c r="D1672" s="88" t="s">
        <v>9342</v>
      </c>
      <c r="E1672" s="121" t="s">
        <v>6764</v>
      </c>
      <c r="F1672" s="121" t="s">
        <v>9343</v>
      </c>
      <c r="G1672" s="88" t="s">
        <v>6443</v>
      </c>
      <c r="H1672" s="88" t="s">
        <v>7061</v>
      </c>
      <c r="I1672" s="89">
        <v>2600</v>
      </c>
      <c r="J1672" s="90">
        <f>SUMIF(Cargas!$C$5:$C$3470,C1672,Cargas!$O$5:$O$3470)</f>
        <v>2600</v>
      </c>
      <c r="K1672" s="91">
        <f t="shared" si="32"/>
        <v>0</v>
      </c>
      <c r="L1672" s="122" t="s">
        <v>9344</v>
      </c>
      <c r="M1672" s="92">
        <v>88117</v>
      </c>
    </row>
    <row r="1673" spans="1:40" s="93" customFormat="1" x14ac:dyDescent="0.25">
      <c r="B1673" s="86">
        <v>46217</v>
      </c>
      <c r="C1673" s="87" t="s">
        <v>6190</v>
      </c>
      <c r="D1673" s="88" t="s">
        <v>9345</v>
      </c>
      <c r="E1673" s="121" t="s">
        <v>6764</v>
      </c>
      <c r="F1673" s="121" t="s">
        <v>6116</v>
      </c>
      <c r="G1673" s="88" t="s">
        <v>6443</v>
      </c>
      <c r="H1673" s="88" t="s">
        <v>8574</v>
      </c>
      <c r="I1673" s="89">
        <v>9072</v>
      </c>
      <c r="J1673" s="90">
        <f>SUMIF(Cargas!$C$5:$C$3470,C1673,Cargas!$O$5:$O$3470)</f>
        <v>9072</v>
      </c>
      <c r="K1673" s="91">
        <f t="shared" ref="K1673:K1704" si="33">IF(ABS(I1673-J1673)&lt;20,0,I1673-J1673)</f>
        <v>0</v>
      </c>
      <c r="L1673" s="122" t="s">
        <v>9346</v>
      </c>
      <c r="M1673" s="92">
        <v>139332</v>
      </c>
    </row>
    <row r="1674" spans="1:40" s="93" customFormat="1" x14ac:dyDescent="0.25">
      <c r="B1674" s="86">
        <v>46217</v>
      </c>
      <c r="C1674" s="87" t="s">
        <v>6192</v>
      </c>
      <c r="D1674" s="88" t="s">
        <v>9347</v>
      </c>
      <c r="E1674" s="121" t="s">
        <v>6764</v>
      </c>
      <c r="F1674" s="121" t="s">
        <v>6116</v>
      </c>
      <c r="G1674" s="88" t="s">
        <v>6443</v>
      </c>
      <c r="H1674" s="88" t="s">
        <v>6963</v>
      </c>
      <c r="I1674" s="89">
        <v>4032</v>
      </c>
      <c r="J1674" s="90">
        <f>SUMIF(Cargas!$C$5:$C$3470,C1674,Cargas!$O$5:$O$3470)</f>
        <v>4032</v>
      </c>
      <c r="K1674" s="91">
        <f t="shared" si="33"/>
        <v>0</v>
      </c>
      <c r="L1674" s="122" t="s">
        <v>9348</v>
      </c>
      <c r="M1674" s="92">
        <v>139316</v>
      </c>
    </row>
    <row r="1675" spans="1:40" s="93" customFormat="1" x14ac:dyDescent="0.25">
      <c r="B1675" s="86">
        <v>46217</v>
      </c>
      <c r="C1675" s="87" t="s">
        <v>6205</v>
      </c>
      <c r="D1675" s="88" t="s">
        <v>9349</v>
      </c>
      <c r="E1675" s="121" t="s">
        <v>6764</v>
      </c>
      <c r="F1675" s="121" t="s">
        <v>6116</v>
      </c>
      <c r="G1675" s="88" t="s">
        <v>6443</v>
      </c>
      <c r="H1675" s="88" t="s">
        <v>7061</v>
      </c>
      <c r="I1675" s="89">
        <v>5040</v>
      </c>
      <c r="J1675" s="90">
        <f>SUMIF(Cargas!$C$5:$C$3470,C1675,Cargas!$O$5:$O$3470)</f>
        <v>5040</v>
      </c>
      <c r="K1675" s="91">
        <f t="shared" si="33"/>
        <v>0</v>
      </c>
      <c r="L1675" s="122" t="s">
        <v>9350</v>
      </c>
      <c r="M1675" s="92">
        <v>141345</v>
      </c>
    </row>
    <row r="1676" spans="1:40" s="93" customFormat="1" x14ac:dyDescent="0.25">
      <c r="A1676"/>
      <c r="B1676" s="80">
        <v>46218</v>
      </c>
      <c r="C1676" s="77" t="s">
        <v>6197</v>
      </c>
      <c r="D1676" s="78" t="s">
        <v>9351</v>
      </c>
      <c r="E1676" s="123" t="s">
        <v>8917</v>
      </c>
      <c r="F1676" s="121" t="s">
        <v>6116</v>
      </c>
      <c r="G1676" s="78" t="s">
        <v>6665</v>
      </c>
      <c r="H1676" s="78" t="s">
        <v>8928</v>
      </c>
      <c r="I1676" s="81">
        <v>2808</v>
      </c>
      <c r="J1676" s="82">
        <f>SUMIF(Cargas!$C$5:$C$3470,C1676,Cargas!$O$5:$O$3470)</f>
        <v>2808</v>
      </c>
      <c r="K1676" s="83">
        <f t="shared" si="33"/>
        <v>0</v>
      </c>
      <c r="L1676" s="124" t="s">
        <v>9352</v>
      </c>
      <c r="M1676" s="85">
        <v>141436</v>
      </c>
    </row>
    <row r="1677" spans="1:40" s="93" customFormat="1" x14ac:dyDescent="0.25">
      <c r="B1677" s="86">
        <v>46226</v>
      </c>
      <c r="C1677" s="87" t="s">
        <v>6235</v>
      </c>
      <c r="D1677" s="88" t="s">
        <v>9353</v>
      </c>
      <c r="E1677" s="121" t="s">
        <v>6764</v>
      </c>
      <c r="F1677" s="121" t="s">
        <v>6116</v>
      </c>
      <c r="G1677" s="88" t="s">
        <v>6443</v>
      </c>
      <c r="H1677" s="88" t="s">
        <v>8574</v>
      </c>
      <c r="I1677" s="89">
        <v>9072</v>
      </c>
      <c r="J1677" s="90">
        <f>SUMIF(Cargas!$C$5:$C$3470,C1677,Cargas!$O$5:$O$3470)</f>
        <v>9072</v>
      </c>
      <c r="K1677" s="91">
        <f t="shared" si="33"/>
        <v>0</v>
      </c>
      <c r="L1677" s="122" t="s">
        <v>9354</v>
      </c>
      <c r="M1677" s="92">
        <v>146260</v>
      </c>
    </row>
    <row r="1678" spans="1:40" s="93" customFormat="1" x14ac:dyDescent="0.25">
      <c r="B1678" s="86">
        <v>46240</v>
      </c>
      <c r="C1678" s="87" t="s">
        <v>6290</v>
      </c>
      <c r="D1678" s="88" t="s">
        <v>9355</v>
      </c>
      <c r="E1678" s="121" t="s">
        <v>6764</v>
      </c>
      <c r="F1678" s="121" t="s">
        <v>6116</v>
      </c>
      <c r="G1678" s="88" t="s">
        <v>6443</v>
      </c>
      <c r="H1678" s="88" t="s">
        <v>6963</v>
      </c>
      <c r="I1678" s="89">
        <v>3024</v>
      </c>
      <c r="J1678" s="90">
        <f>SUMIF(Cargas!$C$5:$C$3470,C1678,Cargas!$O$5:$O$3470)</f>
        <v>3024</v>
      </c>
      <c r="K1678" s="91">
        <f t="shared" si="33"/>
        <v>0</v>
      </c>
      <c r="L1678" s="122" t="s">
        <v>9356</v>
      </c>
      <c r="M1678" s="92">
        <v>156639</v>
      </c>
    </row>
    <row r="1679" spans="1:40" s="93" customFormat="1" x14ac:dyDescent="0.25">
      <c r="A1679"/>
      <c r="B1679" s="80">
        <v>46247</v>
      </c>
      <c r="C1679" s="77" t="s">
        <v>6321</v>
      </c>
      <c r="D1679" s="78" t="s">
        <v>9357</v>
      </c>
      <c r="E1679" s="123" t="s">
        <v>6764</v>
      </c>
      <c r="F1679" s="121" t="s">
        <v>6116</v>
      </c>
      <c r="G1679" s="78" t="s">
        <v>6443</v>
      </c>
      <c r="H1679" s="78" t="s">
        <v>6963</v>
      </c>
      <c r="I1679" s="81">
        <v>4032</v>
      </c>
      <c r="J1679" s="82">
        <f>SUMIF(Cargas!$C$5:$C$3470,C1679,Cargas!$O$5:$O$3470)</f>
        <v>4032</v>
      </c>
      <c r="K1679" s="83">
        <f t="shared" si="33"/>
        <v>0</v>
      </c>
      <c r="L1679" s="124" t="s">
        <v>9358</v>
      </c>
      <c r="M1679" s="85">
        <v>161657</v>
      </c>
    </row>
    <row r="1680" spans="1:40" s="103" customFormat="1" x14ac:dyDescent="0.25">
      <c r="B1680" s="95">
        <v>46247</v>
      </c>
      <c r="C1680" s="96" t="s">
        <v>6325</v>
      </c>
      <c r="D1680" s="97" t="s">
        <v>9359</v>
      </c>
      <c r="E1680" s="135" t="s">
        <v>6764</v>
      </c>
      <c r="F1680" s="135" t="s">
        <v>6116</v>
      </c>
      <c r="G1680" s="97" t="s">
        <v>6443</v>
      </c>
      <c r="H1680" s="97" t="s">
        <v>7061</v>
      </c>
      <c r="I1680" s="98">
        <v>4032</v>
      </c>
      <c r="J1680" s="99">
        <f>SUMIF(Cargas!$C$5:$C$3470,C1680,Cargas!$O$5:$O$3470)</f>
        <v>4033</v>
      </c>
      <c r="K1680" s="100">
        <f t="shared" si="33"/>
        <v>0</v>
      </c>
      <c r="L1680" s="136">
        <v>1566210</v>
      </c>
      <c r="M1680" s="102">
        <v>161642</v>
      </c>
    </row>
    <row r="1681" spans="1:13" s="103" customFormat="1" x14ac:dyDescent="0.25">
      <c r="B1681" s="95">
        <v>46247</v>
      </c>
      <c r="C1681" s="96" t="s">
        <v>6327</v>
      </c>
      <c r="D1681" s="97" t="s">
        <v>9360</v>
      </c>
      <c r="E1681" s="135" t="s">
        <v>6764</v>
      </c>
      <c r="F1681" s="135" t="s">
        <v>6116</v>
      </c>
      <c r="G1681" s="97" t="s">
        <v>6443</v>
      </c>
      <c r="H1681" s="97" t="s">
        <v>8574</v>
      </c>
      <c r="I1681" s="98">
        <v>9072</v>
      </c>
      <c r="J1681" s="99">
        <f>SUMIF(Cargas!$C$5:$C$3470,C1681,Cargas!$O$5:$O$3470)</f>
        <v>9072</v>
      </c>
      <c r="K1681" s="100">
        <f t="shared" si="33"/>
        <v>0</v>
      </c>
      <c r="L1681" s="136">
        <v>1566326</v>
      </c>
      <c r="M1681" s="102">
        <v>161612</v>
      </c>
    </row>
    <row r="1682" spans="1:13" s="93" customFormat="1" x14ac:dyDescent="0.25">
      <c r="A1682"/>
      <c r="B1682" s="80">
        <v>46252</v>
      </c>
      <c r="C1682" s="77" t="s">
        <v>6349</v>
      </c>
      <c r="D1682" s="78" t="s">
        <v>9361</v>
      </c>
      <c r="E1682" s="123" t="s">
        <v>8917</v>
      </c>
      <c r="F1682" s="121" t="s">
        <v>6116</v>
      </c>
      <c r="G1682" s="78" t="s">
        <v>6665</v>
      </c>
      <c r="H1682" s="78" t="s">
        <v>8928</v>
      </c>
      <c r="I1682" s="81">
        <v>1872</v>
      </c>
      <c r="J1682" s="82">
        <f>SUMIF(Cargas!$C$5:$C$3470,C1682,Cargas!$O$5:$O$3470)</f>
        <v>1872</v>
      </c>
      <c r="K1682" s="83">
        <f t="shared" si="33"/>
        <v>0</v>
      </c>
      <c r="L1682" s="124">
        <v>1566590</v>
      </c>
      <c r="M1682" s="85">
        <v>164899</v>
      </c>
    </row>
    <row r="1683" spans="1:13" s="93" customFormat="1" hidden="1" x14ac:dyDescent="0.25">
      <c r="B1683" s="86">
        <v>46147</v>
      </c>
      <c r="C1683" s="87" t="s">
        <v>5897</v>
      </c>
      <c r="D1683" s="88" t="s">
        <v>9362</v>
      </c>
      <c r="E1683" s="121" t="s">
        <v>9311</v>
      </c>
      <c r="F1683" s="121" t="s">
        <v>5813</v>
      </c>
      <c r="G1683" s="88" t="s">
        <v>6665</v>
      </c>
      <c r="H1683" s="88" t="s">
        <v>8660</v>
      </c>
      <c r="I1683" s="89">
        <v>2304</v>
      </c>
      <c r="J1683" s="90">
        <f>SUMIF(Cargas!$C$5:$C$3470,C1683,Cargas!$O$5:$O$3470)</f>
        <v>2304</v>
      </c>
      <c r="K1683" s="91">
        <f t="shared" si="33"/>
        <v>0</v>
      </c>
      <c r="L1683" s="122">
        <v>1557028</v>
      </c>
      <c r="M1683" s="92">
        <v>89361</v>
      </c>
    </row>
    <row r="1684" spans="1:13" s="93" customFormat="1" hidden="1" x14ac:dyDescent="0.25">
      <c r="B1684" s="86">
        <v>46153</v>
      </c>
      <c r="C1684" s="87" t="s">
        <v>5919</v>
      </c>
      <c r="D1684" s="88" t="s">
        <v>9363</v>
      </c>
      <c r="E1684" s="121" t="s">
        <v>9213</v>
      </c>
      <c r="F1684" s="121" t="s">
        <v>1168</v>
      </c>
      <c r="G1684" s="88" t="s">
        <v>6665</v>
      </c>
      <c r="H1684" s="88" t="s">
        <v>9226</v>
      </c>
      <c r="I1684" s="89">
        <v>1252</v>
      </c>
      <c r="J1684" s="90">
        <f>SUMIF(Cargas!$C$5:$C$3470,C1684,Cargas!$O$5:$O$3470)</f>
        <v>1251</v>
      </c>
      <c r="K1684" s="91">
        <f t="shared" si="33"/>
        <v>0</v>
      </c>
      <c r="L1684" s="122"/>
      <c r="M1684" s="92">
        <v>94037</v>
      </c>
    </row>
    <row r="1685" spans="1:13" s="93" customFormat="1" hidden="1" x14ac:dyDescent="0.25">
      <c r="B1685" s="86">
        <v>46153</v>
      </c>
      <c r="C1685" s="87" t="s">
        <v>5927</v>
      </c>
      <c r="D1685" s="88" t="s">
        <v>9364</v>
      </c>
      <c r="E1685" s="121" t="s">
        <v>9311</v>
      </c>
      <c r="F1685" s="121" t="s">
        <v>5813</v>
      </c>
      <c r="G1685" s="88" t="s">
        <v>6665</v>
      </c>
      <c r="H1685" s="88" t="s">
        <v>8660</v>
      </c>
      <c r="I1685" s="89">
        <v>2304</v>
      </c>
      <c r="J1685" s="90">
        <f>SUMIF(Cargas!$C$5:$C$3470,C1685,Cargas!$O$5:$O$3470)</f>
        <v>2304</v>
      </c>
      <c r="K1685" s="91">
        <f t="shared" si="33"/>
        <v>0</v>
      </c>
      <c r="L1685" s="122"/>
      <c r="M1685" s="92">
        <v>95044</v>
      </c>
    </row>
    <row r="1686" spans="1:13" s="93" customFormat="1" hidden="1" x14ac:dyDescent="0.25">
      <c r="B1686" s="86">
        <v>46160</v>
      </c>
      <c r="C1686" s="87" t="s">
        <v>5945</v>
      </c>
      <c r="D1686" s="88" t="s">
        <v>9365</v>
      </c>
      <c r="E1686" s="121" t="s">
        <v>6764</v>
      </c>
      <c r="F1686" s="121" t="s">
        <v>1273</v>
      </c>
      <c r="G1686" s="88" t="s">
        <v>6443</v>
      </c>
      <c r="H1686" s="88" t="s">
        <v>6862</v>
      </c>
      <c r="I1686" s="89">
        <v>20960</v>
      </c>
      <c r="J1686" s="90">
        <f>SUMIF(Cargas!$C$5:$C$3470,C1686,Cargas!$O$5:$O$3470)</f>
        <v>20960</v>
      </c>
      <c r="K1686" s="91">
        <f t="shared" si="33"/>
        <v>0</v>
      </c>
      <c r="L1686" s="122">
        <v>1558512</v>
      </c>
      <c r="M1686" s="92">
        <v>97276</v>
      </c>
    </row>
    <row r="1687" spans="1:13" s="93" customFormat="1" x14ac:dyDescent="0.25">
      <c r="A1687"/>
      <c r="B1687" s="80">
        <v>46261</v>
      </c>
      <c r="C1687" s="77" t="s">
        <v>6382</v>
      </c>
      <c r="D1687" s="78" t="s">
        <v>9366</v>
      </c>
      <c r="E1687" s="123" t="s">
        <v>6764</v>
      </c>
      <c r="F1687" s="121" t="s">
        <v>6116</v>
      </c>
      <c r="G1687" s="78" t="s">
        <v>6443</v>
      </c>
      <c r="H1687" s="78" t="s">
        <v>8574</v>
      </c>
      <c r="I1687" s="81">
        <v>9072</v>
      </c>
      <c r="J1687" s="82">
        <f>SUMIF(Cargas!$C$5:$C$3470,C1687,Cargas!$O$5:$O$3470)</f>
        <v>9072</v>
      </c>
      <c r="K1687" s="83">
        <f t="shared" si="33"/>
        <v>0</v>
      </c>
      <c r="L1687" s="124">
        <v>1567628</v>
      </c>
      <c r="M1687" s="85">
        <v>170975</v>
      </c>
    </row>
    <row r="1688" spans="1:13" s="93" customFormat="1" hidden="1" x14ac:dyDescent="0.25">
      <c r="B1688" s="86">
        <v>46168</v>
      </c>
      <c r="C1688" s="87" t="s">
        <v>5965</v>
      </c>
      <c r="D1688" s="88" t="s">
        <v>9367</v>
      </c>
      <c r="E1688" s="121" t="s">
        <v>9213</v>
      </c>
      <c r="F1688" s="121" t="s">
        <v>1168</v>
      </c>
      <c r="G1688" s="88" t="s">
        <v>6665</v>
      </c>
      <c r="H1688" s="88" t="s">
        <v>9226</v>
      </c>
      <c r="I1688" s="89">
        <v>1368</v>
      </c>
      <c r="J1688" s="90">
        <f>SUMIF(Cargas!$C$5:$C$3470,C1688,Cargas!$O$5:$O$3470)</f>
        <v>1368</v>
      </c>
      <c r="K1688" s="91">
        <f t="shared" si="33"/>
        <v>0</v>
      </c>
      <c r="L1688" s="122" t="s">
        <v>9368</v>
      </c>
      <c r="M1688" s="92">
        <v>104938</v>
      </c>
    </row>
    <row r="1689" spans="1:13" s="93" customFormat="1" hidden="1" x14ac:dyDescent="0.25">
      <c r="B1689" s="86">
        <v>46168</v>
      </c>
      <c r="C1689" s="87" t="s">
        <v>5970</v>
      </c>
      <c r="D1689" s="88" t="s">
        <v>9369</v>
      </c>
      <c r="E1689" s="121" t="s">
        <v>9311</v>
      </c>
      <c r="F1689" s="121" t="s">
        <v>5813</v>
      </c>
      <c r="G1689" s="88" t="s">
        <v>6665</v>
      </c>
      <c r="H1689" s="88" t="s">
        <v>8660</v>
      </c>
      <c r="I1689" s="89">
        <v>2304</v>
      </c>
      <c r="J1689" s="90">
        <f>SUMIF(Cargas!$C$5:$C$3470,C1689,Cargas!$O$5:$O$3470)</f>
        <v>2304</v>
      </c>
      <c r="K1689" s="91">
        <f t="shared" si="33"/>
        <v>0</v>
      </c>
      <c r="L1689" s="122"/>
      <c r="M1689" s="92">
        <v>106102</v>
      </c>
    </row>
    <row r="1690" spans="1:13" s="93" customFormat="1" hidden="1" x14ac:dyDescent="0.25">
      <c r="B1690" s="86">
        <v>46171</v>
      </c>
      <c r="C1690" s="87" t="s">
        <v>5979</v>
      </c>
      <c r="D1690" s="88" t="s">
        <v>9370</v>
      </c>
      <c r="E1690" s="121" t="s">
        <v>6764</v>
      </c>
      <c r="F1690" s="121" t="s">
        <v>6273</v>
      </c>
      <c r="G1690" s="88" t="s">
        <v>6443</v>
      </c>
      <c r="H1690" s="88" t="s">
        <v>8660</v>
      </c>
      <c r="I1690" s="89">
        <v>936</v>
      </c>
      <c r="J1690" s="90">
        <f>SUMIF(Cargas!$C$5:$C$3470,C1690,Cargas!$O$5:$O$3470)</f>
        <v>936</v>
      </c>
      <c r="K1690" s="91">
        <f t="shared" si="33"/>
        <v>0</v>
      </c>
      <c r="L1690" s="122" t="s">
        <v>9371</v>
      </c>
      <c r="M1690" s="92">
        <v>107354</v>
      </c>
    </row>
    <row r="1691" spans="1:13" s="93" customFormat="1" ht="26.25" hidden="1" x14ac:dyDescent="0.25">
      <c r="B1691" s="86">
        <v>46171</v>
      </c>
      <c r="C1691" s="87" t="s">
        <v>5985</v>
      </c>
      <c r="D1691" s="88" t="s">
        <v>9372</v>
      </c>
      <c r="E1691" s="121" t="s">
        <v>6764</v>
      </c>
      <c r="F1691" s="121" t="s">
        <v>9336</v>
      </c>
      <c r="G1691" s="88" t="s">
        <v>6443</v>
      </c>
      <c r="H1691" s="88" t="s">
        <v>8660</v>
      </c>
      <c r="I1691" s="89">
        <v>1786</v>
      </c>
      <c r="J1691" s="90">
        <f>SUMIF(Cargas!$C$5:$C$3470,C1691,Cargas!$O$5:$O$3470)</f>
        <v>1786</v>
      </c>
      <c r="K1691" s="91">
        <f t="shared" si="33"/>
        <v>0</v>
      </c>
      <c r="L1691" s="122" t="s">
        <v>9373</v>
      </c>
      <c r="M1691" s="92">
        <v>108297</v>
      </c>
    </row>
    <row r="1692" spans="1:13" s="93" customFormat="1" hidden="1" x14ac:dyDescent="0.25">
      <c r="B1692" s="86">
        <v>46170</v>
      </c>
      <c r="C1692" s="87" t="s">
        <v>5994</v>
      </c>
      <c r="D1692" s="88" t="s">
        <v>9374</v>
      </c>
      <c r="E1692" s="121" t="s">
        <v>9375</v>
      </c>
      <c r="F1692" s="121" t="s">
        <v>616</v>
      </c>
      <c r="G1692" s="88" t="s">
        <v>6665</v>
      </c>
      <c r="H1692" s="88" t="s">
        <v>8660</v>
      </c>
      <c r="I1692" s="89">
        <v>1560</v>
      </c>
      <c r="J1692" s="90">
        <f>SUMIF(Cargas!$C$5:$C$3470,C1692,Cargas!$O$5:$O$3470)</f>
        <v>1560</v>
      </c>
      <c r="K1692" s="91">
        <f t="shared" si="33"/>
        <v>0</v>
      </c>
      <c r="L1692" s="122"/>
      <c r="M1692" s="92">
        <v>108320</v>
      </c>
    </row>
    <row r="1693" spans="1:13" s="93" customFormat="1" x14ac:dyDescent="0.25">
      <c r="A1693"/>
      <c r="B1693" s="80">
        <v>46261</v>
      </c>
      <c r="C1693" s="77" t="s">
        <v>6378</v>
      </c>
      <c r="D1693" s="78" t="s">
        <v>9376</v>
      </c>
      <c r="E1693" s="123" t="s">
        <v>6764</v>
      </c>
      <c r="F1693" s="121" t="s">
        <v>6116</v>
      </c>
      <c r="G1693" s="78" t="s">
        <v>6443</v>
      </c>
      <c r="H1693" s="78" t="s">
        <v>7061</v>
      </c>
      <c r="I1693" s="81">
        <v>4032</v>
      </c>
      <c r="J1693" s="82">
        <f>SUMIF(Cargas!$C$5:$C$3470,C1693,Cargas!$O$5:$O$3470)</f>
        <v>4032</v>
      </c>
      <c r="K1693" s="83">
        <f t="shared" si="33"/>
        <v>0</v>
      </c>
      <c r="L1693" s="124">
        <v>1567629</v>
      </c>
      <c r="M1693" s="85">
        <v>171032</v>
      </c>
    </row>
    <row r="1694" spans="1:13" s="93" customFormat="1" hidden="1" x14ac:dyDescent="0.25">
      <c r="B1694" s="86">
        <v>46198</v>
      </c>
      <c r="C1694" s="87" t="s">
        <v>6013</v>
      </c>
      <c r="D1694" s="88" t="s">
        <v>9377</v>
      </c>
      <c r="E1694" s="121" t="s">
        <v>6764</v>
      </c>
      <c r="F1694" s="121" t="s">
        <v>9343</v>
      </c>
      <c r="G1694" s="88" t="s">
        <v>6443</v>
      </c>
      <c r="H1694" s="88" t="s">
        <v>7061</v>
      </c>
      <c r="I1694" s="89">
        <v>2600</v>
      </c>
      <c r="J1694" s="90">
        <f>SUMIF(Cargas!$C$5:$C$3470,C1694,Cargas!$O$5:$O$3470)</f>
        <v>2600</v>
      </c>
      <c r="K1694" s="91">
        <f t="shared" si="33"/>
        <v>0</v>
      </c>
      <c r="L1694" s="122" t="s">
        <v>9344</v>
      </c>
      <c r="M1694" s="92">
        <v>112591</v>
      </c>
    </row>
    <row r="1695" spans="1:13" s="93" customFormat="1" hidden="1" x14ac:dyDescent="0.25">
      <c r="B1695" s="86">
        <v>46178</v>
      </c>
      <c r="C1695" s="87" t="s">
        <v>6016</v>
      </c>
      <c r="D1695" s="88" t="s">
        <v>9378</v>
      </c>
      <c r="E1695" s="121" t="s">
        <v>9311</v>
      </c>
      <c r="F1695" s="121" t="s">
        <v>5813</v>
      </c>
      <c r="G1695" s="88" t="s">
        <v>6665</v>
      </c>
      <c r="H1695" s="88" t="s">
        <v>8660</v>
      </c>
      <c r="I1695" s="89">
        <v>2304</v>
      </c>
      <c r="J1695" s="90">
        <f>SUMIF(Cargas!$C$5:$C$3470,C1695,Cargas!$O$5:$O$3470)</f>
        <v>2304</v>
      </c>
      <c r="K1695" s="91">
        <f t="shared" si="33"/>
        <v>0</v>
      </c>
      <c r="L1695" s="122"/>
      <c r="M1695" s="92">
        <v>113410</v>
      </c>
    </row>
    <row r="1696" spans="1:13" s="93" customFormat="1" hidden="1" x14ac:dyDescent="0.25">
      <c r="B1696" s="86">
        <v>46178</v>
      </c>
      <c r="C1696" s="87" t="s">
        <v>6022</v>
      </c>
      <c r="D1696" s="88" t="s">
        <v>9379</v>
      </c>
      <c r="E1696" s="121" t="s">
        <v>6764</v>
      </c>
      <c r="F1696" s="121" t="s">
        <v>6273</v>
      </c>
      <c r="G1696" s="88" t="s">
        <v>6443</v>
      </c>
      <c r="H1696" s="88" t="s">
        <v>8660</v>
      </c>
      <c r="I1696" s="89">
        <v>936</v>
      </c>
      <c r="J1696" s="90">
        <f>SUMIF(Cargas!$C$5:$C$3470,C1696,Cargas!$O$5:$O$3470)</f>
        <v>936</v>
      </c>
      <c r="K1696" s="91">
        <f t="shared" si="33"/>
        <v>0</v>
      </c>
      <c r="L1696" s="122" t="s">
        <v>9380</v>
      </c>
      <c r="M1696" s="92">
        <v>113326</v>
      </c>
    </row>
    <row r="1697" spans="1:13" s="93" customFormat="1" hidden="1" x14ac:dyDescent="0.25">
      <c r="B1697" s="86">
        <v>46182</v>
      </c>
      <c r="C1697" s="87" t="s">
        <v>6042</v>
      </c>
      <c r="D1697" s="88" t="s">
        <v>9381</v>
      </c>
      <c r="E1697" s="121" t="s">
        <v>6764</v>
      </c>
      <c r="F1697" s="121" t="s">
        <v>1273</v>
      </c>
      <c r="G1697" s="88" t="s">
        <v>6443</v>
      </c>
      <c r="H1697" s="88" t="s">
        <v>6862</v>
      </c>
      <c r="I1697" s="89">
        <v>20780</v>
      </c>
      <c r="J1697" s="90">
        <f>SUMIF(Cargas!$C$5:$C$3470,C1697,Cargas!$O$5:$O$3470)</f>
        <v>20780</v>
      </c>
      <c r="K1697" s="91">
        <f t="shared" si="33"/>
        <v>0</v>
      </c>
      <c r="L1697" s="122">
        <v>1560338</v>
      </c>
      <c r="M1697" s="92">
        <v>117237</v>
      </c>
    </row>
    <row r="1698" spans="1:13" s="93" customFormat="1" hidden="1" x14ac:dyDescent="0.25">
      <c r="B1698" s="86">
        <v>46185</v>
      </c>
      <c r="C1698" s="87" t="s">
        <v>6053</v>
      </c>
      <c r="D1698" s="88" t="s">
        <v>9382</v>
      </c>
      <c r="E1698" s="121" t="s">
        <v>6764</v>
      </c>
      <c r="F1698" s="121" t="s">
        <v>6273</v>
      </c>
      <c r="G1698" s="88" t="s">
        <v>6443</v>
      </c>
      <c r="H1698" s="88" t="s">
        <v>8660</v>
      </c>
      <c r="I1698" s="89">
        <v>720</v>
      </c>
      <c r="J1698" s="90">
        <f>SUMIF(Cargas!$C$5:$C$3470,C1698,Cargas!$O$5:$O$3470)</f>
        <v>720</v>
      </c>
      <c r="K1698" s="91">
        <f t="shared" si="33"/>
        <v>0</v>
      </c>
      <c r="L1698" s="122" t="s">
        <v>9383</v>
      </c>
      <c r="M1698" s="92">
        <v>117281</v>
      </c>
    </row>
    <row r="1699" spans="1:13" s="93" customFormat="1" ht="26.25" hidden="1" x14ac:dyDescent="0.25">
      <c r="B1699" s="86">
        <v>46185</v>
      </c>
      <c r="C1699" s="87" t="s">
        <v>6056</v>
      </c>
      <c r="D1699" s="88" t="s">
        <v>9384</v>
      </c>
      <c r="E1699" s="121" t="s">
        <v>9213</v>
      </c>
      <c r="F1699" s="121" t="s">
        <v>1168</v>
      </c>
      <c r="G1699" s="88" t="s">
        <v>6665</v>
      </c>
      <c r="H1699" s="88" t="s">
        <v>9226</v>
      </c>
      <c r="I1699" s="89">
        <v>1096</v>
      </c>
      <c r="J1699" s="90">
        <f>SUMIF(Cargas!$C$5:$C$3470,C1699,Cargas!$O$5:$O$3470)</f>
        <v>1096</v>
      </c>
      <c r="K1699" s="91">
        <f t="shared" si="33"/>
        <v>0</v>
      </c>
      <c r="L1699" s="122" t="s">
        <v>9385</v>
      </c>
      <c r="M1699" s="92">
        <v>117531</v>
      </c>
    </row>
    <row r="1700" spans="1:13" s="93" customFormat="1" hidden="1" x14ac:dyDescent="0.25">
      <c r="B1700" s="86">
        <v>46190</v>
      </c>
      <c r="C1700" s="87" t="s">
        <v>6066</v>
      </c>
      <c r="D1700" s="88" t="s">
        <v>9386</v>
      </c>
      <c r="E1700" s="121" t="s">
        <v>6764</v>
      </c>
      <c r="F1700" s="121" t="s">
        <v>4081</v>
      </c>
      <c r="G1700" s="88" t="s">
        <v>6443</v>
      </c>
      <c r="H1700" s="88" t="s">
        <v>8660</v>
      </c>
      <c r="I1700" s="89">
        <v>648</v>
      </c>
      <c r="J1700" s="90">
        <f>SUMIF(Cargas!$C$5:$C$3470,C1700,Cargas!$O$5:$O$3470)</f>
        <v>648</v>
      </c>
      <c r="K1700" s="91">
        <f t="shared" si="33"/>
        <v>0</v>
      </c>
      <c r="L1700" s="122">
        <v>1560822</v>
      </c>
      <c r="M1700" s="92">
        <v>120424</v>
      </c>
    </row>
    <row r="1701" spans="1:13" s="93" customFormat="1" hidden="1" x14ac:dyDescent="0.25">
      <c r="B1701" s="86">
        <v>46195</v>
      </c>
      <c r="C1701" s="87" t="s">
        <v>6088</v>
      </c>
      <c r="D1701" s="88" t="s">
        <v>9387</v>
      </c>
      <c r="E1701" s="121" t="s">
        <v>6764</v>
      </c>
      <c r="F1701" s="121" t="s">
        <v>4081</v>
      </c>
      <c r="G1701" s="88" t="s">
        <v>6443</v>
      </c>
      <c r="H1701" s="88" t="s">
        <v>8660</v>
      </c>
      <c r="I1701" s="89">
        <v>936</v>
      </c>
      <c r="J1701" s="90">
        <f>SUMIF(Cargas!$C$5:$C$3470,C1701,Cargas!$O$5:$O$3470)</f>
        <v>936</v>
      </c>
      <c r="K1701" s="91">
        <f t="shared" si="33"/>
        <v>0</v>
      </c>
      <c r="L1701" s="122">
        <v>1561237</v>
      </c>
      <c r="M1701" s="92">
        <v>123835</v>
      </c>
    </row>
    <row r="1702" spans="1:13" s="93" customFormat="1" hidden="1" x14ac:dyDescent="0.25">
      <c r="B1702" s="86">
        <v>46203</v>
      </c>
      <c r="C1702" s="87" t="s">
        <v>6127</v>
      </c>
      <c r="D1702" s="88" t="s">
        <v>9388</v>
      </c>
      <c r="E1702" s="121" t="s">
        <v>9311</v>
      </c>
      <c r="F1702" s="121" t="s">
        <v>5813</v>
      </c>
      <c r="G1702" s="88" t="s">
        <v>6665</v>
      </c>
      <c r="H1702" s="88" t="s">
        <v>8660</v>
      </c>
      <c r="I1702" s="89">
        <f>2112+176</f>
        <v>2288</v>
      </c>
      <c r="J1702" s="90">
        <f>SUMIF(Cargas!$C$5:$C$3470,C1702,Cargas!$O$5:$O$3470)</f>
        <v>2288</v>
      </c>
      <c r="K1702" s="91">
        <f t="shared" si="33"/>
        <v>0</v>
      </c>
      <c r="L1702" s="122">
        <v>1560758</v>
      </c>
      <c r="M1702" s="92">
        <v>130101</v>
      </c>
    </row>
    <row r="1703" spans="1:13" s="103" customFormat="1" x14ac:dyDescent="0.25">
      <c r="A1703" s="93"/>
      <c r="B1703" s="80">
        <v>46266</v>
      </c>
      <c r="C1703" s="77" t="s">
        <v>6404</v>
      </c>
      <c r="D1703" s="78" t="s">
        <v>9389</v>
      </c>
      <c r="E1703" s="123" t="s">
        <v>8917</v>
      </c>
      <c r="F1703" s="123" t="s">
        <v>6363</v>
      </c>
      <c r="G1703" s="78" t="s">
        <v>6665</v>
      </c>
      <c r="H1703" s="78" t="s">
        <v>8928</v>
      </c>
      <c r="I1703" s="81">
        <v>2808</v>
      </c>
      <c r="J1703" s="82">
        <f>SUMIF(Cargas!$C$5:$C$3470,C1703,Cargas!$O$5:$O$3470)</f>
        <v>2808</v>
      </c>
      <c r="K1703" s="83">
        <f t="shared" si="33"/>
        <v>0</v>
      </c>
      <c r="L1703" s="124" t="s">
        <v>9390</v>
      </c>
      <c r="M1703" s="85">
        <v>174327</v>
      </c>
    </row>
    <row r="1704" spans="1:13" s="103" customFormat="1" x14ac:dyDescent="0.25">
      <c r="A1704" s="93"/>
      <c r="B1704" s="80">
        <v>46268</v>
      </c>
      <c r="C1704" s="77" t="s">
        <v>6417</v>
      </c>
      <c r="D1704" s="78" t="s">
        <v>9391</v>
      </c>
      <c r="E1704" s="123" t="s">
        <v>6764</v>
      </c>
      <c r="F1704" s="123" t="s">
        <v>6363</v>
      </c>
      <c r="G1704" s="78" t="s">
        <v>6443</v>
      </c>
      <c r="H1704" s="78" t="s">
        <v>6963</v>
      </c>
      <c r="I1704" s="81">
        <v>4032</v>
      </c>
      <c r="J1704" s="82">
        <f>SUMIF(Cargas!$C$5:$C$3470,C1704,Cargas!$O$5:$O$3470)</f>
        <v>4968</v>
      </c>
      <c r="K1704" s="83">
        <f t="shared" si="33"/>
        <v>-936</v>
      </c>
      <c r="L1704" s="124" t="s">
        <v>9392</v>
      </c>
      <c r="M1704" s="85">
        <v>177516</v>
      </c>
    </row>
    <row r="1705" spans="1:13" s="93" customFormat="1" x14ac:dyDescent="0.25">
      <c r="A1705" s="103"/>
      <c r="B1705" s="95">
        <v>46205</v>
      </c>
      <c r="C1705" s="96" t="s">
        <v>6132</v>
      </c>
      <c r="D1705" s="97" t="s">
        <v>9393</v>
      </c>
      <c r="E1705" s="135" t="s">
        <v>9213</v>
      </c>
      <c r="F1705" s="135" t="s">
        <v>1168</v>
      </c>
      <c r="G1705" s="97" t="s">
        <v>6665</v>
      </c>
      <c r="H1705" s="97" t="s">
        <v>9226</v>
      </c>
      <c r="I1705" s="98">
        <v>1334</v>
      </c>
      <c r="J1705" s="99">
        <f>SUMIF(Cargas!$C$5:$C$3470,C1705,Cargas!$O$5:$O$3470)</f>
        <v>1334</v>
      </c>
      <c r="K1705" s="100">
        <f t="shared" ref="K1705:K1736" si="34">IF(ABS(I1705-J1705)&lt;20,0,I1705-J1705)</f>
        <v>0</v>
      </c>
      <c r="L1705" s="136" t="s">
        <v>9394</v>
      </c>
      <c r="M1705" s="102">
        <v>132696</v>
      </c>
    </row>
    <row r="1706" spans="1:13" s="93" customFormat="1" x14ac:dyDescent="0.25">
      <c r="B1706" s="86">
        <v>46205</v>
      </c>
      <c r="C1706" s="87" t="s">
        <v>6149</v>
      </c>
      <c r="D1706" s="88" t="s">
        <v>9395</v>
      </c>
      <c r="E1706" s="121" t="s">
        <v>9213</v>
      </c>
      <c r="F1706" s="121" t="s">
        <v>2042</v>
      </c>
      <c r="G1706" s="88" t="s">
        <v>6665</v>
      </c>
      <c r="H1706" s="88" t="s">
        <v>9226</v>
      </c>
      <c r="I1706" s="89">
        <v>1400</v>
      </c>
      <c r="J1706" s="90">
        <f>SUMIF(Cargas!$C$5:$C$3470,C1706,Cargas!$O$5:$O$3470)</f>
        <v>1400</v>
      </c>
      <c r="K1706" s="91">
        <f t="shared" si="34"/>
        <v>0</v>
      </c>
      <c r="L1706" s="122">
        <v>1561553</v>
      </c>
      <c r="M1706" s="92">
        <v>133630</v>
      </c>
    </row>
    <row r="1707" spans="1:13" s="103" customFormat="1" x14ac:dyDescent="0.25">
      <c r="A1707" s="93"/>
      <c r="B1707" s="86">
        <v>46206</v>
      </c>
      <c r="C1707" s="87" t="s">
        <v>6134</v>
      </c>
      <c r="D1707" s="88" t="s">
        <v>9396</v>
      </c>
      <c r="E1707" s="121" t="s">
        <v>6764</v>
      </c>
      <c r="F1707" s="121" t="s">
        <v>4081</v>
      </c>
      <c r="G1707" s="88" t="s">
        <v>6443</v>
      </c>
      <c r="H1707" s="88" t="s">
        <v>8660</v>
      </c>
      <c r="I1707" s="89">
        <v>936</v>
      </c>
      <c r="J1707" s="90">
        <f>SUMIF(Cargas!$C$5:$C$3470,C1707,Cargas!$O$5:$O$3470)</f>
        <v>936</v>
      </c>
      <c r="K1707" s="91">
        <f t="shared" si="34"/>
        <v>0</v>
      </c>
      <c r="L1707" s="122" t="s">
        <v>9397</v>
      </c>
      <c r="M1707" s="92">
        <v>132703</v>
      </c>
    </row>
    <row r="1708" spans="1:13" s="93" customFormat="1" x14ac:dyDescent="0.25">
      <c r="A1708" s="103"/>
      <c r="B1708" s="95">
        <v>46210</v>
      </c>
      <c r="C1708" s="96" t="s">
        <v>6161</v>
      </c>
      <c r="D1708" s="97" t="s">
        <v>9398</v>
      </c>
      <c r="E1708" s="135" t="s">
        <v>9311</v>
      </c>
      <c r="F1708" s="135" t="s">
        <v>5813</v>
      </c>
      <c r="G1708" s="97" t="s">
        <v>6665</v>
      </c>
      <c r="H1708" s="97" t="s">
        <v>8660</v>
      </c>
      <c r="I1708" s="98">
        <f>2016+264</f>
        <v>2280</v>
      </c>
      <c r="J1708" s="99">
        <f>SUMIF(Cargas!$C$5:$C$3470,C1708,Cargas!$O$5:$O$3470)</f>
        <v>2280</v>
      </c>
      <c r="K1708" s="100">
        <f t="shared" si="34"/>
        <v>0</v>
      </c>
      <c r="L1708" s="136">
        <v>1562068</v>
      </c>
      <c r="M1708" s="102">
        <v>134648</v>
      </c>
    </row>
    <row r="1709" spans="1:13" s="93" customFormat="1" x14ac:dyDescent="0.25">
      <c r="B1709" s="86">
        <v>46206</v>
      </c>
      <c r="C1709" s="87" t="s">
        <v>6152</v>
      </c>
      <c r="D1709" s="88" t="s">
        <v>9399</v>
      </c>
      <c r="E1709" s="121" t="s">
        <v>9213</v>
      </c>
      <c r="F1709" s="121" t="s">
        <v>1168</v>
      </c>
      <c r="G1709" s="88" t="s">
        <v>6665</v>
      </c>
      <c r="H1709" s="88" t="s">
        <v>9226</v>
      </c>
      <c r="I1709" s="89">
        <f>50+216+520+2592</f>
        <v>3378</v>
      </c>
      <c r="J1709" s="90">
        <f>SUMIF(Cargas!$C$5:$C$3470,C1709,Cargas!$O$5:$O$3470)</f>
        <v>3378</v>
      </c>
      <c r="K1709" s="91">
        <f t="shared" si="34"/>
        <v>0</v>
      </c>
      <c r="L1709" s="122" t="s">
        <v>9400</v>
      </c>
      <c r="M1709" s="92">
        <v>134702</v>
      </c>
    </row>
    <row r="1710" spans="1:13" s="93" customFormat="1" hidden="1" x14ac:dyDescent="0.25">
      <c r="A1710"/>
      <c r="B1710" s="80">
        <v>46028</v>
      </c>
      <c r="C1710" s="77" t="s">
        <v>5416</v>
      </c>
      <c r="D1710" s="78" t="s">
        <v>9401</v>
      </c>
      <c r="E1710" s="123" t="s">
        <v>8600</v>
      </c>
      <c r="F1710" s="123"/>
      <c r="G1710" s="78" t="s">
        <v>7569</v>
      </c>
      <c r="H1710" s="78" t="s">
        <v>9402</v>
      </c>
      <c r="I1710" s="81">
        <v>1960</v>
      </c>
      <c r="J1710" s="82">
        <f>SUMIF(Cargas!$C$5:$C$3470,C1710,Cargas!$O$5:$O$3470)</f>
        <v>1960</v>
      </c>
      <c r="K1710" s="83">
        <f t="shared" si="34"/>
        <v>0</v>
      </c>
      <c r="L1710" s="124" t="s">
        <v>9403</v>
      </c>
      <c r="M1710" s="85">
        <v>5951</v>
      </c>
    </row>
    <row r="1711" spans="1:13" s="93" customFormat="1" hidden="1" x14ac:dyDescent="0.25">
      <c r="A1711"/>
      <c r="B1711" s="80">
        <v>46034</v>
      </c>
      <c r="C1711" s="77" t="s">
        <v>5423</v>
      </c>
      <c r="D1711" s="78" t="s">
        <v>9404</v>
      </c>
      <c r="E1711" s="123" t="s">
        <v>8600</v>
      </c>
      <c r="F1711" s="123"/>
      <c r="G1711" s="78" t="s">
        <v>7569</v>
      </c>
      <c r="H1711" s="78" t="s">
        <v>9402</v>
      </c>
      <c r="I1711" s="81">
        <v>1960</v>
      </c>
      <c r="J1711" s="82">
        <f>SUMIF(Cargas!$C$5:$C$3470,C1711,Cargas!$O$5:$O$3470)</f>
        <v>1960</v>
      </c>
      <c r="K1711" s="83">
        <f t="shared" si="34"/>
        <v>0</v>
      </c>
      <c r="L1711" s="124">
        <v>1547066</v>
      </c>
      <c r="M1711" s="85">
        <v>8290</v>
      </c>
    </row>
    <row r="1712" spans="1:13" s="93" customFormat="1" hidden="1" x14ac:dyDescent="0.25">
      <c r="A1712"/>
      <c r="B1712" s="80">
        <v>46038</v>
      </c>
      <c r="C1712" s="77" t="s">
        <v>5443</v>
      </c>
      <c r="D1712" s="78" t="s">
        <v>9405</v>
      </c>
      <c r="E1712" s="123" t="s">
        <v>9406</v>
      </c>
      <c r="F1712" s="123"/>
      <c r="G1712" s="78" t="s">
        <v>7569</v>
      </c>
      <c r="H1712" s="78"/>
      <c r="I1712" s="81">
        <v>980</v>
      </c>
      <c r="J1712" s="82">
        <f>SUMIF(Cargas!$C$5:$C$3470,C1712,Cargas!$O$5:$O$3470)</f>
        <v>980</v>
      </c>
      <c r="K1712" s="83">
        <f t="shared" si="34"/>
        <v>0</v>
      </c>
      <c r="L1712" s="124">
        <v>1547705</v>
      </c>
      <c r="M1712" s="85">
        <v>12792</v>
      </c>
    </row>
    <row r="1713" spans="1:13" s="93" customFormat="1" hidden="1" x14ac:dyDescent="0.25">
      <c r="A1713"/>
      <c r="B1713" s="80">
        <v>46041</v>
      </c>
      <c r="C1713" s="77" t="s">
        <v>5451</v>
      </c>
      <c r="D1713" s="78" t="s">
        <v>9407</v>
      </c>
      <c r="E1713" s="123" t="s">
        <v>8600</v>
      </c>
      <c r="F1713" s="123"/>
      <c r="G1713" s="78" t="s">
        <v>7569</v>
      </c>
      <c r="H1713" s="78"/>
      <c r="I1713" s="81">
        <v>1960</v>
      </c>
      <c r="J1713" s="82">
        <f>SUMIF(Cargas!$C$5:$C$3470,C1713,Cargas!$O$5:$O$3470)</f>
        <v>1960</v>
      </c>
      <c r="K1713" s="83">
        <f t="shared" si="34"/>
        <v>0</v>
      </c>
      <c r="L1713" s="124">
        <v>1547734</v>
      </c>
      <c r="M1713" s="85">
        <v>13675</v>
      </c>
    </row>
    <row r="1714" spans="1:13" s="93" customFormat="1" hidden="1" x14ac:dyDescent="0.25">
      <c r="A1714"/>
      <c r="B1714" s="80">
        <v>46048</v>
      </c>
      <c r="C1714" s="77" t="s">
        <v>5474</v>
      </c>
      <c r="D1714" s="78" t="s">
        <v>9408</v>
      </c>
      <c r="E1714" s="123" t="s">
        <v>8600</v>
      </c>
      <c r="F1714" s="123"/>
      <c r="G1714" s="78" t="s">
        <v>7569</v>
      </c>
      <c r="H1714" s="78"/>
      <c r="I1714" s="81">
        <v>3920</v>
      </c>
      <c r="J1714" s="82">
        <f>SUMIF(Cargas!$C$5:$C$3470,C1714,Cargas!$O$5:$O$3470)</f>
        <v>3920</v>
      </c>
      <c r="K1714" s="83">
        <f t="shared" si="34"/>
        <v>0</v>
      </c>
      <c r="L1714" s="124">
        <v>1548828</v>
      </c>
      <c r="M1714" s="85">
        <v>18772</v>
      </c>
    </row>
    <row r="1715" spans="1:13" s="93" customFormat="1" ht="26.25" hidden="1" x14ac:dyDescent="0.25">
      <c r="A1715"/>
      <c r="B1715" s="80">
        <v>46045</v>
      </c>
      <c r="C1715" s="77" t="s">
        <v>5476</v>
      </c>
      <c r="D1715" s="78" t="s">
        <v>9409</v>
      </c>
      <c r="E1715" s="123" t="s">
        <v>8595</v>
      </c>
      <c r="F1715" s="123"/>
      <c r="G1715" s="78" t="s">
        <v>7569</v>
      </c>
      <c r="H1715" s="78" t="s">
        <v>9410</v>
      </c>
      <c r="I1715" s="81">
        <v>980</v>
      </c>
      <c r="J1715" s="82">
        <f>SUMIF(Cargas!$C$5:$C$3470,C1715,Cargas!$O$5:$O$3470)</f>
        <v>980</v>
      </c>
      <c r="K1715" s="83">
        <f t="shared" si="34"/>
        <v>0</v>
      </c>
      <c r="L1715" s="124">
        <v>1548298</v>
      </c>
      <c r="M1715" s="85">
        <v>18813</v>
      </c>
    </row>
    <row r="1716" spans="1:13" s="93" customFormat="1" ht="26.25" hidden="1" x14ac:dyDescent="0.25">
      <c r="A1716"/>
      <c r="B1716" s="80">
        <v>46055</v>
      </c>
      <c r="C1716" s="77" t="s">
        <v>5503</v>
      </c>
      <c r="D1716" s="78" t="s">
        <v>9411</v>
      </c>
      <c r="E1716" s="123" t="s">
        <v>8595</v>
      </c>
      <c r="F1716" s="123"/>
      <c r="G1716" s="78" t="s">
        <v>7569</v>
      </c>
      <c r="H1716" s="78" t="s">
        <v>9412</v>
      </c>
      <c r="I1716" s="81">
        <v>980</v>
      </c>
      <c r="J1716" s="82">
        <f>SUMIF(Cargas!$C$5:$C$3470,C1716,Cargas!$O$5:$O$3470)</f>
        <v>980</v>
      </c>
      <c r="K1716" s="83">
        <f t="shared" si="34"/>
        <v>0</v>
      </c>
      <c r="L1716" s="124" t="s">
        <v>9413</v>
      </c>
      <c r="M1716" s="85">
        <v>24264</v>
      </c>
    </row>
    <row r="1717" spans="1:13" s="93" customFormat="1" hidden="1" x14ac:dyDescent="0.25">
      <c r="A1717"/>
      <c r="B1717" s="80">
        <v>46055</v>
      </c>
      <c r="C1717" s="77" t="s">
        <v>5501</v>
      </c>
      <c r="D1717" s="78" t="s">
        <v>9414</v>
      </c>
      <c r="E1717" s="123" t="s">
        <v>8600</v>
      </c>
      <c r="F1717" s="123"/>
      <c r="G1717" s="78" t="s">
        <v>7569</v>
      </c>
      <c r="H1717" s="78" t="s">
        <v>9415</v>
      </c>
      <c r="I1717" s="81">
        <v>2940</v>
      </c>
      <c r="J1717" s="82">
        <f>SUMIF(Cargas!$C$5:$C$3470,C1717,Cargas!$O$5:$O$3470)</f>
        <v>2940</v>
      </c>
      <c r="K1717" s="83">
        <f t="shared" si="34"/>
        <v>0</v>
      </c>
      <c r="L1717" s="124" t="s">
        <v>9416</v>
      </c>
      <c r="M1717" s="85">
        <v>23271</v>
      </c>
    </row>
    <row r="1718" spans="1:13" s="93" customFormat="1" hidden="1" x14ac:dyDescent="0.25">
      <c r="A1718"/>
      <c r="B1718" s="80">
        <v>46055</v>
      </c>
      <c r="C1718" s="77" t="s">
        <v>5524</v>
      </c>
      <c r="D1718" s="78" t="s">
        <v>9417</v>
      </c>
      <c r="E1718" s="123" t="s">
        <v>9406</v>
      </c>
      <c r="F1718" s="123"/>
      <c r="G1718" s="78" t="s">
        <v>7569</v>
      </c>
      <c r="H1718" s="78" t="s">
        <v>9418</v>
      </c>
      <c r="I1718" s="81">
        <v>1872</v>
      </c>
      <c r="J1718" s="82">
        <f>SUMIF(Cargas!$C$5:$C$3470,C1718,Cargas!$O$5:$O$3470)</f>
        <v>1872</v>
      </c>
      <c r="K1718" s="83">
        <f t="shared" si="34"/>
        <v>0</v>
      </c>
      <c r="L1718" s="124">
        <v>1549372</v>
      </c>
      <c r="M1718" s="85">
        <v>25232</v>
      </c>
    </row>
    <row r="1719" spans="1:13" s="93" customFormat="1" ht="26.25" hidden="1" x14ac:dyDescent="0.25">
      <c r="A1719"/>
      <c r="B1719" s="80">
        <v>46058</v>
      </c>
      <c r="C1719" s="77" t="s">
        <v>5536</v>
      </c>
      <c r="D1719" s="78" t="s">
        <v>9419</v>
      </c>
      <c r="E1719" s="123" t="s">
        <v>8595</v>
      </c>
      <c r="F1719" s="123"/>
      <c r="G1719" s="78" t="s">
        <v>7569</v>
      </c>
      <c r="H1719" s="78" t="s">
        <v>9418</v>
      </c>
      <c r="I1719" s="81">
        <f>894+169</f>
        <v>1063</v>
      </c>
      <c r="J1719" s="82">
        <f>SUMIF(Cargas!$C$5:$C$3470,C1719,Cargas!$O$5:$O$3470)</f>
        <v>1063</v>
      </c>
      <c r="K1719" s="83">
        <f t="shared" si="34"/>
        <v>0</v>
      </c>
      <c r="L1719" s="124"/>
      <c r="M1719" s="85">
        <v>27351</v>
      </c>
    </row>
    <row r="1720" spans="1:13" s="93" customFormat="1" hidden="1" x14ac:dyDescent="0.25">
      <c r="A1720"/>
      <c r="B1720" s="80">
        <v>46062</v>
      </c>
      <c r="C1720" s="77" t="s">
        <v>5550</v>
      </c>
      <c r="D1720" s="78" t="s">
        <v>9420</v>
      </c>
      <c r="E1720" s="123" t="s">
        <v>9406</v>
      </c>
      <c r="F1720" s="123"/>
      <c r="G1720" s="78" t="s">
        <v>7569</v>
      </c>
      <c r="H1720" s="78" t="s">
        <v>9418</v>
      </c>
      <c r="I1720" s="81">
        <v>1960</v>
      </c>
      <c r="J1720" s="82">
        <f>SUMIF(Cargas!$C$5:$C$3470,C1720,Cargas!$O$5:$O$3470)</f>
        <v>1960</v>
      </c>
      <c r="K1720" s="83">
        <f t="shared" si="34"/>
        <v>0</v>
      </c>
      <c r="L1720" s="124">
        <v>1549897</v>
      </c>
      <c r="M1720" s="85">
        <v>28554</v>
      </c>
    </row>
    <row r="1721" spans="1:13" s="93" customFormat="1" hidden="1" x14ac:dyDescent="0.25">
      <c r="A1721"/>
      <c r="B1721" s="80">
        <v>46062</v>
      </c>
      <c r="C1721" s="77" t="s">
        <v>5547</v>
      </c>
      <c r="D1721" s="78" t="s">
        <v>9421</v>
      </c>
      <c r="E1721" s="123" t="s">
        <v>8600</v>
      </c>
      <c r="F1721" s="123"/>
      <c r="G1721" s="78" t="s">
        <v>7569</v>
      </c>
      <c r="H1721" s="78" t="s">
        <v>9422</v>
      </c>
      <c r="I1721" s="81">
        <v>1916</v>
      </c>
      <c r="J1721" s="82">
        <f>SUMIF(Cargas!$C$5:$C$3470,C1721,Cargas!$O$5:$O$3470)</f>
        <v>1916</v>
      </c>
      <c r="K1721" s="83">
        <f t="shared" si="34"/>
        <v>0</v>
      </c>
      <c r="L1721" s="124">
        <v>1549966</v>
      </c>
      <c r="M1721" s="85">
        <v>28562</v>
      </c>
    </row>
    <row r="1722" spans="1:13" s="93" customFormat="1" ht="26.25" hidden="1" x14ac:dyDescent="0.25">
      <c r="A1722"/>
      <c r="B1722" s="80">
        <v>46059</v>
      </c>
      <c r="C1722" s="77" t="s">
        <v>5539</v>
      </c>
      <c r="D1722" s="78" t="s">
        <v>9423</v>
      </c>
      <c r="E1722" s="123" t="s">
        <v>8595</v>
      </c>
      <c r="F1722" s="123"/>
      <c r="G1722" s="78" t="s">
        <v>7569</v>
      </c>
      <c r="H1722" s="78" t="s">
        <v>9410</v>
      </c>
      <c r="I1722" s="81">
        <v>1960</v>
      </c>
      <c r="J1722" s="82">
        <f>SUMIF(Cargas!$C$5:$C$3470,C1722,Cargas!$O$5:$O$3470)</f>
        <v>1960</v>
      </c>
      <c r="K1722" s="83">
        <f t="shared" si="34"/>
        <v>0</v>
      </c>
      <c r="L1722" s="124">
        <v>1549911</v>
      </c>
      <c r="M1722" s="85">
        <v>28581</v>
      </c>
    </row>
    <row r="1723" spans="1:13" s="93" customFormat="1" ht="26.25" hidden="1" x14ac:dyDescent="0.25">
      <c r="A1723"/>
      <c r="B1723" s="80">
        <v>46069</v>
      </c>
      <c r="C1723" s="77" t="s">
        <v>5577</v>
      </c>
      <c r="D1723" s="78" t="s">
        <v>9424</v>
      </c>
      <c r="E1723" s="123" t="s">
        <v>8595</v>
      </c>
      <c r="F1723" s="123"/>
      <c r="G1723" s="78" t="s">
        <v>7569</v>
      </c>
      <c r="H1723" s="78" t="s">
        <v>9410</v>
      </c>
      <c r="I1723" s="81">
        <v>980</v>
      </c>
      <c r="J1723" s="82">
        <f>SUMIF(Cargas!$C$5:$C$3470,C1723,Cargas!$O$5:$O$3470)</f>
        <v>980</v>
      </c>
      <c r="K1723" s="83">
        <f t="shared" si="34"/>
        <v>0</v>
      </c>
      <c r="L1723" s="124">
        <v>1550492</v>
      </c>
      <c r="M1723" s="85">
        <v>33153</v>
      </c>
    </row>
    <row r="1724" spans="1:13" s="93" customFormat="1" hidden="1" x14ac:dyDescent="0.25">
      <c r="A1724"/>
      <c r="B1724" s="80">
        <v>46070</v>
      </c>
      <c r="C1724" s="77" t="s">
        <v>5581</v>
      </c>
      <c r="D1724" s="78" t="s">
        <v>9425</v>
      </c>
      <c r="E1724" s="123" t="s">
        <v>9406</v>
      </c>
      <c r="F1724" s="123"/>
      <c r="G1724" s="78" t="s">
        <v>7569</v>
      </c>
      <c r="H1724" s="78"/>
      <c r="I1724" s="81">
        <v>936</v>
      </c>
      <c r="J1724" s="82">
        <f>SUMIF(Cargas!$C$5:$C$3470,C1724,Cargas!$O$5:$O$3470)</f>
        <v>936</v>
      </c>
      <c r="K1724" s="83">
        <f t="shared" si="34"/>
        <v>0</v>
      </c>
      <c r="L1724" s="124" t="s">
        <v>9426</v>
      </c>
      <c r="M1724" s="85">
        <v>33117</v>
      </c>
    </row>
    <row r="1725" spans="1:13" s="93" customFormat="1" hidden="1" x14ac:dyDescent="0.25">
      <c r="A1725"/>
      <c r="B1725" s="80">
        <v>46072</v>
      </c>
      <c r="C1725" s="77" t="s">
        <v>5597</v>
      </c>
      <c r="D1725" s="78" t="s">
        <v>9427</v>
      </c>
      <c r="E1725" s="123" t="s">
        <v>9406</v>
      </c>
      <c r="F1725" s="123"/>
      <c r="G1725" s="78" t="s">
        <v>7569</v>
      </c>
      <c r="H1725" s="78" t="s">
        <v>9418</v>
      </c>
      <c r="I1725" s="81">
        <v>936</v>
      </c>
      <c r="J1725" s="82">
        <f>SUMIF(Cargas!$C$5:$C$3470,C1725,Cargas!$O$5:$O$3470)</f>
        <v>936</v>
      </c>
      <c r="K1725" s="83">
        <f t="shared" si="34"/>
        <v>0</v>
      </c>
      <c r="L1725" s="124" t="s">
        <v>9428</v>
      </c>
      <c r="M1725" s="85">
        <v>36441</v>
      </c>
    </row>
    <row r="1726" spans="1:13" s="93" customFormat="1" hidden="1" x14ac:dyDescent="0.25">
      <c r="A1726"/>
      <c r="B1726" s="80">
        <v>46076</v>
      </c>
      <c r="C1726" s="77" t="s">
        <v>5601</v>
      </c>
      <c r="D1726" s="78" t="s">
        <v>9429</v>
      </c>
      <c r="E1726" s="123" t="s">
        <v>8600</v>
      </c>
      <c r="F1726" s="123"/>
      <c r="G1726" s="78" t="s">
        <v>7569</v>
      </c>
      <c r="H1726" s="78" t="s">
        <v>9422</v>
      </c>
      <c r="I1726" s="81">
        <v>936</v>
      </c>
      <c r="J1726" s="82">
        <f>SUMIF(Cargas!$C$5:$C$3470,C1726,Cargas!$O$5:$O$3470)</f>
        <v>936</v>
      </c>
      <c r="K1726" s="83">
        <f t="shared" si="34"/>
        <v>0</v>
      </c>
      <c r="L1726" s="124" t="s">
        <v>9430</v>
      </c>
      <c r="M1726" s="85">
        <v>37897</v>
      </c>
    </row>
    <row r="1727" spans="1:13" s="93" customFormat="1" hidden="1" x14ac:dyDescent="0.25">
      <c r="A1727"/>
      <c r="B1727" s="80">
        <v>46073</v>
      </c>
      <c r="C1727" s="77" t="s">
        <v>5608</v>
      </c>
      <c r="D1727" s="78" t="s">
        <v>9431</v>
      </c>
      <c r="E1727" s="123" t="s">
        <v>9406</v>
      </c>
      <c r="F1727" s="123"/>
      <c r="G1727" s="78" t="s">
        <v>7569</v>
      </c>
      <c r="H1727" s="78" t="s">
        <v>9418</v>
      </c>
      <c r="I1727" s="81">
        <v>1960</v>
      </c>
      <c r="J1727" s="82">
        <f>SUMIF(Cargas!$C$5:$C$3470,C1727,Cargas!$O$5:$O$3470)</f>
        <v>1985</v>
      </c>
      <c r="K1727" s="83">
        <f t="shared" si="34"/>
        <v>-25</v>
      </c>
      <c r="L1727" s="124" t="s">
        <v>9432</v>
      </c>
      <c r="M1727" s="85">
        <v>38652</v>
      </c>
    </row>
    <row r="1728" spans="1:13" s="93" customFormat="1" ht="26.25" hidden="1" x14ac:dyDescent="0.25">
      <c r="A1728"/>
      <c r="B1728" s="80">
        <v>46080</v>
      </c>
      <c r="C1728" s="77" t="s">
        <v>5623</v>
      </c>
      <c r="D1728" s="78" t="s">
        <v>9433</v>
      </c>
      <c r="E1728" s="123" t="s">
        <v>8595</v>
      </c>
      <c r="F1728" s="123"/>
      <c r="G1728" s="78" t="s">
        <v>7569</v>
      </c>
      <c r="H1728" s="78" t="s">
        <v>9418</v>
      </c>
      <c r="I1728" s="81">
        <v>936</v>
      </c>
      <c r="J1728" s="82">
        <f>SUMIF(Cargas!$C$5:$C$3470,C1728,Cargas!$O$5:$O$3470)</f>
        <v>936</v>
      </c>
      <c r="K1728" s="83">
        <f t="shared" si="34"/>
        <v>0</v>
      </c>
      <c r="L1728" s="124"/>
      <c r="M1728" s="85">
        <v>44556</v>
      </c>
    </row>
    <row r="1729" spans="1:40" s="93" customFormat="1" ht="26.25" hidden="1" x14ac:dyDescent="0.25">
      <c r="B1729" s="80">
        <v>46142</v>
      </c>
      <c r="C1729" s="77" t="s">
        <v>5890</v>
      </c>
      <c r="D1729" s="78" t="s">
        <v>9434</v>
      </c>
      <c r="E1729" s="123" t="s">
        <v>8595</v>
      </c>
      <c r="F1729" s="123" t="s">
        <v>6116</v>
      </c>
      <c r="G1729" s="78" t="s">
        <v>7569</v>
      </c>
      <c r="H1729" s="78" t="s">
        <v>9410</v>
      </c>
      <c r="I1729" s="81">
        <v>1960</v>
      </c>
      <c r="J1729" s="82">
        <f>SUMIF(Cargas!$C$5:$C$3470,C1729,Cargas!$O$5:$O$3470)</f>
        <v>1960</v>
      </c>
      <c r="K1729" s="83">
        <f t="shared" si="34"/>
        <v>0</v>
      </c>
      <c r="L1729" s="124">
        <v>1557465</v>
      </c>
      <c r="M1729" s="85">
        <v>88415</v>
      </c>
    </row>
    <row r="1730" spans="1:40" s="93" customFormat="1" hidden="1" x14ac:dyDescent="0.25">
      <c r="B1730" s="80">
        <v>46142</v>
      </c>
      <c r="C1730" s="77" t="s">
        <v>5895</v>
      </c>
      <c r="D1730" s="78" t="s">
        <v>9435</v>
      </c>
      <c r="E1730" s="123" t="s">
        <v>8600</v>
      </c>
      <c r="F1730" s="123" t="s">
        <v>6116</v>
      </c>
      <c r="G1730" s="78" t="s">
        <v>7569</v>
      </c>
      <c r="H1730" s="78" t="s">
        <v>9436</v>
      </c>
      <c r="I1730" s="81">
        <v>1872</v>
      </c>
      <c r="J1730" s="82">
        <f>SUMIF(Cargas!$C$5:$C$3470,C1730,Cargas!$O$5:$O$3470)</f>
        <v>1872</v>
      </c>
      <c r="K1730" s="83">
        <f t="shared" si="34"/>
        <v>0</v>
      </c>
      <c r="L1730" s="124">
        <v>1557467</v>
      </c>
      <c r="M1730" s="85">
        <v>89129</v>
      </c>
    </row>
    <row r="1731" spans="1:40" s="93" customFormat="1" x14ac:dyDescent="0.25">
      <c r="B1731" s="86">
        <v>46216</v>
      </c>
      <c r="C1731" s="87" t="s">
        <v>6184</v>
      </c>
      <c r="D1731" s="88" t="s">
        <v>9437</v>
      </c>
      <c r="E1731" s="121" t="s">
        <v>9311</v>
      </c>
      <c r="F1731" s="121" t="s">
        <v>5813</v>
      </c>
      <c r="G1731" s="88" t="s">
        <v>6665</v>
      </c>
      <c r="H1731" s="88" t="s">
        <v>8660</v>
      </c>
      <c r="I1731" s="89">
        <v>2204</v>
      </c>
      <c r="J1731" s="90">
        <f>SUMIF(Cargas!$C$5:$C$3470,C1731,Cargas!$O$5:$O$3470)</f>
        <v>2204</v>
      </c>
      <c r="K1731" s="91">
        <f t="shared" si="34"/>
        <v>0</v>
      </c>
      <c r="L1731" s="122">
        <v>1562069</v>
      </c>
      <c r="M1731" s="92">
        <v>139303</v>
      </c>
    </row>
    <row r="1732" spans="1:40" x14ac:dyDescent="0.25">
      <c r="A1732" s="93"/>
      <c r="B1732" s="281">
        <v>46220</v>
      </c>
      <c r="C1732" s="282" t="s">
        <v>6216</v>
      </c>
      <c r="D1732" s="283" t="s">
        <v>9438</v>
      </c>
      <c r="E1732" s="275" t="s">
        <v>6764</v>
      </c>
      <c r="F1732" s="275" t="s">
        <v>5988</v>
      </c>
      <c r="G1732" s="283" t="s">
        <v>6443</v>
      </c>
      <c r="H1732" s="283" t="s">
        <v>6768</v>
      </c>
      <c r="I1732" s="284">
        <v>1650</v>
      </c>
      <c r="J1732" s="285">
        <f>SUMIF(Cargas!$C$5:$C$3470,C1732,Cargas!$O$5:$O$3470)</f>
        <v>1650</v>
      </c>
      <c r="K1732" s="286">
        <f t="shared" si="34"/>
        <v>0</v>
      </c>
      <c r="L1732" s="287" t="s">
        <v>9439</v>
      </c>
      <c r="M1732" s="288">
        <v>143347</v>
      </c>
      <c r="N1732" s="93"/>
      <c r="O1732" s="93"/>
      <c r="P1732" s="93"/>
      <c r="Q1732" s="93"/>
      <c r="R1732" s="93"/>
      <c r="S1732" s="93"/>
      <c r="T1732" s="93"/>
      <c r="U1732" s="93"/>
      <c r="V1732" s="93"/>
      <c r="W1732" s="93"/>
      <c r="X1732" s="93"/>
      <c r="Y1732" s="93"/>
      <c r="Z1732" s="93"/>
      <c r="AA1732" s="93"/>
      <c r="AB1732" s="93"/>
      <c r="AC1732" s="93"/>
      <c r="AD1732" s="93"/>
      <c r="AE1732" s="93"/>
      <c r="AF1732" s="93"/>
      <c r="AG1732" s="93"/>
      <c r="AH1732" s="93"/>
      <c r="AI1732" s="93"/>
      <c r="AJ1732" s="93"/>
      <c r="AK1732" s="93"/>
      <c r="AL1732" s="93"/>
      <c r="AM1732" s="93"/>
      <c r="AN1732" s="93"/>
    </row>
    <row r="1733" spans="1:40" s="93" customFormat="1" x14ac:dyDescent="0.25">
      <c r="B1733" s="271">
        <v>46224</v>
      </c>
      <c r="C1733" s="272" t="s">
        <v>6227</v>
      </c>
      <c r="D1733" s="273" t="s">
        <v>9440</v>
      </c>
      <c r="E1733" s="274" t="s">
        <v>9311</v>
      </c>
      <c r="F1733" s="275" t="s">
        <v>5813</v>
      </c>
      <c r="G1733" s="273" t="s">
        <v>6443</v>
      </c>
      <c r="H1733" s="273" t="s">
        <v>8660</v>
      </c>
      <c r="I1733" s="276">
        <v>2214</v>
      </c>
      <c r="J1733" s="277">
        <f>SUMIF(Cargas!$C$5:$C$3470,C1733,Cargas!$O$5:$O$3470)</f>
        <v>2214</v>
      </c>
      <c r="K1733" s="278">
        <f t="shared" si="34"/>
        <v>0</v>
      </c>
      <c r="L1733" s="279" t="s">
        <v>9441</v>
      </c>
      <c r="M1733" s="280">
        <v>145341</v>
      </c>
    </row>
    <row r="1734" spans="1:40" x14ac:dyDescent="0.25">
      <c r="A1734" s="93"/>
      <c r="B1734" s="281">
        <v>46226</v>
      </c>
      <c r="C1734" s="282" t="s">
        <v>6221</v>
      </c>
      <c r="D1734" s="283" t="s">
        <v>9442</v>
      </c>
      <c r="E1734" s="275" t="s">
        <v>6764</v>
      </c>
      <c r="F1734" s="275" t="s">
        <v>6353</v>
      </c>
      <c r="G1734" s="283" t="s">
        <v>6443</v>
      </c>
      <c r="H1734" s="283" t="s">
        <v>8660</v>
      </c>
      <c r="I1734" s="284">
        <f>504+504</f>
        <v>1008</v>
      </c>
      <c r="J1734" s="285">
        <f>SUMIF(Cargas!$C$5:$C$3470,C1734,Cargas!$O$5:$O$3470)</f>
        <v>1008</v>
      </c>
      <c r="K1734" s="286">
        <f t="shared" si="34"/>
        <v>0</v>
      </c>
      <c r="L1734" s="287">
        <v>1563899</v>
      </c>
      <c r="M1734" s="288">
        <v>145305</v>
      </c>
      <c r="N1734" s="93"/>
      <c r="O1734" s="93"/>
      <c r="P1734" s="93"/>
      <c r="Q1734" s="93"/>
      <c r="R1734" s="93"/>
      <c r="S1734" s="93"/>
      <c r="T1734" s="93"/>
      <c r="U1734" s="93"/>
      <c r="V1734" s="93"/>
      <c r="W1734" s="93"/>
      <c r="X1734" s="93"/>
      <c r="Y1734" s="93"/>
      <c r="Z1734" s="93"/>
      <c r="AA1734" s="93"/>
      <c r="AB1734" s="93"/>
      <c r="AC1734" s="93"/>
      <c r="AD1734" s="93"/>
      <c r="AE1734" s="93"/>
      <c r="AF1734" s="93"/>
      <c r="AG1734" s="93"/>
      <c r="AH1734" s="93"/>
      <c r="AI1734" s="93"/>
      <c r="AJ1734" s="93"/>
      <c r="AK1734" s="93"/>
      <c r="AL1734" s="93"/>
      <c r="AM1734" s="93"/>
      <c r="AN1734" s="93"/>
    </row>
    <row r="1735" spans="1:40" s="103" customFormat="1" x14ac:dyDescent="0.25">
      <c r="A1735" s="93"/>
      <c r="B1735" s="271">
        <v>46235</v>
      </c>
      <c r="C1735" s="272" t="s">
        <v>6263</v>
      </c>
      <c r="D1735" s="273" t="s">
        <v>9443</v>
      </c>
      <c r="E1735" s="274" t="s">
        <v>9311</v>
      </c>
      <c r="F1735" s="275" t="s">
        <v>5813</v>
      </c>
      <c r="G1735" s="273" t="s">
        <v>6665</v>
      </c>
      <c r="H1735" s="273" t="s">
        <v>9234</v>
      </c>
      <c r="I1735" s="276">
        <v>2169</v>
      </c>
      <c r="J1735" s="277">
        <f>SUMIF(Cargas!$C$5:$C$3470,C1735,Cargas!$O$5:$O$3470)</f>
        <v>2169</v>
      </c>
      <c r="K1735" s="278">
        <f t="shared" si="34"/>
        <v>0</v>
      </c>
      <c r="L1735" s="279">
        <v>1563479</v>
      </c>
      <c r="M1735" s="280">
        <v>154024</v>
      </c>
    </row>
    <row r="1736" spans="1:40" s="103" customFormat="1" x14ac:dyDescent="0.25">
      <c r="B1736" s="290">
        <v>46237</v>
      </c>
      <c r="C1736" s="291" t="s">
        <v>6278</v>
      </c>
      <c r="D1736" s="292" t="s">
        <v>9444</v>
      </c>
      <c r="E1736" s="293" t="s">
        <v>9213</v>
      </c>
      <c r="F1736" s="293" t="s">
        <v>1750</v>
      </c>
      <c r="G1736" s="292" t="s">
        <v>6665</v>
      </c>
      <c r="H1736" s="292" t="s">
        <v>9226</v>
      </c>
      <c r="I1736" s="294">
        <v>1680</v>
      </c>
      <c r="J1736" s="295">
        <f>SUMIF(Cargas!$C$5:$C$3470,C1736,Cargas!$O$5:$O$3470)</f>
        <v>1680</v>
      </c>
      <c r="K1736" s="296">
        <f t="shared" si="34"/>
        <v>0</v>
      </c>
      <c r="L1736" s="297">
        <v>15643333</v>
      </c>
      <c r="M1736" s="298">
        <v>154050</v>
      </c>
    </row>
    <row r="1737" spans="1:40" ht="26.25" x14ac:dyDescent="0.25">
      <c r="A1737" s="103"/>
      <c r="B1737" s="290">
        <v>46238</v>
      </c>
      <c r="C1737" s="291" t="s">
        <v>6275</v>
      </c>
      <c r="D1737" s="292" t="s">
        <v>9445</v>
      </c>
      <c r="E1737" s="293" t="s">
        <v>9213</v>
      </c>
      <c r="F1737" s="293" t="s">
        <v>1168</v>
      </c>
      <c r="G1737" s="292" t="s">
        <v>6665</v>
      </c>
      <c r="H1737" s="292" t="s">
        <v>9226</v>
      </c>
      <c r="I1737" s="294">
        <v>1324</v>
      </c>
      <c r="J1737" s="295">
        <f>SUMIF(Cargas!$C$5:$C$3470,C1737,Cargas!$O$5:$O$3470)</f>
        <v>1324</v>
      </c>
      <c r="K1737" s="296">
        <f t="shared" ref="K1737:K1768" si="35">IF(ABS(I1737-J1737)&lt;20,0,I1737-J1737)</f>
        <v>0</v>
      </c>
      <c r="L1737" s="297" t="s">
        <v>9446</v>
      </c>
      <c r="M1737" s="298">
        <v>155293</v>
      </c>
      <c r="N1737" s="93"/>
      <c r="O1737" s="93"/>
      <c r="P1737" s="93"/>
      <c r="Q1737" s="93"/>
      <c r="R1737" s="93"/>
      <c r="S1737" s="93"/>
      <c r="T1737" s="93"/>
      <c r="U1737" s="93"/>
      <c r="V1737" s="93"/>
      <c r="W1737" s="93"/>
      <c r="X1737" s="93"/>
      <c r="Y1737" s="93"/>
      <c r="Z1737" s="93"/>
      <c r="AA1737" s="93"/>
      <c r="AB1737" s="93"/>
      <c r="AC1737" s="93"/>
      <c r="AD1737" s="93"/>
      <c r="AE1737" s="93"/>
      <c r="AF1737" s="93"/>
      <c r="AG1737" s="93"/>
      <c r="AH1737" s="93"/>
      <c r="AI1737" s="93"/>
      <c r="AJ1737" s="93"/>
      <c r="AK1737" s="93"/>
      <c r="AL1737" s="93"/>
      <c r="AM1737" s="93"/>
      <c r="AN1737" s="93"/>
    </row>
    <row r="1738" spans="1:40" ht="14.25" customHeight="1" x14ac:dyDescent="0.25">
      <c r="A1738" s="93"/>
      <c r="B1738" s="271">
        <v>46239</v>
      </c>
      <c r="C1738" s="272" t="s">
        <v>6272</v>
      </c>
      <c r="D1738" s="273" t="s">
        <v>9447</v>
      </c>
      <c r="E1738" s="274" t="s">
        <v>6764</v>
      </c>
      <c r="F1738" s="275" t="s">
        <v>6353</v>
      </c>
      <c r="G1738" s="273" t="s">
        <v>6443</v>
      </c>
      <c r="H1738" s="273" t="s">
        <v>8660</v>
      </c>
      <c r="I1738" s="276">
        <f>504+504</f>
        <v>1008</v>
      </c>
      <c r="J1738" s="277">
        <f>SUMIF(Cargas!$C$5:$C$3470,C1738,Cargas!$O$5:$O$3470)</f>
        <v>1008</v>
      </c>
      <c r="K1738" s="278">
        <f t="shared" si="35"/>
        <v>0</v>
      </c>
      <c r="L1738" s="279" t="s">
        <v>9448</v>
      </c>
      <c r="M1738" s="280">
        <v>155000</v>
      </c>
      <c r="N1738" s="93"/>
      <c r="O1738" s="93"/>
      <c r="P1738" s="93"/>
      <c r="Q1738" s="93"/>
      <c r="R1738" s="93"/>
      <c r="S1738" s="93"/>
      <c r="T1738" s="93"/>
      <c r="U1738" s="93"/>
      <c r="V1738" s="93"/>
      <c r="W1738" s="93"/>
      <c r="X1738" s="93"/>
      <c r="Y1738" s="93"/>
      <c r="Z1738" s="93"/>
      <c r="AA1738" s="93"/>
      <c r="AB1738" s="93"/>
      <c r="AC1738" s="93"/>
      <c r="AD1738" s="93"/>
      <c r="AE1738" s="93"/>
      <c r="AF1738" s="93"/>
      <c r="AG1738" s="93"/>
      <c r="AH1738" s="93"/>
      <c r="AI1738" s="93"/>
      <c r="AJ1738" s="93"/>
      <c r="AK1738" s="93"/>
      <c r="AL1738" s="93"/>
      <c r="AM1738" s="93"/>
      <c r="AN1738" s="93"/>
    </row>
    <row r="1739" spans="1:40" x14ac:dyDescent="0.25">
      <c r="A1739" s="93"/>
      <c r="B1739" s="271">
        <v>46240</v>
      </c>
      <c r="C1739" s="272" t="s">
        <v>6316</v>
      </c>
      <c r="D1739" s="273" t="s">
        <v>9449</v>
      </c>
      <c r="E1739" s="274" t="s">
        <v>8051</v>
      </c>
      <c r="F1739" s="275" t="s">
        <v>9450</v>
      </c>
      <c r="G1739" s="273" t="s">
        <v>6665</v>
      </c>
      <c r="H1739" s="273" t="s">
        <v>8660</v>
      </c>
      <c r="I1739" s="276">
        <v>1560</v>
      </c>
      <c r="J1739" s="277">
        <f>SUMIF(Cargas!$C$5:$C$3470,C1739,Cargas!$O$5:$O$3470)</f>
        <v>1560</v>
      </c>
      <c r="K1739" s="278">
        <f t="shared" si="35"/>
        <v>0</v>
      </c>
      <c r="L1739" s="279">
        <v>1565420</v>
      </c>
      <c r="M1739" s="280">
        <v>161694</v>
      </c>
    </row>
    <row r="1740" spans="1:40" x14ac:dyDescent="0.25">
      <c r="A1740" s="93"/>
      <c r="B1740" s="271">
        <v>46241</v>
      </c>
      <c r="C1740" s="272" t="s">
        <v>6308</v>
      </c>
      <c r="D1740" s="273" t="s">
        <v>9451</v>
      </c>
      <c r="E1740" s="274" t="s">
        <v>9213</v>
      </c>
      <c r="F1740" s="275" t="s">
        <v>6309</v>
      </c>
      <c r="G1740" s="273" t="s">
        <v>6665</v>
      </c>
      <c r="H1740" s="273" t="s">
        <v>9226</v>
      </c>
      <c r="I1740" s="276">
        <v>3644</v>
      </c>
      <c r="J1740" s="277">
        <f>SUMIF(Cargas!$C$5:$C$3470,C1740,Cargas!$O$5:$O$3470)</f>
        <v>3644</v>
      </c>
      <c r="K1740" s="278">
        <f t="shared" si="35"/>
        <v>0</v>
      </c>
      <c r="L1740" s="279">
        <v>1565953</v>
      </c>
      <c r="M1740" s="280">
        <v>159718</v>
      </c>
    </row>
    <row r="1741" spans="1:40" hidden="1" x14ac:dyDescent="0.25">
      <c r="B1741" s="58">
        <v>45659</v>
      </c>
      <c r="C1741" s="59" t="s">
        <v>2951</v>
      </c>
      <c r="D1741" s="61" t="s">
        <v>7576</v>
      </c>
      <c r="E1741" s="197" t="s">
        <v>8600</v>
      </c>
      <c r="F1741" s="197"/>
      <c r="G1741" s="61" t="s">
        <v>7569</v>
      </c>
      <c r="H1741" s="61"/>
      <c r="I1741" s="62">
        <v>1960</v>
      </c>
      <c r="J1741" s="4">
        <f>SUMIF(Cargas!$C$5:$C$3470,C1741,Cargas!$O$5:$O$3470)</f>
        <v>1960</v>
      </c>
      <c r="K1741" s="18">
        <f t="shared" si="35"/>
        <v>0</v>
      </c>
      <c r="L1741" s="195" t="s">
        <v>9452</v>
      </c>
      <c r="M1741" s="64">
        <v>1397</v>
      </c>
    </row>
    <row r="1742" spans="1:40" hidden="1" x14ac:dyDescent="0.25">
      <c r="A1742" s="93"/>
      <c r="B1742" s="80">
        <v>46147</v>
      </c>
      <c r="C1742" s="77" t="s">
        <v>5904</v>
      </c>
      <c r="D1742" s="78" t="s">
        <v>9453</v>
      </c>
      <c r="E1742" s="123" t="s">
        <v>8600</v>
      </c>
      <c r="F1742" s="123" t="s">
        <v>6116</v>
      </c>
      <c r="G1742" s="78" t="s">
        <v>7569</v>
      </c>
      <c r="H1742" s="78" t="s">
        <v>9436</v>
      </c>
      <c r="I1742" s="81">
        <v>936</v>
      </c>
      <c r="J1742" s="82">
        <f>SUMIF(Cargas!$C$5:$C$3470,C1742,Cargas!$O$5:$O$3470)</f>
        <v>936</v>
      </c>
      <c r="K1742" s="83">
        <f t="shared" si="35"/>
        <v>0</v>
      </c>
      <c r="L1742" s="124">
        <v>1557488</v>
      </c>
      <c r="M1742" s="85">
        <v>90243</v>
      </c>
    </row>
    <row r="1743" spans="1:40" ht="26.25" hidden="1" x14ac:dyDescent="0.25">
      <c r="B1743" s="58">
        <v>45659</v>
      </c>
      <c r="C1743" s="59" t="s">
        <v>2966</v>
      </c>
      <c r="D1743" s="61" t="s">
        <v>7579</v>
      </c>
      <c r="E1743" s="197" t="s">
        <v>8595</v>
      </c>
      <c r="F1743" s="197"/>
      <c r="G1743" s="61" t="s">
        <v>7569</v>
      </c>
      <c r="H1743" s="61"/>
      <c r="I1743" s="62">
        <v>1960</v>
      </c>
      <c r="J1743" s="4">
        <f>SUMIF(Cargas!$C$5:$C$3470,C1743,Cargas!$O$5:$O$3470)</f>
        <v>1960</v>
      </c>
      <c r="K1743" s="18">
        <f t="shared" si="35"/>
        <v>0</v>
      </c>
      <c r="L1743" s="195" t="s">
        <v>9454</v>
      </c>
      <c r="M1743" s="64">
        <v>2321</v>
      </c>
    </row>
    <row r="1744" spans="1:40" ht="26.25" hidden="1" x14ac:dyDescent="0.25">
      <c r="A1744" s="93"/>
      <c r="B1744" s="80">
        <v>46149</v>
      </c>
      <c r="C1744" s="77" t="s">
        <v>5915</v>
      </c>
      <c r="D1744" s="78" t="s">
        <v>9455</v>
      </c>
      <c r="E1744" s="123" t="s">
        <v>8595</v>
      </c>
      <c r="F1744" s="123" t="s">
        <v>6116</v>
      </c>
      <c r="G1744" s="78" t="s">
        <v>7569</v>
      </c>
      <c r="H1744" s="78" t="s">
        <v>9410</v>
      </c>
      <c r="I1744" s="81">
        <v>980</v>
      </c>
      <c r="J1744" s="82">
        <f>SUMIF(Cargas!$C$5:$C$3470,C1744,Cargas!$O$5:$O$3470)</f>
        <v>980</v>
      </c>
      <c r="K1744" s="83">
        <f t="shared" si="35"/>
        <v>0</v>
      </c>
      <c r="L1744" s="124">
        <v>1557825</v>
      </c>
      <c r="M1744" s="85">
        <v>93092</v>
      </c>
    </row>
    <row r="1745" spans="1:13" hidden="1" x14ac:dyDescent="0.25">
      <c r="B1745" s="58">
        <v>45663</v>
      </c>
      <c r="C1745" s="59" t="s">
        <v>2970</v>
      </c>
      <c r="D1745" s="61" t="s">
        <v>7582</v>
      </c>
      <c r="E1745" s="197" t="s">
        <v>8523</v>
      </c>
      <c r="F1745" s="197"/>
      <c r="G1745" s="61" t="s">
        <v>7569</v>
      </c>
      <c r="H1745" s="61"/>
      <c r="I1745" s="62">
        <v>2940</v>
      </c>
      <c r="J1745" s="4">
        <f>SUMIF(Cargas!$C$5:$C$3470,C1745,Cargas!$O$5:$O$3470)</f>
        <v>2940</v>
      </c>
      <c r="K1745" s="18">
        <f t="shared" si="35"/>
        <v>0</v>
      </c>
      <c r="L1745" s="195">
        <v>1514420</v>
      </c>
      <c r="M1745" s="64">
        <v>2451</v>
      </c>
    </row>
    <row r="1746" spans="1:13" hidden="1" x14ac:dyDescent="0.25">
      <c r="A1746" s="93"/>
      <c r="B1746" s="80">
        <v>46152</v>
      </c>
      <c r="C1746" s="77" t="s">
        <v>5917</v>
      </c>
      <c r="D1746" s="78" t="s">
        <v>9456</v>
      </c>
      <c r="E1746" s="123" t="s">
        <v>8600</v>
      </c>
      <c r="F1746" s="123" t="s">
        <v>6116</v>
      </c>
      <c r="G1746" s="78" t="s">
        <v>7569</v>
      </c>
      <c r="H1746" s="78" t="s">
        <v>9436</v>
      </c>
      <c r="I1746" s="81">
        <v>3744</v>
      </c>
      <c r="J1746" s="82">
        <f>SUMIF(Cargas!$C$5:$C$3470,C1746,Cargas!$O$5:$O$3470)</f>
        <v>3744</v>
      </c>
      <c r="K1746" s="83">
        <f t="shared" si="35"/>
        <v>0</v>
      </c>
      <c r="L1746" s="124">
        <v>1557891</v>
      </c>
      <c r="M1746" s="85">
        <v>93125</v>
      </c>
    </row>
    <row r="1747" spans="1:13" hidden="1" x14ac:dyDescent="0.25">
      <c r="B1747" s="58">
        <v>45663</v>
      </c>
      <c r="C1747" s="59" t="s">
        <v>2979</v>
      </c>
      <c r="D1747" s="61" t="s">
        <v>7585</v>
      </c>
      <c r="E1747" s="197" t="s">
        <v>8600</v>
      </c>
      <c r="F1747" s="197"/>
      <c r="G1747" s="61" t="s">
        <v>7569</v>
      </c>
      <c r="H1747" s="61"/>
      <c r="I1747" s="62">
        <v>1960</v>
      </c>
      <c r="J1747" s="4">
        <f>SUMIF(Cargas!$C$5:$C$3470,C1747,Cargas!$O$5:$O$3470)</f>
        <v>1960</v>
      </c>
      <c r="K1747" s="18">
        <f t="shared" si="35"/>
        <v>0</v>
      </c>
      <c r="L1747" s="195"/>
      <c r="M1747" s="64">
        <v>3382</v>
      </c>
    </row>
    <row r="1748" spans="1:13" ht="26.25" hidden="1" x14ac:dyDescent="0.25">
      <c r="A1748" s="93"/>
      <c r="B1748" s="80">
        <v>46155</v>
      </c>
      <c r="C1748" s="77" t="s">
        <v>5940</v>
      </c>
      <c r="D1748" s="78" t="s">
        <v>9457</v>
      </c>
      <c r="E1748" s="123" t="s">
        <v>8595</v>
      </c>
      <c r="F1748" s="123" t="s">
        <v>6116</v>
      </c>
      <c r="G1748" s="78" t="s">
        <v>7569</v>
      </c>
      <c r="H1748" s="78" t="s">
        <v>9410</v>
      </c>
      <c r="I1748" s="81">
        <v>1960</v>
      </c>
      <c r="J1748" s="82">
        <f>SUMIF(Cargas!$C$5:$C$3470,C1748,Cargas!$O$5:$O$3470)</f>
        <v>1960</v>
      </c>
      <c r="K1748" s="83">
        <f t="shared" si="35"/>
        <v>0</v>
      </c>
      <c r="L1748" s="124">
        <v>1557891</v>
      </c>
      <c r="M1748" s="85">
        <v>97027</v>
      </c>
    </row>
    <row r="1749" spans="1:13" hidden="1" x14ac:dyDescent="0.25">
      <c r="B1749" s="58">
        <v>45663</v>
      </c>
      <c r="C1749" s="59" t="s">
        <v>3003</v>
      </c>
      <c r="D1749" s="61" t="s">
        <v>7588</v>
      </c>
      <c r="E1749" s="197" t="s">
        <v>8990</v>
      </c>
      <c r="F1749" s="197"/>
      <c r="G1749" s="61" t="s">
        <v>7569</v>
      </c>
      <c r="H1749" s="61" t="s">
        <v>8608</v>
      </c>
      <c r="I1749" s="62">
        <v>972</v>
      </c>
      <c r="J1749" s="4">
        <f>SUMIF(Cargas!$C$5:$C$3470,C1749,Cargas!$O$5:$O$3470)</f>
        <v>972</v>
      </c>
      <c r="K1749" s="18">
        <f t="shared" si="35"/>
        <v>0</v>
      </c>
      <c r="L1749" s="195"/>
      <c r="M1749" s="64">
        <v>5448</v>
      </c>
    </row>
    <row r="1750" spans="1:13" hidden="1" x14ac:dyDescent="0.25">
      <c r="A1750" s="93"/>
      <c r="B1750" s="80">
        <v>46160</v>
      </c>
      <c r="C1750" s="77" t="s">
        <v>5943</v>
      </c>
      <c r="D1750" s="78" t="s">
        <v>9458</v>
      </c>
      <c r="E1750" s="123" t="s">
        <v>8600</v>
      </c>
      <c r="F1750" s="123" t="s">
        <v>6116</v>
      </c>
      <c r="G1750" s="78" t="s">
        <v>7569</v>
      </c>
      <c r="H1750" s="78" t="s">
        <v>9436</v>
      </c>
      <c r="I1750" s="81">
        <v>980</v>
      </c>
      <c r="J1750" s="82">
        <f>SUMIF(Cargas!$C$5:$C$3470,C1750,Cargas!$O$5:$O$3470)</f>
        <v>980</v>
      </c>
      <c r="K1750" s="83">
        <f t="shared" si="35"/>
        <v>0</v>
      </c>
      <c r="L1750" s="124">
        <v>1558202</v>
      </c>
      <c r="M1750" s="85">
        <v>98547</v>
      </c>
    </row>
    <row r="1751" spans="1:13" ht="26.25" hidden="1" x14ac:dyDescent="0.25">
      <c r="A1751" s="93"/>
      <c r="B1751" s="80">
        <v>46163</v>
      </c>
      <c r="C1751" s="77" t="s">
        <v>5956</v>
      </c>
      <c r="D1751" s="78" t="s">
        <v>9459</v>
      </c>
      <c r="E1751" s="123" t="s">
        <v>8595</v>
      </c>
      <c r="F1751" s="123" t="s">
        <v>6116</v>
      </c>
      <c r="G1751" s="78" t="s">
        <v>7569</v>
      </c>
      <c r="H1751" s="78" t="s">
        <v>9410</v>
      </c>
      <c r="I1751" s="81">
        <v>1960</v>
      </c>
      <c r="J1751" s="82">
        <f>SUMIF(Cargas!$C$5:$C$3470,C1751,Cargas!$O$5:$O$3470)</f>
        <v>1960</v>
      </c>
      <c r="K1751" s="83">
        <f t="shared" si="35"/>
        <v>0</v>
      </c>
      <c r="L1751" s="124">
        <v>1558775</v>
      </c>
      <c r="M1751" s="85">
        <v>102707</v>
      </c>
    </row>
    <row r="1752" spans="1:13" hidden="1" x14ac:dyDescent="0.25">
      <c r="A1752" s="93"/>
      <c r="B1752" s="80">
        <v>46164</v>
      </c>
      <c r="C1752" s="77" t="s">
        <v>5958</v>
      </c>
      <c r="D1752" s="78" t="s">
        <v>9460</v>
      </c>
      <c r="E1752" s="123" t="s">
        <v>8802</v>
      </c>
      <c r="F1752" s="123" t="s">
        <v>6116</v>
      </c>
      <c r="G1752" s="78" t="s">
        <v>7569</v>
      </c>
      <c r="H1752" s="78" t="s">
        <v>9461</v>
      </c>
      <c r="I1752" s="81">
        <v>980</v>
      </c>
      <c r="J1752" s="82">
        <f>SUMIF(Cargas!$C$5:$C$3470,C1752,Cargas!$O$5:$O$3470)</f>
        <v>980</v>
      </c>
      <c r="K1752" s="83">
        <f t="shared" si="35"/>
        <v>0</v>
      </c>
      <c r="L1752" s="124">
        <v>1558206</v>
      </c>
      <c r="M1752" s="85">
        <v>104005</v>
      </c>
    </row>
    <row r="1753" spans="1:13" hidden="1" x14ac:dyDescent="0.25">
      <c r="B1753" s="58">
        <v>45663</v>
      </c>
      <c r="C1753" s="59" t="s">
        <v>3021</v>
      </c>
      <c r="D1753" s="61" t="s">
        <v>7591</v>
      </c>
      <c r="E1753" s="197" t="s">
        <v>8990</v>
      </c>
      <c r="F1753" s="197"/>
      <c r="G1753" s="61" t="s">
        <v>7569</v>
      </c>
      <c r="H1753" s="61"/>
      <c r="I1753" s="62">
        <v>972</v>
      </c>
      <c r="J1753" s="4">
        <f>SUMIF(Cargas!$C$5:$C$3470,C1753,Cargas!$O$5:$O$3470)</f>
        <v>972</v>
      </c>
      <c r="K1753" s="18">
        <f t="shared" si="35"/>
        <v>0</v>
      </c>
      <c r="L1753" s="195"/>
      <c r="M1753" s="64" t="s">
        <v>9462</v>
      </c>
    </row>
    <row r="1754" spans="1:13" hidden="1" x14ac:dyDescent="0.25">
      <c r="A1754" s="93"/>
      <c r="B1754" s="80">
        <v>46167</v>
      </c>
      <c r="C1754" s="77" t="s">
        <v>5960</v>
      </c>
      <c r="D1754" s="78" t="s">
        <v>9463</v>
      </c>
      <c r="E1754" s="123" t="s">
        <v>8600</v>
      </c>
      <c r="F1754" s="123" t="s">
        <v>6116</v>
      </c>
      <c r="G1754" s="78" t="s">
        <v>7569</v>
      </c>
      <c r="H1754" s="78" t="s">
        <v>9436</v>
      </c>
      <c r="I1754" s="81">
        <v>1960</v>
      </c>
      <c r="J1754" s="82">
        <f>SUMIF(Cargas!$C$5:$C$3470,C1754,Cargas!$O$5:$O$3470)</f>
        <v>1960</v>
      </c>
      <c r="K1754" s="83">
        <f t="shared" si="35"/>
        <v>0</v>
      </c>
      <c r="L1754" s="124">
        <v>1559204</v>
      </c>
      <c r="M1754" s="85">
        <v>104044</v>
      </c>
    </row>
    <row r="1755" spans="1:13" hidden="1" x14ac:dyDescent="0.25">
      <c r="B1755" s="58">
        <v>45670</v>
      </c>
      <c r="C1755" s="59" t="s">
        <v>3023</v>
      </c>
      <c r="D1755" s="61" t="s">
        <v>7593</v>
      </c>
      <c r="E1755" s="197" t="s">
        <v>8600</v>
      </c>
      <c r="F1755" s="197"/>
      <c r="G1755" s="61" t="s">
        <v>7569</v>
      </c>
      <c r="H1755" s="61"/>
      <c r="I1755" s="62">
        <v>3920</v>
      </c>
      <c r="J1755" s="4">
        <f>SUMIF(Cargas!$C$5:$C$3470,C1755,Cargas!$O$5:$O$3470)</f>
        <v>3920</v>
      </c>
      <c r="K1755" s="18">
        <f t="shared" si="35"/>
        <v>0</v>
      </c>
      <c r="L1755" s="195"/>
      <c r="M1755" s="64">
        <v>7477</v>
      </c>
    </row>
    <row r="1756" spans="1:13" x14ac:dyDescent="0.25">
      <c r="A1756" s="93"/>
      <c r="B1756" s="271">
        <v>46248</v>
      </c>
      <c r="C1756" s="272" t="s">
        <v>6318</v>
      </c>
      <c r="D1756" s="273" t="s">
        <v>9464</v>
      </c>
      <c r="E1756" s="274" t="s">
        <v>9311</v>
      </c>
      <c r="F1756" s="275" t="s">
        <v>5813</v>
      </c>
      <c r="G1756" s="273" t="s">
        <v>6665</v>
      </c>
      <c r="H1756" s="273" t="s">
        <v>8660</v>
      </c>
      <c r="I1756" s="276">
        <v>2304</v>
      </c>
      <c r="J1756" s="277">
        <f>SUMIF(Cargas!$C$5:$C$3470,C1756,Cargas!$O$5:$O$3470)</f>
        <v>2304</v>
      </c>
      <c r="K1756" s="278">
        <f t="shared" si="35"/>
        <v>0</v>
      </c>
      <c r="L1756" s="279">
        <v>1565320</v>
      </c>
      <c r="M1756" s="280">
        <v>161721</v>
      </c>
    </row>
    <row r="1757" spans="1:13" hidden="1" x14ac:dyDescent="0.25">
      <c r="B1757" s="58">
        <v>45667</v>
      </c>
      <c r="C1757" s="59" t="s">
        <v>3027</v>
      </c>
      <c r="D1757" s="61" t="s">
        <v>7596</v>
      </c>
      <c r="E1757" s="197" t="s">
        <v>8523</v>
      </c>
      <c r="F1757" s="197"/>
      <c r="G1757" s="61" t="s">
        <v>7569</v>
      </c>
      <c r="H1757" s="61"/>
      <c r="I1757" s="62">
        <v>1960</v>
      </c>
      <c r="J1757" s="4">
        <f>SUMIF(Cargas!$C$5:$C$3470,C1757,Cargas!$O$5:$O$3470)</f>
        <v>1960</v>
      </c>
      <c r="K1757" s="18">
        <f t="shared" si="35"/>
        <v>0</v>
      </c>
      <c r="L1757" s="195"/>
      <c r="M1757" s="64">
        <v>8628</v>
      </c>
    </row>
    <row r="1758" spans="1:13" hidden="1" x14ac:dyDescent="0.25">
      <c r="A1758" s="93"/>
      <c r="B1758" s="80"/>
      <c r="C1758" s="77"/>
      <c r="D1758" s="78"/>
      <c r="E1758" s="123"/>
      <c r="F1758" s="123"/>
      <c r="G1758" s="78"/>
      <c r="H1758" s="78"/>
      <c r="I1758" s="81"/>
      <c r="J1758" s="82"/>
      <c r="K1758" s="18"/>
      <c r="L1758" s="124"/>
      <c r="M1758" s="85"/>
    </row>
    <row r="1759" spans="1:13" x14ac:dyDescent="0.25">
      <c r="A1759" s="93"/>
      <c r="B1759" s="271">
        <v>46254</v>
      </c>
      <c r="C1759" s="272" t="s">
        <v>6360</v>
      </c>
      <c r="D1759" s="273" t="s">
        <v>9465</v>
      </c>
      <c r="E1759" s="274" t="s">
        <v>9311</v>
      </c>
      <c r="F1759" s="275" t="s">
        <v>5813</v>
      </c>
      <c r="G1759" s="273" t="s">
        <v>6665</v>
      </c>
      <c r="H1759" s="273" t="s">
        <v>8660</v>
      </c>
      <c r="I1759" s="276">
        <v>2304</v>
      </c>
      <c r="J1759" s="277">
        <f>SUMIF(Cargas!$C$5:$C$3470,C1759,Cargas!$O$5:$O$3470)</f>
        <v>2304</v>
      </c>
      <c r="K1759" s="278">
        <f t="shared" ref="K1759:K1790" si="36">IF(ABS(I1759-J1759)&lt;20,0,I1759-J1759)</f>
        <v>0</v>
      </c>
      <c r="L1759" s="279"/>
      <c r="M1759" s="280">
        <v>167026</v>
      </c>
    </row>
    <row r="1760" spans="1:13" ht="1.5" hidden="1" customHeight="1" x14ac:dyDescent="0.25">
      <c r="B1760" s="58">
        <v>45673</v>
      </c>
      <c r="C1760" s="59" t="s">
        <v>3051</v>
      </c>
      <c r="D1760" s="61" t="s">
        <v>7599</v>
      </c>
      <c r="E1760" s="197" t="s">
        <v>8990</v>
      </c>
      <c r="F1760" s="197"/>
      <c r="G1760" s="61" t="s">
        <v>7569</v>
      </c>
      <c r="H1760" s="61"/>
      <c r="I1760" s="62">
        <v>972</v>
      </c>
      <c r="J1760" s="4">
        <f>SUMIF(Cargas!$C$5:$C$3470,C1760,Cargas!$O$5:$O$3470)</f>
        <v>980</v>
      </c>
      <c r="K1760" s="18">
        <f t="shared" si="36"/>
        <v>0</v>
      </c>
      <c r="L1760" s="195">
        <v>1515357</v>
      </c>
      <c r="M1760" s="64" t="s">
        <v>299</v>
      </c>
    </row>
    <row r="1761" spans="1:40" ht="13.5" customHeight="1" x14ac:dyDescent="0.25">
      <c r="A1761" s="93"/>
      <c r="B1761" s="271">
        <v>46255</v>
      </c>
      <c r="C1761" s="272" t="s">
        <v>6352</v>
      </c>
      <c r="D1761" s="273" t="s">
        <v>9466</v>
      </c>
      <c r="E1761" s="274" t="s">
        <v>6764</v>
      </c>
      <c r="F1761" s="275" t="s">
        <v>6353</v>
      </c>
      <c r="G1761" s="273" t="s">
        <v>6443</v>
      </c>
      <c r="H1761" s="273" t="s">
        <v>8660</v>
      </c>
      <c r="I1761" s="276">
        <f>360+648</f>
        <v>1008</v>
      </c>
      <c r="J1761" s="277">
        <f>SUMIF(Cargas!$C$5:$C$3470,C1761,Cargas!$O$5:$O$3470)</f>
        <v>1008</v>
      </c>
      <c r="K1761" s="278">
        <f t="shared" si="36"/>
        <v>0</v>
      </c>
      <c r="L1761" s="279" t="s">
        <v>9467</v>
      </c>
      <c r="M1761" s="280">
        <v>166766</v>
      </c>
    </row>
    <row r="1762" spans="1:40" ht="13.5" hidden="1" customHeight="1" x14ac:dyDescent="0.25">
      <c r="B1762" s="58">
        <v>45671</v>
      </c>
      <c r="C1762" s="59" t="s">
        <v>3047</v>
      </c>
      <c r="D1762" s="61" t="s">
        <v>7602</v>
      </c>
      <c r="E1762" s="197" t="s">
        <v>8595</v>
      </c>
      <c r="F1762" s="197"/>
      <c r="G1762" s="61" t="s">
        <v>7569</v>
      </c>
      <c r="H1762" s="61"/>
      <c r="I1762" s="62">
        <v>1960</v>
      </c>
      <c r="J1762" s="4">
        <f>SUMIF(Cargas!$C$5:$C$3470,C1762,Cargas!$O$5:$O$3470)</f>
        <v>1960</v>
      </c>
      <c r="K1762" s="18">
        <f t="shared" si="36"/>
        <v>0</v>
      </c>
      <c r="L1762" s="195" t="s">
        <v>9468</v>
      </c>
      <c r="M1762" s="64" t="s">
        <v>299</v>
      </c>
    </row>
    <row r="1763" spans="1:40" ht="26.25" x14ac:dyDescent="0.25">
      <c r="A1763" s="93"/>
      <c r="B1763" s="271">
        <v>46260</v>
      </c>
      <c r="C1763" s="272" t="s">
        <v>6368</v>
      </c>
      <c r="D1763" s="273" t="s">
        <v>9469</v>
      </c>
      <c r="E1763" s="274" t="s">
        <v>9213</v>
      </c>
      <c r="F1763" s="275" t="s">
        <v>1168</v>
      </c>
      <c r="G1763" s="273" t="s">
        <v>6665</v>
      </c>
      <c r="H1763" s="273" t="s">
        <v>9226</v>
      </c>
      <c r="I1763" s="276">
        <v>1366</v>
      </c>
      <c r="J1763" s="277">
        <f>SUMIF(Cargas!$C$5:$C$3470,C1763,Cargas!$O$5:$O$3470)</f>
        <v>1366</v>
      </c>
      <c r="K1763" s="278">
        <f t="shared" si="36"/>
        <v>0</v>
      </c>
      <c r="L1763" s="279" t="s">
        <v>9470</v>
      </c>
      <c r="M1763" s="280">
        <v>168877</v>
      </c>
    </row>
    <row r="1764" spans="1:40" hidden="1" x14ac:dyDescent="0.25">
      <c r="B1764" s="58">
        <v>45677</v>
      </c>
      <c r="C1764" s="59" t="s">
        <v>3060</v>
      </c>
      <c r="D1764" s="61" t="s">
        <v>7605</v>
      </c>
      <c r="E1764" s="197" t="s">
        <v>8716</v>
      </c>
      <c r="F1764" s="197"/>
      <c r="G1764" s="61" t="s">
        <v>7569</v>
      </c>
      <c r="H1764" s="61" t="s">
        <v>9471</v>
      </c>
      <c r="I1764" s="62">
        <v>2960</v>
      </c>
      <c r="J1764" s="4">
        <f>SUMIF(Cargas!$C$5:$C$3470,C1764,Cargas!$O$5:$O$3470)</f>
        <v>2940</v>
      </c>
      <c r="K1764" s="18">
        <f t="shared" si="36"/>
        <v>20</v>
      </c>
      <c r="L1764" s="195">
        <v>1515514</v>
      </c>
      <c r="M1764" s="64">
        <v>13105</v>
      </c>
    </row>
    <row r="1765" spans="1:40" x14ac:dyDescent="0.25">
      <c r="A1765" s="93"/>
      <c r="B1765" s="271">
        <v>46261</v>
      </c>
      <c r="C1765" s="272" t="s">
        <v>6373</v>
      </c>
      <c r="D1765" s="273" t="s">
        <v>9472</v>
      </c>
      <c r="E1765" s="274" t="s">
        <v>6764</v>
      </c>
      <c r="F1765" s="275" t="s">
        <v>6353</v>
      </c>
      <c r="G1765" s="273" t="s">
        <v>6443</v>
      </c>
      <c r="H1765" s="273" t="s">
        <v>8660</v>
      </c>
      <c r="I1765" s="276">
        <v>936</v>
      </c>
      <c r="J1765" s="277">
        <f>SUMIF(Cargas!$C$5:$C$3470,C1765,Cargas!$O$5:$O$3470)</f>
        <v>936</v>
      </c>
      <c r="K1765" s="278">
        <f t="shared" si="36"/>
        <v>0</v>
      </c>
      <c r="L1765" s="279" t="s">
        <v>9473</v>
      </c>
      <c r="M1765" s="280">
        <v>169915</v>
      </c>
    </row>
    <row r="1766" spans="1:40" hidden="1" x14ac:dyDescent="0.25">
      <c r="B1766" s="58">
        <v>45667</v>
      </c>
      <c r="C1766" s="59" t="s">
        <v>3054</v>
      </c>
      <c r="D1766" s="61" t="s">
        <v>7608</v>
      </c>
      <c r="E1766" s="197" t="s">
        <v>8600</v>
      </c>
      <c r="F1766" s="197"/>
      <c r="G1766" s="61" t="s">
        <v>7569</v>
      </c>
      <c r="H1766" s="61"/>
      <c r="I1766" s="62">
        <v>3920</v>
      </c>
      <c r="J1766" s="4">
        <f>SUMIF(Cargas!$C$5:$C$3470,C1766,Cargas!$O$5:$O$3470)</f>
        <v>3920</v>
      </c>
      <c r="K1766" s="18">
        <f t="shared" si="36"/>
        <v>0</v>
      </c>
      <c r="L1766" s="195"/>
      <c r="M1766" s="64"/>
    </row>
    <row r="1767" spans="1:40" ht="26.25" hidden="1" x14ac:dyDescent="0.25">
      <c r="B1767" s="58">
        <v>45681</v>
      </c>
      <c r="C1767" s="59" t="s">
        <v>3092</v>
      </c>
      <c r="D1767" s="61" t="s">
        <v>7611</v>
      </c>
      <c r="E1767" s="197" t="s">
        <v>8595</v>
      </c>
      <c r="F1767" s="197"/>
      <c r="G1767" s="61" t="s">
        <v>7569</v>
      </c>
      <c r="H1767" s="61"/>
      <c r="I1767" s="62">
        <v>1960</v>
      </c>
      <c r="J1767" s="4">
        <f>SUMIF(Cargas!$C$5:$C$3470,C1767,Cargas!$O$5:$O$3470)</f>
        <v>1960</v>
      </c>
      <c r="K1767" s="18">
        <f t="shared" si="36"/>
        <v>0</v>
      </c>
      <c r="L1767" s="195">
        <v>1515756</v>
      </c>
      <c r="M1767" s="64"/>
    </row>
    <row r="1768" spans="1:40" x14ac:dyDescent="0.25">
      <c r="A1768" s="93"/>
      <c r="B1768" s="80">
        <v>46262</v>
      </c>
      <c r="C1768" s="77" t="s">
        <v>6385</v>
      </c>
      <c r="D1768" s="78" t="s">
        <v>9474</v>
      </c>
      <c r="E1768" s="123" t="s">
        <v>9311</v>
      </c>
      <c r="F1768" s="123" t="s">
        <v>6116</v>
      </c>
      <c r="G1768" s="78" t="s">
        <v>6665</v>
      </c>
      <c r="H1768" s="78" t="s">
        <v>8660</v>
      </c>
      <c r="I1768" s="81">
        <v>2304</v>
      </c>
      <c r="J1768" s="82">
        <f>SUMIF(Cargas!$C$5:$C$3470,C1768,Cargas!$O$5:$O$3470)</f>
        <v>2304</v>
      </c>
      <c r="K1768" s="83">
        <f t="shared" si="36"/>
        <v>0</v>
      </c>
      <c r="L1768" s="124"/>
      <c r="M1768" s="85">
        <v>171327</v>
      </c>
    </row>
    <row r="1769" spans="1:40" hidden="1" x14ac:dyDescent="0.25">
      <c r="A1769" s="93"/>
      <c r="B1769" s="80">
        <v>46175</v>
      </c>
      <c r="C1769" s="77" t="s">
        <v>5999</v>
      </c>
      <c r="D1769" s="78" t="s">
        <v>9475</v>
      </c>
      <c r="E1769" s="123" t="s">
        <v>8600</v>
      </c>
      <c r="F1769" s="123" t="s">
        <v>6116</v>
      </c>
      <c r="G1769" s="78" t="s">
        <v>7569</v>
      </c>
      <c r="H1769" s="78" t="s">
        <v>9436</v>
      </c>
      <c r="I1769" s="81">
        <v>1960</v>
      </c>
      <c r="J1769" s="82">
        <f>SUMIF(Cargas!$C$5:$C$3470,C1769,Cargas!$O$5:$O$3470)</f>
        <v>1960</v>
      </c>
      <c r="K1769" s="83">
        <f t="shared" si="36"/>
        <v>0</v>
      </c>
      <c r="L1769" s="124">
        <v>1559792</v>
      </c>
      <c r="M1769" s="85">
        <v>110449</v>
      </c>
    </row>
    <row r="1770" spans="1:40" hidden="1" x14ac:dyDescent="0.25">
      <c r="B1770" s="58">
        <v>45684</v>
      </c>
      <c r="C1770" s="59" t="s">
        <v>3106</v>
      </c>
      <c r="D1770" s="61" t="s">
        <v>7614</v>
      </c>
      <c r="E1770" s="197" t="s">
        <v>8716</v>
      </c>
      <c r="F1770" s="197"/>
      <c r="G1770" s="61" t="s">
        <v>7569</v>
      </c>
      <c r="H1770" s="61" t="s">
        <v>9471</v>
      </c>
      <c r="I1770" s="62">
        <v>1960</v>
      </c>
      <c r="J1770" s="4">
        <f>SUMIF(Cargas!$C$5:$C$3470,C1770,Cargas!$O$5:$O$3470)</f>
        <v>1960</v>
      </c>
      <c r="K1770" s="18">
        <f t="shared" si="36"/>
        <v>0</v>
      </c>
      <c r="L1770" s="195">
        <v>1516333</v>
      </c>
      <c r="M1770" s="64"/>
    </row>
    <row r="1771" spans="1:40" hidden="1" x14ac:dyDescent="0.25">
      <c r="A1771" s="93"/>
      <c r="B1771" s="80">
        <v>46174</v>
      </c>
      <c r="C1771" s="77" t="s">
        <v>5996</v>
      </c>
      <c r="D1771" s="78" t="s">
        <v>9476</v>
      </c>
      <c r="E1771" s="123" t="s">
        <v>8802</v>
      </c>
      <c r="F1771" s="123" t="s">
        <v>6116</v>
      </c>
      <c r="G1771" s="78" t="s">
        <v>7569</v>
      </c>
      <c r="H1771" s="78" t="s">
        <v>9477</v>
      </c>
      <c r="I1771" s="81">
        <v>1960</v>
      </c>
      <c r="J1771" s="82">
        <f>SUMIF(Cargas!$C$5:$C$3470,C1771,Cargas!$O$5:$O$3470)</f>
        <v>1960</v>
      </c>
      <c r="K1771" s="83">
        <f t="shared" si="36"/>
        <v>0</v>
      </c>
      <c r="L1771" s="124">
        <v>1559790</v>
      </c>
      <c r="M1771" s="85">
        <v>110451</v>
      </c>
    </row>
    <row r="1772" spans="1:40" ht="26.25" hidden="1" x14ac:dyDescent="0.25">
      <c r="A1772" s="93"/>
      <c r="B1772" s="80">
        <v>46181</v>
      </c>
      <c r="C1772" s="77" t="s">
        <v>6020</v>
      </c>
      <c r="D1772" s="78" t="s">
        <v>9478</v>
      </c>
      <c r="E1772" s="123" t="s">
        <v>8595</v>
      </c>
      <c r="F1772" s="123" t="s">
        <v>6116</v>
      </c>
      <c r="G1772" s="78" t="s">
        <v>7569</v>
      </c>
      <c r="H1772" s="78" t="s">
        <v>9410</v>
      </c>
      <c r="I1772" s="81">
        <v>980</v>
      </c>
      <c r="J1772" s="82">
        <f>SUMIF(Cargas!$C$5:$C$3470,C1772,Cargas!$O$5:$O$3470)</f>
        <v>980</v>
      </c>
      <c r="K1772" s="83">
        <f t="shared" si="36"/>
        <v>0</v>
      </c>
      <c r="L1772" s="124" t="s">
        <v>9479</v>
      </c>
      <c r="M1772" s="85">
        <v>114302</v>
      </c>
    </row>
    <row r="1773" spans="1:40" hidden="1" x14ac:dyDescent="0.25">
      <c r="A1773" s="93"/>
      <c r="B1773" s="80">
        <v>46181</v>
      </c>
      <c r="C1773" s="77" t="s">
        <v>6034</v>
      </c>
      <c r="D1773" s="78" t="s">
        <v>9480</v>
      </c>
      <c r="E1773" s="123" t="s">
        <v>8600</v>
      </c>
      <c r="F1773" s="123" t="s">
        <v>6116</v>
      </c>
      <c r="G1773" s="78" t="s">
        <v>7569</v>
      </c>
      <c r="H1773" s="78" t="s">
        <v>9436</v>
      </c>
      <c r="I1773" s="81">
        <v>1960</v>
      </c>
      <c r="J1773" s="82">
        <f>SUMIF(Cargas!$C$5:$C$3470,C1773,Cargas!$O$5:$O$3470)</f>
        <v>1960</v>
      </c>
      <c r="K1773" s="83">
        <f t="shared" si="36"/>
        <v>0</v>
      </c>
      <c r="L1773" s="124">
        <v>1560285</v>
      </c>
      <c r="M1773" s="85">
        <v>115155</v>
      </c>
    </row>
    <row r="1774" spans="1:40" hidden="1" x14ac:dyDescent="0.25">
      <c r="A1774" s="93"/>
      <c r="B1774" s="80">
        <v>46181</v>
      </c>
      <c r="C1774" s="77" t="s">
        <v>6038</v>
      </c>
      <c r="D1774" s="78" t="s">
        <v>9481</v>
      </c>
      <c r="E1774" s="123" t="s">
        <v>8802</v>
      </c>
      <c r="F1774" s="123" t="s">
        <v>6116</v>
      </c>
      <c r="G1774" s="78" t="s">
        <v>7569</v>
      </c>
      <c r="H1774" s="78" t="s">
        <v>9477</v>
      </c>
      <c r="I1774" s="81">
        <v>980</v>
      </c>
      <c r="J1774" s="82">
        <f>SUMIF(Cargas!$C$5:$C$3470,C1774,Cargas!$O$5:$O$3470)</f>
        <v>980</v>
      </c>
      <c r="K1774" s="83">
        <f t="shared" si="36"/>
        <v>0</v>
      </c>
      <c r="L1774" s="124">
        <v>1560320</v>
      </c>
      <c r="M1774" s="85">
        <v>115168</v>
      </c>
    </row>
    <row r="1775" spans="1:40" hidden="1" x14ac:dyDescent="0.25">
      <c r="A1775" s="93"/>
      <c r="B1775" s="80">
        <v>46188</v>
      </c>
      <c r="C1775" s="77" t="s">
        <v>6059</v>
      </c>
      <c r="D1775" s="78" t="s">
        <v>9482</v>
      </c>
      <c r="E1775" s="123" t="s">
        <v>8802</v>
      </c>
      <c r="F1775" s="123" t="s">
        <v>6116</v>
      </c>
      <c r="G1775" s="78" t="s">
        <v>7569</v>
      </c>
      <c r="H1775" s="78" t="s">
        <v>9477</v>
      </c>
      <c r="I1775" s="81">
        <v>980</v>
      </c>
      <c r="J1775" s="82">
        <f>SUMIF(Cargas!$C$5:$C$3470,C1775,Cargas!$O$5:$O$3470)</f>
        <v>980</v>
      </c>
      <c r="K1775" s="83">
        <f t="shared" si="36"/>
        <v>0</v>
      </c>
      <c r="L1775" s="124">
        <v>1560731</v>
      </c>
      <c r="M1775" s="85">
        <v>118343</v>
      </c>
      <c r="N1775" s="93"/>
      <c r="O1775" s="93"/>
      <c r="P1775" s="93"/>
      <c r="Q1775" s="93"/>
      <c r="R1775" s="93"/>
      <c r="S1775" s="93"/>
      <c r="T1775" s="93"/>
      <c r="U1775" s="93"/>
      <c r="V1775" s="93"/>
      <c r="W1775" s="93"/>
      <c r="X1775" s="93"/>
      <c r="Y1775" s="93"/>
      <c r="Z1775" s="93"/>
      <c r="AA1775" s="93"/>
      <c r="AB1775" s="93"/>
      <c r="AC1775" s="93"/>
      <c r="AD1775" s="93"/>
      <c r="AE1775" s="93"/>
      <c r="AF1775" s="93"/>
      <c r="AG1775" s="93"/>
      <c r="AH1775" s="93"/>
      <c r="AI1775" s="93"/>
      <c r="AJ1775" s="93"/>
      <c r="AK1775" s="93"/>
      <c r="AL1775" s="93"/>
      <c r="AM1775" s="93"/>
      <c r="AN1775" s="93"/>
    </row>
    <row r="1776" spans="1:40" hidden="1" x14ac:dyDescent="0.25">
      <c r="A1776" s="93"/>
      <c r="B1776" s="80">
        <v>46188</v>
      </c>
      <c r="C1776" s="77" t="s">
        <v>6062</v>
      </c>
      <c r="D1776" s="78" t="s">
        <v>9483</v>
      </c>
      <c r="E1776" s="123" t="s">
        <v>8600</v>
      </c>
      <c r="F1776" s="123" t="s">
        <v>6116</v>
      </c>
      <c r="G1776" s="78" t="s">
        <v>7569</v>
      </c>
      <c r="H1776" s="78" t="s">
        <v>9436</v>
      </c>
      <c r="I1776" s="81">
        <v>1960</v>
      </c>
      <c r="J1776" s="82">
        <f>SUMIF(Cargas!$C$5:$C$3470,C1776,Cargas!$O$5:$O$3470)</f>
        <v>1960</v>
      </c>
      <c r="K1776" s="83">
        <f t="shared" si="36"/>
        <v>0</v>
      </c>
      <c r="L1776" s="124">
        <v>1560732</v>
      </c>
      <c r="M1776" s="85">
        <v>120392</v>
      </c>
      <c r="N1776" s="93"/>
      <c r="O1776" s="93"/>
      <c r="P1776" s="93"/>
      <c r="Q1776" s="93"/>
      <c r="R1776" s="93"/>
      <c r="S1776" s="93"/>
      <c r="T1776" s="93"/>
      <c r="U1776" s="93"/>
      <c r="V1776" s="93"/>
      <c r="W1776" s="93"/>
      <c r="X1776" s="93"/>
      <c r="Y1776" s="93"/>
      <c r="Z1776" s="93"/>
      <c r="AA1776" s="93"/>
      <c r="AB1776" s="93"/>
      <c r="AC1776" s="93"/>
      <c r="AD1776" s="93"/>
      <c r="AE1776" s="93"/>
      <c r="AF1776" s="93"/>
      <c r="AG1776" s="93"/>
      <c r="AH1776" s="93"/>
      <c r="AI1776" s="93"/>
      <c r="AJ1776" s="93"/>
      <c r="AK1776" s="93"/>
      <c r="AL1776" s="93"/>
      <c r="AM1776" s="93"/>
      <c r="AN1776" s="93"/>
    </row>
    <row r="1777" spans="1:40" hidden="1" x14ac:dyDescent="0.25">
      <c r="A1777" s="93"/>
      <c r="B1777" s="80">
        <v>46196</v>
      </c>
      <c r="C1777" s="77" t="s">
        <v>6102</v>
      </c>
      <c r="D1777" s="78" t="s">
        <v>9484</v>
      </c>
      <c r="E1777" s="123" t="s">
        <v>8600</v>
      </c>
      <c r="F1777" s="123" t="s">
        <v>6116</v>
      </c>
      <c r="G1777" s="78" t="s">
        <v>7569</v>
      </c>
      <c r="H1777" s="78" t="s">
        <v>9436</v>
      </c>
      <c r="I1777" s="81">
        <v>1960</v>
      </c>
      <c r="J1777" s="82">
        <f>SUMIF(Cargas!$C$5:$C$3470,C1777,Cargas!$O$5:$O$3470)</f>
        <v>1960</v>
      </c>
      <c r="K1777" s="83">
        <f t="shared" si="36"/>
        <v>0</v>
      </c>
      <c r="L1777" s="124">
        <v>1561239</v>
      </c>
      <c r="M1777" s="85">
        <v>124862</v>
      </c>
    </row>
    <row r="1778" spans="1:40" ht="26.25" hidden="1" x14ac:dyDescent="0.25">
      <c r="A1778" s="93"/>
      <c r="B1778" s="80">
        <v>46192</v>
      </c>
      <c r="C1778" s="77" t="s">
        <v>6095</v>
      </c>
      <c r="D1778" s="78" t="s">
        <v>9485</v>
      </c>
      <c r="E1778" s="123" t="s">
        <v>8595</v>
      </c>
      <c r="F1778" s="123" t="s">
        <v>6116</v>
      </c>
      <c r="G1778" s="78" t="s">
        <v>7569</v>
      </c>
      <c r="H1778" s="78" t="s">
        <v>9410</v>
      </c>
      <c r="I1778" s="81">
        <v>1960</v>
      </c>
      <c r="J1778" s="82">
        <f>SUMIF(Cargas!$C$5:$C$3470,C1778,Cargas!$O$5:$O$3470)</f>
        <v>1960</v>
      </c>
      <c r="K1778" s="83">
        <f t="shared" si="36"/>
        <v>0</v>
      </c>
      <c r="L1778" s="124">
        <v>1561223</v>
      </c>
      <c r="M1778" s="85">
        <v>124852</v>
      </c>
      <c r="N1778" s="93"/>
      <c r="O1778" s="93"/>
      <c r="P1778" s="93"/>
      <c r="Q1778" s="93"/>
      <c r="R1778" s="93"/>
      <c r="S1778" s="93"/>
      <c r="T1778" s="93"/>
      <c r="U1778" s="93"/>
      <c r="V1778" s="93"/>
      <c r="W1778" s="93"/>
      <c r="X1778" s="93"/>
      <c r="Y1778" s="93"/>
      <c r="Z1778" s="93"/>
      <c r="AA1778" s="93"/>
      <c r="AB1778" s="93"/>
      <c r="AC1778" s="93"/>
      <c r="AD1778" s="93"/>
      <c r="AE1778" s="93"/>
      <c r="AF1778" s="93"/>
      <c r="AG1778" s="93"/>
      <c r="AH1778" s="93"/>
      <c r="AI1778" s="93"/>
      <c r="AJ1778" s="93"/>
      <c r="AK1778" s="93"/>
      <c r="AL1778" s="93"/>
      <c r="AM1778" s="93"/>
      <c r="AN1778" s="93"/>
    </row>
    <row r="1779" spans="1:40" hidden="1" x14ac:dyDescent="0.25">
      <c r="A1779" s="93"/>
      <c r="B1779" s="80">
        <v>46195</v>
      </c>
      <c r="C1779" s="77" t="s">
        <v>6098</v>
      </c>
      <c r="D1779" s="78" t="s">
        <v>9486</v>
      </c>
      <c r="E1779" s="123" t="s">
        <v>8802</v>
      </c>
      <c r="F1779" s="123" t="s">
        <v>6116</v>
      </c>
      <c r="G1779" s="78" t="s">
        <v>7569</v>
      </c>
      <c r="H1779" s="78" t="s">
        <v>9461</v>
      </c>
      <c r="I1779" s="81">
        <v>980</v>
      </c>
      <c r="J1779" s="82">
        <f>SUMIF(Cargas!$C$5:$C$3470,C1779,Cargas!$O$5:$O$3470)</f>
        <v>980</v>
      </c>
      <c r="K1779" s="83">
        <f t="shared" si="36"/>
        <v>0</v>
      </c>
      <c r="L1779" s="124">
        <v>1561238</v>
      </c>
      <c r="M1779" s="85">
        <v>124856</v>
      </c>
    </row>
    <row r="1780" spans="1:40" hidden="1" x14ac:dyDescent="0.25">
      <c r="A1780" s="93"/>
      <c r="B1780" s="80">
        <v>46202</v>
      </c>
      <c r="C1780" s="77" t="s">
        <v>6115</v>
      </c>
      <c r="D1780" s="78" t="s">
        <v>9487</v>
      </c>
      <c r="E1780" s="123" t="s">
        <v>8600</v>
      </c>
      <c r="F1780" s="123" t="s">
        <v>6116</v>
      </c>
      <c r="G1780" s="78" t="s">
        <v>7569</v>
      </c>
      <c r="H1780" s="78" t="s">
        <v>9436</v>
      </c>
      <c r="I1780" s="81">
        <v>2940</v>
      </c>
      <c r="J1780" s="82">
        <f>SUMIF(Cargas!$C$5:$C$3470,C1780,Cargas!$O$5:$O$3470)</f>
        <v>2940</v>
      </c>
      <c r="K1780" s="83">
        <f t="shared" si="36"/>
        <v>0</v>
      </c>
      <c r="L1780" s="124">
        <v>1561937</v>
      </c>
      <c r="M1780" s="85">
        <v>129600</v>
      </c>
    </row>
    <row r="1781" spans="1:40" hidden="1" x14ac:dyDescent="0.25">
      <c r="A1781" s="93"/>
      <c r="B1781" s="80">
        <v>46202</v>
      </c>
      <c r="C1781" s="77" t="s">
        <v>6126</v>
      </c>
      <c r="D1781" s="78" t="s">
        <v>9488</v>
      </c>
      <c r="E1781" s="123" t="s">
        <v>8802</v>
      </c>
      <c r="F1781" s="123" t="s">
        <v>6116</v>
      </c>
      <c r="G1781" s="78" t="s">
        <v>7569</v>
      </c>
      <c r="H1781" s="78" t="s">
        <v>9461</v>
      </c>
      <c r="I1781" s="81">
        <v>980</v>
      </c>
      <c r="J1781" s="82">
        <f>SUMIF(Cargas!$C$5:$C$3470,C1781,Cargas!$O$5:$O$3470)</f>
        <v>980</v>
      </c>
      <c r="K1781" s="83">
        <f t="shared" si="36"/>
        <v>0</v>
      </c>
      <c r="L1781" s="124">
        <v>1561936</v>
      </c>
      <c r="M1781" s="85">
        <v>130875</v>
      </c>
    </row>
    <row r="1782" spans="1:40" hidden="1" x14ac:dyDescent="0.25">
      <c r="A1782" s="93"/>
      <c r="B1782" s="80">
        <v>46180</v>
      </c>
      <c r="C1782" s="77" t="s">
        <v>6156</v>
      </c>
      <c r="D1782" s="78" t="s">
        <v>9489</v>
      </c>
      <c r="E1782" s="123" t="s">
        <v>8600</v>
      </c>
      <c r="F1782" s="123" t="s">
        <v>6116</v>
      </c>
      <c r="G1782" s="78" t="s">
        <v>7569</v>
      </c>
      <c r="H1782" s="78" t="s">
        <v>9436</v>
      </c>
      <c r="I1782" s="81">
        <v>1960</v>
      </c>
      <c r="J1782" s="82">
        <f>SUMIF(Cargas!$C$5:$C$3470,C1782,Cargas!$O$5:$O$3470)</f>
        <v>1960</v>
      </c>
      <c r="K1782" s="83">
        <f t="shared" si="36"/>
        <v>0</v>
      </c>
      <c r="L1782" s="124">
        <v>1562680</v>
      </c>
      <c r="M1782" s="85">
        <v>133712</v>
      </c>
    </row>
    <row r="1783" spans="1:40" x14ac:dyDescent="0.25">
      <c r="A1783" s="93"/>
      <c r="B1783" s="80">
        <v>46265</v>
      </c>
      <c r="C1783" s="77" t="s">
        <v>6392</v>
      </c>
      <c r="D1783" s="78" t="s">
        <v>9490</v>
      </c>
      <c r="E1783" s="123" t="s">
        <v>6764</v>
      </c>
      <c r="F1783" s="123" t="s">
        <v>4081</v>
      </c>
      <c r="G1783" s="78" t="s">
        <v>6443</v>
      </c>
      <c r="H1783" s="78" t="s">
        <v>8660</v>
      </c>
      <c r="I1783" s="81">
        <v>1008</v>
      </c>
      <c r="J1783" s="82">
        <f>SUMIF(Cargas!$C$5:$C$3470,C1783,Cargas!$O$5:$O$3470)</f>
        <v>1008</v>
      </c>
      <c r="K1783" s="83">
        <f t="shared" si="36"/>
        <v>0</v>
      </c>
      <c r="L1783" s="124">
        <v>1568151</v>
      </c>
      <c r="M1783" s="85">
        <v>172349</v>
      </c>
    </row>
    <row r="1784" spans="1:40" x14ac:dyDescent="0.25">
      <c r="A1784" s="93"/>
      <c r="B1784" s="80">
        <v>46267</v>
      </c>
      <c r="C1784" s="77" t="s">
        <v>6420</v>
      </c>
      <c r="D1784" s="78" t="s">
        <v>9491</v>
      </c>
      <c r="E1784" s="123" t="s">
        <v>6764</v>
      </c>
      <c r="F1784" s="123" t="s">
        <v>2302</v>
      </c>
      <c r="G1784" s="78" t="s">
        <v>6443</v>
      </c>
      <c r="H1784" s="78" t="s">
        <v>6862</v>
      </c>
      <c r="I1784" s="81">
        <v>24500</v>
      </c>
      <c r="J1784" s="82">
        <f>SUMIF(Cargas!$C$5:$C$3470,C1784,Cargas!$O$5:$O$3470)</f>
        <v>24500</v>
      </c>
      <c r="K1784" s="83">
        <f t="shared" si="36"/>
        <v>0</v>
      </c>
      <c r="L1784" s="124">
        <v>1568284</v>
      </c>
      <c r="M1784" s="85">
        <v>176372</v>
      </c>
    </row>
    <row r="1785" spans="1:40" x14ac:dyDescent="0.25">
      <c r="A1785" s="93"/>
      <c r="B1785" s="80">
        <v>46216</v>
      </c>
      <c r="C1785" s="77" t="s">
        <v>6186</v>
      </c>
      <c r="D1785" s="78" t="s">
        <v>9492</v>
      </c>
      <c r="E1785" s="123" t="s">
        <v>8802</v>
      </c>
      <c r="F1785" s="123" t="s">
        <v>6116</v>
      </c>
      <c r="G1785" s="78" t="s">
        <v>7569</v>
      </c>
      <c r="H1785" s="78" t="s">
        <v>9461</v>
      </c>
      <c r="I1785" s="81">
        <v>980</v>
      </c>
      <c r="J1785" s="82">
        <f>SUMIF(Cargas!$C$5:$C$3470,C1785,Cargas!$O$5:$O$3470)</f>
        <v>980</v>
      </c>
      <c r="K1785" s="83">
        <f t="shared" si="36"/>
        <v>0</v>
      </c>
      <c r="L1785" s="124" t="s">
        <v>9493</v>
      </c>
      <c r="M1785" s="85">
        <v>138459</v>
      </c>
    </row>
    <row r="1786" spans="1:40" x14ac:dyDescent="0.25">
      <c r="A1786" s="93"/>
      <c r="B1786" s="80">
        <v>46218</v>
      </c>
      <c r="C1786" s="77" t="s">
        <v>6209</v>
      </c>
      <c r="D1786" s="78" t="s">
        <v>9494</v>
      </c>
      <c r="E1786" s="123" t="s">
        <v>9495</v>
      </c>
      <c r="F1786" s="123" t="s">
        <v>6116</v>
      </c>
      <c r="G1786" s="78" t="s">
        <v>7569</v>
      </c>
      <c r="H1786" s="78" t="s">
        <v>9496</v>
      </c>
      <c r="I1786" s="81">
        <v>980</v>
      </c>
      <c r="J1786" s="82">
        <f>SUMIF(Cargas!$C$5:$C$3470,C1786,Cargas!$O$5:$O$3470)</f>
        <v>980</v>
      </c>
      <c r="K1786" s="83">
        <f t="shared" si="36"/>
        <v>0</v>
      </c>
      <c r="L1786" s="124" t="s">
        <v>9497</v>
      </c>
      <c r="M1786" s="85">
        <v>142623</v>
      </c>
    </row>
    <row r="1787" spans="1:40" x14ac:dyDescent="0.25">
      <c r="A1787" s="93"/>
      <c r="B1787" s="80">
        <v>46221</v>
      </c>
      <c r="C1787" s="77" t="s">
        <v>6211</v>
      </c>
      <c r="D1787" s="78" t="s">
        <v>9498</v>
      </c>
      <c r="E1787" s="123" t="s">
        <v>8600</v>
      </c>
      <c r="F1787" s="123" t="s">
        <v>6116</v>
      </c>
      <c r="G1787" s="78" t="s">
        <v>7569</v>
      </c>
      <c r="H1787" s="78" t="s">
        <v>9436</v>
      </c>
      <c r="I1787" s="81">
        <v>2940</v>
      </c>
      <c r="J1787" s="82">
        <f>SUMIF(Cargas!$C$5:$C$3470,C1787,Cargas!$O$5:$O$3470)</f>
        <v>2940</v>
      </c>
      <c r="K1787" s="83">
        <f t="shared" si="36"/>
        <v>0</v>
      </c>
      <c r="L1787" s="124">
        <v>1563763</v>
      </c>
      <c r="M1787" s="85">
        <v>142643</v>
      </c>
    </row>
    <row r="1788" spans="1:40" x14ac:dyDescent="0.25">
      <c r="A1788" s="93"/>
      <c r="B1788" s="80">
        <v>46227</v>
      </c>
      <c r="C1788" s="77" t="s">
        <v>6240</v>
      </c>
      <c r="D1788" s="78" t="s">
        <v>9499</v>
      </c>
      <c r="E1788" s="123" t="s">
        <v>8600</v>
      </c>
      <c r="F1788" s="123" t="s">
        <v>6116</v>
      </c>
      <c r="G1788" s="78" t="s">
        <v>7569</v>
      </c>
      <c r="H1788" s="78" t="s">
        <v>9436</v>
      </c>
      <c r="I1788" s="81">
        <v>5880</v>
      </c>
      <c r="J1788" s="82">
        <f>SUMIF(Cargas!$C$5:$C$3470,C1788,Cargas!$O$5:$O$3470)</f>
        <v>5880</v>
      </c>
      <c r="K1788" s="83">
        <f t="shared" si="36"/>
        <v>0</v>
      </c>
      <c r="L1788" s="124">
        <v>1564267</v>
      </c>
      <c r="M1788" s="85">
        <v>147421</v>
      </c>
    </row>
    <row r="1789" spans="1:40" x14ac:dyDescent="0.25">
      <c r="A1789" s="93"/>
      <c r="B1789" s="80">
        <v>46227</v>
      </c>
      <c r="C1789" s="77" t="s">
        <v>6248</v>
      </c>
      <c r="D1789" s="78" t="s">
        <v>9500</v>
      </c>
      <c r="E1789" s="123" t="s">
        <v>9495</v>
      </c>
      <c r="F1789" s="123" t="s">
        <v>6116</v>
      </c>
      <c r="G1789" s="78" t="s">
        <v>7569</v>
      </c>
      <c r="H1789" s="78" t="s">
        <v>9496</v>
      </c>
      <c r="I1789" s="81">
        <v>980</v>
      </c>
      <c r="J1789" s="82">
        <f>SUMIF(Cargas!$C$5:$C$3470,C1789,Cargas!$O$5:$O$3470)</f>
        <v>980</v>
      </c>
      <c r="K1789" s="83">
        <f t="shared" si="36"/>
        <v>0</v>
      </c>
      <c r="L1789" s="124" t="s">
        <v>9501</v>
      </c>
      <c r="M1789" s="85">
        <v>149621</v>
      </c>
    </row>
    <row r="1790" spans="1:40" ht="26.25" x14ac:dyDescent="0.25">
      <c r="A1790" s="93"/>
      <c r="B1790" s="80">
        <v>46232</v>
      </c>
      <c r="C1790" s="77" t="s">
        <v>6250</v>
      </c>
      <c r="D1790" s="78" t="s">
        <v>9502</v>
      </c>
      <c r="E1790" s="123" t="s">
        <v>9503</v>
      </c>
      <c r="F1790" s="123" t="s">
        <v>6116</v>
      </c>
      <c r="G1790" s="78" t="s">
        <v>7569</v>
      </c>
      <c r="H1790" s="78" t="s">
        <v>9496</v>
      </c>
      <c r="I1790" s="81">
        <v>1960</v>
      </c>
      <c r="J1790" s="82">
        <f>SUMIF(Cargas!$C$5:$C$3470,C1790,Cargas!$O$5:$O$3470)</f>
        <v>1960</v>
      </c>
      <c r="K1790" s="83">
        <f t="shared" si="36"/>
        <v>0</v>
      </c>
      <c r="L1790" s="124">
        <v>1564268</v>
      </c>
      <c r="M1790" s="85">
        <v>150796</v>
      </c>
    </row>
    <row r="1791" spans="1:40" x14ac:dyDescent="0.25">
      <c r="A1791" s="93"/>
      <c r="B1791" s="80">
        <v>46234</v>
      </c>
      <c r="C1791" s="77" t="s">
        <v>6265</v>
      </c>
      <c r="D1791" s="78" t="s">
        <v>9504</v>
      </c>
      <c r="E1791" s="123" t="s">
        <v>8600</v>
      </c>
      <c r="F1791" s="123" t="s">
        <v>6116</v>
      </c>
      <c r="G1791" s="78" t="s">
        <v>7569</v>
      </c>
      <c r="H1791" s="78" t="s">
        <v>9461</v>
      </c>
      <c r="I1791" s="81">
        <v>2940</v>
      </c>
      <c r="J1791" s="82">
        <f>SUMIF(Cargas!$C$5:$C$3470,C1791,Cargas!$O$5:$O$3470)</f>
        <v>2940</v>
      </c>
      <c r="K1791" s="83">
        <f t="shared" ref="K1791:K1822" si="37">IF(ABS(I1791-J1791)&lt;20,0,I1791-J1791)</f>
        <v>0</v>
      </c>
      <c r="L1791" s="124">
        <v>1564268</v>
      </c>
      <c r="M1791" s="85">
        <v>153948</v>
      </c>
    </row>
    <row r="1792" spans="1:40" x14ac:dyDescent="0.25">
      <c r="A1792" s="93"/>
      <c r="B1792" s="80">
        <v>46226</v>
      </c>
      <c r="C1792" s="77" t="s">
        <v>6282</v>
      </c>
      <c r="D1792" s="78" t="s">
        <v>9505</v>
      </c>
      <c r="E1792" s="123" t="s">
        <v>8802</v>
      </c>
      <c r="F1792" s="123" t="s">
        <v>6116</v>
      </c>
      <c r="G1792" s="78" t="s">
        <v>7569</v>
      </c>
      <c r="H1792" s="78" t="s">
        <v>9496</v>
      </c>
      <c r="I1792" s="81">
        <v>1960</v>
      </c>
      <c r="J1792" s="82">
        <f>SUMIF(Cargas!$C$5:$C$3470,C1792,Cargas!$O$5:$O$3470)</f>
        <v>1960</v>
      </c>
      <c r="K1792" s="83">
        <f t="shared" si="37"/>
        <v>0</v>
      </c>
      <c r="L1792" s="124">
        <v>1565114</v>
      </c>
      <c r="M1792" s="85">
        <v>155344</v>
      </c>
    </row>
    <row r="1793" spans="1:13" x14ac:dyDescent="0.25">
      <c r="A1793" s="93"/>
      <c r="B1793" s="80">
        <v>46241</v>
      </c>
      <c r="C1793" s="77" t="s">
        <v>6304</v>
      </c>
      <c r="D1793" s="78" t="s">
        <v>9506</v>
      </c>
      <c r="E1793" s="123" t="s">
        <v>9507</v>
      </c>
      <c r="F1793" s="123" t="s">
        <v>6116</v>
      </c>
      <c r="G1793" s="78" t="s">
        <v>7569</v>
      </c>
      <c r="H1793" s="78"/>
      <c r="I1793" s="81">
        <v>980</v>
      </c>
      <c r="J1793" s="82">
        <f>SUMIF(Cargas!$C$5:$C$3470,C1793,Cargas!$O$5:$O$3470)</f>
        <v>980</v>
      </c>
      <c r="K1793" s="83">
        <f t="shared" si="37"/>
        <v>0</v>
      </c>
      <c r="L1793" s="124">
        <v>1565580</v>
      </c>
      <c r="M1793" s="85">
        <v>159666</v>
      </c>
    </row>
    <row r="1794" spans="1:13" x14ac:dyDescent="0.25">
      <c r="A1794" s="93"/>
      <c r="B1794" s="80">
        <v>46241</v>
      </c>
      <c r="C1794" s="77" t="s">
        <v>6294</v>
      </c>
      <c r="D1794" s="78" t="s">
        <v>9508</v>
      </c>
      <c r="E1794" s="123" t="s">
        <v>8600</v>
      </c>
      <c r="F1794" s="123" t="s">
        <v>6116</v>
      </c>
      <c r="G1794" s="78" t="s">
        <v>7569</v>
      </c>
      <c r="H1794" s="78" t="s">
        <v>9436</v>
      </c>
      <c r="I1794" s="81">
        <v>5880</v>
      </c>
      <c r="J1794" s="82">
        <f>SUMIF(Cargas!$C$5:$C$3470,C1794,Cargas!$O$5:$O$3470)</f>
        <v>5880</v>
      </c>
      <c r="K1794" s="83">
        <f t="shared" si="37"/>
        <v>0</v>
      </c>
      <c r="L1794" s="124">
        <v>1565614</v>
      </c>
      <c r="M1794" s="85">
        <v>157769</v>
      </c>
    </row>
    <row r="1795" spans="1:13" x14ac:dyDescent="0.25">
      <c r="A1795" s="93"/>
      <c r="B1795" s="80">
        <v>46245</v>
      </c>
      <c r="C1795" s="77" t="s">
        <v>6313</v>
      </c>
      <c r="D1795" s="78" t="s">
        <v>9509</v>
      </c>
      <c r="E1795" s="123" t="s">
        <v>8802</v>
      </c>
      <c r="F1795" s="123" t="s">
        <v>6116</v>
      </c>
      <c r="G1795" s="78" t="s">
        <v>7569</v>
      </c>
      <c r="H1795" s="78" t="s">
        <v>9436</v>
      </c>
      <c r="I1795" s="81">
        <v>1960</v>
      </c>
      <c r="J1795" s="82">
        <f>SUMIF(Cargas!$C$5:$C$3470,C1795,Cargas!$O$5:$O$3470)</f>
        <v>1960</v>
      </c>
      <c r="K1795" s="83">
        <f t="shared" si="37"/>
        <v>0</v>
      </c>
      <c r="L1795" s="124">
        <v>1565613</v>
      </c>
      <c r="M1795" s="85">
        <v>160629</v>
      </c>
    </row>
    <row r="1796" spans="1:13" x14ac:dyDescent="0.25">
      <c r="A1796" s="93"/>
      <c r="B1796" s="80">
        <v>46247</v>
      </c>
      <c r="C1796" s="77" t="s">
        <v>6328</v>
      </c>
      <c r="D1796" s="78" t="s">
        <v>9510</v>
      </c>
      <c r="E1796" s="123" t="s">
        <v>9507</v>
      </c>
      <c r="F1796" s="123" t="s">
        <v>6116</v>
      </c>
      <c r="G1796" s="78" t="s">
        <v>7569</v>
      </c>
      <c r="H1796" s="78"/>
      <c r="I1796" s="81">
        <v>980</v>
      </c>
      <c r="J1796" s="82">
        <f>SUMIF(Cargas!$C$5:$C$3470,C1796,Cargas!$O$5:$O$3470)</f>
        <v>980</v>
      </c>
      <c r="K1796" s="83">
        <f t="shared" si="37"/>
        <v>0</v>
      </c>
      <c r="L1796" s="124">
        <v>1566325</v>
      </c>
      <c r="M1796" s="85">
        <v>163869</v>
      </c>
    </row>
    <row r="1797" spans="1:13" x14ac:dyDescent="0.25">
      <c r="A1797" s="93"/>
      <c r="B1797" s="80">
        <v>46251</v>
      </c>
      <c r="C1797" s="77" t="s">
        <v>6333</v>
      </c>
      <c r="D1797" s="78" t="s">
        <v>9511</v>
      </c>
      <c r="E1797" s="123" t="s">
        <v>9507</v>
      </c>
      <c r="F1797" s="123" t="s">
        <v>6116</v>
      </c>
      <c r="G1797" s="78" t="s">
        <v>7569</v>
      </c>
      <c r="H1797" s="78" t="s">
        <v>9512</v>
      </c>
      <c r="I1797" s="81">
        <v>1960</v>
      </c>
      <c r="J1797" s="82">
        <f>SUMIF(Cargas!$C$5:$C$3470,C1797,Cargas!$O$5:$O$3470)</f>
        <v>1960</v>
      </c>
      <c r="K1797" s="83">
        <f t="shared" si="37"/>
        <v>0</v>
      </c>
      <c r="L1797" s="124">
        <v>1566463</v>
      </c>
      <c r="M1797" s="85">
        <v>164876</v>
      </c>
    </row>
    <row r="1798" spans="1:13" x14ac:dyDescent="0.25">
      <c r="A1798" s="93"/>
      <c r="B1798" s="80">
        <v>46251</v>
      </c>
      <c r="C1798" s="77" t="s">
        <v>6331</v>
      </c>
      <c r="D1798" s="78" t="s">
        <v>9513</v>
      </c>
      <c r="E1798" s="123" t="s">
        <v>8600</v>
      </c>
      <c r="F1798" s="123" t="s">
        <v>6116</v>
      </c>
      <c r="G1798" s="78" t="s">
        <v>7569</v>
      </c>
      <c r="H1798" s="78" t="s">
        <v>9436</v>
      </c>
      <c r="I1798" s="81">
        <v>980</v>
      </c>
      <c r="J1798" s="82">
        <f>SUMIF(Cargas!$C$5:$C$3470,C1798,Cargas!$O$5:$O$3470)</f>
        <v>980</v>
      </c>
      <c r="K1798" s="83">
        <f t="shared" si="37"/>
        <v>0</v>
      </c>
      <c r="L1798" s="124">
        <v>1566413</v>
      </c>
      <c r="M1798" s="85">
        <v>164889</v>
      </c>
    </row>
    <row r="1799" spans="1:13" x14ac:dyDescent="0.25">
      <c r="A1799" s="93"/>
      <c r="B1799" s="80">
        <v>46255</v>
      </c>
      <c r="C1799" s="77" t="s">
        <v>6362</v>
      </c>
      <c r="D1799" s="78" t="s">
        <v>9514</v>
      </c>
      <c r="E1799" s="123" t="s">
        <v>9507</v>
      </c>
      <c r="F1799" s="123" t="s">
        <v>6116</v>
      </c>
      <c r="G1799" s="78" t="s">
        <v>7569</v>
      </c>
      <c r="H1799" s="78" t="s">
        <v>9512</v>
      </c>
      <c r="I1799" s="81">
        <v>980</v>
      </c>
      <c r="J1799" s="82">
        <f>SUMIF(Cargas!$C$5:$C$3470,C1799,Cargas!$O$5:$O$3470)</f>
        <v>980</v>
      </c>
      <c r="K1799" s="83">
        <f t="shared" si="37"/>
        <v>0</v>
      </c>
      <c r="L1799" s="124">
        <v>1567341</v>
      </c>
      <c r="M1799" s="85">
        <v>167641</v>
      </c>
    </row>
    <row r="1800" spans="1:13" x14ac:dyDescent="0.25">
      <c r="A1800" s="93"/>
      <c r="B1800" s="80">
        <v>46258</v>
      </c>
      <c r="C1800" s="77" t="s">
        <v>6366</v>
      </c>
      <c r="D1800" s="78" t="s">
        <v>9515</v>
      </c>
      <c r="E1800" s="123" t="s">
        <v>8600</v>
      </c>
      <c r="F1800" s="123" t="s">
        <v>6116</v>
      </c>
      <c r="G1800" s="78" t="s">
        <v>7569</v>
      </c>
      <c r="H1800" s="78" t="s">
        <v>9436</v>
      </c>
      <c r="I1800" s="81">
        <v>980</v>
      </c>
      <c r="J1800" s="82">
        <f>SUMIF(Cargas!$C$5:$C$3470,C1800,Cargas!$O$5:$O$3470)</f>
        <v>980</v>
      </c>
      <c r="K1800" s="83">
        <f t="shared" si="37"/>
        <v>0</v>
      </c>
      <c r="L1800" s="124">
        <v>1567381</v>
      </c>
      <c r="M1800" s="85">
        <v>168178</v>
      </c>
    </row>
    <row r="1801" spans="1:13" x14ac:dyDescent="0.25">
      <c r="A1801" s="93"/>
      <c r="B1801" s="80">
        <v>46265</v>
      </c>
      <c r="C1801" s="77" t="s">
        <v>6394</v>
      </c>
      <c r="D1801" s="78" t="s">
        <v>9516</v>
      </c>
      <c r="E1801" s="123" t="s">
        <v>8600</v>
      </c>
      <c r="F1801" s="123" t="s">
        <v>6116</v>
      </c>
      <c r="G1801" s="78" t="s">
        <v>7569</v>
      </c>
      <c r="H1801" s="78" t="s">
        <v>9436</v>
      </c>
      <c r="I1801" s="81">
        <v>1960</v>
      </c>
      <c r="J1801" s="82">
        <f>SUMIF(Cargas!$C$5:$C$3470,C1801,Cargas!$O$5:$O$3470)</f>
        <v>1960</v>
      </c>
      <c r="K1801" s="83">
        <f t="shared" si="37"/>
        <v>0</v>
      </c>
      <c r="L1801" s="124">
        <v>1568045</v>
      </c>
      <c r="M1801" s="85">
        <v>172541</v>
      </c>
    </row>
    <row r="1802" spans="1:13" x14ac:dyDescent="0.25">
      <c r="A1802" s="93"/>
      <c r="B1802" s="80">
        <v>46262</v>
      </c>
      <c r="C1802" s="77" t="s">
        <v>6397</v>
      </c>
      <c r="D1802" s="78" t="s">
        <v>9517</v>
      </c>
      <c r="E1802" s="123" t="s">
        <v>9507</v>
      </c>
      <c r="F1802" s="123" t="s">
        <v>6116</v>
      </c>
      <c r="G1802" s="78" t="s">
        <v>7569</v>
      </c>
      <c r="H1802" s="78" t="s">
        <v>9512</v>
      </c>
      <c r="I1802" s="81">
        <v>1960</v>
      </c>
      <c r="J1802" s="82">
        <f>SUMIF(Cargas!$C$5:$C$3470,C1802,Cargas!$O$5:$O$3470)</f>
        <v>1960</v>
      </c>
      <c r="K1802" s="83">
        <f t="shared" si="37"/>
        <v>0</v>
      </c>
      <c r="L1802" s="124">
        <v>1568206</v>
      </c>
      <c r="M1802" s="85">
        <v>173362</v>
      </c>
    </row>
    <row r="1803" spans="1:13" x14ac:dyDescent="0.25">
      <c r="A1803" s="93"/>
      <c r="B1803" s="80">
        <v>46266</v>
      </c>
      <c r="C1803" s="77" t="s">
        <v>6413</v>
      </c>
      <c r="D1803" s="78" t="s">
        <v>9518</v>
      </c>
      <c r="E1803" s="123" t="s">
        <v>8600</v>
      </c>
      <c r="F1803" s="123" t="s">
        <v>6116</v>
      </c>
      <c r="G1803" s="78" t="s">
        <v>7569</v>
      </c>
      <c r="H1803" s="78" t="s">
        <v>9436</v>
      </c>
      <c r="I1803" s="81">
        <v>980</v>
      </c>
      <c r="J1803" s="82">
        <f>SUMIF(Cargas!$C$5:$C$3470,C1803,Cargas!$O$5:$O$3470)</f>
        <v>980</v>
      </c>
      <c r="K1803" s="83">
        <f t="shared" si="37"/>
        <v>0</v>
      </c>
      <c r="L1803" s="124">
        <v>1568046</v>
      </c>
      <c r="M1803" s="85">
        <v>175442</v>
      </c>
    </row>
    <row r="1804" spans="1:13" x14ac:dyDescent="0.25">
      <c r="A1804" s="93"/>
      <c r="B1804" s="80">
        <v>46266</v>
      </c>
      <c r="C1804" s="77" t="s">
        <v>6411</v>
      </c>
      <c r="D1804" s="78" t="s">
        <v>9519</v>
      </c>
      <c r="E1804" s="123" t="s">
        <v>8802</v>
      </c>
      <c r="F1804" s="123" t="s">
        <v>6116</v>
      </c>
      <c r="G1804" s="78" t="s">
        <v>7569</v>
      </c>
      <c r="H1804" s="78" t="s">
        <v>9496</v>
      </c>
      <c r="I1804" s="81">
        <v>980</v>
      </c>
      <c r="J1804" s="82">
        <f>SUMIF(Cargas!$C$5:$C$3470,C1804,Cargas!$O$5:$O$3470)</f>
        <v>980</v>
      </c>
      <c r="K1804" s="83">
        <f t="shared" si="37"/>
        <v>0</v>
      </c>
      <c r="L1804" s="124">
        <v>1568047</v>
      </c>
      <c r="M1804" s="85">
        <v>175465</v>
      </c>
    </row>
    <row r="1805" spans="1:13" x14ac:dyDescent="0.25">
      <c r="A1805" s="93"/>
      <c r="B1805" s="80">
        <v>46269</v>
      </c>
      <c r="C1805" s="77" t="s">
        <v>6421</v>
      </c>
      <c r="D1805" s="78" t="s">
        <v>9520</v>
      </c>
      <c r="E1805" s="123" t="s">
        <v>8802</v>
      </c>
      <c r="F1805" s="123" t="s">
        <v>6116</v>
      </c>
      <c r="G1805" s="78" t="s">
        <v>7569</v>
      </c>
      <c r="H1805" s="78" t="s">
        <v>9496</v>
      </c>
      <c r="I1805" s="81">
        <v>980</v>
      </c>
      <c r="J1805" s="82">
        <f>SUMIF(Cargas!$C$5:$C$3470,C1805,Cargas!$O$5:$O$3470)</f>
        <v>980</v>
      </c>
      <c r="K1805" s="83">
        <f t="shared" si="37"/>
        <v>0</v>
      </c>
      <c r="L1805" s="124">
        <v>1568303</v>
      </c>
      <c r="M1805" s="85">
        <v>177522</v>
      </c>
    </row>
    <row r="1806" spans="1:13" x14ac:dyDescent="0.25">
      <c r="A1806" s="93"/>
      <c r="B1806" s="80">
        <v>46269</v>
      </c>
      <c r="C1806" s="77" t="s">
        <v>6422</v>
      </c>
      <c r="D1806" s="78" t="s">
        <v>9521</v>
      </c>
      <c r="E1806" s="123" t="s">
        <v>8600</v>
      </c>
      <c r="F1806" s="123" t="s">
        <v>6116</v>
      </c>
      <c r="G1806" s="78" t="s">
        <v>7569</v>
      </c>
      <c r="H1806" s="78" t="s">
        <v>9436</v>
      </c>
      <c r="I1806" s="81">
        <v>2940</v>
      </c>
      <c r="J1806" s="82">
        <f>SUMIF(Cargas!$C$5:$C$3470,C1806,Cargas!$O$5:$O$3470)</f>
        <v>2940</v>
      </c>
      <c r="K1806" s="83">
        <f t="shared" si="37"/>
        <v>0</v>
      </c>
      <c r="L1806" s="124">
        <v>1568707</v>
      </c>
      <c r="M1806" s="85">
        <v>177535</v>
      </c>
    </row>
    <row r="1807" spans="1:13" x14ac:dyDescent="0.25">
      <c r="A1807" s="93"/>
      <c r="B1807" s="80">
        <v>46269</v>
      </c>
      <c r="C1807" s="77" t="s">
        <v>6425</v>
      </c>
      <c r="D1807" s="78" t="s">
        <v>9522</v>
      </c>
      <c r="E1807" s="123" t="s">
        <v>9507</v>
      </c>
      <c r="F1807" s="123" t="s">
        <v>6116</v>
      </c>
      <c r="G1807" s="78" t="s">
        <v>7569</v>
      </c>
      <c r="H1807" s="78" t="s">
        <v>9512</v>
      </c>
      <c r="I1807" s="81">
        <v>1960</v>
      </c>
      <c r="J1807" s="82">
        <f>SUMIF(Cargas!$C$5:$C$3470,C1807,Cargas!$O$5:$O$3470)</f>
        <v>1960</v>
      </c>
      <c r="K1807" s="83">
        <f t="shared" si="37"/>
        <v>0</v>
      </c>
      <c r="L1807" s="124">
        <v>1568658</v>
      </c>
      <c r="M1807" s="85" t="s">
        <v>299</v>
      </c>
    </row>
    <row r="1808" spans="1:13" ht="26.25" x14ac:dyDescent="0.25">
      <c r="A1808" s="93"/>
      <c r="B1808" s="80">
        <v>46268</v>
      </c>
      <c r="C1808" s="77" t="s">
        <v>6426</v>
      </c>
      <c r="D1808" s="78" t="s">
        <v>9523</v>
      </c>
      <c r="E1808" s="123" t="s">
        <v>8595</v>
      </c>
      <c r="F1808" s="123" t="s">
        <v>6116</v>
      </c>
      <c r="G1808" s="78" t="s">
        <v>7569</v>
      </c>
      <c r="H1808" s="78" t="s">
        <v>8608</v>
      </c>
      <c r="I1808" s="81">
        <v>980</v>
      </c>
      <c r="J1808" s="82">
        <f>SUMIF(Cargas!$C$5:$C$3470,C1808,Cargas!$O$5:$O$3470)</f>
        <v>980</v>
      </c>
      <c r="K1808" s="83">
        <f t="shared" si="37"/>
        <v>0</v>
      </c>
      <c r="L1808" s="124">
        <v>1568708</v>
      </c>
      <c r="M1808" s="85" t="s">
        <v>299</v>
      </c>
    </row>
    <row r="1809" spans="1:40" x14ac:dyDescent="0.25">
      <c r="A1809" s="93"/>
      <c r="B1809" s="80">
        <v>46272</v>
      </c>
      <c r="C1809" s="77" t="s">
        <v>6424</v>
      </c>
      <c r="D1809" s="78" t="s">
        <v>9524</v>
      </c>
      <c r="E1809" s="123" t="s">
        <v>8802</v>
      </c>
      <c r="F1809" s="123" t="s">
        <v>6116</v>
      </c>
      <c r="G1809" s="78" t="s">
        <v>7569</v>
      </c>
      <c r="H1809" s="78" t="s">
        <v>9461</v>
      </c>
      <c r="I1809" s="81">
        <v>1960</v>
      </c>
      <c r="J1809" s="82">
        <f>SUMIF(Cargas!$C$5:$C$3470,C1809,Cargas!$O$5:$O$3470)</f>
        <v>1960</v>
      </c>
      <c r="K1809" s="83">
        <f t="shared" si="37"/>
        <v>0</v>
      </c>
      <c r="L1809" s="124" t="s">
        <v>9525</v>
      </c>
      <c r="M1809" s="85" t="s">
        <v>299</v>
      </c>
    </row>
    <row r="1810" spans="1:40" ht="26.25" hidden="1" x14ac:dyDescent="0.25">
      <c r="B1810" s="80">
        <v>46079</v>
      </c>
      <c r="C1810" s="77" t="s">
        <v>5651</v>
      </c>
      <c r="D1810" s="78" t="s">
        <v>9526</v>
      </c>
      <c r="E1810" s="123" t="s">
        <v>8595</v>
      </c>
      <c r="F1810" s="123"/>
      <c r="G1810" s="78" t="s">
        <v>7569</v>
      </c>
      <c r="H1810" s="78" t="s">
        <v>9410</v>
      </c>
      <c r="I1810" s="81">
        <v>545</v>
      </c>
      <c r="J1810" s="82">
        <f>SUMIF(Cargas!$C$5:$C$3470,C1810,Cargas!$O$5:$O$3470)</f>
        <v>545</v>
      </c>
      <c r="K1810" s="83">
        <f t="shared" ref="K1810" si="38">IF(ABS(I1810-J1810)&lt;20,0,I1810-J1810)</f>
        <v>0</v>
      </c>
      <c r="L1810" s="124"/>
      <c r="M1810" s="85">
        <v>44287</v>
      </c>
    </row>
    <row r="1811" spans="1:40" s="93" customFormat="1" ht="26.25" hidden="1" x14ac:dyDescent="0.25">
      <c r="A1811"/>
      <c r="B1811" s="58">
        <v>45686</v>
      </c>
      <c r="C1811" s="59" t="s">
        <v>3130</v>
      </c>
      <c r="D1811" s="61" t="s">
        <v>7617</v>
      </c>
      <c r="E1811" s="197" t="s">
        <v>8595</v>
      </c>
      <c r="F1811" s="197"/>
      <c r="G1811" s="61" t="s">
        <v>7569</v>
      </c>
      <c r="H1811" s="61"/>
      <c r="I1811" s="62">
        <v>1960</v>
      </c>
      <c r="J1811" s="4">
        <f>SUMIF(Cargas!$C$5:$C$3470,C1811,Cargas!$O$5:$O$3470)</f>
        <v>1960</v>
      </c>
      <c r="K1811" s="18">
        <f t="shared" ref="K1811:K1829" si="39">IF(ABS(I1811-J1811)&lt;20,0,I1811-J1811)</f>
        <v>0</v>
      </c>
      <c r="L1811" s="195"/>
      <c r="M1811" s="64">
        <v>22216</v>
      </c>
    </row>
    <row r="1812" spans="1:40" s="93" customFormat="1" hidden="1" x14ac:dyDescent="0.25">
      <c r="A1812"/>
      <c r="B1812" s="58">
        <v>45691</v>
      </c>
      <c r="C1812" s="59" t="s">
        <v>3134</v>
      </c>
      <c r="D1812" s="61" t="s">
        <v>7620</v>
      </c>
      <c r="E1812" s="197" t="s">
        <v>8600</v>
      </c>
      <c r="F1812" s="197"/>
      <c r="G1812" s="61" t="s">
        <v>7569</v>
      </c>
      <c r="H1812" s="61"/>
      <c r="I1812" s="62">
        <v>1960</v>
      </c>
      <c r="J1812" s="4">
        <f>SUMIF(Cargas!$C$5:$C$3470,C1812,Cargas!$O$5:$O$3470)</f>
        <v>1960</v>
      </c>
      <c r="K1812" s="18">
        <f t="shared" si="39"/>
        <v>0</v>
      </c>
      <c r="L1812" s="195"/>
      <c r="M1812" s="64">
        <v>23019</v>
      </c>
      <c r="AN1812" s="93" t="s">
        <v>9527</v>
      </c>
    </row>
    <row r="1813" spans="1:40" s="93" customFormat="1" hidden="1" x14ac:dyDescent="0.25">
      <c r="A1813"/>
      <c r="B1813" s="58">
        <v>45691</v>
      </c>
      <c r="C1813" s="59" t="s">
        <v>3142</v>
      </c>
      <c r="D1813" s="61" t="s">
        <v>7623</v>
      </c>
      <c r="E1813" s="197" t="s">
        <v>8523</v>
      </c>
      <c r="F1813" s="197"/>
      <c r="G1813" s="61" t="s">
        <v>7569</v>
      </c>
      <c r="H1813" s="61"/>
      <c r="I1813" s="62">
        <v>1960</v>
      </c>
      <c r="J1813" s="4">
        <f>SUMIF(Cargas!$C$5:$C$3470,C1813,Cargas!$O$5:$O$3470)</f>
        <v>1960</v>
      </c>
      <c r="K1813" s="18">
        <f t="shared" si="39"/>
        <v>0</v>
      </c>
      <c r="L1813" s="195"/>
      <c r="M1813" s="64">
        <v>24232</v>
      </c>
    </row>
    <row r="1814" spans="1:40" s="93" customFormat="1" ht="26.25" hidden="1" x14ac:dyDescent="0.25">
      <c r="A1814"/>
      <c r="B1814" s="58">
        <v>45694</v>
      </c>
      <c r="C1814" s="59" t="s">
        <v>3181</v>
      </c>
      <c r="D1814" s="61" t="s">
        <v>7626</v>
      </c>
      <c r="E1814" s="197" t="s">
        <v>8595</v>
      </c>
      <c r="F1814" s="197"/>
      <c r="G1814" s="61" t="s">
        <v>7569</v>
      </c>
      <c r="H1814" s="61"/>
      <c r="I1814" s="62">
        <v>980</v>
      </c>
      <c r="J1814" s="4">
        <f>SUMIF(Cargas!$C$5:$C$3470,C1814,Cargas!$O$5:$O$3470)</f>
        <v>980</v>
      </c>
      <c r="K1814" s="18">
        <f t="shared" si="39"/>
        <v>0</v>
      </c>
      <c r="L1814" s="195"/>
      <c r="M1814" s="64">
        <v>29070</v>
      </c>
    </row>
    <row r="1815" spans="1:40" s="93" customFormat="1" hidden="1" x14ac:dyDescent="0.25">
      <c r="A1815"/>
      <c r="B1815" s="58">
        <v>45698</v>
      </c>
      <c r="C1815" s="59" t="s">
        <v>3184</v>
      </c>
      <c r="D1815" s="61" t="s">
        <v>7629</v>
      </c>
      <c r="E1815" s="197" t="s">
        <v>8523</v>
      </c>
      <c r="F1815" s="197"/>
      <c r="G1815" s="61" t="s">
        <v>7569</v>
      </c>
      <c r="H1815" s="61"/>
      <c r="I1815" s="62">
        <v>1960</v>
      </c>
      <c r="J1815" s="4">
        <f>SUMIF(Cargas!$C$5:$C$3470,C1815,Cargas!$O$5:$O$3470)</f>
        <v>1960</v>
      </c>
      <c r="K1815" s="18">
        <f t="shared" si="39"/>
        <v>0</v>
      </c>
      <c r="L1815" s="195"/>
      <c r="M1815" s="64">
        <v>29269</v>
      </c>
    </row>
    <row r="1816" spans="1:40" s="93" customFormat="1" hidden="1" x14ac:dyDescent="0.25">
      <c r="A1816"/>
      <c r="B1816" s="58">
        <v>45699</v>
      </c>
      <c r="C1816" s="59" t="s">
        <v>3189</v>
      </c>
      <c r="D1816" s="61" t="s">
        <v>7632</v>
      </c>
      <c r="E1816" s="197" t="s">
        <v>8600</v>
      </c>
      <c r="F1816" s="197"/>
      <c r="G1816" s="61" t="s">
        <v>7569</v>
      </c>
      <c r="H1816" s="61"/>
      <c r="I1816" s="62">
        <v>980</v>
      </c>
      <c r="J1816" s="4">
        <f>SUMIF(Cargas!$C$5:$C$3470,C1816,Cargas!$O$5:$O$3470)</f>
        <v>980</v>
      </c>
      <c r="K1816" s="18">
        <f t="shared" si="39"/>
        <v>0</v>
      </c>
      <c r="L1816" s="195"/>
      <c r="M1816" s="64">
        <v>30281</v>
      </c>
    </row>
    <row r="1817" spans="1:40" s="103" customFormat="1" hidden="1" x14ac:dyDescent="0.25">
      <c r="A1817"/>
      <c r="B1817" s="58">
        <v>45699</v>
      </c>
      <c r="C1817" s="59" t="s">
        <v>3201</v>
      </c>
      <c r="D1817" s="61" t="s">
        <v>7635</v>
      </c>
      <c r="E1817" s="197" t="s">
        <v>7872</v>
      </c>
      <c r="F1817" s="197"/>
      <c r="G1817" s="61" t="s">
        <v>7569</v>
      </c>
      <c r="H1817" s="61"/>
      <c r="I1817" s="62">
        <v>980</v>
      </c>
      <c r="J1817" s="4">
        <f>SUMIF(Cargas!$C$5:$C$3470,C1817,Cargas!$O$5:$O$3470)</f>
        <v>980</v>
      </c>
      <c r="K1817" s="18">
        <f t="shared" si="39"/>
        <v>0</v>
      </c>
      <c r="L1817" s="195"/>
      <c r="M1817" s="64">
        <v>30512</v>
      </c>
    </row>
    <row r="1818" spans="1:40" s="93" customFormat="1" hidden="1" x14ac:dyDescent="0.25">
      <c r="A1818"/>
      <c r="B1818" s="58">
        <v>45699</v>
      </c>
      <c r="C1818" s="59" t="s">
        <v>3220</v>
      </c>
      <c r="D1818" s="61" t="s">
        <v>7637</v>
      </c>
      <c r="E1818" s="197" t="s">
        <v>8990</v>
      </c>
      <c r="F1818" s="197"/>
      <c r="G1818" s="61" t="s">
        <v>7569</v>
      </c>
      <c r="H1818" s="61"/>
      <c r="I1818" s="62">
        <v>980</v>
      </c>
      <c r="J1818" s="4">
        <f>SUMIF(Cargas!$C$5:$C$3470,C1818,Cargas!$O$5:$O$3470)</f>
        <v>980</v>
      </c>
      <c r="K1818" s="18">
        <f t="shared" si="39"/>
        <v>0</v>
      </c>
      <c r="L1818" s="195"/>
      <c r="M1818" s="64">
        <v>33330</v>
      </c>
    </row>
    <row r="1819" spans="1:40" s="93" customFormat="1" hidden="1" x14ac:dyDescent="0.25">
      <c r="A1819"/>
      <c r="B1819" s="58">
        <v>45705</v>
      </c>
      <c r="C1819" s="59" t="s">
        <v>3232</v>
      </c>
      <c r="D1819" s="61" t="s">
        <v>7640</v>
      </c>
      <c r="E1819" s="197" t="s">
        <v>7872</v>
      </c>
      <c r="F1819" s="197"/>
      <c r="G1819" s="61" t="s">
        <v>7569</v>
      </c>
      <c r="H1819" s="61"/>
      <c r="I1819" s="62">
        <v>960</v>
      </c>
      <c r="J1819" s="4">
        <f>SUMIF(Cargas!$C$5:$C$3470,C1819,Cargas!$O$5:$O$3470)</f>
        <v>960</v>
      </c>
      <c r="K1819" s="18">
        <f t="shared" si="39"/>
        <v>0</v>
      </c>
      <c r="L1819" s="195"/>
      <c r="M1819" s="64">
        <v>36530</v>
      </c>
    </row>
    <row r="1820" spans="1:40" s="93" customFormat="1" hidden="1" x14ac:dyDescent="0.25">
      <c r="B1820" s="80">
        <v>45814</v>
      </c>
      <c r="C1820" s="77" t="s">
        <v>4073</v>
      </c>
      <c r="D1820" s="78" t="s">
        <v>7646</v>
      </c>
      <c r="E1820" s="123" t="s">
        <v>8523</v>
      </c>
      <c r="F1820" s="123"/>
      <c r="G1820" s="78" t="s">
        <v>7569</v>
      </c>
      <c r="H1820" s="78"/>
      <c r="I1820" s="81">
        <v>980</v>
      </c>
      <c r="J1820" s="82">
        <f>SUMIF(Cargas!$C$5:$C$3470,C1820,Cargas!$O$5:$O$3470)</f>
        <v>980</v>
      </c>
      <c r="K1820" s="18">
        <f t="shared" si="39"/>
        <v>0</v>
      </c>
      <c r="L1820" s="124" t="s">
        <v>9528</v>
      </c>
      <c r="M1820" s="85">
        <v>114706</v>
      </c>
    </row>
    <row r="1821" spans="1:40" s="103" customFormat="1" hidden="1" x14ac:dyDescent="0.25">
      <c r="A1821" s="93"/>
      <c r="B1821" s="80">
        <v>45814</v>
      </c>
      <c r="C1821" s="77" t="s">
        <v>4047</v>
      </c>
      <c r="D1821" s="78" t="s">
        <v>7649</v>
      </c>
      <c r="E1821" s="123" t="s">
        <v>8600</v>
      </c>
      <c r="F1821" s="123"/>
      <c r="G1821" s="78" t="s">
        <v>7569</v>
      </c>
      <c r="H1821" s="78"/>
      <c r="I1821" s="81">
        <v>980</v>
      </c>
      <c r="J1821" s="82">
        <f>SUMIF(Cargas!$C$5:$C$3470,C1821,Cargas!$O$5:$O$3470)</f>
        <v>980</v>
      </c>
      <c r="K1821" s="18">
        <f t="shared" si="39"/>
        <v>0</v>
      </c>
      <c r="L1821" s="124" t="s">
        <v>9529</v>
      </c>
      <c r="M1821" s="85">
        <v>114723</v>
      </c>
      <c r="N1821"/>
      <c r="O1821"/>
      <c r="P1821"/>
      <c r="Q1821"/>
      <c r="R1821"/>
      <c r="S1821"/>
      <c r="T1821"/>
      <c r="U1821"/>
      <c r="V1821"/>
      <c r="W1821"/>
      <c r="X1821"/>
      <c r="Y1821"/>
      <c r="Z1821"/>
      <c r="AA1821"/>
      <c r="AB1821"/>
      <c r="AC1821"/>
      <c r="AD1821"/>
      <c r="AE1821"/>
      <c r="AF1821"/>
      <c r="AG1821"/>
      <c r="AH1821"/>
      <c r="AI1821"/>
      <c r="AJ1821"/>
      <c r="AK1821"/>
      <c r="AL1821"/>
      <c r="AM1821"/>
      <c r="AN1821"/>
    </row>
    <row r="1822" spans="1:40" s="103" customFormat="1" hidden="1" x14ac:dyDescent="0.25">
      <c r="A1822" s="93"/>
      <c r="B1822" s="80">
        <v>45866</v>
      </c>
      <c r="C1822" s="77" t="s">
        <v>4342</v>
      </c>
      <c r="D1822" s="78" t="s">
        <v>7652</v>
      </c>
      <c r="E1822" s="123" t="s">
        <v>7872</v>
      </c>
      <c r="F1822" s="123"/>
      <c r="G1822" s="78" t="s">
        <v>7569</v>
      </c>
      <c r="H1822" s="78"/>
      <c r="I1822" s="81">
        <v>960</v>
      </c>
      <c r="J1822" s="82">
        <f>SUMIF(Cargas!$C$5:$C$3470,C1822,Cargas!$O$5:$O$3470)</f>
        <v>960</v>
      </c>
      <c r="K1822" s="18">
        <f t="shared" si="39"/>
        <v>0</v>
      </c>
      <c r="L1822" s="124" t="s">
        <v>9530</v>
      </c>
      <c r="M1822" s="85">
        <v>150514</v>
      </c>
      <c r="N1822"/>
      <c r="O1822"/>
      <c r="P1822"/>
      <c r="Q1822"/>
      <c r="R1822"/>
      <c r="S1822"/>
      <c r="T1822"/>
      <c r="U1822"/>
      <c r="V1822"/>
      <c r="W1822"/>
      <c r="X1822"/>
      <c r="Y1822"/>
      <c r="Z1822"/>
      <c r="AA1822"/>
      <c r="AB1822"/>
      <c r="AC1822"/>
      <c r="AD1822"/>
      <c r="AE1822"/>
      <c r="AF1822"/>
      <c r="AG1822"/>
      <c r="AH1822"/>
      <c r="AI1822"/>
      <c r="AJ1822"/>
      <c r="AK1822"/>
      <c r="AL1822"/>
      <c r="AM1822"/>
      <c r="AN1822"/>
    </row>
    <row r="1823" spans="1:40" hidden="1" x14ac:dyDescent="0.25">
      <c r="A1823" s="93"/>
      <c r="B1823" s="80">
        <v>45887</v>
      </c>
      <c r="C1823" s="77" t="s">
        <v>4474</v>
      </c>
      <c r="D1823" s="78" t="s">
        <v>7655</v>
      </c>
      <c r="E1823" s="123" t="s">
        <v>7872</v>
      </c>
      <c r="F1823" s="123"/>
      <c r="G1823" s="78" t="s">
        <v>7569</v>
      </c>
      <c r="H1823" s="78"/>
      <c r="I1823" s="81">
        <v>960</v>
      </c>
      <c r="J1823" s="82">
        <f>SUMIF(Cargas!$C$5:$C$3470,C1823,Cargas!$O$5:$O$3470)</f>
        <v>960</v>
      </c>
      <c r="K1823" s="18">
        <f t="shared" si="39"/>
        <v>0</v>
      </c>
      <c r="L1823" s="124" t="s">
        <v>9531</v>
      </c>
      <c r="M1823" s="85">
        <v>166843</v>
      </c>
    </row>
    <row r="1824" spans="1:40" hidden="1" x14ac:dyDescent="0.25">
      <c r="A1824" s="93"/>
      <c r="B1824" s="80">
        <v>45901</v>
      </c>
      <c r="C1824" s="77" t="s">
        <v>4552</v>
      </c>
      <c r="D1824" s="78" t="s">
        <v>7658</v>
      </c>
      <c r="E1824" s="123" t="s">
        <v>7872</v>
      </c>
      <c r="F1824" s="123"/>
      <c r="G1824" s="78" t="s">
        <v>7569</v>
      </c>
      <c r="H1824" s="78"/>
      <c r="I1824" s="81">
        <v>1980</v>
      </c>
      <c r="J1824" s="82">
        <f>SUMIF(Cargas!$C$5:$C$3470,C1824,Cargas!$O$5:$O$3470)</f>
        <v>1980</v>
      </c>
      <c r="K1824" s="18">
        <f t="shared" si="39"/>
        <v>0</v>
      </c>
      <c r="L1824" s="124" t="s">
        <v>9532</v>
      </c>
      <c r="M1824" s="85">
        <v>177341</v>
      </c>
    </row>
    <row r="1825" spans="1:13" hidden="1" x14ac:dyDescent="0.25">
      <c r="A1825" s="93"/>
      <c r="B1825" s="80">
        <v>45916</v>
      </c>
      <c r="C1825" s="77" t="s">
        <v>4650</v>
      </c>
      <c r="D1825" s="78" t="s">
        <v>7661</v>
      </c>
      <c r="E1825" s="123" t="s">
        <v>7872</v>
      </c>
      <c r="F1825" s="123"/>
      <c r="G1825" s="78" t="s">
        <v>7569</v>
      </c>
      <c r="H1825" s="78"/>
      <c r="I1825" s="81">
        <v>990</v>
      </c>
      <c r="J1825" s="82">
        <f>SUMIF(Cargas!$C$5:$C$3470,C1825,Cargas!$O$5:$O$3470)</f>
        <v>990</v>
      </c>
      <c r="K1825" s="18">
        <f t="shared" si="39"/>
        <v>0</v>
      </c>
      <c r="L1825" s="124" t="s">
        <v>9533</v>
      </c>
      <c r="M1825" s="85">
        <v>187453</v>
      </c>
    </row>
    <row r="1826" spans="1:13" ht="26.25" hidden="1" x14ac:dyDescent="0.25">
      <c r="A1826" s="93"/>
      <c r="B1826" s="80">
        <v>45919</v>
      </c>
      <c r="C1826" s="77" t="s">
        <v>4687</v>
      </c>
      <c r="D1826" s="78" t="s">
        <v>7664</v>
      </c>
      <c r="E1826" s="123" t="s">
        <v>8595</v>
      </c>
      <c r="F1826" s="123"/>
      <c r="G1826" s="78" t="s">
        <v>7569</v>
      </c>
      <c r="H1826" s="78"/>
      <c r="I1826" s="81">
        <v>980</v>
      </c>
      <c r="J1826" s="82">
        <f>SUMIF(Cargas!$C$5:$C$3470,C1826,Cargas!$O$5:$O$3470)</f>
        <v>980</v>
      </c>
      <c r="K1826" s="18">
        <f t="shared" si="39"/>
        <v>0</v>
      </c>
      <c r="L1826" s="124">
        <v>1536968</v>
      </c>
      <c r="M1826" s="85">
        <v>189462</v>
      </c>
    </row>
    <row r="1827" spans="1:13" hidden="1" x14ac:dyDescent="0.25">
      <c r="A1827" s="93"/>
      <c r="B1827" s="80">
        <v>45923</v>
      </c>
      <c r="C1827" s="77" t="s">
        <v>4724</v>
      </c>
      <c r="D1827" s="78" t="s">
        <v>7667</v>
      </c>
      <c r="E1827" s="123" t="s">
        <v>7872</v>
      </c>
      <c r="F1827" s="123"/>
      <c r="G1827" s="78" t="s">
        <v>7569</v>
      </c>
      <c r="H1827" s="78"/>
      <c r="I1827" s="81">
        <v>990</v>
      </c>
      <c r="J1827" s="82">
        <f>SUMIF(Cargas!$C$5:$C$3470,C1827,Cargas!$O$5:$O$3470)</f>
        <v>980</v>
      </c>
      <c r="K1827" s="18">
        <f t="shared" si="39"/>
        <v>0</v>
      </c>
      <c r="L1827" s="124" t="s">
        <v>9534</v>
      </c>
      <c r="M1827" s="85">
        <v>193725</v>
      </c>
    </row>
    <row r="1828" spans="1:13" hidden="1" x14ac:dyDescent="0.25">
      <c r="A1828" s="93"/>
      <c r="B1828" s="80">
        <v>45667</v>
      </c>
      <c r="C1828" s="77" t="s">
        <v>4800</v>
      </c>
      <c r="D1828" s="78" t="s">
        <v>7670</v>
      </c>
      <c r="E1828" s="123" t="s">
        <v>7872</v>
      </c>
      <c r="F1828" s="123"/>
      <c r="G1828" s="78" t="s">
        <v>7569</v>
      </c>
      <c r="H1828" s="78"/>
      <c r="I1828" s="81">
        <v>990</v>
      </c>
      <c r="J1828" s="82">
        <f>SUMIF(Cargas!$C$5:$C$3470,C1828,Cargas!$O$5:$O$3470)</f>
        <v>990</v>
      </c>
      <c r="K1828" s="18">
        <f t="shared" si="39"/>
        <v>0</v>
      </c>
      <c r="L1828" s="124" t="s">
        <v>9534</v>
      </c>
      <c r="M1828" s="85">
        <v>199470</v>
      </c>
    </row>
    <row r="1829" spans="1:13" hidden="1" x14ac:dyDescent="0.25">
      <c r="B1829" s="58">
        <v>45659</v>
      </c>
      <c r="C1829" s="59" t="s">
        <v>2973</v>
      </c>
      <c r="D1829" s="61" t="s">
        <v>9535</v>
      </c>
      <c r="E1829" s="197" t="s">
        <v>8990</v>
      </c>
      <c r="F1829" s="197"/>
      <c r="G1829" s="61" t="s">
        <v>7569</v>
      </c>
      <c r="H1829" s="61"/>
      <c r="I1829" s="62">
        <v>972</v>
      </c>
      <c r="J1829" s="4">
        <f>SUMIF(Cargas!$C$5:$C$3470,C1829,Cargas!$O$5:$O$3470)</f>
        <v>972</v>
      </c>
      <c r="K1829" s="18">
        <f t="shared" si="39"/>
        <v>0</v>
      </c>
      <c r="L1829" s="195" t="s">
        <v>9536</v>
      </c>
      <c r="M1829" s="64">
        <v>2404</v>
      </c>
    </row>
    <row r="1831" spans="1:13" x14ac:dyDescent="0.25">
      <c r="D1831" t="s">
        <v>9537</v>
      </c>
    </row>
    <row r="1881" ht="13.5" customHeight="1" x14ac:dyDescent="0.25"/>
    <row r="1915" hidden="1" x14ac:dyDescent="0.25"/>
    <row r="1916" x14ac:dyDescent="0.25"/>
  </sheetData>
  <autoFilter ref="A4:M1829" xr:uid="{00000000-0001-0000-0100-000000000000}">
    <filterColumn colId="1">
      <filters>
        <dateGroupItem year="2026" month="7" dateTimeGrouping="month"/>
        <dateGroupItem year="2026" month="8" dateTimeGrouping="month"/>
        <dateGroupItem year="2026" month="9" dateTimeGrouping="month"/>
      </filters>
    </filterColumn>
    <sortState xmlns:xlrd2="http://schemas.microsoft.com/office/spreadsheetml/2017/richdata2" ref="A5:M1829">
      <sortCondition ref="D4:D1829"/>
    </sortState>
  </autoFilter>
  <conditionalFormatting sqref="A1">
    <cfRule type="expression" dxfId="16" priority="4740">
      <formula>$C1="Liberado"</formula>
    </cfRule>
    <cfRule type="expression" dxfId="15" priority="4741">
      <formula>$C1="Descargado"</formula>
    </cfRule>
    <cfRule type="expression" dxfId="14" priority="4742">
      <formula>$C1="Frontera"</formula>
    </cfRule>
    <cfRule type="expression" dxfId="13" priority="4743">
      <formula>$C1="Cargado"</formula>
    </cfRule>
    <cfRule type="expression" dxfId="12" priority="4744">
      <formula>$C1="Cancelado"</formula>
    </cfRule>
    <cfRule type="expression" dxfId="11" priority="4745">
      <formula>$C1="Confirmado"</formula>
    </cfRule>
    <cfRule type="expression" dxfId="10" priority="4746">
      <formula>$C1="Solicitado"</formula>
    </cfRule>
    <cfRule type="expression" dxfId="9" priority="4747">
      <formula>$C1="Arribado"</formula>
    </cfRule>
  </conditionalFormatting>
  <conditionalFormatting sqref="B4">
    <cfRule type="expression" dxfId="8" priority="5317">
      <formula>#REF!&gt;0</formula>
    </cfRule>
  </conditionalFormatting>
  <conditionalFormatting sqref="B5:B1829">
    <cfRule type="expression" dxfId="7" priority="51">
      <formula>$K5&gt;49</formula>
    </cfRule>
  </conditionalFormatting>
  <conditionalFormatting sqref="C5:M59 C60:K80 L60:M88 C81:J137 K89:M137 C138:M140 K141:M596 C141:J623 L597:M651 C624:K651 C652:M1081 L1082:M1109 C1082:I1110 K1109 J1109:J1110 K1110:M1110">
    <cfRule type="expression" dxfId="6" priority="1413">
      <formula>$K5&gt;50</formula>
    </cfRule>
  </conditionalFormatting>
  <conditionalFormatting sqref="C1111:M1829">
    <cfRule type="expression" dxfId="5" priority="1">
      <formula>$K1111&gt;50</formula>
    </cfRule>
  </conditionalFormatting>
  <conditionalFormatting sqref="J1082:K1108">
    <cfRule type="expression" dxfId="4" priority="5284">
      <formula>$K1082&gt;50</formula>
    </cfRule>
  </conditionalFormatting>
  <conditionalFormatting sqref="K81:K88">
    <cfRule type="expression" dxfId="3" priority="1606">
      <formula>$K81&gt;50</formula>
    </cfRule>
  </conditionalFormatting>
  <conditionalFormatting sqref="K597:K623">
    <cfRule type="expression" dxfId="2" priority="233">
      <formula>$K597&gt;50</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FFCC-70B9-46AB-8290-626A22B1B555}">
  <dimension ref="B1:Y1201"/>
  <sheetViews>
    <sheetView workbookViewId="0">
      <pane ySplit="1" topLeftCell="A367" activePane="bottomLeft" state="frozen"/>
      <selection pane="bottomLeft" activeCell="C389" sqref="C389"/>
    </sheetView>
  </sheetViews>
  <sheetFormatPr baseColWidth="10" defaultColWidth="9" defaultRowHeight="15" x14ac:dyDescent="0.25"/>
  <cols>
    <col min="2" max="2" width="54.42578125" customWidth="1"/>
    <col min="3" max="3" width="19.85546875" customWidth="1"/>
    <col min="25" max="25" width="25.28515625" bestFit="1" customWidth="1"/>
  </cols>
  <sheetData>
    <row r="1" spans="2:3" x14ac:dyDescent="0.25">
      <c r="B1" s="55" t="s">
        <v>26</v>
      </c>
      <c r="C1" s="55" t="s">
        <v>9538</v>
      </c>
    </row>
    <row r="2" spans="2:3" x14ac:dyDescent="0.25">
      <c r="B2" s="51" t="s">
        <v>2</v>
      </c>
      <c r="C2" s="52" t="s">
        <v>2</v>
      </c>
    </row>
    <row r="3" spans="2:3" x14ac:dyDescent="0.25">
      <c r="B3" s="51" t="s">
        <v>9539</v>
      </c>
      <c r="C3" s="52" t="s">
        <v>9540</v>
      </c>
    </row>
    <row r="4" spans="2:3" x14ac:dyDescent="0.25">
      <c r="B4" s="51" t="s">
        <v>9541</v>
      </c>
      <c r="C4" s="52" t="s">
        <v>9542</v>
      </c>
    </row>
    <row r="5" spans="2:3" x14ac:dyDescent="0.25">
      <c r="B5" s="51" t="s">
        <v>9543</v>
      </c>
      <c r="C5" s="52" t="s">
        <v>9544</v>
      </c>
    </row>
    <row r="6" spans="2:3" x14ac:dyDescent="0.25">
      <c r="B6" s="51" t="s">
        <v>9545</v>
      </c>
      <c r="C6" s="52" t="s">
        <v>9546</v>
      </c>
    </row>
    <row r="7" spans="2:3" x14ac:dyDescent="0.25">
      <c r="B7" s="53" t="s">
        <v>4026</v>
      </c>
      <c r="C7" s="54" t="s">
        <v>9547</v>
      </c>
    </row>
    <row r="8" spans="2:3" x14ac:dyDescent="0.25">
      <c r="B8" s="51" t="s">
        <v>9548</v>
      </c>
      <c r="C8" s="52" t="s">
        <v>9549</v>
      </c>
    </row>
    <row r="9" spans="2:3" x14ac:dyDescent="0.25">
      <c r="B9" s="51" t="s">
        <v>9550</v>
      </c>
      <c r="C9" s="52" t="s">
        <v>9551</v>
      </c>
    </row>
    <row r="10" spans="2:3" x14ac:dyDescent="0.25">
      <c r="B10" s="51" t="s">
        <v>1476</v>
      </c>
      <c r="C10" s="52" t="s">
        <v>9552</v>
      </c>
    </row>
    <row r="11" spans="2:3" x14ac:dyDescent="0.25">
      <c r="B11" s="51" t="s">
        <v>3895</v>
      </c>
      <c r="C11" s="52" t="s">
        <v>9553</v>
      </c>
    </row>
    <row r="12" spans="2:3" x14ac:dyDescent="0.25">
      <c r="B12" s="51" t="s">
        <v>9554</v>
      </c>
      <c r="C12" s="52" t="s">
        <v>9555</v>
      </c>
    </row>
    <row r="13" spans="2:3" x14ac:dyDescent="0.25">
      <c r="B13" s="51" t="s">
        <v>2069</v>
      </c>
      <c r="C13" s="52" t="s">
        <v>9556</v>
      </c>
    </row>
    <row r="14" spans="2:3" x14ac:dyDescent="0.25">
      <c r="B14" s="51" t="s">
        <v>9557</v>
      </c>
      <c r="C14" s="52" t="s">
        <v>9558</v>
      </c>
    </row>
    <row r="15" spans="2:3" x14ac:dyDescent="0.25">
      <c r="B15" s="51" t="s">
        <v>1495</v>
      </c>
      <c r="C15" s="52" t="s">
        <v>9559</v>
      </c>
    </row>
    <row r="16" spans="2:3" x14ac:dyDescent="0.25">
      <c r="B16" s="51" t="s">
        <v>9560</v>
      </c>
      <c r="C16" s="52" t="s">
        <v>9561</v>
      </c>
    </row>
    <row r="17" spans="2:3" x14ac:dyDescent="0.25">
      <c r="B17" s="51" t="s">
        <v>9562</v>
      </c>
      <c r="C17" s="52" t="s">
        <v>9563</v>
      </c>
    </row>
    <row r="18" spans="2:3" x14ac:dyDescent="0.25">
      <c r="B18" s="51" t="s">
        <v>9564</v>
      </c>
      <c r="C18" s="52" t="s">
        <v>9565</v>
      </c>
    </row>
    <row r="19" spans="2:3" x14ac:dyDescent="0.25">
      <c r="B19" s="51" t="s">
        <v>2336</v>
      </c>
      <c r="C19" s="52" t="s">
        <v>9566</v>
      </c>
    </row>
    <row r="20" spans="2:3" x14ac:dyDescent="0.25">
      <c r="B20" s="51" t="s">
        <v>9567</v>
      </c>
      <c r="C20" s="52" t="s">
        <v>9568</v>
      </c>
    </row>
    <row r="21" spans="2:3" x14ac:dyDescent="0.25">
      <c r="B21" s="51" t="s">
        <v>9569</v>
      </c>
      <c r="C21" s="52" t="s">
        <v>9570</v>
      </c>
    </row>
    <row r="22" spans="2:3" x14ac:dyDescent="0.25">
      <c r="B22" s="51" t="s">
        <v>9571</v>
      </c>
      <c r="C22" s="52" t="s">
        <v>9572</v>
      </c>
    </row>
    <row r="23" spans="2:3" x14ac:dyDescent="0.25">
      <c r="B23" s="51" t="s">
        <v>9573</v>
      </c>
      <c r="C23" s="52" t="s">
        <v>9574</v>
      </c>
    </row>
    <row r="24" spans="2:3" x14ac:dyDescent="0.25">
      <c r="B24" s="51" t="s">
        <v>9575</v>
      </c>
      <c r="C24" s="52" t="s">
        <v>9576</v>
      </c>
    </row>
    <row r="25" spans="2:3" x14ac:dyDescent="0.25">
      <c r="B25" s="51" t="s">
        <v>9577</v>
      </c>
      <c r="C25" s="52" t="s">
        <v>9578</v>
      </c>
    </row>
    <row r="26" spans="2:3" x14ac:dyDescent="0.25">
      <c r="B26" s="51" t="s">
        <v>9579</v>
      </c>
      <c r="C26" s="52" t="s">
        <v>9580</v>
      </c>
    </row>
    <row r="27" spans="2:3" x14ac:dyDescent="0.25">
      <c r="B27" s="51" t="s">
        <v>35</v>
      </c>
      <c r="C27" s="52" t="s">
        <v>9581</v>
      </c>
    </row>
    <row r="28" spans="2:3" x14ac:dyDescent="0.25">
      <c r="B28" s="51" t="s">
        <v>9582</v>
      </c>
      <c r="C28" s="52" t="s">
        <v>9583</v>
      </c>
    </row>
    <row r="29" spans="2:3" x14ac:dyDescent="0.25">
      <c r="B29" s="51" t="s">
        <v>9584</v>
      </c>
      <c r="C29" s="52" t="s">
        <v>9585</v>
      </c>
    </row>
    <row r="30" spans="2:3" x14ac:dyDescent="0.25">
      <c r="B30" s="51" t="s">
        <v>3934</v>
      </c>
      <c r="C30" s="52" t="s">
        <v>9586</v>
      </c>
    </row>
    <row r="31" spans="2:3" x14ac:dyDescent="0.25">
      <c r="B31" s="51" t="s">
        <v>9587</v>
      </c>
      <c r="C31" s="52" t="s">
        <v>9588</v>
      </c>
    </row>
    <row r="32" spans="2:3" x14ac:dyDescent="0.25">
      <c r="B32" s="51" t="s">
        <v>9589</v>
      </c>
      <c r="C32" s="52" t="s">
        <v>9590</v>
      </c>
    </row>
    <row r="33" spans="2:3" x14ac:dyDescent="0.25">
      <c r="B33" s="51" t="s">
        <v>60</v>
      </c>
      <c r="C33" s="52" t="s">
        <v>9591</v>
      </c>
    </row>
    <row r="34" spans="2:3" x14ac:dyDescent="0.25">
      <c r="B34" s="51" t="s">
        <v>9592</v>
      </c>
      <c r="C34" s="52" t="s">
        <v>9593</v>
      </c>
    </row>
    <row r="35" spans="2:3" x14ac:dyDescent="0.25">
      <c r="B35" s="51" t="s">
        <v>9594</v>
      </c>
      <c r="C35" s="52" t="s">
        <v>9595</v>
      </c>
    </row>
    <row r="36" spans="2:3" x14ac:dyDescent="0.25">
      <c r="B36" s="51" t="s">
        <v>9596</v>
      </c>
      <c r="C36" s="52" t="s">
        <v>9597</v>
      </c>
    </row>
    <row r="37" spans="2:3" x14ac:dyDescent="0.25">
      <c r="B37" s="51" t="s">
        <v>9598</v>
      </c>
      <c r="C37" s="52" t="s">
        <v>9599</v>
      </c>
    </row>
    <row r="38" spans="2:3" x14ac:dyDescent="0.25">
      <c r="B38" s="51" t="s">
        <v>9600</v>
      </c>
      <c r="C38" s="52" t="s">
        <v>9601</v>
      </c>
    </row>
    <row r="39" spans="2:3" x14ac:dyDescent="0.25">
      <c r="B39" s="51" t="s">
        <v>9602</v>
      </c>
      <c r="C39" s="52" t="s">
        <v>9603</v>
      </c>
    </row>
    <row r="40" spans="2:3" x14ac:dyDescent="0.25">
      <c r="B40" s="51" t="s">
        <v>9604</v>
      </c>
      <c r="C40" s="52" t="s">
        <v>9605</v>
      </c>
    </row>
    <row r="41" spans="2:3" x14ac:dyDescent="0.25">
      <c r="B41" s="51" t="s">
        <v>9606</v>
      </c>
      <c r="C41" s="52" t="s">
        <v>9607</v>
      </c>
    </row>
    <row r="42" spans="2:3" x14ac:dyDescent="0.25">
      <c r="B42" s="51" t="s">
        <v>9608</v>
      </c>
      <c r="C42" s="52" t="s">
        <v>9609</v>
      </c>
    </row>
    <row r="43" spans="2:3" x14ac:dyDescent="0.25">
      <c r="B43" s="51" t="s">
        <v>9610</v>
      </c>
      <c r="C43" s="52" t="s">
        <v>9611</v>
      </c>
    </row>
    <row r="44" spans="2:3" x14ac:dyDescent="0.25">
      <c r="B44" s="51" t="s">
        <v>1825</v>
      </c>
      <c r="C44" s="52" t="s">
        <v>9612</v>
      </c>
    </row>
    <row r="45" spans="2:3" x14ac:dyDescent="0.25">
      <c r="B45" s="51" t="s">
        <v>9613</v>
      </c>
      <c r="C45" s="52" t="s">
        <v>9614</v>
      </c>
    </row>
    <row r="46" spans="2:3" x14ac:dyDescent="0.25">
      <c r="B46" s="51" t="s">
        <v>9615</v>
      </c>
      <c r="C46" s="52" t="s">
        <v>9616</v>
      </c>
    </row>
    <row r="47" spans="2:3" x14ac:dyDescent="0.25">
      <c r="B47" s="51" t="s">
        <v>1900</v>
      </c>
      <c r="C47" s="52" t="s">
        <v>9617</v>
      </c>
    </row>
    <row r="48" spans="2:3" x14ac:dyDescent="0.25">
      <c r="B48" s="51" t="s">
        <v>9618</v>
      </c>
      <c r="C48" s="52" t="s">
        <v>9619</v>
      </c>
    </row>
    <row r="49" spans="2:3" x14ac:dyDescent="0.25">
      <c r="B49" s="51" t="s">
        <v>9620</v>
      </c>
      <c r="C49" s="52" t="s">
        <v>9621</v>
      </c>
    </row>
    <row r="50" spans="2:3" x14ac:dyDescent="0.25">
      <c r="B50" s="51" t="s">
        <v>108</v>
      </c>
      <c r="C50" s="52" t="s">
        <v>9622</v>
      </c>
    </row>
    <row r="51" spans="2:3" x14ac:dyDescent="0.25">
      <c r="B51" s="51" t="s">
        <v>9623</v>
      </c>
      <c r="C51" s="52" t="s">
        <v>9624</v>
      </c>
    </row>
    <row r="52" spans="2:3" x14ac:dyDescent="0.25">
      <c r="B52" s="51" t="s">
        <v>1619</v>
      </c>
      <c r="C52" s="52" t="s">
        <v>9625</v>
      </c>
    </row>
    <row r="53" spans="2:3" x14ac:dyDescent="0.25">
      <c r="B53" s="51" t="s">
        <v>9626</v>
      </c>
      <c r="C53" s="52" t="s">
        <v>9627</v>
      </c>
    </row>
    <row r="54" spans="2:3" x14ac:dyDescent="0.25">
      <c r="B54" s="51" t="s">
        <v>9628</v>
      </c>
      <c r="C54" s="52" t="s">
        <v>9629</v>
      </c>
    </row>
    <row r="55" spans="2:3" x14ac:dyDescent="0.25">
      <c r="B55" s="51" t="s">
        <v>9630</v>
      </c>
      <c r="C55" s="52" t="s">
        <v>9631</v>
      </c>
    </row>
    <row r="56" spans="2:3" x14ac:dyDescent="0.25">
      <c r="B56" s="51" t="s">
        <v>9632</v>
      </c>
      <c r="C56" s="52" t="s">
        <v>9633</v>
      </c>
    </row>
    <row r="57" spans="2:3" x14ac:dyDescent="0.25">
      <c r="B57" s="51" t="s">
        <v>1851</v>
      </c>
      <c r="C57" s="52" t="s">
        <v>9634</v>
      </c>
    </row>
    <row r="58" spans="2:3" x14ac:dyDescent="0.25">
      <c r="B58" s="51" t="s">
        <v>9635</v>
      </c>
      <c r="C58" s="52" t="s">
        <v>9636</v>
      </c>
    </row>
    <row r="59" spans="2:3" x14ac:dyDescent="0.25">
      <c r="B59" s="51" t="s">
        <v>114</v>
      </c>
      <c r="C59" s="52" t="s">
        <v>9637</v>
      </c>
    </row>
    <row r="60" spans="2:3" x14ac:dyDescent="0.25">
      <c r="B60" s="51" t="s">
        <v>9638</v>
      </c>
      <c r="C60" s="52" t="s">
        <v>9639</v>
      </c>
    </row>
    <row r="61" spans="2:3" x14ac:dyDescent="0.25">
      <c r="B61" s="51" t="s">
        <v>9640</v>
      </c>
      <c r="C61" s="52" t="s">
        <v>9641</v>
      </c>
    </row>
    <row r="62" spans="2:3" x14ac:dyDescent="0.25">
      <c r="B62" s="51" t="s">
        <v>5202</v>
      </c>
      <c r="C62" s="52" t="s">
        <v>9642</v>
      </c>
    </row>
    <row r="63" spans="2:3" x14ac:dyDescent="0.25">
      <c r="B63" s="51" t="s">
        <v>9643</v>
      </c>
      <c r="C63" s="52" t="s">
        <v>9644</v>
      </c>
    </row>
    <row r="64" spans="2:3" x14ac:dyDescent="0.25">
      <c r="B64" s="51" t="s">
        <v>9645</v>
      </c>
      <c r="C64" s="52" t="s">
        <v>9646</v>
      </c>
    </row>
    <row r="65" spans="2:3" x14ac:dyDescent="0.25">
      <c r="B65" s="51" t="s">
        <v>1534</v>
      </c>
      <c r="C65" s="52" t="s">
        <v>9647</v>
      </c>
    </row>
    <row r="66" spans="2:3" x14ac:dyDescent="0.25">
      <c r="B66" s="51" t="s">
        <v>9648</v>
      </c>
      <c r="C66" s="52" t="s">
        <v>9649</v>
      </c>
    </row>
    <row r="67" spans="2:3" x14ac:dyDescent="0.25">
      <c r="B67" s="51" t="s">
        <v>134</v>
      </c>
      <c r="C67" s="52" t="s">
        <v>9650</v>
      </c>
    </row>
    <row r="68" spans="2:3" x14ac:dyDescent="0.25">
      <c r="B68" s="51" t="s">
        <v>4761</v>
      </c>
      <c r="C68" s="52" t="s">
        <v>9651</v>
      </c>
    </row>
    <row r="69" spans="2:3" x14ac:dyDescent="0.25">
      <c r="B69" s="51" t="s">
        <v>9652</v>
      </c>
      <c r="C69" s="52" t="s">
        <v>9653</v>
      </c>
    </row>
    <row r="70" spans="2:3" x14ac:dyDescent="0.25">
      <c r="B70" s="51" t="s">
        <v>9654</v>
      </c>
      <c r="C70" s="52" t="s">
        <v>9655</v>
      </c>
    </row>
    <row r="71" spans="2:3" x14ac:dyDescent="0.25">
      <c r="B71" s="51" t="s">
        <v>9656</v>
      </c>
      <c r="C71" s="52" t="s">
        <v>9657</v>
      </c>
    </row>
    <row r="72" spans="2:3" x14ac:dyDescent="0.25">
      <c r="B72" s="51" t="s">
        <v>9658</v>
      </c>
      <c r="C72" s="52" t="s">
        <v>9659</v>
      </c>
    </row>
    <row r="73" spans="2:3" x14ac:dyDescent="0.25">
      <c r="B73" s="51" t="s">
        <v>9660</v>
      </c>
      <c r="C73" s="52" t="s">
        <v>9661</v>
      </c>
    </row>
    <row r="74" spans="2:3" x14ac:dyDescent="0.25">
      <c r="B74" s="51" t="s">
        <v>9662</v>
      </c>
      <c r="C74" s="52" t="s">
        <v>9663</v>
      </c>
    </row>
    <row r="75" spans="2:3" x14ac:dyDescent="0.25">
      <c r="B75" s="51" t="s">
        <v>9664</v>
      </c>
      <c r="C75" s="52" t="s">
        <v>9665</v>
      </c>
    </row>
    <row r="76" spans="2:3" x14ac:dyDescent="0.25">
      <c r="B76" s="51" t="s">
        <v>9666</v>
      </c>
      <c r="C76" s="52" t="s">
        <v>9667</v>
      </c>
    </row>
    <row r="77" spans="2:3" x14ac:dyDescent="0.25">
      <c r="B77" s="51" t="s">
        <v>9668</v>
      </c>
      <c r="C77" s="52" t="s">
        <v>9669</v>
      </c>
    </row>
    <row r="78" spans="2:3" x14ac:dyDescent="0.25">
      <c r="B78" s="51" t="s">
        <v>9670</v>
      </c>
      <c r="C78" s="52" t="s">
        <v>9671</v>
      </c>
    </row>
    <row r="79" spans="2:3" x14ac:dyDescent="0.25">
      <c r="B79" s="51" t="s">
        <v>9672</v>
      </c>
      <c r="C79" s="52" t="s">
        <v>9673</v>
      </c>
    </row>
    <row r="80" spans="2:3" x14ac:dyDescent="0.25">
      <c r="B80" s="51" t="s">
        <v>3865</v>
      </c>
      <c r="C80" s="52" t="s">
        <v>9674</v>
      </c>
    </row>
    <row r="81" spans="2:3" x14ac:dyDescent="0.25">
      <c r="B81" s="51" t="s">
        <v>1960</v>
      </c>
      <c r="C81" s="52" t="s">
        <v>9675</v>
      </c>
    </row>
    <row r="82" spans="2:3" x14ac:dyDescent="0.25">
      <c r="B82" s="51" t="s">
        <v>9676</v>
      </c>
      <c r="C82" s="52" t="s">
        <v>9677</v>
      </c>
    </row>
    <row r="83" spans="2:3" x14ac:dyDescent="0.25">
      <c r="B83" s="51" t="s">
        <v>4731</v>
      </c>
      <c r="C83" s="52" t="s">
        <v>9678</v>
      </c>
    </row>
    <row r="84" spans="2:3" x14ac:dyDescent="0.25">
      <c r="B84" s="51" t="s">
        <v>9679</v>
      </c>
      <c r="C84" s="52" t="s">
        <v>9680</v>
      </c>
    </row>
    <row r="85" spans="2:3" x14ac:dyDescent="0.25">
      <c r="B85" s="51" t="s">
        <v>9681</v>
      </c>
      <c r="C85" s="52" t="s">
        <v>9682</v>
      </c>
    </row>
    <row r="86" spans="2:3" x14ac:dyDescent="0.25">
      <c r="B86" s="51" t="s">
        <v>9683</v>
      </c>
      <c r="C86" s="52" t="s">
        <v>9684</v>
      </c>
    </row>
    <row r="87" spans="2:3" x14ac:dyDescent="0.25">
      <c r="B87" s="51" t="s">
        <v>9685</v>
      </c>
      <c r="C87" s="52" t="s">
        <v>9686</v>
      </c>
    </row>
    <row r="88" spans="2:3" x14ac:dyDescent="0.25">
      <c r="B88" s="51" t="s">
        <v>9687</v>
      </c>
      <c r="C88" s="52" t="s">
        <v>9688</v>
      </c>
    </row>
    <row r="89" spans="2:3" x14ac:dyDescent="0.25">
      <c r="B89" s="51" t="s">
        <v>9689</v>
      </c>
      <c r="C89" s="52" t="s">
        <v>9690</v>
      </c>
    </row>
    <row r="90" spans="2:3" x14ac:dyDescent="0.25">
      <c r="B90" s="51" t="s">
        <v>9691</v>
      </c>
      <c r="C90" s="52" t="s">
        <v>9692</v>
      </c>
    </row>
    <row r="91" spans="2:3" x14ac:dyDescent="0.25">
      <c r="B91" s="51" t="s">
        <v>9693</v>
      </c>
      <c r="C91" s="52" t="s">
        <v>9694</v>
      </c>
    </row>
    <row r="92" spans="2:3" x14ac:dyDescent="0.25">
      <c r="B92" s="51" t="s">
        <v>9695</v>
      </c>
      <c r="C92" s="52" t="s">
        <v>9696</v>
      </c>
    </row>
    <row r="93" spans="2:3" x14ac:dyDescent="0.25">
      <c r="B93" s="51" t="s">
        <v>9697</v>
      </c>
      <c r="C93" s="52" t="s">
        <v>9698</v>
      </c>
    </row>
    <row r="94" spans="2:3" x14ac:dyDescent="0.25">
      <c r="B94" s="51" t="s">
        <v>9699</v>
      </c>
      <c r="C94" s="52" t="s">
        <v>9700</v>
      </c>
    </row>
    <row r="95" spans="2:3" x14ac:dyDescent="0.25">
      <c r="B95" s="51" t="s">
        <v>9701</v>
      </c>
      <c r="C95" s="52" t="s">
        <v>9702</v>
      </c>
    </row>
    <row r="96" spans="2:3" x14ac:dyDescent="0.25">
      <c r="B96" s="51" t="s">
        <v>9703</v>
      </c>
      <c r="C96" s="52" t="s">
        <v>9704</v>
      </c>
    </row>
    <row r="97" spans="2:3" x14ac:dyDescent="0.25">
      <c r="B97" s="51" t="s">
        <v>9705</v>
      </c>
      <c r="C97" s="52" t="s">
        <v>9706</v>
      </c>
    </row>
    <row r="98" spans="2:3" x14ac:dyDescent="0.25">
      <c r="B98" s="51" t="s">
        <v>9707</v>
      </c>
      <c r="C98" s="52" t="s">
        <v>9708</v>
      </c>
    </row>
    <row r="99" spans="2:3" x14ac:dyDescent="0.25">
      <c r="B99" s="51" t="s">
        <v>9709</v>
      </c>
      <c r="C99" s="52" t="s">
        <v>9710</v>
      </c>
    </row>
    <row r="100" spans="2:3" x14ac:dyDescent="0.25">
      <c r="B100" s="51" t="s">
        <v>9711</v>
      </c>
      <c r="C100" s="52" t="s">
        <v>9712</v>
      </c>
    </row>
    <row r="101" spans="2:3" x14ac:dyDescent="0.25">
      <c r="B101" s="51" t="s">
        <v>9713</v>
      </c>
      <c r="C101" s="52" t="s">
        <v>9714</v>
      </c>
    </row>
    <row r="102" spans="2:3" x14ac:dyDescent="0.25">
      <c r="B102" s="51" t="s">
        <v>1481</v>
      </c>
      <c r="C102" s="52" t="s">
        <v>9715</v>
      </c>
    </row>
    <row r="103" spans="2:3" x14ac:dyDescent="0.25">
      <c r="B103" s="51" t="s">
        <v>9716</v>
      </c>
      <c r="C103" s="52" t="s">
        <v>9717</v>
      </c>
    </row>
    <row r="104" spans="2:3" x14ac:dyDescent="0.25">
      <c r="B104" s="51" t="s">
        <v>9718</v>
      </c>
      <c r="C104" s="52" t="s">
        <v>9719</v>
      </c>
    </row>
    <row r="105" spans="2:3" x14ac:dyDescent="0.25">
      <c r="B105" s="51" t="s">
        <v>9720</v>
      </c>
      <c r="C105" s="52" t="s">
        <v>9721</v>
      </c>
    </row>
    <row r="106" spans="2:3" x14ac:dyDescent="0.25">
      <c r="B106" s="51" t="s">
        <v>9722</v>
      </c>
      <c r="C106" s="52" t="s">
        <v>9723</v>
      </c>
    </row>
    <row r="107" spans="2:3" x14ac:dyDescent="0.25">
      <c r="B107" s="51" t="s">
        <v>4811</v>
      </c>
      <c r="C107" s="52" t="s">
        <v>9724</v>
      </c>
    </row>
    <row r="108" spans="2:3" x14ac:dyDescent="0.25">
      <c r="B108" s="51" t="s">
        <v>9725</v>
      </c>
      <c r="C108" s="52" t="s">
        <v>9726</v>
      </c>
    </row>
    <row r="109" spans="2:3" x14ac:dyDescent="0.25">
      <c r="B109" s="51" t="s">
        <v>3845</v>
      </c>
      <c r="C109" s="52" t="s">
        <v>9727</v>
      </c>
    </row>
    <row r="110" spans="2:3" x14ac:dyDescent="0.25">
      <c r="B110" s="51" t="s">
        <v>3871</v>
      </c>
      <c r="C110" s="52" t="s">
        <v>9728</v>
      </c>
    </row>
    <row r="111" spans="2:3" x14ac:dyDescent="0.25">
      <c r="B111" s="51" t="s">
        <v>9729</v>
      </c>
      <c r="C111" s="52" t="s">
        <v>9730</v>
      </c>
    </row>
    <row r="112" spans="2:3" x14ac:dyDescent="0.25">
      <c r="B112" s="51" t="s">
        <v>9731</v>
      </c>
      <c r="C112" s="52" t="s">
        <v>9732</v>
      </c>
    </row>
    <row r="113" spans="2:3" x14ac:dyDescent="0.25">
      <c r="B113" s="51" t="s">
        <v>1542</v>
      </c>
      <c r="C113" s="52" t="s">
        <v>9733</v>
      </c>
    </row>
    <row r="114" spans="2:3" x14ac:dyDescent="0.25">
      <c r="B114" s="51" t="s">
        <v>9734</v>
      </c>
      <c r="C114" s="52" t="s">
        <v>9735</v>
      </c>
    </row>
    <row r="115" spans="2:3" x14ac:dyDescent="0.25">
      <c r="B115" s="51" t="s">
        <v>5024</v>
      </c>
      <c r="C115" s="52" t="s">
        <v>9736</v>
      </c>
    </row>
    <row r="116" spans="2:3" x14ac:dyDescent="0.25">
      <c r="B116" s="51" t="s">
        <v>9737</v>
      </c>
      <c r="C116" s="52" t="s">
        <v>9738</v>
      </c>
    </row>
    <row r="117" spans="2:3" x14ac:dyDescent="0.25">
      <c r="B117" s="51" t="s">
        <v>9739</v>
      </c>
      <c r="C117" s="52" t="s">
        <v>9740</v>
      </c>
    </row>
    <row r="118" spans="2:3" x14ac:dyDescent="0.25">
      <c r="B118" s="51" t="s">
        <v>9741</v>
      </c>
      <c r="C118" s="52" t="s">
        <v>9742</v>
      </c>
    </row>
    <row r="119" spans="2:3" x14ac:dyDescent="0.25">
      <c r="B119" s="51" t="s">
        <v>9743</v>
      </c>
      <c r="C119" s="52" t="s">
        <v>9744</v>
      </c>
    </row>
    <row r="120" spans="2:3" x14ac:dyDescent="0.25">
      <c r="B120" s="51" t="s">
        <v>9745</v>
      </c>
      <c r="C120" s="52" t="s">
        <v>9746</v>
      </c>
    </row>
    <row r="121" spans="2:3" x14ac:dyDescent="0.25">
      <c r="B121" s="51" t="s">
        <v>9747</v>
      </c>
      <c r="C121" s="52" t="s">
        <v>9748</v>
      </c>
    </row>
    <row r="122" spans="2:3" x14ac:dyDescent="0.25">
      <c r="B122" s="51" t="s">
        <v>9749</v>
      </c>
      <c r="C122" s="52" t="s">
        <v>9750</v>
      </c>
    </row>
    <row r="123" spans="2:3" x14ac:dyDescent="0.25">
      <c r="B123" s="51" t="s">
        <v>9751</v>
      </c>
      <c r="C123" s="52" t="s">
        <v>9752</v>
      </c>
    </row>
    <row r="124" spans="2:3" x14ac:dyDescent="0.25">
      <c r="B124" s="51" t="s">
        <v>1567</v>
      </c>
      <c r="C124" s="52" t="s">
        <v>9753</v>
      </c>
    </row>
    <row r="125" spans="2:3" x14ac:dyDescent="0.25">
      <c r="B125" s="51" t="s">
        <v>9754</v>
      </c>
      <c r="C125" s="52" t="s">
        <v>9755</v>
      </c>
    </row>
    <row r="126" spans="2:3" x14ac:dyDescent="0.25">
      <c r="B126" s="51" t="s">
        <v>9756</v>
      </c>
      <c r="C126" s="52" t="s">
        <v>9757</v>
      </c>
    </row>
    <row r="127" spans="2:3" x14ac:dyDescent="0.25">
      <c r="B127" s="51" t="s">
        <v>3924</v>
      </c>
      <c r="C127" s="52" t="s">
        <v>9758</v>
      </c>
    </row>
    <row r="128" spans="2:3" x14ac:dyDescent="0.25">
      <c r="B128" s="51" t="s">
        <v>9759</v>
      </c>
      <c r="C128" s="52" t="s">
        <v>9760</v>
      </c>
    </row>
    <row r="129" spans="2:3" x14ac:dyDescent="0.25">
      <c r="B129" s="51" t="s">
        <v>9761</v>
      </c>
      <c r="C129" s="52" t="s">
        <v>9762</v>
      </c>
    </row>
    <row r="130" spans="2:3" x14ac:dyDescent="0.25">
      <c r="B130" s="51" t="s">
        <v>9763</v>
      </c>
      <c r="C130" s="52" t="s">
        <v>9764</v>
      </c>
    </row>
    <row r="131" spans="2:3" x14ac:dyDescent="0.25">
      <c r="B131" s="51" t="s">
        <v>4125</v>
      </c>
      <c r="C131" s="52" t="s">
        <v>9765</v>
      </c>
    </row>
    <row r="132" spans="2:3" x14ac:dyDescent="0.25">
      <c r="B132" s="51" t="s">
        <v>9766</v>
      </c>
      <c r="C132" s="52" t="s">
        <v>9767</v>
      </c>
    </row>
    <row r="133" spans="2:3" x14ac:dyDescent="0.25">
      <c r="B133" s="51" t="s">
        <v>9768</v>
      </c>
      <c r="C133" s="52" t="s">
        <v>9769</v>
      </c>
    </row>
    <row r="134" spans="2:3" x14ac:dyDescent="0.25">
      <c r="B134" s="51" t="s">
        <v>9770</v>
      </c>
      <c r="C134" s="52" t="s">
        <v>9771</v>
      </c>
    </row>
    <row r="135" spans="2:3" x14ac:dyDescent="0.25">
      <c r="B135" s="51" t="s">
        <v>9772</v>
      </c>
      <c r="C135" s="52" t="s">
        <v>9773</v>
      </c>
    </row>
    <row r="136" spans="2:3" x14ac:dyDescent="0.25">
      <c r="B136" s="51" t="s">
        <v>9774</v>
      </c>
      <c r="C136" s="52" t="s">
        <v>9775</v>
      </c>
    </row>
    <row r="137" spans="2:3" x14ac:dyDescent="0.25">
      <c r="B137" s="51" t="s">
        <v>1928</v>
      </c>
      <c r="C137" s="52" t="s">
        <v>9776</v>
      </c>
    </row>
    <row r="138" spans="2:3" x14ac:dyDescent="0.25">
      <c r="B138" s="51" t="s">
        <v>2169</v>
      </c>
      <c r="C138" s="52" t="s">
        <v>9777</v>
      </c>
    </row>
    <row r="139" spans="2:3" x14ac:dyDescent="0.25">
      <c r="B139" s="51" t="s">
        <v>9778</v>
      </c>
      <c r="C139" s="52" t="s">
        <v>9779</v>
      </c>
    </row>
    <row r="140" spans="2:3" x14ac:dyDescent="0.25">
      <c r="B140" s="51" t="s">
        <v>9780</v>
      </c>
      <c r="C140" s="52" t="s">
        <v>9781</v>
      </c>
    </row>
    <row r="141" spans="2:3" x14ac:dyDescent="0.25">
      <c r="B141" s="51" t="s">
        <v>1462</v>
      </c>
      <c r="C141" s="52" t="s">
        <v>9782</v>
      </c>
    </row>
    <row r="142" spans="2:3" x14ac:dyDescent="0.25">
      <c r="B142" s="51" t="s">
        <v>4613</v>
      </c>
      <c r="C142" s="52" t="s">
        <v>9783</v>
      </c>
    </row>
    <row r="143" spans="2:3" x14ac:dyDescent="0.25">
      <c r="B143" s="51" t="s">
        <v>4376</v>
      </c>
      <c r="C143" s="52" t="s">
        <v>9784</v>
      </c>
    </row>
    <row r="144" spans="2:3" x14ac:dyDescent="0.25">
      <c r="B144" s="51" t="s">
        <v>1583</v>
      </c>
      <c r="C144" s="52" t="s">
        <v>9785</v>
      </c>
    </row>
    <row r="145" spans="2:12" x14ac:dyDescent="0.25">
      <c r="B145" s="51" t="s">
        <v>9786</v>
      </c>
      <c r="C145" s="52" t="s">
        <v>9787</v>
      </c>
    </row>
    <row r="146" spans="2:12" x14ac:dyDescent="0.25">
      <c r="B146" s="51" t="s">
        <v>9788</v>
      </c>
      <c r="C146" s="52" t="s">
        <v>9789</v>
      </c>
    </row>
    <row r="147" spans="2:12" x14ac:dyDescent="0.25">
      <c r="B147" s="51" t="s">
        <v>9790</v>
      </c>
      <c r="C147" s="52" t="s">
        <v>9791</v>
      </c>
    </row>
    <row r="148" spans="2:12" x14ac:dyDescent="0.25">
      <c r="B148" s="51" t="s">
        <v>1793</v>
      </c>
      <c r="C148" s="52" t="s">
        <v>9792</v>
      </c>
    </row>
    <row r="149" spans="2:12" x14ac:dyDescent="0.25">
      <c r="B149" s="51" t="s">
        <v>9793</v>
      </c>
      <c r="C149" s="52" t="s">
        <v>9794</v>
      </c>
    </row>
    <row r="150" spans="2:12" x14ac:dyDescent="0.25">
      <c r="B150" s="51" t="s">
        <v>1465</v>
      </c>
      <c r="C150" s="52" t="s">
        <v>9795</v>
      </c>
    </row>
    <row r="151" spans="2:12" x14ac:dyDescent="0.25">
      <c r="B151" s="51" t="s">
        <v>9796</v>
      </c>
      <c r="C151" s="52" t="s">
        <v>9797</v>
      </c>
    </row>
    <row r="152" spans="2:12" x14ac:dyDescent="0.25">
      <c r="B152" s="51" t="s">
        <v>1623</v>
      </c>
      <c r="C152" s="52" t="s">
        <v>9798</v>
      </c>
    </row>
    <row r="153" spans="2:12" x14ac:dyDescent="0.25">
      <c r="B153" s="51" t="s">
        <v>9799</v>
      </c>
      <c r="C153" s="52" t="s">
        <v>9800</v>
      </c>
    </row>
    <row r="154" spans="2:12" x14ac:dyDescent="0.25">
      <c r="B154" s="51" t="s">
        <v>1613</v>
      </c>
      <c r="C154" s="52" t="s">
        <v>9801</v>
      </c>
      <c r="L154" s="57"/>
    </row>
    <row r="155" spans="2:12" x14ac:dyDescent="0.25">
      <c r="B155" s="51" t="s">
        <v>9802</v>
      </c>
      <c r="C155" s="52" t="s">
        <v>9803</v>
      </c>
    </row>
    <row r="156" spans="2:12" x14ac:dyDescent="0.25">
      <c r="B156" s="51" t="s">
        <v>1418</v>
      </c>
      <c r="C156" s="52" t="s">
        <v>9804</v>
      </c>
    </row>
    <row r="157" spans="2:12" x14ac:dyDescent="0.25">
      <c r="B157" s="51" t="s">
        <v>9805</v>
      </c>
      <c r="C157" s="52" t="s">
        <v>9806</v>
      </c>
    </row>
    <row r="158" spans="2:12" x14ac:dyDescent="0.25">
      <c r="B158" s="51" t="s">
        <v>9807</v>
      </c>
      <c r="C158" s="52" t="s">
        <v>9808</v>
      </c>
    </row>
    <row r="159" spans="2:12" x14ac:dyDescent="0.25">
      <c r="B159" s="51" t="s">
        <v>9809</v>
      </c>
      <c r="C159" s="52" t="s">
        <v>9810</v>
      </c>
    </row>
    <row r="160" spans="2:12" x14ac:dyDescent="0.25">
      <c r="B160" s="51" t="s">
        <v>9811</v>
      </c>
      <c r="C160" s="52" t="s">
        <v>9812</v>
      </c>
    </row>
    <row r="161" spans="2:3" x14ac:dyDescent="0.25">
      <c r="B161" s="51" t="s">
        <v>9813</v>
      </c>
      <c r="C161" s="52" t="s">
        <v>9814</v>
      </c>
    </row>
    <row r="162" spans="2:3" x14ac:dyDescent="0.25">
      <c r="B162" s="51" t="s">
        <v>9815</v>
      </c>
      <c r="C162" s="52" t="s">
        <v>9816</v>
      </c>
    </row>
    <row r="163" spans="2:3" x14ac:dyDescent="0.25">
      <c r="B163" s="51" t="s">
        <v>1397</v>
      </c>
      <c r="C163" s="52" t="s">
        <v>9817</v>
      </c>
    </row>
    <row r="164" spans="2:3" x14ac:dyDescent="0.25">
      <c r="B164" s="51" t="s">
        <v>9818</v>
      </c>
      <c r="C164" s="52" t="s">
        <v>9819</v>
      </c>
    </row>
    <row r="165" spans="2:3" x14ac:dyDescent="0.25">
      <c r="B165" s="51" t="s">
        <v>9820</v>
      </c>
      <c r="C165" s="52" t="s">
        <v>9821</v>
      </c>
    </row>
    <row r="166" spans="2:3" x14ac:dyDescent="0.25">
      <c r="B166" s="51" t="s">
        <v>1409</v>
      </c>
      <c r="C166" s="52" t="s">
        <v>9822</v>
      </c>
    </row>
    <row r="167" spans="2:3" x14ac:dyDescent="0.25">
      <c r="B167" s="51" t="s">
        <v>9823</v>
      </c>
      <c r="C167" s="52" t="s">
        <v>9824</v>
      </c>
    </row>
    <row r="168" spans="2:3" x14ac:dyDescent="0.25">
      <c r="B168" s="51" t="s">
        <v>9825</v>
      </c>
      <c r="C168" s="52" t="s">
        <v>9826</v>
      </c>
    </row>
    <row r="169" spans="2:3" x14ac:dyDescent="0.25">
      <c r="B169" s="51" t="s">
        <v>3631</v>
      </c>
      <c r="C169" s="52" t="s">
        <v>9827</v>
      </c>
    </row>
    <row r="170" spans="2:3" x14ac:dyDescent="0.25">
      <c r="B170" s="51" t="s">
        <v>3635</v>
      </c>
      <c r="C170" s="52" t="s">
        <v>9828</v>
      </c>
    </row>
    <row r="171" spans="2:3" x14ac:dyDescent="0.25">
      <c r="B171" s="51" t="s">
        <v>9829</v>
      </c>
      <c r="C171" s="52" t="s">
        <v>9830</v>
      </c>
    </row>
    <row r="172" spans="2:3" x14ac:dyDescent="0.25">
      <c r="B172" s="51" t="s">
        <v>9831</v>
      </c>
      <c r="C172" s="52" t="s">
        <v>9832</v>
      </c>
    </row>
    <row r="173" spans="2:3" x14ac:dyDescent="0.25">
      <c r="B173" s="51" t="s">
        <v>9833</v>
      </c>
      <c r="C173" s="52" t="s">
        <v>9834</v>
      </c>
    </row>
    <row r="174" spans="2:3" x14ac:dyDescent="0.25">
      <c r="B174" s="51" t="s">
        <v>5173</v>
      </c>
      <c r="C174" s="52" t="s">
        <v>9835</v>
      </c>
    </row>
    <row r="175" spans="2:3" x14ac:dyDescent="0.25">
      <c r="B175" s="51" t="s">
        <v>1509</v>
      </c>
      <c r="C175" s="52" t="s">
        <v>9836</v>
      </c>
    </row>
    <row r="176" spans="2:3" x14ac:dyDescent="0.25">
      <c r="B176" s="51" t="s">
        <v>9837</v>
      </c>
      <c r="C176" s="52" t="s">
        <v>9838</v>
      </c>
    </row>
    <row r="177" spans="2:3" x14ac:dyDescent="0.25">
      <c r="B177" s="51" t="s">
        <v>9839</v>
      </c>
      <c r="C177" s="52" t="s">
        <v>9840</v>
      </c>
    </row>
    <row r="178" spans="2:3" x14ac:dyDescent="0.25">
      <c r="B178" s="51" t="s">
        <v>9841</v>
      </c>
      <c r="C178" s="52" t="s">
        <v>9842</v>
      </c>
    </row>
    <row r="179" spans="2:3" x14ac:dyDescent="0.25">
      <c r="B179" s="51" t="s">
        <v>1704</v>
      </c>
      <c r="C179" s="52" t="s">
        <v>9843</v>
      </c>
    </row>
    <row r="180" spans="2:3" x14ac:dyDescent="0.25">
      <c r="B180" s="51" t="s">
        <v>9844</v>
      </c>
      <c r="C180" s="52" t="s">
        <v>9845</v>
      </c>
    </row>
    <row r="181" spans="2:3" x14ac:dyDescent="0.25">
      <c r="B181" s="51" t="s">
        <v>208</v>
      </c>
      <c r="C181" s="52" t="s">
        <v>9846</v>
      </c>
    </row>
    <row r="182" spans="2:3" x14ac:dyDescent="0.25">
      <c r="B182" s="51" t="s">
        <v>9847</v>
      </c>
      <c r="C182" s="52" t="s">
        <v>9848</v>
      </c>
    </row>
    <row r="183" spans="2:3" x14ac:dyDescent="0.25">
      <c r="B183" s="51" t="s">
        <v>1573</v>
      </c>
      <c r="C183" s="52" t="s">
        <v>9849</v>
      </c>
    </row>
    <row r="184" spans="2:3" x14ac:dyDescent="0.25">
      <c r="B184" s="51" t="s">
        <v>9850</v>
      </c>
      <c r="C184" s="52" t="s">
        <v>9851</v>
      </c>
    </row>
    <row r="185" spans="2:3" x14ac:dyDescent="0.25">
      <c r="B185" s="51" t="s">
        <v>9852</v>
      </c>
      <c r="C185" s="52" t="s">
        <v>9853</v>
      </c>
    </row>
    <row r="186" spans="2:3" x14ac:dyDescent="0.25">
      <c r="B186" s="51" t="s">
        <v>9854</v>
      </c>
      <c r="C186" s="52" t="s">
        <v>9855</v>
      </c>
    </row>
    <row r="187" spans="2:3" x14ac:dyDescent="0.25">
      <c r="B187" s="51" t="s">
        <v>9856</v>
      </c>
      <c r="C187" s="52" t="s">
        <v>9857</v>
      </c>
    </row>
    <row r="188" spans="2:3" x14ac:dyDescent="0.25">
      <c r="B188" s="51" t="s">
        <v>9858</v>
      </c>
      <c r="C188" s="52" t="s">
        <v>9859</v>
      </c>
    </row>
    <row r="189" spans="2:3" x14ac:dyDescent="0.25">
      <c r="B189" s="51" t="s">
        <v>9860</v>
      </c>
      <c r="C189" s="52" t="s">
        <v>9861</v>
      </c>
    </row>
    <row r="190" spans="2:3" x14ac:dyDescent="0.25">
      <c r="B190" s="51" t="s">
        <v>9862</v>
      </c>
      <c r="C190" s="52" t="s">
        <v>9863</v>
      </c>
    </row>
    <row r="191" spans="2:3" x14ac:dyDescent="0.25">
      <c r="B191" s="51" t="s">
        <v>9864</v>
      </c>
      <c r="C191" s="52" t="s">
        <v>9865</v>
      </c>
    </row>
    <row r="192" spans="2:3" x14ac:dyDescent="0.25">
      <c r="B192" s="51" t="s">
        <v>9866</v>
      </c>
      <c r="C192" s="52" t="s">
        <v>9867</v>
      </c>
    </row>
    <row r="193" spans="2:3" x14ac:dyDescent="0.25">
      <c r="B193" s="51" t="s">
        <v>1520</v>
      </c>
      <c r="C193" s="52" t="s">
        <v>9868</v>
      </c>
    </row>
    <row r="194" spans="2:3" x14ac:dyDescent="0.25">
      <c r="B194" s="51" t="s">
        <v>9869</v>
      </c>
      <c r="C194" s="52" t="s">
        <v>9870</v>
      </c>
    </row>
    <row r="195" spans="2:3" x14ac:dyDescent="0.25">
      <c r="B195" s="51" t="s">
        <v>1844</v>
      </c>
      <c r="C195" s="52" t="s">
        <v>9871</v>
      </c>
    </row>
    <row r="196" spans="2:3" x14ac:dyDescent="0.25">
      <c r="B196" s="51" t="s">
        <v>9872</v>
      </c>
      <c r="C196" s="52" t="s">
        <v>9873</v>
      </c>
    </row>
    <row r="197" spans="2:3" x14ac:dyDescent="0.25">
      <c r="B197" s="51" t="s">
        <v>3828</v>
      </c>
      <c r="C197" s="52" t="s">
        <v>9874</v>
      </c>
    </row>
    <row r="198" spans="2:3" x14ac:dyDescent="0.25">
      <c r="B198" s="51" t="s">
        <v>9875</v>
      </c>
      <c r="C198" s="52" t="s">
        <v>9876</v>
      </c>
    </row>
    <row r="199" spans="2:3" x14ac:dyDescent="0.25">
      <c r="B199" s="51" t="s">
        <v>9877</v>
      </c>
      <c r="C199" s="52" t="s">
        <v>9878</v>
      </c>
    </row>
    <row r="200" spans="2:3" x14ac:dyDescent="0.25">
      <c r="B200" s="51" t="s">
        <v>3782</v>
      </c>
      <c r="C200" s="52" t="s">
        <v>9879</v>
      </c>
    </row>
    <row r="201" spans="2:3" x14ac:dyDescent="0.25">
      <c r="B201" s="51" t="s">
        <v>9880</v>
      </c>
      <c r="C201" s="52" t="s">
        <v>9881</v>
      </c>
    </row>
    <row r="202" spans="2:3" x14ac:dyDescent="0.25">
      <c r="B202" s="51" t="s">
        <v>9882</v>
      </c>
      <c r="C202" s="52" t="s">
        <v>9883</v>
      </c>
    </row>
    <row r="203" spans="2:3" x14ac:dyDescent="0.25">
      <c r="B203" s="51" t="s">
        <v>9884</v>
      </c>
      <c r="C203" s="52" t="s">
        <v>9885</v>
      </c>
    </row>
    <row r="204" spans="2:3" x14ac:dyDescent="0.25">
      <c r="B204" s="51" t="s">
        <v>1506</v>
      </c>
      <c r="C204" s="52" t="s">
        <v>9886</v>
      </c>
    </row>
    <row r="205" spans="2:3" x14ac:dyDescent="0.25">
      <c r="B205" s="51" t="s">
        <v>9887</v>
      </c>
      <c r="C205" s="52" t="s">
        <v>9888</v>
      </c>
    </row>
    <row r="206" spans="2:3" x14ac:dyDescent="0.25">
      <c r="B206" s="51" t="s">
        <v>9889</v>
      </c>
      <c r="C206" s="52" t="s">
        <v>9890</v>
      </c>
    </row>
    <row r="207" spans="2:3" x14ac:dyDescent="0.25">
      <c r="B207" s="51" t="s">
        <v>1642</v>
      </c>
      <c r="C207" s="52" t="s">
        <v>9891</v>
      </c>
    </row>
    <row r="208" spans="2:3" x14ac:dyDescent="0.25">
      <c r="B208" s="51" t="s">
        <v>9892</v>
      </c>
      <c r="C208" s="52" t="s">
        <v>9893</v>
      </c>
    </row>
    <row r="209" spans="2:3" x14ac:dyDescent="0.25">
      <c r="B209" s="51" t="s">
        <v>1589</v>
      </c>
      <c r="C209" s="52" t="s">
        <v>9894</v>
      </c>
    </row>
    <row r="210" spans="2:3" x14ac:dyDescent="0.25">
      <c r="B210" s="51" t="s">
        <v>9895</v>
      </c>
      <c r="C210" s="52" t="s">
        <v>9896</v>
      </c>
    </row>
    <row r="211" spans="2:3" x14ac:dyDescent="0.25">
      <c r="B211" s="51" t="s">
        <v>4751</v>
      </c>
      <c r="C211" s="52" t="s">
        <v>9897</v>
      </c>
    </row>
    <row r="212" spans="2:3" x14ac:dyDescent="0.25">
      <c r="B212" s="51" t="s">
        <v>229</v>
      </c>
      <c r="C212" s="52" t="s">
        <v>9898</v>
      </c>
    </row>
    <row r="213" spans="2:3" x14ac:dyDescent="0.25">
      <c r="B213" s="51" t="s">
        <v>9899</v>
      </c>
      <c r="C213" s="52" t="s">
        <v>9900</v>
      </c>
    </row>
    <row r="214" spans="2:3" x14ac:dyDescent="0.25">
      <c r="B214" s="51" t="s">
        <v>1473</v>
      </c>
      <c r="C214" s="52" t="s">
        <v>9901</v>
      </c>
    </row>
    <row r="215" spans="2:3" x14ac:dyDescent="0.25">
      <c r="B215" s="51" t="s">
        <v>9902</v>
      </c>
      <c r="C215" s="52" t="s">
        <v>9903</v>
      </c>
    </row>
    <row r="216" spans="2:3" x14ac:dyDescent="0.25">
      <c r="B216" s="51" t="s">
        <v>3667</v>
      </c>
      <c r="C216" s="52" t="s">
        <v>9904</v>
      </c>
    </row>
    <row r="217" spans="2:3" x14ac:dyDescent="0.25">
      <c r="B217" s="51" t="s">
        <v>9905</v>
      </c>
      <c r="C217" s="52" t="s">
        <v>9906</v>
      </c>
    </row>
    <row r="218" spans="2:3" x14ac:dyDescent="0.25">
      <c r="B218" s="51" t="s">
        <v>3582</v>
      </c>
      <c r="C218" s="52" t="s">
        <v>9907</v>
      </c>
    </row>
    <row r="219" spans="2:3" x14ac:dyDescent="0.25">
      <c r="B219" s="51" t="s">
        <v>9908</v>
      </c>
      <c r="C219" s="52" t="s">
        <v>9909</v>
      </c>
    </row>
    <row r="220" spans="2:3" x14ac:dyDescent="0.25">
      <c r="B220" s="51" t="s">
        <v>9910</v>
      </c>
      <c r="C220" s="52" t="s">
        <v>9911</v>
      </c>
    </row>
    <row r="221" spans="2:3" x14ac:dyDescent="0.25">
      <c r="B221" s="51" t="s">
        <v>9912</v>
      </c>
      <c r="C221" s="52" t="s">
        <v>9913</v>
      </c>
    </row>
    <row r="222" spans="2:3" x14ac:dyDescent="0.25">
      <c r="B222" s="51" t="s">
        <v>9914</v>
      </c>
      <c r="C222" s="52" t="s">
        <v>9915</v>
      </c>
    </row>
    <row r="223" spans="2:3" x14ac:dyDescent="0.25">
      <c r="B223" s="51" t="s">
        <v>9916</v>
      </c>
      <c r="C223" s="52" t="s">
        <v>9917</v>
      </c>
    </row>
    <row r="224" spans="2:3" x14ac:dyDescent="0.25">
      <c r="B224" s="51" t="s">
        <v>3527</v>
      </c>
      <c r="C224" s="52" t="s">
        <v>9918</v>
      </c>
    </row>
    <row r="225" spans="2:9" x14ac:dyDescent="0.25">
      <c r="B225" s="51" t="s">
        <v>9919</v>
      </c>
      <c r="C225" s="52" t="s">
        <v>9920</v>
      </c>
    </row>
    <row r="226" spans="2:9" x14ac:dyDescent="0.25">
      <c r="B226" s="51" t="s">
        <v>9921</v>
      </c>
      <c r="C226" s="52" t="s">
        <v>9922</v>
      </c>
    </row>
    <row r="227" spans="2:9" x14ac:dyDescent="0.25">
      <c r="B227" s="51" t="s">
        <v>9923</v>
      </c>
      <c r="C227" s="52" t="s">
        <v>9924</v>
      </c>
    </row>
    <row r="228" spans="2:9" x14ac:dyDescent="0.25">
      <c r="B228" s="51" t="s">
        <v>9925</v>
      </c>
      <c r="C228" s="52" t="s">
        <v>9926</v>
      </c>
    </row>
    <row r="229" spans="2:9" x14ac:dyDescent="0.25">
      <c r="B229" s="51" t="s">
        <v>9927</v>
      </c>
      <c r="C229" s="52" t="s">
        <v>9928</v>
      </c>
    </row>
    <row r="230" spans="2:9" x14ac:dyDescent="0.25">
      <c r="B230" s="51" t="s">
        <v>1500</v>
      </c>
      <c r="C230" s="52" t="s">
        <v>9929</v>
      </c>
    </row>
    <row r="231" spans="2:9" x14ac:dyDescent="0.25">
      <c r="B231" s="51" t="s">
        <v>9930</v>
      </c>
      <c r="C231" s="52" t="s">
        <v>9931</v>
      </c>
    </row>
    <row r="232" spans="2:9" x14ac:dyDescent="0.25">
      <c r="B232" s="51" t="s">
        <v>1782</v>
      </c>
      <c r="C232" s="52" t="s">
        <v>9932</v>
      </c>
    </row>
    <row r="233" spans="2:9" x14ac:dyDescent="0.25">
      <c r="B233" s="51" t="s">
        <v>4246</v>
      </c>
      <c r="C233" s="52" t="s">
        <v>9933</v>
      </c>
    </row>
    <row r="234" spans="2:9" x14ac:dyDescent="0.25">
      <c r="B234" s="51" t="s">
        <v>9934</v>
      </c>
      <c r="C234" s="52" t="s">
        <v>9935</v>
      </c>
    </row>
    <row r="235" spans="2:9" x14ac:dyDescent="0.25">
      <c r="B235" s="51" t="s">
        <v>1529</v>
      </c>
      <c r="C235" s="52" t="s">
        <v>9936</v>
      </c>
    </row>
    <row r="236" spans="2:9" x14ac:dyDescent="0.25">
      <c r="B236" s="51" t="s">
        <v>9937</v>
      </c>
      <c r="C236" s="52" t="s">
        <v>9938</v>
      </c>
      <c r="I236" s="57"/>
    </row>
    <row r="237" spans="2:9" x14ac:dyDescent="0.25">
      <c r="B237" s="51" t="s">
        <v>9939</v>
      </c>
      <c r="C237" s="52" t="s">
        <v>9940</v>
      </c>
    </row>
    <row r="238" spans="2:9" x14ac:dyDescent="0.25">
      <c r="B238" s="51" t="s">
        <v>9941</v>
      </c>
      <c r="C238" s="52" t="s">
        <v>9942</v>
      </c>
    </row>
    <row r="239" spans="2:9" x14ac:dyDescent="0.25">
      <c r="B239" s="51" t="s">
        <v>9943</v>
      </c>
      <c r="C239" s="52" t="s">
        <v>9944</v>
      </c>
    </row>
    <row r="240" spans="2:9" x14ac:dyDescent="0.25">
      <c r="B240" s="51" t="s">
        <v>1413</v>
      </c>
      <c r="C240" s="52" t="s">
        <v>9945</v>
      </c>
    </row>
    <row r="241" spans="2:3" x14ac:dyDescent="0.25">
      <c r="B241" s="51" t="s">
        <v>1404</v>
      </c>
      <c r="C241" s="52" t="s">
        <v>9946</v>
      </c>
    </row>
    <row r="242" spans="2:3" x14ac:dyDescent="0.25">
      <c r="B242" s="51" t="s">
        <v>9947</v>
      </c>
      <c r="C242" s="52" t="s">
        <v>9948</v>
      </c>
    </row>
    <row r="243" spans="2:3" x14ac:dyDescent="0.25">
      <c r="B243" s="51" t="s">
        <v>9949</v>
      </c>
      <c r="C243" s="52" t="s">
        <v>9950</v>
      </c>
    </row>
    <row r="244" spans="2:3" x14ac:dyDescent="0.25">
      <c r="B244" s="51" t="s">
        <v>1489</v>
      </c>
      <c r="C244" s="52" t="s">
        <v>9951</v>
      </c>
    </row>
    <row r="245" spans="2:3" x14ac:dyDescent="0.25">
      <c r="B245" s="51" t="s">
        <v>3765</v>
      </c>
      <c r="C245" s="52" t="s">
        <v>9952</v>
      </c>
    </row>
    <row r="246" spans="2:3" x14ac:dyDescent="0.25">
      <c r="B246" s="51" t="s">
        <v>9953</v>
      </c>
      <c r="C246" s="52" t="s">
        <v>9954</v>
      </c>
    </row>
    <row r="247" spans="2:3" x14ac:dyDescent="0.25">
      <c r="B247" s="51" t="s">
        <v>4106</v>
      </c>
      <c r="C247" s="52" t="s">
        <v>9955</v>
      </c>
    </row>
    <row r="248" spans="2:3" x14ac:dyDescent="0.25">
      <c r="B248" s="51" t="s">
        <v>5149</v>
      </c>
      <c r="C248" s="52" t="s">
        <v>9956</v>
      </c>
    </row>
    <row r="249" spans="2:3" x14ac:dyDescent="0.25">
      <c r="B249" s="51" t="s">
        <v>9957</v>
      </c>
      <c r="C249" s="52" t="s">
        <v>9958</v>
      </c>
    </row>
    <row r="250" spans="2:3" x14ac:dyDescent="0.25">
      <c r="B250" s="51" t="s">
        <v>1526</v>
      </c>
      <c r="C250" s="52" t="s">
        <v>9959</v>
      </c>
    </row>
    <row r="251" spans="2:3" x14ac:dyDescent="0.25">
      <c r="B251" s="51" t="s">
        <v>9960</v>
      </c>
      <c r="C251" s="52" t="s">
        <v>9961</v>
      </c>
    </row>
    <row r="252" spans="2:3" x14ac:dyDescent="0.25">
      <c r="B252" s="51" t="s">
        <v>9962</v>
      </c>
      <c r="C252" s="52" t="s">
        <v>9963</v>
      </c>
    </row>
    <row r="253" spans="2:3" x14ac:dyDescent="0.25">
      <c r="B253" s="51" t="s">
        <v>1576</v>
      </c>
      <c r="C253" s="52" t="s">
        <v>9964</v>
      </c>
    </row>
    <row r="254" spans="2:3" x14ac:dyDescent="0.25">
      <c r="B254" s="51" t="s">
        <v>1895</v>
      </c>
      <c r="C254" s="52" t="s">
        <v>9965</v>
      </c>
    </row>
    <row r="255" spans="2:3" x14ac:dyDescent="0.25">
      <c r="B255" s="51" t="s">
        <v>9966</v>
      </c>
      <c r="C255" s="52" t="s">
        <v>9967</v>
      </c>
    </row>
    <row r="256" spans="2:3" x14ac:dyDescent="0.25">
      <c r="B256" s="51" t="s">
        <v>9968</v>
      </c>
      <c r="C256" s="52" t="s">
        <v>9969</v>
      </c>
    </row>
    <row r="257" spans="2:3" x14ac:dyDescent="0.25">
      <c r="B257" s="51" t="s">
        <v>2092</v>
      </c>
      <c r="C257" s="52" t="s">
        <v>9970</v>
      </c>
    </row>
    <row r="258" spans="2:3" x14ac:dyDescent="0.25">
      <c r="B258" s="51" t="s">
        <v>1421</v>
      </c>
      <c r="C258" s="52" t="s">
        <v>9971</v>
      </c>
    </row>
    <row r="259" spans="2:3" x14ac:dyDescent="0.25">
      <c r="B259" s="51" t="s">
        <v>9972</v>
      </c>
      <c r="C259" s="52" t="s">
        <v>9973</v>
      </c>
    </row>
    <row r="260" spans="2:3" x14ac:dyDescent="0.25">
      <c r="B260" s="51" t="s">
        <v>9974</v>
      </c>
      <c r="C260" s="52" t="s">
        <v>9733</v>
      </c>
    </row>
    <row r="261" spans="2:3" x14ac:dyDescent="0.25">
      <c r="B261" s="51" t="s">
        <v>9975</v>
      </c>
      <c r="C261" s="52" t="s">
        <v>9976</v>
      </c>
    </row>
    <row r="262" spans="2:3" x14ac:dyDescent="0.25">
      <c r="B262" s="51" t="s">
        <v>66</v>
      </c>
      <c r="C262" s="52" t="s">
        <v>9977</v>
      </c>
    </row>
    <row r="263" spans="2:3" x14ac:dyDescent="0.25">
      <c r="B263" s="51" t="s">
        <v>9978</v>
      </c>
      <c r="C263" s="52" t="s">
        <v>9979</v>
      </c>
    </row>
    <row r="264" spans="2:3" x14ac:dyDescent="0.25">
      <c r="B264" s="51" t="s">
        <v>1468</v>
      </c>
      <c r="C264" s="52" t="s">
        <v>9980</v>
      </c>
    </row>
    <row r="265" spans="2:3" x14ac:dyDescent="0.25">
      <c r="B265" s="51" t="s">
        <v>9981</v>
      </c>
      <c r="C265" s="52" t="s">
        <v>9982</v>
      </c>
    </row>
    <row r="266" spans="2:3" x14ac:dyDescent="0.25">
      <c r="B266" s="51" t="s">
        <v>9983</v>
      </c>
      <c r="C266" s="52" t="s">
        <v>9984</v>
      </c>
    </row>
    <row r="267" spans="2:3" x14ac:dyDescent="0.25">
      <c r="B267" s="51" t="s">
        <v>9985</v>
      </c>
      <c r="C267" s="52" t="s">
        <v>9986</v>
      </c>
    </row>
    <row r="268" spans="2:3" x14ac:dyDescent="0.25">
      <c r="B268" s="51" t="s">
        <v>9987</v>
      </c>
      <c r="C268" s="52" t="s">
        <v>9988</v>
      </c>
    </row>
    <row r="269" spans="2:3" x14ac:dyDescent="0.25">
      <c r="B269" s="51" t="s">
        <v>1598</v>
      </c>
      <c r="C269" s="52" t="s">
        <v>9989</v>
      </c>
    </row>
    <row r="270" spans="2:3" x14ac:dyDescent="0.25">
      <c r="B270" s="51" t="s">
        <v>9990</v>
      </c>
      <c r="C270" s="52" t="s">
        <v>9991</v>
      </c>
    </row>
    <row r="271" spans="2:3" x14ac:dyDescent="0.25">
      <c r="B271" s="51" t="s">
        <v>9992</v>
      </c>
      <c r="C271" s="52" t="s">
        <v>9993</v>
      </c>
    </row>
    <row r="272" spans="2:3" x14ac:dyDescent="0.25">
      <c r="B272" s="51" t="s">
        <v>9994</v>
      </c>
      <c r="C272" s="52" t="s">
        <v>9995</v>
      </c>
    </row>
    <row r="273" spans="2:3" x14ac:dyDescent="0.25">
      <c r="B273" s="51" t="s">
        <v>9996</v>
      </c>
      <c r="C273" s="52" t="s">
        <v>9997</v>
      </c>
    </row>
    <row r="274" spans="2:3" x14ac:dyDescent="0.25">
      <c r="B274" s="51" t="s">
        <v>9998</v>
      </c>
      <c r="C274" s="52" t="s">
        <v>9999</v>
      </c>
    </row>
    <row r="275" spans="2:3" x14ac:dyDescent="0.25">
      <c r="B275" s="51" t="s">
        <v>10000</v>
      </c>
      <c r="C275" s="52" t="s">
        <v>10001</v>
      </c>
    </row>
    <row r="276" spans="2:3" x14ac:dyDescent="0.25">
      <c r="B276" s="51" t="s">
        <v>10002</v>
      </c>
      <c r="C276" s="52" t="s">
        <v>10003</v>
      </c>
    </row>
    <row r="277" spans="2:3" x14ac:dyDescent="0.25">
      <c r="B277" s="51" t="s">
        <v>10004</v>
      </c>
      <c r="C277" s="52" t="s">
        <v>10005</v>
      </c>
    </row>
    <row r="278" spans="2:3" x14ac:dyDescent="0.25">
      <c r="B278" s="51" t="s">
        <v>10006</v>
      </c>
      <c r="C278" s="52" t="s">
        <v>10007</v>
      </c>
    </row>
    <row r="279" spans="2:3" x14ac:dyDescent="0.25">
      <c r="B279" s="51" t="s">
        <v>10008</v>
      </c>
      <c r="C279" s="52" t="s">
        <v>10009</v>
      </c>
    </row>
    <row r="280" spans="2:3" x14ac:dyDescent="0.25">
      <c r="B280" s="51" t="s">
        <v>1821</v>
      </c>
      <c r="C280" s="52" t="s">
        <v>10010</v>
      </c>
    </row>
    <row r="281" spans="2:3" x14ac:dyDescent="0.25">
      <c r="B281" s="51" t="s">
        <v>1711</v>
      </c>
      <c r="C281" s="52" t="s">
        <v>10011</v>
      </c>
    </row>
    <row r="282" spans="2:3" x14ac:dyDescent="0.25">
      <c r="B282" s="51" t="s">
        <v>1841</v>
      </c>
      <c r="C282" s="52" t="s">
        <v>10012</v>
      </c>
    </row>
    <row r="283" spans="2:3" x14ac:dyDescent="0.25">
      <c r="B283" s="51" t="s">
        <v>1923</v>
      </c>
      <c r="C283" s="52" t="s">
        <v>10013</v>
      </c>
    </row>
    <row r="284" spans="2:3" x14ac:dyDescent="0.25">
      <c r="B284" s="51" t="s">
        <v>1935</v>
      </c>
      <c r="C284" s="52" t="s">
        <v>10014</v>
      </c>
    </row>
    <row r="285" spans="2:3" x14ac:dyDescent="0.25">
      <c r="B285" s="51" t="s">
        <v>2119</v>
      </c>
      <c r="C285" s="52" t="s">
        <v>10015</v>
      </c>
    </row>
    <row r="286" spans="2:3" x14ac:dyDescent="0.25">
      <c r="B286" s="51" t="s">
        <v>2103</v>
      </c>
      <c r="C286" s="52" t="s">
        <v>10016</v>
      </c>
    </row>
    <row r="287" spans="2:3" x14ac:dyDescent="0.25">
      <c r="B287" s="51" t="s">
        <v>2184</v>
      </c>
      <c r="C287" s="52" t="s">
        <v>10017</v>
      </c>
    </row>
    <row r="288" spans="2:3" x14ac:dyDescent="0.25">
      <c r="B288" s="125" t="s">
        <v>3490</v>
      </c>
      <c r="C288" s="52" t="s">
        <v>10018</v>
      </c>
    </row>
    <row r="289" spans="2:3" x14ac:dyDescent="0.25">
      <c r="B289" s="51" t="s">
        <v>3497</v>
      </c>
      <c r="C289" s="52" t="s">
        <v>10019</v>
      </c>
    </row>
    <row r="290" spans="2:3" x14ac:dyDescent="0.25">
      <c r="B290" s="51" t="s">
        <v>3502</v>
      </c>
      <c r="C290" s="52" t="s">
        <v>10020</v>
      </c>
    </row>
    <row r="291" spans="2:3" ht="15.75" customHeight="1" x14ac:dyDescent="0.25">
      <c r="B291" s="125" t="s">
        <v>3510</v>
      </c>
      <c r="C291" s="52" t="s">
        <v>10021</v>
      </c>
    </row>
    <row r="292" spans="2:3" x14ac:dyDescent="0.25">
      <c r="B292" s="125" t="s">
        <v>3513</v>
      </c>
      <c r="C292" s="52" t="s">
        <v>10022</v>
      </c>
    </row>
    <row r="293" spans="2:3" x14ac:dyDescent="0.25">
      <c r="B293" s="125" t="s">
        <v>3523</v>
      </c>
      <c r="C293" s="52" t="s">
        <v>10023</v>
      </c>
    </row>
    <row r="294" spans="2:3" x14ac:dyDescent="0.25">
      <c r="B294" s="125" t="s">
        <v>3535</v>
      </c>
      <c r="C294" s="52" t="s">
        <v>10024</v>
      </c>
    </row>
    <row r="295" spans="2:3" x14ac:dyDescent="0.25">
      <c r="B295" s="51" t="s">
        <v>3530</v>
      </c>
      <c r="C295" s="52" t="s">
        <v>10025</v>
      </c>
    </row>
    <row r="296" spans="2:3" x14ac:dyDescent="0.25">
      <c r="B296" s="125" t="s">
        <v>3545</v>
      </c>
      <c r="C296" s="52" t="s">
        <v>10026</v>
      </c>
    </row>
    <row r="297" spans="2:3" x14ac:dyDescent="0.25">
      <c r="B297" s="51" t="s">
        <v>3550</v>
      </c>
      <c r="C297" s="52" t="s">
        <v>10027</v>
      </c>
    </row>
    <row r="298" spans="2:3" x14ac:dyDescent="0.25">
      <c r="B298" s="51" t="s">
        <v>3548</v>
      </c>
      <c r="C298" s="52" t="s">
        <v>10028</v>
      </c>
    </row>
    <row r="299" spans="2:3" x14ac:dyDescent="0.25">
      <c r="B299" s="51" t="s">
        <v>3559</v>
      </c>
      <c r="C299" s="52" t="s">
        <v>10029</v>
      </c>
    </row>
    <row r="300" spans="2:3" x14ac:dyDescent="0.25">
      <c r="B300" s="51" t="s">
        <v>3557</v>
      </c>
      <c r="C300" s="52" t="s">
        <v>10030</v>
      </c>
    </row>
    <row r="301" spans="2:3" x14ac:dyDescent="0.25">
      <c r="B301" s="51" t="s">
        <v>3563</v>
      </c>
      <c r="C301" s="52" t="s">
        <v>10031</v>
      </c>
    </row>
    <row r="302" spans="2:3" x14ac:dyDescent="0.25">
      <c r="B302" s="51" t="s">
        <v>3569</v>
      </c>
      <c r="C302" s="52" t="s">
        <v>10032</v>
      </c>
    </row>
    <row r="303" spans="2:3" x14ac:dyDescent="0.25">
      <c r="B303" s="51" t="s">
        <v>3577</v>
      </c>
      <c r="C303" s="52" t="s">
        <v>10033</v>
      </c>
    </row>
    <row r="304" spans="2:3" x14ac:dyDescent="0.25">
      <c r="B304" s="51" t="s">
        <v>3587</v>
      </c>
      <c r="C304" s="52" t="s">
        <v>10034</v>
      </c>
    </row>
    <row r="305" spans="2:3" x14ac:dyDescent="0.25">
      <c r="B305" s="51" t="s">
        <v>3624</v>
      </c>
      <c r="C305" s="52" t="s">
        <v>10035</v>
      </c>
    </row>
    <row r="306" spans="2:3" x14ac:dyDescent="0.25">
      <c r="B306" s="51" t="s">
        <v>3596</v>
      </c>
      <c r="C306" s="52" t="s">
        <v>10036</v>
      </c>
    </row>
    <row r="307" spans="2:3" x14ac:dyDescent="0.25">
      <c r="B307" s="51" t="s">
        <v>3603</v>
      </c>
      <c r="C307" s="52" t="s">
        <v>10037</v>
      </c>
    </row>
    <row r="308" spans="2:3" x14ac:dyDescent="0.25">
      <c r="B308" s="51" t="s">
        <v>3615</v>
      </c>
      <c r="C308" s="52" t="s">
        <v>10038</v>
      </c>
    </row>
    <row r="309" spans="2:3" x14ac:dyDescent="0.25">
      <c r="B309" s="51" t="s">
        <v>3607</v>
      </c>
      <c r="C309" s="52" t="s">
        <v>10039</v>
      </c>
    </row>
    <row r="310" spans="2:3" x14ac:dyDescent="0.25">
      <c r="B310" s="51" t="s">
        <v>3610</v>
      </c>
      <c r="C310" s="52" t="s">
        <v>10040</v>
      </c>
    </row>
    <row r="311" spans="2:3" x14ac:dyDescent="0.25">
      <c r="B311" s="51" t="s">
        <v>3591</v>
      </c>
      <c r="C311" s="52" t="s">
        <v>10041</v>
      </c>
    </row>
    <row r="312" spans="2:3" x14ac:dyDescent="0.25">
      <c r="B312" s="51" t="s">
        <v>3599</v>
      </c>
      <c r="C312" s="52" t="s">
        <v>10042</v>
      </c>
    </row>
    <row r="313" spans="2:3" x14ac:dyDescent="0.25">
      <c r="B313" s="51" t="s">
        <v>3619</v>
      </c>
      <c r="C313" s="52" t="s">
        <v>10043</v>
      </c>
    </row>
    <row r="314" spans="2:3" x14ac:dyDescent="0.25">
      <c r="B314" s="51" t="s">
        <v>3629</v>
      </c>
      <c r="C314" s="52" t="s">
        <v>10044</v>
      </c>
    </row>
    <row r="315" spans="2:3" x14ac:dyDescent="0.25">
      <c r="B315" s="51" t="s">
        <v>3639</v>
      </c>
      <c r="C315" s="52" t="s">
        <v>10045</v>
      </c>
    </row>
    <row r="316" spans="2:3" x14ac:dyDescent="0.25">
      <c r="B316" s="51" t="s">
        <v>3643</v>
      </c>
      <c r="C316" s="52" t="s">
        <v>10046</v>
      </c>
    </row>
    <row r="317" spans="2:3" x14ac:dyDescent="0.25">
      <c r="B317" s="51" t="s">
        <v>3654</v>
      </c>
      <c r="C317" s="52" t="s">
        <v>10047</v>
      </c>
    </row>
    <row r="318" spans="2:3" x14ac:dyDescent="0.25">
      <c r="B318" s="51" t="s">
        <v>3649</v>
      </c>
      <c r="C318" s="52" t="s">
        <v>10048</v>
      </c>
    </row>
    <row r="319" spans="2:3" x14ac:dyDescent="0.25">
      <c r="B319" s="131" t="s">
        <v>3657</v>
      </c>
      <c r="C319" s="132" t="s">
        <v>10049</v>
      </c>
    </row>
    <row r="320" spans="2:3" x14ac:dyDescent="0.25">
      <c r="B320" s="133" t="s">
        <v>10050</v>
      </c>
      <c r="C320" s="134" t="s">
        <v>10051</v>
      </c>
    </row>
    <row r="321" spans="2:3" x14ac:dyDescent="0.25">
      <c r="B321" s="133" t="s">
        <v>10052</v>
      </c>
      <c r="C321" s="134" t="s">
        <v>10053</v>
      </c>
    </row>
    <row r="322" spans="2:3" x14ac:dyDescent="0.25">
      <c r="B322" s="133" t="s">
        <v>3692</v>
      </c>
      <c r="C322" s="134" t="s">
        <v>10054</v>
      </c>
    </row>
    <row r="323" spans="2:3" x14ac:dyDescent="0.25">
      <c r="B323" s="133" t="s">
        <v>10055</v>
      </c>
      <c r="C323" s="134" t="s">
        <v>10056</v>
      </c>
    </row>
    <row r="324" spans="2:3" x14ac:dyDescent="0.25">
      <c r="B324" s="133" t="s">
        <v>10057</v>
      </c>
      <c r="C324" s="134" t="s">
        <v>10058</v>
      </c>
    </row>
    <row r="325" spans="2:3" x14ac:dyDescent="0.25">
      <c r="B325" s="133" t="s">
        <v>3708</v>
      </c>
      <c r="C325" s="134" t="s">
        <v>10059</v>
      </c>
    </row>
    <row r="326" spans="2:3" x14ac:dyDescent="0.25">
      <c r="B326" s="51" t="s">
        <v>3723</v>
      </c>
      <c r="C326" s="52" t="s">
        <v>10060</v>
      </c>
    </row>
    <row r="327" spans="2:3" x14ac:dyDescent="0.25">
      <c r="B327" s="51" t="s">
        <v>3733</v>
      </c>
      <c r="C327" s="52" t="s">
        <v>10061</v>
      </c>
    </row>
    <row r="328" spans="2:3" x14ac:dyDescent="0.25">
      <c r="B328" s="51" t="s">
        <v>3737</v>
      </c>
      <c r="C328" s="52" t="s">
        <v>10062</v>
      </c>
    </row>
    <row r="329" spans="2:3" x14ac:dyDescent="0.25">
      <c r="B329" s="51" t="s">
        <v>3748</v>
      </c>
      <c r="C329" s="52" t="s">
        <v>10063</v>
      </c>
    </row>
    <row r="330" spans="2:3" x14ac:dyDescent="0.25">
      <c r="B330" s="51" t="s">
        <v>3759</v>
      </c>
      <c r="C330" s="52" t="s">
        <v>10064</v>
      </c>
    </row>
    <row r="331" spans="2:3" x14ac:dyDescent="0.25">
      <c r="B331" s="51" t="s">
        <v>3744</v>
      </c>
      <c r="C331" s="52" t="s">
        <v>10065</v>
      </c>
    </row>
    <row r="332" spans="2:3" x14ac:dyDescent="0.25">
      <c r="B332" s="51" t="s">
        <v>3776</v>
      </c>
      <c r="C332" s="52" t="s">
        <v>10066</v>
      </c>
    </row>
    <row r="333" spans="2:3" x14ac:dyDescent="0.25">
      <c r="B333" s="51" t="s">
        <v>3789</v>
      </c>
      <c r="C333" s="52" t="s">
        <v>10067</v>
      </c>
    </row>
    <row r="334" spans="2:3" x14ac:dyDescent="0.25">
      <c r="B334" s="51" t="s">
        <v>3808</v>
      </c>
      <c r="C334" s="52" t="s">
        <v>10068</v>
      </c>
    </row>
    <row r="335" spans="2:3" x14ac:dyDescent="0.25">
      <c r="B335" s="51" t="s">
        <v>3795</v>
      </c>
      <c r="C335" s="52" t="s">
        <v>10069</v>
      </c>
    </row>
    <row r="336" spans="2:3" x14ac:dyDescent="0.25">
      <c r="B336" s="51" t="s">
        <v>3798</v>
      </c>
      <c r="C336" s="52" t="s">
        <v>10070</v>
      </c>
    </row>
    <row r="337" spans="2:3" x14ac:dyDescent="0.25">
      <c r="B337" s="51" t="s">
        <v>3807</v>
      </c>
      <c r="C337" s="52" t="s">
        <v>10071</v>
      </c>
    </row>
    <row r="338" spans="2:3" x14ac:dyDescent="0.25">
      <c r="B338" s="51" t="s">
        <v>3823</v>
      </c>
      <c r="C338" s="52" t="s">
        <v>10072</v>
      </c>
    </row>
    <row r="339" spans="2:3" x14ac:dyDescent="0.25">
      <c r="B339" s="51" t="s">
        <v>3836</v>
      </c>
      <c r="C339" s="52" t="s">
        <v>10073</v>
      </c>
    </row>
    <row r="340" spans="2:3" x14ac:dyDescent="0.25">
      <c r="B340" s="51" t="s">
        <v>3849</v>
      </c>
      <c r="C340" s="52" t="s">
        <v>10074</v>
      </c>
    </row>
    <row r="341" spans="2:3" x14ac:dyDescent="0.25">
      <c r="B341" s="51" t="s">
        <v>3842</v>
      </c>
      <c r="C341" s="52" t="s">
        <v>10075</v>
      </c>
    </row>
    <row r="342" spans="2:3" x14ac:dyDescent="0.25">
      <c r="B342" s="51" t="s">
        <v>3861</v>
      </c>
      <c r="C342" s="52" t="s">
        <v>10076</v>
      </c>
    </row>
    <row r="343" spans="2:3" x14ac:dyDescent="0.25">
      <c r="B343" s="51" t="s">
        <v>3856</v>
      </c>
      <c r="C343" s="52" t="s">
        <v>10077</v>
      </c>
    </row>
    <row r="344" spans="2:3" x14ac:dyDescent="0.25">
      <c r="B344" s="51" t="s">
        <v>3885</v>
      </c>
      <c r="C344" s="52" t="s">
        <v>10078</v>
      </c>
    </row>
    <row r="345" spans="2:3" x14ac:dyDescent="0.25">
      <c r="B345" s="51" t="s">
        <v>3890</v>
      </c>
      <c r="C345" s="52" t="s">
        <v>10079</v>
      </c>
    </row>
    <row r="346" spans="2:3" x14ac:dyDescent="0.25">
      <c r="B346" s="51" t="s">
        <v>3916</v>
      </c>
      <c r="C346" s="52" t="s">
        <v>10080</v>
      </c>
    </row>
    <row r="347" spans="2:3" x14ac:dyDescent="0.25">
      <c r="B347" s="51" t="s">
        <v>3950</v>
      </c>
      <c r="C347" s="52" t="s">
        <v>10081</v>
      </c>
    </row>
    <row r="348" spans="2:3" x14ac:dyDescent="0.25">
      <c r="B348" s="51" t="s">
        <v>3955</v>
      </c>
      <c r="C348" s="52" t="s">
        <v>10082</v>
      </c>
    </row>
    <row r="349" spans="2:3" x14ac:dyDescent="0.25">
      <c r="B349" s="51" t="s">
        <v>3963</v>
      </c>
      <c r="C349" s="52" t="s">
        <v>10083</v>
      </c>
    </row>
    <row r="350" spans="2:3" x14ac:dyDescent="0.25">
      <c r="B350" s="51" t="s">
        <v>3981</v>
      </c>
      <c r="C350" s="52" t="s">
        <v>10084</v>
      </c>
    </row>
    <row r="351" spans="2:3" x14ac:dyDescent="0.25">
      <c r="B351" s="51" t="s">
        <v>3992</v>
      </c>
      <c r="C351" s="52" t="s">
        <v>10085</v>
      </c>
    </row>
    <row r="352" spans="2:3" x14ac:dyDescent="0.25">
      <c r="B352" s="51" t="s">
        <v>4002</v>
      </c>
      <c r="C352" s="52" t="s">
        <v>10086</v>
      </c>
    </row>
    <row r="353" spans="2:3" x14ac:dyDescent="0.25">
      <c r="B353" s="51" t="s">
        <v>4021</v>
      </c>
      <c r="C353" s="52" t="s">
        <v>10087</v>
      </c>
    </row>
    <row r="354" spans="2:3" x14ac:dyDescent="0.25">
      <c r="B354" s="51" t="s">
        <v>4033</v>
      </c>
      <c r="C354" s="52" t="s">
        <v>10088</v>
      </c>
    </row>
    <row r="355" spans="2:3" x14ac:dyDescent="0.25">
      <c r="B355" s="51" t="s">
        <v>3997</v>
      </c>
      <c r="C355" s="52" t="s">
        <v>10089</v>
      </c>
    </row>
    <row r="356" spans="2:3" x14ac:dyDescent="0.25">
      <c r="B356" s="51" t="s">
        <v>4005</v>
      </c>
      <c r="C356" s="52" t="s">
        <v>10090</v>
      </c>
    </row>
    <row r="357" spans="2:3" x14ac:dyDescent="0.25">
      <c r="B357" s="51" t="s">
        <v>4011</v>
      </c>
      <c r="C357" s="52" t="s">
        <v>10091</v>
      </c>
    </row>
    <row r="358" spans="2:3" x14ac:dyDescent="0.25">
      <c r="B358" s="51" t="s">
        <v>4015</v>
      </c>
      <c r="C358" s="52" t="s">
        <v>10092</v>
      </c>
    </row>
    <row r="359" spans="2:3" x14ac:dyDescent="0.25">
      <c r="B359" s="51" t="s">
        <v>4064</v>
      </c>
      <c r="C359" s="52" t="s">
        <v>10093</v>
      </c>
    </row>
    <row r="360" spans="2:3" x14ac:dyDescent="0.25">
      <c r="B360" s="51" t="s">
        <v>4075</v>
      </c>
      <c r="C360" s="52" t="s">
        <v>10094</v>
      </c>
    </row>
    <row r="361" spans="2:3" x14ac:dyDescent="0.25">
      <c r="B361" s="51" t="s">
        <v>4095</v>
      </c>
      <c r="C361" s="52" t="s">
        <v>10095</v>
      </c>
    </row>
    <row r="362" spans="2:3" x14ac:dyDescent="0.25">
      <c r="B362" s="51" t="s">
        <v>4088</v>
      </c>
      <c r="C362" s="52"/>
    </row>
    <row r="363" spans="2:3" x14ac:dyDescent="0.25">
      <c r="B363" s="51" t="s">
        <v>10096</v>
      </c>
      <c r="C363" s="52"/>
    </row>
    <row r="364" spans="2:3" x14ac:dyDescent="0.25">
      <c r="B364" s="51" t="s">
        <v>4131</v>
      </c>
      <c r="C364" s="52" t="s">
        <v>10097</v>
      </c>
    </row>
    <row r="365" spans="2:3" x14ac:dyDescent="0.25">
      <c r="B365" s="51" t="s">
        <v>4136</v>
      </c>
      <c r="C365" s="52" t="s">
        <v>10098</v>
      </c>
    </row>
    <row r="366" spans="2:3" x14ac:dyDescent="0.25">
      <c r="B366" s="51" t="s">
        <v>4145</v>
      </c>
      <c r="C366" s="52" t="s">
        <v>10099</v>
      </c>
    </row>
    <row r="367" spans="2:3" x14ac:dyDescent="0.25">
      <c r="B367" s="51" t="s">
        <v>4148</v>
      </c>
      <c r="C367" s="52" t="s">
        <v>10100</v>
      </c>
    </row>
    <row r="368" spans="2:3" x14ac:dyDescent="0.25">
      <c r="B368" s="51" t="s">
        <v>4174</v>
      </c>
      <c r="C368" s="52" t="s">
        <v>10101</v>
      </c>
    </row>
    <row r="369" spans="2:3" x14ac:dyDescent="0.25">
      <c r="B369" s="51" t="s">
        <v>4180</v>
      </c>
      <c r="C369" s="52" t="s">
        <v>10102</v>
      </c>
    </row>
    <row r="370" spans="2:3" x14ac:dyDescent="0.25">
      <c r="B370" s="51" t="s">
        <v>4195</v>
      </c>
      <c r="C370" s="52" t="s">
        <v>10103</v>
      </c>
    </row>
    <row r="371" spans="2:3" x14ac:dyDescent="0.25">
      <c r="B371" s="51" t="s">
        <v>4208</v>
      </c>
      <c r="C371" s="52" t="s">
        <v>10104</v>
      </c>
    </row>
    <row r="372" spans="2:3" x14ac:dyDescent="0.25">
      <c r="B372" s="51" t="s">
        <v>4254</v>
      </c>
      <c r="C372" s="52" t="s">
        <v>10105</v>
      </c>
    </row>
    <row r="373" spans="2:3" x14ac:dyDescent="0.25">
      <c r="B373" s="51" t="s">
        <v>4269</v>
      </c>
      <c r="C373" s="52" t="s">
        <v>10106</v>
      </c>
    </row>
    <row r="374" spans="2:3" x14ac:dyDescent="0.25">
      <c r="B374" s="51" t="s">
        <v>4280</v>
      </c>
      <c r="C374" s="52" t="s">
        <v>10107</v>
      </c>
    </row>
    <row r="375" spans="2:3" x14ac:dyDescent="0.25">
      <c r="B375" s="51" t="s">
        <v>4306</v>
      </c>
      <c r="C375" s="52" t="s">
        <v>10108</v>
      </c>
    </row>
    <row r="376" spans="2:3" x14ac:dyDescent="0.25">
      <c r="B376" s="51" t="s">
        <v>4320</v>
      </c>
      <c r="C376" s="52" t="s">
        <v>10109</v>
      </c>
    </row>
    <row r="377" spans="2:3" x14ac:dyDescent="0.25">
      <c r="B377" s="51" t="s">
        <v>4358</v>
      </c>
      <c r="C377" s="52" t="s">
        <v>10110</v>
      </c>
    </row>
    <row r="378" spans="2:3" x14ac:dyDescent="0.25">
      <c r="B378" s="51" t="s">
        <v>4352</v>
      </c>
      <c r="C378" s="52" t="s">
        <v>10111</v>
      </c>
    </row>
    <row r="379" spans="2:3" x14ac:dyDescent="0.25">
      <c r="B379" s="51" t="s">
        <v>4422</v>
      </c>
      <c r="C379" s="52" t="s">
        <v>10112</v>
      </c>
    </row>
    <row r="380" spans="2:3" x14ac:dyDescent="0.25">
      <c r="B380" s="51" t="s">
        <v>5009</v>
      </c>
      <c r="C380" s="52" t="s">
        <v>10113</v>
      </c>
    </row>
    <row r="381" spans="2:3" x14ac:dyDescent="0.25">
      <c r="B381" s="51" t="s">
        <v>5178</v>
      </c>
      <c r="C381" s="52" t="s">
        <v>10114</v>
      </c>
    </row>
    <row r="382" spans="2:3" x14ac:dyDescent="0.25">
      <c r="B382" s="51" t="s">
        <v>10115</v>
      </c>
      <c r="C382" s="52" t="s">
        <v>10116</v>
      </c>
    </row>
    <row r="383" spans="2:3" x14ac:dyDescent="0.25">
      <c r="B383" s="51" t="s">
        <v>6194</v>
      </c>
      <c r="C383" s="52" t="s">
        <v>10117</v>
      </c>
    </row>
    <row r="384" spans="2:3" x14ac:dyDescent="0.25">
      <c r="B384" s="51" t="s">
        <v>6258</v>
      </c>
      <c r="C384" s="52" t="s">
        <v>10118</v>
      </c>
    </row>
    <row r="385" spans="2:3" x14ac:dyDescent="0.25">
      <c r="B385" s="51" t="s">
        <v>6288</v>
      </c>
      <c r="C385" s="52" t="s">
        <v>10119</v>
      </c>
    </row>
    <row r="386" spans="2:3" x14ac:dyDescent="0.25">
      <c r="B386" s="51" t="s">
        <v>6337</v>
      </c>
      <c r="C386" s="52" t="s">
        <v>10120</v>
      </c>
    </row>
    <row r="387" spans="2:3" x14ac:dyDescent="0.25">
      <c r="B387" s="51" t="s">
        <v>6380</v>
      </c>
      <c r="C387" s="52" t="s">
        <v>10121</v>
      </c>
    </row>
    <row r="388" spans="2:3" x14ac:dyDescent="0.25">
      <c r="B388" s="51"/>
      <c r="C388" s="52"/>
    </row>
    <row r="389" spans="2:3" x14ac:dyDescent="0.25">
      <c r="B389" s="51"/>
      <c r="C389" s="52"/>
    </row>
    <row r="390" spans="2:3" x14ac:dyDescent="0.25">
      <c r="B390" s="51"/>
      <c r="C390" s="52"/>
    </row>
    <row r="391" spans="2:3" x14ac:dyDescent="0.25">
      <c r="B391" s="51"/>
      <c r="C391" s="52"/>
    </row>
    <row r="392" spans="2:3" x14ac:dyDescent="0.25">
      <c r="B392" s="51"/>
      <c r="C392" s="52"/>
    </row>
    <row r="393" spans="2:3" x14ac:dyDescent="0.25">
      <c r="B393" s="51"/>
      <c r="C393" s="52"/>
    </row>
    <row r="394" spans="2:3" x14ac:dyDescent="0.25">
      <c r="B394" s="51"/>
      <c r="C394" s="52"/>
    </row>
    <row r="395" spans="2:3" x14ac:dyDescent="0.25">
      <c r="B395" s="51"/>
      <c r="C395" s="52"/>
    </row>
    <row r="396" spans="2:3" x14ac:dyDescent="0.25">
      <c r="B396" s="51"/>
      <c r="C396" s="52"/>
    </row>
    <row r="397" spans="2:3" x14ac:dyDescent="0.25">
      <c r="B397" s="51"/>
      <c r="C397" s="52"/>
    </row>
    <row r="398" spans="2:3" x14ac:dyDescent="0.25">
      <c r="B398" s="51"/>
      <c r="C398" s="52"/>
    </row>
    <row r="399" spans="2:3" x14ac:dyDescent="0.25">
      <c r="B399" s="51"/>
      <c r="C399" s="52"/>
    </row>
    <row r="400" spans="2:3" x14ac:dyDescent="0.25">
      <c r="B400" s="51"/>
      <c r="C400" s="52"/>
    </row>
    <row r="1201" spans="25:25" x14ac:dyDescent="0.25">
      <c r="Y1201" t="s">
        <v>10122</v>
      </c>
    </row>
  </sheetData>
  <autoFilter ref="B1:C212" xr:uid="{9576FFCC-70B9-46AB-8290-626A22B1B555}"/>
  <sortState xmlns:xlrd2="http://schemas.microsoft.com/office/spreadsheetml/2017/richdata2" ref="B3:C280">
    <sortCondition ref="B3:B280"/>
  </sortState>
  <conditionalFormatting sqref="B3:B318 B326:B488">
    <cfRule type="duplicateValues" dxfId="1" priority="103825"/>
  </conditionalFormatting>
  <conditionalFormatting sqref="C3:C318 C326:C496">
    <cfRule type="duplicateValues" dxfId="0" priority="103827"/>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75"/>
  <sheetViews>
    <sheetView showGridLines="0" topLeftCell="A42" workbookViewId="0">
      <selection activeCell="K61" sqref="K61"/>
    </sheetView>
  </sheetViews>
  <sheetFormatPr baseColWidth="10" defaultColWidth="11.42578125" defaultRowHeight="15" x14ac:dyDescent="0.25"/>
  <cols>
    <col min="1" max="1" width="4.85546875" customWidth="1"/>
    <col min="2" max="2" width="13" customWidth="1"/>
    <col min="3" max="3" width="4.85546875" customWidth="1"/>
    <col min="4" max="4" width="13" customWidth="1"/>
    <col min="7" max="7" width="4.85546875" customWidth="1"/>
    <col min="8" max="8" width="13" customWidth="1"/>
    <col min="9" max="9" width="4.85546875" customWidth="1"/>
    <col min="10" max="10" width="17.85546875" customWidth="1"/>
    <col min="11" max="11" width="8.85546875" customWidth="1"/>
    <col min="12" max="12" width="4.7109375" customWidth="1"/>
    <col min="14" max="14" width="22.7109375" customWidth="1"/>
    <col min="15" max="15" width="22.5703125" customWidth="1"/>
  </cols>
  <sheetData>
    <row r="2" spans="2:11" ht="18.75" x14ac:dyDescent="0.3">
      <c r="B2" s="15" t="s">
        <v>10123</v>
      </c>
    </row>
    <row r="4" spans="2:11" x14ac:dyDescent="0.25">
      <c r="B4" s="10" t="s">
        <v>10124</v>
      </c>
      <c r="D4" s="8" t="s">
        <v>10125</v>
      </c>
      <c r="E4" s="9" t="s">
        <v>10126</v>
      </c>
      <c r="F4" s="9" t="s">
        <v>10127</v>
      </c>
      <c r="H4" s="10" t="s">
        <v>10128</v>
      </c>
      <c r="J4" s="10" t="s">
        <v>10129</v>
      </c>
      <c r="K4" s="10" t="s">
        <v>10130</v>
      </c>
    </row>
    <row r="5" spans="2:11" x14ac:dyDescent="0.25">
      <c r="B5" s="21" t="s">
        <v>6423</v>
      </c>
      <c r="D5" s="1"/>
      <c r="E5" s="1"/>
      <c r="F5" s="20"/>
      <c r="H5" s="20"/>
      <c r="J5" s="20" t="s">
        <v>10131</v>
      </c>
      <c r="K5" s="42" t="s">
        <v>10132</v>
      </c>
    </row>
    <row r="6" spans="2:11" x14ac:dyDescent="0.25">
      <c r="B6" s="41" t="s">
        <v>10133</v>
      </c>
      <c r="D6" s="1" t="s">
        <v>10134</v>
      </c>
      <c r="E6" s="1">
        <v>936</v>
      </c>
      <c r="F6" s="1" t="s">
        <v>10135</v>
      </c>
      <c r="H6" s="1" t="s">
        <v>10136</v>
      </c>
      <c r="J6" s="1" t="s">
        <v>5652</v>
      </c>
      <c r="K6" s="22"/>
    </row>
    <row r="7" spans="2:11" x14ac:dyDescent="0.25">
      <c r="B7" s="11" t="s">
        <v>10137</v>
      </c>
      <c r="D7" s="21" t="s">
        <v>6963</v>
      </c>
      <c r="E7" s="21">
        <v>1008</v>
      </c>
      <c r="F7" s="1" t="s">
        <v>10135</v>
      </c>
      <c r="H7" s="1" t="s">
        <v>7569</v>
      </c>
      <c r="J7" s="21" t="s">
        <v>78</v>
      </c>
      <c r="K7" s="22" t="s">
        <v>10138</v>
      </c>
    </row>
    <row r="8" spans="2:11" x14ac:dyDescent="0.25">
      <c r="B8" s="11" t="s">
        <v>298</v>
      </c>
      <c r="D8" s="11" t="s">
        <v>10139</v>
      </c>
      <c r="E8" s="11">
        <v>1040</v>
      </c>
      <c r="F8" s="35" t="s">
        <v>10140</v>
      </c>
      <c r="H8" s="21" t="s">
        <v>6665</v>
      </c>
      <c r="J8" s="11" t="s">
        <v>249</v>
      </c>
      <c r="K8" s="16" t="s">
        <v>10141</v>
      </c>
    </row>
    <row r="9" spans="2:11" x14ac:dyDescent="0.25">
      <c r="B9" s="12" t="s">
        <v>6419</v>
      </c>
      <c r="D9" s="11" t="s">
        <v>10142</v>
      </c>
      <c r="E9" s="11">
        <v>936</v>
      </c>
      <c r="F9" s="35" t="s">
        <v>10140</v>
      </c>
      <c r="H9" s="12" t="s">
        <v>10143</v>
      </c>
      <c r="J9" s="11" t="s">
        <v>31</v>
      </c>
      <c r="K9" s="16" t="s">
        <v>10144</v>
      </c>
    </row>
    <row r="10" spans="2:11" x14ac:dyDescent="0.25">
      <c r="B10" s="12" t="s">
        <v>14</v>
      </c>
      <c r="D10" s="11" t="s">
        <v>10145</v>
      </c>
      <c r="E10" s="11">
        <v>936</v>
      </c>
      <c r="F10" s="35" t="s">
        <v>10135</v>
      </c>
      <c r="H10" s="12" t="s">
        <v>10146</v>
      </c>
      <c r="J10" s="11" t="s">
        <v>10147</v>
      </c>
      <c r="K10" s="16" t="s">
        <v>10148</v>
      </c>
    </row>
    <row r="11" spans="2:11" x14ac:dyDescent="0.25">
      <c r="B11" s="12" t="s">
        <v>10149</v>
      </c>
      <c r="D11" s="11" t="s">
        <v>10150</v>
      </c>
      <c r="E11" s="11">
        <v>1000</v>
      </c>
      <c r="F11" s="35" t="s">
        <v>10135</v>
      </c>
      <c r="H11" s="13" t="s">
        <v>299</v>
      </c>
      <c r="J11" s="11" t="s">
        <v>2588</v>
      </c>
      <c r="K11" s="16" t="s">
        <v>10151</v>
      </c>
    </row>
    <row r="12" spans="2:11" x14ac:dyDescent="0.25">
      <c r="B12" s="12" t="s">
        <v>10152</v>
      </c>
      <c r="D12" s="11" t="s">
        <v>10153</v>
      </c>
      <c r="E12" s="11">
        <v>918</v>
      </c>
      <c r="F12" s="35" t="s">
        <v>10140</v>
      </c>
      <c r="J12" s="12" t="s">
        <v>10154</v>
      </c>
      <c r="K12" s="16" t="s">
        <v>10155</v>
      </c>
    </row>
    <row r="13" spans="2:11" x14ac:dyDescent="0.25">
      <c r="B13" s="28" t="s">
        <v>6416</v>
      </c>
      <c r="D13" s="11" t="s">
        <v>10156</v>
      </c>
      <c r="E13" s="11">
        <v>918</v>
      </c>
      <c r="F13" s="35"/>
      <c r="J13" s="28" t="s">
        <v>7756</v>
      </c>
      <c r="K13" s="29" t="s">
        <v>10157</v>
      </c>
    </row>
    <row r="14" spans="2:11" x14ac:dyDescent="0.25">
      <c r="B14" s="13" t="s">
        <v>29</v>
      </c>
      <c r="D14" s="11" t="s">
        <v>6862</v>
      </c>
      <c r="E14" s="11">
        <v>918</v>
      </c>
      <c r="F14" s="35" t="s">
        <v>10135</v>
      </c>
      <c r="J14" s="28" t="s">
        <v>803</v>
      </c>
      <c r="K14" s="29" t="s">
        <v>10158</v>
      </c>
    </row>
    <row r="15" spans="2:11" x14ac:dyDescent="0.25">
      <c r="B15" s="19"/>
      <c r="D15" s="11" t="s">
        <v>10159</v>
      </c>
      <c r="E15" s="11"/>
      <c r="F15" s="35"/>
      <c r="J15" s="28" t="s">
        <v>880</v>
      </c>
      <c r="K15" s="29" t="s">
        <v>10160</v>
      </c>
    </row>
    <row r="16" spans="2:11" x14ac:dyDescent="0.25">
      <c r="B16" s="19"/>
      <c r="D16" s="11"/>
      <c r="E16" s="11"/>
      <c r="F16" s="35"/>
      <c r="J16" s="28"/>
      <c r="K16" s="29"/>
    </row>
    <row r="17" spans="2:11" x14ac:dyDescent="0.25">
      <c r="B17" s="19"/>
      <c r="D17" s="11"/>
      <c r="E17" s="11"/>
      <c r="F17" s="35"/>
      <c r="J17" s="28" t="s">
        <v>10161</v>
      </c>
      <c r="K17" s="29" t="s">
        <v>10162</v>
      </c>
    </row>
    <row r="18" spans="2:11" x14ac:dyDescent="0.25">
      <c r="B18" s="19"/>
      <c r="D18" s="11" t="s">
        <v>10163</v>
      </c>
      <c r="E18" s="11">
        <v>918</v>
      </c>
      <c r="F18" s="35"/>
      <c r="J18" s="28" t="s">
        <v>38</v>
      </c>
      <c r="K18" s="29" t="s">
        <v>10160</v>
      </c>
    </row>
    <row r="19" spans="2:11" x14ac:dyDescent="0.25">
      <c r="B19" s="19"/>
      <c r="D19" s="11" t="s">
        <v>7888</v>
      </c>
      <c r="E19" s="11"/>
      <c r="F19" s="35"/>
      <c r="J19" s="28" t="s">
        <v>63</v>
      </c>
      <c r="K19" s="29" t="s">
        <v>10164</v>
      </c>
    </row>
    <row r="20" spans="2:11" x14ac:dyDescent="0.25">
      <c r="D20" s="11" t="s">
        <v>10165</v>
      </c>
      <c r="E20" s="11">
        <v>918</v>
      </c>
      <c r="F20" s="35" t="s">
        <v>10135</v>
      </c>
      <c r="J20" s="28" t="s">
        <v>110</v>
      </c>
      <c r="K20" s="29" t="s">
        <v>10166</v>
      </c>
    </row>
    <row r="21" spans="2:11" x14ac:dyDescent="0.25">
      <c r="D21" s="11" t="s">
        <v>10167</v>
      </c>
      <c r="E21" s="11">
        <v>918</v>
      </c>
      <c r="F21" s="35" t="s">
        <v>10135</v>
      </c>
      <c r="J21" s="28" t="s">
        <v>747</v>
      </c>
      <c r="K21" s="29" t="s">
        <v>10168</v>
      </c>
    </row>
    <row r="22" spans="2:11" x14ac:dyDescent="0.25">
      <c r="D22" s="11" t="s">
        <v>10169</v>
      </c>
      <c r="E22" s="11">
        <v>918</v>
      </c>
      <c r="F22" s="35" t="s">
        <v>10135</v>
      </c>
      <c r="J22" s="28" t="s">
        <v>2607</v>
      </c>
      <c r="K22" s="29" t="s">
        <v>10170</v>
      </c>
    </row>
    <row r="23" spans="2:11" x14ac:dyDescent="0.25">
      <c r="D23" s="11"/>
      <c r="E23" s="11"/>
      <c r="F23" s="35"/>
      <c r="J23" s="28" t="s">
        <v>953</v>
      </c>
      <c r="K23" s="29" t="s">
        <v>10171</v>
      </c>
    </row>
    <row r="24" spans="2:11" x14ac:dyDescent="0.25">
      <c r="D24" s="11"/>
      <c r="E24" s="11"/>
      <c r="F24" s="35"/>
      <c r="J24" s="28" t="s">
        <v>764</v>
      </c>
      <c r="K24" s="29" t="s">
        <v>10172</v>
      </c>
    </row>
    <row r="25" spans="2:11" x14ac:dyDescent="0.25">
      <c r="D25" s="11"/>
      <c r="E25" s="11"/>
      <c r="F25" s="35"/>
      <c r="J25" s="28" t="s">
        <v>5499</v>
      </c>
      <c r="K25" s="29" t="s">
        <v>10173</v>
      </c>
    </row>
    <row r="26" spans="2:11" x14ac:dyDescent="0.25">
      <c r="D26" s="11"/>
      <c r="E26" s="11"/>
      <c r="F26" s="35"/>
      <c r="J26" s="28" t="s">
        <v>5640</v>
      </c>
      <c r="K26" s="29" t="s">
        <v>10174</v>
      </c>
    </row>
    <row r="27" spans="2:11" x14ac:dyDescent="0.25">
      <c r="D27" s="11"/>
      <c r="E27" s="11"/>
      <c r="F27" s="35"/>
      <c r="J27" s="28" t="s">
        <v>3927</v>
      </c>
      <c r="K27" s="29" t="s">
        <v>10175</v>
      </c>
    </row>
    <row r="28" spans="2:11" x14ac:dyDescent="0.25">
      <c r="D28" s="11"/>
      <c r="E28" s="11"/>
      <c r="F28" s="35"/>
      <c r="J28" s="28" t="s">
        <v>10176</v>
      </c>
      <c r="K28" s="29"/>
    </row>
    <row r="29" spans="2:11" x14ac:dyDescent="0.25">
      <c r="D29" s="11"/>
      <c r="E29" s="11"/>
      <c r="F29" s="35"/>
      <c r="J29" s="28" t="s">
        <v>10177</v>
      </c>
      <c r="K29" s="29" t="s">
        <v>10178</v>
      </c>
    </row>
    <row r="30" spans="2:11" x14ac:dyDescent="0.25">
      <c r="D30" s="11"/>
      <c r="E30" s="11"/>
      <c r="F30" s="35"/>
      <c r="J30" s="28" t="s">
        <v>48</v>
      </c>
      <c r="K30" s="29" t="s">
        <v>10179</v>
      </c>
    </row>
    <row r="31" spans="2:11" x14ac:dyDescent="0.25">
      <c r="D31" s="11"/>
      <c r="E31" s="11"/>
      <c r="F31" s="35"/>
      <c r="J31" s="28" t="s">
        <v>10180</v>
      </c>
      <c r="K31" s="29" t="s">
        <v>10181</v>
      </c>
    </row>
    <row r="32" spans="2:11" x14ac:dyDescent="0.25">
      <c r="D32" s="11"/>
      <c r="E32" s="11"/>
      <c r="F32" s="35"/>
      <c r="J32" s="28" t="s">
        <v>102</v>
      </c>
      <c r="K32" s="29" t="s">
        <v>10182</v>
      </c>
    </row>
    <row r="33" spans="4:11" x14ac:dyDescent="0.25">
      <c r="D33" s="11"/>
      <c r="E33" s="11"/>
      <c r="F33" s="35"/>
      <c r="J33" s="28" t="s">
        <v>42</v>
      </c>
      <c r="K33" s="29" t="s">
        <v>10183</v>
      </c>
    </row>
    <row r="34" spans="4:11" x14ac:dyDescent="0.25">
      <c r="D34" s="11" t="s">
        <v>6444</v>
      </c>
      <c r="E34" s="11">
        <v>918</v>
      </c>
      <c r="F34" s="35" t="s">
        <v>10135</v>
      </c>
      <c r="J34" s="28" t="s">
        <v>121</v>
      </c>
      <c r="K34" s="29" t="s">
        <v>10184</v>
      </c>
    </row>
    <row r="35" spans="4:11" x14ac:dyDescent="0.25">
      <c r="D35" s="11"/>
      <c r="E35" s="11"/>
      <c r="F35" s="35"/>
      <c r="J35" s="28" t="s">
        <v>5746</v>
      </c>
      <c r="K35" s="29" t="s">
        <v>10144</v>
      </c>
    </row>
    <row r="36" spans="4:11" x14ac:dyDescent="0.25">
      <c r="D36" s="11" t="s">
        <v>10185</v>
      </c>
      <c r="E36" s="11">
        <v>918</v>
      </c>
      <c r="F36" s="35" t="s">
        <v>10135</v>
      </c>
      <c r="J36" s="28" t="s">
        <v>183</v>
      </c>
      <c r="K36" s="29" t="s">
        <v>10186</v>
      </c>
    </row>
    <row r="37" spans="4:11" x14ac:dyDescent="0.25">
      <c r="D37" s="11"/>
      <c r="E37" s="11"/>
      <c r="F37" s="35"/>
      <c r="J37" s="28" t="s">
        <v>444</v>
      </c>
      <c r="K37" s="29" t="s">
        <v>10187</v>
      </c>
    </row>
    <row r="38" spans="4:11" x14ac:dyDescent="0.25">
      <c r="D38" s="11" t="s">
        <v>10188</v>
      </c>
      <c r="E38" s="11">
        <v>918</v>
      </c>
      <c r="F38" s="35" t="s">
        <v>10135</v>
      </c>
      <c r="J38" s="28" t="s">
        <v>362</v>
      </c>
      <c r="K38" s="29" t="s">
        <v>10189</v>
      </c>
    </row>
    <row r="39" spans="4:11" x14ac:dyDescent="0.25">
      <c r="D39" s="11"/>
      <c r="E39" s="11"/>
      <c r="F39" s="35"/>
      <c r="J39" s="28" t="s">
        <v>5757</v>
      </c>
      <c r="K39" s="29" t="s">
        <v>10190</v>
      </c>
    </row>
    <row r="40" spans="4:11" x14ac:dyDescent="0.25">
      <c r="D40" s="11"/>
      <c r="E40" s="11"/>
      <c r="F40" s="35"/>
      <c r="J40" s="28" t="s">
        <v>5507</v>
      </c>
      <c r="K40" s="29" t="s">
        <v>10191</v>
      </c>
    </row>
    <row r="41" spans="4:11" x14ac:dyDescent="0.25">
      <c r="D41" s="11"/>
      <c r="E41" s="11"/>
      <c r="F41" s="35"/>
      <c r="J41" s="28" t="s">
        <v>6011</v>
      </c>
      <c r="K41" s="29" t="s">
        <v>10192</v>
      </c>
    </row>
    <row r="42" spans="4:11" x14ac:dyDescent="0.25">
      <c r="D42" s="11"/>
      <c r="E42" s="11"/>
      <c r="F42" s="35"/>
      <c r="J42" s="28" t="s">
        <v>2474</v>
      </c>
      <c r="K42" s="29" t="s">
        <v>10193</v>
      </c>
    </row>
    <row r="43" spans="4:11" x14ac:dyDescent="0.25">
      <c r="D43" s="11"/>
      <c r="E43" s="11"/>
      <c r="F43" s="35"/>
      <c r="J43" s="28" t="s">
        <v>3366</v>
      </c>
      <c r="K43" s="29" t="s">
        <v>10194</v>
      </c>
    </row>
    <row r="44" spans="4:11" x14ac:dyDescent="0.25">
      <c r="D44" s="11"/>
      <c r="E44" s="11"/>
      <c r="F44" s="35"/>
      <c r="J44" s="28" t="s">
        <v>3300</v>
      </c>
      <c r="K44" s="29"/>
    </row>
    <row r="45" spans="4:11" x14ac:dyDescent="0.25">
      <c r="D45" s="11"/>
      <c r="E45" s="11"/>
      <c r="F45" s="35"/>
      <c r="J45" s="28" t="s">
        <v>6075</v>
      </c>
      <c r="K45" s="29" t="s">
        <v>10195</v>
      </c>
    </row>
    <row r="46" spans="4:11" x14ac:dyDescent="0.25">
      <c r="D46" s="11"/>
      <c r="E46" s="11"/>
      <c r="F46" s="35"/>
      <c r="J46" s="28" t="s">
        <v>10196</v>
      </c>
      <c r="K46" s="29" t="s">
        <v>10197</v>
      </c>
    </row>
    <row r="47" spans="4:11" x14ac:dyDescent="0.25">
      <c r="D47" s="11"/>
      <c r="E47" s="11"/>
      <c r="F47" s="35"/>
      <c r="J47" s="28" t="s">
        <v>10198</v>
      </c>
      <c r="K47" s="29" t="s">
        <v>10199</v>
      </c>
    </row>
    <row r="48" spans="4:11" x14ac:dyDescent="0.25">
      <c r="D48" s="11"/>
      <c r="E48" s="11"/>
      <c r="F48" s="35"/>
      <c r="J48" s="28" t="s">
        <v>2805</v>
      </c>
      <c r="K48" s="29" t="s">
        <v>10200</v>
      </c>
    </row>
    <row r="49" spans="4:11" x14ac:dyDescent="0.25">
      <c r="D49" s="11" t="s">
        <v>10201</v>
      </c>
      <c r="E49" s="11">
        <v>1008</v>
      </c>
      <c r="F49" s="35" t="s">
        <v>10135</v>
      </c>
      <c r="J49" s="28" t="s">
        <v>38</v>
      </c>
      <c r="K49" s="29" t="s">
        <v>10160</v>
      </c>
    </row>
    <row r="50" spans="4:11" x14ac:dyDescent="0.25">
      <c r="D50" s="30" t="s">
        <v>10202</v>
      </c>
      <c r="E50" s="30">
        <v>1008</v>
      </c>
      <c r="F50" s="35" t="s">
        <v>10140</v>
      </c>
      <c r="J50" s="28" t="s">
        <v>10203</v>
      </c>
      <c r="K50" s="29" t="s">
        <v>10204</v>
      </c>
    </row>
    <row r="51" spans="4:11" x14ac:dyDescent="0.25">
      <c r="D51" s="30" t="s">
        <v>10205</v>
      </c>
      <c r="E51" s="30">
        <v>1008</v>
      </c>
      <c r="F51" s="35" t="s">
        <v>10140</v>
      </c>
      <c r="J51" s="28" t="s">
        <v>87</v>
      </c>
      <c r="K51" s="29" t="s">
        <v>10206</v>
      </c>
    </row>
    <row r="52" spans="4:11" x14ac:dyDescent="0.25">
      <c r="D52" s="30"/>
      <c r="E52" s="30"/>
      <c r="F52" s="35"/>
      <c r="J52" s="28" t="s">
        <v>5765</v>
      </c>
      <c r="K52" s="29" t="s">
        <v>10207</v>
      </c>
    </row>
    <row r="53" spans="4:11" ht="30" x14ac:dyDescent="0.25">
      <c r="D53" s="30"/>
      <c r="E53" s="30"/>
      <c r="F53" s="35"/>
      <c r="J53" s="105" t="s">
        <v>3124</v>
      </c>
      <c r="K53" s="29"/>
    </row>
    <row r="54" spans="4:11" x14ac:dyDescent="0.25">
      <c r="D54" s="30" t="s">
        <v>10208</v>
      </c>
      <c r="E54" s="30">
        <v>918</v>
      </c>
      <c r="F54" s="35" t="s">
        <v>10140</v>
      </c>
      <c r="J54" s="28" t="s">
        <v>1757</v>
      </c>
      <c r="K54" s="29" t="s">
        <v>10209</v>
      </c>
    </row>
    <row r="55" spans="4:11" x14ac:dyDescent="0.25">
      <c r="D55" s="30"/>
      <c r="E55" s="30"/>
      <c r="F55" s="35"/>
      <c r="J55" s="28" t="s">
        <v>3273</v>
      </c>
      <c r="K55" s="29" t="s">
        <v>10210</v>
      </c>
    </row>
    <row r="56" spans="4:11" x14ac:dyDescent="0.25">
      <c r="D56" s="30"/>
      <c r="E56" s="30"/>
      <c r="F56" s="35"/>
      <c r="J56" s="105" t="s">
        <v>2480</v>
      </c>
      <c r="K56" s="29" t="s">
        <v>10209</v>
      </c>
    </row>
    <row r="57" spans="4:11" x14ac:dyDescent="0.25">
      <c r="D57" s="30"/>
      <c r="E57" s="30"/>
      <c r="F57" s="35"/>
      <c r="J57" s="105" t="s">
        <v>5713</v>
      </c>
      <c r="K57" s="29" t="s">
        <v>10211</v>
      </c>
    </row>
    <row r="58" spans="4:11" x14ac:dyDescent="0.25">
      <c r="D58" s="30"/>
      <c r="E58" s="30"/>
      <c r="F58" s="35"/>
      <c r="J58" s="28" t="s">
        <v>2202</v>
      </c>
      <c r="K58" s="29"/>
    </row>
    <row r="59" spans="4:11" x14ac:dyDescent="0.25">
      <c r="D59" s="30"/>
      <c r="E59" s="30"/>
      <c r="F59" s="35"/>
      <c r="J59" s="28" t="s">
        <v>6305</v>
      </c>
      <c r="K59" s="29"/>
    </row>
    <row r="60" spans="4:11" x14ac:dyDescent="0.25">
      <c r="D60" s="30"/>
      <c r="E60" s="30"/>
      <c r="F60" s="35"/>
      <c r="J60" s="28" t="s">
        <v>6418</v>
      </c>
      <c r="K60" s="29" t="s">
        <v>10212</v>
      </c>
    </row>
    <row r="61" spans="4:11" x14ac:dyDescent="0.25">
      <c r="D61" s="30"/>
      <c r="E61" s="30"/>
      <c r="F61" s="35"/>
      <c r="J61" s="28"/>
      <c r="K61" s="29"/>
    </row>
    <row r="62" spans="4:11" x14ac:dyDescent="0.25">
      <c r="D62" s="30"/>
      <c r="E62" s="30"/>
      <c r="F62" s="35"/>
      <c r="J62" s="28"/>
      <c r="K62" s="29"/>
    </row>
    <row r="63" spans="4:11" x14ac:dyDescent="0.25">
      <c r="D63" s="30"/>
      <c r="E63" s="30"/>
      <c r="F63" s="35"/>
      <c r="J63" s="28"/>
      <c r="K63" s="29"/>
    </row>
    <row r="64" spans="4:11" x14ac:dyDescent="0.25">
      <c r="D64" s="30"/>
      <c r="E64" s="30"/>
      <c r="F64" s="35"/>
      <c r="J64" s="28"/>
      <c r="K64" s="29"/>
    </row>
    <row r="65" spans="4:11" x14ac:dyDescent="0.25">
      <c r="D65" s="30"/>
      <c r="E65" s="30"/>
      <c r="F65" s="35"/>
      <c r="J65" s="28" t="s">
        <v>5542</v>
      </c>
      <c r="K65" s="29" t="s">
        <v>10213</v>
      </c>
    </row>
    <row r="66" spans="4:11" x14ac:dyDescent="0.25">
      <c r="D66" s="30"/>
      <c r="E66" s="30"/>
      <c r="F66" s="35"/>
      <c r="J66" s="28" t="s">
        <v>5646</v>
      </c>
      <c r="K66" s="29" t="s">
        <v>10214</v>
      </c>
    </row>
    <row r="67" spans="4:11" x14ac:dyDescent="0.25">
      <c r="D67" s="30"/>
      <c r="E67" s="30"/>
      <c r="F67" s="35"/>
      <c r="J67" s="28" t="s">
        <v>5679</v>
      </c>
      <c r="K67" s="29" t="s">
        <v>10215</v>
      </c>
    </row>
    <row r="68" spans="4:11" x14ac:dyDescent="0.25">
      <c r="D68" s="30"/>
      <c r="E68" s="30"/>
      <c r="F68" s="35"/>
      <c r="J68" s="28" t="s">
        <v>5780</v>
      </c>
      <c r="K68" s="29" t="s">
        <v>10216</v>
      </c>
    </row>
    <row r="69" spans="4:11" x14ac:dyDescent="0.25">
      <c r="D69" s="30" t="s">
        <v>10217</v>
      </c>
      <c r="E69" s="30">
        <v>918</v>
      </c>
      <c r="F69" s="35" t="s">
        <v>10135</v>
      </c>
      <c r="J69" s="13" t="s">
        <v>299</v>
      </c>
      <c r="K69" s="17" t="s">
        <v>299</v>
      </c>
    </row>
    <row r="70" spans="4:11" x14ac:dyDescent="0.25">
      <c r="D70" s="30"/>
      <c r="E70" s="30"/>
      <c r="F70" s="35"/>
      <c r="J70" s="13"/>
      <c r="K70" s="17"/>
    </row>
    <row r="71" spans="4:11" x14ac:dyDescent="0.25">
      <c r="D71" s="30" t="s">
        <v>10218</v>
      </c>
      <c r="E71" s="30">
        <v>918</v>
      </c>
      <c r="F71" s="35" t="s">
        <v>10135</v>
      </c>
      <c r="J71" s="13" t="s">
        <v>10219</v>
      </c>
      <c r="K71" s="17"/>
    </row>
    <row r="72" spans="4:11" x14ac:dyDescent="0.25">
      <c r="D72" s="30" t="s">
        <v>10220</v>
      </c>
      <c r="E72" s="30">
        <v>918</v>
      </c>
      <c r="F72" s="35" t="s">
        <v>10135</v>
      </c>
    </row>
    <row r="73" spans="4:11" x14ac:dyDescent="0.25">
      <c r="D73" s="30" t="s">
        <v>7061</v>
      </c>
      <c r="E73" s="30">
        <v>918</v>
      </c>
      <c r="F73" s="35"/>
    </row>
    <row r="74" spans="4:11" x14ac:dyDescent="0.25">
      <c r="D74" s="30" t="s">
        <v>10221</v>
      </c>
      <c r="E74" s="30">
        <v>918</v>
      </c>
      <c r="F74" s="35"/>
    </row>
    <row r="75" spans="4:11" x14ac:dyDescent="0.25">
      <c r="D75" s="14" t="s">
        <v>299</v>
      </c>
      <c r="E75" s="14">
        <v>1000</v>
      </c>
      <c r="F75" s="3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vt:i4>
      </vt:variant>
    </vt:vector>
  </HeadingPairs>
  <TitlesOfParts>
    <vt:vector size="9" baseType="lpstr">
      <vt:lpstr>Cargas</vt:lpstr>
      <vt:lpstr>Carpetas</vt:lpstr>
      <vt:lpstr>Choferes</vt:lpstr>
      <vt:lpstr>Rangos</vt:lpstr>
      <vt:lpstr>Fronteras</vt:lpstr>
      <vt:lpstr>Productores</vt:lpstr>
      <vt:lpstr>Status</vt:lpstr>
      <vt:lpstr>Cargas!Títulos_a_imprimir</vt:lpstr>
      <vt:lpstr>Transporte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sistema</dc:creator>
  <cp:keywords/>
  <dc:description/>
  <cp:lastModifiedBy>Gonzalo Pepe ALMAR S.R.L .</cp:lastModifiedBy>
  <cp:revision/>
  <dcterms:created xsi:type="dcterms:W3CDTF">2010-02-04T12:45:45Z</dcterms:created>
  <dcterms:modified xsi:type="dcterms:W3CDTF">2026-09-15T23:15:01Z</dcterms:modified>
  <cp:category/>
  <cp:contentStatus/>
</cp:coreProperties>
</file>