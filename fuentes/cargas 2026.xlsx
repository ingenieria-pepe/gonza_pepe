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oronga\fuentes\"/>
    </mc:Choice>
  </mc:AlternateContent>
  <xr:revisionPtr revIDLastSave="0" documentId="13_ncr:1_{B4E262CB-17A4-4CAF-832B-85EFB8392C75}" xr6:coauthVersionLast="47" xr6:coauthVersionMax="47" xr10:uidLastSave="{00000000-0000-0000-0000-000000000000}"/>
  <bookViews>
    <workbookView xWindow="-120" yWindow="-120" windowWidth="20730" windowHeight="11040" activeTab="9" xr2:uid="{035B7F24-B472-4BC3-8599-918AE058A668}"/>
  </bookViews>
  <sheets>
    <sheet name="madre" sheetId="2" r:id="rId1"/>
    <sheet name="Enero" sheetId="3" r:id="rId2"/>
    <sheet name="Febrero" sheetId="4" r:id="rId3"/>
    <sheet name="Marzo" sheetId="5" r:id="rId4"/>
    <sheet name="Abril" sheetId="6" r:id="rId5"/>
    <sheet name="Mayo" sheetId="7" r:id="rId6"/>
    <sheet name="Junio" sheetId="8" r:id="rId7"/>
    <sheet name="Julio" sheetId="10" r:id="rId8"/>
    <sheet name="Agosto" sheetId="12" r:id="rId9"/>
    <sheet name="Setiembre" sheetId="13" r:id="rId10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D95" authorId="0" shapeId="0" xr:uid="{DC559C58-FAC8-4E3F-A7F5-5D5642D33A34}">
      <text>
        <r>
          <rPr>
            <b/>
            <sz val="9"/>
            <color indexed="81"/>
            <rFont val="Tahoma"/>
            <charset val="1"/>
          </rPr>
          <t>Decia 299 (error de tipeo). Precio real 39, confirmado por Gonzalo el 09/09/2026.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D19" authorId="0" shapeId="0" xr:uid="{70176739-1A91-4258-B3DD-7EA538499615}">
      <text>
        <r>
          <rPr>
            <b/>
            <sz val="9"/>
            <color indexed="81"/>
            <rFont val="Tahoma"/>
            <charset val="1"/>
          </rPr>
          <t>Sin precio en el WhatsApp del 08/09 (Furlani 1/2, 11 pallets). Completar: hasta que no tenga precio, el script no cuenta este medio camion.</t>
        </r>
      </text>
    </comment>
  </commentList>
</comments>
</file>

<file path=xl/sharedStrings.xml><?xml version="1.0" encoding="utf-8"?>
<sst xmlns="http://schemas.openxmlformats.org/spreadsheetml/2006/main" count="162" uniqueCount="162">
  <si>
    <t>Semana</t>
  </si>
  <si>
    <t>Data</t>
  </si>
  <si>
    <t>Productor</t>
  </si>
  <si>
    <t>Carrgas</t>
  </si>
  <si>
    <t>Precios</t>
  </si>
  <si>
    <t>Transporte</t>
  </si>
  <si>
    <t>Despachante</t>
  </si>
  <si>
    <t>Agrocurupa</t>
  </si>
  <si>
    <t>Cassio</t>
  </si>
  <si>
    <t>Fisher</t>
  </si>
  <si>
    <t>Gilson</t>
  </si>
  <si>
    <t>Curuca</t>
  </si>
  <si>
    <t>Valdemar</t>
  </si>
  <si>
    <t>Total</t>
  </si>
  <si>
    <t>Jony</t>
  </si>
  <si>
    <t>Sergio</t>
  </si>
  <si>
    <t>Semana 1</t>
  </si>
  <si>
    <t>29/12 al 03/01</t>
  </si>
  <si>
    <t>Camiones</t>
  </si>
  <si>
    <t>Zanini</t>
  </si>
  <si>
    <t>Alianza</t>
  </si>
  <si>
    <t xml:space="preserve">Promedio </t>
  </si>
  <si>
    <t>Gral</t>
  </si>
  <si>
    <t>Etimex</t>
  </si>
  <si>
    <t>Nilton</t>
  </si>
  <si>
    <t>Semana 2</t>
  </si>
  <si>
    <t>05/01 al 10/01</t>
  </si>
  <si>
    <t>Chabat</t>
  </si>
  <si>
    <t>Silvio</t>
  </si>
  <si>
    <t>Amaro</t>
  </si>
  <si>
    <t>Semana 3</t>
  </si>
  <si>
    <t>12/01 al 17/01</t>
  </si>
  <si>
    <t xml:space="preserve">Semana 4 </t>
  </si>
  <si>
    <t>19/01 al 24/01</t>
  </si>
  <si>
    <t>Axt</t>
  </si>
  <si>
    <t>Semana 5</t>
  </si>
  <si>
    <t xml:space="preserve">26/01 al 31/01 </t>
  </si>
  <si>
    <t>Semana 6</t>
  </si>
  <si>
    <t>02/02 al 07/02</t>
  </si>
  <si>
    <t>marconi</t>
  </si>
  <si>
    <t>amaro</t>
  </si>
  <si>
    <t>Semana 7</t>
  </si>
  <si>
    <t>09/02 al 14/02</t>
  </si>
  <si>
    <t>Ivo zimer</t>
  </si>
  <si>
    <t>Joao vinter</t>
  </si>
  <si>
    <t>Semana 8</t>
  </si>
  <si>
    <t>16/02 al 21/02</t>
  </si>
  <si>
    <t>Semana 9</t>
  </si>
  <si>
    <t>23/02 al 28/02</t>
  </si>
  <si>
    <t>Semana 10</t>
  </si>
  <si>
    <t>02/03 al 07/03</t>
  </si>
  <si>
    <t>cassio</t>
  </si>
  <si>
    <t>Marconi</t>
  </si>
  <si>
    <t>wagner</t>
  </si>
  <si>
    <t>marangoni</t>
  </si>
  <si>
    <t>Semana 11</t>
  </si>
  <si>
    <t>09/03 al 14/03</t>
  </si>
  <si>
    <t>Semana 12</t>
  </si>
  <si>
    <t>16/03 al 21/03</t>
  </si>
  <si>
    <t>stein</t>
  </si>
  <si>
    <t>Semana 13</t>
  </si>
  <si>
    <t>23/03 al 28/03</t>
  </si>
  <si>
    <t>Marangoni</t>
  </si>
  <si>
    <t>Semana 14</t>
  </si>
  <si>
    <t>30/03 al 04/04</t>
  </si>
  <si>
    <t>Stein</t>
  </si>
  <si>
    <t>etimex</t>
  </si>
  <si>
    <t>Semana 15</t>
  </si>
  <si>
    <t>06/04 al 11/04</t>
  </si>
  <si>
    <t>Exoticos</t>
  </si>
  <si>
    <t>Furlani</t>
  </si>
  <si>
    <t>ivo zimer</t>
  </si>
  <si>
    <t>Semana 16</t>
  </si>
  <si>
    <t>13/04 al 18/04</t>
  </si>
  <si>
    <t>nilton</t>
  </si>
  <si>
    <t>axt</t>
  </si>
  <si>
    <t>alianza</t>
  </si>
  <si>
    <t>chabat</t>
  </si>
  <si>
    <t>curuca</t>
  </si>
  <si>
    <t>Wagner</t>
  </si>
  <si>
    <t>Semana 17</t>
  </si>
  <si>
    <t>20/04 al 25/04</t>
  </si>
  <si>
    <t>valdemar</t>
  </si>
  <si>
    <t>furlani</t>
  </si>
  <si>
    <t>Semana 18</t>
  </si>
  <si>
    <t>27/04 al 02/05</t>
  </si>
  <si>
    <t>fisher</t>
  </si>
  <si>
    <t>Semana 19</t>
  </si>
  <si>
    <t>04/05 al 09/05</t>
  </si>
  <si>
    <t>Semana 20</t>
  </si>
  <si>
    <t xml:space="preserve">11/05 al 16/05 </t>
  </si>
  <si>
    <t>Semana 21</t>
  </si>
  <si>
    <t>18/05 al 23/05</t>
  </si>
  <si>
    <t>Semana 22</t>
  </si>
  <si>
    <t>25/05 al 30/05</t>
  </si>
  <si>
    <t>01/06 al 06/06</t>
  </si>
  <si>
    <t>Zapelini</t>
  </si>
  <si>
    <t>08/06 al 13/06</t>
  </si>
  <si>
    <t>shapo</t>
  </si>
  <si>
    <t>Semana 23</t>
  </si>
  <si>
    <t>15/06 al 20/06</t>
  </si>
  <si>
    <t>josemar</t>
  </si>
  <si>
    <t>Semana 24</t>
  </si>
  <si>
    <t>22/06 al 27/06</t>
  </si>
  <si>
    <t>Semana 27</t>
  </si>
  <si>
    <t>29/06 al 04/07</t>
  </si>
  <si>
    <t>Josemar</t>
  </si>
  <si>
    <t>Semana 28</t>
  </si>
  <si>
    <t>06/07 al 11/07</t>
  </si>
  <si>
    <t>Semana 29</t>
  </si>
  <si>
    <t>13/07 al 18/07</t>
  </si>
  <si>
    <t>Semana 30</t>
  </si>
  <si>
    <t>20/07 al 25/07</t>
  </si>
  <si>
    <t>media carga exóticos</t>
  </si>
  <si>
    <t>Semana 31</t>
  </si>
  <si>
    <t>27/07 al 01/08</t>
  </si>
  <si>
    <t>Semana 32</t>
  </si>
  <si>
    <t>03/08 al 08/08</t>
  </si>
  <si>
    <t>Semana 33</t>
  </si>
  <si>
    <t>10/08 al 15/08</t>
  </si>
  <si>
    <t>Semana 34</t>
  </si>
  <si>
    <t>17/08 al 22/08</t>
  </si>
  <si>
    <t>Semana 35</t>
  </si>
  <si>
    <t>24/08 al 29/08</t>
  </si>
  <si>
    <t>Semana 36</t>
  </si>
  <si>
    <t>31/08 al 05/09</t>
  </si>
  <si>
    <t>Maicol</t>
  </si>
  <si>
    <t>Shapo</t>
  </si>
  <si>
    <t>Semana 37</t>
  </si>
  <si>
    <t>07/09 al 12/09</t>
  </si>
  <si>
    <t>Semana 38</t>
  </si>
  <si>
    <t>14/09 al 19/09</t>
  </si>
  <si>
    <t>Semana 39</t>
  </si>
  <si>
    <t>21/09 al 26/09</t>
  </si>
  <si>
    <t>Semana 40</t>
  </si>
  <si>
    <t>28/09 al 03/10</t>
  </si>
  <si>
    <t/>
  </si>
  <si>
    <t>Paraguay (USD/caja)</t>
  </si>
  <si>
    <t>Paraguay MS</t>
  </si>
  <si>
    <t>7 USD</t>
  </si>
  <si>
    <t>lunes</t>
  </si>
  <si>
    <t>Paraguay DF</t>
  </si>
  <si>
    <t>martes</t>
  </si>
  <si>
    <t>Paraguay AS</t>
  </si>
  <si>
    <t>Semana 41</t>
  </si>
  <si>
    <t>05/10 al 10/10</t>
  </si>
  <si>
    <t>Celso</t>
  </si>
  <si>
    <t>Semana 42</t>
  </si>
  <si>
    <t>12/10 al 17/10</t>
  </si>
  <si>
    <t>miercoles</t>
  </si>
  <si>
    <t>Semana 43</t>
  </si>
  <si>
    <t>19/10 al 24/10</t>
  </si>
  <si>
    <t>Muller Fabricio</t>
  </si>
  <si>
    <t>BAHIA</t>
  </si>
  <si>
    <t>Jhony Viera</t>
  </si>
  <si>
    <t>Jaime Zimerman</t>
  </si>
  <si>
    <t>Paraguay GM</t>
  </si>
  <si>
    <t>7,5 USD</t>
  </si>
  <si>
    <t>Semana 44</t>
  </si>
  <si>
    <t>26/10 al 31/10</t>
  </si>
  <si>
    <t>Andre Pauli</t>
  </si>
  <si>
    <t>Aryste Mittelman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</si>
</sst>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/>
  </cellStyleXfs>
  <cellXfs count="46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0" applyNumberFormat="1" fontId="0" applyFont="1" fillId="0" applyFill="1" borderId="1" applyBorder="1" xfId="0" applyProtection="1"/>
    <xf numFmtId="0" applyNumberFormat="1" fontId="0" applyFont="1" fillId="0" applyFill="1" borderId="3" applyBorder="1" xfId="0" applyProtection="1"/>
    <xf numFmtId="0" applyNumberFormat="1" fontId="5" applyFont="1" fillId="0" applyFill="1" borderId="5" applyBorder="1" xfId="0" applyProtection="1" applyAlignment="1">
      <alignment horizontal="center"/>
    </xf>
    <xf numFmtId="0" applyNumberFormat="1" fontId="4" applyFont="1" fillId="0" applyFill="1" borderId="1" applyBorder="1" xfId="0" applyProtection="1" applyAlignment="1">
      <alignment horizontal="center"/>
    </xf>
    <xf numFmtId="0" applyNumberFormat="1" fontId="0" applyFont="1" fillId="3" applyFill="1" borderId="1" applyBorder="1" xfId="0" applyProtection="1"/>
    <xf numFmtId="0" applyNumberFormat="1" fontId="0" applyFont="1" fillId="3" applyFill="1" borderId="2" applyBorder="1" xfId="0" applyProtection="1"/>
    <xf numFmtId="0" applyNumberFormat="1" fontId="0" applyFont="1" fillId="2" applyFill="1" borderId="1" applyBorder="1" xfId="0" applyProtection="1"/>
    <xf numFmtId="0" applyNumberFormat="1" fontId="0" applyFont="1" fillId="0" applyFill="1" borderId="1" applyBorder="1" xfId="0" applyProtection="1" applyAlignment="1">
      <alignment vertical="center"/>
    </xf>
    <xf numFmtId="0" applyNumberFormat="1" fontId="2" applyFont="1" fillId="0" applyFill="1" borderId="1" applyBorder="1" xfId="0" applyProtection="1"/>
    <xf numFmtId="0" applyNumberFormat="1" fontId="0" applyFont="1" fillId="0" applyFill="1" borderId="1" applyBorder="1" xfId="0" applyProtection="1" applyAlignment="1">
      <alignment horizontal="center"/>
    </xf>
    <xf numFmtId="0" applyNumberFormat="1" fontId="8" applyFont="1" fillId="0" applyFill="1" borderId="6" applyBorder="1" xfId="0" applyProtection="1"/>
    <xf numFmtId="0" applyNumberFormat="1" fontId="5" applyFont="1" fillId="0" applyFill="1" borderId="6" applyBorder="1" xfId="0" applyProtection="1"/>
    <xf numFmtId="0" applyNumberFormat="1" fontId="5" applyFont="1" fillId="0" applyFill="1" borderId="4" applyBorder="1" xfId="0" applyProtection="1" applyAlignment="1">
      <alignment horizontal="center"/>
    </xf>
    <xf numFmtId="0" applyNumberFormat="1" fontId="0" applyFont="1" fillId="3" applyFill="1" borderId="3" applyBorder="1" xfId="0" applyProtection="1"/>
    <xf numFmtId="0" applyNumberFormat="1" fontId="0" applyFont="1" fillId="2" applyFill="1" borderId="3" applyBorder="1" xfId="0" applyProtection="1"/>
    <xf numFmtId="0" applyNumberFormat="1" fontId="0" applyFont="1" fillId="0" applyFill="1" borderId="3" applyBorder="1" xfId="0" applyProtection="1" applyAlignment="1">
      <alignment horizontal="center"/>
    </xf>
    <xf numFmtId="0" applyNumberFormat="1" fontId="6" applyFont="1" fillId="3" applyFill="1" borderId="7" applyBorder="1" xfId="0" applyProtection="1"/>
    <xf numFmtId="0" applyNumberFormat="1" fontId="6" applyFont="1" fillId="2" applyFill="1" borderId="8" applyBorder="1" xfId="0" applyProtection="1"/>
    <xf numFmtId="0" applyNumberFormat="1" fontId="2" applyFont="1" fillId="4" applyFill="1" borderId="8" applyBorder="1" xfId="0" applyProtection="1"/>
    <xf numFmtId="0" applyNumberFormat="1" fontId="2" applyFont="1" fillId="4" applyFill="1" borderId="9" applyBorder="1" xfId="0" applyProtection="1" applyAlignment="1">
      <alignment horizontal="center"/>
    </xf>
    <xf numFmtId="0" applyNumberFormat="1" fontId="7" applyFont="1" fillId="3" applyFill="1" borderId="7" applyBorder="1" xfId="0" applyProtection="1" applyAlignment="1">
      <alignment horizontal="right" vertical="center"/>
    </xf>
    <xf numFmtId="0" applyNumberFormat="1" fontId="7" applyFont="1" fillId="2" applyFill="1" borderId="8" applyBorder="1" xfId="0" applyProtection="1" applyAlignment="1">
      <alignment horizontal="right" vertical="center"/>
    </xf>
    <xf numFmtId="0" applyNumberFormat="1" fontId="2" applyFont="1" fillId="4" applyFill="1" borderId="9" applyBorder="1" xfId="0" applyProtection="1"/>
    <xf numFmtId="0" applyNumberFormat="1" fontId="6" applyFont="1" fillId="3" applyFill="1" borderId="7" applyBorder="1" xfId="0" applyProtection="1" applyAlignment="1">
      <alignment horizontal="right" vertical="center"/>
    </xf>
    <xf numFmtId="0" applyNumberFormat="1" fontId="6" applyFont="1" fillId="2" applyFill="1" borderId="8" applyBorder="1" xfId="0" applyProtection="1" applyAlignment="1">
      <alignment horizontal="right" vertical="center"/>
    </xf>
    <xf numFmtId="0" applyNumberFormat="1" fontId="6" applyFont="1" fillId="3" applyFill="1" borderId="7" applyBorder="1" xfId="0" applyProtection="1" applyAlignment="1">
      <alignment vertical="center"/>
    </xf>
    <xf numFmtId="0" applyNumberFormat="1" fontId="6" applyFont="1" fillId="2" applyFill="1" borderId="8" applyBorder="1" xfId="0" applyProtection="1" applyAlignment="1">
      <alignment vertical="center"/>
    </xf>
    <xf numFmtId="0" applyNumberFormat="1" fontId="2" applyFont="1" fillId="3" applyFill="1" borderId="7" applyBorder="1" xfId="0" applyProtection="1"/>
    <xf numFmtId="0" applyNumberFormat="1" fontId="2" applyFont="1" fillId="2" applyFill="1" borderId="8" applyBorder="1" xfId="0" applyProtection="1"/>
    <xf numFmtId="0" applyNumberFormat="1" fontId="0" applyFont="1" fillId="3" applyFill="1" borderId="7" applyBorder="1" xfId="0" applyProtection="1"/>
    <xf numFmtId="0" applyNumberFormat="1" fontId="0" applyFont="1" fillId="2" applyFill="1" borderId="8" applyBorder="1" xfId="0" applyProtection="1"/>
    <xf numFmtId="0" applyNumberFormat="1" fontId="6" applyFont="1" fillId="4" applyFill="1" borderId="8" applyBorder="1" xfId="0" applyProtection="1"/>
    <xf numFmtId="0" applyNumberFormat="1" fontId="6" applyFont="1" fillId="4" applyFill="1" borderId="9" applyBorder="1" xfId="0" applyProtection="1"/>
    <xf numFmtId="0" applyNumberFormat="1" fontId="6" applyFont="1" fillId="4" applyFill="1" borderId="8" applyBorder="1" xfId="0" applyProtection="1" applyAlignment="1">
      <alignment horizontal="center"/>
    </xf>
    <xf numFmtId="0" applyNumberFormat="1" fontId="6" applyFont="1" fillId="4" applyFill="1" borderId="9" applyBorder="1" xfId="0" applyProtection="1" applyAlignment="1">
      <alignment horizontal="center"/>
    </xf>
    <xf numFmtId="0" applyNumberFormat="1" fontId="3" applyFont="1" fillId="3" applyFill="1" borderId="3" applyBorder="1" xfId="0" applyProtection="1"/>
    <xf numFmtId="0" applyNumberFormat="1" fontId="3" applyFont="1" fillId="2" applyFill="1" borderId="3" applyBorder="1" xfId="0" applyProtection="1"/>
    <xf numFmtId="0" applyNumberFormat="1" fontId="3" applyFont="1" fillId="0" applyFill="1" borderId="3" applyBorder="1" xfId="0" applyProtection="1"/>
    <xf numFmtId="43" applyNumberFormat="1" fontId="6" applyFont="1" fillId="2" applyFill="1" borderId="8" applyBorder="1" xfId="1" applyProtection="1"/>
    <xf numFmtId="43" applyNumberFormat="1" fontId="8" applyFont="1" fillId="0" applyFill="1" borderId="6" applyBorder="1" xfId="0" applyProtection="1"/>
    <xf numFmtId="0" applyNumberFormat="1" fontId="8" applyFont="1" fillId="0" applyFill="1" borderId="6" applyBorder="1" xfId="0" applyProtection="1" applyAlignment="1">
      <alignment horizontal="center"/>
    </xf>
    <xf numFmtId="0" applyNumberFormat="1" fontId="0" applyFont="1" fillId="5" applyFill="1" borderId="1" applyBorder="1" xfId="0" applyProtection="1"/>
    <xf numFmtId="0" applyNumberFormat="1" fontId="0" applyFont="1" fillId="0" applyFill="1" borderId="0" applyBorder="1" xfId="0" applyProtection="1" applyAlignment="1">
      <alignment horizontal="center"/>
    </xf>
    <xf numFmtId="0" applyNumberFormat="1" fontId="6" applyFont="1" fillId="0" applyFill="1" borderId="0" applyBorder="1" xfId="0" applyProtection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A84E0-84D3-4299-96B0-2E4BE20F8F0F}">
  <dimension ref="B2:F110"/>
  <sheetViews>
    <sheetView workbookViewId="0">
      <selection activeCell="H12" sqref="H12"/>
    </sheetView>
  </sheetViews>
  <sheetFormatPr baseColWidth="10" defaultRowHeight="15" x14ac:dyDescent="0.25"/>
  <cols>
    <col min="2" max="2" width="13.85546875" customWidth="1"/>
    <col min="3" max="4" width="9.7109375" customWidth="1"/>
    <col min="5" max="6" width="13.85546875" customWidth="1"/>
  </cols>
  <sheetData>
    <row r="2">
      <c r="C2" s="44" t="s">
        <v>0</v>
      </c>
      <c r="D2" s="44"/>
      <c r="E2" s="44"/>
    </row>
    <row r="3">
      <c r="C3" s="44" t="s">
        <v>1</v>
      </c>
      <c r="D3" s="44"/>
      <c r="E3" s="44"/>
    </row>
    <row r="5" ht="18" customHeight="1"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</row>
    <row r="6" ht="18" customHeight="1">
      <c r="B6" s="2" t="s">
        <v>7</v>
      </c>
      <c r="C6" s="6"/>
      <c r="D6" s="8"/>
      <c r="E6" s="2"/>
      <c r="F6" s="2"/>
    </row>
    <row r="7" ht="18" customHeight="1">
      <c r="B7" s="2" t="s">
        <v>7</v>
      </c>
      <c r="C7" s="6"/>
      <c r="D7" s="8"/>
      <c r="E7" s="2"/>
      <c r="F7" s="2"/>
    </row>
    <row r="8" ht="18" customHeight="1">
      <c r="B8" s="2" t="s">
        <v>8</v>
      </c>
      <c r="C8" s="6"/>
      <c r="D8" s="8"/>
      <c r="E8" s="2"/>
      <c r="F8" s="2"/>
    </row>
    <row r="9" ht="18" customHeight="1">
      <c r="B9" s="2" t="s">
        <v>8</v>
      </c>
      <c r="C9" s="6"/>
      <c r="D9" s="8"/>
      <c r="E9" s="2"/>
      <c r="F9" s="2"/>
    </row>
    <row r="10" ht="18" customHeight="1">
      <c r="B10" s="2" t="s">
        <v>8</v>
      </c>
      <c r="C10" s="6"/>
      <c r="D10" s="8"/>
      <c r="E10" s="2"/>
      <c r="F10" s="2"/>
    </row>
    <row r="11" ht="18" customHeight="1">
      <c r="B11" s="2" t="s">
        <v>8</v>
      </c>
      <c r="C11" s="6"/>
      <c r="D11" s="8"/>
      <c r="E11" s="2"/>
      <c r="F11" s="2"/>
    </row>
    <row r="12" ht="18" customHeight="1">
      <c r="B12" s="2" t="s">
        <v>9</v>
      </c>
      <c r="C12" s="6"/>
      <c r="D12" s="8"/>
      <c r="E12" s="2"/>
      <c r="F12" s="2"/>
    </row>
    <row r="13" ht="18" customHeight="1">
      <c r="B13" s="2" t="s">
        <v>9</v>
      </c>
      <c r="C13" s="6"/>
      <c r="D13" s="8"/>
      <c r="E13" s="2"/>
      <c r="F13" s="2"/>
    </row>
    <row r="14" ht="18" customHeight="1">
      <c r="B14" s="2" t="s">
        <v>10</v>
      </c>
      <c r="C14" s="6"/>
      <c r="D14" s="8"/>
      <c r="E14" s="2"/>
      <c r="F14" s="2"/>
    </row>
    <row r="15" ht="18" customHeight="1">
      <c r="B15" s="2" t="s">
        <v>10</v>
      </c>
      <c r="C15" s="6"/>
      <c r="D15" s="8"/>
      <c r="E15" s="2"/>
      <c r="F15" s="2"/>
    </row>
    <row r="16" ht="18" customHeight="1">
      <c r="B16" s="2" t="s">
        <v>11</v>
      </c>
      <c r="C16" s="6"/>
      <c r="D16" s="8"/>
      <c r="E16" s="2"/>
      <c r="F16" s="2"/>
    </row>
    <row r="17" ht="18" customHeight="1">
      <c r="B17" s="2" t="s">
        <v>11</v>
      </c>
      <c r="C17" s="6"/>
      <c r="D17" s="8"/>
      <c r="E17" s="2"/>
      <c r="F17" s="2"/>
    </row>
    <row r="18" ht="18" customHeight="1">
      <c r="B18" s="2" t="s">
        <v>11</v>
      </c>
      <c r="C18" s="6"/>
      <c r="D18" s="8"/>
      <c r="E18" s="2"/>
      <c r="F18" s="2"/>
    </row>
    <row r="19" ht="18" customHeight="1">
      <c r="B19" s="2" t="s">
        <v>11</v>
      </c>
      <c r="C19" s="6"/>
      <c r="D19" s="8"/>
      <c r="E19" s="2"/>
      <c r="F19" s="2"/>
    </row>
    <row r="20" ht="18" customHeight="1">
      <c r="B20" s="2" t="s">
        <v>11</v>
      </c>
      <c r="C20" s="6"/>
      <c r="D20" s="8"/>
      <c r="E20" s="2"/>
      <c r="F20" s="2"/>
    </row>
    <row r="21" ht="18" customHeight="1">
      <c r="B21" s="2" t="s">
        <v>11</v>
      </c>
      <c r="C21" s="6"/>
      <c r="D21" s="8"/>
      <c r="E21" s="2"/>
      <c r="F21" s="2"/>
    </row>
    <row r="22" ht="18" customHeight="1">
      <c r="B22" s="2" t="s">
        <v>12</v>
      </c>
      <c r="C22" s="6"/>
      <c r="D22" s="8"/>
      <c r="E22" s="2"/>
      <c r="F22" s="2"/>
    </row>
    <row r="23" ht="18" customHeight="1">
      <c r="B23" s="2" t="s">
        <v>12</v>
      </c>
      <c r="C23" s="6"/>
      <c r="D23" s="8"/>
      <c r="E23" s="2"/>
      <c r="F23" s="2"/>
    </row>
    <row r="24" ht="18" customHeight="1">
      <c r="B24" s="2" t="s">
        <v>12</v>
      </c>
      <c r="C24" s="6"/>
      <c r="D24" s="8"/>
      <c r="E24" s="2"/>
      <c r="F24" s="2"/>
    </row>
    <row r="25" ht="18" customHeight="1">
      <c r="B25" s="2" t="s">
        <v>12</v>
      </c>
      <c r="C25" s="6"/>
      <c r="D25" s="8"/>
      <c r="E25" s="2"/>
      <c r="F25" s="2"/>
    </row>
    <row r="26" ht="18.75">
      <c r="B26" s="4" t="s">
        <v>13</v>
      </c>
      <c r="C26" s="7"/>
      <c r="D26" s="8"/>
      <c r="E26" s="2"/>
      <c r="F26" s="2"/>
    </row>
    <row r="30">
      <c r="C30" s="44" t="s">
        <v>0</v>
      </c>
      <c r="D30" s="44"/>
      <c r="E30" s="44"/>
    </row>
    <row r="31">
      <c r="C31" s="44" t="s">
        <v>1</v>
      </c>
      <c r="D31" s="44"/>
      <c r="E31" s="44"/>
    </row>
    <row r="33" ht="15.75">
      <c r="B33" s="5" t="s">
        <v>2</v>
      </c>
      <c r="C33" s="5" t="s">
        <v>3</v>
      </c>
      <c r="D33" s="5" t="s">
        <v>4</v>
      </c>
      <c r="E33" s="5" t="s">
        <v>5</v>
      </c>
      <c r="F33" s="5" t="s">
        <v>6</v>
      </c>
    </row>
    <row r="34" ht="18" customHeight="1">
      <c r="B34" s="2" t="s">
        <v>7</v>
      </c>
      <c r="C34" s="6"/>
      <c r="D34" s="8"/>
      <c r="E34" s="2"/>
      <c r="F34" s="2"/>
    </row>
    <row r="35" ht="18" customHeight="1">
      <c r="B35" s="2" t="s">
        <v>7</v>
      </c>
      <c r="C35" s="6"/>
      <c r="D35" s="8"/>
      <c r="E35" s="2"/>
      <c r="F35" s="2"/>
    </row>
    <row r="36" ht="18" customHeight="1">
      <c r="B36" s="2" t="s">
        <v>8</v>
      </c>
      <c r="C36" s="6"/>
      <c r="D36" s="8"/>
      <c r="E36" s="2"/>
      <c r="F36" s="2"/>
    </row>
    <row r="37" ht="18" customHeight="1">
      <c r="B37" s="2" t="s">
        <v>8</v>
      </c>
      <c r="C37" s="6"/>
      <c r="D37" s="8"/>
      <c r="E37" s="2"/>
      <c r="F37" s="2"/>
    </row>
    <row r="38" ht="18" customHeight="1">
      <c r="B38" s="2" t="s">
        <v>11</v>
      </c>
      <c r="C38" s="6"/>
      <c r="D38" s="8"/>
      <c r="E38" s="2"/>
      <c r="F38" s="2"/>
    </row>
    <row r="39" ht="18" customHeight="1">
      <c r="B39" s="2" t="s">
        <v>9</v>
      </c>
      <c r="C39" s="6"/>
      <c r="D39" s="8"/>
      <c r="E39" s="2"/>
      <c r="F39" s="2"/>
    </row>
    <row r="40" ht="18" customHeight="1">
      <c r="B40" s="2" t="s">
        <v>9</v>
      </c>
      <c r="C40" s="6"/>
      <c r="D40" s="8"/>
      <c r="E40" s="2"/>
      <c r="F40" s="2"/>
    </row>
    <row r="41" ht="18" customHeight="1">
      <c r="B41" s="2" t="s">
        <v>9</v>
      </c>
      <c r="C41" s="6"/>
      <c r="D41" s="8"/>
      <c r="E41" s="2"/>
      <c r="F41" s="2"/>
    </row>
    <row r="42" ht="18" customHeight="1">
      <c r="B42" s="2" t="s">
        <v>10</v>
      </c>
      <c r="C42" s="6"/>
      <c r="D42" s="8"/>
      <c r="E42" s="2"/>
      <c r="F42" s="2"/>
    </row>
    <row r="43" ht="18" customHeight="1">
      <c r="B43" s="2" t="s">
        <v>10</v>
      </c>
      <c r="C43" s="6"/>
      <c r="D43" s="8"/>
      <c r="E43" s="2"/>
      <c r="F43" s="2"/>
    </row>
    <row r="44" ht="18" customHeight="1">
      <c r="B44" s="2" t="s">
        <v>14</v>
      </c>
      <c r="C44" s="6"/>
      <c r="D44" s="8"/>
      <c r="E44" s="2"/>
      <c r="F44" s="2"/>
    </row>
    <row r="45" ht="18" customHeight="1">
      <c r="B45" s="2" t="s">
        <v>14</v>
      </c>
      <c r="C45" s="6"/>
      <c r="D45" s="8"/>
      <c r="E45" s="2"/>
      <c r="F45" s="2"/>
    </row>
    <row r="46" ht="18" customHeight="1">
      <c r="B46" s="2" t="s">
        <v>14</v>
      </c>
      <c r="C46" s="6"/>
      <c r="D46" s="8"/>
      <c r="E46" s="2"/>
      <c r="F46" s="2"/>
    </row>
    <row r="47" ht="18" customHeight="1">
      <c r="B47" s="2" t="s">
        <v>12</v>
      </c>
      <c r="C47" s="6"/>
      <c r="D47" s="8"/>
      <c r="E47" s="2"/>
      <c r="F47" s="2"/>
    </row>
    <row r="48" ht="18" customHeight="1">
      <c r="B48" s="2" t="s">
        <v>12</v>
      </c>
      <c r="C48" s="6"/>
      <c r="D48" s="8"/>
      <c r="E48" s="2"/>
      <c r="F48" s="2"/>
    </row>
    <row r="49" ht="18" customHeight="1">
      <c r="B49" s="2" t="s">
        <v>12</v>
      </c>
      <c r="C49" s="6"/>
      <c r="D49" s="8"/>
      <c r="E49" s="2"/>
      <c r="F49" s="2"/>
    </row>
    <row r="50" ht="18" customHeight="1">
      <c r="B50" s="2" t="s">
        <v>12</v>
      </c>
      <c r="C50" s="6"/>
      <c r="D50" s="8"/>
      <c r="E50" s="2"/>
      <c r="F50" s="2"/>
    </row>
    <row r="51" ht="18" customHeight="1">
      <c r="B51" s="2" t="s">
        <v>15</v>
      </c>
      <c r="C51" s="6"/>
      <c r="D51" s="8"/>
      <c r="E51" s="2"/>
      <c r="F51" s="2"/>
    </row>
    <row r="52" ht="18" customHeight="1">
      <c r="B52" s="2" t="s">
        <v>15</v>
      </c>
      <c r="C52" s="6"/>
      <c r="D52" s="8"/>
      <c r="E52" s="2"/>
      <c r="F52" s="2"/>
    </row>
    <row r="53" ht="18" customHeight="1">
      <c r="B53" s="3"/>
      <c r="C53" s="6"/>
      <c r="D53" s="8"/>
      <c r="E53" s="2"/>
      <c r="F53" s="2"/>
    </row>
    <row r="54" ht="18.75">
      <c r="B54" s="4" t="s">
        <v>13</v>
      </c>
      <c r="C54" s="7"/>
      <c r="D54" s="8"/>
      <c r="E54" s="2"/>
      <c r="F54" s="2"/>
    </row>
    <row r="58">
      <c r="C58" s="44" t="s">
        <v>0</v>
      </c>
      <c r="D58" s="44"/>
      <c r="E58" s="44"/>
    </row>
    <row r="59">
      <c r="C59" s="44" t="s">
        <v>1</v>
      </c>
      <c r="D59" s="44"/>
      <c r="E59" s="44"/>
    </row>
    <row r="61" ht="15.75">
      <c r="B61" s="5" t="s">
        <v>2</v>
      </c>
      <c r="C61" s="5" t="s">
        <v>3</v>
      </c>
      <c r="D61" s="5" t="s">
        <v>4</v>
      </c>
      <c r="E61" s="5" t="s">
        <v>5</v>
      </c>
      <c r="F61" s="5" t="s">
        <v>6</v>
      </c>
    </row>
    <row r="62" ht="18" customHeight="1">
      <c r="B62" s="2" t="s">
        <v>7</v>
      </c>
      <c r="C62" s="6"/>
      <c r="D62" s="8"/>
      <c r="E62" s="2"/>
      <c r="F62" s="2"/>
    </row>
    <row r="63" ht="18" customHeight="1">
      <c r="B63" s="2" t="s">
        <v>7</v>
      </c>
      <c r="C63" s="6"/>
      <c r="D63" s="8"/>
      <c r="E63" s="2"/>
      <c r="F63" s="2"/>
    </row>
    <row r="64" ht="18" customHeight="1">
      <c r="B64" s="2" t="s">
        <v>8</v>
      </c>
      <c r="C64" s="6"/>
      <c r="D64" s="8"/>
      <c r="E64" s="2"/>
      <c r="F64" s="2"/>
    </row>
    <row r="65" ht="18" customHeight="1">
      <c r="B65" s="2" t="s">
        <v>8</v>
      </c>
      <c r="C65" s="6"/>
      <c r="D65" s="8"/>
      <c r="E65" s="2"/>
      <c r="F65" s="2"/>
    </row>
    <row r="66" ht="18" customHeight="1">
      <c r="B66" s="2" t="s">
        <v>11</v>
      </c>
      <c r="C66" s="6"/>
      <c r="D66" s="8"/>
      <c r="E66" s="2"/>
      <c r="F66" s="2"/>
    </row>
    <row r="67" ht="18" customHeight="1">
      <c r="B67" s="2" t="s">
        <v>9</v>
      </c>
      <c r="C67" s="6"/>
      <c r="D67" s="8"/>
      <c r="E67" s="2"/>
      <c r="F67" s="2"/>
    </row>
    <row r="68" ht="18" customHeight="1">
      <c r="B68" s="2" t="s">
        <v>9</v>
      </c>
      <c r="C68" s="6"/>
      <c r="D68" s="8"/>
      <c r="E68" s="2"/>
      <c r="F68" s="2"/>
    </row>
    <row r="69" ht="18" customHeight="1">
      <c r="B69" s="2" t="s">
        <v>9</v>
      </c>
      <c r="C69" s="6"/>
      <c r="D69" s="8"/>
      <c r="E69" s="2"/>
      <c r="F69" s="2"/>
    </row>
    <row r="70" ht="18" customHeight="1">
      <c r="B70" s="2" t="s">
        <v>10</v>
      </c>
      <c r="C70" s="6"/>
      <c r="D70" s="8"/>
      <c r="E70" s="2"/>
      <c r="F70" s="2"/>
    </row>
    <row r="71" ht="18" customHeight="1">
      <c r="B71" s="2" t="s">
        <v>10</v>
      </c>
      <c r="C71" s="6"/>
      <c r="D71" s="8"/>
      <c r="E71" s="2"/>
      <c r="F71" s="2"/>
    </row>
    <row r="72" ht="18" customHeight="1">
      <c r="B72" s="2" t="s">
        <v>14</v>
      </c>
      <c r="C72" s="6"/>
      <c r="D72" s="8"/>
      <c r="E72" s="2"/>
      <c r="F72" s="2"/>
    </row>
    <row r="73" ht="18" customHeight="1">
      <c r="B73" s="2" t="s">
        <v>14</v>
      </c>
      <c r="C73" s="6"/>
      <c r="D73" s="8"/>
      <c r="E73" s="2"/>
      <c r="F73" s="2"/>
    </row>
    <row r="74" ht="18" customHeight="1">
      <c r="B74" s="2" t="s">
        <v>14</v>
      </c>
      <c r="C74" s="6"/>
      <c r="D74" s="8"/>
      <c r="E74" s="2"/>
      <c r="F74" s="2"/>
    </row>
    <row r="75" ht="18" customHeight="1">
      <c r="B75" s="2" t="s">
        <v>12</v>
      </c>
      <c r="C75" s="6"/>
      <c r="D75" s="8"/>
      <c r="E75" s="2"/>
      <c r="F75" s="2"/>
    </row>
    <row r="76" ht="18" customHeight="1">
      <c r="B76" s="2" t="s">
        <v>12</v>
      </c>
      <c r="C76" s="6"/>
      <c r="D76" s="8"/>
      <c r="E76" s="2"/>
      <c r="F76" s="2"/>
    </row>
    <row r="77" ht="18" customHeight="1">
      <c r="B77" s="2" t="s">
        <v>12</v>
      </c>
      <c r="C77" s="6"/>
      <c r="D77" s="8"/>
      <c r="E77" s="2"/>
      <c r="F77" s="2"/>
    </row>
    <row r="78" ht="18" customHeight="1">
      <c r="B78" s="2" t="s">
        <v>12</v>
      </c>
      <c r="C78" s="6"/>
      <c r="D78" s="8"/>
      <c r="E78" s="2"/>
      <c r="F78" s="2"/>
    </row>
    <row r="79" ht="18" customHeight="1">
      <c r="B79" s="2" t="s">
        <v>15</v>
      </c>
      <c r="C79" s="6"/>
      <c r="D79" s="8"/>
      <c r="E79" s="2"/>
      <c r="F79" s="2"/>
    </row>
    <row r="80" ht="18" customHeight="1">
      <c r="B80" s="2" t="s">
        <v>15</v>
      </c>
      <c r="C80" s="6"/>
      <c r="D80" s="8"/>
      <c r="E80" s="2"/>
      <c r="F80" s="2"/>
    </row>
    <row r="81" ht="18" customHeight="1">
      <c r="B81" s="3"/>
      <c r="C81" s="6"/>
      <c r="D81" s="8"/>
      <c r="E81" s="2"/>
      <c r="F81" s="2"/>
    </row>
    <row r="82" ht="18.75">
      <c r="B82" s="4" t="s">
        <v>13</v>
      </c>
      <c r="C82" s="7"/>
      <c r="D82" s="8"/>
      <c r="E82" s="2"/>
      <c r="F82" s="2"/>
    </row>
    <row r="86">
      <c r="C86" s="44" t="s">
        <v>0</v>
      </c>
      <c r="D86" s="44"/>
      <c r="E86" s="44"/>
    </row>
    <row r="87">
      <c r="C87" s="44" t="s">
        <v>1</v>
      </c>
      <c r="D87" s="44"/>
      <c r="E87" s="44"/>
    </row>
    <row r="89" ht="15.75">
      <c r="B89" s="5" t="s">
        <v>2</v>
      </c>
      <c r="C89" s="5" t="s">
        <v>3</v>
      </c>
      <c r="D89" s="5" t="s">
        <v>4</v>
      </c>
      <c r="E89" s="5" t="s">
        <v>5</v>
      </c>
      <c r="F89" s="5" t="s">
        <v>6</v>
      </c>
    </row>
    <row r="90" ht="18" customHeight="1">
      <c r="B90" s="2" t="s">
        <v>7</v>
      </c>
      <c r="C90" s="6"/>
      <c r="D90" s="8"/>
      <c r="E90" s="2"/>
      <c r="F90" s="2"/>
    </row>
    <row r="91" ht="18" customHeight="1">
      <c r="B91" s="2" t="s">
        <v>7</v>
      </c>
      <c r="C91" s="6"/>
      <c r="D91" s="8"/>
      <c r="E91" s="2"/>
      <c r="F91" s="2"/>
    </row>
    <row r="92" ht="18" customHeight="1">
      <c r="B92" s="2" t="s">
        <v>8</v>
      </c>
      <c r="C92" s="6"/>
      <c r="D92" s="8"/>
      <c r="E92" s="2"/>
      <c r="F92" s="2"/>
    </row>
    <row r="93" ht="18" customHeight="1">
      <c r="B93" s="2" t="s">
        <v>8</v>
      </c>
      <c r="C93" s="6"/>
      <c r="D93" s="8"/>
      <c r="E93" s="2"/>
      <c r="F93" s="2"/>
    </row>
    <row r="94" ht="18" customHeight="1">
      <c r="B94" s="2" t="s">
        <v>11</v>
      </c>
      <c r="C94" s="6"/>
      <c r="D94" s="8"/>
      <c r="E94" s="2"/>
      <c r="F94" s="2"/>
    </row>
    <row r="95" ht="18" customHeight="1">
      <c r="B95" s="2" t="s">
        <v>9</v>
      </c>
      <c r="C95" s="6"/>
      <c r="D95" s="8"/>
      <c r="E95" s="2"/>
      <c r="F95" s="2"/>
    </row>
    <row r="96" ht="18" customHeight="1">
      <c r="B96" s="2" t="s">
        <v>9</v>
      </c>
      <c r="C96" s="6"/>
      <c r="D96" s="8"/>
      <c r="E96" s="2"/>
      <c r="F96" s="2"/>
    </row>
    <row r="97" ht="18" customHeight="1">
      <c r="B97" s="2" t="s">
        <v>9</v>
      </c>
      <c r="C97" s="6"/>
      <c r="D97" s="8"/>
      <c r="E97" s="2"/>
      <c r="F97" s="2"/>
    </row>
    <row r="98" ht="18" customHeight="1">
      <c r="B98" s="2" t="s">
        <v>10</v>
      </c>
      <c r="C98" s="6"/>
      <c r="D98" s="8"/>
      <c r="E98" s="2"/>
      <c r="F98" s="2"/>
    </row>
    <row r="99" ht="18" customHeight="1">
      <c r="B99" s="2" t="s">
        <v>10</v>
      </c>
      <c r="C99" s="6"/>
      <c r="D99" s="8"/>
      <c r="E99" s="2"/>
      <c r="F99" s="2"/>
    </row>
    <row r="100" ht="18" customHeight="1">
      <c r="B100" s="2" t="s">
        <v>14</v>
      </c>
      <c r="C100" s="6"/>
      <c r="D100" s="8"/>
      <c r="E100" s="2"/>
      <c r="F100" s="2"/>
    </row>
    <row r="101" ht="18" customHeight="1">
      <c r="B101" s="2" t="s">
        <v>14</v>
      </c>
      <c r="C101" s="6"/>
      <c r="D101" s="8"/>
      <c r="E101" s="2"/>
      <c r="F101" s="2"/>
    </row>
    <row r="102" ht="18" customHeight="1">
      <c r="B102" s="2" t="s">
        <v>14</v>
      </c>
      <c r="C102" s="6"/>
      <c r="D102" s="8"/>
      <c r="E102" s="2"/>
      <c r="F102" s="2"/>
    </row>
    <row r="103" ht="18" customHeight="1">
      <c r="B103" s="2" t="s">
        <v>12</v>
      </c>
      <c r="C103" s="6"/>
      <c r="D103" s="8"/>
      <c r="E103" s="2"/>
      <c r="F103" s="2"/>
    </row>
    <row r="104" ht="18" customHeight="1">
      <c r="B104" s="2" t="s">
        <v>12</v>
      </c>
      <c r="C104" s="6"/>
      <c r="D104" s="8"/>
      <c r="E104" s="2"/>
      <c r="F104" s="2"/>
    </row>
    <row r="105" ht="18" customHeight="1">
      <c r="B105" s="2" t="s">
        <v>12</v>
      </c>
      <c r="C105" s="6"/>
      <c r="D105" s="8"/>
      <c r="E105" s="2"/>
      <c r="F105" s="2"/>
    </row>
    <row r="106" ht="18" customHeight="1">
      <c r="B106" s="2" t="s">
        <v>12</v>
      </c>
      <c r="C106" s="6"/>
      <c r="D106" s="8"/>
      <c r="E106" s="2"/>
      <c r="F106" s="2"/>
    </row>
    <row r="107" ht="18" customHeight="1">
      <c r="B107" s="2" t="s">
        <v>15</v>
      </c>
      <c r="C107" s="6"/>
      <c r="D107" s="8"/>
      <c r="E107" s="2"/>
      <c r="F107" s="2"/>
    </row>
    <row r="108" ht="18" customHeight="1">
      <c r="B108" s="2" t="s">
        <v>15</v>
      </c>
      <c r="C108" s="6"/>
      <c r="D108" s="8"/>
      <c r="E108" s="2"/>
      <c r="F108" s="2"/>
    </row>
    <row r="109" ht="18" customHeight="1">
      <c r="B109" s="3"/>
      <c r="C109" s="6"/>
      <c r="D109" s="8"/>
      <c r="E109" s="2"/>
      <c r="F109" s="2"/>
    </row>
    <row r="110" ht="18.75">
      <c r="B110" s="4" t="s">
        <v>13</v>
      </c>
      <c r="C110" s="7"/>
      <c r="D110" s="8"/>
      <c r="E110" s="2"/>
      <c r="F110" s="2"/>
    </row>
  </sheetData>
  <mergeCells>
    <mergeCell ref="C86:E86"/>
    <mergeCell ref="C87:E87"/>
    <mergeCell ref="C2:E2"/>
    <mergeCell ref="C3:E3"/>
    <mergeCell ref="C30:E30"/>
    <mergeCell ref="C31:E31"/>
    <mergeCell ref="C58:E58"/>
    <mergeCell ref="C59:E5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14FA0-A3A7-4DFD-B521-00CFACE52E60}">
  <dimension ref="B2:I105"/>
  <sheetViews>
    <sheetView zoomScaleNormal="100" workbookViewId="0">
      <selection activeCell="H33" sqref="H33"/>
    </sheetView>
  </sheetViews>
  <sheetFormatPr baseColWidth="10" defaultRowHeight="15" x14ac:dyDescent="0.25"/>
  <cols>
    <col min="2" max="2" width="13.85546875" customWidth="1"/>
    <col min="3" max="4" width="9.7109375" customWidth="1"/>
    <col min="5" max="6" width="13.85546875" customWidth="1"/>
    <col min="8" max="8" width="14.28515625" customWidth="1"/>
  </cols>
  <sheetData>
    <row r="2" ht="15.75">
      <c r="C2" s="45" t="s">
        <v>16</v>
      </c>
      <c r="D2" s="45"/>
      <c r="E2" s="45"/>
    </row>
    <row r="3" ht="15.75">
      <c r="C3" s="45" t="s">
        <v>17</v>
      </c>
      <c r="D3" s="45"/>
      <c r="E3" s="45"/>
    </row>
    <row r="4" ht="15.75"/>
    <row r="5" ht="19.5"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H5" s="13" t="s">
        <v>18</v>
      </c>
      <c r="I5" s="12">
        <f>SUM(C14+C39+C89+C105)</f>
        <v>49</v>
      </c>
    </row>
    <row r="6" ht="18" customHeight="1">
      <c r="B6" s="2" t="s">
        <v>8</v>
      </c>
      <c r="C6" s="6">
        <v>1</v>
      </c>
      <c r="D6" s="8">
        <v>48</v>
      </c>
      <c r="E6" s="11" t="s">
        <v>19</v>
      </c>
      <c r="F6" s="11" t="s">
        <v>20</v>
      </c>
      <c r="H6" s="13" t="s">
        <v>21</v>
      </c>
      <c r="I6" s="12">
        <f>AVERAGE(D14,D39,D65,D89,D105)</f>
        <v>36.022619047619045</v>
      </c>
    </row>
    <row r="7" ht="18" customHeight="1">
      <c r="B7" s="2" t="s">
        <v>8</v>
      </c>
      <c r="C7" s="6">
        <v>1</v>
      </c>
      <c r="D7" s="8">
        <v>48</v>
      </c>
      <c r="E7" s="11" t="s">
        <v>19</v>
      </c>
      <c r="F7" s="11" t="s">
        <v>20</v>
      </c>
    </row>
    <row r="8" ht="18" customHeight="1">
      <c r="B8" s="2" t="s">
        <v>8</v>
      </c>
      <c r="C8" s="6">
        <v>1</v>
      </c>
      <c r="D8" s="8">
        <v>48</v>
      </c>
      <c r="E8" s="11" t="s">
        <v>19</v>
      </c>
      <c r="F8" s="11" t="s">
        <v>20</v>
      </c>
    </row>
    <row r="9" ht="18" customHeight="1">
      <c r="B9" s="2" t="s">
        <v>9</v>
      </c>
      <c r="C9" s="6">
        <v>1</v>
      </c>
      <c r="D9" s="8">
        <v>50</v>
      </c>
      <c r="E9" s="11" t="s">
        <v>22</v>
      </c>
      <c r="F9" s="11" t="s">
        <v>23</v>
      </c>
    </row>
    <row r="10" ht="18" customHeight="1">
      <c r="B10" s="2" t="s">
        <v>14</v>
      </c>
      <c r="C10" s="6">
        <v>1</v>
      </c>
      <c r="D10" s="8">
        <v>50</v>
      </c>
      <c r="E10" s="11" t="s">
        <v>24</v>
      </c>
      <c r="F10" s="11" t="s">
        <v>23</v>
      </c>
    </row>
    <row r="11" ht="18" customHeight="1">
      <c r="B11" s="2" t="s">
        <v>12</v>
      </c>
      <c r="C11" s="6">
        <v>1</v>
      </c>
      <c r="D11" s="8">
        <v>50</v>
      </c>
      <c r="E11" s="11" t="s">
        <v>22</v>
      </c>
      <c r="F11" s="11" t="s">
        <v>23</v>
      </c>
    </row>
    <row r="12" ht="18" customHeight="1">
      <c r="B12" s="2" t="s">
        <v>12</v>
      </c>
      <c r="C12" s="6">
        <v>1</v>
      </c>
      <c r="D12" s="8">
        <v>50</v>
      </c>
      <c r="E12" s="11" t="s">
        <v>24</v>
      </c>
      <c r="F12" s="11" t="s">
        <v>23</v>
      </c>
    </row>
    <row r="13" ht="18" customHeight="1">
      <c r="B13" s="2" t="s">
        <v>15</v>
      </c>
      <c r="C13" s="15">
        <v>1</v>
      </c>
      <c r="D13" s="16">
        <v>50</v>
      </c>
      <c r="E13" s="17" t="s">
        <v>24</v>
      </c>
      <c r="F13" s="17" t="s">
        <v>23</v>
      </c>
    </row>
    <row r="14" ht="17.25" customHeight="1">
      <c r="B14" s="14" t="s">
        <v>13</v>
      </c>
      <c r="C14" s="18">
        <f>SUM(C6:C13)</f>
        <v>8</v>
      </c>
      <c r="D14" s="19">
        <f>AVERAGE(D6:D13)</f>
        <v>49.25</v>
      </c>
      <c r="E14" s="20">
        <v>1.9</v>
      </c>
      <c r="F14" s="21">
        <v>41.8</v>
      </c>
    </row>
    <row r="16" ht="15.75">
      <c r="C16" s="45" t="s">
        <v>25</v>
      </c>
      <c r="D16" s="45"/>
      <c r="E16" s="45"/>
    </row>
    <row r="17" ht="15.75">
      <c r="C17" s="45" t="s">
        <v>26</v>
      </c>
      <c r="D17" s="45"/>
      <c r="E17" s="45"/>
    </row>
    <row r="19" ht="18" customHeight="1">
      <c r="B19" s="5" t="s">
        <v>2</v>
      </c>
      <c r="C19" s="5" t="s">
        <v>3</v>
      </c>
      <c r="D19" s="5" t="s">
        <v>4</v>
      </c>
      <c r="E19" s="5" t="s">
        <v>5</v>
      </c>
      <c r="F19" s="5" t="s">
        <v>6</v>
      </c>
    </row>
    <row r="20" ht="18" customHeight="1">
      <c r="B20" s="9" t="s">
        <v>7</v>
      </c>
      <c r="C20" s="6">
        <v>1</v>
      </c>
      <c r="D20" s="8">
        <v>40</v>
      </c>
      <c r="E20" s="11" t="s">
        <v>27</v>
      </c>
      <c r="F20" s="11" t="s">
        <v>23</v>
      </c>
    </row>
    <row r="21" ht="18" customHeight="1">
      <c r="B21" s="9" t="s">
        <v>8</v>
      </c>
      <c r="C21" s="6">
        <v>1</v>
      </c>
      <c r="D21" s="8">
        <v>40</v>
      </c>
      <c r="E21" s="11" t="s">
        <v>19</v>
      </c>
      <c r="F21" s="11" t="s">
        <v>20</v>
      </c>
    </row>
    <row r="22" ht="18" customHeight="1">
      <c r="B22" s="9" t="s">
        <v>8</v>
      </c>
      <c r="C22" s="6">
        <v>1</v>
      </c>
      <c r="D22" s="8">
        <v>40</v>
      </c>
      <c r="E22" s="11" t="s">
        <v>19</v>
      </c>
      <c r="F22" s="11" t="s">
        <v>20</v>
      </c>
    </row>
    <row r="23" ht="18" customHeight="1">
      <c r="B23" s="9" t="s">
        <v>8</v>
      </c>
      <c r="C23" s="6">
        <v>1</v>
      </c>
      <c r="D23" s="8">
        <v>40</v>
      </c>
      <c r="E23" s="11" t="s">
        <v>19</v>
      </c>
      <c r="F23" s="11" t="s">
        <v>20</v>
      </c>
    </row>
    <row r="24" ht="18" customHeight="1">
      <c r="B24" s="9" t="s">
        <v>8</v>
      </c>
      <c r="C24" s="6">
        <v>1</v>
      </c>
      <c r="D24" s="8">
        <v>40</v>
      </c>
      <c r="E24" s="11" t="s">
        <v>19</v>
      </c>
      <c r="F24" s="11" t="s">
        <v>20</v>
      </c>
    </row>
    <row r="25" ht="18" customHeight="1">
      <c r="B25" s="9" t="s">
        <v>9</v>
      </c>
      <c r="C25" s="6">
        <v>1</v>
      </c>
      <c r="D25" s="8">
        <v>40</v>
      </c>
      <c r="E25" s="11" t="s">
        <v>28</v>
      </c>
      <c r="F25" s="11" t="s">
        <v>23</v>
      </c>
    </row>
    <row r="26" ht="18" customHeight="1">
      <c r="B26" s="9" t="s">
        <v>9</v>
      </c>
      <c r="C26" s="6">
        <v>1</v>
      </c>
      <c r="D26" s="8">
        <v>40</v>
      </c>
      <c r="E26" s="11" t="s">
        <v>28</v>
      </c>
      <c r="F26" s="11" t="s">
        <v>23</v>
      </c>
    </row>
    <row r="27" ht="18" customHeight="1">
      <c r="B27" s="9" t="s">
        <v>9</v>
      </c>
      <c r="C27" s="6">
        <v>1</v>
      </c>
      <c r="D27" s="8">
        <v>40</v>
      </c>
      <c r="E27" s="11" t="s">
        <v>28</v>
      </c>
      <c r="F27" s="11" t="s">
        <v>23</v>
      </c>
    </row>
    <row r="28" ht="18" customHeight="1">
      <c r="B28" s="9" t="s">
        <v>9</v>
      </c>
      <c r="C28" s="6">
        <v>1</v>
      </c>
      <c r="D28" s="8">
        <v>40</v>
      </c>
      <c r="E28" s="11" t="s">
        <v>28</v>
      </c>
      <c r="F28" s="11" t="s">
        <v>23</v>
      </c>
    </row>
    <row r="29" ht="18" customHeight="1">
      <c r="B29" s="9" t="s">
        <v>10</v>
      </c>
      <c r="C29" s="6">
        <v>1</v>
      </c>
      <c r="D29" s="8">
        <v>40</v>
      </c>
      <c r="E29" s="11" t="s">
        <v>29</v>
      </c>
      <c r="F29" s="11" t="s">
        <v>23</v>
      </c>
    </row>
    <row r="30" ht="18" customHeight="1">
      <c r="B30" s="9" t="s">
        <v>10</v>
      </c>
      <c r="C30" s="6">
        <v>1</v>
      </c>
      <c r="D30" s="8">
        <v>40</v>
      </c>
      <c r="E30" s="11" t="s">
        <v>29</v>
      </c>
      <c r="F30" s="11" t="s">
        <v>23</v>
      </c>
    </row>
    <row r="31" ht="18" customHeight="1">
      <c r="B31" s="9" t="s">
        <v>10</v>
      </c>
      <c r="C31" s="6">
        <v>1</v>
      </c>
      <c r="D31" s="8">
        <v>40</v>
      </c>
      <c r="E31" s="11" t="s">
        <v>24</v>
      </c>
      <c r="F31" s="11" t="s">
        <v>23</v>
      </c>
    </row>
    <row r="32" ht="18" customHeight="1">
      <c r="B32" s="9" t="s">
        <v>14</v>
      </c>
      <c r="C32" s="6">
        <v>1</v>
      </c>
      <c r="D32" s="8">
        <v>40</v>
      </c>
      <c r="E32" s="11" t="s">
        <v>24</v>
      </c>
      <c r="F32" s="11" t="s">
        <v>23</v>
      </c>
    </row>
    <row r="33" ht="18" customHeight="1">
      <c r="B33" s="9" t="s">
        <v>14</v>
      </c>
      <c r="C33" s="6">
        <v>1</v>
      </c>
      <c r="D33" s="8">
        <v>40</v>
      </c>
      <c r="E33" s="11" t="s">
        <v>24</v>
      </c>
      <c r="F33" s="11" t="s">
        <v>23</v>
      </c>
    </row>
    <row r="34" ht="18" customHeight="1">
      <c r="B34" s="9" t="s">
        <v>14</v>
      </c>
      <c r="C34" s="6">
        <v>1</v>
      </c>
      <c r="D34" s="8">
        <v>40</v>
      </c>
      <c r="E34" s="11" t="s">
        <v>24</v>
      </c>
      <c r="F34" s="11" t="s">
        <v>23</v>
      </c>
    </row>
    <row r="35" ht="18" customHeight="1">
      <c r="B35" s="9" t="s">
        <v>12</v>
      </c>
      <c r="C35" s="6">
        <v>1</v>
      </c>
      <c r="D35" s="8">
        <v>40</v>
      </c>
      <c r="E35" s="11" t="s">
        <v>24</v>
      </c>
      <c r="F35" s="11" t="s">
        <v>23</v>
      </c>
    </row>
    <row r="36" ht="18" customHeight="1">
      <c r="B36" s="9" t="s">
        <v>12</v>
      </c>
      <c r="C36" s="6">
        <v>1</v>
      </c>
      <c r="D36" s="8">
        <v>40</v>
      </c>
      <c r="E36" s="11" t="s">
        <v>24</v>
      </c>
      <c r="F36" s="11" t="s">
        <v>23</v>
      </c>
    </row>
    <row r="37" ht="18" customHeight="1">
      <c r="B37" s="9" t="s">
        <v>15</v>
      </c>
      <c r="C37" s="6">
        <v>1</v>
      </c>
      <c r="D37" s="8">
        <v>43</v>
      </c>
      <c r="E37" s="11" t="s">
        <v>24</v>
      </c>
      <c r="F37" s="11" t="s">
        <v>23</v>
      </c>
    </row>
    <row r="38" ht="18" customHeight="1">
      <c r="B38" s="3"/>
      <c r="C38" s="15"/>
      <c r="D38" s="16"/>
      <c r="E38" s="17"/>
      <c r="F38" s="17"/>
    </row>
    <row r="39" ht="19.5">
      <c r="B39" s="14" t="s">
        <v>13</v>
      </c>
      <c r="C39" s="22">
        <f>SUM(C20:C38)</f>
        <v>18</v>
      </c>
      <c r="D39" s="23">
        <f>AVERAGE(D20:D38)</f>
        <v>40.166666666666664</v>
      </c>
      <c r="E39" s="20">
        <v>1.26</v>
      </c>
      <c r="F39" s="24">
        <v>27.7</v>
      </c>
    </row>
    <row r="43" ht="15.75">
      <c r="C43" s="45" t="s">
        <v>30</v>
      </c>
      <c r="D43" s="45"/>
      <c r="E43" s="45"/>
    </row>
    <row r="44" ht="15.75">
      <c r="C44" s="45" t="s">
        <v>31</v>
      </c>
      <c r="D44" s="45"/>
      <c r="E44" s="45"/>
    </row>
    <row r="46" ht="15.75">
      <c r="B46" s="5" t="s">
        <v>2</v>
      </c>
      <c r="C46" s="5" t="s">
        <v>3</v>
      </c>
      <c r="D46" s="5" t="s">
        <v>4</v>
      </c>
      <c r="E46" s="5" t="s">
        <v>5</v>
      </c>
      <c r="F46" s="5" t="s">
        <v>6</v>
      </c>
    </row>
    <row r="47" ht="18" customHeight="1">
      <c r="B47" s="2" t="s">
        <v>7</v>
      </c>
      <c r="C47" s="6">
        <v>1</v>
      </c>
      <c r="D47" s="8">
        <v>32</v>
      </c>
      <c r="E47" s="11" t="s">
        <v>24</v>
      </c>
      <c r="F47" s="11" t="s">
        <v>23</v>
      </c>
    </row>
    <row r="48" ht="18" customHeight="1">
      <c r="B48" s="2" t="s">
        <v>8</v>
      </c>
      <c r="C48" s="6">
        <v>1</v>
      </c>
      <c r="D48" s="8">
        <v>32</v>
      </c>
      <c r="E48" s="11" t="s">
        <v>28</v>
      </c>
      <c r="F48" s="11" t="s">
        <v>20</v>
      </c>
    </row>
    <row r="49" ht="18" customHeight="1">
      <c r="B49" s="2" t="s">
        <v>8</v>
      </c>
      <c r="C49" s="6">
        <v>1</v>
      </c>
      <c r="D49" s="8">
        <v>32</v>
      </c>
      <c r="E49" s="11" t="s">
        <v>28</v>
      </c>
      <c r="F49" s="11" t="s">
        <v>20</v>
      </c>
    </row>
    <row r="50" ht="18" customHeight="1">
      <c r="B50" s="2" t="s">
        <v>8</v>
      </c>
      <c r="C50" s="6">
        <v>1</v>
      </c>
      <c r="D50" s="8">
        <v>32</v>
      </c>
      <c r="E50" s="11" t="s">
        <v>28</v>
      </c>
      <c r="F50" s="11" t="s">
        <v>20</v>
      </c>
    </row>
    <row r="51" ht="18" customHeight="1">
      <c r="B51" s="2" t="s">
        <v>8</v>
      </c>
      <c r="C51" s="6">
        <v>1</v>
      </c>
      <c r="D51" s="8">
        <v>32</v>
      </c>
      <c r="E51" s="11" t="s">
        <v>28</v>
      </c>
      <c r="F51" s="11" t="s">
        <v>20</v>
      </c>
    </row>
    <row r="52" ht="18" customHeight="1">
      <c r="B52" s="2" t="s">
        <v>9</v>
      </c>
      <c r="C52" s="6">
        <v>1</v>
      </c>
      <c r="D52" s="8">
        <v>32</v>
      </c>
      <c r="E52" s="11" t="s">
        <v>27</v>
      </c>
      <c r="F52" s="11" t="s">
        <v>23</v>
      </c>
    </row>
    <row r="53" ht="18" customHeight="1">
      <c r="B53" s="2" t="s">
        <v>9</v>
      </c>
      <c r="C53" s="6">
        <v>1</v>
      </c>
      <c r="D53" s="8">
        <v>32</v>
      </c>
      <c r="E53" s="11" t="s">
        <v>27</v>
      </c>
      <c r="F53" s="11" t="s">
        <v>23</v>
      </c>
    </row>
    <row r="54" ht="18" customHeight="1">
      <c r="B54" s="2" t="s">
        <v>9</v>
      </c>
      <c r="C54" s="6">
        <v>1</v>
      </c>
      <c r="D54" s="8">
        <v>32</v>
      </c>
      <c r="E54" s="11" t="s">
        <v>27</v>
      </c>
      <c r="F54" s="11" t="s">
        <v>23</v>
      </c>
    </row>
    <row r="55" ht="18" customHeight="1">
      <c r="B55" s="2" t="s">
        <v>9</v>
      </c>
      <c r="C55" s="6">
        <v>1</v>
      </c>
      <c r="D55" s="8">
        <v>32</v>
      </c>
      <c r="E55" s="11" t="s">
        <v>27</v>
      </c>
      <c r="F55" s="11" t="s">
        <v>23</v>
      </c>
    </row>
    <row r="56" ht="18" customHeight="1">
      <c r="B56" s="2" t="s">
        <v>9</v>
      </c>
      <c r="C56" s="6">
        <v>1</v>
      </c>
      <c r="D56" s="8">
        <v>32</v>
      </c>
      <c r="E56" s="11" t="s">
        <v>24</v>
      </c>
      <c r="F56" s="11" t="s">
        <v>23</v>
      </c>
    </row>
    <row r="57" ht="18" customHeight="1">
      <c r="B57" s="2" t="s">
        <v>9</v>
      </c>
      <c r="C57" s="6">
        <v>1</v>
      </c>
      <c r="D57" s="8">
        <v>32</v>
      </c>
      <c r="E57" s="11" t="s">
        <v>29</v>
      </c>
      <c r="F57" s="11" t="s">
        <v>23</v>
      </c>
    </row>
    <row r="58" ht="18" customHeight="1">
      <c r="B58" s="2" t="s">
        <v>10</v>
      </c>
      <c r="C58" s="6">
        <v>1</v>
      </c>
      <c r="D58" s="8">
        <v>32</v>
      </c>
      <c r="E58" s="11" t="s">
        <v>29</v>
      </c>
      <c r="F58" s="11" t="s">
        <v>23</v>
      </c>
    </row>
    <row r="59" ht="18" customHeight="1">
      <c r="B59" s="2" t="s">
        <v>10</v>
      </c>
      <c r="C59" s="6">
        <v>1</v>
      </c>
      <c r="D59" s="8">
        <v>32</v>
      </c>
      <c r="E59" s="11" t="s">
        <v>29</v>
      </c>
      <c r="F59" s="11" t="s">
        <v>23</v>
      </c>
    </row>
    <row r="60" ht="18" customHeight="1">
      <c r="B60" s="2" t="s">
        <v>14</v>
      </c>
      <c r="C60" s="6">
        <v>1</v>
      </c>
      <c r="D60" s="8">
        <v>32</v>
      </c>
      <c r="E60" s="11" t="s">
        <v>24</v>
      </c>
      <c r="F60" s="11" t="s">
        <v>23</v>
      </c>
    </row>
    <row r="61" ht="18" customHeight="1">
      <c r="B61" s="2" t="s">
        <v>14</v>
      </c>
      <c r="C61" s="6">
        <v>1</v>
      </c>
      <c r="D61" s="8">
        <v>32</v>
      </c>
      <c r="E61" s="11" t="s">
        <v>24</v>
      </c>
      <c r="F61" s="11" t="s">
        <v>23</v>
      </c>
    </row>
    <row r="62" ht="18" customHeight="1">
      <c r="B62" s="2" t="s">
        <v>14</v>
      </c>
      <c r="C62" s="6">
        <v>1</v>
      </c>
      <c r="D62" s="8">
        <v>32</v>
      </c>
      <c r="E62" s="11" t="s">
        <v>24</v>
      </c>
      <c r="F62" s="11" t="s">
        <v>23</v>
      </c>
    </row>
    <row r="63" ht="18" customHeight="1">
      <c r="B63" s="2" t="s">
        <v>12</v>
      </c>
      <c r="C63" s="6">
        <v>1</v>
      </c>
      <c r="D63" s="8">
        <v>32</v>
      </c>
      <c r="E63" s="11" t="s">
        <v>24</v>
      </c>
      <c r="F63" s="11" t="s">
        <v>23</v>
      </c>
    </row>
    <row r="64" ht="18" customHeight="1">
      <c r="B64" s="3"/>
      <c r="C64" s="15"/>
      <c r="D64" s="16"/>
      <c r="E64" s="17"/>
      <c r="F64" s="17"/>
    </row>
    <row r="65" ht="19.5">
      <c r="B65" s="14" t="s">
        <v>13</v>
      </c>
      <c r="C65" s="25">
        <f>SUM(C47:C64)</f>
        <v>17</v>
      </c>
      <c r="D65" s="26">
        <f>AVERAGE(D47:D63)</f>
        <v>32</v>
      </c>
      <c r="E65" s="20">
        <v>1.17</v>
      </c>
      <c r="F65" s="24">
        <v>25.74</v>
      </c>
    </row>
    <row r="69" ht="15.75">
      <c r="C69" s="45" t="s">
        <v>32</v>
      </c>
      <c r="D69" s="45"/>
      <c r="E69" s="45"/>
    </row>
    <row r="70" ht="15.75">
      <c r="C70" s="45" t="s">
        <v>33</v>
      </c>
      <c r="D70" s="45"/>
      <c r="E70" s="45"/>
    </row>
    <row r="72" ht="15.75">
      <c r="B72" s="5" t="s">
        <v>2</v>
      </c>
      <c r="C72" s="5" t="s">
        <v>3</v>
      </c>
      <c r="D72" s="5" t="s">
        <v>4</v>
      </c>
      <c r="E72" s="5" t="s">
        <v>5</v>
      </c>
      <c r="F72" s="5" t="s">
        <v>6</v>
      </c>
    </row>
    <row r="73" ht="18" customHeight="1">
      <c r="B73" s="2" t="s">
        <v>7</v>
      </c>
      <c r="C73" s="6">
        <v>1</v>
      </c>
      <c r="D73" s="8">
        <v>30</v>
      </c>
      <c r="E73" s="11" t="s">
        <v>24</v>
      </c>
      <c r="F73" s="11" t="s">
        <v>23</v>
      </c>
    </row>
    <row r="74" ht="18" customHeight="1">
      <c r="B74" s="2" t="s">
        <v>8</v>
      </c>
      <c r="C74" s="6">
        <v>1</v>
      </c>
      <c r="D74" s="8">
        <v>30</v>
      </c>
      <c r="E74" s="11" t="s">
        <v>34</v>
      </c>
      <c r="F74" s="11" t="s">
        <v>20</v>
      </c>
    </row>
    <row r="75" ht="18" customHeight="1">
      <c r="B75" s="2" t="s">
        <v>8</v>
      </c>
      <c r="C75" s="6">
        <v>1</v>
      </c>
      <c r="D75" s="8">
        <v>30</v>
      </c>
      <c r="E75" s="11" t="s">
        <v>34</v>
      </c>
      <c r="F75" s="11" t="s">
        <v>20</v>
      </c>
    </row>
    <row r="76" ht="18" customHeight="1">
      <c r="B76" s="2" t="s">
        <v>8</v>
      </c>
      <c r="C76" s="6">
        <v>1</v>
      </c>
      <c r="D76" s="8">
        <v>30</v>
      </c>
      <c r="E76" s="11" t="s">
        <v>34</v>
      </c>
      <c r="F76" s="11" t="s">
        <v>20</v>
      </c>
    </row>
    <row r="77" ht="18" customHeight="1">
      <c r="B77" s="2" t="s">
        <v>8</v>
      </c>
      <c r="C77" s="6">
        <v>1</v>
      </c>
      <c r="D77" s="8">
        <v>30</v>
      </c>
      <c r="E77" s="11" t="s">
        <v>34</v>
      </c>
      <c r="F77" s="11" t="s">
        <v>20</v>
      </c>
    </row>
    <row r="78" ht="18" customHeight="1">
      <c r="B78" s="2" t="s">
        <v>8</v>
      </c>
      <c r="C78" s="6">
        <v>1</v>
      </c>
      <c r="D78" s="8">
        <v>30</v>
      </c>
      <c r="E78" s="11" t="s">
        <v>34</v>
      </c>
      <c r="F78" s="11" t="s">
        <v>20</v>
      </c>
    </row>
    <row r="79" ht="18" customHeight="1">
      <c r="B79" s="2" t="s">
        <v>9</v>
      </c>
      <c r="C79" s="6">
        <v>1</v>
      </c>
      <c r="D79" s="8">
        <v>30</v>
      </c>
      <c r="E79" s="11" t="s">
        <v>24</v>
      </c>
      <c r="F79" s="11" t="s">
        <v>23</v>
      </c>
    </row>
    <row r="80" ht="18" customHeight="1">
      <c r="B80" s="2" t="s">
        <v>9</v>
      </c>
      <c r="C80" s="6">
        <v>1</v>
      </c>
      <c r="D80" s="8">
        <v>30</v>
      </c>
      <c r="E80" s="11" t="s">
        <v>24</v>
      </c>
      <c r="F80" s="11" t="s">
        <v>23</v>
      </c>
    </row>
    <row r="81" ht="18" customHeight="1">
      <c r="B81" s="2" t="s">
        <v>9</v>
      </c>
      <c r="C81" s="6">
        <v>1</v>
      </c>
      <c r="D81" s="8">
        <v>30</v>
      </c>
      <c r="E81" s="11" t="s">
        <v>24</v>
      </c>
      <c r="F81" s="11" t="s">
        <v>23</v>
      </c>
    </row>
    <row r="82" ht="18" customHeight="1">
      <c r="B82" s="2" t="s">
        <v>9</v>
      </c>
      <c r="C82" s="6">
        <v>1</v>
      </c>
      <c r="D82" s="8">
        <v>30</v>
      </c>
      <c r="E82" s="11" t="s">
        <v>24</v>
      </c>
      <c r="F82" s="11" t="s">
        <v>23</v>
      </c>
    </row>
    <row r="83" ht="18" customHeight="1">
      <c r="B83" s="2" t="s">
        <v>9</v>
      </c>
      <c r="C83" s="6">
        <v>1</v>
      </c>
      <c r="D83" s="8">
        <v>30</v>
      </c>
      <c r="E83" s="11" t="s">
        <v>29</v>
      </c>
      <c r="F83" s="11" t="s">
        <v>23</v>
      </c>
    </row>
    <row r="84" ht="18" customHeight="1">
      <c r="B84" s="2" t="s">
        <v>10</v>
      </c>
      <c r="C84" s="6">
        <v>1</v>
      </c>
      <c r="D84" s="8">
        <v>32</v>
      </c>
      <c r="E84" s="11" t="s">
        <v>24</v>
      </c>
      <c r="F84" s="11" t="s">
        <v>23</v>
      </c>
    </row>
    <row r="85" ht="18" customHeight="1">
      <c r="B85" s="2" t="s">
        <v>14</v>
      </c>
      <c r="C85" s="6">
        <v>1</v>
      </c>
      <c r="D85" s="8">
        <v>30</v>
      </c>
      <c r="E85" s="11" t="s">
        <v>24</v>
      </c>
      <c r="F85" s="11" t="s">
        <v>23</v>
      </c>
    </row>
    <row r="86" ht="18" customHeight="1">
      <c r="B86" s="2" t="s">
        <v>14</v>
      </c>
      <c r="C86" s="6">
        <v>1</v>
      </c>
      <c r="D86" s="8">
        <v>30</v>
      </c>
      <c r="E86" s="11" t="s">
        <v>24</v>
      </c>
      <c r="F86" s="11" t="s">
        <v>23</v>
      </c>
    </row>
    <row r="87" ht="18" customHeight="1">
      <c r="B87" s="2" t="s">
        <v>14</v>
      </c>
      <c r="C87" s="6">
        <v>1</v>
      </c>
      <c r="D87" s="8">
        <v>30</v>
      </c>
      <c r="E87" s="11" t="s">
        <v>24</v>
      </c>
      <c r="F87" s="11" t="s">
        <v>23</v>
      </c>
    </row>
    <row r="88" ht="18" customHeight="1">
      <c r="B88" s="2" t="s">
        <v>12</v>
      </c>
      <c r="C88" s="15">
        <v>1</v>
      </c>
      <c r="D88" s="16">
        <v>30</v>
      </c>
      <c r="E88" s="17" t="s">
        <v>24</v>
      </c>
      <c r="F88" s="17" t="s">
        <v>23</v>
      </c>
    </row>
    <row r="89" ht="19.5">
      <c r="B89" s="14" t="s">
        <v>13</v>
      </c>
      <c r="C89" s="27">
        <f>SUM(C73:C88)</f>
        <v>16</v>
      </c>
      <c r="D89" s="28">
        <f>AVERAGE(D73:D88)</f>
        <v>30.125</v>
      </c>
      <c r="E89" s="20">
        <v>0.84</v>
      </c>
      <c r="F89" s="24">
        <v>18.48</v>
      </c>
    </row>
    <row r="93" ht="15.75">
      <c r="C93" s="45" t="s">
        <v>35</v>
      </c>
      <c r="D93" s="45"/>
      <c r="E93" s="45"/>
    </row>
    <row r="94" ht="15.75">
      <c r="C94" s="45" t="s">
        <v>36</v>
      </c>
      <c r="D94" s="45"/>
      <c r="E94" s="45"/>
    </row>
    <row r="96" ht="15.75">
      <c r="B96" s="5" t="s">
        <v>2</v>
      </c>
      <c r="C96" s="5" t="s">
        <v>3</v>
      </c>
      <c r="D96" s="5" t="s">
        <v>4</v>
      </c>
      <c r="E96" s="5" t="s">
        <v>5</v>
      </c>
      <c r="F96" s="5" t="s">
        <v>6</v>
      </c>
    </row>
    <row r="97" ht="18" customHeight="1">
      <c r="B97" s="2" t="s">
        <v>8</v>
      </c>
      <c r="C97" s="6">
        <v>1</v>
      </c>
      <c r="D97" s="8">
        <v>28</v>
      </c>
      <c r="E97" s="11" t="s">
        <v>34</v>
      </c>
      <c r="F97" s="11"/>
    </row>
    <row r="98" ht="18" customHeight="1">
      <c r="B98" s="2" t="s">
        <v>8</v>
      </c>
      <c r="C98" s="6">
        <v>1</v>
      </c>
      <c r="D98" s="8">
        <v>28</v>
      </c>
      <c r="E98" s="11" t="s">
        <v>34</v>
      </c>
      <c r="F98" s="11"/>
    </row>
    <row r="99" ht="18" customHeight="1">
      <c r="B99" s="2" t="s">
        <v>9</v>
      </c>
      <c r="C99" s="6">
        <v>1</v>
      </c>
      <c r="D99" s="8">
        <v>28</v>
      </c>
      <c r="E99" s="11" t="s">
        <v>29</v>
      </c>
      <c r="F99" s="11"/>
    </row>
    <row r="100" ht="18" customHeight="1">
      <c r="B100" s="2" t="s">
        <v>9</v>
      </c>
      <c r="C100" s="6">
        <v>1</v>
      </c>
      <c r="D100" s="8">
        <v>28</v>
      </c>
      <c r="E100" s="11" t="s">
        <v>24</v>
      </c>
      <c r="F100" s="11"/>
    </row>
    <row r="101" ht="18" customHeight="1">
      <c r="B101" s="2" t="s">
        <v>9</v>
      </c>
      <c r="C101" s="6">
        <v>1</v>
      </c>
      <c r="D101" s="8">
        <v>28</v>
      </c>
      <c r="E101" s="11" t="s">
        <v>27</v>
      </c>
      <c r="F101" s="11"/>
    </row>
    <row r="102" ht="18" customHeight="1">
      <c r="B102" s="2" t="s">
        <v>11</v>
      </c>
      <c r="C102" s="6">
        <v>1</v>
      </c>
      <c r="D102" s="8">
        <v>30</v>
      </c>
      <c r="E102" s="11" t="s">
        <v>24</v>
      </c>
      <c r="F102" s="11"/>
    </row>
    <row r="103" ht="18" customHeight="1">
      <c r="B103" s="2" t="s">
        <v>14</v>
      </c>
      <c r="C103" s="6">
        <v>1</v>
      </c>
      <c r="D103" s="8">
        <v>30</v>
      </c>
      <c r="E103" s="11" t="s">
        <v>24</v>
      </c>
      <c r="F103" s="11"/>
    </row>
    <row r="104" ht="18" customHeight="1">
      <c r="B104" s="2" t="s">
        <v>14</v>
      </c>
      <c r="C104" s="15"/>
      <c r="D104" s="16"/>
      <c r="E104" s="17"/>
      <c r="F104" s="17"/>
    </row>
    <row r="105" ht="19.5">
      <c r="B105" s="14" t="s">
        <v>13</v>
      </c>
      <c r="C105" s="29">
        <f>SUM(C97:C104)</f>
        <v>7</v>
      </c>
      <c r="D105" s="30">
        <f>AVERAGE(D97:D104)</f>
        <v>28.571428571428573</v>
      </c>
      <c r="E105" s="20">
        <v>0.68</v>
      </c>
      <c r="F105" s="24">
        <v>14.96</v>
      </c>
    </row>
  </sheetData>
  <mergeCells>
    <mergeCell ref="C2:E2"/>
    <mergeCell ref="C3:E3"/>
    <mergeCell ref="C93:E93"/>
    <mergeCell ref="C94:E94"/>
    <mergeCell ref="C16:E16"/>
    <mergeCell ref="C17:E17"/>
    <mergeCell ref="C43:E43"/>
    <mergeCell ref="C44:E44"/>
    <mergeCell ref="C69:E69"/>
    <mergeCell ref="C70:E70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AF804-7B00-4705-AB7C-4C0F7A78B679}">
  <dimension ref="B2:I82"/>
  <sheetViews>
    <sheetView topLeftCell="A67" zoomScaleNormal="100" workbookViewId="0">
      <selection activeCell="B56" sqref="B56"/>
    </sheetView>
  </sheetViews>
  <sheetFormatPr baseColWidth="10" defaultRowHeight="15" x14ac:dyDescent="0.25"/>
  <cols>
    <col min="2" max="2" width="13.85546875" customWidth="1"/>
    <col min="3" max="4" width="9.7109375" customWidth="1"/>
    <col min="5" max="6" width="13.85546875" customWidth="1"/>
    <col min="8" max="8" width="15.5703125" customWidth="1"/>
  </cols>
  <sheetData>
    <row r="2" ht="15.75">
      <c r="C2" s="45" t="s">
        <v>37</v>
      </c>
      <c r="D2" s="45"/>
      <c r="E2" s="45"/>
    </row>
    <row r="3" ht="15.75">
      <c r="C3" s="45" t="s">
        <v>38</v>
      </c>
      <c r="D3" s="45"/>
      <c r="E3" s="45"/>
    </row>
    <row r="4" ht="15.75"/>
    <row r="5" ht="18" customHeight="1"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H5" s="13" t="s">
        <v>18</v>
      </c>
      <c r="I5" s="12">
        <f>SUM(C20,C41,C61,C82)</f>
        <v>50</v>
      </c>
    </row>
    <row r="6" ht="18" customHeight="1">
      <c r="B6" s="2" t="s">
        <v>7</v>
      </c>
      <c r="C6" s="6">
        <v>1</v>
      </c>
      <c r="D6" s="8">
        <v>29</v>
      </c>
      <c r="E6" s="11" t="s">
        <v>24</v>
      </c>
      <c r="F6" s="11" t="s">
        <v>23</v>
      </c>
      <c r="H6" s="13" t="s">
        <v>21</v>
      </c>
      <c r="I6" s="12">
        <f>AVERAGE(D20,D41,D61,D82)</f>
        <v>36.17628205128206</v>
      </c>
    </row>
    <row r="7" ht="18" customHeight="1">
      <c r="B7" s="2" t="s">
        <v>8</v>
      </c>
      <c r="C7" s="6">
        <v>1</v>
      </c>
      <c r="D7" s="8">
        <v>30</v>
      </c>
      <c r="E7" s="11" t="s">
        <v>34</v>
      </c>
      <c r="F7" s="11" t="s">
        <v>20</v>
      </c>
    </row>
    <row r="8" ht="18" customHeight="1">
      <c r="B8" s="2" t="s">
        <v>8</v>
      </c>
      <c r="C8" s="6">
        <v>1</v>
      </c>
      <c r="D8" s="8">
        <v>30</v>
      </c>
      <c r="E8" s="11" t="s">
        <v>34</v>
      </c>
      <c r="F8" s="11" t="s">
        <v>20</v>
      </c>
    </row>
    <row r="9" ht="18" customHeight="1">
      <c r="B9" s="2" t="s">
        <v>8</v>
      </c>
      <c r="C9" s="6">
        <v>1</v>
      </c>
      <c r="D9" s="8">
        <v>30</v>
      </c>
      <c r="E9" s="11" t="s">
        <v>34</v>
      </c>
      <c r="F9" s="11" t="s">
        <v>20</v>
      </c>
    </row>
    <row r="10" ht="18" customHeight="1">
      <c r="B10" s="2" t="s">
        <v>8</v>
      </c>
      <c r="C10" s="6">
        <v>1</v>
      </c>
      <c r="D10" s="8">
        <v>30</v>
      </c>
      <c r="E10" s="11" t="s">
        <v>34</v>
      </c>
      <c r="F10" s="11" t="s">
        <v>20</v>
      </c>
    </row>
    <row r="11" ht="18" customHeight="1">
      <c r="B11" s="2" t="s">
        <v>8</v>
      </c>
      <c r="C11" s="6">
        <v>1</v>
      </c>
      <c r="D11" s="8">
        <v>30</v>
      </c>
      <c r="E11" s="11" t="s">
        <v>34</v>
      </c>
      <c r="F11" s="11" t="s">
        <v>20</v>
      </c>
    </row>
    <row r="12" ht="18" customHeight="1">
      <c r="B12" s="2" t="s">
        <v>39</v>
      </c>
      <c r="C12" s="6">
        <v>1</v>
      </c>
      <c r="D12" s="8">
        <v>30</v>
      </c>
      <c r="E12" s="11" t="s">
        <v>24</v>
      </c>
      <c r="F12" s="11" t="s">
        <v>23</v>
      </c>
    </row>
    <row r="13" ht="18" customHeight="1">
      <c r="B13" s="2" t="s">
        <v>9</v>
      </c>
      <c r="C13" s="6">
        <v>1</v>
      </c>
      <c r="D13" s="8">
        <v>28</v>
      </c>
      <c r="E13" s="11" t="s">
        <v>40</v>
      </c>
      <c r="F13" s="11" t="s">
        <v>23</v>
      </c>
    </row>
    <row r="14" ht="18" customHeight="1">
      <c r="B14" s="2" t="s">
        <v>9</v>
      </c>
      <c r="C14" s="6">
        <v>1</v>
      </c>
      <c r="D14" s="8">
        <v>28</v>
      </c>
      <c r="E14" s="11" t="s">
        <v>27</v>
      </c>
      <c r="F14" s="11" t="s">
        <v>23</v>
      </c>
    </row>
    <row r="15" ht="18" customHeight="1">
      <c r="B15" s="2" t="s">
        <v>10</v>
      </c>
      <c r="C15" s="6">
        <v>1</v>
      </c>
      <c r="D15" s="8">
        <v>30</v>
      </c>
      <c r="E15" s="11" t="s">
        <v>24</v>
      </c>
      <c r="F15" s="11" t="s">
        <v>23</v>
      </c>
    </row>
    <row r="16" ht="18" customHeight="1">
      <c r="B16" s="2" t="s">
        <v>14</v>
      </c>
      <c r="C16" s="6">
        <v>1</v>
      </c>
      <c r="D16" s="8">
        <v>28</v>
      </c>
      <c r="E16" s="11" t="s">
        <v>24</v>
      </c>
      <c r="F16" s="11" t="s">
        <v>23</v>
      </c>
    </row>
    <row r="17" ht="18" customHeight="1">
      <c r="B17" s="2" t="s">
        <v>15</v>
      </c>
      <c r="C17" s="6">
        <v>1</v>
      </c>
      <c r="D17" s="8">
        <v>30</v>
      </c>
      <c r="E17" s="11" t="s">
        <v>24</v>
      </c>
      <c r="F17" s="11" t="s">
        <v>23</v>
      </c>
    </row>
    <row r="18" ht="18" customHeight="1">
      <c r="B18" s="2" t="s">
        <v>15</v>
      </c>
      <c r="C18" s="6">
        <v>1</v>
      </c>
      <c r="D18" s="8">
        <v>30</v>
      </c>
      <c r="E18" s="11" t="s">
        <v>24</v>
      </c>
      <c r="F18" s="11" t="s">
        <v>23</v>
      </c>
    </row>
    <row r="19" ht="18" customHeight="1">
      <c r="B19" s="3"/>
      <c r="C19" s="15"/>
      <c r="D19" s="16"/>
      <c r="E19" s="17"/>
      <c r="F19" s="17"/>
    </row>
    <row r="20" ht="19.5">
      <c r="B20" s="14" t="s">
        <v>13</v>
      </c>
      <c r="C20" s="31">
        <f>SUM(C6:C19)</f>
        <v>13</v>
      </c>
      <c r="D20" s="32">
        <f>AVERAGE(D6:D19)</f>
        <v>29.46153846153846</v>
      </c>
      <c r="E20" s="20">
        <v>0.75</v>
      </c>
      <c r="F20" s="24">
        <v>16.5</v>
      </c>
    </row>
    <row r="24" ht="15.75">
      <c r="C24" s="45" t="s">
        <v>41</v>
      </c>
      <c r="D24" s="45"/>
      <c r="E24" s="45"/>
    </row>
    <row r="25" ht="15.75">
      <c r="C25" s="45" t="s">
        <v>42</v>
      </c>
      <c r="D25" s="45"/>
      <c r="E25" s="45"/>
    </row>
    <row r="27" ht="15.75">
      <c r="B27" s="5" t="s">
        <v>2</v>
      </c>
      <c r="C27" s="5" t="s">
        <v>3</v>
      </c>
      <c r="D27" s="5" t="s">
        <v>4</v>
      </c>
      <c r="E27" s="5" t="s">
        <v>5</v>
      </c>
      <c r="F27" s="5" t="s">
        <v>6</v>
      </c>
    </row>
    <row r="28" ht="18" customHeight="1">
      <c r="B28" s="2" t="s">
        <v>7</v>
      </c>
      <c r="C28" s="6">
        <v>1</v>
      </c>
      <c r="D28" s="8">
        <v>34</v>
      </c>
      <c r="E28" s="11" t="s">
        <v>24</v>
      </c>
      <c r="F28" s="11" t="s">
        <v>23</v>
      </c>
    </row>
    <row r="29" ht="18" customHeight="1">
      <c r="B29" s="2" t="s">
        <v>8</v>
      </c>
      <c r="C29" s="6">
        <v>1</v>
      </c>
      <c r="D29" s="8">
        <v>34</v>
      </c>
      <c r="E29" s="11" t="s">
        <v>27</v>
      </c>
      <c r="F29" s="11" t="s">
        <v>20</v>
      </c>
    </row>
    <row r="30" ht="18" customHeight="1">
      <c r="B30" s="2" t="s">
        <v>8</v>
      </c>
      <c r="C30" s="6">
        <v>1</v>
      </c>
      <c r="D30" s="8">
        <v>34</v>
      </c>
      <c r="E30" s="11" t="s">
        <v>27</v>
      </c>
      <c r="F30" s="11" t="s">
        <v>20</v>
      </c>
    </row>
    <row r="31" ht="18" customHeight="1">
      <c r="B31" s="2" t="s">
        <v>8</v>
      </c>
      <c r="C31" s="6">
        <v>1</v>
      </c>
      <c r="D31" s="8">
        <v>34</v>
      </c>
      <c r="E31" s="11" t="s">
        <v>29</v>
      </c>
      <c r="F31" s="11" t="s">
        <v>20</v>
      </c>
    </row>
    <row r="32" ht="18" customHeight="1">
      <c r="B32" s="2" t="s">
        <v>43</v>
      </c>
      <c r="C32" s="6">
        <v>1</v>
      </c>
      <c r="D32" s="8">
        <v>36</v>
      </c>
      <c r="E32" s="11" t="s">
        <v>24</v>
      </c>
      <c r="F32" s="11" t="s">
        <v>23</v>
      </c>
    </row>
    <row r="33" ht="18" customHeight="1">
      <c r="B33" s="2" t="s">
        <v>44</v>
      </c>
      <c r="C33" s="6">
        <v>1</v>
      </c>
      <c r="D33" s="8">
        <v>33</v>
      </c>
      <c r="E33" s="11" t="s">
        <v>24</v>
      </c>
      <c r="F33" s="11" t="s">
        <v>23</v>
      </c>
    </row>
    <row r="34" ht="18" customHeight="1">
      <c r="B34" s="2" t="s">
        <v>10</v>
      </c>
      <c r="C34" s="6">
        <v>1</v>
      </c>
      <c r="D34" s="8">
        <v>35</v>
      </c>
      <c r="E34" s="11" t="s">
        <v>24</v>
      </c>
      <c r="F34" s="11" t="s">
        <v>23</v>
      </c>
    </row>
    <row r="35" ht="18" customHeight="1">
      <c r="B35" s="2" t="s">
        <v>14</v>
      </c>
      <c r="C35" s="6">
        <v>1</v>
      </c>
      <c r="D35" s="8">
        <v>35</v>
      </c>
      <c r="E35" s="11" t="s">
        <v>24</v>
      </c>
      <c r="F35" s="11" t="s">
        <v>23</v>
      </c>
    </row>
    <row r="36" ht="18" customHeight="1">
      <c r="B36" s="2" t="s">
        <v>14</v>
      </c>
      <c r="C36" s="6">
        <v>1</v>
      </c>
      <c r="D36" s="8">
        <v>35</v>
      </c>
      <c r="E36" s="11" t="s">
        <v>24</v>
      </c>
      <c r="F36" s="11" t="s">
        <v>23</v>
      </c>
    </row>
    <row r="37" ht="18" customHeight="1">
      <c r="B37" s="2" t="s">
        <v>12</v>
      </c>
      <c r="C37" s="6">
        <v>1</v>
      </c>
      <c r="D37" s="8">
        <v>35</v>
      </c>
      <c r="E37" s="11" t="s">
        <v>24</v>
      </c>
      <c r="F37" s="11" t="s">
        <v>23</v>
      </c>
    </row>
    <row r="38" ht="18" customHeight="1">
      <c r="B38" s="2" t="s">
        <v>12</v>
      </c>
      <c r="C38" s="6">
        <v>1</v>
      </c>
      <c r="D38" s="8">
        <v>35</v>
      </c>
      <c r="E38" s="11" t="s">
        <v>24</v>
      </c>
      <c r="F38" s="11" t="s">
        <v>23</v>
      </c>
    </row>
    <row r="39" ht="18" customHeight="1">
      <c r="B39" s="2" t="s">
        <v>15</v>
      </c>
      <c r="C39" s="6">
        <v>1</v>
      </c>
      <c r="D39" s="8">
        <v>35</v>
      </c>
      <c r="E39" s="11" t="s">
        <v>24</v>
      </c>
      <c r="F39" s="11" t="s">
        <v>23</v>
      </c>
    </row>
    <row r="40" ht="18" customHeight="1">
      <c r="B40" s="2" t="s">
        <v>15</v>
      </c>
      <c r="C40" s="15"/>
      <c r="D40" s="16"/>
      <c r="E40" s="17" t="s">
        <v>24</v>
      </c>
      <c r="F40" s="17" t="s">
        <v>23</v>
      </c>
    </row>
    <row r="41" ht="19.5">
      <c r="B41" s="14" t="s">
        <v>13</v>
      </c>
      <c r="C41" s="18">
        <f>SUM(C28:C40)</f>
        <v>12</v>
      </c>
      <c r="D41" s="19">
        <f>AVERAGE(D28:D39)</f>
        <v>34.583333333333336</v>
      </c>
      <c r="E41" s="33">
        <v>0.89</v>
      </c>
      <c r="F41" s="34">
        <v>19.58</v>
      </c>
    </row>
    <row r="45" ht="15.75">
      <c r="C45" s="45" t="s">
        <v>45</v>
      </c>
      <c r="D45" s="45"/>
      <c r="E45" s="45"/>
    </row>
    <row r="46" ht="15.75">
      <c r="C46" s="45" t="s">
        <v>46</v>
      </c>
      <c r="D46" s="45"/>
      <c r="E46" s="45"/>
    </row>
    <row r="48" ht="15.75">
      <c r="B48" s="5" t="s">
        <v>2</v>
      </c>
      <c r="C48" s="5" t="s">
        <v>3</v>
      </c>
      <c r="D48" s="5" t="s">
        <v>4</v>
      </c>
      <c r="E48" s="5" t="s">
        <v>5</v>
      </c>
      <c r="F48" s="5" t="s">
        <v>6</v>
      </c>
    </row>
    <row r="49" ht="18" customHeight="1">
      <c r="B49" s="2" t="s">
        <v>7</v>
      </c>
      <c r="C49" s="6">
        <v>1</v>
      </c>
      <c r="D49" s="8">
        <v>39</v>
      </c>
      <c r="E49" s="11" t="s">
        <v>24</v>
      </c>
      <c r="F49" s="11" t="s">
        <v>23</v>
      </c>
    </row>
    <row r="50" ht="18" customHeight="1">
      <c r="B50" s="2" t="s">
        <v>8</v>
      </c>
      <c r="C50" s="6">
        <v>1</v>
      </c>
      <c r="D50" s="8">
        <v>38</v>
      </c>
      <c r="E50" s="11" t="s">
        <v>34</v>
      </c>
      <c r="F50" s="11" t="s">
        <v>20</v>
      </c>
    </row>
    <row r="51" ht="18" customHeight="1">
      <c r="B51" s="2" t="s">
        <v>8</v>
      </c>
      <c r="C51" s="6">
        <v>1</v>
      </c>
      <c r="D51" s="8">
        <v>38</v>
      </c>
      <c r="E51" s="11" t="s">
        <v>34</v>
      </c>
      <c r="F51" s="11" t="s">
        <v>20</v>
      </c>
    </row>
    <row r="52" ht="18" customHeight="1">
      <c r="B52" s="2" t="s">
        <v>8</v>
      </c>
      <c r="C52" s="6">
        <v>1</v>
      </c>
      <c r="D52" s="8">
        <v>38</v>
      </c>
      <c r="E52" s="11" t="s">
        <v>34</v>
      </c>
      <c r="F52" s="11" t="s">
        <v>20</v>
      </c>
    </row>
    <row r="53" ht="18" customHeight="1">
      <c r="B53" s="2" t="s">
        <v>8</v>
      </c>
      <c r="C53" s="6">
        <v>1</v>
      </c>
      <c r="D53" s="8">
        <v>38</v>
      </c>
      <c r="E53" s="11" t="s">
        <v>34</v>
      </c>
      <c r="F53" s="11" t="s">
        <v>20</v>
      </c>
    </row>
    <row r="54" ht="18" customHeight="1">
      <c r="B54" s="2" t="s">
        <v>8</v>
      </c>
      <c r="C54" s="6">
        <v>1</v>
      </c>
      <c r="D54" s="8">
        <v>38</v>
      </c>
      <c r="E54" s="11" t="s">
        <v>34</v>
      </c>
      <c r="F54" s="11" t="s">
        <v>20</v>
      </c>
    </row>
    <row r="55" ht="18" customHeight="1">
      <c r="B55" s="2" t="s">
        <v>39</v>
      </c>
      <c r="C55" s="6">
        <v>1</v>
      </c>
      <c r="D55" s="8">
        <v>38</v>
      </c>
      <c r="E55" s="11" t="s">
        <v>27</v>
      </c>
      <c r="F55" s="11" t="s">
        <v>23</v>
      </c>
    </row>
    <row r="56" ht="18" customHeight="1">
      <c r="B56" s="2" t="s">
        <v>10</v>
      </c>
      <c r="C56" s="6">
        <v>1</v>
      </c>
      <c r="D56" s="8">
        <v>40</v>
      </c>
      <c r="E56" s="11" t="s">
        <v>24</v>
      </c>
      <c r="F56" s="11" t="s">
        <v>23</v>
      </c>
    </row>
    <row r="57" ht="18" customHeight="1">
      <c r="B57" s="2" t="s">
        <v>14</v>
      </c>
      <c r="C57" s="6">
        <v>1</v>
      </c>
      <c r="D57" s="8">
        <v>40</v>
      </c>
      <c r="E57" s="11" t="s">
        <v>24</v>
      </c>
      <c r="F57" s="11" t="s">
        <v>23</v>
      </c>
    </row>
    <row r="58" ht="18" customHeight="1">
      <c r="B58" s="2" t="s">
        <v>14</v>
      </c>
      <c r="C58" s="6">
        <v>1</v>
      </c>
      <c r="D58" s="8">
        <v>40</v>
      </c>
      <c r="E58" s="11" t="s">
        <v>24</v>
      </c>
      <c r="F58" s="11" t="s">
        <v>23</v>
      </c>
    </row>
    <row r="59" ht="18" customHeight="1">
      <c r="B59" s="2" t="s">
        <v>12</v>
      </c>
      <c r="C59" s="6">
        <v>1</v>
      </c>
      <c r="D59" s="8">
        <v>41</v>
      </c>
      <c r="E59" s="11" t="s">
        <v>24</v>
      </c>
      <c r="F59" s="11" t="s">
        <v>23</v>
      </c>
    </row>
    <row r="60" ht="18" customHeight="1">
      <c r="B60" s="2" t="s">
        <v>12</v>
      </c>
      <c r="C60" s="15">
        <v>1</v>
      </c>
      <c r="D60" s="16">
        <v>41</v>
      </c>
      <c r="E60" s="17" t="s">
        <v>24</v>
      </c>
      <c r="F60" s="17" t="s">
        <v>23</v>
      </c>
    </row>
    <row r="61" ht="19.5">
      <c r="B61" s="14" t="s">
        <v>13</v>
      </c>
      <c r="C61" s="18">
        <f>SUM(C49:C60)</f>
        <v>12</v>
      </c>
      <c r="D61" s="19">
        <f>AVERAGE(D49:D60)</f>
        <v>39.083333333333336</v>
      </c>
      <c r="E61" s="33">
        <v>1.06</v>
      </c>
      <c r="F61" s="34">
        <v>23.32</v>
      </c>
    </row>
    <row r="65" ht="15.75">
      <c r="C65" s="45" t="s">
        <v>47</v>
      </c>
      <c r="D65" s="45"/>
      <c r="E65" s="45"/>
    </row>
    <row r="66" ht="15.75">
      <c r="C66" s="45" t="s">
        <v>48</v>
      </c>
      <c r="D66" s="45"/>
      <c r="E66" s="45"/>
    </row>
    <row r="68" ht="15.75">
      <c r="B68" s="5" t="s">
        <v>2</v>
      </c>
      <c r="C68" s="5" t="s">
        <v>3</v>
      </c>
      <c r="D68" s="5" t="s">
        <v>4</v>
      </c>
      <c r="E68" s="5" t="s">
        <v>5</v>
      </c>
      <c r="F68" s="5" t="s">
        <v>6</v>
      </c>
    </row>
    <row r="69" ht="18" customHeight="1">
      <c r="B69" s="2" t="s">
        <v>7</v>
      </c>
      <c r="C69" s="6">
        <v>1</v>
      </c>
      <c r="D69" s="8">
        <v>40</v>
      </c>
      <c r="E69" s="11" t="s">
        <v>24</v>
      </c>
      <c r="F69" s="11" t="s">
        <v>23</v>
      </c>
    </row>
    <row r="70" ht="18" customHeight="1">
      <c r="B70" s="2" t="s">
        <v>8</v>
      </c>
      <c r="C70" s="6">
        <v>1</v>
      </c>
      <c r="D70" s="8">
        <v>40.5</v>
      </c>
      <c r="E70" s="11" t="s">
        <v>34</v>
      </c>
      <c r="F70" s="11" t="s">
        <v>20</v>
      </c>
    </row>
    <row r="71" ht="18" customHeight="1">
      <c r="B71" s="2" t="s">
        <v>8</v>
      </c>
      <c r="C71" s="6">
        <v>1</v>
      </c>
      <c r="D71" s="8">
        <v>40.5</v>
      </c>
      <c r="E71" s="11" t="s">
        <v>34</v>
      </c>
      <c r="F71" s="11" t="s">
        <v>20</v>
      </c>
    </row>
    <row r="72" ht="18" customHeight="1">
      <c r="B72" s="2" t="s">
        <v>8</v>
      </c>
      <c r="C72" s="6">
        <v>1</v>
      </c>
      <c r="D72" s="8">
        <v>40.5</v>
      </c>
      <c r="E72" s="11" t="s">
        <v>34</v>
      </c>
      <c r="F72" s="11" t="s">
        <v>20</v>
      </c>
    </row>
    <row r="73" ht="18" customHeight="1">
      <c r="B73" s="2" t="s">
        <v>8</v>
      </c>
      <c r="C73" s="6">
        <v>1</v>
      </c>
      <c r="D73" s="8">
        <v>40.5</v>
      </c>
      <c r="E73" s="11" t="s">
        <v>34</v>
      </c>
      <c r="F73" s="11" t="s">
        <v>20</v>
      </c>
    </row>
    <row r="74" ht="18" customHeight="1">
      <c r="B74" s="2" t="s">
        <v>8</v>
      </c>
      <c r="C74" s="6">
        <v>1</v>
      </c>
      <c r="D74" s="8">
        <v>40.5</v>
      </c>
      <c r="E74" s="11" t="s">
        <v>34</v>
      </c>
      <c r="F74" s="11" t="s">
        <v>20</v>
      </c>
    </row>
    <row r="75" ht="18" customHeight="1">
      <c r="B75" s="2" t="s">
        <v>9</v>
      </c>
      <c r="C75" s="6">
        <v>1</v>
      </c>
      <c r="D75" s="8">
        <v>40</v>
      </c>
      <c r="E75" s="11" t="s">
        <v>24</v>
      </c>
      <c r="F75" s="11" t="s">
        <v>23</v>
      </c>
    </row>
    <row r="76" ht="18" customHeight="1">
      <c r="B76" s="2" t="s">
        <v>10</v>
      </c>
      <c r="C76" s="6">
        <v>1</v>
      </c>
      <c r="D76" s="8">
        <v>40</v>
      </c>
      <c r="E76" s="11" t="s">
        <v>24</v>
      </c>
      <c r="F76" s="11" t="s">
        <v>23</v>
      </c>
    </row>
    <row r="77" ht="18" customHeight="1">
      <c r="B77" s="2" t="s">
        <v>14</v>
      </c>
      <c r="C77" s="6">
        <v>1</v>
      </c>
      <c r="D77" s="8">
        <v>40</v>
      </c>
      <c r="E77" s="11" t="s">
        <v>24</v>
      </c>
      <c r="F77" s="11" t="s">
        <v>23</v>
      </c>
    </row>
    <row r="78" ht="18" customHeight="1">
      <c r="B78" s="2" t="s">
        <v>14</v>
      </c>
      <c r="C78" s="6">
        <v>1</v>
      </c>
      <c r="D78" s="8">
        <v>40</v>
      </c>
      <c r="E78" s="11" t="s">
        <v>24</v>
      </c>
      <c r="F78" s="11" t="s">
        <v>23</v>
      </c>
    </row>
    <row r="79" ht="18" customHeight="1">
      <c r="B79" s="2" t="s">
        <v>12</v>
      </c>
      <c r="C79" s="6">
        <v>1</v>
      </c>
      <c r="D79" s="8">
        <v>46</v>
      </c>
      <c r="E79" s="11" t="s">
        <v>24</v>
      </c>
      <c r="F79" s="11" t="s">
        <v>23</v>
      </c>
    </row>
    <row r="80" ht="18" customHeight="1">
      <c r="B80" s="2" t="s">
        <v>12</v>
      </c>
      <c r="C80" s="6">
        <v>1</v>
      </c>
      <c r="D80" s="8">
        <v>46</v>
      </c>
      <c r="E80" s="11" t="s">
        <v>24</v>
      </c>
      <c r="F80" s="11" t="s">
        <v>23</v>
      </c>
    </row>
    <row r="81" ht="18" customHeight="1">
      <c r="B81" s="2" t="s">
        <v>12</v>
      </c>
      <c r="C81" s="15">
        <v>1</v>
      </c>
      <c r="D81" s="16">
        <v>46</v>
      </c>
      <c r="E81" s="17" t="s">
        <v>29</v>
      </c>
      <c r="F81" s="17" t="s">
        <v>23</v>
      </c>
    </row>
    <row r="82" ht="19.5">
      <c r="B82" s="14" t="s">
        <v>13</v>
      </c>
      <c r="C82" s="18">
        <f>SUM(C69:C81)</f>
        <v>13</v>
      </c>
      <c r="D82" s="19">
        <f>AVERAGE(D69:D81)</f>
        <v>41.57692307692308</v>
      </c>
      <c r="E82" s="33">
        <v>1.14</v>
      </c>
      <c r="F82" s="34">
        <v>25.08</v>
      </c>
    </row>
  </sheetData>
  <mergeCells>
    <mergeCell ref="C65:E65"/>
    <mergeCell ref="C66:E66"/>
    <mergeCell ref="C2:E2"/>
    <mergeCell ref="C3:E3"/>
    <mergeCell ref="C24:E24"/>
    <mergeCell ref="C25:E25"/>
    <mergeCell ref="C45:E45"/>
    <mergeCell ref="C46:E46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5F24B-5643-41A9-8E17-93B04E6D6219}">
  <dimension ref="B2:J99"/>
  <sheetViews>
    <sheetView topLeftCell="A97" zoomScaleNormal="100" workbookViewId="0">
      <selection activeCell="B90" sqref="B90"/>
    </sheetView>
  </sheetViews>
  <sheetFormatPr baseColWidth="10" defaultRowHeight="15" x14ac:dyDescent="0.25"/>
  <cols>
    <col min="2" max="2" width="13.85546875" customWidth="1"/>
    <col min="3" max="4" width="9.7109375" customWidth="1"/>
    <col min="5" max="6" width="13.85546875" customWidth="1"/>
    <col min="9" max="9" width="14.7109375" customWidth="1"/>
  </cols>
  <sheetData>
    <row r="2" ht="15.75">
      <c r="C2" s="45" t="s">
        <v>49</v>
      </c>
      <c r="D2" s="45"/>
      <c r="E2" s="45"/>
    </row>
    <row r="3" ht="15.75">
      <c r="C3" s="45" t="s">
        <v>50</v>
      </c>
      <c r="D3" s="45"/>
      <c r="E3" s="45"/>
    </row>
    <row r="4" ht="15.75"/>
    <row r="5" ht="18" customHeight="1"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I5" s="13" t="s">
        <v>18</v>
      </c>
      <c r="J5" s="12">
        <f>SUM(C22,C45,C72,C99)</f>
        <v>69</v>
      </c>
    </row>
    <row r="6" ht="18" customHeight="1">
      <c r="B6" s="2" t="s">
        <v>7</v>
      </c>
      <c r="C6" s="6">
        <v>1</v>
      </c>
      <c r="D6" s="8">
        <v>44</v>
      </c>
      <c r="E6" s="11" t="s">
        <v>24</v>
      </c>
      <c r="F6" s="11" t="s">
        <v>23</v>
      </c>
      <c r="I6" s="13" t="s">
        <v>21</v>
      </c>
      <c r="J6" s="12">
        <f>AVERAGE(D45,D22,D72,D99)</f>
        <v>52.87730263157895</v>
      </c>
    </row>
    <row r="7" ht="18" customHeight="1">
      <c r="B7" s="2" t="s">
        <v>8</v>
      </c>
      <c r="C7" s="6">
        <v>1</v>
      </c>
      <c r="D7" s="8">
        <v>46</v>
      </c>
      <c r="E7" s="11" t="s">
        <v>34</v>
      </c>
      <c r="F7" s="11" t="s">
        <v>23</v>
      </c>
    </row>
    <row r="8" ht="18" customHeight="1">
      <c r="B8" s="2" t="s">
        <v>8</v>
      </c>
      <c r="C8" s="6">
        <v>1</v>
      </c>
      <c r="D8" s="8">
        <v>46</v>
      </c>
      <c r="E8" s="11" t="s">
        <v>34</v>
      </c>
      <c r="F8" s="11" t="s">
        <v>20</v>
      </c>
    </row>
    <row r="9" ht="18" customHeight="1">
      <c r="B9" s="2" t="s">
        <v>51</v>
      </c>
      <c r="C9" s="6">
        <v>1</v>
      </c>
      <c r="D9" s="8">
        <v>46</v>
      </c>
      <c r="E9" s="11" t="s">
        <v>34</v>
      </c>
      <c r="F9" s="11" t="s">
        <v>20</v>
      </c>
    </row>
    <row r="10" ht="18" customHeight="1">
      <c r="B10" s="2" t="s">
        <v>8</v>
      </c>
      <c r="C10" s="6">
        <v>1</v>
      </c>
      <c r="D10" s="8">
        <v>46</v>
      </c>
      <c r="E10" s="11" t="s">
        <v>34</v>
      </c>
      <c r="F10" s="11" t="s">
        <v>20</v>
      </c>
    </row>
    <row r="11" ht="18" customHeight="1">
      <c r="B11" s="2" t="s">
        <v>8</v>
      </c>
      <c r="C11" s="6">
        <v>1</v>
      </c>
      <c r="D11" s="8">
        <v>46</v>
      </c>
      <c r="E11" s="11" t="s">
        <v>34</v>
      </c>
      <c r="F11" s="11" t="s">
        <v>23</v>
      </c>
    </row>
    <row r="12" ht="18" customHeight="1">
      <c r="B12" s="2" t="s">
        <v>52</v>
      </c>
      <c r="C12" s="6">
        <v>1</v>
      </c>
      <c r="D12" s="8">
        <v>46</v>
      </c>
      <c r="E12" s="11" t="s">
        <v>40</v>
      </c>
      <c r="F12" s="11" t="s">
        <v>23</v>
      </c>
    </row>
    <row r="13" ht="18" customHeight="1">
      <c r="B13" s="2" t="s">
        <v>53</v>
      </c>
      <c r="C13" s="6">
        <v>1</v>
      </c>
      <c r="D13" s="8">
        <v>46</v>
      </c>
      <c r="E13" s="11" t="s">
        <v>27</v>
      </c>
      <c r="F13" s="11" t="s">
        <v>23</v>
      </c>
    </row>
    <row r="14" ht="18" customHeight="1">
      <c r="B14" s="2" t="s">
        <v>54</v>
      </c>
      <c r="C14" s="6">
        <v>1</v>
      </c>
      <c r="D14" s="8">
        <v>46</v>
      </c>
      <c r="E14" s="11" t="s">
        <v>27</v>
      </c>
      <c r="F14" s="11" t="s">
        <v>23</v>
      </c>
    </row>
    <row r="15" ht="18" customHeight="1">
      <c r="B15" s="2" t="s">
        <v>9</v>
      </c>
      <c r="C15" s="6">
        <v>1</v>
      </c>
      <c r="D15" s="8">
        <v>46</v>
      </c>
      <c r="E15" s="11" t="s">
        <v>24</v>
      </c>
      <c r="F15" s="11" t="s">
        <v>23</v>
      </c>
    </row>
    <row r="16" ht="18" customHeight="1">
      <c r="B16" s="2" t="s">
        <v>10</v>
      </c>
      <c r="C16" s="6">
        <v>1</v>
      </c>
      <c r="D16" s="8">
        <v>46</v>
      </c>
      <c r="E16" s="11" t="s">
        <v>24</v>
      </c>
      <c r="F16" s="11" t="s">
        <v>23</v>
      </c>
    </row>
    <row r="17" ht="18" customHeight="1">
      <c r="B17" s="2" t="s">
        <v>10</v>
      </c>
      <c r="C17" s="6">
        <v>1</v>
      </c>
      <c r="D17" s="8">
        <v>46</v>
      </c>
      <c r="E17" s="11" t="s">
        <v>24</v>
      </c>
      <c r="F17" s="11" t="s">
        <v>23</v>
      </c>
    </row>
    <row r="18" ht="18" customHeight="1">
      <c r="B18" s="2" t="s">
        <v>14</v>
      </c>
      <c r="C18" s="6">
        <v>1</v>
      </c>
      <c r="D18" s="8">
        <v>44</v>
      </c>
      <c r="E18" s="11" t="s">
        <v>24</v>
      </c>
      <c r="F18" s="11" t="s">
        <v>23</v>
      </c>
    </row>
    <row r="19" ht="18" customHeight="1">
      <c r="B19" s="2" t="s">
        <v>14</v>
      </c>
      <c r="C19" s="6">
        <v>1</v>
      </c>
      <c r="D19" s="8">
        <v>44</v>
      </c>
      <c r="E19" s="11" t="s">
        <v>24</v>
      </c>
      <c r="F19" s="11" t="s">
        <v>23</v>
      </c>
    </row>
    <row r="20" ht="18" customHeight="1">
      <c r="B20" s="2" t="s">
        <v>12</v>
      </c>
      <c r="C20" s="6">
        <v>1</v>
      </c>
      <c r="D20" s="8">
        <v>46</v>
      </c>
      <c r="E20" s="11" t="s">
        <v>24</v>
      </c>
      <c r="F20" s="11" t="s">
        <v>23</v>
      </c>
    </row>
    <row r="21" ht="18" customHeight="1">
      <c r="B21" s="2" t="s">
        <v>12</v>
      </c>
      <c r="C21" s="15">
        <v>1</v>
      </c>
      <c r="D21" s="16">
        <v>46</v>
      </c>
      <c r="E21" s="17" t="s">
        <v>24</v>
      </c>
      <c r="F21" s="17" t="s">
        <v>23</v>
      </c>
    </row>
    <row r="22" ht="19.5">
      <c r="B22" s="14" t="s">
        <v>13</v>
      </c>
      <c r="C22" s="18">
        <f>SUM(C6:C21)</f>
        <v>16</v>
      </c>
      <c r="D22" s="19">
        <f>AVERAGE(D6:D21)</f>
        <v>45.625</v>
      </c>
      <c r="E22" s="33">
        <v>1.29</v>
      </c>
      <c r="F22" s="34">
        <v>28.38</v>
      </c>
    </row>
    <row r="26" ht="15.75">
      <c r="C26" s="45" t="s">
        <v>55</v>
      </c>
      <c r="D26" s="45"/>
      <c r="E26" s="45"/>
    </row>
    <row r="27" ht="15.75">
      <c r="C27" s="45" t="s">
        <v>56</v>
      </c>
      <c r="D27" s="45"/>
      <c r="E27" s="45"/>
    </row>
    <row r="29" ht="15.75">
      <c r="B29" s="5" t="s">
        <v>2</v>
      </c>
      <c r="C29" s="5" t="s">
        <v>3</v>
      </c>
      <c r="D29" s="5" t="s">
        <v>4</v>
      </c>
      <c r="E29" s="5" t="s">
        <v>5</v>
      </c>
      <c r="F29" s="5" t="s">
        <v>6</v>
      </c>
    </row>
    <row r="30" ht="18" customHeight="1">
      <c r="B30" s="2" t="s">
        <v>7</v>
      </c>
      <c r="C30" s="6">
        <v>1</v>
      </c>
      <c r="D30" s="8">
        <v>52</v>
      </c>
      <c r="E30" s="11" t="s">
        <v>24</v>
      </c>
      <c r="F30" s="11" t="s">
        <v>23</v>
      </c>
    </row>
    <row r="31" ht="18" customHeight="1">
      <c r="B31" s="2" t="s">
        <v>8</v>
      </c>
      <c r="C31" s="6">
        <v>1</v>
      </c>
      <c r="D31" s="8">
        <v>54</v>
      </c>
      <c r="E31" s="11" t="s">
        <v>34</v>
      </c>
      <c r="F31" s="11" t="s">
        <v>23</v>
      </c>
    </row>
    <row r="32" ht="18" customHeight="1">
      <c r="B32" s="2" t="s">
        <v>8</v>
      </c>
      <c r="C32" s="6">
        <v>1</v>
      </c>
      <c r="D32" s="8">
        <v>54</v>
      </c>
      <c r="E32" s="11" t="s">
        <v>34</v>
      </c>
      <c r="F32" s="11" t="s">
        <v>20</v>
      </c>
    </row>
    <row r="33" ht="18" customHeight="1">
      <c r="B33" s="2" t="s">
        <v>8</v>
      </c>
      <c r="C33" s="6">
        <v>1</v>
      </c>
      <c r="D33" s="8">
        <v>54</v>
      </c>
      <c r="E33" s="11" t="s">
        <v>27</v>
      </c>
      <c r="F33" s="11" t="s">
        <v>20</v>
      </c>
    </row>
    <row r="34" ht="18" customHeight="1">
      <c r="B34" s="2" t="s">
        <v>52</v>
      </c>
      <c r="C34" s="6">
        <v>1</v>
      </c>
      <c r="D34" s="8">
        <v>56</v>
      </c>
      <c r="E34" s="11" t="s">
        <v>27</v>
      </c>
      <c r="F34" s="11" t="s">
        <v>20</v>
      </c>
    </row>
    <row r="35" ht="18" customHeight="1">
      <c r="B35" s="2" t="s">
        <v>44</v>
      </c>
      <c r="C35" s="6">
        <v>1</v>
      </c>
      <c r="D35" s="8">
        <v>55</v>
      </c>
      <c r="E35" s="11" t="s">
        <v>27</v>
      </c>
      <c r="F35" s="11"/>
    </row>
    <row r="36" ht="18" customHeight="1">
      <c r="B36" s="2" t="s">
        <v>43</v>
      </c>
      <c r="C36" s="6">
        <v>1</v>
      </c>
      <c r="D36" s="8">
        <v>56</v>
      </c>
      <c r="E36" s="11" t="s">
        <v>27</v>
      </c>
      <c r="F36" s="11" t="s">
        <v>23</v>
      </c>
    </row>
    <row r="37" ht="18" customHeight="1">
      <c r="B37" s="2" t="s">
        <v>9</v>
      </c>
      <c r="C37" s="6">
        <v>1</v>
      </c>
      <c r="D37" s="8">
        <v>52</v>
      </c>
      <c r="E37" s="11" t="s">
        <v>40</v>
      </c>
      <c r="F37" s="11" t="s">
        <v>23</v>
      </c>
    </row>
    <row r="38" ht="18" customHeight="1">
      <c r="B38" s="2" t="s">
        <v>10</v>
      </c>
      <c r="C38" s="6">
        <v>1</v>
      </c>
      <c r="D38" s="8">
        <v>54</v>
      </c>
      <c r="E38" s="11" t="s">
        <v>27</v>
      </c>
      <c r="F38" s="11" t="s">
        <v>23</v>
      </c>
    </row>
    <row r="39" ht="18" customHeight="1">
      <c r="B39" s="2" t="s">
        <v>10</v>
      </c>
      <c r="C39" s="6">
        <v>1</v>
      </c>
      <c r="D39" s="8">
        <v>54</v>
      </c>
      <c r="E39" s="11" t="s">
        <v>24</v>
      </c>
      <c r="F39" s="11" t="s">
        <v>23</v>
      </c>
    </row>
    <row r="40" ht="18" customHeight="1">
      <c r="B40" s="2" t="s">
        <v>14</v>
      </c>
      <c r="C40" s="6">
        <v>1</v>
      </c>
      <c r="D40" s="8">
        <v>52</v>
      </c>
      <c r="E40" s="11" t="s">
        <v>24</v>
      </c>
      <c r="F40" s="11" t="s">
        <v>23</v>
      </c>
    </row>
    <row r="41" ht="18" customHeight="1">
      <c r="B41" s="2" t="s">
        <v>14</v>
      </c>
      <c r="C41" s="6">
        <v>1</v>
      </c>
      <c r="D41" s="8">
        <v>52</v>
      </c>
      <c r="E41" s="11" t="s">
        <v>24</v>
      </c>
      <c r="F41" s="11" t="s">
        <v>23</v>
      </c>
    </row>
    <row r="42" ht="18" customHeight="1">
      <c r="B42" s="2" t="s">
        <v>12</v>
      </c>
      <c r="C42" s="6">
        <v>1</v>
      </c>
      <c r="D42" s="8">
        <v>56</v>
      </c>
      <c r="E42" s="11" t="s">
        <v>24</v>
      </c>
      <c r="F42" s="11" t="s">
        <v>23</v>
      </c>
    </row>
    <row r="43" ht="18" customHeight="1">
      <c r="B43" s="2" t="s">
        <v>12</v>
      </c>
      <c r="C43" s="6">
        <v>1</v>
      </c>
      <c r="D43" s="8">
        <v>56</v>
      </c>
      <c r="E43" s="11" t="s">
        <v>24</v>
      </c>
      <c r="F43" s="11" t="s">
        <v>23</v>
      </c>
    </row>
    <row r="44" ht="18" customHeight="1">
      <c r="B44" s="2" t="s">
        <v>12</v>
      </c>
      <c r="C44" s="15">
        <v>1</v>
      </c>
      <c r="D44" s="16">
        <v>56</v>
      </c>
      <c r="E44" s="17" t="s">
        <v>24</v>
      </c>
      <c r="F44" s="17" t="s">
        <v>23</v>
      </c>
    </row>
    <row r="45" ht="19.5">
      <c r="B45" s="14" t="s">
        <v>13</v>
      </c>
      <c r="C45" s="18">
        <f>SUM(C30:C44)</f>
        <v>15</v>
      </c>
      <c r="D45" s="19">
        <f>AVERAGE(D30:D44)</f>
        <v>54.2</v>
      </c>
      <c r="E45" s="33">
        <v>1.65</v>
      </c>
      <c r="F45" s="34">
        <v>36.3</v>
      </c>
    </row>
    <row r="49" ht="15.75">
      <c r="C49" s="45" t="s">
        <v>57</v>
      </c>
      <c r="D49" s="45"/>
      <c r="E49" s="45"/>
    </row>
    <row r="50" ht="15.75">
      <c r="C50" s="45" t="s">
        <v>58</v>
      </c>
      <c r="D50" s="45"/>
      <c r="E50" s="45"/>
    </row>
    <row r="52" ht="15.75">
      <c r="B52" s="5" t="s">
        <v>2</v>
      </c>
      <c r="C52" s="5" t="s">
        <v>3</v>
      </c>
      <c r="D52" s="5" t="s">
        <v>4</v>
      </c>
      <c r="E52" s="5" t="s">
        <v>5</v>
      </c>
      <c r="F52" s="5" t="s">
        <v>6</v>
      </c>
    </row>
    <row r="53" ht="18" customHeight="1">
      <c r="B53" s="2" t="s">
        <v>7</v>
      </c>
      <c r="C53" s="6">
        <v>1</v>
      </c>
      <c r="D53" s="8">
        <v>57</v>
      </c>
      <c r="E53" s="11" t="s">
        <v>24</v>
      </c>
      <c r="F53" s="11" t="s">
        <v>23</v>
      </c>
    </row>
    <row r="54" ht="18" customHeight="1">
      <c r="B54" s="2" t="s">
        <v>8</v>
      </c>
      <c r="C54" s="6">
        <v>1</v>
      </c>
      <c r="D54" s="8">
        <v>57</v>
      </c>
      <c r="E54" s="11" t="s">
        <v>34</v>
      </c>
      <c r="F54" s="11" t="s">
        <v>20</v>
      </c>
    </row>
    <row r="55" ht="18" customHeight="1">
      <c r="B55" s="2" t="s">
        <v>8</v>
      </c>
      <c r="C55" s="6">
        <v>1</v>
      </c>
      <c r="D55" s="8">
        <v>57</v>
      </c>
      <c r="E55" s="11" t="s">
        <v>34</v>
      </c>
      <c r="F55" s="11" t="s">
        <v>20</v>
      </c>
    </row>
    <row r="56" ht="18" customHeight="1">
      <c r="B56" s="2" t="s">
        <v>8</v>
      </c>
      <c r="C56" s="6">
        <v>1</v>
      </c>
      <c r="D56" s="8">
        <v>57</v>
      </c>
      <c r="E56" s="11" t="s">
        <v>34</v>
      </c>
      <c r="F56" s="11" t="s">
        <v>20</v>
      </c>
    </row>
    <row r="57" ht="18" customHeight="1">
      <c r="B57" s="2" t="s">
        <v>8</v>
      </c>
      <c r="C57" s="6">
        <v>1</v>
      </c>
      <c r="D57" s="8">
        <v>57</v>
      </c>
      <c r="E57" s="11" t="s">
        <v>34</v>
      </c>
      <c r="F57" s="11" t="s">
        <v>20</v>
      </c>
    </row>
    <row r="58" ht="18" customHeight="1">
      <c r="B58" s="2" t="s">
        <v>52</v>
      </c>
      <c r="C58" s="6">
        <v>1</v>
      </c>
      <c r="D58" s="8">
        <v>67</v>
      </c>
      <c r="E58" s="11" t="s">
        <v>40</v>
      </c>
      <c r="F58" s="11" t="s">
        <v>23</v>
      </c>
    </row>
    <row r="59" ht="18" customHeight="1">
      <c r="B59" s="2" t="s">
        <v>53</v>
      </c>
      <c r="C59" s="6">
        <v>1</v>
      </c>
      <c r="D59" s="8">
        <v>67</v>
      </c>
      <c r="E59" s="11" t="s">
        <v>27</v>
      </c>
      <c r="F59" s="11" t="s">
        <v>23</v>
      </c>
    </row>
    <row r="60" ht="18" customHeight="1">
      <c r="B60" s="2" t="s">
        <v>59</v>
      </c>
      <c r="C60" s="6">
        <v>1</v>
      </c>
      <c r="D60" s="8">
        <v>67</v>
      </c>
      <c r="E60" s="11" t="s">
        <v>27</v>
      </c>
      <c r="F60" s="11" t="s">
        <v>23</v>
      </c>
    </row>
    <row r="61" ht="18" customHeight="1">
      <c r="B61" s="2" t="s">
        <v>10</v>
      </c>
      <c r="C61" s="6">
        <v>1</v>
      </c>
      <c r="D61" s="8">
        <v>56</v>
      </c>
      <c r="E61" s="11" t="s">
        <v>27</v>
      </c>
      <c r="F61" s="11" t="s">
        <v>23</v>
      </c>
    </row>
    <row r="62" ht="18" customHeight="1">
      <c r="B62" s="2" t="s">
        <v>10</v>
      </c>
      <c r="C62" s="6">
        <v>1</v>
      </c>
      <c r="D62" s="8">
        <v>56</v>
      </c>
      <c r="E62" s="11" t="s">
        <v>24</v>
      </c>
      <c r="F62" s="11" t="s">
        <v>23</v>
      </c>
    </row>
    <row r="63" ht="18" customHeight="1">
      <c r="B63" s="2" t="s">
        <v>14</v>
      </c>
      <c r="C63" s="6">
        <v>1</v>
      </c>
      <c r="D63" s="8">
        <v>56</v>
      </c>
      <c r="E63" s="11" t="s">
        <v>24</v>
      </c>
      <c r="F63" s="11" t="s">
        <v>23</v>
      </c>
    </row>
    <row r="64" ht="18" customHeight="1">
      <c r="B64" s="2" t="s">
        <v>14</v>
      </c>
      <c r="C64" s="6">
        <v>1</v>
      </c>
      <c r="D64" s="8">
        <v>56</v>
      </c>
      <c r="E64" s="11" t="s">
        <v>24</v>
      </c>
      <c r="F64" s="11" t="s">
        <v>23</v>
      </c>
    </row>
    <row r="65" ht="18" customHeight="1">
      <c r="B65" s="2" t="s">
        <v>14</v>
      </c>
      <c r="C65" s="6">
        <v>1</v>
      </c>
      <c r="D65" s="8">
        <v>56</v>
      </c>
      <c r="E65" s="11" t="s">
        <v>24</v>
      </c>
      <c r="F65" s="11" t="s">
        <v>23</v>
      </c>
    </row>
    <row r="66" ht="18" customHeight="1">
      <c r="B66" s="2" t="s">
        <v>12</v>
      </c>
      <c r="C66" s="6">
        <v>1</v>
      </c>
      <c r="D66" s="8">
        <v>56</v>
      </c>
      <c r="E66" s="11" t="s">
        <v>24</v>
      </c>
      <c r="F66" s="11" t="s">
        <v>23</v>
      </c>
    </row>
    <row r="67" ht="18" customHeight="1">
      <c r="B67" s="2" t="s">
        <v>12</v>
      </c>
      <c r="C67" s="6">
        <v>1</v>
      </c>
      <c r="D67" s="8">
        <v>56</v>
      </c>
      <c r="E67" s="11" t="s">
        <v>24</v>
      </c>
      <c r="F67" s="11" t="s">
        <v>23</v>
      </c>
    </row>
    <row r="68" ht="18" customHeight="1">
      <c r="B68" s="2" t="s">
        <v>12</v>
      </c>
      <c r="C68" s="6">
        <v>1</v>
      </c>
      <c r="D68" s="8">
        <v>56</v>
      </c>
      <c r="E68" s="11" t="s">
        <v>24</v>
      </c>
      <c r="F68" s="11" t="s">
        <v>23</v>
      </c>
    </row>
    <row r="69" ht="18" customHeight="1">
      <c r="B69" s="2" t="s">
        <v>12</v>
      </c>
      <c r="C69" s="6">
        <v>1</v>
      </c>
      <c r="D69" s="8">
        <v>56</v>
      </c>
      <c r="E69" s="11" t="s">
        <v>24</v>
      </c>
      <c r="F69" s="11" t="s">
        <v>23</v>
      </c>
    </row>
    <row r="70" ht="18" customHeight="1">
      <c r="B70" s="2" t="s">
        <v>12</v>
      </c>
      <c r="C70" s="6">
        <v>1</v>
      </c>
      <c r="D70" s="8">
        <v>56</v>
      </c>
      <c r="E70" s="11" t="s">
        <v>24</v>
      </c>
      <c r="F70" s="11" t="s">
        <v>23</v>
      </c>
    </row>
    <row r="71" ht="18" customHeight="1">
      <c r="B71" s="2" t="s">
        <v>15</v>
      </c>
      <c r="C71" s="15">
        <v>1</v>
      </c>
      <c r="D71" s="16">
        <v>63</v>
      </c>
      <c r="E71" s="17" t="s">
        <v>27</v>
      </c>
      <c r="F71" s="17" t="s">
        <v>23</v>
      </c>
    </row>
    <row r="72" ht="19.5">
      <c r="B72" s="14" t="s">
        <v>13</v>
      </c>
      <c r="C72" s="18">
        <f>SUM(C53:C71)</f>
        <v>19</v>
      </c>
      <c r="D72" s="19">
        <f>AVERAGE(D53:D71)</f>
        <v>58.36842105263158</v>
      </c>
      <c r="E72" s="35">
        <v>1.92</v>
      </c>
      <c r="F72" s="36">
        <v>42.24</v>
      </c>
    </row>
    <row r="76" ht="15.75">
      <c r="C76" s="45" t="s">
        <v>60</v>
      </c>
      <c r="D76" s="45"/>
      <c r="E76" s="45"/>
    </row>
    <row r="77" ht="15.75">
      <c r="C77" s="45" t="s">
        <v>61</v>
      </c>
      <c r="D77" s="45"/>
      <c r="E77" s="45"/>
    </row>
    <row r="79" ht="15.75">
      <c r="B79" s="5" t="s">
        <v>2</v>
      </c>
      <c r="C79" s="5" t="s">
        <v>3</v>
      </c>
      <c r="D79" s="5" t="s">
        <v>4</v>
      </c>
      <c r="E79" s="5" t="s">
        <v>5</v>
      </c>
      <c r="F79" s="5" t="s">
        <v>6</v>
      </c>
    </row>
    <row r="80" ht="18" customHeight="1">
      <c r="B80" s="2" t="s">
        <v>7</v>
      </c>
      <c r="C80" s="6">
        <v>1</v>
      </c>
      <c r="D80" s="8">
        <v>53</v>
      </c>
      <c r="E80" s="11" t="s">
        <v>24</v>
      </c>
      <c r="F80" s="11" t="s">
        <v>23</v>
      </c>
    </row>
    <row r="81" ht="18" customHeight="1">
      <c r="B81" s="2" t="s">
        <v>7</v>
      </c>
      <c r="C81" s="6">
        <v>1</v>
      </c>
      <c r="D81" s="8">
        <v>53</v>
      </c>
      <c r="E81" s="11" t="s">
        <v>24</v>
      </c>
      <c r="F81" s="11" t="s">
        <v>23</v>
      </c>
    </row>
    <row r="82" ht="18" customHeight="1">
      <c r="B82" s="2" t="s">
        <v>8</v>
      </c>
      <c r="C82" s="6">
        <v>1</v>
      </c>
      <c r="D82" s="8">
        <v>55</v>
      </c>
      <c r="E82" s="11" t="s">
        <v>34</v>
      </c>
      <c r="F82" s="11" t="s">
        <v>20</v>
      </c>
    </row>
    <row r="83" ht="18" customHeight="1">
      <c r="B83" s="2" t="s">
        <v>8</v>
      </c>
      <c r="C83" s="6">
        <v>1</v>
      </c>
      <c r="D83" s="8">
        <v>55</v>
      </c>
      <c r="E83" s="11" t="s">
        <v>34</v>
      </c>
      <c r="F83" s="11" t="s">
        <v>20</v>
      </c>
    </row>
    <row r="84" ht="18" customHeight="1">
      <c r="B84" s="2" t="s">
        <v>8</v>
      </c>
      <c r="C84" s="6">
        <v>1</v>
      </c>
      <c r="D84" s="8">
        <v>55</v>
      </c>
      <c r="E84" s="11" t="s">
        <v>34</v>
      </c>
      <c r="F84" s="11" t="s">
        <v>20</v>
      </c>
    </row>
    <row r="85" ht="18" customHeight="1">
      <c r="B85" s="2" t="s">
        <v>8</v>
      </c>
      <c r="C85" s="6">
        <v>1</v>
      </c>
      <c r="D85" s="8">
        <v>55</v>
      </c>
      <c r="E85" s="11" t="s">
        <v>27</v>
      </c>
      <c r="F85" s="11" t="s">
        <v>20</v>
      </c>
    </row>
    <row r="86" ht="18" customHeight="1">
      <c r="B86" s="2" t="s">
        <v>8</v>
      </c>
      <c r="C86" s="6">
        <v>1</v>
      </c>
      <c r="D86" s="8">
        <v>55</v>
      </c>
      <c r="E86" s="11" t="s">
        <v>34</v>
      </c>
      <c r="F86" s="11" t="s">
        <v>23</v>
      </c>
    </row>
    <row r="87" ht="18" customHeight="1">
      <c r="B87" s="2" t="s">
        <v>43</v>
      </c>
      <c r="C87" s="6">
        <v>1</v>
      </c>
      <c r="D87" s="8">
        <v>56</v>
      </c>
      <c r="E87" s="11" t="s">
        <v>27</v>
      </c>
      <c r="F87" s="11" t="s">
        <v>23</v>
      </c>
    </row>
    <row r="88" ht="18" customHeight="1">
      <c r="B88" s="2" t="s">
        <v>62</v>
      </c>
      <c r="C88" s="6">
        <v>1</v>
      </c>
      <c r="D88" s="8">
        <v>56</v>
      </c>
      <c r="E88" s="11" t="s">
        <v>27</v>
      </c>
      <c r="F88" s="11" t="s">
        <v>23</v>
      </c>
    </row>
    <row r="89" ht="18" customHeight="1">
      <c r="B89" s="2" t="s">
        <v>39</v>
      </c>
      <c r="C89" s="6">
        <v>1</v>
      </c>
      <c r="D89" s="8">
        <v>56</v>
      </c>
      <c r="E89" s="11" t="s">
        <v>40</v>
      </c>
      <c r="F89" s="11" t="s">
        <v>23</v>
      </c>
    </row>
    <row r="90" ht="18" customHeight="1">
      <c r="B90" s="2" t="s">
        <v>9</v>
      </c>
      <c r="C90" s="6">
        <v>1</v>
      </c>
      <c r="D90" s="8">
        <v>52</v>
      </c>
      <c r="E90" s="11" t="s">
        <v>34</v>
      </c>
      <c r="F90" s="11" t="s">
        <v>23</v>
      </c>
    </row>
    <row r="91" ht="18" customHeight="1">
      <c r="B91" s="2" t="s">
        <v>10</v>
      </c>
      <c r="C91" s="6">
        <v>1</v>
      </c>
      <c r="D91" s="8">
        <v>53</v>
      </c>
      <c r="E91" s="11" t="s">
        <v>40</v>
      </c>
      <c r="F91" s="11" t="s">
        <v>23</v>
      </c>
    </row>
    <row r="92" ht="18" customHeight="1">
      <c r="B92" s="2" t="s">
        <v>10</v>
      </c>
      <c r="C92" s="6">
        <v>1</v>
      </c>
      <c r="D92" s="8">
        <v>53</v>
      </c>
      <c r="E92" s="11" t="s">
        <v>40</v>
      </c>
      <c r="F92" s="11" t="s">
        <v>23</v>
      </c>
    </row>
    <row r="93" ht="18" customHeight="1">
      <c r="B93" s="2" t="s">
        <v>14</v>
      </c>
      <c r="C93" s="6">
        <v>1</v>
      </c>
      <c r="D93" s="8">
        <v>51</v>
      </c>
      <c r="E93" s="11" t="s">
        <v>24</v>
      </c>
      <c r="F93" s="11" t="s">
        <v>23</v>
      </c>
    </row>
    <row r="94" ht="18" customHeight="1">
      <c r="B94" s="2" t="s">
        <v>12</v>
      </c>
      <c r="C94" s="6">
        <v>1</v>
      </c>
      <c r="D94" s="8">
        <v>51</v>
      </c>
      <c r="E94" s="11" t="s">
        <v>24</v>
      </c>
      <c r="F94" s="11" t="s">
        <v>23</v>
      </c>
    </row>
    <row r="95" ht="18" customHeight="1">
      <c r="B95" s="2" t="s">
        <v>12</v>
      </c>
      <c r="C95" s="6">
        <v>1</v>
      </c>
      <c r="D95" s="8">
        <v>51</v>
      </c>
      <c r="E95" s="11" t="s">
        <v>24</v>
      </c>
      <c r="F95" s="11" t="s">
        <v>23</v>
      </c>
    </row>
    <row r="96" ht="18" customHeight="1">
      <c r="B96" s="2" t="s">
        <v>12</v>
      </c>
      <c r="C96" s="6">
        <v>1</v>
      </c>
      <c r="D96" s="8">
        <v>51</v>
      </c>
      <c r="E96" s="11" t="s">
        <v>24</v>
      </c>
      <c r="F96" s="11" t="s">
        <v>23</v>
      </c>
    </row>
    <row r="97" ht="18" customHeight="1">
      <c r="B97" s="2" t="s">
        <v>12</v>
      </c>
      <c r="C97" s="6">
        <v>1</v>
      </c>
      <c r="D97" s="8">
        <v>51</v>
      </c>
      <c r="E97" s="11" t="s">
        <v>24</v>
      </c>
      <c r="F97" s="11" t="s">
        <v>23</v>
      </c>
    </row>
    <row r="98" ht="18" customHeight="1">
      <c r="B98" s="2" t="s">
        <v>12</v>
      </c>
      <c r="C98" s="15">
        <v>1</v>
      </c>
      <c r="D98" s="16">
        <v>51</v>
      </c>
      <c r="E98" s="17" t="s">
        <v>24</v>
      </c>
      <c r="F98" s="17" t="s">
        <v>23</v>
      </c>
    </row>
    <row r="99" ht="19.5">
      <c r="B99" s="14" t="s">
        <v>13</v>
      </c>
      <c r="C99" s="18">
        <f>SUM(C80:C98)</f>
        <v>19</v>
      </c>
      <c r="D99" s="19">
        <f>AVERAGE(D80:D98)</f>
        <v>53.31578947368421</v>
      </c>
      <c r="E99" s="35">
        <v>1.89</v>
      </c>
      <c r="F99" s="36">
        <v>41.58</v>
      </c>
    </row>
  </sheetData>
  <mergeCells>
    <mergeCell ref="C76:E76"/>
    <mergeCell ref="C77:E77"/>
    <mergeCell ref="C2:E2"/>
    <mergeCell ref="C3:E3"/>
    <mergeCell ref="C26:E26"/>
    <mergeCell ref="C27:E27"/>
    <mergeCell ref="C49:E49"/>
    <mergeCell ref="C50:E50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19006-C29F-427C-89CA-75DD77CA8367}">
  <dimension ref="B2:K107"/>
  <sheetViews>
    <sheetView topLeftCell="A85" zoomScaleNormal="100" workbookViewId="0">
      <selection activeCell="B100" sqref="B100"/>
    </sheetView>
  </sheetViews>
  <sheetFormatPr baseColWidth="10" defaultRowHeight="15" x14ac:dyDescent="0.25"/>
  <cols>
    <col min="2" max="2" width="13.85546875" customWidth="1"/>
    <col min="3" max="4" width="9.7109375" customWidth="1"/>
    <col min="5" max="6" width="13.85546875" customWidth="1"/>
    <col min="10" max="10" width="15.28515625" customWidth="1"/>
  </cols>
  <sheetData>
    <row r="2" ht="15.75">
      <c r="C2" s="45" t="s">
        <v>63</v>
      </c>
      <c r="D2" s="45"/>
      <c r="E2" s="45"/>
    </row>
    <row r="3" ht="15.75">
      <c r="C3" s="45" t="s">
        <v>64</v>
      </c>
      <c r="D3" s="45"/>
      <c r="E3" s="45"/>
    </row>
    <row r="4" ht="15.75"/>
    <row r="5" ht="18" customHeight="1"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J5" s="13" t="s">
        <v>18</v>
      </c>
      <c r="K5" s="42">
        <f>SUM(C12,C41,C65,C88,C107)</f>
        <v>68</v>
      </c>
    </row>
    <row r="6" ht="18" customHeight="1">
      <c r="B6" s="2" t="s">
        <v>65</v>
      </c>
      <c r="C6" s="6">
        <v>1</v>
      </c>
      <c r="D6" s="8">
        <v>46</v>
      </c>
      <c r="E6" s="2" t="s">
        <v>27</v>
      </c>
      <c r="F6" s="2" t="s">
        <v>66</v>
      </c>
      <c r="J6" s="13" t="s">
        <v>21</v>
      </c>
      <c r="K6" s="41">
        <f>AVERAGE(D12,D41,D65,D88,D107)</f>
        <v>36.415238095238095</v>
      </c>
    </row>
    <row r="7" ht="18" customHeight="1">
      <c r="B7" s="2" t="s">
        <v>44</v>
      </c>
      <c r="C7" s="6">
        <v>1</v>
      </c>
      <c r="D7" s="8">
        <v>46</v>
      </c>
      <c r="E7" s="2" t="s">
        <v>27</v>
      </c>
      <c r="F7" s="2" t="s">
        <v>66</v>
      </c>
    </row>
    <row r="8" ht="18" customHeight="1">
      <c r="B8" s="2" t="s">
        <v>11</v>
      </c>
      <c r="C8" s="6">
        <v>1</v>
      </c>
      <c r="D8" s="8">
        <v>46</v>
      </c>
      <c r="E8" s="2" t="s">
        <v>27</v>
      </c>
      <c r="F8" s="2" t="s">
        <v>66</v>
      </c>
    </row>
    <row r="9" ht="18" customHeight="1">
      <c r="B9" s="2" t="s">
        <v>11</v>
      </c>
      <c r="C9" s="6">
        <v>1</v>
      </c>
      <c r="D9" s="8">
        <v>46</v>
      </c>
      <c r="E9" s="2" t="s">
        <v>27</v>
      </c>
      <c r="F9" s="2" t="s">
        <v>66</v>
      </c>
    </row>
    <row r="10" ht="18" customHeight="1">
      <c r="B10" s="2" t="s">
        <v>9</v>
      </c>
      <c r="C10" s="6">
        <v>0.5</v>
      </c>
      <c r="D10" s="8">
        <v>46</v>
      </c>
      <c r="E10" s="2" t="s">
        <v>24</v>
      </c>
      <c r="F10" s="2" t="s">
        <v>66</v>
      </c>
    </row>
    <row r="11" ht="18" customHeight="1">
      <c r="B11" s="2" t="s">
        <v>10</v>
      </c>
      <c r="C11" s="37">
        <v>0.5</v>
      </c>
      <c r="D11" s="38">
        <v>44</v>
      </c>
      <c r="E11" s="39" t="s">
        <v>24</v>
      </c>
      <c r="F11" s="39" t="s">
        <v>66</v>
      </c>
    </row>
    <row r="12" ht="19.5">
      <c r="B12" s="14" t="s">
        <v>13</v>
      </c>
      <c r="C12" s="18">
        <f>SUM(C6:C11)</f>
        <v>5</v>
      </c>
      <c r="D12" s="40">
        <f>AVERAGE(D6:D11)</f>
        <v>45.666666666666664</v>
      </c>
      <c r="E12" s="33">
        <v>1.41</v>
      </c>
      <c r="F12" s="34">
        <v>31.02</v>
      </c>
    </row>
    <row r="16" ht="15.75">
      <c r="C16" s="45" t="s">
        <v>67</v>
      </c>
      <c r="D16" s="45"/>
      <c r="E16" s="45"/>
    </row>
    <row r="17" ht="15.75">
      <c r="C17" s="45" t="s">
        <v>68</v>
      </c>
      <c r="D17" s="45"/>
      <c r="E17" s="45"/>
    </row>
    <row r="19" ht="15.75">
      <c r="B19" s="5" t="s">
        <v>2</v>
      </c>
      <c r="C19" s="5" t="s">
        <v>3</v>
      </c>
      <c r="D19" s="5" t="s">
        <v>4</v>
      </c>
      <c r="E19" s="5" t="s">
        <v>5</v>
      </c>
      <c r="F19" s="5" t="s">
        <v>6</v>
      </c>
    </row>
    <row r="20" ht="18" customHeight="1">
      <c r="B20" s="2" t="s">
        <v>7</v>
      </c>
      <c r="C20" s="6">
        <v>1</v>
      </c>
      <c r="D20" s="8">
        <v>37</v>
      </c>
      <c r="E20" s="2" t="s">
        <v>24</v>
      </c>
      <c r="F20" s="2" t="s">
        <v>23</v>
      </c>
    </row>
    <row r="21" ht="18" customHeight="1">
      <c r="B21" s="2" t="s">
        <v>7</v>
      </c>
      <c r="C21" s="6">
        <v>1</v>
      </c>
      <c r="D21" s="8">
        <v>37</v>
      </c>
      <c r="E21" s="2" t="s">
        <v>29</v>
      </c>
      <c r="F21" s="2" t="s">
        <v>23</v>
      </c>
    </row>
    <row r="22" ht="18" customHeight="1">
      <c r="B22" s="2" t="s">
        <v>8</v>
      </c>
      <c r="C22" s="6">
        <v>1</v>
      </c>
      <c r="D22" s="8">
        <v>37</v>
      </c>
      <c r="E22" s="2" t="s">
        <v>34</v>
      </c>
      <c r="F22" s="2" t="s">
        <v>20</v>
      </c>
    </row>
    <row r="23" ht="18" customHeight="1">
      <c r="B23" s="2" t="s">
        <v>8</v>
      </c>
      <c r="C23" s="6">
        <v>1</v>
      </c>
      <c r="D23" s="8">
        <v>37</v>
      </c>
      <c r="E23" s="2" t="s">
        <v>34</v>
      </c>
      <c r="F23" s="2" t="s">
        <v>20</v>
      </c>
    </row>
    <row r="24" ht="18" customHeight="1">
      <c r="B24" s="2" t="s">
        <v>8</v>
      </c>
      <c r="C24" s="6">
        <v>1</v>
      </c>
      <c r="D24" s="8">
        <v>37</v>
      </c>
      <c r="E24" s="2" t="s">
        <v>34</v>
      </c>
      <c r="F24" s="2" t="s">
        <v>20</v>
      </c>
    </row>
    <row r="25" ht="18" customHeight="1">
      <c r="B25" s="2" t="s">
        <v>8</v>
      </c>
      <c r="C25" s="6">
        <v>1</v>
      </c>
      <c r="D25" s="8">
        <v>37</v>
      </c>
      <c r="E25" s="2" t="s">
        <v>34</v>
      </c>
      <c r="F25" s="2" t="s">
        <v>20</v>
      </c>
    </row>
    <row r="26" ht="18" customHeight="1">
      <c r="B26" s="2" t="s">
        <v>8</v>
      </c>
      <c r="C26" s="6">
        <v>0.5</v>
      </c>
      <c r="D26" s="8">
        <v>37</v>
      </c>
      <c r="E26" s="10" t="s">
        <v>69</v>
      </c>
      <c r="F26" s="2" t="s">
        <v>23</v>
      </c>
    </row>
    <row r="27" ht="18" customHeight="1">
      <c r="B27" s="2" t="s">
        <v>52</v>
      </c>
      <c r="C27" s="6">
        <v>1</v>
      </c>
      <c r="D27" s="8">
        <v>39</v>
      </c>
      <c r="E27" s="2" t="s">
        <v>27</v>
      </c>
      <c r="F27" s="2" t="s">
        <v>23</v>
      </c>
    </row>
    <row r="28" ht="18" customHeight="1">
      <c r="B28" s="2" t="s">
        <v>70</v>
      </c>
      <c r="C28" s="6">
        <v>1</v>
      </c>
      <c r="D28" s="8">
        <v>39</v>
      </c>
      <c r="E28" s="2" t="s">
        <v>27</v>
      </c>
      <c r="F28" s="2" t="s">
        <v>23</v>
      </c>
    </row>
    <row r="29" ht="18" customHeight="1">
      <c r="B29" s="2" t="s">
        <v>44</v>
      </c>
      <c r="C29" s="6">
        <v>1</v>
      </c>
      <c r="D29" s="8">
        <v>39</v>
      </c>
      <c r="E29" s="2" t="s">
        <v>27</v>
      </c>
      <c r="F29" s="2" t="s">
        <v>23</v>
      </c>
    </row>
    <row r="30" ht="18" customHeight="1">
      <c r="B30" s="2" t="s">
        <v>71</v>
      </c>
      <c r="C30" s="6">
        <v>1</v>
      </c>
      <c r="D30" s="8">
        <v>39</v>
      </c>
      <c r="E30" s="2" t="s">
        <v>27</v>
      </c>
      <c r="F30" s="2" t="s">
        <v>23</v>
      </c>
    </row>
    <row r="31" ht="18" customHeight="1">
      <c r="B31" s="2" t="s">
        <v>11</v>
      </c>
      <c r="C31" s="6">
        <v>1</v>
      </c>
      <c r="D31" s="8">
        <v>39</v>
      </c>
      <c r="E31" s="2" t="s">
        <v>27</v>
      </c>
      <c r="F31" s="2" t="s">
        <v>23</v>
      </c>
    </row>
    <row r="32" ht="18" customHeight="1">
      <c r="B32" s="2" t="s">
        <v>11</v>
      </c>
      <c r="C32" s="6">
        <v>1</v>
      </c>
      <c r="D32" s="8">
        <v>39</v>
      </c>
      <c r="E32" s="2" t="s">
        <v>27</v>
      </c>
      <c r="F32" s="2" t="s">
        <v>23</v>
      </c>
    </row>
    <row r="33" ht="18" customHeight="1">
      <c r="B33" s="2" t="s">
        <v>9</v>
      </c>
      <c r="C33" s="6">
        <v>0.5</v>
      </c>
      <c r="D33" s="8">
        <v>36</v>
      </c>
      <c r="E33" s="10" t="s">
        <v>69</v>
      </c>
      <c r="F33" s="2" t="s">
        <v>23</v>
      </c>
    </row>
    <row r="34" ht="18" customHeight="1">
      <c r="B34" s="2" t="s">
        <v>9</v>
      </c>
      <c r="C34" s="6">
        <v>1</v>
      </c>
      <c r="D34" s="8">
        <v>36</v>
      </c>
      <c r="E34" s="2" t="s">
        <v>29</v>
      </c>
      <c r="F34" s="2" t="s">
        <v>23</v>
      </c>
    </row>
    <row r="35" ht="18" customHeight="1">
      <c r="B35" s="2" t="s">
        <v>10</v>
      </c>
      <c r="C35" s="6">
        <v>1</v>
      </c>
      <c r="D35" s="8">
        <v>39</v>
      </c>
      <c r="E35" s="2" t="s">
        <v>24</v>
      </c>
      <c r="F35" s="2" t="s">
        <v>23</v>
      </c>
    </row>
    <row r="36" ht="18" customHeight="1">
      <c r="B36" s="2" t="s">
        <v>10</v>
      </c>
      <c r="C36" s="6">
        <v>1</v>
      </c>
      <c r="D36" s="8">
        <v>39</v>
      </c>
      <c r="E36" s="2" t="s">
        <v>24</v>
      </c>
      <c r="F36" s="2" t="s">
        <v>23</v>
      </c>
    </row>
    <row r="37" ht="18" customHeight="1">
      <c r="B37" s="2" t="s">
        <v>12</v>
      </c>
      <c r="C37" s="6">
        <v>1</v>
      </c>
      <c r="D37" s="8">
        <v>36</v>
      </c>
      <c r="E37" s="2" t="s">
        <v>24</v>
      </c>
      <c r="F37" s="2" t="s">
        <v>23</v>
      </c>
    </row>
    <row r="38" ht="18" customHeight="1">
      <c r="B38" s="2" t="s">
        <v>12</v>
      </c>
      <c r="C38" s="6">
        <v>1</v>
      </c>
      <c r="D38" s="8">
        <v>36</v>
      </c>
      <c r="E38" s="2" t="s">
        <v>24</v>
      </c>
      <c r="F38" s="2" t="s">
        <v>23</v>
      </c>
    </row>
    <row r="39" ht="18" customHeight="1">
      <c r="B39" s="2" t="s">
        <v>12</v>
      </c>
      <c r="C39" s="6">
        <v>1</v>
      </c>
      <c r="D39" s="8">
        <v>36</v>
      </c>
      <c r="E39" s="2" t="s">
        <v>24</v>
      </c>
      <c r="F39" s="2" t="s">
        <v>23</v>
      </c>
    </row>
    <row r="40" ht="18" customHeight="1">
      <c r="B40" s="2" t="s">
        <v>12</v>
      </c>
      <c r="C40" s="15">
        <v>1</v>
      </c>
      <c r="D40" s="16">
        <v>36</v>
      </c>
      <c r="E40" s="3" t="s">
        <v>24</v>
      </c>
      <c r="F40" s="3" t="s">
        <v>23</v>
      </c>
    </row>
    <row r="41" ht="19.5">
      <c r="B41" s="14" t="s">
        <v>13</v>
      </c>
      <c r="C41" s="18">
        <f>SUM(C20:C40)</f>
        <v>20</v>
      </c>
      <c r="D41" s="19">
        <f>AVERAGE(D20:D40)</f>
        <v>37.476190476190474</v>
      </c>
      <c r="E41" s="20">
        <v>1.12</v>
      </c>
      <c r="F41" s="24">
        <v>24.64</v>
      </c>
    </row>
    <row r="45" ht="15.75">
      <c r="C45" s="45" t="s">
        <v>72</v>
      </c>
      <c r="D45" s="45"/>
      <c r="E45" s="45"/>
    </row>
    <row r="46" ht="15.75">
      <c r="C46" s="45" t="s">
        <v>73</v>
      </c>
      <c r="D46" s="45"/>
      <c r="E46" s="45"/>
    </row>
    <row r="48" ht="15.75">
      <c r="B48" s="5" t="s">
        <v>2</v>
      </c>
      <c r="C48" s="5" t="s">
        <v>3</v>
      </c>
      <c r="D48" s="5" t="s">
        <v>4</v>
      </c>
      <c r="E48" s="5" t="s">
        <v>5</v>
      </c>
      <c r="F48" s="5" t="s">
        <v>6</v>
      </c>
    </row>
    <row r="49" ht="18" customHeight="1">
      <c r="B49" s="2" t="s">
        <v>7</v>
      </c>
      <c r="C49" s="6">
        <v>1</v>
      </c>
      <c r="D49" s="8">
        <v>33</v>
      </c>
      <c r="E49" s="2" t="s">
        <v>74</v>
      </c>
      <c r="F49" s="2" t="s">
        <v>66</v>
      </c>
    </row>
    <row r="50" ht="18" customHeight="1">
      <c r="B50" s="2" t="s">
        <v>8</v>
      </c>
      <c r="C50" s="6">
        <v>1</v>
      </c>
      <c r="D50" s="8">
        <v>33</v>
      </c>
      <c r="E50" s="2" t="s">
        <v>75</v>
      </c>
      <c r="F50" s="2" t="s">
        <v>76</v>
      </c>
    </row>
    <row r="51" ht="18" customHeight="1">
      <c r="B51" s="2" t="s">
        <v>8</v>
      </c>
      <c r="C51" s="6">
        <v>1</v>
      </c>
      <c r="D51" s="8">
        <v>33</v>
      </c>
      <c r="E51" s="2" t="s">
        <v>75</v>
      </c>
      <c r="F51" s="2" t="s">
        <v>76</v>
      </c>
    </row>
    <row r="52" ht="18" customHeight="1">
      <c r="B52" s="2" t="s">
        <v>8</v>
      </c>
      <c r="C52" s="6">
        <v>1</v>
      </c>
      <c r="D52" s="8">
        <v>33</v>
      </c>
      <c r="E52" s="2" t="s">
        <v>74</v>
      </c>
      <c r="F52" s="2" t="s">
        <v>76</v>
      </c>
    </row>
    <row r="53" ht="18" customHeight="1">
      <c r="B53" s="2" t="s">
        <v>8</v>
      </c>
      <c r="C53" s="6">
        <v>1</v>
      </c>
      <c r="D53" s="8">
        <v>33</v>
      </c>
      <c r="E53" s="2" t="s">
        <v>74</v>
      </c>
      <c r="F53" s="2" t="s">
        <v>76</v>
      </c>
    </row>
    <row r="54" ht="18" customHeight="1">
      <c r="B54" s="2" t="s">
        <v>43</v>
      </c>
      <c r="C54" s="6">
        <v>1</v>
      </c>
      <c r="D54" s="8">
        <v>37</v>
      </c>
      <c r="E54" s="2" t="s">
        <v>77</v>
      </c>
      <c r="F54" s="2" t="s">
        <v>66</v>
      </c>
    </row>
    <row r="55" ht="18" customHeight="1">
      <c r="B55" s="2" t="s">
        <v>43</v>
      </c>
      <c r="C55" s="6">
        <v>1</v>
      </c>
      <c r="D55" s="8">
        <v>37</v>
      </c>
      <c r="E55" s="2" t="s">
        <v>77</v>
      </c>
      <c r="F55" s="2" t="s">
        <v>66</v>
      </c>
    </row>
    <row r="56" ht="18" customHeight="1">
      <c r="B56" s="2" t="s">
        <v>78</v>
      </c>
      <c r="C56" s="6">
        <v>1</v>
      </c>
      <c r="D56" s="8">
        <v>37</v>
      </c>
      <c r="E56" s="2" t="s">
        <v>77</v>
      </c>
      <c r="F56" s="2" t="s">
        <v>66</v>
      </c>
    </row>
    <row r="57" ht="18" customHeight="1">
      <c r="B57" s="2" t="s">
        <v>44</v>
      </c>
      <c r="C57" s="6">
        <v>1</v>
      </c>
      <c r="D57" s="8">
        <v>37</v>
      </c>
      <c r="E57" s="2" t="s">
        <v>29</v>
      </c>
      <c r="F57" s="2" t="s">
        <v>66</v>
      </c>
    </row>
    <row r="58" ht="18" customHeight="1">
      <c r="B58" s="2" t="s">
        <v>62</v>
      </c>
      <c r="C58" s="6">
        <v>1</v>
      </c>
      <c r="D58" s="8">
        <v>37</v>
      </c>
      <c r="E58" s="2" t="s">
        <v>29</v>
      </c>
      <c r="F58" s="2" t="s">
        <v>66</v>
      </c>
    </row>
    <row r="59" ht="18" customHeight="1">
      <c r="B59" s="2" t="s">
        <v>79</v>
      </c>
      <c r="C59" s="6">
        <v>1</v>
      </c>
      <c r="D59" s="8">
        <v>37</v>
      </c>
      <c r="E59" s="2" t="s">
        <v>77</v>
      </c>
      <c r="F59" s="2" t="s">
        <v>66</v>
      </c>
    </row>
    <row r="60" ht="18" customHeight="1">
      <c r="B60" s="2" t="s">
        <v>44</v>
      </c>
      <c r="C60" s="6">
        <v>1</v>
      </c>
      <c r="D60" s="8">
        <v>37</v>
      </c>
      <c r="E60" s="2" t="s">
        <v>74</v>
      </c>
      <c r="F60" s="2" t="s">
        <v>66</v>
      </c>
    </row>
    <row r="61" ht="18" customHeight="1">
      <c r="B61" s="2" t="s">
        <v>9</v>
      </c>
      <c r="C61" s="6">
        <v>1</v>
      </c>
      <c r="D61" s="8">
        <v>33</v>
      </c>
      <c r="E61" s="2" t="s">
        <v>74</v>
      </c>
      <c r="F61" s="2" t="s">
        <v>66</v>
      </c>
    </row>
    <row r="62" ht="18" customHeight="1">
      <c r="B62" s="2" t="s">
        <v>9</v>
      </c>
      <c r="C62" s="6">
        <v>1</v>
      </c>
      <c r="D62" s="8">
        <v>33</v>
      </c>
      <c r="E62" s="2" t="s">
        <v>74</v>
      </c>
      <c r="F62" s="2" t="s">
        <v>66</v>
      </c>
    </row>
    <row r="63" ht="18" customHeight="1">
      <c r="B63" s="2" t="s">
        <v>10</v>
      </c>
      <c r="C63" s="6">
        <v>1</v>
      </c>
      <c r="D63" s="8">
        <v>37</v>
      </c>
      <c r="E63" s="2" t="s">
        <v>74</v>
      </c>
      <c r="F63" s="2" t="s">
        <v>66</v>
      </c>
    </row>
    <row r="64" ht="18" customHeight="1">
      <c r="B64" s="2" t="s">
        <v>10</v>
      </c>
      <c r="C64" s="6">
        <v>1</v>
      </c>
      <c r="D64" s="8">
        <v>37</v>
      </c>
      <c r="E64" s="2" t="s">
        <v>74</v>
      </c>
      <c r="F64" s="2" t="s">
        <v>66</v>
      </c>
    </row>
    <row r="65" ht="19.5">
      <c r="B65" s="14" t="s">
        <v>13</v>
      </c>
      <c r="C65" s="18">
        <f>SUM(C49:C64)</f>
        <v>16</v>
      </c>
      <c r="D65" s="19">
        <f>AVERAGE(D49:D64)</f>
        <v>35.25</v>
      </c>
      <c r="E65" s="33"/>
      <c r="F65" s="34"/>
    </row>
    <row r="69" ht="15.75">
      <c r="C69" s="45" t="s">
        <v>80</v>
      </c>
      <c r="D69" s="45"/>
      <c r="E69" s="45"/>
    </row>
    <row r="70" ht="15.75">
      <c r="C70" s="45" t="s">
        <v>81</v>
      </c>
      <c r="D70" s="45"/>
      <c r="E70" s="45"/>
    </row>
    <row r="72" ht="15.75">
      <c r="B72" s="5" t="s">
        <v>2</v>
      </c>
      <c r="C72" s="5" t="s">
        <v>3</v>
      </c>
      <c r="D72" s="5" t="s">
        <v>4</v>
      </c>
      <c r="E72" s="5" t="s">
        <v>5</v>
      </c>
      <c r="F72" s="5" t="s">
        <v>6</v>
      </c>
    </row>
    <row r="73" ht="18" customHeight="1">
      <c r="B73" s="2" t="s">
        <v>7</v>
      </c>
      <c r="C73" s="6">
        <v>1</v>
      </c>
      <c r="D73" s="8">
        <v>30</v>
      </c>
      <c r="E73" s="2" t="s">
        <v>74</v>
      </c>
      <c r="F73" s="2" t="s">
        <v>66</v>
      </c>
    </row>
    <row r="74" ht="18" customHeight="1">
      <c r="B74" s="2" t="s">
        <v>7</v>
      </c>
      <c r="C74" s="6">
        <v>1</v>
      </c>
      <c r="D74" s="8">
        <v>30</v>
      </c>
      <c r="E74" s="2" t="s">
        <v>74</v>
      </c>
      <c r="F74" s="2" t="s">
        <v>66</v>
      </c>
    </row>
    <row r="75" ht="18" customHeight="1">
      <c r="B75" s="2" t="s">
        <v>8</v>
      </c>
      <c r="C75" s="6">
        <v>1</v>
      </c>
      <c r="D75" s="8">
        <v>30</v>
      </c>
      <c r="E75" s="2" t="s">
        <v>75</v>
      </c>
      <c r="F75" s="2" t="s">
        <v>76</v>
      </c>
    </row>
    <row r="76" ht="18" customHeight="1">
      <c r="B76" s="2" t="s">
        <v>8</v>
      </c>
      <c r="C76" s="6">
        <v>1</v>
      </c>
      <c r="D76" s="8">
        <v>30</v>
      </c>
      <c r="E76" s="2" t="s">
        <v>75</v>
      </c>
      <c r="F76" s="2" t="s">
        <v>76</v>
      </c>
    </row>
    <row r="77" ht="18" customHeight="1">
      <c r="B77" s="2" t="s">
        <v>8</v>
      </c>
      <c r="C77" s="6">
        <v>1</v>
      </c>
      <c r="D77" s="8">
        <v>30</v>
      </c>
      <c r="E77" s="2" t="s">
        <v>74</v>
      </c>
      <c r="F77" s="2" t="s">
        <v>76</v>
      </c>
    </row>
    <row r="78" ht="18" customHeight="1">
      <c r="B78" s="2" t="s">
        <v>8</v>
      </c>
      <c r="C78" s="6">
        <v>1</v>
      </c>
      <c r="D78" s="8">
        <v>30</v>
      </c>
      <c r="E78" s="2" t="s">
        <v>74</v>
      </c>
      <c r="F78" s="2" t="s">
        <v>76</v>
      </c>
    </row>
    <row r="79" ht="18" customHeight="1">
      <c r="B79" s="2" t="s">
        <v>9</v>
      </c>
      <c r="C79" s="6">
        <v>1</v>
      </c>
      <c r="D79" s="8">
        <v>30</v>
      </c>
      <c r="E79" s="2" t="s">
        <v>74</v>
      </c>
      <c r="F79" s="2" t="s">
        <v>66</v>
      </c>
    </row>
    <row r="80" ht="18" customHeight="1">
      <c r="B80" s="2" t="s">
        <v>82</v>
      </c>
      <c r="C80" s="6">
        <v>1</v>
      </c>
      <c r="D80" s="8">
        <v>30</v>
      </c>
      <c r="E80" s="2" t="s">
        <v>74</v>
      </c>
      <c r="F80" s="2" t="s">
        <v>66</v>
      </c>
    </row>
    <row r="81" ht="18" customHeight="1">
      <c r="B81" s="2" t="s">
        <v>82</v>
      </c>
      <c r="C81" s="6">
        <v>1</v>
      </c>
      <c r="D81" s="8">
        <v>30</v>
      </c>
      <c r="E81" s="2" t="s">
        <v>74</v>
      </c>
      <c r="F81" s="2" t="s">
        <v>66</v>
      </c>
    </row>
    <row r="82" ht="18" customHeight="1">
      <c r="B82" s="2" t="s">
        <v>10</v>
      </c>
      <c r="C82" s="6">
        <v>1</v>
      </c>
      <c r="D82" s="8">
        <v>34</v>
      </c>
      <c r="E82" s="2" t="s">
        <v>74</v>
      </c>
      <c r="F82" s="2" t="s">
        <v>66</v>
      </c>
    </row>
    <row r="83" ht="18" customHeight="1">
      <c r="B83" s="2" t="s">
        <v>83</v>
      </c>
      <c r="C83" s="6">
        <v>1</v>
      </c>
      <c r="D83" s="8">
        <v>34</v>
      </c>
      <c r="E83" s="2" t="s">
        <v>77</v>
      </c>
      <c r="F83" s="2" t="s">
        <v>66</v>
      </c>
    </row>
    <row r="84" ht="18" customHeight="1">
      <c r="B84" s="2" t="s">
        <v>43</v>
      </c>
      <c r="C84" s="6">
        <v>1</v>
      </c>
      <c r="D84" s="8">
        <v>34</v>
      </c>
      <c r="E84" s="2" t="s">
        <v>77</v>
      </c>
      <c r="F84" s="2" t="s">
        <v>66</v>
      </c>
    </row>
    <row r="85" ht="18" customHeight="1">
      <c r="B85" s="2" t="s">
        <v>39</v>
      </c>
      <c r="C85" s="6">
        <v>1</v>
      </c>
      <c r="D85" s="8">
        <v>34</v>
      </c>
      <c r="E85" s="2" t="s">
        <v>77</v>
      </c>
      <c r="F85" s="2" t="s">
        <v>66</v>
      </c>
    </row>
    <row r="86" ht="18" customHeight="1">
      <c r="B86" s="2" t="s">
        <v>62</v>
      </c>
      <c r="C86" s="6">
        <v>1</v>
      </c>
      <c r="D86" s="8">
        <v>34</v>
      </c>
      <c r="E86" s="2" t="s">
        <v>40</v>
      </c>
      <c r="F86" s="2" t="s">
        <v>66</v>
      </c>
    </row>
    <row r="87" ht="18" customHeight="1">
      <c r="B87" s="2" t="s">
        <v>53</v>
      </c>
      <c r="C87" s="15">
        <v>1</v>
      </c>
      <c r="D87" s="16">
        <v>34</v>
      </c>
      <c r="E87" s="3" t="s">
        <v>40</v>
      </c>
      <c r="F87" s="3" t="s">
        <v>66</v>
      </c>
    </row>
    <row r="88" ht="19.5">
      <c r="B88" s="14" t="s">
        <v>13</v>
      </c>
      <c r="C88" s="18">
        <f>SUM(C73:C87)</f>
        <v>15</v>
      </c>
      <c r="D88" s="19">
        <f>AVERAGE(D73:D87)</f>
        <v>31.6</v>
      </c>
      <c r="E88" s="33"/>
      <c r="F88" s="34"/>
    </row>
    <row r="91" ht="15.75">
      <c r="C91" s="45" t="s">
        <v>84</v>
      </c>
      <c r="D91" s="45"/>
      <c r="E91" s="45"/>
    </row>
    <row r="92" ht="15.75">
      <c r="C92" s="45" t="s">
        <v>85</v>
      </c>
      <c r="D92" s="45"/>
      <c r="E92" s="45"/>
    </row>
    <row r="94" ht="15.75">
      <c r="B94" s="5" t="s">
        <v>2</v>
      </c>
      <c r="C94" s="5" t="s">
        <v>3</v>
      </c>
      <c r="D94" s="5" t="s">
        <v>4</v>
      </c>
      <c r="E94" s="5" t="s">
        <v>5</v>
      </c>
      <c r="F94" s="5" t="s">
        <v>6</v>
      </c>
    </row>
    <row r="95" ht="18" customHeight="1">
      <c r="B95" s="2" t="s">
        <v>7</v>
      </c>
      <c r="C95" s="6">
        <v>1</v>
      </c>
      <c r="D95" s="8">
        <v>39</v>
      </c>
      <c r="E95" s="2" t="s">
        <v>74</v>
      </c>
      <c r="F95" s="2" t="s">
        <v>66</v>
      </c>
    </row>
    <row r="96" ht="18" customHeight="1">
      <c r="B96" s="2" t="s">
        <v>8</v>
      </c>
      <c r="C96" s="6">
        <v>1</v>
      </c>
      <c r="D96" s="8">
        <v>30</v>
      </c>
      <c r="E96" s="2" t="s">
        <v>75</v>
      </c>
      <c r="F96" s="2" t="s">
        <v>76</v>
      </c>
    </row>
    <row r="97" ht="18" customHeight="1">
      <c r="B97" s="2" t="s">
        <v>8</v>
      </c>
      <c r="C97" s="6">
        <v>1</v>
      </c>
      <c r="D97" s="8">
        <v>30</v>
      </c>
      <c r="E97" s="2" t="s">
        <v>74</v>
      </c>
      <c r="F97" s="2" t="s">
        <v>76</v>
      </c>
    </row>
    <row r="98" ht="18" customHeight="1">
      <c r="B98" s="2" t="s">
        <v>83</v>
      </c>
      <c r="C98" s="6">
        <v>1</v>
      </c>
      <c r="D98" s="8">
        <v>31</v>
      </c>
      <c r="E98" s="2" t="s">
        <v>40</v>
      </c>
      <c r="F98" s="2" t="s">
        <v>66</v>
      </c>
    </row>
    <row r="99" ht="18" customHeight="1">
      <c r="B99" s="2" t="s">
        <v>43</v>
      </c>
      <c r="C99" s="6">
        <v>1</v>
      </c>
      <c r="D99" s="8">
        <v>33</v>
      </c>
      <c r="E99" s="2" t="s">
        <v>40</v>
      </c>
      <c r="F99" s="2" t="s">
        <v>66</v>
      </c>
    </row>
    <row r="100" ht="18" customHeight="1">
      <c r="B100" s="2" t="s">
        <v>59</v>
      </c>
      <c r="C100" s="6">
        <v>1</v>
      </c>
      <c r="D100" s="8">
        <v>30</v>
      </c>
      <c r="E100" s="2" t="s">
        <v>77</v>
      </c>
      <c r="F100" s="2" t="s">
        <v>66</v>
      </c>
    </row>
    <row r="101" ht="18" customHeight="1">
      <c r="B101" s="2" t="s">
        <v>62</v>
      </c>
      <c r="C101" s="6">
        <v>1</v>
      </c>
      <c r="D101" s="8">
        <v>33</v>
      </c>
      <c r="E101" s="2" t="s">
        <v>77</v>
      </c>
      <c r="F101" s="2" t="s">
        <v>66</v>
      </c>
    </row>
    <row r="102" ht="18" customHeight="1">
      <c r="B102" s="2" t="s">
        <v>53</v>
      </c>
      <c r="C102" s="6">
        <v>1</v>
      </c>
      <c r="D102" s="8">
        <v>33</v>
      </c>
      <c r="E102" s="2" t="s">
        <v>77</v>
      </c>
      <c r="F102" s="2" t="s">
        <v>66</v>
      </c>
    </row>
    <row r="103" ht="18" customHeight="1">
      <c r="B103" s="2" t="s">
        <v>10</v>
      </c>
      <c r="C103" s="6">
        <v>1</v>
      </c>
      <c r="D103" s="8">
        <v>33</v>
      </c>
      <c r="E103" s="2" t="s">
        <v>74</v>
      </c>
      <c r="F103" s="2" t="s">
        <v>66</v>
      </c>
    </row>
    <row r="104" ht="18" customHeight="1">
      <c r="B104" s="2" t="s">
        <v>10</v>
      </c>
      <c r="C104" s="6">
        <v>1</v>
      </c>
      <c r="D104" s="8">
        <v>33</v>
      </c>
      <c r="E104" s="2" t="s">
        <v>74</v>
      </c>
      <c r="F104" s="2" t="s">
        <v>66</v>
      </c>
    </row>
    <row r="105" ht="18" customHeight="1">
      <c r="B105" s="2" t="s">
        <v>86</v>
      </c>
      <c r="C105" s="6">
        <v>1</v>
      </c>
      <c r="D105" s="8">
        <v>30</v>
      </c>
      <c r="E105" s="2" t="s">
        <v>74</v>
      </c>
      <c r="F105" s="2" t="s">
        <v>66</v>
      </c>
    </row>
    <row r="106" ht="18" customHeight="1">
      <c r="B106" s="2" t="s">
        <v>86</v>
      </c>
      <c r="C106" s="6">
        <v>1</v>
      </c>
      <c r="D106" s="8">
        <v>30</v>
      </c>
      <c r="E106" s="2" t="s">
        <v>74</v>
      </c>
      <c r="F106" s="2" t="s">
        <v>66</v>
      </c>
    </row>
    <row r="107" ht="19.5">
      <c r="B107" s="14" t="s">
        <v>13</v>
      </c>
      <c r="C107" s="18">
        <f>SUM(C95:C106)</f>
        <v>12</v>
      </c>
      <c r="D107" s="19">
        <f>AVERAGE(D95:D106)</f>
        <v>32.083333333333336</v>
      </c>
      <c r="E107" s="33"/>
      <c r="F107" s="34"/>
    </row>
  </sheetData>
  <mergeCells>
    <mergeCell ref="C69:E69"/>
    <mergeCell ref="C70:E70"/>
    <mergeCell ref="C91:E91"/>
    <mergeCell ref="C92:E92"/>
    <mergeCell ref="C2:E2"/>
    <mergeCell ref="C3:E3"/>
    <mergeCell ref="C16:E16"/>
    <mergeCell ref="C17:E17"/>
    <mergeCell ref="C45:E45"/>
    <mergeCell ref="C46:E46"/>
  </mergeCells>
  <pageMargins left="0.7" right="0.7" top="0.75" bottom="0.75" header="0.3" footer="0.3"/>
  <headerFooter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21770-328D-4540-AA04-379C68320587}">
  <dimension ref="B2:J75"/>
  <sheetViews>
    <sheetView topLeftCell="A55" zoomScaleNormal="100" workbookViewId="0">
      <selection activeCell="D61" sqref="D61"/>
    </sheetView>
  </sheetViews>
  <sheetFormatPr baseColWidth="10" defaultRowHeight="15" x14ac:dyDescent="0.25"/>
  <cols>
    <col min="2" max="2" width="13.85546875" customWidth="1"/>
    <col min="3" max="4" width="9.7109375" customWidth="1"/>
    <col min="5" max="6" width="13.85546875" customWidth="1"/>
    <col min="9" max="9" width="14.7109375" customWidth="1"/>
  </cols>
  <sheetData>
    <row r="2" ht="15.75">
      <c r="C2" s="45" t="s">
        <v>87</v>
      </c>
      <c r="D2" s="45"/>
      <c r="E2" s="45"/>
    </row>
    <row r="3" ht="15.75">
      <c r="C3" s="45" t="s">
        <v>88</v>
      </c>
      <c r="D3" s="45"/>
      <c r="E3" s="45"/>
    </row>
    <row r="4" ht="15.75"/>
    <row r="5" ht="18" customHeight="1"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I5" s="13" t="s">
        <v>18</v>
      </c>
      <c r="J5" s="12"/>
    </row>
    <row r="6" ht="18" customHeight="1">
      <c r="B6" s="2" t="s">
        <v>7</v>
      </c>
      <c r="C6" s="6">
        <v>1</v>
      </c>
      <c r="D6" s="8">
        <v>29</v>
      </c>
      <c r="E6" s="11" t="s">
        <v>24</v>
      </c>
      <c r="F6" s="11" t="s">
        <v>23</v>
      </c>
      <c r="I6" s="13" t="s">
        <v>21</v>
      </c>
      <c r="J6" s="12"/>
    </row>
    <row r="7" ht="18" customHeight="1">
      <c r="B7" s="2" t="s">
        <v>7</v>
      </c>
      <c r="C7" s="6">
        <v>1</v>
      </c>
      <c r="D7" s="8">
        <v>29</v>
      </c>
      <c r="E7" s="11" t="s">
        <v>24</v>
      </c>
      <c r="F7" s="11" t="s">
        <v>23</v>
      </c>
    </row>
    <row r="8" ht="18" customHeight="1">
      <c r="B8" s="2" t="s">
        <v>8</v>
      </c>
      <c r="C8" s="6">
        <v>1</v>
      </c>
      <c r="D8" s="8">
        <v>30</v>
      </c>
      <c r="E8" s="11" t="s">
        <v>34</v>
      </c>
      <c r="F8" s="11" t="s">
        <v>20</v>
      </c>
    </row>
    <row r="9" ht="18" customHeight="1">
      <c r="B9" s="2" t="s">
        <v>51</v>
      </c>
      <c r="C9" s="6">
        <v>1</v>
      </c>
      <c r="D9" s="8">
        <v>30</v>
      </c>
      <c r="E9" s="11" t="s">
        <v>34</v>
      </c>
      <c r="F9" s="11" t="s">
        <v>20</v>
      </c>
    </row>
    <row r="10" ht="18" customHeight="1">
      <c r="B10" s="2" t="s">
        <v>70</v>
      </c>
      <c r="C10" s="6">
        <v>1</v>
      </c>
      <c r="D10" s="8">
        <v>31</v>
      </c>
      <c r="E10" s="11" t="s">
        <v>24</v>
      </c>
      <c r="F10" s="11" t="s">
        <v>23</v>
      </c>
    </row>
    <row r="11" ht="18" customHeight="1">
      <c r="B11" s="2" t="s">
        <v>59</v>
      </c>
      <c r="C11" s="6">
        <v>0.5</v>
      </c>
      <c r="D11" s="8">
        <v>30</v>
      </c>
      <c r="E11" s="11" t="s">
        <v>27</v>
      </c>
      <c r="F11" s="11" t="s">
        <v>23</v>
      </c>
    </row>
    <row r="12" ht="18" customHeight="1">
      <c r="B12" s="2" t="s">
        <v>43</v>
      </c>
      <c r="C12" s="6">
        <v>0.5</v>
      </c>
      <c r="D12" s="8">
        <v>33</v>
      </c>
      <c r="E12" s="11" t="s">
        <v>24</v>
      </c>
      <c r="F12" s="11" t="s">
        <v>23</v>
      </c>
    </row>
    <row r="13" ht="18" customHeight="1">
      <c r="B13" s="2" t="s">
        <v>62</v>
      </c>
      <c r="C13" s="6">
        <v>1</v>
      </c>
      <c r="D13" s="8">
        <v>33</v>
      </c>
      <c r="E13" s="11" t="s">
        <v>40</v>
      </c>
      <c r="F13" s="11" t="s">
        <v>23</v>
      </c>
    </row>
    <row r="14" ht="18" customHeight="1">
      <c r="B14" s="2" t="s">
        <v>79</v>
      </c>
      <c r="C14" s="6">
        <v>1</v>
      </c>
      <c r="D14" s="8">
        <v>33</v>
      </c>
      <c r="E14" s="11" t="s">
        <v>27</v>
      </c>
      <c r="F14" s="11" t="s">
        <v>23</v>
      </c>
    </row>
    <row r="15" ht="18" customHeight="1">
      <c r="B15" s="2" t="s">
        <v>9</v>
      </c>
      <c r="C15" s="6">
        <v>1</v>
      </c>
      <c r="D15" s="8">
        <v>46</v>
      </c>
      <c r="E15" s="11" t="s">
        <v>27</v>
      </c>
      <c r="F15" s="11" t="s">
        <v>23</v>
      </c>
    </row>
    <row r="16" ht="18" customHeight="1">
      <c r="B16" s="2" t="s">
        <v>9</v>
      </c>
      <c r="C16" s="6">
        <v>1</v>
      </c>
      <c r="D16" s="8">
        <v>46</v>
      </c>
      <c r="E16" s="11" t="s">
        <v>24</v>
      </c>
      <c r="F16" s="11" t="s">
        <v>23</v>
      </c>
    </row>
    <row r="17" ht="18" customHeight="1">
      <c r="B17" s="2" t="s">
        <v>10</v>
      </c>
      <c r="C17" s="6">
        <v>1</v>
      </c>
      <c r="D17" s="8">
        <v>33</v>
      </c>
      <c r="E17" s="11" t="s">
        <v>24</v>
      </c>
      <c r="F17" s="11" t="s">
        <v>23</v>
      </c>
    </row>
    <row r="18" ht="18" customHeight="1">
      <c r="B18" s="2" t="s">
        <v>10</v>
      </c>
      <c r="C18" s="6">
        <v>1</v>
      </c>
      <c r="D18" s="8">
        <v>33</v>
      </c>
      <c r="E18" s="11" t="s">
        <v>24</v>
      </c>
      <c r="F18" s="11" t="s">
        <v>23</v>
      </c>
    </row>
    <row r="19" ht="19.5">
      <c r="B19" s="14" t="s">
        <v>13</v>
      </c>
      <c r="C19" s="18">
        <f>SUM(C6:C18)</f>
        <v>12</v>
      </c>
      <c r="D19" s="19">
        <f>AVERAGE(D6:D18)</f>
        <v>33.53846153846154</v>
      </c>
      <c r="E19" s="33"/>
      <c r="F19" s="34"/>
    </row>
    <row r="23" ht="15.75">
      <c r="C23" s="45" t="s">
        <v>89</v>
      </c>
      <c r="D23" s="45"/>
      <c r="E23" s="45"/>
    </row>
    <row r="24" ht="15.75">
      <c r="C24" s="45" t="s">
        <v>90</v>
      </c>
      <c r="D24" s="45"/>
      <c r="E24" s="45"/>
    </row>
    <row r="26" ht="15.75">
      <c r="B26" s="5" t="s">
        <v>2</v>
      </c>
      <c r="C26" s="5" t="s">
        <v>3</v>
      </c>
      <c r="D26" s="5" t="s">
        <v>4</v>
      </c>
      <c r="E26" s="5" t="s">
        <v>5</v>
      </c>
      <c r="F26" s="5" t="s">
        <v>6</v>
      </c>
    </row>
    <row r="27" ht="18" customHeight="1">
      <c r="B27" s="2" t="s">
        <v>7</v>
      </c>
      <c r="C27" s="6">
        <v>1</v>
      </c>
      <c r="D27" s="8">
        <v>30</v>
      </c>
      <c r="E27" s="11" t="s">
        <v>24</v>
      </c>
      <c r="F27" s="11" t="s">
        <v>23</v>
      </c>
    </row>
    <row r="28" ht="18" customHeight="1">
      <c r="B28" s="2" t="s">
        <v>7</v>
      </c>
      <c r="C28" s="6">
        <v>1</v>
      </c>
      <c r="D28" s="8">
        <v>30</v>
      </c>
      <c r="E28" s="11" t="s">
        <v>24</v>
      </c>
      <c r="F28" s="11" t="s">
        <v>23</v>
      </c>
    </row>
    <row r="29" ht="18" customHeight="1">
      <c r="B29" s="2" t="s">
        <v>8</v>
      </c>
      <c r="C29" s="6">
        <v>1</v>
      </c>
      <c r="D29" s="8">
        <v>54</v>
      </c>
      <c r="E29" s="11" t="s">
        <v>34</v>
      </c>
      <c r="F29" s="11" t="s">
        <v>20</v>
      </c>
    </row>
    <row r="30" ht="18" customHeight="1">
      <c r="B30" s="2" t="s">
        <v>62</v>
      </c>
      <c r="C30" s="6">
        <v>1</v>
      </c>
      <c r="D30" s="8">
        <v>33</v>
      </c>
      <c r="E30" s="11" t="s">
        <v>27</v>
      </c>
      <c r="F30" s="11" t="s">
        <v>23</v>
      </c>
    </row>
    <row r="31" ht="18" customHeight="1">
      <c r="B31" s="2" t="s">
        <v>62</v>
      </c>
      <c r="C31" s="6">
        <v>1</v>
      </c>
      <c r="D31" s="8">
        <v>33</v>
      </c>
      <c r="E31" s="11" t="s">
        <v>27</v>
      </c>
      <c r="F31" s="11" t="s">
        <v>23</v>
      </c>
    </row>
    <row r="32" ht="18" customHeight="1">
      <c r="B32" s="2" t="s">
        <v>79</v>
      </c>
      <c r="C32" s="6">
        <v>1</v>
      </c>
      <c r="D32" s="8">
        <v>33</v>
      </c>
      <c r="E32" s="11" t="s">
        <v>40</v>
      </c>
      <c r="F32" s="11" t="s">
        <v>23</v>
      </c>
    </row>
    <row r="33" ht="18" customHeight="1">
      <c r="B33" s="2" t="s">
        <v>9</v>
      </c>
      <c r="C33" s="6">
        <v>1</v>
      </c>
      <c r="D33" s="8">
        <v>30</v>
      </c>
      <c r="E33" s="11" t="s">
        <v>24</v>
      </c>
      <c r="F33" s="11" t="s">
        <v>23</v>
      </c>
    </row>
    <row r="34" ht="18" customHeight="1">
      <c r="B34" s="2" t="s">
        <v>10</v>
      </c>
      <c r="C34" s="6">
        <v>1</v>
      </c>
      <c r="D34" s="8">
        <v>33</v>
      </c>
      <c r="E34" s="11" t="s">
        <v>27</v>
      </c>
      <c r="F34" s="11" t="s">
        <v>23</v>
      </c>
    </row>
    <row r="35" ht="19.5">
      <c r="B35" s="14" t="s">
        <v>13</v>
      </c>
      <c r="C35" s="18">
        <f>SUM(C27:C34)</f>
        <v>8</v>
      </c>
      <c r="D35" s="19">
        <f>AVERAGE(D27:D34)</f>
        <v>34.5</v>
      </c>
      <c r="E35" s="33"/>
      <c r="F35" s="34"/>
    </row>
    <row r="39" ht="15.75">
      <c r="C39" s="45" t="s">
        <v>91</v>
      </c>
      <c r="D39" s="45"/>
      <c r="E39" s="45"/>
    </row>
    <row r="40" ht="15.75">
      <c r="C40" s="45" t="s">
        <v>92</v>
      </c>
      <c r="D40" s="45"/>
      <c r="E40" s="45"/>
    </row>
    <row r="42" ht="15.75">
      <c r="B42" s="5" t="s">
        <v>2</v>
      </c>
      <c r="C42" s="5" t="s">
        <v>3</v>
      </c>
      <c r="D42" s="5" t="s">
        <v>4</v>
      </c>
      <c r="E42" s="5" t="s">
        <v>5</v>
      </c>
      <c r="F42" s="5" t="s">
        <v>6</v>
      </c>
    </row>
    <row r="43" ht="18" customHeight="1">
      <c r="B43" s="2" t="s">
        <v>7</v>
      </c>
      <c r="C43" s="6">
        <v>1</v>
      </c>
      <c r="D43" s="8">
        <v>30</v>
      </c>
      <c r="E43" s="11" t="s">
        <v>24</v>
      </c>
      <c r="F43" s="11" t="s">
        <v>23</v>
      </c>
    </row>
    <row r="44" ht="18" customHeight="1">
      <c r="B44" s="2" t="s">
        <v>8</v>
      </c>
      <c r="C44" s="6">
        <v>1</v>
      </c>
      <c r="D44" s="8">
        <v>30</v>
      </c>
      <c r="E44" s="11" t="s">
        <v>34</v>
      </c>
      <c r="F44" s="11" t="s">
        <v>20</v>
      </c>
    </row>
    <row r="45" ht="18" customHeight="1">
      <c r="B45" s="2" t="s">
        <v>62</v>
      </c>
      <c r="C45" s="6">
        <v>1</v>
      </c>
      <c r="D45" s="8">
        <v>33</v>
      </c>
      <c r="E45" s="11" t="s">
        <v>27</v>
      </c>
      <c r="F45" s="11" t="s">
        <v>23</v>
      </c>
    </row>
    <row r="46" ht="18" customHeight="1">
      <c r="B46" s="2" t="s">
        <v>39</v>
      </c>
      <c r="C46" s="6">
        <v>1</v>
      </c>
      <c r="D46" s="8">
        <v>33</v>
      </c>
      <c r="E46" s="11" t="s">
        <v>27</v>
      </c>
      <c r="F46" s="11" t="s">
        <v>23</v>
      </c>
    </row>
    <row r="47" ht="18" customHeight="1">
      <c r="B47" s="2" t="s">
        <v>43</v>
      </c>
      <c r="C47" s="6">
        <v>1</v>
      </c>
      <c r="D47" s="8">
        <v>33</v>
      </c>
      <c r="E47" s="11" t="s">
        <v>40</v>
      </c>
      <c r="F47" s="11" t="s">
        <v>23</v>
      </c>
    </row>
    <row r="48" ht="18" customHeight="1">
      <c r="B48" s="2" t="s">
        <v>9</v>
      </c>
      <c r="C48" s="6">
        <v>1</v>
      </c>
      <c r="D48" s="8">
        <v>30</v>
      </c>
      <c r="E48" s="11" t="s">
        <v>24</v>
      </c>
      <c r="F48" s="11" t="s">
        <v>23</v>
      </c>
    </row>
    <row r="49" ht="18" customHeight="1">
      <c r="B49" s="2" t="s">
        <v>10</v>
      </c>
      <c r="C49" s="6">
        <v>1</v>
      </c>
      <c r="D49" s="8">
        <v>33</v>
      </c>
      <c r="E49" s="11" t="s">
        <v>27</v>
      </c>
      <c r="F49" s="11" t="s">
        <v>23</v>
      </c>
    </row>
    <row r="50" ht="18" customHeight="1">
      <c r="B50" s="2"/>
      <c r="C50" s="6"/>
      <c r="D50" s="8"/>
      <c r="E50" s="11"/>
      <c r="F50" s="11"/>
    </row>
    <row r="51" ht="19.5">
      <c r="B51" s="14" t="s">
        <v>13</v>
      </c>
      <c r="C51" s="18">
        <f>SUM(C43:C50)</f>
        <v>7</v>
      </c>
      <c r="D51" s="19">
        <f>AVERAGE(D43:D50)</f>
        <v>31.714285714285715</v>
      </c>
      <c r="E51" s="35"/>
      <c r="F51" s="36"/>
    </row>
    <row r="55" ht="15.75">
      <c r="C55" s="45" t="s">
        <v>93</v>
      </c>
      <c r="D55" s="45"/>
      <c r="E55" s="45"/>
    </row>
    <row r="56" ht="15.75">
      <c r="C56" s="45" t="s">
        <v>94</v>
      </c>
      <c r="D56" s="45"/>
      <c r="E56" s="45"/>
    </row>
    <row r="58" ht="15.75">
      <c r="B58" s="5" t="s">
        <v>2</v>
      </c>
      <c r="C58" s="5" t="s">
        <v>3</v>
      </c>
      <c r="D58" s="5" t="s">
        <v>4</v>
      </c>
      <c r="E58" s="5" t="s">
        <v>5</v>
      </c>
      <c r="F58" s="5" t="s">
        <v>6</v>
      </c>
    </row>
    <row r="59" ht="18" customHeight="1">
      <c r="B59" s="2" t="s">
        <v>7</v>
      </c>
      <c r="C59" s="6">
        <v>1</v>
      </c>
      <c r="D59" s="8">
        <v>31</v>
      </c>
      <c r="E59" s="11" t="s">
        <v>24</v>
      </c>
      <c r="F59" s="11" t="s">
        <v>23</v>
      </c>
    </row>
    <row r="60" ht="18" customHeight="1">
      <c r="B60" s="2" t="s">
        <v>7</v>
      </c>
      <c r="C60" s="6">
        <v>1</v>
      </c>
      <c r="D60" s="8">
        <v>31</v>
      </c>
      <c r="E60" s="11" t="s">
        <v>24</v>
      </c>
      <c r="F60" s="11" t="s">
        <v>23</v>
      </c>
    </row>
    <row r="61" ht="18" customHeight="1">
      <c r="B61" s="2" t="s">
        <v>8</v>
      </c>
      <c r="C61" s="6">
        <v>1</v>
      </c>
      <c r="D61" s="8">
        <v>31</v>
      </c>
      <c r="E61" s="11" t="s">
        <v>34</v>
      </c>
      <c r="F61" s="11" t="s">
        <v>20</v>
      </c>
    </row>
    <row r="62" ht="18" customHeight="1">
      <c r="B62" s="2" t="s">
        <v>8</v>
      </c>
      <c r="C62" s="6">
        <v>1</v>
      </c>
      <c r="D62" s="8">
        <v>31</v>
      </c>
      <c r="E62" s="11" t="s">
        <v>34</v>
      </c>
      <c r="F62" s="11" t="s">
        <v>20</v>
      </c>
    </row>
    <row r="63" ht="18" customHeight="1">
      <c r="B63" s="2" t="s">
        <v>43</v>
      </c>
      <c r="C63" s="6">
        <v>0.5</v>
      </c>
      <c r="D63" s="8">
        <v>34</v>
      </c>
      <c r="E63" s="11" t="s">
        <v>27</v>
      </c>
      <c r="F63" s="11" t="s">
        <v>23</v>
      </c>
    </row>
    <row r="64" ht="18" customHeight="1">
      <c r="B64" s="2" t="s">
        <v>62</v>
      </c>
      <c r="C64" s="6">
        <v>1</v>
      </c>
      <c r="D64" s="8">
        <v>34</v>
      </c>
      <c r="E64" s="11" t="s">
        <v>27</v>
      </c>
      <c r="F64" s="11" t="s">
        <v>23</v>
      </c>
    </row>
    <row r="65" ht="18" customHeight="1">
      <c r="B65" s="2" t="s">
        <v>53</v>
      </c>
      <c r="C65" s="6">
        <v>1</v>
      </c>
      <c r="D65" s="8">
        <v>34</v>
      </c>
      <c r="E65" s="11" t="s">
        <v>40</v>
      </c>
      <c r="F65" s="11" t="s">
        <v>23</v>
      </c>
    </row>
    <row r="66" ht="18" customHeight="1">
      <c r="B66" s="2" t="s">
        <v>9</v>
      </c>
      <c r="C66" s="6">
        <v>1</v>
      </c>
      <c r="D66" s="8">
        <v>31</v>
      </c>
      <c r="E66" s="11" t="s">
        <v>34</v>
      </c>
      <c r="F66" s="11" t="s">
        <v>23</v>
      </c>
    </row>
    <row r="67" ht="18" customHeight="1">
      <c r="B67" s="2" t="s">
        <v>10</v>
      </c>
      <c r="C67" s="6">
        <v>1</v>
      </c>
      <c r="D67" s="8">
        <v>34</v>
      </c>
      <c r="E67" s="11" t="s">
        <v>40</v>
      </c>
      <c r="F67" s="11" t="s">
        <v>23</v>
      </c>
    </row>
    <row r="68" ht="18" customHeight="1">
      <c r="B68" s="2" t="s">
        <v>10</v>
      </c>
      <c r="C68" s="6">
        <v>1</v>
      </c>
      <c r="D68" s="8">
        <v>34</v>
      </c>
      <c r="E68" s="11" t="s">
        <v>40</v>
      </c>
      <c r="F68" s="11" t="s">
        <v>23</v>
      </c>
    </row>
    <row r="69" ht="18" customHeight="1">
      <c r="B69" s="2" t="s">
        <v>9</v>
      </c>
      <c r="C69" s="6">
        <v>1</v>
      </c>
      <c r="D69" s="8">
        <v>31</v>
      </c>
      <c r="E69" s="11" t="s">
        <v>24</v>
      </c>
      <c r="F69" s="11" t="s">
        <v>23</v>
      </c>
    </row>
    <row r="70" ht="18" customHeight="1">
      <c r="B70" s="2" t="s">
        <v>83</v>
      </c>
      <c r="C70" s="6">
        <v>1</v>
      </c>
      <c r="D70" s="8">
        <v>34</v>
      </c>
      <c r="E70" s="11" t="s">
        <v>24</v>
      </c>
      <c r="F70" s="11" t="s">
        <v>23</v>
      </c>
    </row>
    <row r="71" ht="18" customHeight="1">
      <c r="B71" s="2" t="s">
        <v>39</v>
      </c>
      <c r="C71" s="6">
        <v>0.5</v>
      </c>
      <c r="D71" s="8">
        <v>34</v>
      </c>
      <c r="E71" s="11" t="s">
        <v>24</v>
      </c>
      <c r="F71" s="11" t="s">
        <v>23</v>
      </c>
    </row>
    <row r="72" ht="18" customHeight="1">
      <c r="B72" s="2" t="s">
        <v>62</v>
      </c>
      <c r="C72" s="6">
        <v>1</v>
      </c>
      <c r="D72" s="8">
        <v>34</v>
      </c>
      <c r="E72" s="11" t="s">
        <v>24</v>
      </c>
      <c r="F72" s="11" t="s">
        <v>23</v>
      </c>
    </row>
    <row r="73" ht="18" customHeight="1">
      <c r="B73" s="2"/>
      <c r="C73" s="6"/>
      <c r="D73" s="8"/>
      <c r="E73" s="11"/>
      <c r="F73" s="11"/>
    </row>
    <row r="74" ht="18" customHeight="1">
      <c r="B74" s="2"/>
      <c r="C74" s="15"/>
      <c r="D74" s="16"/>
      <c r="E74" s="17"/>
      <c r="F74" s="17"/>
    </row>
    <row r="75" ht="19.5">
      <c r="B75" s="14" t="s">
        <v>13</v>
      </c>
      <c r="C75" s="18">
        <f>SUM(C59:C74)</f>
        <v>13</v>
      </c>
      <c r="D75" s="19">
        <f>AVERAGE(D59:D74)</f>
        <v>32.714285714285715</v>
      </c>
      <c r="E75" s="35"/>
      <c r="F75" s="36"/>
    </row>
  </sheetData>
  <mergeCells>
    <mergeCell ref="C55:E55"/>
    <mergeCell ref="C56:E56"/>
    <mergeCell ref="C2:E2"/>
    <mergeCell ref="C3:E3"/>
    <mergeCell ref="C23:E23"/>
    <mergeCell ref="C24:E24"/>
    <mergeCell ref="C39:E39"/>
    <mergeCell ref="C40:E40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8F8EF-A0E5-49C3-82B9-389B390F016E}">
  <dimension ref="B2:J82"/>
  <sheetViews>
    <sheetView topLeftCell="A36" zoomScaleNormal="100" workbookViewId="0">
      <selection activeCell="J7" sqref="J7"/>
    </sheetView>
  </sheetViews>
  <sheetFormatPr baseColWidth="10" defaultRowHeight="15" x14ac:dyDescent="0.25"/>
  <cols>
    <col min="2" max="2" width="13.85546875" customWidth="1"/>
    <col min="3" max="4" width="9.7109375" customWidth="1"/>
    <col min="5" max="6" width="13.85546875" customWidth="1"/>
    <col min="9" max="9" width="14.7109375" customWidth="1"/>
  </cols>
  <sheetData>
    <row r="2" ht="15.75">
      <c r="C2" s="45" t="s">
        <v>89</v>
      </c>
      <c r="D2" s="45"/>
      <c r="E2" s="45"/>
    </row>
    <row r="3" ht="15.75">
      <c r="C3" s="45" t="s">
        <v>95</v>
      </c>
      <c r="D3" s="45"/>
      <c r="E3" s="45"/>
    </row>
    <row r="4" ht="15.75"/>
    <row r="5" ht="18" customHeight="1"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I5" s="13" t="s">
        <v>18</v>
      </c>
      <c r="J5" s="12">
        <f>SUM(C19,C40,C61,C82)</f>
        <v>45</v>
      </c>
    </row>
    <row r="6" ht="18" customHeight="1">
      <c r="B6" s="2" t="s">
        <v>7</v>
      </c>
      <c r="C6" s="6">
        <v>1</v>
      </c>
      <c r="D6" s="8">
        <v>30</v>
      </c>
      <c r="E6" s="11" t="s">
        <v>24</v>
      </c>
      <c r="F6" s="11" t="s">
        <v>23</v>
      </c>
      <c r="I6" s="13" t="s">
        <v>21</v>
      </c>
      <c r="J6" s="12">
        <f>AVERAGE(D19,D40,D61,D82)</f>
        <v>39.3525641025641</v>
      </c>
    </row>
    <row r="7" ht="18" customHeight="1">
      <c r="B7" s="2" t="s">
        <v>59</v>
      </c>
      <c r="C7" s="6">
        <v>1</v>
      </c>
      <c r="D7" s="8">
        <v>35</v>
      </c>
      <c r="E7" s="11" t="s">
        <v>77</v>
      </c>
      <c r="F7" s="11" t="s">
        <v>23</v>
      </c>
    </row>
    <row r="8" ht="18" customHeight="1">
      <c r="B8" s="2" t="s">
        <v>8</v>
      </c>
      <c r="C8" s="6">
        <v>1</v>
      </c>
      <c r="D8" s="8">
        <v>32</v>
      </c>
      <c r="E8" s="11" t="s">
        <v>34</v>
      </c>
      <c r="F8" s="11" t="s">
        <v>20</v>
      </c>
    </row>
    <row r="9" ht="18" customHeight="1">
      <c r="B9" s="2" t="s">
        <v>8</v>
      </c>
      <c r="C9" s="6">
        <v>1</v>
      </c>
      <c r="D9" s="8">
        <v>32</v>
      </c>
      <c r="E9" s="11" t="s">
        <v>24</v>
      </c>
      <c r="F9" s="11" t="s">
        <v>23</v>
      </c>
    </row>
    <row r="10" ht="18" customHeight="1">
      <c r="B10" s="2" t="s">
        <v>70</v>
      </c>
      <c r="C10" s="6">
        <v>1</v>
      </c>
      <c r="D10" s="8">
        <v>35</v>
      </c>
      <c r="E10" s="11" t="s">
        <v>77</v>
      </c>
      <c r="F10" s="11" t="s">
        <v>23</v>
      </c>
    </row>
    <row r="11" ht="18" customHeight="1">
      <c r="B11" s="2" t="s">
        <v>96</v>
      </c>
      <c r="C11" s="6">
        <v>1</v>
      </c>
      <c r="D11" s="8">
        <v>35</v>
      </c>
      <c r="E11" s="11" t="s">
        <v>40</v>
      </c>
      <c r="F11" s="11" t="s">
        <v>23</v>
      </c>
    </row>
    <row r="12" ht="18" customHeight="1">
      <c r="B12" s="2" t="s">
        <v>43</v>
      </c>
      <c r="C12" s="6">
        <v>1</v>
      </c>
      <c r="D12" s="8">
        <v>35</v>
      </c>
      <c r="E12" s="11" t="s">
        <v>24</v>
      </c>
      <c r="F12" s="11" t="s">
        <v>23</v>
      </c>
    </row>
    <row r="13" ht="18" customHeight="1">
      <c r="B13" s="2" t="s">
        <v>62</v>
      </c>
      <c r="C13" s="6">
        <v>1</v>
      </c>
      <c r="D13" s="8">
        <v>35</v>
      </c>
      <c r="E13" s="11" t="s">
        <v>40</v>
      </c>
      <c r="F13" s="11" t="s">
        <v>23</v>
      </c>
    </row>
    <row r="14" ht="18" customHeight="1">
      <c r="B14" s="2" t="s">
        <v>39</v>
      </c>
      <c r="C14" s="6">
        <v>0.5</v>
      </c>
      <c r="D14" s="8">
        <v>35</v>
      </c>
      <c r="E14" s="11" t="s">
        <v>24</v>
      </c>
      <c r="F14" s="11" t="s">
        <v>23</v>
      </c>
    </row>
    <row r="15" ht="18" customHeight="1">
      <c r="B15" s="2" t="s">
        <v>43</v>
      </c>
      <c r="C15" s="6">
        <v>0.5</v>
      </c>
      <c r="D15" s="8">
        <v>35</v>
      </c>
      <c r="E15" s="11" t="s">
        <v>24</v>
      </c>
      <c r="F15" s="11" t="s">
        <v>23</v>
      </c>
    </row>
    <row r="16" ht="18" customHeight="1">
      <c r="B16" s="2" t="s">
        <v>10</v>
      </c>
      <c r="C16" s="6">
        <v>0.5</v>
      </c>
      <c r="D16" s="8">
        <v>35</v>
      </c>
      <c r="E16" s="11" t="s">
        <v>24</v>
      </c>
      <c r="F16" s="11" t="s">
        <v>23</v>
      </c>
    </row>
    <row r="17" ht="18" customHeight="1">
      <c r="B17" s="2" t="s">
        <v>8</v>
      </c>
      <c r="C17" s="6">
        <v>0.5</v>
      </c>
      <c r="D17" s="8">
        <v>32</v>
      </c>
      <c r="E17" s="11" t="s">
        <v>24</v>
      </c>
      <c r="F17" s="11" t="s">
        <v>23</v>
      </c>
    </row>
    <row r="18" ht="18" customHeight="1">
      <c r="B18" s="2" t="s">
        <v>9</v>
      </c>
      <c r="C18" s="6">
        <v>1</v>
      </c>
      <c r="D18" s="8">
        <v>46</v>
      </c>
      <c r="E18" s="11" t="s">
        <v>24</v>
      </c>
      <c r="F18" s="11" t="s">
        <v>23</v>
      </c>
    </row>
    <row r="19" ht="19.5">
      <c r="B19" s="14" t="s">
        <v>13</v>
      </c>
      <c r="C19" s="18">
        <f>SUM(C6:C18)</f>
        <v>11</v>
      </c>
      <c r="D19" s="19">
        <f>AVERAGE(D6:D18)</f>
        <v>34.76923076923077</v>
      </c>
      <c r="E19" s="33"/>
      <c r="F19" s="34"/>
    </row>
    <row r="23" ht="15.75">
      <c r="C23" s="45" t="s">
        <v>91</v>
      </c>
      <c r="D23" s="45"/>
      <c r="E23" s="45"/>
    </row>
    <row r="24" ht="15.75">
      <c r="C24" s="45" t="s">
        <v>97</v>
      </c>
      <c r="D24" s="45"/>
      <c r="E24" s="45"/>
    </row>
    <row r="26" ht="15.75">
      <c r="B26" s="5" t="s">
        <v>2</v>
      </c>
      <c r="C26" s="5" t="s">
        <v>3</v>
      </c>
      <c r="D26" s="5" t="s">
        <v>4</v>
      </c>
      <c r="E26" s="5" t="s">
        <v>5</v>
      </c>
      <c r="F26" s="5" t="s">
        <v>6</v>
      </c>
    </row>
    <row r="27" ht="18" customHeight="1">
      <c r="B27" s="2" t="s">
        <v>7</v>
      </c>
      <c r="C27" s="6">
        <v>1</v>
      </c>
      <c r="D27" s="8">
        <v>36</v>
      </c>
      <c r="E27" s="11" t="s">
        <v>24</v>
      </c>
      <c r="F27" s="11" t="s">
        <v>23</v>
      </c>
    </row>
    <row r="28" ht="18" customHeight="1">
      <c r="B28" s="2" t="s">
        <v>7</v>
      </c>
      <c r="C28" s="6">
        <v>1</v>
      </c>
      <c r="D28" s="8">
        <v>36</v>
      </c>
      <c r="E28" s="11" t="s">
        <v>24</v>
      </c>
      <c r="F28" s="11" t="s">
        <v>23</v>
      </c>
    </row>
    <row r="29" ht="18" customHeight="1">
      <c r="B29" s="2" t="s">
        <v>8</v>
      </c>
      <c r="C29" s="6">
        <v>1</v>
      </c>
      <c r="D29" s="8">
        <v>36</v>
      </c>
      <c r="E29" s="11" t="s">
        <v>34</v>
      </c>
      <c r="F29" s="11" t="s">
        <v>20</v>
      </c>
    </row>
    <row r="30" ht="18" customHeight="1">
      <c r="B30" s="2" t="s">
        <v>8</v>
      </c>
      <c r="C30" s="6">
        <v>1</v>
      </c>
      <c r="D30" s="8">
        <v>36</v>
      </c>
      <c r="E30" s="11" t="s">
        <v>75</v>
      </c>
      <c r="F30" s="11" t="s">
        <v>20</v>
      </c>
    </row>
    <row r="31" ht="18" customHeight="1">
      <c r="B31" s="2" t="s">
        <v>8</v>
      </c>
      <c r="C31" s="6">
        <v>1</v>
      </c>
      <c r="D31" s="8">
        <v>36</v>
      </c>
      <c r="E31" s="11" t="s">
        <v>24</v>
      </c>
      <c r="F31" s="11" t="s">
        <v>23</v>
      </c>
    </row>
    <row r="32" ht="18" customHeight="1">
      <c r="B32" s="2" t="s">
        <v>83</v>
      </c>
      <c r="C32" s="6">
        <v>0.5</v>
      </c>
      <c r="D32" s="8">
        <v>39</v>
      </c>
      <c r="E32" s="11" t="s">
        <v>40</v>
      </c>
      <c r="F32" s="11"/>
    </row>
    <row r="33" ht="18" customHeight="1">
      <c r="B33" s="2" t="s">
        <v>98</v>
      </c>
      <c r="C33" s="6">
        <v>0.5</v>
      </c>
      <c r="D33" s="8">
        <v>39</v>
      </c>
      <c r="E33" s="11" t="s">
        <v>40</v>
      </c>
      <c r="F33" s="11"/>
    </row>
    <row r="34" ht="18" customHeight="1">
      <c r="B34" s="2" t="s">
        <v>59</v>
      </c>
      <c r="C34" s="6">
        <v>1</v>
      </c>
      <c r="D34" s="8">
        <v>39</v>
      </c>
      <c r="E34" s="11" t="s">
        <v>40</v>
      </c>
      <c r="F34" s="11"/>
    </row>
    <row r="35" ht="18" customHeight="1">
      <c r="B35" s="2" t="s">
        <v>62</v>
      </c>
      <c r="C35" s="6">
        <v>1</v>
      </c>
      <c r="D35" s="8">
        <v>39</v>
      </c>
      <c r="E35" s="11" t="s">
        <v>27</v>
      </c>
      <c r="F35" s="11" t="s">
        <v>23</v>
      </c>
    </row>
    <row r="36" ht="18" customHeight="1">
      <c r="B36" s="2" t="s">
        <v>62</v>
      </c>
      <c r="C36" s="6">
        <v>1</v>
      </c>
      <c r="D36" s="8">
        <v>39</v>
      </c>
      <c r="E36" s="11" t="s">
        <v>27</v>
      </c>
      <c r="F36" s="11" t="s">
        <v>23</v>
      </c>
    </row>
    <row r="37" ht="18" customHeight="1">
      <c r="B37" s="2" t="s">
        <v>79</v>
      </c>
      <c r="C37" s="6">
        <v>1</v>
      </c>
      <c r="D37" s="8">
        <v>39</v>
      </c>
      <c r="E37" s="11" t="s">
        <v>27</v>
      </c>
      <c r="F37" s="11" t="s">
        <v>23</v>
      </c>
    </row>
    <row r="38" ht="18" customHeight="1">
      <c r="B38" s="2" t="s">
        <v>9</v>
      </c>
      <c r="C38" s="6">
        <v>1</v>
      </c>
      <c r="D38" s="8">
        <v>38</v>
      </c>
      <c r="E38" s="11" t="s">
        <v>24</v>
      </c>
      <c r="F38" s="11" t="s">
        <v>23</v>
      </c>
    </row>
    <row r="39" ht="18" customHeight="1">
      <c r="B39" s="2" t="s">
        <v>9</v>
      </c>
      <c r="C39" s="6">
        <v>1</v>
      </c>
      <c r="D39" s="8">
        <v>38</v>
      </c>
      <c r="E39" s="11" t="s">
        <v>24</v>
      </c>
      <c r="F39" s="11" t="s">
        <v>23</v>
      </c>
    </row>
    <row r="40" ht="19.5">
      <c r="B40" s="14" t="s">
        <v>13</v>
      </c>
      <c r="C40" s="18">
        <f>SUM(C27:C39)</f>
        <v>12</v>
      </c>
      <c r="D40" s="19">
        <f>AVERAGE(D27:D39)</f>
        <v>37.69230769230769</v>
      </c>
      <c r="E40" s="33"/>
      <c r="F40" s="34"/>
    </row>
    <row r="44" ht="15.75">
      <c r="C44" s="45" t="s">
        <v>99</v>
      </c>
      <c r="D44" s="45"/>
      <c r="E44" s="45"/>
    </row>
    <row r="45" ht="15.75">
      <c r="C45" s="45" t="s">
        <v>100</v>
      </c>
      <c r="D45" s="45"/>
      <c r="E45" s="45"/>
    </row>
    <row r="47" ht="15.75">
      <c r="B47" s="5" t="s">
        <v>2</v>
      </c>
      <c r="C47" s="5" t="s">
        <v>3</v>
      </c>
      <c r="D47" s="5" t="s">
        <v>4</v>
      </c>
      <c r="E47" s="5" t="s">
        <v>5</v>
      </c>
      <c r="F47" s="5" t="s">
        <v>6</v>
      </c>
    </row>
    <row r="48" ht="18" customHeight="1">
      <c r="B48" s="2" t="s">
        <v>7</v>
      </c>
      <c r="C48" s="6">
        <v>1</v>
      </c>
      <c r="D48" s="8">
        <v>42</v>
      </c>
      <c r="E48" s="11" t="s">
        <v>24</v>
      </c>
      <c r="F48" s="11" t="s">
        <v>23</v>
      </c>
    </row>
    <row r="49" ht="18" customHeight="1">
      <c r="B49" s="2" t="s">
        <v>8</v>
      </c>
      <c r="C49" s="6">
        <v>1</v>
      </c>
      <c r="D49" s="8">
        <v>40</v>
      </c>
      <c r="E49" s="11" t="s">
        <v>34</v>
      </c>
      <c r="F49" s="11" t="s">
        <v>20</v>
      </c>
    </row>
    <row r="50" ht="18" customHeight="1">
      <c r="B50" s="2" t="s">
        <v>8</v>
      </c>
      <c r="C50" s="6">
        <v>1</v>
      </c>
      <c r="D50" s="8">
        <v>40</v>
      </c>
      <c r="E50" s="11" t="s">
        <v>24</v>
      </c>
      <c r="F50" s="11" t="s">
        <v>23</v>
      </c>
    </row>
    <row r="51" ht="18" customHeight="1">
      <c r="B51" s="2" t="s">
        <v>62</v>
      </c>
      <c r="C51" s="6">
        <v>1</v>
      </c>
      <c r="D51" s="8">
        <v>44</v>
      </c>
      <c r="E51" s="11" t="s">
        <v>24</v>
      </c>
      <c r="F51" s="11" t="s">
        <v>23</v>
      </c>
    </row>
    <row r="52" ht="18" customHeight="1">
      <c r="B52" s="2" t="s">
        <v>39</v>
      </c>
      <c r="C52" s="6">
        <v>0.5</v>
      </c>
      <c r="D52" s="8">
        <v>44</v>
      </c>
      <c r="E52" s="11" t="s">
        <v>27</v>
      </c>
      <c r="F52" s="11" t="s">
        <v>23</v>
      </c>
    </row>
    <row r="53" ht="18" customHeight="1">
      <c r="B53" s="2" t="s">
        <v>83</v>
      </c>
      <c r="C53" s="6">
        <v>0.5</v>
      </c>
      <c r="D53" s="8">
        <v>44</v>
      </c>
      <c r="E53" s="11" t="s">
        <v>24</v>
      </c>
      <c r="F53" s="11" t="s">
        <v>23</v>
      </c>
    </row>
    <row r="54" ht="18" customHeight="1">
      <c r="B54" s="2" t="s">
        <v>96</v>
      </c>
      <c r="C54" s="6">
        <v>1</v>
      </c>
      <c r="D54" s="8">
        <v>44</v>
      </c>
      <c r="E54" s="11" t="s">
        <v>40</v>
      </c>
      <c r="F54" s="11" t="s">
        <v>23</v>
      </c>
    </row>
    <row r="55" ht="18" customHeight="1">
      <c r="B55" s="2" t="s">
        <v>59</v>
      </c>
      <c r="C55" s="6">
        <v>1</v>
      </c>
      <c r="D55" s="8">
        <v>44</v>
      </c>
      <c r="E55" s="11" t="s">
        <v>40</v>
      </c>
      <c r="F55" s="11" t="s">
        <v>23</v>
      </c>
    </row>
    <row r="56" ht="18" customHeight="1">
      <c r="B56" s="2" t="s">
        <v>101</v>
      </c>
      <c r="C56" s="6">
        <v>1</v>
      </c>
      <c r="D56" s="8">
        <v>44</v>
      </c>
      <c r="E56" s="11" t="s">
        <v>27</v>
      </c>
      <c r="F56" s="11" t="s">
        <v>23</v>
      </c>
    </row>
    <row r="57" ht="18" customHeight="1">
      <c r="B57" s="2" t="s">
        <v>101</v>
      </c>
      <c r="C57" s="6">
        <v>1</v>
      </c>
      <c r="D57" s="8">
        <v>44</v>
      </c>
      <c r="E57" s="11" t="s">
        <v>27</v>
      </c>
      <c r="F57" s="11" t="s">
        <v>23</v>
      </c>
    </row>
    <row r="58" ht="18" customHeight="1">
      <c r="B58" s="2" t="s">
        <v>9</v>
      </c>
      <c r="C58" s="6">
        <v>1</v>
      </c>
      <c r="D58" s="8">
        <v>40</v>
      </c>
      <c r="E58" s="11" t="s">
        <v>24</v>
      </c>
      <c r="F58" s="11" t="s">
        <v>23</v>
      </c>
    </row>
    <row r="59" ht="18" customHeight="1">
      <c r="B59" s="2" t="s">
        <v>10</v>
      </c>
      <c r="C59" s="6">
        <v>1</v>
      </c>
      <c r="D59" s="8">
        <v>44</v>
      </c>
      <c r="E59" s="11" t="s">
        <v>24</v>
      </c>
      <c r="F59" s="11" t="s">
        <v>23</v>
      </c>
    </row>
    <row r="60" ht="18" customHeight="1">
      <c r="B60" s="2" t="s">
        <v>9</v>
      </c>
      <c r="C60" s="6">
        <v>1</v>
      </c>
      <c r="D60" s="8">
        <v>40</v>
      </c>
      <c r="E60" s="11" t="s">
        <v>24</v>
      </c>
      <c r="F60" s="11" t="s">
        <v>23</v>
      </c>
    </row>
    <row r="61" ht="19.5">
      <c r="B61" s="14" t="s">
        <v>13</v>
      </c>
      <c r="C61" s="18">
        <f>SUM(C48:C60)</f>
        <v>12</v>
      </c>
      <c r="D61" s="19">
        <f>AVERAGE(D48:D60)</f>
        <v>42.61538461538461</v>
      </c>
      <c r="E61" s="35"/>
      <c r="F61" s="36"/>
    </row>
    <row r="65" ht="15.75">
      <c r="C65" s="45" t="s">
        <v>102</v>
      </c>
      <c r="D65" s="45"/>
      <c r="E65" s="45"/>
    </row>
    <row r="66" ht="15.75">
      <c r="C66" s="45" t="s">
        <v>103</v>
      </c>
      <c r="D66" s="45"/>
      <c r="E66" s="45"/>
    </row>
    <row r="68" ht="15.75">
      <c r="B68" s="5" t="s">
        <v>2</v>
      </c>
      <c r="C68" s="5" t="s">
        <v>3</v>
      </c>
      <c r="D68" s="5" t="s">
        <v>4</v>
      </c>
      <c r="E68" s="5" t="s">
        <v>5</v>
      </c>
      <c r="F68" s="5" t="s">
        <v>6</v>
      </c>
    </row>
    <row r="69" ht="18" customHeight="1">
      <c r="B69" s="2" t="s">
        <v>7</v>
      </c>
      <c r="C69" s="6">
        <v>1</v>
      </c>
      <c r="D69" s="8">
        <v>42</v>
      </c>
      <c r="E69" s="11" t="s">
        <v>24</v>
      </c>
      <c r="F69" s="11" t="s">
        <v>23</v>
      </c>
    </row>
    <row r="70" ht="18" customHeight="1">
      <c r="B70" s="2" t="s">
        <v>7</v>
      </c>
      <c r="C70" s="6">
        <v>0.5</v>
      </c>
      <c r="D70" s="8">
        <v>42</v>
      </c>
      <c r="E70" s="11" t="s">
        <v>24</v>
      </c>
      <c r="F70" s="11" t="s">
        <v>23</v>
      </c>
    </row>
    <row r="71" ht="18" customHeight="1">
      <c r="B71" s="2" t="s">
        <v>83</v>
      </c>
      <c r="C71" s="6">
        <v>0.5</v>
      </c>
      <c r="D71" s="8">
        <v>44</v>
      </c>
      <c r="E71" s="11" t="s">
        <v>24</v>
      </c>
      <c r="F71" s="11" t="s">
        <v>23</v>
      </c>
    </row>
    <row r="72" ht="18" customHeight="1">
      <c r="B72" s="2" t="s">
        <v>8</v>
      </c>
      <c r="C72" s="6">
        <v>1</v>
      </c>
      <c r="D72" s="8">
        <v>40</v>
      </c>
      <c r="E72" s="11" t="s">
        <v>34</v>
      </c>
      <c r="F72" s="11" t="s">
        <v>20</v>
      </c>
    </row>
    <row r="73" ht="18" customHeight="1">
      <c r="B73" s="2" t="s">
        <v>8</v>
      </c>
      <c r="C73" s="6">
        <v>1</v>
      </c>
      <c r="D73" s="8">
        <v>40</v>
      </c>
      <c r="E73" s="11" t="s">
        <v>34</v>
      </c>
      <c r="F73" s="11" t="s">
        <v>20</v>
      </c>
    </row>
    <row r="74" ht="18" customHeight="1">
      <c r="B74" s="2" t="s">
        <v>10</v>
      </c>
      <c r="C74" s="6">
        <v>1</v>
      </c>
      <c r="D74" s="8">
        <v>44</v>
      </c>
      <c r="E74" s="11" t="s">
        <v>24</v>
      </c>
      <c r="F74" s="11" t="s">
        <v>23</v>
      </c>
    </row>
    <row r="75" ht="18" customHeight="1">
      <c r="B75" s="2" t="s">
        <v>62</v>
      </c>
      <c r="C75" s="6">
        <v>1</v>
      </c>
      <c r="D75" s="8">
        <v>44</v>
      </c>
      <c r="E75" s="11" t="s">
        <v>24</v>
      </c>
      <c r="F75" s="11" t="s">
        <v>23</v>
      </c>
    </row>
    <row r="76" ht="18" customHeight="1">
      <c r="B76" s="2" t="s">
        <v>53</v>
      </c>
      <c r="C76" s="6">
        <v>1</v>
      </c>
      <c r="D76" s="8">
        <v>44</v>
      </c>
      <c r="E76" s="11" t="s">
        <v>77</v>
      </c>
      <c r="F76" s="11" t="s">
        <v>23</v>
      </c>
    </row>
    <row r="77" ht="18" customHeight="1">
      <c r="B77" s="2" t="s">
        <v>9</v>
      </c>
      <c r="C77" s="6">
        <v>1</v>
      </c>
      <c r="D77" s="8">
        <v>40</v>
      </c>
      <c r="E77" s="11" t="s">
        <v>24</v>
      </c>
      <c r="F77" s="11" t="s">
        <v>23</v>
      </c>
    </row>
    <row r="78" ht="18" customHeight="1">
      <c r="B78" s="2" t="s">
        <v>9</v>
      </c>
      <c r="C78" s="6">
        <v>1</v>
      </c>
      <c r="D78" s="8">
        <v>40</v>
      </c>
      <c r="E78" s="11" t="s">
        <v>24</v>
      </c>
      <c r="F78" s="11" t="s">
        <v>23</v>
      </c>
    </row>
    <row r="79" ht="18" customHeight="1">
      <c r="B79" s="2" t="s">
        <v>59</v>
      </c>
      <c r="C79" s="6">
        <v>0.5</v>
      </c>
      <c r="D79" s="8">
        <v>44</v>
      </c>
      <c r="E79" s="11" t="s">
        <v>40</v>
      </c>
      <c r="F79" s="11" t="s">
        <v>23</v>
      </c>
    </row>
    <row r="80" ht="18" customHeight="1">
      <c r="B80" s="2" t="s">
        <v>39</v>
      </c>
      <c r="C80" s="6">
        <v>0.5</v>
      </c>
      <c r="D80" s="8">
        <v>44</v>
      </c>
      <c r="E80" s="11" t="s">
        <v>40</v>
      </c>
      <c r="F80" s="11" t="s">
        <v>23</v>
      </c>
    </row>
    <row r="81" ht="18" customHeight="1">
      <c r="B81" s="2"/>
      <c r="C81" s="15"/>
      <c r="D81" s="16"/>
      <c r="E81" s="17"/>
      <c r="F81" s="17"/>
    </row>
    <row r="82" ht="19.5">
      <c r="B82" s="14" t="s">
        <v>13</v>
      </c>
      <c r="C82" s="18">
        <f>SUM(C69:C81)</f>
        <v>10</v>
      </c>
      <c r="D82" s="19">
        <f>AVERAGE(D69:D81)</f>
        <v>42.333333333333336</v>
      </c>
      <c r="E82" s="35"/>
      <c r="F82" s="36"/>
    </row>
  </sheetData>
  <mergeCells>
    <mergeCell ref="C65:E65"/>
    <mergeCell ref="C66:E66"/>
    <mergeCell ref="C2:E2"/>
    <mergeCell ref="C3:E3"/>
    <mergeCell ref="C23:E23"/>
    <mergeCell ref="C24:E24"/>
    <mergeCell ref="C44:E44"/>
    <mergeCell ref="C45:E45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2AFCA-6793-4621-B2DC-40D85773A982}">
  <dimension ref="B2:J81"/>
  <sheetViews>
    <sheetView zoomScaleNormal="100" workbookViewId="0">
      <selection activeCell="I5" sqref="I5:J6"/>
    </sheetView>
  </sheetViews>
  <sheetFormatPr baseColWidth="10" defaultRowHeight="15" x14ac:dyDescent="0.25"/>
  <cols>
    <col min="2" max="2" width="13.85546875" customWidth="1"/>
    <col min="3" max="4" width="9.7109375" customWidth="1"/>
    <col min="5" max="6" width="13.85546875" customWidth="1"/>
    <col min="9" max="9" width="14.7109375" customWidth="1"/>
    <col min="10" max="11" width="11.42578125" customWidth="1"/>
  </cols>
  <sheetData>
    <row r="2" ht="15.75">
      <c r="C2" s="45" t="s">
        <v>104</v>
      </c>
      <c r="D2" s="45"/>
      <c r="E2" s="45"/>
    </row>
    <row r="3" ht="15.75">
      <c r="C3" s="45" t="s">
        <v>105</v>
      </c>
      <c r="D3" s="45"/>
      <c r="E3" s="45"/>
    </row>
    <row r="4" ht="15.75"/>
    <row r="5" ht="18" customHeight="1"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I5" s="13" t="s">
        <v>18</v>
      </c>
      <c r="J5" s="12">
        <f>SUM(C16,C32,C51,C69,C81)</f>
        <v>42.5</v>
      </c>
    </row>
    <row r="6" ht="18" customHeight="1">
      <c r="B6" s="2" t="s">
        <v>9</v>
      </c>
      <c r="C6" s="6">
        <v>1</v>
      </c>
      <c r="D6" s="8">
        <v>40</v>
      </c>
      <c r="E6" s="11" t="s">
        <v>24</v>
      </c>
      <c r="F6" s="11" t="s">
        <v>23</v>
      </c>
      <c r="I6" s="13" t="s">
        <v>21</v>
      </c>
      <c r="J6" s="12">
        <f>AVERAGE(D16,D32,D51,D69,D81)</f>
        <v>43.06909090909091</v>
      </c>
    </row>
    <row r="7" ht="18" customHeight="1">
      <c r="B7" s="2" t="s">
        <v>9</v>
      </c>
      <c r="C7" s="6">
        <v>1</v>
      </c>
      <c r="D7" s="8">
        <v>40</v>
      </c>
      <c r="E7" s="11" t="s">
        <v>24</v>
      </c>
      <c r="F7" s="11" t="s">
        <v>23</v>
      </c>
    </row>
    <row r="8" ht="18" customHeight="1">
      <c r="B8" s="2" t="s">
        <v>7</v>
      </c>
      <c r="C8" s="6">
        <v>1</v>
      </c>
      <c r="D8" s="8">
        <v>40</v>
      </c>
      <c r="E8" s="11" t="s">
        <v>24</v>
      </c>
      <c r="F8" s="11" t="s">
        <v>23</v>
      </c>
    </row>
    <row r="9" ht="18" customHeight="1">
      <c r="B9" s="2" t="s">
        <v>7</v>
      </c>
      <c r="C9" s="6">
        <v>1</v>
      </c>
      <c r="D9" s="8">
        <v>40</v>
      </c>
      <c r="E9" s="11" t="s">
        <v>24</v>
      </c>
      <c r="F9" s="11" t="s">
        <v>23</v>
      </c>
    </row>
    <row r="10" ht="18" customHeight="1">
      <c r="B10" s="2" t="s">
        <v>65</v>
      </c>
      <c r="C10" s="6">
        <v>1</v>
      </c>
      <c r="D10" s="8">
        <v>44</v>
      </c>
      <c r="E10" s="11" t="s">
        <v>24</v>
      </c>
      <c r="F10" s="11" t="s">
        <v>23</v>
      </c>
    </row>
    <row r="11" ht="18" customHeight="1">
      <c r="B11" s="2" t="s">
        <v>70</v>
      </c>
      <c r="C11" s="6">
        <v>1</v>
      </c>
      <c r="D11" s="8">
        <v>44</v>
      </c>
      <c r="E11" s="11" t="s">
        <v>27</v>
      </c>
      <c r="F11" s="11" t="s">
        <v>23</v>
      </c>
    </row>
    <row r="12" ht="18" customHeight="1">
      <c r="B12" s="2" t="s">
        <v>43</v>
      </c>
      <c r="C12" s="6">
        <v>1</v>
      </c>
      <c r="D12" s="8">
        <v>44</v>
      </c>
      <c r="E12" s="11" t="s">
        <v>24</v>
      </c>
      <c r="F12" s="11" t="s">
        <v>23</v>
      </c>
    </row>
    <row r="13" ht="18" customHeight="1">
      <c r="B13" s="2" t="s">
        <v>106</v>
      </c>
      <c r="C13" s="6">
        <v>1</v>
      </c>
      <c r="D13" s="8">
        <v>44</v>
      </c>
      <c r="E13" s="11" t="s">
        <v>29</v>
      </c>
      <c r="F13" s="11" t="s">
        <v>23</v>
      </c>
    </row>
    <row r="14" ht="18" customHeight="1">
      <c r="B14" s="2" t="s">
        <v>96</v>
      </c>
      <c r="C14" s="6">
        <v>1</v>
      </c>
      <c r="D14" s="8">
        <v>44</v>
      </c>
      <c r="E14" s="11" t="s">
        <v>29</v>
      </c>
      <c r="F14" s="11" t="s">
        <v>23</v>
      </c>
    </row>
    <row r="15" ht="18" customHeight="1">
      <c r="B15" s="2" t="s">
        <v>8</v>
      </c>
      <c r="C15" s="6">
        <v>1</v>
      </c>
      <c r="D15" s="8">
        <v>42</v>
      </c>
      <c r="E15" s="11" t="s">
        <v>34</v>
      </c>
      <c r="F15" s="11" t="s">
        <v>20</v>
      </c>
    </row>
    <row r="16" ht="19.5">
      <c r="B16" s="14" t="s">
        <v>13</v>
      </c>
      <c r="C16" s="18">
        <f>SUM(C6:C15)</f>
        <v>10</v>
      </c>
      <c r="D16" s="19">
        <f>AVERAGE(D6:D15)</f>
        <v>42.2</v>
      </c>
      <c r="E16" s="33"/>
      <c r="F16" s="34"/>
    </row>
    <row r="20" ht="15.75">
      <c r="C20" s="45" t="s">
        <v>107</v>
      </c>
      <c r="D20" s="45"/>
      <c r="E20" s="45"/>
    </row>
    <row r="21" ht="15.75">
      <c r="C21" s="45" t="s">
        <v>108</v>
      </c>
      <c r="D21" s="45"/>
      <c r="E21" s="45"/>
    </row>
    <row r="22" ht="18" customHeight="1"/>
    <row r="23" ht="18" customHeight="1">
      <c r="B23" s="5" t="s">
        <v>2</v>
      </c>
      <c r="C23" s="5" t="s">
        <v>3</v>
      </c>
      <c r="D23" s="5" t="s">
        <v>4</v>
      </c>
      <c r="E23" s="5" t="s">
        <v>5</v>
      </c>
      <c r="F23" s="5" t="s">
        <v>6</v>
      </c>
    </row>
    <row r="24" ht="18" customHeight="1">
      <c r="B24" s="2" t="s">
        <v>8</v>
      </c>
      <c r="C24" s="6">
        <v>1</v>
      </c>
      <c r="D24" s="8">
        <v>40</v>
      </c>
      <c r="E24" s="11" t="s">
        <v>34</v>
      </c>
      <c r="F24" s="11" t="s">
        <v>20</v>
      </c>
    </row>
    <row r="25" ht="18" customHeight="1">
      <c r="B25" s="2" t="s">
        <v>9</v>
      </c>
      <c r="C25" s="6">
        <v>1</v>
      </c>
      <c r="D25" s="8">
        <v>40</v>
      </c>
      <c r="E25" s="11" t="s">
        <v>24</v>
      </c>
      <c r="F25" s="11" t="s">
        <v>23</v>
      </c>
    </row>
    <row r="26" ht="18" customHeight="1">
      <c r="B26" s="2" t="s">
        <v>10</v>
      </c>
      <c r="C26" s="6">
        <v>1</v>
      </c>
      <c r="D26" s="8">
        <v>44</v>
      </c>
      <c r="E26" s="11" t="s">
        <v>24</v>
      </c>
      <c r="F26" s="11" t="s">
        <v>23</v>
      </c>
    </row>
    <row r="27" ht="18" customHeight="1">
      <c r="B27" s="2" t="s">
        <v>7</v>
      </c>
      <c r="C27" s="6">
        <v>1</v>
      </c>
      <c r="D27" s="8">
        <v>40</v>
      </c>
      <c r="E27" s="11" t="s">
        <v>24</v>
      </c>
      <c r="F27" s="11" t="s">
        <v>23</v>
      </c>
    </row>
    <row r="28" ht="18" customHeight="1">
      <c r="B28" s="2" t="s">
        <v>43</v>
      </c>
      <c r="C28" s="6">
        <v>1</v>
      </c>
      <c r="D28" s="8">
        <v>44</v>
      </c>
      <c r="E28" s="11" t="s">
        <v>24</v>
      </c>
      <c r="F28" s="11" t="s">
        <v>23</v>
      </c>
    </row>
    <row r="29" ht="18" customHeight="1">
      <c r="B29" s="2" t="s">
        <v>62</v>
      </c>
      <c r="C29" s="6">
        <v>1</v>
      </c>
      <c r="D29" s="8">
        <v>44</v>
      </c>
      <c r="E29" s="11" t="s">
        <v>29</v>
      </c>
      <c r="F29" s="11" t="s">
        <v>23</v>
      </c>
    </row>
    <row r="30" ht="18" customHeight="1">
      <c r="B30" s="2" t="s">
        <v>65</v>
      </c>
      <c r="C30" s="6">
        <v>1</v>
      </c>
      <c r="D30" s="8">
        <v>44</v>
      </c>
      <c r="E30" s="11" t="s">
        <v>29</v>
      </c>
      <c r="F30" s="11" t="s">
        <v>23</v>
      </c>
    </row>
    <row r="31" ht="18" customHeight="1">
      <c r="B31" s="2" t="s">
        <v>79</v>
      </c>
      <c r="C31" s="6">
        <v>1</v>
      </c>
      <c r="D31" s="8">
        <v>44</v>
      </c>
      <c r="E31" s="11" t="s">
        <v>27</v>
      </c>
      <c r="F31" s="11" t="s">
        <v>23</v>
      </c>
    </row>
    <row r="32" ht="18" customHeight="1">
      <c r="B32" s="14" t="s">
        <v>13</v>
      </c>
      <c r="C32" s="18">
        <f>SUM(C24:C31)</f>
        <v>8</v>
      </c>
      <c r="D32" s="19">
        <f>AVERAGE(D24:D31)</f>
        <v>42.5</v>
      </c>
      <c r="E32" s="33"/>
      <c r="F32" s="34"/>
    </row>
    <row r="33" ht="18" customHeight="1"/>
    <row r="34" ht="18" customHeight="1"/>
    <row r="35" ht="18" customHeight="1"/>
    <row r="36" ht="15.75">
      <c r="C36" s="45" t="s">
        <v>109</v>
      </c>
      <c r="D36" s="45"/>
      <c r="E36" s="45"/>
    </row>
    <row r="37" ht="15.75">
      <c r="C37" s="45" t="s">
        <v>110</v>
      </c>
      <c r="D37" s="45"/>
      <c r="E37" s="45"/>
    </row>
    <row r="39" ht="15.75">
      <c r="B39" s="5" t="s">
        <v>2</v>
      </c>
      <c r="C39" s="5" t="s">
        <v>3</v>
      </c>
      <c r="D39" s="5" t="s">
        <v>4</v>
      </c>
      <c r="E39" s="5" t="s">
        <v>5</v>
      </c>
      <c r="F39" s="5" t="s">
        <v>6</v>
      </c>
    </row>
    <row r="40">
      <c r="B40" s="2" t="s">
        <v>9</v>
      </c>
      <c r="C40" s="6">
        <v>1</v>
      </c>
      <c r="D40" s="8">
        <v>40</v>
      </c>
      <c r="E40" s="11" t="s">
        <v>24</v>
      </c>
      <c r="F40" s="11" t="s">
        <v>23</v>
      </c>
    </row>
    <row r="41">
      <c r="B41" s="2" t="s">
        <v>9</v>
      </c>
      <c r="C41" s="6">
        <v>1</v>
      </c>
      <c r="D41" s="8">
        <v>40</v>
      </c>
      <c r="E41" s="11" t="s">
        <v>24</v>
      </c>
      <c r="F41" s="11" t="s">
        <v>23</v>
      </c>
    </row>
    <row r="42">
      <c r="B42" s="2" t="s">
        <v>8</v>
      </c>
      <c r="C42" s="6">
        <v>1</v>
      </c>
      <c r="D42" s="8">
        <v>40</v>
      </c>
      <c r="E42" s="11" t="s">
        <v>34</v>
      </c>
      <c r="F42" s="11" t="s">
        <v>20</v>
      </c>
    </row>
    <row r="43">
      <c r="B43" s="2" t="s">
        <v>7</v>
      </c>
      <c r="C43" s="6">
        <v>1</v>
      </c>
      <c r="D43" s="8">
        <v>40</v>
      </c>
      <c r="E43" s="11" t="s">
        <v>24</v>
      </c>
      <c r="F43" s="11" t="s">
        <v>23</v>
      </c>
    </row>
    <row r="44" ht="18" customHeight="1">
      <c r="B44" s="2" t="s">
        <v>65</v>
      </c>
      <c r="C44" s="6">
        <v>1</v>
      </c>
      <c r="D44" s="8">
        <v>44</v>
      </c>
      <c r="E44" s="11" t="s">
        <v>24</v>
      </c>
      <c r="F44" s="11" t="s">
        <v>23</v>
      </c>
    </row>
    <row r="45" ht="18" customHeight="1">
      <c r="B45" s="2" t="s">
        <v>10</v>
      </c>
      <c r="C45" s="6">
        <v>1</v>
      </c>
      <c r="D45" s="8">
        <v>44</v>
      </c>
      <c r="E45" s="11" t="s">
        <v>24</v>
      </c>
      <c r="F45" s="11" t="s">
        <v>23</v>
      </c>
    </row>
    <row r="46" ht="18" customHeight="1">
      <c r="B46" s="2" t="s">
        <v>43</v>
      </c>
      <c r="C46" s="6">
        <v>1</v>
      </c>
      <c r="D46" s="8">
        <v>44</v>
      </c>
      <c r="E46" s="11" t="s">
        <v>24</v>
      </c>
      <c r="F46" s="11" t="s">
        <v>23</v>
      </c>
    </row>
    <row r="47" ht="18" customHeight="1">
      <c r="B47" s="2" t="s">
        <v>70</v>
      </c>
      <c r="C47" s="6">
        <v>1</v>
      </c>
      <c r="D47" s="8">
        <v>44</v>
      </c>
      <c r="E47" s="11" t="s">
        <v>27</v>
      </c>
      <c r="F47" s="11" t="s">
        <v>23</v>
      </c>
    </row>
    <row r="48" ht="18" customHeight="1">
      <c r="B48" s="2" t="s">
        <v>106</v>
      </c>
      <c r="C48" s="6">
        <v>1</v>
      </c>
      <c r="D48" s="8">
        <v>44</v>
      </c>
      <c r="E48" s="11" t="s">
        <v>27</v>
      </c>
      <c r="F48" s="11" t="s">
        <v>23</v>
      </c>
    </row>
    <row r="49" ht="18" customHeight="1">
      <c r="B49" s="2" t="s">
        <v>52</v>
      </c>
      <c r="C49" s="6">
        <v>1</v>
      </c>
      <c r="D49" s="8">
        <v>44</v>
      </c>
      <c r="E49" s="11" t="s">
        <v>29</v>
      </c>
      <c r="F49" s="11" t="s">
        <v>23</v>
      </c>
    </row>
    <row r="50" ht="18" customHeight="1">
      <c r="B50" s="2" t="s">
        <v>62</v>
      </c>
      <c r="C50" s="6">
        <v>1</v>
      </c>
      <c r="D50" s="8">
        <v>44</v>
      </c>
      <c r="E50" s="11" t="s">
        <v>29</v>
      </c>
      <c r="F50" s="11" t="s">
        <v>23</v>
      </c>
    </row>
    <row r="51" ht="18" customHeight="1">
      <c r="B51" s="14" t="s">
        <v>13</v>
      </c>
      <c r="C51" s="18">
        <f>SUM(C40:C50)</f>
        <v>11</v>
      </c>
      <c r="D51" s="19">
        <f>AVERAGE(D40:D50)</f>
        <v>42.54545454545455</v>
      </c>
      <c r="E51" s="33"/>
      <c r="F51" s="34"/>
    </row>
    <row r="52" ht="18" customHeight="1"/>
    <row r="53" ht="18" customHeight="1"/>
    <row r="54" ht="18" customHeight="1"/>
    <row r="55" ht="18" customHeight="1">
      <c r="C55" s="45" t="s">
        <v>111</v>
      </c>
      <c r="D55" s="45"/>
      <c r="E55" s="45"/>
    </row>
    <row r="56" ht="18" customHeight="1">
      <c r="C56" s="45" t="s">
        <v>112</v>
      </c>
      <c r="D56" s="45"/>
      <c r="E56" s="45"/>
    </row>
    <row r="58" ht="15.75">
      <c r="B58" s="5" t="s">
        <v>2</v>
      </c>
      <c r="C58" s="5" t="s">
        <v>3</v>
      </c>
      <c r="D58" s="5" t="s">
        <v>4</v>
      </c>
      <c r="E58" s="5" t="s">
        <v>5</v>
      </c>
      <c r="F58" s="5" t="s">
        <v>6</v>
      </c>
    </row>
    <row r="59">
      <c r="B59" s="2" t="s">
        <v>8</v>
      </c>
      <c r="C59" s="6">
        <v>1</v>
      </c>
      <c r="D59" s="8">
        <v>40</v>
      </c>
      <c r="E59" s="11" t="s">
        <v>34</v>
      </c>
      <c r="F59" s="11" t="s">
        <v>20</v>
      </c>
    </row>
    <row r="60">
      <c r="B60" s="2" t="s">
        <v>9</v>
      </c>
      <c r="C60" s="6">
        <v>1</v>
      </c>
      <c r="D60" s="8">
        <v>42</v>
      </c>
      <c r="E60" s="11" t="s">
        <v>24</v>
      </c>
      <c r="F60" s="11" t="s">
        <v>23</v>
      </c>
    </row>
    <row r="61">
      <c r="B61" s="2" t="s">
        <v>9</v>
      </c>
      <c r="C61" s="6">
        <v>1</v>
      </c>
      <c r="D61" s="8">
        <v>42</v>
      </c>
      <c r="E61" s="11" t="s">
        <v>24</v>
      </c>
      <c r="F61" s="11" t="s">
        <v>23</v>
      </c>
    </row>
    <row r="62">
      <c r="B62" s="2" t="s">
        <v>7</v>
      </c>
      <c r="C62" s="6">
        <v>1</v>
      </c>
      <c r="D62" s="8">
        <v>43</v>
      </c>
      <c r="E62" s="11" t="s">
        <v>24</v>
      </c>
      <c r="F62" s="11" t="s">
        <v>23</v>
      </c>
    </row>
    <row r="63">
      <c r="B63" s="2" t="s">
        <v>43</v>
      </c>
      <c r="C63" s="6">
        <v>1</v>
      </c>
      <c r="D63" s="8">
        <v>44</v>
      </c>
      <c r="E63" s="11" t="s">
        <v>24</v>
      </c>
      <c r="F63" s="11" t="s">
        <v>23</v>
      </c>
    </row>
    <row r="64">
      <c r="B64" s="2" t="s">
        <v>62</v>
      </c>
      <c r="C64" s="6">
        <v>1</v>
      </c>
      <c r="D64" s="8">
        <v>44</v>
      </c>
      <c r="E64" s="11" t="s">
        <v>24</v>
      </c>
      <c r="F64" s="11" t="s">
        <v>23</v>
      </c>
    </row>
    <row r="65" ht="18" customHeight="1">
      <c r="B65" s="2" t="s">
        <v>96</v>
      </c>
      <c r="C65" s="6">
        <v>1</v>
      </c>
      <c r="D65" s="8">
        <v>44</v>
      </c>
      <c r="E65" s="11" t="s">
        <v>27</v>
      </c>
      <c r="F65" s="11" t="s">
        <v>23</v>
      </c>
    </row>
    <row r="66" ht="18" customHeight="1">
      <c r="B66" s="2" t="s">
        <v>65</v>
      </c>
      <c r="C66" s="6">
        <v>1</v>
      </c>
      <c r="D66" s="8">
        <v>44</v>
      </c>
      <c r="E66" s="11" t="s">
        <v>29</v>
      </c>
      <c r="F66" s="11" t="s">
        <v>23</v>
      </c>
    </row>
    <row r="67" ht="18" customHeight="1">
      <c r="B67" s="2" t="s">
        <v>106</v>
      </c>
      <c r="C67" s="6">
        <v>1</v>
      </c>
      <c r="D67" s="8">
        <v>44</v>
      </c>
      <c r="E67" s="11" t="s">
        <v>24</v>
      </c>
      <c r="F67" s="11" t="s">
        <v>23</v>
      </c>
    </row>
    <row r="68" ht="18" customHeight="1">
      <c r="B68" s="2" t="s">
        <v>10</v>
      </c>
      <c r="C68" s="6">
        <v>0.5</v>
      </c>
      <c r="D68" s="8">
        <v>44</v>
      </c>
      <c r="E68" s="11"/>
      <c r="F68" s="11"/>
      <c r="G68" s="0" t="s">
        <v>113</v>
      </c>
    </row>
    <row r="69" ht="18" customHeight="1">
      <c r="B69" s="14" t="s">
        <v>13</v>
      </c>
      <c r="C69" s="18">
        <f>SUM(C59:C68)</f>
        <v>9.5</v>
      </c>
      <c r="D69" s="19">
        <f>AVERAGE(D59:D68)</f>
        <v>43.1</v>
      </c>
      <c r="E69" s="33"/>
      <c r="F69" s="34"/>
    </row>
    <row r="70" ht="18" customHeight="1"/>
    <row r="71" ht="18" customHeight="1"/>
    <row r="72" ht="18" customHeight="1"/>
    <row r="73" ht="18" customHeight="1">
      <c r="C73" s="45" t="s">
        <v>114</v>
      </c>
      <c r="D73" s="45"/>
      <c r="E73" s="45"/>
    </row>
    <row r="74" ht="18" customHeight="1">
      <c r="C74" s="45" t="s">
        <v>115</v>
      </c>
      <c r="D74" s="45"/>
      <c r="E74" s="45"/>
    </row>
    <row r="75" ht="18" customHeight="1"/>
    <row r="76" ht="18" customHeight="1">
      <c r="B76" s="5" t="s">
        <v>2</v>
      </c>
      <c r="C76" s="5" t="s">
        <v>3</v>
      </c>
      <c r="D76" s="5" t="s">
        <v>4</v>
      </c>
      <c r="E76" s="5" t="s">
        <v>5</v>
      </c>
      <c r="F76" s="5" t="s">
        <v>6</v>
      </c>
    </row>
    <row r="77" ht="18" customHeight="1">
      <c r="B77" s="2" t="s">
        <v>8</v>
      </c>
      <c r="C77" s="6">
        <v>1</v>
      </c>
      <c r="D77" s="8">
        <v>44</v>
      </c>
      <c r="E77" s="11" t="s">
        <v>34</v>
      </c>
      <c r="F77" s="11" t="s">
        <v>20</v>
      </c>
    </row>
    <row r="78">
      <c r="B78" s="2" t="s">
        <v>9</v>
      </c>
      <c r="C78" s="6">
        <v>1</v>
      </c>
      <c r="D78" s="8">
        <v>45</v>
      </c>
      <c r="E78" s="11" t="s">
        <v>27</v>
      </c>
      <c r="F78" s="11" t="s">
        <v>23</v>
      </c>
    </row>
    <row r="79">
      <c r="B79" s="2" t="s">
        <v>7</v>
      </c>
      <c r="C79" s="6">
        <v>1</v>
      </c>
      <c r="D79" s="8">
        <v>44</v>
      </c>
      <c r="E79" s="11" t="s">
        <v>24</v>
      </c>
      <c r="F79" s="11" t="s">
        <v>23</v>
      </c>
    </row>
    <row r="80" ht="15.75">
      <c r="B80" s="2" t="s">
        <v>10</v>
      </c>
      <c r="C80" s="6">
        <v>1</v>
      </c>
      <c r="D80" s="8">
        <v>47</v>
      </c>
      <c r="E80" s="11" t="s">
        <v>24</v>
      </c>
      <c r="F80" s="11" t="s">
        <v>23</v>
      </c>
    </row>
    <row r="81" ht="19.5">
      <c r="B81" s="14" t="s">
        <v>13</v>
      </c>
      <c r="C81" s="18">
        <f>SUM(C77:C80)</f>
        <v>4</v>
      </c>
      <c r="D81" s="19">
        <f>AVERAGE(D77:D80)</f>
        <v>45</v>
      </c>
      <c r="E81" s="33"/>
      <c r="F81" s="34"/>
    </row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</sheetData>
  <mergeCells>
    <mergeCell ref="C2:E2"/>
    <mergeCell ref="C3:E3"/>
    <mergeCell ref="C37:E37"/>
    <mergeCell ref="C73:E73"/>
    <mergeCell ref="C74:E74"/>
    <mergeCell ref="C55:E55"/>
    <mergeCell ref="C56:E56"/>
    <mergeCell ref="C20:E20"/>
    <mergeCell ref="C21:E21"/>
    <mergeCell ref="C36:E36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41899-B459-4174-9EE5-03A0F974A9D7}">
  <dimension ref="B2:J84"/>
  <sheetViews>
    <sheetView topLeftCell="A66" zoomScaleNormal="100" workbookViewId="0">
      <selection activeCell="I5" sqref="I5:J6"/>
    </sheetView>
  </sheetViews>
  <sheetFormatPr baseColWidth="10" defaultRowHeight="15" x14ac:dyDescent="0.25"/>
  <cols>
    <col min="2" max="2" width="13.85546875" customWidth="1"/>
    <col min="3" max="4" width="9.7109375" customWidth="1"/>
    <col min="5" max="6" width="13.85546875" customWidth="1"/>
    <col min="9" max="9" width="14.7109375" customWidth="1"/>
    <col min="10" max="11" width="11.42578125" customWidth="1"/>
  </cols>
  <sheetData>
    <row r="2" ht="15.75">
      <c r="C2" s="45" t="s">
        <v>116</v>
      </c>
      <c r="D2" s="45"/>
      <c r="E2" s="45"/>
    </row>
    <row r="3" ht="15.75">
      <c r="C3" s="45" t="s">
        <v>117</v>
      </c>
      <c r="D3" s="45"/>
      <c r="E3" s="45"/>
    </row>
    <row r="4" ht="15.75"/>
    <row r="5" ht="18" customHeight="1"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I5" s="13" t="s">
        <v>18</v>
      </c>
      <c r="J5" s="12">
        <f>SUM(C14,C29,C47,C66,C84)</f>
        <v>46</v>
      </c>
    </row>
    <row r="6" ht="18" customHeight="1">
      <c r="B6" s="2" t="s">
        <v>8</v>
      </c>
      <c r="C6" s="6">
        <v>1</v>
      </c>
      <c r="D6" s="8">
        <v>44</v>
      </c>
      <c r="E6" s="11" t="s">
        <v>34</v>
      </c>
      <c r="F6" s="11" t="s">
        <v>20</v>
      </c>
      <c r="I6" s="13" t="s">
        <v>21</v>
      </c>
      <c r="J6" s="12">
        <f>AVERAGE(D14,D29,D47,D66,D84)</f>
        <v>40.88298701298701</v>
      </c>
    </row>
    <row r="7" ht="18" customHeight="1">
      <c r="B7" s="2" t="s">
        <v>9</v>
      </c>
      <c r="C7" s="6">
        <v>1</v>
      </c>
      <c r="D7" s="8">
        <v>47</v>
      </c>
      <c r="E7" s="11" t="s">
        <v>24</v>
      </c>
      <c r="F7" s="11" t="s">
        <v>23</v>
      </c>
    </row>
    <row r="8" ht="18" customHeight="1">
      <c r="B8" s="2" t="s">
        <v>7</v>
      </c>
      <c r="C8" s="6">
        <v>1</v>
      </c>
      <c r="D8" s="8">
        <v>44</v>
      </c>
      <c r="E8" s="11" t="s">
        <v>24</v>
      </c>
      <c r="F8" s="11" t="s">
        <v>23</v>
      </c>
    </row>
    <row r="9" ht="18" customHeight="1">
      <c r="B9" s="2" t="s">
        <v>10</v>
      </c>
      <c r="C9" s="6">
        <v>1</v>
      </c>
      <c r="D9" s="8">
        <v>47</v>
      </c>
      <c r="E9" s="11" t="s">
        <v>24</v>
      </c>
      <c r="F9" s="11" t="s">
        <v>23</v>
      </c>
    </row>
    <row r="10" ht="18" customHeight="1">
      <c r="B10" s="2" t="s">
        <v>43</v>
      </c>
      <c r="C10" s="6">
        <v>1</v>
      </c>
      <c r="D10" s="8">
        <v>47</v>
      </c>
      <c r="E10" s="11" t="s">
        <v>27</v>
      </c>
      <c r="F10" s="11" t="s">
        <v>23</v>
      </c>
    </row>
    <row r="11" ht="18" customHeight="1">
      <c r="B11" s="2" t="s">
        <v>43</v>
      </c>
      <c r="C11" s="6">
        <v>1</v>
      </c>
      <c r="D11" s="8">
        <v>47</v>
      </c>
      <c r="E11" s="11" t="s">
        <v>27</v>
      </c>
      <c r="F11" s="11" t="s">
        <v>23</v>
      </c>
    </row>
    <row r="12" ht="18" customHeight="1">
      <c r="B12" s="2" t="s">
        <v>52</v>
      </c>
      <c r="C12" s="6">
        <v>1</v>
      </c>
      <c r="D12" s="8">
        <v>47</v>
      </c>
      <c r="E12" s="11" t="s">
        <v>29</v>
      </c>
      <c r="F12" s="11" t="s">
        <v>23</v>
      </c>
    </row>
    <row r="13" ht="18" customHeight="1">
      <c r="B13" s="2" t="s">
        <v>106</v>
      </c>
      <c r="C13" s="6">
        <v>1</v>
      </c>
      <c r="D13" s="8">
        <v>47</v>
      </c>
      <c r="E13" s="11" t="s">
        <v>29</v>
      </c>
      <c r="F13" s="11" t="s">
        <v>23</v>
      </c>
    </row>
    <row r="14" ht="18" customHeight="1">
      <c r="B14" s="14" t="s">
        <v>13</v>
      </c>
      <c r="C14" s="18">
        <f>SUM(C6:C13)</f>
        <v>8</v>
      </c>
      <c r="D14" s="19">
        <f>AVERAGE(D6:D13)</f>
        <v>46.25</v>
      </c>
      <c r="E14" s="33"/>
      <c r="F14" s="34"/>
    </row>
    <row r="15" ht="18" customHeight="1"/>
    <row r="18" ht="15.75">
      <c r="C18" s="45" t="s">
        <v>118</v>
      </c>
      <c r="D18" s="45"/>
      <c r="E18" s="45"/>
    </row>
    <row r="19" ht="15.75">
      <c r="C19" s="45" t="s">
        <v>119</v>
      </c>
      <c r="D19" s="45"/>
      <c r="E19" s="45"/>
    </row>
    <row r="21" ht="15.75">
      <c r="B21" s="5" t="s">
        <v>2</v>
      </c>
      <c r="C21" s="5" t="s">
        <v>3</v>
      </c>
      <c r="D21" s="5" t="s">
        <v>4</v>
      </c>
      <c r="E21" s="5" t="s">
        <v>5</v>
      </c>
      <c r="F21" s="5" t="s">
        <v>6</v>
      </c>
    </row>
    <row r="22" ht="18" customHeight="1">
      <c r="B22" s="2" t="s">
        <v>9</v>
      </c>
      <c r="C22" s="6">
        <v>1</v>
      </c>
      <c r="D22" s="8">
        <v>46</v>
      </c>
      <c r="E22" s="11" t="s">
        <v>29</v>
      </c>
      <c r="F22" s="11" t="s">
        <v>23</v>
      </c>
    </row>
    <row r="23" ht="18" customHeight="1">
      <c r="B23" s="2" t="s">
        <v>79</v>
      </c>
      <c r="C23" s="6">
        <v>1</v>
      </c>
      <c r="D23" s="8">
        <v>47</v>
      </c>
      <c r="E23" s="11" t="s">
        <v>29</v>
      </c>
      <c r="F23" s="11" t="s">
        <v>23</v>
      </c>
    </row>
    <row r="24" ht="18" customHeight="1">
      <c r="B24" s="2" t="s">
        <v>8</v>
      </c>
      <c r="C24" s="6">
        <v>1</v>
      </c>
      <c r="D24" s="8">
        <v>40</v>
      </c>
      <c r="E24" s="11" t="s">
        <v>34</v>
      </c>
      <c r="F24" s="11" t="s">
        <v>20</v>
      </c>
    </row>
    <row r="25" ht="18" customHeight="1">
      <c r="B25" s="2" t="s">
        <v>65</v>
      </c>
      <c r="C25" s="6">
        <v>1</v>
      </c>
      <c r="D25" s="8">
        <v>47</v>
      </c>
      <c r="E25" s="11" t="s">
        <v>27</v>
      </c>
      <c r="F25" s="11" t="s">
        <v>23</v>
      </c>
    </row>
    <row r="26" ht="18" customHeight="1">
      <c r="B26" s="2" t="s">
        <v>10</v>
      </c>
      <c r="C26" s="6">
        <v>1</v>
      </c>
      <c r="D26" s="8">
        <v>47</v>
      </c>
      <c r="E26" s="11" t="s">
        <v>24</v>
      </c>
      <c r="F26" s="11" t="s">
        <v>23</v>
      </c>
    </row>
    <row r="27" ht="18" customHeight="1">
      <c r="B27" s="2" t="s">
        <v>7</v>
      </c>
      <c r="C27" s="6">
        <v>1</v>
      </c>
      <c r="D27" s="8">
        <v>42</v>
      </c>
      <c r="E27" s="11" t="s">
        <v>24</v>
      </c>
      <c r="F27" s="11" t="s">
        <v>23</v>
      </c>
    </row>
    <row r="28" ht="18" customHeight="1">
      <c r="B28" s="2" t="s">
        <v>7</v>
      </c>
      <c r="C28" s="6">
        <v>1</v>
      </c>
      <c r="D28" s="8">
        <v>42</v>
      </c>
      <c r="E28" s="11" t="s">
        <v>24</v>
      </c>
      <c r="F28" s="11" t="s">
        <v>23</v>
      </c>
    </row>
    <row r="29" ht="18" customHeight="1">
      <c r="B29" s="14" t="s">
        <v>13</v>
      </c>
      <c r="C29" s="18">
        <f>SUM(C22:C28)</f>
        <v>7</v>
      </c>
      <c r="D29" s="19">
        <f>AVERAGE(D22:D28)</f>
        <v>44.42857142857143</v>
      </c>
      <c r="E29" s="33"/>
      <c r="F29" s="34"/>
    </row>
    <row r="30" ht="18" customHeight="1"/>
    <row r="31" ht="18" customHeight="1"/>
    <row r="32" ht="18" customHeight="1"/>
    <row r="33" ht="18" customHeight="1">
      <c r="C33" s="45" t="s">
        <v>120</v>
      </c>
      <c r="D33" s="45"/>
      <c r="E33" s="45"/>
    </row>
    <row r="34" ht="18" customHeight="1">
      <c r="C34" s="45" t="s">
        <v>121</v>
      </c>
      <c r="D34" s="45"/>
      <c r="E34" s="45"/>
    </row>
    <row r="35" ht="18" customHeight="1"/>
    <row r="36" ht="15.75">
      <c r="B36" s="5" t="s">
        <v>2</v>
      </c>
      <c r="C36" s="5" t="s">
        <v>3</v>
      </c>
      <c r="D36" s="5" t="s">
        <v>4</v>
      </c>
      <c r="E36" s="5" t="s">
        <v>5</v>
      </c>
      <c r="F36" s="5" t="s">
        <v>6</v>
      </c>
    </row>
    <row r="37">
      <c r="B37" s="2" t="s">
        <v>9</v>
      </c>
      <c r="C37" s="6">
        <v>1</v>
      </c>
      <c r="D37" s="8">
        <v>40</v>
      </c>
      <c r="E37" s="11" t="s">
        <v>24</v>
      </c>
      <c r="F37" s="11" t="s">
        <v>23</v>
      </c>
    </row>
    <row r="38">
      <c r="B38" s="2" t="s">
        <v>9</v>
      </c>
      <c r="C38" s="6">
        <v>1</v>
      </c>
      <c r="D38" s="8">
        <v>40</v>
      </c>
      <c r="E38" s="11" t="s">
        <v>24</v>
      </c>
      <c r="F38" s="11" t="s">
        <v>23</v>
      </c>
    </row>
    <row r="39">
      <c r="B39" s="2" t="s">
        <v>7</v>
      </c>
      <c r="C39" s="6">
        <v>1</v>
      </c>
      <c r="D39" s="8">
        <v>39</v>
      </c>
      <c r="E39" s="11" t="s">
        <v>24</v>
      </c>
      <c r="F39" s="11" t="s">
        <v>23</v>
      </c>
    </row>
    <row r="40">
      <c r="B40" s="2" t="s">
        <v>7</v>
      </c>
      <c r="C40" s="6">
        <v>1</v>
      </c>
      <c r="D40" s="8">
        <v>39</v>
      </c>
      <c r="E40" s="11" t="s">
        <v>24</v>
      </c>
      <c r="F40" s="11" t="s">
        <v>23</v>
      </c>
    </row>
    <row r="41">
      <c r="B41" s="2" t="s">
        <v>8</v>
      </c>
      <c r="C41" s="6">
        <v>1</v>
      </c>
      <c r="D41" s="8">
        <v>40</v>
      </c>
      <c r="E41" s="11" t="s">
        <v>34</v>
      </c>
      <c r="F41" s="11" t="s">
        <v>20</v>
      </c>
    </row>
    <row r="42">
      <c r="B42" s="2" t="s">
        <v>8</v>
      </c>
      <c r="C42" s="6">
        <v>1</v>
      </c>
      <c r="D42" s="8">
        <v>40</v>
      </c>
      <c r="E42" s="11" t="s">
        <v>34</v>
      </c>
      <c r="F42" s="11" t="s">
        <v>20</v>
      </c>
    </row>
    <row r="43">
      <c r="B43" s="2" t="s">
        <v>65</v>
      </c>
      <c r="C43" s="6">
        <v>1</v>
      </c>
      <c r="D43" s="8">
        <v>40</v>
      </c>
      <c r="E43" s="11" t="s">
        <v>27</v>
      </c>
      <c r="F43" s="11" t="s">
        <v>23</v>
      </c>
    </row>
    <row r="44" ht="18" customHeight="1">
      <c r="B44" s="2" t="s">
        <v>65</v>
      </c>
      <c r="C44" s="6">
        <v>1</v>
      </c>
      <c r="D44" s="8">
        <v>40</v>
      </c>
      <c r="E44" s="11" t="s">
        <v>27</v>
      </c>
      <c r="F44" s="11" t="s">
        <v>23</v>
      </c>
    </row>
    <row r="45" ht="18" customHeight="1">
      <c r="B45" s="2" t="s">
        <v>70</v>
      </c>
      <c r="C45" s="6">
        <v>1</v>
      </c>
      <c r="D45" s="8">
        <v>40</v>
      </c>
      <c r="E45" s="11" t="s">
        <v>29</v>
      </c>
      <c r="F45" s="11" t="s">
        <v>23</v>
      </c>
    </row>
    <row r="46" ht="18" customHeight="1">
      <c r="B46" s="2" t="s">
        <v>43</v>
      </c>
      <c r="C46" s="6">
        <v>1</v>
      </c>
      <c r="D46" s="8">
        <v>40</v>
      </c>
      <c r="E46" s="11" t="s">
        <v>24</v>
      </c>
      <c r="F46" s="11" t="s">
        <v>23</v>
      </c>
    </row>
    <row r="47" ht="18" customHeight="1">
      <c r="B47" s="14" t="s">
        <v>13</v>
      </c>
      <c r="C47" s="18">
        <f>SUM(C37:C46)</f>
        <v>10</v>
      </c>
      <c r="D47" s="19">
        <f>AVERAGE(D37:D46)</f>
        <v>39.8</v>
      </c>
      <c r="E47" s="33"/>
      <c r="F47" s="34"/>
    </row>
    <row r="48" ht="18" customHeight="1"/>
    <row r="49" ht="18" customHeight="1"/>
    <row r="50" ht="18" customHeight="1"/>
    <row r="51" ht="18" customHeight="1">
      <c r="C51" s="45" t="s">
        <v>122</v>
      </c>
      <c r="D51" s="45"/>
      <c r="E51" s="45"/>
    </row>
    <row r="52" ht="18" customHeight="1">
      <c r="C52" s="45" t="s">
        <v>123</v>
      </c>
      <c r="D52" s="45"/>
      <c r="E52" s="45"/>
    </row>
    <row r="53" ht="18" customHeight="1"/>
    <row r="54" ht="18" customHeight="1">
      <c r="B54" s="5" t="s">
        <v>2</v>
      </c>
      <c r="C54" s="5" t="s">
        <v>3</v>
      </c>
      <c r="D54" s="5" t="s">
        <v>4</v>
      </c>
      <c r="E54" s="5" t="s">
        <v>5</v>
      </c>
      <c r="F54" s="5" t="s">
        <v>6</v>
      </c>
    </row>
    <row r="55" ht="18" customHeight="1">
      <c r="B55" s="2" t="s">
        <v>9</v>
      </c>
      <c r="C55" s="6">
        <v>1</v>
      </c>
      <c r="D55" s="8">
        <v>38</v>
      </c>
      <c r="E55" s="11" t="s">
        <v>29</v>
      </c>
      <c r="F55" s="11" t="s">
        <v>23</v>
      </c>
    </row>
    <row r="56" ht="18" customHeight="1">
      <c r="B56" s="2" t="s">
        <v>9</v>
      </c>
      <c r="C56" s="6">
        <v>1</v>
      </c>
      <c r="D56" s="8">
        <v>38</v>
      </c>
      <c r="E56" s="11" t="s">
        <v>29</v>
      </c>
      <c r="F56" s="11" t="s">
        <v>23</v>
      </c>
    </row>
    <row r="57">
      <c r="B57" s="2" t="s">
        <v>7</v>
      </c>
      <c r="C57" s="6">
        <v>1</v>
      </c>
      <c r="D57" s="8">
        <v>36</v>
      </c>
      <c r="E57" s="11" t="s">
        <v>27</v>
      </c>
      <c r="F57" s="11" t="s">
        <v>23</v>
      </c>
    </row>
    <row r="58">
      <c r="B58" s="2" t="s">
        <v>7</v>
      </c>
      <c r="C58" s="6">
        <v>1</v>
      </c>
      <c r="D58" s="8">
        <v>36</v>
      </c>
      <c r="E58" s="11" t="s">
        <v>24</v>
      </c>
      <c r="F58" s="11" t="s">
        <v>23</v>
      </c>
    </row>
    <row r="59">
      <c r="B59" s="2" t="s">
        <v>8</v>
      </c>
      <c r="C59" s="6">
        <v>1</v>
      </c>
      <c r="D59" s="8">
        <v>38</v>
      </c>
      <c r="E59" s="11" t="s">
        <v>34</v>
      </c>
      <c r="F59" s="11" t="s">
        <v>20</v>
      </c>
    </row>
    <row r="60">
      <c r="B60" s="2" t="s">
        <v>65</v>
      </c>
      <c r="C60" s="6">
        <v>1</v>
      </c>
      <c r="D60" s="8">
        <v>38</v>
      </c>
      <c r="E60" s="11" t="s">
        <v>24</v>
      </c>
      <c r="F60" s="11" t="s">
        <v>23</v>
      </c>
    </row>
    <row r="61">
      <c r="B61" s="2" t="s">
        <v>65</v>
      </c>
      <c r="C61" s="6">
        <v>1</v>
      </c>
      <c r="D61" s="8">
        <v>38</v>
      </c>
      <c r="E61" s="11" t="s">
        <v>24</v>
      </c>
      <c r="F61" s="11" t="s">
        <v>23</v>
      </c>
    </row>
    <row r="62">
      <c r="B62" s="2" t="s">
        <v>52</v>
      </c>
      <c r="C62" s="6">
        <v>1</v>
      </c>
      <c r="D62" s="8">
        <v>38</v>
      </c>
      <c r="E62" s="11" t="s">
        <v>24</v>
      </c>
      <c r="F62" s="11" t="s">
        <v>23</v>
      </c>
    </row>
    <row r="63">
      <c r="B63" s="2" t="s">
        <v>10</v>
      </c>
      <c r="C63" s="6">
        <v>1</v>
      </c>
      <c r="D63" s="8">
        <v>38</v>
      </c>
      <c r="E63" s="11" t="s">
        <v>24</v>
      </c>
      <c r="F63" s="11" t="s">
        <v>23</v>
      </c>
    </row>
    <row r="64">
      <c r="B64" s="2" t="s">
        <v>70</v>
      </c>
      <c r="C64" s="6">
        <v>1</v>
      </c>
      <c r="D64" s="8">
        <v>38</v>
      </c>
      <c r="E64" s="11" t="s">
        <v>27</v>
      </c>
      <c r="F64" s="11" t="s">
        <v>23</v>
      </c>
    </row>
    <row r="65" ht="18" customHeight="1">
      <c r="B65" s="2" t="s">
        <v>106</v>
      </c>
      <c r="C65" s="6">
        <v>1</v>
      </c>
      <c r="D65" s="8">
        <v>38</v>
      </c>
      <c r="E65" s="11" t="s">
        <v>24</v>
      </c>
      <c r="F65" s="11" t="s">
        <v>23</v>
      </c>
    </row>
    <row r="66" ht="18" customHeight="1">
      <c r="B66" s="14" t="s">
        <v>13</v>
      </c>
      <c r="C66" s="18">
        <f>SUM(C55:C65)</f>
        <v>11</v>
      </c>
      <c r="D66" s="19">
        <f>AVERAGE(D55:D65)</f>
        <v>37.63636363636363</v>
      </c>
      <c r="E66" s="33"/>
      <c r="F66" s="34"/>
    </row>
    <row r="67" ht="18" customHeight="1"/>
    <row r="68" ht="18" customHeight="1"/>
    <row r="69" ht="18" customHeight="1"/>
    <row r="70" ht="18" customHeight="1">
      <c r="C70" s="45" t="s">
        <v>124</v>
      </c>
      <c r="D70" s="45"/>
      <c r="E70" s="45"/>
    </row>
    <row r="71" ht="18" customHeight="1">
      <c r="C71" s="45" t="s">
        <v>125</v>
      </c>
      <c r="D71" s="45"/>
      <c r="E71" s="45"/>
    </row>
    <row r="72" ht="18" customHeight="1"/>
    <row r="73" ht="18" customHeight="1">
      <c r="B73" s="5" t="s">
        <v>2</v>
      </c>
      <c r="C73" s="5" t="s">
        <v>3</v>
      </c>
      <c r="D73" s="5" t="s">
        <v>4</v>
      </c>
      <c r="E73" s="5" t="s">
        <v>5</v>
      </c>
      <c r="F73" s="5" t="s">
        <v>6</v>
      </c>
    </row>
    <row r="74" ht="18" customHeight="1">
      <c r="B74" s="2" t="s">
        <v>9</v>
      </c>
      <c r="C74" s="6">
        <v>1</v>
      </c>
      <c r="D74" s="8">
        <v>35</v>
      </c>
      <c r="E74" s="11" t="s">
        <v>29</v>
      </c>
      <c r="F74" s="11" t="s">
        <v>23</v>
      </c>
    </row>
    <row r="75" ht="18" customHeight="1">
      <c r="B75" s="2" t="s">
        <v>9</v>
      </c>
      <c r="C75" s="6">
        <v>1</v>
      </c>
      <c r="D75" s="8">
        <v>35</v>
      </c>
      <c r="E75" s="11" t="s">
        <v>29</v>
      </c>
      <c r="F75" s="11" t="s">
        <v>23</v>
      </c>
    </row>
    <row r="76" ht="18" customHeight="1">
      <c r="B76" s="2" t="s">
        <v>7</v>
      </c>
      <c r="C76" s="6">
        <v>1</v>
      </c>
      <c r="D76" s="8">
        <v>36</v>
      </c>
      <c r="E76" s="11" t="s">
        <v>24</v>
      </c>
      <c r="F76" s="11" t="s">
        <v>23</v>
      </c>
    </row>
    <row r="77" ht="18" customHeight="1">
      <c r="B77" s="2" t="s">
        <v>7</v>
      </c>
      <c r="C77" s="6">
        <v>1</v>
      </c>
      <c r="D77" s="8">
        <v>36</v>
      </c>
      <c r="E77" s="11" t="s">
        <v>24</v>
      </c>
      <c r="F77" s="11" t="s">
        <v>23</v>
      </c>
    </row>
    <row r="78">
      <c r="B78" s="2" t="s">
        <v>8</v>
      </c>
      <c r="C78" s="6">
        <v>1</v>
      </c>
      <c r="D78" s="8">
        <v>35</v>
      </c>
      <c r="E78" s="11" t="s">
        <v>34</v>
      </c>
      <c r="F78" s="11" t="s">
        <v>20</v>
      </c>
    </row>
    <row r="79">
      <c r="B79" s="2" t="s">
        <v>8</v>
      </c>
      <c r="C79" s="6">
        <v>1</v>
      </c>
      <c r="D79" s="8">
        <v>35</v>
      </c>
      <c r="E79" s="11" t="s">
        <v>27</v>
      </c>
      <c r="F79" s="11" t="s">
        <v>126</v>
      </c>
    </row>
    <row r="80">
      <c r="B80" s="2" t="s">
        <v>106</v>
      </c>
      <c r="C80" s="6">
        <v>1</v>
      </c>
      <c r="D80" s="8">
        <v>38</v>
      </c>
      <c r="E80" s="11" t="s">
        <v>27</v>
      </c>
      <c r="F80" s="11" t="s">
        <v>23</v>
      </c>
    </row>
    <row r="81">
      <c r="B81" s="2" t="s">
        <v>65</v>
      </c>
      <c r="C81" s="6">
        <v>1</v>
      </c>
      <c r="D81" s="8">
        <v>38</v>
      </c>
      <c r="E81" s="11" t="s">
        <v>24</v>
      </c>
      <c r="F81" s="11" t="s">
        <v>23</v>
      </c>
    </row>
    <row r="82">
      <c r="B82" s="2" t="s">
        <v>43</v>
      </c>
      <c r="C82" s="6">
        <v>1</v>
      </c>
      <c r="D82" s="8">
        <v>38</v>
      </c>
      <c r="E82" s="11" t="s">
        <v>24</v>
      </c>
      <c r="F82" s="11" t="s">
        <v>23</v>
      </c>
    </row>
    <row r="83" ht="15.75">
      <c r="B83" s="2" t="s">
        <v>127</v>
      </c>
      <c r="C83" s="6">
        <v>1</v>
      </c>
      <c r="D83" s="8">
        <v>37</v>
      </c>
      <c r="E83" s="11" t="s">
        <v>27</v>
      </c>
      <c r="F83" s="11" t="s">
        <v>23</v>
      </c>
    </row>
    <row r="84" ht="19.5">
      <c r="B84" s="14" t="s">
        <v>13</v>
      </c>
      <c r="C84" s="18">
        <f>SUM(C74:C83)</f>
        <v>10</v>
      </c>
      <c r="D84" s="19">
        <f>AVERAGE(D74:D83)</f>
        <v>36.3</v>
      </c>
      <c r="E84" s="33"/>
      <c r="F84" s="34"/>
    </row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</sheetData>
  <mergeCells>
    <mergeCell ref="C2:E2"/>
    <mergeCell ref="C3:E3"/>
    <mergeCell ref="C19:E19"/>
    <mergeCell ref="C18:E18"/>
    <mergeCell ref="C33:E33"/>
    <mergeCell ref="C34:E34"/>
    <mergeCell ref="C51:E51"/>
    <mergeCell ref="C52:E52"/>
    <mergeCell ref="C70:E70"/>
    <mergeCell ref="C71:E71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258FB-3560-4958-9517-8E4782DDD67C}">
  <dimension ref="B2:J185"/>
  <sheetViews>
    <sheetView tabSelected="1" zoomScaleNormal="100" workbookViewId="0"/>
  </sheetViews>
  <sheetFormatPr baseColWidth="10" defaultRowHeight="15" x14ac:dyDescent="0.25"/>
  <cols>
    <col min="2" max="2" width="13.85546875" customWidth="1"/>
    <col min="3" max="4" width="9.7109375" customWidth="1"/>
    <col min="5" max="6" width="13.85546875" customWidth="1"/>
    <col min="9" max="9" width="14.7109375" customWidth="1"/>
    <col min="10" max="11" width="11.42578125" customWidth="1"/>
  </cols>
  <sheetData>
    <row r="2" ht="15.75">
      <c r="C2" s="45" t="s">
        <v>128</v>
      </c>
      <c r="D2" s="45"/>
      <c r="E2" s="45"/>
    </row>
    <row r="3" ht="15.75">
      <c r="C3" s="45" t="s">
        <v>129</v>
      </c>
      <c r="D3" s="45"/>
      <c r="E3" s="45"/>
    </row>
    <row r="4" ht="15.75"/>
    <row r="5" ht="18" customHeight="1"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I5" s="13" t="s">
        <v>18</v>
      </c>
      <c r="J5" s="12">
        <f>SUM(C21,C36,C54,C74,C97)</f>
        <v>14.5</v>
      </c>
    </row>
    <row r="6" ht="18" customHeight="1">
      <c r="B6" s="2" t="s">
        <v>9</v>
      </c>
      <c r="C6" s="6">
        <v>1</v>
      </c>
      <c r="D6" s="8">
        <v>35</v>
      </c>
      <c r="E6" s="11" t="s">
        <v>29</v>
      </c>
      <c r="F6" s="11" t="s">
        <v>23</v>
      </c>
      <c r="I6" s="13" t="s">
        <v>21</v>
      </c>
      <c r="J6" s="12" t="e">
        <f>AVERAGE(D21,D36,D54,D74,D97)</f>
        <v>#DIV/0!</v>
      </c>
    </row>
    <row r="7" ht="18" customHeight="1">
      <c r="B7" s="2" t="s">
        <v>9</v>
      </c>
      <c r="C7" s="6">
        <v>1</v>
      </c>
      <c r="D7" s="8">
        <v>35</v>
      </c>
      <c r="E7" s="11" t="s">
        <v>29</v>
      </c>
      <c r="F7" s="11" t="s">
        <v>23</v>
      </c>
    </row>
    <row r="8" ht="18" customHeight="1">
      <c r="B8" s="2" t="s">
        <v>7</v>
      </c>
      <c r="C8" s="6">
        <v>1</v>
      </c>
      <c r="D8" s="8">
        <v>35</v>
      </c>
      <c r="E8" s="11" t="s">
        <v>24</v>
      </c>
      <c r="F8" s="11" t="s">
        <v>23</v>
      </c>
    </row>
    <row r="9" ht="18" customHeight="1">
      <c r="B9" s="2" t="s">
        <v>7</v>
      </c>
      <c r="C9" s="6">
        <v>1</v>
      </c>
      <c r="D9" s="8">
        <v>35</v>
      </c>
      <c r="E9" s="11" t="s">
        <v>24</v>
      </c>
      <c r="F9" s="11" t="s">
        <v>23</v>
      </c>
    </row>
    <row r="10" ht="18" customHeight="1">
      <c r="B10" s="2" t="s">
        <v>8</v>
      </c>
      <c r="C10" s="6">
        <v>1</v>
      </c>
      <c r="D10" s="8">
        <v>35</v>
      </c>
      <c r="E10" s="11" t="s">
        <v>34</v>
      </c>
      <c r="F10" s="11" t="s">
        <v>20</v>
      </c>
    </row>
    <row r="11" ht="18" customHeight="1">
      <c r="B11" s="2" t="s">
        <v>8</v>
      </c>
      <c r="C11" s="6">
        <v>1</v>
      </c>
      <c r="D11" s="8">
        <v>35</v>
      </c>
      <c r="E11" s="11" t="s">
        <v>27</v>
      </c>
      <c r="F11" s="11" t="s">
        <v>126</v>
      </c>
    </row>
    <row r="12" ht="18" customHeight="1">
      <c r="B12" s="2" t="s">
        <v>8</v>
      </c>
      <c r="C12" s="6">
        <v>1</v>
      </c>
      <c r="D12" s="8">
        <v>35</v>
      </c>
      <c r="E12" s="11" t="s">
        <v>27</v>
      </c>
      <c r="F12" s="11" t="s">
        <v>126</v>
      </c>
    </row>
    <row r="13" ht="18" customHeight="1">
      <c r="B13" s="2" t="s">
        <v>10</v>
      </c>
      <c r="C13" s="6">
        <v>1</v>
      </c>
      <c r="D13" s="8">
        <v>38</v>
      </c>
      <c r="E13" s="11" t="s">
        <v>24</v>
      </c>
      <c r="F13" s="11" t="s">
        <v>23</v>
      </c>
    </row>
    <row r="14" ht="18" customHeight="1">
      <c r="B14" s="2" t="s">
        <v>65</v>
      </c>
      <c r="C14" s="6">
        <v>1</v>
      </c>
      <c r="D14" s="8">
        <v>38</v>
      </c>
      <c r="E14" s="11" t="s">
        <v>27</v>
      </c>
      <c r="F14" s="11" t="s">
        <v>23</v>
      </c>
    </row>
    <row r="15" ht="18" customHeight="1">
      <c r="B15" s="2" t="s">
        <v>65</v>
      </c>
      <c r="C15" s="6">
        <v>1</v>
      </c>
      <c r="D15" s="8">
        <v>38</v>
      </c>
      <c r="E15" s="11" t="s">
        <v>27</v>
      </c>
      <c r="F15" s="11" t="s">
        <v>23</v>
      </c>
    </row>
    <row r="16" ht="18" customHeight="1">
      <c r="B16" s="2" t="s">
        <v>52</v>
      </c>
      <c r="C16" s="6">
        <v>1</v>
      </c>
      <c r="D16" s="8">
        <v>38</v>
      </c>
      <c r="E16" s="11" t="s">
        <v>24</v>
      </c>
      <c r="F16" s="11" t="s">
        <v>23</v>
      </c>
    </row>
    <row r="17" ht="18" customHeight="1">
      <c r="B17" s="2" t="s">
        <v>43</v>
      </c>
      <c r="C17" s="6">
        <v>1</v>
      </c>
      <c r="D17" s="8">
        <v>38</v>
      </c>
      <c r="E17" s="11" t="s">
        <v>24</v>
      </c>
      <c r="F17" s="11" t="s">
        <v>23</v>
      </c>
    </row>
    <row r="18" ht="18" customHeight="1">
      <c r="B18" s="2" t="s">
        <v>106</v>
      </c>
      <c r="C18" s="6">
        <v>1</v>
      </c>
      <c r="D18" s="8">
        <v>38</v>
      </c>
      <c r="E18" s="11" t="s">
        <v>24</v>
      </c>
      <c r="F18" s="11" t="s">
        <v>23</v>
      </c>
    </row>
    <row r="19" ht="18" customHeight="1">
      <c r="B19" s="2" t="s">
        <v>70</v>
      </c>
      <c r="C19" s="6">
        <v>0.5</v>
      </c>
      <c r="D19" s="43"/>
      <c r="E19" s="11" t="s">
        <v>24</v>
      </c>
      <c r="F19" s="11" t="s">
        <v>23</v>
      </c>
    </row>
    <row r="20" ht="18" customHeight="1">
      <c r="B20" s="2" t="s">
        <v>127</v>
      </c>
      <c r="C20" s="6">
        <v>1</v>
      </c>
      <c r="D20" s="8">
        <v>38</v>
      </c>
      <c r="E20" s="11" t="s">
        <v>24</v>
      </c>
      <c r="F20" s="11" t="s">
        <v>23</v>
      </c>
    </row>
    <row r="21" ht="18" customHeight="1">
      <c r="B21" s="14" t="s">
        <v>13</v>
      </c>
      <c r="C21" s="18">
        <f>SUM(C6:C20)</f>
        <v>14.5</v>
      </c>
      <c r="D21" s="19">
        <f>AVERAGE(D6:D20)</f>
        <v>36.5</v>
      </c>
      <c r="E21" s="33"/>
      <c r="F21" s="34"/>
    </row>
    <row r="22" ht="18" customHeight="1"/>
    <row r="25" ht="15.75">
      <c r="C25" s="45" t="s">
        <v>130</v>
      </c>
      <c r="D25" s="45"/>
      <c r="E25" s="45"/>
    </row>
    <row r="26" ht="15.75">
      <c r="C26" s="45" t="s">
        <v>131</v>
      </c>
      <c r="D26" s="45"/>
      <c r="E26" s="45"/>
    </row>
    <row r="28" ht="15.75">
      <c r="B28" s="5" t="s">
        <v>2</v>
      </c>
      <c r="C28" s="5" t="s">
        <v>3</v>
      </c>
      <c r="D28" s="5" t="s">
        <v>4</v>
      </c>
      <c r="E28" s="5" t="s">
        <v>5</v>
      </c>
      <c r="F28" s="5" t="s">
        <v>6</v>
      </c>
    </row>
    <row r="29" ht="18" customHeight="1">
      <c r="B29" s="2" t="s">
        <v>9</v>
      </c>
      <c r="C29" s="6">
        <v>1</v>
      </c>
      <c r="D29" s="8">
        <v>38</v>
      </c>
      <c r="E29" s="11" t="s">
        <v>24</v>
      </c>
      <c r="F29" s="11" t="s">
        <v>23</v>
      </c>
    </row>
    <row r="30" ht="18" customHeight="1">
      <c r="B30" s="2" t="s">
        <v>8</v>
      </c>
      <c r="C30" s="6">
        <v>1</v>
      </c>
      <c r="D30" s="8">
        <v>35</v>
      </c>
      <c r="E30" s="11" t="s">
        <v>34</v>
      </c>
      <c r="F30" s="11" t="s">
        <v>20</v>
      </c>
    </row>
    <row r="31" ht="18" customHeight="1">
      <c r="B31" s="2" t="s">
        <v>43</v>
      </c>
      <c r="C31" s="6">
        <v>1</v>
      </c>
      <c r="D31" s="8">
        <v>43</v>
      </c>
      <c r="E31" s="11" t="s">
        <v>29</v>
      </c>
      <c r="F31" s="11" t="s">
        <v>23</v>
      </c>
    </row>
    <row r="32" ht="18" customHeight="1">
      <c r="B32" s="2"/>
      <c r="C32" s="6"/>
      <c r="D32" s="8"/>
      <c r="E32" s="11"/>
      <c r="F32" s="11"/>
    </row>
    <row r="33" ht="18" customHeight="1">
      <c r="B33" s="2"/>
      <c r="C33" s="6"/>
      <c r="D33" s="8"/>
      <c r="E33" s="11"/>
      <c r="F33" s="11"/>
    </row>
    <row r="34" ht="18" customHeight="1">
      <c r="B34" s="2"/>
      <c r="C34" s="6"/>
      <c r="D34" s="8"/>
      <c r="E34" s="11"/>
      <c r="F34" s="11"/>
    </row>
    <row r="35" ht="18" customHeight="1">
      <c r="B35" s="2"/>
      <c r="C35" s="6"/>
      <c r="D35" s="8"/>
      <c r="E35" s="11"/>
      <c r="F35" s="11"/>
    </row>
    <row r="36" ht="18" customHeight="1">
      <c r="B36" s="14" t="s">
        <v>13</v>
      </c>
      <c r="C36" s="18">
        <f>SUM(C29:C35)</f>
        <v>0</v>
      </c>
      <c r="D36" s="19" t="e">
        <f>AVERAGE(D29:D35)</f>
        <v>#DIV/0!</v>
      </c>
      <c r="E36" s="33"/>
      <c r="F36" s="34"/>
    </row>
    <row r="37" ht="18" customHeight="1"/>
    <row r="38" ht="18" customHeight="1"/>
    <row r="39" ht="18" customHeight="1"/>
    <row r="40" ht="18" customHeight="1">
      <c r="C40" s="45" t="s">
        <v>132</v>
      </c>
      <c r="D40" s="45"/>
      <c r="E40" s="45"/>
    </row>
    <row r="41" ht="18" customHeight="1">
      <c r="C41" s="45" t="s">
        <v>133</v>
      </c>
      <c r="D41" s="45"/>
      <c r="E41" s="45"/>
    </row>
    <row r="42" ht="18" customHeight="1"/>
    <row r="43" ht="15.75">
      <c r="B43" s="5" t="s">
        <v>2</v>
      </c>
      <c r="C43" s="5" t="s">
        <v>3</v>
      </c>
      <c r="D43" s="5" t="s">
        <v>4</v>
      </c>
      <c r="E43" s="5" t="s">
        <v>5</v>
      </c>
      <c r="F43" s="5" t="s">
        <v>6</v>
      </c>
    </row>
    <row r="44">
      <c r="B44" s="2" t="s">
        <v>9</v>
      </c>
      <c r="C44" s="6">
        <v>1</v>
      </c>
      <c r="D44" s="8">
        <v>38</v>
      </c>
      <c r="E44" s="11" t="s">
        <v>29</v>
      </c>
      <c r="F44" s="11" t="s">
        <v>23</v>
      </c>
    </row>
    <row r="45">
      <c r="B45" s="2" t="s">
        <v>8</v>
      </c>
      <c r="C45" s="6">
        <v>1</v>
      </c>
      <c r="D45" s="8">
        <v>36</v>
      </c>
      <c r="E45" s="11" t="s">
        <v>34</v>
      </c>
      <c r="F45" s="11" t="s">
        <v>20</v>
      </c>
    </row>
    <row r="46">
      <c r="B46" s="2" t="s">
        <v>7</v>
      </c>
      <c r="C46" s="6">
        <v>1</v>
      </c>
      <c r="D46" s="8"/>
      <c r="E46" s="11" t="s">
        <v>24</v>
      </c>
      <c r="F46" s="11" t="s">
        <v>23</v>
      </c>
    </row>
    <row r="47">
      <c r="B47" s="2" t="s">
        <v>10</v>
      </c>
      <c r="C47" s="6">
        <v>1</v>
      </c>
      <c r="D47" s="8">
        <v>42</v>
      </c>
      <c r="E47" s="11" t="s">
        <v>24</v>
      </c>
      <c r="F47" s="11" t="s">
        <v>23</v>
      </c>
    </row>
    <row r="48">
      <c r="B48" s="2"/>
      <c r="C48" s="6"/>
      <c r="D48" s="8"/>
      <c r="E48" s="11"/>
      <c r="F48" s="11"/>
    </row>
    <row r="49">
      <c r="B49" s="2"/>
      <c r="C49" s="6"/>
      <c r="D49" s="8"/>
      <c r="E49" s="11"/>
      <c r="F49" s="11"/>
    </row>
    <row r="50">
      <c r="B50" s="2"/>
      <c r="C50" s="6"/>
      <c r="D50" s="8"/>
      <c r="E50" s="11"/>
      <c r="F50" s="11"/>
    </row>
    <row r="51" ht="18" customHeight="1">
      <c r="B51" s="2"/>
      <c r="C51" s="6"/>
      <c r="D51" s="8"/>
      <c r="E51" s="11"/>
      <c r="F51" s="11"/>
    </row>
    <row r="52" ht="18" customHeight="1">
      <c r="B52" s="2"/>
      <c r="C52" s="6"/>
      <c r="D52" s="8"/>
      <c r="E52" s="11"/>
      <c r="F52" s="11"/>
    </row>
    <row r="53" ht="18" customHeight="1">
      <c r="B53" s="2"/>
      <c r="C53" s="6"/>
      <c r="D53" s="8"/>
      <c r="E53" s="11"/>
      <c r="F53" s="11"/>
    </row>
    <row r="54" ht="18" customHeight="1">
      <c r="B54" s="14" t="s">
        <v>13</v>
      </c>
      <c r="C54" s="18">
        <f>SUM(C44:C53)</f>
        <v>0</v>
      </c>
      <c r="D54" s="19" t="e">
        <f>AVERAGE(D44:D53)</f>
        <v>#DIV/0!</v>
      </c>
      <c r="E54" s="33"/>
      <c r="F54" s="34"/>
    </row>
    <row r="55" ht="18" customHeight="1"/>
    <row r="56" ht="18" customHeight="1"/>
    <row r="57" ht="18" customHeight="1"/>
    <row r="58" ht="18" customHeight="1">
      <c r="C58" s="45" t="s">
        <v>134</v>
      </c>
      <c r="D58" s="45"/>
      <c r="E58" s="45"/>
    </row>
    <row r="59" ht="18" customHeight="1">
      <c r="C59" s="45" t="s">
        <v>135</v>
      </c>
      <c r="D59" s="45"/>
      <c r="E59" s="45"/>
    </row>
    <row r="60" ht="18" customHeight="1"/>
    <row r="61" ht="18" customHeight="1">
      <c r="B61" s="5" t="s">
        <v>2</v>
      </c>
      <c r="C61" s="5" t="s">
        <v>3</v>
      </c>
      <c r="D61" s="5" t="s">
        <v>4</v>
      </c>
      <c r="E61" s="5" t="s">
        <v>5</v>
      </c>
      <c r="F61" s="5" t="s">
        <v>6</v>
      </c>
    </row>
    <row r="62" ht="18" customHeight="1">
      <c r="B62" s="2" t="s">
        <v>9</v>
      </c>
      <c r="C62" s="6">
        <v>1</v>
      </c>
      <c r="D62" s="8">
        <v>35</v>
      </c>
      <c r="E62" s="11" t="s">
        <v>29</v>
      </c>
      <c r="F62" s="11" t="s">
        <v>23</v>
      </c>
    </row>
    <row r="63" ht="18" customHeight="1">
      <c r="B63" s="2" t="s">
        <v>9</v>
      </c>
      <c r="C63" s="6">
        <v>1</v>
      </c>
      <c r="D63" s="8">
        <v>35</v>
      </c>
      <c r="E63" s="11" t="s">
        <v>29</v>
      </c>
      <c r="F63" s="11" t="s">
        <v>23</v>
      </c>
    </row>
    <row r="64">
      <c r="B64" s="2" t="s">
        <v>7</v>
      </c>
      <c r="C64" s="6">
        <v>1</v>
      </c>
      <c r="D64" s="8">
        <v>35</v>
      </c>
      <c r="E64" s="11" t="s">
        <v>24</v>
      </c>
      <c r="F64" s="11" t="s">
        <v>23</v>
      </c>
    </row>
    <row r="65">
      <c r="B65" s="2" t="s">
        <v>8</v>
      </c>
      <c r="C65" s="6">
        <v>1</v>
      </c>
      <c r="D65" s="8">
        <v>35</v>
      </c>
      <c r="E65" s="11" t="s">
        <v>24</v>
      </c>
      <c r="F65" s="11" t="s">
        <v>23</v>
      </c>
    </row>
    <row r="66">
      <c r="B66" s="2" t="s">
        <v>43</v>
      </c>
      <c r="C66" s="6">
        <v>1</v>
      </c>
      <c r="D66" s="8">
        <v>43</v>
      </c>
      <c r="E66" s="11" t="s">
        <v>27</v>
      </c>
      <c r="F66" s="11" t="s">
        <v>136</v>
      </c>
    </row>
    <row r="67">
      <c r="B67" s="2" t="s">
        <v>43</v>
      </c>
      <c r="C67" s="6">
        <v>1</v>
      </c>
      <c r="D67" s="8">
        <v>43</v>
      </c>
      <c r="E67" s="11" t="s">
        <v>27</v>
      </c>
      <c r="F67" s="11" t="s">
        <v>136</v>
      </c>
    </row>
    <row r="68">
      <c r="B68" s="2" t="s">
        <v>8</v>
      </c>
      <c r="C68" s="6">
        <v>1</v>
      </c>
      <c r="D68" s="8">
        <v>35</v>
      </c>
      <c r="E68" s="11" t="s">
        <v>34</v>
      </c>
      <c r="F68" s="11" t="s">
        <v>20</v>
      </c>
    </row>
    <row r="69">
      <c r="B69" s="2" t="s">
        <v>10</v>
      </c>
      <c r="C69" s="6">
        <v>1</v>
      </c>
      <c r="D69" s="8">
        <v>38</v>
      </c>
      <c r="E69" s="11" t="s">
        <v>24</v>
      </c>
      <c r="F69" s="11" t="s">
        <v>23</v>
      </c>
    </row>
    <row r="70">
      <c r="B70" s="2" t="s">
        <v>106</v>
      </c>
      <c r="C70" s="6">
        <v>1</v>
      </c>
      <c r="D70" s="8">
        <v>43</v>
      </c>
      <c r="E70" s="11" t="s">
        <v>24</v>
      </c>
      <c r="F70" s="11" t="s">
        <v>23</v>
      </c>
    </row>
    <row r="71">
      <c r="B71" s="2" t="s">
        <v>65</v>
      </c>
      <c r="C71" s="6">
        <v>1</v>
      </c>
      <c r="D71" s="8">
        <v>38</v>
      </c>
      <c r="E71" s="11" t="s">
        <v>24</v>
      </c>
      <c r="F71" s="11" t="s">
        <v>23</v>
      </c>
    </row>
    <row r="72" ht="18" customHeight="1">
      <c r="B72" s="2" t="s">
        <v>65</v>
      </c>
      <c r="C72" s="6">
        <v>1</v>
      </c>
      <c r="D72" s="8">
        <v>38</v>
      </c>
      <c r="E72" s="11" t="s">
        <v>24</v>
      </c>
      <c r="F72" s="11" t="s">
        <v>23</v>
      </c>
    </row>
    <row r="73">
      <c r="B73" s="2" t="s">
        <v>52</v>
      </c>
      <c r="C73" s="6">
        <v>1</v>
      </c>
      <c r="D73" s="8">
        <v>38</v>
      </c>
      <c r="E73" s="11" t="s">
        <v>27</v>
      </c>
      <c r="F73" s="11" t="s">
        <v>136</v>
      </c>
    </row>
    <row r="74" ht="18" customHeight="1">
      <c r="B74" s="14" t="s">
        <v>13</v>
      </c>
      <c r="C74" s="18">
        <f>SUM(C62:C73)</f>
      </c>
      <c r="D74" s="19">
        <f>IFERROR(SUMPRODUCT(C62:C73,D62:D73)/SUM(C62:C73),"")</f>
      </c>
      <c r="E74" s="33"/>
      <c r="F74" s="34"/>
    </row>
    <row r="75">
      <c r="B75" s="0" t="s">
        <v>137</v>
      </c>
    </row>
    <row r="76">
      <c r="B76" s="0" t="s">
        <v>138</v>
      </c>
      <c r="C76" s="0">
        <v>1</v>
      </c>
      <c r="D76" s="0" t="s">
        <v>139</v>
      </c>
      <c r="E76" s="0" t="s">
        <v>140</v>
      </c>
    </row>
    <row r="77">
      <c r="B77" s="0" t="s">
        <v>141</v>
      </c>
      <c r="C77" s="0">
        <v>1</v>
      </c>
      <c r="D77" s="0" t="s">
        <v>139</v>
      </c>
      <c r="E77" s="0" t="s">
        <v>140</v>
      </c>
    </row>
    <row r="78">
      <c r="B78" s="0" t="s">
        <v>141</v>
      </c>
      <c r="C78" s="0">
        <v>1</v>
      </c>
      <c r="D78" s="0" t="s">
        <v>139</v>
      </c>
      <c r="E78" s="0" t="s">
        <v>142</v>
      </c>
    </row>
    <row r="79">
      <c r="B79" s="0" t="s">
        <v>143</v>
      </c>
      <c r="C79" s="0">
        <v>1</v>
      </c>
      <c r="D79" s="0" t="s">
        <v>139</v>
      </c>
      <c r="E79" s="0" t="s">
        <v>140</v>
      </c>
    </row>
    <row r="80" ht="18" customHeight="1"/>
    <row r="81" ht="18" customHeight="1"/>
    <row r="82" ht="18" customHeight="1"/>
    <row r="83" ht="18" customHeight="1">
      <c r="C83" s="45" t="s">
        <v>144</v>
      </c>
      <c r="D83" s="45"/>
      <c r="E83" s="45"/>
    </row>
    <row r="84" ht="18" customHeight="1">
      <c r="C84" s="45" t="s">
        <v>145</v>
      </c>
      <c r="D84" s="45"/>
      <c r="E84" s="45"/>
    </row>
    <row r="85" ht="18" customHeight="1"/>
    <row r="86" ht="18" customHeight="1">
      <c r="B86" s="5" t="s">
        <v>2</v>
      </c>
      <c r="C86" s="5" t="s">
        <v>3</v>
      </c>
      <c r="D86" s="5" t="s">
        <v>4</v>
      </c>
      <c r="E86" s="5" t="s">
        <v>5</v>
      </c>
      <c r="F86" s="5" t="s">
        <v>6</v>
      </c>
    </row>
    <row r="87" ht="18" customHeight="1">
      <c r="B87" s="2" t="s">
        <v>9</v>
      </c>
      <c r="C87" s="6">
        <v>1</v>
      </c>
      <c r="D87" s="8">
        <v>35</v>
      </c>
      <c r="E87" s="11" t="s">
        <v>29</v>
      </c>
      <c r="F87" s="11" t="s">
        <v>23</v>
      </c>
    </row>
    <row r="88" ht="18" customHeight="1">
      <c r="B88" s="2" t="s">
        <v>9</v>
      </c>
      <c r="C88" s="6">
        <v>1</v>
      </c>
      <c r="D88" s="8">
        <v>35</v>
      </c>
      <c r="E88" s="11" t="s">
        <v>29</v>
      </c>
      <c r="F88" s="11" t="s">
        <v>23</v>
      </c>
    </row>
    <row r="89" ht="18" customHeight="1">
      <c r="B89" s="2" t="s">
        <v>8</v>
      </c>
      <c r="C89" s="6">
        <v>1</v>
      </c>
      <c r="D89" s="8">
        <v>36</v>
      </c>
      <c r="E89" s="11" t="s">
        <v>34</v>
      </c>
      <c r="F89" s="11" t="s">
        <v>20</v>
      </c>
    </row>
    <row r="90" ht="18" customHeight="1">
      <c r="B90" s="2" t="s">
        <v>43</v>
      </c>
      <c r="C90" s="6">
        <v>1</v>
      </c>
      <c r="D90" s="8">
        <v>43</v>
      </c>
      <c r="E90" s="11" t="s">
        <v>27</v>
      </c>
      <c r="F90" s="11" t="s">
        <v>136</v>
      </c>
    </row>
    <row r="91">
      <c r="B91" s="2" t="s">
        <v>43</v>
      </c>
      <c r="C91" s="6">
        <v>1</v>
      </c>
      <c r="D91" s="8">
        <v>43</v>
      </c>
      <c r="E91" s="11" t="s">
        <v>27</v>
      </c>
      <c r="F91" s="11" t="s">
        <v>136</v>
      </c>
    </row>
    <row r="92">
      <c r="B92" s="2" t="s">
        <v>65</v>
      </c>
      <c r="C92" s="6">
        <v>1</v>
      </c>
      <c r="D92" s="8">
        <v>38</v>
      </c>
      <c r="E92" s="11" t="s">
        <v>24</v>
      </c>
      <c r="F92" s="11" t="s">
        <v>23</v>
      </c>
    </row>
    <row r="93">
      <c r="B93" s="2" t="s">
        <v>7</v>
      </c>
      <c r="C93" s="6">
        <v>1</v>
      </c>
      <c r="D93" s="8">
        <v>36</v>
      </c>
      <c r="E93" s="11" t="s">
        <v>24</v>
      </c>
      <c r="F93" s="11" t="s">
        <v>23</v>
      </c>
    </row>
    <row r="94">
      <c r="B94" s="2" t="s">
        <v>146</v>
      </c>
      <c r="C94" s="6">
        <v>1</v>
      </c>
      <c r="D94" s="8">
        <v>43</v>
      </c>
      <c r="E94" s="11" t="s">
        <v>24</v>
      </c>
      <c r="F94" s="11" t="s">
        <v>23</v>
      </c>
    </row>
    <row r="95">
      <c r="B95" s="2"/>
      <c r="C95" s="6"/>
      <c r="D95" s="8"/>
      <c r="E95" s="11"/>
      <c r="F95" s="11"/>
    </row>
    <row r="96" ht="15.75">
      <c r="B96" s="2"/>
      <c r="C96" s="6"/>
      <c r="D96" s="8"/>
      <c r="E96" s="11"/>
      <c r="F96" s="11"/>
    </row>
    <row r="97" ht="19.5">
      <c r="B97" s="14" t="s">
        <v>13</v>
      </c>
      <c r="C97" s="18">
        <f>SUM(C87:C96)</f>
      </c>
      <c r="D97" s="19">
        <f>IFERROR(SUMPRODUCT(C87:C96,D87:D96)/SUM(C87:C96),"")</f>
      </c>
      <c r="E97" s="33"/>
      <c r="F97" s="34"/>
    </row>
    <row r="98">
      <c r="B98" s="0" t="s">
        <v>137</v>
      </c>
    </row>
    <row r="99" ht="18" customHeight="1">
      <c r="B99" s="0" t="s">
        <v>138</v>
      </c>
      <c r="C99" s="0">
        <v>1</v>
      </c>
      <c r="D99" s="0" t="s">
        <v>139</v>
      </c>
      <c r="E99" s="0" t="s">
        <v>140</v>
      </c>
    </row>
    <row r="100" ht="18" customHeight="1">
      <c r="B100" s="0" t="s">
        <v>138</v>
      </c>
      <c r="C100" s="0">
        <v>1</v>
      </c>
      <c r="D100" s="0" t="s">
        <v>139</v>
      </c>
      <c r="E100" s="0" t="s">
        <v>142</v>
      </c>
    </row>
    <row r="101" ht="18" customHeight="1">
      <c r="B101" s="0" t="s">
        <v>141</v>
      </c>
      <c r="C101" s="0">
        <v>1</v>
      </c>
      <c r="D101" s="0" t="s">
        <v>139</v>
      </c>
      <c r="E101" s="0" t="s">
        <v>140</v>
      </c>
    </row>
    <row r="102" ht="18" customHeight="1">
      <c r="B102" s="0" t="s">
        <v>141</v>
      </c>
      <c r="C102" s="0">
        <v>1</v>
      </c>
      <c r="D102" s="0" t="s">
        <v>139</v>
      </c>
      <c r="E102" s="0" t="s">
        <v>142</v>
      </c>
    </row>
    <row r="103" ht="18" customHeight="1">
      <c r="B103" s="0" t="s">
        <v>143</v>
      </c>
      <c r="C103" s="0">
        <v>1</v>
      </c>
      <c r="D103" s="0" t="s">
        <v>139</v>
      </c>
      <c r="E103" s="0" t="s">
        <v>140</v>
      </c>
    </row>
    <row r="104" ht="18" customHeight="1"/>
    <row r="105" ht="18" customHeight="1"/>
    <row r="106" ht="18" customHeight="1"/>
    <row r="107" ht="18" customHeight="1">
      <c r="C107" s="0" t="s">
        <v>147</v>
      </c>
    </row>
    <row r="108" ht="18" customHeight="1">
      <c r="C108" s="0" t="s">
        <v>148</v>
      </c>
    </row>
    <row r="109" ht="18" customHeight="1"/>
    <row r="110" ht="18" customHeight="1">
      <c r="B110" s="0" t="s">
        <v>2</v>
      </c>
      <c r="C110" s="0" t="s">
        <v>3</v>
      </c>
      <c r="D110" s="0" t="s">
        <v>4</v>
      </c>
      <c r="E110" s="0" t="s">
        <v>5</v>
      </c>
      <c r="F110" s="0" t="s">
        <v>6</v>
      </c>
    </row>
    <row r="111" ht="18" customHeight="1">
      <c r="B111" s="0" t="s">
        <v>9</v>
      </c>
      <c r="C111" s="0">
        <v>1</v>
      </c>
      <c r="D111" s="0">
        <v>35</v>
      </c>
      <c r="E111" s="0" t="s">
        <v>29</v>
      </c>
      <c r="F111" s="0" t="s">
        <v>23</v>
      </c>
    </row>
    <row r="112">
      <c r="B112" s="0" t="s">
        <v>9</v>
      </c>
      <c r="C112" s="0">
        <v>1</v>
      </c>
      <c r="D112" s="0">
        <v>35</v>
      </c>
      <c r="E112" s="0" t="s">
        <v>29</v>
      </c>
      <c r="F112" s="0" t="s">
        <v>23</v>
      </c>
    </row>
    <row r="113">
      <c r="B113" s="0" t="s">
        <v>7</v>
      </c>
      <c r="C113" s="0">
        <v>1</v>
      </c>
      <c r="D113" s="0">
        <v>35</v>
      </c>
      <c r="E113" s="0" t="s">
        <v>24</v>
      </c>
      <c r="F113" s="0" t="s">
        <v>23</v>
      </c>
    </row>
    <row r="114">
      <c r="B114" s="0" t="s">
        <v>7</v>
      </c>
      <c r="C114" s="0">
        <v>1</v>
      </c>
      <c r="D114" s="0">
        <v>35</v>
      </c>
      <c r="E114" s="0" t="s">
        <v>24</v>
      </c>
      <c r="F114" s="0" t="s">
        <v>23</v>
      </c>
    </row>
    <row r="115">
      <c r="B115" s="0" t="s">
        <v>8</v>
      </c>
      <c r="C115" s="0">
        <v>1</v>
      </c>
      <c r="D115" s="0">
        <v>35</v>
      </c>
      <c r="E115" s="0" t="s">
        <v>34</v>
      </c>
      <c r="F115" s="0" t="s">
        <v>20</v>
      </c>
    </row>
    <row r="116">
      <c r="B116" s="0" t="s">
        <v>8</v>
      </c>
      <c r="C116" s="0">
        <v>1</v>
      </c>
      <c r="D116" s="0">
        <v>35</v>
      </c>
      <c r="E116" s="0" t="s">
        <v>24</v>
      </c>
      <c r="F116" s="0" t="s">
        <v>23</v>
      </c>
    </row>
    <row r="117">
      <c r="B117" s="0" t="s">
        <v>65</v>
      </c>
      <c r="C117" s="0">
        <v>1</v>
      </c>
      <c r="D117" s="0">
        <v>38</v>
      </c>
      <c r="E117" s="0" t="s">
        <v>24</v>
      </c>
      <c r="F117" s="0" t="s">
        <v>23</v>
      </c>
    </row>
    <row r="118">
      <c r="B118" s="0" t="s">
        <v>65</v>
      </c>
      <c r="C118" s="0">
        <v>1</v>
      </c>
      <c r="D118" s="0">
        <v>38</v>
      </c>
      <c r="E118" s="0" t="s">
        <v>24</v>
      </c>
      <c r="F118" s="0" t="s">
        <v>23</v>
      </c>
    </row>
    <row r="119">
      <c r="B119" s="0" t="s">
        <v>43</v>
      </c>
      <c r="C119" s="0">
        <v>1</v>
      </c>
      <c r="D119" s="0">
        <v>40</v>
      </c>
      <c r="E119" s="0" t="s">
        <v>27</v>
      </c>
      <c r="F119" s="0" t="s">
        <v>136</v>
      </c>
    </row>
    <row r="120">
      <c r="B120" s="0" t="s">
        <v>52</v>
      </c>
      <c r="C120" s="0">
        <v>1</v>
      </c>
      <c r="D120" s="0">
        <v>38</v>
      </c>
      <c r="E120" s="0" t="s">
        <v>27</v>
      </c>
      <c r="F120" s="0" t="s">
        <v>136</v>
      </c>
    </row>
    <row r="121">
      <c r="B121" s="0" t="s">
        <v>106</v>
      </c>
      <c r="C121" s="0">
        <v>1</v>
      </c>
      <c r="D121" s="0">
        <v>40</v>
      </c>
      <c r="E121" s="0" t="s">
        <v>24</v>
      </c>
      <c r="F121" s="0" t="s">
        <v>23</v>
      </c>
    </row>
    <row r="122">
      <c r="B122" s="0" t="s">
        <v>10</v>
      </c>
      <c r="C122" s="0">
        <v>1</v>
      </c>
      <c r="D122" s="0">
        <v>38</v>
      </c>
      <c r="E122" s="0" t="s">
        <v>24</v>
      </c>
      <c r="F122" s="0" t="s">
        <v>23</v>
      </c>
    </row>
    <row r="123">
      <c r="B123" s="0" t="s">
        <v>10</v>
      </c>
      <c r="C123" s="0">
        <v>1</v>
      </c>
      <c r="D123" s="0">
        <v>38</v>
      </c>
      <c r="E123" s="0" t="s">
        <v>24</v>
      </c>
      <c r="F123" s="0" t="s">
        <v>23</v>
      </c>
    </row>
    <row r="124">
      <c r="B124" s="0" t="s">
        <v>127</v>
      </c>
      <c r="C124" s="0">
        <v>1</v>
      </c>
      <c r="D124" s="0">
        <v>38</v>
      </c>
      <c r="E124" s="0" t="s">
        <v>27</v>
      </c>
      <c r="F124" s="0" t="s">
        <v>136</v>
      </c>
    </row>
    <row r="125">
      <c r="B125" s="0" t="s">
        <v>13</v>
      </c>
      <c r="C125" s="0">
        <f>SUM(C111:C124)</f>
      </c>
      <c r="D125" s="0">
        <f>IFERROR(SUMPRODUCT(C111:C124,D111:D124)/SUM(C111:C124),"")</f>
      </c>
    </row>
    <row r="126">
      <c r="B126" s="0" t="s">
        <v>137</v>
      </c>
    </row>
    <row r="127">
      <c r="B127" s="0" t="s">
        <v>143</v>
      </c>
      <c r="C127" s="0">
        <v>1</v>
      </c>
      <c r="D127" s="0" t="s">
        <v>139</v>
      </c>
      <c r="E127" s="0" t="s">
        <v>142</v>
      </c>
    </row>
    <row r="128">
      <c r="B128" s="0" t="s">
        <v>138</v>
      </c>
      <c r="C128" s="0">
        <v>1</v>
      </c>
      <c r="D128" s="0" t="s">
        <v>139</v>
      </c>
      <c r="E128" s="0" t="s">
        <v>149</v>
      </c>
    </row>
    <row r="132">
      <c r="C132" s="0" t="s">
        <v>150</v>
      </c>
    </row>
    <row r="133">
      <c r="C133" s="0" t="s">
        <v>151</v>
      </c>
    </row>
    <row r="135">
      <c r="B135" s="0" t="s">
        <v>2</v>
      </c>
      <c r="C135" s="0" t="s">
        <v>3</v>
      </c>
      <c r="D135" s="0" t="s">
        <v>4</v>
      </c>
      <c r="E135" s="0" t="s">
        <v>5</v>
      </c>
      <c r="F135" s="0" t="s">
        <v>6</v>
      </c>
    </row>
    <row r="136">
      <c r="B136" s="0" t="s">
        <v>9</v>
      </c>
      <c r="C136" s="0">
        <v>1</v>
      </c>
      <c r="D136" s="0">
        <v>35</v>
      </c>
      <c r="E136" s="0" t="s">
        <v>29</v>
      </c>
      <c r="F136" s="0" t="s">
        <v>23</v>
      </c>
    </row>
    <row r="137">
      <c r="B137" s="0" t="s">
        <v>9</v>
      </c>
      <c r="C137" s="0">
        <v>1</v>
      </c>
      <c r="D137" s="0">
        <v>35</v>
      </c>
      <c r="E137" s="0" t="s">
        <v>29</v>
      </c>
      <c r="F137" s="0" t="s">
        <v>23</v>
      </c>
    </row>
    <row r="138">
      <c r="B138" s="0" t="s">
        <v>152</v>
      </c>
      <c r="C138" s="0">
        <v>1</v>
      </c>
      <c r="D138" s="0">
        <v>38</v>
      </c>
      <c r="E138" s="0" t="s">
        <v>27</v>
      </c>
      <c r="F138" s="0" t="s">
        <v>136</v>
      </c>
    </row>
    <row r="139">
      <c r="B139" s="0" t="s">
        <v>152</v>
      </c>
      <c r="C139" s="0">
        <v>1</v>
      </c>
      <c r="D139" s="0">
        <v>38</v>
      </c>
      <c r="E139" s="0" t="s">
        <v>27</v>
      </c>
      <c r="F139" s="0" t="s">
        <v>136</v>
      </c>
    </row>
    <row r="140">
      <c r="B140" s="0" t="s">
        <v>152</v>
      </c>
      <c r="C140" s="0">
        <v>1</v>
      </c>
      <c r="D140" s="0">
        <v>38</v>
      </c>
      <c r="E140" s="0" t="s">
        <v>27</v>
      </c>
      <c r="F140" s="0" t="s">
        <v>136</v>
      </c>
    </row>
    <row r="141">
      <c r="B141" s="0" t="s">
        <v>65</v>
      </c>
      <c r="C141" s="0">
        <v>1</v>
      </c>
      <c r="D141" s="0">
        <v>38</v>
      </c>
      <c r="E141" s="0" t="s">
        <v>27</v>
      </c>
      <c r="F141" s="0" t="s">
        <v>136</v>
      </c>
    </row>
    <row r="142">
      <c r="B142" s="0" t="s">
        <v>65</v>
      </c>
      <c r="C142" s="0">
        <v>1</v>
      </c>
      <c r="D142" s="0">
        <v>38</v>
      </c>
      <c r="E142" s="0" t="s">
        <v>27</v>
      </c>
      <c r="F142" s="0" t="s">
        <v>136</v>
      </c>
    </row>
    <row r="143">
      <c r="B143" s="0" t="s">
        <v>65</v>
      </c>
      <c r="C143" s="0">
        <v>1</v>
      </c>
      <c r="D143" s="0">
        <v>38</v>
      </c>
      <c r="E143" s="0" t="s">
        <v>27</v>
      </c>
      <c r="F143" s="0" t="s">
        <v>136</v>
      </c>
    </row>
    <row r="144">
      <c r="B144" s="0" t="s">
        <v>153</v>
      </c>
      <c r="C144" s="0">
        <v>1</v>
      </c>
      <c r="D144" s="0">
        <v>38</v>
      </c>
      <c r="E144" s="0" t="s">
        <v>28</v>
      </c>
      <c r="F144" s="0" t="s">
        <v>136</v>
      </c>
    </row>
    <row r="145">
      <c r="B145" s="0" t="s">
        <v>15</v>
      </c>
      <c r="C145" s="0">
        <v>1</v>
      </c>
      <c r="D145" s="0">
        <v>36</v>
      </c>
      <c r="E145" s="0" t="s">
        <v>24</v>
      </c>
      <c r="F145" s="0" t="s">
        <v>23</v>
      </c>
    </row>
    <row r="146">
      <c r="B146" s="0" t="s">
        <v>8</v>
      </c>
      <c r="C146" s="0">
        <v>1</v>
      </c>
      <c r="D146" s="0">
        <v>35</v>
      </c>
      <c r="E146" s="0" t="s">
        <v>34</v>
      </c>
      <c r="F146" s="0" t="s">
        <v>20</v>
      </c>
    </row>
    <row r="147">
      <c r="B147" s="0" t="s">
        <v>8</v>
      </c>
      <c r="C147" s="0">
        <v>1</v>
      </c>
      <c r="D147" s="0">
        <v>35</v>
      </c>
      <c r="E147" s="0" t="s">
        <v>24</v>
      </c>
      <c r="F147" s="0" t="s">
        <v>23</v>
      </c>
    </row>
    <row r="148">
      <c r="B148" s="0" t="s">
        <v>8</v>
      </c>
      <c r="C148" s="0">
        <v>1</v>
      </c>
      <c r="D148" s="0">
        <v>35</v>
      </c>
      <c r="E148" s="0" t="s">
        <v>24</v>
      </c>
      <c r="F148" s="0" t="s">
        <v>23</v>
      </c>
    </row>
    <row r="149">
      <c r="B149" s="0" t="s">
        <v>154</v>
      </c>
      <c r="C149" s="0">
        <v>1</v>
      </c>
      <c r="D149" s="0">
        <v>38</v>
      </c>
      <c r="E149" s="0" t="s">
        <v>24</v>
      </c>
      <c r="F149" s="0" t="s">
        <v>23</v>
      </c>
    </row>
    <row r="150">
      <c r="B150" s="0" t="s">
        <v>146</v>
      </c>
      <c r="C150" s="0">
        <v>1</v>
      </c>
      <c r="D150" s="0">
        <v>38</v>
      </c>
      <c r="E150" s="0" t="s">
        <v>24</v>
      </c>
      <c r="F150" s="0" t="s">
        <v>23</v>
      </c>
    </row>
    <row r="151">
      <c r="B151" s="0" t="s">
        <v>43</v>
      </c>
      <c r="C151" s="0">
        <v>1</v>
      </c>
      <c r="D151" s="0">
        <v>38</v>
      </c>
      <c r="E151" s="0" t="s">
        <v>24</v>
      </c>
      <c r="F151" s="0" t="s">
        <v>23</v>
      </c>
    </row>
    <row r="152">
      <c r="B152" s="0" t="s">
        <v>155</v>
      </c>
      <c r="C152" s="0">
        <v>1</v>
      </c>
      <c r="D152" s="0">
        <v>38</v>
      </c>
      <c r="E152" s="0" t="s">
        <v>24</v>
      </c>
      <c r="F152" s="0" t="s">
        <v>23</v>
      </c>
    </row>
    <row r="153">
      <c r="B153" s="0" t="s">
        <v>7</v>
      </c>
      <c r="C153" s="0">
        <v>1</v>
      </c>
      <c r="D153" s="0">
        <v>35</v>
      </c>
      <c r="E153" s="0" t="s">
        <v>24</v>
      </c>
      <c r="F153" s="0" t="s">
        <v>23</v>
      </c>
    </row>
    <row r="154">
      <c r="B154" s="0" t="s">
        <v>7</v>
      </c>
      <c r="C154" s="0">
        <v>1</v>
      </c>
      <c r="D154" s="0">
        <v>35</v>
      </c>
      <c r="E154" s="0" t="s">
        <v>24</v>
      </c>
      <c r="F154" s="0" t="s">
        <v>23</v>
      </c>
    </row>
    <row r="155">
      <c r="B155" s="0" t="s">
        <v>10</v>
      </c>
      <c r="C155" s="0">
        <v>1</v>
      </c>
      <c r="D155" s="0">
        <v>38</v>
      </c>
      <c r="E155" s="0" t="s">
        <v>24</v>
      </c>
      <c r="F155" s="0" t="s">
        <v>23</v>
      </c>
    </row>
    <row r="156">
      <c r="B156" s="0" t="s">
        <v>52</v>
      </c>
      <c r="C156" s="0">
        <v>1</v>
      </c>
      <c r="D156" s="0">
        <v>38</v>
      </c>
      <c r="E156" s="0" t="s">
        <v>24</v>
      </c>
      <c r="F156" s="0" t="s">
        <v>23</v>
      </c>
    </row>
    <row r="157">
      <c r="B157" s="0" t="s">
        <v>127</v>
      </c>
      <c r="C157" s="0">
        <v>1</v>
      </c>
      <c r="D157" s="0">
        <v>38</v>
      </c>
      <c r="E157" s="0" t="s">
        <v>24</v>
      </c>
      <c r="F157" s="0" t="s">
        <v>23</v>
      </c>
    </row>
    <row r="158">
      <c r="B158" s="0" t="s">
        <v>79</v>
      </c>
      <c r="C158" s="0">
        <v>1</v>
      </c>
      <c r="D158" s="0">
        <v>38</v>
      </c>
      <c r="E158" s="0" t="s">
        <v>24</v>
      </c>
      <c r="F158" s="0" t="s">
        <v>23</v>
      </c>
    </row>
    <row r="159">
      <c r="B159" s="0" t="s">
        <v>13</v>
      </c>
      <c r="C159" s="0">
        <f>SUM(C136:C158)</f>
      </c>
      <c r="D159" s="0">
        <f>IFERROR(SUMPRODUCT(C136:C158,D136:D158)/SUM(C136:C158),"")</f>
      </c>
    </row>
    <row r="160">
      <c r="B160" s="0" t="s">
        <v>137</v>
      </c>
    </row>
    <row r="161">
      <c r="B161" s="0" t="s">
        <v>156</v>
      </c>
      <c r="C161" s="0">
        <v>1</v>
      </c>
      <c r="D161" s="0" t="s">
        <v>157</v>
      </c>
      <c r="E161" s="0" t="s">
        <v>140</v>
      </c>
    </row>
    <row r="165">
      <c r="C165" s="0" t="s">
        <v>158</v>
      </c>
    </row>
    <row r="166">
      <c r="C166" s="0" t="s">
        <v>159</v>
      </c>
    </row>
    <row r="168">
      <c r="B168" s="0" t="s">
        <v>2</v>
      </c>
      <c r="C168" s="0" t="s">
        <v>3</v>
      </c>
      <c r="D168" s="0" t="s">
        <v>4</v>
      </c>
      <c r="E168" s="0" t="s">
        <v>5</v>
      </c>
      <c r="F168" s="0" t="s">
        <v>6</v>
      </c>
    </row>
    <row r="169">
      <c r="B169" s="0" t="s">
        <v>9</v>
      </c>
      <c r="C169" s="0">
        <v>1</v>
      </c>
      <c r="D169" s="0">
        <v>31</v>
      </c>
      <c r="E169" s="0" t="s">
        <v>29</v>
      </c>
    </row>
    <row r="170">
      <c r="B170" s="0" t="s">
        <v>9</v>
      </c>
      <c r="C170" s="0">
        <v>1</v>
      </c>
      <c r="D170" s="0">
        <v>31</v>
      </c>
      <c r="E170" s="0" t="s">
        <v>29</v>
      </c>
    </row>
    <row r="171">
      <c r="B171" s="0" t="s">
        <v>8</v>
      </c>
      <c r="C171" s="0">
        <v>1</v>
      </c>
      <c r="D171" s="0">
        <v>31</v>
      </c>
      <c r="E171" s="0" t="s">
        <v>34</v>
      </c>
    </row>
    <row r="172">
      <c r="B172" s="0" t="s">
        <v>8</v>
      </c>
      <c r="C172" s="0">
        <v>1</v>
      </c>
      <c r="D172" s="0">
        <v>31</v>
      </c>
      <c r="E172" s="0" t="s">
        <v>24</v>
      </c>
    </row>
    <row r="173">
      <c r="B173" s="0" t="s">
        <v>65</v>
      </c>
      <c r="C173" s="0">
        <v>1</v>
      </c>
      <c r="D173" s="0">
        <v>33</v>
      </c>
      <c r="E173" s="0" t="s">
        <v>27</v>
      </c>
    </row>
    <row r="174">
      <c r="B174" s="0" t="s">
        <v>7</v>
      </c>
      <c r="C174" s="0">
        <v>1</v>
      </c>
      <c r="D174" s="0">
        <v>32</v>
      </c>
      <c r="E174" s="0" t="s">
        <v>24</v>
      </c>
    </row>
    <row r="175">
      <c r="B175" s="0" t="s">
        <v>160</v>
      </c>
      <c r="C175" s="0">
        <v>1</v>
      </c>
      <c r="D175" s="0">
        <v>33</v>
      </c>
      <c r="E175" s="0" t="s">
        <v>24</v>
      </c>
    </row>
    <row r="176">
      <c r="B176" s="0" t="s">
        <v>127</v>
      </c>
      <c r="C176" s="0">
        <v>1</v>
      </c>
      <c r="D176" s="0">
        <v>33</v>
      </c>
      <c r="E176" s="0" t="s">
        <v>24</v>
      </c>
    </row>
    <row r="177">
      <c r="B177" s="0" t="s">
        <v>153</v>
      </c>
      <c r="C177" s="0">
        <v>1</v>
      </c>
      <c r="D177" s="0">
        <v>38</v>
      </c>
      <c r="E177" s="0" t="s">
        <v>22</v>
      </c>
    </row>
    <row r="178">
      <c r="B178" s="0" t="s">
        <v>154</v>
      </c>
      <c r="C178" s="0">
        <v>1</v>
      </c>
      <c r="D178" s="0">
        <v>33</v>
      </c>
      <c r="E178" s="0" t="s">
        <v>24</v>
      </c>
    </row>
    <row r="179">
      <c r="B179" s="0" t="s">
        <v>52</v>
      </c>
      <c r="C179" s="0">
        <v>1</v>
      </c>
      <c r="D179" s="0">
        <v>33</v>
      </c>
      <c r="E179" s="0" t="s">
        <v>24</v>
      </c>
    </row>
    <row r="180">
      <c r="B180" s="0" t="s">
        <v>43</v>
      </c>
      <c r="C180" s="0">
        <v>1</v>
      </c>
      <c r="D180" s="0">
        <v>34</v>
      </c>
      <c r="E180" s="0" t="s">
        <v>27</v>
      </c>
    </row>
    <row r="181">
      <c r="B181" s="0" t="s">
        <v>161</v>
      </c>
      <c r="C181" s="0">
        <v>1</v>
      </c>
      <c r="D181" s="0">
        <v>33</v>
      </c>
      <c r="E181" s="0" t="s">
        <v>27</v>
      </c>
    </row>
    <row r="182">
      <c r="B182" s="0" t="s">
        <v>152</v>
      </c>
      <c r="C182" s="0">
        <v>1</v>
      </c>
      <c r="D182" s="0">
        <v>33</v>
      </c>
      <c r="E182" s="0" t="s">
        <v>27</v>
      </c>
    </row>
    <row r="183">
      <c r="B183" s="0" t="s">
        <v>79</v>
      </c>
      <c r="C183" s="0">
        <v>1</v>
      </c>
      <c r="D183" s="0">
        <v>33</v>
      </c>
      <c r="E183" s="0" t="s">
        <v>27</v>
      </c>
    </row>
    <row r="184">
      <c r="B184" s="0" t="s">
        <v>155</v>
      </c>
      <c r="C184" s="0">
        <v>1</v>
      </c>
      <c r="D184" s="0">
        <v>33</v>
      </c>
      <c r="E184" s="0" t="s">
        <v>24</v>
      </c>
    </row>
    <row r="185">
      <c r="B185" s="0" t="s">
        <v>13</v>
      </c>
      <c r="C185" s="0">
        <f>SUM(C169:C184)</f>
      </c>
      <c r="D185" s="0">
        <f>IFERROR(SUMPRODUCT(C169:C184,D169:D184)/SUM(C169:C184),"")</f>
      </c>
    </row>
  </sheetData>
  <mergeCells>
    <mergeCell ref="C58:E58"/>
    <mergeCell ref="C59:E59"/>
    <mergeCell ref="C83:E83"/>
    <mergeCell ref="C84:E84"/>
    <mergeCell ref="C2:E2"/>
    <mergeCell ref="C3:E3"/>
    <mergeCell ref="C25:E25"/>
    <mergeCell ref="C26:E26"/>
    <mergeCell ref="C40:E40"/>
    <mergeCell ref="C41:E41"/>
  </mergeCells>
  <pageMargins left="0.7" right="0.7" top="0.75" bottom="0.75" header="0.3" footer="0.3"/>
  <headerFooter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madre</vt:lpstr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Setiembre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Pepe ALMAR S.R.L .</dc:creator>
  <cp:lastModifiedBy>Gonzalo Pepe ALMAR S.R.L .</cp:lastModifiedBy>
  <dcterms:created xsi:type="dcterms:W3CDTF">2026-04-06T11:07:22Z</dcterms:created>
  <dcterms:modified xsi:type="dcterms:W3CDTF">2026-09-09T17:40:02Z</dcterms:modified>
</cp:coreProperties>
</file>