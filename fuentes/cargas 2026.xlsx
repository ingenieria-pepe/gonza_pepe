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<sst xmlns="http://schemas.openxmlformats.org/spreadsheetml/2006/main" count="158" uniqueCount="158">
  <si>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</si>
  <si>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</si>
  <si>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</si>
  <si>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</si>
  <si>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</si>
  <si>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</si>
  <si>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</si>
  <si>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</si>
  <si>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</si>
  <si>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</si>
  <si>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</si>
  <si>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</si>
  <si>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</si>
  <si>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</si>
  <si>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</si>
  <si>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</si>
  <si>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</si>
  <si>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</si>
  <si>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</si>
  <si>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</si>
  <si>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</si>
  <si>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</si>
  <si>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</si>
  <si>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</si>
  <si>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</si>
  <si>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</si>
  <si>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</si>
  <si>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</si>
  <si>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</si>
  <si>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</si>
  <si>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</si>
  <si>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</si>
  <si>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</si>
  <si>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</si>
  <si>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</si>
  <si>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</si>
  <si>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</si>
  <si>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</si>
  <si>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</si>
  <si>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</si>
  <si>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</si>
  <si>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</si>
  <si>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</si>
  <si>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</si>
  <si>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</si>
  <si>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</si>
  <si>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</si>
  <si>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</si>
  <si>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</si>
  <si>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</si>
  <si>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</si>
  <si>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</si>
  <si>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</si>
  <si>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</si>
  <si>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</si>
  <si>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</si>
  <si>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</si>
  <si>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</si>
  <si>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</si>
  <si>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</si>
  <si>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</si>
  <si>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</si>
  <si>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</si>
  <si>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</si>
  <si>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</si>
  <si>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</si>
  <si>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</si>
  <si>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</si>
  <si>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</si>
  <si>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</si>
  <si>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</si>
  <si>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</si>
  <si>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</si>
  <si>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</si>
  <si>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</si>
  <si>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</si>
  <si>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</si>
  <si>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</si>
  <si>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</si>
  <si>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</si>
  <si>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</si>
  <si>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</si>
  <si>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</si>
  <si>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</si>
  <si>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</si>
  <si>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</si>
  <si>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</si>
  <si>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</si>
  <si>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</si>
  <si>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</si>
  <si>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</si>
  <si>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</si>
  <si>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</si>
  <si>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</si>
  <si>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</si>
  <si>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</si>
  <si>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</si>
  <si>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</si>
  <si>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</si>
  <si>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</si>
  <si>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</si>
  <si>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</si>
  <si>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</si>
  <si>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</si>
  <si>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</si>
  <si>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</si>
  <si>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</si>
  <si>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</si>
  <si>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</si>
  <si>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</si>
  <si>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</si>
  <si>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</si>
  <si>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</si>
  <si>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</si>
  <si>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</si>
  <si>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</si>
  <si>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</si>
  <si>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</si>
  <si>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</si>
  <si>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</si>
  <si>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</si>
  <si>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</si>
  <si>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</si>
  <si>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</si>
  <si>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</si>
  <si>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</si>
  <si>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</si>
  <si>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</si>
  <si>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</si>
  <si>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</si>
  <si>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</si>
  <si>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</si>
  <si>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</si>
  <si>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</si>
  <si>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</si>
  <si>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</si>
  <si>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</si>
  <si>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>Paraguay (USD/caja)</t>
  </si>
  <si>
    <t>Paraguay MS</t>
  </si>
  <si>
    <t>7 USD</t>
  </si>
  <si>
    <t>lunes</t>
  </si>
  <si>
    <t>Paraguay DF</t>
  </si>
  <si>
    <t>martes</t>
  </si>
  <si>
    <t>Paraguay AS</t>
  </si>
  <si>
    <t>Semana 41</t>
  </si>
  <si>
    <t>05/10 al 10/10</t>
  </si>
  <si>
    <t>Celso</t>
  </si>
  <si>
    <t>Semana 42</t>
  </si>
  <si>
    <t>12/10 al 17/10</t>
  </si>
  <si>
    <t>miercoles</t>
  </si>
  <si>
    <t>Semana 43</t>
  </si>
  <si>
    <t>19/10 al 24/10</t>
  </si>
  <si>
    <t>Muller Fabricio</t>
  </si>
  <si>
    <t>Jaime Zimerman</t>
  </si>
  <si>
    <t>BAHIA</t>
  </si>
  <si>
    <t>Sergio Correia</t>
  </si>
  <si>
    <t>Paraguay GM</t>
  </si>
  <si>
    <t>7,5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</si>
</sst>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36.17628205128206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52.87730263157895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34.76923076923077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42.54545454545455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40.88298701298701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159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SUM(C21,C36,C54,C74,C97)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AVERAGE(D21,D36,D54,D74,D97)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>
        <v>35</v>
      </c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>
        <v>35</v>
      </c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>
        <v>35</v>
      </c>
      <c r="E64" s="11" t="s">
        <v>24</v>
      </c>
      <c r="F64" s="11" t="s">
        <v>23</v>
      </c>
    </row>
    <row r="65">
      <c r="B65" s="2" t="s">
        <v>8</v>
      </c>
      <c r="C65" s="6">
        <v>1</v>
      </c>
      <c r="D65" s="8">
        <v>35</v>
      </c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>
        <v>43</v>
      </c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>
        <v>43</v>
      </c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>
        <v>35</v>
      </c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>
        <v>38</v>
      </c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>
        <v>43</v>
      </c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>
        <v>38</v>
      </c>
      <c r="E71" s="11" t="s">
        <v>24</v>
      </c>
      <c r="F71" s="11" t="s">
        <v>23</v>
      </c>
    </row>
    <row r="72" ht="18" customHeight="1">
      <c r="B72" s="2" t="s">
        <v>65</v>
      </c>
      <c r="C72" s="6">
        <v>1</v>
      </c>
      <c r="D72" s="8">
        <v>38</v>
      </c>
      <c r="E72" s="11" t="s">
        <v>24</v>
      </c>
      <c r="F72" s="11" t="s">
        <v>23</v>
      </c>
    </row>
    <row r="73">
      <c r="B73" s="2" t="s">
        <v>52</v>
      </c>
      <c r="C73" s="6">
        <v>1</v>
      </c>
      <c r="D73" s="8">
        <v>38</v>
      </c>
      <c r="E73" s="11" t="s">
        <v>27</v>
      </c>
      <c r="F73" s="11" t="s">
        <v>136</v>
      </c>
    </row>
    <row r="74" ht="18" customHeight="1">
      <c r="B74" s="14" t="s">
        <v>13</v>
      </c>
      <c r="C74" s="18">
        <f>SUM(C62:C73)</f>
      </c>
      <c r="D74" s="19">
        <f>IFERROR(SUMPRODUCT(C62:C73,D62:D73)/SUM(C62:C73),"")</f>
      </c>
      <c r="E74" s="33"/>
      <c r="F74" s="34"/>
    </row>
    <row r="75">
      <c r="B75" s="0" t="s">
        <v>137</v>
      </c>
    </row>
    <row r="76">
      <c r="B76" s="0" t="s">
        <v>138</v>
      </c>
      <c r="C76" s="0">
        <v>1</v>
      </c>
      <c r="D76" s="0" t="s">
        <v>139</v>
      </c>
      <c r="E76" s="0" t="s">
        <v>140</v>
      </c>
    </row>
    <row r="77">
      <c r="B77" s="0" t="s">
        <v>141</v>
      </c>
      <c r="C77" s="0">
        <v>1</v>
      </c>
      <c r="D77" s="0" t="s">
        <v>139</v>
      </c>
      <c r="E77" s="0" t="s">
        <v>140</v>
      </c>
    </row>
    <row r="78">
      <c r="B78" s="0" t="s">
        <v>141</v>
      </c>
      <c r="C78" s="0">
        <v>1</v>
      </c>
      <c r="D78" s="0" t="s">
        <v>139</v>
      </c>
      <c r="E78" s="0" t="s">
        <v>142</v>
      </c>
    </row>
    <row r="79">
      <c r="B79" s="0" t="s">
        <v>143</v>
      </c>
      <c r="C79" s="0">
        <v>1</v>
      </c>
      <c r="D79" s="0" t="s">
        <v>139</v>
      </c>
      <c r="E79" s="0" t="s">
        <v>140</v>
      </c>
    </row>
    <row r="80" ht="18" customHeight="1"/>
    <row r="81" ht="18" customHeight="1"/>
    <row r="82" ht="18" customHeight="1"/>
    <row r="83" ht="18" customHeight="1">
      <c r="C83" s="45" t="s">
        <v>144</v>
      </c>
      <c r="D83" s="45"/>
      <c r="E83" s="45"/>
    </row>
    <row r="84" ht="18" customHeight="1">
      <c r="C84" s="45" t="s">
        <v>145</v>
      </c>
      <c r="D84" s="45"/>
      <c r="E84" s="45"/>
    </row>
    <row r="85" ht="18" customHeight="1"/>
    <row r="86" ht="18" customHeight="1">
      <c r="B86" s="5" t="s">
        <v>2</v>
      </c>
      <c r="C86" s="5" t="s">
        <v>3</v>
      </c>
      <c r="D86" s="5" t="s">
        <v>4</v>
      </c>
      <c r="E86" s="5" t="s">
        <v>5</v>
      </c>
      <c r="F86" s="5" t="s">
        <v>6</v>
      </c>
    </row>
    <row r="87" ht="18" customHeight="1">
      <c r="B87" s="2" t="s">
        <v>9</v>
      </c>
      <c r="C87" s="6">
        <v>1</v>
      </c>
      <c r="D87" s="8">
        <v>35</v>
      </c>
      <c r="E87" s="11" t="s">
        <v>29</v>
      </c>
      <c r="F87" s="11" t="s">
        <v>23</v>
      </c>
    </row>
    <row r="88" ht="18" customHeight="1">
      <c r="B88" s="2" t="s">
        <v>9</v>
      </c>
      <c r="C88" s="6">
        <v>1</v>
      </c>
      <c r="D88" s="8">
        <v>35</v>
      </c>
      <c r="E88" s="11" t="s">
        <v>29</v>
      </c>
      <c r="F88" s="11" t="s">
        <v>23</v>
      </c>
    </row>
    <row r="89" ht="18" customHeight="1">
      <c r="B89" s="2" t="s">
        <v>8</v>
      </c>
      <c r="C89" s="6">
        <v>1</v>
      </c>
      <c r="D89" s="8">
        <v>36</v>
      </c>
      <c r="E89" s="11" t="s">
        <v>34</v>
      </c>
      <c r="F89" s="11" t="s">
        <v>20</v>
      </c>
    </row>
    <row r="90" ht="18" customHeight="1">
      <c r="B90" s="2" t="s">
        <v>43</v>
      </c>
      <c r="C90" s="6">
        <v>1</v>
      </c>
      <c r="D90" s="8">
        <v>43</v>
      </c>
      <c r="E90" s="11" t="s">
        <v>27</v>
      </c>
      <c r="F90" s="11" t="s">
        <v>136</v>
      </c>
    </row>
    <row r="91">
      <c r="B91" s="2" t="s">
        <v>43</v>
      </c>
      <c r="C91" s="6">
        <v>1</v>
      </c>
      <c r="D91" s="8">
        <v>43</v>
      </c>
      <c r="E91" s="11" t="s">
        <v>27</v>
      </c>
      <c r="F91" s="11" t="s">
        <v>136</v>
      </c>
    </row>
    <row r="92">
      <c r="B92" s="2" t="s">
        <v>65</v>
      </c>
      <c r="C92" s="6">
        <v>1</v>
      </c>
      <c r="D92" s="8">
        <v>38</v>
      </c>
      <c r="E92" s="11" t="s">
        <v>24</v>
      </c>
      <c r="F92" s="11" t="s">
        <v>23</v>
      </c>
    </row>
    <row r="93">
      <c r="B93" s="2" t="s">
        <v>7</v>
      </c>
      <c r="C93" s="6">
        <v>1</v>
      </c>
      <c r="D93" s="8">
        <v>36</v>
      </c>
      <c r="E93" s="11" t="s">
        <v>24</v>
      </c>
      <c r="F93" s="11" t="s">
        <v>23</v>
      </c>
    </row>
    <row r="94">
      <c r="B94" s="2" t="s">
        <v>146</v>
      </c>
      <c r="C94" s="6">
        <v>1</v>
      </c>
      <c r="D94" s="8">
        <v>43</v>
      </c>
      <c r="E94" s="11" t="s">
        <v>24</v>
      </c>
      <c r="F94" s="11" t="s">
        <v>23</v>
      </c>
    </row>
    <row r="95">
      <c r="B95" s="2"/>
      <c r="C95" s="6"/>
      <c r="D95" s="8"/>
      <c r="E95" s="11"/>
      <c r="F95" s="11"/>
    </row>
    <row r="96" ht="15.75">
      <c r="B96" s="2"/>
      <c r="C96" s="6"/>
      <c r="D96" s="8"/>
      <c r="E96" s="11"/>
      <c r="F96" s="11"/>
    </row>
    <row r="97" ht="19.5">
      <c r="B97" s="14" t="s">
        <v>13</v>
      </c>
      <c r="C97" s="18">
        <f>SUM(C87:C96)</f>
      </c>
      <c r="D97" s="19">
        <f>IFERROR(SUMPRODUCT(C87:C96,D87:D96)/SUM(C87:C96),"")</f>
      </c>
      <c r="E97" s="33"/>
      <c r="F97" s="34"/>
    </row>
    <row r="98">
      <c r="B98" s="0" t="s">
        <v>137</v>
      </c>
    </row>
    <row r="99" ht="18" customHeight="1">
      <c r="B99" s="0" t="s">
        <v>138</v>
      </c>
      <c r="C99" s="0">
        <v>1</v>
      </c>
      <c r="D99" s="0" t="s">
        <v>139</v>
      </c>
      <c r="E99" s="0" t="s">
        <v>140</v>
      </c>
    </row>
    <row r="100" ht="18" customHeight="1">
      <c r="B100" s="0" t="s">
        <v>138</v>
      </c>
      <c r="C100" s="0">
        <v>1</v>
      </c>
      <c r="D100" s="0" t="s">
        <v>139</v>
      </c>
      <c r="E100" s="0" t="s">
        <v>142</v>
      </c>
    </row>
    <row r="101" ht="18" customHeight="1">
      <c r="B101" s="0" t="s">
        <v>141</v>
      </c>
      <c r="C101" s="0">
        <v>1</v>
      </c>
      <c r="D101" s="0" t="s">
        <v>139</v>
      </c>
      <c r="E101" s="0" t="s">
        <v>140</v>
      </c>
    </row>
    <row r="102" ht="18" customHeight="1">
      <c r="B102" s="0" t="s">
        <v>141</v>
      </c>
      <c r="C102" s="0">
        <v>1</v>
      </c>
      <c r="D102" s="0" t="s">
        <v>139</v>
      </c>
      <c r="E102" s="0" t="s">
        <v>142</v>
      </c>
    </row>
    <row r="103" ht="18" customHeight="1">
      <c r="B103" s="0" t="s">
        <v>143</v>
      </c>
      <c r="C103" s="0">
        <v>1</v>
      </c>
      <c r="D103" s="0" t="s">
        <v>139</v>
      </c>
      <c r="E103" s="0" t="s">
        <v>140</v>
      </c>
    </row>
    <row r="104" ht="18" customHeight="1"/>
    <row r="105" ht="18" customHeight="1"/>
    <row r="106" ht="18" customHeight="1"/>
    <row r="107" ht="18" customHeight="1">
      <c r="C107" s="0" t="s">
        <v>147</v>
      </c>
    </row>
    <row r="108" ht="18" customHeight="1">
      <c r="C108" s="0" t="s">
        <v>148</v>
      </c>
    </row>
    <row r="109" ht="18" customHeight="1"/>
    <row r="110" ht="18" customHeight="1">
      <c r="B110" s="0" t="s">
        <v>2</v>
      </c>
      <c r="C110" s="0" t="s">
        <v>3</v>
      </c>
      <c r="D110" s="0" t="s">
        <v>4</v>
      </c>
      <c r="E110" s="0" t="s">
        <v>5</v>
      </c>
      <c r="F110" s="0" t="s">
        <v>6</v>
      </c>
    </row>
    <row r="111" ht="18" customHeight="1">
      <c r="B111" s="0" t="s">
        <v>9</v>
      </c>
      <c r="C111" s="0">
        <v>1</v>
      </c>
      <c r="D111" s="0">
        <v>35</v>
      </c>
      <c r="E111" s="0" t="s">
        <v>29</v>
      </c>
      <c r="F111" s="0" t="s">
        <v>23</v>
      </c>
    </row>
    <row r="112">
      <c r="B112" s="0" t="s">
        <v>9</v>
      </c>
      <c r="C112" s="0">
        <v>1</v>
      </c>
      <c r="D112" s="0">
        <v>35</v>
      </c>
      <c r="E112" s="0" t="s">
        <v>29</v>
      </c>
      <c r="F112" s="0" t="s">
        <v>23</v>
      </c>
    </row>
    <row r="113">
      <c r="B113" s="0" t="s">
        <v>7</v>
      </c>
      <c r="C113" s="0">
        <v>1</v>
      </c>
      <c r="D113" s="0">
        <v>35</v>
      </c>
      <c r="E113" s="0" t="s">
        <v>24</v>
      </c>
      <c r="F113" s="0" t="s">
        <v>23</v>
      </c>
    </row>
    <row r="114">
      <c r="B114" s="0" t="s">
        <v>7</v>
      </c>
      <c r="C114" s="0">
        <v>1</v>
      </c>
      <c r="D114" s="0">
        <v>35</v>
      </c>
      <c r="E114" s="0" t="s">
        <v>24</v>
      </c>
      <c r="F114" s="0" t="s">
        <v>23</v>
      </c>
    </row>
    <row r="115">
      <c r="B115" s="0" t="s">
        <v>8</v>
      </c>
      <c r="C115" s="0">
        <v>1</v>
      </c>
      <c r="D115" s="0">
        <v>35</v>
      </c>
      <c r="E115" s="0" t="s">
        <v>34</v>
      </c>
      <c r="F115" s="0" t="s">
        <v>20</v>
      </c>
    </row>
    <row r="116">
      <c r="B116" s="0" t="s">
        <v>8</v>
      </c>
      <c r="C116" s="0">
        <v>1</v>
      </c>
      <c r="D116" s="0">
        <v>35</v>
      </c>
      <c r="E116" s="0" t="s">
        <v>24</v>
      </c>
      <c r="F116" s="0" t="s">
        <v>23</v>
      </c>
    </row>
    <row r="117">
      <c r="B117" s="0" t="s">
        <v>65</v>
      </c>
      <c r="C117" s="0">
        <v>1</v>
      </c>
      <c r="D117" s="0">
        <v>38</v>
      </c>
      <c r="E117" s="0" t="s">
        <v>24</v>
      </c>
      <c r="F117" s="0" t="s">
        <v>23</v>
      </c>
    </row>
    <row r="118">
      <c r="B118" s="0" t="s">
        <v>65</v>
      </c>
      <c r="C118" s="0">
        <v>1</v>
      </c>
      <c r="D118" s="0">
        <v>38</v>
      </c>
      <c r="E118" s="0" t="s">
        <v>24</v>
      </c>
      <c r="F118" s="0" t="s">
        <v>23</v>
      </c>
    </row>
    <row r="119">
      <c r="B119" s="0" t="s">
        <v>43</v>
      </c>
      <c r="C119" s="0">
        <v>1</v>
      </c>
      <c r="D119" s="0">
        <v>40</v>
      </c>
      <c r="E119" s="0" t="s">
        <v>27</v>
      </c>
      <c r="F119" s="0" t="s">
        <v>136</v>
      </c>
    </row>
    <row r="120">
      <c r="B120" s="0" t="s">
        <v>52</v>
      </c>
      <c r="C120" s="0">
        <v>1</v>
      </c>
      <c r="D120" s="0">
        <v>38</v>
      </c>
      <c r="E120" s="0" t="s">
        <v>27</v>
      </c>
      <c r="F120" s="0" t="s">
        <v>136</v>
      </c>
    </row>
    <row r="121">
      <c r="B121" s="0" t="s">
        <v>106</v>
      </c>
      <c r="C121" s="0">
        <v>1</v>
      </c>
      <c r="D121" s="0">
        <v>40</v>
      </c>
      <c r="E121" s="0" t="s">
        <v>24</v>
      </c>
      <c r="F121" s="0" t="s">
        <v>23</v>
      </c>
    </row>
    <row r="122">
      <c r="B122" s="0" t="s">
        <v>10</v>
      </c>
      <c r="C122" s="0">
        <v>1</v>
      </c>
      <c r="D122" s="0">
        <v>38</v>
      </c>
      <c r="E122" s="0" t="s">
        <v>24</v>
      </c>
      <c r="F122" s="0" t="s">
        <v>23</v>
      </c>
    </row>
    <row r="123">
      <c r="B123" s="0" t="s">
        <v>10</v>
      </c>
      <c r="C123" s="0">
        <v>1</v>
      </c>
      <c r="D123" s="0">
        <v>38</v>
      </c>
      <c r="E123" s="0" t="s">
        <v>24</v>
      </c>
      <c r="F123" s="0" t="s">
        <v>23</v>
      </c>
    </row>
    <row r="124">
      <c r="B124" s="0" t="s">
        <v>127</v>
      </c>
      <c r="C124" s="0">
        <v>1</v>
      </c>
      <c r="D124" s="0">
        <v>38</v>
      </c>
      <c r="E124" s="0" t="s">
        <v>27</v>
      </c>
      <c r="F124" s="0" t="s">
        <v>136</v>
      </c>
    </row>
    <row r="125">
      <c r="B125" s="0" t="s">
        <v>13</v>
      </c>
      <c r="C125" s="0">
        <f>SUM(C111:C124)</f>
      </c>
      <c r="D125" s="0">
        <f>IFERROR(SUMPRODUCT(C111:C124,D111:D124)/SUM(C111:C124),"")</f>
      </c>
    </row>
    <row r="126">
      <c r="B126" s="0" t="s">
        <v>137</v>
      </c>
    </row>
    <row r="127">
      <c r="B127" s="0" t="s">
        <v>143</v>
      </c>
      <c r="C127" s="0">
        <v>1</v>
      </c>
      <c r="D127" s="0" t="s">
        <v>139</v>
      </c>
      <c r="E127" s="0" t="s">
        <v>142</v>
      </c>
    </row>
    <row r="128">
      <c r="B128" s="0" t="s">
        <v>138</v>
      </c>
      <c r="C128" s="0">
        <v>1</v>
      </c>
      <c r="D128" s="0" t="s">
        <v>139</v>
      </c>
      <c r="E128" s="0" t="s">
        <v>149</v>
      </c>
    </row>
    <row r="132">
      <c r="C132" s="0" t="s">
        <v>150</v>
      </c>
    </row>
    <row r="133">
      <c r="C133" s="0" t="s">
        <v>151</v>
      </c>
    </row>
    <row r="135">
      <c r="B135" s="0" t="s">
        <v>2</v>
      </c>
      <c r="C135" s="0" t="s">
        <v>3</v>
      </c>
      <c r="D135" s="0" t="s">
        <v>4</v>
      </c>
      <c r="E135" s="0" t="s">
        <v>5</v>
      </c>
      <c r="F135" s="0" t="s">
        <v>6</v>
      </c>
    </row>
    <row r="136">
      <c r="B136" s="0" t="s">
        <v>9</v>
      </c>
      <c r="C136" s="0">
        <v>1</v>
      </c>
      <c r="D136" s="0">
        <v>35</v>
      </c>
      <c r="E136" s="0" t="s">
        <v>29</v>
      </c>
      <c r="F136" s="0" t="s">
        <v>23</v>
      </c>
    </row>
    <row r="137">
      <c r="B137" s="0" t="s">
        <v>9</v>
      </c>
      <c r="C137" s="0">
        <v>1</v>
      </c>
      <c r="D137" s="0">
        <v>35</v>
      </c>
      <c r="E137" s="0" t="s">
        <v>29</v>
      </c>
      <c r="F137" s="0" t="s">
        <v>23</v>
      </c>
    </row>
    <row r="138">
      <c r="B138" s="0" t="s">
        <v>152</v>
      </c>
      <c r="C138" s="0">
        <v>1</v>
      </c>
      <c r="D138" s="0">
        <v>38</v>
      </c>
      <c r="E138" s="0" t="s">
        <v>27</v>
      </c>
      <c r="F138" s="0" t="s">
        <v>136</v>
      </c>
    </row>
    <row r="139">
      <c r="B139" s="0" t="s">
        <v>152</v>
      </c>
      <c r="C139" s="0">
        <v>1</v>
      </c>
      <c r="D139" s="0">
        <v>38</v>
      </c>
      <c r="E139" s="0" t="s">
        <v>27</v>
      </c>
      <c r="F139" s="0" t="s">
        <v>136</v>
      </c>
    </row>
    <row r="140">
      <c r="B140" s="0" t="s">
        <v>65</v>
      </c>
      <c r="C140" s="0">
        <v>1</v>
      </c>
      <c r="E140" s="0" t="s">
        <v>27</v>
      </c>
      <c r="F140" s="0" t="s">
        <v>136</v>
      </c>
    </row>
    <row r="141">
      <c r="B141" s="0" t="s">
        <v>65</v>
      </c>
      <c r="C141" s="0">
        <v>1</v>
      </c>
      <c r="E141" s="0" t="s">
        <v>27</v>
      </c>
      <c r="F141" s="0" t="s">
        <v>136</v>
      </c>
    </row>
    <row r="142">
      <c r="B142" s="0" t="s">
        <v>8</v>
      </c>
      <c r="C142" s="0">
        <v>1</v>
      </c>
      <c r="D142" s="0">
        <v>35</v>
      </c>
      <c r="E142" s="0" t="s">
        <v>34</v>
      </c>
      <c r="F142" s="0" t="s">
        <v>20</v>
      </c>
    </row>
    <row r="143">
      <c r="B143" s="0" t="s">
        <v>8</v>
      </c>
      <c r="C143" s="0">
        <v>1</v>
      </c>
      <c r="D143" s="0">
        <v>35</v>
      </c>
      <c r="E143" s="0" t="s">
        <v>24</v>
      </c>
      <c r="F143" s="0" t="s">
        <v>23</v>
      </c>
    </row>
    <row r="144">
      <c r="B144" s="0" t="s">
        <v>8</v>
      </c>
      <c r="C144" s="0">
        <v>1</v>
      </c>
      <c r="D144" s="0">
        <v>35</v>
      </c>
      <c r="E144" s="0" t="s">
        <v>24</v>
      </c>
      <c r="F144" s="0" t="s">
        <v>23</v>
      </c>
    </row>
    <row r="145">
      <c r="B145" s="0" t="s">
        <v>146</v>
      </c>
      <c r="C145" s="0">
        <v>1</v>
      </c>
      <c r="D145" s="0">
        <v>38</v>
      </c>
      <c r="E145" s="0" t="s">
        <v>24</v>
      </c>
      <c r="F145" s="0" t="s">
        <v>23</v>
      </c>
    </row>
    <row r="146">
      <c r="B146" s="0" t="s">
        <v>43</v>
      </c>
      <c r="C146" s="0">
        <v>1</v>
      </c>
      <c r="D146" s="0">
        <v>40</v>
      </c>
      <c r="E146" s="0" t="s">
        <v>24</v>
      </c>
      <c r="F146" s="0" t="s">
        <v>23</v>
      </c>
    </row>
    <row r="147">
      <c r="B147" s="0" t="s">
        <v>153</v>
      </c>
      <c r="C147" s="0">
        <v>1</v>
      </c>
      <c r="D147" s="0">
        <v>38</v>
      </c>
      <c r="E147" s="0" t="s">
        <v>136</v>
      </c>
      <c r="F147" s="0" t="s">
        <v>136</v>
      </c>
    </row>
    <row r="148">
      <c r="B148" s="0" t="s">
        <v>7</v>
      </c>
      <c r="C148" s="0">
        <v>1</v>
      </c>
      <c r="E148" s="0" t="s">
        <v>24</v>
      </c>
      <c r="F148" s="0" t="s">
        <v>23</v>
      </c>
    </row>
    <row r="149">
      <c r="B149" s="0" t="s">
        <v>7</v>
      </c>
      <c r="C149" s="0">
        <v>1</v>
      </c>
      <c r="E149" s="0" t="s">
        <v>24</v>
      </c>
      <c r="F149" s="0" t="s">
        <v>23</v>
      </c>
    </row>
    <row r="150">
      <c r="B150" s="0" t="s">
        <v>10</v>
      </c>
      <c r="C150" s="0">
        <v>1</v>
      </c>
      <c r="D150" s="0">
        <v>38</v>
      </c>
      <c r="E150" s="0" t="s">
        <v>24</v>
      </c>
      <c r="F150" s="0" t="s">
        <v>23</v>
      </c>
    </row>
    <row r="151">
      <c r="B151" s="0" t="s">
        <v>52</v>
      </c>
      <c r="C151" s="0">
        <v>1</v>
      </c>
      <c r="D151" s="0">
        <v>38</v>
      </c>
      <c r="E151" s="0" t="s">
        <v>24</v>
      </c>
      <c r="F151" s="0" t="s">
        <v>23</v>
      </c>
    </row>
    <row r="152">
      <c r="B152" s="0" t="s">
        <v>127</v>
      </c>
      <c r="C152" s="0">
        <v>1</v>
      </c>
      <c r="D152" s="0">
        <v>38</v>
      </c>
      <c r="E152" s="0" t="s">
        <v>24</v>
      </c>
      <c r="F152" s="0" t="s">
        <v>23</v>
      </c>
    </row>
    <row r="153">
      <c r="B153" s="0" t="s">
        <v>79</v>
      </c>
      <c r="C153" s="0">
        <v>1</v>
      </c>
      <c r="D153" s="0">
        <v>38</v>
      </c>
      <c r="E153" s="0" t="s">
        <v>24</v>
      </c>
      <c r="F153" s="0" t="s">
        <v>23</v>
      </c>
    </row>
    <row r="154">
      <c r="B154" s="0" t="s">
        <v>154</v>
      </c>
      <c r="C154" s="0">
        <v>1</v>
      </c>
      <c r="D154" s="0">
        <v>38</v>
      </c>
      <c r="E154" s="0" t="s">
        <v>22</v>
      </c>
    </row>
    <row r="155">
      <c r="B155" s="0" t="s">
        <v>155</v>
      </c>
      <c r="C155" s="0">
        <v>1</v>
      </c>
      <c r="D155" s="0">
        <v>36</v>
      </c>
    </row>
    <row r="156">
      <c r="B156" s="0" t="s">
        <v>13</v>
      </c>
      <c r="C156" s="0">
        <f>SUM(C136:C155)</f>
      </c>
      <c r="D156" s="0">
        <f>IFERROR(SUMPRODUCT(C136:C155,D136:D155)/SUM(C136:C155),"")</f>
      </c>
    </row>
    <row r="157">
      <c r="B157" s="0" t="s">
        <v>137</v>
      </c>
    </row>
    <row r="158">
      <c r="B158" s="0" t="s">
        <v>138</v>
      </c>
      <c r="C158" s="0">
        <v>1</v>
      </c>
      <c r="D158" s="0" t="s">
        <v>139</v>
      </c>
      <c r="E158" s="0" t="s">
        <v>140</v>
      </c>
    </row>
    <row r="159">
      <c r="B159" s="0" t="s">
        <v>156</v>
      </c>
      <c r="C159" s="0">
        <v>1</v>
      </c>
      <c r="D159" s="0" t="s">
        <v>157</v>
      </c>
      <c r="E159" s="0" t="s">
        <v>140</v>
      </c>
    </row>
  </sheetData>
  <mergeCells>
    <mergeCell ref="C58:E58"/>
    <mergeCell ref="C59:E59"/>
    <mergeCell ref="C83:E83"/>
    <mergeCell ref="C84:E84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