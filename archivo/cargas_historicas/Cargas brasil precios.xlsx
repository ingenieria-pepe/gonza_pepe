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6FB793C-B779-485F-92F7-57AD8562549C}" xr6:coauthVersionLast="47" xr6:coauthVersionMax="47" xr10:uidLastSave="{00000000-0000-0000-0000-000000000000}"/>
  <bookViews>
    <workbookView xWindow="-120" yWindow="-120" windowWidth="20730" windowHeight="11040" activeTab="1" xr2:uid="{AB87221E-563A-463F-AE91-583B376CE75F}"/>
  </bookViews>
  <sheets>
    <sheet name="Enero" sheetId="11" r:id="rId1"/>
    <sheet name="Febrero" sheetId="12" r:id="rId2"/>
    <sheet name="Marzo" sheetId="13" r:id="rId3"/>
    <sheet name="Abril" sheetId="14" r:id="rId4"/>
    <sheet name="Mayo" sheetId="1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2" l="1"/>
  <c r="C51" i="12"/>
  <c r="D51" i="12"/>
  <c r="D78" i="12"/>
  <c r="D85" i="15"/>
  <c r="C85" i="15"/>
  <c r="D68" i="15"/>
  <c r="C68" i="15"/>
  <c r="D51" i="15"/>
  <c r="C51" i="15"/>
  <c r="D34" i="15"/>
  <c r="C34" i="15"/>
  <c r="D17" i="15"/>
  <c r="C17" i="15"/>
  <c r="D85" i="14"/>
  <c r="C85" i="14"/>
  <c r="D68" i="14"/>
  <c r="C68" i="14"/>
  <c r="D51" i="14"/>
  <c r="C51" i="14"/>
  <c r="D34" i="14"/>
  <c r="C34" i="14"/>
  <c r="D17" i="14"/>
  <c r="C17" i="14"/>
  <c r="D87" i="13"/>
  <c r="C87" i="13"/>
  <c r="D70" i="13"/>
  <c r="C70" i="13"/>
  <c r="D53" i="13"/>
  <c r="C53" i="13"/>
  <c r="D36" i="13"/>
  <c r="C36" i="13"/>
  <c r="D17" i="13"/>
  <c r="C17" i="13"/>
  <c r="D101" i="12"/>
  <c r="C101" i="12"/>
  <c r="C78" i="12"/>
  <c r="C27" i="12"/>
  <c r="D85" i="11"/>
  <c r="D68" i="11"/>
  <c r="D51" i="11"/>
  <c r="D34" i="11"/>
  <c r="D17" i="11"/>
  <c r="C34" i="11"/>
  <c r="C17" i="11"/>
  <c r="C51" i="11"/>
  <c r="C68" i="11"/>
  <c r="C85" i="11"/>
  <c r="J7" i="12" l="1"/>
  <c r="J6" i="12"/>
</calcChain>
</file>

<file path=xl/sharedStrings.xml><?xml version="1.0" encoding="utf-8"?>
<sst xmlns="http://schemas.openxmlformats.org/spreadsheetml/2006/main" count="537" uniqueCount="53">
  <si>
    <t>Productor</t>
  </si>
  <si>
    <t>Transporte</t>
  </si>
  <si>
    <t>Precios</t>
  </si>
  <si>
    <t xml:space="preserve">Caxas </t>
  </si>
  <si>
    <t>Gilson</t>
  </si>
  <si>
    <t>Jony</t>
  </si>
  <si>
    <t>Claudia</t>
  </si>
  <si>
    <t>Agrocurupa</t>
  </si>
  <si>
    <t>Fisher</t>
  </si>
  <si>
    <t>Valdemar</t>
  </si>
  <si>
    <t>Aita</t>
  </si>
  <si>
    <t>Victor</t>
  </si>
  <si>
    <t>Tureck</t>
  </si>
  <si>
    <t>Chicolandia</t>
  </si>
  <si>
    <t>Sergio</t>
  </si>
  <si>
    <t>Sergio (bahia)</t>
  </si>
  <si>
    <t>Semana 1</t>
  </si>
  <si>
    <t>30/12 al 04/01</t>
  </si>
  <si>
    <t>06/01 al 12/01</t>
  </si>
  <si>
    <t>13/01 al 18/01</t>
  </si>
  <si>
    <t>20/01 al 25/01</t>
  </si>
  <si>
    <t>27/01 al 01/02</t>
  </si>
  <si>
    <t>Semana 2</t>
  </si>
  <si>
    <t>Semana 3</t>
  </si>
  <si>
    <t>Semana 4</t>
  </si>
  <si>
    <t>Semana 5</t>
  </si>
  <si>
    <t>Semana 6</t>
  </si>
  <si>
    <t>03/02 al 08/02</t>
  </si>
  <si>
    <t>Semana 7</t>
  </si>
  <si>
    <t>10/02 al 15/02</t>
  </si>
  <si>
    <t>Semana 8</t>
  </si>
  <si>
    <t>17/02 al 22/02</t>
  </si>
  <si>
    <t>Semana 9</t>
  </si>
  <si>
    <t>24/02 al 01/03</t>
  </si>
  <si>
    <t>Carretas</t>
  </si>
  <si>
    <t>Semana 10</t>
  </si>
  <si>
    <t>Semana 11</t>
  </si>
  <si>
    <t>Semana 12</t>
  </si>
  <si>
    <t>Semana 13</t>
  </si>
  <si>
    <t>Semana 14</t>
  </si>
  <si>
    <t>03/03 al 08/03</t>
  </si>
  <si>
    <t>10/03 al 15/03</t>
  </si>
  <si>
    <t>total camiones</t>
  </si>
  <si>
    <t xml:space="preserve">promedio </t>
  </si>
  <si>
    <t>Transporte2</t>
  </si>
  <si>
    <t>Transporte3</t>
  </si>
  <si>
    <t>Silvio</t>
  </si>
  <si>
    <t>Nilton</t>
  </si>
  <si>
    <t>Zanini</t>
  </si>
  <si>
    <t>Amaro</t>
  </si>
  <si>
    <t>Marvel</t>
  </si>
  <si>
    <t>Gral</t>
  </si>
  <si>
    <t>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</si>
</sst>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2" fillId="0" borderId="1" xfId="0" applyFont="1" applyBorder="1"/>
    <xf numFmtId="0" fontId="1" fillId="3" borderId="0" xfId="0" applyFont="1" applyFill="1"/>
  </cellXfs>
  <cellStyles count="1">
    <cellStyle name="Normal" xfId="0" builtinId="0"/>
  </cellStyles>
  <dxfs count="10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73D6189-1A49-421F-8F28-445F14C117FA}" name="Tabla11523273539" displayName="Tabla11523273539" ref="B4:E17" totalsRowCount="1" headerRowDxfId="103" dataDxfId="104">
  <autoFilter ref="B4:E16" xr:uid="{6FECD6FB-176A-447E-A0D7-03AFBFC41C4E}"/>
  <sortState xmlns:xlrd2="http://schemas.microsoft.com/office/spreadsheetml/2017/richdata2" ref="B5:E16">
    <sortCondition ref="B4:B16"/>
  </sortState>
  <tableColumns count="4">
    <tableColumn id="1" xr3:uid="{C3661BAC-251E-44B7-9645-C814E2C2D3BC}" name="Productor" dataDxfId="108" totalsRowDxfId="93"/>
    <tableColumn id="2" xr3:uid="{C0000023-AD20-4FD3-810F-869A8FC0CAE1}" name="Transporte" totalsRowFunction="sum" dataDxfId="107" totalsRowDxfId="92"/>
    <tableColumn id="3" xr3:uid="{97547673-D1F0-4141-975D-16D7AA70B486}" name="Precios" totalsRowFunction="average" dataDxfId="106" totalsRowDxfId="91"/>
    <tableColumn id="4" xr3:uid="{6871A011-3428-4495-9EEF-FCBC3DC5B209}" name="Caxas " dataDxfId="105" totalsRowDxfId="9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6645EA-4BE7-413F-A38C-1717CD4DDE24}" name="Tabla151725283640" displayName="Tabla151725283640" ref="B38:E51" totalsRowCount="1" headerRowDxfId="101">
  <autoFilter ref="B38:E50" xr:uid="{92C2C733-1E60-4A30-B766-72A7EA8F8762}"/>
  <sortState xmlns:xlrd2="http://schemas.microsoft.com/office/spreadsheetml/2017/richdata2" ref="B39:E50">
    <sortCondition ref="B4:B16"/>
  </sortState>
  <tableColumns count="4">
    <tableColumn id="1" xr3:uid="{1126B7F8-A7DD-4777-B936-BDEC80C22142}" name="Productor"/>
    <tableColumn id="2" xr3:uid="{6800621B-7670-46B6-9CDC-775D66087A39}" name="Transporte" totalsRowFunction="sum"/>
    <tableColumn id="3" xr3:uid="{C2A3871E-5F03-487F-9412-FD5F07628F17}" name="Precios" totalsRowFunction="average"/>
    <tableColumn id="4" xr3:uid="{F68CA03A-851B-42E4-906E-05D7305D72E3}" name="Caxas 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E35BA60-47D5-4555-8F1C-BB09B19FE660}" name="Tabla161826293741" displayName="Tabla161826293741" ref="B55:E68" totalsRowCount="1" headerRowDxfId="100">
  <autoFilter ref="B55:E67" xr:uid="{D76B12EB-6A32-4858-9157-3078072B3169}"/>
  <sortState xmlns:xlrd2="http://schemas.microsoft.com/office/spreadsheetml/2017/richdata2" ref="B56:E67">
    <sortCondition ref="B4:B16"/>
  </sortState>
  <tableColumns count="4">
    <tableColumn id="1" xr3:uid="{D52C8278-3E70-4A7B-833B-EE3A5B888C78}" name="Productor"/>
    <tableColumn id="2" xr3:uid="{61FF7249-079A-4219-90AA-4CD89A890F8E}" name="Transporte" totalsRowFunction="sum"/>
    <tableColumn id="3" xr3:uid="{922BFD03-3337-4D2E-92A9-C0E4D9CF6086}" name="Precios" totalsRowFunction="average"/>
    <tableColumn id="4" xr3:uid="{C1C0E1A2-71E8-4829-B685-76FB358F4658}" name="Caxas 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93E0389-1D2C-4283-A6EF-4D3B7AEA326F}" name="Tabla141624303842" displayName="Tabla141624303842" ref="B21:E34" totalsRowCount="1" headerRowDxfId="102">
  <autoFilter ref="B21:E33" xr:uid="{EFCAED63-EF03-4AEF-ADB1-88EFDA72BA2E}"/>
  <sortState xmlns:xlrd2="http://schemas.microsoft.com/office/spreadsheetml/2017/richdata2" ref="B22:E33">
    <sortCondition ref="B4:B16"/>
  </sortState>
  <tableColumns count="4">
    <tableColumn id="1" xr3:uid="{01EFBF83-B44F-42BE-B8DB-B3AFB3D62A62}" name="Productor"/>
    <tableColumn id="2" xr3:uid="{00F2AD82-8C09-4952-BAE5-3D0A98B7F484}" name="Transporte" totalsRowFunction="sum"/>
    <tableColumn id="3" xr3:uid="{7686E922-964F-41B3-9B53-5BCCE2D1CA34}" name="Precios" totalsRowFunction="average"/>
    <tableColumn id="4" xr3:uid="{AE36EB6A-3081-4EB7-B625-3DC7F8E82681}" name="Caxas 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BF8B61A-C85A-43DC-9F8F-5158F2656492}" name="Tabla1152327353945" displayName="Tabla1152327353945" ref="B72:E85" totalsRowCount="1" headerRowDxfId="99" dataDxfId="98">
  <autoFilter ref="B72:E84" xr:uid="{4BF8B61A-C85A-43DC-9F8F-5158F2656492}"/>
  <sortState xmlns:xlrd2="http://schemas.microsoft.com/office/spreadsheetml/2017/richdata2" ref="B73:E84">
    <sortCondition ref="B4:B16"/>
  </sortState>
  <tableColumns count="4">
    <tableColumn id="1" xr3:uid="{F8894897-78B9-4B68-9B3A-E738043316EC}" name="Productor" dataDxfId="97" totalsRowDxfId="89"/>
    <tableColumn id="2" xr3:uid="{61EC1F7A-B0DA-4A89-943A-5BCF8F610E7D}" name="Transporte" totalsRowFunction="sum" dataDxfId="96" totalsRowDxfId="88"/>
    <tableColumn id="3" xr3:uid="{712A6A2F-A179-4C2B-85F1-67D1B59589D0}" name="Precios" totalsRowFunction="average" dataDxfId="95" totalsRowDxfId="87"/>
    <tableColumn id="4" xr3:uid="{E720EE17-EE83-4442-B0E8-D1B481D9089D}" name="Caxas " dataDxfId="94" totalsRowDxfId="8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9ED7283-2F8B-4373-A634-B639E9EA675D}" name="Tabla1152327353946" displayName="Tabla1152327353946" ref="B4:G27" totalsRowCount="1" headerRowDxfId="85" dataDxfId="84">
  <autoFilter ref="B4:G26" xr:uid="{6FECD6FB-176A-447E-A0D7-03AFBFC41C4E}"/>
  <sortState xmlns:xlrd2="http://schemas.microsoft.com/office/spreadsheetml/2017/richdata2" ref="B5:E26">
    <sortCondition ref="B4:B26"/>
  </sortState>
  <tableColumns count="6">
    <tableColumn id="1" xr3:uid="{5A92223F-3A34-4604-97E5-FA19DCADDFE1}" name="Productor" dataDxfId="11" totalsRowDxfId="5"/>
    <tableColumn id="2" xr3:uid="{7FA14F87-646B-4831-8507-4909EBD7786A}" name="Carretas" totalsRowFunction="sum" dataDxfId="10" totalsRowDxfId="4"/>
    <tableColumn id="3" xr3:uid="{95796773-193F-4E3C-8E5C-2A5594BD2881}" name="Precios" totalsRowFunction="average" dataDxfId="9" totalsRowDxfId="3"/>
    <tableColumn id="4" xr3:uid="{F2ADD78A-6E0E-4EF7-9B42-16FA38467EB8}" name="Transporte" dataDxfId="8" totalsRowDxfId="2"/>
    <tableColumn id="7" xr3:uid="{8BD6967F-EB6B-45F8-99D3-06572F250E48}" name="Transporte2" dataDxfId="7" totalsRowDxfId="1"/>
    <tableColumn id="8" xr3:uid="{7257D12A-1118-42BF-87E7-F4A5AAB5BCD0}" name="Transporte3" dataDxfId="6" totalsRowDxfId="0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48FC03B-9D9F-4127-86AF-0FA654FF172F}" name="Tabla15172528364047" displayName="Tabla15172528364047" ref="B55:G78" totalsRowCount="1" headerRowDxfId="83">
  <autoFilter ref="B55:G77" xr:uid="{92C2C733-1E60-4A30-B766-72A7EA8F8762}"/>
  <sortState xmlns:xlrd2="http://schemas.microsoft.com/office/spreadsheetml/2017/richdata2" ref="B56:E77">
    <sortCondition ref="B4:B26"/>
  </sortState>
  <tableColumns count="6">
    <tableColumn id="1" xr3:uid="{FFE8A9AF-D03B-41C9-A0B1-7EE698598F9F}" name="Productor"/>
    <tableColumn id="2" xr3:uid="{1BFC46D6-0521-40C6-B47F-2F9A44904536}" name="Carretas" totalsRowFunction="sum"/>
    <tableColumn id="3" xr3:uid="{349B7E4B-0D7F-490C-9C2F-FF3ADB1712F5}" name="Precios" totalsRowFunction="average"/>
    <tableColumn id="4" xr3:uid="{D1E48E46-8BCD-4CC5-8EC5-0607473FCBAA}" name="Transporte"/>
    <tableColumn id="7" xr3:uid="{163F60BA-9FC2-49AC-9A62-328EE4CEE95B}" name="Transporte2"/>
    <tableColumn id="8" xr3:uid="{A59AB1E3-267F-4219-82A7-64EBF7932C6C}" name="Transporte3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7D73636-285F-4CF7-B4E8-C1B2378B8AB4}" name="Tabla16182629374148" displayName="Tabla16182629374148" ref="B82:G101" totalsRowCount="1" headerRowDxfId="82">
  <autoFilter ref="B82:G100" xr:uid="{D76B12EB-6A32-4858-9157-3078072B3169}"/>
  <sortState xmlns:xlrd2="http://schemas.microsoft.com/office/spreadsheetml/2017/richdata2" ref="B83:E100">
    <sortCondition ref="B4:B26"/>
  </sortState>
  <tableColumns count="6">
    <tableColumn id="1" xr3:uid="{16E51E99-6016-43FC-87C8-7D96291D99A1}" name="Productor"/>
    <tableColumn id="2" xr3:uid="{1D4FC9F1-DD9C-4898-9336-1713DC22100D}" name="Carretas" totalsRowFunction="sum"/>
    <tableColumn id="3" xr3:uid="{C05929AA-E10A-4190-801A-25DDA7DF081D}" name="Precios" totalsRowFunction="average"/>
    <tableColumn id="4" xr3:uid="{5E0E5B8E-7881-4376-AD48-8223CA1AB236}" name="Transporte"/>
    <tableColumn id="7" xr3:uid="{AA6B8C7C-2103-4A34-953C-A5D3C9FB3B45}" name="Transporte2"/>
    <tableColumn id="8" xr3:uid="{8D12C554-79CA-4F68-A840-FFE65454BDC1}" name="Transporte3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89CDAEB-70AC-4945-9E77-7D068792CE5E}" name="Tabla14162430384249" displayName="Tabla14162430384249" ref="B31:G51" totalsRowCount="1" headerRowDxfId="81">
  <autoFilter ref="B31:G50" xr:uid="{EFCAED63-EF03-4AEF-ADB1-88EFDA72BA2E}"/>
  <sortState xmlns:xlrd2="http://schemas.microsoft.com/office/spreadsheetml/2017/richdata2" ref="B32:E50">
    <sortCondition ref="B4:B26"/>
  </sortState>
  <tableColumns count="6">
    <tableColumn id="1" xr3:uid="{F154585C-E6ED-4F52-83A2-A769C25C8EF9}" name="Productor"/>
    <tableColumn id="2" xr3:uid="{1B3138E5-9C0F-460F-8B55-D00402A6AB4E}" name="Carretas" totalsRowFunction="sum"/>
    <tableColumn id="3" xr3:uid="{5503B3B3-3867-4EA8-B89D-A34AA3D9381C}" name="Precios" totalsRowFunction="average"/>
    <tableColumn id="4" xr3:uid="{717156D5-8764-4075-9369-21E949B3482F}" name="Transporte"/>
    <tableColumn id="7" xr3:uid="{C9886653-15F1-49C4-8595-3735848A2ED1}" name="Transporte2"/>
    <tableColumn id="8" xr3:uid="{2F23FC34-D7BA-4F08-BF3D-C03E2B665F91}" name="Transporte3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ED2FF0C-965C-4DFE-A760-03DFC90B5C36}" name="Tabla115232735394651" displayName="Tabla115232735394651" ref="B4:E17" totalsRowCount="1" headerRowDxfId="80" dataDxfId="79">
  <autoFilter ref="B4:E16" xr:uid="{6FECD6FB-176A-447E-A0D7-03AFBFC41C4E}"/>
  <sortState xmlns:xlrd2="http://schemas.microsoft.com/office/spreadsheetml/2017/richdata2" ref="B5:E16">
    <sortCondition ref="B4:B16"/>
  </sortState>
  <tableColumns count="4">
    <tableColumn id="1" xr3:uid="{A708EF12-D9B7-4BED-960B-C84443C81126}" name="Productor" dataDxfId="78" totalsRowDxfId="19"/>
    <tableColumn id="2" xr3:uid="{F0703AAD-4727-4D48-8F1D-91F4E638BD9D}" name="Transporte" totalsRowFunction="sum" dataDxfId="77" totalsRowDxfId="18"/>
    <tableColumn id="3" xr3:uid="{42665D17-EDAD-4ED9-9B58-3734F0FBEA2B}" name="Precios" totalsRowFunction="average" dataDxfId="76" totalsRowDxfId="17"/>
    <tableColumn id="4" xr3:uid="{044CCB73-1D1A-4E8B-BEBA-12EB1CBCB3F9}" name="Caxas " dataDxfId="75" totalsRowDxfId="16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C78628F-15C3-414D-BAEA-0E0BB7CC253D}" name="Tabla1517252836404752" displayName="Tabla1517252836404752" ref="B40:E53" totalsRowCount="1" headerRowDxfId="74">
  <autoFilter ref="B40:E52" xr:uid="{92C2C733-1E60-4A30-B766-72A7EA8F8762}"/>
  <sortState xmlns:xlrd2="http://schemas.microsoft.com/office/spreadsheetml/2017/richdata2" ref="B41:E52">
    <sortCondition ref="B4:B16"/>
  </sortState>
  <tableColumns count="4">
    <tableColumn id="1" xr3:uid="{22B9B38D-3225-4A63-8C07-3A1C8FF8F039}" name="Productor"/>
    <tableColumn id="2" xr3:uid="{699BE2C9-ED30-478A-ABD7-37776DE9DD76}" name="Transporte" totalsRowFunction="sum"/>
    <tableColumn id="3" xr3:uid="{3914DC31-6C3B-4EDF-B829-C867E7E36EAB}" name="Precios" totalsRowFunction="average"/>
    <tableColumn id="4" xr3:uid="{015FDC88-064C-4A99-BCCF-273989BF2C8B}" name="Caxas 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7096674-68D2-4A2B-9C6F-802FD0A3C716}" name="Tabla1618262937414853" displayName="Tabla1618262937414853" ref="B57:E70" totalsRowCount="1" headerRowDxfId="73">
  <autoFilter ref="B57:E69" xr:uid="{D76B12EB-6A32-4858-9157-3078072B3169}"/>
  <sortState xmlns:xlrd2="http://schemas.microsoft.com/office/spreadsheetml/2017/richdata2" ref="B58:E69">
    <sortCondition ref="B4:B16"/>
  </sortState>
  <tableColumns count="4">
    <tableColumn id="1" xr3:uid="{0032BF38-3B15-4DC0-A13A-055CB8C8C719}" name="Productor"/>
    <tableColumn id="2" xr3:uid="{87E5E2A5-5246-4184-A994-1FFC77F043F3}" name="Transporte" totalsRowFunction="sum"/>
    <tableColumn id="3" xr3:uid="{427C7EC8-8C2C-48BA-BC6F-A713DE90FAFB}" name="Precios" totalsRowFunction="average"/>
    <tableColumn id="4" xr3:uid="{4931BC3E-E24E-417D-9AA3-D015086994E3}" name="Caxas 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1DBC87D-12E8-4BB2-B6BC-C9628AAA6AED}" name="Tabla1416243038424954" displayName="Tabla1416243038424954" ref="B21:E36" totalsRowCount="1" headerRowDxfId="72">
  <autoFilter ref="B21:E35" xr:uid="{EFCAED63-EF03-4AEF-ADB1-88EFDA72BA2E}"/>
  <sortState xmlns:xlrd2="http://schemas.microsoft.com/office/spreadsheetml/2017/richdata2" ref="B22:E35">
    <sortCondition ref="B4:B16"/>
  </sortState>
  <tableColumns count="4">
    <tableColumn id="1" xr3:uid="{E2249797-2C6D-4A9A-B0F2-B49D36555BF6}" name="Productor"/>
    <tableColumn id="2" xr3:uid="{2B980220-6FEB-4F89-94CE-7433553C2CD4}" name="Transporte" totalsRowFunction="sum"/>
    <tableColumn id="3" xr3:uid="{554A0E71-8F81-4B9C-AAEB-A69E9FF2C8A4}" name="Precios" totalsRowFunction="average"/>
    <tableColumn id="4" xr3:uid="{CDEA21BE-F482-4FBC-B21C-A9615AEFAB39}" name="Caxas 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1CB6FF5-4BEE-4845-9123-5E2076634D37}" name="Tabla11523273539455055" displayName="Tabla11523273539455055" ref="B74:E87" totalsRowCount="1" headerRowDxfId="71" dataDxfId="70">
  <autoFilter ref="B74:E86" xr:uid="{4BF8B61A-C85A-43DC-9F8F-5158F2656492}"/>
  <sortState xmlns:xlrd2="http://schemas.microsoft.com/office/spreadsheetml/2017/richdata2" ref="B75:E86">
    <sortCondition ref="B4:B16"/>
  </sortState>
  <tableColumns count="4">
    <tableColumn id="1" xr3:uid="{C1F62E70-2CD2-4E88-81FC-7F405391DCA3}" name="Productor" dataDxfId="69" totalsRowDxfId="31"/>
    <tableColumn id="2" xr3:uid="{5D7482AB-9018-49DD-A9BD-215A880ADDE0}" name="Transporte" totalsRowFunction="sum" dataDxfId="68" totalsRowDxfId="30"/>
    <tableColumn id="3" xr3:uid="{AFD396E4-2358-4C62-A5C2-364A2B5BB409}" name="Precios" totalsRowFunction="average" dataDxfId="67" totalsRowDxfId="29"/>
    <tableColumn id="4" xr3:uid="{D44124B0-C86E-4CBD-A246-3E8F51053F55}" name="Caxas " dataDxfId="66" totalsRowDxfId="28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910C610-857C-4312-B91F-B9793DB9198B}" name="Tabla115232735394656" displayName="Tabla115232735394656" ref="B4:E17" totalsRowCount="1" headerRowDxfId="65" dataDxfId="64">
  <autoFilter ref="B4:E16" xr:uid="{6FECD6FB-176A-447E-A0D7-03AFBFC41C4E}"/>
  <sortState xmlns:xlrd2="http://schemas.microsoft.com/office/spreadsheetml/2017/richdata2" ref="B5:E16">
    <sortCondition ref="B4:B16"/>
  </sortState>
  <tableColumns count="4">
    <tableColumn id="1" xr3:uid="{82357BB4-3303-4FD1-915E-1790C8DDF447}" name="Productor" dataDxfId="63" totalsRowDxfId="27"/>
    <tableColumn id="2" xr3:uid="{DB0C2334-2D71-432E-A754-0D744CBE1F3B}" name="Transporte" totalsRowFunction="sum" dataDxfId="62" totalsRowDxfId="26"/>
    <tableColumn id="3" xr3:uid="{4493E3C1-CA66-469C-87D0-5822E256FAA0}" name="Precios" totalsRowFunction="average" dataDxfId="61" totalsRowDxfId="25"/>
    <tableColumn id="4" xr3:uid="{26B43204-B822-4492-8E52-B862910C9868}" name="Caxas " dataDxfId="60" totalsRowDxfId="24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4D3B51A-E106-42DF-B8BB-50F9E5A3B69E}" name="Tabla1517252836404757" displayName="Tabla1517252836404757" ref="B38:E51" totalsRowCount="1" headerRowDxfId="59">
  <autoFilter ref="B38:E50" xr:uid="{92C2C733-1E60-4A30-B766-72A7EA8F8762}"/>
  <sortState xmlns:xlrd2="http://schemas.microsoft.com/office/spreadsheetml/2017/richdata2" ref="B39:E50">
    <sortCondition ref="B4:B16"/>
  </sortState>
  <tableColumns count="4">
    <tableColumn id="1" xr3:uid="{54D988F5-F558-4C07-A052-48B3ED94242C}" name="Productor"/>
    <tableColumn id="2" xr3:uid="{D57DCE88-2942-4DD8-ADC5-0CA9897237B1}" name="Transporte" totalsRowFunction="sum"/>
    <tableColumn id="3" xr3:uid="{7C7C3377-C743-4B85-B4C9-FE07CAA7B23F}" name="Precios" totalsRowFunction="average"/>
    <tableColumn id="4" xr3:uid="{A29FC722-3348-4A6C-9BC1-A084A6AD6171}" name="Caxas 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B30C2CE-3529-452A-B947-F556123F9A59}" name="Tabla1618262937414858" displayName="Tabla1618262937414858" ref="B55:E68" totalsRowCount="1" headerRowDxfId="58">
  <autoFilter ref="B55:E67" xr:uid="{D76B12EB-6A32-4858-9157-3078072B3169}"/>
  <sortState xmlns:xlrd2="http://schemas.microsoft.com/office/spreadsheetml/2017/richdata2" ref="B56:E67">
    <sortCondition ref="B4:B16"/>
  </sortState>
  <tableColumns count="4">
    <tableColumn id="1" xr3:uid="{23355A04-830F-4097-96C1-CFD12D369521}" name="Productor"/>
    <tableColumn id="2" xr3:uid="{7C2DCCB5-D4E8-4A67-AB6F-EE14E321F256}" name="Transporte" totalsRowFunction="sum"/>
    <tableColumn id="3" xr3:uid="{C766D7D7-CFE5-4981-BDAC-97C902D5813A}" name="Precios" totalsRowFunction="average"/>
    <tableColumn id="4" xr3:uid="{D8BC825D-C90F-448B-8AF9-D5F74AEF93DF}" name="Caxas 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5CDC828-5329-471F-8358-1925E68765A8}" name="Tabla1416243038424959" displayName="Tabla1416243038424959" ref="B21:E34" totalsRowCount="1" headerRowDxfId="57">
  <autoFilter ref="B21:E33" xr:uid="{EFCAED63-EF03-4AEF-ADB1-88EFDA72BA2E}"/>
  <sortState xmlns:xlrd2="http://schemas.microsoft.com/office/spreadsheetml/2017/richdata2" ref="B22:E33">
    <sortCondition ref="B4:B16"/>
  </sortState>
  <tableColumns count="4">
    <tableColumn id="1" xr3:uid="{E3D13B23-AA27-4E2F-B90E-3780E9A4ADBF}" name="Productor"/>
    <tableColumn id="2" xr3:uid="{D6A325FE-E439-430E-82DF-95F5EFC116EC}" name="Transporte" totalsRowFunction="sum"/>
    <tableColumn id="3" xr3:uid="{4DEE1D7D-417D-44CE-8B46-83BAB4496D83}" name="Precios" totalsRowFunction="average"/>
    <tableColumn id="4" xr3:uid="{126AB4A1-72A8-451F-87B2-BBFFF6F64224}" name="Caxas 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5A41F96-D042-4AB8-9FE0-806007B54834}" name="Tabla11523273539455060" displayName="Tabla11523273539455060" ref="B72:E85" totalsRowCount="1" headerRowDxfId="56" dataDxfId="55">
  <autoFilter ref="B72:E84" xr:uid="{4BF8B61A-C85A-43DC-9F8F-5158F2656492}"/>
  <sortState xmlns:xlrd2="http://schemas.microsoft.com/office/spreadsheetml/2017/richdata2" ref="B73:E84">
    <sortCondition ref="B4:B16"/>
  </sortState>
  <tableColumns count="4">
    <tableColumn id="1" xr3:uid="{47685DDF-9F8A-40E9-8D99-29E13A1B9E8F}" name="Productor" dataDxfId="54" totalsRowDxfId="23"/>
    <tableColumn id="2" xr3:uid="{56843A23-37B8-45EB-BC00-58B398B564B5}" name="Transporte" totalsRowFunction="sum" dataDxfId="53" totalsRowDxfId="22"/>
    <tableColumn id="3" xr3:uid="{29049904-2CD3-4AAC-8056-D4BE0DAF3023}" name="Precios" totalsRowFunction="average" dataDxfId="52" totalsRowDxfId="21"/>
    <tableColumn id="4" xr3:uid="{2CC0F48D-4ECD-4A7C-A344-F0A3DEA88015}" name="Caxas " dataDxfId="51" totalsRowDxfId="20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12EFA30-06D0-4FEA-8D53-65B87CCB1EF2}" name="Tabla115232735394661" displayName="Tabla115232735394661" ref="B4:E17" totalsRowCount="1" headerRowDxfId="50" dataDxfId="49">
  <autoFilter ref="B4:E16" xr:uid="{6FECD6FB-176A-447E-A0D7-03AFBFC41C4E}"/>
  <sortState xmlns:xlrd2="http://schemas.microsoft.com/office/spreadsheetml/2017/richdata2" ref="B5:E16">
    <sortCondition ref="B4:B16"/>
  </sortState>
  <tableColumns count="4">
    <tableColumn id="1" xr3:uid="{1386996C-B1FE-4A90-9972-D0D15B5BA6CA}" name="Productor" dataDxfId="48" totalsRowDxfId="15"/>
    <tableColumn id="2" xr3:uid="{1270BE0C-EC3C-4BA7-A7CD-31A8F2F063FD}" name="Transporte" totalsRowFunction="sum" dataDxfId="47" totalsRowDxfId="14"/>
    <tableColumn id="3" xr3:uid="{950FF649-2FBE-4869-BA42-F5B9DA392E0F}" name="Precios" totalsRowFunction="average" dataDxfId="46" totalsRowDxfId="13"/>
    <tableColumn id="4" xr3:uid="{8C013CDC-64D5-4D4B-BAA3-B2F1245B9480}" name="Caxas " dataDxfId="45" totalsRowDxfId="12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B82A40B-B97F-4D18-854F-69BFC46AE0F8}" name="Tabla1517252836404762" displayName="Tabla1517252836404762" ref="B38:E51" totalsRowCount="1" headerRowDxfId="44">
  <autoFilter ref="B38:E50" xr:uid="{92C2C733-1E60-4A30-B766-72A7EA8F8762}"/>
  <sortState xmlns:xlrd2="http://schemas.microsoft.com/office/spreadsheetml/2017/richdata2" ref="B39:E50">
    <sortCondition ref="B4:B16"/>
  </sortState>
  <tableColumns count="4">
    <tableColumn id="1" xr3:uid="{A8B8174E-254D-43D0-996F-B4724981F863}" name="Productor"/>
    <tableColumn id="2" xr3:uid="{CE1C58D2-FF4E-4C0D-91D6-EF0C08C361CB}" name="Transporte" totalsRowFunction="sum"/>
    <tableColumn id="3" xr3:uid="{C71F9082-C10D-4DC7-82C1-35E893095DE8}" name="Precios" totalsRowFunction="average"/>
    <tableColumn id="4" xr3:uid="{0A020364-91CD-433F-9B61-A0953FABE631}" name="Caxas 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E745AF9-FA00-4E16-9051-C353A9BE022B}" name="Tabla1618262937414863" displayName="Tabla1618262937414863" ref="B55:E68" totalsRowCount="1" headerRowDxfId="43">
  <autoFilter ref="B55:E67" xr:uid="{D76B12EB-6A32-4858-9157-3078072B3169}"/>
  <sortState xmlns:xlrd2="http://schemas.microsoft.com/office/spreadsheetml/2017/richdata2" ref="B56:E67">
    <sortCondition ref="B4:B16"/>
  </sortState>
  <tableColumns count="4">
    <tableColumn id="1" xr3:uid="{29C10AC3-2642-4E74-9986-425D77F67112}" name="Productor"/>
    <tableColumn id="2" xr3:uid="{5FB6E788-1B65-4B33-8CF3-1CA2BD695E4E}" name="Transporte" totalsRowFunction="sum"/>
    <tableColumn id="3" xr3:uid="{2C929835-62EE-4F1E-B7AE-EB05482ECAA9}" name="Precios" totalsRowFunction="average"/>
    <tableColumn id="4" xr3:uid="{FEDF41B2-EC9A-4CCD-849E-C5EB048C9844}" name="Caxas 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756865-92EF-4D72-B844-98D9FE6549FE}" name="Tabla1416243038424964" displayName="Tabla1416243038424964" ref="B21:E34" totalsRowCount="1" headerRowDxfId="42">
  <autoFilter ref="B21:E33" xr:uid="{EFCAED63-EF03-4AEF-ADB1-88EFDA72BA2E}"/>
  <sortState xmlns:xlrd2="http://schemas.microsoft.com/office/spreadsheetml/2017/richdata2" ref="B22:E33">
    <sortCondition ref="B4:B16"/>
  </sortState>
  <tableColumns count="4">
    <tableColumn id="1" xr3:uid="{B4D53C5D-79EA-4DAF-9224-BD2C51DEAB97}" name="Productor"/>
    <tableColumn id="2" xr3:uid="{2A7FA11D-B5D7-4ACC-8045-C40AD6BDDD0A}" name="Transporte" totalsRowFunction="sum"/>
    <tableColumn id="3" xr3:uid="{01E1DBF6-2242-4CED-8AAC-6F41C2771E23}" name="Precios" totalsRowFunction="average"/>
    <tableColumn id="4" xr3:uid="{D8F2FF07-7698-4CF7-9B78-DE1C35A211DA}" name="Caxas 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FBD0774-5E7A-4E9F-8054-EAE4F1DEC1B8}" name="Tabla11523273539455065" displayName="Tabla11523273539455065" ref="B72:E85" totalsRowCount="1" headerRowDxfId="41" dataDxfId="40">
  <autoFilter ref="B72:E84" xr:uid="{4BF8B61A-C85A-43DC-9F8F-5158F2656492}"/>
  <sortState xmlns:xlrd2="http://schemas.microsoft.com/office/spreadsheetml/2017/richdata2" ref="B73:E84">
    <sortCondition ref="B4:B16"/>
  </sortState>
  <tableColumns count="4">
    <tableColumn id="1" xr3:uid="{249F990C-81B3-432C-97D1-78B9E6A3005C}" name="Productor" dataDxfId="38" totalsRowDxfId="39"/>
    <tableColumn id="2" xr3:uid="{703F4C0C-DF69-4E0E-A588-406A54D324D8}" name="Transporte" totalsRowFunction="sum" dataDxfId="36" totalsRowDxfId="37"/>
    <tableColumn id="3" xr3:uid="{BE106250-5CBC-4766-A251-5AB315F632C7}" name="Precios" totalsRowFunction="average" dataDxfId="34" totalsRowDxfId="35"/>
    <tableColumn id="4" xr3:uid="{1274A6EA-9F50-4E49-8566-A8EFE522CF65}" name="Caxas " dataDxfId="32" totalsRowDxfId="3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0443-8C49-4DEB-BDA3-016897064C42}">
  <dimension ref="B2:E85"/>
  <sheetViews>
    <sheetView topLeftCell="A73" zoomScale="115" zoomScaleNormal="115" workbookViewId="0">
      <selection activeCell="F66" sqref="F66"/>
    </sheetView>
  </sheetViews>
  <sheetFormatPr baseColWidth="10" defaultRowHeight="15" x14ac:dyDescent="0.25"/>
  <cols>
    <col min="2" max="5" width="16.7109375" customWidth="1"/>
  </cols>
  <sheetData>
    <row r="2" spans="2:5" x14ac:dyDescent="0.25">
      <c r="C2" s="4" t="s">
        <v>16</v>
      </c>
      <c r="D2" s="4"/>
    </row>
    <row r="3" spans="2:5" x14ac:dyDescent="0.25">
      <c r="C3" s="4" t="s">
        <v>17</v>
      </c>
      <c r="D3" s="4"/>
    </row>
    <row r="4" spans="2:5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s="2" t="s">
        <v>7</v>
      </c>
      <c r="C5" s="3"/>
      <c r="D5" s="3"/>
      <c r="E5" s="3"/>
    </row>
    <row r="6" spans="2:5" x14ac:dyDescent="0.25">
      <c r="B6" s="2" t="s">
        <v>10</v>
      </c>
      <c r="C6" s="3"/>
      <c r="D6" s="3"/>
      <c r="E6" s="3"/>
    </row>
    <row r="7" spans="2:5" x14ac:dyDescent="0.25">
      <c r="B7" s="2" t="s">
        <v>13</v>
      </c>
      <c r="C7" s="3"/>
      <c r="D7" s="3"/>
      <c r="E7" s="3"/>
    </row>
    <row r="8" spans="2:5" x14ac:dyDescent="0.25">
      <c r="B8" s="2" t="s">
        <v>6</v>
      </c>
      <c r="C8" s="3"/>
      <c r="D8" s="3"/>
      <c r="E8" s="3"/>
    </row>
    <row r="9" spans="2:5" x14ac:dyDescent="0.25">
      <c r="B9" s="2" t="s">
        <v>8</v>
      </c>
      <c r="C9" s="3"/>
      <c r="D9" s="3"/>
      <c r="E9" s="3"/>
    </row>
    <row r="10" spans="2:5" x14ac:dyDescent="0.25">
      <c r="B10" s="2" t="s">
        <v>4</v>
      </c>
      <c r="C10" s="3"/>
      <c r="D10" s="3"/>
      <c r="E10" s="3"/>
    </row>
    <row r="11" spans="2:5" x14ac:dyDescent="0.25">
      <c r="B11" s="2" t="s">
        <v>5</v>
      </c>
      <c r="C11" s="3">
        <v>1</v>
      </c>
      <c r="D11" s="3">
        <v>50</v>
      </c>
      <c r="E11" s="3"/>
    </row>
    <row r="12" spans="2:5" x14ac:dyDescent="0.25">
      <c r="B12" s="2" t="s">
        <v>14</v>
      </c>
      <c r="C12" s="3"/>
      <c r="D12" s="3"/>
      <c r="E12" s="3"/>
    </row>
    <row r="13" spans="2:5" x14ac:dyDescent="0.25">
      <c r="B13" s="2" t="s">
        <v>15</v>
      </c>
      <c r="C13" s="3"/>
      <c r="D13" s="3"/>
      <c r="E13" s="3"/>
    </row>
    <row r="14" spans="2:5" x14ac:dyDescent="0.25">
      <c r="B14" s="2" t="s">
        <v>12</v>
      </c>
      <c r="C14" s="3"/>
      <c r="D14" s="3"/>
      <c r="E14" s="3"/>
    </row>
    <row r="15" spans="2:5" x14ac:dyDescent="0.25">
      <c r="B15" s="2" t="s">
        <v>9</v>
      </c>
      <c r="C15" s="3"/>
      <c r="D15" s="3"/>
      <c r="E15" s="3"/>
    </row>
    <row r="16" spans="2:5" x14ac:dyDescent="0.25">
      <c r="B16" s="2" t="s">
        <v>11</v>
      </c>
      <c r="C16" s="3"/>
      <c r="D16" s="3"/>
      <c r="E16" s="3"/>
    </row>
    <row r="17" spans="2:5" x14ac:dyDescent="0.25">
      <c r="B17" s="2"/>
      <c r="C17" s="3">
        <f>SUBTOTAL(109,Tabla11523273539[Transporte])</f>
        <v>1</v>
      </c>
      <c r="D17" s="3">
        <f>SUBTOTAL(101,Tabla11523273539[Precios])</f>
        <v>50</v>
      </c>
      <c r="E17" s="3"/>
    </row>
    <row r="19" spans="2:5" x14ac:dyDescent="0.25">
      <c r="C19" s="4" t="s">
        <v>22</v>
      </c>
      <c r="D19" s="4"/>
    </row>
    <row r="20" spans="2:5" x14ac:dyDescent="0.25">
      <c r="C20" s="4" t="s">
        <v>18</v>
      </c>
      <c r="D20" s="4"/>
    </row>
    <row r="21" spans="2:5" x14ac:dyDescent="0.25">
      <c r="B21" s="1" t="s">
        <v>0</v>
      </c>
      <c r="C21" s="1" t="s">
        <v>1</v>
      </c>
      <c r="D21" s="1" t="s">
        <v>2</v>
      </c>
      <c r="E21" s="1" t="s">
        <v>3</v>
      </c>
    </row>
    <row r="22" spans="2:5" x14ac:dyDescent="0.25">
      <c r="B22" t="s">
        <v>7</v>
      </c>
      <c r="C22">
        <v>1</v>
      </c>
      <c r="D22">
        <v>40</v>
      </c>
    </row>
    <row r="23" spans="2:5" x14ac:dyDescent="0.25">
      <c r="B23" t="s">
        <v>10</v>
      </c>
    </row>
    <row r="24" spans="2:5" x14ac:dyDescent="0.25">
      <c r="B24" t="s">
        <v>13</v>
      </c>
    </row>
    <row r="25" spans="2:5" x14ac:dyDescent="0.25">
      <c r="B25" t="s">
        <v>6</v>
      </c>
      <c r="C25">
        <v>1</v>
      </c>
      <c r="D25">
        <v>40</v>
      </c>
    </row>
    <row r="26" spans="2:5" x14ac:dyDescent="0.25">
      <c r="B26" t="s">
        <v>8</v>
      </c>
      <c r="C26">
        <v>2</v>
      </c>
      <c r="D26">
        <v>40</v>
      </c>
    </row>
    <row r="27" spans="2:5" x14ac:dyDescent="0.25">
      <c r="B27" t="s">
        <v>4</v>
      </c>
      <c r="C27">
        <v>2</v>
      </c>
      <c r="D27">
        <v>40</v>
      </c>
    </row>
    <row r="28" spans="2:5" x14ac:dyDescent="0.25">
      <c r="B28" t="s">
        <v>5</v>
      </c>
      <c r="C28">
        <v>1</v>
      </c>
      <c r="D28">
        <v>40</v>
      </c>
    </row>
    <row r="29" spans="2:5" x14ac:dyDescent="0.25">
      <c r="B29" t="s">
        <v>14</v>
      </c>
    </row>
    <row r="30" spans="2:5" x14ac:dyDescent="0.25">
      <c r="B30" t="s">
        <v>15</v>
      </c>
    </row>
    <row r="31" spans="2:5" x14ac:dyDescent="0.25">
      <c r="B31" t="s">
        <v>12</v>
      </c>
    </row>
    <row r="32" spans="2:5" x14ac:dyDescent="0.25">
      <c r="B32" t="s">
        <v>9</v>
      </c>
      <c r="C32">
        <v>1</v>
      </c>
      <c r="D32">
        <v>40</v>
      </c>
    </row>
    <row r="33" spans="2:5" x14ac:dyDescent="0.25">
      <c r="B33" t="s">
        <v>11</v>
      </c>
    </row>
    <row r="34" spans="2:5" x14ac:dyDescent="0.25">
      <c r="C34">
        <f>SUBTOTAL(109,Tabla141624303842[Transporte])</f>
        <v>8</v>
      </c>
      <c r="D34">
        <f>SUBTOTAL(101,Tabla141624303842[Precios])</f>
        <v>40</v>
      </c>
    </row>
    <row r="36" spans="2:5" x14ac:dyDescent="0.25">
      <c r="C36" s="4" t="s">
        <v>23</v>
      </c>
      <c r="D36" s="4"/>
    </row>
    <row r="37" spans="2:5" x14ac:dyDescent="0.25">
      <c r="C37" s="4" t="s">
        <v>19</v>
      </c>
      <c r="D37" s="4"/>
    </row>
    <row r="38" spans="2:5" x14ac:dyDescent="0.25">
      <c r="B38" s="1" t="s">
        <v>0</v>
      </c>
      <c r="C38" s="1" t="s">
        <v>1</v>
      </c>
      <c r="D38" s="1" t="s">
        <v>2</v>
      </c>
      <c r="E38" s="1" t="s">
        <v>3</v>
      </c>
    </row>
    <row r="39" spans="2:5" x14ac:dyDescent="0.25">
      <c r="B39" t="s">
        <v>7</v>
      </c>
      <c r="C39">
        <v>1</v>
      </c>
      <c r="D39">
        <v>42</v>
      </c>
    </row>
    <row r="40" spans="2:5" x14ac:dyDescent="0.25">
      <c r="B40" t="s">
        <v>10</v>
      </c>
    </row>
    <row r="41" spans="2:5" x14ac:dyDescent="0.25">
      <c r="B41" t="s">
        <v>13</v>
      </c>
    </row>
    <row r="42" spans="2:5" x14ac:dyDescent="0.25">
      <c r="B42" t="s">
        <v>6</v>
      </c>
    </row>
    <row r="43" spans="2:5" x14ac:dyDescent="0.25">
      <c r="B43" t="s">
        <v>8</v>
      </c>
      <c r="C43">
        <v>1</v>
      </c>
      <c r="D43">
        <v>40</v>
      </c>
    </row>
    <row r="44" spans="2:5" x14ac:dyDescent="0.25">
      <c r="B44" t="s">
        <v>4</v>
      </c>
      <c r="C44">
        <v>2</v>
      </c>
      <c r="D44">
        <v>43</v>
      </c>
    </row>
    <row r="45" spans="2:5" x14ac:dyDescent="0.25">
      <c r="B45" t="s">
        <v>5</v>
      </c>
      <c r="C45">
        <v>1</v>
      </c>
      <c r="D45">
        <v>42</v>
      </c>
    </row>
    <row r="46" spans="2:5" x14ac:dyDescent="0.25">
      <c r="B46" t="s">
        <v>14</v>
      </c>
    </row>
    <row r="47" spans="2:5" x14ac:dyDescent="0.25">
      <c r="B47" t="s">
        <v>15</v>
      </c>
    </row>
    <row r="48" spans="2:5" x14ac:dyDescent="0.25">
      <c r="B48" t="s">
        <v>12</v>
      </c>
    </row>
    <row r="49" spans="2:5" x14ac:dyDescent="0.25">
      <c r="B49" t="s">
        <v>9</v>
      </c>
      <c r="C49">
        <v>1</v>
      </c>
      <c r="D49">
        <v>42</v>
      </c>
    </row>
    <row r="50" spans="2:5" x14ac:dyDescent="0.25">
      <c r="B50" t="s">
        <v>11</v>
      </c>
    </row>
    <row r="51" spans="2:5" x14ac:dyDescent="0.25">
      <c r="C51">
        <f>SUBTOTAL(109,Tabla151725283640[Transporte])</f>
        <v>6</v>
      </c>
      <c r="D51">
        <f>SUBTOTAL(101,Tabla151725283640[Precios])</f>
        <v>41.8</v>
      </c>
    </row>
    <row r="53" spans="2:5" x14ac:dyDescent="0.25">
      <c r="C53" s="4" t="s">
        <v>24</v>
      </c>
      <c r="D53" s="4"/>
    </row>
    <row r="54" spans="2:5" x14ac:dyDescent="0.25">
      <c r="C54" s="4" t="s">
        <v>20</v>
      </c>
      <c r="D54" s="4"/>
    </row>
    <row r="55" spans="2:5" x14ac:dyDescent="0.25">
      <c r="B55" s="1" t="s">
        <v>0</v>
      </c>
      <c r="C55" s="1" t="s">
        <v>1</v>
      </c>
      <c r="D55" s="1" t="s">
        <v>2</v>
      </c>
      <c r="E55" s="1" t="s">
        <v>3</v>
      </c>
    </row>
    <row r="56" spans="2:5" x14ac:dyDescent="0.25">
      <c r="B56" t="s">
        <v>7</v>
      </c>
      <c r="C56">
        <v>1</v>
      </c>
      <c r="D56">
        <v>40</v>
      </c>
    </row>
    <row r="57" spans="2:5" x14ac:dyDescent="0.25">
      <c r="B57" t="s">
        <v>10</v>
      </c>
    </row>
    <row r="58" spans="2:5" x14ac:dyDescent="0.25">
      <c r="B58" t="s">
        <v>13</v>
      </c>
    </row>
    <row r="59" spans="2:5" x14ac:dyDescent="0.25">
      <c r="B59" t="s">
        <v>6</v>
      </c>
      <c r="C59">
        <v>1</v>
      </c>
      <c r="D59">
        <v>40</v>
      </c>
    </row>
    <row r="60" spans="2:5" x14ac:dyDescent="0.25">
      <c r="B60" t="s">
        <v>8</v>
      </c>
      <c r="C60">
        <v>1</v>
      </c>
      <c r="D60">
        <v>40</v>
      </c>
    </row>
    <row r="61" spans="2:5" x14ac:dyDescent="0.25">
      <c r="B61" t="s">
        <v>4</v>
      </c>
      <c r="C61">
        <v>2</v>
      </c>
      <c r="D61">
        <v>43</v>
      </c>
    </row>
    <row r="62" spans="2:5" x14ac:dyDescent="0.25">
      <c r="B62" t="s">
        <v>5</v>
      </c>
      <c r="C62">
        <v>2</v>
      </c>
      <c r="D62">
        <v>40</v>
      </c>
    </row>
    <row r="63" spans="2:5" x14ac:dyDescent="0.25">
      <c r="B63" t="s">
        <v>14</v>
      </c>
    </row>
    <row r="64" spans="2:5" x14ac:dyDescent="0.25">
      <c r="B64" t="s">
        <v>15</v>
      </c>
    </row>
    <row r="65" spans="2:5" x14ac:dyDescent="0.25">
      <c r="B65" t="s">
        <v>12</v>
      </c>
    </row>
    <row r="66" spans="2:5" x14ac:dyDescent="0.25">
      <c r="B66" t="s">
        <v>9</v>
      </c>
      <c r="C66">
        <v>3</v>
      </c>
      <c r="D66">
        <v>40</v>
      </c>
    </row>
    <row r="67" spans="2:5" x14ac:dyDescent="0.25">
      <c r="B67" t="s">
        <v>11</v>
      </c>
    </row>
    <row r="68" spans="2:5" x14ac:dyDescent="0.25">
      <c r="C68">
        <f>SUBTOTAL(109,Tabla161826293741[Transporte])</f>
        <v>10</v>
      </c>
      <c r="D68">
        <f>SUBTOTAL(101,Tabla161826293741[Precios])</f>
        <v>40.5</v>
      </c>
    </row>
    <row r="70" spans="2:5" x14ac:dyDescent="0.25">
      <c r="C70" s="4" t="s">
        <v>25</v>
      </c>
      <c r="D70" s="4"/>
    </row>
    <row r="71" spans="2:5" x14ac:dyDescent="0.25">
      <c r="C71" s="4" t="s">
        <v>21</v>
      </c>
      <c r="D71" s="4"/>
    </row>
    <row r="72" spans="2:5" x14ac:dyDescent="0.25">
      <c r="B72" s="1" t="s">
        <v>0</v>
      </c>
      <c r="C72" s="1" t="s">
        <v>1</v>
      </c>
      <c r="D72" s="1" t="s">
        <v>2</v>
      </c>
      <c r="E72" s="1" t="s">
        <v>3</v>
      </c>
    </row>
    <row r="73" spans="2:5" x14ac:dyDescent="0.25">
      <c r="B73" s="2" t="s">
        <v>7</v>
      </c>
      <c r="C73" s="3">
        <v>1</v>
      </c>
      <c r="D73" s="3">
        <v>37</v>
      </c>
      <c r="E73" s="3"/>
    </row>
    <row r="74" spans="2:5" x14ac:dyDescent="0.25">
      <c r="B74" s="2" t="s">
        <v>10</v>
      </c>
      <c r="C74" s="3"/>
      <c r="D74" s="3"/>
      <c r="E74" s="3"/>
    </row>
    <row r="75" spans="2:5" x14ac:dyDescent="0.25">
      <c r="B75" s="2" t="s">
        <v>13</v>
      </c>
      <c r="C75" s="3"/>
      <c r="D75" s="3"/>
      <c r="E75" s="3"/>
    </row>
    <row r="76" spans="2:5" x14ac:dyDescent="0.25">
      <c r="B76" s="2" t="s">
        <v>6</v>
      </c>
      <c r="C76" s="3">
        <v>1</v>
      </c>
      <c r="D76" s="3">
        <v>33</v>
      </c>
      <c r="E76" s="3"/>
    </row>
    <row r="77" spans="2:5" x14ac:dyDescent="0.25">
      <c r="B77" s="2" t="s">
        <v>8</v>
      </c>
      <c r="C77" s="3">
        <v>1</v>
      </c>
      <c r="D77" s="3">
        <v>35</v>
      </c>
      <c r="E77" s="3"/>
    </row>
    <row r="78" spans="2:5" x14ac:dyDescent="0.25">
      <c r="B78" s="2" t="s">
        <v>4</v>
      </c>
      <c r="C78" s="3">
        <v>2</v>
      </c>
      <c r="D78" s="3">
        <v>37</v>
      </c>
      <c r="E78" s="3"/>
    </row>
    <row r="79" spans="2:5" x14ac:dyDescent="0.25">
      <c r="B79" s="2" t="s">
        <v>5</v>
      </c>
      <c r="C79" s="3">
        <v>2</v>
      </c>
      <c r="D79" s="3">
        <v>35</v>
      </c>
      <c r="E79" s="3"/>
    </row>
    <row r="80" spans="2:5" x14ac:dyDescent="0.25">
      <c r="B80" s="2" t="s">
        <v>14</v>
      </c>
      <c r="C80" s="3"/>
      <c r="D80" s="3"/>
      <c r="E80" s="3"/>
    </row>
    <row r="81" spans="2:5" x14ac:dyDescent="0.25">
      <c r="B81" s="2" t="s">
        <v>15</v>
      </c>
      <c r="C81" s="3"/>
      <c r="D81" s="3"/>
      <c r="E81" s="3"/>
    </row>
    <row r="82" spans="2:5" x14ac:dyDescent="0.25">
      <c r="B82" s="2" t="s">
        <v>12</v>
      </c>
      <c r="C82" s="3"/>
      <c r="D82" s="3"/>
      <c r="E82" s="3"/>
    </row>
    <row r="83" spans="2:5" x14ac:dyDescent="0.25">
      <c r="B83" s="2" t="s">
        <v>9</v>
      </c>
      <c r="C83" s="3">
        <v>3</v>
      </c>
      <c r="D83" s="3">
        <v>35</v>
      </c>
      <c r="E83" s="3"/>
    </row>
    <row r="84" spans="2:5" x14ac:dyDescent="0.25">
      <c r="B84" s="2" t="s">
        <v>11</v>
      </c>
      <c r="C84" s="3"/>
      <c r="D84" s="3"/>
      <c r="E84" s="3"/>
    </row>
    <row r="85" spans="2:5" x14ac:dyDescent="0.25">
      <c r="B85" s="2"/>
      <c r="C85" s="3">
        <f>SUBTOTAL(109,Tabla1152327353945[Transporte])</f>
        <v>10</v>
      </c>
      <c r="D85" s="3">
        <f>SUBTOTAL(101,Tabla1152327353945[Precios])</f>
        <v>35.333333333333336</v>
      </c>
      <c r="E85" s="3"/>
    </row>
  </sheetData>
  <mergeCells count="10">
    <mergeCell ref="C54:D54"/>
    <mergeCell ref="C70:D70"/>
    <mergeCell ref="C71:D71"/>
    <mergeCell ref="C2:D2"/>
    <mergeCell ref="C19:D19"/>
    <mergeCell ref="C36:D36"/>
    <mergeCell ref="C53:D53"/>
    <mergeCell ref="C3:D3"/>
    <mergeCell ref="C20:D20"/>
    <mergeCell ref="C37:D37"/>
  </mergeCells>
  <conditionalFormatting sqref="I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18 B19 E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2:E8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E34">
    <cfRule type="colorScale" priority="4">
      <colorScale>
        <cfvo type="min"/>
        <cfvo type="max"/>
        <color rgb="FFFFEF9C"/>
        <color rgb="FF63BE7B"/>
      </colorScale>
    </cfRule>
  </conditionalFormatting>
  <conditionalFormatting sqref="B39:E50">
    <cfRule type="colorScale" priority="3">
      <colorScale>
        <cfvo type="min"/>
        <cfvo type="max"/>
        <color rgb="FFFFEF9C"/>
        <color rgb="FF63BE7B"/>
      </colorScale>
    </cfRule>
  </conditionalFormatting>
  <conditionalFormatting sqref="B56:E67">
    <cfRule type="colorScale" priority="2">
      <colorScale>
        <cfvo type="min"/>
        <cfvo type="max"/>
        <color rgb="FFFFEF9C"/>
        <color rgb="FF63BE7B"/>
      </colorScale>
    </cfRule>
  </conditionalFormatting>
  <conditionalFormatting sqref="B5:E1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65D4-896B-4F68-96C5-0D088D8D0454}">
  <dimension ref="B2:J101"/>
  <sheetViews>
    <sheetView tabSelected="1" topLeftCell="A8" zoomScale="115" zoomScaleNormal="115" workbookViewId="0">
      <selection activeCell="I13" sqref="I12:I13"/>
    </sheetView>
  </sheetViews>
  <sheetFormatPr baseColWidth="10" defaultRowHeight="15" x14ac:dyDescent="0.25"/>
  <cols>
    <col min="2" max="2" width="16.42578125" customWidth="1"/>
    <col min="3" max="4" width="11.28515625" customWidth="1"/>
    <col min="5" max="6" width="14.42578125" customWidth="1"/>
    <col min="7" max="7" width="18.42578125" hidden="1" customWidth="1"/>
    <col min="8" max="8" width="8.28515625" customWidth="1"/>
    <col min="9" max="9" width="13.28515625" customWidth="1"/>
  </cols>
  <sheetData>
    <row r="2" spans="2:10" x14ac:dyDescent="0.25">
      <c r="C2" s="4" t="s">
        <v>26</v>
      </c>
      <c r="D2" s="4"/>
    </row>
    <row r="3" spans="2:10" x14ac:dyDescent="0.25">
      <c r="C3" s="4" t="s">
        <v>27</v>
      </c>
      <c r="D3" s="4"/>
      <c r="H3" s="1"/>
    </row>
    <row r="4" spans="2:10" x14ac:dyDescent="0.25">
      <c r="B4" s="1" t="s">
        <v>0</v>
      </c>
      <c r="C4" s="1" t="s">
        <v>34</v>
      </c>
      <c r="D4" s="1" t="s">
        <v>2</v>
      </c>
      <c r="E4" s="1" t="s">
        <v>1</v>
      </c>
      <c r="F4" s="1" t="s">
        <v>44</v>
      </c>
      <c r="G4" s="1" t="s">
        <v>45</v>
      </c>
    </row>
    <row r="5" spans="2:10" x14ac:dyDescent="0.25">
      <c r="B5" s="2" t="s">
        <v>7</v>
      </c>
      <c r="C5" s="2">
        <v>1</v>
      </c>
      <c r="D5" s="2">
        <v>35</v>
      </c>
      <c r="E5" s="3" t="s">
        <v>46</v>
      </c>
      <c r="F5" s="7"/>
      <c r="G5" s="5"/>
    </row>
    <row r="6" spans="2:10" x14ac:dyDescent="0.25">
      <c r="B6" s="2" t="s">
        <v>7</v>
      </c>
      <c r="C6" s="3">
        <v>1</v>
      </c>
      <c r="D6" s="3">
        <v>35</v>
      </c>
      <c r="E6" s="3" t="s">
        <v>46</v>
      </c>
      <c r="F6" s="5"/>
      <c r="G6" s="5"/>
      <c r="I6" s="6" t="s">
        <v>42</v>
      </c>
      <c r="J6" s="6">
        <f>SUM(Tabla1152327353946[[#Totals],[Carretas]]+Tabla15172528364047[[#Totals],[Carretas]]+Tabla16182629374148[[#Totals],[Carretas]]+Tabla14162430384249[[#Totals],[Carretas]])</f>
        <v>63</v>
      </c>
    </row>
    <row r="7" spans="2:10" x14ac:dyDescent="0.25">
      <c r="B7" s="2" t="s">
        <v>10</v>
      </c>
      <c r="C7" s="3">
        <v>1</v>
      </c>
      <c r="D7" s="3">
        <v>33</v>
      </c>
      <c r="E7" s="3" t="s">
        <v>47</v>
      </c>
      <c r="F7" s="5"/>
      <c r="G7" s="5"/>
      <c r="I7" s="6" t="s">
        <v>43</v>
      </c>
      <c r="J7" s="6">
        <f>AVERAGE(D27,D51,D78,D101)</f>
        <v>37.1259559154296</v>
      </c>
    </row>
    <row r="8" spans="2:10" x14ac:dyDescent="0.25">
      <c r="B8" s="2" t="s">
        <v>13</v>
      </c>
      <c r="C8" s="3"/>
      <c r="D8" s="3"/>
      <c r="E8" s="3"/>
      <c r="F8" s="5"/>
      <c r="G8" s="5"/>
    </row>
    <row r="9" spans="2:10" x14ac:dyDescent="0.25">
      <c r="B9" s="2" t="s">
        <v>6</v>
      </c>
      <c r="C9" s="3">
        <v>1</v>
      </c>
      <c r="D9" s="3">
        <v>30</v>
      </c>
      <c r="E9" s="3" t="s">
        <v>46</v>
      </c>
      <c r="F9" s="5"/>
      <c r="G9" s="5"/>
    </row>
    <row r="10" spans="2:10" x14ac:dyDescent="0.25">
      <c r="B10" s="2" t="s">
        <v>6</v>
      </c>
      <c r="C10" s="3">
        <v>1</v>
      </c>
      <c r="D10" s="3">
        <v>30</v>
      </c>
      <c r="E10" s="3" t="s">
        <v>48</v>
      </c>
      <c r="F10" s="5"/>
      <c r="G10" s="5"/>
    </row>
    <row r="11" spans="2:10" x14ac:dyDescent="0.25">
      <c r="B11" s="2" t="s">
        <v>8</v>
      </c>
      <c r="C11" s="3">
        <v>1</v>
      </c>
      <c r="D11" s="3">
        <v>35</v>
      </c>
      <c r="E11" s="3" t="s">
        <v>46</v>
      </c>
      <c r="F11" s="5"/>
      <c r="G11" s="5"/>
    </row>
    <row r="12" spans="2:10" x14ac:dyDescent="0.25">
      <c r="B12" s="2" t="s">
        <v>8</v>
      </c>
      <c r="C12" s="3">
        <v>1</v>
      </c>
      <c r="D12" s="3">
        <v>35</v>
      </c>
      <c r="E12" s="3" t="s">
        <v>48</v>
      </c>
      <c r="F12" s="5"/>
      <c r="G12" s="5"/>
    </row>
    <row r="13" spans="2:10" x14ac:dyDescent="0.25">
      <c r="B13" s="2" t="s">
        <v>8</v>
      </c>
      <c r="C13" s="3">
        <v>1</v>
      </c>
      <c r="D13" s="3">
        <v>33</v>
      </c>
      <c r="E13" s="3" t="s">
        <v>48</v>
      </c>
      <c r="F13" s="5"/>
      <c r="G13" s="5"/>
      <c r="I13" t="s">
        <v>52</v>
      </c>
    </row>
    <row r="14" spans="2:10" x14ac:dyDescent="0.25">
      <c r="B14" s="2" t="s">
        <v>4</v>
      </c>
      <c r="C14" s="3">
        <v>1</v>
      </c>
      <c r="D14" s="3">
        <v>35</v>
      </c>
      <c r="E14" s="3" t="s">
        <v>48</v>
      </c>
      <c r="F14" s="5"/>
      <c r="G14" s="5"/>
    </row>
    <row r="15" spans="2:10" x14ac:dyDescent="0.25">
      <c r="B15" s="2" t="s">
        <v>4</v>
      </c>
      <c r="C15" s="3">
        <v>1</v>
      </c>
      <c r="D15" s="3">
        <v>35</v>
      </c>
      <c r="E15" s="3" t="s">
        <v>48</v>
      </c>
      <c r="F15" s="5"/>
      <c r="G15" s="5"/>
    </row>
    <row r="16" spans="2:10" x14ac:dyDescent="0.25">
      <c r="B16" s="2" t="s">
        <v>4</v>
      </c>
      <c r="C16" s="3">
        <v>1</v>
      </c>
      <c r="D16" s="3">
        <v>35</v>
      </c>
      <c r="E16" s="3" t="s">
        <v>47</v>
      </c>
      <c r="F16" s="5"/>
      <c r="G16" s="5"/>
    </row>
    <row r="17" spans="2:8" x14ac:dyDescent="0.25">
      <c r="B17" s="2" t="s">
        <v>5</v>
      </c>
      <c r="C17" s="3">
        <v>1</v>
      </c>
      <c r="D17" s="3">
        <v>35</v>
      </c>
      <c r="E17" s="3" t="s">
        <v>47</v>
      </c>
      <c r="F17" s="5"/>
      <c r="G17" s="5"/>
    </row>
    <row r="18" spans="2:8" x14ac:dyDescent="0.25">
      <c r="B18" s="2" t="s">
        <v>5</v>
      </c>
      <c r="C18" s="3">
        <v>1</v>
      </c>
      <c r="D18" s="3">
        <v>35</v>
      </c>
      <c r="E18" s="3" t="s">
        <v>47</v>
      </c>
      <c r="F18" s="5"/>
      <c r="G18" s="5"/>
    </row>
    <row r="19" spans="2:8" x14ac:dyDescent="0.25">
      <c r="B19" s="2" t="s">
        <v>5</v>
      </c>
      <c r="C19" s="3">
        <v>1</v>
      </c>
      <c r="D19" s="3">
        <v>35</v>
      </c>
      <c r="E19" s="3" t="s">
        <v>49</v>
      </c>
      <c r="F19" s="5"/>
      <c r="G19" s="5"/>
    </row>
    <row r="20" spans="2:8" x14ac:dyDescent="0.25">
      <c r="B20" s="2" t="s">
        <v>14</v>
      </c>
      <c r="C20" s="3"/>
      <c r="D20" s="3"/>
      <c r="E20" s="3"/>
      <c r="F20" s="5"/>
      <c r="G20" s="5"/>
    </row>
    <row r="21" spans="2:8" x14ac:dyDescent="0.25">
      <c r="B21" s="2" t="s">
        <v>15</v>
      </c>
      <c r="C21" s="3"/>
      <c r="D21" s="3"/>
      <c r="E21" s="3"/>
      <c r="F21" s="5"/>
      <c r="G21" s="5"/>
    </row>
    <row r="22" spans="2:8" x14ac:dyDescent="0.25">
      <c r="B22" s="2" t="s">
        <v>12</v>
      </c>
      <c r="C22" s="3"/>
      <c r="D22" s="3"/>
      <c r="E22" s="3"/>
      <c r="F22" s="5"/>
      <c r="G22" s="5"/>
    </row>
    <row r="23" spans="2:8" x14ac:dyDescent="0.25">
      <c r="B23" s="2" t="s">
        <v>9</v>
      </c>
      <c r="C23" s="3">
        <v>1</v>
      </c>
      <c r="D23" s="3">
        <v>35</v>
      </c>
      <c r="E23" s="3" t="s">
        <v>47</v>
      </c>
      <c r="F23" s="5"/>
      <c r="G23" s="5"/>
    </row>
    <row r="24" spans="2:8" x14ac:dyDescent="0.25">
      <c r="B24" s="2" t="s">
        <v>9</v>
      </c>
      <c r="C24" s="3">
        <v>1</v>
      </c>
      <c r="D24" s="3">
        <v>35</v>
      </c>
      <c r="E24" s="3" t="s">
        <v>47</v>
      </c>
      <c r="F24" s="5"/>
      <c r="G24" s="5"/>
    </row>
    <row r="25" spans="2:8" x14ac:dyDescent="0.25">
      <c r="B25" s="2" t="s">
        <v>9</v>
      </c>
      <c r="C25" s="3">
        <v>1</v>
      </c>
      <c r="D25" s="3">
        <v>33</v>
      </c>
      <c r="E25" s="3" t="s">
        <v>47</v>
      </c>
      <c r="F25" s="5"/>
      <c r="G25" s="5"/>
    </row>
    <row r="26" spans="2:8" x14ac:dyDescent="0.25">
      <c r="B26" s="2" t="s">
        <v>11</v>
      </c>
      <c r="C26" s="3">
        <v>1</v>
      </c>
      <c r="D26" s="3">
        <v>35</v>
      </c>
      <c r="E26" s="3" t="s">
        <v>47</v>
      </c>
      <c r="F26" s="5"/>
      <c r="G26" s="5"/>
    </row>
    <row r="27" spans="2:8" x14ac:dyDescent="0.25">
      <c r="B27" s="2"/>
      <c r="C27" s="3">
        <f>SUBTOTAL(109,Tabla1152327353946[Carretas])</f>
        <v>18</v>
      </c>
      <c r="D27" s="3">
        <f>SUBTOTAL(101,Tabla1152327353946[Precios])</f>
        <v>34.111111111111114</v>
      </c>
      <c r="E27" s="3"/>
      <c r="F27" s="3"/>
      <c r="G27" s="3"/>
      <c r="H27" s="1"/>
    </row>
    <row r="29" spans="2:8" x14ac:dyDescent="0.25">
      <c r="C29" s="4" t="s">
        <v>28</v>
      </c>
      <c r="D29" s="4"/>
    </row>
    <row r="30" spans="2:8" x14ac:dyDescent="0.25">
      <c r="C30" s="4" t="s">
        <v>29</v>
      </c>
      <c r="D30" s="4"/>
    </row>
    <row r="31" spans="2:8" x14ac:dyDescent="0.25">
      <c r="B31" s="1" t="s">
        <v>0</v>
      </c>
      <c r="C31" s="1" t="s">
        <v>34</v>
      </c>
      <c r="D31" s="1" t="s">
        <v>2</v>
      </c>
      <c r="E31" s="1" t="s">
        <v>1</v>
      </c>
      <c r="F31" s="1" t="s">
        <v>44</v>
      </c>
      <c r="G31" s="1" t="s">
        <v>45</v>
      </c>
    </row>
    <row r="32" spans="2:8" x14ac:dyDescent="0.25">
      <c r="B32" t="s">
        <v>7</v>
      </c>
      <c r="C32">
        <v>1</v>
      </c>
      <c r="D32">
        <v>35</v>
      </c>
      <c r="E32" t="s">
        <v>46</v>
      </c>
    </row>
    <row r="33" spans="2:5" x14ac:dyDescent="0.25">
      <c r="B33" t="s">
        <v>10</v>
      </c>
      <c r="C33">
        <v>1</v>
      </c>
      <c r="D33">
        <v>30</v>
      </c>
      <c r="E33" t="s">
        <v>47</v>
      </c>
    </row>
    <row r="34" spans="2:5" x14ac:dyDescent="0.25">
      <c r="B34" t="s">
        <v>13</v>
      </c>
    </row>
    <row r="35" spans="2:5" x14ac:dyDescent="0.25">
      <c r="B35" t="s">
        <v>6</v>
      </c>
      <c r="C35">
        <v>1</v>
      </c>
      <c r="D35">
        <v>30</v>
      </c>
      <c r="E35" t="s">
        <v>48</v>
      </c>
    </row>
    <row r="36" spans="2:5" x14ac:dyDescent="0.25">
      <c r="B36" t="s">
        <v>8</v>
      </c>
      <c r="C36">
        <v>1</v>
      </c>
      <c r="D36">
        <v>33</v>
      </c>
      <c r="E36" t="s">
        <v>46</v>
      </c>
    </row>
    <row r="37" spans="2:5" x14ac:dyDescent="0.25">
      <c r="B37" t="s">
        <v>4</v>
      </c>
      <c r="C37">
        <v>1</v>
      </c>
      <c r="D37">
        <v>35</v>
      </c>
      <c r="E37" t="s">
        <v>47</v>
      </c>
    </row>
    <row r="38" spans="2:5" x14ac:dyDescent="0.25">
      <c r="B38" t="s">
        <v>4</v>
      </c>
      <c r="C38">
        <v>1</v>
      </c>
      <c r="D38">
        <v>35</v>
      </c>
      <c r="E38" t="s">
        <v>46</v>
      </c>
    </row>
    <row r="39" spans="2:5" x14ac:dyDescent="0.25">
      <c r="B39" t="s">
        <v>5</v>
      </c>
      <c r="C39">
        <v>1</v>
      </c>
      <c r="D39">
        <v>35</v>
      </c>
      <c r="E39" t="s">
        <v>47</v>
      </c>
    </row>
    <row r="40" spans="2:5" x14ac:dyDescent="0.25">
      <c r="B40" t="s">
        <v>5</v>
      </c>
      <c r="C40">
        <v>1</v>
      </c>
      <c r="D40">
        <v>35</v>
      </c>
      <c r="E40" t="s">
        <v>48</v>
      </c>
    </row>
    <row r="41" spans="2:5" x14ac:dyDescent="0.25">
      <c r="B41" t="s">
        <v>5</v>
      </c>
      <c r="C41">
        <v>1</v>
      </c>
      <c r="D41">
        <v>35</v>
      </c>
      <c r="E41" t="s">
        <v>48</v>
      </c>
    </row>
    <row r="42" spans="2:5" x14ac:dyDescent="0.25">
      <c r="B42" t="s">
        <v>5</v>
      </c>
      <c r="C42">
        <v>1</v>
      </c>
      <c r="D42">
        <v>35</v>
      </c>
      <c r="E42" t="s">
        <v>48</v>
      </c>
    </row>
    <row r="43" spans="2:5" x14ac:dyDescent="0.25">
      <c r="B43" t="s">
        <v>14</v>
      </c>
    </row>
    <row r="44" spans="2:5" x14ac:dyDescent="0.25">
      <c r="B44" t="s">
        <v>15</v>
      </c>
    </row>
    <row r="45" spans="2:5" x14ac:dyDescent="0.25">
      <c r="B45" t="s">
        <v>12</v>
      </c>
    </row>
    <row r="46" spans="2:5" x14ac:dyDescent="0.25">
      <c r="B46" t="s">
        <v>9</v>
      </c>
      <c r="C46">
        <v>1</v>
      </c>
      <c r="D46">
        <v>30</v>
      </c>
      <c r="E46" t="s">
        <v>47</v>
      </c>
    </row>
    <row r="47" spans="2:5" x14ac:dyDescent="0.25">
      <c r="B47" t="s">
        <v>9</v>
      </c>
      <c r="C47">
        <v>1</v>
      </c>
      <c r="D47">
        <v>30</v>
      </c>
      <c r="E47" t="s">
        <v>48</v>
      </c>
    </row>
    <row r="48" spans="2:5" x14ac:dyDescent="0.25">
      <c r="B48" t="s">
        <v>9</v>
      </c>
      <c r="C48">
        <v>1</v>
      </c>
      <c r="D48">
        <v>30</v>
      </c>
      <c r="E48" t="s">
        <v>49</v>
      </c>
    </row>
    <row r="49" spans="2:8" x14ac:dyDescent="0.25">
      <c r="B49" t="s">
        <v>9</v>
      </c>
    </row>
    <row r="50" spans="2:8" x14ac:dyDescent="0.25">
      <c r="B50" t="s">
        <v>11</v>
      </c>
    </row>
    <row r="51" spans="2:8" x14ac:dyDescent="0.25">
      <c r="C51">
        <f>SUBTOTAL(109,Tabla14162430384249[Carretas])</f>
        <v>13</v>
      </c>
      <c r="D51">
        <f>SUBTOTAL(101,Tabla14162430384249[Precios])</f>
        <v>32.92307692307692</v>
      </c>
    </row>
    <row r="53" spans="2:8" x14ac:dyDescent="0.25">
      <c r="C53" s="4" t="s">
        <v>30</v>
      </c>
      <c r="D53" s="4"/>
    </row>
    <row r="54" spans="2:8" x14ac:dyDescent="0.25">
      <c r="C54" s="4" t="s">
        <v>31</v>
      </c>
      <c r="D54" s="4"/>
      <c r="H54" s="1"/>
    </row>
    <row r="55" spans="2:8" x14ac:dyDescent="0.25">
      <c r="B55" s="1" t="s">
        <v>0</v>
      </c>
      <c r="C55" s="1" t="s">
        <v>34</v>
      </c>
      <c r="D55" s="1" t="s">
        <v>2</v>
      </c>
      <c r="E55" s="1" t="s">
        <v>1</v>
      </c>
      <c r="F55" s="1" t="s">
        <v>44</v>
      </c>
      <c r="G55" s="1" t="s">
        <v>45</v>
      </c>
    </row>
    <row r="56" spans="2:8" x14ac:dyDescent="0.25">
      <c r="B56" t="s">
        <v>7</v>
      </c>
      <c r="C56">
        <v>1</v>
      </c>
      <c r="D56">
        <v>41</v>
      </c>
      <c r="E56" t="s">
        <v>46</v>
      </c>
    </row>
    <row r="57" spans="2:8" x14ac:dyDescent="0.25">
      <c r="B57" t="s">
        <v>7</v>
      </c>
      <c r="C57">
        <v>1</v>
      </c>
      <c r="D57">
        <v>40</v>
      </c>
      <c r="E57" t="s">
        <v>46</v>
      </c>
    </row>
    <row r="58" spans="2:8" x14ac:dyDescent="0.25">
      <c r="B58" t="s">
        <v>10</v>
      </c>
      <c r="C58">
        <v>1</v>
      </c>
      <c r="D58">
        <v>38</v>
      </c>
      <c r="E58" t="s">
        <v>49</v>
      </c>
    </row>
    <row r="59" spans="2:8" x14ac:dyDescent="0.25">
      <c r="B59" t="s">
        <v>13</v>
      </c>
    </row>
    <row r="60" spans="2:8" x14ac:dyDescent="0.25">
      <c r="B60" t="s">
        <v>6</v>
      </c>
      <c r="C60">
        <v>1</v>
      </c>
      <c r="D60">
        <v>42</v>
      </c>
      <c r="E60" t="s">
        <v>49</v>
      </c>
    </row>
    <row r="61" spans="2:8" x14ac:dyDescent="0.25">
      <c r="B61" t="s">
        <v>6</v>
      </c>
      <c r="C61">
        <v>1</v>
      </c>
      <c r="D61">
        <v>42</v>
      </c>
      <c r="E61" t="s">
        <v>48</v>
      </c>
    </row>
    <row r="62" spans="2:8" x14ac:dyDescent="0.25">
      <c r="B62" t="s">
        <v>6</v>
      </c>
      <c r="C62">
        <v>1</v>
      </c>
      <c r="D62">
        <v>42</v>
      </c>
      <c r="E62" t="s">
        <v>48</v>
      </c>
    </row>
    <row r="63" spans="2:8" x14ac:dyDescent="0.25">
      <c r="B63" t="s">
        <v>8</v>
      </c>
      <c r="C63">
        <v>1</v>
      </c>
      <c r="D63">
        <v>40</v>
      </c>
      <c r="E63" t="s">
        <v>48</v>
      </c>
    </row>
    <row r="64" spans="2:8" x14ac:dyDescent="0.25">
      <c r="B64" t="s">
        <v>8</v>
      </c>
      <c r="C64">
        <v>1</v>
      </c>
      <c r="D64">
        <v>40</v>
      </c>
      <c r="E64" t="s">
        <v>48</v>
      </c>
    </row>
    <row r="65" spans="2:5" x14ac:dyDescent="0.25">
      <c r="B65" t="s">
        <v>4</v>
      </c>
      <c r="C65">
        <v>1</v>
      </c>
      <c r="D65">
        <v>42</v>
      </c>
      <c r="E65" t="s">
        <v>47</v>
      </c>
    </row>
    <row r="66" spans="2:5" x14ac:dyDescent="0.25">
      <c r="B66" t="s">
        <v>4</v>
      </c>
      <c r="C66">
        <v>1</v>
      </c>
      <c r="D66">
        <v>42</v>
      </c>
      <c r="E66" t="s">
        <v>47</v>
      </c>
    </row>
    <row r="67" spans="2:5" x14ac:dyDescent="0.25">
      <c r="B67" t="s">
        <v>5</v>
      </c>
      <c r="C67">
        <v>1</v>
      </c>
      <c r="D67">
        <v>42</v>
      </c>
      <c r="E67" t="s">
        <v>47</v>
      </c>
    </row>
    <row r="68" spans="2:5" x14ac:dyDescent="0.25">
      <c r="B68" t="s">
        <v>5</v>
      </c>
      <c r="C68">
        <v>1</v>
      </c>
      <c r="D68">
        <v>42</v>
      </c>
      <c r="E68" t="s">
        <v>47</v>
      </c>
    </row>
    <row r="69" spans="2:5" x14ac:dyDescent="0.25">
      <c r="B69" t="s">
        <v>5</v>
      </c>
      <c r="C69">
        <v>1</v>
      </c>
      <c r="D69">
        <v>40</v>
      </c>
      <c r="E69" t="s">
        <v>46</v>
      </c>
    </row>
    <row r="70" spans="2:5" x14ac:dyDescent="0.25">
      <c r="B70" t="s">
        <v>5</v>
      </c>
      <c r="C70">
        <v>1</v>
      </c>
      <c r="D70">
        <v>40</v>
      </c>
      <c r="E70" t="s">
        <v>48</v>
      </c>
    </row>
    <row r="71" spans="2:5" x14ac:dyDescent="0.25">
      <c r="B71" t="s">
        <v>14</v>
      </c>
    </row>
    <row r="72" spans="2:5" x14ac:dyDescent="0.25">
      <c r="B72" t="s">
        <v>15</v>
      </c>
      <c r="C72">
        <v>1</v>
      </c>
      <c r="D72">
        <v>50</v>
      </c>
      <c r="E72" t="s">
        <v>50</v>
      </c>
    </row>
    <row r="73" spans="2:5" x14ac:dyDescent="0.25">
      <c r="B73" t="s">
        <v>12</v>
      </c>
    </row>
    <row r="74" spans="2:5" x14ac:dyDescent="0.25">
      <c r="B74" t="s">
        <v>9</v>
      </c>
      <c r="C74">
        <v>1</v>
      </c>
      <c r="D74">
        <v>40</v>
      </c>
      <c r="E74" t="s">
        <v>46</v>
      </c>
    </row>
    <row r="75" spans="2:5" x14ac:dyDescent="0.25">
      <c r="B75" t="s">
        <v>9</v>
      </c>
      <c r="C75">
        <v>1</v>
      </c>
      <c r="D75">
        <v>40</v>
      </c>
      <c r="E75" t="s">
        <v>47</v>
      </c>
    </row>
    <row r="76" spans="2:5" x14ac:dyDescent="0.25">
      <c r="B76" t="s">
        <v>9</v>
      </c>
      <c r="C76">
        <v>1</v>
      </c>
      <c r="D76">
        <v>40</v>
      </c>
      <c r="E76" t="s">
        <v>48</v>
      </c>
    </row>
    <row r="77" spans="2:5" x14ac:dyDescent="0.25">
      <c r="B77" t="s">
        <v>11</v>
      </c>
      <c r="C77">
        <v>1</v>
      </c>
      <c r="D77">
        <v>42</v>
      </c>
    </row>
    <row r="78" spans="2:5" x14ac:dyDescent="0.25">
      <c r="C78">
        <f>SUBTOTAL(109,Tabla15172528364047[Carretas])</f>
        <v>19</v>
      </c>
      <c r="D78">
        <f>SUBTOTAL(101,Tabla15172528364047[Precios])</f>
        <v>41.315789473684212</v>
      </c>
    </row>
    <row r="80" spans="2:5" x14ac:dyDescent="0.25">
      <c r="C80" s="4" t="s">
        <v>32</v>
      </c>
      <c r="D80" s="4"/>
    </row>
    <row r="81" spans="2:8" x14ac:dyDescent="0.25">
      <c r="C81" s="4" t="s">
        <v>33</v>
      </c>
      <c r="D81" s="4"/>
    </row>
    <row r="82" spans="2:8" x14ac:dyDescent="0.25">
      <c r="B82" s="1" t="s">
        <v>0</v>
      </c>
      <c r="C82" s="1" t="s">
        <v>34</v>
      </c>
      <c r="D82" s="1" t="s">
        <v>2</v>
      </c>
      <c r="E82" s="1" t="s">
        <v>1</v>
      </c>
      <c r="F82" s="1" t="s">
        <v>44</v>
      </c>
      <c r="G82" s="1" t="s">
        <v>45</v>
      </c>
      <c r="H82" s="1"/>
    </row>
    <row r="83" spans="2:8" x14ac:dyDescent="0.25">
      <c r="B83" t="s">
        <v>7</v>
      </c>
      <c r="C83">
        <v>1</v>
      </c>
      <c r="D83">
        <v>40</v>
      </c>
      <c r="E83" t="s">
        <v>46</v>
      </c>
    </row>
    <row r="84" spans="2:8" x14ac:dyDescent="0.25">
      <c r="B84" t="s">
        <v>10</v>
      </c>
      <c r="C84">
        <v>1</v>
      </c>
      <c r="D84">
        <v>38</v>
      </c>
      <c r="E84" t="s">
        <v>46</v>
      </c>
    </row>
    <row r="85" spans="2:8" x14ac:dyDescent="0.25">
      <c r="B85" t="s">
        <v>13</v>
      </c>
    </row>
    <row r="86" spans="2:8" x14ac:dyDescent="0.25">
      <c r="B86" t="s">
        <v>6</v>
      </c>
      <c r="C86">
        <v>1</v>
      </c>
      <c r="D86">
        <v>40</v>
      </c>
      <c r="E86" t="s">
        <v>49</v>
      </c>
    </row>
    <row r="87" spans="2:8" x14ac:dyDescent="0.25">
      <c r="B87" t="s">
        <v>8</v>
      </c>
      <c r="C87">
        <v>1</v>
      </c>
      <c r="D87">
        <v>40</v>
      </c>
      <c r="E87" t="s">
        <v>48</v>
      </c>
    </row>
    <row r="88" spans="2:8" x14ac:dyDescent="0.25">
      <c r="B88" t="s">
        <v>8</v>
      </c>
      <c r="C88">
        <v>1</v>
      </c>
      <c r="D88">
        <v>40</v>
      </c>
      <c r="E88" t="s">
        <v>46</v>
      </c>
    </row>
    <row r="89" spans="2:8" x14ac:dyDescent="0.25">
      <c r="B89" t="s">
        <v>4</v>
      </c>
      <c r="C89">
        <v>1</v>
      </c>
      <c r="D89">
        <v>42</v>
      </c>
      <c r="E89" t="s">
        <v>49</v>
      </c>
    </row>
    <row r="90" spans="2:8" x14ac:dyDescent="0.25">
      <c r="B90" t="s">
        <v>4</v>
      </c>
      <c r="C90">
        <v>1</v>
      </c>
      <c r="D90">
        <v>42</v>
      </c>
      <c r="E90" t="s">
        <v>51</v>
      </c>
    </row>
    <row r="91" spans="2:8" x14ac:dyDescent="0.25">
      <c r="B91" t="s">
        <v>5</v>
      </c>
      <c r="C91">
        <v>1</v>
      </c>
      <c r="D91">
        <v>40</v>
      </c>
      <c r="E91" t="s">
        <v>47</v>
      </c>
    </row>
    <row r="92" spans="2:8" x14ac:dyDescent="0.25">
      <c r="B92" t="s">
        <v>5</v>
      </c>
      <c r="C92">
        <v>1</v>
      </c>
      <c r="D92">
        <v>40</v>
      </c>
      <c r="E92" t="s">
        <v>47</v>
      </c>
    </row>
    <row r="93" spans="2:8" x14ac:dyDescent="0.25">
      <c r="B93" t="s">
        <v>5</v>
      </c>
      <c r="C93">
        <v>1</v>
      </c>
      <c r="D93">
        <v>40</v>
      </c>
      <c r="E93" t="s">
        <v>51</v>
      </c>
    </row>
    <row r="94" spans="2:8" x14ac:dyDescent="0.25">
      <c r="B94" t="s">
        <v>5</v>
      </c>
      <c r="C94">
        <v>1</v>
      </c>
      <c r="D94">
        <v>40</v>
      </c>
      <c r="E94" t="s">
        <v>51</v>
      </c>
    </row>
    <row r="95" spans="2:8" x14ac:dyDescent="0.25">
      <c r="B95" t="s">
        <v>14</v>
      </c>
    </row>
    <row r="96" spans="2:8" x14ac:dyDescent="0.25">
      <c r="B96" t="s">
        <v>15</v>
      </c>
    </row>
    <row r="97" spans="2:5" x14ac:dyDescent="0.25">
      <c r="B97" t="s">
        <v>12</v>
      </c>
    </row>
    <row r="98" spans="2:5" x14ac:dyDescent="0.25">
      <c r="B98" t="s">
        <v>9</v>
      </c>
      <c r="C98">
        <v>1</v>
      </c>
      <c r="D98">
        <v>40</v>
      </c>
      <c r="E98" t="s">
        <v>47</v>
      </c>
    </row>
    <row r="99" spans="2:5" x14ac:dyDescent="0.25">
      <c r="B99" t="s">
        <v>9</v>
      </c>
      <c r="C99">
        <v>1</v>
      </c>
      <c r="D99">
        <v>40</v>
      </c>
      <c r="E99" t="s">
        <v>47</v>
      </c>
    </row>
    <row r="100" spans="2:5" x14ac:dyDescent="0.25">
      <c r="B100" t="s">
        <v>11</v>
      </c>
    </row>
    <row r="101" spans="2:5" x14ac:dyDescent="0.25">
      <c r="C101">
        <f>SUBTOTAL(109,Tabla16182629374148[Carretas])</f>
        <v>13</v>
      </c>
      <c r="D101">
        <f>SUBTOTAL(101,Tabla16182629374148[Precios])</f>
        <v>40.153846153846153</v>
      </c>
    </row>
  </sheetData>
  <mergeCells count="8">
    <mergeCell ref="C80:D80"/>
    <mergeCell ref="C81:D81"/>
    <mergeCell ref="C2:D2"/>
    <mergeCell ref="C3:D3"/>
    <mergeCell ref="C29:D29"/>
    <mergeCell ref="C30:D30"/>
    <mergeCell ref="C53:D53"/>
    <mergeCell ref="C54:D54"/>
  </mergeCells>
  <conditionalFormatting sqref="J8:J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 E29 F4:H4 B4:E2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E51">
    <cfRule type="colorScale" priority="13">
      <colorScale>
        <cfvo type="min"/>
        <cfvo type="max"/>
        <color rgb="FFFFEF9C"/>
        <color rgb="FF63BE7B"/>
      </colorScale>
    </cfRule>
  </conditionalFormatting>
  <conditionalFormatting sqref="B83:E100">
    <cfRule type="colorScale" priority="11">
      <colorScale>
        <cfvo type="min"/>
        <cfvo type="max"/>
        <color rgb="FFFFEF9C"/>
        <color rgb="FF63BE7B"/>
      </colorScale>
    </cfRule>
  </conditionalFormatting>
  <conditionalFormatting sqref="B5:E27">
    <cfRule type="colorScale" priority="10">
      <colorScale>
        <cfvo type="min"/>
        <cfvo type="max"/>
        <color rgb="FFFFEF9C"/>
        <color rgb="FF63BE7B"/>
      </colorScale>
    </cfRule>
  </conditionalFormatting>
  <conditionalFormatting sqref="C3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H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:H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2:H8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6:E77">
    <cfRule type="colorScale" priority="17">
      <colorScale>
        <cfvo type="min"/>
        <cfvo type="max"/>
        <color rgb="FFFFEF9C"/>
        <color rgb="FF63BE7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290A-A98F-4FF7-B77B-1C561003B33B}">
  <dimension ref="B2:E87"/>
  <sheetViews>
    <sheetView zoomScale="115" zoomScaleNormal="115" workbookViewId="0">
      <selection activeCell="G11" sqref="G11"/>
    </sheetView>
  </sheetViews>
  <sheetFormatPr baseColWidth="10" defaultRowHeight="15" x14ac:dyDescent="0.25"/>
  <cols>
    <col min="2" max="5" width="16.7109375" customWidth="1"/>
  </cols>
  <sheetData>
    <row r="2" spans="2:5" x14ac:dyDescent="0.25">
      <c r="C2" s="4" t="s">
        <v>35</v>
      </c>
      <c r="D2" s="4"/>
    </row>
    <row r="3" spans="2:5" x14ac:dyDescent="0.25">
      <c r="C3" s="4" t="s">
        <v>40</v>
      </c>
      <c r="D3" s="4"/>
    </row>
    <row r="4" spans="2:5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s="2" t="s">
        <v>7</v>
      </c>
      <c r="C5" s="3"/>
      <c r="D5" s="3"/>
      <c r="E5" s="3"/>
    </row>
    <row r="6" spans="2:5" x14ac:dyDescent="0.25">
      <c r="B6" s="2" t="s">
        <v>10</v>
      </c>
      <c r="C6" s="3"/>
      <c r="D6" s="3"/>
      <c r="E6" s="3"/>
    </row>
    <row r="7" spans="2:5" x14ac:dyDescent="0.25">
      <c r="B7" s="2" t="s">
        <v>13</v>
      </c>
      <c r="C7" s="3"/>
      <c r="D7" s="3"/>
      <c r="E7" s="3"/>
    </row>
    <row r="8" spans="2:5" x14ac:dyDescent="0.25">
      <c r="B8" s="2" t="s">
        <v>6</v>
      </c>
      <c r="C8" s="3"/>
      <c r="D8" s="3"/>
      <c r="E8" s="3"/>
    </row>
    <row r="9" spans="2:5" x14ac:dyDescent="0.25">
      <c r="B9" s="2" t="s">
        <v>8</v>
      </c>
      <c r="C9" s="3"/>
      <c r="D9" s="3"/>
      <c r="E9" s="3"/>
    </row>
    <row r="10" spans="2:5" x14ac:dyDescent="0.25">
      <c r="B10" s="2" t="s">
        <v>4</v>
      </c>
      <c r="C10" s="3"/>
      <c r="D10" s="3"/>
      <c r="E10" s="3"/>
    </row>
    <row r="11" spans="2:5" x14ac:dyDescent="0.25">
      <c r="B11" s="2" t="s">
        <v>5</v>
      </c>
      <c r="C11" s="3"/>
      <c r="D11" s="3"/>
      <c r="E11" s="3"/>
    </row>
    <row r="12" spans="2:5" x14ac:dyDescent="0.25">
      <c r="B12" s="2" t="s">
        <v>14</v>
      </c>
      <c r="C12" s="3"/>
      <c r="D12" s="3"/>
      <c r="E12" s="3"/>
    </row>
    <row r="13" spans="2:5" x14ac:dyDescent="0.25">
      <c r="B13" s="2" t="s">
        <v>15</v>
      </c>
      <c r="C13" s="3"/>
      <c r="D13" s="3"/>
      <c r="E13" s="3"/>
    </row>
    <row r="14" spans="2:5" x14ac:dyDescent="0.25">
      <c r="B14" s="2" t="s">
        <v>12</v>
      </c>
      <c r="C14" s="3"/>
      <c r="D14" s="3"/>
      <c r="E14" s="3"/>
    </row>
    <row r="15" spans="2:5" x14ac:dyDescent="0.25">
      <c r="B15" s="2" t="s">
        <v>9</v>
      </c>
      <c r="C15" s="3"/>
      <c r="D15" s="3"/>
      <c r="E15" s="3"/>
    </row>
    <row r="16" spans="2:5" x14ac:dyDescent="0.25">
      <c r="B16" s="2" t="s">
        <v>11</v>
      </c>
      <c r="C16" s="3"/>
      <c r="D16" s="3"/>
      <c r="E16" s="3"/>
    </row>
    <row r="17" spans="2:5" x14ac:dyDescent="0.25">
      <c r="B17" s="2"/>
      <c r="C17" s="3">
        <f>SUBTOTAL(109,Tabla115232735394651[Transporte])</f>
        <v>0</v>
      </c>
      <c r="D17" s="3" t="e">
        <f>SUBTOTAL(101,Tabla115232735394651[Precios])</f>
        <v>#DIV/0!</v>
      </c>
      <c r="E17" s="3"/>
    </row>
    <row r="19" spans="2:5" x14ac:dyDescent="0.25">
      <c r="C19" s="4" t="s">
        <v>36</v>
      </c>
      <c r="D19" s="4"/>
    </row>
    <row r="20" spans="2:5" x14ac:dyDescent="0.25">
      <c r="C20" s="4" t="s">
        <v>41</v>
      </c>
      <c r="D20" s="4"/>
    </row>
    <row r="21" spans="2:5" x14ac:dyDescent="0.25">
      <c r="B21" s="1" t="s">
        <v>0</v>
      </c>
      <c r="C21" s="1" t="s">
        <v>1</v>
      </c>
      <c r="D21" s="1" t="s">
        <v>2</v>
      </c>
      <c r="E21" s="1" t="s">
        <v>3</v>
      </c>
    </row>
    <row r="22" spans="2:5" x14ac:dyDescent="0.25">
      <c r="B22" t="s">
        <v>7</v>
      </c>
    </row>
    <row r="23" spans="2:5" x14ac:dyDescent="0.25">
      <c r="B23" t="s">
        <v>10</v>
      </c>
    </row>
    <row r="24" spans="2:5" x14ac:dyDescent="0.25">
      <c r="B24" t="s">
        <v>13</v>
      </c>
    </row>
    <row r="25" spans="2:5" x14ac:dyDescent="0.25">
      <c r="B25" t="s">
        <v>6</v>
      </c>
    </row>
    <row r="26" spans="2:5" x14ac:dyDescent="0.25">
      <c r="B26" t="s">
        <v>8</v>
      </c>
    </row>
    <row r="27" spans="2:5" x14ac:dyDescent="0.25">
      <c r="B27" t="s">
        <v>4</v>
      </c>
    </row>
    <row r="28" spans="2:5" x14ac:dyDescent="0.25">
      <c r="B28" t="s">
        <v>5</v>
      </c>
    </row>
    <row r="29" spans="2:5" x14ac:dyDescent="0.25">
      <c r="B29" t="s">
        <v>5</v>
      </c>
    </row>
    <row r="30" spans="2:5" x14ac:dyDescent="0.25">
      <c r="B30" t="s">
        <v>14</v>
      </c>
    </row>
    <row r="31" spans="2:5" x14ac:dyDescent="0.25">
      <c r="B31" t="s">
        <v>15</v>
      </c>
    </row>
    <row r="32" spans="2:5" x14ac:dyDescent="0.25">
      <c r="B32" t="s">
        <v>12</v>
      </c>
    </row>
    <row r="33" spans="2:5" x14ac:dyDescent="0.25">
      <c r="B33" t="s">
        <v>9</v>
      </c>
    </row>
    <row r="34" spans="2:5" x14ac:dyDescent="0.25">
      <c r="B34" t="s">
        <v>9</v>
      </c>
    </row>
    <row r="35" spans="2:5" x14ac:dyDescent="0.25">
      <c r="B35" t="s">
        <v>11</v>
      </c>
    </row>
    <row r="36" spans="2:5" x14ac:dyDescent="0.25">
      <c r="C36">
        <f>SUBTOTAL(109,Tabla1416243038424954[Transporte])</f>
        <v>0</v>
      </c>
      <c r="D36" t="e">
        <f>SUBTOTAL(101,Tabla1416243038424954[Precios])</f>
        <v>#DIV/0!</v>
      </c>
    </row>
    <row r="38" spans="2:5" x14ac:dyDescent="0.25">
      <c r="C38" s="4" t="s">
        <v>37</v>
      </c>
      <c r="D38" s="4"/>
    </row>
    <row r="39" spans="2:5" x14ac:dyDescent="0.25">
      <c r="C39" s="4"/>
      <c r="D39" s="4"/>
    </row>
    <row r="40" spans="2:5" x14ac:dyDescent="0.25">
      <c r="B40" s="1" t="s">
        <v>0</v>
      </c>
      <c r="C40" s="1" t="s">
        <v>1</v>
      </c>
      <c r="D40" s="1" t="s">
        <v>2</v>
      </c>
      <c r="E40" s="1" t="s">
        <v>3</v>
      </c>
    </row>
    <row r="41" spans="2:5" x14ac:dyDescent="0.25">
      <c r="B41" t="s">
        <v>7</v>
      </c>
    </row>
    <row r="42" spans="2:5" x14ac:dyDescent="0.25">
      <c r="B42" t="s">
        <v>10</v>
      </c>
    </row>
    <row r="43" spans="2:5" x14ac:dyDescent="0.25">
      <c r="B43" t="s">
        <v>13</v>
      </c>
    </row>
    <row r="44" spans="2:5" x14ac:dyDescent="0.25">
      <c r="B44" t="s">
        <v>6</v>
      </c>
    </row>
    <row r="45" spans="2:5" x14ac:dyDescent="0.25">
      <c r="B45" t="s">
        <v>8</v>
      </c>
    </row>
    <row r="46" spans="2:5" x14ac:dyDescent="0.25">
      <c r="B46" t="s">
        <v>4</v>
      </c>
    </row>
    <row r="47" spans="2:5" x14ac:dyDescent="0.25">
      <c r="B47" t="s">
        <v>5</v>
      </c>
    </row>
    <row r="48" spans="2:5" x14ac:dyDescent="0.25">
      <c r="B48" t="s">
        <v>14</v>
      </c>
    </row>
    <row r="49" spans="2:5" x14ac:dyDescent="0.25">
      <c r="B49" t="s">
        <v>15</v>
      </c>
    </row>
    <row r="50" spans="2:5" x14ac:dyDescent="0.25">
      <c r="B50" t="s">
        <v>12</v>
      </c>
    </row>
    <row r="51" spans="2:5" x14ac:dyDescent="0.25">
      <c r="B51" t="s">
        <v>9</v>
      </c>
    </row>
    <row r="52" spans="2:5" x14ac:dyDescent="0.25">
      <c r="B52" t="s">
        <v>11</v>
      </c>
    </row>
    <row r="53" spans="2:5" x14ac:dyDescent="0.25">
      <c r="C53">
        <f>SUBTOTAL(109,Tabla1517252836404752[Transporte])</f>
        <v>0</v>
      </c>
      <c r="D53" t="e">
        <f>SUBTOTAL(101,Tabla1517252836404752[Precios])</f>
        <v>#DIV/0!</v>
      </c>
    </row>
    <row r="55" spans="2:5" x14ac:dyDescent="0.25">
      <c r="C55" s="4" t="s">
        <v>38</v>
      </c>
      <c r="D55" s="4"/>
    </row>
    <row r="56" spans="2:5" x14ac:dyDescent="0.25">
      <c r="C56" s="4"/>
      <c r="D56" s="4"/>
    </row>
    <row r="57" spans="2:5" x14ac:dyDescent="0.25">
      <c r="B57" s="1" t="s">
        <v>0</v>
      </c>
      <c r="C57" s="1" t="s">
        <v>1</v>
      </c>
      <c r="D57" s="1" t="s">
        <v>2</v>
      </c>
      <c r="E57" s="1" t="s">
        <v>3</v>
      </c>
    </row>
    <row r="58" spans="2:5" x14ac:dyDescent="0.25">
      <c r="B58" t="s">
        <v>7</v>
      </c>
    </row>
    <row r="59" spans="2:5" x14ac:dyDescent="0.25">
      <c r="B59" t="s">
        <v>10</v>
      </c>
    </row>
    <row r="60" spans="2:5" x14ac:dyDescent="0.25">
      <c r="B60" t="s">
        <v>13</v>
      </c>
    </row>
    <row r="61" spans="2:5" x14ac:dyDescent="0.25">
      <c r="B61" t="s">
        <v>6</v>
      </c>
    </row>
    <row r="62" spans="2:5" x14ac:dyDescent="0.25">
      <c r="B62" t="s">
        <v>8</v>
      </c>
    </row>
    <row r="63" spans="2:5" x14ac:dyDescent="0.25">
      <c r="B63" t="s">
        <v>4</v>
      </c>
    </row>
    <row r="64" spans="2:5" x14ac:dyDescent="0.25">
      <c r="B64" t="s">
        <v>5</v>
      </c>
    </row>
    <row r="65" spans="2:5" x14ac:dyDescent="0.25">
      <c r="B65" t="s">
        <v>14</v>
      </c>
    </row>
    <row r="66" spans="2:5" x14ac:dyDescent="0.25">
      <c r="B66" t="s">
        <v>15</v>
      </c>
    </row>
    <row r="67" spans="2:5" x14ac:dyDescent="0.25">
      <c r="B67" t="s">
        <v>12</v>
      </c>
    </row>
    <row r="68" spans="2:5" x14ac:dyDescent="0.25">
      <c r="B68" t="s">
        <v>9</v>
      </c>
    </row>
    <row r="69" spans="2:5" x14ac:dyDescent="0.25">
      <c r="B69" t="s">
        <v>11</v>
      </c>
    </row>
    <row r="70" spans="2:5" x14ac:dyDescent="0.25">
      <c r="C70">
        <f>SUBTOTAL(109,Tabla1618262937414853[Transporte])</f>
        <v>0</v>
      </c>
      <c r="D70" t="e">
        <f>SUBTOTAL(101,Tabla1618262937414853[Precios])</f>
        <v>#DIV/0!</v>
      </c>
    </row>
    <row r="72" spans="2:5" x14ac:dyDescent="0.25">
      <c r="C72" s="4" t="s">
        <v>39</v>
      </c>
      <c r="D72" s="4"/>
    </row>
    <row r="73" spans="2:5" x14ac:dyDescent="0.25">
      <c r="C73" s="4"/>
      <c r="D73" s="4"/>
    </row>
    <row r="74" spans="2:5" x14ac:dyDescent="0.25">
      <c r="B74" s="1" t="s">
        <v>0</v>
      </c>
      <c r="C74" s="1" t="s">
        <v>1</v>
      </c>
      <c r="D74" s="1" t="s">
        <v>2</v>
      </c>
      <c r="E74" s="1" t="s">
        <v>3</v>
      </c>
    </row>
    <row r="75" spans="2:5" x14ac:dyDescent="0.25">
      <c r="B75" s="2" t="s">
        <v>7</v>
      </c>
      <c r="C75" s="3"/>
      <c r="D75" s="3"/>
      <c r="E75" s="3"/>
    </row>
    <row r="76" spans="2:5" x14ac:dyDescent="0.25">
      <c r="B76" s="2" t="s">
        <v>10</v>
      </c>
      <c r="C76" s="3"/>
      <c r="D76" s="3"/>
      <c r="E76" s="3"/>
    </row>
    <row r="77" spans="2:5" x14ac:dyDescent="0.25">
      <c r="B77" s="2" t="s">
        <v>13</v>
      </c>
      <c r="C77" s="3"/>
      <c r="D77" s="3"/>
      <c r="E77" s="3"/>
    </row>
    <row r="78" spans="2:5" x14ac:dyDescent="0.25">
      <c r="B78" s="2" t="s">
        <v>6</v>
      </c>
      <c r="C78" s="3"/>
      <c r="D78" s="3"/>
      <c r="E78" s="3"/>
    </row>
    <row r="79" spans="2:5" x14ac:dyDescent="0.25">
      <c r="B79" s="2" t="s">
        <v>8</v>
      </c>
      <c r="C79" s="3"/>
      <c r="D79" s="3"/>
      <c r="E79" s="3"/>
    </row>
    <row r="80" spans="2:5" x14ac:dyDescent="0.25">
      <c r="B80" s="2" t="s">
        <v>4</v>
      </c>
      <c r="C80" s="3"/>
      <c r="D80" s="3"/>
      <c r="E80" s="3"/>
    </row>
    <row r="81" spans="2:5" x14ac:dyDescent="0.25">
      <c r="B81" s="2" t="s">
        <v>5</v>
      </c>
      <c r="C81" s="3"/>
      <c r="D81" s="3"/>
      <c r="E81" s="3"/>
    </row>
    <row r="82" spans="2:5" x14ac:dyDescent="0.25">
      <c r="B82" s="2" t="s">
        <v>14</v>
      </c>
      <c r="C82" s="3"/>
      <c r="D82" s="3"/>
      <c r="E82" s="3"/>
    </row>
    <row r="83" spans="2:5" x14ac:dyDescent="0.25">
      <c r="B83" s="2" t="s">
        <v>15</v>
      </c>
      <c r="C83" s="3"/>
      <c r="D83" s="3"/>
      <c r="E83" s="3"/>
    </row>
    <row r="84" spans="2:5" x14ac:dyDescent="0.25">
      <c r="B84" s="2" t="s">
        <v>12</v>
      </c>
      <c r="C84" s="3"/>
      <c r="D84" s="3"/>
      <c r="E84" s="3"/>
    </row>
    <row r="85" spans="2:5" x14ac:dyDescent="0.25">
      <c r="B85" s="2" t="s">
        <v>9</v>
      </c>
      <c r="C85" s="3"/>
      <c r="D85" s="3"/>
      <c r="E85" s="3"/>
    </row>
    <row r="86" spans="2:5" x14ac:dyDescent="0.25">
      <c r="B86" s="2" t="s">
        <v>11</v>
      </c>
      <c r="C86" s="3"/>
      <c r="D86" s="3"/>
      <c r="E86" s="3"/>
    </row>
    <row r="87" spans="2:5" x14ac:dyDescent="0.25">
      <c r="B87" s="2"/>
      <c r="C87" s="3">
        <f>SUBTOTAL(109,Tabla11523273539455055[Transporte])</f>
        <v>0</v>
      </c>
      <c r="D87" s="3" t="e">
        <f>SUBTOTAL(101,Tabla11523273539455055[Precios])</f>
        <v>#DIV/0!</v>
      </c>
      <c r="E87" s="3"/>
    </row>
  </sheetData>
  <mergeCells count="10">
    <mergeCell ref="C55:D55"/>
    <mergeCell ref="C56:D56"/>
    <mergeCell ref="C72:D72"/>
    <mergeCell ref="C73:D73"/>
    <mergeCell ref="C2:D2"/>
    <mergeCell ref="C3:D3"/>
    <mergeCell ref="C19:D19"/>
    <mergeCell ref="C20:D20"/>
    <mergeCell ref="C38:D38"/>
    <mergeCell ref="C39:D39"/>
  </mergeCells>
  <conditionalFormatting sqref="I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18 B19 E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4:E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E36">
    <cfRule type="colorScale" priority="4">
      <colorScale>
        <cfvo type="min"/>
        <cfvo type="max"/>
        <color rgb="FFFFEF9C"/>
        <color rgb="FF63BE7B"/>
      </colorScale>
    </cfRule>
  </conditionalFormatting>
  <conditionalFormatting sqref="B41:E52">
    <cfRule type="colorScale" priority="3">
      <colorScale>
        <cfvo type="min"/>
        <cfvo type="max"/>
        <color rgb="FFFFEF9C"/>
        <color rgb="FF63BE7B"/>
      </colorScale>
    </cfRule>
  </conditionalFormatting>
  <conditionalFormatting sqref="B58:E69">
    <cfRule type="colorScale" priority="2">
      <colorScale>
        <cfvo type="min"/>
        <cfvo type="max"/>
        <color rgb="FFFFEF9C"/>
        <color rgb="FF63BE7B"/>
      </colorScale>
    </cfRule>
  </conditionalFormatting>
  <conditionalFormatting sqref="B5:E1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BADE-A5CB-43EF-B98F-F74D9C46C083}">
  <dimension ref="B2:E85"/>
  <sheetViews>
    <sheetView zoomScale="115" zoomScaleNormal="115" workbookViewId="0">
      <selection activeCell="C74" sqref="C74"/>
    </sheetView>
  </sheetViews>
  <sheetFormatPr baseColWidth="10" defaultRowHeight="15" x14ac:dyDescent="0.25"/>
  <cols>
    <col min="2" max="5" width="16.7109375" customWidth="1"/>
  </cols>
  <sheetData>
    <row r="2" spans="2:5" x14ac:dyDescent="0.25">
      <c r="C2" s="4" t="s">
        <v>16</v>
      </c>
      <c r="D2" s="4"/>
    </row>
    <row r="3" spans="2:5" x14ac:dyDescent="0.25">
      <c r="C3" s="4" t="s">
        <v>17</v>
      </c>
      <c r="D3" s="4"/>
    </row>
    <row r="4" spans="2:5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s="2" t="s">
        <v>7</v>
      </c>
      <c r="C5" s="3"/>
      <c r="D5" s="3"/>
      <c r="E5" s="3"/>
    </row>
    <row r="6" spans="2:5" x14ac:dyDescent="0.25">
      <c r="B6" s="2" t="s">
        <v>10</v>
      </c>
      <c r="C6" s="3"/>
      <c r="D6" s="3"/>
      <c r="E6" s="3"/>
    </row>
    <row r="7" spans="2:5" x14ac:dyDescent="0.25">
      <c r="B7" s="2" t="s">
        <v>13</v>
      </c>
      <c r="C7" s="3"/>
      <c r="D7" s="3"/>
      <c r="E7" s="3"/>
    </row>
    <row r="8" spans="2:5" x14ac:dyDescent="0.25">
      <c r="B8" s="2" t="s">
        <v>6</v>
      </c>
      <c r="C8" s="3"/>
      <c r="D8" s="3"/>
      <c r="E8" s="3"/>
    </row>
    <row r="9" spans="2:5" x14ac:dyDescent="0.25">
      <c r="B9" s="2" t="s">
        <v>8</v>
      </c>
      <c r="C9" s="3"/>
      <c r="D9" s="3"/>
      <c r="E9" s="3"/>
    </row>
    <row r="10" spans="2:5" x14ac:dyDescent="0.25">
      <c r="B10" s="2" t="s">
        <v>4</v>
      </c>
      <c r="C10" s="3"/>
      <c r="D10" s="3"/>
      <c r="E10" s="3"/>
    </row>
    <row r="11" spans="2:5" x14ac:dyDescent="0.25">
      <c r="B11" s="2" t="s">
        <v>5</v>
      </c>
      <c r="C11" s="3"/>
      <c r="D11" s="3"/>
      <c r="E11" s="3"/>
    </row>
    <row r="12" spans="2:5" x14ac:dyDescent="0.25">
      <c r="B12" s="2" t="s">
        <v>14</v>
      </c>
      <c r="C12" s="3"/>
      <c r="D12" s="3"/>
      <c r="E12" s="3"/>
    </row>
    <row r="13" spans="2:5" x14ac:dyDescent="0.25">
      <c r="B13" s="2" t="s">
        <v>15</v>
      </c>
      <c r="C13" s="3"/>
      <c r="D13" s="3"/>
      <c r="E13" s="3"/>
    </row>
    <row r="14" spans="2:5" x14ac:dyDescent="0.25">
      <c r="B14" s="2" t="s">
        <v>12</v>
      </c>
      <c r="C14" s="3"/>
      <c r="D14" s="3"/>
      <c r="E14" s="3"/>
    </row>
    <row r="15" spans="2:5" x14ac:dyDescent="0.25">
      <c r="B15" s="2" t="s">
        <v>9</v>
      </c>
      <c r="C15" s="3"/>
      <c r="D15" s="3"/>
      <c r="E15" s="3"/>
    </row>
    <row r="16" spans="2:5" x14ac:dyDescent="0.25">
      <c r="B16" s="2" t="s">
        <v>11</v>
      </c>
      <c r="C16" s="3"/>
      <c r="D16" s="3"/>
      <c r="E16" s="3"/>
    </row>
    <row r="17" spans="2:5" x14ac:dyDescent="0.25">
      <c r="B17" s="2"/>
      <c r="C17" s="3">
        <f>SUBTOTAL(109,Tabla115232735394656[Transporte])</f>
        <v>0</v>
      </c>
      <c r="D17" s="3" t="e">
        <f>SUBTOTAL(101,Tabla115232735394656[Precios])</f>
        <v>#DIV/0!</v>
      </c>
      <c r="E17" s="3"/>
    </row>
    <row r="19" spans="2:5" x14ac:dyDescent="0.25">
      <c r="C19" s="4" t="s">
        <v>16</v>
      </c>
      <c r="D19" s="4"/>
    </row>
    <row r="20" spans="2:5" x14ac:dyDescent="0.25">
      <c r="C20" s="4" t="s">
        <v>18</v>
      </c>
      <c r="D20" s="4"/>
    </row>
    <row r="21" spans="2:5" x14ac:dyDescent="0.25">
      <c r="B21" s="1" t="s">
        <v>0</v>
      </c>
      <c r="C21" s="1" t="s">
        <v>1</v>
      </c>
      <c r="D21" s="1" t="s">
        <v>2</v>
      </c>
      <c r="E21" s="1" t="s">
        <v>3</v>
      </c>
    </row>
    <row r="22" spans="2:5" x14ac:dyDescent="0.25">
      <c r="B22" t="s">
        <v>7</v>
      </c>
    </row>
    <row r="23" spans="2:5" x14ac:dyDescent="0.25">
      <c r="B23" t="s">
        <v>10</v>
      </c>
    </row>
    <row r="24" spans="2:5" x14ac:dyDescent="0.25">
      <c r="B24" t="s">
        <v>13</v>
      </c>
    </row>
    <row r="25" spans="2:5" x14ac:dyDescent="0.25">
      <c r="B25" t="s">
        <v>6</v>
      </c>
    </row>
    <row r="26" spans="2:5" x14ac:dyDescent="0.25">
      <c r="B26" t="s">
        <v>8</v>
      </c>
    </row>
    <row r="27" spans="2:5" x14ac:dyDescent="0.25">
      <c r="B27" t="s">
        <v>4</v>
      </c>
    </row>
    <row r="28" spans="2:5" x14ac:dyDescent="0.25">
      <c r="B28" t="s">
        <v>5</v>
      </c>
    </row>
    <row r="29" spans="2:5" x14ac:dyDescent="0.25">
      <c r="B29" t="s">
        <v>14</v>
      </c>
    </row>
    <row r="30" spans="2:5" x14ac:dyDescent="0.25">
      <c r="B30" t="s">
        <v>15</v>
      </c>
    </row>
    <row r="31" spans="2:5" x14ac:dyDescent="0.25">
      <c r="B31" t="s">
        <v>12</v>
      </c>
    </row>
    <row r="32" spans="2:5" x14ac:dyDescent="0.25">
      <c r="B32" t="s">
        <v>9</v>
      </c>
    </row>
    <row r="33" spans="2:5" x14ac:dyDescent="0.25">
      <c r="B33" t="s">
        <v>11</v>
      </c>
    </row>
    <row r="34" spans="2:5" x14ac:dyDescent="0.25">
      <c r="C34">
        <f>SUBTOTAL(109,Tabla1416243038424959[Transporte])</f>
        <v>0</v>
      </c>
      <c r="D34" t="e">
        <f>SUBTOTAL(101,Tabla1416243038424959[Precios])</f>
        <v>#DIV/0!</v>
      </c>
    </row>
    <row r="36" spans="2:5" x14ac:dyDescent="0.25">
      <c r="C36" s="4" t="s">
        <v>16</v>
      </c>
      <c r="D36" s="4"/>
    </row>
    <row r="37" spans="2:5" x14ac:dyDescent="0.25">
      <c r="C37" s="4" t="s">
        <v>19</v>
      </c>
      <c r="D37" s="4"/>
    </row>
    <row r="38" spans="2:5" x14ac:dyDescent="0.25">
      <c r="B38" s="1" t="s">
        <v>0</v>
      </c>
      <c r="C38" s="1" t="s">
        <v>1</v>
      </c>
      <c r="D38" s="1" t="s">
        <v>2</v>
      </c>
      <c r="E38" s="1" t="s">
        <v>3</v>
      </c>
    </row>
    <row r="39" spans="2:5" x14ac:dyDescent="0.25">
      <c r="B39" t="s">
        <v>7</v>
      </c>
    </row>
    <row r="40" spans="2:5" x14ac:dyDescent="0.25">
      <c r="B40" t="s">
        <v>10</v>
      </c>
    </row>
    <row r="41" spans="2:5" x14ac:dyDescent="0.25">
      <c r="B41" t="s">
        <v>13</v>
      </c>
    </row>
    <row r="42" spans="2:5" x14ac:dyDescent="0.25">
      <c r="B42" t="s">
        <v>6</v>
      </c>
    </row>
    <row r="43" spans="2:5" x14ac:dyDescent="0.25">
      <c r="B43" t="s">
        <v>8</v>
      </c>
    </row>
    <row r="44" spans="2:5" x14ac:dyDescent="0.25">
      <c r="B44" t="s">
        <v>4</v>
      </c>
    </row>
    <row r="45" spans="2:5" x14ac:dyDescent="0.25">
      <c r="B45" t="s">
        <v>5</v>
      </c>
    </row>
    <row r="46" spans="2:5" x14ac:dyDescent="0.25">
      <c r="B46" t="s">
        <v>14</v>
      </c>
    </row>
    <row r="47" spans="2:5" x14ac:dyDescent="0.25">
      <c r="B47" t="s">
        <v>15</v>
      </c>
    </row>
    <row r="48" spans="2:5" x14ac:dyDescent="0.25">
      <c r="B48" t="s">
        <v>12</v>
      </c>
    </row>
    <row r="49" spans="2:5" x14ac:dyDescent="0.25">
      <c r="B49" t="s">
        <v>9</v>
      </c>
    </row>
    <row r="50" spans="2:5" x14ac:dyDescent="0.25">
      <c r="B50" t="s">
        <v>11</v>
      </c>
    </row>
    <row r="51" spans="2:5" x14ac:dyDescent="0.25">
      <c r="C51">
        <f>SUBTOTAL(109,Tabla1517252836404757[Transporte])</f>
        <v>0</v>
      </c>
      <c r="D51" t="e">
        <f>SUBTOTAL(101,Tabla1517252836404757[Precios])</f>
        <v>#DIV/0!</v>
      </c>
    </row>
    <row r="53" spans="2:5" x14ac:dyDescent="0.25">
      <c r="C53" s="4" t="s">
        <v>16</v>
      </c>
      <c r="D53" s="4"/>
    </row>
    <row r="54" spans="2:5" x14ac:dyDescent="0.25">
      <c r="C54" s="4" t="s">
        <v>20</v>
      </c>
      <c r="D54" s="4"/>
    </row>
    <row r="55" spans="2:5" x14ac:dyDescent="0.25">
      <c r="B55" s="1" t="s">
        <v>0</v>
      </c>
      <c r="C55" s="1" t="s">
        <v>1</v>
      </c>
      <c r="D55" s="1" t="s">
        <v>2</v>
      </c>
      <c r="E55" s="1" t="s">
        <v>3</v>
      </c>
    </row>
    <row r="56" spans="2:5" x14ac:dyDescent="0.25">
      <c r="B56" t="s">
        <v>7</v>
      </c>
    </row>
    <row r="57" spans="2:5" x14ac:dyDescent="0.25">
      <c r="B57" t="s">
        <v>10</v>
      </c>
    </row>
    <row r="58" spans="2:5" x14ac:dyDescent="0.25">
      <c r="B58" t="s">
        <v>13</v>
      </c>
    </row>
    <row r="59" spans="2:5" x14ac:dyDescent="0.25">
      <c r="B59" t="s">
        <v>6</v>
      </c>
    </row>
    <row r="60" spans="2:5" x14ac:dyDescent="0.25">
      <c r="B60" t="s">
        <v>8</v>
      </c>
    </row>
    <row r="61" spans="2:5" x14ac:dyDescent="0.25">
      <c r="B61" t="s">
        <v>4</v>
      </c>
    </row>
    <row r="62" spans="2:5" x14ac:dyDescent="0.25">
      <c r="B62" t="s">
        <v>5</v>
      </c>
    </row>
    <row r="63" spans="2:5" x14ac:dyDescent="0.25">
      <c r="B63" t="s">
        <v>14</v>
      </c>
    </row>
    <row r="64" spans="2:5" x14ac:dyDescent="0.25">
      <c r="B64" t="s">
        <v>15</v>
      </c>
    </row>
    <row r="65" spans="2:5" x14ac:dyDescent="0.25">
      <c r="B65" t="s">
        <v>12</v>
      </c>
    </row>
    <row r="66" spans="2:5" x14ac:dyDescent="0.25">
      <c r="B66" t="s">
        <v>9</v>
      </c>
    </row>
    <row r="67" spans="2:5" x14ac:dyDescent="0.25">
      <c r="B67" t="s">
        <v>11</v>
      </c>
    </row>
    <row r="68" spans="2:5" x14ac:dyDescent="0.25">
      <c r="C68">
        <f>SUBTOTAL(109,Tabla1618262937414858[Transporte])</f>
        <v>0</v>
      </c>
      <c r="D68" t="e">
        <f>SUBTOTAL(101,Tabla1618262937414858[Precios])</f>
        <v>#DIV/0!</v>
      </c>
    </row>
    <row r="70" spans="2:5" x14ac:dyDescent="0.25">
      <c r="C70" s="4" t="s">
        <v>16</v>
      </c>
      <c r="D70" s="4"/>
    </row>
    <row r="71" spans="2:5" x14ac:dyDescent="0.25">
      <c r="C71" s="4" t="s">
        <v>21</v>
      </c>
      <c r="D71" s="4"/>
    </row>
    <row r="72" spans="2:5" x14ac:dyDescent="0.25">
      <c r="B72" s="1" t="s">
        <v>0</v>
      </c>
      <c r="C72" s="1" t="s">
        <v>1</v>
      </c>
      <c r="D72" s="1" t="s">
        <v>2</v>
      </c>
      <c r="E72" s="1" t="s">
        <v>3</v>
      </c>
    </row>
    <row r="73" spans="2:5" x14ac:dyDescent="0.25">
      <c r="B73" s="2" t="s">
        <v>7</v>
      </c>
      <c r="C73" s="3"/>
      <c r="D73" s="3"/>
      <c r="E73" s="3"/>
    </row>
    <row r="74" spans="2:5" x14ac:dyDescent="0.25">
      <c r="B74" s="2" t="s">
        <v>10</v>
      </c>
      <c r="C74" s="3"/>
      <c r="D74" s="3"/>
      <c r="E74" s="3"/>
    </row>
    <row r="75" spans="2:5" x14ac:dyDescent="0.25">
      <c r="B75" s="2" t="s">
        <v>13</v>
      </c>
      <c r="C75" s="3"/>
      <c r="D75" s="3"/>
      <c r="E75" s="3"/>
    </row>
    <row r="76" spans="2:5" x14ac:dyDescent="0.25">
      <c r="B76" s="2" t="s">
        <v>6</v>
      </c>
      <c r="C76" s="3"/>
      <c r="D76" s="3"/>
      <c r="E76" s="3"/>
    </row>
    <row r="77" spans="2:5" x14ac:dyDescent="0.25">
      <c r="B77" s="2" t="s">
        <v>8</v>
      </c>
      <c r="C77" s="3"/>
      <c r="D77" s="3"/>
      <c r="E77" s="3"/>
    </row>
    <row r="78" spans="2:5" x14ac:dyDescent="0.25">
      <c r="B78" s="2" t="s">
        <v>4</v>
      </c>
      <c r="C78" s="3"/>
      <c r="D78" s="3"/>
      <c r="E78" s="3"/>
    </row>
    <row r="79" spans="2:5" x14ac:dyDescent="0.25">
      <c r="B79" s="2" t="s">
        <v>5</v>
      </c>
      <c r="C79" s="3"/>
      <c r="D79" s="3"/>
      <c r="E79" s="3"/>
    </row>
    <row r="80" spans="2:5" x14ac:dyDescent="0.25">
      <c r="B80" s="2" t="s">
        <v>14</v>
      </c>
      <c r="C80" s="3"/>
      <c r="D80" s="3"/>
      <c r="E80" s="3"/>
    </row>
    <row r="81" spans="2:5" x14ac:dyDescent="0.25">
      <c r="B81" s="2" t="s">
        <v>15</v>
      </c>
      <c r="C81" s="3"/>
      <c r="D81" s="3"/>
      <c r="E81" s="3"/>
    </row>
    <row r="82" spans="2:5" x14ac:dyDescent="0.25">
      <c r="B82" s="2" t="s">
        <v>12</v>
      </c>
      <c r="C82" s="3"/>
      <c r="D82" s="3"/>
      <c r="E82" s="3"/>
    </row>
    <row r="83" spans="2:5" x14ac:dyDescent="0.25">
      <c r="B83" s="2" t="s">
        <v>9</v>
      </c>
      <c r="C83" s="3"/>
      <c r="D83" s="3"/>
      <c r="E83" s="3"/>
    </row>
    <row r="84" spans="2:5" x14ac:dyDescent="0.25">
      <c r="B84" s="2" t="s">
        <v>11</v>
      </c>
      <c r="C84" s="3"/>
      <c r="D84" s="3"/>
      <c r="E84" s="3"/>
    </row>
    <row r="85" spans="2:5" x14ac:dyDescent="0.25">
      <c r="B85" s="2"/>
      <c r="C85" s="3">
        <f>SUBTOTAL(109,Tabla11523273539455060[Transporte])</f>
        <v>0</v>
      </c>
      <c r="D85" s="3" t="e">
        <f>SUBTOTAL(101,Tabla11523273539455060[Precios])</f>
        <v>#DIV/0!</v>
      </c>
      <c r="E85" s="3"/>
    </row>
  </sheetData>
  <mergeCells count="10">
    <mergeCell ref="C53:D53"/>
    <mergeCell ref="C54:D54"/>
    <mergeCell ref="C70:D70"/>
    <mergeCell ref="C71:D71"/>
    <mergeCell ref="C2:D2"/>
    <mergeCell ref="C3:D3"/>
    <mergeCell ref="C19:D19"/>
    <mergeCell ref="C20:D20"/>
    <mergeCell ref="C36:D36"/>
    <mergeCell ref="C37:D37"/>
  </mergeCells>
  <conditionalFormatting sqref="I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18 B19 E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2:E8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E34">
    <cfRule type="colorScale" priority="4">
      <colorScale>
        <cfvo type="min"/>
        <cfvo type="max"/>
        <color rgb="FFFFEF9C"/>
        <color rgb="FF63BE7B"/>
      </colorScale>
    </cfRule>
  </conditionalFormatting>
  <conditionalFormatting sqref="B39:E50">
    <cfRule type="colorScale" priority="3">
      <colorScale>
        <cfvo type="min"/>
        <cfvo type="max"/>
        <color rgb="FFFFEF9C"/>
        <color rgb="FF63BE7B"/>
      </colorScale>
    </cfRule>
  </conditionalFormatting>
  <conditionalFormatting sqref="B56:E67">
    <cfRule type="colorScale" priority="2">
      <colorScale>
        <cfvo type="min"/>
        <cfvo type="max"/>
        <color rgb="FFFFEF9C"/>
        <color rgb="FF63BE7B"/>
      </colorScale>
    </cfRule>
  </conditionalFormatting>
  <conditionalFormatting sqref="B5:E1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C79B-B0A4-4C3B-B5EB-7E2A1B5A40B9}">
  <dimension ref="B2:E85"/>
  <sheetViews>
    <sheetView topLeftCell="A16" zoomScale="115" zoomScaleNormal="115" workbookViewId="0">
      <selection activeCell="C11" sqref="C11:D11"/>
    </sheetView>
  </sheetViews>
  <sheetFormatPr baseColWidth="10" defaultRowHeight="15" x14ac:dyDescent="0.25"/>
  <cols>
    <col min="2" max="5" width="16.7109375" customWidth="1"/>
  </cols>
  <sheetData>
    <row r="2" spans="2:5" x14ac:dyDescent="0.25">
      <c r="C2" s="4" t="s">
        <v>16</v>
      </c>
      <c r="D2" s="4"/>
    </row>
    <row r="3" spans="2:5" x14ac:dyDescent="0.25">
      <c r="C3" s="4" t="s">
        <v>17</v>
      </c>
      <c r="D3" s="4"/>
    </row>
    <row r="4" spans="2:5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s="2" t="s">
        <v>7</v>
      </c>
      <c r="C5" s="3"/>
      <c r="D5" s="3"/>
      <c r="E5" s="3"/>
    </row>
    <row r="6" spans="2:5" x14ac:dyDescent="0.25">
      <c r="B6" s="2" t="s">
        <v>10</v>
      </c>
      <c r="C6" s="3"/>
      <c r="D6" s="3"/>
      <c r="E6" s="3"/>
    </row>
    <row r="7" spans="2:5" x14ac:dyDescent="0.25">
      <c r="B7" s="2" t="s">
        <v>13</v>
      </c>
      <c r="C7" s="3"/>
      <c r="D7" s="3"/>
      <c r="E7" s="3"/>
    </row>
    <row r="8" spans="2:5" x14ac:dyDescent="0.25">
      <c r="B8" s="2" t="s">
        <v>6</v>
      </c>
      <c r="C8" s="3"/>
      <c r="D8" s="3"/>
      <c r="E8" s="3"/>
    </row>
    <row r="9" spans="2:5" x14ac:dyDescent="0.25">
      <c r="B9" s="2" t="s">
        <v>8</v>
      </c>
      <c r="C9" s="3"/>
      <c r="D9" s="3"/>
      <c r="E9" s="3"/>
    </row>
    <row r="10" spans="2:5" x14ac:dyDescent="0.25">
      <c r="B10" s="2" t="s">
        <v>4</v>
      </c>
      <c r="C10" s="3"/>
      <c r="D10" s="3"/>
      <c r="E10" s="3"/>
    </row>
    <row r="11" spans="2:5" x14ac:dyDescent="0.25">
      <c r="B11" s="2" t="s">
        <v>5</v>
      </c>
      <c r="C11" s="3"/>
      <c r="D11" s="3"/>
      <c r="E11" s="3"/>
    </row>
    <row r="12" spans="2:5" x14ac:dyDescent="0.25">
      <c r="B12" s="2" t="s">
        <v>14</v>
      </c>
      <c r="C12" s="3"/>
      <c r="D12" s="3"/>
      <c r="E12" s="3"/>
    </row>
    <row r="13" spans="2:5" x14ac:dyDescent="0.25">
      <c r="B13" s="2" t="s">
        <v>15</v>
      </c>
      <c r="C13" s="3"/>
      <c r="D13" s="3"/>
      <c r="E13" s="3"/>
    </row>
    <row r="14" spans="2:5" x14ac:dyDescent="0.25">
      <c r="B14" s="2" t="s">
        <v>12</v>
      </c>
      <c r="C14" s="3"/>
      <c r="D14" s="3"/>
      <c r="E14" s="3"/>
    </row>
    <row r="15" spans="2:5" x14ac:dyDescent="0.25">
      <c r="B15" s="2" t="s">
        <v>9</v>
      </c>
      <c r="C15" s="3"/>
      <c r="D15" s="3"/>
      <c r="E15" s="3"/>
    </row>
    <row r="16" spans="2:5" x14ac:dyDescent="0.25">
      <c r="B16" s="2" t="s">
        <v>11</v>
      </c>
      <c r="C16" s="3"/>
      <c r="D16" s="3"/>
      <c r="E16" s="3"/>
    </row>
    <row r="17" spans="2:5" x14ac:dyDescent="0.25">
      <c r="B17" s="2"/>
      <c r="C17" s="3">
        <f>SUBTOTAL(109,Tabla115232735394661[Transporte])</f>
        <v>0</v>
      </c>
      <c r="D17" s="3" t="e">
        <f>SUBTOTAL(101,Tabla115232735394661[Precios])</f>
        <v>#DIV/0!</v>
      </c>
      <c r="E17" s="3"/>
    </row>
    <row r="19" spans="2:5" x14ac:dyDescent="0.25">
      <c r="C19" s="4" t="s">
        <v>16</v>
      </c>
      <c r="D19" s="4"/>
    </row>
    <row r="20" spans="2:5" x14ac:dyDescent="0.25">
      <c r="C20" s="4" t="s">
        <v>18</v>
      </c>
      <c r="D20" s="4"/>
    </row>
    <row r="21" spans="2:5" x14ac:dyDescent="0.25">
      <c r="B21" s="1" t="s">
        <v>0</v>
      </c>
      <c r="C21" s="1" t="s">
        <v>1</v>
      </c>
      <c r="D21" s="1" t="s">
        <v>2</v>
      </c>
      <c r="E21" s="1" t="s">
        <v>3</v>
      </c>
    </row>
    <row r="22" spans="2:5" x14ac:dyDescent="0.25">
      <c r="B22" t="s">
        <v>7</v>
      </c>
      <c r="C22">
        <v>1</v>
      </c>
      <c r="D22">
        <v>40</v>
      </c>
    </row>
    <row r="23" spans="2:5" x14ac:dyDescent="0.25">
      <c r="B23" t="s">
        <v>10</v>
      </c>
    </row>
    <row r="24" spans="2:5" x14ac:dyDescent="0.25">
      <c r="B24" t="s">
        <v>13</v>
      </c>
    </row>
    <row r="25" spans="2:5" x14ac:dyDescent="0.25">
      <c r="B25" t="s">
        <v>6</v>
      </c>
      <c r="C25">
        <v>1</v>
      </c>
      <c r="D25">
        <v>40</v>
      </c>
    </row>
    <row r="26" spans="2:5" x14ac:dyDescent="0.25">
      <c r="B26" t="s">
        <v>8</v>
      </c>
      <c r="C26">
        <v>2</v>
      </c>
      <c r="D26">
        <v>40</v>
      </c>
    </row>
    <row r="27" spans="2:5" x14ac:dyDescent="0.25">
      <c r="B27" t="s">
        <v>4</v>
      </c>
      <c r="C27">
        <v>2</v>
      </c>
      <c r="D27">
        <v>40</v>
      </c>
    </row>
    <row r="28" spans="2:5" x14ac:dyDescent="0.25">
      <c r="B28" t="s">
        <v>5</v>
      </c>
      <c r="C28">
        <v>1</v>
      </c>
      <c r="D28">
        <v>40</v>
      </c>
    </row>
    <row r="29" spans="2:5" x14ac:dyDescent="0.25">
      <c r="B29" t="s">
        <v>14</v>
      </c>
    </row>
    <row r="30" spans="2:5" x14ac:dyDescent="0.25">
      <c r="B30" t="s">
        <v>15</v>
      </c>
    </row>
    <row r="31" spans="2:5" x14ac:dyDescent="0.25">
      <c r="B31" t="s">
        <v>12</v>
      </c>
    </row>
    <row r="32" spans="2:5" x14ac:dyDescent="0.25">
      <c r="B32" t="s">
        <v>9</v>
      </c>
      <c r="C32">
        <v>1</v>
      </c>
      <c r="D32">
        <v>40</v>
      </c>
    </row>
    <row r="33" spans="2:5" x14ac:dyDescent="0.25">
      <c r="B33" t="s">
        <v>11</v>
      </c>
    </row>
    <row r="34" spans="2:5" x14ac:dyDescent="0.25">
      <c r="C34">
        <f>SUBTOTAL(109,Tabla1416243038424964[Transporte])</f>
        <v>8</v>
      </c>
      <c r="D34">
        <f>SUBTOTAL(101,Tabla1416243038424964[Precios])</f>
        <v>40</v>
      </c>
    </row>
    <row r="36" spans="2:5" x14ac:dyDescent="0.25">
      <c r="C36" s="4" t="s">
        <v>16</v>
      </c>
      <c r="D36" s="4"/>
    </row>
    <row r="37" spans="2:5" x14ac:dyDescent="0.25">
      <c r="C37" s="4" t="s">
        <v>19</v>
      </c>
      <c r="D37" s="4"/>
    </row>
    <row r="38" spans="2:5" x14ac:dyDescent="0.25">
      <c r="B38" s="1" t="s">
        <v>0</v>
      </c>
      <c r="C38" s="1" t="s">
        <v>1</v>
      </c>
      <c r="D38" s="1" t="s">
        <v>2</v>
      </c>
      <c r="E38" s="1" t="s">
        <v>3</v>
      </c>
    </row>
    <row r="39" spans="2:5" x14ac:dyDescent="0.25">
      <c r="B39" t="s">
        <v>7</v>
      </c>
      <c r="C39">
        <v>1</v>
      </c>
      <c r="D39">
        <v>42</v>
      </c>
    </row>
    <row r="40" spans="2:5" x14ac:dyDescent="0.25">
      <c r="B40" t="s">
        <v>10</v>
      </c>
    </row>
    <row r="41" spans="2:5" x14ac:dyDescent="0.25">
      <c r="B41" t="s">
        <v>13</v>
      </c>
    </row>
    <row r="42" spans="2:5" x14ac:dyDescent="0.25">
      <c r="B42" t="s">
        <v>6</v>
      </c>
    </row>
    <row r="43" spans="2:5" x14ac:dyDescent="0.25">
      <c r="B43" t="s">
        <v>8</v>
      </c>
      <c r="C43">
        <v>1</v>
      </c>
      <c r="D43">
        <v>40</v>
      </c>
    </row>
    <row r="44" spans="2:5" x14ac:dyDescent="0.25">
      <c r="B44" t="s">
        <v>4</v>
      </c>
      <c r="C44">
        <v>2</v>
      </c>
      <c r="D44">
        <v>43</v>
      </c>
    </row>
    <row r="45" spans="2:5" x14ac:dyDescent="0.25">
      <c r="B45" t="s">
        <v>5</v>
      </c>
      <c r="C45">
        <v>1</v>
      </c>
      <c r="D45">
        <v>42</v>
      </c>
    </row>
    <row r="46" spans="2:5" x14ac:dyDescent="0.25">
      <c r="B46" t="s">
        <v>14</v>
      </c>
    </row>
    <row r="47" spans="2:5" x14ac:dyDescent="0.25">
      <c r="B47" t="s">
        <v>15</v>
      </c>
    </row>
    <row r="48" spans="2:5" x14ac:dyDescent="0.25">
      <c r="B48" t="s">
        <v>12</v>
      </c>
    </row>
    <row r="49" spans="2:5" x14ac:dyDescent="0.25">
      <c r="B49" t="s">
        <v>9</v>
      </c>
      <c r="C49">
        <v>1</v>
      </c>
      <c r="D49">
        <v>42</v>
      </c>
    </row>
    <row r="50" spans="2:5" x14ac:dyDescent="0.25">
      <c r="B50" t="s">
        <v>11</v>
      </c>
    </row>
    <row r="51" spans="2:5" x14ac:dyDescent="0.25">
      <c r="C51">
        <f>SUBTOTAL(109,Tabla1517252836404762[Transporte])</f>
        <v>6</v>
      </c>
      <c r="D51">
        <f>SUBTOTAL(101,Tabla1517252836404762[Precios])</f>
        <v>41.8</v>
      </c>
    </row>
    <row r="53" spans="2:5" x14ac:dyDescent="0.25">
      <c r="C53" s="4" t="s">
        <v>16</v>
      </c>
      <c r="D53" s="4"/>
    </row>
    <row r="54" spans="2:5" x14ac:dyDescent="0.25">
      <c r="C54" s="4" t="s">
        <v>20</v>
      </c>
      <c r="D54" s="4"/>
    </row>
    <row r="55" spans="2:5" x14ac:dyDescent="0.25">
      <c r="B55" s="1" t="s">
        <v>0</v>
      </c>
      <c r="C55" s="1" t="s">
        <v>1</v>
      </c>
      <c r="D55" s="1" t="s">
        <v>2</v>
      </c>
      <c r="E55" s="1" t="s">
        <v>3</v>
      </c>
    </row>
    <row r="56" spans="2:5" x14ac:dyDescent="0.25">
      <c r="B56" t="s">
        <v>7</v>
      </c>
      <c r="C56">
        <v>1</v>
      </c>
      <c r="D56">
        <v>40</v>
      </c>
    </row>
    <row r="57" spans="2:5" x14ac:dyDescent="0.25">
      <c r="B57" t="s">
        <v>10</v>
      </c>
    </row>
    <row r="58" spans="2:5" x14ac:dyDescent="0.25">
      <c r="B58" t="s">
        <v>13</v>
      </c>
    </row>
    <row r="59" spans="2:5" x14ac:dyDescent="0.25">
      <c r="B59" t="s">
        <v>6</v>
      </c>
      <c r="C59">
        <v>1</v>
      </c>
      <c r="D59">
        <v>40</v>
      </c>
    </row>
    <row r="60" spans="2:5" x14ac:dyDescent="0.25">
      <c r="B60" t="s">
        <v>8</v>
      </c>
      <c r="C60">
        <v>1</v>
      </c>
      <c r="D60">
        <v>40</v>
      </c>
    </row>
    <row r="61" spans="2:5" x14ac:dyDescent="0.25">
      <c r="B61" t="s">
        <v>4</v>
      </c>
      <c r="C61">
        <v>2</v>
      </c>
      <c r="D61">
        <v>43</v>
      </c>
    </row>
    <row r="62" spans="2:5" x14ac:dyDescent="0.25">
      <c r="B62" t="s">
        <v>5</v>
      </c>
      <c r="C62">
        <v>2</v>
      </c>
      <c r="D62">
        <v>40</v>
      </c>
    </row>
    <row r="63" spans="2:5" x14ac:dyDescent="0.25">
      <c r="B63" t="s">
        <v>14</v>
      </c>
    </row>
    <row r="64" spans="2:5" x14ac:dyDescent="0.25">
      <c r="B64" t="s">
        <v>15</v>
      </c>
    </row>
    <row r="65" spans="2:5" x14ac:dyDescent="0.25">
      <c r="B65" t="s">
        <v>12</v>
      </c>
    </row>
    <row r="66" spans="2:5" x14ac:dyDescent="0.25">
      <c r="B66" t="s">
        <v>9</v>
      </c>
      <c r="C66">
        <v>3</v>
      </c>
      <c r="D66">
        <v>40</v>
      </c>
    </row>
    <row r="67" spans="2:5" x14ac:dyDescent="0.25">
      <c r="B67" t="s">
        <v>11</v>
      </c>
    </row>
    <row r="68" spans="2:5" x14ac:dyDescent="0.25">
      <c r="C68">
        <f>SUBTOTAL(109,Tabla1618262937414863[Transporte])</f>
        <v>10</v>
      </c>
      <c r="D68">
        <f>SUBTOTAL(101,Tabla1618262937414863[Precios])</f>
        <v>40.5</v>
      </c>
    </row>
    <row r="70" spans="2:5" x14ac:dyDescent="0.25">
      <c r="C70" s="4" t="s">
        <v>16</v>
      </c>
      <c r="D70" s="4"/>
    </row>
    <row r="71" spans="2:5" x14ac:dyDescent="0.25">
      <c r="C71" s="4" t="s">
        <v>21</v>
      </c>
      <c r="D71" s="4"/>
    </row>
    <row r="72" spans="2:5" x14ac:dyDescent="0.25">
      <c r="B72" s="1" t="s">
        <v>0</v>
      </c>
      <c r="C72" s="1" t="s">
        <v>1</v>
      </c>
      <c r="D72" s="1" t="s">
        <v>2</v>
      </c>
      <c r="E72" s="1" t="s">
        <v>3</v>
      </c>
    </row>
    <row r="73" spans="2:5" x14ac:dyDescent="0.25">
      <c r="B73" s="2" t="s">
        <v>7</v>
      </c>
      <c r="C73" s="3">
        <v>1</v>
      </c>
      <c r="D73" s="3">
        <v>37</v>
      </c>
      <c r="E73" s="3"/>
    </row>
    <row r="74" spans="2:5" x14ac:dyDescent="0.25">
      <c r="B74" s="2" t="s">
        <v>10</v>
      </c>
      <c r="C74" s="3"/>
      <c r="D74" s="3"/>
      <c r="E74" s="3"/>
    </row>
    <row r="75" spans="2:5" x14ac:dyDescent="0.25">
      <c r="B75" s="2" t="s">
        <v>13</v>
      </c>
      <c r="C75" s="3"/>
      <c r="D75" s="3"/>
      <c r="E75" s="3"/>
    </row>
    <row r="76" spans="2:5" x14ac:dyDescent="0.25">
      <c r="B76" s="2" t="s">
        <v>6</v>
      </c>
      <c r="C76" s="3">
        <v>1</v>
      </c>
      <c r="D76" s="3">
        <v>33</v>
      </c>
      <c r="E76" s="3"/>
    </row>
    <row r="77" spans="2:5" x14ac:dyDescent="0.25">
      <c r="B77" s="2" t="s">
        <v>8</v>
      </c>
      <c r="C77" s="3">
        <v>1</v>
      </c>
      <c r="D77" s="3">
        <v>35</v>
      </c>
      <c r="E77" s="3"/>
    </row>
    <row r="78" spans="2:5" x14ac:dyDescent="0.25">
      <c r="B78" s="2" t="s">
        <v>4</v>
      </c>
      <c r="C78" s="3">
        <v>2</v>
      </c>
      <c r="D78" s="3">
        <v>37</v>
      </c>
      <c r="E78" s="3"/>
    </row>
    <row r="79" spans="2:5" x14ac:dyDescent="0.25">
      <c r="B79" s="2" t="s">
        <v>5</v>
      </c>
      <c r="C79" s="3">
        <v>2</v>
      </c>
      <c r="D79" s="3">
        <v>35</v>
      </c>
      <c r="E79" s="3"/>
    </row>
    <row r="80" spans="2:5" x14ac:dyDescent="0.25">
      <c r="B80" s="2" t="s">
        <v>14</v>
      </c>
      <c r="C80" s="3"/>
      <c r="D80" s="3"/>
      <c r="E80" s="3"/>
    </row>
    <row r="81" spans="2:5" x14ac:dyDescent="0.25">
      <c r="B81" s="2" t="s">
        <v>15</v>
      </c>
      <c r="C81" s="3"/>
      <c r="D81" s="3"/>
      <c r="E81" s="3"/>
    </row>
    <row r="82" spans="2:5" x14ac:dyDescent="0.25">
      <c r="B82" s="2" t="s">
        <v>12</v>
      </c>
      <c r="C82" s="3"/>
      <c r="D82" s="3"/>
      <c r="E82" s="3"/>
    </row>
    <row r="83" spans="2:5" x14ac:dyDescent="0.25">
      <c r="B83" s="2" t="s">
        <v>9</v>
      </c>
      <c r="C83" s="3">
        <v>3</v>
      </c>
      <c r="D83" s="3">
        <v>35</v>
      </c>
      <c r="E83" s="3"/>
    </row>
    <row r="84" spans="2:5" x14ac:dyDescent="0.25">
      <c r="B84" s="2" t="s">
        <v>11</v>
      </c>
      <c r="C84" s="3"/>
      <c r="D84" s="3"/>
      <c r="E84" s="3"/>
    </row>
    <row r="85" spans="2:5" x14ac:dyDescent="0.25">
      <c r="B85" s="2"/>
      <c r="C85" s="3">
        <f>SUBTOTAL(109,Tabla11523273539455065[Transporte])</f>
        <v>10</v>
      </c>
      <c r="D85" s="3">
        <f>SUBTOTAL(101,Tabla11523273539455065[Precios])</f>
        <v>35.333333333333336</v>
      </c>
      <c r="E85" s="3"/>
    </row>
  </sheetData>
  <mergeCells count="10">
    <mergeCell ref="C53:D53"/>
    <mergeCell ref="C54:D54"/>
    <mergeCell ref="C70:D70"/>
    <mergeCell ref="C71:D71"/>
    <mergeCell ref="C2:D2"/>
    <mergeCell ref="C3:D3"/>
    <mergeCell ref="C19:D19"/>
    <mergeCell ref="C20:D20"/>
    <mergeCell ref="C36:D36"/>
    <mergeCell ref="C37:D37"/>
  </mergeCells>
  <conditionalFormatting sqref="I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18 B19 E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2:E8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E34">
    <cfRule type="colorScale" priority="4">
      <colorScale>
        <cfvo type="min"/>
        <cfvo type="max"/>
        <color rgb="FFFFEF9C"/>
        <color rgb="FF63BE7B"/>
      </colorScale>
    </cfRule>
  </conditionalFormatting>
  <conditionalFormatting sqref="B39:E50">
    <cfRule type="colorScale" priority="3">
      <colorScale>
        <cfvo type="min"/>
        <cfvo type="max"/>
        <color rgb="FFFFEF9C"/>
        <color rgb="FF63BE7B"/>
      </colorScale>
    </cfRule>
  </conditionalFormatting>
  <conditionalFormatting sqref="B56:E67">
    <cfRule type="colorScale" priority="2">
      <colorScale>
        <cfvo type="min"/>
        <cfvo type="max"/>
        <color rgb="FFFFEF9C"/>
        <color rgb="FF63BE7B"/>
      </colorScale>
    </cfRule>
  </conditionalFormatting>
  <conditionalFormatting sqref="B5:E1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</vt:lpstr>
      <vt:lpstr>Febrero</vt:lpstr>
      <vt:lpstr>Marzo</vt:lpstr>
      <vt:lpstr>Abril</vt:lpstr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2025-03-17T23:56:35Z</dcterms:created>
  <dcterms:modified xsi:type="dcterms:W3CDTF">2025-04-03T12:00:36Z</dcterms:modified>
</cp:coreProperties>
</file>