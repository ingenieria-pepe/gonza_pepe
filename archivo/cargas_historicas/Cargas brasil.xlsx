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9C2A6BB-7EDA-4837-A804-CEBFAB4F3332}" xr6:coauthVersionLast="47" xr6:coauthVersionMax="47" xr10:uidLastSave="{00000000-0000-0000-0000-000000000000}"/>
  <bookViews>
    <workbookView xWindow="-120" yWindow="-120" windowWidth="20730" windowHeight="11040" firstSheet="4" activeTab="12" xr2:uid="{AB87221E-563A-463F-AE91-583B376CE75F}"/>
  </bookViews>
  <sheets>
    <sheet name="Jony" sheetId="20" state="hidden" r:id="rId1"/>
    <sheet name="Fisher" sheetId="22" state="hidden" r:id="rId2"/>
    <sheet name="Gilson" sheetId="19" state="hidden" r:id="rId3"/>
    <sheet name="Tuti" sheetId="21" state="hidden" r:id="rId4"/>
    <sheet name="Enero" sheetId="11" r:id="rId5"/>
    <sheet name="Febrero" sheetId="12" r:id="rId6"/>
    <sheet name="Marzo" sheetId="16" r:id="rId7"/>
    <sheet name="Abril" sheetId="17" r:id="rId8"/>
    <sheet name="Mayo" sheetId="18" r:id="rId9"/>
    <sheet name="Junio" sheetId="23" r:id="rId10"/>
    <sheet name="Julio" sheetId="24" r:id="rId11"/>
    <sheet name="Agosto" sheetId="25" r:id="rId12"/>
    <sheet name="Setiembre" sheetId="26" r:id="rId13"/>
    <sheet name="Octubre" sheetId="27" r:id="rId14"/>
    <sheet name="Noviembre" sheetId="28" r:id="rId15"/>
    <sheet name="Diciembre" sheetId="29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8" l="1"/>
  <c r="C48" i="28"/>
  <c r="C70" i="28"/>
  <c r="C88" i="28"/>
  <c r="D88" i="28"/>
  <c r="D70" i="28"/>
  <c r="D48" i="28"/>
  <c r="D21" i="28"/>
  <c r="K3" i="29"/>
  <c r="K4" i="29"/>
  <c r="D76" i="29"/>
  <c r="C76" i="29"/>
  <c r="D86" i="27"/>
  <c r="C86" i="27"/>
  <c r="K3" i="26"/>
  <c r="D62" i="29"/>
  <c r="C62" i="29"/>
  <c r="D51" i="29"/>
  <c r="C51" i="29"/>
  <c r="D34" i="29"/>
  <c r="C34" i="29"/>
  <c r="D16" i="29"/>
  <c r="C16" i="29"/>
  <c r="K4" i="26"/>
  <c r="D119" i="26"/>
  <c r="C119" i="26"/>
  <c r="D78" i="27"/>
  <c r="C78" i="27"/>
  <c r="D61" i="27"/>
  <c r="C61" i="27"/>
  <c r="K55" i="27"/>
  <c r="K54" i="27"/>
  <c r="K53" i="27"/>
  <c r="D43" i="27"/>
  <c r="C43" i="27"/>
  <c r="D22" i="27"/>
  <c r="C22" i="27"/>
  <c r="D94" i="26"/>
  <c r="C94" i="26"/>
  <c r="D71" i="26"/>
  <c r="C71" i="26"/>
  <c r="D48" i="26"/>
  <c r="C48" i="26"/>
  <c r="D25" i="26"/>
  <c r="C25" i="26"/>
  <c r="K3" i="25"/>
  <c r="K4" i="25" s="1"/>
  <c r="K54" i="25"/>
  <c r="K53" i="25"/>
  <c r="K52" i="25"/>
  <c r="D19" i="25"/>
  <c r="D80" i="25"/>
  <c r="C80" i="25"/>
  <c r="D61" i="25"/>
  <c r="C61" i="25"/>
  <c r="D43" i="25"/>
  <c r="C43" i="25"/>
  <c r="C19" i="25"/>
  <c r="D37" i="24"/>
  <c r="C49" i="23"/>
  <c r="K3" i="18"/>
  <c r="D88" i="23"/>
  <c r="D64" i="23"/>
  <c r="D49" i="23"/>
  <c r="D25" i="23"/>
  <c r="D100" i="24"/>
  <c r="C100" i="24"/>
  <c r="D77" i="24"/>
  <c r="C77" i="24"/>
  <c r="D57" i="24"/>
  <c r="C57" i="24"/>
  <c r="C37" i="24"/>
  <c r="D15" i="24"/>
  <c r="C15" i="24"/>
  <c r="C88" i="23"/>
  <c r="C64" i="23"/>
  <c r="C25" i="23"/>
  <c r="D20" i="22"/>
  <c r="C20" i="22"/>
  <c r="D24" i="21"/>
  <c r="C24" i="21"/>
  <c r="D26" i="20"/>
  <c r="C26" i="20"/>
  <c r="D21" i="19"/>
  <c r="C21" i="19"/>
  <c r="D122" i="18"/>
  <c r="C122" i="18"/>
  <c r="D47" i="18"/>
  <c r="C47" i="18"/>
  <c r="C22" i="18"/>
  <c r="D22" i="18"/>
  <c r="D95" i="18"/>
  <c r="C95" i="18"/>
  <c r="D72" i="18"/>
  <c r="C72" i="18"/>
  <c r="D80" i="17"/>
  <c r="C80" i="17"/>
  <c r="D102" i="17"/>
  <c r="C102" i="17"/>
  <c r="D67" i="17"/>
  <c r="C67" i="17"/>
  <c r="D31" i="17"/>
  <c r="C31" i="17"/>
  <c r="D117" i="16"/>
  <c r="C117" i="16"/>
  <c r="D90" i="16"/>
  <c r="C90" i="16"/>
  <c r="D59" i="16"/>
  <c r="C59" i="16"/>
  <c r="D29" i="16"/>
  <c r="C29" i="16"/>
  <c r="D27" i="12"/>
  <c r="C51" i="12"/>
  <c r="D51" i="12"/>
  <c r="D78" i="12"/>
  <c r="D101" i="12"/>
  <c r="C101" i="12"/>
  <c r="C78" i="12"/>
  <c r="C27" i="12"/>
  <c r="D85" i="11"/>
  <c r="D68" i="11"/>
  <c r="D51" i="11"/>
  <c r="D34" i="11"/>
  <c r="D17" i="11"/>
  <c r="H5" i="11" s="1"/>
  <c r="C34" i="11"/>
  <c r="C17" i="11"/>
  <c r="C51" i="11"/>
  <c r="C68" i="11"/>
  <c r="H4" i="11" s="1"/>
  <c r="C85" i="11"/>
  <c r="K3" i="27" l="1"/>
  <c r="K4" i="27" s="1"/>
  <c r="K4" i="24"/>
  <c r="K3" i="24"/>
  <c r="K4" i="23"/>
  <c r="K3" i="23"/>
  <c r="K4" i="18"/>
  <c r="J8" i="17"/>
  <c r="J7" i="17"/>
  <c r="J7" i="16"/>
  <c r="J6" i="16"/>
  <c r="J7" i="12"/>
  <c r="J6" i="12"/>
  <c r="K3" i="28"/>
  <c r="K4" i="28" l="1"/>
</calcChain>
</file>

<file path=xl/sharedStrings.xml><?xml version="1.0" encoding="utf-8"?>
<sst xmlns="http://schemas.openxmlformats.org/spreadsheetml/2006/main" count="2086" uniqueCount="133">
  <si>
    <t>Productor</t>
  </si>
  <si>
    <t>Transporte</t>
  </si>
  <si>
    <t>Precios</t>
  </si>
  <si>
    <t xml:space="preserve">Caxas </t>
  </si>
  <si>
    <t>Gilson</t>
  </si>
  <si>
    <t>Jony</t>
  </si>
  <si>
    <t>Claudia</t>
  </si>
  <si>
    <t>Agrocurupa</t>
  </si>
  <si>
    <t>Fisher</t>
  </si>
  <si>
    <t>Valdemar</t>
  </si>
  <si>
    <t>Aita</t>
  </si>
  <si>
    <t>Victor</t>
  </si>
  <si>
    <t>Tureck</t>
  </si>
  <si>
    <t>Chicolandia</t>
  </si>
  <si>
    <t>Sergio</t>
  </si>
  <si>
    <t>Sergio (bahia)</t>
  </si>
  <si>
    <t>Semana 1</t>
  </si>
  <si>
    <t>30/12 al 04/01</t>
  </si>
  <si>
    <t>06/01 al 12/01</t>
  </si>
  <si>
    <t>13/01 al 18/01</t>
  </si>
  <si>
    <t>20/01 al 25/01</t>
  </si>
  <si>
    <t>27/01 al 01/02</t>
  </si>
  <si>
    <t>Semana 2</t>
  </si>
  <si>
    <t>Semana 3</t>
  </si>
  <si>
    <t>Semana 4</t>
  </si>
  <si>
    <t>Semana 5</t>
  </si>
  <si>
    <t>Semana 6</t>
  </si>
  <si>
    <t>03/02 al 08/02</t>
  </si>
  <si>
    <t>Semana 7</t>
  </si>
  <si>
    <t>10/02 al 15/02</t>
  </si>
  <si>
    <t>Semana 8</t>
  </si>
  <si>
    <t>17/02 al 22/02</t>
  </si>
  <si>
    <t>Semana 9</t>
  </si>
  <si>
    <t>24/02 al 01/03</t>
  </si>
  <si>
    <t>Carretas</t>
  </si>
  <si>
    <t>Semana 10</t>
  </si>
  <si>
    <t>Semana 11</t>
  </si>
  <si>
    <t>Semana 12</t>
  </si>
  <si>
    <t>Semana 13</t>
  </si>
  <si>
    <t>Semana 14</t>
  </si>
  <si>
    <t>03/03 al 08/03</t>
  </si>
  <si>
    <t>Transporte2</t>
  </si>
  <si>
    <t>Transporte3</t>
  </si>
  <si>
    <t>Silvio</t>
  </si>
  <si>
    <t>Nilton</t>
  </si>
  <si>
    <t>Zanini</t>
  </si>
  <si>
    <t>Amaro</t>
  </si>
  <si>
    <t>Marvel</t>
  </si>
  <si>
    <t>Gral</t>
  </si>
  <si>
    <t>Semana 15</t>
  </si>
  <si>
    <t>Semana 16</t>
  </si>
  <si>
    <t>Semana 17</t>
  </si>
  <si>
    <t>31/03 al 05/04</t>
  </si>
  <si>
    <t>07/04 al 12/04</t>
  </si>
  <si>
    <t>14/04 al 19/04</t>
  </si>
  <si>
    <t>21/04 al 26/04</t>
  </si>
  <si>
    <t>Promedio</t>
  </si>
  <si>
    <t>Camiones</t>
  </si>
  <si>
    <t xml:space="preserve">Promedio </t>
  </si>
  <si>
    <t>Sergio (Bahia)</t>
  </si>
  <si>
    <t>Semana 18</t>
  </si>
  <si>
    <t>Semana 19</t>
  </si>
  <si>
    <t>Semana 20</t>
  </si>
  <si>
    <t>Semana 21</t>
  </si>
  <si>
    <t>05/05 al 10/05</t>
  </si>
  <si>
    <t>12/05 al 17/05</t>
  </si>
  <si>
    <t>19/05 al 24/05</t>
  </si>
  <si>
    <t>Semana 22</t>
  </si>
  <si>
    <t>26/05 al 31/05</t>
  </si>
  <si>
    <t>28/04 al 03/05</t>
  </si>
  <si>
    <t>Total</t>
  </si>
  <si>
    <t xml:space="preserve">Valdemar </t>
  </si>
  <si>
    <t>alianza</t>
  </si>
  <si>
    <t>cancelada</t>
  </si>
  <si>
    <t>Cassio</t>
  </si>
  <si>
    <t>Semana 23</t>
  </si>
  <si>
    <t>Semana 24</t>
  </si>
  <si>
    <t>Semana 25</t>
  </si>
  <si>
    <t>Semana 26</t>
  </si>
  <si>
    <t>02/06 al 07/06</t>
  </si>
  <si>
    <t>09/06 al 14/06</t>
  </si>
  <si>
    <t>16/06 al 21/06</t>
  </si>
  <si>
    <t>23/06 al 28/06</t>
  </si>
  <si>
    <t>Chabat</t>
  </si>
  <si>
    <t>30/06 al 05/07</t>
  </si>
  <si>
    <t>07/07 al 12/07</t>
  </si>
  <si>
    <t>14/07 al 19/07</t>
  </si>
  <si>
    <t>21/07 al 26/07</t>
  </si>
  <si>
    <t>28/07 al 3/08</t>
  </si>
  <si>
    <t xml:space="preserve"> </t>
  </si>
  <si>
    <t>Bahia</t>
  </si>
  <si>
    <t>04/08 al 09/08</t>
  </si>
  <si>
    <t>11/08 al 16/08</t>
  </si>
  <si>
    <t>18/08 al 23/08</t>
  </si>
  <si>
    <t>Semana 27</t>
  </si>
  <si>
    <t>25/08 al 30/08</t>
  </si>
  <si>
    <t>Chico</t>
  </si>
  <si>
    <t>Semana 28</t>
  </si>
  <si>
    <t>Semana 29</t>
  </si>
  <si>
    <t>Semana 30</t>
  </si>
  <si>
    <t>Semana 31</t>
  </si>
  <si>
    <t>08/09 al 13/09</t>
  </si>
  <si>
    <t>01/09 al 06/09</t>
  </si>
  <si>
    <t>15/09 al 20/09</t>
  </si>
  <si>
    <t>22/09 al 27/09</t>
  </si>
  <si>
    <t>gral</t>
  </si>
  <si>
    <t>Semana 32</t>
  </si>
  <si>
    <t>29/09 al 4/10</t>
  </si>
  <si>
    <t>Semana 33</t>
  </si>
  <si>
    <t>06/10 al 11/10</t>
  </si>
  <si>
    <t>Semana 34</t>
  </si>
  <si>
    <t>13/10 al 18/10</t>
  </si>
  <si>
    <t>Semana 35</t>
  </si>
  <si>
    <t>20/10 al 25/10</t>
  </si>
  <si>
    <t>Semana 36</t>
  </si>
  <si>
    <t>27/10 al 01/11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</si>
  <si>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</si>
  <si>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</si>
  <si>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</si>
  <si>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</si>
  <si>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</si>
  <si>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</si>
  <si>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</si>
  <si>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</si>
  <si>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03/11 al 08/11</t>
  </si>
  <si>
    <t>10/11 al 15/11</t>
  </si>
  <si>
    <t>17/11 al 22/11</t>
  </si>
  <si>
    <t>24/11 al 29/11</t>
  </si>
  <si>
    <t>Gison</t>
  </si>
  <si>
    <t>01/12 al 06/12</t>
  </si>
  <si>
    <t>15/12 al 20/12</t>
  </si>
  <si>
    <t>22/12 al 27/12</t>
  </si>
  <si>
    <t>08/12 al 06/13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</si>
</sst>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0" tint="-0.14999847407452621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1" fillId="3" borderId="0" xfId="0" applyFont="1" applyFill="1"/>
    <xf numFmtId="0" fontId="3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2" fillId="0" borderId="2" xfId="0" applyFont="1" applyBorder="1"/>
    <xf numFmtId="0" fontId="7" fillId="0" borderId="3" xfId="0" applyFont="1" applyBorder="1"/>
    <xf numFmtId="0" fontId="2" fillId="0" borderId="0" xfId="0" applyFont="1" applyAlignment="1">
      <alignment horizontal="center"/>
    </xf>
    <xf numFmtId="0" fontId="7" fillId="0" borderId="0" xfId="0" applyFont="1"/>
    <xf numFmtId="0" fontId="0" fillId="8" borderId="0" xfId="0" applyFill="1"/>
    <xf numFmtId="0" fontId="2" fillId="8" borderId="2" xfId="0" applyFont="1" applyFill="1" applyBorder="1"/>
    <xf numFmtId="0" fontId="0" fillId="9" borderId="4" xfId="0" applyFill="1" applyBorder="1"/>
    <xf numFmtId="0" fontId="0" fillId="2" borderId="4" xfId="0" applyFill="1" applyBorder="1"/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0" fillId="4" borderId="0" xfId="0" applyFill="1"/>
    <xf numFmtId="0" fontId="0" fillId="5" borderId="0" xfId="0" applyFill="1"/>
    <xf numFmtId="0" fontId="0" fillId="7" borderId="4" xfId="0" applyFill="1" applyBorder="1"/>
    <xf numFmtId="0" fontId="0" fillId="6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0" borderId="1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9" fillId="0" borderId="5" xfId="0" applyFont="1" applyBorder="1"/>
    <xf numFmtId="0" fontId="6" fillId="0" borderId="5" xfId="0" applyFont="1" applyBorder="1"/>
    <xf numFmtId="0" fontId="3" fillId="3" borderId="0" xfId="0" applyFont="1" applyFill="1"/>
    <xf numFmtId="0" fontId="8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8" borderId="1" xfId="0" applyFill="1" applyBorder="1"/>
    <xf numFmtId="0" fontId="0" fillId="0" borderId="7" xfId="0" applyBorder="1"/>
    <xf numFmtId="0" fontId="1" fillId="0" borderId="1" xfId="0" applyFont="1" applyBorder="1"/>
    <xf numFmtId="0" fontId="2" fillId="8" borderId="1" xfId="0" applyFont="1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16" fontId="2" fillId="0" borderId="0" xfId="0" applyNumberFormat="1" applyFont="1" applyAlignment="1">
      <alignment horizontal="center"/>
    </xf>
  </cellXfs>
  <cellStyles count="1">
    <cellStyle name="Normal" xfId="0" builtinId="0"/>
  </cellStyles>
  <dxfs count="37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ont>
        <b val="0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73D6189-1A49-421F-8F28-445F14C117FA}" name="Tabla11523273539" displayName="Tabla11523273539" ref="B4:E17" totalsRowCount="1" headerRowDxfId="378" dataDxfId="377">
  <autoFilter ref="B4:E16" xr:uid="{6FECD6FB-176A-447E-A0D7-03AFBFC41C4E}"/>
  <sortState xmlns:xlrd2="http://schemas.microsoft.com/office/spreadsheetml/2017/richdata2" ref="B5:E16">
    <sortCondition ref="B4:B16"/>
  </sortState>
  <tableColumns count="4">
    <tableColumn id="1" xr3:uid="{C3661BAC-251E-44B7-9645-C814E2C2D3BC}" name="Productor" dataDxfId="376" totalsRowDxfId="375"/>
    <tableColumn id="2" xr3:uid="{C0000023-AD20-4FD3-810F-869A8FC0CAE1}" name="Transporte" totalsRowFunction="sum" dataDxfId="374" totalsRowDxfId="373"/>
    <tableColumn id="3" xr3:uid="{97547673-D1F0-4141-975D-16D7AA70B486}" name="Precios" totalsRowFunction="average" dataDxfId="372" totalsRowDxfId="371"/>
    <tableColumn id="4" xr3:uid="{6871A011-3428-4495-9EEF-FCBC3DC5B209}" name="Caxas " dataDxfId="370" totalsRowDxfId="36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6645EA-4BE7-413F-A38C-1717CD4DDE24}" name="Tabla151725283640" displayName="Tabla151725283640" ref="B38:E51" totalsRowCount="1" headerRowDxfId="368">
  <autoFilter ref="B38:E50" xr:uid="{92C2C733-1E60-4A30-B766-72A7EA8F8762}"/>
  <sortState xmlns:xlrd2="http://schemas.microsoft.com/office/spreadsheetml/2017/richdata2" ref="B39:E50">
    <sortCondition ref="B4:B16"/>
  </sortState>
  <tableColumns count="4">
    <tableColumn id="1" xr3:uid="{1126B7F8-A7DD-4777-B936-BDEC80C22142}" name="Productor"/>
    <tableColumn id="2" xr3:uid="{6800621B-7670-46B6-9CDC-775D66087A39}" name="Transporte" totalsRowFunction="sum"/>
    <tableColumn id="3" xr3:uid="{C2A3871E-5F03-487F-9412-FD5F07628F17}" name="Precios" totalsRowFunction="average"/>
    <tableColumn id="4" xr3:uid="{F68CA03A-851B-42E4-906E-05D7305D72E3}" name="Caxas 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E35BA60-47D5-4555-8F1C-BB09B19FE660}" name="Tabla161826293741" displayName="Tabla161826293741" ref="B55:E68" totalsRowCount="1" headerRowDxfId="367">
  <autoFilter ref="B55:E67" xr:uid="{D76B12EB-6A32-4858-9157-3078072B3169}"/>
  <sortState xmlns:xlrd2="http://schemas.microsoft.com/office/spreadsheetml/2017/richdata2" ref="B56:E67">
    <sortCondition ref="B4:B16"/>
  </sortState>
  <tableColumns count="4">
    <tableColumn id="1" xr3:uid="{D52C8278-3E70-4A7B-833B-EE3A5B888C78}" name="Productor"/>
    <tableColumn id="2" xr3:uid="{61FF7249-079A-4219-90AA-4CD89A890F8E}" name="Transporte" totalsRowFunction="sum"/>
    <tableColumn id="3" xr3:uid="{922BFD03-3337-4D2E-92A9-C0E4D9CF6086}" name="Precios" totalsRowFunction="average"/>
    <tableColumn id="4" xr3:uid="{C1C0E1A2-71E8-4829-B685-76FB358F4658}" name="Caxas 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93E0389-1D2C-4283-A6EF-4D3B7AEA326F}" name="Tabla141624303842" displayName="Tabla141624303842" ref="B21:E34" totalsRowCount="1" headerRowDxfId="366">
  <autoFilter ref="B21:E33" xr:uid="{EFCAED63-EF03-4AEF-ADB1-88EFDA72BA2E}"/>
  <sortState xmlns:xlrd2="http://schemas.microsoft.com/office/spreadsheetml/2017/richdata2" ref="B22:E33">
    <sortCondition ref="B4:B16"/>
  </sortState>
  <tableColumns count="4">
    <tableColumn id="1" xr3:uid="{01EFBF83-B44F-42BE-B8DB-B3AFB3D62A62}" name="Productor"/>
    <tableColumn id="2" xr3:uid="{00F2AD82-8C09-4952-BAE5-3D0A98B7F484}" name="Transporte" totalsRowFunction="sum"/>
    <tableColumn id="3" xr3:uid="{7686E922-964F-41B3-9B53-5BCCE2D1CA34}" name="Precios" totalsRowFunction="average"/>
    <tableColumn id="4" xr3:uid="{AE36EB6A-3081-4EB7-B625-3DC7F8E82681}" name="Caxas 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BF8B61A-C85A-43DC-9F8F-5158F2656492}" name="Tabla1152327353945" displayName="Tabla1152327353945" ref="B72:E85" totalsRowCount="1" headerRowDxfId="365" dataDxfId="364">
  <autoFilter ref="B72:E84" xr:uid="{4BF8B61A-C85A-43DC-9F8F-5158F2656492}"/>
  <sortState xmlns:xlrd2="http://schemas.microsoft.com/office/spreadsheetml/2017/richdata2" ref="B73:E84">
    <sortCondition ref="B4:B16"/>
  </sortState>
  <tableColumns count="4">
    <tableColumn id="1" xr3:uid="{F8894897-78B9-4B68-9B3A-E738043316EC}" name="Productor" dataDxfId="363" totalsRowDxfId="362"/>
    <tableColumn id="2" xr3:uid="{61EC1F7A-B0DA-4A89-943A-5BCF8F610E7D}" name="Transporte" totalsRowFunction="sum" dataDxfId="361" totalsRowDxfId="360"/>
    <tableColumn id="3" xr3:uid="{712A6A2F-A179-4C2B-85F1-67D1B59589D0}" name="Precios" totalsRowFunction="average" dataDxfId="359" totalsRowDxfId="358"/>
    <tableColumn id="4" xr3:uid="{E720EE17-EE83-4442-B0E8-D1B481D9089D}" name="Caxas " dataDxfId="357" totalsRowDxfId="35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9ED7283-2F8B-4373-A634-B639E9EA675D}" name="Tabla1152327353946" displayName="Tabla1152327353946" ref="B4:G27" totalsRowCount="1" headerRowDxfId="355" dataDxfId="354">
  <autoFilter ref="B4:G26" xr:uid="{6FECD6FB-176A-447E-A0D7-03AFBFC41C4E}"/>
  <sortState xmlns:xlrd2="http://schemas.microsoft.com/office/spreadsheetml/2017/richdata2" ref="B5:E26">
    <sortCondition ref="B4:B26"/>
  </sortState>
  <tableColumns count="6">
    <tableColumn id="1" xr3:uid="{5A92223F-3A34-4604-97E5-FA19DCADDFE1}" name="Productor" dataDxfId="353" totalsRowDxfId="352"/>
    <tableColumn id="2" xr3:uid="{7FA14F87-646B-4831-8507-4909EBD7786A}" name="Carretas" totalsRowFunction="sum" dataDxfId="351" totalsRowDxfId="350"/>
    <tableColumn id="3" xr3:uid="{95796773-193F-4E3C-8E5C-2A5594BD2881}" name="Precios" totalsRowFunction="average" dataDxfId="349" totalsRowDxfId="348"/>
    <tableColumn id="4" xr3:uid="{F2ADD78A-6E0E-4EF7-9B42-16FA38467EB8}" name="Transporte" dataDxfId="347" totalsRowDxfId="346"/>
    <tableColumn id="7" xr3:uid="{8BD6967F-EB6B-45F8-99D3-06572F250E48}" name="Transporte2" dataDxfId="345" totalsRowDxfId="344"/>
    <tableColumn id="8" xr3:uid="{7257D12A-1118-42BF-87E7-F4A5AAB5BCD0}" name="Transporte3" dataDxfId="343" totalsRowDxfId="342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48FC03B-9D9F-4127-86AF-0FA654FF172F}" name="Tabla15172528364047" displayName="Tabla15172528364047" ref="B55:G78" totalsRowCount="1" headerRowDxfId="341">
  <autoFilter ref="B55:G77" xr:uid="{92C2C733-1E60-4A30-B766-72A7EA8F8762}"/>
  <sortState xmlns:xlrd2="http://schemas.microsoft.com/office/spreadsheetml/2017/richdata2" ref="B56:E77">
    <sortCondition ref="B4:B26"/>
  </sortState>
  <tableColumns count="6">
    <tableColumn id="1" xr3:uid="{FFE8A9AF-D03B-41C9-A0B1-7EE698598F9F}" name="Productor"/>
    <tableColumn id="2" xr3:uid="{1BFC46D6-0521-40C6-B47F-2F9A44904536}" name="Carretas" totalsRowFunction="sum"/>
    <tableColumn id="3" xr3:uid="{349B7E4B-0D7F-490C-9C2F-FF3ADB1712F5}" name="Precios" totalsRowFunction="average"/>
    <tableColumn id="4" xr3:uid="{D1E48E46-8BCD-4CC5-8EC5-0607473FCBAA}" name="Transporte"/>
    <tableColumn id="7" xr3:uid="{163F60BA-9FC2-49AC-9A62-328EE4CEE95B}" name="Transporte2"/>
    <tableColumn id="8" xr3:uid="{A59AB1E3-267F-4219-82A7-64EBF7932C6C}" name="Transporte3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7D73636-285F-4CF7-B4E8-C1B2378B8AB4}" name="Tabla16182629374148" displayName="Tabla16182629374148" ref="B82:G101" totalsRowCount="1" headerRowDxfId="340">
  <autoFilter ref="B82:G100" xr:uid="{D76B12EB-6A32-4858-9157-3078072B3169}"/>
  <sortState xmlns:xlrd2="http://schemas.microsoft.com/office/spreadsheetml/2017/richdata2" ref="B83:E100">
    <sortCondition ref="B4:B26"/>
  </sortState>
  <tableColumns count="6">
    <tableColumn id="1" xr3:uid="{16E51E99-6016-43FC-87C8-7D96291D99A1}" name="Productor"/>
    <tableColumn id="2" xr3:uid="{1D4FC9F1-DD9C-4898-9336-1713DC22100D}" name="Carretas" totalsRowFunction="sum"/>
    <tableColumn id="3" xr3:uid="{C05929AA-E10A-4190-801A-25DDA7DF081D}" name="Precios" totalsRowFunction="average"/>
    <tableColumn id="4" xr3:uid="{5E0E5B8E-7881-4376-AD48-8223CA1AB236}" name="Transporte"/>
    <tableColumn id="7" xr3:uid="{AA6B8C7C-2103-4A34-953C-A5D3C9FB3B45}" name="Transporte2"/>
    <tableColumn id="8" xr3:uid="{8D12C554-79CA-4F68-A840-FFE65454BDC1}" name="Transporte3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89CDAEB-70AC-4945-9E77-7D068792CE5E}" name="Tabla14162430384249" displayName="Tabla14162430384249" ref="B31:G51" totalsRowCount="1" headerRowDxfId="339">
  <autoFilter ref="B31:G50" xr:uid="{EFCAED63-EF03-4AEF-ADB1-88EFDA72BA2E}"/>
  <sortState xmlns:xlrd2="http://schemas.microsoft.com/office/spreadsheetml/2017/richdata2" ref="B32:E50">
    <sortCondition ref="B4:B26"/>
  </sortState>
  <tableColumns count="6">
    <tableColumn id="1" xr3:uid="{F154585C-E6ED-4F52-83A2-A769C25C8EF9}" name="Productor"/>
    <tableColumn id="2" xr3:uid="{1B3138E5-9C0F-460F-8B55-D00402A6AB4E}" name="Carretas" totalsRowFunction="sum"/>
    <tableColumn id="3" xr3:uid="{5503B3B3-3867-4EA8-B89D-A34AA3D9381C}" name="Precios" totalsRowFunction="average"/>
    <tableColumn id="4" xr3:uid="{717156D5-8764-4075-9369-21E949B3482F}" name="Transporte"/>
    <tableColumn id="7" xr3:uid="{C9886653-15F1-49C4-8595-3735848A2ED1}" name="Transporte2"/>
    <tableColumn id="8" xr3:uid="{2F23FC34-D7BA-4F08-BF3D-C03E2B665F91}" name="Transporte3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67F1A-BA8C-4C8A-92B8-D3DB4F44A97E}" name="Tabla11523273539462" displayName="Tabla11523273539462" ref="B4:G29" totalsRowCount="1" headerRowDxfId="338" dataDxfId="337">
  <autoFilter ref="B4:G28" xr:uid="{6FECD6FB-176A-447E-A0D7-03AFBFC41C4E}"/>
  <sortState xmlns:xlrd2="http://schemas.microsoft.com/office/spreadsheetml/2017/richdata2" ref="B5:E28">
    <sortCondition ref="B4:B28"/>
  </sortState>
  <tableColumns count="6">
    <tableColumn id="1" xr3:uid="{5E743DA4-EA0D-4B4B-8EAC-C550890C5679}" name="Productor" dataDxfId="336" totalsRowDxfId="335"/>
    <tableColumn id="2" xr3:uid="{879514C4-EDC2-4D2A-9ADA-776BC6E9A063}" name="Carretas" totalsRowFunction="sum" dataDxfId="334" totalsRowDxfId="333"/>
    <tableColumn id="3" xr3:uid="{8FF4DB74-21F5-4838-80F2-0F4909546B98}" name="Precios" totalsRowFunction="average" dataDxfId="332" totalsRowDxfId="331"/>
    <tableColumn id="4" xr3:uid="{797DDF6C-8DEF-453F-8CEC-FC60303F2DB9}" name="Transporte" dataDxfId="330" totalsRowDxfId="329"/>
    <tableColumn id="7" xr3:uid="{C02E01F4-40D2-4907-BF54-10BF3051523E}" name="Transporte2" dataDxfId="328" totalsRowDxfId="327"/>
    <tableColumn id="8" xr3:uid="{9D8F0A5D-04E2-46F7-95A9-93011C501A3A}" name="Transporte3" dataDxfId="326" totalsRowDxfId="325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5738E-6EBF-4691-BA38-79F27BA78BD4}" name="Tabla151725283640473" displayName="Tabla151725283640473" ref="B63:G90" totalsRowCount="1" headerRowDxfId="324">
  <autoFilter ref="B63:G89" xr:uid="{92C2C733-1E60-4A30-B766-72A7EA8F8762}"/>
  <sortState xmlns:xlrd2="http://schemas.microsoft.com/office/spreadsheetml/2017/richdata2" ref="B64:E89">
    <sortCondition ref="B4:B28"/>
  </sortState>
  <tableColumns count="6">
    <tableColumn id="1" xr3:uid="{7B81E48B-8B14-4978-A8F8-9935A3399758}" name="Productor"/>
    <tableColumn id="2" xr3:uid="{E6CA9601-F5FA-46E9-8106-D843C19F41C6}" name="Carretas" totalsRowFunction="sum"/>
    <tableColumn id="3" xr3:uid="{55590BF2-5126-40E5-A153-5BBD39983685}" name="Precios" totalsRowFunction="average"/>
    <tableColumn id="4" xr3:uid="{6666DD38-C35B-45D9-B169-5730E454F2DD}" name="Transporte"/>
    <tableColumn id="7" xr3:uid="{6E7EBA65-9963-4201-9357-B984999DC0A1}" name="Transporte2"/>
    <tableColumn id="8" xr3:uid="{1D74E83A-E62D-4173-BFC9-C714FC3943C5}" name="Transporte3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B70D3-05A1-4892-8798-64DA8A2E4586}" name="Tabla161826293741484" displayName="Tabla161826293741484" ref="B94:G117" totalsRowCount="1" headerRowDxfId="323">
  <autoFilter ref="B94:G116" xr:uid="{D76B12EB-6A32-4858-9157-3078072B3169}"/>
  <sortState xmlns:xlrd2="http://schemas.microsoft.com/office/spreadsheetml/2017/richdata2" ref="B95:E116">
    <sortCondition ref="B4:B28"/>
  </sortState>
  <tableColumns count="6">
    <tableColumn id="1" xr3:uid="{67DD4D3E-A80D-427B-92D0-A8649886C9DB}" name="Productor"/>
    <tableColumn id="2" xr3:uid="{8B69AE96-C1D1-4740-B0EC-511F22C768D5}" name="Carretas" totalsRowFunction="sum"/>
    <tableColumn id="3" xr3:uid="{07F2CCA3-3990-4C0C-A252-48934B7C1EFB}" name="Precios" totalsRowFunction="average"/>
    <tableColumn id="4" xr3:uid="{33CD08D8-93A0-467E-90F6-E9DE055CDFB5}" name="Transporte"/>
    <tableColumn id="7" xr3:uid="{0581D500-E395-48DB-9290-196BCDDCF955}" name="Transporte2"/>
    <tableColumn id="8" xr3:uid="{4412C6C4-749A-4C20-87F2-19CA311973BC}" name="Transporte3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E7CC0A-890A-4639-9286-E19BAC9BBB17}" name="Tabla141624303842495" displayName="Tabla141624303842495" ref="B33:G59" totalsRowCount="1" headerRowDxfId="322">
  <autoFilter ref="B33:G58" xr:uid="{EFCAED63-EF03-4AEF-ADB1-88EFDA72BA2E}"/>
  <sortState xmlns:xlrd2="http://schemas.microsoft.com/office/spreadsheetml/2017/richdata2" ref="B34:E58">
    <sortCondition ref="B4:B28"/>
  </sortState>
  <tableColumns count="6">
    <tableColumn id="1" xr3:uid="{AAD1C5C8-17F9-49AC-ADB8-E2A86A378408}" name="Productor"/>
    <tableColumn id="2" xr3:uid="{11DD459E-FB4C-4DB0-959F-C346E1CBD170}" name="Carretas" totalsRowFunction="sum"/>
    <tableColumn id="3" xr3:uid="{C082484D-C4BA-4741-A38E-A2FBA167AD80}" name="Precios" totalsRowFunction="average"/>
    <tableColumn id="4" xr3:uid="{D4ED6253-4B2F-4A25-82C5-FC07EF0C5AE1}" name="Transporte"/>
    <tableColumn id="7" xr3:uid="{35C299A4-6B9C-428B-934C-6A477EDD7471}" name="Transporte2"/>
    <tableColumn id="8" xr3:uid="{A8C7828E-1A20-4E14-A9D5-2477B3669D55}" name="Transporte3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1F9C23-1FBD-4A51-B7EB-E853D23EFFA1}" name="Tabla115232735394626" displayName="Tabla115232735394626" ref="B5:G31" totalsRowCount="1" headerRowDxfId="321" dataDxfId="320">
  <autoFilter ref="B5:G30" xr:uid="{6FECD6FB-176A-447E-A0D7-03AFBFC41C4E}"/>
  <sortState xmlns:xlrd2="http://schemas.microsoft.com/office/spreadsheetml/2017/richdata2" ref="B6:E30">
    <sortCondition ref="B5:B30"/>
  </sortState>
  <tableColumns count="6">
    <tableColumn id="1" xr3:uid="{E0465F77-2253-4457-A22A-F6D7C39E3392}" name="Productor" dataDxfId="319" totalsRowDxfId="318"/>
    <tableColumn id="2" xr3:uid="{627B2B3A-B68D-49BE-A2A4-41127787F741}" name="Carretas" totalsRowFunction="sum" dataDxfId="317" totalsRowDxfId="316"/>
    <tableColumn id="3" xr3:uid="{8FA547F4-D734-4DC2-99AC-F0209C2C4BBF}" name="Precios" totalsRowFunction="average" dataDxfId="315" totalsRowDxfId="314"/>
    <tableColumn id="4" xr3:uid="{856845E4-071F-4A0A-850F-51231EE0E62B}" name="Transporte" dataDxfId="313" totalsRowDxfId="312"/>
    <tableColumn id="7" xr3:uid="{71C47F9E-DD14-459A-8EC6-9BAD1BBFB476}" name="Transporte2" dataDxfId="311" totalsRowDxfId="310"/>
    <tableColumn id="8" xr3:uid="{B32D0AB2-C522-47AB-8126-3B1FA6B46159}" name="Transporte3" dataDxfId="309" totalsRowDxfId="308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33E529-5CD2-4A62-920B-99B152B5B176}" name="Tabla1517252836404737" displayName="Tabla1517252836404737" ref="B72:G80" totalsRowCount="1" headerRowDxfId="307">
  <autoFilter ref="B72:G79" xr:uid="{92C2C733-1E60-4A30-B766-72A7EA8F8762}"/>
  <sortState xmlns:xlrd2="http://schemas.microsoft.com/office/spreadsheetml/2017/richdata2" ref="B73:E79">
    <sortCondition ref="B5:B30"/>
  </sortState>
  <tableColumns count="6">
    <tableColumn id="1" xr3:uid="{1B15361F-7A93-4B58-A7A2-933F90E5F300}" name="Productor"/>
    <tableColumn id="2" xr3:uid="{5736D79E-66D8-4C24-A760-EA34A34A23F8}" name="Carretas" totalsRowFunction="sum"/>
    <tableColumn id="3" xr3:uid="{52FDCCE6-FF72-4899-9188-98ECFBF31027}" name="Precios" totalsRowFunction="average"/>
    <tableColumn id="4" xr3:uid="{49B3692F-255F-46F6-8F4F-0DD09AD35215}" name="Transporte"/>
    <tableColumn id="7" xr3:uid="{40E9BF53-F421-4161-B212-AC0639D9F3C9}" name="Transporte2"/>
    <tableColumn id="8" xr3:uid="{03D2849C-1B16-4BFE-AB11-4AC73A6E887A}" name="Transporte3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A05DFF-6FAA-4152-B5A4-79F1F01D9F33}" name="Tabla1618262937414848" displayName="Tabla1618262937414848" ref="B85:G102" totalsRowCount="1" headerRowDxfId="306">
  <autoFilter ref="B85:G101" xr:uid="{D76B12EB-6A32-4858-9157-3078072B3169}"/>
  <sortState xmlns:xlrd2="http://schemas.microsoft.com/office/spreadsheetml/2017/richdata2" ref="B86:G101">
    <sortCondition ref="B85:B101"/>
  </sortState>
  <tableColumns count="6">
    <tableColumn id="1" xr3:uid="{35433E63-FF06-4725-970A-2F3B36A8230A}" name="Productor"/>
    <tableColumn id="2" xr3:uid="{4517BF64-48AB-4089-9519-E0EC1B222FBA}" name="Carretas" totalsRowFunction="sum"/>
    <tableColumn id="3" xr3:uid="{EAFD6DCA-53C9-4791-8931-FC8B754870E2}" name="Precios" totalsRowFunction="average"/>
    <tableColumn id="4" xr3:uid="{C2268279-5EDE-4426-B43F-90CD51EF769D}" name="Transporte"/>
    <tableColumn id="7" xr3:uid="{CE9C5027-025A-4B99-8D35-AC71E6F44664}" name="Transporte2"/>
    <tableColumn id="8" xr3:uid="{BA756A18-6F7C-439B-80B5-18E2D5676C23}" name="Transporte3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3483F5-4C85-49E3-9DC9-8CEA2575AAE2}" name="Tabla1416243038424959" displayName="Tabla1416243038424959" ref="B36:G67" totalsRowCount="1" headerRowDxfId="305">
  <autoFilter ref="B36:G66" xr:uid="{EFCAED63-EF03-4AEF-ADB1-88EFDA72BA2E}"/>
  <sortState xmlns:xlrd2="http://schemas.microsoft.com/office/spreadsheetml/2017/richdata2" ref="B37:E66">
    <sortCondition ref="B5:B30"/>
  </sortState>
  <tableColumns count="6">
    <tableColumn id="1" xr3:uid="{2AC05D3F-D40A-4615-B95E-CE14CBD5CDF0}" name="Productor"/>
    <tableColumn id="2" xr3:uid="{20C79C54-7503-4566-AEAB-8E68E2CBF9B5}" name="Carretas" totalsRowFunction="sum"/>
    <tableColumn id="3" xr3:uid="{16B61272-6EEE-49CC-9FFD-CFD62A3F4201}" name="Precios" totalsRowFunction="average"/>
    <tableColumn id="4" xr3:uid="{64251DF9-028C-49AF-8AD8-3C4A8841437E}" name="Transporte"/>
    <tableColumn id="7" xr3:uid="{4822DD52-C70D-4F26-95FD-DFB30D9F0B12}" name="Transporte2"/>
    <tableColumn id="8" xr3:uid="{2DC236DA-37B8-44A8-8756-1A097F1E743B}" name="Transporte3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5EEFAF-35B4-453A-8F46-B723386CFFA3}" name="Tabla11523273539462610" displayName="Tabla11523273539462610" ref="B4:G22" totalsRowCount="1" headerRowDxfId="304" dataDxfId="303">
  <autoFilter ref="B4:G21" xr:uid="{6FECD6FB-176A-447E-A0D7-03AFBFC41C4E}"/>
  <sortState xmlns:xlrd2="http://schemas.microsoft.com/office/spreadsheetml/2017/richdata2" ref="B5:E21">
    <sortCondition ref="B4:B21"/>
  </sortState>
  <tableColumns count="6">
    <tableColumn id="1" xr3:uid="{6E52FEBF-C024-45E6-B0D4-9749E52DFC20}" name="Productor" dataDxfId="302" totalsRowDxfId="301"/>
    <tableColumn id="2" xr3:uid="{6F132188-1213-440C-B03D-9F63DDF15A6E}" name="Carretas" totalsRowFunction="sum" dataDxfId="300" totalsRowDxfId="299"/>
    <tableColumn id="3" xr3:uid="{EF9E80A8-5D82-44A5-BDB8-09B0D4F22ED7}" name="Precios" totalsRowFunction="custom" dataDxfId="298" totalsRowDxfId="297">
      <totalsRowFormula>SUBTOTAL(101,Tabla141624303842495913[Precios])</totalsRowFormula>
    </tableColumn>
    <tableColumn id="4" xr3:uid="{129C622D-3383-44C8-99DD-3C1355B62D16}" name="Transporte" dataDxfId="296" totalsRowDxfId="295"/>
    <tableColumn id="7" xr3:uid="{8D0E4EF0-30EA-4E30-A3EF-ED80B34F4531}" name="Transporte2" dataDxfId="294" totalsRowDxfId="293"/>
    <tableColumn id="8" xr3:uid="{BAC1FACA-6F04-4CFE-B119-99A1763BEE72}" name="Transporte3" dataDxfId="292" totalsRowDxfId="291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F22CBF-F274-4788-850E-066C6F14B2EA}" name="Tabla151725283640473711" displayName="Tabla151725283640473711" ref="B51:G72" totalsRowCount="1" headerRowDxfId="290">
  <autoFilter ref="B51:G71" xr:uid="{92C2C733-1E60-4A30-B766-72A7EA8F8762}"/>
  <sortState xmlns:xlrd2="http://schemas.microsoft.com/office/spreadsheetml/2017/richdata2" ref="B52:G71">
    <sortCondition ref="B51:B71"/>
  </sortState>
  <tableColumns count="6">
    <tableColumn id="1" xr3:uid="{0FEC0371-37C0-4AD4-A4A3-80310F4948FD}" name="Productor" dataDxfId="289" totalsRowDxfId="288"/>
    <tableColumn id="2" xr3:uid="{8B9E51C7-34A6-437A-8EC4-FBA69A26DF9F}" name="Carretas" totalsRowFunction="sum" dataDxfId="287" totalsRowDxfId="286"/>
    <tableColumn id="3" xr3:uid="{54CE72C0-734F-483A-98C9-4392D705AA62}" name="Precios" totalsRowFunction="average" dataDxfId="285" totalsRowDxfId="284"/>
    <tableColumn id="4" xr3:uid="{5C25DAEF-7DAE-4F8A-959A-F554037BB14C}" name="Transporte" dataDxfId="283"/>
    <tableColumn id="7" xr3:uid="{AA644DCC-7573-41CE-BAA6-E51F20B4AB50}" name="Transporte2" dataDxfId="282"/>
    <tableColumn id="8" xr3:uid="{B12C3601-F4B6-41BE-B035-1462B2256CFB}" name="Transporte3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D33D24-8BA0-42A3-BECA-5F07822FFFA3}" name="Tabla161826293741484812" displayName="Tabla161826293741484812" ref="B76:G95" totalsRowCount="1" headerRowDxfId="281">
  <autoFilter ref="B76:G94" xr:uid="{D76B12EB-6A32-4858-9157-3078072B3169}"/>
  <sortState xmlns:xlrd2="http://schemas.microsoft.com/office/spreadsheetml/2017/richdata2" ref="B77:G94">
    <sortCondition ref="B76:B94"/>
  </sortState>
  <tableColumns count="6">
    <tableColumn id="1" xr3:uid="{DA6CD2D7-6427-4802-9E1D-55F91D9A1A51}" name="Productor" dataDxfId="280"/>
    <tableColumn id="2" xr3:uid="{2048A658-7012-4E7E-AE90-8F8C6F842E63}" name="Carretas" totalsRowFunction="sum" dataDxfId="279" totalsRowDxfId="278"/>
    <tableColumn id="3" xr3:uid="{4AE1B7C4-67D3-4B7A-85FD-8D45AE37DA7C}" name="Precios" totalsRowFunction="average" dataDxfId="277" totalsRowDxfId="276"/>
    <tableColumn id="4" xr3:uid="{AA5FA267-23EF-450B-AD10-946E7216D096}" name="Transporte" dataDxfId="275"/>
    <tableColumn id="7" xr3:uid="{19CE38C4-2403-44CD-A2B0-6A67BD862ADA}" name="Transporte2" dataDxfId="274"/>
    <tableColumn id="8" xr3:uid="{2ADA93B1-373C-46E0-95E0-9173BC26057E}" name="Transporte3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7982A0-534F-4A8D-A36D-4BFE40D65A78}" name="Tabla141624303842495913" displayName="Tabla141624303842495913" ref="B26:G47" totalsRowCount="1" headerRowDxfId="273">
  <autoFilter ref="B26:G46" xr:uid="{EFCAED63-EF03-4AEF-ADB1-88EFDA72BA2E}"/>
  <sortState xmlns:xlrd2="http://schemas.microsoft.com/office/spreadsheetml/2017/richdata2" ref="B27:E46">
    <sortCondition ref="B4:B21"/>
  </sortState>
  <tableColumns count="6">
    <tableColumn id="1" xr3:uid="{881A1076-7C33-44FD-8AD4-F09333F6BD18}" name="Productor" dataDxfId="272"/>
    <tableColumn id="2" xr3:uid="{07DD2C53-8DE3-44BD-8A9B-1F45FC63F80E}" name="Carretas" totalsRowFunction="sum" dataDxfId="271" totalsRowDxfId="270"/>
    <tableColumn id="3" xr3:uid="{F10A835F-DFEF-4802-BCC3-1CE215A226BC}" name="Precios" totalsRowFunction="average" dataDxfId="269" totalsRowDxfId="268"/>
    <tableColumn id="4" xr3:uid="{EB83BFF2-3E3A-46A1-A9C2-0E7E8BDC3FAC}" name="Transporte" dataDxfId="267"/>
    <tableColumn id="7" xr3:uid="{98DA9DBA-F2A3-4078-A9FD-73F24172A30F}" name="Transporte2" dataDxfId="266"/>
    <tableColumn id="8" xr3:uid="{C5D7EB98-BC65-4C52-ADC8-8C2C0675E827}" name="Transporte3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21C8A8-0C0B-4600-A41F-AC2BE9146FB1}" name="Tabla1152327353946261014" displayName="Tabla1152327353946261014" ref="B4:G25" totalsRowCount="1" headerRowDxfId="265" dataDxfId="264">
  <autoFilter ref="B4:G24" xr:uid="{6FECD6FB-176A-447E-A0D7-03AFBFC41C4E}"/>
  <sortState xmlns:xlrd2="http://schemas.microsoft.com/office/spreadsheetml/2017/richdata2" ref="B5:G24">
    <sortCondition ref="B4:B24"/>
  </sortState>
  <tableColumns count="6">
    <tableColumn id="1" xr3:uid="{79195E25-B971-45DF-BCF2-A76D7B3B7465}" name="Productor" dataDxfId="263" totalsRowDxfId="262"/>
    <tableColumn id="2" xr3:uid="{F1DEE1A9-13F1-447C-92E4-CAE854488F19}" name="Carretas" totalsRowFunction="sum" dataDxfId="261" totalsRowDxfId="260"/>
    <tableColumn id="3" xr3:uid="{8A075CF4-A417-4EF0-AD8A-0072C896722A}" name="Precios" totalsRowFunction="average" dataDxfId="259" totalsRowDxfId="258"/>
    <tableColumn id="4" xr3:uid="{34497006-574D-464B-A63D-A9CBB39D7695}" name="Transporte" dataDxfId="257" totalsRowDxfId="256"/>
    <tableColumn id="7" xr3:uid="{0DE28FC1-FD12-4F56-ADB2-92C6645EEB2C}" name="Transporte2" dataDxfId="255" totalsRowDxfId="254"/>
    <tableColumn id="8" xr3:uid="{BC169768-37EC-4BE1-A1C9-DC743897CCF6}" name="Transporte3" dataDxfId="253" totalsRowDxfId="252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6795EE-2A75-4685-9F2F-10C2D534743F}" name="Tabla15172528364047371115" displayName="Tabla15172528364047371115" ref="B53:G64" totalsRowCount="1" headerRowDxfId="251">
  <autoFilter ref="B53:G63" xr:uid="{92C2C733-1E60-4A30-B766-72A7EA8F8762}"/>
  <sortState xmlns:xlrd2="http://schemas.microsoft.com/office/spreadsheetml/2017/richdata2" ref="B54:G63">
    <sortCondition ref="B53:B63"/>
  </sortState>
  <tableColumns count="6">
    <tableColumn id="1" xr3:uid="{41425BA3-08C2-40A9-A2A4-FB470A872992}" name="Productor" dataDxfId="250"/>
    <tableColumn id="2" xr3:uid="{4788D703-EBB5-444B-8E68-0781D85F441E}" name="Carretas" totalsRowFunction="sum" dataDxfId="249" totalsRowDxfId="248"/>
    <tableColumn id="3" xr3:uid="{AFAE5D2A-6E77-4431-AC2F-CBB1146C2C04}" name="Precios" totalsRowFunction="average" dataDxfId="247" totalsRowDxfId="246"/>
    <tableColumn id="4" xr3:uid="{7714C480-D74E-4DD7-AAF0-40B13A056293}" name="Transporte" dataDxfId="245"/>
    <tableColumn id="7" xr3:uid="{747CE931-C5E4-4C4E-B21F-E896CD384579}" name="Transporte2" dataDxfId="244"/>
    <tableColumn id="8" xr3:uid="{DA9995E6-F58B-45BA-9C48-617B415ECDA5}" name="Transporte3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1CCF9C-486C-46A3-9563-EF8A0A87259F}" name="Tabla16182629374148481216" displayName="Tabla16182629374148481216" ref="B68:G88" totalsRowCount="1" headerRowDxfId="243">
  <autoFilter ref="B68:G87" xr:uid="{D76B12EB-6A32-4858-9157-3078072B3169}"/>
  <sortState xmlns:xlrd2="http://schemas.microsoft.com/office/spreadsheetml/2017/richdata2" ref="B69:G87">
    <sortCondition ref="B68:B87"/>
  </sortState>
  <tableColumns count="6">
    <tableColumn id="1" xr3:uid="{F8DD1CE7-5899-48E5-B5C9-4774291B78C5}" name="Productor" dataDxfId="242"/>
    <tableColumn id="2" xr3:uid="{7193F527-51B3-4C41-8071-8774CB85A0D8}" name="Carretas" totalsRowFunction="sum" dataDxfId="241" totalsRowDxfId="240"/>
    <tableColumn id="3" xr3:uid="{F1A6E246-3FD2-46D2-A3F8-8C9A7C7F973A}" name="Precios" totalsRowFunction="average" dataDxfId="239" totalsRowDxfId="238"/>
    <tableColumn id="4" xr3:uid="{0DD644C2-C5EC-4B3E-A33A-F4953F9A13F9}" name="Transporte" dataDxfId="237"/>
    <tableColumn id="7" xr3:uid="{E4BAF81E-6EE9-4907-8064-020E764471EC}" name="Transporte2" dataDxfId="236"/>
    <tableColumn id="8" xr3:uid="{D58286D4-6A2D-487B-B751-9EB76E45AB94}" name="Transporte3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E1C573-19D8-44C0-824C-100F85FE2BAA}" name="Tabla14162430384249591317" displayName="Tabla14162430384249591317" ref="B29:G49" totalsRowCount="1" headerRowDxfId="235">
  <autoFilter ref="B29:G48" xr:uid="{EFCAED63-EF03-4AEF-ADB1-88EFDA72BA2E}"/>
  <sortState xmlns:xlrd2="http://schemas.microsoft.com/office/spreadsheetml/2017/richdata2" ref="B30:E48">
    <sortCondition ref="B4:B24"/>
  </sortState>
  <tableColumns count="6">
    <tableColumn id="1" xr3:uid="{5FEA1F12-DDB7-4383-9BD7-F49553F64025}" name="Productor" dataDxfId="234"/>
    <tableColumn id="2" xr3:uid="{BEF1E4C8-5A77-4873-94B8-9F6C0190F325}" name="Carretas" totalsRowFunction="sum" dataDxfId="233" totalsRowDxfId="232"/>
    <tableColumn id="3" xr3:uid="{176A517E-5F15-4314-93A5-2C52D0380D3C}" name="Precios" totalsRowFunction="average" dataDxfId="231" totalsRowDxfId="230"/>
    <tableColumn id="4" xr3:uid="{323FE888-A042-40AA-9594-BFE9D2272969}" name="Transporte" dataDxfId="229"/>
    <tableColumn id="7" xr3:uid="{59FBC08D-17E6-4C9B-AF2D-09E014B8FFE3}" name="Transporte2" dataDxfId="228"/>
    <tableColumn id="8" xr3:uid="{17E17D34-EE28-40BB-BD96-ED1DFA6BA442}" name="Transporte3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F3BF3E0-AF9E-45AE-A6E9-378BF231BACF}" name="Tabla115232735394626101418" displayName="Tabla115232735394626101418" ref="B4:G15" totalsRowCount="1" headerRowDxfId="227" dataDxfId="226">
  <autoFilter ref="B4:G14" xr:uid="{6FECD6FB-176A-447E-A0D7-03AFBFC41C4E}"/>
  <sortState xmlns:xlrd2="http://schemas.microsoft.com/office/spreadsheetml/2017/richdata2" ref="B5:E14">
    <sortCondition ref="B4:B14"/>
  </sortState>
  <tableColumns count="6">
    <tableColumn id="1" xr3:uid="{0E277705-4C2F-4ED5-B753-EDFD91ED6F39}" name="Productor" dataDxfId="225" totalsRowDxfId="224"/>
    <tableColumn id="2" xr3:uid="{F278288E-B6BA-42BF-B4FE-3C0C857B3C62}" name="Carretas" totalsRowFunction="sum" dataDxfId="223" totalsRowDxfId="222"/>
    <tableColumn id="3" xr3:uid="{872DEADC-D3A5-439A-9CB4-FD90E20AFE00}" name="Precios" totalsRowFunction="custom" dataDxfId="221" totalsRowDxfId="220">
      <totalsRowFormula>SUBTOTAL(101,Tabla1416243038424959131721[Precios])</totalsRowFormula>
    </tableColumn>
    <tableColumn id="4" xr3:uid="{F0E8FCE0-61C6-486E-9CD1-BDD1B9444692}" name="Transporte" dataDxfId="219" totalsRowDxfId="218"/>
    <tableColumn id="7" xr3:uid="{6811D108-F7B3-4C08-BB0C-4265B5EEF3B5}" name="Transporte2" dataDxfId="217" totalsRowDxfId="216"/>
    <tableColumn id="8" xr3:uid="{E468BF51-C3FA-4BFA-B834-FBDDAA5FE3F9}" name="Transporte3" dataDxfId="215" totalsRowDxfId="214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5BB5C05-F4C9-40E1-A0ED-9EF682DF49E9}" name="Tabla1517252836404737111519" displayName="Tabla1517252836404737111519" ref="B41:G57" totalsRowCount="1" headerRowDxfId="213">
  <autoFilter ref="B41:G56" xr:uid="{92C2C733-1E60-4A30-B766-72A7EA8F8762}"/>
  <sortState xmlns:xlrd2="http://schemas.microsoft.com/office/spreadsheetml/2017/richdata2" ref="B42:G56">
    <sortCondition ref="B41:B56"/>
  </sortState>
  <tableColumns count="6">
    <tableColumn id="1" xr3:uid="{FDED8C24-D459-49D3-8F0D-4C0B3636D40D}" name="Productor" dataDxfId="212"/>
    <tableColumn id="2" xr3:uid="{12F35D32-C83B-4778-8682-353215E59DFE}" name="Carretas" totalsRowFunction="sum" dataDxfId="211" totalsRowDxfId="210"/>
    <tableColumn id="3" xr3:uid="{FC76B8FF-2500-42AB-9B46-E376380CBC4F}" name="Precios" totalsRowFunction="average" dataDxfId="209" totalsRowDxfId="208"/>
    <tableColumn id="4" xr3:uid="{D3BCB384-647F-4FD3-BC05-CDA4E8E573C2}" name="Transporte" dataDxfId="207"/>
    <tableColumn id="7" xr3:uid="{621E0A1B-AF19-443A-A8A2-9F8D313754DE}" name="Transporte2" dataDxfId="206"/>
    <tableColumn id="8" xr3:uid="{A1C252CE-4656-4B1F-B8A5-CD29C5740CBF}" name="Transporte3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444F8EB-52A8-4BFA-B41B-A8E927AEF16E}" name="Tabla1618262937414848121620" displayName="Tabla1618262937414848121620" ref="B61:G77" totalsRowCount="1" headerRowDxfId="205">
  <autoFilter ref="B61:G76" xr:uid="{D76B12EB-6A32-4858-9157-3078072B3169}"/>
  <sortState xmlns:xlrd2="http://schemas.microsoft.com/office/spreadsheetml/2017/richdata2" ref="B62:G76">
    <sortCondition ref="B61:B76"/>
  </sortState>
  <tableColumns count="6">
    <tableColumn id="1" xr3:uid="{86DF6EBA-67C2-4F68-9E74-BC416120AFBC}" name="Productor" dataDxfId="204"/>
    <tableColumn id="2" xr3:uid="{4CF227CB-8DB5-4F4D-9CAA-5974FF5A1AD0}" name="Carretas" totalsRowFunction="sum" dataDxfId="203" totalsRowDxfId="202"/>
    <tableColumn id="3" xr3:uid="{7F52EDB8-57C8-4F2D-873F-C3E6ECF3D52B}" name="Precios" totalsRowFunction="average" dataDxfId="201" totalsRowDxfId="200"/>
    <tableColumn id="4" xr3:uid="{607708E3-BAA1-4896-8C15-F0195494D829}" name="Transporte" dataDxfId="199"/>
    <tableColumn id="7" xr3:uid="{5E03DDA4-1C02-464A-B332-1F4E2DA4105F}" name="Transporte2" dataDxfId="198"/>
    <tableColumn id="8" xr3:uid="{CE651430-771E-484B-B665-F7FBC909CCA7}" name="Transporte3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EC4DE6C-528A-459D-9069-3487F4B048EC}" name="Tabla1416243038424959131721" displayName="Tabla1416243038424959131721" ref="B19:G37" totalsRowCount="1" headerRowDxfId="197">
  <autoFilter ref="B19:G36" xr:uid="{EFCAED63-EF03-4AEF-ADB1-88EFDA72BA2E}"/>
  <sortState xmlns:xlrd2="http://schemas.microsoft.com/office/spreadsheetml/2017/richdata2" ref="B20:E36">
    <sortCondition ref="B4:B14"/>
  </sortState>
  <tableColumns count="6">
    <tableColumn id="1" xr3:uid="{67DFEF1E-F096-4A6A-8FAC-9CEA323B92DB}" name="Productor" dataDxfId="196"/>
    <tableColumn id="2" xr3:uid="{555469E4-7FDD-4E37-8134-E8DFA94D3DE0}" name="Carretas" totalsRowFunction="sum" dataDxfId="195" totalsRowDxfId="194"/>
    <tableColumn id="3" xr3:uid="{E9833C76-30B8-4F93-9DCF-72E7EDFDBF12}" name="Precios" totalsRowFunction="average" dataDxfId="193" totalsRowDxfId="192"/>
    <tableColumn id="4" xr3:uid="{86DDFE5B-E67D-4BD6-B79E-12FB37385C46}" name="Transporte" dataDxfId="191"/>
    <tableColumn id="7" xr3:uid="{A9018ECF-A87E-4AFF-BFF1-F664A6BD067D}" name="Transporte2" dataDxfId="190"/>
    <tableColumn id="8" xr3:uid="{25B41E7B-049B-4B11-B3D2-080D6623D3A1}" name="Transporte3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C8A917E-867E-42FA-93DA-F9414FDE2B22}" name="Tabla11523273539462610141822" displayName="Tabla11523273539462610141822" ref="B4:G19" totalsRowCount="1" headerRowDxfId="189" dataDxfId="188">
  <autoFilter ref="B4:G18" xr:uid="{6FECD6FB-176A-447E-A0D7-03AFBFC41C4E}"/>
  <sortState xmlns:xlrd2="http://schemas.microsoft.com/office/spreadsheetml/2017/richdata2" ref="B5:G18">
    <sortCondition ref="B4:B18"/>
  </sortState>
  <tableColumns count="6">
    <tableColumn id="1" xr3:uid="{F1C9D8EF-9606-4E85-A6FD-837B1E55B93E}" name="Productor" dataDxfId="187" totalsRowDxfId="186"/>
    <tableColumn id="2" xr3:uid="{60CBD952-0A1F-45D1-B287-3130E87F2E8B}" name="Carretas" totalsRowFunction="sum" dataDxfId="185" totalsRowDxfId="184"/>
    <tableColumn id="3" xr3:uid="{70EB9007-CCBE-4BFE-80B9-4B258C0883BC}" name="Precios" totalsRowFunction="average" dataDxfId="183" totalsRowDxfId="182"/>
    <tableColumn id="4" xr3:uid="{8F6A99FE-38E4-4D96-B8D4-3F69331D856E}" name="Transporte" dataDxfId="181" totalsRowDxfId="180"/>
    <tableColumn id="7" xr3:uid="{984EF425-4BC8-424D-ACAC-E45E76C15176}" name="Transporte2" dataDxfId="179" totalsRowDxfId="178"/>
    <tableColumn id="8" xr3:uid="{E01578F5-F16B-4E5E-B569-94FAF1ED4005}" name="Transporte3" dataDxfId="177" totalsRowDxfId="176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5D47319-7C8C-4344-A50B-910CC6B6AF90}" name="Tabla151725283640473711151923" displayName="Tabla151725283640473711151923" ref="B47:G61" totalsRowCount="1" headerRowDxfId="175">
  <autoFilter ref="B47:G60" xr:uid="{92C2C733-1E60-4A30-B766-72A7EA8F8762}"/>
  <sortState xmlns:xlrd2="http://schemas.microsoft.com/office/spreadsheetml/2017/richdata2" ref="B48:G60">
    <sortCondition ref="B47:B60"/>
  </sortState>
  <tableColumns count="6">
    <tableColumn id="1" xr3:uid="{51A04289-C177-4B5A-B5B5-301DC599EF56}" name="Productor" dataDxfId="174"/>
    <tableColumn id="2" xr3:uid="{5DC6B224-ADB5-40C7-AB9D-E801AC0923E6}" name="Carretas" totalsRowFunction="sum" dataDxfId="173" totalsRowDxfId="172"/>
    <tableColumn id="3" xr3:uid="{5D673952-F87E-4840-865F-3274F1422FD1}" name="Precios" totalsRowFunction="average" dataDxfId="171" totalsRowDxfId="170"/>
    <tableColumn id="4" xr3:uid="{F8D76E45-149A-4E79-87D3-4AB3D51848F2}" name="Transporte" dataDxfId="169"/>
    <tableColumn id="7" xr3:uid="{04251A7D-8144-4AFC-A1D5-2318EE3FB9C4}" name="Transporte2" dataDxfId="168"/>
    <tableColumn id="8" xr3:uid="{B2471352-55BA-459B-877D-64E9852D11A0}" name="Transporte3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96FB8E9-A730-44D1-BBB7-33D3D4B673F6}" name="Tabla161826293741484812162024" displayName="Tabla161826293741484812162024" ref="B65:G80" totalsRowCount="1" headerRowDxfId="167">
  <autoFilter ref="B65:G79" xr:uid="{D76B12EB-6A32-4858-9157-3078072B3169}"/>
  <sortState xmlns:xlrd2="http://schemas.microsoft.com/office/spreadsheetml/2017/richdata2" ref="B66:G79">
    <sortCondition ref="B65:B79"/>
  </sortState>
  <tableColumns count="6">
    <tableColumn id="1" xr3:uid="{70DE9EF0-555E-4E97-B3A6-31BCF294BAEE}" name="Productor" dataDxfId="166"/>
    <tableColumn id="2" xr3:uid="{E10DAB8C-90A9-4086-A67D-0F0E7C82B7A0}" name="Carretas" totalsRowFunction="sum" dataDxfId="165" totalsRowDxfId="164"/>
    <tableColumn id="3" xr3:uid="{F27021BF-AADD-4297-82B9-3895C17BA56F}" name="Precios" totalsRowFunction="average" dataDxfId="163" totalsRowDxfId="162"/>
    <tableColumn id="4" xr3:uid="{9DAC9CB3-37C7-4971-A1F8-7B6B2636FA16}" name="Transporte" dataDxfId="161"/>
    <tableColumn id="7" xr3:uid="{5DDE7F3D-56BE-40F3-B049-D560306673F8}" name="Transporte2" dataDxfId="160"/>
    <tableColumn id="8" xr3:uid="{B1F28466-C10F-43EF-AA21-A123D8BFA9B8}" name="Transporte3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059153-69F6-4F0B-B108-614CC43BCDE5}" name="Tabla141624303842495913172125" displayName="Tabla141624303842495913172125" ref="B23:G43" totalsRowCount="1" headerRowDxfId="159">
  <autoFilter ref="B23:G42" xr:uid="{EFCAED63-EF03-4AEF-ADB1-88EFDA72BA2E}"/>
  <sortState xmlns:xlrd2="http://schemas.microsoft.com/office/spreadsheetml/2017/richdata2" ref="B24:G42">
    <sortCondition ref="B23:B42"/>
  </sortState>
  <tableColumns count="6">
    <tableColumn id="1" xr3:uid="{8B10B1CF-9761-4996-9AA0-4CB8F461940E}" name="Productor" dataDxfId="158"/>
    <tableColumn id="2" xr3:uid="{4C51232A-5C88-49BD-8866-0D7C31076176}" name="Carretas" totalsRowFunction="sum" dataDxfId="157" totalsRowDxfId="156"/>
    <tableColumn id="3" xr3:uid="{BD34DB1B-60D1-4D54-8652-94846D9C9F41}" name="Precios" totalsRowFunction="average" dataDxfId="155" totalsRowDxfId="154"/>
    <tableColumn id="4" xr3:uid="{0C17E726-A180-4245-9726-562A409B0728}" name="Transporte" dataDxfId="153"/>
    <tableColumn id="7" xr3:uid="{21FCB3E1-8DB6-4B05-A848-B5F4BE48BFC2}" name="Transporte2" dataDxfId="152"/>
    <tableColumn id="8" xr3:uid="{4270117F-8437-4BD1-BEA3-D2724194DE22}" name="Transporte3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E4AE4E-2555-4813-83B2-7F28061AA1C1}" name="Tabla1152327353946261014182226" displayName="Tabla1152327353946261014182226" ref="B4:G25" totalsRowCount="1" headerRowDxfId="151" dataDxfId="150">
  <autoFilter ref="B4:G24" xr:uid="{6FECD6FB-176A-447E-A0D7-03AFBFC41C4E}"/>
  <sortState xmlns:xlrd2="http://schemas.microsoft.com/office/spreadsheetml/2017/richdata2" ref="B5:G24">
    <sortCondition ref="B4:B24"/>
  </sortState>
  <tableColumns count="6">
    <tableColumn id="1" xr3:uid="{FC43E1D9-5D6E-4699-89B8-1AFFAC0048AB}" name="Productor" dataDxfId="149" totalsRowDxfId="148"/>
    <tableColumn id="2" xr3:uid="{84C52015-5ED6-4EB2-830F-C34E2E6E60B4}" name="Carretas" totalsRowFunction="sum" dataDxfId="147" totalsRowDxfId="146"/>
    <tableColumn id="3" xr3:uid="{AF328E73-5298-4E32-947F-15BCC62FF46D}" name="Precios" totalsRowFunction="average" dataDxfId="145" totalsRowDxfId="144"/>
    <tableColumn id="4" xr3:uid="{49705295-1C21-470E-A090-7C4FDCBB26F0}" name="Transporte" dataDxfId="143" totalsRowDxfId="142"/>
    <tableColumn id="7" xr3:uid="{9601E67F-7F90-4F8A-BA68-41BD2E487492}" name="Transporte2" dataDxfId="141" totalsRowDxfId="140"/>
    <tableColumn id="8" xr3:uid="{943F4EA5-63C5-44FF-9400-1E5B0D41EFEC}" name="Transporte3" dataDxfId="139" totalsRowDxfId="138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C2F4DEC-5FCF-4A49-9D40-42D3E451B088}" name="Tabla15172528364047371115192327" displayName="Tabla15172528364047371115192327" ref="B52:G71" totalsRowCount="1" headerRowDxfId="137">
  <autoFilter ref="B52:G70" xr:uid="{92C2C733-1E60-4A30-B766-72A7EA8F8762}"/>
  <sortState xmlns:xlrd2="http://schemas.microsoft.com/office/spreadsheetml/2017/richdata2" ref="B53:G70">
    <sortCondition ref="B52:B70"/>
  </sortState>
  <tableColumns count="6">
    <tableColumn id="1" xr3:uid="{582CF274-F6DE-49C9-83D5-49717646CD84}" name="Productor" dataDxfId="136"/>
    <tableColumn id="2" xr3:uid="{90EA8295-3E22-4CB9-98AC-E70973F7C8B3}" name="Carretas" totalsRowFunction="sum" dataDxfId="135" totalsRowDxfId="134"/>
    <tableColumn id="3" xr3:uid="{769AB0DF-954D-474F-B99A-018B5FBF20C0}" name="Precios" totalsRowFunction="average" dataDxfId="133" totalsRowDxfId="132"/>
    <tableColumn id="4" xr3:uid="{DC0709F2-6302-45FB-946B-4EF857F5A5C3}" name="Transporte" dataDxfId="131"/>
    <tableColumn id="7" xr3:uid="{CC2B09F2-6DB4-4C68-94A6-030ADE22ABCB}" name="Transporte2" dataDxfId="130"/>
    <tableColumn id="8" xr3:uid="{1D88509A-3D36-43A1-BA61-72C03C753634}" name="Transporte3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D084A5C-5240-45E0-B431-72753FBCC150}" name="Tabla16182629374148481216202428" displayName="Tabla16182629374148481216202428" ref="B75:G94" totalsRowCount="1" headerRowDxfId="129">
  <autoFilter ref="B75:G93" xr:uid="{D76B12EB-6A32-4858-9157-3078072B3169}"/>
  <sortState xmlns:xlrd2="http://schemas.microsoft.com/office/spreadsheetml/2017/richdata2" ref="B76:G93">
    <sortCondition ref="B75:B93"/>
  </sortState>
  <tableColumns count="6">
    <tableColumn id="1" xr3:uid="{AEED3FB0-A0DC-4936-9A05-201B6AD57821}" name="Productor" dataDxfId="128"/>
    <tableColumn id="2" xr3:uid="{4134BDD1-C594-45CE-929A-19B031939620}" name="Carretas" totalsRowFunction="sum" dataDxfId="127" totalsRowDxfId="126"/>
    <tableColumn id="3" xr3:uid="{F1FACB07-9D33-4B86-AFB1-1D1833B7A04B}" name="Precios" totalsRowFunction="average" dataDxfId="125" totalsRowDxfId="124"/>
    <tableColumn id="4" xr3:uid="{80ECE557-70E0-4AFA-9CAB-623656739324}" name="Transporte" dataDxfId="123"/>
    <tableColumn id="7" xr3:uid="{6530CB2A-14F7-4F15-8629-C868E58CDE5C}" name="Transporte2" dataDxfId="122"/>
    <tableColumn id="8" xr3:uid="{1B46EB23-6AED-46CE-9EE5-6A9C6A91F915}" name="Transporte3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128CBCB-481E-4AE4-B55A-D7FFA19D496F}" name="Tabla14162430384249591317212529" displayName="Tabla14162430384249591317212529" ref="B29:G48" totalsRowCount="1" headerRowDxfId="121">
  <autoFilter ref="B29:G47" xr:uid="{EFCAED63-EF03-4AEF-ADB1-88EFDA72BA2E}"/>
  <sortState xmlns:xlrd2="http://schemas.microsoft.com/office/spreadsheetml/2017/richdata2" ref="B30:G47">
    <sortCondition ref="B29:B47"/>
  </sortState>
  <tableColumns count="6">
    <tableColumn id="1" xr3:uid="{2534F975-D374-4A0B-97FC-BB00A1F54DE4}" name="Productor" dataDxfId="120"/>
    <tableColumn id="2" xr3:uid="{6BD260F5-3DE9-4944-B046-A9BBE90EFD74}" name="Carretas" totalsRowFunction="sum" dataDxfId="119" totalsRowDxfId="118"/>
    <tableColumn id="3" xr3:uid="{4D2280DD-616C-4349-8749-D3F769CDDFE4}" name="Precios" totalsRowFunction="average" dataDxfId="117" totalsRowDxfId="116"/>
    <tableColumn id="4" xr3:uid="{17835FCB-4F3C-4885-89F8-215B2591247E}" name="Transporte" dataDxfId="115"/>
    <tableColumn id="7" xr3:uid="{0EA738F5-51A8-4B25-80DF-8740C004D373}" name="Transporte2" dataDxfId="114"/>
    <tableColumn id="8" xr3:uid="{8A3CBDCB-D65F-4118-9159-3C04AAB04F6B}" name="Transporte3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C81FE56-9BD1-4DDD-B1D5-1AC5140DCD25}" name="Tabla115232735394626101418222630" displayName="Tabla115232735394626101418222630" ref="B4:G22" totalsRowCount="1" headerRowDxfId="113" dataDxfId="112">
  <autoFilter ref="B4:G21" xr:uid="{6FECD6FB-176A-447E-A0D7-03AFBFC41C4E}"/>
  <sortState xmlns:xlrd2="http://schemas.microsoft.com/office/spreadsheetml/2017/richdata2" ref="B5:G21">
    <sortCondition ref="B4:B21"/>
  </sortState>
  <tableColumns count="6">
    <tableColumn id="1" xr3:uid="{818D0685-6FD0-4C2C-AC69-90D36634A8CC}" name="Productor" dataDxfId="111" totalsRowDxfId="110"/>
    <tableColumn id="2" xr3:uid="{B15C1C72-A6B2-465C-A314-7C84AB8FACDE}" name="Carretas" totalsRowFunction="sum" dataDxfId="109" totalsRowDxfId="108"/>
    <tableColumn id="3" xr3:uid="{F2E2C5C7-85F4-44BF-A3C6-88AFDE8ACA6F}" name="Precios" totalsRowFunction="average" dataDxfId="107" totalsRowDxfId="106"/>
    <tableColumn id="4" xr3:uid="{F752CA4D-EE2A-4672-B020-EA2087EC15AE}" name="Transporte" dataDxfId="105" totalsRowDxfId="104"/>
    <tableColumn id="7" xr3:uid="{EB1B082A-8550-49A7-B61B-C73FA27CA9D9}" name="Transporte2" dataDxfId="103" totalsRowDxfId="102"/>
    <tableColumn id="8" xr3:uid="{95F66461-D5E4-4DD2-8B29-A1FE8585F6E0}" name="Transporte3" dataDxfId="101" totalsRowDxfId="100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31A42AC-5136-4F1B-9EBD-29963C1601E6}" name="Tabla1517252836404737111519232731" displayName="Tabla1517252836404737111519232731" ref="B47:G61" totalsRowCount="1" headerRowDxfId="99">
  <autoFilter ref="B47:G60" xr:uid="{92C2C733-1E60-4A30-B766-72A7EA8F8762}"/>
  <sortState xmlns:xlrd2="http://schemas.microsoft.com/office/spreadsheetml/2017/richdata2" ref="B48:G60">
    <sortCondition ref="B47:B60"/>
  </sortState>
  <tableColumns count="6">
    <tableColumn id="1" xr3:uid="{D66E411C-178C-4505-B269-2EE2EA14007A}" name="Productor" dataDxfId="98"/>
    <tableColumn id="2" xr3:uid="{138E5F9C-B9C3-4206-A901-E280B43D836B}" name="Carretas" totalsRowFunction="sum" dataDxfId="97" totalsRowDxfId="96"/>
    <tableColumn id="3" xr3:uid="{3FC952DD-3303-4575-9AB7-B276F1429E41}" name="Precios" totalsRowFunction="average" dataDxfId="95" totalsRowDxfId="94"/>
    <tableColumn id="4" xr3:uid="{8B72EFD2-37C7-4868-8881-3B7F0A7518ED}" name="Transporte" dataDxfId="93"/>
    <tableColumn id="7" xr3:uid="{93808386-80EA-4AB0-8487-021C1A5928B0}" name="Transporte2" dataDxfId="92"/>
    <tableColumn id="8" xr3:uid="{6FB46645-70E1-4AC1-905E-01FB7C8AAFB1}" name="Transporte3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ECDD405-8DA2-4027-B204-1AD70F8CEBF4}" name="Tabla1618262937414848121620242832" displayName="Tabla1618262937414848121620242832" ref="B65:G78" totalsRowCount="1" headerRowDxfId="91">
  <autoFilter ref="B65:G77" xr:uid="{D76B12EB-6A32-4858-9157-3078072B3169}"/>
  <sortState xmlns:xlrd2="http://schemas.microsoft.com/office/spreadsheetml/2017/richdata2" ref="B66:G77">
    <sortCondition ref="B65:B77"/>
  </sortState>
  <tableColumns count="6">
    <tableColumn id="1" xr3:uid="{FA364506-B81D-4559-8E81-894022392D6B}" name="Productor" dataDxfId="90"/>
    <tableColumn id="2" xr3:uid="{1A7704EA-9888-46B7-9989-9A0A49FD2027}" name="Carretas" totalsRowFunction="sum" dataDxfId="89" totalsRowDxfId="88"/>
    <tableColumn id="3" xr3:uid="{F2DC2BB4-165F-4537-8DE9-957433287DD1}" name="Precios" totalsRowFunction="average" dataDxfId="87" totalsRowDxfId="86"/>
    <tableColumn id="4" xr3:uid="{4B4B9A3C-B068-494C-8286-663375BDD132}" name="Transporte" dataDxfId="85"/>
    <tableColumn id="7" xr3:uid="{DB911DF9-F905-43D5-9510-2272C1C0F642}" name="Transporte2" dataDxfId="84"/>
    <tableColumn id="8" xr3:uid="{135EE0B1-908D-4008-93E4-03C70580CEF0}" name="Transporte3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FC67B0C-70B5-4F21-8099-8E758E91267D}" name="Tabla1416243038424959131721252933" displayName="Tabla1416243038424959131721252933" ref="B26:G43" totalsRowCount="1" headerRowDxfId="83">
  <autoFilter ref="B26:G42" xr:uid="{EFCAED63-EF03-4AEF-ADB1-88EFDA72BA2E}"/>
  <sortState xmlns:xlrd2="http://schemas.microsoft.com/office/spreadsheetml/2017/richdata2" ref="B27:G42">
    <sortCondition ref="B26:B42"/>
  </sortState>
  <tableColumns count="6">
    <tableColumn id="1" xr3:uid="{E501EB4E-7C21-4ACC-B629-84EFC45C88C3}" name="Productor" dataDxfId="82"/>
    <tableColumn id="2" xr3:uid="{DF74F319-1CFE-4452-8C62-C61BD0B162B8}" name="Carretas" totalsRowFunction="sum" dataDxfId="81" totalsRowDxfId="80"/>
    <tableColumn id="3" xr3:uid="{A202B7A3-D88C-4C58-A9AD-7BC8F19130F5}" name="Precios" totalsRowFunction="average" dataDxfId="79" totalsRowDxfId="78"/>
    <tableColumn id="4" xr3:uid="{16BD9B2B-1A0B-4482-A3CD-215F99690801}" name="Transporte" dataDxfId="77"/>
    <tableColumn id="7" xr3:uid="{EB5F18FF-A268-4EEF-8726-56158A84C2F8}" name="Transporte2" dataDxfId="76"/>
    <tableColumn id="8" xr3:uid="{E870E419-2FF3-4A55-A1C4-E02426805CCD}" name="Transporte3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9FB2D5D-56BB-4E82-972F-9544649FE782}" name="Tabla11523273539462610141822263034" displayName="Tabla11523273539462610141822263034" ref="B4:G21" totalsRowCount="1" headerRowDxfId="75" dataDxfId="74">
  <autoFilter ref="B4:G20" xr:uid="{6FECD6FB-176A-447E-A0D7-03AFBFC41C4E}"/>
  <sortState xmlns:xlrd2="http://schemas.microsoft.com/office/spreadsheetml/2017/richdata2" ref="B5:G20">
    <sortCondition ref="B4:B20"/>
  </sortState>
  <tableColumns count="6">
    <tableColumn id="1" xr3:uid="{731FADFF-B0FD-43AE-A4CE-85FB49AFA574}" name="Productor" dataDxfId="73" totalsRowDxfId="72"/>
    <tableColumn id="2" xr3:uid="{68988DC9-897E-494F-97BA-57B5CC8FE4FF}" name="Carretas" totalsRowFunction="custom" dataDxfId="71" totalsRowDxfId="70">
      <totalsRowFormula>SUM(C5:C20)</totalsRowFormula>
    </tableColumn>
    <tableColumn id="3" xr3:uid="{8D5F78C1-1B22-43DA-A4CD-A30B4F97B90F}" name="Precios" totalsRowFunction="custom" dataDxfId="69" totalsRowDxfId="68">
      <totalsRowFormula>AVERAGE(D5:D20)</totalsRowFormula>
    </tableColumn>
    <tableColumn id="4" xr3:uid="{4971C8F9-FF5B-4222-B530-277280E2ACBB}" name="Transporte" dataDxfId="67" totalsRowDxfId="66"/>
    <tableColumn id="7" xr3:uid="{F15ED737-B2E4-4C29-B5C1-E64739C00BED}" name="Transporte2" dataDxfId="65" totalsRowDxfId="64"/>
    <tableColumn id="8" xr3:uid="{78959A39-6440-47A5-9C98-ABCDD6C16343}" name="Transporte3" dataDxfId="63" totalsRowDxfId="62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7DBAF25-5F52-4413-BB47-0D6C30493AE6}" name="Tabla151725283640473711151923273135" displayName="Tabla151725283640473711151923273135" ref="B52:G70" totalsRowCount="1" headerRowDxfId="61">
  <autoFilter ref="B52:G69" xr:uid="{92C2C733-1E60-4A30-B766-72A7EA8F8762}"/>
  <sortState xmlns:xlrd2="http://schemas.microsoft.com/office/spreadsheetml/2017/richdata2" ref="B53:G69">
    <sortCondition ref="B52:B69"/>
  </sortState>
  <tableColumns count="6">
    <tableColumn id="1" xr3:uid="{146C91F4-4B42-48F6-8CF5-6603AB640638}" name="Productor" dataDxfId="60"/>
    <tableColumn id="2" xr3:uid="{441CA06D-B692-47C7-B85D-197A0659533F}" name="Carretas" totalsRowFunction="sum" dataDxfId="59" totalsRowDxfId="58"/>
    <tableColumn id="3" xr3:uid="{760DE402-8F80-4540-AFFE-4986A8D42CF5}" name="Precios" totalsRowFunction="average" dataDxfId="57" totalsRowDxfId="56"/>
    <tableColumn id="4" xr3:uid="{838F61AF-1042-4716-8051-DF180C6A8E14}" name="Transporte" dataDxfId="55"/>
    <tableColumn id="7" xr3:uid="{DA87227D-BD97-4AD9-A554-738E4379E916}" name="Transporte2" dataDxfId="54"/>
    <tableColumn id="8" xr3:uid="{7616CB33-E91A-486E-94A2-8146AF5CCCC4}" name="Transporte3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F42561E-795F-42AF-899F-8F6CD41C1E31}" name="Tabla161826293741484812162024283236" displayName="Tabla161826293741484812162024283236" ref="B74:G88" totalsRowCount="1" headerRowDxfId="53">
  <autoFilter ref="B74:G87" xr:uid="{D76B12EB-6A32-4858-9157-3078072B3169}"/>
  <sortState xmlns:xlrd2="http://schemas.microsoft.com/office/spreadsheetml/2017/richdata2" ref="B75:G87">
    <sortCondition ref="B74:B87"/>
  </sortState>
  <tableColumns count="6">
    <tableColumn id="1" xr3:uid="{41362DE5-8ACC-4481-AF74-3D95406DB6BF}" name="Productor" dataDxfId="52"/>
    <tableColumn id="2" xr3:uid="{98943CFE-67B4-47D8-B6D4-C3DCA717F49C}" name="Carretas" totalsRowFunction="sum" dataDxfId="51" totalsRowDxfId="50"/>
    <tableColumn id="3" xr3:uid="{B547A40F-4042-436D-964C-148067CC9954}" name="Precios" totalsRowFunction="average" dataDxfId="49" totalsRowDxfId="48"/>
    <tableColumn id="4" xr3:uid="{CFE77856-87F0-4BCB-9E81-8E5DD443B771}" name="Transporte" dataDxfId="47"/>
    <tableColumn id="7" xr3:uid="{CB26C01C-1AEA-40A0-8D44-4C284657C183}" name="Transporte2" dataDxfId="46"/>
    <tableColumn id="8" xr3:uid="{8501B693-4946-42D0-91DF-4A6779EB6CC9}" name="Transporte3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B2471A0-D6D8-49DC-95C3-B41CA60AAD54}" name="Tabla141624303842495913172125293337" displayName="Tabla141624303842495913172125293337" ref="B25:G48" totalsRowCount="1" headerRowDxfId="45">
  <autoFilter ref="B25:G47" xr:uid="{EFCAED63-EF03-4AEF-ADB1-88EFDA72BA2E}"/>
  <sortState xmlns:xlrd2="http://schemas.microsoft.com/office/spreadsheetml/2017/richdata2" ref="B26:G47">
    <sortCondition ref="B25:B47"/>
  </sortState>
  <tableColumns count="6">
    <tableColumn id="1" xr3:uid="{734AB6EB-1A50-44A6-ADD4-CA16AFBAE53C}" name="Productor" dataDxfId="44"/>
    <tableColumn id="2" xr3:uid="{4ED54824-21FC-4FE7-B4B6-038C25C553CD}" name="Carretas" totalsRowFunction="sum" dataDxfId="43" totalsRowDxfId="42"/>
    <tableColumn id="3" xr3:uid="{EB6B3936-38AE-4746-9A62-347177E7DC6F}" name="Precios" totalsRowFunction="average" dataDxfId="41" totalsRowDxfId="40"/>
    <tableColumn id="4" xr3:uid="{CD186AB6-5995-4C63-A041-851EF72E6C4F}" name="Transporte" dataDxfId="39"/>
    <tableColumn id="7" xr3:uid="{2A1E4FC5-6F5E-4B32-B264-23FF36985527}" name="Transporte2" dataDxfId="38"/>
    <tableColumn id="8" xr3:uid="{D53D7434-5DE0-45AE-8B36-98C403438EA1}" name="Transporte3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6CC2B81-7472-4059-A810-A595E39EA137}" name="Tabla1152327353946261014182226303438" displayName="Tabla1152327353946261014182226303438" ref="B4:G16" totalsRowCount="1" headerRowDxfId="37" dataDxfId="36">
  <autoFilter ref="B4:G15" xr:uid="{6FECD6FB-176A-447E-A0D7-03AFBFC41C4E}"/>
  <sortState xmlns:xlrd2="http://schemas.microsoft.com/office/spreadsheetml/2017/richdata2" ref="B5:G15">
    <sortCondition ref="B4:B15"/>
  </sortState>
  <tableColumns count="6">
    <tableColumn id="1" xr3:uid="{412981C3-527D-420C-AF75-53C232A4F775}" name="Productor" dataDxfId="35" totalsRowDxfId="34"/>
    <tableColumn id="2" xr3:uid="{21C907B4-D407-47E1-8EB2-AC802A7EAFED}" name="Carretas" totalsRowFunction="sum" dataDxfId="33" totalsRowDxfId="32"/>
    <tableColumn id="3" xr3:uid="{6068BAB6-AB82-4B5D-BEFC-ED1D9428FD7D}" name="Precios" totalsRowFunction="average" dataDxfId="31" totalsRowDxfId="30"/>
    <tableColumn id="4" xr3:uid="{B5F557EC-2B2B-469F-9F59-7838688EC553}" name="Transporte" dataDxfId="29" totalsRowDxfId="28"/>
    <tableColumn id="7" xr3:uid="{AB039D31-ADAF-4AC7-9C3D-272E01FAE261}" name="Transporte2" dataDxfId="27" totalsRowDxfId="26"/>
    <tableColumn id="8" xr3:uid="{9C4BDE8D-0150-407D-B14E-9F02AC581700}" name="Transporte3" dataDxfId="25" totalsRowDxfId="24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EB212AD-8FEB-414D-882B-5E6FC5D70BDF}" name="Tabla15172528364047371115192327313543" displayName="Tabla15172528364047371115192327313543" ref="B38:G51" totalsRowCount="1" headerRowDxfId="23">
  <autoFilter ref="B38:G50" xr:uid="{92C2C733-1E60-4A30-B766-72A7EA8F8762}"/>
  <sortState xmlns:xlrd2="http://schemas.microsoft.com/office/spreadsheetml/2017/richdata2" ref="B39:G50">
    <sortCondition ref="B38:B50"/>
  </sortState>
  <tableColumns count="6">
    <tableColumn id="1" xr3:uid="{06F05E29-4C1E-475F-96D9-45601DB20C61}" name="Productor" dataDxfId="22"/>
    <tableColumn id="2" xr3:uid="{0C7584BD-ECA9-4D70-9266-61195DCC6CDA}" name="Carretas" totalsRowFunction="sum" dataDxfId="21" totalsRowDxfId="20"/>
    <tableColumn id="3" xr3:uid="{18BA0230-18BC-4683-817D-C34A9EFBA322}" name="Precios" totalsRowFunction="average" dataDxfId="19" totalsRowDxfId="18"/>
    <tableColumn id="4" xr3:uid="{8422B2C8-04DB-43F7-B92C-823FB27F0D85}" name="Transporte" dataDxfId="17"/>
    <tableColumn id="7" xr3:uid="{F3EDA4B0-A8F3-4EE5-BB13-532C37890EA2}" name="Transporte2" dataDxfId="16"/>
    <tableColumn id="8" xr3:uid="{E0F5E6C6-A385-4A3E-B137-16D5EC9F5125}" name="Transporte3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795DA76-2D70-4D75-B2D3-A146B6B97583}" name="Tabla16182629374148481216202428323644" displayName="Tabla16182629374148481216202428323644" ref="B55:G62" totalsRowCount="1" headerRowDxfId="15">
  <autoFilter ref="B55:G61" xr:uid="{D76B12EB-6A32-4858-9157-3078072B3169}"/>
  <sortState xmlns:xlrd2="http://schemas.microsoft.com/office/spreadsheetml/2017/richdata2" ref="B56:G61">
    <sortCondition ref="B55:B61"/>
  </sortState>
  <tableColumns count="6">
    <tableColumn id="1" xr3:uid="{3BCDD97A-3506-4D30-BFE7-1CB0620E446B}" name="Productor" dataDxfId="14"/>
    <tableColumn id="2" xr3:uid="{95AB092F-A13B-4B29-9104-A48B93021E53}" name="Carretas" totalsRowFunction="sum" dataDxfId="13" totalsRowDxfId="12"/>
    <tableColumn id="3" xr3:uid="{71B2EF27-025B-44AB-A00D-43B77C6C02DF}" name="Precios" totalsRowFunction="average" dataDxfId="11" totalsRowDxfId="10"/>
    <tableColumn id="4" xr3:uid="{F46F6340-1429-493E-9CB6-FDEA31F41804}" name="Transporte" dataDxfId="9"/>
    <tableColumn id="7" xr3:uid="{F2A34E29-F919-480E-AC93-6AC5F79814ED}" name="Transporte2" dataDxfId="8"/>
    <tableColumn id="8" xr3:uid="{B5DA29B1-A55E-47C5-9709-7B4E24A38689}" name="Transporte3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29062B2-6243-4843-9DB9-9551A0229BCB}" name="Tabla14162430384249591317212529333750" displayName="Tabla14162430384249591317212529333750" ref="B20:G34" totalsRowCount="1" headerRowDxfId="7">
  <autoFilter ref="B20:G33" xr:uid="{EFCAED63-EF03-4AEF-ADB1-88EFDA72BA2E}"/>
  <sortState xmlns:xlrd2="http://schemas.microsoft.com/office/spreadsheetml/2017/richdata2" ref="B21:G33">
    <sortCondition ref="B20:B33"/>
  </sortState>
  <tableColumns count="6">
    <tableColumn id="1" xr3:uid="{DF40BC84-A623-431D-8850-3F39D08883FC}" name="Productor" dataDxfId="6"/>
    <tableColumn id="2" xr3:uid="{F18F3147-ADB5-4B97-B487-B57550F4C1FB}" name="Carretas" totalsRowFunction="sum" dataDxfId="5" totalsRowDxfId="4"/>
    <tableColumn id="3" xr3:uid="{56A0E6E2-F308-40CF-AA29-02094E0D7CA4}" name="Precios" totalsRowFunction="average" dataDxfId="3" totalsRowDxfId="2"/>
    <tableColumn id="4" xr3:uid="{88D2B77B-4413-448D-99FE-F37750E57623}" name="Transporte" dataDxfId="1"/>
    <tableColumn id="7" xr3:uid="{2057C909-14C9-4564-8BAC-97545141B872}" name="Transporte2" dataDxfId="0"/>
    <tableColumn id="8" xr3:uid="{CDC569E7-5671-4D6B-B28D-CA303AB2B656}" name="Transporte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F90A-955A-4243-9959-F1C3A7123334}">
  <dimension ref="B1:D26"/>
  <sheetViews>
    <sheetView topLeftCell="A12" zoomScale="110" zoomScaleNormal="110" workbookViewId="0">
      <selection activeCell="D29" sqref="D29"/>
    </sheetView>
  </sheetViews>
  <sheetFormatPr baseColWidth="10" defaultRowHeight="15" x14ac:dyDescent="0.25"/>
  <cols>
    <col min="1" max="1" width="2.140625" customWidth="1"/>
  </cols>
  <sheetData>
    <row r="1" spans="2:4" ht="7.5" customHeight="1" x14ac:dyDescent="0.25"/>
    <row r="2" spans="2:4" ht="6" customHeight="1" x14ac:dyDescent="0.25"/>
    <row r="3" spans="2:4" x14ac:dyDescent="0.25">
      <c r="B3" s="28" t="s">
        <v>5</v>
      </c>
      <c r="C3" s="28">
        <v>1</v>
      </c>
      <c r="D3" s="28">
        <v>50</v>
      </c>
    </row>
    <row r="4" spans="2:4" x14ac:dyDescent="0.25">
      <c r="B4" s="28" t="s">
        <v>5</v>
      </c>
      <c r="C4" s="28">
        <v>1</v>
      </c>
      <c r="D4" s="28">
        <v>40</v>
      </c>
    </row>
    <row r="5" spans="2:4" x14ac:dyDescent="0.25">
      <c r="B5" s="28" t="s">
        <v>5</v>
      </c>
      <c r="C5" s="28">
        <v>1</v>
      </c>
      <c r="D5" s="28">
        <v>42</v>
      </c>
    </row>
    <row r="6" spans="2:4" x14ac:dyDescent="0.25">
      <c r="B6" s="28" t="s">
        <v>5</v>
      </c>
      <c r="C6" s="28">
        <v>2</v>
      </c>
      <c r="D6" s="28">
        <v>40</v>
      </c>
    </row>
    <row r="7" spans="2:4" x14ac:dyDescent="0.25">
      <c r="B7" s="28" t="s">
        <v>5</v>
      </c>
      <c r="C7" s="28">
        <v>2</v>
      </c>
      <c r="D7" s="28">
        <v>35</v>
      </c>
    </row>
    <row r="8" spans="2:4" x14ac:dyDescent="0.25">
      <c r="B8" s="28" t="s">
        <v>5</v>
      </c>
      <c r="C8" s="28">
        <v>4</v>
      </c>
      <c r="D8" s="28">
        <v>35</v>
      </c>
    </row>
    <row r="9" spans="2:4" x14ac:dyDescent="0.25">
      <c r="B9" s="28" t="s">
        <v>5</v>
      </c>
      <c r="C9" s="28">
        <v>3</v>
      </c>
      <c r="D9" s="28">
        <v>35</v>
      </c>
    </row>
    <row r="10" spans="2:4" x14ac:dyDescent="0.25">
      <c r="B10" s="28" t="s">
        <v>5</v>
      </c>
      <c r="C10" s="28">
        <v>2</v>
      </c>
      <c r="D10" s="28">
        <v>42</v>
      </c>
    </row>
    <row r="11" spans="2:4" x14ac:dyDescent="0.25">
      <c r="B11" s="28" t="s">
        <v>5</v>
      </c>
      <c r="C11" s="28">
        <v>3</v>
      </c>
      <c r="D11" s="28">
        <v>40</v>
      </c>
    </row>
    <row r="12" spans="2:4" x14ac:dyDescent="0.25">
      <c r="B12" s="28" t="s">
        <v>5</v>
      </c>
      <c r="C12" s="28">
        <v>3</v>
      </c>
      <c r="D12" s="28">
        <v>40</v>
      </c>
    </row>
    <row r="13" spans="2:4" x14ac:dyDescent="0.25">
      <c r="B13" s="28" t="s">
        <v>5</v>
      </c>
      <c r="C13" s="28">
        <v>4</v>
      </c>
      <c r="D13" s="28">
        <v>40</v>
      </c>
    </row>
    <row r="14" spans="2:4" x14ac:dyDescent="0.25">
      <c r="B14" s="28" t="s">
        <v>5</v>
      </c>
      <c r="C14" s="28">
        <v>2</v>
      </c>
      <c r="D14" s="28">
        <v>42</v>
      </c>
    </row>
    <row r="15" spans="2:4" x14ac:dyDescent="0.25">
      <c r="B15" s="28" t="s">
        <v>5</v>
      </c>
      <c r="C15" s="28">
        <v>4</v>
      </c>
      <c r="D15" s="28">
        <v>44</v>
      </c>
    </row>
    <row r="16" spans="2:4" x14ac:dyDescent="0.25">
      <c r="B16" s="28" t="s">
        <v>5</v>
      </c>
      <c r="C16" s="28">
        <v>4</v>
      </c>
      <c r="D16" s="28">
        <v>42</v>
      </c>
    </row>
    <row r="17" spans="2:4" x14ac:dyDescent="0.25">
      <c r="B17" s="28" t="s">
        <v>5</v>
      </c>
      <c r="C17" s="28">
        <v>1</v>
      </c>
      <c r="D17" s="28">
        <v>44</v>
      </c>
    </row>
    <row r="18" spans="2:4" x14ac:dyDescent="0.25">
      <c r="B18" s="28" t="s">
        <v>5</v>
      </c>
      <c r="C18" s="28">
        <v>1</v>
      </c>
      <c r="D18" s="28">
        <v>42</v>
      </c>
    </row>
    <row r="19" spans="2:4" x14ac:dyDescent="0.25">
      <c r="B19" s="28" t="s">
        <v>5</v>
      </c>
      <c r="C19" s="28">
        <v>2</v>
      </c>
      <c r="D19" s="28">
        <v>44</v>
      </c>
    </row>
    <row r="20" spans="2:4" x14ac:dyDescent="0.25">
      <c r="B20" s="28" t="s">
        <v>5</v>
      </c>
      <c r="C20" s="28">
        <v>3</v>
      </c>
      <c r="D20" s="28">
        <v>40</v>
      </c>
    </row>
    <row r="21" spans="2:4" x14ac:dyDescent="0.25">
      <c r="B21" s="28" t="s">
        <v>5</v>
      </c>
      <c r="C21" s="28">
        <v>3</v>
      </c>
      <c r="D21" s="28">
        <v>40</v>
      </c>
    </row>
    <row r="22" spans="2:4" x14ac:dyDescent="0.25">
      <c r="B22" s="28" t="s">
        <v>5</v>
      </c>
      <c r="C22" s="28">
        <v>4</v>
      </c>
      <c r="D22" s="28">
        <v>37</v>
      </c>
    </row>
    <row r="23" spans="2:4" x14ac:dyDescent="0.25">
      <c r="B23" s="28" t="s">
        <v>5</v>
      </c>
      <c r="C23" s="28">
        <v>4</v>
      </c>
      <c r="D23" s="28">
        <v>37</v>
      </c>
    </row>
    <row r="24" spans="2:4" x14ac:dyDescent="0.25">
      <c r="B24" s="28" t="s">
        <v>5</v>
      </c>
      <c r="C24" s="28">
        <v>4</v>
      </c>
      <c r="D24" s="28">
        <v>35</v>
      </c>
    </row>
    <row r="25" spans="2:4" x14ac:dyDescent="0.25">
      <c r="B25" s="29" t="s">
        <v>5</v>
      </c>
      <c r="C25" s="28">
        <v>5</v>
      </c>
      <c r="D25" s="28">
        <v>32</v>
      </c>
    </row>
    <row r="26" spans="2:4" x14ac:dyDescent="0.25">
      <c r="B26" s="30" t="s">
        <v>70</v>
      </c>
      <c r="C26" s="30">
        <f>SUM(C3:C25)</f>
        <v>63</v>
      </c>
      <c r="D26" s="30">
        <f>AVERAGE(D3:D25)</f>
        <v>39.913043478260867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9CEC-4970-4916-B0C6-60ED06128D66}">
  <dimension ref="B3:D20"/>
  <sheetViews>
    <sheetView zoomScale="120" zoomScaleNormal="120" workbookViewId="0">
      <selection activeCell="F25" sqref="F25"/>
    </sheetView>
  </sheetViews>
  <sheetFormatPr baseColWidth="10" defaultRowHeight="15" x14ac:dyDescent="0.25"/>
  <sheetData>
    <row r="3" spans="2:4" x14ac:dyDescent="0.25">
      <c r="B3" s="28" t="s">
        <v>8</v>
      </c>
      <c r="C3" s="28">
        <v>2</v>
      </c>
      <c r="D3" s="28">
        <v>40</v>
      </c>
    </row>
    <row r="4" spans="2:4" x14ac:dyDescent="0.25">
      <c r="B4" s="28" t="s">
        <v>8</v>
      </c>
      <c r="C4" s="28">
        <v>2</v>
      </c>
      <c r="D4" s="28">
        <v>40</v>
      </c>
    </row>
    <row r="5" spans="2:4" x14ac:dyDescent="0.25">
      <c r="B5" s="28" t="s">
        <v>8</v>
      </c>
      <c r="C5" s="28">
        <v>3</v>
      </c>
      <c r="D5" s="28">
        <v>35</v>
      </c>
    </row>
    <row r="6" spans="2:4" x14ac:dyDescent="0.25">
      <c r="B6" s="28" t="s">
        <v>8</v>
      </c>
      <c r="C6" s="28">
        <v>2</v>
      </c>
      <c r="D6" s="28">
        <v>33</v>
      </c>
    </row>
    <row r="7" spans="2:4" x14ac:dyDescent="0.25">
      <c r="B7" s="28" t="s">
        <v>8</v>
      </c>
      <c r="C7" s="28">
        <v>4</v>
      </c>
      <c r="D7" s="28">
        <v>40</v>
      </c>
    </row>
    <row r="8" spans="2:4" x14ac:dyDescent="0.25">
      <c r="B8" s="28" t="s">
        <v>8</v>
      </c>
      <c r="C8" s="28">
        <v>3</v>
      </c>
      <c r="D8" s="28">
        <v>40</v>
      </c>
    </row>
    <row r="9" spans="2:4" x14ac:dyDescent="0.25">
      <c r="B9" s="28" t="s">
        <v>8</v>
      </c>
      <c r="C9" s="28">
        <v>1</v>
      </c>
      <c r="D9" s="28">
        <v>45</v>
      </c>
    </row>
    <row r="10" spans="2:4" x14ac:dyDescent="0.25">
      <c r="B10" s="28" t="s">
        <v>8</v>
      </c>
      <c r="C10" s="28">
        <v>6</v>
      </c>
      <c r="D10" s="28">
        <v>45</v>
      </c>
    </row>
    <row r="11" spans="2:4" x14ac:dyDescent="0.25">
      <c r="B11" s="28" t="s">
        <v>8</v>
      </c>
      <c r="C11" s="28">
        <v>1.5</v>
      </c>
      <c r="D11" s="28">
        <v>45</v>
      </c>
    </row>
    <row r="12" spans="2:4" x14ac:dyDescent="0.25">
      <c r="B12" s="28" t="s">
        <v>8</v>
      </c>
      <c r="C12" s="28">
        <v>2</v>
      </c>
      <c r="D12" s="28">
        <v>40</v>
      </c>
    </row>
    <row r="13" spans="2:4" x14ac:dyDescent="0.25">
      <c r="B13" s="28" t="s">
        <v>8</v>
      </c>
      <c r="C13" s="28">
        <v>2</v>
      </c>
      <c r="D13" s="28">
        <v>38</v>
      </c>
    </row>
    <row r="14" spans="2:4" x14ac:dyDescent="0.25">
      <c r="B14" s="28" t="s">
        <v>8</v>
      </c>
      <c r="C14" s="28">
        <v>5</v>
      </c>
      <c r="D14" s="28">
        <v>37</v>
      </c>
    </row>
    <row r="15" spans="2:4" x14ac:dyDescent="0.25">
      <c r="B15" s="28" t="s">
        <v>8</v>
      </c>
      <c r="C15" s="28">
        <v>0.8</v>
      </c>
      <c r="D15" s="28">
        <v>37</v>
      </c>
    </row>
    <row r="16" spans="2:4" x14ac:dyDescent="0.25">
      <c r="B16" s="28" t="s">
        <v>8</v>
      </c>
      <c r="C16" s="28">
        <v>1</v>
      </c>
      <c r="D16" s="28">
        <v>37</v>
      </c>
    </row>
    <row r="17" spans="2:4" x14ac:dyDescent="0.25">
      <c r="B17" s="28" t="s">
        <v>8</v>
      </c>
      <c r="C17" s="28">
        <v>5</v>
      </c>
      <c r="D17" s="28">
        <v>35</v>
      </c>
    </row>
    <row r="18" spans="2:4" x14ac:dyDescent="0.25">
      <c r="B18" s="28" t="s">
        <v>8</v>
      </c>
      <c r="C18" s="28">
        <v>5</v>
      </c>
      <c r="D18" s="28">
        <v>31</v>
      </c>
    </row>
    <row r="19" spans="2:4" x14ac:dyDescent="0.25">
      <c r="B19" s="28" t="s">
        <v>8</v>
      </c>
      <c r="C19" s="28">
        <v>1</v>
      </c>
      <c r="D19" s="28">
        <v>32</v>
      </c>
    </row>
    <row r="20" spans="2:4" x14ac:dyDescent="0.25">
      <c r="B20" s="30" t="s">
        <v>70</v>
      </c>
      <c r="C20" s="30">
        <f>SUM(C3:C19)</f>
        <v>46.3</v>
      </c>
      <c r="D20" s="30">
        <f>AVERAGE(D3:D19)</f>
        <v>38.235294117647058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0720-CA52-40A5-B52D-8E7F0E193AB7}">
  <dimension ref="B1:D21"/>
  <sheetViews>
    <sheetView topLeftCell="A5" zoomScale="110" zoomScaleNormal="110" workbookViewId="0">
      <selection activeCell="F15" sqref="F15"/>
    </sheetView>
  </sheetViews>
  <sheetFormatPr baseColWidth="10" defaultRowHeight="15" x14ac:dyDescent="0.25"/>
  <cols>
    <col min="1" max="1" width="3" customWidth="1"/>
  </cols>
  <sheetData>
    <row r="1" spans="2:4" ht="8.25" customHeight="1" x14ac:dyDescent="0.25"/>
    <row r="2" spans="2:4" x14ac:dyDescent="0.25">
      <c r="B2" s="42"/>
      <c r="C2" s="42"/>
    </row>
    <row r="3" spans="2:4" x14ac:dyDescent="0.25">
      <c r="B3" s="28" t="s">
        <v>4</v>
      </c>
      <c r="C3" s="28">
        <v>2</v>
      </c>
      <c r="D3" s="28">
        <v>40</v>
      </c>
    </row>
    <row r="4" spans="2:4" x14ac:dyDescent="0.25">
      <c r="B4" s="28" t="s">
        <v>4</v>
      </c>
      <c r="C4" s="28">
        <v>2</v>
      </c>
      <c r="D4" s="28">
        <v>43</v>
      </c>
    </row>
    <row r="5" spans="2:4" x14ac:dyDescent="0.25">
      <c r="B5" s="28" t="s">
        <v>4</v>
      </c>
      <c r="C5" s="28">
        <v>2</v>
      </c>
      <c r="D5" s="28">
        <v>43</v>
      </c>
    </row>
    <row r="6" spans="2:4" x14ac:dyDescent="0.25">
      <c r="B6" s="28" t="s">
        <v>4</v>
      </c>
      <c r="C6" s="28">
        <v>2</v>
      </c>
      <c r="D6" s="28">
        <v>37</v>
      </c>
    </row>
    <row r="7" spans="2:4" x14ac:dyDescent="0.25">
      <c r="B7" s="28" t="s">
        <v>4</v>
      </c>
      <c r="C7" s="28">
        <v>3</v>
      </c>
      <c r="D7" s="28">
        <v>35</v>
      </c>
    </row>
    <row r="8" spans="2:4" x14ac:dyDescent="0.25">
      <c r="B8" s="28" t="s">
        <v>4</v>
      </c>
      <c r="C8" s="28">
        <v>2</v>
      </c>
      <c r="D8" s="28">
        <v>35</v>
      </c>
    </row>
    <row r="9" spans="2:4" x14ac:dyDescent="0.25">
      <c r="B9" s="28" t="s">
        <v>4</v>
      </c>
      <c r="C9" s="28">
        <v>4</v>
      </c>
      <c r="D9" s="28">
        <v>42</v>
      </c>
    </row>
    <row r="10" spans="2:4" x14ac:dyDescent="0.25">
      <c r="B10" s="28" t="s">
        <v>4</v>
      </c>
      <c r="C10" s="28">
        <v>3</v>
      </c>
      <c r="D10" s="28">
        <v>45</v>
      </c>
    </row>
    <row r="11" spans="2:4" x14ac:dyDescent="0.25">
      <c r="B11" s="28" t="s">
        <v>4</v>
      </c>
      <c r="C11" s="28">
        <v>3</v>
      </c>
      <c r="D11" s="28">
        <v>45</v>
      </c>
    </row>
    <row r="12" spans="2:4" x14ac:dyDescent="0.25">
      <c r="B12" s="28" t="s">
        <v>4</v>
      </c>
      <c r="C12" s="28">
        <v>3</v>
      </c>
      <c r="D12" s="28">
        <v>45</v>
      </c>
    </row>
    <row r="13" spans="2:4" x14ac:dyDescent="0.25">
      <c r="B13" s="28" t="s">
        <v>4</v>
      </c>
      <c r="C13" s="28">
        <v>3</v>
      </c>
      <c r="D13" s="28">
        <v>45</v>
      </c>
    </row>
    <row r="14" spans="2:4" x14ac:dyDescent="0.25">
      <c r="B14" s="28" t="s">
        <v>4</v>
      </c>
      <c r="C14" s="28">
        <v>1</v>
      </c>
      <c r="D14" s="28">
        <v>45</v>
      </c>
    </row>
    <row r="15" spans="2:4" x14ac:dyDescent="0.25">
      <c r="B15" s="28" t="s">
        <v>4</v>
      </c>
      <c r="C15" s="28">
        <v>3</v>
      </c>
      <c r="D15" s="28">
        <v>40</v>
      </c>
    </row>
    <row r="16" spans="2:4" x14ac:dyDescent="0.25">
      <c r="B16" s="28" t="s">
        <v>4</v>
      </c>
      <c r="C16" s="28">
        <v>2</v>
      </c>
      <c r="D16" s="28">
        <v>37</v>
      </c>
    </row>
    <row r="17" spans="2:4" x14ac:dyDescent="0.25">
      <c r="B17" s="28" t="s">
        <v>4</v>
      </c>
      <c r="C17" s="28">
        <v>0.5</v>
      </c>
      <c r="D17" s="28">
        <v>45</v>
      </c>
    </row>
    <row r="18" spans="2:4" x14ac:dyDescent="0.25">
      <c r="B18" s="28" t="s">
        <v>4</v>
      </c>
      <c r="C18" s="28">
        <v>3</v>
      </c>
      <c r="D18" s="28">
        <v>37</v>
      </c>
    </row>
    <row r="19" spans="2:4" x14ac:dyDescent="0.25">
      <c r="B19" s="28" t="s">
        <v>4</v>
      </c>
      <c r="C19" s="28">
        <v>3</v>
      </c>
      <c r="D19" s="28">
        <v>37</v>
      </c>
    </row>
    <row r="20" spans="2:4" x14ac:dyDescent="0.25">
      <c r="B20" s="29" t="s">
        <v>4</v>
      </c>
      <c r="C20" s="28">
        <v>2</v>
      </c>
      <c r="D20" s="28">
        <v>33</v>
      </c>
    </row>
    <row r="21" spans="2:4" x14ac:dyDescent="0.25">
      <c r="B21" s="30" t="s">
        <v>70</v>
      </c>
      <c r="C21" s="30">
        <f>SUM(C3:C20)</f>
        <v>43.5</v>
      </c>
      <c r="D21" s="30">
        <f>AVERAGE(D3:D20)</f>
        <v>40.5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C23B-BF59-4EE7-ADDE-509660036EAE}">
  <dimension ref="B1:D24"/>
  <sheetViews>
    <sheetView topLeftCell="A7" zoomScale="120" zoomScaleNormal="120" workbookViewId="0">
      <selection activeCell="F21" sqref="F21"/>
    </sheetView>
  </sheetViews>
  <sheetFormatPr baseColWidth="10" defaultRowHeight="15" x14ac:dyDescent="0.25"/>
  <cols>
    <col min="1" max="1" width="5.28515625" customWidth="1"/>
  </cols>
  <sheetData>
    <row r="1" spans="2:4" ht="7.5" customHeight="1" x14ac:dyDescent="0.25"/>
    <row r="2" spans="2:4" ht="7.5" customHeight="1" x14ac:dyDescent="0.25"/>
    <row r="3" spans="2:4" x14ac:dyDescent="0.25">
      <c r="B3" s="28" t="s">
        <v>9</v>
      </c>
      <c r="C3" s="28">
        <v>1</v>
      </c>
      <c r="D3" s="28">
        <v>40</v>
      </c>
    </row>
    <row r="4" spans="2:4" x14ac:dyDescent="0.25">
      <c r="B4" s="28" t="s">
        <v>9</v>
      </c>
      <c r="C4" s="28">
        <v>1</v>
      </c>
      <c r="D4" s="28">
        <v>42</v>
      </c>
    </row>
    <row r="5" spans="2:4" x14ac:dyDescent="0.25">
      <c r="B5" s="28" t="s">
        <v>9</v>
      </c>
      <c r="C5" s="28">
        <v>3</v>
      </c>
      <c r="D5" s="28">
        <v>40</v>
      </c>
    </row>
    <row r="6" spans="2:4" x14ac:dyDescent="0.25">
      <c r="B6" s="28" t="s">
        <v>9</v>
      </c>
      <c r="C6" s="28">
        <v>3</v>
      </c>
      <c r="D6" s="28">
        <v>35</v>
      </c>
    </row>
    <row r="7" spans="2:4" x14ac:dyDescent="0.25">
      <c r="B7" s="28" t="s">
        <v>9</v>
      </c>
      <c r="C7" s="28">
        <v>2</v>
      </c>
      <c r="D7" s="28">
        <v>35</v>
      </c>
    </row>
    <row r="8" spans="2:4" x14ac:dyDescent="0.25">
      <c r="B8" s="28" t="s">
        <v>9</v>
      </c>
      <c r="C8" s="28">
        <v>3</v>
      </c>
      <c r="D8" s="28">
        <v>30</v>
      </c>
    </row>
    <row r="9" spans="2:4" x14ac:dyDescent="0.25">
      <c r="B9" s="28" t="s">
        <v>9</v>
      </c>
      <c r="C9" s="28">
        <v>5</v>
      </c>
      <c r="D9" s="28">
        <v>40</v>
      </c>
    </row>
    <row r="10" spans="2:4" x14ac:dyDescent="0.25">
      <c r="B10" s="28" t="s">
        <v>9</v>
      </c>
      <c r="C10" s="28">
        <v>3</v>
      </c>
      <c r="D10" s="28">
        <v>42</v>
      </c>
    </row>
    <row r="11" spans="2:4" x14ac:dyDescent="0.25">
      <c r="B11" s="28" t="s">
        <v>9</v>
      </c>
      <c r="C11" s="28">
        <v>3</v>
      </c>
      <c r="D11" s="28">
        <v>45</v>
      </c>
    </row>
    <row r="12" spans="2:4" x14ac:dyDescent="0.25">
      <c r="B12" s="28" t="s">
        <v>9</v>
      </c>
      <c r="C12" s="28">
        <v>2</v>
      </c>
      <c r="D12" s="28">
        <v>45</v>
      </c>
    </row>
    <row r="13" spans="2:4" x14ac:dyDescent="0.25">
      <c r="B13" s="28" t="s">
        <v>9</v>
      </c>
      <c r="C13" s="28">
        <v>1</v>
      </c>
      <c r="D13" s="28">
        <v>42</v>
      </c>
    </row>
    <row r="14" spans="2:4" x14ac:dyDescent="0.25">
      <c r="B14" s="28" t="s">
        <v>9</v>
      </c>
      <c r="C14" s="28">
        <v>2</v>
      </c>
      <c r="D14" s="28">
        <v>44</v>
      </c>
    </row>
    <row r="15" spans="2:4" x14ac:dyDescent="0.25">
      <c r="B15" s="28" t="s">
        <v>9</v>
      </c>
      <c r="C15" s="28">
        <v>1</v>
      </c>
      <c r="D15" s="28">
        <v>42</v>
      </c>
    </row>
    <row r="16" spans="2:4" x14ac:dyDescent="0.25">
      <c r="B16" s="28" t="s">
        <v>9</v>
      </c>
      <c r="C16" s="28">
        <v>2</v>
      </c>
      <c r="D16" s="28">
        <v>45</v>
      </c>
    </row>
    <row r="17" spans="2:4" x14ac:dyDescent="0.25">
      <c r="B17" s="28" t="s">
        <v>9</v>
      </c>
      <c r="C17" s="28">
        <v>3</v>
      </c>
      <c r="D17" s="28">
        <v>40</v>
      </c>
    </row>
    <row r="18" spans="2:4" x14ac:dyDescent="0.25">
      <c r="B18" s="28" t="s">
        <v>9</v>
      </c>
      <c r="C18" s="28">
        <v>4</v>
      </c>
      <c r="D18" s="28">
        <v>40</v>
      </c>
    </row>
    <row r="19" spans="2:4" x14ac:dyDescent="0.25">
      <c r="B19" s="28" t="s">
        <v>9</v>
      </c>
      <c r="C19" s="28">
        <v>4</v>
      </c>
      <c r="D19" s="28">
        <v>37</v>
      </c>
    </row>
    <row r="20" spans="2:4" x14ac:dyDescent="0.25">
      <c r="B20" s="28" t="s">
        <v>9</v>
      </c>
      <c r="C20" s="28">
        <v>3</v>
      </c>
      <c r="D20" s="28">
        <v>37</v>
      </c>
    </row>
    <row r="21" spans="2:4" x14ac:dyDescent="0.25">
      <c r="B21" s="28" t="s">
        <v>9</v>
      </c>
      <c r="C21" s="28">
        <v>2</v>
      </c>
      <c r="D21" s="28">
        <v>33</v>
      </c>
    </row>
    <row r="22" spans="2:4" x14ac:dyDescent="0.25">
      <c r="B22" s="28" t="s">
        <v>71</v>
      </c>
      <c r="C22" s="28">
        <v>3</v>
      </c>
      <c r="D22" s="28">
        <v>31</v>
      </c>
    </row>
    <row r="23" spans="2:4" x14ac:dyDescent="0.25">
      <c r="B23" s="28" t="s">
        <v>9</v>
      </c>
      <c r="C23" s="28">
        <v>3</v>
      </c>
      <c r="D23" s="28">
        <v>32</v>
      </c>
    </row>
    <row r="24" spans="2:4" x14ac:dyDescent="0.25">
      <c r="B24" s="30" t="s">
        <v>70</v>
      </c>
      <c r="C24" s="30">
        <f>SUM(C3:C23)</f>
        <v>54</v>
      </c>
      <c r="D24" s="30">
        <f>AVERAGE(D3:D23)</f>
        <v>38.904761904761905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0443-8C49-4DEB-BDA3-016897064C42}">
  <dimension ref="B2:H85"/>
  <sheetViews>
    <sheetView zoomScale="115" zoomScaleNormal="115" workbookViewId="0">
      <selection activeCell="B77" activeCellId="3" sqref="B26:D26 B43:D43 B60:D60 B77:D77"/>
    </sheetView>
  </sheetViews>
  <sheetFormatPr baseColWidth="10" defaultRowHeight="15" x14ac:dyDescent="0.25"/>
  <cols>
    <col min="2" max="5" width="16.7109375" customWidth="1"/>
  </cols>
  <sheetData>
    <row r="2" spans="2:8" x14ac:dyDescent="0.25">
      <c r="C2" s="43" t="s">
        <v>16</v>
      </c>
      <c r="D2" s="43"/>
    </row>
    <row r="3" spans="2:8" x14ac:dyDescent="0.25">
      <c r="C3" s="43" t="s">
        <v>17</v>
      </c>
      <c r="D3" s="43"/>
    </row>
    <row r="4" spans="2:8" ht="15.75" x14ac:dyDescent="0.25">
      <c r="B4" s="1" t="s">
        <v>0</v>
      </c>
      <c r="C4" s="1" t="s">
        <v>1</v>
      </c>
      <c r="D4" s="1" t="s">
        <v>2</v>
      </c>
      <c r="E4" s="1" t="s">
        <v>3</v>
      </c>
      <c r="G4" s="7" t="s">
        <v>57</v>
      </c>
      <c r="H4" s="7">
        <f>SUM(C17,C34,C51,C68,C85)</f>
        <v>35</v>
      </c>
    </row>
    <row r="5" spans="2:8" ht="15.75" x14ac:dyDescent="0.25">
      <c r="B5" s="2" t="s">
        <v>7</v>
      </c>
      <c r="C5" s="2"/>
      <c r="D5" s="2"/>
      <c r="E5" s="2"/>
      <c r="G5" s="7" t="s">
        <v>56</v>
      </c>
      <c r="H5" s="7">
        <f>AVERAGE(D17,D34,D51,D68,D85)</f>
        <v>41.526666666666671</v>
      </c>
    </row>
    <row r="6" spans="2:8" x14ac:dyDescent="0.25">
      <c r="B6" s="2" t="s">
        <v>10</v>
      </c>
      <c r="C6" s="2"/>
      <c r="D6" s="2"/>
      <c r="E6" s="2"/>
    </row>
    <row r="7" spans="2:8" x14ac:dyDescent="0.25">
      <c r="B7" s="2" t="s">
        <v>13</v>
      </c>
      <c r="C7" s="2"/>
      <c r="D7" s="2"/>
      <c r="E7" s="2"/>
    </row>
    <row r="8" spans="2:8" x14ac:dyDescent="0.25">
      <c r="B8" s="2" t="s">
        <v>6</v>
      </c>
      <c r="C8" s="2"/>
      <c r="D8" s="2"/>
      <c r="E8" s="2"/>
    </row>
    <row r="9" spans="2:8" x14ac:dyDescent="0.25">
      <c r="B9" s="2" t="s">
        <v>8</v>
      </c>
      <c r="C9" s="2"/>
      <c r="D9" s="2"/>
      <c r="E9" s="2"/>
    </row>
    <row r="10" spans="2:8" x14ac:dyDescent="0.25">
      <c r="B10" s="2" t="s">
        <v>4</v>
      </c>
      <c r="C10" s="2"/>
      <c r="D10" s="2"/>
      <c r="E10" s="2"/>
    </row>
    <row r="11" spans="2:8" x14ac:dyDescent="0.25">
      <c r="B11" s="2" t="s">
        <v>5</v>
      </c>
      <c r="C11" s="2">
        <v>1</v>
      </c>
      <c r="D11" s="2">
        <v>50</v>
      </c>
      <c r="E11" s="2"/>
    </row>
    <row r="12" spans="2:8" x14ac:dyDescent="0.25">
      <c r="B12" s="2" t="s">
        <v>14</v>
      </c>
      <c r="C12" s="2"/>
      <c r="D12" s="2"/>
      <c r="E12" s="2"/>
    </row>
    <row r="13" spans="2:8" x14ac:dyDescent="0.25">
      <c r="B13" s="2" t="s">
        <v>15</v>
      </c>
      <c r="C13" s="2"/>
      <c r="D13" s="2"/>
      <c r="E13" s="2"/>
    </row>
    <row r="14" spans="2:8" x14ac:dyDescent="0.25">
      <c r="B14" s="2" t="s">
        <v>12</v>
      </c>
      <c r="C14" s="2"/>
      <c r="D14" s="2"/>
      <c r="E14" s="2"/>
    </row>
    <row r="15" spans="2:8" x14ac:dyDescent="0.25">
      <c r="B15" s="2" t="s">
        <v>9</v>
      </c>
      <c r="C15" s="2"/>
      <c r="D15" s="2"/>
      <c r="E15" s="2"/>
    </row>
    <row r="16" spans="2:8" x14ac:dyDescent="0.25">
      <c r="B16" s="2" t="s">
        <v>11</v>
      </c>
      <c r="C16" s="2"/>
      <c r="D16" s="2"/>
      <c r="E16" s="2"/>
    </row>
    <row r="17" spans="2:5" x14ac:dyDescent="0.25">
      <c r="B17" s="2"/>
      <c r="C17" s="2">
        <f>SUBTOTAL(109,Tabla11523273539[Transporte])</f>
        <v>1</v>
      </c>
      <c r="D17" s="2">
        <f>SUBTOTAL(101,Tabla11523273539[Precios])</f>
        <v>50</v>
      </c>
      <c r="E17" s="2"/>
    </row>
    <row r="19" spans="2:5" x14ac:dyDescent="0.25">
      <c r="C19" s="43" t="s">
        <v>22</v>
      </c>
      <c r="D19" s="43"/>
    </row>
    <row r="20" spans="2:5" x14ac:dyDescent="0.25">
      <c r="C20" s="43" t="s">
        <v>18</v>
      </c>
      <c r="D20" s="43"/>
    </row>
    <row r="21" spans="2: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x14ac:dyDescent="0.25">
      <c r="B22" t="s">
        <v>7</v>
      </c>
      <c r="C22">
        <v>1</v>
      </c>
      <c r="D22">
        <v>40</v>
      </c>
    </row>
    <row r="23" spans="2:5" x14ac:dyDescent="0.25">
      <c r="B23" t="s">
        <v>10</v>
      </c>
    </row>
    <row r="24" spans="2:5" x14ac:dyDescent="0.25">
      <c r="B24" t="s">
        <v>13</v>
      </c>
    </row>
    <row r="25" spans="2:5" x14ac:dyDescent="0.25">
      <c r="B25" t="s">
        <v>6</v>
      </c>
      <c r="C25">
        <v>1</v>
      </c>
      <c r="D25">
        <v>40</v>
      </c>
    </row>
    <row r="26" spans="2:5" x14ac:dyDescent="0.25">
      <c r="B26" t="s">
        <v>8</v>
      </c>
      <c r="C26">
        <v>2</v>
      </c>
      <c r="D26">
        <v>40</v>
      </c>
    </row>
    <row r="27" spans="2:5" x14ac:dyDescent="0.25">
      <c r="B27" t="s">
        <v>4</v>
      </c>
      <c r="C27">
        <v>2</v>
      </c>
      <c r="D27">
        <v>40</v>
      </c>
    </row>
    <row r="28" spans="2:5" x14ac:dyDescent="0.25">
      <c r="B28" t="s">
        <v>5</v>
      </c>
      <c r="C28">
        <v>1</v>
      </c>
      <c r="D28">
        <v>40</v>
      </c>
    </row>
    <row r="29" spans="2:5" x14ac:dyDescent="0.25">
      <c r="B29" t="s">
        <v>14</v>
      </c>
    </row>
    <row r="30" spans="2:5" x14ac:dyDescent="0.25">
      <c r="B30" t="s">
        <v>15</v>
      </c>
    </row>
    <row r="31" spans="2:5" x14ac:dyDescent="0.25">
      <c r="B31" t="s">
        <v>12</v>
      </c>
    </row>
    <row r="32" spans="2:5" x14ac:dyDescent="0.25">
      <c r="B32" t="s">
        <v>9</v>
      </c>
      <c r="C32">
        <v>1</v>
      </c>
      <c r="D32">
        <v>40</v>
      </c>
    </row>
    <row r="33" spans="2:5" x14ac:dyDescent="0.25">
      <c r="B33" t="s">
        <v>11</v>
      </c>
    </row>
    <row r="34" spans="2:5" x14ac:dyDescent="0.25">
      <c r="C34">
        <f>SUBTOTAL(109,Tabla141624303842[Transporte])</f>
        <v>8</v>
      </c>
      <c r="D34">
        <f>SUBTOTAL(101,Tabla141624303842[Precios])</f>
        <v>40</v>
      </c>
    </row>
    <row r="36" spans="2:5" x14ac:dyDescent="0.25">
      <c r="C36" s="43" t="s">
        <v>23</v>
      </c>
      <c r="D36" s="43"/>
    </row>
    <row r="37" spans="2:5" x14ac:dyDescent="0.25">
      <c r="C37" s="43" t="s">
        <v>19</v>
      </c>
      <c r="D37" s="43"/>
    </row>
    <row r="38" spans="2:5" x14ac:dyDescent="0.25">
      <c r="B38" s="1" t="s">
        <v>0</v>
      </c>
      <c r="C38" s="1" t="s">
        <v>1</v>
      </c>
      <c r="D38" s="1" t="s">
        <v>2</v>
      </c>
      <c r="E38" s="1" t="s">
        <v>3</v>
      </c>
    </row>
    <row r="39" spans="2:5" x14ac:dyDescent="0.25">
      <c r="B39" t="s">
        <v>7</v>
      </c>
      <c r="C39">
        <v>1</v>
      </c>
      <c r="D39">
        <v>42</v>
      </c>
    </row>
    <row r="40" spans="2:5" x14ac:dyDescent="0.25">
      <c r="B40" t="s">
        <v>10</v>
      </c>
    </row>
    <row r="41" spans="2:5" x14ac:dyDescent="0.25">
      <c r="B41" t="s">
        <v>13</v>
      </c>
    </row>
    <row r="42" spans="2:5" x14ac:dyDescent="0.25">
      <c r="B42" t="s">
        <v>6</v>
      </c>
    </row>
    <row r="43" spans="2:5" x14ac:dyDescent="0.25">
      <c r="B43" t="s">
        <v>8</v>
      </c>
      <c r="C43">
        <v>1</v>
      </c>
      <c r="D43">
        <v>40</v>
      </c>
    </row>
    <row r="44" spans="2:5" x14ac:dyDescent="0.25">
      <c r="B44" t="s">
        <v>4</v>
      </c>
      <c r="C44">
        <v>2</v>
      </c>
      <c r="D44">
        <v>43</v>
      </c>
    </row>
    <row r="45" spans="2:5" x14ac:dyDescent="0.25">
      <c r="B45" t="s">
        <v>5</v>
      </c>
      <c r="C45">
        <v>1</v>
      </c>
      <c r="D45">
        <v>42</v>
      </c>
    </row>
    <row r="46" spans="2:5" x14ac:dyDescent="0.25">
      <c r="B46" t="s">
        <v>14</v>
      </c>
    </row>
    <row r="47" spans="2:5" x14ac:dyDescent="0.25">
      <c r="B47" t="s">
        <v>15</v>
      </c>
    </row>
    <row r="48" spans="2:5" x14ac:dyDescent="0.25">
      <c r="B48" t="s">
        <v>12</v>
      </c>
    </row>
    <row r="49" spans="2:5" x14ac:dyDescent="0.25">
      <c r="B49" t="s">
        <v>9</v>
      </c>
      <c r="C49">
        <v>1</v>
      </c>
      <c r="D49">
        <v>42</v>
      </c>
    </row>
    <row r="50" spans="2:5" x14ac:dyDescent="0.25">
      <c r="B50" t="s">
        <v>11</v>
      </c>
    </row>
    <row r="51" spans="2:5" x14ac:dyDescent="0.25">
      <c r="C51">
        <f>SUBTOTAL(109,Tabla151725283640[Transporte])</f>
        <v>6</v>
      </c>
      <c r="D51">
        <f>SUBTOTAL(101,Tabla151725283640[Precios])</f>
        <v>41.8</v>
      </c>
    </row>
    <row r="53" spans="2:5" x14ac:dyDescent="0.25">
      <c r="C53" s="43" t="s">
        <v>24</v>
      </c>
      <c r="D53" s="43"/>
    </row>
    <row r="54" spans="2:5" x14ac:dyDescent="0.25">
      <c r="C54" s="43" t="s">
        <v>20</v>
      </c>
      <c r="D54" s="43"/>
    </row>
    <row r="55" spans="2:5" x14ac:dyDescent="0.25">
      <c r="B55" s="1" t="s">
        <v>0</v>
      </c>
      <c r="C55" s="1" t="s">
        <v>1</v>
      </c>
      <c r="D55" s="1" t="s">
        <v>2</v>
      </c>
      <c r="E55" s="1" t="s">
        <v>3</v>
      </c>
    </row>
    <row r="56" spans="2:5" x14ac:dyDescent="0.25">
      <c r="B56" t="s">
        <v>7</v>
      </c>
      <c r="C56">
        <v>1</v>
      </c>
      <c r="D56">
        <v>40</v>
      </c>
    </row>
    <row r="57" spans="2:5" x14ac:dyDescent="0.25">
      <c r="B57" t="s">
        <v>10</v>
      </c>
    </row>
    <row r="58" spans="2:5" x14ac:dyDescent="0.25">
      <c r="B58" t="s">
        <v>13</v>
      </c>
    </row>
    <row r="59" spans="2:5" x14ac:dyDescent="0.25">
      <c r="B59" t="s">
        <v>6</v>
      </c>
      <c r="C59">
        <v>1</v>
      </c>
      <c r="D59">
        <v>40</v>
      </c>
    </row>
    <row r="60" spans="2:5" x14ac:dyDescent="0.25">
      <c r="B60" t="s">
        <v>8</v>
      </c>
      <c r="C60">
        <v>1</v>
      </c>
      <c r="D60">
        <v>40</v>
      </c>
    </row>
    <row r="61" spans="2:5" x14ac:dyDescent="0.25">
      <c r="B61" t="s">
        <v>4</v>
      </c>
      <c r="C61">
        <v>2</v>
      </c>
      <c r="D61">
        <v>43</v>
      </c>
    </row>
    <row r="62" spans="2:5" x14ac:dyDescent="0.25">
      <c r="B62" t="s">
        <v>5</v>
      </c>
      <c r="C62">
        <v>2</v>
      </c>
      <c r="D62">
        <v>40</v>
      </c>
    </row>
    <row r="63" spans="2:5" x14ac:dyDescent="0.25">
      <c r="B63" t="s">
        <v>14</v>
      </c>
    </row>
    <row r="64" spans="2:5" x14ac:dyDescent="0.25">
      <c r="B64" t="s">
        <v>15</v>
      </c>
    </row>
    <row r="65" spans="2:5" x14ac:dyDescent="0.25">
      <c r="B65" t="s">
        <v>12</v>
      </c>
    </row>
    <row r="66" spans="2:5" x14ac:dyDescent="0.25">
      <c r="B66" t="s">
        <v>9</v>
      </c>
      <c r="C66">
        <v>3</v>
      </c>
      <c r="D66">
        <v>40</v>
      </c>
    </row>
    <row r="67" spans="2:5" x14ac:dyDescent="0.25">
      <c r="B67" t="s">
        <v>11</v>
      </c>
    </row>
    <row r="68" spans="2:5" x14ac:dyDescent="0.25">
      <c r="C68">
        <f>SUBTOTAL(109,Tabla161826293741[Transporte])</f>
        <v>10</v>
      </c>
      <c r="D68">
        <f>SUBTOTAL(101,Tabla161826293741[Precios])</f>
        <v>40.5</v>
      </c>
    </row>
    <row r="70" spans="2:5" x14ac:dyDescent="0.25">
      <c r="C70" s="43" t="s">
        <v>25</v>
      </c>
      <c r="D70" s="43"/>
    </row>
    <row r="71" spans="2:5" x14ac:dyDescent="0.25">
      <c r="C71" s="43" t="s">
        <v>21</v>
      </c>
      <c r="D71" s="43"/>
    </row>
    <row r="72" spans="2:5" x14ac:dyDescent="0.25">
      <c r="B72" s="1" t="s">
        <v>0</v>
      </c>
      <c r="C72" s="1" t="s">
        <v>1</v>
      </c>
      <c r="D72" s="1" t="s">
        <v>2</v>
      </c>
      <c r="E72" s="1" t="s">
        <v>3</v>
      </c>
    </row>
    <row r="73" spans="2:5" x14ac:dyDescent="0.25">
      <c r="B73" s="2" t="s">
        <v>7</v>
      </c>
      <c r="C73" s="2">
        <v>1</v>
      </c>
      <c r="D73" s="2">
        <v>37</v>
      </c>
      <c r="E73" s="2"/>
    </row>
    <row r="74" spans="2:5" x14ac:dyDescent="0.25">
      <c r="B74" s="2" t="s">
        <v>10</v>
      </c>
      <c r="C74" s="2"/>
      <c r="D74" s="2"/>
      <c r="E74" s="2"/>
    </row>
    <row r="75" spans="2:5" x14ac:dyDescent="0.25">
      <c r="B75" s="2" t="s">
        <v>13</v>
      </c>
      <c r="C75" s="2"/>
      <c r="D75" s="2"/>
      <c r="E75" s="2"/>
    </row>
    <row r="76" spans="2:5" x14ac:dyDescent="0.25">
      <c r="B76" s="2" t="s">
        <v>6</v>
      </c>
      <c r="C76" s="2">
        <v>1</v>
      </c>
      <c r="D76" s="2">
        <v>33</v>
      </c>
      <c r="E76" s="2"/>
    </row>
    <row r="77" spans="2:5" x14ac:dyDescent="0.25">
      <c r="B77" s="2" t="s">
        <v>8</v>
      </c>
      <c r="C77" s="2">
        <v>1</v>
      </c>
      <c r="D77" s="2">
        <v>35</v>
      </c>
      <c r="E77" s="2"/>
    </row>
    <row r="78" spans="2:5" x14ac:dyDescent="0.25">
      <c r="B78" s="2" t="s">
        <v>4</v>
      </c>
      <c r="C78" s="2">
        <v>2</v>
      </c>
      <c r="D78" s="2">
        <v>37</v>
      </c>
      <c r="E78" s="2"/>
    </row>
    <row r="79" spans="2:5" x14ac:dyDescent="0.25">
      <c r="B79" s="2" t="s">
        <v>5</v>
      </c>
      <c r="C79" s="2">
        <v>2</v>
      </c>
      <c r="D79" s="2">
        <v>35</v>
      </c>
      <c r="E79" s="2"/>
    </row>
    <row r="80" spans="2:5" x14ac:dyDescent="0.25">
      <c r="B80" s="2" t="s">
        <v>14</v>
      </c>
      <c r="C80" s="2"/>
      <c r="D80" s="2"/>
      <c r="E80" s="2"/>
    </row>
    <row r="81" spans="2:5" x14ac:dyDescent="0.25">
      <c r="B81" s="2" t="s">
        <v>15</v>
      </c>
      <c r="C81" s="2"/>
      <c r="D81" s="2"/>
      <c r="E81" s="2"/>
    </row>
    <row r="82" spans="2:5" x14ac:dyDescent="0.25">
      <c r="B82" s="2" t="s">
        <v>12</v>
      </c>
      <c r="C82" s="2"/>
      <c r="D82" s="2"/>
      <c r="E82" s="2"/>
    </row>
    <row r="83" spans="2:5" x14ac:dyDescent="0.25">
      <c r="B83" s="2" t="s">
        <v>9</v>
      </c>
      <c r="C83" s="2">
        <v>3</v>
      </c>
      <c r="D83" s="2">
        <v>35</v>
      </c>
      <c r="E83" s="2"/>
    </row>
    <row r="84" spans="2:5" x14ac:dyDescent="0.25">
      <c r="B84" s="2" t="s">
        <v>11</v>
      </c>
      <c r="C84" s="2"/>
      <c r="D84" s="2"/>
      <c r="E84" s="2"/>
    </row>
    <row r="85" spans="2:5" x14ac:dyDescent="0.25">
      <c r="B85" s="2"/>
      <c r="C85" s="2">
        <f>SUBTOTAL(109,Tabla1152327353945[Transporte])</f>
        <v>10</v>
      </c>
      <c r="D85" s="2">
        <f>SUBTOTAL(101,Tabla1152327353945[Precios])</f>
        <v>35.333333333333336</v>
      </c>
      <c r="E85" s="2"/>
    </row>
  </sheetData>
  <mergeCells count="10">
    <mergeCell ref="C54:D54"/>
    <mergeCell ref="C70:D70"/>
    <mergeCell ref="C71:D71"/>
    <mergeCell ref="C2:D2"/>
    <mergeCell ref="C19:D19"/>
    <mergeCell ref="C36:D36"/>
    <mergeCell ref="C53:D53"/>
    <mergeCell ref="C3:D3"/>
    <mergeCell ref="C20:D20"/>
    <mergeCell ref="C37:D37"/>
  </mergeCells>
  <conditionalFormatting sqref="B4:E18 B19 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17">
    <cfRule type="colorScale" priority="1">
      <colorScale>
        <cfvo type="min"/>
        <cfvo type="max"/>
        <color rgb="FFFFEF9C"/>
        <color rgb="FF63BE7B"/>
      </colorScale>
    </cfRule>
  </conditionalFormatting>
  <conditionalFormatting sqref="B22:E34">
    <cfRule type="colorScale" priority="4">
      <colorScale>
        <cfvo type="min"/>
        <cfvo type="max"/>
        <color rgb="FFFFEF9C"/>
        <color rgb="FF63BE7B"/>
      </colorScale>
    </cfRule>
  </conditionalFormatting>
  <conditionalFormatting sqref="B39:E50">
    <cfRule type="colorScale" priority="3">
      <colorScale>
        <cfvo type="min"/>
        <cfvo type="max"/>
        <color rgb="FFFFEF9C"/>
        <color rgb="FF63BE7B"/>
      </colorScale>
    </cfRule>
  </conditionalFormatting>
  <conditionalFormatting sqref="B56:E67">
    <cfRule type="colorScale" priority="2">
      <colorScale>
        <cfvo type="min"/>
        <cfvo type="max"/>
        <color rgb="FFFFEF9C"/>
        <color rgb="FF63BE7B"/>
      </colorScale>
    </cfRule>
  </conditionalFormatting>
  <conditionalFormatting sqref="B72:E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65D4-896B-4F68-96C5-0D088D8D0454}">
  <dimension ref="B2:J101"/>
  <sheetViews>
    <sheetView zoomScale="115" zoomScaleNormal="115" workbookViewId="0">
      <selection activeCell="B87" activeCellId="3" sqref="B11:D13 B36:D36 B63:D64 B87:D88"/>
    </sheetView>
  </sheetViews>
  <sheetFormatPr baseColWidth="10" defaultRowHeight="15" x14ac:dyDescent="0.25"/>
  <cols>
    <col min="2" max="2" width="16.42578125" customWidth="1"/>
    <col min="3" max="4" width="11.28515625" customWidth="1"/>
    <col min="5" max="6" width="14.42578125" customWidth="1"/>
    <col min="7" max="7" width="18.42578125" hidden="1" customWidth="1"/>
    <col min="8" max="8" width="8.28515625" customWidth="1"/>
    <col min="9" max="9" width="13.28515625" customWidth="1"/>
  </cols>
  <sheetData>
    <row r="2" spans="2:10" x14ac:dyDescent="0.25">
      <c r="C2" s="43" t="s">
        <v>26</v>
      </c>
      <c r="D2" s="43"/>
    </row>
    <row r="3" spans="2:10" x14ac:dyDescent="0.25">
      <c r="C3" s="43" t="s">
        <v>27</v>
      </c>
      <c r="D3" s="43"/>
      <c r="H3" s="1"/>
    </row>
    <row r="4" spans="2:10" x14ac:dyDescent="0.2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</row>
    <row r="5" spans="2:10" x14ac:dyDescent="0.25">
      <c r="B5" s="2" t="s">
        <v>7</v>
      </c>
      <c r="C5" s="2">
        <v>1</v>
      </c>
      <c r="D5" s="2">
        <v>35</v>
      </c>
      <c r="E5" s="2" t="s">
        <v>43</v>
      </c>
      <c r="F5" s="5"/>
      <c r="G5" s="3"/>
    </row>
    <row r="6" spans="2:10" ht="15.75" x14ac:dyDescent="0.25">
      <c r="B6" s="2" t="s">
        <v>7</v>
      </c>
      <c r="C6" s="2">
        <v>1</v>
      </c>
      <c r="D6" s="2">
        <v>35</v>
      </c>
      <c r="E6" s="2" t="s">
        <v>43</v>
      </c>
      <c r="F6" s="3"/>
      <c r="G6" s="3"/>
      <c r="I6" s="8" t="s">
        <v>57</v>
      </c>
      <c r="J6" s="8">
        <f>SUM(Tabla1152327353946[[#Totals],[Carretas]]+Tabla15172528364047[[#Totals],[Carretas]]+Tabla16182629374148[[#Totals],[Carretas]]+Tabla14162430384249[[#Totals],[Carretas]])</f>
        <v>63</v>
      </c>
    </row>
    <row r="7" spans="2:10" ht="15.75" x14ac:dyDescent="0.25">
      <c r="B7" s="2" t="s">
        <v>10</v>
      </c>
      <c r="C7" s="2">
        <v>1</v>
      </c>
      <c r="D7" s="2">
        <v>33</v>
      </c>
      <c r="E7" s="2" t="s">
        <v>44</v>
      </c>
      <c r="F7" s="3"/>
      <c r="G7" s="3"/>
      <c r="I7" s="8" t="s">
        <v>58</v>
      </c>
      <c r="J7" s="8">
        <f>AVERAGE(D27,D51,D78,D101)</f>
        <v>37.1259559154296</v>
      </c>
    </row>
    <row r="8" spans="2:10" x14ac:dyDescent="0.25">
      <c r="B8" s="2" t="s">
        <v>13</v>
      </c>
      <c r="C8" s="2"/>
      <c r="D8" s="2"/>
      <c r="E8" s="2"/>
      <c r="F8" s="3"/>
      <c r="G8" s="3"/>
    </row>
    <row r="9" spans="2:10" x14ac:dyDescent="0.25">
      <c r="B9" s="2" t="s">
        <v>6</v>
      </c>
      <c r="C9" s="2">
        <v>1</v>
      </c>
      <c r="D9" s="2">
        <v>30</v>
      </c>
      <c r="E9" s="2" t="s">
        <v>43</v>
      </c>
      <c r="F9" s="3"/>
      <c r="G9" s="3"/>
    </row>
    <row r="10" spans="2:10" x14ac:dyDescent="0.25">
      <c r="B10" s="2" t="s">
        <v>6</v>
      </c>
      <c r="C10" s="2">
        <v>1</v>
      </c>
      <c r="D10" s="2">
        <v>30</v>
      </c>
      <c r="E10" s="2" t="s">
        <v>45</v>
      </c>
      <c r="F10" s="3"/>
      <c r="G10" s="3"/>
    </row>
    <row r="11" spans="2:10" x14ac:dyDescent="0.25">
      <c r="B11" s="2" t="s">
        <v>8</v>
      </c>
      <c r="C11" s="2">
        <v>1</v>
      </c>
      <c r="D11" s="2">
        <v>35</v>
      </c>
      <c r="E11" s="2" t="s">
        <v>43</v>
      </c>
      <c r="F11" s="3"/>
      <c r="G11" s="3"/>
    </row>
    <row r="12" spans="2:10" x14ac:dyDescent="0.25">
      <c r="B12" s="2" t="s">
        <v>8</v>
      </c>
      <c r="C12" s="2">
        <v>1</v>
      </c>
      <c r="D12" s="2">
        <v>35</v>
      </c>
      <c r="E12" s="2" t="s">
        <v>45</v>
      </c>
      <c r="F12" s="3"/>
      <c r="G12" s="3"/>
    </row>
    <row r="13" spans="2:10" x14ac:dyDescent="0.25">
      <c r="B13" s="2" t="s">
        <v>8</v>
      </c>
      <c r="C13" s="2">
        <v>1</v>
      </c>
      <c r="D13" s="2">
        <v>33</v>
      </c>
      <c r="E13" s="2" t="s">
        <v>45</v>
      </c>
      <c r="F13" s="3"/>
      <c r="G13" s="3"/>
    </row>
    <row r="14" spans="2:10" x14ac:dyDescent="0.25">
      <c r="B14" s="2" t="s">
        <v>4</v>
      </c>
      <c r="C14" s="2">
        <v>1</v>
      </c>
      <c r="D14" s="2">
        <v>35</v>
      </c>
      <c r="E14" s="2" t="s">
        <v>45</v>
      </c>
      <c r="F14" s="3"/>
      <c r="G14" s="3"/>
    </row>
    <row r="15" spans="2:10" x14ac:dyDescent="0.25">
      <c r="B15" s="2" t="s">
        <v>4</v>
      </c>
      <c r="C15" s="2">
        <v>1</v>
      </c>
      <c r="D15" s="2">
        <v>35</v>
      </c>
      <c r="E15" s="2" t="s">
        <v>45</v>
      </c>
      <c r="F15" s="3"/>
      <c r="G15" s="3"/>
    </row>
    <row r="16" spans="2:10" x14ac:dyDescent="0.25">
      <c r="B16" s="2" t="s">
        <v>4</v>
      </c>
      <c r="C16" s="2">
        <v>1</v>
      </c>
      <c r="D16" s="2">
        <v>35</v>
      </c>
      <c r="E16" s="2" t="s">
        <v>44</v>
      </c>
      <c r="F16" s="3"/>
      <c r="G16" s="3"/>
    </row>
    <row r="17" spans="2:8" x14ac:dyDescent="0.25">
      <c r="B17" s="2" t="s">
        <v>5</v>
      </c>
      <c r="C17" s="2">
        <v>1</v>
      </c>
      <c r="D17" s="2">
        <v>35</v>
      </c>
      <c r="E17" s="2" t="s">
        <v>44</v>
      </c>
      <c r="F17" s="3"/>
      <c r="G17" s="3"/>
    </row>
    <row r="18" spans="2:8" x14ac:dyDescent="0.25">
      <c r="B18" s="2" t="s">
        <v>5</v>
      </c>
      <c r="C18" s="2">
        <v>1</v>
      </c>
      <c r="D18" s="2">
        <v>35</v>
      </c>
      <c r="E18" s="2" t="s">
        <v>44</v>
      </c>
      <c r="F18" s="3"/>
      <c r="G18" s="3"/>
    </row>
    <row r="19" spans="2:8" x14ac:dyDescent="0.25">
      <c r="B19" s="2" t="s">
        <v>5</v>
      </c>
      <c r="C19" s="2">
        <v>1</v>
      </c>
      <c r="D19" s="2">
        <v>35</v>
      </c>
      <c r="E19" s="2" t="s">
        <v>46</v>
      </c>
      <c r="F19" s="3"/>
      <c r="G19" s="3"/>
    </row>
    <row r="20" spans="2:8" x14ac:dyDescent="0.25">
      <c r="B20" s="2" t="s">
        <v>14</v>
      </c>
      <c r="C20" s="2"/>
      <c r="D20" s="2"/>
      <c r="E20" s="2"/>
      <c r="F20" s="3"/>
      <c r="G20" s="3"/>
    </row>
    <row r="21" spans="2:8" x14ac:dyDescent="0.25">
      <c r="B21" s="2" t="s">
        <v>15</v>
      </c>
      <c r="C21" s="2"/>
      <c r="D21" s="2"/>
      <c r="E21" s="2"/>
      <c r="F21" s="3"/>
      <c r="G21" s="3"/>
    </row>
    <row r="22" spans="2:8" x14ac:dyDescent="0.25">
      <c r="B22" s="2" t="s">
        <v>12</v>
      </c>
      <c r="C22" s="2"/>
      <c r="D22" s="2"/>
      <c r="E22" s="2"/>
      <c r="F22" s="3"/>
      <c r="G22" s="3"/>
    </row>
    <row r="23" spans="2:8" x14ac:dyDescent="0.25">
      <c r="B23" s="2" t="s">
        <v>9</v>
      </c>
      <c r="C23" s="2">
        <v>1</v>
      </c>
      <c r="D23" s="2">
        <v>35</v>
      </c>
      <c r="E23" s="2" t="s">
        <v>44</v>
      </c>
      <c r="F23" s="3"/>
      <c r="G23" s="3"/>
    </row>
    <row r="24" spans="2:8" x14ac:dyDescent="0.25">
      <c r="B24" s="2" t="s">
        <v>9</v>
      </c>
      <c r="C24" s="2">
        <v>1</v>
      </c>
      <c r="D24" s="2">
        <v>35</v>
      </c>
      <c r="E24" s="2" t="s">
        <v>44</v>
      </c>
      <c r="F24" s="3"/>
      <c r="G24" s="3"/>
    </row>
    <row r="25" spans="2:8" x14ac:dyDescent="0.25">
      <c r="B25" s="2" t="s">
        <v>9</v>
      </c>
      <c r="C25" s="2">
        <v>1</v>
      </c>
      <c r="D25" s="2">
        <v>33</v>
      </c>
      <c r="E25" s="2" t="s">
        <v>44</v>
      </c>
      <c r="F25" s="3"/>
      <c r="G25" s="3"/>
    </row>
    <row r="26" spans="2:8" x14ac:dyDescent="0.25">
      <c r="B26" s="2" t="s">
        <v>11</v>
      </c>
      <c r="C26" s="2">
        <v>1</v>
      </c>
      <c r="D26" s="2">
        <v>35</v>
      </c>
      <c r="E26" s="2" t="s">
        <v>44</v>
      </c>
      <c r="F26" s="3"/>
      <c r="G26" s="3"/>
    </row>
    <row r="27" spans="2:8" x14ac:dyDescent="0.25">
      <c r="B27" s="2"/>
      <c r="C27" s="2">
        <f>SUBTOTAL(109,Tabla1152327353946[Carretas])</f>
        <v>18</v>
      </c>
      <c r="D27" s="2">
        <f>SUBTOTAL(101,Tabla1152327353946[Precios])</f>
        <v>34.111111111111114</v>
      </c>
      <c r="E27" s="2"/>
      <c r="F27" s="2"/>
      <c r="G27" s="2"/>
      <c r="H27" s="1"/>
    </row>
    <row r="29" spans="2:8" x14ac:dyDescent="0.25">
      <c r="C29" s="43" t="s">
        <v>28</v>
      </c>
      <c r="D29" s="43"/>
    </row>
    <row r="30" spans="2:8" x14ac:dyDescent="0.25">
      <c r="C30" s="43" t="s">
        <v>29</v>
      </c>
      <c r="D30" s="43"/>
    </row>
    <row r="31" spans="2:8" x14ac:dyDescent="0.25">
      <c r="B31" s="1" t="s">
        <v>0</v>
      </c>
      <c r="C31" s="1" t="s">
        <v>34</v>
      </c>
      <c r="D31" s="1" t="s">
        <v>2</v>
      </c>
      <c r="E31" s="1" t="s">
        <v>1</v>
      </c>
      <c r="F31" s="1" t="s">
        <v>41</v>
      </c>
      <c r="G31" s="1" t="s">
        <v>42</v>
      </c>
    </row>
    <row r="32" spans="2:8" x14ac:dyDescent="0.25">
      <c r="B32" t="s">
        <v>7</v>
      </c>
      <c r="C32">
        <v>1</v>
      </c>
      <c r="D32">
        <v>35</v>
      </c>
      <c r="E32" t="s">
        <v>43</v>
      </c>
    </row>
    <row r="33" spans="2:5" x14ac:dyDescent="0.25">
      <c r="B33" t="s">
        <v>10</v>
      </c>
      <c r="C33">
        <v>1</v>
      </c>
      <c r="D33">
        <v>30</v>
      </c>
      <c r="E33" t="s">
        <v>44</v>
      </c>
    </row>
    <row r="34" spans="2:5" x14ac:dyDescent="0.25">
      <c r="B34" t="s">
        <v>13</v>
      </c>
    </row>
    <row r="35" spans="2:5" x14ac:dyDescent="0.25">
      <c r="B35" t="s">
        <v>6</v>
      </c>
      <c r="C35">
        <v>1</v>
      </c>
      <c r="D35">
        <v>30</v>
      </c>
      <c r="E35" t="s">
        <v>45</v>
      </c>
    </row>
    <row r="36" spans="2:5" x14ac:dyDescent="0.25">
      <c r="B36" t="s">
        <v>8</v>
      </c>
      <c r="C36">
        <v>1</v>
      </c>
      <c r="D36">
        <v>33</v>
      </c>
      <c r="E36" t="s">
        <v>43</v>
      </c>
    </row>
    <row r="37" spans="2:5" x14ac:dyDescent="0.25">
      <c r="B37" t="s">
        <v>4</v>
      </c>
      <c r="C37">
        <v>1</v>
      </c>
      <c r="D37">
        <v>35</v>
      </c>
      <c r="E37" t="s">
        <v>44</v>
      </c>
    </row>
    <row r="38" spans="2:5" x14ac:dyDescent="0.25">
      <c r="B38" t="s">
        <v>4</v>
      </c>
      <c r="C38">
        <v>1</v>
      </c>
      <c r="D38">
        <v>35</v>
      </c>
      <c r="E38" t="s">
        <v>43</v>
      </c>
    </row>
    <row r="39" spans="2:5" x14ac:dyDescent="0.25">
      <c r="B39" t="s">
        <v>5</v>
      </c>
      <c r="C39">
        <v>1</v>
      </c>
      <c r="D39">
        <v>35</v>
      </c>
      <c r="E39" t="s">
        <v>44</v>
      </c>
    </row>
    <row r="40" spans="2:5" x14ac:dyDescent="0.25">
      <c r="B40" t="s">
        <v>5</v>
      </c>
      <c r="C40">
        <v>1</v>
      </c>
      <c r="D40">
        <v>35</v>
      </c>
      <c r="E40" t="s">
        <v>45</v>
      </c>
    </row>
    <row r="41" spans="2:5" x14ac:dyDescent="0.25">
      <c r="B41" t="s">
        <v>5</v>
      </c>
      <c r="C41">
        <v>1</v>
      </c>
      <c r="D41">
        <v>35</v>
      </c>
      <c r="E41" t="s">
        <v>45</v>
      </c>
    </row>
    <row r="42" spans="2:5" x14ac:dyDescent="0.25">
      <c r="B42" t="s">
        <v>5</v>
      </c>
      <c r="C42">
        <v>1</v>
      </c>
      <c r="D42">
        <v>35</v>
      </c>
      <c r="E42" t="s">
        <v>45</v>
      </c>
    </row>
    <row r="43" spans="2:5" x14ac:dyDescent="0.25">
      <c r="B43" t="s">
        <v>14</v>
      </c>
    </row>
    <row r="44" spans="2:5" x14ac:dyDescent="0.25">
      <c r="B44" t="s">
        <v>15</v>
      </c>
    </row>
    <row r="45" spans="2:5" x14ac:dyDescent="0.25">
      <c r="B45" t="s">
        <v>12</v>
      </c>
    </row>
    <row r="46" spans="2:5" x14ac:dyDescent="0.25">
      <c r="B46" t="s">
        <v>9</v>
      </c>
      <c r="C46">
        <v>1</v>
      </c>
      <c r="D46">
        <v>30</v>
      </c>
      <c r="E46" t="s">
        <v>44</v>
      </c>
    </row>
    <row r="47" spans="2:5" x14ac:dyDescent="0.25">
      <c r="B47" t="s">
        <v>9</v>
      </c>
      <c r="C47">
        <v>1</v>
      </c>
      <c r="D47">
        <v>30</v>
      </c>
      <c r="E47" t="s">
        <v>45</v>
      </c>
    </row>
    <row r="48" spans="2:5" x14ac:dyDescent="0.25">
      <c r="B48" t="s">
        <v>9</v>
      </c>
      <c r="C48">
        <v>1</v>
      </c>
      <c r="D48">
        <v>30</v>
      </c>
      <c r="E48" t="s">
        <v>46</v>
      </c>
    </row>
    <row r="49" spans="2:8" x14ac:dyDescent="0.25">
      <c r="B49" t="s">
        <v>9</v>
      </c>
    </row>
    <row r="50" spans="2:8" x14ac:dyDescent="0.25">
      <c r="B50" t="s">
        <v>11</v>
      </c>
    </row>
    <row r="51" spans="2:8" x14ac:dyDescent="0.25">
      <c r="C51">
        <f>SUBTOTAL(109,Tabla14162430384249[Carretas])</f>
        <v>13</v>
      </c>
      <c r="D51">
        <f>SUBTOTAL(101,Tabla14162430384249[Precios])</f>
        <v>32.92307692307692</v>
      </c>
    </row>
    <row r="53" spans="2:8" x14ac:dyDescent="0.25">
      <c r="C53" s="43" t="s">
        <v>30</v>
      </c>
      <c r="D53" s="43"/>
    </row>
    <row r="54" spans="2:8" x14ac:dyDescent="0.25">
      <c r="C54" s="43" t="s">
        <v>31</v>
      </c>
      <c r="D54" s="43"/>
      <c r="H54" s="1"/>
    </row>
    <row r="55" spans="2:8" x14ac:dyDescent="0.25">
      <c r="B55" s="1" t="s">
        <v>0</v>
      </c>
      <c r="C55" s="1" t="s">
        <v>34</v>
      </c>
      <c r="D55" s="1" t="s">
        <v>2</v>
      </c>
      <c r="E55" s="1" t="s">
        <v>1</v>
      </c>
      <c r="F55" s="1" t="s">
        <v>41</v>
      </c>
      <c r="G55" s="1" t="s">
        <v>42</v>
      </c>
    </row>
    <row r="56" spans="2:8" x14ac:dyDescent="0.25">
      <c r="B56" t="s">
        <v>7</v>
      </c>
      <c r="C56">
        <v>1</v>
      </c>
      <c r="D56">
        <v>41</v>
      </c>
      <c r="E56" t="s">
        <v>43</v>
      </c>
    </row>
    <row r="57" spans="2:8" x14ac:dyDescent="0.25">
      <c r="B57" t="s">
        <v>7</v>
      </c>
      <c r="C57">
        <v>1</v>
      </c>
      <c r="D57">
        <v>40</v>
      </c>
      <c r="E57" t="s">
        <v>43</v>
      </c>
    </row>
    <row r="58" spans="2:8" x14ac:dyDescent="0.25">
      <c r="B58" t="s">
        <v>10</v>
      </c>
      <c r="C58">
        <v>1</v>
      </c>
      <c r="D58">
        <v>38</v>
      </c>
      <c r="E58" t="s">
        <v>46</v>
      </c>
    </row>
    <row r="59" spans="2:8" x14ac:dyDescent="0.25">
      <c r="B59" t="s">
        <v>13</v>
      </c>
    </row>
    <row r="60" spans="2:8" x14ac:dyDescent="0.25">
      <c r="B60" t="s">
        <v>6</v>
      </c>
      <c r="C60">
        <v>1</v>
      </c>
      <c r="D60">
        <v>42</v>
      </c>
      <c r="E60" t="s">
        <v>46</v>
      </c>
    </row>
    <row r="61" spans="2:8" x14ac:dyDescent="0.25">
      <c r="B61" t="s">
        <v>6</v>
      </c>
      <c r="C61">
        <v>1</v>
      </c>
      <c r="D61">
        <v>42</v>
      </c>
      <c r="E61" t="s">
        <v>45</v>
      </c>
    </row>
    <row r="62" spans="2:8" x14ac:dyDescent="0.25">
      <c r="B62" t="s">
        <v>6</v>
      </c>
      <c r="C62">
        <v>1</v>
      </c>
      <c r="D62">
        <v>42</v>
      </c>
      <c r="E62" t="s">
        <v>45</v>
      </c>
    </row>
    <row r="63" spans="2:8" x14ac:dyDescent="0.25">
      <c r="B63" t="s">
        <v>8</v>
      </c>
      <c r="C63">
        <v>1</v>
      </c>
      <c r="D63">
        <v>40</v>
      </c>
      <c r="E63" t="s">
        <v>45</v>
      </c>
    </row>
    <row r="64" spans="2:8" x14ac:dyDescent="0.25">
      <c r="B64" t="s">
        <v>8</v>
      </c>
      <c r="C64">
        <v>1</v>
      </c>
      <c r="D64">
        <v>40</v>
      </c>
      <c r="E64" t="s">
        <v>45</v>
      </c>
    </row>
    <row r="65" spans="2:5" x14ac:dyDescent="0.25">
      <c r="B65" t="s">
        <v>4</v>
      </c>
      <c r="C65">
        <v>1</v>
      </c>
      <c r="D65">
        <v>42</v>
      </c>
      <c r="E65" t="s">
        <v>44</v>
      </c>
    </row>
    <row r="66" spans="2:5" x14ac:dyDescent="0.25">
      <c r="B66" t="s">
        <v>4</v>
      </c>
      <c r="C66">
        <v>1</v>
      </c>
      <c r="D66">
        <v>42</v>
      </c>
      <c r="E66" t="s">
        <v>44</v>
      </c>
    </row>
    <row r="67" spans="2:5" x14ac:dyDescent="0.25">
      <c r="B67" t="s">
        <v>5</v>
      </c>
      <c r="C67">
        <v>1</v>
      </c>
      <c r="D67">
        <v>42</v>
      </c>
      <c r="E67" t="s">
        <v>44</v>
      </c>
    </row>
    <row r="68" spans="2:5" x14ac:dyDescent="0.25">
      <c r="B68" t="s">
        <v>5</v>
      </c>
      <c r="C68">
        <v>1</v>
      </c>
      <c r="D68">
        <v>42</v>
      </c>
      <c r="E68" t="s">
        <v>44</v>
      </c>
    </row>
    <row r="69" spans="2:5" x14ac:dyDescent="0.25">
      <c r="B69" t="s">
        <v>5</v>
      </c>
      <c r="C69">
        <v>1</v>
      </c>
      <c r="D69">
        <v>40</v>
      </c>
      <c r="E69" t="s">
        <v>43</v>
      </c>
    </row>
    <row r="70" spans="2:5" x14ac:dyDescent="0.25">
      <c r="B70" t="s">
        <v>5</v>
      </c>
      <c r="C70">
        <v>1</v>
      </c>
      <c r="D70">
        <v>40</v>
      </c>
      <c r="E70" t="s">
        <v>45</v>
      </c>
    </row>
    <row r="71" spans="2:5" x14ac:dyDescent="0.25">
      <c r="B71" t="s">
        <v>14</v>
      </c>
    </row>
    <row r="72" spans="2:5" x14ac:dyDescent="0.25">
      <c r="B72" t="s">
        <v>15</v>
      </c>
      <c r="C72">
        <v>1</v>
      </c>
      <c r="D72">
        <v>50</v>
      </c>
      <c r="E72" t="s">
        <v>47</v>
      </c>
    </row>
    <row r="73" spans="2:5" x14ac:dyDescent="0.25">
      <c r="B73" t="s">
        <v>12</v>
      </c>
    </row>
    <row r="74" spans="2:5" x14ac:dyDescent="0.25">
      <c r="B74" t="s">
        <v>9</v>
      </c>
      <c r="C74">
        <v>1</v>
      </c>
      <c r="D74">
        <v>40</v>
      </c>
      <c r="E74" t="s">
        <v>43</v>
      </c>
    </row>
    <row r="75" spans="2:5" x14ac:dyDescent="0.25">
      <c r="B75" t="s">
        <v>9</v>
      </c>
      <c r="C75">
        <v>1</v>
      </c>
      <c r="D75">
        <v>40</v>
      </c>
      <c r="E75" t="s">
        <v>44</v>
      </c>
    </row>
    <row r="76" spans="2:5" x14ac:dyDescent="0.25">
      <c r="B76" t="s">
        <v>9</v>
      </c>
      <c r="C76">
        <v>1</v>
      </c>
      <c r="D76">
        <v>40</v>
      </c>
      <c r="E76" t="s">
        <v>45</v>
      </c>
    </row>
    <row r="77" spans="2:5" x14ac:dyDescent="0.25">
      <c r="B77" t="s">
        <v>11</v>
      </c>
      <c r="C77">
        <v>1</v>
      </c>
      <c r="D77">
        <v>42</v>
      </c>
    </row>
    <row r="78" spans="2:5" x14ac:dyDescent="0.25">
      <c r="C78">
        <f>SUBTOTAL(109,Tabla15172528364047[Carretas])</f>
        <v>19</v>
      </c>
      <c r="D78">
        <f>SUBTOTAL(101,Tabla15172528364047[Precios])</f>
        <v>41.315789473684212</v>
      </c>
    </row>
    <row r="80" spans="2:5" x14ac:dyDescent="0.25">
      <c r="C80" s="43" t="s">
        <v>32</v>
      </c>
      <c r="D80" s="43"/>
    </row>
    <row r="81" spans="2:8" x14ac:dyDescent="0.25">
      <c r="C81" s="43" t="s">
        <v>33</v>
      </c>
      <c r="D81" s="43"/>
    </row>
    <row r="82" spans="2:8" x14ac:dyDescent="0.25">
      <c r="B82" s="1" t="s">
        <v>0</v>
      </c>
      <c r="C82" s="1" t="s">
        <v>34</v>
      </c>
      <c r="D82" s="1" t="s">
        <v>2</v>
      </c>
      <c r="E82" s="1" t="s">
        <v>1</v>
      </c>
      <c r="F82" s="1" t="s">
        <v>41</v>
      </c>
      <c r="G82" s="1" t="s">
        <v>42</v>
      </c>
      <c r="H82" s="1"/>
    </row>
    <row r="83" spans="2:8" x14ac:dyDescent="0.25">
      <c r="B83" t="s">
        <v>7</v>
      </c>
      <c r="C83">
        <v>1</v>
      </c>
      <c r="D83">
        <v>40</v>
      </c>
      <c r="E83" t="s">
        <v>43</v>
      </c>
    </row>
    <row r="84" spans="2:8" x14ac:dyDescent="0.25">
      <c r="B84" t="s">
        <v>10</v>
      </c>
      <c r="C84">
        <v>1</v>
      </c>
      <c r="D84">
        <v>38</v>
      </c>
      <c r="E84" t="s">
        <v>43</v>
      </c>
    </row>
    <row r="85" spans="2:8" x14ac:dyDescent="0.25">
      <c r="B85" t="s">
        <v>13</v>
      </c>
    </row>
    <row r="86" spans="2:8" x14ac:dyDescent="0.25">
      <c r="B86" t="s">
        <v>6</v>
      </c>
      <c r="C86">
        <v>1</v>
      </c>
      <c r="D86">
        <v>40</v>
      </c>
      <c r="E86" t="s">
        <v>46</v>
      </c>
    </row>
    <row r="87" spans="2:8" x14ac:dyDescent="0.25">
      <c r="B87" t="s">
        <v>8</v>
      </c>
      <c r="C87">
        <v>1</v>
      </c>
      <c r="D87">
        <v>40</v>
      </c>
      <c r="E87" t="s">
        <v>45</v>
      </c>
    </row>
    <row r="88" spans="2:8" x14ac:dyDescent="0.25">
      <c r="B88" t="s">
        <v>8</v>
      </c>
      <c r="C88">
        <v>1</v>
      </c>
      <c r="D88">
        <v>40</v>
      </c>
      <c r="E88" t="s">
        <v>43</v>
      </c>
    </row>
    <row r="89" spans="2:8" x14ac:dyDescent="0.25">
      <c r="B89" t="s">
        <v>4</v>
      </c>
      <c r="C89">
        <v>1</v>
      </c>
      <c r="D89">
        <v>42</v>
      </c>
      <c r="E89" t="s">
        <v>46</v>
      </c>
    </row>
    <row r="90" spans="2:8" x14ac:dyDescent="0.25">
      <c r="B90" t="s">
        <v>4</v>
      </c>
      <c r="C90">
        <v>1</v>
      </c>
      <c r="D90">
        <v>42</v>
      </c>
      <c r="E90" t="s">
        <v>48</v>
      </c>
    </row>
    <row r="91" spans="2:8" x14ac:dyDescent="0.25">
      <c r="B91" t="s">
        <v>5</v>
      </c>
      <c r="C91">
        <v>1</v>
      </c>
      <c r="D91">
        <v>40</v>
      </c>
      <c r="E91" t="s">
        <v>44</v>
      </c>
    </row>
    <row r="92" spans="2:8" x14ac:dyDescent="0.25">
      <c r="B92" t="s">
        <v>5</v>
      </c>
      <c r="C92">
        <v>1</v>
      </c>
      <c r="D92">
        <v>40</v>
      </c>
      <c r="E92" t="s">
        <v>44</v>
      </c>
    </row>
    <row r="93" spans="2:8" x14ac:dyDescent="0.25">
      <c r="B93" t="s">
        <v>5</v>
      </c>
      <c r="C93">
        <v>1</v>
      </c>
      <c r="D93">
        <v>40</v>
      </c>
      <c r="E93" t="s">
        <v>48</v>
      </c>
    </row>
    <row r="94" spans="2:8" x14ac:dyDescent="0.25">
      <c r="B94" t="s">
        <v>5</v>
      </c>
      <c r="C94">
        <v>1</v>
      </c>
      <c r="D94">
        <v>40</v>
      </c>
      <c r="E94" t="s">
        <v>48</v>
      </c>
    </row>
    <row r="95" spans="2:8" x14ac:dyDescent="0.25">
      <c r="B95" t="s">
        <v>14</v>
      </c>
    </row>
    <row r="96" spans="2:8" x14ac:dyDescent="0.25">
      <c r="B96" t="s">
        <v>15</v>
      </c>
    </row>
    <row r="97" spans="2:5" x14ac:dyDescent="0.25">
      <c r="B97" t="s">
        <v>12</v>
      </c>
    </row>
    <row r="98" spans="2:5" x14ac:dyDescent="0.25">
      <c r="B98" t="s">
        <v>9</v>
      </c>
      <c r="C98">
        <v>1</v>
      </c>
      <c r="D98">
        <v>40</v>
      </c>
      <c r="E98" t="s">
        <v>44</v>
      </c>
    </row>
    <row r="99" spans="2:5" x14ac:dyDescent="0.25">
      <c r="B99" t="s">
        <v>9</v>
      </c>
      <c r="C99">
        <v>1</v>
      </c>
      <c r="D99">
        <v>40</v>
      </c>
      <c r="E99" t="s">
        <v>44</v>
      </c>
    </row>
    <row r="100" spans="2:5" x14ac:dyDescent="0.25">
      <c r="B100" t="s">
        <v>11</v>
      </c>
    </row>
    <row r="101" spans="2:5" x14ac:dyDescent="0.25">
      <c r="C101">
        <f>SUBTOTAL(109,Tabla16182629374148[Carretas])</f>
        <v>13</v>
      </c>
      <c r="D101">
        <f>SUBTOTAL(101,Tabla16182629374148[Precios])</f>
        <v>40.153846153846153</v>
      </c>
    </row>
  </sheetData>
  <mergeCells count="8">
    <mergeCell ref="C80:D80"/>
    <mergeCell ref="C81:D81"/>
    <mergeCell ref="C2:D2"/>
    <mergeCell ref="C3:D3"/>
    <mergeCell ref="C29:D29"/>
    <mergeCell ref="C30:D30"/>
    <mergeCell ref="C53:D53"/>
    <mergeCell ref="C54:D54"/>
  </mergeCells>
  <conditionalFormatting sqref="B29 E29 F4:H4 B4:E2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27">
    <cfRule type="colorScale" priority="10">
      <colorScale>
        <cfvo type="min"/>
        <cfvo type="max"/>
        <color rgb="FFFFEF9C"/>
        <color rgb="FF63BE7B"/>
      </colorScale>
    </cfRule>
  </conditionalFormatting>
  <conditionalFormatting sqref="B32:E51">
    <cfRule type="colorScale" priority="13">
      <colorScale>
        <cfvo type="min"/>
        <cfvo type="max"/>
        <color rgb="FFFFEF9C"/>
        <color rgb="FF63BE7B"/>
      </colorScale>
    </cfRule>
  </conditionalFormatting>
  <conditionalFormatting sqref="B56:E77">
    <cfRule type="colorScale" priority="17">
      <colorScale>
        <cfvo type="min"/>
        <cfvo type="max"/>
        <color rgb="FFFFEF9C"/>
        <color rgb="FF63BE7B"/>
      </colorScale>
    </cfRule>
  </conditionalFormatting>
  <conditionalFormatting sqref="B83:E100">
    <cfRule type="colorScale" priority="11">
      <colorScale>
        <cfvo type="min"/>
        <cfvo type="max"/>
        <color rgb="FFFFEF9C"/>
        <color rgb="FF63BE7B"/>
      </colorScale>
    </cfRule>
  </conditionalFormatting>
  <conditionalFormatting sqref="C3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H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H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2:H8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11CF-ADDB-41C1-9C5B-7A379DAB2420}">
  <dimension ref="B2:J117"/>
  <sheetViews>
    <sheetView topLeftCell="A94" zoomScale="115" zoomScaleNormal="115" workbookViewId="0">
      <selection activeCell="B100" activeCellId="3" sqref="B11:D12 B39:D40 B71:D72 B100:D100"/>
    </sheetView>
  </sheetViews>
  <sheetFormatPr baseColWidth="10" defaultRowHeight="15" x14ac:dyDescent="0.25"/>
  <cols>
    <col min="2" max="2" width="16.42578125" customWidth="1"/>
    <col min="3" max="4" width="11.28515625" customWidth="1"/>
    <col min="5" max="6" width="14.42578125" customWidth="1"/>
    <col min="7" max="7" width="18.42578125" hidden="1" customWidth="1"/>
    <col min="8" max="8" width="8.28515625" customWidth="1"/>
    <col min="9" max="9" width="13.28515625" customWidth="1"/>
  </cols>
  <sheetData>
    <row r="2" spans="2:10" x14ac:dyDescent="0.25">
      <c r="C2" s="43" t="s">
        <v>35</v>
      </c>
      <c r="D2" s="43"/>
    </row>
    <row r="3" spans="2:10" x14ac:dyDescent="0.25">
      <c r="C3" s="43" t="s">
        <v>40</v>
      </c>
      <c r="D3" s="43"/>
      <c r="H3" s="1"/>
    </row>
    <row r="4" spans="2:10" x14ac:dyDescent="0.2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</row>
    <row r="5" spans="2:10" x14ac:dyDescent="0.25">
      <c r="B5" s="2" t="s">
        <v>7</v>
      </c>
      <c r="C5" s="2">
        <v>1</v>
      </c>
      <c r="D5" s="2">
        <v>40</v>
      </c>
      <c r="E5" s="2" t="s">
        <v>45</v>
      </c>
      <c r="F5" s="5"/>
      <c r="G5" s="3"/>
    </row>
    <row r="6" spans="2:10" ht="15.75" x14ac:dyDescent="0.25">
      <c r="B6" s="2" t="s">
        <v>7</v>
      </c>
      <c r="C6" s="2"/>
      <c r="D6" s="2"/>
      <c r="E6" s="2"/>
      <c r="F6" s="3"/>
      <c r="G6" s="3"/>
      <c r="I6" s="8" t="s">
        <v>57</v>
      </c>
      <c r="J6" s="8">
        <f>SUM(Tabla11523273539462[[#Totals],[Carretas]]+Tabla151725283640473[[#Totals],[Carretas]]+Tabla161826293741484[[#Totals],[Carretas]]+Tabla141624303842495[[#Totals],[Carretas]])</f>
        <v>78.5</v>
      </c>
    </row>
    <row r="7" spans="2:10" ht="15.75" x14ac:dyDescent="0.25">
      <c r="B7" s="2" t="s">
        <v>10</v>
      </c>
      <c r="C7" s="2">
        <v>1</v>
      </c>
      <c r="D7" s="2">
        <v>42</v>
      </c>
      <c r="E7" s="2" t="s">
        <v>44</v>
      </c>
      <c r="F7" s="3"/>
      <c r="G7" s="3"/>
      <c r="I7" s="8" t="s">
        <v>58</v>
      </c>
      <c r="J7" s="8">
        <f>AVERAGE(D29,D59,D90,D117)</f>
        <v>43.790584415584412</v>
      </c>
    </row>
    <row r="8" spans="2:10" x14ac:dyDescent="0.25">
      <c r="B8" s="2" t="s">
        <v>13</v>
      </c>
      <c r="C8" s="2">
        <v>1</v>
      </c>
      <c r="D8" s="2">
        <v>45</v>
      </c>
      <c r="E8" s="2" t="s">
        <v>45</v>
      </c>
      <c r="F8" s="3"/>
      <c r="G8" s="3"/>
    </row>
    <row r="9" spans="2:10" x14ac:dyDescent="0.25">
      <c r="B9" s="2" t="s">
        <v>6</v>
      </c>
      <c r="C9" s="2">
        <v>1</v>
      </c>
      <c r="D9" s="2">
        <v>42</v>
      </c>
      <c r="E9" s="2" t="s">
        <v>44</v>
      </c>
      <c r="F9" s="3"/>
      <c r="G9" s="3"/>
    </row>
    <row r="10" spans="2:10" x14ac:dyDescent="0.25">
      <c r="B10" s="2" t="s">
        <v>6</v>
      </c>
      <c r="C10" s="2">
        <v>1</v>
      </c>
      <c r="D10" s="2">
        <v>42</v>
      </c>
      <c r="E10" s="2" t="s">
        <v>44</v>
      </c>
      <c r="F10" s="3"/>
      <c r="G10" s="3"/>
    </row>
    <row r="11" spans="2:10" x14ac:dyDescent="0.25">
      <c r="B11" s="2" t="s">
        <v>8</v>
      </c>
      <c r="C11" s="2">
        <v>1</v>
      </c>
      <c r="D11" s="2">
        <v>45</v>
      </c>
      <c r="E11" s="2" t="s">
        <v>43</v>
      </c>
      <c r="F11" s="3"/>
      <c r="G11" s="3"/>
    </row>
    <row r="12" spans="2:10" x14ac:dyDescent="0.25">
      <c r="B12" s="2" t="s">
        <v>8</v>
      </c>
      <c r="C12" s="2">
        <v>1</v>
      </c>
      <c r="D12" s="2">
        <v>45</v>
      </c>
      <c r="E12" s="2" t="s">
        <v>43</v>
      </c>
      <c r="F12" s="3"/>
      <c r="G12" s="3"/>
    </row>
    <row r="13" spans="2:10" x14ac:dyDescent="0.25">
      <c r="B13" s="2" t="s">
        <v>8</v>
      </c>
      <c r="C13" s="2"/>
      <c r="D13" s="2"/>
      <c r="E13" s="2"/>
      <c r="F13" s="3"/>
      <c r="G13" s="3"/>
    </row>
    <row r="14" spans="2:10" x14ac:dyDescent="0.25">
      <c r="B14" s="2" t="s">
        <v>4</v>
      </c>
      <c r="C14" s="2">
        <v>1</v>
      </c>
      <c r="D14" s="2">
        <v>45</v>
      </c>
      <c r="E14" s="2" t="s">
        <v>44</v>
      </c>
      <c r="F14" s="3"/>
      <c r="G14" s="3"/>
    </row>
    <row r="15" spans="2:10" x14ac:dyDescent="0.25">
      <c r="B15" s="2" t="s">
        <v>4</v>
      </c>
      <c r="C15" s="2">
        <v>1</v>
      </c>
      <c r="D15" s="2">
        <v>45</v>
      </c>
      <c r="E15" s="2" t="s">
        <v>48</v>
      </c>
      <c r="F15" s="3"/>
      <c r="G15" s="3"/>
    </row>
    <row r="16" spans="2:10" x14ac:dyDescent="0.25">
      <c r="B16" s="2" t="s">
        <v>4</v>
      </c>
      <c r="C16" s="2">
        <v>1</v>
      </c>
      <c r="D16" s="2">
        <v>45</v>
      </c>
      <c r="E16" s="2" t="s">
        <v>48</v>
      </c>
      <c r="F16" s="3"/>
      <c r="G16" s="3"/>
    </row>
    <row r="17" spans="2:8" x14ac:dyDescent="0.25">
      <c r="B17" s="2" t="s">
        <v>4</v>
      </c>
      <c r="C17" s="2">
        <v>1</v>
      </c>
      <c r="D17" s="2">
        <v>45</v>
      </c>
      <c r="E17" s="2" t="s">
        <v>46</v>
      </c>
      <c r="F17" s="3"/>
      <c r="G17" s="3"/>
    </row>
    <row r="18" spans="2:8" x14ac:dyDescent="0.25">
      <c r="B18" s="2" t="s">
        <v>5</v>
      </c>
      <c r="C18" s="2">
        <v>1</v>
      </c>
      <c r="D18" s="2">
        <v>40</v>
      </c>
      <c r="E18" s="2" t="s">
        <v>44</v>
      </c>
      <c r="F18" s="3"/>
      <c r="G18" s="3"/>
    </row>
    <row r="19" spans="2:8" x14ac:dyDescent="0.25">
      <c r="B19" s="2" t="s">
        <v>5</v>
      </c>
      <c r="C19" s="2">
        <v>1</v>
      </c>
      <c r="D19" s="2">
        <v>40</v>
      </c>
      <c r="E19" s="2" t="s">
        <v>44</v>
      </c>
      <c r="F19" s="3"/>
      <c r="G19" s="3"/>
    </row>
    <row r="20" spans="2:8" x14ac:dyDescent="0.25">
      <c r="B20" s="2" t="s">
        <v>5</v>
      </c>
      <c r="C20" s="2">
        <v>1</v>
      </c>
      <c r="D20" s="2">
        <v>40</v>
      </c>
      <c r="E20" s="2" t="s">
        <v>48</v>
      </c>
      <c r="F20" s="3"/>
      <c r="G20" s="3"/>
    </row>
    <row r="21" spans="2:8" x14ac:dyDescent="0.25">
      <c r="B21" s="2" t="s">
        <v>5</v>
      </c>
      <c r="C21" s="2">
        <v>1</v>
      </c>
      <c r="D21" s="2">
        <v>40</v>
      </c>
      <c r="E21" s="2" t="s">
        <v>48</v>
      </c>
      <c r="F21" s="3"/>
      <c r="G21" s="3"/>
    </row>
    <row r="22" spans="2:8" x14ac:dyDescent="0.25">
      <c r="B22" s="2" t="s">
        <v>14</v>
      </c>
      <c r="C22" s="2"/>
      <c r="D22" s="2"/>
      <c r="E22" s="2"/>
      <c r="F22" s="3"/>
      <c r="G22" s="3"/>
    </row>
    <row r="23" spans="2:8" x14ac:dyDescent="0.25">
      <c r="B23" s="2" t="s">
        <v>15</v>
      </c>
      <c r="C23" s="2">
        <v>1</v>
      </c>
      <c r="D23" s="2">
        <v>45</v>
      </c>
      <c r="E23" s="2" t="s">
        <v>47</v>
      </c>
      <c r="F23" s="3"/>
      <c r="G23" s="3"/>
    </row>
    <row r="24" spans="2:8" x14ac:dyDescent="0.25">
      <c r="B24" s="2" t="s">
        <v>12</v>
      </c>
      <c r="C24" s="2"/>
      <c r="D24" s="2"/>
      <c r="E24" s="2"/>
      <c r="F24" s="3"/>
      <c r="G24" s="3"/>
    </row>
    <row r="25" spans="2:8" x14ac:dyDescent="0.25">
      <c r="B25" s="2" t="s">
        <v>9</v>
      </c>
      <c r="C25" s="2">
        <v>1</v>
      </c>
      <c r="D25" s="2">
        <v>42</v>
      </c>
      <c r="E25" s="2" t="s">
        <v>45</v>
      </c>
      <c r="F25" s="3"/>
      <c r="G25" s="3"/>
    </row>
    <row r="26" spans="2:8" x14ac:dyDescent="0.25">
      <c r="B26" s="2" t="s">
        <v>9</v>
      </c>
      <c r="C26" s="2">
        <v>1</v>
      </c>
      <c r="D26" s="2">
        <v>42</v>
      </c>
      <c r="E26" s="2" t="s">
        <v>43</v>
      </c>
      <c r="F26" s="3"/>
      <c r="G26" s="3"/>
    </row>
    <row r="27" spans="2:8" x14ac:dyDescent="0.25">
      <c r="B27" s="2" t="s">
        <v>9</v>
      </c>
      <c r="C27" s="2"/>
      <c r="D27" s="2"/>
      <c r="E27" s="2"/>
      <c r="F27" s="3"/>
      <c r="G27" s="3"/>
    </row>
    <row r="28" spans="2:8" x14ac:dyDescent="0.25">
      <c r="B28" s="2" t="s">
        <v>11</v>
      </c>
      <c r="C28" s="2"/>
      <c r="D28" s="2"/>
      <c r="E28" s="2"/>
      <c r="F28" s="3"/>
      <c r="G28" s="3"/>
    </row>
    <row r="29" spans="2:8" x14ac:dyDescent="0.25">
      <c r="B29" s="2"/>
      <c r="C29" s="2">
        <f>SUBTOTAL(109,Tabla11523273539462[Carretas])</f>
        <v>18</v>
      </c>
      <c r="D29" s="2">
        <f>SUBTOTAL(101,Tabla11523273539462[Precios])</f>
        <v>42.777777777777779</v>
      </c>
      <c r="E29" s="2"/>
      <c r="F29" s="2"/>
      <c r="G29" s="2"/>
      <c r="H29" s="1"/>
    </row>
    <row r="31" spans="2:8" x14ac:dyDescent="0.25">
      <c r="C31" s="43" t="s">
        <v>36</v>
      </c>
      <c r="D31" s="43"/>
    </row>
    <row r="32" spans="2:8" x14ac:dyDescent="0.25">
      <c r="C32" s="43" t="s">
        <v>29</v>
      </c>
      <c r="D32" s="43"/>
    </row>
    <row r="33" spans="2:7" x14ac:dyDescent="0.25">
      <c r="B33" s="1" t="s">
        <v>0</v>
      </c>
      <c r="C33" s="1" t="s">
        <v>34</v>
      </c>
      <c r="D33" s="1" t="s">
        <v>2</v>
      </c>
      <c r="E33" s="1" t="s">
        <v>1</v>
      </c>
      <c r="F33" s="1" t="s">
        <v>41</v>
      </c>
      <c r="G33" s="1" t="s">
        <v>42</v>
      </c>
    </row>
    <row r="34" spans="2:7" x14ac:dyDescent="0.25">
      <c r="B34" t="s">
        <v>7</v>
      </c>
      <c r="C34">
        <v>1</v>
      </c>
      <c r="D34">
        <v>42</v>
      </c>
      <c r="E34" t="s">
        <v>43</v>
      </c>
    </row>
    <row r="35" spans="2:7" x14ac:dyDescent="0.25">
      <c r="B35" t="s">
        <v>10</v>
      </c>
      <c r="C35">
        <v>1</v>
      </c>
      <c r="D35">
        <v>42</v>
      </c>
      <c r="E35" t="s">
        <v>44</v>
      </c>
    </row>
    <row r="36" spans="2:7" x14ac:dyDescent="0.25">
      <c r="B36" t="s">
        <v>13</v>
      </c>
    </row>
    <row r="37" spans="2:7" x14ac:dyDescent="0.25">
      <c r="B37" t="s">
        <v>6</v>
      </c>
      <c r="C37">
        <v>1</v>
      </c>
      <c r="D37">
        <v>42</v>
      </c>
    </row>
    <row r="38" spans="2:7" x14ac:dyDescent="0.25">
      <c r="B38" t="s">
        <v>6</v>
      </c>
    </row>
    <row r="39" spans="2:7" x14ac:dyDescent="0.25">
      <c r="B39" t="s">
        <v>8</v>
      </c>
      <c r="C39">
        <v>1</v>
      </c>
      <c r="D39">
        <v>45</v>
      </c>
      <c r="E39" t="s">
        <v>45</v>
      </c>
    </row>
    <row r="40" spans="2:7" x14ac:dyDescent="0.25">
      <c r="B40" t="s">
        <v>8</v>
      </c>
      <c r="C40">
        <v>1</v>
      </c>
      <c r="D40">
        <v>45</v>
      </c>
      <c r="E40" t="s">
        <v>45</v>
      </c>
    </row>
    <row r="41" spans="2:7" x14ac:dyDescent="0.25">
      <c r="B41" t="s">
        <v>4</v>
      </c>
      <c r="C41">
        <v>1</v>
      </c>
      <c r="D41">
        <v>45</v>
      </c>
      <c r="E41" t="s">
        <v>46</v>
      </c>
    </row>
    <row r="42" spans="2:7" x14ac:dyDescent="0.25">
      <c r="B42" t="s">
        <v>4</v>
      </c>
      <c r="C42">
        <v>1</v>
      </c>
      <c r="D42">
        <v>45</v>
      </c>
      <c r="E42" t="s">
        <v>46</v>
      </c>
    </row>
    <row r="43" spans="2:7" x14ac:dyDescent="0.25">
      <c r="B43" t="s">
        <v>4</v>
      </c>
      <c r="C43">
        <v>1</v>
      </c>
      <c r="D43">
        <v>45</v>
      </c>
      <c r="E43" t="s">
        <v>45</v>
      </c>
    </row>
    <row r="44" spans="2:7" x14ac:dyDescent="0.25">
      <c r="B44" t="s">
        <v>5</v>
      </c>
      <c r="C44">
        <v>1</v>
      </c>
      <c r="D44">
        <v>42</v>
      </c>
      <c r="E44" t="s">
        <v>44</v>
      </c>
    </row>
    <row r="45" spans="2:7" x14ac:dyDescent="0.25">
      <c r="B45" t="s">
        <v>5</v>
      </c>
      <c r="C45">
        <v>1</v>
      </c>
      <c r="D45">
        <v>42</v>
      </c>
      <c r="E45" t="s">
        <v>48</v>
      </c>
    </row>
    <row r="46" spans="2:7" x14ac:dyDescent="0.25">
      <c r="B46" t="s">
        <v>5</v>
      </c>
      <c r="C46">
        <v>1</v>
      </c>
      <c r="D46">
        <v>44</v>
      </c>
      <c r="E46" t="s">
        <v>48</v>
      </c>
    </row>
    <row r="47" spans="2:7" x14ac:dyDescent="0.25">
      <c r="B47" t="s">
        <v>5</v>
      </c>
      <c r="C47">
        <v>1</v>
      </c>
      <c r="D47">
        <v>44</v>
      </c>
      <c r="E47" t="s">
        <v>48</v>
      </c>
    </row>
    <row r="48" spans="2:7" x14ac:dyDescent="0.25">
      <c r="B48" t="s">
        <v>5</v>
      </c>
    </row>
    <row r="49" spans="2:8" x14ac:dyDescent="0.25">
      <c r="B49" t="s">
        <v>14</v>
      </c>
      <c r="C49">
        <v>1</v>
      </c>
      <c r="D49">
        <v>45</v>
      </c>
      <c r="E49" t="s">
        <v>44</v>
      </c>
    </row>
    <row r="50" spans="2:8" x14ac:dyDescent="0.25">
      <c r="B50" t="s">
        <v>14</v>
      </c>
      <c r="C50">
        <v>1</v>
      </c>
      <c r="D50">
        <v>45</v>
      </c>
      <c r="E50" t="s">
        <v>44</v>
      </c>
    </row>
    <row r="51" spans="2:8" x14ac:dyDescent="0.25">
      <c r="B51" t="s">
        <v>15</v>
      </c>
      <c r="C51">
        <v>1</v>
      </c>
      <c r="D51">
        <v>45</v>
      </c>
      <c r="E51" t="s">
        <v>47</v>
      </c>
    </row>
    <row r="52" spans="2:8" x14ac:dyDescent="0.25">
      <c r="B52" t="s">
        <v>15</v>
      </c>
      <c r="C52">
        <v>1</v>
      </c>
      <c r="D52">
        <v>45</v>
      </c>
      <c r="E52" t="s">
        <v>47</v>
      </c>
    </row>
    <row r="53" spans="2:8" x14ac:dyDescent="0.25">
      <c r="B53" t="s">
        <v>12</v>
      </c>
      <c r="C53">
        <v>1</v>
      </c>
      <c r="D53">
        <v>45</v>
      </c>
      <c r="E53" t="s">
        <v>48</v>
      </c>
    </row>
    <row r="54" spans="2:8" x14ac:dyDescent="0.25">
      <c r="B54" t="s">
        <v>9</v>
      </c>
      <c r="C54">
        <v>1</v>
      </c>
      <c r="D54">
        <v>42</v>
      </c>
      <c r="E54" t="s">
        <v>44</v>
      </c>
    </row>
    <row r="55" spans="2:8" x14ac:dyDescent="0.25">
      <c r="B55" t="s">
        <v>9</v>
      </c>
      <c r="C55">
        <v>1</v>
      </c>
      <c r="D55">
        <v>45</v>
      </c>
      <c r="E55" t="s">
        <v>44</v>
      </c>
    </row>
    <row r="56" spans="2:8" x14ac:dyDescent="0.25">
      <c r="B56" t="s">
        <v>9</v>
      </c>
      <c r="C56">
        <v>1</v>
      </c>
      <c r="D56">
        <v>45</v>
      </c>
      <c r="E56" t="s">
        <v>44</v>
      </c>
    </row>
    <row r="57" spans="2:8" x14ac:dyDescent="0.25">
      <c r="B57" t="s">
        <v>9</v>
      </c>
      <c r="C57">
        <v>1</v>
      </c>
      <c r="D57">
        <v>45</v>
      </c>
      <c r="E57" t="s">
        <v>43</v>
      </c>
    </row>
    <row r="58" spans="2:8" x14ac:dyDescent="0.25">
      <c r="B58" t="s">
        <v>11</v>
      </c>
      <c r="C58">
        <v>1</v>
      </c>
      <c r="D58">
        <v>45</v>
      </c>
      <c r="E58" t="s">
        <v>44</v>
      </c>
    </row>
    <row r="59" spans="2:8" x14ac:dyDescent="0.25">
      <c r="C59">
        <f>SUBTOTAL(109,Tabla141624303842495[Carretas])</f>
        <v>22</v>
      </c>
      <c r="D59">
        <f>SUBTOTAL(101,Tabla141624303842495[Precios])</f>
        <v>44.090909090909093</v>
      </c>
    </row>
    <row r="61" spans="2:8" x14ac:dyDescent="0.25">
      <c r="C61" s="43" t="s">
        <v>37</v>
      </c>
      <c r="D61" s="43"/>
    </row>
    <row r="62" spans="2:8" x14ac:dyDescent="0.25">
      <c r="C62" s="43" t="s">
        <v>31</v>
      </c>
      <c r="D62" s="43"/>
      <c r="H62" s="1"/>
    </row>
    <row r="63" spans="2:8" x14ac:dyDescent="0.25">
      <c r="B63" s="1" t="s">
        <v>0</v>
      </c>
      <c r="C63" s="1" t="s">
        <v>34</v>
      </c>
      <c r="D63" s="1" t="s">
        <v>2</v>
      </c>
      <c r="E63" s="1" t="s">
        <v>1</v>
      </c>
      <c r="F63" s="1" t="s">
        <v>41</v>
      </c>
      <c r="G63" s="1" t="s">
        <v>42</v>
      </c>
    </row>
    <row r="64" spans="2:8" x14ac:dyDescent="0.25">
      <c r="B64" t="s">
        <v>7</v>
      </c>
      <c r="C64">
        <v>1</v>
      </c>
      <c r="D64">
        <v>42</v>
      </c>
      <c r="E64" t="s">
        <v>43</v>
      </c>
    </row>
    <row r="65" spans="2:5" x14ac:dyDescent="0.25">
      <c r="B65" t="s">
        <v>7</v>
      </c>
    </row>
    <row r="66" spans="2:5" x14ac:dyDescent="0.25">
      <c r="B66" t="s">
        <v>10</v>
      </c>
      <c r="C66">
        <v>1</v>
      </c>
      <c r="D66">
        <v>42</v>
      </c>
      <c r="E66" t="s">
        <v>44</v>
      </c>
    </row>
    <row r="67" spans="2:5" x14ac:dyDescent="0.25">
      <c r="B67" t="s">
        <v>13</v>
      </c>
    </row>
    <row r="68" spans="2:5" x14ac:dyDescent="0.25">
      <c r="B68" t="s">
        <v>6</v>
      </c>
      <c r="C68">
        <v>1</v>
      </c>
      <c r="D68">
        <v>42</v>
      </c>
      <c r="E68" t="s">
        <v>44</v>
      </c>
    </row>
    <row r="69" spans="2:5" x14ac:dyDescent="0.25">
      <c r="B69" t="s">
        <v>6</v>
      </c>
    </row>
    <row r="70" spans="2:5" x14ac:dyDescent="0.25">
      <c r="B70" t="s">
        <v>6</v>
      </c>
    </row>
    <row r="71" spans="2:5" x14ac:dyDescent="0.25">
      <c r="B71" t="s">
        <v>8</v>
      </c>
      <c r="C71">
        <v>1</v>
      </c>
      <c r="D71">
        <v>45</v>
      </c>
      <c r="E71" t="s">
        <v>45</v>
      </c>
    </row>
    <row r="72" spans="2:5" x14ac:dyDescent="0.25">
      <c r="B72" t="s">
        <v>8</v>
      </c>
      <c r="C72">
        <v>1</v>
      </c>
      <c r="D72">
        <v>45</v>
      </c>
      <c r="E72" t="s">
        <v>45</v>
      </c>
    </row>
    <row r="73" spans="2:5" x14ac:dyDescent="0.25">
      <c r="B73" t="s">
        <v>4</v>
      </c>
      <c r="C73">
        <v>1</v>
      </c>
      <c r="D73">
        <v>45</v>
      </c>
      <c r="E73" t="s">
        <v>46</v>
      </c>
    </row>
    <row r="74" spans="2:5" x14ac:dyDescent="0.25">
      <c r="B74" t="s">
        <v>4</v>
      </c>
      <c r="C74">
        <v>1</v>
      </c>
      <c r="D74">
        <v>45</v>
      </c>
      <c r="E74" t="s">
        <v>46</v>
      </c>
    </row>
    <row r="75" spans="2:5" x14ac:dyDescent="0.25">
      <c r="B75" t="s">
        <v>4</v>
      </c>
      <c r="C75">
        <v>1</v>
      </c>
      <c r="D75">
        <v>45</v>
      </c>
      <c r="E75" t="s">
        <v>45</v>
      </c>
    </row>
    <row r="76" spans="2:5" x14ac:dyDescent="0.25">
      <c r="B76" t="s">
        <v>5</v>
      </c>
      <c r="C76">
        <v>1</v>
      </c>
      <c r="D76">
        <v>44</v>
      </c>
      <c r="E76" t="s">
        <v>44</v>
      </c>
    </row>
    <row r="77" spans="2:5" x14ac:dyDescent="0.25">
      <c r="B77" t="s">
        <v>5</v>
      </c>
      <c r="C77">
        <v>1</v>
      </c>
      <c r="D77">
        <v>44</v>
      </c>
      <c r="E77" t="s">
        <v>44</v>
      </c>
    </row>
    <row r="78" spans="2:5" x14ac:dyDescent="0.25">
      <c r="B78" t="s">
        <v>5</v>
      </c>
      <c r="C78">
        <v>1</v>
      </c>
      <c r="D78">
        <v>42</v>
      </c>
      <c r="E78" t="s">
        <v>44</v>
      </c>
    </row>
    <row r="79" spans="2:5" x14ac:dyDescent="0.25">
      <c r="B79" t="s">
        <v>5</v>
      </c>
      <c r="C79">
        <v>1</v>
      </c>
      <c r="D79">
        <v>42</v>
      </c>
      <c r="E79" t="s">
        <v>48</v>
      </c>
    </row>
    <row r="80" spans="2:5" x14ac:dyDescent="0.25">
      <c r="B80" t="s">
        <v>14</v>
      </c>
      <c r="C80">
        <v>1</v>
      </c>
      <c r="D80">
        <v>45</v>
      </c>
      <c r="E80" t="s">
        <v>44</v>
      </c>
    </row>
    <row r="81" spans="2:8" x14ac:dyDescent="0.25">
      <c r="B81" t="s">
        <v>14</v>
      </c>
      <c r="C81">
        <v>1</v>
      </c>
      <c r="D81">
        <v>45</v>
      </c>
      <c r="E81" t="s">
        <v>48</v>
      </c>
    </row>
    <row r="82" spans="2:8" x14ac:dyDescent="0.25">
      <c r="B82" t="s">
        <v>15</v>
      </c>
      <c r="C82">
        <v>1</v>
      </c>
      <c r="D82">
        <v>45</v>
      </c>
      <c r="E82" t="s">
        <v>47</v>
      </c>
    </row>
    <row r="83" spans="2:8" x14ac:dyDescent="0.25">
      <c r="B83" t="s">
        <v>15</v>
      </c>
      <c r="C83">
        <v>1</v>
      </c>
      <c r="D83">
        <v>45</v>
      </c>
      <c r="E83" t="s">
        <v>47</v>
      </c>
    </row>
    <row r="84" spans="2:8" x14ac:dyDescent="0.25">
      <c r="B84" t="s">
        <v>12</v>
      </c>
      <c r="C84">
        <v>1</v>
      </c>
      <c r="D84">
        <v>45</v>
      </c>
      <c r="E84" t="s">
        <v>48</v>
      </c>
    </row>
    <row r="85" spans="2:8" x14ac:dyDescent="0.25">
      <c r="B85" t="s">
        <v>9</v>
      </c>
      <c r="C85">
        <v>1</v>
      </c>
      <c r="D85">
        <v>45</v>
      </c>
      <c r="E85" t="s">
        <v>44</v>
      </c>
    </row>
    <row r="86" spans="2:8" x14ac:dyDescent="0.25">
      <c r="B86" t="s">
        <v>9</v>
      </c>
      <c r="C86">
        <v>1</v>
      </c>
      <c r="D86">
        <v>45</v>
      </c>
      <c r="E86" t="s">
        <v>44</v>
      </c>
    </row>
    <row r="87" spans="2:8" x14ac:dyDescent="0.25">
      <c r="B87" t="s">
        <v>9</v>
      </c>
      <c r="C87">
        <v>0.5</v>
      </c>
      <c r="D87">
        <v>42</v>
      </c>
    </row>
    <row r="88" spans="2:8" x14ac:dyDescent="0.25">
      <c r="B88" t="s">
        <v>9</v>
      </c>
      <c r="C88">
        <v>1</v>
      </c>
      <c r="D88">
        <v>42</v>
      </c>
      <c r="E88" t="s">
        <v>43</v>
      </c>
    </row>
    <row r="89" spans="2:8" x14ac:dyDescent="0.25">
      <c r="B89" t="s">
        <v>11</v>
      </c>
    </row>
    <row r="90" spans="2:8" x14ac:dyDescent="0.25">
      <c r="C90">
        <f>SUBTOTAL(109,Tabla151725283640473[Carretas])</f>
        <v>20.5</v>
      </c>
      <c r="D90">
        <f>SUBTOTAL(101,Tabla151725283640473[Precios])</f>
        <v>43.904761904761905</v>
      </c>
    </row>
    <row r="92" spans="2:8" x14ac:dyDescent="0.25">
      <c r="C92" s="43" t="s">
        <v>38</v>
      </c>
      <c r="D92" s="43"/>
    </row>
    <row r="93" spans="2:8" x14ac:dyDescent="0.25">
      <c r="C93" s="43" t="s">
        <v>33</v>
      </c>
      <c r="D93" s="43"/>
    </row>
    <row r="94" spans="2:8" x14ac:dyDescent="0.25">
      <c r="B94" s="1" t="s">
        <v>0</v>
      </c>
      <c r="C94" s="1" t="s">
        <v>34</v>
      </c>
      <c r="D94" s="1" t="s">
        <v>2</v>
      </c>
      <c r="E94" s="1" t="s">
        <v>1</v>
      </c>
      <c r="F94" s="1" t="s">
        <v>41</v>
      </c>
      <c r="G94" s="1" t="s">
        <v>42</v>
      </c>
      <c r="H94" s="1"/>
    </row>
    <row r="95" spans="2:8" x14ac:dyDescent="0.25">
      <c r="B95" t="s">
        <v>7</v>
      </c>
      <c r="C95">
        <v>1</v>
      </c>
      <c r="D95" s="6">
        <v>47</v>
      </c>
      <c r="E95" s="6" t="s">
        <v>43</v>
      </c>
      <c r="F95" s="6"/>
      <c r="G95" s="1"/>
      <c r="H95" s="1"/>
    </row>
    <row r="96" spans="2:8" x14ac:dyDescent="0.25">
      <c r="B96" t="s">
        <v>7</v>
      </c>
      <c r="C96">
        <v>1</v>
      </c>
      <c r="D96">
        <v>47</v>
      </c>
      <c r="E96" t="s">
        <v>45</v>
      </c>
    </row>
    <row r="97" spans="2:5" x14ac:dyDescent="0.25">
      <c r="B97" t="s">
        <v>10</v>
      </c>
    </row>
    <row r="98" spans="2:5" x14ac:dyDescent="0.25">
      <c r="B98" t="s">
        <v>13</v>
      </c>
    </row>
    <row r="99" spans="2:5" x14ac:dyDescent="0.25">
      <c r="B99" t="s">
        <v>6</v>
      </c>
      <c r="C99">
        <v>1</v>
      </c>
      <c r="D99">
        <v>42</v>
      </c>
      <c r="E99" t="s">
        <v>48</v>
      </c>
    </row>
    <row r="100" spans="2:5" x14ac:dyDescent="0.25">
      <c r="B100" t="s">
        <v>8</v>
      </c>
      <c r="C100">
        <v>1</v>
      </c>
      <c r="D100">
        <v>45</v>
      </c>
      <c r="E100" t="s">
        <v>45</v>
      </c>
    </row>
    <row r="101" spans="2:5" x14ac:dyDescent="0.25">
      <c r="B101" t="s">
        <v>8</v>
      </c>
    </row>
    <row r="102" spans="2:5" x14ac:dyDescent="0.25">
      <c r="B102" t="s">
        <v>4</v>
      </c>
      <c r="C102">
        <v>1</v>
      </c>
      <c r="D102">
        <v>45</v>
      </c>
      <c r="E102" t="s">
        <v>48</v>
      </c>
    </row>
    <row r="103" spans="2:5" x14ac:dyDescent="0.25">
      <c r="B103" t="s">
        <v>4</v>
      </c>
      <c r="C103">
        <v>1</v>
      </c>
      <c r="D103">
        <v>45</v>
      </c>
      <c r="E103" t="s">
        <v>46</v>
      </c>
    </row>
    <row r="104" spans="2:5" x14ac:dyDescent="0.25">
      <c r="B104" t="s">
        <v>5</v>
      </c>
      <c r="C104">
        <v>1</v>
      </c>
      <c r="D104">
        <v>42</v>
      </c>
      <c r="E104" t="s">
        <v>44</v>
      </c>
    </row>
    <row r="105" spans="2:5" x14ac:dyDescent="0.25">
      <c r="B105" t="s">
        <v>5</v>
      </c>
      <c r="C105">
        <v>1</v>
      </c>
      <c r="D105">
        <v>42</v>
      </c>
      <c r="E105" t="s">
        <v>46</v>
      </c>
    </row>
    <row r="106" spans="2:5" x14ac:dyDescent="0.25">
      <c r="B106" t="s">
        <v>5</v>
      </c>
      <c r="C106">
        <v>1</v>
      </c>
      <c r="D106">
        <v>44</v>
      </c>
      <c r="E106" t="s">
        <v>48</v>
      </c>
    </row>
    <row r="107" spans="2:5" x14ac:dyDescent="0.25">
      <c r="B107" t="s">
        <v>5</v>
      </c>
    </row>
    <row r="108" spans="2:5" x14ac:dyDescent="0.25">
      <c r="B108" t="s">
        <v>14</v>
      </c>
      <c r="C108">
        <v>1</v>
      </c>
      <c r="D108">
        <v>45</v>
      </c>
      <c r="E108" t="s">
        <v>44</v>
      </c>
    </row>
    <row r="109" spans="2:5" x14ac:dyDescent="0.25">
      <c r="B109" t="s">
        <v>14</v>
      </c>
      <c r="C109">
        <v>1</v>
      </c>
      <c r="D109">
        <v>45</v>
      </c>
      <c r="E109" t="s">
        <v>43</v>
      </c>
    </row>
    <row r="110" spans="2:5" x14ac:dyDescent="0.25">
      <c r="B110" t="s">
        <v>15</v>
      </c>
      <c r="C110">
        <v>1</v>
      </c>
      <c r="D110">
        <v>45</v>
      </c>
      <c r="E110" t="s">
        <v>47</v>
      </c>
    </row>
    <row r="111" spans="2:5" x14ac:dyDescent="0.25">
      <c r="B111" t="s">
        <v>15</v>
      </c>
      <c r="C111">
        <v>1</v>
      </c>
      <c r="D111">
        <v>45</v>
      </c>
      <c r="E111" t="s">
        <v>47</v>
      </c>
    </row>
    <row r="112" spans="2:5" x14ac:dyDescent="0.25">
      <c r="B112" t="s">
        <v>12</v>
      </c>
      <c r="C112">
        <v>1</v>
      </c>
      <c r="D112">
        <v>45</v>
      </c>
      <c r="E112" t="s">
        <v>48</v>
      </c>
    </row>
    <row r="113" spans="2:5" x14ac:dyDescent="0.25">
      <c r="B113" t="s">
        <v>9</v>
      </c>
      <c r="C113">
        <v>1</v>
      </c>
      <c r="D113">
        <v>44</v>
      </c>
      <c r="E113" t="s">
        <v>44</v>
      </c>
    </row>
    <row r="114" spans="2:5" x14ac:dyDescent="0.25">
      <c r="B114" t="s">
        <v>9</v>
      </c>
      <c r="C114">
        <v>1</v>
      </c>
      <c r="D114">
        <v>44</v>
      </c>
      <c r="E114" t="s">
        <v>44</v>
      </c>
    </row>
    <row r="115" spans="2:5" x14ac:dyDescent="0.25">
      <c r="B115" t="s">
        <v>9</v>
      </c>
      <c r="C115">
        <v>1</v>
      </c>
      <c r="D115">
        <v>42</v>
      </c>
      <c r="E115" t="s">
        <v>44</v>
      </c>
    </row>
    <row r="116" spans="2:5" x14ac:dyDescent="0.25">
      <c r="B116" t="s">
        <v>11</v>
      </c>
      <c r="C116">
        <v>1</v>
      </c>
      <c r="D116">
        <v>45</v>
      </c>
      <c r="E116" t="s">
        <v>44</v>
      </c>
    </row>
    <row r="117" spans="2:5" x14ac:dyDescent="0.25">
      <c r="C117">
        <f>SUBTOTAL(109,Tabla161826293741484[Carretas])</f>
        <v>18</v>
      </c>
      <c r="D117">
        <f>SUBTOTAL(101,Tabla161826293741484[Precios])</f>
        <v>44.388888888888886</v>
      </c>
    </row>
  </sheetData>
  <mergeCells count="8">
    <mergeCell ref="C92:D92"/>
    <mergeCell ref="C93:D93"/>
    <mergeCell ref="C2:D2"/>
    <mergeCell ref="C3:D3"/>
    <mergeCell ref="C31:D31"/>
    <mergeCell ref="C32:D32"/>
    <mergeCell ref="C61:D61"/>
    <mergeCell ref="C62:D62"/>
  </mergeCells>
  <conditionalFormatting sqref="B31 E31 F4:H4 B4:E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29">
    <cfRule type="colorScale" priority="10">
      <colorScale>
        <cfvo type="min"/>
        <cfvo type="max"/>
        <color rgb="FFFFEF9C"/>
        <color rgb="FF63BE7B"/>
      </colorScale>
    </cfRule>
  </conditionalFormatting>
  <conditionalFormatting sqref="B34:E59">
    <cfRule type="colorScale" priority="12">
      <colorScale>
        <cfvo type="min"/>
        <cfvo type="max"/>
        <color rgb="FFFFEF9C"/>
        <color rgb="FF63BE7B"/>
      </colorScale>
    </cfRule>
  </conditionalFormatting>
  <conditionalFormatting sqref="B64:E89">
    <cfRule type="colorScale" priority="15">
      <colorScale>
        <cfvo type="min"/>
        <cfvo type="max"/>
        <color rgb="FFFFEF9C"/>
        <color rgb="FF63BE7B"/>
      </colorScale>
    </cfRule>
  </conditionalFormatting>
  <conditionalFormatting sqref="B95:E116">
    <cfRule type="colorScale" priority="18">
      <colorScale>
        <cfvo type="min"/>
        <cfvo type="max"/>
        <color rgb="FFFFEF9C"/>
        <color rgb="FF63BE7B"/>
      </colorScale>
    </cfRule>
  </conditionalFormatting>
  <conditionalFormatting sqref="C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4:C9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H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H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4:H9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020E-6A54-4926-BCEC-0177A476CA04}">
  <dimension ref="B2:J102"/>
  <sheetViews>
    <sheetView zoomScale="115" zoomScaleNormal="115" workbookViewId="0">
      <selection activeCell="B13" activeCellId="4" sqref="B88:D90 B76:D76 B77:D77 B45:D46 B13:D13"/>
    </sheetView>
  </sheetViews>
  <sheetFormatPr baseColWidth="10" defaultRowHeight="15" x14ac:dyDescent="0.25"/>
  <cols>
    <col min="2" max="2" width="16.42578125" customWidth="1"/>
    <col min="3" max="4" width="11.28515625" customWidth="1"/>
    <col min="5" max="5" width="14.42578125" customWidth="1"/>
    <col min="6" max="6" width="14.42578125" hidden="1" customWidth="1"/>
    <col min="7" max="7" width="18.42578125" hidden="1" customWidth="1"/>
    <col min="8" max="8" width="8.28515625" customWidth="1"/>
    <col min="9" max="9" width="13.28515625" customWidth="1"/>
  </cols>
  <sheetData>
    <row r="2" spans="2:10" x14ac:dyDescent="0.25">
      <c r="C2" s="44" t="s">
        <v>39</v>
      </c>
      <c r="D2" s="44"/>
    </row>
    <row r="3" spans="2:10" x14ac:dyDescent="0.25">
      <c r="C3" s="44" t="s">
        <v>52</v>
      </c>
      <c r="D3" s="44"/>
      <c r="H3" s="1"/>
    </row>
    <row r="4" spans="2:10" x14ac:dyDescent="0.25">
      <c r="C4" s="11"/>
      <c r="D4" s="11"/>
      <c r="H4" s="1"/>
    </row>
    <row r="5" spans="2:10" x14ac:dyDescent="0.25">
      <c r="B5" s="1" t="s">
        <v>0</v>
      </c>
      <c r="C5" s="1" t="s">
        <v>34</v>
      </c>
      <c r="D5" s="1" t="s">
        <v>2</v>
      </c>
      <c r="E5" s="1" t="s">
        <v>1</v>
      </c>
      <c r="F5" s="1" t="s">
        <v>41</v>
      </c>
      <c r="G5" s="1" t="s">
        <v>42</v>
      </c>
    </row>
    <row r="6" spans="2:10" x14ac:dyDescent="0.25">
      <c r="B6" s="2" t="s">
        <v>7</v>
      </c>
      <c r="C6" s="2">
        <v>1</v>
      </c>
      <c r="D6" s="2">
        <v>47</v>
      </c>
      <c r="E6" s="2" t="s">
        <v>45</v>
      </c>
      <c r="F6" s="5"/>
      <c r="G6" s="3"/>
    </row>
    <row r="7" spans="2:10" x14ac:dyDescent="0.25">
      <c r="B7" s="2" t="s">
        <v>7</v>
      </c>
      <c r="C7" s="2">
        <v>1</v>
      </c>
      <c r="D7" s="2">
        <v>47</v>
      </c>
      <c r="E7" s="2" t="s">
        <v>45</v>
      </c>
      <c r="F7" s="3"/>
      <c r="G7" s="3"/>
      <c r="I7" s="4" t="s">
        <v>57</v>
      </c>
      <c r="J7" s="4">
        <f>SUM(Tabla115232735394626[[#Totals],[Carretas]]+Tabla1517252836404737[[#Totals],[Carretas]]+Tabla1618262937414848[[#Totals],[Carretas]]+Tabla1416243038424959[[#Totals],[Carretas]])</f>
        <v>67</v>
      </c>
    </row>
    <row r="8" spans="2:10" x14ac:dyDescent="0.25">
      <c r="B8" s="2" t="s">
        <v>10</v>
      </c>
      <c r="C8" s="2">
        <v>1</v>
      </c>
      <c r="D8" s="2">
        <v>42</v>
      </c>
      <c r="E8" s="2" t="s">
        <v>44</v>
      </c>
      <c r="F8" s="3"/>
      <c r="G8" s="3"/>
      <c r="I8" s="4" t="s">
        <v>58</v>
      </c>
      <c r="J8" s="4">
        <f>AVERAGE(D31,D67,D80,D102)</f>
        <v>40.446130952380955</v>
      </c>
    </row>
    <row r="9" spans="2:10" x14ac:dyDescent="0.25">
      <c r="B9" s="2" t="s">
        <v>13</v>
      </c>
      <c r="C9" s="2"/>
      <c r="D9" s="2"/>
      <c r="E9" s="2"/>
      <c r="F9" s="3"/>
      <c r="G9" s="3"/>
    </row>
    <row r="10" spans="2:10" x14ac:dyDescent="0.25">
      <c r="B10" s="2" t="s">
        <v>6</v>
      </c>
      <c r="C10" s="2">
        <v>1</v>
      </c>
      <c r="D10" s="2">
        <v>42</v>
      </c>
      <c r="E10" s="2" t="s">
        <v>45</v>
      </c>
      <c r="F10" s="3"/>
      <c r="G10" s="3"/>
    </row>
    <row r="11" spans="2:10" x14ac:dyDescent="0.25">
      <c r="B11" s="2" t="s">
        <v>6</v>
      </c>
      <c r="C11" s="2">
        <v>1</v>
      </c>
      <c r="D11" s="2">
        <v>42</v>
      </c>
      <c r="E11" s="2" t="s">
        <v>44</v>
      </c>
      <c r="F11" s="3"/>
      <c r="G11" s="3"/>
    </row>
    <row r="12" spans="2:10" x14ac:dyDescent="0.25">
      <c r="B12" s="2" t="s">
        <v>6</v>
      </c>
      <c r="C12" s="2"/>
      <c r="D12" s="2"/>
      <c r="E12" s="2"/>
      <c r="F12" s="3"/>
      <c r="G12" s="3"/>
    </row>
    <row r="13" spans="2:10" x14ac:dyDescent="0.25">
      <c r="B13" s="2" t="s">
        <v>8</v>
      </c>
      <c r="C13" s="2">
        <v>1</v>
      </c>
      <c r="D13" s="2">
        <v>45</v>
      </c>
      <c r="E13" s="2" t="s">
        <v>43</v>
      </c>
      <c r="F13" s="3"/>
      <c r="G13" s="3"/>
    </row>
    <row r="14" spans="2:10" x14ac:dyDescent="0.25">
      <c r="B14" s="2" t="s">
        <v>8</v>
      </c>
      <c r="C14" s="2">
        <v>0.5</v>
      </c>
      <c r="D14" s="2">
        <v>45</v>
      </c>
      <c r="E14" s="2" t="s">
        <v>43</v>
      </c>
      <c r="F14" s="3"/>
      <c r="G14" s="3"/>
    </row>
    <row r="15" spans="2:10" x14ac:dyDescent="0.25">
      <c r="B15" s="2" t="s">
        <v>8</v>
      </c>
      <c r="C15" s="2"/>
      <c r="D15" s="2"/>
      <c r="E15" s="2"/>
      <c r="F15" s="3"/>
      <c r="G15" s="3"/>
    </row>
    <row r="16" spans="2:10" x14ac:dyDescent="0.25">
      <c r="B16" s="2" t="s">
        <v>4</v>
      </c>
      <c r="C16" s="2">
        <v>0.5</v>
      </c>
      <c r="D16" s="2">
        <v>45</v>
      </c>
      <c r="E16" s="2" t="s">
        <v>43</v>
      </c>
      <c r="F16" s="3"/>
      <c r="G16" s="3"/>
    </row>
    <row r="17" spans="2:8" x14ac:dyDescent="0.25">
      <c r="B17" s="2" t="s">
        <v>4</v>
      </c>
      <c r="C17" s="2">
        <v>1</v>
      </c>
      <c r="D17" s="2">
        <v>45</v>
      </c>
      <c r="E17" s="2" t="s">
        <v>46</v>
      </c>
      <c r="F17" s="3"/>
      <c r="G17" s="3"/>
    </row>
    <row r="18" spans="2:8" x14ac:dyDescent="0.25">
      <c r="B18" s="2" t="s">
        <v>4</v>
      </c>
      <c r="C18" s="2"/>
      <c r="D18" s="2"/>
      <c r="E18" s="2"/>
      <c r="F18" s="3"/>
      <c r="G18" s="3"/>
    </row>
    <row r="19" spans="2:8" x14ac:dyDescent="0.25">
      <c r="B19" s="2" t="s">
        <v>4</v>
      </c>
      <c r="C19" s="2"/>
      <c r="D19" s="2"/>
      <c r="E19" s="2"/>
      <c r="F19" s="3"/>
      <c r="G19" s="3"/>
    </row>
    <row r="20" spans="2:8" x14ac:dyDescent="0.25">
      <c r="B20" s="2" t="s">
        <v>5</v>
      </c>
      <c r="C20" s="2">
        <v>1</v>
      </c>
      <c r="D20" s="2">
        <v>42</v>
      </c>
      <c r="E20" s="2" t="s">
        <v>44</v>
      </c>
      <c r="F20" s="3"/>
      <c r="G20" s="3"/>
    </row>
    <row r="21" spans="2:8" x14ac:dyDescent="0.25">
      <c r="B21" s="2" t="s">
        <v>5</v>
      </c>
      <c r="C21" s="2">
        <v>1</v>
      </c>
      <c r="D21" s="2">
        <v>44</v>
      </c>
      <c r="E21" s="2" t="s">
        <v>44</v>
      </c>
      <c r="F21" s="3"/>
      <c r="G21" s="3"/>
    </row>
    <row r="22" spans="2:8" x14ac:dyDescent="0.25">
      <c r="B22" s="2" t="s">
        <v>5</v>
      </c>
      <c r="C22" s="2">
        <v>1</v>
      </c>
      <c r="D22" s="2">
        <v>44</v>
      </c>
      <c r="E22" s="2" t="s">
        <v>48</v>
      </c>
      <c r="F22" s="3"/>
      <c r="G22" s="3"/>
    </row>
    <row r="23" spans="2:8" x14ac:dyDescent="0.25">
      <c r="B23" s="2" t="s">
        <v>5</v>
      </c>
      <c r="C23" s="2"/>
      <c r="D23" s="2"/>
      <c r="E23" s="2"/>
      <c r="F23" s="3"/>
      <c r="G23" s="3"/>
    </row>
    <row r="24" spans="2:8" x14ac:dyDescent="0.25">
      <c r="B24" s="2" t="s">
        <v>14</v>
      </c>
      <c r="C24" s="2"/>
      <c r="D24" s="2"/>
      <c r="E24" s="2"/>
      <c r="F24" s="3"/>
      <c r="G24" s="3"/>
    </row>
    <row r="25" spans="2:8" x14ac:dyDescent="0.25">
      <c r="B25" s="2" t="s">
        <v>15</v>
      </c>
      <c r="C25" s="2"/>
      <c r="D25" s="2"/>
      <c r="E25" s="2"/>
      <c r="F25" s="3"/>
      <c r="G25" s="3"/>
    </row>
    <row r="26" spans="2:8" x14ac:dyDescent="0.25">
      <c r="B26" s="2" t="s">
        <v>12</v>
      </c>
      <c r="C26" s="2">
        <v>1</v>
      </c>
      <c r="D26" s="2">
        <v>45</v>
      </c>
      <c r="E26" s="2" t="s">
        <v>48</v>
      </c>
      <c r="F26" s="3"/>
      <c r="G26" s="3"/>
    </row>
    <row r="27" spans="2:8" x14ac:dyDescent="0.25">
      <c r="B27" s="2" t="s">
        <v>9</v>
      </c>
      <c r="C27" s="2">
        <v>1</v>
      </c>
      <c r="D27" s="2">
        <v>45</v>
      </c>
      <c r="E27" s="2" t="s">
        <v>44</v>
      </c>
      <c r="F27" s="3"/>
      <c r="G27" s="3"/>
    </row>
    <row r="28" spans="2:8" x14ac:dyDescent="0.25">
      <c r="B28" s="2" t="s">
        <v>9</v>
      </c>
      <c r="C28" s="2">
        <v>1</v>
      </c>
      <c r="D28" s="2">
        <v>45</v>
      </c>
      <c r="E28" s="2" t="s">
        <v>44</v>
      </c>
      <c r="F28" s="3"/>
      <c r="G28" s="3"/>
    </row>
    <row r="29" spans="2:8" x14ac:dyDescent="0.25">
      <c r="B29" s="2" t="s">
        <v>9</v>
      </c>
      <c r="C29" s="2"/>
      <c r="D29" s="2"/>
      <c r="E29" s="2"/>
      <c r="F29" s="3"/>
      <c r="G29" s="3"/>
    </row>
    <row r="30" spans="2:8" x14ac:dyDescent="0.25">
      <c r="B30" s="2" t="s">
        <v>11</v>
      </c>
      <c r="C30" s="2"/>
      <c r="D30" s="2"/>
      <c r="E30" s="2"/>
      <c r="F30" s="3"/>
      <c r="G30" s="3"/>
    </row>
    <row r="31" spans="2:8" x14ac:dyDescent="0.25">
      <c r="B31" s="2"/>
      <c r="C31" s="2">
        <f>SUBTOTAL(109,Tabla115232735394626[Carretas])</f>
        <v>14</v>
      </c>
      <c r="D31" s="2">
        <f>SUBTOTAL(101,Tabla115232735394626[Precios])</f>
        <v>44.333333333333336</v>
      </c>
      <c r="E31" s="2"/>
      <c r="F31" s="2"/>
      <c r="G31" s="2"/>
      <c r="H31" s="1"/>
    </row>
    <row r="33" spans="2:7" x14ac:dyDescent="0.25">
      <c r="C33" s="44" t="s">
        <v>49</v>
      </c>
      <c r="D33" s="44"/>
    </row>
    <row r="34" spans="2:7" x14ac:dyDescent="0.25">
      <c r="C34" s="44" t="s">
        <v>53</v>
      </c>
      <c r="D34" s="44"/>
    </row>
    <row r="35" spans="2:7" x14ac:dyDescent="0.25">
      <c r="C35" s="11"/>
      <c r="D35" s="11"/>
    </row>
    <row r="36" spans="2:7" x14ac:dyDescent="0.25">
      <c r="B36" s="1" t="s">
        <v>0</v>
      </c>
      <c r="C36" s="1" t="s">
        <v>34</v>
      </c>
      <c r="D36" s="1" t="s">
        <v>2</v>
      </c>
      <c r="E36" s="1" t="s">
        <v>1</v>
      </c>
      <c r="F36" s="1" t="s">
        <v>41</v>
      </c>
      <c r="G36" s="1" t="s">
        <v>42</v>
      </c>
    </row>
    <row r="37" spans="2:7" x14ac:dyDescent="0.25">
      <c r="B37" t="s">
        <v>7</v>
      </c>
      <c r="C37">
        <v>1</v>
      </c>
      <c r="D37">
        <v>42</v>
      </c>
      <c r="E37" t="s">
        <v>45</v>
      </c>
    </row>
    <row r="38" spans="2:7" x14ac:dyDescent="0.25">
      <c r="B38" t="s">
        <v>7</v>
      </c>
      <c r="C38">
        <v>1</v>
      </c>
      <c r="D38">
        <v>42</v>
      </c>
      <c r="E38" t="s">
        <v>48</v>
      </c>
    </row>
    <row r="39" spans="2:7" x14ac:dyDescent="0.25">
      <c r="B39" t="s">
        <v>10</v>
      </c>
      <c r="C39">
        <v>1</v>
      </c>
      <c r="D39">
        <v>40</v>
      </c>
      <c r="E39" t="s">
        <v>44</v>
      </c>
    </row>
    <row r="40" spans="2:7" x14ac:dyDescent="0.25">
      <c r="B40" t="s">
        <v>10</v>
      </c>
      <c r="C40">
        <v>1</v>
      </c>
      <c r="D40">
        <v>40</v>
      </c>
      <c r="E40" t="s">
        <v>44</v>
      </c>
    </row>
    <row r="41" spans="2:7" x14ac:dyDescent="0.25">
      <c r="B41" t="s">
        <v>6</v>
      </c>
      <c r="C41">
        <v>1</v>
      </c>
      <c r="D41">
        <v>40</v>
      </c>
      <c r="E41" t="s">
        <v>46</v>
      </c>
    </row>
    <row r="42" spans="2:7" x14ac:dyDescent="0.25">
      <c r="B42" t="s">
        <v>6</v>
      </c>
      <c r="C42">
        <v>1</v>
      </c>
      <c r="D42">
        <v>40</v>
      </c>
      <c r="E42" t="s">
        <v>44</v>
      </c>
    </row>
    <row r="43" spans="2:7" x14ac:dyDescent="0.25">
      <c r="B43" t="s">
        <v>6</v>
      </c>
      <c r="C43">
        <v>1</v>
      </c>
      <c r="D43">
        <v>40</v>
      </c>
      <c r="E43" t="s">
        <v>46</v>
      </c>
    </row>
    <row r="44" spans="2:7" x14ac:dyDescent="0.25">
      <c r="B44" t="s">
        <v>6</v>
      </c>
      <c r="C44">
        <v>1</v>
      </c>
      <c r="D44">
        <v>40</v>
      </c>
      <c r="E44" t="s">
        <v>46</v>
      </c>
    </row>
    <row r="45" spans="2:7" x14ac:dyDescent="0.25">
      <c r="B45" t="s">
        <v>8</v>
      </c>
      <c r="C45">
        <v>1</v>
      </c>
      <c r="D45">
        <v>40</v>
      </c>
      <c r="E45" t="s">
        <v>45</v>
      </c>
    </row>
    <row r="46" spans="2:7" x14ac:dyDescent="0.25">
      <c r="B46" t="s">
        <v>8</v>
      </c>
      <c r="C46">
        <v>1</v>
      </c>
      <c r="D46">
        <v>40</v>
      </c>
      <c r="E46" t="s">
        <v>45</v>
      </c>
    </row>
    <row r="47" spans="2:7" x14ac:dyDescent="0.25">
      <c r="B47" t="s">
        <v>4</v>
      </c>
      <c r="C47">
        <v>1</v>
      </c>
      <c r="D47">
        <v>40</v>
      </c>
      <c r="E47" t="s">
        <v>46</v>
      </c>
    </row>
    <row r="48" spans="2:7" x14ac:dyDescent="0.25">
      <c r="B48" t="s">
        <v>4</v>
      </c>
      <c r="C48">
        <v>1</v>
      </c>
      <c r="D48">
        <v>40</v>
      </c>
      <c r="E48" t="s">
        <v>46</v>
      </c>
    </row>
    <row r="49" spans="2:5" x14ac:dyDescent="0.25">
      <c r="B49" t="s">
        <v>5</v>
      </c>
      <c r="C49">
        <v>1</v>
      </c>
      <c r="D49">
        <v>40</v>
      </c>
      <c r="E49" t="s">
        <v>44</v>
      </c>
    </row>
    <row r="50" spans="2:5" x14ac:dyDescent="0.25">
      <c r="B50" t="s">
        <v>5</v>
      </c>
      <c r="C50">
        <v>1</v>
      </c>
      <c r="D50">
        <v>40</v>
      </c>
      <c r="E50" t="s">
        <v>44</v>
      </c>
    </row>
    <row r="51" spans="2:5" x14ac:dyDescent="0.25">
      <c r="B51" t="s">
        <v>5</v>
      </c>
      <c r="C51">
        <v>1</v>
      </c>
      <c r="D51">
        <v>40</v>
      </c>
      <c r="E51" t="s">
        <v>44</v>
      </c>
    </row>
    <row r="52" spans="2:5" x14ac:dyDescent="0.25">
      <c r="B52" t="s">
        <v>5</v>
      </c>
      <c r="C52">
        <v>1</v>
      </c>
      <c r="D52">
        <v>40</v>
      </c>
      <c r="E52" t="s">
        <v>48</v>
      </c>
    </row>
    <row r="53" spans="2:5" x14ac:dyDescent="0.25">
      <c r="B53" t="s">
        <v>5</v>
      </c>
      <c r="C53">
        <v>1</v>
      </c>
      <c r="D53">
        <v>40</v>
      </c>
      <c r="E53" t="s">
        <v>48</v>
      </c>
    </row>
    <row r="54" spans="2:5" x14ac:dyDescent="0.25">
      <c r="B54" t="s">
        <v>59</v>
      </c>
      <c r="C54">
        <v>1</v>
      </c>
      <c r="D54">
        <v>45</v>
      </c>
      <c r="E54" t="s">
        <v>47</v>
      </c>
    </row>
    <row r="55" spans="2:5" x14ac:dyDescent="0.25">
      <c r="B55" t="s">
        <v>14</v>
      </c>
      <c r="C55">
        <v>1</v>
      </c>
      <c r="D55">
        <v>40</v>
      </c>
      <c r="E55" t="s">
        <v>44</v>
      </c>
    </row>
    <row r="56" spans="2:5" x14ac:dyDescent="0.25">
      <c r="B56" t="s">
        <v>12</v>
      </c>
      <c r="C56">
        <v>1</v>
      </c>
      <c r="D56">
        <v>42</v>
      </c>
    </row>
    <row r="57" spans="2:5" x14ac:dyDescent="0.25">
      <c r="B57" t="s">
        <v>12</v>
      </c>
      <c r="C57">
        <v>1</v>
      </c>
      <c r="D57">
        <v>42</v>
      </c>
      <c r="E57" t="s">
        <v>48</v>
      </c>
    </row>
    <row r="58" spans="2:5" x14ac:dyDescent="0.25">
      <c r="B58" t="s">
        <v>9</v>
      </c>
      <c r="C58">
        <v>1</v>
      </c>
      <c r="D58">
        <v>40</v>
      </c>
      <c r="E58" t="s">
        <v>48</v>
      </c>
    </row>
    <row r="59" spans="2:5" x14ac:dyDescent="0.25">
      <c r="B59" t="s">
        <v>9</v>
      </c>
      <c r="C59">
        <v>1</v>
      </c>
      <c r="D59">
        <v>40</v>
      </c>
      <c r="E59" t="s">
        <v>43</v>
      </c>
    </row>
    <row r="60" spans="2:5" x14ac:dyDescent="0.25">
      <c r="B60" t="s">
        <v>9</v>
      </c>
      <c r="C60">
        <v>1</v>
      </c>
      <c r="D60">
        <v>40</v>
      </c>
    </row>
    <row r="61" spans="2:5" x14ac:dyDescent="0.25">
      <c r="B61" t="s">
        <v>9</v>
      </c>
      <c r="C61">
        <v>1</v>
      </c>
      <c r="D61">
        <v>40</v>
      </c>
      <c r="E61" t="s">
        <v>44</v>
      </c>
    </row>
    <row r="62" spans="2:5" x14ac:dyDescent="0.25">
      <c r="B62" t="s">
        <v>9</v>
      </c>
      <c r="C62">
        <v>1</v>
      </c>
      <c r="D62">
        <v>40</v>
      </c>
      <c r="E62" t="s">
        <v>44</v>
      </c>
    </row>
    <row r="63" spans="2:5" x14ac:dyDescent="0.25">
      <c r="B63" t="s">
        <v>9</v>
      </c>
      <c r="C63">
        <v>1</v>
      </c>
      <c r="D63">
        <v>40</v>
      </c>
      <c r="E63" t="s">
        <v>44</v>
      </c>
    </row>
    <row r="64" spans="2:5" x14ac:dyDescent="0.25">
      <c r="B64" t="s">
        <v>9</v>
      </c>
      <c r="C64">
        <v>1</v>
      </c>
      <c r="D64">
        <v>40</v>
      </c>
      <c r="E64" t="s">
        <v>44</v>
      </c>
    </row>
    <row r="65" spans="2:8" x14ac:dyDescent="0.25">
      <c r="B65" t="s">
        <v>9</v>
      </c>
      <c r="C65">
        <v>1</v>
      </c>
      <c r="D65">
        <v>40</v>
      </c>
      <c r="E65" t="s">
        <v>43</v>
      </c>
    </row>
    <row r="66" spans="2:8" x14ac:dyDescent="0.25">
      <c r="B66" t="s">
        <v>11</v>
      </c>
      <c r="C66">
        <v>1</v>
      </c>
      <c r="D66">
        <v>40</v>
      </c>
      <c r="E66" t="s">
        <v>44</v>
      </c>
    </row>
    <row r="67" spans="2:8" x14ac:dyDescent="0.25">
      <c r="C67">
        <f>SUBTOTAL(109,Tabla1416243038424959[Carretas])</f>
        <v>30</v>
      </c>
      <c r="D67">
        <f>SUBTOTAL(101,Tabla1416243038424959[Precios])</f>
        <v>40.43333333333333</v>
      </c>
    </row>
    <row r="69" spans="2:8" x14ac:dyDescent="0.25">
      <c r="C69" s="44" t="s">
        <v>50</v>
      </c>
      <c r="D69" s="44"/>
    </row>
    <row r="70" spans="2:8" x14ac:dyDescent="0.25">
      <c r="C70" s="44" t="s">
        <v>54</v>
      </c>
      <c r="D70" s="44"/>
      <c r="H70" s="1"/>
    </row>
    <row r="71" spans="2:8" x14ac:dyDescent="0.25">
      <c r="C71" s="11"/>
      <c r="D71" s="11"/>
      <c r="H71" s="1"/>
    </row>
    <row r="72" spans="2:8" x14ac:dyDescent="0.25">
      <c r="B72" s="1" t="s">
        <v>0</v>
      </c>
      <c r="C72" s="1" t="s">
        <v>34</v>
      </c>
      <c r="D72" s="1" t="s">
        <v>2</v>
      </c>
      <c r="E72" s="1" t="s">
        <v>1</v>
      </c>
      <c r="F72" s="1" t="s">
        <v>41</v>
      </c>
      <c r="G72" s="1" t="s">
        <v>42</v>
      </c>
    </row>
    <row r="73" spans="2:8" x14ac:dyDescent="0.25">
      <c r="B73" t="s">
        <v>7</v>
      </c>
      <c r="C73">
        <v>1</v>
      </c>
      <c r="D73">
        <v>42</v>
      </c>
      <c r="E73" t="s">
        <v>44</v>
      </c>
    </row>
    <row r="74" spans="2:8" x14ac:dyDescent="0.25">
      <c r="B74" t="s">
        <v>13</v>
      </c>
      <c r="C74">
        <v>1</v>
      </c>
      <c r="D74">
        <v>45</v>
      </c>
      <c r="E74" t="s">
        <v>43</v>
      </c>
    </row>
    <row r="75" spans="2:8" x14ac:dyDescent="0.25">
      <c r="B75" t="s">
        <v>6</v>
      </c>
      <c r="C75">
        <v>1</v>
      </c>
      <c r="D75">
        <v>38</v>
      </c>
      <c r="E75" t="s">
        <v>44</v>
      </c>
    </row>
    <row r="76" spans="2:8" x14ac:dyDescent="0.25">
      <c r="B76" t="s">
        <v>8</v>
      </c>
      <c r="C76">
        <v>1</v>
      </c>
      <c r="D76">
        <v>38</v>
      </c>
      <c r="E76" t="s">
        <v>45</v>
      </c>
    </row>
    <row r="77" spans="2:8" x14ac:dyDescent="0.25">
      <c r="B77" t="s">
        <v>8</v>
      </c>
      <c r="C77">
        <v>1</v>
      </c>
      <c r="D77">
        <v>38</v>
      </c>
      <c r="E77" t="s">
        <v>45</v>
      </c>
    </row>
    <row r="78" spans="2:8" x14ac:dyDescent="0.25">
      <c r="B78" t="s">
        <v>4</v>
      </c>
      <c r="C78">
        <v>1</v>
      </c>
      <c r="D78">
        <v>40</v>
      </c>
      <c r="E78" t="s">
        <v>46</v>
      </c>
    </row>
    <row r="79" spans="2:8" x14ac:dyDescent="0.25">
      <c r="B79" t="s">
        <v>5</v>
      </c>
      <c r="C79">
        <v>1</v>
      </c>
      <c r="D79">
        <v>40</v>
      </c>
      <c r="E79" t="s">
        <v>48</v>
      </c>
    </row>
    <row r="80" spans="2:8" x14ac:dyDescent="0.25">
      <c r="C80">
        <f>SUBTOTAL(109,Tabla1517252836404737[Carretas])</f>
        <v>7</v>
      </c>
      <c r="D80">
        <f>SUBTOTAL(101,Tabla1517252836404737[Precios])</f>
        <v>40.142857142857146</v>
      </c>
    </row>
    <row r="82" spans="2:8" x14ac:dyDescent="0.25">
      <c r="C82" s="44" t="s">
        <v>51</v>
      </c>
      <c r="D82" s="44"/>
    </row>
    <row r="83" spans="2:8" x14ac:dyDescent="0.25">
      <c r="C83" s="44" t="s">
        <v>55</v>
      </c>
      <c r="D83" s="44"/>
    </row>
    <row r="84" spans="2:8" x14ac:dyDescent="0.25">
      <c r="C84" s="11"/>
      <c r="D84" s="11"/>
    </row>
    <row r="85" spans="2:8" x14ac:dyDescent="0.25">
      <c r="B85" s="1" t="s">
        <v>0</v>
      </c>
      <c r="C85" s="1" t="s">
        <v>34</v>
      </c>
      <c r="D85" s="1" t="s">
        <v>2</v>
      </c>
      <c r="E85" s="1" t="s">
        <v>1</v>
      </c>
      <c r="F85" s="1" t="s">
        <v>41</v>
      </c>
      <c r="G85" s="1" t="s">
        <v>42</v>
      </c>
      <c r="H85" s="1"/>
    </row>
    <row r="86" spans="2:8" x14ac:dyDescent="0.25">
      <c r="B86" t="s">
        <v>7</v>
      </c>
      <c r="C86">
        <v>1</v>
      </c>
      <c r="D86">
        <v>36</v>
      </c>
      <c r="E86" t="s">
        <v>43</v>
      </c>
    </row>
    <row r="87" spans="2:8" x14ac:dyDescent="0.25">
      <c r="B87" t="s">
        <v>7</v>
      </c>
      <c r="C87">
        <v>1</v>
      </c>
      <c r="D87">
        <v>36</v>
      </c>
      <c r="E87" t="s">
        <v>45</v>
      </c>
    </row>
    <row r="88" spans="2:8" x14ac:dyDescent="0.25">
      <c r="B88" t="s">
        <v>8</v>
      </c>
      <c r="C88">
        <v>1</v>
      </c>
      <c r="D88">
        <v>37</v>
      </c>
      <c r="E88" t="s">
        <v>48</v>
      </c>
    </row>
    <row r="89" spans="2:8" x14ac:dyDescent="0.25">
      <c r="B89" t="s">
        <v>8</v>
      </c>
      <c r="C89">
        <v>1</v>
      </c>
      <c r="D89">
        <v>37</v>
      </c>
      <c r="E89" t="s">
        <v>43</v>
      </c>
    </row>
    <row r="90" spans="2:8" x14ac:dyDescent="0.25">
      <c r="B90" t="s">
        <v>8</v>
      </c>
      <c r="C90">
        <v>1</v>
      </c>
      <c r="D90">
        <v>37</v>
      </c>
      <c r="E90" t="s">
        <v>45</v>
      </c>
    </row>
    <row r="91" spans="2:8" x14ac:dyDescent="0.25">
      <c r="B91" t="s">
        <v>4</v>
      </c>
      <c r="C91">
        <v>1</v>
      </c>
      <c r="D91">
        <v>37</v>
      </c>
      <c r="E91" t="s">
        <v>44</v>
      </c>
    </row>
    <row r="92" spans="2:8" x14ac:dyDescent="0.25">
      <c r="B92" t="s">
        <v>4</v>
      </c>
      <c r="C92">
        <v>1</v>
      </c>
      <c r="D92">
        <v>37</v>
      </c>
      <c r="E92" t="s">
        <v>45</v>
      </c>
    </row>
    <row r="93" spans="2:8" x14ac:dyDescent="0.25">
      <c r="B93" t="s">
        <v>5</v>
      </c>
      <c r="C93">
        <v>1</v>
      </c>
      <c r="D93">
        <v>37</v>
      </c>
      <c r="E93" t="s">
        <v>46</v>
      </c>
    </row>
    <row r="94" spans="2:8" x14ac:dyDescent="0.25">
      <c r="B94" t="s">
        <v>5</v>
      </c>
      <c r="C94">
        <v>1</v>
      </c>
      <c r="D94">
        <v>37</v>
      </c>
      <c r="E94" t="s">
        <v>48</v>
      </c>
    </row>
    <row r="95" spans="2:8" x14ac:dyDescent="0.25">
      <c r="B95" t="s">
        <v>5</v>
      </c>
      <c r="C95">
        <v>1</v>
      </c>
      <c r="D95">
        <v>37</v>
      </c>
      <c r="E95" t="s">
        <v>44</v>
      </c>
    </row>
    <row r="96" spans="2:8" x14ac:dyDescent="0.25">
      <c r="B96" t="s">
        <v>5</v>
      </c>
      <c r="C96">
        <v>1</v>
      </c>
      <c r="D96">
        <v>37</v>
      </c>
      <c r="E96" t="s">
        <v>45</v>
      </c>
    </row>
    <row r="97" spans="2:5" x14ac:dyDescent="0.25">
      <c r="B97" t="s">
        <v>9</v>
      </c>
      <c r="C97">
        <v>1</v>
      </c>
      <c r="D97">
        <v>37</v>
      </c>
      <c r="E97" t="s">
        <v>48</v>
      </c>
    </row>
    <row r="98" spans="2:5" x14ac:dyDescent="0.25">
      <c r="B98" t="s">
        <v>9</v>
      </c>
      <c r="C98">
        <v>1</v>
      </c>
      <c r="D98">
        <v>37</v>
      </c>
      <c r="E98" t="s">
        <v>44</v>
      </c>
    </row>
    <row r="99" spans="2:5" x14ac:dyDescent="0.25">
      <c r="B99" t="s">
        <v>9</v>
      </c>
      <c r="C99">
        <v>1</v>
      </c>
      <c r="D99">
        <v>37</v>
      </c>
      <c r="E99" t="s">
        <v>44</v>
      </c>
    </row>
    <row r="100" spans="2:5" x14ac:dyDescent="0.25">
      <c r="B100" t="s">
        <v>9</v>
      </c>
      <c r="C100">
        <v>1</v>
      </c>
      <c r="D100">
        <v>37</v>
      </c>
      <c r="E100" t="s">
        <v>44</v>
      </c>
    </row>
    <row r="101" spans="2:5" x14ac:dyDescent="0.25">
      <c r="B101" t="s">
        <v>11</v>
      </c>
      <c r="C101">
        <v>1</v>
      </c>
      <c r="D101">
        <v>37</v>
      </c>
      <c r="E101" t="s">
        <v>44</v>
      </c>
    </row>
    <row r="102" spans="2:5" x14ac:dyDescent="0.25">
      <c r="C102">
        <f>SUBTOTAL(109,Tabla1618262937414848[Carretas])</f>
        <v>16</v>
      </c>
      <c r="D102">
        <f>SUBTOTAL(101,Tabla1618262937414848[Precios])</f>
        <v>36.875</v>
      </c>
    </row>
  </sheetData>
  <mergeCells count="8">
    <mergeCell ref="C82:D82"/>
    <mergeCell ref="C83:D83"/>
    <mergeCell ref="C2:D2"/>
    <mergeCell ref="C3:D3"/>
    <mergeCell ref="C33:D33"/>
    <mergeCell ref="C34:D34"/>
    <mergeCell ref="C69:D69"/>
    <mergeCell ref="C70:D70"/>
  </mergeCells>
  <phoneticPr fontId="4" type="noConversion"/>
  <conditionalFormatting sqref="B6:E31">
    <cfRule type="colorScale" priority="8">
      <colorScale>
        <cfvo type="min"/>
        <cfvo type="max"/>
        <color rgb="FFFFEF9C"/>
        <color rgb="FF63BE7B"/>
      </colorScale>
    </cfRule>
  </conditionalFormatting>
  <conditionalFormatting sqref="B37:E67">
    <cfRule type="colorScale" priority="25">
      <colorScale>
        <cfvo type="min"/>
        <cfvo type="max"/>
        <color rgb="FFFFEF9C"/>
        <color rgb="FF63BE7B"/>
      </colorScale>
    </cfRule>
  </conditionalFormatting>
  <conditionalFormatting sqref="B73:E80">
    <cfRule type="colorScale" priority="36">
      <colorScale>
        <cfvo type="min"/>
        <cfvo type="max"/>
        <color rgb="FFFFEF9C"/>
        <color rgb="FF63BE7B"/>
      </colorScale>
    </cfRule>
  </conditionalFormatting>
  <conditionalFormatting sqref="B86:E101">
    <cfRule type="colorScale" priority="44">
      <colorScale>
        <cfvo type="min"/>
        <cfvo type="max"/>
        <color rgb="FFFFEF9C"/>
        <color rgb="FF63BE7B"/>
      </colorScale>
    </cfRule>
  </conditionalFormatting>
  <conditionalFormatting sqref="C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 B33 F5:H5 B5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H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2:H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5:H8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0:H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29A9-8965-4C05-821B-AE1C9683D4F7}">
  <dimension ref="B1:K122"/>
  <sheetViews>
    <sheetView zoomScaleNormal="100" workbookViewId="0">
      <selection activeCell="M105" sqref="M105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3.7109375" customWidth="1"/>
  </cols>
  <sheetData>
    <row r="1" spans="2:11" ht="20.25" customHeight="1" x14ac:dyDescent="0.25">
      <c r="J1" s="45">
        <v>45778</v>
      </c>
      <c r="K1" s="44"/>
    </row>
    <row r="2" spans="2:11" ht="16.5" customHeight="1" thickBot="1" x14ac:dyDescent="0.3">
      <c r="C2" s="44" t="s">
        <v>60</v>
      </c>
      <c r="D2" s="44"/>
      <c r="J2" s="46"/>
      <c r="K2" s="46"/>
    </row>
    <row r="3" spans="2:11" ht="19.5" thickBot="1" x14ac:dyDescent="0.35">
      <c r="C3" s="44" t="s">
        <v>69</v>
      </c>
      <c r="D3" s="44"/>
      <c r="H3" s="1"/>
      <c r="J3" s="32" t="s">
        <v>57</v>
      </c>
      <c r="K3" s="31">
        <f>SUM(C22,C47,C72,C95,C122)</f>
        <v>93.699999999999989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AVERAGE(D22,D47,D95,D72,D122)</f>
        <v>31.163517528223412</v>
      </c>
    </row>
    <row r="5" spans="2:11" x14ac:dyDescent="0.25">
      <c r="B5" s="2" t="s">
        <v>7</v>
      </c>
      <c r="C5" s="22">
        <v>1</v>
      </c>
      <c r="D5" s="23">
        <v>37</v>
      </c>
      <c r="E5" s="2" t="s">
        <v>45</v>
      </c>
      <c r="F5" s="5"/>
      <c r="G5" s="3"/>
    </row>
    <row r="6" spans="2:11" x14ac:dyDescent="0.25">
      <c r="B6" s="2" t="s">
        <v>6</v>
      </c>
      <c r="C6" s="22">
        <v>1</v>
      </c>
      <c r="D6" s="23">
        <v>37</v>
      </c>
      <c r="E6" s="2" t="s">
        <v>44</v>
      </c>
      <c r="F6" s="3"/>
      <c r="G6" s="3"/>
    </row>
    <row r="7" spans="2:11" x14ac:dyDescent="0.25">
      <c r="B7" s="2" t="s">
        <v>8</v>
      </c>
      <c r="C7" s="22">
        <v>1</v>
      </c>
      <c r="D7" s="23">
        <v>37</v>
      </c>
      <c r="E7" s="2" t="s">
        <v>43</v>
      </c>
      <c r="F7" s="3"/>
      <c r="G7" s="3"/>
    </row>
    <row r="8" spans="2:11" x14ac:dyDescent="0.25">
      <c r="B8" s="2" t="s">
        <v>8</v>
      </c>
      <c r="C8" s="22">
        <v>1</v>
      </c>
      <c r="D8" s="23">
        <v>37</v>
      </c>
      <c r="E8" s="2" t="s">
        <v>43</v>
      </c>
      <c r="F8" s="3"/>
      <c r="G8" s="3"/>
    </row>
    <row r="9" spans="2:11" x14ac:dyDescent="0.25">
      <c r="B9" s="2" t="s">
        <v>8</v>
      </c>
      <c r="C9" s="22">
        <v>0.8</v>
      </c>
      <c r="D9" s="23">
        <v>37</v>
      </c>
      <c r="E9" s="2" t="s">
        <v>46</v>
      </c>
      <c r="F9" s="3"/>
      <c r="G9" s="3"/>
    </row>
    <row r="10" spans="2:11" x14ac:dyDescent="0.25">
      <c r="B10" s="2" t="s">
        <v>8</v>
      </c>
      <c r="C10" s="22">
        <v>1</v>
      </c>
      <c r="D10" s="23">
        <v>37</v>
      </c>
      <c r="E10" s="2" t="s">
        <v>43</v>
      </c>
      <c r="F10" s="3"/>
      <c r="G10" s="3"/>
    </row>
    <row r="11" spans="2:11" x14ac:dyDescent="0.25">
      <c r="B11" s="2" t="s">
        <v>4</v>
      </c>
      <c r="C11" s="22">
        <v>1</v>
      </c>
      <c r="D11" s="23">
        <v>37</v>
      </c>
      <c r="E11" s="2" t="s">
        <v>45</v>
      </c>
      <c r="F11" s="3"/>
      <c r="G11" s="3"/>
    </row>
    <row r="12" spans="2:11" x14ac:dyDescent="0.25">
      <c r="B12" s="2" t="s">
        <v>4</v>
      </c>
      <c r="C12" s="22">
        <v>1</v>
      </c>
      <c r="D12" s="23">
        <v>37</v>
      </c>
      <c r="E12" s="2" t="s">
        <v>46</v>
      </c>
      <c r="F12" s="3"/>
      <c r="G12" s="3"/>
    </row>
    <row r="13" spans="2:11" x14ac:dyDescent="0.25">
      <c r="B13" s="2" t="s">
        <v>4</v>
      </c>
      <c r="C13" s="22">
        <v>1</v>
      </c>
      <c r="D13" s="23">
        <v>37</v>
      </c>
      <c r="E13" s="2" t="s">
        <v>45</v>
      </c>
      <c r="F13" s="3"/>
      <c r="G13" s="3"/>
    </row>
    <row r="14" spans="2:11" x14ac:dyDescent="0.25">
      <c r="B14" s="2" t="s">
        <v>5</v>
      </c>
      <c r="C14" s="22">
        <v>1</v>
      </c>
      <c r="D14" s="23">
        <v>37</v>
      </c>
      <c r="E14" s="2" t="s">
        <v>44</v>
      </c>
      <c r="F14" s="3"/>
      <c r="G14" s="3"/>
    </row>
    <row r="15" spans="2:11" x14ac:dyDescent="0.25">
      <c r="B15" s="2" t="s">
        <v>5</v>
      </c>
      <c r="C15" s="22">
        <v>1</v>
      </c>
      <c r="D15" s="23">
        <v>37</v>
      </c>
      <c r="E15" s="2" t="s">
        <v>44</v>
      </c>
      <c r="F15" s="3"/>
      <c r="G15" s="3"/>
    </row>
    <row r="16" spans="2:11" x14ac:dyDescent="0.25">
      <c r="B16" s="2" t="s">
        <v>5</v>
      </c>
      <c r="C16" s="22">
        <v>1</v>
      </c>
      <c r="D16" s="23">
        <v>37</v>
      </c>
      <c r="E16" s="2" t="s">
        <v>48</v>
      </c>
      <c r="F16" s="3"/>
      <c r="G16" s="3"/>
    </row>
    <row r="17" spans="2:8" x14ac:dyDescent="0.25">
      <c r="B17" s="2" t="s">
        <v>5</v>
      </c>
      <c r="C17" s="22">
        <v>1</v>
      </c>
      <c r="D17" s="23">
        <v>37</v>
      </c>
      <c r="E17" s="2" t="s">
        <v>46</v>
      </c>
      <c r="F17" s="3"/>
      <c r="G17" s="3"/>
    </row>
    <row r="18" spans="2:8" x14ac:dyDescent="0.25">
      <c r="B18" s="2" t="s">
        <v>9</v>
      </c>
      <c r="C18" s="22">
        <v>1</v>
      </c>
      <c r="D18" s="23">
        <v>37</v>
      </c>
      <c r="E18" s="2" t="s">
        <v>44</v>
      </c>
      <c r="F18" s="3"/>
      <c r="G18" s="3"/>
    </row>
    <row r="19" spans="2:8" x14ac:dyDescent="0.25">
      <c r="B19" s="2" t="s">
        <v>9</v>
      </c>
      <c r="C19" s="22">
        <v>1</v>
      </c>
      <c r="D19" s="23">
        <v>37</v>
      </c>
      <c r="E19" s="2" t="s">
        <v>45</v>
      </c>
      <c r="F19" s="3"/>
      <c r="G19" s="3"/>
    </row>
    <row r="20" spans="2:8" x14ac:dyDescent="0.25">
      <c r="B20" s="2" t="s">
        <v>9</v>
      </c>
      <c r="C20" s="22">
        <v>1</v>
      </c>
      <c r="D20" s="23">
        <v>37</v>
      </c>
      <c r="E20" s="2" t="s">
        <v>44</v>
      </c>
      <c r="F20" s="3"/>
      <c r="G20" s="3"/>
    </row>
    <row r="21" spans="2:8" x14ac:dyDescent="0.25">
      <c r="B21" s="2" t="s">
        <v>11</v>
      </c>
      <c r="C21" s="22">
        <v>1</v>
      </c>
      <c r="D21" s="23">
        <v>37</v>
      </c>
      <c r="E21" s="2" t="s">
        <v>44</v>
      </c>
      <c r="F21" s="3"/>
      <c r="G21" s="3"/>
    </row>
    <row r="22" spans="2:8" x14ac:dyDescent="0.25">
      <c r="B22" s="2"/>
      <c r="C22" s="13">
        <f>SUBTOTAL(109,Tabla11523273539462610[Carretas])</f>
        <v>16.8</v>
      </c>
      <c r="D22" s="13">
        <f>SUBTOTAL(101,Tabla141624303842495913[Precios])</f>
        <v>35</v>
      </c>
      <c r="E22" s="2"/>
      <c r="F22" s="2"/>
      <c r="G22" s="2"/>
      <c r="H22" s="1"/>
    </row>
    <row r="24" spans="2:8" x14ac:dyDescent="0.25">
      <c r="C24" s="44" t="s">
        <v>61</v>
      </c>
      <c r="D24" s="44"/>
    </row>
    <row r="25" spans="2:8" x14ac:dyDescent="0.25">
      <c r="C25" s="44" t="s">
        <v>64</v>
      </c>
      <c r="D25" s="44"/>
    </row>
    <row r="26" spans="2:8" x14ac:dyDescent="0.25">
      <c r="B26" s="1" t="s">
        <v>0</v>
      </c>
      <c r="C26" s="1" t="s">
        <v>34</v>
      </c>
      <c r="D26" s="1" t="s">
        <v>2</v>
      </c>
      <c r="E26" s="1" t="s">
        <v>1</v>
      </c>
      <c r="F26" s="1" t="s">
        <v>41</v>
      </c>
      <c r="G26" s="1" t="s">
        <v>42</v>
      </c>
    </row>
    <row r="27" spans="2:8" x14ac:dyDescent="0.25">
      <c r="B27" s="2" t="s">
        <v>7</v>
      </c>
      <c r="C27" s="22">
        <v>1</v>
      </c>
      <c r="D27" s="23">
        <v>35</v>
      </c>
      <c r="E27" s="2" t="s">
        <v>44</v>
      </c>
      <c r="F27" s="2"/>
    </row>
    <row r="28" spans="2:8" x14ac:dyDescent="0.25">
      <c r="B28" s="2" t="s">
        <v>7</v>
      </c>
      <c r="C28" s="22">
        <v>1</v>
      </c>
      <c r="D28" s="23">
        <v>35</v>
      </c>
      <c r="E28" s="2" t="s">
        <v>45</v>
      </c>
      <c r="F28" s="2"/>
    </row>
    <row r="29" spans="2:8" x14ac:dyDescent="0.25">
      <c r="B29" s="2" t="s">
        <v>10</v>
      </c>
      <c r="C29" s="22">
        <v>1</v>
      </c>
      <c r="D29" s="23">
        <v>35</v>
      </c>
      <c r="E29" s="2"/>
      <c r="F29" s="2"/>
    </row>
    <row r="30" spans="2:8" x14ac:dyDescent="0.25">
      <c r="B30" s="2" t="s">
        <v>6</v>
      </c>
      <c r="C30" s="22">
        <v>1</v>
      </c>
      <c r="D30" s="23">
        <v>35</v>
      </c>
      <c r="E30" s="2" t="s">
        <v>46</v>
      </c>
      <c r="F30" s="2"/>
    </row>
    <row r="31" spans="2:8" x14ac:dyDescent="0.25">
      <c r="B31" s="2" t="s">
        <v>6</v>
      </c>
      <c r="C31" s="22">
        <v>1</v>
      </c>
      <c r="D31" s="23">
        <v>35</v>
      </c>
      <c r="E31" s="2" t="s">
        <v>44</v>
      </c>
      <c r="F31" s="2"/>
    </row>
    <row r="32" spans="2:8" x14ac:dyDescent="0.25">
      <c r="B32" s="2" t="s">
        <v>8</v>
      </c>
      <c r="C32" s="22">
        <v>1</v>
      </c>
      <c r="D32" s="23">
        <v>35</v>
      </c>
      <c r="E32" s="2" t="s">
        <v>43</v>
      </c>
      <c r="F32" s="2"/>
    </row>
    <row r="33" spans="2:6" x14ac:dyDescent="0.25">
      <c r="B33" s="2" t="s">
        <v>8</v>
      </c>
      <c r="C33" s="22">
        <v>1</v>
      </c>
      <c r="D33" s="23">
        <v>35</v>
      </c>
      <c r="E33" s="2"/>
      <c r="F33" s="2"/>
    </row>
    <row r="34" spans="2:6" x14ac:dyDescent="0.25">
      <c r="B34" s="2" t="s">
        <v>8</v>
      </c>
      <c r="C34" s="22">
        <v>1</v>
      </c>
      <c r="D34" s="23">
        <v>35</v>
      </c>
      <c r="E34" s="2" t="s">
        <v>43</v>
      </c>
      <c r="F34" s="2" t="s">
        <v>72</v>
      </c>
    </row>
    <row r="35" spans="2:6" x14ac:dyDescent="0.25">
      <c r="B35" s="2" t="s">
        <v>8</v>
      </c>
      <c r="C35" s="22">
        <v>1</v>
      </c>
      <c r="D35" s="23">
        <v>35</v>
      </c>
      <c r="E35" s="2" t="s">
        <v>48</v>
      </c>
      <c r="F35" s="2" t="s">
        <v>72</v>
      </c>
    </row>
    <row r="36" spans="2:6" x14ac:dyDescent="0.25">
      <c r="B36" s="2" t="s">
        <v>8</v>
      </c>
      <c r="C36" s="22">
        <v>1</v>
      </c>
      <c r="D36" s="23">
        <v>35</v>
      </c>
      <c r="E36" s="2" t="s">
        <v>45</v>
      </c>
      <c r="F36" s="2"/>
    </row>
    <row r="37" spans="2:6" x14ac:dyDescent="0.25">
      <c r="B37" s="2" t="s">
        <v>4</v>
      </c>
      <c r="C37" s="22">
        <v>1</v>
      </c>
      <c r="D37" s="23">
        <v>37</v>
      </c>
      <c r="E37" s="2" t="s">
        <v>44</v>
      </c>
      <c r="F37" s="2"/>
    </row>
    <row r="38" spans="2:6" x14ac:dyDescent="0.25">
      <c r="B38" s="2" t="s">
        <v>4</v>
      </c>
      <c r="C38" s="22">
        <v>1</v>
      </c>
      <c r="D38" s="23">
        <v>37</v>
      </c>
      <c r="E38" s="2"/>
      <c r="F38" s="2"/>
    </row>
    <row r="39" spans="2:6" x14ac:dyDescent="0.25">
      <c r="B39" s="2" t="s">
        <v>4</v>
      </c>
      <c r="C39" s="22">
        <v>1</v>
      </c>
      <c r="D39" s="23">
        <v>37</v>
      </c>
      <c r="E39" s="2" t="s">
        <v>44</v>
      </c>
      <c r="F39" s="2"/>
    </row>
    <row r="40" spans="2:6" x14ac:dyDescent="0.25">
      <c r="B40" s="2" t="s">
        <v>5</v>
      </c>
      <c r="C40" s="22">
        <v>1</v>
      </c>
      <c r="D40" s="23">
        <v>35</v>
      </c>
      <c r="E40" s="2" t="s">
        <v>44</v>
      </c>
      <c r="F40" s="2"/>
    </row>
    <row r="41" spans="2:6" x14ac:dyDescent="0.25">
      <c r="B41" s="2" t="s">
        <v>5</v>
      </c>
      <c r="C41" s="22">
        <v>1</v>
      </c>
      <c r="D41" s="23">
        <v>35</v>
      </c>
      <c r="E41" s="2" t="s">
        <v>45</v>
      </c>
      <c r="F41" s="2"/>
    </row>
    <row r="42" spans="2:6" x14ac:dyDescent="0.25">
      <c r="B42" s="2" t="s">
        <v>5</v>
      </c>
      <c r="C42" s="22">
        <v>1</v>
      </c>
      <c r="D42" s="23">
        <v>35</v>
      </c>
      <c r="E42" s="2" t="s">
        <v>44</v>
      </c>
      <c r="F42" s="2"/>
    </row>
    <row r="43" spans="2:6" x14ac:dyDescent="0.25">
      <c r="B43" s="2" t="s">
        <v>5</v>
      </c>
      <c r="C43" s="22">
        <v>1</v>
      </c>
      <c r="D43" s="23">
        <v>35</v>
      </c>
      <c r="E43" s="2" t="s">
        <v>44</v>
      </c>
      <c r="F43" s="2"/>
    </row>
    <row r="44" spans="2:6" x14ac:dyDescent="0.25">
      <c r="B44" s="2" t="s">
        <v>9</v>
      </c>
      <c r="C44" s="22">
        <v>1</v>
      </c>
      <c r="D44" s="23">
        <v>33</v>
      </c>
      <c r="E44" s="2" t="s">
        <v>48</v>
      </c>
      <c r="F44" s="2"/>
    </row>
    <row r="45" spans="2:6" x14ac:dyDescent="0.25">
      <c r="B45" s="2" t="s">
        <v>9</v>
      </c>
      <c r="C45" s="22">
        <v>1</v>
      </c>
      <c r="D45" s="23">
        <v>33</v>
      </c>
      <c r="E45" s="2" t="s">
        <v>46</v>
      </c>
      <c r="F45" s="2"/>
    </row>
    <row r="46" spans="2:6" x14ac:dyDescent="0.25">
      <c r="B46" s="2" t="s">
        <v>11</v>
      </c>
      <c r="C46" s="22">
        <v>1</v>
      </c>
      <c r="D46" s="23">
        <v>33</v>
      </c>
      <c r="E46" s="2" t="s">
        <v>44</v>
      </c>
      <c r="F46" s="2"/>
    </row>
    <row r="47" spans="2:6" x14ac:dyDescent="0.25">
      <c r="C47" s="13">
        <f>SUBTOTAL(109,Tabla141624303842495913[Carretas])</f>
        <v>20</v>
      </c>
      <c r="D47" s="13">
        <f>SUBTOTAL(101,Tabla141624303842495913[Precios])</f>
        <v>35</v>
      </c>
    </row>
    <row r="49" spans="2:8" x14ac:dyDescent="0.25">
      <c r="C49" s="44" t="s">
        <v>62</v>
      </c>
      <c r="D49" s="44"/>
    </row>
    <row r="50" spans="2:8" x14ac:dyDescent="0.25">
      <c r="C50" s="44" t="s">
        <v>65</v>
      </c>
      <c r="D50" s="44"/>
      <c r="H50" s="1"/>
    </row>
    <row r="51" spans="2:8" x14ac:dyDescent="0.25">
      <c r="B51" s="1" t="s">
        <v>0</v>
      </c>
      <c r="C51" s="1" t="s">
        <v>34</v>
      </c>
      <c r="D51" s="12" t="s">
        <v>2</v>
      </c>
      <c r="E51" s="1" t="s">
        <v>1</v>
      </c>
      <c r="F51" s="1" t="s">
        <v>41</v>
      </c>
      <c r="G51" s="1" t="s">
        <v>42</v>
      </c>
    </row>
    <row r="52" spans="2:8" x14ac:dyDescent="0.25">
      <c r="B52" s="20" t="s">
        <v>7</v>
      </c>
      <c r="C52" s="17">
        <v>1</v>
      </c>
      <c r="D52" s="18">
        <v>31</v>
      </c>
      <c r="E52" s="2" t="s">
        <v>48</v>
      </c>
      <c r="F52" s="2" t="s">
        <v>72</v>
      </c>
    </row>
    <row r="53" spans="2:8" x14ac:dyDescent="0.25">
      <c r="B53" s="2" t="s">
        <v>7</v>
      </c>
      <c r="C53" s="22">
        <v>1</v>
      </c>
      <c r="D53" s="23">
        <v>31</v>
      </c>
      <c r="E53" s="2" t="s">
        <v>48</v>
      </c>
      <c r="F53" s="2" t="s">
        <v>72</v>
      </c>
    </row>
    <row r="54" spans="2:8" x14ac:dyDescent="0.25">
      <c r="B54" s="2" t="s">
        <v>6</v>
      </c>
      <c r="C54" s="22"/>
      <c r="D54" s="23"/>
      <c r="E54" s="2" t="s">
        <v>73</v>
      </c>
      <c r="F54" s="2"/>
    </row>
    <row r="55" spans="2:8" x14ac:dyDescent="0.25">
      <c r="B55" s="2" t="s">
        <v>8</v>
      </c>
      <c r="C55" s="22">
        <v>1</v>
      </c>
      <c r="D55" s="23">
        <v>31</v>
      </c>
      <c r="E55" s="2" t="s">
        <v>43</v>
      </c>
      <c r="F55" s="2"/>
    </row>
    <row r="56" spans="2:8" x14ac:dyDescent="0.25">
      <c r="B56" s="2" t="s">
        <v>8</v>
      </c>
      <c r="C56" s="22">
        <v>1</v>
      </c>
      <c r="D56" s="23">
        <v>31</v>
      </c>
      <c r="E56" s="2" t="s">
        <v>45</v>
      </c>
      <c r="F56" s="2"/>
    </row>
    <row r="57" spans="2:8" x14ac:dyDescent="0.25">
      <c r="B57" s="2" t="s">
        <v>8</v>
      </c>
      <c r="C57" s="22">
        <v>1</v>
      </c>
      <c r="D57" s="23">
        <v>31</v>
      </c>
      <c r="E57" s="2"/>
      <c r="F57" s="2"/>
    </row>
    <row r="58" spans="2:8" x14ac:dyDescent="0.25">
      <c r="B58" s="2" t="s">
        <v>8</v>
      </c>
      <c r="C58" s="22">
        <v>1</v>
      </c>
      <c r="D58" s="23">
        <v>31</v>
      </c>
      <c r="E58" s="2" t="s">
        <v>45</v>
      </c>
      <c r="F58" s="2"/>
    </row>
    <row r="59" spans="2:8" x14ac:dyDescent="0.25">
      <c r="B59" s="2" t="s">
        <v>8</v>
      </c>
      <c r="C59" s="22">
        <v>1</v>
      </c>
      <c r="D59" s="23">
        <v>31</v>
      </c>
      <c r="E59" s="2" t="s">
        <v>46</v>
      </c>
      <c r="F59" s="2"/>
    </row>
    <row r="60" spans="2:8" x14ac:dyDescent="0.25">
      <c r="B60" s="2" t="s">
        <v>4</v>
      </c>
      <c r="C60" s="22">
        <v>1</v>
      </c>
      <c r="D60" s="23">
        <v>33</v>
      </c>
      <c r="E60" s="2" t="s">
        <v>46</v>
      </c>
      <c r="F60" s="2"/>
    </row>
    <row r="61" spans="2:8" x14ac:dyDescent="0.25">
      <c r="B61" s="2" t="s">
        <v>4</v>
      </c>
      <c r="C61" s="22">
        <v>1</v>
      </c>
      <c r="D61" s="23">
        <v>33</v>
      </c>
      <c r="E61" s="2" t="s">
        <v>44</v>
      </c>
      <c r="F61" s="2"/>
    </row>
    <row r="62" spans="2:8" x14ac:dyDescent="0.25">
      <c r="B62" s="2" t="s">
        <v>4</v>
      </c>
      <c r="C62" s="22"/>
      <c r="D62" s="23"/>
      <c r="E62" s="2" t="s">
        <v>45</v>
      </c>
      <c r="F62" s="19" t="s">
        <v>73</v>
      </c>
    </row>
    <row r="63" spans="2:8" x14ac:dyDescent="0.25">
      <c r="B63" s="2" t="s">
        <v>5</v>
      </c>
      <c r="C63" s="22">
        <v>1</v>
      </c>
      <c r="D63" s="23">
        <v>32</v>
      </c>
      <c r="E63" s="2" t="s">
        <v>44</v>
      </c>
      <c r="F63" s="2"/>
    </row>
    <row r="64" spans="2:8" x14ac:dyDescent="0.25">
      <c r="B64" s="2" t="s">
        <v>5</v>
      </c>
      <c r="C64" s="22">
        <v>1</v>
      </c>
      <c r="D64" s="23">
        <v>32</v>
      </c>
      <c r="E64" s="2"/>
      <c r="F64" s="2"/>
    </row>
    <row r="65" spans="2:8" x14ac:dyDescent="0.25">
      <c r="B65" s="2" t="s">
        <v>5</v>
      </c>
      <c r="C65" s="22">
        <v>1</v>
      </c>
      <c r="D65" s="23">
        <v>32</v>
      </c>
      <c r="E65" s="2" t="s">
        <v>44</v>
      </c>
      <c r="F65" s="2"/>
    </row>
    <row r="66" spans="2:8" x14ac:dyDescent="0.25">
      <c r="B66" s="2" t="s">
        <v>5</v>
      </c>
      <c r="C66" s="22">
        <v>1</v>
      </c>
      <c r="D66" s="23">
        <v>32</v>
      </c>
      <c r="E66" s="2" t="s">
        <v>44</v>
      </c>
      <c r="F66" s="2"/>
    </row>
    <row r="67" spans="2:8" x14ac:dyDescent="0.25">
      <c r="B67" s="2" t="s">
        <v>5</v>
      </c>
      <c r="C67" s="22">
        <v>1</v>
      </c>
      <c r="D67" s="23">
        <v>32</v>
      </c>
      <c r="E67" s="2" t="s">
        <v>43</v>
      </c>
      <c r="F67" s="2"/>
    </row>
    <row r="68" spans="2:8" x14ac:dyDescent="0.25">
      <c r="B68" s="2" t="s">
        <v>5</v>
      </c>
      <c r="C68" s="22">
        <v>1</v>
      </c>
      <c r="D68" s="23">
        <v>32</v>
      </c>
      <c r="E68" s="2" t="s">
        <v>44</v>
      </c>
      <c r="F68" s="2"/>
    </row>
    <row r="69" spans="2:8" x14ac:dyDescent="0.25">
      <c r="B69" s="2" t="s">
        <v>71</v>
      </c>
      <c r="C69" s="22">
        <v>1</v>
      </c>
      <c r="D69" s="23">
        <v>31</v>
      </c>
      <c r="E69" s="2" t="s">
        <v>43</v>
      </c>
      <c r="F69" s="2"/>
    </row>
    <row r="70" spans="2:8" x14ac:dyDescent="0.25">
      <c r="B70" s="2" t="s">
        <v>71</v>
      </c>
      <c r="C70" s="22">
        <v>1</v>
      </c>
      <c r="D70" s="23">
        <v>31</v>
      </c>
      <c r="E70" s="2" t="s">
        <v>44</v>
      </c>
      <c r="F70" s="2"/>
    </row>
    <row r="71" spans="2:8" x14ac:dyDescent="0.25">
      <c r="B71" s="2" t="s">
        <v>71</v>
      </c>
      <c r="C71" s="22">
        <v>1</v>
      </c>
      <c r="D71" s="23">
        <v>31</v>
      </c>
      <c r="E71" s="2" t="s">
        <v>44</v>
      </c>
      <c r="F71" s="2"/>
    </row>
    <row r="72" spans="2:8" x14ac:dyDescent="0.25">
      <c r="C72" s="13">
        <f>SUBTOTAL(109,Tabla151725283640473711[Carretas])</f>
        <v>18</v>
      </c>
      <c r="D72" s="13">
        <f>SUBTOTAL(101,Tabla151725283640473711[Precios])</f>
        <v>31.555555555555557</v>
      </c>
    </row>
    <row r="74" spans="2:8" x14ac:dyDescent="0.25">
      <c r="C74" s="44" t="s">
        <v>63</v>
      </c>
      <c r="D74" s="44"/>
    </row>
    <row r="75" spans="2:8" x14ac:dyDescent="0.25">
      <c r="C75" s="44" t="s">
        <v>66</v>
      </c>
      <c r="D75" s="44"/>
    </row>
    <row r="76" spans="2:8" x14ac:dyDescent="0.25">
      <c r="B76" s="1" t="s">
        <v>0</v>
      </c>
      <c r="C76" s="1" t="s">
        <v>34</v>
      </c>
      <c r="D76" s="1" t="s">
        <v>2</v>
      </c>
      <c r="E76" s="1" t="s">
        <v>1</v>
      </c>
      <c r="F76" s="1" t="s">
        <v>41</v>
      </c>
      <c r="G76" s="1" t="s">
        <v>42</v>
      </c>
      <c r="H76" s="1"/>
    </row>
    <row r="77" spans="2:8" ht="15.75" x14ac:dyDescent="0.25">
      <c r="B77" s="21" t="s">
        <v>7</v>
      </c>
      <c r="C77" s="22">
        <v>1</v>
      </c>
      <c r="D77" s="23">
        <v>30</v>
      </c>
      <c r="E77" s="2" t="s">
        <v>45</v>
      </c>
      <c r="F77" s="2"/>
    </row>
    <row r="78" spans="2:8" ht="15.75" x14ac:dyDescent="0.25">
      <c r="B78" s="21" t="s">
        <v>7</v>
      </c>
      <c r="C78" s="22">
        <v>1</v>
      </c>
      <c r="D78" s="23">
        <v>30</v>
      </c>
      <c r="E78" s="2"/>
      <c r="F78" s="2"/>
    </row>
    <row r="79" spans="2:8" ht="15.75" x14ac:dyDescent="0.25">
      <c r="B79" s="21" t="s">
        <v>74</v>
      </c>
      <c r="C79" s="22">
        <v>1</v>
      </c>
      <c r="D79" s="23">
        <v>29</v>
      </c>
      <c r="E79" s="2"/>
      <c r="F79" s="2"/>
    </row>
    <row r="80" spans="2:8" ht="15.75" x14ac:dyDescent="0.25">
      <c r="B80" s="21" t="s">
        <v>6</v>
      </c>
      <c r="C80" s="22">
        <v>1</v>
      </c>
      <c r="D80" s="23">
        <v>28</v>
      </c>
      <c r="E80" s="2"/>
      <c r="F80" s="2"/>
    </row>
    <row r="81" spans="2:6" ht="15.75" x14ac:dyDescent="0.25">
      <c r="B81" s="21" t="s">
        <v>6</v>
      </c>
      <c r="C81" s="22">
        <v>1</v>
      </c>
      <c r="D81" s="23">
        <v>28</v>
      </c>
      <c r="E81" s="2"/>
      <c r="F81" s="2"/>
    </row>
    <row r="82" spans="2:6" ht="15.75" x14ac:dyDescent="0.25">
      <c r="B82" s="21" t="s">
        <v>8</v>
      </c>
      <c r="C82" s="22">
        <v>1</v>
      </c>
      <c r="D82" s="23">
        <v>29</v>
      </c>
      <c r="E82" s="2" t="s">
        <v>48</v>
      </c>
      <c r="F82" s="2"/>
    </row>
    <row r="83" spans="2:6" ht="15.75" x14ac:dyDescent="0.25">
      <c r="B83" s="21" t="s">
        <v>8</v>
      </c>
      <c r="C83" s="22">
        <v>1</v>
      </c>
      <c r="D83" s="23">
        <v>29</v>
      </c>
      <c r="E83" s="2"/>
      <c r="F83" s="2"/>
    </row>
    <row r="84" spans="2:6" ht="15.75" x14ac:dyDescent="0.25">
      <c r="B84" s="21" t="s">
        <v>8</v>
      </c>
      <c r="C84" s="22">
        <v>1</v>
      </c>
      <c r="D84" s="23">
        <v>29</v>
      </c>
      <c r="E84" s="2"/>
      <c r="F84" s="2"/>
    </row>
    <row r="85" spans="2:6" ht="15.75" x14ac:dyDescent="0.25">
      <c r="B85" s="21" t="s">
        <v>8</v>
      </c>
      <c r="C85" s="22">
        <v>1</v>
      </c>
      <c r="D85" s="23">
        <v>29</v>
      </c>
      <c r="E85" s="2" t="s">
        <v>45</v>
      </c>
      <c r="F85" s="2"/>
    </row>
    <row r="86" spans="2:6" ht="15.75" x14ac:dyDescent="0.25">
      <c r="B86" s="21" t="s">
        <v>8</v>
      </c>
      <c r="C86" s="22">
        <v>1</v>
      </c>
      <c r="D86" s="23">
        <v>29</v>
      </c>
      <c r="E86" s="2"/>
      <c r="F86" s="2"/>
    </row>
    <row r="87" spans="2:6" ht="15.75" x14ac:dyDescent="0.25">
      <c r="B87" s="21" t="s">
        <v>4</v>
      </c>
      <c r="C87" s="22">
        <v>1</v>
      </c>
      <c r="D87" s="23">
        <v>31</v>
      </c>
      <c r="E87" s="2" t="s">
        <v>48</v>
      </c>
      <c r="F87" s="2"/>
    </row>
    <row r="88" spans="2:6" ht="15.75" x14ac:dyDescent="0.25">
      <c r="B88" s="21" t="s">
        <v>5</v>
      </c>
      <c r="C88" s="22">
        <v>1</v>
      </c>
      <c r="D88" s="23">
        <v>30</v>
      </c>
      <c r="E88" s="2" t="s">
        <v>44</v>
      </c>
      <c r="F88" s="2"/>
    </row>
    <row r="89" spans="2:6" ht="15.75" x14ac:dyDescent="0.25">
      <c r="B89" s="21" t="s">
        <v>5</v>
      </c>
      <c r="C89" s="22">
        <v>1</v>
      </c>
      <c r="D89" s="23">
        <v>30</v>
      </c>
      <c r="E89" s="2"/>
      <c r="F89" s="2"/>
    </row>
    <row r="90" spans="2:6" ht="15.75" x14ac:dyDescent="0.25">
      <c r="B90" s="21" t="s">
        <v>5</v>
      </c>
      <c r="C90" s="22">
        <v>1</v>
      </c>
      <c r="D90" s="23">
        <v>30</v>
      </c>
      <c r="E90" s="2"/>
      <c r="F90" s="2"/>
    </row>
    <row r="91" spans="2:6" ht="15.75" x14ac:dyDescent="0.25">
      <c r="B91" s="21" t="s">
        <v>5</v>
      </c>
      <c r="C91" s="22">
        <v>1</v>
      </c>
      <c r="D91" s="23">
        <v>30</v>
      </c>
      <c r="E91" s="2" t="s">
        <v>46</v>
      </c>
      <c r="F91" s="2"/>
    </row>
    <row r="92" spans="2:6" ht="15.75" x14ac:dyDescent="0.25">
      <c r="B92" s="21" t="s">
        <v>5</v>
      </c>
      <c r="C92" s="22">
        <v>1</v>
      </c>
      <c r="D92" s="23">
        <v>30</v>
      </c>
      <c r="E92" s="2" t="s">
        <v>48</v>
      </c>
      <c r="F92" s="2"/>
    </row>
    <row r="93" spans="2:6" ht="15.75" x14ac:dyDescent="0.25">
      <c r="B93" s="21" t="s">
        <v>9</v>
      </c>
      <c r="C93" s="22">
        <v>1</v>
      </c>
      <c r="D93" s="23">
        <v>28</v>
      </c>
      <c r="E93" s="2" t="s">
        <v>44</v>
      </c>
      <c r="F93" s="2"/>
    </row>
    <row r="94" spans="2:6" ht="15.75" x14ac:dyDescent="0.25">
      <c r="B94" s="21"/>
      <c r="C94" s="22"/>
      <c r="D94" s="23"/>
      <c r="E94" s="2"/>
      <c r="F94" s="2"/>
    </row>
    <row r="95" spans="2:6" x14ac:dyDescent="0.25">
      <c r="C95" s="13">
        <f>SUBTOTAL(109,Tabla161826293741484812[Carretas])</f>
        <v>17</v>
      </c>
      <c r="D95" s="13">
        <f>SUBTOTAL(101,Tabla161826293741484812[Precios])</f>
        <v>29.352941176470587</v>
      </c>
    </row>
    <row r="97" spans="2:6" x14ac:dyDescent="0.25">
      <c r="C97" s="44" t="s">
        <v>67</v>
      </c>
      <c r="D97" s="44"/>
    </row>
    <row r="98" spans="2:6" x14ac:dyDescent="0.25">
      <c r="C98" s="44" t="s">
        <v>68</v>
      </c>
      <c r="D98" s="44"/>
    </row>
    <row r="99" spans="2:6" ht="15.75" thickBot="1" x14ac:dyDescent="0.3">
      <c r="B99" s="10" t="s">
        <v>0</v>
      </c>
      <c r="C99" s="10" t="s">
        <v>34</v>
      </c>
      <c r="D99" s="10" t="s">
        <v>2</v>
      </c>
      <c r="E99" s="10" t="s">
        <v>1</v>
      </c>
      <c r="F99" s="10" t="s">
        <v>41</v>
      </c>
    </row>
    <row r="100" spans="2:6" x14ac:dyDescent="0.25">
      <c r="B100" s="15" t="s">
        <v>7</v>
      </c>
      <c r="C100" s="24">
        <v>1</v>
      </c>
      <c r="D100" s="25">
        <v>25</v>
      </c>
      <c r="E100" s="15" t="s">
        <v>45</v>
      </c>
      <c r="F100" s="15"/>
    </row>
    <row r="101" spans="2:6" x14ac:dyDescent="0.25">
      <c r="B101" s="16" t="s">
        <v>7</v>
      </c>
      <c r="C101" s="24">
        <v>1</v>
      </c>
      <c r="D101" s="25">
        <v>25</v>
      </c>
      <c r="E101" s="15" t="s">
        <v>45</v>
      </c>
      <c r="F101" s="15"/>
    </row>
    <row r="102" spans="2:6" x14ac:dyDescent="0.25">
      <c r="B102" s="16" t="s">
        <v>7</v>
      </c>
      <c r="C102" s="26">
        <v>1</v>
      </c>
      <c r="D102" s="27">
        <v>25</v>
      </c>
      <c r="E102" s="16"/>
      <c r="F102" s="16"/>
    </row>
    <row r="103" spans="2:6" x14ac:dyDescent="0.25">
      <c r="B103" s="15" t="s">
        <v>6</v>
      </c>
      <c r="C103" s="26">
        <v>1</v>
      </c>
      <c r="D103" s="27">
        <v>25</v>
      </c>
      <c r="E103" s="16" t="s">
        <v>43</v>
      </c>
      <c r="F103" s="16"/>
    </row>
    <row r="104" spans="2:6" x14ac:dyDescent="0.25">
      <c r="B104" s="15" t="s">
        <v>6</v>
      </c>
      <c r="C104" s="24">
        <v>1</v>
      </c>
      <c r="D104" s="25">
        <v>25</v>
      </c>
      <c r="E104" s="15" t="s">
        <v>43</v>
      </c>
      <c r="F104" s="15"/>
    </row>
    <row r="105" spans="2:6" x14ac:dyDescent="0.25">
      <c r="B105" s="16" t="s">
        <v>8</v>
      </c>
      <c r="C105" s="26">
        <v>1</v>
      </c>
      <c r="D105" s="25">
        <v>25</v>
      </c>
      <c r="E105" s="16" t="s">
        <v>44</v>
      </c>
      <c r="F105" s="16"/>
    </row>
    <row r="106" spans="2:6" x14ac:dyDescent="0.25">
      <c r="B106" s="16" t="s">
        <v>8</v>
      </c>
      <c r="C106" s="26">
        <v>1</v>
      </c>
      <c r="D106" s="25">
        <v>25</v>
      </c>
      <c r="E106" s="16" t="s">
        <v>43</v>
      </c>
      <c r="F106" s="16"/>
    </row>
    <row r="107" spans="2:6" x14ac:dyDescent="0.25">
      <c r="B107" s="16" t="s">
        <v>8</v>
      </c>
      <c r="C107" s="26">
        <v>1</v>
      </c>
      <c r="D107" s="25">
        <v>25</v>
      </c>
      <c r="E107" s="16" t="s">
        <v>44</v>
      </c>
      <c r="F107" s="16"/>
    </row>
    <row r="108" spans="2:6" x14ac:dyDescent="0.25">
      <c r="B108" s="15" t="s">
        <v>8</v>
      </c>
      <c r="C108" s="24">
        <v>1</v>
      </c>
      <c r="D108" s="25">
        <v>25</v>
      </c>
      <c r="E108" s="15" t="s">
        <v>45</v>
      </c>
      <c r="F108" s="15"/>
    </row>
    <row r="109" spans="2:6" x14ac:dyDescent="0.25">
      <c r="B109" s="16" t="s">
        <v>8</v>
      </c>
      <c r="C109" s="26">
        <v>1</v>
      </c>
      <c r="D109" s="25">
        <v>25</v>
      </c>
      <c r="E109" s="16" t="s">
        <v>44</v>
      </c>
      <c r="F109" s="16"/>
    </row>
    <row r="110" spans="2:6" x14ac:dyDescent="0.25">
      <c r="B110" s="15" t="s">
        <v>4</v>
      </c>
      <c r="C110" s="24">
        <v>1</v>
      </c>
      <c r="D110" s="25">
        <v>27</v>
      </c>
      <c r="E110" s="15" t="s">
        <v>48</v>
      </c>
      <c r="F110" s="15"/>
    </row>
    <row r="111" spans="2:6" x14ac:dyDescent="0.25">
      <c r="B111" s="16" t="s">
        <v>4</v>
      </c>
      <c r="C111" s="26">
        <v>1</v>
      </c>
      <c r="D111" s="27">
        <v>27</v>
      </c>
      <c r="E111" s="16"/>
      <c r="F111" s="16"/>
    </row>
    <row r="112" spans="2:6" x14ac:dyDescent="0.25">
      <c r="B112" s="15" t="s">
        <v>5</v>
      </c>
      <c r="C112" s="24">
        <v>1</v>
      </c>
      <c r="D112" s="25">
        <v>25</v>
      </c>
      <c r="E112" s="15" t="s">
        <v>46</v>
      </c>
      <c r="F112" s="15"/>
    </row>
    <row r="113" spans="2:6" x14ac:dyDescent="0.25">
      <c r="B113" s="16" t="s">
        <v>5</v>
      </c>
      <c r="C113" s="26">
        <v>1</v>
      </c>
      <c r="D113" s="27">
        <v>25</v>
      </c>
      <c r="E113" s="16" t="s">
        <v>46</v>
      </c>
      <c r="F113" s="16"/>
    </row>
    <row r="114" spans="2:6" x14ac:dyDescent="0.25">
      <c r="B114" s="15" t="s">
        <v>5</v>
      </c>
      <c r="C114" s="24">
        <v>1</v>
      </c>
      <c r="D114" s="25">
        <v>25</v>
      </c>
      <c r="E114" s="15" t="s">
        <v>48</v>
      </c>
      <c r="F114" s="15"/>
    </row>
    <row r="115" spans="2:6" x14ac:dyDescent="0.25">
      <c r="B115" s="15" t="s">
        <v>11</v>
      </c>
      <c r="C115" s="24">
        <v>0.9</v>
      </c>
      <c r="D115" s="25">
        <v>25</v>
      </c>
      <c r="E115" s="15"/>
      <c r="F115" s="15"/>
    </row>
    <row r="116" spans="2:6" x14ac:dyDescent="0.25">
      <c r="B116" s="15" t="s">
        <v>11</v>
      </c>
      <c r="C116" s="24">
        <v>1</v>
      </c>
      <c r="D116" s="25">
        <v>25</v>
      </c>
      <c r="E116" s="15"/>
      <c r="F116" s="15"/>
    </row>
    <row r="117" spans="2:6" x14ac:dyDescent="0.25">
      <c r="B117" s="15" t="s">
        <v>74</v>
      </c>
      <c r="C117" s="24">
        <v>1</v>
      </c>
      <c r="D117" s="25">
        <v>25</v>
      </c>
      <c r="E117" s="15" t="s">
        <v>45</v>
      </c>
      <c r="F117" s="15"/>
    </row>
    <row r="118" spans="2:6" x14ac:dyDescent="0.25">
      <c r="B118" s="15" t="s">
        <v>74</v>
      </c>
      <c r="C118" s="24">
        <v>1</v>
      </c>
      <c r="D118" s="25">
        <v>25</v>
      </c>
      <c r="E118" s="15" t="s">
        <v>43</v>
      </c>
      <c r="F118" s="15"/>
    </row>
    <row r="119" spans="2:6" x14ac:dyDescent="0.25">
      <c r="B119" s="16" t="s">
        <v>9</v>
      </c>
      <c r="C119" s="26">
        <v>1</v>
      </c>
      <c r="D119" s="27">
        <v>23</v>
      </c>
      <c r="E119" s="16" t="s">
        <v>43</v>
      </c>
      <c r="F119" s="16"/>
    </row>
    <row r="120" spans="2:6" x14ac:dyDescent="0.25">
      <c r="B120" s="15" t="s">
        <v>9</v>
      </c>
      <c r="C120" s="24">
        <v>1</v>
      </c>
      <c r="D120" s="25">
        <v>23</v>
      </c>
      <c r="E120" s="15" t="s">
        <v>44</v>
      </c>
      <c r="F120" s="15"/>
    </row>
    <row r="121" spans="2:6" ht="15.75" thickBot="1" x14ac:dyDescent="0.3">
      <c r="B121" s="16" t="s">
        <v>9</v>
      </c>
      <c r="C121" s="26">
        <v>1</v>
      </c>
      <c r="D121" s="27">
        <v>23</v>
      </c>
      <c r="E121" s="16" t="s">
        <v>44</v>
      </c>
      <c r="F121" s="16"/>
    </row>
    <row r="122" spans="2:6" ht="15.75" thickTop="1" x14ac:dyDescent="0.25">
      <c r="B122" s="9"/>
      <c r="C122" s="14">
        <f>SUM(C100:C121)</f>
        <v>21.9</v>
      </c>
      <c r="D122" s="14">
        <f>AVERAGE(D100:D121)</f>
        <v>24.90909090909091</v>
      </c>
      <c r="E122" s="9"/>
      <c r="F122" s="9"/>
    </row>
  </sheetData>
  <mergeCells count="12">
    <mergeCell ref="J1:K1"/>
    <mergeCell ref="J2:K2"/>
    <mergeCell ref="C97:D97"/>
    <mergeCell ref="C98:D98"/>
    <mergeCell ref="C74:D74"/>
    <mergeCell ref="C75:D75"/>
    <mergeCell ref="C2:D2"/>
    <mergeCell ref="C3:D3"/>
    <mergeCell ref="C24:D24"/>
    <mergeCell ref="C25:D25"/>
    <mergeCell ref="C49:D49"/>
    <mergeCell ref="C50:D50"/>
  </mergeCells>
  <phoneticPr fontId="4" type="noConversion"/>
  <conditionalFormatting sqref="B123:E123">
    <cfRule type="colorScale" priority="25">
      <colorScale>
        <cfvo type="min"/>
        <cfvo type="max"/>
        <color rgb="FFFFEF9C"/>
        <color rgb="FF63BE7B"/>
      </colorScale>
    </cfRule>
  </conditionalFormatting>
  <conditionalFormatting sqref="E24 B24 G4:H4 B23:E2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7:G95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{D380EA0A-E503-4093-9CEE-E6DD6EED3BB8}</x14:id>
        </ext>
      </extLst>
    </cfRule>
  </conditionalFormatting>
  <conditionalFormatting sqref="G26:H2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1:H5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:H7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80EA0A-E503-4093-9CEE-E6DD6EED3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G77:G95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8C9A-6FAB-49D4-93D1-B1C62F913A52}">
  <dimension ref="B1:K88"/>
  <sheetViews>
    <sheetView topLeftCell="A23" zoomScale="120" zoomScaleNormal="120" workbookViewId="0">
      <selection activeCell="H67" sqref="H67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3.7109375" customWidth="1"/>
  </cols>
  <sheetData>
    <row r="1" spans="2:11" ht="21" customHeight="1" x14ac:dyDescent="0.25">
      <c r="J1" s="45">
        <v>45809</v>
      </c>
      <c r="K1" s="44"/>
    </row>
    <row r="2" spans="2:11" ht="17.25" customHeight="1" thickBot="1" x14ac:dyDescent="0.3">
      <c r="C2" s="44" t="s">
        <v>75</v>
      </c>
      <c r="D2" s="44"/>
    </row>
    <row r="3" spans="2:11" ht="19.5" thickBot="1" x14ac:dyDescent="0.35">
      <c r="C3" s="44" t="s">
        <v>79</v>
      </c>
      <c r="D3" s="44"/>
      <c r="H3" s="1"/>
      <c r="J3" s="32" t="s">
        <v>57</v>
      </c>
      <c r="K3" s="31">
        <f>SUM(Tabla1152327353946261014[[#Totals],[Carretas]]+Tabla15172528364047371115[[#Totals],[Carretas]]+Tabla16182629374148481216[[#Totals],[Carretas]]+Tabla14162430384249591317[[#Totals],[Carretas]])</f>
        <v>67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AVERAGE(D25,D49,D64,D88)</f>
        <v>27.27171052631579</v>
      </c>
    </row>
    <row r="5" spans="2:11" x14ac:dyDescent="0.25">
      <c r="B5" s="2" t="s">
        <v>7</v>
      </c>
      <c r="C5" s="22">
        <v>1</v>
      </c>
      <c r="D5" s="23">
        <v>25</v>
      </c>
      <c r="E5" s="2" t="s">
        <v>44</v>
      </c>
      <c r="F5" s="33" t="s">
        <v>72</v>
      </c>
      <c r="G5" s="3"/>
    </row>
    <row r="6" spans="2:11" x14ac:dyDescent="0.25">
      <c r="B6" s="2" t="s">
        <v>7</v>
      </c>
      <c r="C6" s="22">
        <v>1</v>
      </c>
      <c r="D6" s="23">
        <v>25</v>
      </c>
      <c r="E6" s="2" t="s">
        <v>45</v>
      </c>
      <c r="F6" s="33" t="s">
        <v>72</v>
      </c>
      <c r="G6" s="3"/>
    </row>
    <row r="7" spans="2:11" x14ac:dyDescent="0.25">
      <c r="B7" s="2" t="s">
        <v>10</v>
      </c>
      <c r="C7" s="22">
        <v>1</v>
      </c>
      <c r="D7" s="23">
        <v>25</v>
      </c>
      <c r="E7" s="2" t="s">
        <v>48</v>
      </c>
      <c r="F7" s="3"/>
      <c r="G7" s="3"/>
    </row>
    <row r="8" spans="2:11" x14ac:dyDescent="0.25">
      <c r="B8" s="2" t="s">
        <v>6</v>
      </c>
      <c r="C8" s="22">
        <v>1</v>
      </c>
      <c r="D8" s="23">
        <v>25</v>
      </c>
      <c r="E8" s="2" t="s">
        <v>43</v>
      </c>
      <c r="F8" s="5"/>
      <c r="G8" s="3"/>
    </row>
    <row r="9" spans="2:11" x14ac:dyDescent="0.25">
      <c r="B9" s="2" t="s">
        <v>6</v>
      </c>
      <c r="C9" s="22">
        <v>1</v>
      </c>
      <c r="D9" s="23">
        <v>25</v>
      </c>
      <c r="E9" s="2" t="s">
        <v>43</v>
      </c>
      <c r="F9" s="3"/>
      <c r="G9" s="3"/>
    </row>
    <row r="10" spans="2:11" x14ac:dyDescent="0.25">
      <c r="B10" s="2" t="s">
        <v>8</v>
      </c>
      <c r="C10" s="22">
        <v>1</v>
      </c>
      <c r="D10" s="23">
        <v>26</v>
      </c>
      <c r="E10" s="2" t="s">
        <v>44</v>
      </c>
      <c r="F10" s="3"/>
      <c r="G10" s="3"/>
    </row>
    <row r="11" spans="2:11" x14ac:dyDescent="0.25">
      <c r="B11" s="2" t="s">
        <v>8</v>
      </c>
      <c r="C11" s="22">
        <v>1</v>
      </c>
      <c r="D11" s="23">
        <v>26</v>
      </c>
      <c r="E11" s="2" t="s">
        <v>44</v>
      </c>
      <c r="F11" s="3"/>
      <c r="G11" s="3"/>
    </row>
    <row r="12" spans="2:11" x14ac:dyDescent="0.25">
      <c r="B12" s="2" t="s">
        <v>8</v>
      </c>
      <c r="C12" s="22">
        <v>1</v>
      </c>
      <c r="D12" s="23">
        <v>26</v>
      </c>
      <c r="E12" s="2" t="s">
        <v>44</v>
      </c>
      <c r="F12" s="3"/>
      <c r="G12" s="3"/>
    </row>
    <row r="13" spans="2:11" x14ac:dyDescent="0.25">
      <c r="B13" s="2" t="s">
        <v>8</v>
      </c>
      <c r="C13" s="22">
        <v>1</v>
      </c>
      <c r="D13" s="23">
        <v>26</v>
      </c>
      <c r="E13" s="2" t="s">
        <v>48</v>
      </c>
      <c r="F13" s="3"/>
      <c r="G13" s="3"/>
    </row>
    <row r="14" spans="2:11" x14ac:dyDescent="0.25">
      <c r="B14" s="2" t="s">
        <v>8</v>
      </c>
      <c r="C14" s="22">
        <v>1</v>
      </c>
      <c r="D14" s="23">
        <v>26</v>
      </c>
      <c r="E14" s="2" t="s">
        <v>46</v>
      </c>
      <c r="F14" s="3"/>
      <c r="G14" s="3"/>
    </row>
    <row r="15" spans="2:11" x14ac:dyDescent="0.25">
      <c r="B15" s="2" t="s">
        <v>4</v>
      </c>
      <c r="C15" s="22">
        <v>1</v>
      </c>
      <c r="D15" s="23">
        <v>27</v>
      </c>
      <c r="E15" s="2" t="s">
        <v>44</v>
      </c>
      <c r="F15" s="3"/>
      <c r="G15" s="3"/>
    </row>
    <row r="16" spans="2:11" x14ac:dyDescent="0.25">
      <c r="B16" s="2" t="s">
        <v>4</v>
      </c>
      <c r="C16" s="22">
        <v>1</v>
      </c>
      <c r="D16" s="23">
        <v>27</v>
      </c>
      <c r="E16" s="2" t="s">
        <v>46</v>
      </c>
      <c r="F16" s="3"/>
      <c r="G16" s="3"/>
    </row>
    <row r="17" spans="2:8" x14ac:dyDescent="0.25">
      <c r="B17" s="2" t="s">
        <v>5</v>
      </c>
      <c r="C17" s="22">
        <v>1</v>
      </c>
      <c r="D17" s="23">
        <v>25</v>
      </c>
      <c r="E17" s="2" t="s">
        <v>44</v>
      </c>
      <c r="F17" s="3"/>
      <c r="G17" s="3"/>
    </row>
    <row r="18" spans="2:8" x14ac:dyDescent="0.25">
      <c r="B18" s="2" t="s">
        <v>5</v>
      </c>
      <c r="C18" s="22">
        <v>1</v>
      </c>
      <c r="D18" s="23">
        <v>25</v>
      </c>
      <c r="E18" s="2" t="s">
        <v>44</v>
      </c>
      <c r="F18" s="3"/>
      <c r="G18" s="3"/>
    </row>
    <row r="19" spans="2:8" x14ac:dyDescent="0.25">
      <c r="B19" s="2" t="s">
        <v>5</v>
      </c>
      <c r="C19" s="22">
        <v>1</v>
      </c>
      <c r="D19" s="23">
        <v>25</v>
      </c>
      <c r="E19" s="2" t="s">
        <v>45</v>
      </c>
      <c r="F19" s="3"/>
      <c r="G19" s="3"/>
    </row>
    <row r="20" spans="2:8" x14ac:dyDescent="0.25">
      <c r="B20" s="2" t="s">
        <v>9</v>
      </c>
      <c r="C20" s="22">
        <v>1</v>
      </c>
      <c r="D20" s="23">
        <v>23</v>
      </c>
      <c r="E20" s="2" t="s">
        <v>44</v>
      </c>
      <c r="F20" s="3"/>
      <c r="G20" s="3"/>
    </row>
    <row r="21" spans="2:8" x14ac:dyDescent="0.25">
      <c r="B21" s="2" t="s">
        <v>9</v>
      </c>
      <c r="C21" s="22">
        <v>1</v>
      </c>
      <c r="D21" s="23">
        <v>23</v>
      </c>
      <c r="E21" s="2" t="s">
        <v>44</v>
      </c>
      <c r="F21" s="3"/>
      <c r="G21" s="3"/>
    </row>
    <row r="22" spans="2:8" x14ac:dyDescent="0.25">
      <c r="B22" s="2" t="s">
        <v>9</v>
      </c>
      <c r="C22" s="22">
        <v>1</v>
      </c>
      <c r="D22" s="23">
        <v>23</v>
      </c>
      <c r="E22" s="2" t="s">
        <v>44</v>
      </c>
      <c r="F22" s="3"/>
      <c r="G22" s="3"/>
    </row>
    <row r="23" spans="2:8" x14ac:dyDescent="0.25">
      <c r="B23" s="2" t="s">
        <v>74</v>
      </c>
      <c r="C23" s="22">
        <v>1</v>
      </c>
      <c r="D23" s="23">
        <v>25</v>
      </c>
      <c r="E23" s="2" t="s">
        <v>45</v>
      </c>
      <c r="F23" s="3"/>
      <c r="G23" s="3"/>
    </row>
    <row r="24" spans="2:8" x14ac:dyDescent="0.25">
      <c r="B24" s="2" t="s">
        <v>11</v>
      </c>
      <c r="C24" s="22">
        <v>1</v>
      </c>
      <c r="D24" s="23">
        <v>25</v>
      </c>
      <c r="E24" s="2" t="s">
        <v>48</v>
      </c>
      <c r="F24" s="3"/>
      <c r="G24" s="3"/>
    </row>
    <row r="25" spans="2:8" x14ac:dyDescent="0.25">
      <c r="B25" s="2"/>
      <c r="C25" s="13">
        <f>SUBTOTAL(109,Tabla1152327353946261014[Carretas])</f>
        <v>20</v>
      </c>
      <c r="D25" s="13">
        <f>SUBTOTAL(101,Tabla1152327353946261014[Precios])</f>
        <v>25.15</v>
      </c>
      <c r="E25" s="2"/>
      <c r="F25" s="2"/>
      <c r="G25" s="2"/>
      <c r="H25" s="1"/>
    </row>
    <row r="27" spans="2:8" x14ac:dyDescent="0.25">
      <c r="C27" s="44" t="s">
        <v>76</v>
      </c>
      <c r="D27" s="44"/>
    </row>
    <row r="28" spans="2:8" x14ac:dyDescent="0.25">
      <c r="C28" s="44" t="s">
        <v>80</v>
      </c>
      <c r="D28" s="44"/>
    </row>
    <row r="29" spans="2:8" x14ac:dyDescent="0.25">
      <c r="B29" s="1" t="s">
        <v>0</v>
      </c>
      <c r="C29" s="1" t="s">
        <v>34</v>
      </c>
      <c r="D29" s="1" t="s">
        <v>2</v>
      </c>
      <c r="E29" s="1" t="s">
        <v>1</v>
      </c>
      <c r="F29" s="1" t="s">
        <v>41</v>
      </c>
      <c r="G29" s="1" t="s">
        <v>42</v>
      </c>
    </row>
    <row r="30" spans="2:8" x14ac:dyDescent="0.25">
      <c r="B30" s="2" t="s">
        <v>7</v>
      </c>
      <c r="C30" s="22">
        <v>1</v>
      </c>
      <c r="D30" s="23">
        <v>27</v>
      </c>
      <c r="E30" s="2" t="s">
        <v>43</v>
      </c>
      <c r="F30" s="2"/>
    </row>
    <row r="31" spans="2:8" x14ac:dyDescent="0.25">
      <c r="B31" s="2" t="s">
        <v>7</v>
      </c>
      <c r="C31" s="22">
        <v>1</v>
      </c>
      <c r="D31" s="23">
        <v>27</v>
      </c>
      <c r="E31" s="2" t="s">
        <v>43</v>
      </c>
      <c r="F31" s="2"/>
    </row>
    <row r="32" spans="2:8" x14ac:dyDescent="0.25">
      <c r="B32" s="2" t="s">
        <v>74</v>
      </c>
      <c r="C32" s="22">
        <v>1</v>
      </c>
      <c r="D32" s="23">
        <v>25</v>
      </c>
      <c r="E32" s="2" t="s">
        <v>45</v>
      </c>
      <c r="F32" s="2"/>
    </row>
    <row r="33" spans="2:6" x14ac:dyDescent="0.25">
      <c r="B33" s="2" t="s">
        <v>74</v>
      </c>
      <c r="C33" s="22">
        <v>1</v>
      </c>
      <c r="D33" s="23">
        <v>25</v>
      </c>
      <c r="E33" s="2" t="s">
        <v>45</v>
      </c>
      <c r="F33" s="2"/>
    </row>
    <row r="34" spans="2:6" x14ac:dyDescent="0.25">
      <c r="B34" s="2" t="s">
        <v>74</v>
      </c>
      <c r="C34" s="22">
        <v>1</v>
      </c>
      <c r="D34" s="23">
        <v>25</v>
      </c>
      <c r="E34" s="2" t="s">
        <v>44</v>
      </c>
      <c r="F34" s="2"/>
    </row>
    <row r="35" spans="2:6" x14ac:dyDescent="0.25">
      <c r="B35" s="2" t="s">
        <v>6</v>
      </c>
      <c r="C35" s="22">
        <v>1</v>
      </c>
      <c r="D35" s="23">
        <v>27</v>
      </c>
      <c r="E35" s="2" t="s">
        <v>44</v>
      </c>
      <c r="F35" s="2"/>
    </row>
    <row r="36" spans="2:6" x14ac:dyDescent="0.25">
      <c r="B36" s="2" t="s">
        <v>8</v>
      </c>
      <c r="C36" s="22">
        <v>1</v>
      </c>
      <c r="D36" s="23">
        <v>28</v>
      </c>
      <c r="E36" s="2" t="s">
        <v>44</v>
      </c>
      <c r="F36" s="2"/>
    </row>
    <row r="37" spans="2:6" x14ac:dyDescent="0.25">
      <c r="B37" s="2" t="s">
        <v>8</v>
      </c>
      <c r="C37" s="22">
        <v>1</v>
      </c>
      <c r="D37" s="23">
        <v>28</v>
      </c>
      <c r="E37" s="2" t="s">
        <v>44</v>
      </c>
      <c r="F37" s="2"/>
    </row>
    <row r="38" spans="2:6" x14ac:dyDescent="0.25">
      <c r="B38" s="2" t="s">
        <v>8</v>
      </c>
      <c r="C38" s="22">
        <v>1</v>
      </c>
      <c r="D38" s="23">
        <v>28</v>
      </c>
      <c r="E38" s="2" t="s">
        <v>45</v>
      </c>
      <c r="F38" s="2" t="s">
        <v>72</v>
      </c>
    </row>
    <row r="39" spans="2:6" x14ac:dyDescent="0.25">
      <c r="B39" s="2" t="s">
        <v>8</v>
      </c>
      <c r="C39" s="22">
        <v>1</v>
      </c>
      <c r="D39" s="23">
        <v>28</v>
      </c>
      <c r="E39" s="2" t="s">
        <v>44</v>
      </c>
      <c r="F39" s="2" t="s">
        <v>72</v>
      </c>
    </row>
    <row r="40" spans="2:6" x14ac:dyDescent="0.25">
      <c r="B40" s="2" t="s">
        <v>8</v>
      </c>
      <c r="C40" s="22">
        <v>1</v>
      </c>
      <c r="D40" s="23">
        <v>28</v>
      </c>
      <c r="E40" s="2" t="s">
        <v>46</v>
      </c>
      <c r="F40" s="2"/>
    </row>
    <row r="41" spans="2:6" x14ac:dyDescent="0.25">
      <c r="B41" s="2" t="s">
        <v>4</v>
      </c>
      <c r="C41" s="22">
        <v>1</v>
      </c>
      <c r="D41" s="23">
        <v>28</v>
      </c>
      <c r="E41" s="2" t="s">
        <v>44</v>
      </c>
      <c r="F41" s="2"/>
    </row>
    <row r="42" spans="2:6" x14ac:dyDescent="0.25">
      <c r="B42" s="2" t="s">
        <v>4</v>
      </c>
      <c r="C42" s="22">
        <v>1</v>
      </c>
      <c r="D42" s="23">
        <v>28</v>
      </c>
      <c r="E42" s="2" t="s">
        <v>44</v>
      </c>
      <c r="F42" s="2"/>
    </row>
    <row r="43" spans="2:6" x14ac:dyDescent="0.25">
      <c r="B43" s="2" t="s">
        <v>5</v>
      </c>
      <c r="C43" s="22">
        <v>1</v>
      </c>
      <c r="D43" s="23">
        <v>28</v>
      </c>
      <c r="E43" s="2" t="s">
        <v>44</v>
      </c>
      <c r="F43" s="2"/>
    </row>
    <row r="44" spans="2:6" x14ac:dyDescent="0.25">
      <c r="B44" s="2" t="s">
        <v>5</v>
      </c>
      <c r="C44" s="22">
        <v>1</v>
      </c>
      <c r="D44" s="23">
        <v>28</v>
      </c>
      <c r="E44" s="2" t="s">
        <v>48</v>
      </c>
      <c r="F44" s="2"/>
    </row>
    <row r="45" spans="2:6" x14ac:dyDescent="0.25">
      <c r="B45" s="2" t="s">
        <v>5</v>
      </c>
      <c r="C45" s="22">
        <v>1</v>
      </c>
      <c r="D45" s="23">
        <v>28</v>
      </c>
      <c r="E45" s="2" t="s">
        <v>44</v>
      </c>
      <c r="F45" s="2"/>
    </row>
    <row r="46" spans="2:6" x14ac:dyDescent="0.25">
      <c r="B46" s="2" t="s">
        <v>11</v>
      </c>
      <c r="C46" s="22">
        <v>1</v>
      </c>
      <c r="D46" s="23">
        <v>25</v>
      </c>
      <c r="E46" s="2"/>
      <c r="F46" s="2"/>
    </row>
    <row r="47" spans="2:6" x14ac:dyDescent="0.25">
      <c r="B47" s="2" t="s">
        <v>5</v>
      </c>
      <c r="C47" s="22">
        <v>1</v>
      </c>
      <c r="D47" s="23">
        <v>28</v>
      </c>
      <c r="E47" s="2" t="s">
        <v>44</v>
      </c>
      <c r="F47" s="2"/>
    </row>
    <row r="48" spans="2:6" x14ac:dyDescent="0.25">
      <c r="B48" s="2" t="s">
        <v>10</v>
      </c>
      <c r="C48" s="22">
        <v>1</v>
      </c>
      <c r="D48" s="23">
        <v>27</v>
      </c>
      <c r="E48" s="2" t="s">
        <v>44</v>
      </c>
      <c r="F48" s="2"/>
    </row>
    <row r="49" spans="2:8" x14ac:dyDescent="0.25">
      <c r="C49" s="13">
        <f>SUBTOTAL(109,Tabla14162430384249591317[Carretas])</f>
        <v>19</v>
      </c>
      <c r="D49" s="13">
        <f>SUBTOTAL(101,Tabla14162430384249591317[Precios])</f>
        <v>27.157894736842106</v>
      </c>
    </row>
    <row r="51" spans="2:8" x14ac:dyDescent="0.25">
      <c r="C51" s="44" t="s">
        <v>77</v>
      </c>
      <c r="D51" s="44"/>
    </row>
    <row r="52" spans="2:8" x14ac:dyDescent="0.25">
      <c r="C52" s="44" t="s">
        <v>81</v>
      </c>
      <c r="D52" s="44"/>
      <c r="H52" s="1"/>
    </row>
    <row r="53" spans="2:8" x14ac:dyDescent="0.25">
      <c r="B53" s="1" t="s">
        <v>0</v>
      </c>
      <c r="C53" s="1" t="s">
        <v>34</v>
      </c>
      <c r="D53" s="12" t="s">
        <v>2</v>
      </c>
      <c r="E53" s="1" t="s">
        <v>1</v>
      </c>
      <c r="F53" s="1" t="s">
        <v>41</v>
      </c>
      <c r="G53" s="1" t="s">
        <v>42</v>
      </c>
    </row>
    <row r="54" spans="2:8" x14ac:dyDescent="0.25">
      <c r="B54" s="2" t="s">
        <v>7</v>
      </c>
      <c r="C54" s="17">
        <v>1</v>
      </c>
      <c r="D54" s="18">
        <v>28</v>
      </c>
      <c r="E54" s="2" t="s">
        <v>45</v>
      </c>
      <c r="F54" s="2" t="s">
        <v>72</v>
      </c>
    </row>
    <row r="55" spans="2:8" x14ac:dyDescent="0.25">
      <c r="B55" s="2" t="s">
        <v>6</v>
      </c>
      <c r="C55" s="22">
        <v>1</v>
      </c>
      <c r="D55" s="23">
        <v>28</v>
      </c>
      <c r="E55" s="2" t="s">
        <v>44</v>
      </c>
      <c r="F55" s="2"/>
    </row>
    <row r="56" spans="2:8" x14ac:dyDescent="0.25">
      <c r="B56" s="2" t="s">
        <v>8</v>
      </c>
      <c r="C56" s="22">
        <v>1</v>
      </c>
      <c r="D56" s="23">
        <v>28</v>
      </c>
      <c r="E56" s="2" t="s">
        <v>44</v>
      </c>
      <c r="F56" s="2"/>
    </row>
    <row r="57" spans="2:8" x14ac:dyDescent="0.25">
      <c r="B57" s="2" t="s">
        <v>8</v>
      </c>
      <c r="C57" s="22">
        <v>1</v>
      </c>
      <c r="D57" s="23">
        <v>28</v>
      </c>
      <c r="E57" s="2" t="s">
        <v>44</v>
      </c>
      <c r="F57" s="2"/>
    </row>
    <row r="58" spans="2:8" x14ac:dyDescent="0.25">
      <c r="B58" s="2" t="s">
        <v>8</v>
      </c>
      <c r="C58" s="22">
        <v>1</v>
      </c>
      <c r="D58" s="23">
        <v>28</v>
      </c>
      <c r="E58" s="2" t="s">
        <v>44</v>
      </c>
      <c r="F58" s="2"/>
    </row>
    <row r="59" spans="2:8" x14ac:dyDescent="0.25">
      <c r="B59" s="2" t="s">
        <v>4</v>
      </c>
      <c r="C59" s="22">
        <v>1</v>
      </c>
      <c r="D59" s="23">
        <v>30</v>
      </c>
      <c r="E59" s="2" t="s">
        <v>44</v>
      </c>
      <c r="F59" s="19"/>
    </row>
    <row r="60" spans="2:8" x14ac:dyDescent="0.25">
      <c r="B60" s="2" t="s">
        <v>5</v>
      </c>
      <c r="C60" s="22">
        <v>1</v>
      </c>
      <c r="D60" s="23">
        <v>28</v>
      </c>
      <c r="E60" s="2" t="s">
        <v>44</v>
      </c>
      <c r="F60" s="2"/>
    </row>
    <row r="61" spans="2:8" x14ac:dyDescent="0.25">
      <c r="B61" s="2" t="s">
        <v>5</v>
      </c>
      <c r="C61" s="22">
        <v>1</v>
      </c>
      <c r="D61" s="23">
        <v>28</v>
      </c>
      <c r="E61" s="2" t="s">
        <v>44</v>
      </c>
      <c r="F61" s="2"/>
    </row>
    <row r="62" spans="2:8" x14ac:dyDescent="0.25">
      <c r="B62" s="2" t="s">
        <v>5</v>
      </c>
      <c r="C62" s="22">
        <v>1</v>
      </c>
      <c r="D62" s="23">
        <v>28</v>
      </c>
      <c r="E62" s="2" t="s">
        <v>44</v>
      </c>
      <c r="F62" s="2"/>
    </row>
    <row r="63" spans="2:8" x14ac:dyDescent="0.25">
      <c r="B63" s="2" t="s">
        <v>74</v>
      </c>
      <c r="C63" s="22">
        <v>1</v>
      </c>
      <c r="D63" s="23">
        <v>28</v>
      </c>
      <c r="E63" s="2" t="s">
        <v>48</v>
      </c>
      <c r="F63" s="2"/>
    </row>
    <row r="64" spans="2:8" x14ac:dyDescent="0.25">
      <c r="C64" s="13">
        <f>SUBTOTAL(109,Tabla15172528364047371115[Carretas])</f>
        <v>10</v>
      </c>
      <c r="D64" s="13">
        <f>SUBTOTAL(101,Tabla15172528364047371115[Precios])</f>
        <v>28.2</v>
      </c>
    </row>
    <row r="66" spans="2:8" x14ac:dyDescent="0.25">
      <c r="C66" s="44" t="s">
        <v>78</v>
      </c>
      <c r="D66" s="44"/>
    </row>
    <row r="67" spans="2:8" x14ac:dyDescent="0.25">
      <c r="C67" s="44" t="s">
        <v>82</v>
      </c>
      <c r="D67" s="44"/>
    </row>
    <row r="68" spans="2:8" x14ac:dyDescent="0.25">
      <c r="B68" s="1" t="s">
        <v>0</v>
      </c>
      <c r="C68" s="1" t="s">
        <v>34</v>
      </c>
      <c r="D68" s="1" t="s">
        <v>2</v>
      </c>
      <c r="E68" s="1" t="s">
        <v>1</v>
      </c>
      <c r="F68" s="1" t="s">
        <v>41</v>
      </c>
      <c r="G68" s="1" t="s">
        <v>42</v>
      </c>
      <c r="H68" s="1"/>
    </row>
    <row r="69" spans="2:8" ht="15.75" x14ac:dyDescent="0.25">
      <c r="B69" s="21" t="s">
        <v>7</v>
      </c>
      <c r="C69" s="22">
        <v>1</v>
      </c>
      <c r="D69" s="23">
        <v>28</v>
      </c>
      <c r="E69" s="2" t="s">
        <v>43</v>
      </c>
      <c r="F69" s="2" t="s">
        <v>72</v>
      </c>
    </row>
    <row r="70" spans="2:8" ht="15.75" x14ac:dyDescent="0.25">
      <c r="B70" s="21" t="s">
        <v>7</v>
      </c>
      <c r="C70" s="22">
        <v>1</v>
      </c>
      <c r="D70" s="23">
        <v>28</v>
      </c>
      <c r="E70" s="2" t="s">
        <v>43</v>
      </c>
      <c r="F70" s="2" t="s">
        <v>72</v>
      </c>
    </row>
    <row r="71" spans="2:8" ht="15.75" x14ac:dyDescent="0.25">
      <c r="B71" s="21" t="s">
        <v>74</v>
      </c>
      <c r="C71" s="22">
        <v>1</v>
      </c>
      <c r="D71" s="23">
        <v>28</v>
      </c>
      <c r="E71" s="2" t="s">
        <v>48</v>
      </c>
      <c r="F71" s="2"/>
    </row>
    <row r="72" spans="2:8" ht="15.75" x14ac:dyDescent="0.25">
      <c r="B72" s="21" t="s">
        <v>74</v>
      </c>
      <c r="C72" s="22">
        <v>1</v>
      </c>
      <c r="D72" s="23">
        <v>28</v>
      </c>
      <c r="E72" s="2" t="s">
        <v>45</v>
      </c>
      <c r="F72" s="2"/>
    </row>
    <row r="73" spans="2:8" ht="15.75" x14ac:dyDescent="0.25">
      <c r="B73" s="21" t="s">
        <v>6</v>
      </c>
      <c r="C73" s="22">
        <v>1</v>
      </c>
      <c r="D73" s="23">
        <v>28</v>
      </c>
      <c r="E73" s="2" t="s">
        <v>44</v>
      </c>
      <c r="F73" s="2"/>
    </row>
    <row r="74" spans="2:8" ht="15.75" x14ac:dyDescent="0.25">
      <c r="B74" s="21" t="s">
        <v>8</v>
      </c>
      <c r="C74" s="22">
        <v>1</v>
      </c>
      <c r="D74" s="23">
        <v>29</v>
      </c>
      <c r="E74" s="2" t="s">
        <v>83</v>
      </c>
      <c r="F74" s="2"/>
    </row>
    <row r="75" spans="2:8" ht="16.5" customHeight="1" x14ac:dyDescent="0.25">
      <c r="B75" s="21" t="s">
        <v>8</v>
      </c>
      <c r="C75" s="22">
        <v>1</v>
      </c>
      <c r="D75" s="23">
        <v>29</v>
      </c>
      <c r="E75" s="2" t="s">
        <v>83</v>
      </c>
      <c r="F75" s="2"/>
    </row>
    <row r="76" spans="2:8" ht="16.5" customHeight="1" x14ac:dyDescent="0.25">
      <c r="B76" s="21" t="s">
        <v>8</v>
      </c>
      <c r="C76" s="22">
        <v>1</v>
      </c>
      <c r="D76" s="23">
        <v>29</v>
      </c>
      <c r="E76" s="2" t="s">
        <v>44</v>
      </c>
      <c r="F76" s="2"/>
    </row>
    <row r="77" spans="2:8" ht="15.75" x14ac:dyDescent="0.25">
      <c r="B77" s="21" t="s">
        <v>8</v>
      </c>
      <c r="C77" s="22">
        <v>1</v>
      </c>
      <c r="D77" s="23">
        <v>29</v>
      </c>
      <c r="E77" s="2" t="s">
        <v>46</v>
      </c>
      <c r="F77" s="2"/>
    </row>
    <row r="78" spans="2:8" ht="15.75" x14ac:dyDescent="0.25">
      <c r="B78" s="21" t="s">
        <v>8</v>
      </c>
      <c r="C78" s="22">
        <v>1</v>
      </c>
      <c r="D78" s="23">
        <v>29</v>
      </c>
      <c r="E78" s="2" t="s">
        <v>44</v>
      </c>
      <c r="F78" s="2"/>
    </row>
    <row r="79" spans="2:8" ht="15.75" x14ac:dyDescent="0.25">
      <c r="B79" s="21" t="s">
        <v>8</v>
      </c>
      <c r="C79" s="22">
        <v>1</v>
      </c>
      <c r="D79" s="23">
        <v>29</v>
      </c>
      <c r="E79" s="2" t="s">
        <v>44</v>
      </c>
      <c r="F79" s="2"/>
    </row>
    <row r="80" spans="2:8" ht="15.75" x14ac:dyDescent="0.25">
      <c r="B80" s="21" t="s">
        <v>4</v>
      </c>
      <c r="C80" s="22">
        <v>1</v>
      </c>
      <c r="D80" s="23">
        <v>29</v>
      </c>
      <c r="E80" s="2" t="s">
        <v>44</v>
      </c>
      <c r="F80" s="2"/>
    </row>
    <row r="81" spans="2:6" ht="15.75" x14ac:dyDescent="0.25">
      <c r="B81" s="21" t="s">
        <v>4</v>
      </c>
      <c r="C81" s="22">
        <v>1</v>
      </c>
      <c r="D81" s="23">
        <v>29</v>
      </c>
      <c r="E81" s="2" t="s">
        <v>44</v>
      </c>
      <c r="F81" s="2"/>
    </row>
    <row r="82" spans="2:6" ht="15.75" x14ac:dyDescent="0.25">
      <c r="B82" s="21" t="s">
        <v>5</v>
      </c>
      <c r="C82" s="22">
        <v>0.5</v>
      </c>
      <c r="D82" s="23">
        <v>29</v>
      </c>
      <c r="E82" s="2" t="s">
        <v>43</v>
      </c>
      <c r="F82" s="2"/>
    </row>
    <row r="83" spans="2:6" ht="15.75" x14ac:dyDescent="0.25">
      <c r="B83" s="21" t="s">
        <v>5</v>
      </c>
      <c r="C83" s="22">
        <v>1</v>
      </c>
      <c r="D83" s="23">
        <v>29</v>
      </c>
      <c r="E83" s="2" t="s">
        <v>44</v>
      </c>
      <c r="F83" s="2"/>
    </row>
    <row r="84" spans="2:6" ht="15.75" x14ac:dyDescent="0.25">
      <c r="B84" s="21" t="s">
        <v>5</v>
      </c>
      <c r="C84" s="22">
        <v>1</v>
      </c>
      <c r="D84" s="23">
        <v>29</v>
      </c>
      <c r="E84" s="2" t="s">
        <v>44</v>
      </c>
      <c r="F84" s="2"/>
    </row>
    <row r="85" spans="2:6" ht="15.75" x14ac:dyDescent="0.25">
      <c r="B85" s="21" t="s">
        <v>9</v>
      </c>
      <c r="C85" s="22">
        <v>1</v>
      </c>
      <c r="D85" s="23">
        <v>28</v>
      </c>
      <c r="E85" s="2" t="s">
        <v>44</v>
      </c>
      <c r="F85" s="2"/>
    </row>
    <row r="86" spans="2:6" ht="15.75" x14ac:dyDescent="0.25">
      <c r="B86" s="21" t="s">
        <v>9</v>
      </c>
      <c r="C86" s="22">
        <v>1</v>
      </c>
      <c r="D86" s="23">
        <v>28</v>
      </c>
      <c r="E86" s="2" t="s">
        <v>46</v>
      </c>
      <c r="F86" s="2"/>
    </row>
    <row r="87" spans="2:6" ht="15.75" x14ac:dyDescent="0.25">
      <c r="B87" s="21" t="s">
        <v>10</v>
      </c>
      <c r="C87" s="22">
        <v>0.5</v>
      </c>
      <c r="D87" s="23">
        <v>28</v>
      </c>
      <c r="E87" s="2" t="s">
        <v>43</v>
      </c>
      <c r="F87" s="2"/>
    </row>
    <row r="88" spans="2:6" x14ac:dyDescent="0.25">
      <c r="C88" s="13">
        <f>SUBTOTAL(109,Tabla16182629374148481216[Carretas])</f>
        <v>18</v>
      </c>
      <c r="D88" s="13">
        <f>SUBTOTAL(101,Tabla16182629374148481216[Precios])</f>
        <v>28.578947368421051</v>
      </c>
    </row>
  </sheetData>
  <mergeCells count="9">
    <mergeCell ref="C66:D66"/>
    <mergeCell ref="C67:D67"/>
    <mergeCell ref="J1:K1"/>
    <mergeCell ref="C2:D2"/>
    <mergeCell ref="C3:D3"/>
    <mergeCell ref="C27:D27"/>
    <mergeCell ref="C28:D28"/>
    <mergeCell ref="C51:D51"/>
    <mergeCell ref="C52:D52"/>
  </mergeCells>
  <conditionalFormatting sqref="B27 E27 G4:H4 B26:E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0:E90">
    <cfRule type="colorScale" priority="1">
      <colorScale>
        <cfvo type="min"/>
        <cfvo type="max"/>
        <color rgb="FFFFEF9C"/>
        <color rgb="FF63BE7B"/>
      </colorScale>
    </cfRule>
  </conditionalFormatting>
  <conditionalFormatting sqref="G69:G8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{21A96E58-0855-4A90-8CD5-71C8E26914D0}</x14:id>
        </ext>
      </extLst>
    </cfRule>
  </conditionalFormatting>
  <conditionalFormatting sqref="G29:H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:H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8:H6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A96E58-0855-4A90-8CD5-71C8E2691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G69:G88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DA25-6DFD-4C29-9316-F5D90851A0EC}">
  <dimension ref="B2:K100"/>
  <sheetViews>
    <sheetView zoomScale="120" zoomScaleNormal="120" workbookViewId="0">
      <selection activeCell="B94" sqref="B94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3.7109375" customWidth="1"/>
  </cols>
  <sheetData>
    <row r="2" spans="2:11" ht="15.75" thickBot="1" x14ac:dyDescent="0.3">
      <c r="C2" s="44" t="s">
        <v>61</v>
      </c>
      <c r="D2" s="44"/>
    </row>
    <row r="3" spans="2:11" ht="19.5" thickBot="1" x14ac:dyDescent="0.35">
      <c r="C3" s="44" t="s">
        <v>84</v>
      </c>
      <c r="D3" s="44"/>
      <c r="H3" s="1"/>
      <c r="J3" s="32" t="s">
        <v>57</v>
      </c>
      <c r="K3" s="31">
        <f>SUM(Tabla115232735394626101418[[#Totals],[Carretas]]+Tabla1517252836404737111519[[#Totals],[Carretas]]+Tabla1618262937414848121620[[#Totals],[Carretas]]+Tabla1416243038424959131721[[#Totals],[Carretas]])</f>
        <v>57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AVERAGE(D15,D37,D77,D57,D100)</f>
        <v>41.189673202614379</v>
      </c>
    </row>
    <row r="5" spans="2:11" x14ac:dyDescent="0.25">
      <c r="B5" s="2" t="s">
        <v>7</v>
      </c>
      <c r="C5" s="22">
        <v>1</v>
      </c>
      <c r="D5" s="23">
        <v>28</v>
      </c>
      <c r="E5" s="2" t="s">
        <v>45</v>
      </c>
      <c r="F5" s="5"/>
      <c r="G5" s="3"/>
    </row>
    <row r="6" spans="2:11" x14ac:dyDescent="0.25">
      <c r="B6" s="2" t="s">
        <v>7</v>
      </c>
      <c r="C6" s="22">
        <v>1</v>
      </c>
      <c r="D6" s="23">
        <v>28</v>
      </c>
      <c r="E6" s="2" t="s">
        <v>48</v>
      </c>
      <c r="F6" s="5"/>
      <c r="G6" s="3"/>
    </row>
    <row r="7" spans="2:11" x14ac:dyDescent="0.25">
      <c r="B7" s="2" t="s">
        <v>74</v>
      </c>
      <c r="C7" s="22">
        <v>1</v>
      </c>
      <c r="D7" s="23">
        <v>28</v>
      </c>
      <c r="E7" s="2" t="s">
        <v>43</v>
      </c>
      <c r="F7" s="5"/>
      <c r="G7" s="3"/>
    </row>
    <row r="8" spans="2:11" x14ac:dyDescent="0.25">
      <c r="B8" s="2" t="s">
        <v>74</v>
      </c>
      <c r="C8" s="22">
        <v>1</v>
      </c>
      <c r="D8" s="23">
        <v>28</v>
      </c>
      <c r="E8" s="2" t="s">
        <v>44</v>
      </c>
      <c r="F8" s="5"/>
      <c r="G8" s="3"/>
    </row>
    <row r="9" spans="2:11" x14ac:dyDescent="0.25">
      <c r="B9" s="2" t="s">
        <v>8</v>
      </c>
      <c r="C9" s="22">
        <v>1</v>
      </c>
      <c r="D9" s="23">
        <v>30</v>
      </c>
      <c r="E9" s="2" t="s">
        <v>44</v>
      </c>
      <c r="F9" s="3"/>
      <c r="G9" s="3"/>
    </row>
    <row r="10" spans="2:11" x14ac:dyDescent="0.25">
      <c r="B10" s="2" t="s">
        <v>8</v>
      </c>
      <c r="C10" s="22">
        <v>1</v>
      </c>
      <c r="D10" s="23">
        <v>30</v>
      </c>
      <c r="E10" s="2" t="s">
        <v>44</v>
      </c>
      <c r="F10" s="3"/>
      <c r="G10" s="3"/>
    </row>
    <row r="11" spans="2:11" x14ac:dyDescent="0.25">
      <c r="B11" s="2" t="s">
        <v>8</v>
      </c>
      <c r="C11" s="22">
        <v>1</v>
      </c>
      <c r="D11" s="23">
        <v>30</v>
      </c>
      <c r="E11" s="2" t="s">
        <v>83</v>
      </c>
      <c r="F11" s="3"/>
      <c r="G11" s="3"/>
    </row>
    <row r="12" spans="2:11" x14ac:dyDescent="0.25">
      <c r="B12" s="2" t="s">
        <v>8</v>
      </c>
      <c r="C12" s="22">
        <v>1</v>
      </c>
      <c r="D12" s="23">
        <v>30</v>
      </c>
      <c r="E12" s="2" t="s">
        <v>44</v>
      </c>
      <c r="F12" s="3"/>
      <c r="G12" s="3"/>
    </row>
    <row r="13" spans="2:11" x14ac:dyDescent="0.25">
      <c r="B13" s="2" t="s">
        <v>4</v>
      </c>
      <c r="C13" s="22">
        <v>1</v>
      </c>
      <c r="D13" s="23">
        <v>30</v>
      </c>
      <c r="E13" s="2" t="s">
        <v>44</v>
      </c>
      <c r="F13" s="3"/>
      <c r="G13" s="3"/>
    </row>
    <row r="14" spans="2:11" x14ac:dyDescent="0.25">
      <c r="B14" s="2" t="s">
        <v>5</v>
      </c>
      <c r="C14" s="22">
        <v>1</v>
      </c>
      <c r="D14" s="23">
        <v>29</v>
      </c>
      <c r="E14" s="2" t="s">
        <v>44</v>
      </c>
      <c r="F14" s="3"/>
      <c r="G14" s="3"/>
    </row>
    <row r="15" spans="2:11" x14ac:dyDescent="0.25">
      <c r="B15" s="2"/>
      <c r="C15" s="13">
        <f>SUBTOTAL(109,Tabla115232735394626101418[Carretas])</f>
        <v>10</v>
      </c>
      <c r="D15" s="13">
        <f>SUBTOTAL(101,Tabla1416243038424959131721[Precios])</f>
        <v>37.235294117647058</v>
      </c>
      <c r="E15" s="2"/>
      <c r="F15" s="2"/>
      <c r="G15" s="2"/>
      <c r="H15" s="1"/>
    </row>
    <row r="17" spans="2:7" x14ac:dyDescent="0.25">
      <c r="C17" s="44" t="s">
        <v>62</v>
      </c>
      <c r="D17" s="44"/>
    </row>
    <row r="18" spans="2:7" x14ac:dyDescent="0.25">
      <c r="C18" s="44" t="s">
        <v>85</v>
      </c>
      <c r="D18" s="44"/>
    </row>
    <row r="19" spans="2:7" x14ac:dyDescent="0.25">
      <c r="B19" s="1" t="s">
        <v>0</v>
      </c>
      <c r="C19" s="1" t="s">
        <v>34</v>
      </c>
      <c r="D19" s="1" t="s">
        <v>2</v>
      </c>
      <c r="E19" s="1" t="s">
        <v>1</v>
      </c>
      <c r="F19" s="1" t="s">
        <v>41</v>
      </c>
      <c r="G19" s="1" t="s">
        <v>42</v>
      </c>
    </row>
    <row r="20" spans="2:7" x14ac:dyDescent="0.25">
      <c r="B20" s="2" t="s">
        <v>7</v>
      </c>
      <c r="C20" s="22">
        <v>1</v>
      </c>
      <c r="D20" s="23">
        <v>36</v>
      </c>
      <c r="E20" s="2" t="s">
        <v>44</v>
      </c>
      <c r="F20" s="2"/>
    </row>
    <row r="21" spans="2:7" x14ac:dyDescent="0.25">
      <c r="B21" s="2" t="s">
        <v>7</v>
      </c>
      <c r="C21" s="22">
        <v>1</v>
      </c>
      <c r="D21" s="23">
        <v>36</v>
      </c>
      <c r="E21" s="2" t="s">
        <v>44</v>
      </c>
      <c r="F21" s="2"/>
    </row>
    <row r="22" spans="2:7" x14ac:dyDescent="0.25">
      <c r="B22" s="2" t="s">
        <v>8</v>
      </c>
      <c r="C22" s="22">
        <v>1</v>
      </c>
      <c r="D22" s="23">
        <v>36</v>
      </c>
      <c r="E22" s="2" t="s">
        <v>43</v>
      </c>
      <c r="F22" s="2"/>
    </row>
    <row r="23" spans="2:7" x14ac:dyDescent="0.25">
      <c r="B23" s="2" t="s">
        <v>8</v>
      </c>
      <c r="C23" s="22">
        <v>1</v>
      </c>
      <c r="D23" s="23">
        <v>36</v>
      </c>
      <c r="E23" s="2" t="s">
        <v>44</v>
      </c>
      <c r="F23" s="2"/>
    </row>
    <row r="24" spans="2:7" x14ac:dyDescent="0.25">
      <c r="B24" s="2" t="s">
        <v>8</v>
      </c>
      <c r="C24" s="22">
        <v>1</v>
      </c>
      <c r="D24" s="23">
        <v>36</v>
      </c>
      <c r="E24" s="2" t="s">
        <v>44</v>
      </c>
      <c r="F24" s="2"/>
    </row>
    <row r="25" spans="2:7" x14ac:dyDescent="0.25">
      <c r="B25" s="2" t="s">
        <v>8</v>
      </c>
      <c r="C25" s="22">
        <v>1</v>
      </c>
      <c r="D25" s="23">
        <v>36</v>
      </c>
      <c r="E25" s="2" t="s">
        <v>48</v>
      </c>
      <c r="F25" s="2"/>
    </row>
    <row r="26" spans="2:7" x14ac:dyDescent="0.25">
      <c r="B26" s="2" t="s">
        <v>8</v>
      </c>
      <c r="C26" s="22">
        <v>1</v>
      </c>
      <c r="D26" s="23">
        <v>36</v>
      </c>
      <c r="E26" s="2" t="s">
        <v>46</v>
      </c>
      <c r="F26" s="2"/>
    </row>
    <row r="27" spans="2:7" x14ac:dyDescent="0.25">
      <c r="B27" s="2" t="s">
        <v>4</v>
      </c>
      <c r="C27" s="22">
        <v>1</v>
      </c>
      <c r="D27" s="23">
        <v>37</v>
      </c>
      <c r="E27" s="2" t="s">
        <v>44</v>
      </c>
      <c r="F27" s="2"/>
    </row>
    <row r="28" spans="2:7" x14ac:dyDescent="0.25">
      <c r="B28" s="2" t="s">
        <v>5</v>
      </c>
      <c r="C28" s="22">
        <v>1</v>
      </c>
      <c r="D28" s="23">
        <v>37</v>
      </c>
      <c r="E28" s="2" t="s">
        <v>44</v>
      </c>
      <c r="F28" s="2"/>
    </row>
    <row r="29" spans="2:7" x14ac:dyDescent="0.25">
      <c r="B29" s="2" t="s">
        <v>5</v>
      </c>
      <c r="C29" s="22">
        <v>1</v>
      </c>
      <c r="D29" s="23">
        <v>37</v>
      </c>
      <c r="E29" s="2" t="s">
        <v>44</v>
      </c>
      <c r="F29" s="2"/>
    </row>
    <row r="30" spans="2:7" x14ac:dyDescent="0.25">
      <c r="B30" s="2" t="s">
        <v>9</v>
      </c>
      <c r="C30" s="22">
        <v>1</v>
      </c>
      <c r="D30" s="23">
        <v>39</v>
      </c>
      <c r="E30" s="2" t="s">
        <v>44</v>
      </c>
      <c r="F30" s="2"/>
    </row>
    <row r="31" spans="2:7" x14ac:dyDescent="0.25">
      <c r="B31" s="2" t="s">
        <v>9</v>
      </c>
      <c r="C31" s="22">
        <v>1</v>
      </c>
      <c r="D31" s="23">
        <v>39</v>
      </c>
      <c r="E31" s="2" t="s">
        <v>83</v>
      </c>
      <c r="F31" s="2"/>
    </row>
    <row r="32" spans="2:7" x14ac:dyDescent="0.25">
      <c r="B32" s="2" t="s">
        <v>5</v>
      </c>
      <c r="C32" s="22">
        <v>1</v>
      </c>
      <c r="D32" s="23">
        <v>37</v>
      </c>
      <c r="E32" s="2" t="s">
        <v>44</v>
      </c>
      <c r="F32" s="2"/>
    </row>
    <row r="33" spans="2:8" x14ac:dyDescent="0.25">
      <c r="B33" s="2" t="s">
        <v>74</v>
      </c>
      <c r="C33" s="22">
        <v>1</v>
      </c>
      <c r="D33" s="23">
        <v>35</v>
      </c>
      <c r="E33" s="2" t="s">
        <v>44</v>
      </c>
      <c r="F33" s="2"/>
    </row>
    <row r="34" spans="2:8" x14ac:dyDescent="0.25">
      <c r="B34" s="2" t="s">
        <v>74</v>
      </c>
      <c r="C34" s="22">
        <v>1</v>
      </c>
      <c r="D34" s="23">
        <v>35</v>
      </c>
      <c r="E34" s="2" t="s">
        <v>44</v>
      </c>
      <c r="F34" s="2"/>
    </row>
    <row r="35" spans="2:8" x14ac:dyDescent="0.25">
      <c r="B35" s="2" t="s">
        <v>90</v>
      </c>
      <c r="C35" s="22">
        <v>1</v>
      </c>
      <c r="D35" s="23">
        <v>50</v>
      </c>
      <c r="E35" s="2" t="s">
        <v>48</v>
      </c>
      <c r="F35" s="2"/>
    </row>
    <row r="36" spans="2:8" x14ac:dyDescent="0.25">
      <c r="B36" s="2" t="s">
        <v>74</v>
      </c>
      <c r="C36" s="22">
        <v>1</v>
      </c>
      <c r="D36" s="23">
        <v>35</v>
      </c>
      <c r="E36" s="2" t="s">
        <v>46</v>
      </c>
      <c r="F36" s="2"/>
    </row>
    <row r="37" spans="2:8" x14ac:dyDescent="0.25">
      <c r="C37" s="13">
        <f>SUBTOTAL(109,Tabla1416243038424959131721[Carretas])</f>
        <v>17</v>
      </c>
      <c r="D37" s="13">
        <f>SUBTOTAL(101,Tabla1416243038424959131721[Precios])</f>
        <v>37.235294117647058</v>
      </c>
    </row>
    <row r="39" spans="2:8" x14ac:dyDescent="0.25">
      <c r="C39" s="44" t="s">
        <v>63</v>
      </c>
      <c r="D39" s="44"/>
    </row>
    <row r="40" spans="2:8" x14ac:dyDescent="0.25">
      <c r="C40" s="44" t="s">
        <v>86</v>
      </c>
      <c r="D40" s="44"/>
      <c r="H40" s="1"/>
    </row>
    <row r="41" spans="2:8" x14ac:dyDescent="0.25">
      <c r="B41" s="1" t="s">
        <v>0</v>
      </c>
      <c r="C41" s="1" t="s">
        <v>34</v>
      </c>
      <c r="D41" s="12" t="s">
        <v>2</v>
      </c>
      <c r="E41" s="1" t="s">
        <v>1</v>
      </c>
      <c r="F41" s="1" t="s">
        <v>41</v>
      </c>
      <c r="G41" s="1" t="s">
        <v>42</v>
      </c>
    </row>
    <row r="42" spans="2:8" x14ac:dyDescent="0.25">
      <c r="B42" s="2" t="s">
        <v>7</v>
      </c>
      <c r="C42" s="17">
        <v>1</v>
      </c>
      <c r="D42" s="18">
        <v>40</v>
      </c>
      <c r="E42" s="2" t="s">
        <v>48</v>
      </c>
      <c r="F42" s="2" t="s">
        <v>72</v>
      </c>
    </row>
    <row r="43" spans="2:8" x14ac:dyDescent="0.25">
      <c r="B43" s="2" t="s">
        <v>7</v>
      </c>
      <c r="C43" s="22">
        <v>1</v>
      </c>
      <c r="D43" s="23">
        <v>40</v>
      </c>
      <c r="E43" s="2" t="s">
        <v>48</v>
      </c>
      <c r="F43" s="2" t="s">
        <v>72</v>
      </c>
    </row>
    <row r="44" spans="2:8" x14ac:dyDescent="0.25">
      <c r="B44" s="2" t="s">
        <v>74</v>
      </c>
      <c r="C44" s="17">
        <v>1</v>
      </c>
      <c r="D44" s="18">
        <v>40</v>
      </c>
      <c r="E44" s="2"/>
      <c r="F44" s="2"/>
    </row>
    <row r="45" spans="2:8" x14ac:dyDescent="0.25">
      <c r="B45" s="2" t="s">
        <v>74</v>
      </c>
      <c r="C45" s="22">
        <v>1</v>
      </c>
      <c r="D45" s="23">
        <v>40</v>
      </c>
      <c r="E45" s="2" t="s">
        <v>73</v>
      </c>
      <c r="F45" s="2"/>
    </row>
    <row r="46" spans="2:8" x14ac:dyDescent="0.25">
      <c r="B46" s="2" t="s">
        <v>8</v>
      </c>
      <c r="C46" s="22">
        <v>1</v>
      </c>
      <c r="D46" s="23">
        <v>40</v>
      </c>
      <c r="E46" s="2" t="s">
        <v>43</v>
      </c>
      <c r="F46" s="2"/>
    </row>
    <row r="47" spans="2:8" x14ac:dyDescent="0.25">
      <c r="B47" s="2" t="s">
        <v>8</v>
      </c>
      <c r="C47" s="22">
        <v>1</v>
      </c>
      <c r="D47" s="23">
        <v>40</v>
      </c>
      <c r="E47" s="2" t="s">
        <v>45</v>
      </c>
      <c r="F47" s="2"/>
    </row>
    <row r="48" spans="2:8" x14ac:dyDescent="0.25">
      <c r="B48" s="2" t="s">
        <v>8</v>
      </c>
      <c r="C48" s="17">
        <v>1</v>
      </c>
      <c r="D48" s="18">
        <v>40</v>
      </c>
      <c r="E48" s="2"/>
      <c r="F48" s="2"/>
    </row>
    <row r="49" spans="2:8" x14ac:dyDescent="0.25">
      <c r="B49" s="2" t="s">
        <v>8</v>
      </c>
      <c r="C49" s="22">
        <v>1</v>
      </c>
      <c r="D49" s="23">
        <v>40</v>
      </c>
      <c r="E49" s="2" t="s">
        <v>45</v>
      </c>
      <c r="F49" s="2"/>
    </row>
    <row r="50" spans="2:8" x14ac:dyDescent="0.25">
      <c r="B50" s="2" t="s">
        <v>8</v>
      </c>
      <c r="C50" s="22">
        <v>1</v>
      </c>
      <c r="D50" s="23">
        <v>40</v>
      </c>
      <c r="E50" s="2" t="s">
        <v>46</v>
      </c>
      <c r="F50" s="2"/>
    </row>
    <row r="51" spans="2:8" x14ac:dyDescent="0.25">
      <c r="B51" s="2" t="s">
        <v>4</v>
      </c>
      <c r="C51" s="22">
        <v>1</v>
      </c>
      <c r="D51" s="23">
        <v>40</v>
      </c>
      <c r="E51" s="2" t="s">
        <v>46</v>
      </c>
      <c r="F51" s="2"/>
    </row>
    <row r="52" spans="2:8" x14ac:dyDescent="0.25">
      <c r="B52" s="2" t="s">
        <v>5</v>
      </c>
      <c r="C52" s="22">
        <v>1</v>
      </c>
      <c r="D52" s="23">
        <v>40</v>
      </c>
      <c r="E52" s="2" t="s">
        <v>44</v>
      </c>
      <c r="F52" s="2"/>
    </row>
    <row r="53" spans="2:8" x14ac:dyDescent="0.25">
      <c r="B53" s="2" t="s">
        <v>5</v>
      </c>
      <c r="C53" s="22">
        <v>1</v>
      </c>
      <c r="D53" s="23">
        <v>40</v>
      </c>
      <c r="E53" s="2"/>
      <c r="F53" s="2"/>
    </row>
    <row r="54" spans="2:8" x14ac:dyDescent="0.25">
      <c r="B54" s="2" t="s">
        <v>90</v>
      </c>
      <c r="C54" s="22">
        <v>1</v>
      </c>
      <c r="D54" s="23">
        <v>50</v>
      </c>
      <c r="E54" s="2" t="s">
        <v>44</v>
      </c>
      <c r="F54" s="2"/>
    </row>
    <row r="55" spans="2:8" x14ac:dyDescent="0.25">
      <c r="B55" s="2" t="s">
        <v>71</v>
      </c>
      <c r="C55" s="22">
        <v>1</v>
      </c>
      <c r="D55" s="23">
        <v>40</v>
      </c>
      <c r="E55" s="2" t="s">
        <v>44</v>
      </c>
      <c r="F55" s="2"/>
    </row>
    <row r="56" spans="2:8" x14ac:dyDescent="0.25">
      <c r="B56" s="2" t="s">
        <v>71</v>
      </c>
      <c r="C56" s="17">
        <v>1</v>
      </c>
      <c r="D56" s="18">
        <v>40</v>
      </c>
      <c r="E56" s="2" t="s">
        <v>44</v>
      </c>
      <c r="F56" s="2"/>
    </row>
    <row r="57" spans="2:8" x14ac:dyDescent="0.25">
      <c r="C57" s="13">
        <f>SUBTOTAL(109,Tabla1517252836404737111519[Carretas])</f>
        <v>15</v>
      </c>
      <c r="D57" s="13">
        <f>SUBTOTAL(101,Tabla1517252836404737111519[Precios])</f>
        <v>40.666666666666664</v>
      </c>
    </row>
    <row r="59" spans="2:8" x14ac:dyDescent="0.25">
      <c r="C59" s="44" t="s">
        <v>67</v>
      </c>
      <c r="D59" s="44"/>
    </row>
    <row r="60" spans="2:8" x14ac:dyDescent="0.25">
      <c r="C60" s="44" t="s">
        <v>87</v>
      </c>
      <c r="D60" s="44"/>
    </row>
    <row r="61" spans="2:8" x14ac:dyDescent="0.25">
      <c r="B61" s="1" t="s">
        <v>0</v>
      </c>
      <c r="C61" s="1" t="s">
        <v>34</v>
      </c>
      <c r="D61" s="1" t="s">
        <v>2</v>
      </c>
      <c r="E61" s="1" t="s">
        <v>1</v>
      </c>
      <c r="F61" s="1" t="s">
        <v>41</v>
      </c>
      <c r="G61" s="1" t="s">
        <v>42</v>
      </c>
      <c r="H61" s="1"/>
    </row>
    <row r="62" spans="2:8" ht="15.75" x14ac:dyDescent="0.25">
      <c r="B62" s="21" t="s">
        <v>7</v>
      </c>
      <c r="C62" s="22">
        <v>1</v>
      </c>
      <c r="D62" s="23">
        <v>42</v>
      </c>
      <c r="E62" s="2" t="s">
        <v>45</v>
      </c>
      <c r="F62" s="2"/>
    </row>
    <row r="63" spans="2:8" ht="15.75" x14ac:dyDescent="0.25">
      <c r="B63" s="21" t="s">
        <v>7</v>
      </c>
      <c r="C63" s="22">
        <v>1</v>
      </c>
      <c r="D63" s="23">
        <v>42</v>
      </c>
      <c r="E63" s="2"/>
      <c r="F63" s="2"/>
    </row>
    <row r="64" spans="2:8" ht="15.75" x14ac:dyDescent="0.25">
      <c r="B64" s="21" t="s">
        <v>74</v>
      </c>
      <c r="C64" s="22">
        <v>1</v>
      </c>
      <c r="D64" s="23">
        <v>42</v>
      </c>
      <c r="E64" s="2"/>
      <c r="F64" s="2"/>
    </row>
    <row r="65" spans="2:6" ht="15.75" x14ac:dyDescent="0.25">
      <c r="B65" s="21" t="s">
        <v>74</v>
      </c>
      <c r="C65" s="22">
        <v>1</v>
      </c>
      <c r="D65" s="23">
        <v>42</v>
      </c>
      <c r="E65" s="2"/>
      <c r="F65" s="2"/>
    </row>
    <row r="66" spans="2:6" ht="15.75" x14ac:dyDescent="0.25">
      <c r="B66" s="21" t="s">
        <v>90</v>
      </c>
      <c r="C66" s="22">
        <v>1</v>
      </c>
      <c r="D66" s="23">
        <v>55</v>
      </c>
      <c r="E66" s="2"/>
      <c r="F66" s="2"/>
    </row>
    <row r="67" spans="2:6" ht="15.75" x14ac:dyDescent="0.25">
      <c r="B67" s="21" t="s">
        <v>8</v>
      </c>
      <c r="C67" s="22">
        <v>1</v>
      </c>
      <c r="D67" s="23">
        <v>42</v>
      </c>
      <c r="E67" s="2" t="s">
        <v>48</v>
      </c>
      <c r="F67" s="2"/>
    </row>
    <row r="68" spans="2:6" ht="15.75" x14ac:dyDescent="0.25">
      <c r="B68" s="21" t="s">
        <v>8</v>
      </c>
      <c r="C68" s="22">
        <v>1</v>
      </c>
      <c r="D68" s="23">
        <v>42</v>
      </c>
      <c r="E68" s="2"/>
      <c r="F68" s="2"/>
    </row>
    <row r="69" spans="2:6" ht="15.75" x14ac:dyDescent="0.25">
      <c r="B69" s="21" t="s">
        <v>8</v>
      </c>
      <c r="C69" s="22">
        <v>1</v>
      </c>
      <c r="D69" s="23">
        <v>42</v>
      </c>
      <c r="E69" s="2"/>
      <c r="F69" s="2"/>
    </row>
    <row r="70" spans="2:6" ht="15.75" x14ac:dyDescent="0.25">
      <c r="B70" s="21" t="s">
        <v>8</v>
      </c>
      <c r="C70" s="22">
        <v>1</v>
      </c>
      <c r="D70" s="23">
        <v>42</v>
      </c>
      <c r="E70" s="2" t="s">
        <v>45</v>
      </c>
      <c r="F70" s="2"/>
    </row>
    <row r="71" spans="2:6" ht="15.75" x14ac:dyDescent="0.25">
      <c r="B71" s="21" t="s">
        <v>8</v>
      </c>
      <c r="C71" s="22">
        <v>1</v>
      </c>
      <c r="D71" s="23">
        <v>42</v>
      </c>
      <c r="E71" s="2"/>
      <c r="F71" s="2"/>
    </row>
    <row r="72" spans="2:6" ht="15.75" x14ac:dyDescent="0.25">
      <c r="B72" s="21" t="s">
        <v>4</v>
      </c>
      <c r="C72" s="22">
        <v>1</v>
      </c>
      <c r="D72" s="23">
        <v>42</v>
      </c>
      <c r="E72" s="2" t="s">
        <v>48</v>
      </c>
      <c r="F72" s="2"/>
    </row>
    <row r="73" spans="2:6" ht="15.75" x14ac:dyDescent="0.25">
      <c r="B73" s="21" t="s">
        <v>5</v>
      </c>
      <c r="C73" s="22">
        <v>1</v>
      </c>
      <c r="D73" s="23">
        <v>42</v>
      </c>
      <c r="E73" s="2" t="s">
        <v>44</v>
      </c>
      <c r="F73" s="2"/>
    </row>
    <row r="74" spans="2:6" ht="15.75" x14ac:dyDescent="0.25">
      <c r="B74" s="21" t="s">
        <v>5</v>
      </c>
      <c r="C74" s="22">
        <v>1</v>
      </c>
      <c r="D74" s="23">
        <v>42</v>
      </c>
      <c r="E74" s="2"/>
      <c r="F74" s="2"/>
    </row>
    <row r="75" spans="2:6" ht="15.75" x14ac:dyDescent="0.25">
      <c r="B75" s="21" t="s">
        <v>9</v>
      </c>
      <c r="C75" s="22">
        <v>1</v>
      </c>
      <c r="D75" s="23">
        <v>42</v>
      </c>
      <c r="E75" s="2" t="s">
        <v>44</v>
      </c>
      <c r="F75" s="2"/>
    </row>
    <row r="76" spans="2:6" ht="15.75" x14ac:dyDescent="0.25">
      <c r="B76" s="21" t="s">
        <v>9</v>
      </c>
      <c r="C76" s="22">
        <v>1</v>
      </c>
      <c r="D76" s="23">
        <v>42</v>
      </c>
      <c r="E76" s="2"/>
      <c r="F76" s="2"/>
    </row>
    <row r="77" spans="2:6" x14ac:dyDescent="0.25">
      <c r="C77" s="13">
        <f>SUBTOTAL(109,Tabla1618262937414848121620[Carretas])</f>
        <v>15</v>
      </c>
      <c r="D77" s="13">
        <f>SUBTOTAL(101,Tabla1618262937414848121620[Precios])</f>
        <v>42.866666666666667</v>
      </c>
    </row>
    <row r="79" spans="2:6" x14ac:dyDescent="0.25">
      <c r="C79" s="44" t="s">
        <v>75</v>
      </c>
      <c r="D79" s="44"/>
    </row>
    <row r="80" spans="2:6" x14ac:dyDescent="0.25">
      <c r="C80" s="44" t="s">
        <v>88</v>
      </c>
      <c r="D80" s="44"/>
    </row>
    <row r="81" spans="2:6" ht="15.75" thickBot="1" x14ac:dyDescent="0.3">
      <c r="B81" s="10" t="s">
        <v>0</v>
      </c>
      <c r="C81" s="10" t="s">
        <v>89</v>
      </c>
      <c r="D81" s="10" t="s">
        <v>2</v>
      </c>
      <c r="E81" s="10" t="s">
        <v>1</v>
      </c>
      <c r="F81" s="10" t="s">
        <v>41</v>
      </c>
    </row>
    <row r="82" spans="2:6" x14ac:dyDescent="0.25">
      <c r="B82" s="15" t="s">
        <v>7</v>
      </c>
      <c r="C82" s="24">
        <v>1</v>
      </c>
      <c r="D82" s="25">
        <v>48</v>
      </c>
      <c r="E82" s="15" t="s">
        <v>45</v>
      </c>
      <c r="F82" s="15"/>
    </row>
    <row r="83" spans="2:6" x14ac:dyDescent="0.25">
      <c r="B83" s="16" t="s">
        <v>7</v>
      </c>
      <c r="C83" s="24">
        <v>1</v>
      </c>
      <c r="D83" s="25">
        <v>48</v>
      </c>
      <c r="E83" s="15" t="s">
        <v>45</v>
      </c>
      <c r="F83" s="15"/>
    </row>
    <row r="84" spans="2:6" x14ac:dyDescent="0.25">
      <c r="B84" s="16" t="s">
        <v>8</v>
      </c>
      <c r="C84" s="24">
        <v>1</v>
      </c>
      <c r="D84" s="25">
        <v>47</v>
      </c>
      <c r="E84" s="16" t="s">
        <v>44</v>
      </c>
      <c r="F84" s="16"/>
    </row>
    <row r="85" spans="2:6" x14ac:dyDescent="0.25">
      <c r="B85" s="16" t="s">
        <v>8</v>
      </c>
      <c r="C85" s="24">
        <v>1</v>
      </c>
      <c r="D85" s="25">
        <v>47</v>
      </c>
      <c r="E85" s="16" t="s">
        <v>43</v>
      </c>
      <c r="F85" s="16"/>
    </row>
    <row r="86" spans="2:6" x14ac:dyDescent="0.25">
      <c r="B86" s="16" t="s">
        <v>8</v>
      </c>
      <c r="C86" s="24">
        <v>1</v>
      </c>
      <c r="D86" s="25">
        <v>47</v>
      </c>
      <c r="E86" s="16" t="s">
        <v>44</v>
      </c>
      <c r="F86" s="16"/>
    </row>
    <row r="87" spans="2:6" x14ac:dyDescent="0.25">
      <c r="B87" s="15" t="s">
        <v>8</v>
      </c>
      <c r="C87" s="24">
        <v>1</v>
      </c>
      <c r="D87" s="25">
        <v>47</v>
      </c>
      <c r="E87" s="15" t="s">
        <v>45</v>
      </c>
      <c r="F87" s="15"/>
    </row>
    <row r="88" spans="2:6" x14ac:dyDescent="0.25">
      <c r="B88" s="16" t="s">
        <v>8</v>
      </c>
      <c r="C88" s="24">
        <v>1</v>
      </c>
      <c r="D88" s="25">
        <v>47</v>
      </c>
      <c r="E88" s="16" t="s">
        <v>44</v>
      </c>
      <c r="F88" s="16"/>
    </row>
    <row r="89" spans="2:6" x14ac:dyDescent="0.25">
      <c r="B89" s="15" t="s">
        <v>4</v>
      </c>
      <c r="C89" s="24">
        <v>1</v>
      </c>
      <c r="D89" s="25">
        <v>48</v>
      </c>
      <c r="E89" s="15" t="s">
        <v>48</v>
      </c>
      <c r="F89" s="15"/>
    </row>
    <row r="90" spans="2:6" x14ac:dyDescent="0.25">
      <c r="B90" s="15" t="s">
        <v>5</v>
      </c>
      <c r="C90" s="24">
        <v>1</v>
      </c>
      <c r="D90" s="25">
        <v>48</v>
      </c>
      <c r="E90" s="15" t="s">
        <v>46</v>
      </c>
      <c r="F90" s="15"/>
    </row>
    <row r="91" spans="2:6" x14ac:dyDescent="0.25">
      <c r="B91" s="16" t="s">
        <v>5</v>
      </c>
      <c r="C91" s="24">
        <v>1</v>
      </c>
      <c r="D91" s="25">
        <v>48</v>
      </c>
      <c r="E91" s="16" t="s">
        <v>46</v>
      </c>
      <c r="F91" s="16"/>
    </row>
    <row r="92" spans="2:6" x14ac:dyDescent="0.25">
      <c r="B92" s="16" t="s">
        <v>96</v>
      </c>
      <c r="C92" s="24">
        <v>1</v>
      </c>
      <c r="D92" s="25">
        <v>46</v>
      </c>
      <c r="E92" s="16"/>
      <c r="F92" s="16"/>
    </row>
    <row r="93" spans="2:6" x14ac:dyDescent="0.25">
      <c r="B93" s="16" t="s">
        <v>90</v>
      </c>
      <c r="C93" s="24">
        <v>1</v>
      </c>
      <c r="D93" s="25">
        <v>60</v>
      </c>
      <c r="E93" s="16"/>
      <c r="F93" s="16"/>
    </row>
    <row r="94" spans="2:6" x14ac:dyDescent="0.25">
      <c r="B94" s="15" t="s">
        <v>74</v>
      </c>
      <c r="C94" s="24">
        <v>1</v>
      </c>
      <c r="D94" s="25">
        <v>47</v>
      </c>
      <c r="E94" s="16"/>
      <c r="F94" s="16"/>
    </row>
    <row r="95" spans="2:6" x14ac:dyDescent="0.25">
      <c r="B95" s="15" t="s">
        <v>74</v>
      </c>
      <c r="C95" s="24">
        <v>1</v>
      </c>
      <c r="D95" s="25">
        <v>47</v>
      </c>
      <c r="E95" s="15" t="s">
        <v>45</v>
      </c>
      <c r="F95" s="15"/>
    </row>
    <row r="96" spans="2:6" x14ac:dyDescent="0.25">
      <c r="B96" s="15" t="s">
        <v>74</v>
      </c>
      <c r="C96" s="24">
        <v>1</v>
      </c>
      <c r="D96" s="25">
        <v>47</v>
      </c>
      <c r="E96" s="15" t="s">
        <v>43</v>
      </c>
      <c r="F96" s="15"/>
    </row>
    <row r="97" spans="2:6" x14ac:dyDescent="0.25">
      <c r="B97" s="16" t="s">
        <v>9</v>
      </c>
      <c r="C97" s="24">
        <v>1</v>
      </c>
      <c r="D97" s="25">
        <v>47</v>
      </c>
      <c r="E97" s="16" t="s">
        <v>43</v>
      </c>
      <c r="F97" s="16"/>
    </row>
    <row r="98" spans="2:6" x14ac:dyDescent="0.25">
      <c r="B98" s="15" t="s">
        <v>9</v>
      </c>
      <c r="C98" s="24">
        <v>1</v>
      </c>
      <c r="D98" s="25">
        <v>47</v>
      </c>
      <c r="E98" s="15" t="s">
        <v>44</v>
      </c>
      <c r="F98" s="15"/>
    </row>
    <row r="99" spans="2:6" ht="15.75" thickBot="1" x14ac:dyDescent="0.3">
      <c r="B99" s="16" t="s">
        <v>9</v>
      </c>
      <c r="C99" s="24">
        <v>1</v>
      </c>
      <c r="D99" s="25">
        <v>47</v>
      </c>
      <c r="E99" s="16" t="s">
        <v>44</v>
      </c>
      <c r="F99" s="16"/>
    </row>
    <row r="100" spans="2:6" ht="15.75" thickTop="1" x14ac:dyDescent="0.25">
      <c r="B100" s="9"/>
      <c r="C100" s="14">
        <f>SUM(C82:C99)</f>
        <v>18</v>
      </c>
      <c r="D100" s="14">
        <f>AVERAGE(D82:D99)</f>
        <v>47.944444444444443</v>
      </c>
      <c r="E100" s="9"/>
      <c r="F100" s="9"/>
    </row>
  </sheetData>
  <mergeCells count="10">
    <mergeCell ref="C59:D59"/>
    <mergeCell ref="C60:D60"/>
    <mergeCell ref="C79:D79"/>
    <mergeCell ref="C80:D80"/>
    <mergeCell ref="C2:D2"/>
    <mergeCell ref="C3:D3"/>
    <mergeCell ref="C17:D17"/>
    <mergeCell ref="C18:D18"/>
    <mergeCell ref="C39:D39"/>
    <mergeCell ref="C40:D40"/>
  </mergeCells>
  <conditionalFormatting sqref="B101:E101">
    <cfRule type="colorScale" priority="1">
      <colorScale>
        <cfvo type="min"/>
        <cfvo type="max"/>
        <color rgb="FFFFEF9C"/>
        <color rgb="FF63BE7B"/>
      </colorScale>
    </cfRule>
  </conditionalFormatting>
  <conditionalFormatting sqref="E17 B17 G4:H4 B16:E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77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{6E2B5743-2171-4001-AE35-D2A25978E482}</x14:id>
        </ext>
      </extLst>
    </cfRule>
  </conditionalFormatting>
  <conditionalFormatting sqref="G19:H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:H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1:H6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2B5743-2171-4001-AE35-D2A25978E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G62:G77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BBD3-B803-489A-B25B-2A4805F43245}">
  <dimension ref="B2:K80"/>
  <sheetViews>
    <sheetView zoomScale="110" zoomScaleNormal="110" workbookViewId="0">
      <selection activeCell="K3" sqref="K3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5.5703125" customWidth="1"/>
  </cols>
  <sheetData>
    <row r="2" spans="2:11" ht="15.75" thickBot="1" x14ac:dyDescent="0.3">
      <c r="C2" s="44" t="s">
        <v>76</v>
      </c>
      <c r="D2" s="44"/>
    </row>
    <row r="3" spans="2:11" ht="19.5" thickBot="1" x14ac:dyDescent="0.35">
      <c r="C3" s="44" t="s">
        <v>91</v>
      </c>
      <c r="D3" s="44"/>
      <c r="H3" s="1"/>
      <c r="J3" s="32" t="s">
        <v>57</v>
      </c>
      <c r="K3" s="31">
        <f>SUM(C19,C43,C61,C80)</f>
        <v>60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AVERAGE(K3,D19,D43,D61,D80)</f>
        <v>55.206610757663384</v>
      </c>
    </row>
    <row r="5" spans="2:11" x14ac:dyDescent="0.25">
      <c r="B5" s="2" t="s">
        <v>7</v>
      </c>
      <c r="C5" s="22">
        <v>1</v>
      </c>
      <c r="D5" s="23">
        <v>52</v>
      </c>
      <c r="E5" s="2" t="s">
        <v>45</v>
      </c>
      <c r="F5" s="5"/>
      <c r="G5" s="3"/>
    </row>
    <row r="6" spans="2:11" x14ac:dyDescent="0.25">
      <c r="B6" s="2" t="s">
        <v>7</v>
      </c>
      <c r="C6" s="22">
        <v>1</v>
      </c>
      <c r="D6" s="23">
        <v>52</v>
      </c>
      <c r="E6" s="2" t="s">
        <v>48</v>
      </c>
      <c r="F6" s="5"/>
      <c r="G6" s="3"/>
    </row>
    <row r="7" spans="2:11" x14ac:dyDescent="0.25">
      <c r="B7" s="2" t="s">
        <v>74</v>
      </c>
      <c r="C7" s="22">
        <v>1</v>
      </c>
      <c r="D7" s="23">
        <v>50</v>
      </c>
      <c r="E7" s="2" t="s">
        <v>43</v>
      </c>
      <c r="F7" s="5"/>
      <c r="G7" s="3"/>
    </row>
    <row r="8" spans="2:11" x14ac:dyDescent="0.25">
      <c r="B8" s="2" t="s">
        <v>74</v>
      </c>
      <c r="C8" s="22">
        <v>1</v>
      </c>
      <c r="D8" s="23">
        <v>50</v>
      </c>
      <c r="E8" s="2" t="s">
        <v>44</v>
      </c>
      <c r="F8" s="5"/>
      <c r="G8" s="3"/>
    </row>
    <row r="9" spans="2:11" x14ac:dyDescent="0.25">
      <c r="B9" s="2" t="s">
        <v>13</v>
      </c>
      <c r="C9" s="22">
        <v>1</v>
      </c>
      <c r="D9" s="23">
        <v>52</v>
      </c>
      <c r="E9" s="2"/>
      <c r="F9" s="5"/>
      <c r="G9" s="3"/>
    </row>
    <row r="10" spans="2:11" x14ac:dyDescent="0.25">
      <c r="B10" s="2" t="s">
        <v>8</v>
      </c>
      <c r="C10" s="22">
        <v>1</v>
      </c>
      <c r="D10" s="23">
        <v>50</v>
      </c>
      <c r="E10" s="2" t="s">
        <v>44</v>
      </c>
      <c r="F10" s="3"/>
      <c r="G10" s="3"/>
    </row>
    <row r="11" spans="2:11" x14ac:dyDescent="0.25">
      <c r="B11" s="2" t="s">
        <v>8</v>
      </c>
      <c r="C11" s="22">
        <v>1</v>
      </c>
      <c r="D11" s="23">
        <v>50</v>
      </c>
      <c r="E11" s="2" t="s">
        <v>44</v>
      </c>
      <c r="F11" s="3"/>
      <c r="G11" s="3"/>
    </row>
    <row r="12" spans="2:11" x14ac:dyDescent="0.25">
      <c r="B12" s="2" t="s">
        <v>8</v>
      </c>
      <c r="C12" s="22">
        <v>1</v>
      </c>
      <c r="D12" s="23">
        <v>50</v>
      </c>
      <c r="E12" s="2" t="s">
        <v>83</v>
      </c>
      <c r="F12" s="3"/>
      <c r="G12" s="3"/>
    </row>
    <row r="13" spans="2:11" x14ac:dyDescent="0.25">
      <c r="B13" s="2" t="s">
        <v>8</v>
      </c>
      <c r="C13" s="22">
        <v>1</v>
      </c>
      <c r="D13" s="23">
        <v>50</v>
      </c>
      <c r="E13" s="2" t="s">
        <v>44</v>
      </c>
      <c r="F13" s="3"/>
      <c r="G13" s="3"/>
    </row>
    <row r="14" spans="2:11" x14ac:dyDescent="0.25">
      <c r="B14" s="2" t="s">
        <v>4</v>
      </c>
      <c r="C14" s="22">
        <v>1</v>
      </c>
      <c r="D14" s="23">
        <v>52</v>
      </c>
      <c r="E14" s="2" t="s">
        <v>44</v>
      </c>
      <c r="F14" s="3"/>
      <c r="G14" s="3"/>
    </row>
    <row r="15" spans="2:11" x14ac:dyDescent="0.25">
      <c r="B15" s="2" t="s">
        <v>5</v>
      </c>
      <c r="C15" s="22">
        <v>1</v>
      </c>
      <c r="D15" s="23">
        <v>52</v>
      </c>
      <c r="E15" s="2"/>
      <c r="F15" s="5"/>
      <c r="G15" s="3"/>
    </row>
    <row r="16" spans="2:11" x14ac:dyDescent="0.25">
      <c r="B16" s="2" t="s">
        <v>5</v>
      </c>
      <c r="C16" s="22">
        <v>1</v>
      </c>
      <c r="D16" s="23">
        <v>52</v>
      </c>
      <c r="E16" s="2" t="s">
        <v>44</v>
      </c>
      <c r="F16" s="3"/>
      <c r="G16" s="3"/>
    </row>
    <row r="17" spans="2:8" x14ac:dyDescent="0.25">
      <c r="B17" s="2" t="s">
        <v>9</v>
      </c>
      <c r="C17" s="22">
        <v>1</v>
      </c>
      <c r="D17" s="23">
        <v>52</v>
      </c>
      <c r="E17" s="2"/>
      <c r="F17" s="5"/>
      <c r="G17" s="3"/>
    </row>
    <row r="18" spans="2:8" x14ac:dyDescent="0.25">
      <c r="B18" s="2" t="s">
        <v>9</v>
      </c>
      <c r="C18" s="22">
        <v>1</v>
      </c>
      <c r="D18" s="23">
        <v>52</v>
      </c>
      <c r="E18" s="2"/>
      <c r="F18" s="5"/>
      <c r="G18" s="3"/>
    </row>
    <row r="19" spans="2:8" x14ac:dyDescent="0.25">
      <c r="B19" s="2"/>
      <c r="C19" s="13">
        <f>SUBTOTAL(109,Tabla11523273539462610141822[Carretas])</f>
        <v>14</v>
      </c>
      <c r="D19" s="13">
        <f>SUBTOTAL(101,Tabla11523273539462610141822[Precios])</f>
        <v>51.142857142857146</v>
      </c>
      <c r="E19" s="2"/>
      <c r="F19" s="2"/>
      <c r="G19" s="2"/>
      <c r="H19" s="1"/>
    </row>
    <row r="21" spans="2:8" x14ac:dyDescent="0.25">
      <c r="C21" s="44" t="s">
        <v>77</v>
      </c>
      <c r="D21" s="44"/>
    </row>
    <row r="22" spans="2:8" x14ac:dyDescent="0.25">
      <c r="C22" s="44" t="s">
        <v>92</v>
      </c>
      <c r="D22" s="44"/>
    </row>
    <row r="23" spans="2:8" x14ac:dyDescent="0.25">
      <c r="B23" s="1" t="s">
        <v>0</v>
      </c>
      <c r="C23" s="1" t="s">
        <v>34</v>
      </c>
      <c r="D23" s="1" t="s">
        <v>2</v>
      </c>
      <c r="E23" s="1" t="s">
        <v>1</v>
      </c>
      <c r="F23" s="1" t="s">
        <v>41</v>
      </c>
      <c r="G23" s="1" t="s">
        <v>42</v>
      </c>
    </row>
    <row r="24" spans="2:8" x14ac:dyDescent="0.25">
      <c r="B24" s="2" t="s">
        <v>7</v>
      </c>
      <c r="C24" s="22">
        <v>1</v>
      </c>
      <c r="D24" s="23">
        <v>58</v>
      </c>
      <c r="E24" s="2" t="s">
        <v>44</v>
      </c>
      <c r="F24" s="2"/>
    </row>
    <row r="25" spans="2:8" x14ac:dyDescent="0.25">
      <c r="B25" s="2" t="s">
        <v>7</v>
      </c>
      <c r="C25" s="22">
        <v>1</v>
      </c>
      <c r="D25" s="23">
        <v>58</v>
      </c>
      <c r="E25" s="2"/>
      <c r="F25" s="2"/>
    </row>
    <row r="26" spans="2:8" x14ac:dyDescent="0.25">
      <c r="B26" s="2" t="s">
        <v>7</v>
      </c>
      <c r="C26" s="22">
        <v>1</v>
      </c>
      <c r="D26" s="23">
        <v>58</v>
      </c>
      <c r="E26" s="2" t="s">
        <v>44</v>
      </c>
      <c r="F26" s="2"/>
    </row>
    <row r="27" spans="2:8" x14ac:dyDescent="0.25">
      <c r="B27" s="2" t="s">
        <v>74</v>
      </c>
      <c r="C27" s="22">
        <v>1</v>
      </c>
      <c r="D27" s="23">
        <v>55</v>
      </c>
      <c r="E27" s="2" t="s">
        <v>44</v>
      </c>
      <c r="F27" s="2"/>
    </row>
    <row r="28" spans="2:8" x14ac:dyDescent="0.25">
      <c r="B28" s="2" t="s">
        <v>74</v>
      </c>
      <c r="C28" s="22">
        <v>1</v>
      </c>
      <c r="D28" s="23">
        <v>55</v>
      </c>
      <c r="E28" s="2" t="s">
        <v>44</v>
      </c>
      <c r="F28" s="2"/>
    </row>
    <row r="29" spans="2:8" x14ac:dyDescent="0.25">
      <c r="B29" s="2" t="s">
        <v>74</v>
      </c>
      <c r="C29" s="22">
        <v>1</v>
      </c>
      <c r="D29" s="23">
        <v>55</v>
      </c>
      <c r="E29" s="2" t="s">
        <v>46</v>
      </c>
      <c r="F29" s="2"/>
    </row>
    <row r="30" spans="2:8" x14ac:dyDescent="0.25">
      <c r="B30" s="2" t="s">
        <v>8</v>
      </c>
      <c r="C30" s="22">
        <v>1</v>
      </c>
      <c r="D30" s="23">
        <v>55</v>
      </c>
      <c r="E30" s="2" t="s">
        <v>43</v>
      </c>
      <c r="F30" s="2"/>
    </row>
    <row r="31" spans="2:8" x14ac:dyDescent="0.25">
      <c r="B31" s="2" t="s">
        <v>8</v>
      </c>
      <c r="C31" s="22">
        <v>1</v>
      </c>
      <c r="D31" s="23">
        <v>55</v>
      </c>
      <c r="E31" s="2" t="s">
        <v>44</v>
      </c>
      <c r="F31" s="2"/>
    </row>
    <row r="32" spans="2:8" x14ac:dyDescent="0.25">
      <c r="B32" s="2" t="s">
        <v>8</v>
      </c>
      <c r="C32" s="22">
        <v>1</v>
      </c>
      <c r="D32" s="23">
        <v>55</v>
      </c>
      <c r="E32" s="2" t="s">
        <v>44</v>
      </c>
      <c r="F32" s="2"/>
    </row>
    <row r="33" spans="2:8" x14ac:dyDescent="0.25">
      <c r="B33" s="2" t="s">
        <v>8</v>
      </c>
      <c r="C33" s="22">
        <v>1</v>
      </c>
      <c r="D33" s="23">
        <v>55</v>
      </c>
      <c r="E33" s="2" t="s">
        <v>48</v>
      </c>
      <c r="F33" s="2"/>
    </row>
    <row r="34" spans="2:8" x14ac:dyDescent="0.25">
      <c r="B34" s="2" t="s">
        <v>8</v>
      </c>
      <c r="C34" s="22">
        <v>1</v>
      </c>
      <c r="D34" s="23">
        <v>55</v>
      </c>
      <c r="E34" s="2" t="s">
        <v>46</v>
      </c>
      <c r="F34" s="2"/>
    </row>
    <row r="35" spans="2:8" x14ac:dyDescent="0.25">
      <c r="B35" s="2" t="s">
        <v>4</v>
      </c>
      <c r="C35" s="22">
        <v>1</v>
      </c>
      <c r="D35" s="23">
        <v>55</v>
      </c>
      <c r="E35" s="2" t="s">
        <v>44</v>
      </c>
      <c r="F35" s="2"/>
    </row>
    <row r="36" spans="2:8" x14ac:dyDescent="0.25">
      <c r="B36" s="2" t="s">
        <v>5</v>
      </c>
      <c r="C36" s="22">
        <v>1</v>
      </c>
      <c r="D36" s="23">
        <v>55</v>
      </c>
      <c r="E36" s="2" t="s">
        <v>44</v>
      </c>
      <c r="F36" s="2"/>
    </row>
    <row r="37" spans="2:8" x14ac:dyDescent="0.25">
      <c r="B37" s="2" t="s">
        <v>5</v>
      </c>
      <c r="C37" s="22">
        <v>1</v>
      </c>
      <c r="D37" s="23">
        <v>55</v>
      </c>
      <c r="E37" s="2" t="s">
        <v>44</v>
      </c>
      <c r="F37" s="2"/>
    </row>
    <row r="38" spans="2:8" x14ac:dyDescent="0.25">
      <c r="B38" s="2" t="s">
        <v>9</v>
      </c>
      <c r="C38" s="22">
        <v>1</v>
      </c>
      <c r="D38" s="23">
        <v>55</v>
      </c>
      <c r="E38" s="2" t="s">
        <v>44</v>
      </c>
      <c r="F38" s="2"/>
    </row>
    <row r="39" spans="2:8" x14ac:dyDescent="0.25">
      <c r="B39" s="2" t="s">
        <v>14</v>
      </c>
      <c r="C39" s="22">
        <v>1</v>
      </c>
      <c r="D39" s="23">
        <v>50</v>
      </c>
      <c r="E39" s="2"/>
      <c r="F39" s="2"/>
    </row>
    <row r="40" spans="2:8" x14ac:dyDescent="0.25">
      <c r="B40" s="2" t="s">
        <v>14</v>
      </c>
      <c r="C40" s="22">
        <v>1</v>
      </c>
      <c r="D40" s="23">
        <v>55</v>
      </c>
      <c r="E40" s="2" t="s">
        <v>48</v>
      </c>
      <c r="F40" s="2"/>
    </row>
    <row r="41" spans="2:8" x14ac:dyDescent="0.25">
      <c r="B41" s="2" t="s">
        <v>9</v>
      </c>
      <c r="C41" s="22">
        <v>1</v>
      </c>
      <c r="D41" s="23">
        <v>55</v>
      </c>
      <c r="E41" s="2"/>
      <c r="F41" s="2"/>
    </row>
    <row r="42" spans="2:8" x14ac:dyDescent="0.25">
      <c r="B42" s="2" t="s">
        <v>9</v>
      </c>
      <c r="C42" s="22">
        <v>1</v>
      </c>
      <c r="D42" s="23">
        <v>55</v>
      </c>
      <c r="E42" s="2"/>
      <c r="F42" s="2"/>
    </row>
    <row r="43" spans="2:8" x14ac:dyDescent="0.25">
      <c r="C43" s="13">
        <f>SUBTOTAL(109,Tabla141624303842495913172125[Carretas])</f>
        <v>19</v>
      </c>
      <c r="D43" s="13">
        <f>SUBTOTAL(101,Tabla141624303842495913172125[Precios])</f>
        <v>55.210526315789473</v>
      </c>
    </row>
    <row r="45" spans="2:8" x14ac:dyDescent="0.25">
      <c r="C45" s="44" t="s">
        <v>78</v>
      </c>
      <c r="D45" s="44"/>
    </row>
    <row r="46" spans="2:8" x14ac:dyDescent="0.25">
      <c r="C46" s="44" t="s">
        <v>93</v>
      </c>
      <c r="D46" s="44"/>
      <c r="H46" s="1"/>
    </row>
    <row r="47" spans="2:8" x14ac:dyDescent="0.25">
      <c r="B47" s="1" t="s">
        <v>0</v>
      </c>
      <c r="C47" s="1" t="s">
        <v>34</v>
      </c>
      <c r="D47" s="12" t="s">
        <v>2</v>
      </c>
      <c r="E47" s="1" t="s">
        <v>1</v>
      </c>
      <c r="F47" s="1" t="s">
        <v>41</v>
      </c>
      <c r="G47" s="1" t="s">
        <v>42</v>
      </c>
    </row>
    <row r="48" spans="2:8" x14ac:dyDescent="0.25">
      <c r="B48" s="2" t="s">
        <v>7</v>
      </c>
      <c r="C48" s="22">
        <v>1</v>
      </c>
      <c r="D48" s="23">
        <v>58</v>
      </c>
      <c r="E48" s="2" t="s">
        <v>48</v>
      </c>
      <c r="F48" s="2" t="s">
        <v>72</v>
      </c>
    </row>
    <row r="49" spans="2:11" x14ac:dyDescent="0.25">
      <c r="B49" s="2" t="s">
        <v>7</v>
      </c>
      <c r="C49" s="22">
        <v>1</v>
      </c>
      <c r="D49" s="23">
        <v>58</v>
      </c>
      <c r="E49" s="2" t="s">
        <v>48</v>
      </c>
      <c r="F49" s="2" t="s">
        <v>72</v>
      </c>
    </row>
    <row r="50" spans="2:11" x14ac:dyDescent="0.25">
      <c r="B50" s="2" t="s">
        <v>74</v>
      </c>
      <c r="C50" s="22">
        <v>1</v>
      </c>
      <c r="D50" s="23">
        <v>55</v>
      </c>
      <c r="E50" s="2"/>
      <c r="F50" s="2"/>
    </row>
    <row r="51" spans="2:11" x14ac:dyDescent="0.25">
      <c r="B51" s="2" t="s">
        <v>74</v>
      </c>
      <c r="C51" s="22">
        <v>1</v>
      </c>
      <c r="D51" s="23">
        <v>55</v>
      </c>
      <c r="E51" s="2"/>
      <c r="F51" s="2"/>
    </row>
    <row r="52" spans="2:11" x14ac:dyDescent="0.25">
      <c r="B52" s="2" t="s">
        <v>8</v>
      </c>
      <c r="C52" s="22">
        <v>1</v>
      </c>
      <c r="D52" s="23">
        <v>55</v>
      </c>
      <c r="E52" s="2" t="s">
        <v>43</v>
      </c>
      <c r="F52" s="2"/>
      <c r="K52">
        <f>738*55</f>
        <v>40590</v>
      </c>
    </row>
    <row r="53" spans="2:11" x14ac:dyDescent="0.25">
      <c r="B53" s="2" t="s">
        <v>8</v>
      </c>
      <c r="C53" s="22">
        <v>1</v>
      </c>
      <c r="D53" s="23">
        <v>55</v>
      </c>
      <c r="E53" s="2" t="s">
        <v>45</v>
      </c>
      <c r="F53" s="2"/>
      <c r="K53">
        <f>180*45</f>
        <v>8100</v>
      </c>
    </row>
    <row r="54" spans="2:11" x14ac:dyDescent="0.25">
      <c r="B54" s="2" t="s">
        <v>8</v>
      </c>
      <c r="C54" s="22">
        <v>1</v>
      </c>
      <c r="D54" s="23">
        <v>55</v>
      </c>
      <c r="E54" s="2" t="s">
        <v>46</v>
      </c>
      <c r="F54" s="2"/>
      <c r="K54">
        <f>48690/990</f>
        <v>49.18181818181818</v>
      </c>
    </row>
    <row r="55" spans="2:11" x14ac:dyDescent="0.25">
      <c r="B55" s="2" t="s">
        <v>14</v>
      </c>
      <c r="C55" s="22">
        <v>1</v>
      </c>
      <c r="D55" s="23">
        <v>49.2</v>
      </c>
      <c r="E55" s="2" t="s">
        <v>46</v>
      </c>
      <c r="F55" s="2"/>
    </row>
    <row r="56" spans="2:11" x14ac:dyDescent="0.25">
      <c r="B56" s="2" t="s">
        <v>74</v>
      </c>
      <c r="C56" s="22">
        <v>1</v>
      </c>
      <c r="D56" s="23">
        <v>55</v>
      </c>
      <c r="E56" s="2" t="s">
        <v>44</v>
      </c>
      <c r="F56" s="2"/>
    </row>
    <row r="57" spans="2:11" x14ac:dyDescent="0.25">
      <c r="B57" s="2" t="s">
        <v>5</v>
      </c>
      <c r="C57" s="22">
        <v>1</v>
      </c>
      <c r="D57" s="23">
        <v>55</v>
      </c>
      <c r="E57" s="2"/>
      <c r="F57" s="2"/>
    </row>
    <row r="58" spans="2:11" x14ac:dyDescent="0.25">
      <c r="B58" s="2" t="s">
        <v>71</v>
      </c>
      <c r="C58" s="22">
        <v>1</v>
      </c>
      <c r="D58" s="23">
        <v>55</v>
      </c>
      <c r="E58" s="2" t="s">
        <v>44</v>
      </c>
      <c r="F58" s="2"/>
    </row>
    <row r="59" spans="2:11" x14ac:dyDescent="0.25">
      <c r="B59" s="2" t="s">
        <v>71</v>
      </c>
      <c r="C59" s="22">
        <v>1</v>
      </c>
      <c r="D59" s="23">
        <v>55</v>
      </c>
      <c r="E59" s="2" t="s">
        <v>44</v>
      </c>
      <c r="F59" s="2"/>
    </row>
    <row r="60" spans="2:11" x14ac:dyDescent="0.25">
      <c r="B60" s="2" t="s">
        <v>71</v>
      </c>
      <c r="C60" s="22">
        <v>1</v>
      </c>
      <c r="D60" s="23">
        <v>55</v>
      </c>
      <c r="E60" s="2" t="s">
        <v>44</v>
      </c>
      <c r="F60" s="2"/>
    </row>
    <row r="61" spans="2:11" x14ac:dyDescent="0.25">
      <c r="C61" s="13">
        <f>SUBTOTAL(109,Tabla151725283640473711151923[Carretas])</f>
        <v>13</v>
      </c>
      <c r="D61" s="13">
        <f>SUBTOTAL(101,Tabla151725283640473711151923[Precios])</f>
        <v>55.015384615384619</v>
      </c>
    </row>
    <row r="63" spans="2:11" x14ac:dyDescent="0.25">
      <c r="C63" s="44" t="s">
        <v>94</v>
      </c>
      <c r="D63" s="44"/>
    </row>
    <row r="64" spans="2:11" x14ac:dyDescent="0.25">
      <c r="C64" s="44" t="s">
        <v>95</v>
      </c>
      <c r="D64" s="44"/>
    </row>
    <row r="65" spans="2:11" x14ac:dyDescent="0.25">
      <c r="B65" s="1" t="s">
        <v>0</v>
      </c>
      <c r="C65" s="1" t="s">
        <v>34</v>
      </c>
      <c r="D65" s="1" t="s">
        <v>2</v>
      </c>
      <c r="E65" s="1" t="s">
        <v>1</v>
      </c>
      <c r="F65" s="1" t="s">
        <v>41</v>
      </c>
      <c r="G65" s="1" t="s">
        <v>42</v>
      </c>
      <c r="H65" s="1"/>
    </row>
    <row r="66" spans="2:11" ht="15.75" x14ac:dyDescent="0.25">
      <c r="B66" s="21" t="s">
        <v>7</v>
      </c>
      <c r="C66" s="22">
        <v>1</v>
      </c>
      <c r="D66" s="23">
        <v>54</v>
      </c>
      <c r="E66" s="2" t="s">
        <v>45</v>
      </c>
      <c r="F66" s="2"/>
    </row>
    <row r="67" spans="2:11" ht="15.75" x14ac:dyDescent="0.25">
      <c r="B67" s="21" t="s">
        <v>7</v>
      </c>
      <c r="C67" s="22">
        <v>1</v>
      </c>
      <c r="D67" s="23">
        <v>54</v>
      </c>
      <c r="E67" s="2"/>
      <c r="F67" s="2"/>
    </row>
    <row r="68" spans="2:11" ht="15.75" x14ac:dyDescent="0.25">
      <c r="B68" s="21" t="s">
        <v>74</v>
      </c>
      <c r="C68" s="22">
        <v>1</v>
      </c>
      <c r="D68" s="23">
        <v>55</v>
      </c>
      <c r="E68" s="2"/>
      <c r="F68" s="2"/>
    </row>
    <row r="69" spans="2:11" ht="15.75" x14ac:dyDescent="0.25">
      <c r="B69" s="21" t="s">
        <v>74</v>
      </c>
      <c r="C69" s="22">
        <v>1</v>
      </c>
      <c r="D69" s="23">
        <v>55</v>
      </c>
      <c r="E69" s="2"/>
      <c r="F69" s="2"/>
    </row>
    <row r="70" spans="2:11" ht="15.75" x14ac:dyDescent="0.25">
      <c r="B70" s="21" t="s">
        <v>14</v>
      </c>
      <c r="C70" s="22">
        <v>1</v>
      </c>
      <c r="D70" s="23">
        <v>48.3</v>
      </c>
      <c r="E70" s="2"/>
      <c r="F70" s="2"/>
    </row>
    <row r="71" spans="2:11" ht="15.75" x14ac:dyDescent="0.25">
      <c r="B71" s="21" t="s">
        <v>8</v>
      </c>
      <c r="C71" s="22">
        <v>1</v>
      </c>
      <c r="D71" s="23">
        <v>56</v>
      </c>
      <c r="E71" s="2" t="s">
        <v>48</v>
      </c>
      <c r="F71" s="2"/>
    </row>
    <row r="72" spans="2:11" ht="15.75" x14ac:dyDescent="0.25">
      <c r="B72" s="21" t="s">
        <v>8</v>
      </c>
      <c r="C72" s="22">
        <v>1</v>
      </c>
      <c r="D72" s="23">
        <v>56</v>
      </c>
      <c r="E72" s="2"/>
      <c r="F72" s="2"/>
    </row>
    <row r="73" spans="2:11" ht="15.75" x14ac:dyDescent="0.25">
      <c r="B73" s="21" t="s">
        <v>8</v>
      </c>
      <c r="C73" s="22">
        <v>1</v>
      </c>
      <c r="D73" s="23">
        <v>56</v>
      </c>
      <c r="E73" s="2"/>
      <c r="F73" s="2"/>
    </row>
    <row r="74" spans="2:11" ht="15.75" x14ac:dyDescent="0.25">
      <c r="B74" s="21" t="s">
        <v>4</v>
      </c>
      <c r="C74" s="22">
        <v>1</v>
      </c>
      <c r="D74" s="23">
        <v>55</v>
      </c>
      <c r="E74" s="2" t="s">
        <v>48</v>
      </c>
      <c r="F74" s="2"/>
      <c r="K74">
        <v>40500</v>
      </c>
    </row>
    <row r="75" spans="2:11" ht="15.75" x14ac:dyDescent="0.25">
      <c r="B75" s="21" t="s">
        <v>5</v>
      </c>
      <c r="C75" s="22">
        <v>1</v>
      </c>
      <c r="D75" s="23">
        <v>56</v>
      </c>
      <c r="E75" s="2" t="s">
        <v>44</v>
      </c>
      <c r="F75" s="2"/>
    </row>
    <row r="76" spans="2:11" ht="15.75" x14ac:dyDescent="0.25">
      <c r="B76" s="21" t="s">
        <v>9</v>
      </c>
      <c r="C76" s="22">
        <v>1</v>
      </c>
      <c r="D76" s="23">
        <v>55</v>
      </c>
      <c r="E76" s="2"/>
      <c r="F76" s="2"/>
    </row>
    <row r="77" spans="2:11" ht="15.75" x14ac:dyDescent="0.25">
      <c r="B77" s="21" t="s">
        <v>9</v>
      </c>
      <c r="C77" s="22">
        <v>1</v>
      </c>
      <c r="D77" s="23">
        <v>55</v>
      </c>
      <c r="E77" s="2"/>
      <c r="F77" s="2"/>
    </row>
    <row r="78" spans="2:11" ht="15.75" x14ac:dyDescent="0.25">
      <c r="B78" s="21" t="s">
        <v>9</v>
      </c>
      <c r="C78" s="22">
        <v>1</v>
      </c>
      <c r="D78" s="23">
        <v>55</v>
      </c>
      <c r="E78" s="2" t="s">
        <v>44</v>
      </c>
      <c r="F78" s="2"/>
    </row>
    <row r="79" spans="2:11" ht="15.75" x14ac:dyDescent="0.25">
      <c r="B79" s="21" t="s">
        <v>9</v>
      </c>
      <c r="C79" s="22">
        <v>1</v>
      </c>
      <c r="D79" s="23">
        <v>55</v>
      </c>
      <c r="E79" s="2"/>
      <c r="F79" s="2"/>
    </row>
    <row r="80" spans="2:11" x14ac:dyDescent="0.25">
      <c r="C80" s="13">
        <f>SUBTOTAL(109,Tabla161826293741484812162024[Carretas])</f>
        <v>14</v>
      </c>
      <c r="D80" s="13">
        <f>SUBTOTAL(101,Tabla161826293741484812162024[Precios])</f>
        <v>54.664285714285711</v>
      </c>
    </row>
  </sheetData>
  <mergeCells count="8">
    <mergeCell ref="C63:D63"/>
    <mergeCell ref="C64:D64"/>
    <mergeCell ref="C2:D2"/>
    <mergeCell ref="C3:D3"/>
    <mergeCell ref="C21:D21"/>
    <mergeCell ref="C22:D22"/>
    <mergeCell ref="C45:D45"/>
    <mergeCell ref="C46:D46"/>
  </mergeCells>
  <conditionalFormatting sqref="B21 E21 G4:H4 B20:E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:G80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{ACDA76E7-38C8-4CF2-AA00-9170491C60EF}</x14:id>
        </ext>
      </extLst>
    </cfRule>
  </conditionalFormatting>
  <conditionalFormatting sqref="G23:H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H4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5:H6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DA76E7-38C8-4CF2-AA00-9170491C60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G66:G80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AAF3-FB1D-492D-8441-F11487A49727}">
  <dimension ref="B2:K119"/>
  <sheetViews>
    <sheetView tabSelected="1" zoomScaleNormal="100" workbookViewId="0">
      <selection activeCell="K3" sqref="K3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5.5703125" customWidth="1"/>
  </cols>
  <sheetData>
    <row r="2" spans="2:11" ht="15.75" thickBot="1" x14ac:dyDescent="0.3">
      <c r="C2" s="44" t="s">
        <v>97</v>
      </c>
      <c r="D2" s="44"/>
    </row>
    <row r="3" spans="2:11" ht="19.5" thickBot="1" x14ac:dyDescent="0.35">
      <c r="C3" s="44" t="s">
        <v>102</v>
      </c>
      <c r="D3" s="44"/>
      <c r="H3" s="1"/>
      <c r="J3" s="32" t="s">
        <v>57</v>
      </c>
      <c r="K3" s="31">
        <f>SUM(C25,C48,C71,C94,C119)</f>
        <v>91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AVERAGE(D25,D48,D71,D94,D119)</f>
        <v>65.72999999999999</v>
      </c>
    </row>
    <row r="5" spans="2:11" x14ac:dyDescent="0.25">
      <c r="B5" s="2" t="s">
        <v>7</v>
      </c>
      <c r="C5" s="22">
        <v>1</v>
      </c>
      <c r="D5" s="23">
        <v>55</v>
      </c>
      <c r="E5" s="2" t="s">
        <v>83</v>
      </c>
      <c r="F5" s="5"/>
      <c r="G5" s="3"/>
    </row>
    <row r="6" spans="2:11" x14ac:dyDescent="0.25">
      <c r="B6" s="2" t="s">
        <v>74</v>
      </c>
      <c r="C6" s="22">
        <v>1</v>
      </c>
      <c r="D6" s="23">
        <v>55</v>
      </c>
      <c r="E6" s="2" t="s">
        <v>44</v>
      </c>
      <c r="F6" s="5"/>
      <c r="G6" s="3"/>
    </row>
    <row r="7" spans="2:11" x14ac:dyDescent="0.25">
      <c r="B7" s="2" t="s">
        <v>74</v>
      </c>
      <c r="C7" s="22">
        <v>1</v>
      </c>
      <c r="D7" s="23">
        <v>55</v>
      </c>
      <c r="E7" s="2" t="s">
        <v>44</v>
      </c>
      <c r="F7" s="5"/>
      <c r="G7" s="3"/>
    </row>
    <row r="8" spans="2:11" x14ac:dyDescent="0.25">
      <c r="B8" s="2" t="s">
        <v>74</v>
      </c>
      <c r="C8" s="22">
        <v>1</v>
      </c>
      <c r="D8" s="23">
        <v>55</v>
      </c>
      <c r="E8" s="2" t="s">
        <v>44</v>
      </c>
      <c r="F8" s="5"/>
      <c r="G8" s="3"/>
    </row>
    <row r="9" spans="2:11" x14ac:dyDescent="0.25">
      <c r="B9" s="2" t="s">
        <v>74</v>
      </c>
      <c r="C9" s="22">
        <v>1</v>
      </c>
      <c r="D9" s="23">
        <v>55</v>
      </c>
      <c r="E9" s="2" t="s">
        <v>44</v>
      </c>
      <c r="F9" s="5"/>
      <c r="G9" s="3"/>
    </row>
    <row r="10" spans="2:11" x14ac:dyDescent="0.25">
      <c r="B10" s="2" t="s">
        <v>6</v>
      </c>
      <c r="C10" s="22">
        <v>1</v>
      </c>
      <c r="D10" s="23">
        <v>55</v>
      </c>
      <c r="E10" s="2"/>
      <c r="F10" s="5"/>
      <c r="G10" s="3"/>
    </row>
    <row r="11" spans="2:11" x14ac:dyDescent="0.25">
      <c r="B11" s="2" t="s">
        <v>8</v>
      </c>
      <c r="C11" s="22">
        <v>1</v>
      </c>
      <c r="D11" s="23">
        <v>55</v>
      </c>
      <c r="E11" s="2" t="s">
        <v>44</v>
      </c>
      <c r="F11" s="3"/>
      <c r="G11" s="3"/>
    </row>
    <row r="12" spans="2:11" x14ac:dyDescent="0.25">
      <c r="B12" s="2" t="s">
        <v>8</v>
      </c>
      <c r="C12" s="22">
        <v>1</v>
      </c>
      <c r="D12" s="23">
        <v>55</v>
      </c>
      <c r="E12" s="2" t="s">
        <v>44</v>
      </c>
      <c r="F12" s="3"/>
      <c r="G12" s="3"/>
    </row>
    <row r="13" spans="2:11" x14ac:dyDescent="0.25">
      <c r="B13" s="2" t="s">
        <v>8</v>
      </c>
      <c r="C13" s="22">
        <v>1</v>
      </c>
      <c r="D13" s="23">
        <v>55</v>
      </c>
      <c r="E13" s="2" t="s">
        <v>44</v>
      </c>
      <c r="F13" s="3"/>
      <c r="G13" s="3"/>
    </row>
    <row r="14" spans="2:11" x14ac:dyDescent="0.25">
      <c r="B14" s="2" t="s">
        <v>8</v>
      </c>
      <c r="C14" s="22">
        <v>1</v>
      </c>
      <c r="D14" s="23">
        <v>55</v>
      </c>
      <c r="E14" s="2" t="s">
        <v>44</v>
      </c>
      <c r="F14" s="3"/>
      <c r="G14" s="3"/>
    </row>
    <row r="15" spans="2:11" x14ac:dyDescent="0.25">
      <c r="B15" s="2" t="s">
        <v>4</v>
      </c>
      <c r="C15" s="22">
        <v>1</v>
      </c>
      <c r="D15" s="23">
        <v>55</v>
      </c>
      <c r="E15" s="2" t="s">
        <v>48</v>
      </c>
      <c r="F15" s="3"/>
      <c r="G15" s="3"/>
    </row>
    <row r="16" spans="2:11" x14ac:dyDescent="0.25">
      <c r="B16" s="2" t="s">
        <v>5</v>
      </c>
      <c r="C16" s="22">
        <v>1</v>
      </c>
      <c r="D16" s="23">
        <v>56</v>
      </c>
      <c r="E16" s="2" t="s">
        <v>44</v>
      </c>
      <c r="F16" s="5"/>
      <c r="G16" s="3"/>
    </row>
    <row r="17" spans="2:8" x14ac:dyDescent="0.25">
      <c r="B17" s="2" t="s">
        <v>5</v>
      </c>
      <c r="C17" s="22">
        <v>1</v>
      </c>
      <c r="D17" s="23">
        <v>56</v>
      </c>
      <c r="E17" s="2" t="s">
        <v>44</v>
      </c>
      <c r="F17" s="5"/>
      <c r="G17" s="3"/>
    </row>
    <row r="18" spans="2:8" x14ac:dyDescent="0.25">
      <c r="B18" s="2" t="s">
        <v>14</v>
      </c>
      <c r="C18" s="22">
        <v>1</v>
      </c>
      <c r="D18" s="23">
        <v>55</v>
      </c>
      <c r="E18" s="2" t="s">
        <v>45</v>
      </c>
      <c r="F18" s="5"/>
      <c r="G18" s="3"/>
    </row>
    <row r="19" spans="2:8" x14ac:dyDescent="0.25">
      <c r="B19" s="2" t="s">
        <v>14</v>
      </c>
      <c r="C19" s="22">
        <v>1</v>
      </c>
      <c r="D19" s="23">
        <v>55</v>
      </c>
      <c r="E19" s="2" t="s">
        <v>43</v>
      </c>
      <c r="F19" s="3"/>
      <c r="G19" s="3"/>
    </row>
    <row r="20" spans="2:8" x14ac:dyDescent="0.25">
      <c r="B20" s="2" t="s">
        <v>9</v>
      </c>
      <c r="C20" s="22">
        <v>1</v>
      </c>
      <c r="D20" s="23">
        <v>56</v>
      </c>
      <c r="E20" s="2" t="s">
        <v>44</v>
      </c>
      <c r="F20" s="3"/>
      <c r="G20" s="3"/>
    </row>
    <row r="21" spans="2:8" x14ac:dyDescent="0.25">
      <c r="B21" s="2" t="s">
        <v>9</v>
      </c>
      <c r="C21" s="22">
        <v>1</v>
      </c>
      <c r="D21" s="23">
        <v>56</v>
      </c>
      <c r="E21" s="2" t="s">
        <v>44</v>
      </c>
      <c r="F21" s="5"/>
      <c r="G21" s="3"/>
    </row>
    <row r="22" spans="2:8" x14ac:dyDescent="0.25">
      <c r="B22" s="2" t="s">
        <v>9</v>
      </c>
      <c r="C22" s="22">
        <v>1</v>
      </c>
      <c r="D22" s="23">
        <v>56</v>
      </c>
      <c r="E22" s="2" t="s">
        <v>44</v>
      </c>
      <c r="F22" s="5"/>
      <c r="G22" s="3"/>
    </row>
    <row r="23" spans="2:8" x14ac:dyDescent="0.25">
      <c r="B23" s="2" t="s">
        <v>90</v>
      </c>
      <c r="C23" s="22">
        <v>1</v>
      </c>
      <c r="D23" s="23">
        <v>69</v>
      </c>
      <c r="E23" s="2" t="s">
        <v>48</v>
      </c>
      <c r="F23" s="5"/>
      <c r="G23" s="3"/>
    </row>
    <row r="24" spans="2:8" x14ac:dyDescent="0.25">
      <c r="B24" s="2" t="s">
        <v>90</v>
      </c>
      <c r="C24" s="22">
        <v>1</v>
      </c>
      <c r="D24" s="23">
        <v>69</v>
      </c>
      <c r="E24" s="2" t="s">
        <v>48</v>
      </c>
      <c r="F24" s="5"/>
      <c r="G24" s="3"/>
    </row>
    <row r="25" spans="2:8" x14ac:dyDescent="0.25">
      <c r="B25" s="2"/>
      <c r="C25" s="13">
        <f>SUBTOTAL(109,Tabla1152327353946261014182226[Carretas])</f>
        <v>20</v>
      </c>
      <c r="D25" s="13">
        <f>SUBTOTAL(101,Tabla1152327353946261014182226[Precios])</f>
        <v>56.65</v>
      </c>
      <c r="E25" s="2"/>
      <c r="F25" s="2"/>
      <c r="G25" s="2"/>
      <c r="H25" s="1"/>
    </row>
    <row r="27" spans="2:8" x14ac:dyDescent="0.25">
      <c r="C27" s="44" t="s">
        <v>98</v>
      </c>
      <c r="D27" s="44"/>
    </row>
    <row r="28" spans="2:8" x14ac:dyDescent="0.25">
      <c r="C28" s="44" t="s">
        <v>101</v>
      </c>
      <c r="D28" s="44"/>
    </row>
    <row r="29" spans="2:8" x14ac:dyDescent="0.25">
      <c r="B29" s="1" t="s">
        <v>0</v>
      </c>
      <c r="C29" s="1" t="s">
        <v>34</v>
      </c>
      <c r="D29" s="1" t="s">
        <v>2</v>
      </c>
      <c r="E29" s="1" t="s">
        <v>1</v>
      </c>
      <c r="F29" s="1" t="s">
        <v>41</v>
      </c>
      <c r="G29" s="1" t="s">
        <v>42</v>
      </c>
    </row>
    <row r="30" spans="2:8" x14ac:dyDescent="0.25">
      <c r="B30" s="2" t="s">
        <v>7</v>
      </c>
      <c r="C30" s="22">
        <v>1</v>
      </c>
      <c r="D30" s="23">
        <v>58</v>
      </c>
      <c r="E30" s="2" t="s">
        <v>83</v>
      </c>
      <c r="F30" s="2"/>
    </row>
    <row r="31" spans="2:8" x14ac:dyDescent="0.25">
      <c r="B31" s="2" t="s">
        <v>7</v>
      </c>
      <c r="C31" s="22">
        <v>1</v>
      </c>
      <c r="D31" s="23">
        <v>58</v>
      </c>
      <c r="E31" s="2" t="s">
        <v>83</v>
      </c>
      <c r="F31" s="2"/>
    </row>
    <row r="32" spans="2:8" x14ac:dyDescent="0.25">
      <c r="B32" s="2" t="s">
        <v>74</v>
      </c>
      <c r="C32" s="22">
        <v>1</v>
      </c>
      <c r="D32" s="23">
        <v>58</v>
      </c>
      <c r="E32" s="2" t="s">
        <v>45</v>
      </c>
      <c r="F32" s="2"/>
    </row>
    <row r="33" spans="2:6" x14ac:dyDescent="0.25">
      <c r="B33" s="2" t="s">
        <v>74</v>
      </c>
      <c r="C33" s="22">
        <v>1</v>
      </c>
      <c r="D33" s="23">
        <v>58</v>
      </c>
      <c r="E33" s="2" t="s">
        <v>43</v>
      </c>
      <c r="F33" s="2"/>
    </row>
    <row r="34" spans="2:6" x14ac:dyDescent="0.25">
      <c r="B34" s="2" t="s">
        <v>74</v>
      </c>
      <c r="C34" s="22">
        <v>1</v>
      </c>
      <c r="D34" s="23">
        <v>58</v>
      </c>
      <c r="E34" s="2" t="s">
        <v>46</v>
      </c>
      <c r="F34" s="2"/>
    </row>
    <row r="35" spans="2:6" x14ac:dyDescent="0.25">
      <c r="B35" s="2" t="s">
        <v>8</v>
      </c>
      <c r="C35" s="22">
        <v>1</v>
      </c>
      <c r="D35" s="23">
        <v>58</v>
      </c>
      <c r="E35" s="2" t="s">
        <v>45</v>
      </c>
      <c r="F35" s="2"/>
    </row>
    <row r="36" spans="2:6" x14ac:dyDescent="0.25">
      <c r="B36" s="2" t="s">
        <v>8</v>
      </c>
      <c r="C36" s="22">
        <v>1</v>
      </c>
      <c r="D36" s="23">
        <v>58</v>
      </c>
      <c r="E36" s="2" t="s">
        <v>44</v>
      </c>
      <c r="F36" s="2"/>
    </row>
    <row r="37" spans="2:6" x14ac:dyDescent="0.25">
      <c r="B37" s="2" t="s">
        <v>8</v>
      </c>
      <c r="C37" s="22">
        <v>1</v>
      </c>
      <c r="D37" s="23">
        <v>58</v>
      </c>
      <c r="E37" s="2" t="s">
        <v>44</v>
      </c>
      <c r="F37" s="2"/>
    </row>
    <row r="38" spans="2:6" x14ac:dyDescent="0.25">
      <c r="B38" s="2" t="s">
        <v>8</v>
      </c>
      <c r="C38" s="22">
        <v>1</v>
      </c>
      <c r="D38" s="23">
        <v>58</v>
      </c>
      <c r="E38" s="2" t="s">
        <v>83</v>
      </c>
      <c r="F38" s="2"/>
    </row>
    <row r="39" spans="2:6" x14ac:dyDescent="0.25">
      <c r="B39" s="2" t="s">
        <v>90</v>
      </c>
      <c r="C39" s="22">
        <v>1</v>
      </c>
      <c r="D39" s="23">
        <v>75</v>
      </c>
      <c r="E39" s="2" t="s">
        <v>48</v>
      </c>
      <c r="F39" s="2"/>
    </row>
    <row r="40" spans="2:6" x14ac:dyDescent="0.25">
      <c r="B40" s="2" t="s">
        <v>90</v>
      </c>
      <c r="C40" s="22">
        <v>1</v>
      </c>
      <c r="D40" s="23">
        <v>75</v>
      </c>
      <c r="E40" s="2" t="s">
        <v>105</v>
      </c>
      <c r="F40" s="2"/>
    </row>
    <row r="41" spans="2:6" x14ac:dyDescent="0.25">
      <c r="B41" s="2" t="s">
        <v>5</v>
      </c>
      <c r="C41" s="22">
        <v>1</v>
      </c>
      <c r="D41" s="23">
        <v>58</v>
      </c>
      <c r="E41" s="2" t="s">
        <v>44</v>
      </c>
      <c r="F41" s="2"/>
    </row>
    <row r="42" spans="2:6" x14ac:dyDescent="0.25">
      <c r="B42" s="2" t="s">
        <v>5</v>
      </c>
      <c r="C42" s="22">
        <v>1</v>
      </c>
      <c r="D42" s="23">
        <v>58</v>
      </c>
      <c r="E42" s="2" t="s">
        <v>44</v>
      </c>
      <c r="F42" s="2"/>
    </row>
    <row r="43" spans="2:6" x14ac:dyDescent="0.25">
      <c r="B43" s="2" t="s">
        <v>9</v>
      </c>
      <c r="C43" s="22">
        <v>1</v>
      </c>
      <c r="D43" s="23">
        <v>58</v>
      </c>
      <c r="E43" s="2" t="s">
        <v>44</v>
      </c>
      <c r="F43" s="2"/>
    </row>
    <row r="44" spans="2:6" x14ac:dyDescent="0.25">
      <c r="B44" s="2" t="s">
        <v>9</v>
      </c>
      <c r="C44" s="22">
        <v>1</v>
      </c>
      <c r="D44" s="23">
        <v>58</v>
      </c>
      <c r="E44" s="2" t="s">
        <v>44</v>
      </c>
      <c r="F44" s="2"/>
    </row>
    <row r="45" spans="2:6" x14ac:dyDescent="0.25">
      <c r="B45" s="2" t="s">
        <v>9</v>
      </c>
      <c r="C45" s="22">
        <v>1</v>
      </c>
      <c r="D45" s="23">
        <v>58</v>
      </c>
      <c r="E45" s="2" t="s">
        <v>44</v>
      </c>
      <c r="F45" s="2"/>
    </row>
    <row r="46" spans="2:6" x14ac:dyDescent="0.25">
      <c r="B46" s="2" t="s">
        <v>9</v>
      </c>
      <c r="C46" s="22">
        <v>1</v>
      </c>
      <c r="D46" s="23">
        <v>58</v>
      </c>
      <c r="E46" s="2" t="s">
        <v>44</v>
      </c>
      <c r="F46" s="2"/>
    </row>
    <row r="47" spans="2:6" x14ac:dyDescent="0.25">
      <c r="B47" s="2"/>
      <c r="C47" s="22"/>
      <c r="D47" s="23"/>
      <c r="E47" s="2"/>
      <c r="F47" s="2"/>
    </row>
    <row r="48" spans="2:6" x14ac:dyDescent="0.25">
      <c r="C48" s="13">
        <f>SUBTOTAL(109,Tabla14162430384249591317212529[Carretas])</f>
        <v>17</v>
      </c>
      <c r="D48" s="13">
        <f>SUBTOTAL(101,Tabla14162430384249591317212529[Precios])</f>
        <v>60</v>
      </c>
    </row>
    <row r="50" spans="2:8" x14ac:dyDescent="0.25">
      <c r="C50" s="44" t="s">
        <v>99</v>
      </c>
      <c r="D50" s="44"/>
    </row>
    <row r="51" spans="2:8" x14ac:dyDescent="0.25">
      <c r="C51" s="44" t="s">
        <v>103</v>
      </c>
      <c r="D51" s="44"/>
      <c r="H51" s="1"/>
    </row>
    <row r="52" spans="2:8" x14ac:dyDescent="0.25">
      <c r="B52" s="1" t="s">
        <v>0</v>
      </c>
      <c r="C52" s="1" t="s">
        <v>34</v>
      </c>
      <c r="D52" s="12" t="s">
        <v>2</v>
      </c>
      <c r="E52" s="1" t="s">
        <v>1</v>
      </c>
      <c r="F52" s="1" t="s">
        <v>41</v>
      </c>
      <c r="G52" s="1" t="s">
        <v>42</v>
      </c>
    </row>
    <row r="53" spans="2:8" x14ac:dyDescent="0.25">
      <c r="B53" s="2" t="s">
        <v>7</v>
      </c>
      <c r="C53" s="22">
        <v>1</v>
      </c>
      <c r="D53" s="23">
        <v>67</v>
      </c>
      <c r="E53" s="2" t="s">
        <v>44</v>
      </c>
      <c r="F53" s="2" t="s">
        <v>72</v>
      </c>
    </row>
    <row r="54" spans="2:8" x14ac:dyDescent="0.25">
      <c r="B54" s="2" t="s">
        <v>74</v>
      </c>
      <c r="C54" s="22">
        <v>1</v>
      </c>
      <c r="D54" s="23">
        <v>65</v>
      </c>
      <c r="E54" s="2" t="s">
        <v>83</v>
      </c>
      <c r="F54" s="2" t="s">
        <v>72</v>
      </c>
    </row>
    <row r="55" spans="2:8" x14ac:dyDescent="0.25">
      <c r="B55" s="2" t="s">
        <v>74</v>
      </c>
      <c r="C55" s="22">
        <v>1</v>
      </c>
      <c r="D55" s="23">
        <v>65</v>
      </c>
      <c r="E55" s="2" t="s">
        <v>83</v>
      </c>
      <c r="F55" s="2"/>
    </row>
    <row r="56" spans="2:8" x14ac:dyDescent="0.25">
      <c r="B56" s="2" t="s">
        <v>74</v>
      </c>
      <c r="C56" s="22">
        <v>1</v>
      </c>
      <c r="D56" s="23">
        <v>65</v>
      </c>
      <c r="E56" s="2" t="s">
        <v>83</v>
      </c>
      <c r="F56" s="2"/>
    </row>
    <row r="57" spans="2:8" x14ac:dyDescent="0.25">
      <c r="B57" s="2" t="s">
        <v>8</v>
      </c>
      <c r="C57" s="22">
        <v>1</v>
      </c>
      <c r="D57" s="23">
        <v>66</v>
      </c>
      <c r="E57" s="2" t="s">
        <v>44</v>
      </c>
      <c r="F57" s="2"/>
    </row>
    <row r="58" spans="2:8" x14ac:dyDescent="0.25">
      <c r="B58" s="2" t="s">
        <v>8</v>
      </c>
      <c r="C58" s="22">
        <v>1</v>
      </c>
      <c r="D58" s="23">
        <v>66</v>
      </c>
      <c r="E58" s="2" t="s">
        <v>44</v>
      </c>
      <c r="F58" s="2"/>
    </row>
    <row r="59" spans="2:8" x14ac:dyDescent="0.25">
      <c r="B59" s="2" t="s">
        <v>8</v>
      </c>
      <c r="C59" s="22">
        <v>1</v>
      </c>
      <c r="D59" s="23">
        <v>66</v>
      </c>
      <c r="E59" s="2" t="s">
        <v>45</v>
      </c>
      <c r="F59" s="2"/>
    </row>
    <row r="60" spans="2:8" x14ac:dyDescent="0.25">
      <c r="B60" s="2" t="s">
        <v>8</v>
      </c>
      <c r="C60" s="22">
        <v>1</v>
      </c>
      <c r="D60" s="23">
        <v>66</v>
      </c>
      <c r="E60" s="2" t="s">
        <v>48</v>
      </c>
      <c r="F60" s="2"/>
    </row>
    <row r="61" spans="2:8" x14ac:dyDescent="0.25">
      <c r="B61" s="2" t="s">
        <v>14</v>
      </c>
      <c r="C61" s="22">
        <v>1</v>
      </c>
      <c r="D61" s="23">
        <v>65</v>
      </c>
      <c r="E61" s="2" t="s">
        <v>46</v>
      </c>
      <c r="F61" s="2"/>
    </row>
    <row r="62" spans="2:8" x14ac:dyDescent="0.25">
      <c r="B62" s="2" t="s">
        <v>5</v>
      </c>
      <c r="C62" s="22">
        <v>1</v>
      </c>
      <c r="D62" s="23">
        <v>70</v>
      </c>
      <c r="E62" s="2" t="s">
        <v>44</v>
      </c>
      <c r="F62" s="2"/>
    </row>
    <row r="63" spans="2:8" x14ac:dyDescent="0.25">
      <c r="B63" s="2" t="s">
        <v>5</v>
      </c>
      <c r="C63" s="22">
        <v>1</v>
      </c>
      <c r="D63" s="23">
        <v>70</v>
      </c>
      <c r="E63" s="2" t="s">
        <v>44</v>
      </c>
      <c r="F63" s="2"/>
    </row>
    <row r="64" spans="2:8" x14ac:dyDescent="0.25">
      <c r="B64" s="2" t="s">
        <v>4</v>
      </c>
      <c r="C64" s="22">
        <v>1</v>
      </c>
      <c r="D64" s="23">
        <v>65</v>
      </c>
      <c r="E64" s="2" t="s">
        <v>44</v>
      </c>
      <c r="F64" s="2"/>
    </row>
    <row r="65" spans="2:8" x14ac:dyDescent="0.25">
      <c r="B65" s="2" t="s">
        <v>90</v>
      </c>
      <c r="C65" s="22">
        <v>1</v>
      </c>
      <c r="D65" s="23">
        <v>83</v>
      </c>
      <c r="E65" s="2" t="s">
        <v>48</v>
      </c>
      <c r="F65" s="2"/>
    </row>
    <row r="66" spans="2:8" x14ac:dyDescent="0.25">
      <c r="B66" s="2" t="s">
        <v>90</v>
      </c>
      <c r="C66" s="22">
        <v>1</v>
      </c>
      <c r="D66" s="23">
        <v>83</v>
      </c>
      <c r="E66" s="2" t="s">
        <v>48</v>
      </c>
      <c r="F66" s="2"/>
    </row>
    <row r="67" spans="2:8" x14ac:dyDescent="0.25">
      <c r="B67" s="2" t="s">
        <v>71</v>
      </c>
      <c r="C67" s="22">
        <v>1</v>
      </c>
      <c r="D67" s="23">
        <v>67</v>
      </c>
      <c r="E67" s="2" t="s">
        <v>44</v>
      </c>
      <c r="F67" s="2"/>
    </row>
    <row r="68" spans="2:8" x14ac:dyDescent="0.25">
      <c r="B68" s="2" t="s">
        <v>71</v>
      </c>
      <c r="C68" s="22">
        <v>1</v>
      </c>
      <c r="D68" s="23">
        <v>67</v>
      </c>
      <c r="E68" s="2" t="s">
        <v>44</v>
      </c>
      <c r="F68" s="2"/>
    </row>
    <row r="69" spans="2:8" x14ac:dyDescent="0.25">
      <c r="B69" s="2" t="s">
        <v>71</v>
      </c>
      <c r="C69" s="22">
        <v>1</v>
      </c>
      <c r="D69" s="23">
        <v>67</v>
      </c>
      <c r="E69" s="2" t="s">
        <v>44</v>
      </c>
      <c r="F69" s="2"/>
    </row>
    <row r="70" spans="2:8" x14ac:dyDescent="0.25">
      <c r="B70" s="2" t="s">
        <v>71</v>
      </c>
      <c r="C70" s="22">
        <v>1</v>
      </c>
      <c r="D70" s="23">
        <v>67</v>
      </c>
      <c r="E70" s="2" t="s">
        <v>44</v>
      </c>
      <c r="F70" s="2"/>
    </row>
    <row r="71" spans="2:8" x14ac:dyDescent="0.25">
      <c r="C71" s="13">
        <f>SUBTOTAL(109,Tabla15172528364047371115192327[Carretas])</f>
        <v>18</v>
      </c>
      <c r="D71" s="13">
        <f>SUBTOTAL(101,Tabla15172528364047371115192327[Precios])</f>
        <v>68.333333333333329</v>
      </c>
    </row>
    <row r="73" spans="2:8" x14ac:dyDescent="0.25">
      <c r="C73" s="44" t="s">
        <v>100</v>
      </c>
      <c r="D73" s="44"/>
    </row>
    <row r="74" spans="2:8" x14ac:dyDescent="0.25">
      <c r="C74" s="44" t="s">
        <v>104</v>
      </c>
      <c r="D74" s="44"/>
    </row>
    <row r="75" spans="2:8" x14ac:dyDescent="0.25">
      <c r="B75" s="1" t="s">
        <v>0</v>
      </c>
      <c r="C75" s="1" t="s">
        <v>34</v>
      </c>
      <c r="D75" s="1" t="s">
        <v>2</v>
      </c>
      <c r="E75" s="1" t="s">
        <v>1</v>
      </c>
      <c r="F75" s="1" t="s">
        <v>41</v>
      </c>
      <c r="G75" s="1" t="s">
        <v>42</v>
      </c>
      <c r="H75" s="1"/>
    </row>
    <row r="76" spans="2:8" ht="15.75" x14ac:dyDescent="0.25">
      <c r="B76" s="21" t="s">
        <v>7</v>
      </c>
      <c r="C76" s="22">
        <v>1</v>
      </c>
      <c r="D76" s="23">
        <v>69</v>
      </c>
      <c r="E76" s="2" t="s">
        <v>45</v>
      </c>
      <c r="F76" s="2"/>
    </row>
    <row r="77" spans="2:8" ht="15.75" x14ac:dyDescent="0.25">
      <c r="B77" s="21" t="s">
        <v>74</v>
      </c>
      <c r="C77" s="22">
        <v>1</v>
      </c>
      <c r="D77" s="23">
        <v>68</v>
      </c>
      <c r="E77" s="2" t="s">
        <v>83</v>
      </c>
      <c r="F77" s="2"/>
    </row>
    <row r="78" spans="2:8" ht="15.75" x14ac:dyDescent="0.25">
      <c r="B78" s="21" t="s">
        <v>74</v>
      </c>
      <c r="C78" s="22">
        <v>1</v>
      </c>
      <c r="D78" s="23">
        <v>68</v>
      </c>
      <c r="E78" s="2" t="s">
        <v>83</v>
      </c>
      <c r="F78" s="2"/>
    </row>
    <row r="79" spans="2:8" ht="15.75" x14ac:dyDescent="0.25">
      <c r="B79" s="21" t="s">
        <v>74</v>
      </c>
      <c r="C79" s="22">
        <v>1</v>
      </c>
      <c r="D79" s="23">
        <v>68</v>
      </c>
      <c r="E79" s="2" t="s">
        <v>83</v>
      </c>
      <c r="F79" s="2"/>
    </row>
    <row r="80" spans="2:8" ht="15.75" x14ac:dyDescent="0.25">
      <c r="B80" s="21" t="s">
        <v>14</v>
      </c>
      <c r="C80" s="22">
        <v>1</v>
      </c>
      <c r="D80" s="23">
        <v>67</v>
      </c>
      <c r="E80" s="2" t="s">
        <v>46</v>
      </c>
      <c r="F80" s="2"/>
    </row>
    <row r="81" spans="2:11" ht="15.75" x14ac:dyDescent="0.25">
      <c r="B81" s="21" t="s">
        <v>8</v>
      </c>
      <c r="C81" s="22">
        <v>1</v>
      </c>
      <c r="D81" s="23">
        <v>70</v>
      </c>
      <c r="E81" s="2" t="s">
        <v>44</v>
      </c>
      <c r="F81" s="2"/>
    </row>
    <row r="82" spans="2:11" ht="15.75" x14ac:dyDescent="0.25">
      <c r="B82" s="21" t="s">
        <v>8</v>
      </c>
      <c r="C82" s="22">
        <v>1</v>
      </c>
      <c r="D82" s="23">
        <v>70</v>
      </c>
      <c r="E82" s="2" t="s">
        <v>44</v>
      </c>
      <c r="F82" s="2"/>
    </row>
    <row r="83" spans="2:11" ht="15.75" x14ac:dyDescent="0.25">
      <c r="B83" s="21" t="s">
        <v>8</v>
      </c>
      <c r="C83" s="22">
        <v>1</v>
      </c>
      <c r="D83" s="23">
        <v>70</v>
      </c>
      <c r="E83" s="2" t="s">
        <v>43</v>
      </c>
      <c r="F83" s="2"/>
    </row>
    <row r="84" spans="2:11" ht="15.75" x14ac:dyDescent="0.25">
      <c r="B84" s="21" t="s">
        <v>8</v>
      </c>
      <c r="C84" s="22">
        <v>1</v>
      </c>
      <c r="D84" s="23">
        <v>70</v>
      </c>
      <c r="E84" s="2" t="s">
        <v>44</v>
      </c>
      <c r="F84" s="2"/>
    </row>
    <row r="85" spans="2:11" ht="15.75" x14ac:dyDescent="0.25">
      <c r="B85" s="21" t="s">
        <v>4</v>
      </c>
      <c r="C85" s="22">
        <v>1</v>
      </c>
      <c r="D85" s="23">
        <v>67</v>
      </c>
      <c r="E85" s="2" t="s">
        <v>46</v>
      </c>
      <c r="F85" s="2"/>
      <c r="K85">
        <v>40500</v>
      </c>
    </row>
    <row r="86" spans="2:11" ht="15.75" x14ac:dyDescent="0.25">
      <c r="B86" s="21" t="s">
        <v>5</v>
      </c>
      <c r="C86" s="22">
        <v>1</v>
      </c>
      <c r="D86" s="23">
        <v>71</v>
      </c>
      <c r="E86" s="2" t="s">
        <v>44</v>
      </c>
      <c r="F86" s="2"/>
    </row>
    <row r="87" spans="2:11" ht="15.75" x14ac:dyDescent="0.25">
      <c r="B87" s="21" t="s">
        <v>5</v>
      </c>
      <c r="C87" s="22">
        <v>1</v>
      </c>
      <c r="D87" s="23">
        <v>71</v>
      </c>
      <c r="E87" s="2" t="s">
        <v>44</v>
      </c>
      <c r="F87" s="2"/>
    </row>
    <row r="88" spans="2:11" ht="15.75" x14ac:dyDescent="0.25">
      <c r="B88" s="21" t="s">
        <v>90</v>
      </c>
      <c r="C88" s="22">
        <v>1</v>
      </c>
      <c r="D88" s="23">
        <v>88</v>
      </c>
      <c r="E88" s="2" t="s">
        <v>48</v>
      </c>
      <c r="F88" s="2"/>
    </row>
    <row r="89" spans="2:11" ht="15.75" x14ac:dyDescent="0.25">
      <c r="B89" s="21" t="s">
        <v>90</v>
      </c>
      <c r="C89" s="22">
        <v>1</v>
      </c>
      <c r="D89" s="23">
        <v>88</v>
      </c>
      <c r="E89" s="2" t="s">
        <v>48</v>
      </c>
      <c r="F89" s="2"/>
    </row>
    <row r="90" spans="2:11" ht="15.75" x14ac:dyDescent="0.25">
      <c r="B90" s="21" t="s">
        <v>9</v>
      </c>
      <c r="C90" s="22">
        <v>1</v>
      </c>
      <c r="D90" s="23">
        <v>72</v>
      </c>
      <c r="E90" s="2" t="s">
        <v>44</v>
      </c>
      <c r="F90" s="2"/>
    </row>
    <row r="91" spans="2:11" ht="15.75" x14ac:dyDescent="0.25">
      <c r="B91" s="21" t="s">
        <v>9</v>
      </c>
      <c r="C91" s="22">
        <v>1</v>
      </c>
      <c r="D91" s="23">
        <v>72</v>
      </c>
      <c r="E91" s="2" t="s">
        <v>44</v>
      </c>
      <c r="F91" s="2"/>
    </row>
    <row r="92" spans="2:11" ht="15.75" x14ac:dyDescent="0.25">
      <c r="B92" s="21" t="s">
        <v>9</v>
      </c>
      <c r="C92" s="22">
        <v>1</v>
      </c>
      <c r="D92" s="23">
        <v>72</v>
      </c>
      <c r="E92" s="2" t="s">
        <v>44</v>
      </c>
      <c r="F92" s="2"/>
    </row>
    <row r="93" spans="2:11" ht="15.75" x14ac:dyDescent="0.25">
      <c r="B93" s="21" t="s">
        <v>9</v>
      </c>
      <c r="C93" s="22">
        <v>1</v>
      </c>
      <c r="D93" s="23">
        <v>72</v>
      </c>
      <c r="E93" s="2" t="s">
        <v>44</v>
      </c>
      <c r="F93" s="2"/>
    </row>
    <row r="94" spans="2:11" x14ac:dyDescent="0.25">
      <c r="C94" s="13">
        <f>SUBTOTAL(109,Tabla16182629374148481216202428[Carretas])</f>
        <v>18</v>
      </c>
      <c r="D94" s="13">
        <f>SUBTOTAL(101,Tabla16182629374148481216202428[Precios])</f>
        <v>71.833333333333329</v>
      </c>
    </row>
    <row r="97" spans="2:6" x14ac:dyDescent="0.25">
      <c r="C97" s="44" t="s">
        <v>106</v>
      </c>
      <c r="D97" s="44"/>
    </row>
    <row r="98" spans="2:6" x14ac:dyDescent="0.25">
      <c r="B98" s="39"/>
      <c r="C98" s="47" t="s">
        <v>107</v>
      </c>
      <c r="D98" s="47"/>
      <c r="E98" s="39"/>
      <c r="F98" s="39"/>
    </row>
    <row r="99" spans="2:6" ht="15.75" thickBot="1" x14ac:dyDescent="0.3">
      <c r="B99" s="10" t="s">
        <v>0</v>
      </c>
      <c r="C99" s="10" t="s">
        <v>34</v>
      </c>
      <c r="D99" s="10" t="s">
        <v>2</v>
      </c>
      <c r="E99" s="10" t="s">
        <v>1</v>
      </c>
      <c r="F99" s="10" t="s">
        <v>41</v>
      </c>
    </row>
    <row r="100" spans="2:6" ht="15.75" x14ac:dyDescent="0.25">
      <c r="B100" s="34" t="s">
        <v>7</v>
      </c>
      <c r="C100" s="35">
        <v>1</v>
      </c>
      <c r="D100" s="36">
        <v>70</v>
      </c>
      <c r="E100" s="37" t="s">
        <v>45</v>
      </c>
      <c r="F100" s="37"/>
    </row>
    <row r="101" spans="2:6" ht="15.75" x14ac:dyDescent="0.25">
      <c r="B101" s="34" t="s">
        <v>74</v>
      </c>
      <c r="C101" s="35">
        <v>1</v>
      </c>
      <c r="D101" s="36">
        <v>70</v>
      </c>
      <c r="E101" s="37" t="s">
        <v>83</v>
      </c>
      <c r="F101" s="37"/>
    </row>
    <row r="102" spans="2:6" ht="15.75" x14ac:dyDescent="0.25">
      <c r="B102" s="34" t="s">
        <v>74</v>
      </c>
      <c r="C102" s="35">
        <v>1</v>
      </c>
      <c r="D102" s="36">
        <v>70</v>
      </c>
      <c r="E102" s="37"/>
      <c r="F102" s="37"/>
    </row>
    <row r="103" spans="2:6" ht="15.75" x14ac:dyDescent="0.25">
      <c r="B103" s="34" t="s">
        <v>74</v>
      </c>
      <c r="C103" s="35">
        <v>1</v>
      </c>
      <c r="D103" s="36">
        <v>70</v>
      </c>
      <c r="E103" s="37" t="s">
        <v>83</v>
      </c>
      <c r="F103" s="37"/>
    </row>
    <row r="104" spans="2:6" ht="15.75" x14ac:dyDescent="0.25">
      <c r="B104" s="34" t="s">
        <v>74</v>
      </c>
      <c r="C104" s="35">
        <v>1</v>
      </c>
      <c r="D104" s="36">
        <v>70</v>
      </c>
      <c r="E104" s="37" t="s">
        <v>83</v>
      </c>
      <c r="F104" s="37"/>
    </row>
    <row r="105" spans="2:6" ht="15.75" x14ac:dyDescent="0.25">
      <c r="B105" s="34" t="s">
        <v>14</v>
      </c>
      <c r="C105" s="35">
        <v>1</v>
      </c>
      <c r="D105" s="36">
        <v>70</v>
      </c>
      <c r="E105" s="37" t="s">
        <v>45</v>
      </c>
      <c r="F105" s="37"/>
    </row>
    <row r="106" spans="2:6" ht="15.75" x14ac:dyDescent="0.25">
      <c r="B106" s="34" t="s">
        <v>8</v>
      </c>
      <c r="C106" s="35">
        <v>1</v>
      </c>
      <c r="D106" s="36">
        <v>70</v>
      </c>
      <c r="E106" s="37" t="s">
        <v>46</v>
      </c>
      <c r="F106" s="37"/>
    </row>
    <row r="107" spans="2:6" ht="15.75" x14ac:dyDescent="0.25">
      <c r="B107" s="34" t="s">
        <v>8</v>
      </c>
      <c r="C107" s="35">
        <v>1</v>
      </c>
      <c r="D107" s="36">
        <v>70</v>
      </c>
      <c r="E107" s="37" t="s">
        <v>44</v>
      </c>
      <c r="F107" s="37"/>
    </row>
    <row r="108" spans="2:6" ht="15.75" x14ac:dyDescent="0.25">
      <c r="B108" s="34" t="s">
        <v>8</v>
      </c>
      <c r="C108" s="35">
        <v>1</v>
      </c>
      <c r="D108" s="36">
        <v>70</v>
      </c>
      <c r="E108" s="37" t="s">
        <v>43</v>
      </c>
      <c r="F108" s="37"/>
    </row>
    <row r="109" spans="2:6" ht="15.75" x14ac:dyDescent="0.25">
      <c r="B109" s="34" t="s">
        <v>8</v>
      </c>
      <c r="C109" s="35">
        <v>1</v>
      </c>
      <c r="D109" s="36">
        <v>70</v>
      </c>
      <c r="E109" s="37" t="s">
        <v>44</v>
      </c>
      <c r="F109" s="37"/>
    </row>
    <row r="110" spans="2:6" ht="15.75" x14ac:dyDescent="0.25">
      <c r="B110" s="34" t="s">
        <v>4</v>
      </c>
      <c r="C110" s="35">
        <v>1</v>
      </c>
      <c r="D110" s="36">
        <v>70</v>
      </c>
      <c r="E110" s="37" t="s">
        <v>46</v>
      </c>
      <c r="F110" s="37"/>
    </row>
    <row r="111" spans="2:6" ht="15.75" x14ac:dyDescent="0.25">
      <c r="B111" s="34" t="s">
        <v>5</v>
      </c>
      <c r="C111" s="35">
        <v>1</v>
      </c>
      <c r="D111" s="36">
        <v>71</v>
      </c>
      <c r="E111" s="37" t="s">
        <v>44</v>
      </c>
      <c r="F111" s="37"/>
    </row>
    <row r="112" spans="2:6" ht="15.75" x14ac:dyDescent="0.25">
      <c r="B112" s="34" t="s">
        <v>5</v>
      </c>
      <c r="C112" s="35">
        <v>1</v>
      </c>
      <c r="D112" s="36">
        <v>71</v>
      </c>
      <c r="E112" s="37" t="s">
        <v>44</v>
      </c>
      <c r="F112" s="37"/>
    </row>
    <row r="113" spans="2:6" ht="15.75" x14ac:dyDescent="0.25">
      <c r="B113" s="34" t="s">
        <v>90</v>
      </c>
      <c r="C113" s="35">
        <v>1</v>
      </c>
      <c r="D113" s="36">
        <v>88</v>
      </c>
      <c r="E113" s="37"/>
      <c r="F113" s="37"/>
    </row>
    <row r="114" spans="2:6" ht="15.75" x14ac:dyDescent="0.25">
      <c r="B114" s="34" t="s">
        <v>90</v>
      </c>
      <c r="C114" s="35">
        <v>1</v>
      </c>
      <c r="D114" s="36">
        <v>88</v>
      </c>
      <c r="E114" s="37"/>
      <c r="F114" s="37"/>
    </row>
    <row r="115" spans="2:6" ht="15.75" x14ac:dyDescent="0.25">
      <c r="B115" s="34" t="s">
        <v>9</v>
      </c>
      <c r="C115" s="35">
        <v>1</v>
      </c>
      <c r="D115" s="36">
        <v>72</v>
      </c>
      <c r="E115" s="37" t="s">
        <v>44</v>
      </c>
      <c r="F115" s="37"/>
    </row>
    <row r="116" spans="2:6" ht="15.75" x14ac:dyDescent="0.25">
      <c r="B116" s="34" t="s">
        <v>9</v>
      </c>
      <c r="C116" s="35">
        <v>1</v>
      </c>
      <c r="D116" s="36">
        <v>72</v>
      </c>
      <c r="E116" s="37" t="s">
        <v>44</v>
      </c>
      <c r="F116" s="37"/>
    </row>
    <row r="117" spans="2:6" ht="15.75" x14ac:dyDescent="0.25">
      <c r="B117" s="34" t="s">
        <v>9</v>
      </c>
      <c r="C117" s="35">
        <v>1</v>
      </c>
      <c r="D117" s="36">
        <v>72</v>
      </c>
      <c r="E117" s="37" t="s">
        <v>44</v>
      </c>
      <c r="F117" s="37"/>
    </row>
    <row r="118" spans="2:6" ht="15.75" x14ac:dyDescent="0.25">
      <c r="B118" s="34" t="s">
        <v>9</v>
      </c>
      <c r="C118" s="35">
        <v>1</v>
      </c>
      <c r="D118" s="36">
        <v>72</v>
      </c>
      <c r="E118" s="37" t="s">
        <v>44</v>
      </c>
      <c r="F118" s="37"/>
    </row>
    <row r="119" spans="2:6" x14ac:dyDescent="0.25">
      <c r="B119" s="28"/>
      <c r="C119" s="38">
        <f>SUBTOTAL(109,Tabla16182629374148481216202428[Carretas])</f>
        <v>18</v>
      </c>
      <c r="D119" s="38">
        <f>SUBTOTAL(101,Tabla16182629374148481216202428[Precios])</f>
        <v>71.833333333333329</v>
      </c>
      <c r="E119" s="28"/>
      <c r="F119" s="28"/>
    </row>
  </sheetData>
  <mergeCells count="10">
    <mergeCell ref="C97:D97"/>
    <mergeCell ref="C98:D98"/>
    <mergeCell ref="C73:D73"/>
    <mergeCell ref="C74:D74"/>
    <mergeCell ref="C2:D2"/>
    <mergeCell ref="C3:D3"/>
    <mergeCell ref="C27:D27"/>
    <mergeCell ref="C28:D28"/>
    <mergeCell ref="C50:D50"/>
    <mergeCell ref="C51:D51"/>
  </mergeCells>
  <conditionalFormatting sqref="E27 B27 G4:H4 B26:E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:G9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{26844635-DE3A-4978-8810-9AAEA3B13CD9}</x14:id>
        </ext>
      </extLst>
    </cfRule>
  </conditionalFormatting>
  <conditionalFormatting sqref="G29:H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2:H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5:H7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844635-DE3A-4978-8810-9AAEA3B13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G76:G94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3D49-77C6-4E89-8DFE-622C71259DC4}">
  <dimension ref="B2:K86"/>
  <sheetViews>
    <sheetView zoomScale="110" zoomScaleNormal="110" workbookViewId="0">
      <selection activeCell="D87" sqref="D87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5.5703125" customWidth="1"/>
  </cols>
  <sheetData>
    <row r="2" spans="2:11" ht="15.75" thickBot="1" x14ac:dyDescent="0.3">
      <c r="C2" s="44" t="s">
        <v>108</v>
      </c>
      <c r="D2" s="44"/>
    </row>
    <row r="3" spans="2:11" ht="19.5" thickBot="1" x14ac:dyDescent="0.35">
      <c r="C3" s="44" t="s">
        <v>109</v>
      </c>
      <c r="D3" s="44"/>
      <c r="H3" s="1"/>
      <c r="J3" s="32" t="s">
        <v>57</v>
      </c>
      <c r="K3" s="31">
        <f>SUM(C22,C43,C61,C78)</f>
        <v>58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AVERAGE(K3,D22,D43,D61,D78)</f>
        <v>65.22598039215687</v>
      </c>
    </row>
    <row r="5" spans="2:11" x14ac:dyDescent="0.25">
      <c r="B5" s="2" t="s">
        <v>7</v>
      </c>
      <c r="C5" s="22">
        <v>1</v>
      </c>
      <c r="D5" s="23">
        <v>70</v>
      </c>
      <c r="E5" s="2" t="s">
        <v>45</v>
      </c>
      <c r="F5" s="5"/>
      <c r="G5" s="3"/>
    </row>
    <row r="6" spans="2:11" x14ac:dyDescent="0.25">
      <c r="B6" s="2" t="s">
        <v>74</v>
      </c>
      <c r="C6" s="22">
        <v>1</v>
      </c>
      <c r="D6" s="23">
        <v>70</v>
      </c>
      <c r="E6" s="2" t="s">
        <v>83</v>
      </c>
      <c r="F6" s="5"/>
      <c r="G6" s="3"/>
    </row>
    <row r="7" spans="2:11" x14ac:dyDescent="0.25">
      <c r="B7" s="2" t="s">
        <v>74</v>
      </c>
      <c r="C7" s="22">
        <v>1</v>
      </c>
      <c r="D7" s="23">
        <v>70</v>
      </c>
      <c r="E7" s="2" t="s">
        <v>83</v>
      </c>
      <c r="F7" s="5"/>
      <c r="G7" s="3"/>
    </row>
    <row r="8" spans="2:11" x14ac:dyDescent="0.25">
      <c r="B8" s="2" t="s">
        <v>74</v>
      </c>
      <c r="C8" s="22">
        <v>1</v>
      </c>
      <c r="D8" s="23">
        <v>70</v>
      </c>
      <c r="E8" s="2" t="s">
        <v>83</v>
      </c>
      <c r="F8" s="5"/>
      <c r="G8" s="3"/>
    </row>
    <row r="9" spans="2:11" x14ac:dyDescent="0.25">
      <c r="B9" s="2" t="s">
        <v>74</v>
      </c>
      <c r="C9" s="22">
        <v>1</v>
      </c>
      <c r="D9" s="23">
        <v>70</v>
      </c>
      <c r="E9" s="2" t="s">
        <v>83</v>
      </c>
      <c r="F9" s="5"/>
      <c r="G9" s="3"/>
    </row>
    <row r="10" spans="2:11" x14ac:dyDescent="0.25">
      <c r="B10" s="2" t="s">
        <v>14</v>
      </c>
      <c r="C10" s="22">
        <v>1</v>
      </c>
      <c r="D10" s="23">
        <v>70</v>
      </c>
      <c r="E10" s="2" t="s">
        <v>44</v>
      </c>
      <c r="F10" s="5"/>
      <c r="G10" s="3"/>
    </row>
    <row r="11" spans="2:11" x14ac:dyDescent="0.25">
      <c r="B11" s="2" t="s">
        <v>8</v>
      </c>
      <c r="C11" s="22">
        <v>1</v>
      </c>
      <c r="D11" s="23">
        <v>70</v>
      </c>
      <c r="E11" s="2" t="s">
        <v>48</v>
      </c>
      <c r="F11" s="3"/>
      <c r="G11" s="3"/>
    </row>
    <row r="12" spans="2:11" x14ac:dyDescent="0.25">
      <c r="B12" s="2" t="s">
        <v>8</v>
      </c>
      <c r="C12" s="22">
        <v>1</v>
      </c>
      <c r="D12" s="23">
        <v>70</v>
      </c>
      <c r="E12" s="2" t="s">
        <v>44</v>
      </c>
      <c r="F12" s="3"/>
      <c r="G12" s="3"/>
    </row>
    <row r="13" spans="2:11" x14ac:dyDescent="0.25">
      <c r="B13" s="2" t="s">
        <v>8</v>
      </c>
      <c r="C13" s="22">
        <v>1</v>
      </c>
      <c r="D13" s="23">
        <v>70</v>
      </c>
      <c r="E13" s="2" t="s">
        <v>46</v>
      </c>
      <c r="F13" s="3"/>
      <c r="G13" s="3"/>
    </row>
    <row r="14" spans="2:11" x14ac:dyDescent="0.25">
      <c r="B14" s="2" t="s">
        <v>8</v>
      </c>
      <c r="C14" s="22">
        <v>1</v>
      </c>
      <c r="D14" s="23">
        <v>70</v>
      </c>
      <c r="E14" s="2" t="s">
        <v>45</v>
      </c>
      <c r="F14" s="3"/>
      <c r="G14" s="3"/>
    </row>
    <row r="15" spans="2:11" x14ac:dyDescent="0.25">
      <c r="B15" s="2" t="s">
        <v>4</v>
      </c>
      <c r="C15" s="22">
        <v>1</v>
      </c>
      <c r="D15" s="23">
        <v>70</v>
      </c>
      <c r="E15" s="2" t="s">
        <v>43</v>
      </c>
      <c r="F15" s="3"/>
      <c r="G15" s="3"/>
    </row>
    <row r="16" spans="2:11" x14ac:dyDescent="0.25">
      <c r="B16" s="2" t="s">
        <v>5</v>
      </c>
      <c r="C16" s="22">
        <v>1</v>
      </c>
      <c r="D16" s="23">
        <v>71</v>
      </c>
      <c r="E16" s="2" t="s">
        <v>44</v>
      </c>
      <c r="F16" s="5"/>
      <c r="G16" s="3"/>
    </row>
    <row r="17" spans="2:8" x14ac:dyDescent="0.25">
      <c r="B17" s="2" t="s">
        <v>5</v>
      </c>
      <c r="C17" s="22">
        <v>1</v>
      </c>
      <c r="D17" s="23">
        <v>71</v>
      </c>
      <c r="E17" s="2" t="s">
        <v>44</v>
      </c>
      <c r="F17" s="3"/>
      <c r="G17" s="3"/>
    </row>
    <row r="18" spans="2:8" x14ac:dyDescent="0.25">
      <c r="B18" s="2" t="s">
        <v>9</v>
      </c>
      <c r="C18" s="22">
        <v>1</v>
      </c>
      <c r="D18" s="23">
        <v>72</v>
      </c>
      <c r="E18" s="2" t="s">
        <v>44</v>
      </c>
      <c r="F18" s="3"/>
      <c r="G18" s="3"/>
    </row>
    <row r="19" spans="2:8" x14ac:dyDescent="0.25">
      <c r="B19" s="2" t="s">
        <v>9</v>
      </c>
      <c r="C19" s="22">
        <v>1</v>
      </c>
      <c r="D19" s="23">
        <v>72</v>
      </c>
      <c r="E19" s="2" t="s">
        <v>44</v>
      </c>
      <c r="F19" s="3"/>
      <c r="G19" s="3"/>
    </row>
    <row r="20" spans="2:8" x14ac:dyDescent="0.25">
      <c r="B20" s="2" t="s">
        <v>9</v>
      </c>
      <c r="C20" s="22">
        <v>1</v>
      </c>
      <c r="D20" s="23">
        <v>72</v>
      </c>
      <c r="E20" s="2" t="s">
        <v>44</v>
      </c>
      <c r="F20" s="5"/>
      <c r="G20" s="3"/>
    </row>
    <row r="21" spans="2:8" x14ac:dyDescent="0.25">
      <c r="B21" s="2" t="s">
        <v>9</v>
      </c>
      <c r="C21" s="22">
        <v>1</v>
      </c>
      <c r="D21" s="23">
        <v>72</v>
      </c>
      <c r="E21" s="2" t="s">
        <v>44</v>
      </c>
      <c r="F21" s="5"/>
      <c r="G21" s="3"/>
    </row>
    <row r="22" spans="2:8" x14ac:dyDescent="0.25">
      <c r="B22" s="2"/>
      <c r="C22" s="13">
        <f>SUBTOTAL(109,Tabla115232735394626101418222630[Carretas])</f>
        <v>17</v>
      </c>
      <c r="D22" s="13">
        <f>SUBTOTAL(101,Tabla115232735394626101418222630[Precios])</f>
        <v>70.588235294117652</v>
      </c>
      <c r="E22" s="2"/>
      <c r="F22" s="2"/>
      <c r="G22" s="2"/>
      <c r="H22" s="1"/>
    </row>
    <row r="24" spans="2:8" x14ac:dyDescent="0.25">
      <c r="C24" s="44" t="s">
        <v>110</v>
      </c>
      <c r="D24" s="44"/>
    </row>
    <row r="25" spans="2:8" x14ac:dyDescent="0.25">
      <c r="C25" s="48" t="s">
        <v>111</v>
      </c>
      <c r="D25" s="44"/>
    </row>
    <row r="26" spans="2:8" x14ac:dyDescent="0.25">
      <c r="B26" s="1" t="s">
        <v>0</v>
      </c>
      <c r="C26" s="1" t="s">
        <v>34</v>
      </c>
      <c r="D26" s="1" t="s">
        <v>2</v>
      </c>
      <c r="E26" s="1" t="s">
        <v>1</v>
      </c>
      <c r="F26" s="1" t="s">
        <v>41</v>
      </c>
      <c r="G26" s="1" t="s">
        <v>42</v>
      </c>
    </row>
    <row r="27" spans="2:8" x14ac:dyDescent="0.25">
      <c r="B27" s="2" t="s">
        <v>7</v>
      </c>
      <c r="C27" s="22">
        <v>1</v>
      </c>
      <c r="D27" s="23">
        <v>68</v>
      </c>
      <c r="E27" s="2" t="s">
        <v>45</v>
      </c>
      <c r="F27" s="2"/>
    </row>
    <row r="28" spans="2:8" x14ac:dyDescent="0.25">
      <c r="B28" s="2" t="s">
        <v>74</v>
      </c>
      <c r="C28" s="22">
        <v>1</v>
      </c>
      <c r="D28" s="23">
        <v>66</v>
      </c>
      <c r="E28" s="2" t="s">
        <v>83</v>
      </c>
      <c r="F28" s="2"/>
    </row>
    <row r="29" spans="2:8" x14ac:dyDescent="0.25">
      <c r="B29" s="2" t="s">
        <v>74</v>
      </c>
      <c r="C29" s="22">
        <v>1</v>
      </c>
      <c r="D29" s="23">
        <v>66</v>
      </c>
      <c r="E29" s="2" t="s">
        <v>83</v>
      </c>
      <c r="F29" s="2"/>
    </row>
    <row r="30" spans="2:8" x14ac:dyDescent="0.25">
      <c r="B30" s="2" t="s">
        <v>74</v>
      </c>
      <c r="C30" s="22">
        <v>1</v>
      </c>
      <c r="D30" s="23">
        <v>66</v>
      </c>
      <c r="E30" s="2" t="s">
        <v>83</v>
      </c>
      <c r="F30" s="2"/>
    </row>
    <row r="31" spans="2:8" x14ac:dyDescent="0.25">
      <c r="B31" s="2" t="s">
        <v>8</v>
      </c>
      <c r="C31" s="22">
        <v>1</v>
      </c>
      <c r="D31" s="23">
        <v>70</v>
      </c>
      <c r="E31" s="2" t="s">
        <v>43</v>
      </c>
      <c r="F31" s="2"/>
    </row>
    <row r="32" spans="2:8" x14ac:dyDescent="0.25">
      <c r="B32" s="2" t="s">
        <v>8</v>
      </c>
      <c r="C32" s="22">
        <v>1</v>
      </c>
      <c r="D32" s="23">
        <v>70</v>
      </c>
      <c r="E32" s="2" t="s">
        <v>44</v>
      </c>
      <c r="F32" s="2"/>
    </row>
    <row r="33" spans="2:8" x14ac:dyDescent="0.25">
      <c r="B33" s="2" t="s">
        <v>8</v>
      </c>
      <c r="C33" s="22">
        <v>1</v>
      </c>
      <c r="D33" s="23">
        <v>70</v>
      </c>
      <c r="E33" s="2" t="s">
        <v>45</v>
      </c>
      <c r="F33" s="2"/>
    </row>
    <row r="34" spans="2:8" x14ac:dyDescent="0.25">
      <c r="B34" s="2" t="s">
        <v>8</v>
      </c>
      <c r="C34" s="22">
        <v>1</v>
      </c>
      <c r="D34" s="23">
        <v>70</v>
      </c>
      <c r="E34" s="2" t="s">
        <v>44</v>
      </c>
      <c r="F34" s="2"/>
    </row>
    <row r="35" spans="2:8" x14ac:dyDescent="0.25">
      <c r="B35" s="2" t="s">
        <v>4</v>
      </c>
      <c r="C35" s="22">
        <v>1</v>
      </c>
      <c r="D35" s="23">
        <v>66</v>
      </c>
      <c r="E35" s="2" t="s">
        <v>48</v>
      </c>
      <c r="F35" s="2"/>
    </row>
    <row r="36" spans="2:8" x14ac:dyDescent="0.25">
      <c r="B36" s="2" t="s">
        <v>5</v>
      </c>
      <c r="C36" s="22">
        <v>1</v>
      </c>
      <c r="D36" s="23">
        <v>70</v>
      </c>
      <c r="E36" s="2" t="s">
        <v>44</v>
      </c>
      <c r="F36" s="2"/>
    </row>
    <row r="37" spans="2:8" x14ac:dyDescent="0.25">
      <c r="B37" s="2" t="s">
        <v>5</v>
      </c>
      <c r="C37" s="22">
        <v>1</v>
      </c>
      <c r="D37" s="23">
        <v>70</v>
      </c>
      <c r="E37" s="2" t="s">
        <v>44</v>
      </c>
      <c r="F37" s="2"/>
    </row>
    <row r="38" spans="2:8" x14ac:dyDescent="0.25">
      <c r="B38" s="2" t="s">
        <v>9</v>
      </c>
      <c r="C38" s="22">
        <v>1</v>
      </c>
      <c r="D38" s="23">
        <v>67</v>
      </c>
      <c r="E38" s="2" t="s">
        <v>44</v>
      </c>
      <c r="F38" s="2"/>
    </row>
    <row r="39" spans="2:8" x14ac:dyDescent="0.25">
      <c r="B39" s="2" t="s">
        <v>9</v>
      </c>
      <c r="C39" s="22">
        <v>1</v>
      </c>
      <c r="D39" s="23">
        <v>67</v>
      </c>
      <c r="E39" s="2" t="s">
        <v>44</v>
      </c>
      <c r="F39" s="2"/>
    </row>
    <row r="40" spans="2:8" x14ac:dyDescent="0.25">
      <c r="B40" s="2" t="s">
        <v>14</v>
      </c>
      <c r="C40" s="22">
        <v>1</v>
      </c>
      <c r="D40" s="23">
        <v>66</v>
      </c>
      <c r="E40" s="2" t="s">
        <v>46</v>
      </c>
      <c r="F40" s="2"/>
    </row>
    <row r="41" spans="2:8" x14ac:dyDescent="0.25">
      <c r="B41" s="2" t="s">
        <v>9</v>
      </c>
      <c r="C41" s="22">
        <v>1</v>
      </c>
      <c r="D41" s="23">
        <v>67</v>
      </c>
      <c r="E41" s="2" t="s">
        <v>44</v>
      </c>
      <c r="F41" s="2"/>
    </row>
    <row r="42" spans="2:8" x14ac:dyDescent="0.25">
      <c r="B42" s="2" t="s">
        <v>9</v>
      </c>
      <c r="C42" s="22">
        <v>1</v>
      </c>
      <c r="D42" s="23">
        <v>67</v>
      </c>
      <c r="E42" s="2" t="s">
        <v>44</v>
      </c>
      <c r="F42" s="2"/>
    </row>
    <row r="43" spans="2:8" x14ac:dyDescent="0.25">
      <c r="C43" s="13">
        <f>SUBTOTAL(109,Tabla1416243038424959131721252933[Carretas])</f>
        <v>16</v>
      </c>
      <c r="D43" s="13">
        <f>SUBTOTAL(101,Tabla1416243038424959131721252933[Precios])</f>
        <v>67.875</v>
      </c>
    </row>
    <row r="45" spans="2:8" x14ac:dyDescent="0.25">
      <c r="C45" s="44" t="s">
        <v>112</v>
      </c>
      <c r="D45" s="44"/>
    </row>
    <row r="46" spans="2:8" x14ac:dyDescent="0.25">
      <c r="C46" s="44" t="s">
        <v>113</v>
      </c>
      <c r="D46" s="44"/>
      <c r="H46" s="1"/>
    </row>
    <row r="47" spans="2:8" x14ac:dyDescent="0.25">
      <c r="B47" s="1" t="s">
        <v>0</v>
      </c>
      <c r="C47" s="1" t="s">
        <v>34</v>
      </c>
      <c r="D47" s="12" t="s">
        <v>2</v>
      </c>
      <c r="E47" s="1" t="s">
        <v>1</v>
      </c>
      <c r="F47" s="1" t="s">
        <v>41</v>
      </c>
      <c r="G47" s="1" t="s">
        <v>42</v>
      </c>
    </row>
    <row r="48" spans="2:8" x14ac:dyDescent="0.25">
      <c r="B48" s="2" t="s">
        <v>7</v>
      </c>
      <c r="C48" s="22">
        <v>1</v>
      </c>
      <c r="D48" s="23">
        <v>65</v>
      </c>
      <c r="E48" s="2" t="s">
        <v>48</v>
      </c>
      <c r="F48" s="2" t="s">
        <v>72</v>
      </c>
    </row>
    <row r="49" spans="2:11" x14ac:dyDescent="0.25">
      <c r="B49" s="2" t="s">
        <v>74</v>
      </c>
      <c r="C49" s="22">
        <v>1</v>
      </c>
      <c r="D49" s="23">
        <v>65</v>
      </c>
      <c r="E49" s="2"/>
      <c r="F49" s="2"/>
    </row>
    <row r="50" spans="2:11" x14ac:dyDescent="0.25">
      <c r="B50" s="2" t="s">
        <v>74</v>
      </c>
      <c r="C50" s="22">
        <v>1</v>
      </c>
      <c r="D50" s="23">
        <v>65</v>
      </c>
      <c r="E50" s="2"/>
      <c r="F50" s="2"/>
    </row>
    <row r="51" spans="2:11" x14ac:dyDescent="0.25">
      <c r="B51" s="2" t="s">
        <v>8</v>
      </c>
      <c r="C51" s="22">
        <v>1</v>
      </c>
      <c r="D51" s="23">
        <v>65</v>
      </c>
      <c r="E51" s="2"/>
      <c r="F51" s="2"/>
    </row>
    <row r="52" spans="2:11" x14ac:dyDescent="0.25">
      <c r="B52" s="2" t="s">
        <v>8</v>
      </c>
      <c r="C52" s="22">
        <v>1</v>
      </c>
      <c r="D52" s="23">
        <v>65</v>
      </c>
      <c r="E52" s="2"/>
      <c r="F52" s="2"/>
    </row>
    <row r="53" spans="2:11" x14ac:dyDescent="0.25">
      <c r="B53" s="2" t="s">
        <v>8</v>
      </c>
      <c r="C53" s="22">
        <v>1</v>
      </c>
      <c r="D53" s="23">
        <v>65</v>
      </c>
      <c r="E53" s="2" t="s">
        <v>43</v>
      </c>
      <c r="F53" s="2"/>
      <c r="K53">
        <f>738*55</f>
        <v>40590</v>
      </c>
    </row>
    <row r="54" spans="2:11" x14ac:dyDescent="0.25">
      <c r="B54" s="2" t="s">
        <v>8</v>
      </c>
      <c r="C54" s="22">
        <v>1</v>
      </c>
      <c r="D54" s="23">
        <v>65</v>
      </c>
      <c r="E54" s="2" t="s">
        <v>45</v>
      </c>
      <c r="F54" s="2"/>
      <c r="K54">
        <f>180*45</f>
        <v>8100</v>
      </c>
    </row>
    <row r="55" spans="2:11" x14ac:dyDescent="0.25">
      <c r="B55" s="2" t="s">
        <v>8</v>
      </c>
      <c r="C55" s="22">
        <v>1</v>
      </c>
      <c r="D55" s="23">
        <v>65</v>
      </c>
      <c r="E55" s="2" t="s">
        <v>46</v>
      </c>
      <c r="F55" s="2"/>
      <c r="K55">
        <f>48690/990</f>
        <v>49.18181818181818</v>
      </c>
    </row>
    <row r="56" spans="2:11" x14ac:dyDescent="0.25">
      <c r="B56" s="2" t="s">
        <v>14</v>
      </c>
      <c r="C56" s="22">
        <v>1</v>
      </c>
      <c r="D56" s="23">
        <v>65</v>
      </c>
      <c r="E56" s="2" t="s">
        <v>46</v>
      </c>
      <c r="F56" s="2"/>
    </row>
    <row r="57" spans="2:11" x14ac:dyDescent="0.25">
      <c r="B57" s="2" t="s">
        <v>4</v>
      </c>
      <c r="C57" s="22">
        <v>1</v>
      </c>
      <c r="D57" s="23">
        <v>65</v>
      </c>
      <c r="E57" s="2" t="s">
        <v>44</v>
      </c>
      <c r="F57" s="2"/>
    </row>
    <row r="58" spans="2:11" x14ac:dyDescent="0.25">
      <c r="B58" s="2" t="s">
        <v>5</v>
      </c>
      <c r="C58" s="22">
        <v>1</v>
      </c>
      <c r="D58" s="23">
        <v>65</v>
      </c>
      <c r="E58" s="2"/>
      <c r="F58" s="2"/>
    </row>
    <row r="59" spans="2:11" x14ac:dyDescent="0.25">
      <c r="B59" s="2" t="s">
        <v>71</v>
      </c>
      <c r="C59" s="22">
        <v>1</v>
      </c>
      <c r="D59" s="23">
        <v>65</v>
      </c>
      <c r="E59" s="2" t="s">
        <v>44</v>
      </c>
      <c r="F59" s="2"/>
    </row>
    <row r="60" spans="2:11" x14ac:dyDescent="0.25">
      <c r="B60" s="2" t="s">
        <v>71</v>
      </c>
      <c r="C60" s="22">
        <v>1</v>
      </c>
      <c r="D60" s="23">
        <v>65</v>
      </c>
      <c r="E60" s="2" t="s">
        <v>44</v>
      </c>
      <c r="F60" s="2"/>
    </row>
    <row r="61" spans="2:11" x14ac:dyDescent="0.25">
      <c r="C61" s="13">
        <f>SUBTOTAL(109,Tabla1517252836404737111519232731[Carretas])</f>
        <v>13</v>
      </c>
      <c r="D61" s="13">
        <f>SUBTOTAL(101,Tabla1517252836404737111519232731[Precios])</f>
        <v>65</v>
      </c>
    </row>
    <row r="63" spans="2:11" x14ac:dyDescent="0.25">
      <c r="C63" s="44" t="s">
        <v>114</v>
      </c>
      <c r="D63" s="44"/>
    </row>
    <row r="64" spans="2:11" x14ac:dyDescent="0.25">
      <c r="C64" s="44" t="s">
        <v>115</v>
      </c>
      <c r="D64" s="44"/>
    </row>
    <row r="65" spans="2:11" x14ac:dyDescent="0.25">
      <c r="B65" s="1" t="s">
        <v>0</v>
      </c>
      <c r="C65" s="1" t="s">
        <v>34</v>
      </c>
      <c r="D65" s="1" t="s">
        <v>2</v>
      </c>
      <c r="E65" s="1" t="s">
        <v>1</v>
      </c>
      <c r="F65" s="1" t="s">
        <v>41</v>
      </c>
      <c r="G65" s="1" t="s">
        <v>42</v>
      </c>
      <c r="H65" s="1"/>
    </row>
    <row r="66" spans="2:11" ht="15.75" x14ac:dyDescent="0.25">
      <c r="B66" s="21" t="s">
        <v>7</v>
      </c>
      <c r="C66" s="22">
        <v>1</v>
      </c>
      <c r="D66" s="23">
        <v>63</v>
      </c>
      <c r="E66" s="2" t="s">
        <v>45</v>
      </c>
      <c r="F66" s="2"/>
    </row>
    <row r="67" spans="2:11" ht="15.75" x14ac:dyDescent="0.25">
      <c r="B67" s="21" t="s">
        <v>90</v>
      </c>
      <c r="C67" s="22">
        <v>1</v>
      </c>
      <c r="D67" s="23">
        <v>75</v>
      </c>
      <c r="E67" s="2"/>
      <c r="F67" s="2"/>
    </row>
    <row r="68" spans="2:11" ht="15.75" x14ac:dyDescent="0.25">
      <c r="B68" s="21" t="s">
        <v>90</v>
      </c>
      <c r="C68" s="22">
        <v>1</v>
      </c>
      <c r="D68" s="23">
        <v>75</v>
      </c>
      <c r="E68" s="2"/>
      <c r="F68" s="2"/>
    </row>
    <row r="69" spans="2:11" ht="15.75" x14ac:dyDescent="0.25">
      <c r="B69" s="21" t="s">
        <v>90</v>
      </c>
      <c r="C69" s="22">
        <v>1</v>
      </c>
      <c r="D69" s="23">
        <v>75</v>
      </c>
      <c r="E69" s="2"/>
      <c r="F69" s="2"/>
    </row>
    <row r="70" spans="2:11" ht="15.75" x14ac:dyDescent="0.25">
      <c r="B70" s="21" t="s">
        <v>8</v>
      </c>
      <c r="C70" s="22">
        <v>1</v>
      </c>
      <c r="D70" s="23">
        <v>61</v>
      </c>
      <c r="E70" s="2" t="s">
        <v>48</v>
      </c>
      <c r="F70" s="2"/>
    </row>
    <row r="71" spans="2:11" ht="15.75" x14ac:dyDescent="0.25">
      <c r="B71" s="21" t="s">
        <v>8</v>
      </c>
      <c r="C71" s="22">
        <v>1</v>
      </c>
      <c r="D71" s="23">
        <v>61</v>
      </c>
      <c r="E71" s="2"/>
      <c r="F71" s="2"/>
    </row>
    <row r="72" spans="2:11" ht="15.75" x14ac:dyDescent="0.25">
      <c r="B72" s="21" t="s">
        <v>8</v>
      </c>
      <c r="C72" s="22">
        <v>1</v>
      </c>
      <c r="D72" s="23">
        <v>61</v>
      </c>
      <c r="E72" s="2"/>
      <c r="F72" s="2"/>
    </row>
    <row r="73" spans="2:11" ht="15.75" x14ac:dyDescent="0.25">
      <c r="B73" s="21" t="s">
        <v>4</v>
      </c>
      <c r="C73" s="22">
        <v>1</v>
      </c>
      <c r="D73" s="23">
        <v>61</v>
      </c>
      <c r="E73" s="2" t="s">
        <v>48</v>
      </c>
      <c r="F73" s="2"/>
      <c r="K73">
        <v>40500</v>
      </c>
    </row>
    <row r="74" spans="2:11" ht="15.75" x14ac:dyDescent="0.25">
      <c r="B74" s="21" t="s">
        <v>5</v>
      </c>
      <c r="C74" s="22">
        <v>1</v>
      </c>
      <c r="D74" s="23">
        <v>61</v>
      </c>
      <c r="E74" s="2" t="s">
        <v>44</v>
      </c>
      <c r="F74" s="2"/>
    </row>
    <row r="75" spans="2:11" ht="15.75" x14ac:dyDescent="0.25">
      <c r="B75" s="21" t="s">
        <v>9</v>
      </c>
      <c r="C75" s="22">
        <v>1</v>
      </c>
      <c r="D75" s="23">
        <v>61</v>
      </c>
      <c r="E75" s="2"/>
      <c r="F75" s="2"/>
    </row>
    <row r="76" spans="2:11" ht="15.75" x14ac:dyDescent="0.25">
      <c r="B76" s="21" t="s">
        <v>9</v>
      </c>
      <c r="C76" s="22">
        <v>1</v>
      </c>
      <c r="D76" s="23">
        <v>61</v>
      </c>
      <c r="E76" s="2" t="s">
        <v>44</v>
      </c>
      <c r="F76" s="2"/>
    </row>
    <row r="77" spans="2:11" ht="15.75" x14ac:dyDescent="0.25">
      <c r="B77" s="21" t="s">
        <v>9</v>
      </c>
      <c r="C77" s="22">
        <v>1</v>
      </c>
      <c r="D77" s="23">
        <v>61</v>
      </c>
      <c r="E77" s="2"/>
      <c r="F77" s="2"/>
    </row>
    <row r="78" spans="2:11" x14ac:dyDescent="0.25">
      <c r="C78" s="13">
        <f>SUBTOTAL(109,Tabla1618262937414848121620242832[Carretas])</f>
        <v>12</v>
      </c>
      <c r="D78" s="13">
        <f>SUBTOTAL(101,Tabla1618262937414848121620242832[Precios])</f>
        <v>64.666666666666671</v>
      </c>
    </row>
    <row r="80" spans="2:11" x14ac:dyDescent="0.25">
      <c r="C80" s="44" t="s">
        <v>114</v>
      </c>
      <c r="D80" s="44"/>
    </row>
    <row r="81" spans="2:6" x14ac:dyDescent="0.25">
      <c r="C81" s="44" t="s">
        <v>115</v>
      </c>
      <c r="D81" s="44"/>
    </row>
    <row r="82" spans="2:6" x14ac:dyDescent="0.25">
      <c r="B82" s="40" t="s">
        <v>0</v>
      </c>
      <c r="C82" s="40" t="s">
        <v>34</v>
      </c>
      <c r="D82" s="40" t="s">
        <v>2</v>
      </c>
      <c r="E82" s="40" t="s">
        <v>1</v>
      </c>
      <c r="F82" s="40" t="s">
        <v>41</v>
      </c>
    </row>
    <row r="83" spans="2:6" ht="15.75" x14ac:dyDescent="0.25">
      <c r="B83" s="34" t="s">
        <v>90</v>
      </c>
      <c r="C83" s="35">
        <v>1</v>
      </c>
      <c r="D83" s="36">
        <v>75</v>
      </c>
      <c r="E83" s="37" t="s">
        <v>48</v>
      </c>
      <c r="F83" s="37"/>
    </row>
    <row r="84" spans="2:6" ht="15.75" x14ac:dyDescent="0.25">
      <c r="B84" s="34" t="s">
        <v>90</v>
      </c>
      <c r="C84" s="35">
        <v>1</v>
      </c>
      <c r="D84" s="36">
        <v>75</v>
      </c>
      <c r="E84" s="37" t="s">
        <v>48</v>
      </c>
      <c r="F84" s="37"/>
    </row>
    <row r="85" spans="2:6" ht="16.5" thickBot="1" x14ac:dyDescent="0.3">
      <c r="B85" s="34" t="s">
        <v>90</v>
      </c>
      <c r="C85" s="35">
        <v>1</v>
      </c>
      <c r="D85" s="36">
        <v>75</v>
      </c>
      <c r="E85" s="37" t="s">
        <v>48</v>
      </c>
      <c r="F85" s="37"/>
    </row>
    <row r="86" spans="2:6" ht="15.75" thickTop="1" x14ac:dyDescent="0.25">
      <c r="C86" s="14">
        <f>SUM(C83:C85)</f>
        <v>3</v>
      </c>
      <c r="D86" s="14">
        <f>AVERAGE(D83:D85)</f>
        <v>75</v>
      </c>
    </row>
  </sheetData>
  <mergeCells count="10">
    <mergeCell ref="C80:D80"/>
    <mergeCell ref="C81:D81"/>
    <mergeCell ref="C63:D63"/>
    <mergeCell ref="C64:D64"/>
    <mergeCell ref="C2:D2"/>
    <mergeCell ref="C3:D3"/>
    <mergeCell ref="C24:D24"/>
    <mergeCell ref="C25:D25"/>
    <mergeCell ref="C45:D45"/>
    <mergeCell ref="C46:D46"/>
  </mergeCells>
  <conditionalFormatting sqref="B24 E24 G4:H4 B23:E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:G7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{FFF0B197-438B-40FF-840C-33D466CBB1C5}</x14:id>
        </ext>
      </extLst>
    </cfRule>
  </conditionalFormatting>
  <conditionalFormatting sqref="G26:H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H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5:H6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F0B197-438B-40FF-840C-33D466CBB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G66:G78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9FAA-841B-4827-97F5-FA18AA264981}">
  <dimension ref="B2:K88"/>
  <sheetViews>
    <sheetView zoomScaleNormal="100" workbookViewId="0">
      <selection activeCell="H92" sqref="H92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5.5703125" customWidth="1"/>
  </cols>
  <sheetData>
    <row r="2" spans="2:11" ht="15.75" thickBot="1" x14ac:dyDescent="0.3">
      <c r="C2" s="44" t="s">
        <v>116</v>
      </c>
      <c r="D2" s="44"/>
    </row>
    <row r="3" spans="2:11" ht="19.5" thickBot="1" x14ac:dyDescent="0.35">
      <c r="C3" s="44" t="s">
        <v>124</v>
      </c>
      <c r="D3" s="44"/>
      <c r="H3" s="1"/>
      <c r="J3" s="32" t="s">
        <v>57</v>
      </c>
      <c r="K3" s="31">
        <f>SUM(C21,C48,C70,C88)</f>
        <v>62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AVERAGE(K3,D21,D48,D70,D88)</f>
        <v>62.93738562091503</v>
      </c>
    </row>
    <row r="5" spans="2:11" x14ac:dyDescent="0.25">
      <c r="B5" s="2" t="s">
        <v>7</v>
      </c>
      <c r="C5" s="22">
        <v>1</v>
      </c>
      <c r="D5" s="23">
        <v>60</v>
      </c>
      <c r="E5" s="2" t="s">
        <v>45</v>
      </c>
      <c r="F5" s="5"/>
      <c r="G5" s="3"/>
    </row>
    <row r="6" spans="2:11" x14ac:dyDescent="0.25">
      <c r="B6" s="2" t="s">
        <v>74</v>
      </c>
      <c r="C6" s="22">
        <v>1</v>
      </c>
      <c r="D6" s="23">
        <v>60</v>
      </c>
      <c r="E6" s="2" t="s">
        <v>43</v>
      </c>
      <c r="F6" s="5"/>
      <c r="G6" s="3"/>
    </row>
    <row r="7" spans="2:11" x14ac:dyDescent="0.25">
      <c r="B7" s="2" t="s">
        <v>74</v>
      </c>
      <c r="C7" s="22">
        <v>1</v>
      </c>
      <c r="D7" s="23">
        <v>60</v>
      </c>
      <c r="E7" s="2" t="s">
        <v>44</v>
      </c>
      <c r="F7" s="5"/>
      <c r="G7" s="3"/>
    </row>
    <row r="8" spans="2:11" x14ac:dyDescent="0.25">
      <c r="B8" s="2" t="s">
        <v>74</v>
      </c>
      <c r="C8" s="22">
        <v>1</v>
      </c>
      <c r="D8" s="23">
        <v>60</v>
      </c>
      <c r="E8" s="2"/>
      <c r="F8" s="5"/>
      <c r="G8" s="3"/>
    </row>
    <row r="9" spans="2:11" x14ac:dyDescent="0.25">
      <c r="B9" s="2" t="s">
        <v>8</v>
      </c>
      <c r="C9" s="22">
        <v>1</v>
      </c>
      <c r="D9" s="23">
        <v>60</v>
      </c>
      <c r="E9" s="2" t="s">
        <v>44</v>
      </c>
      <c r="F9" s="3"/>
      <c r="G9" s="3"/>
    </row>
    <row r="10" spans="2:11" x14ac:dyDescent="0.25">
      <c r="B10" s="2" t="s">
        <v>8</v>
      </c>
      <c r="C10" s="22">
        <v>1</v>
      </c>
      <c r="D10" s="23">
        <v>60</v>
      </c>
      <c r="E10" s="2" t="s">
        <v>44</v>
      </c>
      <c r="F10" s="3"/>
      <c r="G10" s="3"/>
    </row>
    <row r="11" spans="2:11" x14ac:dyDescent="0.25">
      <c r="B11" s="2" t="s">
        <v>4</v>
      </c>
      <c r="C11" s="22">
        <v>1</v>
      </c>
      <c r="D11" s="23">
        <v>61</v>
      </c>
      <c r="E11" s="2" t="s">
        <v>44</v>
      </c>
      <c r="F11" s="3"/>
      <c r="G11" s="3"/>
    </row>
    <row r="12" spans="2:11" x14ac:dyDescent="0.25">
      <c r="B12" s="2" t="s">
        <v>5</v>
      </c>
      <c r="C12" s="22">
        <v>1</v>
      </c>
      <c r="D12" s="23">
        <v>60</v>
      </c>
      <c r="E12" s="2"/>
      <c r="F12" s="5"/>
      <c r="G12" s="3"/>
    </row>
    <row r="13" spans="2:11" x14ac:dyDescent="0.25">
      <c r="B13" s="2" t="s">
        <v>9</v>
      </c>
      <c r="C13" s="22">
        <v>1</v>
      </c>
      <c r="D13" s="23">
        <v>60</v>
      </c>
      <c r="E13" s="2"/>
      <c r="F13" s="5"/>
      <c r="G13" s="3"/>
    </row>
    <row r="14" spans="2:11" x14ac:dyDescent="0.25">
      <c r="B14" s="2"/>
      <c r="C14" s="22"/>
      <c r="D14" s="23"/>
      <c r="E14" s="2"/>
      <c r="F14" s="5"/>
      <c r="G14" s="3"/>
    </row>
    <row r="15" spans="2:11" x14ac:dyDescent="0.25">
      <c r="B15" s="2" t="s">
        <v>90</v>
      </c>
      <c r="C15" s="22">
        <v>1</v>
      </c>
      <c r="D15" s="23">
        <v>72</v>
      </c>
      <c r="E15" s="2" t="s">
        <v>48</v>
      </c>
      <c r="F15" s="5"/>
      <c r="G15" s="3"/>
    </row>
    <row r="16" spans="2:11" x14ac:dyDescent="0.25">
      <c r="B16" s="2" t="s">
        <v>90</v>
      </c>
      <c r="C16" s="22">
        <v>1</v>
      </c>
      <c r="D16" s="23">
        <v>72</v>
      </c>
      <c r="E16" s="2" t="s">
        <v>48</v>
      </c>
      <c r="F16" s="5"/>
      <c r="G16" s="3"/>
    </row>
    <row r="17" spans="2:8" x14ac:dyDescent="0.25">
      <c r="B17" s="2" t="s">
        <v>90</v>
      </c>
      <c r="C17" s="22">
        <v>1</v>
      </c>
      <c r="D17" s="23">
        <v>72</v>
      </c>
      <c r="E17" s="2" t="s">
        <v>48</v>
      </c>
      <c r="F17" s="5"/>
      <c r="G17" s="3"/>
    </row>
    <row r="18" spans="2:8" x14ac:dyDescent="0.25">
      <c r="B18" s="2" t="s">
        <v>90</v>
      </c>
      <c r="C18" s="22">
        <v>1</v>
      </c>
      <c r="D18" s="23">
        <v>72</v>
      </c>
      <c r="E18" s="2" t="s">
        <v>48</v>
      </c>
      <c r="F18" s="5"/>
      <c r="G18" s="3"/>
    </row>
    <row r="19" spans="2:8" x14ac:dyDescent="0.25">
      <c r="B19" s="2" t="s">
        <v>90</v>
      </c>
      <c r="C19" s="22">
        <v>1</v>
      </c>
      <c r="D19" s="23">
        <v>72</v>
      </c>
      <c r="E19" s="2" t="s">
        <v>48</v>
      </c>
      <c r="F19" s="5"/>
      <c r="G19" s="3"/>
    </row>
    <row r="20" spans="2:8" x14ac:dyDescent="0.25">
      <c r="B20" s="2" t="s">
        <v>90</v>
      </c>
      <c r="C20" s="22">
        <v>1</v>
      </c>
      <c r="D20" s="23">
        <v>72</v>
      </c>
      <c r="E20" s="2" t="s">
        <v>48</v>
      </c>
      <c r="F20" s="5"/>
      <c r="G20" s="3"/>
    </row>
    <row r="21" spans="2:8" x14ac:dyDescent="0.25">
      <c r="B21" s="2"/>
      <c r="C21" s="13">
        <f>SUM(C5:C20)</f>
        <v>15</v>
      </c>
      <c r="D21" s="13">
        <f>AVERAGE(D5:D20)</f>
        <v>64.86666666666666</v>
      </c>
      <c r="E21" s="2"/>
      <c r="F21" s="2"/>
      <c r="G21" s="2"/>
      <c r="H21" s="1"/>
    </row>
    <row r="23" spans="2:8" x14ac:dyDescent="0.25">
      <c r="C23" s="44" t="s">
        <v>117</v>
      </c>
      <c r="D23" s="44"/>
    </row>
    <row r="24" spans="2:8" x14ac:dyDescent="0.25">
      <c r="C24" s="48" t="s">
        <v>125</v>
      </c>
      <c r="D24" s="44"/>
    </row>
    <row r="25" spans="2:8" x14ac:dyDescent="0.25">
      <c r="B25" s="1" t="s">
        <v>0</v>
      </c>
      <c r="C25" s="1" t="s">
        <v>34</v>
      </c>
      <c r="D25" s="1" t="s">
        <v>2</v>
      </c>
      <c r="E25" s="1" t="s">
        <v>1</v>
      </c>
      <c r="F25" s="1" t="s">
        <v>41</v>
      </c>
      <c r="G25" s="1" t="s">
        <v>42</v>
      </c>
    </row>
    <row r="26" spans="2:8" x14ac:dyDescent="0.25">
      <c r="B26" s="2" t="s">
        <v>7</v>
      </c>
      <c r="C26" s="22">
        <v>1</v>
      </c>
      <c r="D26" s="23">
        <v>58</v>
      </c>
      <c r="E26" s="2" t="s">
        <v>44</v>
      </c>
      <c r="F26" s="2"/>
    </row>
    <row r="27" spans="2:8" x14ac:dyDescent="0.25">
      <c r="B27" s="2" t="s">
        <v>74</v>
      </c>
      <c r="C27" s="22">
        <v>1</v>
      </c>
      <c r="D27" s="23">
        <v>58</v>
      </c>
      <c r="E27" s="2" t="s">
        <v>44</v>
      </c>
      <c r="F27" s="2"/>
    </row>
    <row r="28" spans="2:8" x14ac:dyDescent="0.25">
      <c r="B28" s="2" t="s">
        <v>74</v>
      </c>
      <c r="C28" s="22">
        <v>1</v>
      </c>
      <c r="D28" s="23">
        <v>58</v>
      </c>
      <c r="E28" s="2" t="s">
        <v>44</v>
      </c>
      <c r="F28" s="2"/>
    </row>
    <row r="29" spans="2:8" x14ac:dyDescent="0.25">
      <c r="B29" s="2" t="s">
        <v>74</v>
      </c>
      <c r="C29" s="22">
        <v>1</v>
      </c>
      <c r="D29" s="23">
        <v>58</v>
      </c>
      <c r="E29" s="2" t="s">
        <v>46</v>
      </c>
      <c r="F29" s="2"/>
    </row>
    <row r="30" spans="2:8" x14ac:dyDescent="0.25">
      <c r="B30" s="2" t="s">
        <v>8</v>
      </c>
      <c r="C30" s="22">
        <v>1</v>
      </c>
      <c r="D30" s="23">
        <v>58</v>
      </c>
      <c r="E30" s="2" t="s">
        <v>43</v>
      </c>
      <c r="F30" s="2"/>
    </row>
    <row r="31" spans="2:8" x14ac:dyDescent="0.25">
      <c r="B31" s="2" t="s">
        <v>8</v>
      </c>
      <c r="C31" s="22">
        <v>1</v>
      </c>
      <c r="D31" s="23">
        <v>58</v>
      </c>
      <c r="E31" s="2" t="s">
        <v>44</v>
      </c>
      <c r="F31" s="2"/>
    </row>
    <row r="32" spans="2:8" x14ac:dyDescent="0.25">
      <c r="B32" s="2" t="s">
        <v>8</v>
      </c>
      <c r="C32" s="22">
        <v>1</v>
      </c>
      <c r="D32" s="23">
        <v>58</v>
      </c>
      <c r="E32" s="2" t="s">
        <v>44</v>
      </c>
      <c r="F32" s="2"/>
    </row>
    <row r="33" spans="2:6" x14ac:dyDescent="0.25">
      <c r="B33" s="2" t="s">
        <v>9</v>
      </c>
      <c r="C33" s="22">
        <v>1</v>
      </c>
      <c r="D33" s="23">
        <v>57</v>
      </c>
      <c r="E33" s="2" t="s">
        <v>48</v>
      </c>
      <c r="F33" s="2"/>
    </row>
    <row r="34" spans="2:6" x14ac:dyDescent="0.25">
      <c r="B34" s="2" t="s">
        <v>9</v>
      </c>
      <c r="C34" s="22">
        <v>1</v>
      </c>
      <c r="D34" s="23">
        <v>57</v>
      </c>
      <c r="E34" s="2" t="s">
        <v>46</v>
      </c>
      <c r="F34" s="2"/>
    </row>
    <row r="35" spans="2:6" x14ac:dyDescent="0.25">
      <c r="B35" s="2" t="s">
        <v>9</v>
      </c>
      <c r="C35" s="22">
        <v>1</v>
      </c>
      <c r="D35" s="23">
        <v>57</v>
      </c>
      <c r="E35" s="2" t="s">
        <v>44</v>
      </c>
      <c r="F35" s="2"/>
    </row>
    <row r="36" spans="2:6" x14ac:dyDescent="0.25">
      <c r="B36" s="2" t="s">
        <v>90</v>
      </c>
      <c r="C36" s="22">
        <v>1</v>
      </c>
      <c r="D36" s="23">
        <v>72</v>
      </c>
      <c r="E36" s="2" t="s">
        <v>47</v>
      </c>
      <c r="F36" s="2"/>
    </row>
    <row r="37" spans="2:6" x14ac:dyDescent="0.25">
      <c r="B37" s="2" t="s">
        <v>90</v>
      </c>
      <c r="C37" s="22">
        <v>1</v>
      </c>
      <c r="D37" s="23">
        <v>72</v>
      </c>
      <c r="E37" s="2" t="s">
        <v>47</v>
      </c>
      <c r="F37" s="2"/>
    </row>
    <row r="38" spans="2:6" x14ac:dyDescent="0.25">
      <c r="B38" s="2" t="s">
        <v>90</v>
      </c>
      <c r="C38" s="22">
        <v>1</v>
      </c>
      <c r="D38" s="23">
        <v>72</v>
      </c>
      <c r="E38" s="2" t="s">
        <v>47</v>
      </c>
      <c r="F38" s="2"/>
    </row>
    <row r="39" spans="2:6" x14ac:dyDescent="0.25">
      <c r="B39" s="2" t="s">
        <v>90</v>
      </c>
      <c r="C39" s="22">
        <v>1</v>
      </c>
      <c r="D39" s="23">
        <v>72</v>
      </c>
      <c r="E39" s="2" t="s">
        <v>47</v>
      </c>
      <c r="F39" s="2"/>
    </row>
    <row r="40" spans="2:6" x14ac:dyDescent="0.25">
      <c r="B40" s="2" t="s">
        <v>90</v>
      </c>
      <c r="C40" s="22">
        <v>1</v>
      </c>
      <c r="D40" s="23">
        <v>72</v>
      </c>
      <c r="E40" s="2" t="s">
        <v>47</v>
      </c>
      <c r="F40" s="2"/>
    </row>
    <row r="41" spans="2:6" x14ac:dyDescent="0.25">
      <c r="B41" s="2" t="s">
        <v>90</v>
      </c>
      <c r="C41" s="22">
        <v>1</v>
      </c>
      <c r="D41" s="23">
        <v>72</v>
      </c>
      <c r="E41" s="2" t="s">
        <v>47</v>
      </c>
      <c r="F41" s="2"/>
    </row>
    <row r="42" spans="2:6" x14ac:dyDescent="0.25">
      <c r="B42" s="2" t="s">
        <v>90</v>
      </c>
      <c r="C42" s="22">
        <v>1</v>
      </c>
      <c r="D42" s="23">
        <v>72</v>
      </c>
      <c r="E42" s="2" t="s">
        <v>47</v>
      </c>
      <c r="F42" s="2"/>
    </row>
    <row r="43" spans="2:6" x14ac:dyDescent="0.25">
      <c r="B43" s="2" t="s">
        <v>5</v>
      </c>
      <c r="C43" s="22">
        <v>1</v>
      </c>
      <c r="D43" s="23">
        <v>72</v>
      </c>
      <c r="E43" s="2" t="s">
        <v>47</v>
      </c>
      <c r="F43" s="2"/>
    </row>
    <row r="44" spans="2:6" x14ac:dyDescent="0.25">
      <c r="B44" s="2"/>
      <c r="C44" s="22"/>
      <c r="D44" s="23"/>
      <c r="E44" s="2"/>
      <c r="F44" s="2"/>
    </row>
    <row r="45" spans="2:6" x14ac:dyDescent="0.25">
      <c r="B45" s="2"/>
      <c r="C45" s="22"/>
      <c r="D45" s="23"/>
      <c r="E45" s="2"/>
      <c r="F45" s="2"/>
    </row>
    <row r="46" spans="2:6" x14ac:dyDescent="0.25">
      <c r="B46" s="2"/>
      <c r="C46" s="22"/>
      <c r="D46" s="23"/>
      <c r="E46" s="2"/>
      <c r="F46" s="2"/>
    </row>
    <row r="47" spans="2:6" x14ac:dyDescent="0.25">
      <c r="B47" s="2"/>
      <c r="C47" s="22"/>
      <c r="D47" s="23"/>
      <c r="E47" s="2"/>
      <c r="F47" s="2"/>
    </row>
    <row r="48" spans="2:6" x14ac:dyDescent="0.25">
      <c r="C48" s="13">
        <f>SUBTOTAL(109,Tabla141624303842495913172125293337[Carretas])</f>
        <v>18</v>
      </c>
      <c r="D48" s="13">
        <f>SUBTOTAL(101,Tabla141624303842495913172125293337[Precios])</f>
        <v>64.055555555555557</v>
      </c>
    </row>
    <row r="50" spans="2:8" x14ac:dyDescent="0.25">
      <c r="C50" s="44" t="s">
        <v>118</v>
      </c>
      <c r="D50" s="44"/>
    </row>
    <row r="51" spans="2:8" x14ac:dyDescent="0.25">
      <c r="C51" s="44" t="s">
        <v>126</v>
      </c>
      <c r="D51" s="44"/>
      <c r="H51" s="1"/>
    </row>
    <row r="52" spans="2:8" x14ac:dyDescent="0.25">
      <c r="B52" s="1" t="s">
        <v>0</v>
      </c>
      <c r="C52" s="1" t="s">
        <v>34</v>
      </c>
      <c r="D52" s="12" t="s">
        <v>2</v>
      </c>
      <c r="E52" s="1" t="s">
        <v>1</v>
      </c>
      <c r="F52" s="1" t="s">
        <v>41</v>
      </c>
      <c r="G52" s="1" t="s">
        <v>42</v>
      </c>
    </row>
    <row r="53" spans="2:8" x14ac:dyDescent="0.25">
      <c r="B53" s="2" t="s">
        <v>8</v>
      </c>
      <c r="C53" s="22">
        <v>1</v>
      </c>
      <c r="D53" s="23">
        <v>58</v>
      </c>
      <c r="E53" s="2" t="s">
        <v>43</v>
      </c>
      <c r="F53" s="2"/>
    </row>
    <row r="54" spans="2:8" x14ac:dyDescent="0.25">
      <c r="B54" s="2" t="s">
        <v>8</v>
      </c>
      <c r="C54" s="22">
        <v>1</v>
      </c>
      <c r="D54" s="23">
        <v>58</v>
      </c>
      <c r="E54" s="2" t="s">
        <v>45</v>
      </c>
      <c r="F54" s="2"/>
    </row>
    <row r="55" spans="2:8" x14ac:dyDescent="0.25">
      <c r="B55" s="2" t="s">
        <v>8</v>
      </c>
      <c r="C55" s="22">
        <v>1</v>
      </c>
      <c r="D55" s="23">
        <v>58</v>
      </c>
      <c r="E55" s="2" t="s">
        <v>46</v>
      </c>
      <c r="F55" s="2"/>
    </row>
    <row r="56" spans="2:8" x14ac:dyDescent="0.25">
      <c r="B56" s="2" t="s">
        <v>14</v>
      </c>
      <c r="C56" s="22">
        <v>1</v>
      </c>
      <c r="D56" s="23">
        <v>60</v>
      </c>
      <c r="E56" s="2" t="s">
        <v>46</v>
      </c>
      <c r="F56" s="2"/>
    </row>
    <row r="57" spans="2:8" x14ac:dyDescent="0.25">
      <c r="B57" s="2" t="s">
        <v>74</v>
      </c>
      <c r="C57" s="22">
        <v>1</v>
      </c>
      <c r="D57" s="23">
        <v>60</v>
      </c>
      <c r="E57" s="2"/>
      <c r="F57" s="2"/>
    </row>
    <row r="58" spans="2:8" x14ac:dyDescent="0.25">
      <c r="B58" s="2" t="s">
        <v>74</v>
      </c>
      <c r="C58" s="22">
        <v>1</v>
      </c>
      <c r="D58" s="23">
        <v>60</v>
      </c>
      <c r="E58" s="2"/>
      <c r="F58" s="2"/>
    </row>
    <row r="59" spans="2:8" x14ac:dyDescent="0.25">
      <c r="B59" s="2" t="s">
        <v>74</v>
      </c>
      <c r="C59" s="22">
        <v>1</v>
      </c>
      <c r="D59" s="23">
        <v>60</v>
      </c>
      <c r="E59" s="2" t="s">
        <v>44</v>
      </c>
      <c r="F59" s="2"/>
    </row>
    <row r="60" spans="2:8" x14ac:dyDescent="0.25">
      <c r="B60" s="2" t="s">
        <v>128</v>
      </c>
      <c r="C60" s="22">
        <v>1</v>
      </c>
      <c r="D60" s="23">
        <v>58</v>
      </c>
      <c r="E60" s="2"/>
      <c r="F60" s="2"/>
    </row>
    <row r="61" spans="2:8" x14ac:dyDescent="0.25">
      <c r="B61" s="2" t="s">
        <v>5</v>
      </c>
      <c r="C61" s="22">
        <v>1</v>
      </c>
      <c r="D61" s="23">
        <v>57</v>
      </c>
      <c r="E61" s="2"/>
      <c r="F61" s="2"/>
    </row>
    <row r="62" spans="2:8" x14ac:dyDescent="0.25">
      <c r="B62" s="2" t="s">
        <v>71</v>
      </c>
      <c r="C62" s="22">
        <v>1</v>
      </c>
      <c r="D62" s="23">
        <v>57</v>
      </c>
      <c r="E62" s="2" t="s">
        <v>44</v>
      </c>
      <c r="F62" s="2"/>
    </row>
    <row r="63" spans="2:8" x14ac:dyDescent="0.25">
      <c r="B63" s="2" t="s">
        <v>71</v>
      </c>
      <c r="C63" s="22">
        <v>1</v>
      </c>
      <c r="D63" s="23">
        <v>57</v>
      </c>
      <c r="E63" s="2" t="s">
        <v>44</v>
      </c>
      <c r="F63" s="2"/>
    </row>
    <row r="64" spans="2:8" x14ac:dyDescent="0.25">
      <c r="B64" s="2" t="s">
        <v>90</v>
      </c>
      <c r="C64" s="22">
        <v>1</v>
      </c>
      <c r="D64" s="23">
        <v>72</v>
      </c>
      <c r="E64" s="2"/>
      <c r="F64" s="2"/>
    </row>
    <row r="65" spans="2:8" x14ac:dyDescent="0.25">
      <c r="B65" s="2" t="s">
        <v>90</v>
      </c>
      <c r="C65" s="22">
        <v>1</v>
      </c>
      <c r="D65" s="23">
        <v>72</v>
      </c>
      <c r="E65" s="2"/>
      <c r="F65" s="2"/>
    </row>
    <row r="66" spans="2:8" x14ac:dyDescent="0.25">
      <c r="B66" s="2" t="s">
        <v>90</v>
      </c>
      <c r="C66" s="22">
        <v>1</v>
      </c>
      <c r="D66" s="23">
        <v>72</v>
      </c>
      <c r="E66" s="2"/>
      <c r="F66" s="2"/>
    </row>
    <row r="67" spans="2:8" x14ac:dyDescent="0.25">
      <c r="B67" s="2" t="s">
        <v>90</v>
      </c>
      <c r="C67" s="22">
        <v>1</v>
      </c>
      <c r="D67" s="23">
        <v>75</v>
      </c>
      <c r="E67" s="2"/>
      <c r="F67" s="2"/>
    </row>
    <row r="68" spans="2:8" x14ac:dyDescent="0.25">
      <c r="B68" s="2" t="s">
        <v>90</v>
      </c>
      <c r="C68" s="22">
        <v>1</v>
      </c>
      <c r="D68" s="23">
        <v>75</v>
      </c>
      <c r="E68" s="2"/>
      <c r="F68" s="2"/>
    </row>
    <row r="69" spans="2:8" x14ac:dyDescent="0.25">
      <c r="B69" s="2" t="s">
        <v>90</v>
      </c>
      <c r="C69" s="22">
        <v>1</v>
      </c>
      <c r="D69" s="23">
        <v>75</v>
      </c>
      <c r="E69" s="2" t="s">
        <v>44</v>
      </c>
      <c r="F69" s="2"/>
    </row>
    <row r="70" spans="2:8" x14ac:dyDescent="0.25">
      <c r="C70" s="13">
        <f>SUBTOTAL(109,Tabla151725283640473711151923273135[Carretas])</f>
        <v>17</v>
      </c>
      <c r="D70" s="13">
        <f>SUBTOTAL(101,Tabla151725283640473711151923273135[Precios])</f>
        <v>63.764705882352942</v>
      </c>
    </row>
    <row r="72" spans="2:8" x14ac:dyDescent="0.25">
      <c r="C72" s="44" t="s">
        <v>119</v>
      </c>
      <c r="D72" s="44"/>
    </row>
    <row r="73" spans="2:8" x14ac:dyDescent="0.25">
      <c r="C73" s="44" t="s">
        <v>127</v>
      </c>
      <c r="D73" s="44"/>
    </row>
    <row r="74" spans="2:8" x14ac:dyDescent="0.25">
      <c r="B74" s="1" t="s">
        <v>0</v>
      </c>
      <c r="C74" s="1" t="s">
        <v>34</v>
      </c>
      <c r="D74" s="1" t="s">
        <v>2</v>
      </c>
      <c r="E74" s="1" t="s">
        <v>1</v>
      </c>
      <c r="F74" s="1" t="s">
        <v>41</v>
      </c>
      <c r="G74" s="1" t="s">
        <v>42</v>
      </c>
      <c r="H74" s="1"/>
    </row>
    <row r="75" spans="2:8" ht="15.75" x14ac:dyDescent="0.25">
      <c r="B75" s="21" t="s">
        <v>7</v>
      </c>
      <c r="C75" s="22">
        <v>1</v>
      </c>
      <c r="D75" s="23">
        <v>60</v>
      </c>
      <c r="E75" s="2"/>
      <c r="F75" s="2"/>
    </row>
    <row r="76" spans="2:8" ht="15.75" x14ac:dyDescent="0.25">
      <c r="B76" s="21" t="s">
        <v>74</v>
      </c>
      <c r="C76" s="22">
        <v>1</v>
      </c>
      <c r="D76" s="23">
        <v>60</v>
      </c>
      <c r="E76" s="2"/>
      <c r="F76" s="2"/>
    </row>
    <row r="77" spans="2:8" ht="15.75" x14ac:dyDescent="0.25">
      <c r="B77" s="21" t="s">
        <v>74</v>
      </c>
      <c r="C77" s="22">
        <v>1</v>
      </c>
      <c r="D77" s="23">
        <v>60</v>
      </c>
      <c r="E77" s="2"/>
      <c r="F77" s="2"/>
    </row>
    <row r="78" spans="2:8" ht="15.75" x14ac:dyDescent="0.25">
      <c r="B78" s="21" t="s">
        <v>74</v>
      </c>
      <c r="C78" s="22">
        <v>1</v>
      </c>
      <c r="D78" s="23">
        <v>60</v>
      </c>
      <c r="E78" s="2"/>
      <c r="F78" s="2"/>
    </row>
    <row r="79" spans="2:8" ht="15.75" x14ac:dyDescent="0.25">
      <c r="B79" s="21" t="s">
        <v>14</v>
      </c>
      <c r="C79" s="22">
        <v>1</v>
      </c>
      <c r="D79" s="23">
        <v>60</v>
      </c>
      <c r="E79" s="2"/>
      <c r="F79" s="2"/>
    </row>
    <row r="80" spans="2:8" ht="15.75" x14ac:dyDescent="0.25">
      <c r="B80" s="21" t="s">
        <v>8</v>
      </c>
      <c r="C80" s="22">
        <v>1</v>
      </c>
      <c r="D80" s="23">
        <v>60</v>
      </c>
      <c r="E80" s="2" t="s">
        <v>48</v>
      </c>
      <c r="F80" s="2"/>
    </row>
    <row r="81" spans="2:11" ht="15.75" x14ac:dyDescent="0.25">
      <c r="B81" s="21" t="s">
        <v>8</v>
      </c>
      <c r="C81" s="22">
        <v>1</v>
      </c>
      <c r="D81" s="23">
        <v>60</v>
      </c>
      <c r="E81" s="2"/>
      <c r="F81" s="2"/>
    </row>
    <row r="82" spans="2:11" ht="15.75" x14ac:dyDescent="0.25">
      <c r="B82" s="21" t="s">
        <v>8</v>
      </c>
      <c r="C82" s="22">
        <v>1</v>
      </c>
      <c r="D82" s="23">
        <v>60</v>
      </c>
      <c r="E82" s="2"/>
      <c r="F82" s="2"/>
    </row>
    <row r="83" spans="2:11" ht="15.75" x14ac:dyDescent="0.25">
      <c r="B83" s="21" t="s">
        <v>4</v>
      </c>
      <c r="C83" s="22">
        <v>1</v>
      </c>
      <c r="D83" s="23">
        <v>60</v>
      </c>
      <c r="E83" s="2" t="s">
        <v>48</v>
      </c>
      <c r="F83" s="2"/>
      <c r="K83">
        <v>40500</v>
      </c>
    </row>
    <row r="84" spans="2:11" ht="15.75" x14ac:dyDescent="0.25">
      <c r="B84" s="21" t="s">
        <v>5</v>
      </c>
      <c r="C84" s="22">
        <v>1</v>
      </c>
      <c r="D84" s="23">
        <v>60</v>
      </c>
      <c r="E84" s="2" t="s">
        <v>44</v>
      </c>
      <c r="F84" s="2"/>
    </row>
    <row r="85" spans="2:11" ht="15.75" x14ac:dyDescent="0.25">
      <c r="B85" s="21" t="s">
        <v>9</v>
      </c>
      <c r="C85" s="22">
        <v>1</v>
      </c>
      <c r="D85" s="23">
        <v>60</v>
      </c>
      <c r="E85" s="2"/>
      <c r="F85" s="2"/>
    </row>
    <row r="86" spans="2:11" ht="15.75" x14ac:dyDescent="0.25">
      <c r="B86" s="21" t="s">
        <v>9</v>
      </c>
      <c r="C86" s="22">
        <v>1</v>
      </c>
      <c r="D86" s="23">
        <v>60</v>
      </c>
      <c r="E86" s="2"/>
      <c r="F86" s="2"/>
    </row>
    <row r="87" spans="2:11" ht="15.75" x14ac:dyDescent="0.25">
      <c r="B87" s="21"/>
      <c r="C87" s="22"/>
      <c r="D87" s="23"/>
      <c r="E87" s="2"/>
      <c r="F87" s="2"/>
    </row>
    <row r="88" spans="2:11" x14ac:dyDescent="0.25">
      <c r="C88" s="13">
        <f>SUBTOTAL(109,Tabla161826293741484812162024283236[Carretas])</f>
        <v>12</v>
      </c>
      <c r="D88" s="13">
        <f>SUBTOTAL(101,Tabla161826293741484812162024283236[Precios])</f>
        <v>60</v>
      </c>
    </row>
  </sheetData>
  <mergeCells count="8">
    <mergeCell ref="C72:D72"/>
    <mergeCell ref="C73:D73"/>
    <mergeCell ref="C2:D2"/>
    <mergeCell ref="C3:D3"/>
    <mergeCell ref="C23:D23"/>
    <mergeCell ref="C24:D24"/>
    <mergeCell ref="C50:D50"/>
    <mergeCell ref="C51:D51"/>
  </mergeCells>
  <conditionalFormatting sqref="B23 E23 G4:H4 B22:E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5:G88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{6A714F3D-8F1E-4D81-A3A5-988CE6A9F67C}</x14:id>
        </ext>
      </extLst>
    </cfRule>
  </conditionalFormatting>
  <conditionalFormatting sqref="G25:H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2:H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:H7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714F3D-8F1E-4D81-A3A5-988CE6A9F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G75:G88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A72E-03B6-4F92-B82F-A9982D65471F}">
  <dimension ref="B2:K76"/>
  <sheetViews>
    <sheetView zoomScale="110" zoomScaleNormal="110" workbookViewId="0">
      <selection activeCell="C20" sqref="C20"/>
    </sheetView>
  </sheetViews>
  <sheetFormatPr baseColWidth="10" defaultRowHeight="15" x14ac:dyDescent="0.25"/>
  <cols>
    <col min="1" max="1" width="7.7109375" customWidth="1"/>
    <col min="2" max="2" width="16.42578125" customWidth="1"/>
    <col min="3" max="4" width="11.28515625" customWidth="1"/>
    <col min="5" max="5" width="14.42578125" customWidth="1"/>
    <col min="6" max="6" width="14" customWidth="1"/>
    <col min="7" max="7" width="0.85546875" hidden="1" customWidth="1"/>
    <col min="8" max="8" width="8.28515625" customWidth="1"/>
    <col min="9" max="9" width="13.28515625" customWidth="1"/>
    <col min="10" max="10" width="15" customWidth="1"/>
    <col min="11" max="11" width="15.5703125" customWidth="1"/>
  </cols>
  <sheetData>
    <row r="2" spans="2:11" ht="15.75" thickBot="1" x14ac:dyDescent="0.3">
      <c r="C2" s="44" t="s">
        <v>120</v>
      </c>
      <c r="D2" s="44"/>
    </row>
    <row r="3" spans="2:11" ht="19.5" thickBot="1" x14ac:dyDescent="0.35">
      <c r="C3" s="44" t="s">
        <v>129</v>
      </c>
      <c r="D3" s="44"/>
      <c r="H3" s="1"/>
      <c r="J3" s="32" t="s">
        <v>57</v>
      </c>
      <c r="K3" s="31">
        <f>SUM(C76,C62,C51,C34,C16)</f>
        <v>50</v>
      </c>
    </row>
    <row r="4" spans="2:11" ht="19.5" thickBot="1" x14ac:dyDescent="0.35">
      <c r="B4" s="1" t="s">
        <v>0</v>
      </c>
      <c r="C4" s="1" t="s">
        <v>34</v>
      </c>
      <c r="D4" s="1" t="s">
        <v>2</v>
      </c>
      <c r="E4" s="1" t="s">
        <v>1</v>
      </c>
      <c r="F4" s="1" t="s">
        <v>41</v>
      </c>
      <c r="G4" s="1" t="s">
        <v>42</v>
      </c>
      <c r="J4" s="32" t="s">
        <v>58</v>
      </c>
      <c r="K4" s="31">
        <f>AVERAGE(D16,D34,D51,D62,D76)</f>
        <v>57.263636363636365</v>
      </c>
    </row>
    <row r="5" spans="2:11" x14ac:dyDescent="0.25">
      <c r="B5" s="2" t="s">
        <v>7</v>
      </c>
      <c r="C5" s="22">
        <v>1</v>
      </c>
      <c r="D5" s="23">
        <v>60</v>
      </c>
      <c r="E5" s="2" t="s">
        <v>48</v>
      </c>
      <c r="F5" s="5"/>
      <c r="G5" s="3"/>
    </row>
    <row r="6" spans="2:11" x14ac:dyDescent="0.25">
      <c r="B6" s="2" t="s">
        <v>74</v>
      </c>
      <c r="C6" s="22">
        <v>1</v>
      </c>
      <c r="D6" s="23">
        <v>60</v>
      </c>
      <c r="E6" s="2" t="s">
        <v>43</v>
      </c>
      <c r="F6" s="5"/>
      <c r="G6" s="3"/>
    </row>
    <row r="7" spans="2:11" x14ac:dyDescent="0.25">
      <c r="B7" s="2" t="s">
        <v>74</v>
      </c>
      <c r="C7" s="22">
        <v>1</v>
      </c>
      <c r="D7" s="23">
        <v>60</v>
      </c>
      <c r="E7" s="2" t="s">
        <v>44</v>
      </c>
      <c r="F7" s="5"/>
      <c r="G7" s="3"/>
    </row>
    <row r="8" spans="2:11" x14ac:dyDescent="0.25">
      <c r="B8" s="2" t="s">
        <v>74</v>
      </c>
      <c r="C8" s="22">
        <v>1</v>
      </c>
      <c r="D8" s="23">
        <v>60</v>
      </c>
      <c r="E8" s="2"/>
      <c r="F8" s="5"/>
      <c r="G8" s="3"/>
    </row>
    <row r="9" spans="2:11" x14ac:dyDescent="0.25">
      <c r="B9" s="2" t="s">
        <v>8</v>
      </c>
      <c r="C9" s="22">
        <v>1</v>
      </c>
      <c r="D9" s="23">
        <v>65</v>
      </c>
      <c r="E9" s="2" t="s">
        <v>44</v>
      </c>
      <c r="F9" s="3"/>
      <c r="G9" s="3"/>
    </row>
    <row r="10" spans="2:11" x14ac:dyDescent="0.25">
      <c r="B10" s="2" t="s">
        <v>8</v>
      </c>
      <c r="C10" s="22">
        <v>1</v>
      </c>
      <c r="D10" s="23">
        <v>65</v>
      </c>
      <c r="E10" s="2" t="s">
        <v>44</v>
      </c>
      <c r="F10" s="3"/>
      <c r="G10" s="3"/>
    </row>
    <row r="11" spans="2:11" x14ac:dyDescent="0.25">
      <c r="B11" s="2" t="s">
        <v>8</v>
      </c>
      <c r="C11" s="22">
        <v>1</v>
      </c>
      <c r="D11" s="23">
        <v>65</v>
      </c>
      <c r="E11" s="2" t="s">
        <v>83</v>
      </c>
      <c r="F11" s="3"/>
      <c r="G11" s="3"/>
      <c r="I11" t="s">
        <v>89</v>
      </c>
    </row>
    <row r="12" spans="2:11" x14ac:dyDescent="0.25">
      <c r="B12" s="2" t="s">
        <v>8</v>
      </c>
      <c r="C12" s="22">
        <v>1</v>
      </c>
      <c r="D12" s="23">
        <v>65</v>
      </c>
      <c r="E12" s="2" t="s">
        <v>44</v>
      </c>
      <c r="F12" s="3"/>
      <c r="G12" s="3"/>
    </row>
    <row r="13" spans="2:11" x14ac:dyDescent="0.25">
      <c r="B13" s="2" t="s">
        <v>5</v>
      </c>
      <c r="C13" s="22">
        <v>1</v>
      </c>
      <c r="D13" s="23">
        <v>60</v>
      </c>
      <c r="E13" s="2"/>
      <c r="F13" s="5"/>
      <c r="G13" s="3"/>
    </row>
    <row r="14" spans="2:11" x14ac:dyDescent="0.25">
      <c r="B14" s="2" t="s">
        <v>9</v>
      </c>
      <c r="C14" s="22">
        <v>1</v>
      </c>
      <c r="D14" s="23">
        <v>60</v>
      </c>
      <c r="E14" s="2"/>
      <c r="F14" s="5"/>
      <c r="G14" s="3"/>
    </row>
    <row r="15" spans="2:11" x14ac:dyDescent="0.25">
      <c r="B15" s="2" t="s">
        <v>9</v>
      </c>
      <c r="C15" s="22">
        <v>1</v>
      </c>
      <c r="D15" s="23">
        <v>60</v>
      </c>
      <c r="E15" s="2"/>
      <c r="F15" s="5"/>
      <c r="G15" s="3"/>
    </row>
    <row r="16" spans="2:11" x14ac:dyDescent="0.25">
      <c r="B16" s="2"/>
      <c r="C16" s="13">
        <f>SUBTOTAL(109,Tabla1152327353946261014182226303438[Carretas])</f>
        <v>11</v>
      </c>
      <c r="D16" s="13">
        <f>SUBTOTAL(101,Tabla1152327353946261014182226303438[Precios])</f>
        <v>61.81818181818182</v>
      </c>
      <c r="E16" s="2"/>
      <c r="F16" s="2"/>
      <c r="G16" s="2"/>
      <c r="H16" s="1"/>
    </row>
    <row r="18" spans="2:7" x14ac:dyDescent="0.25">
      <c r="C18" s="44" t="s">
        <v>121</v>
      </c>
      <c r="D18" s="44"/>
    </row>
    <row r="19" spans="2:7" x14ac:dyDescent="0.25">
      <c r="C19" s="44" t="s">
        <v>132</v>
      </c>
      <c r="D19" s="44"/>
    </row>
    <row r="20" spans="2:7" x14ac:dyDescent="0.25">
      <c r="B20" s="1" t="s">
        <v>0</v>
      </c>
      <c r="C20" s="1" t="s">
        <v>34</v>
      </c>
      <c r="D20" s="1" t="s">
        <v>2</v>
      </c>
      <c r="E20" s="1" t="s">
        <v>1</v>
      </c>
      <c r="F20" s="1" t="s">
        <v>41</v>
      </c>
      <c r="G20" s="1" t="s">
        <v>42</v>
      </c>
    </row>
    <row r="21" spans="2:7" x14ac:dyDescent="0.25">
      <c r="B21" s="2" t="s">
        <v>7</v>
      </c>
      <c r="C21" s="22">
        <v>1</v>
      </c>
      <c r="D21" s="23">
        <v>60</v>
      </c>
      <c r="E21" s="2" t="s">
        <v>44</v>
      </c>
      <c r="F21" s="2"/>
    </row>
    <row r="22" spans="2:7" x14ac:dyDescent="0.25">
      <c r="B22" s="2" t="s">
        <v>74</v>
      </c>
      <c r="C22" s="22">
        <v>1</v>
      </c>
      <c r="D22" s="23">
        <v>60</v>
      </c>
      <c r="E22" s="2" t="s">
        <v>44</v>
      </c>
      <c r="F22" s="2"/>
    </row>
    <row r="23" spans="2:7" x14ac:dyDescent="0.25">
      <c r="B23" s="2" t="s">
        <v>74</v>
      </c>
      <c r="C23" s="22">
        <v>1</v>
      </c>
      <c r="D23" s="23">
        <v>60</v>
      </c>
      <c r="E23" s="2"/>
      <c r="F23" s="2"/>
    </row>
    <row r="24" spans="2:7" x14ac:dyDescent="0.25">
      <c r="B24" s="2" t="s">
        <v>74</v>
      </c>
      <c r="C24" s="22">
        <v>1</v>
      </c>
      <c r="D24" s="23">
        <v>60</v>
      </c>
      <c r="E24" s="2" t="s">
        <v>44</v>
      </c>
      <c r="F24" s="2"/>
    </row>
    <row r="25" spans="2:7" x14ac:dyDescent="0.25">
      <c r="B25" s="2" t="s">
        <v>74</v>
      </c>
      <c r="C25" s="22">
        <v>1</v>
      </c>
      <c r="D25" s="23">
        <v>60</v>
      </c>
      <c r="E25" s="2" t="s">
        <v>46</v>
      </c>
      <c r="F25" s="2"/>
    </row>
    <row r="26" spans="2:7" x14ac:dyDescent="0.25">
      <c r="B26" s="2" t="s">
        <v>8</v>
      </c>
      <c r="C26" s="22">
        <v>1</v>
      </c>
      <c r="D26" s="23">
        <v>60</v>
      </c>
      <c r="E26" s="2" t="s">
        <v>43</v>
      </c>
      <c r="F26" s="2"/>
    </row>
    <row r="27" spans="2:7" x14ac:dyDescent="0.25">
      <c r="B27" s="2" t="s">
        <v>8</v>
      </c>
      <c r="C27" s="22">
        <v>1</v>
      </c>
      <c r="D27" s="23">
        <v>60</v>
      </c>
      <c r="E27" s="2" t="s">
        <v>44</v>
      </c>
      <c r="F27" s="2"/>
    </row>
    <row r="28" spans="2:7" x14ac:dyDescent="0.25">
      <c r="B28" s="2" t="s">
        <v>8</v>
      </c>
      <c r="C28" s="22">
        <v>1</v>
      </c>
      <c r="D28" s="23">
        <v>60</v>
      </c>
      <c r="E28" s="2" t="s">
        <v>44</v>
      </c>
      <c r="F28" s="2"/>
    </row>
    <row r="29" spans="2:7" x14ac:dyDescent="0.25">
      <c r="B29" s="2" t="s">
        <v>4</v>
      </c>
      <c r="C29" s="22">
        <v>1</v>
      </c>
      <c r="D29" s="23">
        <v>60</v>
      </c>
      <c r="E29" s="2" t="s">
        <v>44</v>
      </c>
      <c r="F29" s="2"/>
    </row>
    <row r="30" spans="2:7" x14ac:dyDescent="0.25">
      <c r="B30" s="2" t="s">
        <v>5</v>
      </c>
      <c r="C30" s="22">
        <v>1</v>
      </c>
      <c r="D30" s="23">
        <v>60</v>
      </c>
      <c r="E30" s="2" t="s">
        <v>44</v>
      </c>
      <c r="F30" s="2"/>
    </row>
    <row r="31" spans="2:7" x14ac:dyDescent="0.25">
      <c r="B31" s="2" t="s">
        <v>9</v>
      </c>
      <c r="C31" s="22">
        <v>1</v>
      </c>
      <c r="D31" s="23">
        <v>60</v>
      </c>
      <c r="E31" s="2"/>
      <c r="F31" s="2"/>
    </row>
    <row r="32" spans="2:7" x14ac:dyDescent="0.25">
      <c r="B32" s="2" t="s">
        <v>9</v>
      </c>
      <c r="C32" s="22">
        <v>1</v>
      </c>
      <c r="D32" s="23">
        <v>60</v>
      </c>
      <c r="E32" s="2" t="s">
        <v>44</v>
      </c>
      <c r="F32" s="2"/>
    </row>
    <row r="33" spans="2:8" x14ac:dyDescent="0.25">
      <c r="B33" s="2" t="s">
        <v>14</v>
      </c>
      <c r="C33" s="22">
        <v>1</v>
      </c>
      <c r="D33" s="23">
        <v>60</v>
      </c>
      <c r="E33" s="2"/>
      <c r="F33" s="2"/>
    </row>
    <row r="34" spans="2:8" x14ac:dyDescent="0.25">
      <c r="C34" s="13">
        <f>SUBTOTAL(109,Tabla14162430384249591317212529333750[Carretas])</f>
        <v>13</v>
      </c>
      <c r="D34" s="13">
        <f>SUBTOTAL(101,Tabla14162430384249591317212529333750[Precios])</f>
        <v>60</v>
      </c>
    </row>
    <row r="36" spans="2:8" x14ac:dyDescent="0.25">
      <c r="C36" s="44" t="s">
        <v>122</v>
      </c>
      <c r="D36" s="44"/>
    </row>
    <row r="37" spans="2:8" x14ac:dyDescent="0.25">
      <c r="C37" s="44" t="s">
        <v>130</v>
      </c>
      <c r="D37" s="44"/>
      <c r="H37" s="1"/>
    </row>
    <row r="38" spans="2:8" x14ac:dyDescent="0.25">
      <c r="B38" s="1" t="s">
        <v>0</v>
      </c>
      <c r="C38" s="1" t="s">
        <v>34</v>
      </c>
      <c r="D38" s="12" t="s">
        <v>2</v>
      </c>
      <c r="E38" s="1" t="s">
        <v>1</v>
      </c>
      <c r="F38" s="1" t="s">
        <v>41</v>
      </c>
      <c r="G38" s="1" t="s">
        <v>42</v>
      </c>
    </row>
    <row r="39" spans="2:8" x14ac:dyDescent="0.25">
      <c r="B39" s="2" t="s">
        <v>7</v>
      </c>
      <c r="C39" s="22">
        <v>1</v>
      </c>
      <c r="D39" s="23">
        <v>60</v>
      </c>
      <c r="E39" s="2" t="s">
        <v>48</v>
      </c>
      <c r="F39" s="2" t="s">
        <v>72</v>
      </c>
    </row>
    <row r="40" spans="2:8" x14ac:dyDescent="0.25">
      <c r="B40" s="2" t="s">
        <v>74</v>
      </c>
      <c r="C40" s="22">
        <v>1</v>
      </c>
      <c r="D40" s="23">
        <v>60</v>
      </c>
      <c r="E40" s="2" t="s">
        <v>48</v>
      </c>
      <c r="F40" s="2" t="s">
        <v>72</v>
      </c>
    </row>
    <row r="41" spans="2:8" x14ac:dyDescent="0.25">
      <c r="B41" s="2" t="s">
        <v>74</v>
      </c>
      <c r="C41" s="22">
        <v>1</v>
      </c>
      <c r="D41" s="23">
        <v>60</v>
      </c>
      <c r="E41" s="2"/>
      <c r="F41" s="2"/>
    </row>
    <row r="42" spans="2:8" x14ac:dyDescent="0.25">
      <c r="B42" s="2" t="s">
        <v>74</v>
      </c>
      <c r="C42" s="22">
        <v>1</v>
      </c>
      <c r="D42" s="23">
        <v>60</v>
      </c>
      <c r="E42" s="2"/>
      <c r="F42" s="2"/>
    </row>
    <row r="43" spans="2:8" x14ac:dyDescent="0.25">
      <c r="B43" s="2" t="s">
        <v>74</v>
      </c>
      <c r="C43" s="22">
        <v>1</v>
      </c>
      <c r="D43" s="23">
        <v>60</v>
      </c>
      <c r="E43" s="2"/>
      <c r="F43" s="2"/>
    </row>
    <row r="44" spans="2:8" x14ac:dyDescent="0.25">
      <c r="B44" s="2" t="s">
        <v>8</v>
      </c>
      <c r="C44" s="22">
        <v>1</v>
      </c>
      <c r="D44" s="23">
        <v>60</v>
      </c>
      <c r="E44" s="2" t="s">
        <v>43</v>
      </c>
      <c r="F44" s="2"/>
    </row>
    <row r="45" spans="2:8" x14ac:dyDescent="0.25">
      <c r="B45" s="2" t="s">
        <v>8</v>
      </c>
      <c r="C45" s="22">
        <v>1</v>
      </c>
      <c r="D45" s="23">
        <v>60</v>
      </c>
      <c r="E45" s="2" t="s">
        <v>45</v>
      </c>
      <c r="F45" s="2"/>
    </row>
    <row r="46" spans="2:8" x14ac:dyDescent="0.25">
      <c r="B46" s="2" t="s">
        <v>8</v>
      </c>
      <c r="C46" s="22">
        <v>1</v>
      </c>
      <c r="D46" s="23">
        <v>60</v>
      </c>
      <c r="E46" s="2" t="s">
        <v>46</v>
      </c>
      <c r="F46" s="2"/>
    </row>
    <row r="47" spans="2:8" x14ac:dyDescent="0.25">
      <c r="B47" s="2" t="s">
        <v>4</v>
      </c>
      <c r="C47" s="22">
        <v>1</v>
      </c>
      <c r="D47" s="23">
        <v>60</v>
      </c>
      <c r="E47" s="2" t="s">
        <v>46</v>
      </c>
      <c r="F47" s="2"/>
    </row>
    <row r="48" spans="2:8" x14ac:dyDescent="0.25">
      <c r="B48" s="2" t="s">
        <v>5</v>
      </c>
      <c r="C48" s="22">
        <v>1</v>
      </c>
      <c r="D48" s="23">
        <v>60</v>
      </c>
      <c r="E48" s="2"/>
      <c r="F48" s="2"/>
    </row>
    <row r="49" spans="2:8" x14ac:dyDescent="0.25">
      <c r="B49" s="2" t="s">
        <v>71</v>
      </c>
      <c r="C49" s="22">
        <v>1</v>
      </c>
      <c r="D49" s="23">
        <v>60</v>
      </c>
      <c r="E49" s="2" t="s">
        <v>44</v>
      </c>
      <c r="F49" s="2"/>
    </row>
    <row r="50" spans="2:8" x14ac:dyDescent="0.25">
      <c r="B50" s="2" t="s">
        <v>71</v>
      </c>
      <c r="C50" s="22">
        <v>1</v>
      </c>
      <c r="D50" s="23">
        <v>60</v>
      </c>
      <c r="E50" s="2" t="s">
        <v>44</v>
      </c>
      <c r="F50" s="2"/>
    </row>
    <row r="51" spans="2:8" x14ac:dyDescent="0.25">
      <c r="C51" s="13">
        <f>SUBTOTAL(109,Tabla15172528364047371115192327313543[Carretas])</f>
        <v>12</v>
      </c>
      <c r="D51" s="13">
        <f>SUBTOTAL(101,Tabla15172528364047371115192327313543[Precios])</f>
        <v>60</v>
      </c>
    </row>
    <row r="53" spans="2:8" x14ac:dyDescent="0.25">
      <c r="C53" s="44" t="s">
        <v>123</v>
      </c>
      <c r="D53" s="44"/>
    </row>
    <row r="54" spans="2:8" x14ac:dyDescent="0.25">
      <c r="C54" s="44" t="s">
        <v>131</v>
      </c>
      <c r="D54" s="44"/>
    </row>
    <row r="55" spans="2:8" x14ac:dyDescent="0.25">
      <c r="B55" s="1" t="s">
        <v>0</v>
      </c>
      <c r="C55" s="1" t="s">
        <v>34</v>
      </c>
      <c r="D55" s="1" t="s">
        <v>2</v>
      </c>
      <c r="E55" s="1" t="s">
        <v>1</v>
      </c>
      <c r="F55" s="1" t="s">
        <v>41</v>
      </c>
      <c r="G55" s="1" t="s">
        <v>42</v>
      </c>
      <c r="H55" s="1"/>
    </row>
    <row r="56" spans="2:8" ht="15.75" x14ac:dyDescent="0.25">
      <c r="B56" s="21" t="s">
        <v>74</v>
      </c>
      <c r="C56" s="22">
        <v>1</v>
      </c>
      <c r="D56" s="23">
        <v>55</v>
      </c>
      <c r="E56" s="2"/>
      <c r="F56" s="2"/>
    </row>
    <row r="57" spans="2:8" ht="15.75" x14ac:dyDescent="0.25">
      <c r="B57" s="21" t="s">
        <v>74</v>
      </c>
      <c r="C57" s="22">
        <v>1</v>
      </c>
      <c r="D57" s="23">
        <v>55</v>
      </c>
      <c r="E57" s="2"/>
      <c r="F57" s="2"/>
    </row>
    <row r="58" spans="2:8" ht="15.75" x14ac:dyDescent="0.25">
      <c r="B58" s="21" t="s">
        <v>74</v>
      </c>
      <c r="C58" s="22">
        <v>1</v>
      </c>
      <c r="D58" s="23">
        <v>55</v>
      </c>
      <c r="E58" s="2"/>
      <c r="F58" s="2"/>
    </row>
    <row r="59" spans="2:8" ht="15.75" x14ac:dyDescent="0.25">
      <c r="B59" s="21" t="s">
        <v>14</v>
      </c>
      <c r="C59" s="22">
        <v>1</v>
      </c>
      <c r="D59" s="23">
        <v>56.5</v>
      </c>
      <c r="E59" s="2"/>
      <c r="F59" s="2"/>
    </row>
    <row r="60" spans="2:8" ht="15.75" x14ac:dyDescent="0.25">
      <c r="B60" s="21" t="s">
        <v>8</v>
      </c>
      <c r="C60" s="22">
        <v>1</v>
      </c>
      <c r="D60" s="23">
        <v>55</v>
      </c>
      <c r="E60" s="2" t="s">
        <v>48</v>
      </c>
      <c r="F60" s="2"/>
    </row>
    <row r="61" spans="2:8" ht="15.75" x14ac:dyDescent="0.25">
      <c r="B61" s="21" t="s">
        <v>4</v>
      </c>
      <c r="C61" s="22">
        <v>1</v>
      </c>
      <c r="D61" s="23">
        <v>55</v>
      </c>
      <c r="E61" s="2"/>
      <c r="F61" s="2"/>
    </row>
    <row r="62" spans="2:8" x14ac:dyDescent="0.25">
      <c r="C62" s="13">
        <f>SUBTOTAL(109,Tabla16182629374148481216202428323644[Carretas])</f>
        <v>6</v>
      </c>
      <c r="D62" s="13">
        <f>SUBTOTAL(101,Tabla16182629374148481216202428323644[Precios])</f>
        <v>55.25</v>
      </c>
    </row>
    <row r="65" spans="2:6" x14ac:dyDescent="0.25">
      <c r="C65" s="44" t="s">
        <v>122</v>
      </c>
      <c r="D65" s="44"/>
    </row>
    <row r="66" spans="2:6" x14ac:dyDescent="0.25">
      <c r="C66" s="44" t="s">
        <v>130</v>
      </c>
      <c r="D66" s="44"/>
    </row>
    <row r="67" spans="2:6" ht="15.75" thickBot="1" x14ac:dyDescent="0.3">
      <c r="B67" s="10" t="s">
        <v>0</v>
      </c>
      <c r="C67" s="10" t="s">
        <v>34</v>
      </c>
      <c r="D67" s="10" t="s">
        <v>2</v>
      </c>
      <c r="E67" s="10" t="s">
        <v>1</v>
      </c>
      <c r="F67" s="10" t="s">
        <v>41</v>
      </c>
    </row>
    <row r="68" spans="2:6" x14ac:dyDescent="0.25">
      <c r="B68" s="37" t="s">
        <v>74</v>
      </c>
      <c r="C68" s="35">
        <v>1</v>
      </c>
      <c r="D68" s="36">
        <v>48</v>
      </c>
      <c r="E68" s="37" t="s">
        <v>48</v>
      </c>
      <c r="F68" s="37" t="s">
        <v>72</v>
      </c>
    </row>
    <row r="69" spans="2:6" x14ac:dyDescent="0.25">
      <c r="B69" s="37" t="s">
        <v>74</v>
      </c>
      <c r="C69" s="35">
        <v>1</v>
      </c>
      <c r="D69" s="36">
        <v>48</v>
      </c>
      <c r="E69" s="37"/>
      <c r="F69" s="37"/>
    </row>
    <row r="70" spans="2:6" x14ac:dyDescent="0.25">
      <c r="B70" s="37" t="s">
        <v>74</v>
      </c>
      <c r="C70" s="35">
        <v>1</v>
      </c>
      <c r="D70" s="36">
        <v>48</v>
      </c>
      <c r="E70" s="37"/>
      <c r="F70" s="37"/>
    </row>
    <row r="71" spans="2:6" x14ac:dyDescent="0.25">
      <c r="B71" s="37" t="s">
        <v>8</v>
      </c>
      <c r="C71" s="35">
        <v>1</v>
      </c>
      <c r="D71" s="36">
        <v>50</v>
      </c>
      <c r="E71" s="37" t="s">
        <v>43</v>
      </c>
      <c r="F71" s="37"/>
    </row>
    <row r="72" spans="2:6" x14ac:dyDescent="0.25">
      <c r="B72" s="37" t="s">
        <v>4</v>
      </c>
      <c r="C72" s="35">
        <v>1</v>
      </c>
      <c r="D72" s="36">
        <v>50</v>
      </c>
      <c r="E72" s="37" t="s">
        <v>46</v>
      </c>
      <c r="F72" s="37"/>
    </row>
    <row r="73" spans="2:6" x14ac:dyDescent="0.25">
      <c r="B73" s="37" t="s">
        <v>5</v>
      </c>
      <c r="C73" s="35">
        <v>1</v>
      </c>
      <c r="D73" s="36">
        <v>50</v>
      </c>
      <c r="E73" s="37"/>
      <c r="F73" s="37"/>
    </row>
    <row r="74" spans="2:6" x14ac:dyDescent="0.25">
      <c r="B74" s="37" t="s">
        <v>71</v>
      </c>
      <c r="C74" s="35">
        <v>1</v>
      </c>
      <c r="D74" s="36">
        <v>50</v>
      </c>
      <c r="E74" s="37" t="s">
        <v>44</v>
      </c>
      <c r="F74" s="37"/>
    </row>
    <row r="75" spans="2:6" x14ac:dyDescent="0.25">
      <c r="B75" s="37" t="s">
        <v>71</v>
      </c>
      <c r="C75" s="35">
        <v>1</v>
      </c>
      <c r="D75" s="36">
        <v>50</v>
      </c>
      <c r="E75" s="37" t="s">
        <v>44</v>
      </c>
      <c r="F75" s="37"/>
    </row>
    <row r="76" spans="2:6" x14ac:dyDescent="0.25">
      <c r="B76" s="28"/>
      <c r="C76" s="41">
        <f>SUM(C68:C75)</f>
        <v>8</v>
      </c>
      <c r="D76" s="41">
        <f>AVERAGE(D68:D75)</f>
        <v>49.25</v>
      </c>
      <c r="E76" s="28"/>
      <c r="F76" s="28"/>
    </row>
  </sheetData>
  <mergeCells count="10">
    <mergeCell ref="C65:D65"/>
    <mergeCell ref="C66:D66"/>
    <mergeCell ref="C53:D53"/>
    <mergeCell ref="C54:D54"/>
    <mergeCell ref="C2:D2"/>
    <mergeCell ref="C3:D3"/>
    <mergeCell ref="C18:D18"/>
    <mergeCell ref="C19:D19"/>
    <mergeCell ref="C36:D36"/>
    <mergeCell ref="C37:D37"/>
  </mergeCells>
  <conditionalFormatting sqref="E18 B18 G4:H4 B17:E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6:G6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{C71B92EA-E5ED-44AF-B252-33926977E5DB}</x14:id>
        </ext>
      </extLst>
    </cfRule>
  </conditionalFormatting>
  <conditionalFormatting sqref="G20:H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H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5:H5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1B92EA-E5ED-44AF-B252-33926977E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G56:G62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Jony</vt:lpstr>
      <vt:lpstr>Fisher</vt:lpstr>
      <vt:lpstr>Gilson</vt:lpstr>
      <vt:lpstr>Tuti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2025-03-17T23:56:35Z</dcterms:created>
  <dcterms:modified xsi:type="dcterms:W3CDTF">2026-05-12T14:56:24Z</dcterms:modified>
</cp:coreProperties>
</file>