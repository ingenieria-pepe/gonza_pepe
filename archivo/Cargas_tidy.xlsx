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"/>
    </mc:Choice>
  </mc:AlternateContent>
  <xr:revisionPtr revIDLastSave="0" documentId="13_ncr:1_{E8C78678-060E-4E1F-8A54-2128AF31F67A}" xr6:coauthVersionLast="47" xr6:coauthVersionMax="47" xr10:uidLastSave="{00000000-0000-0000-0000-000000000000}"/>
  <bookViews>
    <workbookView xWindow="-120" yWindow="-120" windowWidth="20730" windowHeight="11040" firstSheet="3" activeTab="6" xr2:uid="{343E075E-AAAF-4380-A6B8-BAB3CEE04A8F}"/>
  </bookViews>
  <sheets>
    <sheet name="Por mes BR" sheetId="6" r:id="rId1"/>
    <sheet name="Por productor BR" sheetId="5" r:id="rId2"/>
    <sheet name="Mercado" sheetId="7" r:id="rId3"/>
    <sheet name="Ventas vs Mercado" sheetId="10" r:id="rId4"/>
    <sheet name="Precio vs Cargas" sheetId="8" r:id="rId5"/>
    <sheet name="Precio vs Cargas semanal" sheetId="9" r:id="rId6"/>
    <sheet name="Calendario Precios BR" sheetId="11" r:id="rId7"/>
    <sheet name="Por cliente" sheetId="3" r:id="rId8"/>
    <sheet name="Resumen" sheetId="2" r:id="rId9"/>
    <sheet name="Cargas" sheetId="1" r:id="rId10"/>
  </sheets>
  <calcPr calcId="191029"/>
</workbook>
</file>

<file path=xl/calcChain.xml><?xml version="1.0" encoding="utf-8"?>
<calcChain xmlns="http://schemas.openxmlformats.org/spreadsheetml/2006/main">
  <c r="E31" i="7" l="1"/>
  <c r="D31" i="7"/>
  <c r="C31" i="7"/>
  <c r="E18" i="7"/>
  <c r="D18" i="7"/>
  <c r="C18" i="7"/>
  <c r="D16" i="6"/>
  <c r="C16" i="6"/>
  <c r="B16" i="6"/>
  <c r="D20" i="5"/>
  <c r="C20" i="5"/>
  <c r="C143" i="3"/>
  <c r="B143" i="3"/>
  <c r="C127" i="3"/>
  <c r="B127" i="3"/>
  <c r="C111" i="3"/>
  <c r="B111" i="3"/>
  <c r="C95" i="3"/>
  <c r="B95" i="3"/>
  <c r="C79" i="3"/>
  <c r="B79" i="3"/>
  <c r="C63" i="3"/>
  <c r="B63" i="3"/>
  <c r="C47" i="3"/>
  <c r="B47" i="3"/>
  <c r="C31" i="3"/>
  <c r="B31" i="3"/>
  <c r="C15" i="3"/>
  <c r="B15" i="3"/>
  <c r="E13" i="2"/>
  <c r="D13" i="2"/>
  <c r="C13" i="2"/>
  <c r="B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<sst xmlns="http://schemas.openxmlformats.org/spreadsheetml/2006/main" count="1140" uniqueCount="513">
  <si>
    <t>Cliente,Anio,MesNum,Mes,Cargas</t>
  </si>
  <si>
    <t>Valdemar tuti,2024,1,Enero,0</t>
  </si>
  <si>
    <t>Valdemar tuti,2024,2,Febrero,0</t>
  </si>
  <si>
    <t>Valdemar tuti,2024,3,Marzo,0</t>
  </si>
  <si>
    <t>Valdemar tuti,2024,4,Abril,4</t>
  </si>
  <si>
    <t>Valdemar tuti,2024,5,Mayo,14</t>
  </si>
  <si>
    <t>Valdemar tuti,2024,6,Junio,17</t>
  </si>
  <si>
    <t>Valdemar tuti,2024,7,Julio,10</t>
  </si>
  <si>
    <t>Valdemar tuti,2024,8,Agosto,12</t>
  </si>
  <si>
    <t>Valdemar tuti,2024,9,Setiembre,7</t>
  </si>
  <si>
    <t>Valdemar tuti,2024,10,Octubre,7</t>
  </si>
  <si>
    <t>Valdemar tuti,2024,11,Noviembre,8</t>
  </si>
  <si>
    <t>Valdemar tuti,2024,12,Diciembre,5</t>
  </si>
  <si>
    <t>Valdemar tuti,2025,1,Enero,7</t>
  </si>
  <si>
    <t>Valdemar tuti,2025,2,Febrero,14</t>
  </si>
  <si>
    <t>Valdemar tuti,2025,3,Marzo,14</t>
  </si>
  <si>
    <t>Valdemar tuti,2025,4,Abril,14</t>
  </si>
  <si>
    <t>Valdemar tuti,2025,5,Mayo,12</t>
  </si>
  <si>
    <t>Valdemar tuti,2025,6,Junio,6</t>
  </si>
  <si>
    <t>Valdemar tuti,2025,7,Julio,7</t>
  </si>
  <si>
    <t>Valdemar tuti,2025,8,Agosto,14</t>
  </si>
  <si>
    <t>Valdemar tuti,2025,9,Setiembre,18</t>
  </si>
  <si>
    <t>Valdemar tuti,2025,10,Octubre,15</t>
  </si>
  <si>
    <t>Valdemar tuti,2025,11,Noviembre,8</t>
  </si>
  <si>
    <t>Valdemar tuti,2025,12,Diciembre,7</t>
  </si>
  <si>
    <t>Bahia,2024,1,Enero,0</t>
  </si>
  <si>
    <t>Bahia,2024,2,Febrero,0</t>
  </si>
  <si>
    <t>Bahia,2024,3,Marzo,0</t>
  </si>
  <si>
    <t>Bahia,2024,4,Abril,0</t>
  </si>
  <si>
    <t>Bahia,2024,5,Mayo,0</t>
  </si>
  <si>
    <t>Bahia,2024,6,Junio,0</t>
  </si>
  <si>
    <t>Bahia,2024,7,Julio,0</t>
  </si>
  <si>
    <t>Bahia,2024,8,Agosto,4</t>
  </si>
  <si>
    <t>Bahia,2024,9,Setiembre,9</t>
  </si>
  <si>
    <t>Bahia,2024,10,Octubre,31</t>
  </si>
  <si>
    <t>Bahia,2024,11,Noviembre,21</t>
  </si>
  <si>
    <t>Bahia,2024,12,Diciembre,5</t>
  </si>
  <si>
    <t>Bahia,2025,1,Enero,0</t>
  </si>
  <si>
    <t>Bahia,2025,2,Febrero,0</t>
  </si>
  <si>
    <t>Bahia,2025,3,Marzo,0</t>
  </si>
  <si>
    <t>Bahia,2025,4,Abril,0</t>
  </si>
  <si>
    <t>Bahia,2025,5,Mayo,0</t>
  </si>
  <si>
    <t>Bahia,2025,6,Junio,0</t>
  </si>
  <si>
    <t>Bahia,2025,7,Julio,4</t>
  </si>
  <si>
    <t>Bahia,2025,8,Agosto,1</t>
  </si>
  <si>
    <t>Bahia,2025,9,Setiembre,6</t>
  </si>
  <si>
    <t>Bahia,2025,10,Octubre,6</t>
  </si>
  <si>
    <t>Bahia,2025,11,Noviembre,22</t>
  </si>
  <si>
    <t>Bahia,2025,12,Diciembre,3</t>
  </si>
  <si>
    <t>Gilson,2024,1,Enero,0</t>
  </si>
  <si>
    <t>Gilson,2024,2,Febrero,3</t>
  </si>
  <si>
    <t>Gilson,2024,3,Marzo,2</t>
  </si>
  <si>
    <t>Gilson,2024,4,Abril,4</t>
  </si>
  <si>
    <t>Gilson,2024,5,Mayo,3</t>
  </si>
  <si>
    <t>Gilson,2024,6,Junio,4</t>
  </si>
  <si>
    <t>Gilson,2024,7,Julio,4</t>
  </si>
  <si>
    <t>Gilson,2024,8,Agosto,4</t>
  </si>
  <si>
    <t>Gilson,2024,9,Setiembre,3</t>
  </si>
  <si>
    <t>Gilson,2024,10,Octubre,3</t>
  </si>
  <si>
    <t>Gilson,2024,11,Noviembre,7</t>
  </si>
  <si>
    <t>Gilson,2024,12,Diciembre,6</t>
  </si>
  <si>
    <t>Gilson,2025,1,Enero,7</t>
  </si>
  <si>
    <t>Gilson,2025,2,Febrero,9</t>
  </si>
  <si>
    <t>Gilson,2025,3,Marzo,14</t>
  </si>
  <si>
    <t>Gilson,2025,4,Abril,7</t>
  </si>
  <si>
    <t>Gilson,2025,5,Mayo,9</t>
  </si>
  <si>
    <t>Gilson,2025,6,Junio,7</t>
  </si>
  <si>
    <t>Gilson,2025,7,Julio,6</t>
  </si>
  <si>
    <t>Gilson,2025,8,Agosto,5</t>
  </si>
  <si>
    <t>Gilson,2025,9,Setiembre,3</t>
  </si>
  <si>
    <t>Gilson,2025,10,Octubre,4</t>
  </si>
  <si>
    <t>Gilson,2025,11,Noviembre,3</t>
  </si>
  <si>
    <t>Gilson,2025,12,Diciembre,3</t>
  </si>
  <si>
    <t>Claudia,2024,1,Enero,4</t>
  </si>
  <si>
    <t>Claudia,2024,2,Febrero,7</t>
  </si>
  <si>
    <t>Claudia,2024,3,Marzo,11</t>
  </si>
  <si>
    <t>Claudia,2024,4,Abril,16</t>
  </si>
  <si>
    <t>Claudia,2024,5,Mayo,7</t>
  </si>
  <si>
    <t>Claudia,2024,6,Junio,9</t>
  </si>
  <si>
    <t>Claudia,2024,7,Julio,8</t>
  </si>
  <si>
    <t>Claudia,2024,8,Agosto,5</t>
  </si>
  <si>
    <t>Claudia,2024,9,Setiembre,4</t>
  </si>
  <si>
    <t>Claudia,2024,10,Octubre,3</t>
  </si>
  <si>
    <t>Claudia,2024,11,Noviembre,4</t>
  </si>
  <si>
    <t>Claudia,2024,12,Diciembre,3</t>
  </si>
  <si>
    <t>Claudia,2025,1,Enero,3</t>
  </si>
  <si>
    <t>Claudia,2025,2,Febrero,7</t>
  </si>
  <si>
    <t>Claudia,2025,3,Marzo,7</t>
  </si>
  <si>
    <t>Claudia,2025,4,Abril,8</t>
  </si>
  <si>
    <t>Claudia,2025,5,Mayo,7</t>
  </si>
  <si>
    <t>Claudia,2025,6,Junio,5</t>
  </si>
  <si>
    <t>Claudia,2025,7,Julio,2</t>
  </si>
  <si>
    <t>Claudia,2025,8,Agosto,1</t>
  </si>
  <si>
    <t>Claudia,2025,9,Setiembre,1</t>
  </si>
  <si>
    <t>Claudia,2025,10,Octubre,0</t>
  </si>
  <si>
    <t>Claudia,2025,11,Noviembre,0</t>
  </si>
  <si>
    <t>Claudia,2025,12,Diciembre,0</t>
  </si>
  <si>
    <t>Agrocurupa,2024,1,Enero,1</t>
  </si>
  <si>
    <t>Agrocurupa,2024,2,Febrero,3</t>
  </si>
  <si>
    <t>Agrocurupa,2024,3,Marzo,2</t>
  </si>
  <si>
    <t>Agrocurupa,2024,4,Abril,4</t>
  </si>
  <si>
    <t>Agrocurupa,2024,5,Mayo,2</t>
  </si>
  <si>
    <t>Agrocurupa,2024,6,Junio,4</t>
  </si>
  <si>
    <t>Agrocurupa,2024,7,Julio,5</t>
  </si>
  <si>
    <t>Agrocurupa,2024,8,Agosto,7</t>
  </si>
  <si>
    <t>Agrocurupa,2024,9,Setiembre,8</t>
  </si>
  <si>
    <t>Agrocurupa,2024,10,Octubre,4</t>
  </si>
  <si>
    <t>Agrocurupa,2024,11,Noviembre,4</t>
  </si>
  <si>
    <t>Agrocurupa,2024,12,Diciembre,3</t>
  </si>
  <si>
    <t>Agrocurupa,2025,1,Enero,4</t>
  </si>
  <si>
    <t>Agrocurupa,2025,2,Febrero,7</t>
  </si>
  <si>
    <t>Agrocurupa,2025,3,Marzo,5</t>
  </si>
  <si>
    <t>Agrocurupa,2025,4,Abril,7</t>
  </si>
  <si>
    <t>Agrocurupa,2025,5,Mayo,8</t>
  </si>
  <si>
    <t>Agrocurupa,2025,6,Junio,8</t>
  </si>
  <si>
    <t>Agrocurupa,2025,7,Julio,9</t>
  </si>
  <si>
    <t>Agrocurupa,2025,8,Agosto,10</t>
  </si>
  <si>
    <t>Agrocurupa,2025,9,Setiembre,7</t>
  </si>
  <si>
    <t>Agrocurupa,2025,10,Octubre,4</t>
  </si>
  <si>
    <t>Agrocurupa,2025,11,Noviembre,4</t>
  </si>
  <si>
    <t>Agrocurupa,2025,12,Diciembre,3</t>
  </si>
  <si>
    <t>Sergio,2024,1,Enero,0</t>
  </si>
  <si>
    <t>Sergio,2024,2,Febrero,0</t>
  </si>
  <si>
    <t>Sergio,2024,3,Marzo,0</t>
  </si>
  <si>
    <t>Sergio,2024,4,Abril,0</t>
  </si>
  <si>
    <t>Sergio,2024,5,Mayo,4</t>
  </si>
  <si>
    <t>Sergio,2024,6,Junio,9</t>
  </si>
  <si>
    <t>Sergio,2024,7,Julio,8</t>
  </si>
  <si>
    <t>Sergio,2024,8,Agosto,7</t>
  </si>
  <si>
    <t>Sergio,2024,9,Setiembre,9</t>
  </si>
  <si>
    <t>Sergio,2024,10,Octubre,6</t>
  </si>
  <si>
    <t>Sergio,2024,11,Noviembre,9</t>
  </si>
  <si>
    <t>Sergio,2024,12,Diciembre,0</t>
  </si>
  <si>
    <t>Sergio,2025,1,Enero,0</t>
  </si>
  <si>
    <t>Sergio,2025,2,Febrero,0</t>
  </si>
  <si>
    <t>Sergio,2025,3,Marzo,6</t>
  </si>
  <si>
    <t>Sergio,2025,4,Abril,2</t>
  </si>
  <si>
    <t>Sergio,2025,5,Mayo,0</t>
  </si>
  <si>
    <t>Sergio,2025,6,Junio,0</t>
  </si>
  <si>
    <t>Sergio,2025,7,Julio,0</t>
  </si>
  <si>
    <t>Sergio,2025,8,Agosto,4</t>
  </si>
  <si>
    <t>Sergio,2025,9,Setiembre,5</t>
  </si>
  <si>
    <t>Sergio,2025,10,Octubre,4</t>
  </si>
  <si>
    <t>Sergio,2025,11,Noviembre,1</t>
  </si>
  <si>
    <t>Sergio,2025,12,Diciembre,2</t>
  </si>
  <si>
    <t>Jony Viera,2024,1,Enero,0</t>
  </si>
  <si>
    <t>Jony Viera,2024,2,Febrero,0</t>
  </si>
  <si>
    <t>Jony Viera,2024,3,Marzo,0</t>
  </si>
  <si>
    <t>Jony Viera,2024,4,Abril,5</t>
  </si>
  <si>
    <t>Jony Viera,2024,5,Mayo,5</t>
  </si>
  <si>
    <t>Jony Viera,2024,6,Junio,6</t>
  </si>
  <si>
    <t>Jony Viera,2024,7,Julio,9</t>
  </si>
  <si>
    <t>Jony Viera,2024,8,Agosto,10</t>
  </si>
  <si>
    <t>Jony Viera,2024,9,Setiembre,8</t>
  </si>
  <si>
    <t>Jony Viera,2024,10,Octubre,8</t>
  </si>
  <si>
    <t>Jony Viera,2024,11,Noviembre,12</t>
  </si>
  <si>
    <t>Jony Viera,2024,12,Diciembre,4</t>
  </si>
  <si>
    <t>Jony Viera,2025,1,Enero,6</t>
  </si>
  <si>
    <t>Jony Viera,2025,2,Febrero,14</t>
  </si>
  <si>
    <t>Jony Viera,2025,3,Marzo,17</t>
  </si>
  <si>
    <t>Jony Viera,2025,4,Abril,13</t>
  </si>
  <si>
    <t>Jony Viera,2025,5,Mayo,21</t>
  </si>
  <si>
    <t>Jony Viera,2025,6,Junio,11</t>
  </si>
  <si>
    <t>Jony Viera,2025,7,Julio,12</t>
  </si>
  <si>
    <t>Jony Viera,2025,8,Agosto,6</t>
  </si>
  <si>
    <t>Jony Viera,2025,9,Setiembre,8</t>
  </si>
  <si>
    <t>Jony Viera,2025,10,Octubre,8</t>
  </si>
  <si>
    <t>Jony Viera,2025,11,Noviembre,4</t>
  </si>
  <si>
    <t>Jony Viera,2025,12,Diciembre,4</t>
  </si>
  <si>
    <t>Cassio,2024,1,Enero,0</t>
  </si>
  <si>
    <t>Cassio,2024,2,Febrero,0</t>
  </si>
  <si>
    <t>Cassio,2024,3,Marzo,0</t>
  </si>
  <si>
    <t>Cassio,2024,4,Abril,0</t>
  </si>
  <si>
    <t>Cassio,2024,5,Mayo,0</t>
  </si>
  <si>
    <t>Cassio,2024,6,Junio,0</t>
  </si>
  <si>
    <t>Cassio,2024,7,Julio,0</t>
  </si>
  <si>
    <t>Cassio,2024,8,Agosto,0</t>
  </si>
  <si>
    <t>Cassio,2024,9,Setiembre,0</t>
  </si>
  <si>
    <t>Cassio,2024,10,Octubre,5</t>
  </si>
  <si>
    <t>Cassio,2024,11,Noviembre,6</t>
  </si>
  <si>
    <t>Cassio,2024,12,Diciembre,4</t>
  </si>
  <si>
    <t>Cassio,2025,1,Enero,0</t>
  </si>
  <si>
    <t>Cassio,2025,2,Febrero,0</t>
  </si>
  <si>
    <t>Cassio,2025,3,Marzo,0</t>
  </si>
  <si>
    <t>Cassio,2025,4,Abril,0</t>
  </si>
  <si>
    <t>Cassio,2025,5,Mayo,2</t>
  </si>
  <si>
    <t>Cassio,2025,6,Junio,8</t>
  </si>
  <si>
    <t>Cassio,2025,7,Julio,11</t>
  </si>
  <si>
    <t>Cassio,2025,8,Agosto,10</t>
  </si>
  <si>
    <t>Cassio,2025,9,Setiembre,13</t>
  </si>
  <si>
    <t>Cassio,2025,10,Octubre,16</t>
  </si>
  <si>
    <t>Cassio,2025,11,Noviembre,13</t>
  </si>
  <si>
    <t>Cassio,2025,12,Diciembre,16</t>
  </si>
  <si>
    <t>Fisher,2024,1,Enero,0</t>
  </si>
  <si>
    <t>Fisher,2024,2,Febrero,0</t>
  </si>
  <si>
    <t>Fisher,2024,3,Marzo,0</t>
  </si>
  <si>
    <t>Fisher,2024,4,Abril,0</t>
  </si>
  <si>
    <t>Fisher,2024,5,Mayo,0</t>
  </si>
  <si>
    <t>Fisher,2024,6,Junio,0</t>
  </si>
  <si>
    <t>Fisher,2024,7,Julio,0</t>
  </si>
  <si>
    <t>Fisher,2024,8,Agosto,0</t>
  </si>
  <si>
    <t>Fisher,2024,9,Setiembre,0</t>
  </si>
  <si>
    <t>Fisher,2024,10,Octubre,0</t>
  </si>
  <si>
    <t>Fisher,2024,11,Noviembre,11</t>
  </si>
  <si>
    <t>Fisher,2024,12,Diciembre,6</t>
  </si>
  <si>
    <t>Fisher,2025,1,Enero,5</t>
  </si>
  <si>
    <t>Fisher,2025,2,Febrero,6</t>
  </si>
  <si>
    <t>Fisher,2025,3,Marzo,9</t>
  </si>
  <si>
    <t>Fisher,2025,4,Abril,7</t>
  </si>
  <si>
    <t>Fisher,2025,5,Mayo,23</t>
  </si>
  <si>
    <t>Fisher,2025,6,Junio,19</t>
  </si>
  <si>
    <t>Fisher,2025,7,Julio,21</t>
  </si>
  <si>
    <t>Fisher,2025,8,Agosto,18</t>
  </si>
  <si>
    <t>Fisher,2025,9,Setiembre,18</t>
  </si>
  <si>
    <t>Fisher,2025,10,Octubre,18</t>
  </si>
  <si>
    <t>Fisher,2025,11,Noviembre,12</t>
  </si>
  <si>
    <t>Fisher,2025,12,Diciembre,13</t>
  </si>
  <si>
    <t>RESUMEN COMPARATIVO 2024 vs 2025</t>
  </si>
  <si>
    <t>Cliente</t>
  </si>
  <si>
    <t>Delta</t>
  </si>
  <si>
    <t>Var %</t>
  </si>
  <si>
    <t>Fisher</t>
  </si>
  <si>
    <t>Valdemar tuti</t>
  </si>
  <si>
    <t>Jony Viera</t>
  </si>
  <si>
    <t>Cassio</t>
  </si>
  <si>
    <t>Gilson</t>
  </si>
  <si>
    <t>Agrocurupa</t>
  </si>
  <si>
    <t>Bahia</t>
  </si>
  <si>
    <t>Claudia</t>
  </si>
  <si>
    <t>Sergio</t>
  </si>
  <si>
    <t>TOTAL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</si>
  <si>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</si>
  <si>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</si>
  <si>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</si>
  <si>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</si>
  <si>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</si>
  <si>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</si>
  <si>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</si>
  <si>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</si>
  <si>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</si>
  <si>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</si>
  <si>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</si>
  <si>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</si>
  <si>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</si>
  <si>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</t>
  </si>
  <si>
    <t>MERCADO URUGUAYO  -  NCM 0803.90 (bananas frescas)  -  origen Brasil</t>
  </si>
  <si>
    <t>Fuente: Penta-Transaction  |  Almar S.R.L. = la empresa del usuario</t>
  </si>
  <si>
    <t>#</t>
  </si>
  <si>
    <t>Importador</t>
  </si>
  <si>
    <t>USD VNA</t>
  </si>
  <si>
    <t>% Cuota</t>
  </si>
  <si>
    <t>Kgs brutos</t>
  </si>
  <si>
    <t>ALMAR S.R.L.</t>
  </si>
  <si>
    <t>CIRO GENTILE S.A.</t>
  </si>
  <si>
    <t>GARMIN S.R.L.</t>
  </si>
  <si>
    <t>EXPERTEX SA</t>
  </si>
  <si>
    <t>ALBEZ IBARRA RUBEN ALEJANDRO</t>
  </si>
  <si>
    <t>JEMI SAS</t>
  </si>
  <si>
    <t>RINALIR SOCIEDAD ANONIMA</t>
  </si>
  <si>
    <t>MARAMA IMPORT AND EXPORT LTDA</t>
  </si>
  <si>
    <t>TOTAL MERCADO</t>
  </si>
  <si>
    <t>% Cuota 2025</t>
  </si>
  <si>
    <t>% Cuota 2026</t>
  </si>
  <si>
    <t>Delta (pp)</t>
  </si>
  <si>
    <t>RESUMEN POR PRODUCTOR  -  Brasil 2025  (BRL)</t>
  </si>
  <si>
    <t>Productor</t>
  </si>
  <si>
    <t>Carretas</t>
  </si>
  <si>
    <t>Precio prom (BRL)</t>
  </si>
  <si>
    <t>Precio min</t>
  </si>
  <si>
    <t>Precio max</t>
  </si>
  <si>
    <t>Valdemar</t>
  </si>
  <si>
    <t>Jony</t>
  </si>
  <si>
    <t>Aita</t>
  </si>
  <si>
    <t>Victor</t>
  </si>
  <si>
    <t>Sergio (bahia)</t>
  </si>
  <si>
    <t>Tureck</t>
  </si>
  <si>
    <t>Chicolandia</t>
  </si>
  <si>
    <t>Gison</t>
  </si>
  <si>
    <t>Chico</t>
  </si>
  <si>
    <t>RESUMEN POR MES  -  Brasil 2025  (BRL)</t>
  </si>
  <si>
    <t># Registros</t>
  </si>
  <si>
    <t>Precio prom</t>
  </si>
  <si>
    <t>PERIODO: Enero - Diciembre 2025  (año completo)</t>
  </si>
  <si>
    <t>FRUTTARA SAS</t>
  </si>
  <si>
    <t>LA 5TA SAS</t>
  </si>
  <si>
    <t>BANPY SAS</t>
  </si>
  <si>
    <t>CRUFI S A</t>
  </si>
  <si>
    <t>PERIODO: Enero - Mayo 2026  (parcial)</t>
  </si>
  <si>
    <t>COMPARATIVA CUOTA  -  2025 (Ene-Dic) vs 2026 (Ene-May)</t>
  </si>
  <si>
    <t>Estado</t>
  </si>
  <si>
    <t>CRECIENDO</t>
  </si>
  <si>
    <t>PERDIENDO</t>
  </si>
  <si>
    <t>ESTABLE</t>
  </si>
  <si>
    <t>-</t>
  </si>
  <si>
    <t>NO OPERA 2026 (parcial)</t>
  </si>
  <si>
    <t>PRECIO vs CARGAS  -  Brasil 2025  (BRL/caja vs carretas/mes)</t>
  </si>
  <si>
    <t>Cuando el precio sube y las cargas bajan = mercado escaso.  Datos de tu planilla Brasil.</t>
  </si>
  <si>
    <t>Precio (BRL/caja)</t>
  </si>
  <si>
    <t>Indice carretas</t>
  </si>
  <si>
    <t>Indice precio</t>
  </si>
  <si>
    <t>Correlacion Pearson (Carretas vs Precio):</t>
  </si>
  <si>
    <t>Promedio carretas/mes:</t>
  </si>
  <si>
    <t>Promedio precio (BRL/caja):</t>
  </si>
  <si>
    <t>PRECIO vs CARGAS SEMANAL  -  Brasil 2025</t>
  </si>
  <si>
    <t>52 semanas activas  |  Correlacion Pearson: -0,029  |  Promedio precio: 47,29 BRL/caja</t>
  </si>
  <si>
    <t>Semana</t>
  </si>
  <si>
    <t>Rango</t>
  </si>
  <si>
    <t># Productores</t>
  </si>
  <si>
    <t>Semana 1</t>
  </si>
  <si>
    <t>30/12 al 04/01</t>
  </si>
  <si>
    <t>Semana 2</t>
  </si>
  <si>
    <t>06/01 al 12/01</t>
  </si>
  <si>
    <t>Semana 3</t>
  </si>
  <si>
    <t>13/01 al 18/01</t>
  </si>
  <si>
    <t>Semana 4</t>
  </si>
  <si>
    <t>20/01 al 25/01</t>
  </si>
  <si>
    <t>Semana 5</t>
  </si>
  <si>
    <t>27/01 al 01/02</t>
  </si>
  <si>
    <t>Semana 6</t>
  </si>
  <si>
    <t>03/02 al 08/02</t>
  </si>
  <si>
    <t>Semana 7</t>
  </si>
  <si>
    <t>10/02 al 15/02</t>
  </si>
  <si>
    <t>Semana 8</t>
  </si>
  <si>
    <t>17/02 al 22/02</t>
  </si>
  <si>
    <t>Semana 9</t>
  </si>
  <si>
    <t>24/02 al 01/03</t>
  </si>
  <si>
    <t>Semana 10</t>
  </si>
  <si>
    <t>03/03 al 08/03</t>
  </si>
  <si>
    <t>Semana 11</t>
  </si>
  <si>
    <t>Semana 12</t>
  </si>
  <si>
    <t>Semana 13</t>
  </si>
  <si>
    <t>Semana 14</t>
  </si>
  <si>
    <t>31/03 al 05/04</t>
  </si>
  <si>
    <t>Semana 15</t>
  </si>
  <si>
    <t>07/04 al 12/04</t>
  </si>
  <si>
    <t>Semana 16</t>
  </si>
  <si>
    <t>14/04 al 19/04</t>
  </si>
  <si>
    <t>Semana 17</t>
  </si>
  <si>
    <t>21/04 al 26/04</t>
  </si>
  <si>
    <t>Semana 18</t>
  </si>
  <si>
    <t>28/04 al 03/05</t>
  </si>
  <si>
    <t>Semana 19</t>
  </si>
  <si>
    <t>05/05 al 10/05</t>
  </si>
  <si>
    <t>Semana 20</t>
  </si>
  <si>
    <t>12/05 al 17/05</t>
  </si>
  <si>
    <t>Semana 21</t>
  </si>
  <si>
    <t>19/05 al 24/05</t>
  </si>
  <si>
    <t>Semana 22</t>
  </si>
  <si>
    <t>26/05 al 31/05</t>
  </si>
  <si>
    <t>Semana 23</t>
  </si>
  <si>
    <t>02/06 al 07/06</t>
  </si>
  <si>
    <t>Semana 24</t>
  </si>
  <si>
    <t>09/06 al 14/06</t>
  </si>
  <si>
    <t>Semana 25</t>
  </si>
  <si>
    <t>16/06 al 21/06</t>
  </si>
  <si>
    <t>Semana 26</t>
  </si>
  <si>
    <t>23/06 al 28/06</t>
  </si>
  <si>
    <t>30/06 al 05/07</t>
  </si>
  <si>
    <t>07/07 al 12/07</t>
  </si>
  <si>
    <t>14/07 al 19/07</t>
  </si>
  <si>
    <t>21/07 al 26/07</t>
  </si>
  <si>
    <t>28/07 al 3/08</t>
  </si>
  <si>
    <t>04/08 al 09/08</t>
  </si>
  <si>
    <t>11/08 al 16/08</t>
  </si>
  <si>
    <t>18/08 al 23/08</t>
  </si>
  <si>
    <t>Semana 27</t>
  </si>
  <si>
    <t>25/08 al 30/08</t>
  </si>
  <si>
    <t>Semana 28</t>
  </si>
  <si>
    <t>01/09 al 06/09</t>
  </si>
  <si>
    <t>Semana 29</t>
  </si>
  <si>
    <t>08/09 al 13/09</t>
  </si>
  <si>
    <t>Semana 30</t>
  </si>
  <si>
    <t>15/09 al 20/09</t>
  </si>
  <si>
    <t>Semana 31</t>
  </si>
  <si>
    <t>22/09 al 27/09</t>
  </si>
  <si>
    <t>Semana 32</t>
  </si>
  <si>
    <t>29/09 al 4/10</t>
  </si>
  <si>
    <t>Semana 33</t>
  </si>
  <si>
    <t>06/10 al 11/10</t>
  </si>
  <si>
    <t>Semana 34</t>
  </si>
  <si>
    <t>13/10 al 18/10</t>
  </si>
  <si>
    <t>Semana 35</t>
  </si>
  <si>
    <t>20/10 al 25/10</t>
  </si>
  <si>
    <t>Semana 36</t>
  </si>
  <si>
    <t>27/10 al 01/11</t>
  </si>
  <si>
    <t>Semana 37</t>
  </si>
  <si>
    <t>03/11 al 08/11</t>
  </si>
  <si>
    <t>Semana 38</t>
  </si>
  <si>
    <t>10/11 al 15/11</t>
  </si>
  <si>
    <t>Semana 39</t>
  </si>
  <si>
    <t>17/11 al 22/11</t>
  </si>
  <si>
    <t>Semana 40</t>
  </si>
  <si>
    <t>24/11 al 29/11</t>
  </si>
  <si>
    <t>Semana 41</t>
  </si>
  <si>
    <t>01/12 al 06/12</t>
  </si>
  <si>
    <t>Semana 42</t>
  </si>
  <si>
    <t>08/12 al 06/13</t>
  </si>
  <si>
    <t>Semana 43</t>
  </si>
  <si>
    <t>15/12 al 20/12</t>
  </si>
  <si>
    <t>Semana 44</t>
  </si>
  <si>
    <t>22/12 al 27/12</t>
  </si>
  <si>
    <t>Promedio carretas/semana:</t>
  </si>
  <si>
    <t>Promedio precio:</t>
  </si>
  <si>
    <t>Correlacion Pearson:</t>
  </si>
  <si>
    <t>LEYENDA  -  Rojo: shortage (precio +10% sobre prom, carretas -10% bajo prom)  |  Verde: oversupply (precio -15% bajo prom, carretas +10% sobre prom)</t>
  </si>
  <si>
    <t>WeekIdx</t>
  </si>
  <si>
    <t>Precio</t>
  </si>
  <si>
    <t>VENTAS ALMAR vs MERCADO  -  Bananas por pais de origen  (cajas ~20 kg)</t>
  </si>
  <si>
    <t>Ventas: planilla interna  |  Importaciones: Penta-Transaction  |  2026 = Ene-May (parcial)</t>
  </si>
  <si>
    <t>1) VENTAS POR PAIS DE ORIGEN  (cajas)</t>
  </si>
  <si>
    <t>Pais</t>
  </si>
  <si>
    <t>2026 (Ene-May)</t>
  </si>
  <si>
    <t>Var 24-25 %</t>
  </si>
  <si>
    <t>Var 25-26 % (anualizado)</t>
  </si>
  <si>
    <t>% mix 2025</t>
  </si>
  <si>
    <t>% mix 2026</t>
  </si>
  <si>
    <t>Brasil</t>
  </si>
  <si>
    <t>Bolivia</t>
  </si>
  <si>
    <t>Colombia</t>
  </si>
  <si>
    <t>Ecuador</t>
  </si>
  <si>
    <t>Paraguay</t>
  </si>
  <si>
    <t>2) BRASIL - IMPORTACIONES (Penta, kg brutos -&gt; cajas) vs VENTAS</t>
  </si>
  <si>
    <t>Periodo</t>
  </si>
  <si>
    <t>Penta kg brutos</t>
  </si>
  <si>
    <t>Penta cajas (20 kg)</t>
  </si>
  <si>
    <t>Ventas cajas</t>
  </si>
  <si>
    <t>Gap cajas</t>
  </si>
  <si>
    <t>Sell-through %</t>
  </si>
  <si>
    <t>2025 (Ene-Dic)</t>
  </si>
  <si>
    <t>2024 (Ene-Dic)</t>
  </si>
  <si>
    <t>n/d</t>
  </si>
  <si>
    <t>Importado (cajas)</t>
  </si>
  <si>
    <t>Vendido (cajas)</t>
  </si>
  <si>
    <t>2026 Ene-May</t>
  </si>
  <si>
    <t>3) PROYECCION 2026 (Brasil)  -  asume mismo ritmo Jun-Dic</t>
  </si>
  <si>
    <t>Ventas Brasil Ene-May:</t>
  </si>
  <si>
    <t>Proyeccion lineal full year:</t>
  </si>
  <si>
    <t>Variacion proyectada vs 2025:</t>
  </si>
  <si>
    <t>Variacion proyectada vs 2024:</t>
  </si>
  <si>
    <t>CALENDARIO DE PRECIOS BANANA BRASIL 2025  -  cuando preparte para las subas</t>
  </si>
  <si>
    <t>Precio promedio anual: 47,29 BRL/caja  |  Umbral BAJA: &lt;40,20  |  Umbral ALTA: &gt;52,02</t>
  </si>
  <si>
    <t>vs Prom %</t>
  </si>
  <si>
    <t>Fase</t>
  </si>
  <si>
    <t>Tendencia</t>
  </si>
  <si>
    <t>Accion sugerida</t>
  </si>
  <si>
    <t>NORMAL</t>
  </si>
  <si>
    <t>Compra normal</t>
  </si>
  <si>
    <t>BAJA</t>
  </si>
  <si>
    <t>COMPRAR FUERTE / stockear</t>
  </si>
  <si>
    <t xml:space="preserve">  [NORMAL -&gt; BAJA]</t>
  </si>
  <si>
    <t xml:space="preserve">  [BAJA -&gt; NORMAL]</t>
  </si>
  <si>
    <t>BAJANDO</t>
  </si>
  <si>
    <t>estable</t>
  </si>
  <si>
    <t>estable  [BAJA -&gt; NORMAL]</t>
  </si>
  <si>
    <t>estable  [NORMAL -&gt; BAJA]</t>
  </si>
  <si>
    <t>SUBIENDO</t>
  </si>
  <si>
    <t>Cerrar contratos antes que suba mas</t>
  </si>
  <si>
    <t>SUBIENDO  [BAJA -&gt; NORMAL]</t>
  </si>
  <si>
    <t>ALTA</t>
  </si>
  <si>
    <t>VENDER al alza / minimizar compras</t>
  </si>
  <si>
    <t>SUBIENDO  [NORMAL -&gt; ALTA]</t>
  </si>
  <si>
    <t>SEMANAS CRITICAS DE INFLEXION  -  cuando algo cambia</t>
  </si>
  <si>
    <t>Transicion</t>
  </si>
  <si>
    <t>Que significa</t>
  </si>
  <si>
    <t>NORMAL -&gt; BAJA</t>
  </si>
  <si>
    <t>Llega la abundancia - momento de stockear</t>
  </si>
  <si>
    <t>BAJA -&gt; NORMAL</t>
  </si>
  <si>
    <t>Ultima ventana de compra barata - actuar YA</t>
  </si>
  <si>
    <t>NORMAL -&gt; ALTA</t>
  </si>
  <si>
    <t>EMPIEZA LA SUBA FUERTE - ajustar precios de venta</t>
  </si>
  <si>
    <t>Umbral BAJA</t>
  </si>
  <si>
    <t>Umbral ALTA</t>
  </si>
  <si>
    <t>ALERTAS 2026  -  fechas equivalentes basadas en patron 2025  -  HOY: 12 de mayo 2026</t>
  </si>
  <si>
    <t>Periodo 2026</t>
  </si>
  <si>
    <t>Estado hoy</t>
  </si>
  <si>
    <t>Que esperar</t>
  </si>
  <si>
    <t>Accion</t>
  </si>
  <si>
    <t>Precio esperado (BRL/caja)</t>
  </si>
  <si>
    <t>FASE 1 - BAJA</t>
  </si>
  <si>
    <t>13/04 - 11/07</t>
  </si>
  <si>
    <t>ESTAS AQUI</t>
  </si>
  <si>
    <t>Precio bajo, mucha oferta</t>
  </si>
  <si>
    <t>COMPRAR FUERTE - stockear todo lo posible</t>
  </si>
  <si>
    <t>27 - 40</t>
  </si>
  <si>
    <t>FASE 2 - TRANSICION (Subiendo)</t>
  </si>
  <si>
    <t>13/07 - 08/08</t>
  </si>
  <si>
    <t>En 62 dias</t>
  </si>
  <si>
    <t>Sale del piso, empieza a subir</t>
  </si>
  <si>
    <t>ULTIMA VENTANA de compra razonable</t>
  </si>
  <si>
    <t>40 - 50</t>
  </si>
  <si>
    <t>FASE 3 - INFLEXION CRITICA</t>
  </si>
  <si>
    <t>10/08 - 15/08</t>
  </si>
  <si>
    <t>En 90 dias</t>
  </si>
  <si>
    <t>SALTO de +22% en una semana</t>
  </si>
  <si>
    <t>AJUSTAR PRECIOS DE VENTA hacia arriba</t>
  </si>
  <si>
    <t>50 -&gt; 55+</t>
  </si>
  <si>
    <t>FASE 4 - ALTA</t>
  </si>
  <si>
    <t>16/08 - 31/12</t>
  </si>
  <si>
    <t>En 96 dias</t>
  </si>
  <si>
    <t>Precios altos sostenidos, picos en Oct-Nov</t>
  </si>
  <si>
    <t>Operar por margen, no por volumen. Si necesitas stock fin de año, comprá en setiembre</t>
  </si>
  <si>
    <t>55 - 68</t>
  </si>
  <si>
    <t>FECHAS CLAVE PARA AGENDAR</t>
  </si>
  <si>
    <t>HOY  -  estas en FASE 1 - momento de comprar a precio bajo</t>
  </si>
  <si>
    <t>Fin de la FASE 1 BAJA  -  cerrar compras grandes</t>
  </si>
  <si>
    <t>Fin de ULTIMA VENTANA  -  cierre de contratos pre-suba</t>
  </si>
  <si>
    <t>15/08/2026</t>
  </si>
  <si>
    <t>PUNTO DE INFLEXION  -  ajustar precios de venta YA</t>
  </si>
  <si>
    <t>15/09/2026</t>
  </si>
  <si>
    <t>Comprar stock para fin de año (antes de la escasez Nov-Dic)</t>
  </si>
  <si>
    <t>ESCASEZ confirmada  -  operar solo por margen, no rellenar stock</t>
  </si>
  <si>
    <t>Precios en BRL/caja  |  1.008 cajas por carreta  |  26 kg bruto por caja</t>
  </si>
  <si>
    <t>Sell-through 2025 = 95,4 %  (Penta 808.436 cajas vs ventas 770.913 cajas).  Reconciliacion ahora muy buena con la data 2025 corregida.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</si>
</sst>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+0%;\-0%;0%"/>
    <numFmt numFmtId="165" formatCode="#.##0"/>
    <numFmt numFmtId="166" formatCode="#,000%"/>
    <numFmt numFmtId="167" formatCode="\+#,000;\-#,000;#,000"/>
    <numFmt numFmtId="168" formatCode="#.##00"/>
    <numFmt numFmtId="169" formatCode="#,000"/>
    <numFmt numFmtId="170" formatCode="#,#00"/>
    <numFmt numFmtId="171" formatCode="0,000"/>
    <numFmt numFmtId="172" formatCode="\+#,#00%;\-#,#00%;#,#00%"/>
    <numFmt numFmtId="173" formatCode="#,#00%"/>
    <numFmt numFmtId="174" formatCode="\+#,#00%;\-#,#0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D93C97"/>
      <name val="Calibri"/>
      <family val="2"/>
      <scheme val="minor"/>
    </font>
    <font>
      <b/>
      <i/>
      <sz val="11"/>
      <color rgb="FF808080"/>
      <name val="Calibri"/>
      <family val="2"/>
      <scheme val="minor"/>
    </font>
    <font>
      <b/>
      <i/>
      <sz val="13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i/>
      <sz val="11"/>
      <color rgb="FF008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9646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3F3D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4BC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0">
    <xf numFmtId="0" fontId="0" fillId="0" borderId="0" xfId="0"/>
    <xf numFmtId="0" fontId="16" fillId="0" borderId="0" xfId="0" applyFont="1"/>
    <xf numFmtId="0" fontId="19" fillId="33" borderId="0" xfId="0" applyFont="1" applyFill="1"/>
    <xf numFmtId="164" fontId="0" fillId="0" borderId="0" xfId="0" applyNumberFormat="1"/>
    <xf numFmtId="0" fontId="16" fillId="34" borderId="10" xfId="0" applyFont="1" applyFill="1" applyBorder="1"/>
    <xf numFmtId="164" fontId="16" fillId="34" borderId="10" xfId="0" applyNumberFormat="1" applyFont="1" applyFill="1" applyBorder="1"/>
    <xf numFmtId="0" fontId="20" fillId="0" borderId="0" xfId="0" applyFont="1"/>
    <xf numFmtId="0" fontId="14" fillId="0" borderId="0" xfId="0" applyFont="1"/>
    <xf numFmtId="0" fontId="21" fillId="0" borderId="0" xfId="0" applyFont="1"/>
    <xf numFmtId="165" fontId="0" fillId="0" borderId="0" xfId="0" applyNumberFormat="1"/>
    <xf numFmtId="166" fontId="0" fillId="0" borderId="0" xfId="0" applyNumberFormat="1"/>
    <xf numFmtId="0" fontId="16" fillId="35" borderId="0" xfId="0" applyFont="1" applyFill="1"/>
    <xf numFmtId="165" fontId="16" fillId="35" borderId="0" xfId="0" applyNumberFormat="1" applyFont="1" applyFill="1"/>
    <xf numFmtId="166" fontId="16" fillId="35" borderId="0" xfId="0" applyNumberFormat="1" applyFont="1" applyFill="1"/>
    <xf numFmtId="165" fontId="16" fillId="34" borderId="10" xfId="0" applyNumberFormat="1" applyFont="1" applyFill="1" applyBorder="1"/>
    <xf numFmtId="166" fontId="16" fillId="34" borderId="10" xfId="0" applyNumberFormat="1" applyFont="1" applyFill="1" applyBorder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168" fontId="16" fillId="34" borderId="10" xfId="0" applyNumberFormat="1" applyFont="1" applyFill="1" applyBorder="1"/>
    <xf numFmtId="169" fontId="16" fillId="34" borderId="10" xfId="0" applyNumberFormat="1" applyFont="1" applyFill="1" applyBorder="1"/>
    <xf numFmtId="1" fontId="16" fillId="34" borderId="10" xfId="0" applyNumberFormat="1" applyFont="1" applyFill="1" applyBorder="1"/>
    <xf numFmtId="167" fontId="20" fillId="0" borderId="0" xfId="0" applyNumberFormat="1" applyFont="1"/>
    <xf numFmtId="167" fontId="24" fillId="35" borderId="0" xfId="0" applyNumberFormat="1" applyFont="1" applyFill="1"/>
    <xf numFmtId="167" fontId="14" fillId="0" borderId="0" xfId="0" applyNumberFormat="1" applyFont="1"/>
    <xf numFmtId="0" fontId="25" fillId="0" borderId="0" xfId="0" applyFont="1"/>
    <xf numFmtId="170" fontId="0" fillId="0" borderId="0" xfId="0" applyNumberFormat="1"/>
    <xf numFmtId="171" fontId="16" fillId="0" borderId="0" xfId="0" applyNumberFormat="1" applyFont="1"/>
    <xf numFmtId="0" fontId="0" fillId="36" borderId="0" xfId="0" applyFill="1"/>
    <xf numFmtId="170" fontId="0" fillId="36" borderId="0" xfId="0" applyNumberFormat="1" applyFill="1"/>
    <xf numFmtId="169" fontId="0" fillId="36" borderId="0" xfId="0" applyNumberFormat="1" applyFill="1"/>
    <xf numFmtId="1" fontId="0" fillId="36" borderId="0" xfId="0" applyNumberFormat="1" applyFill="1"/>
    <xf numFmtId="0" fontId="0" fillId="37" borderId="0" xfId="0" applyFill="1"/>
    <xf numFmtId="170" fontId="0" fillId="37" borderId="0" xfId="0" applyNumberFormat="1" applyFill="1"/>
    <xf numFmtId="169" fontId="0" fillId="37" borderId="0" xfId="0" applyNumberFormat="1" applyFill="1"/>
    <xf numFmtId="1" fontId="0" fillId="37" borderId="0" xfId="0" applyNumberFormat="1" applyFill="1"/>
    <xf numFmtId="172" fontId="0" fillId="0" borderId="0" xfId="0" applyNumberFormat="1"/>
    <xf numFmtId="173" fontId="0" fillId="0" borderId="0" xfId="0" applyNumberFormat="1"/>
    <xf numFmtId="172" fontId="16" fillId="35" borderId="0" xfId="0" applyNumberFormat="1" applyFont="1" applyFill="1"/>
    <xf numFmtId="173" fontId="16" fillId="35" borderId="0" xfId="0" applyNumberFormat="1" applyFont="1" applyFill="1"/>
    <xf numFmtId="165" fontId="16" fillId="0" borderId="0" xfId="0" applyNumberFormat="1" applyFont="1"/>
    <xf numFmtId="172" fontId="16" fillId="34" borderId="10" xfId="0" applyNumberFormat="1" applyFont="1" applyFill="1" applyBorder="1"/>
    <xf numFmtId="173" fontId="16" fillId="34" borderId="10" xfId="0" applyNumberFormat="1" applyFont="1" applyFill="1" applyBorder="1"/>
    <xf numFmtId="173" fontId="24" fillId="0" borderId="0" xfId="0" applyNumberFormat="1" applyFont="1"/>
    <xf numFmtId="165" fontId="24" fillId="0" borderId="0" xfId="0" applyNumberFormat="1" applyFont="1"/>
    <xf numFmtId="174" fontId="24" fillId="0" borderId="0" xfId="0" applyNumberFormat="1" applyFont="1"/>
    <xf numFmtId="0" fontId="26" fillId="0" borderId="0" xfId="0" applyFont="1" applyAlignment="1">
      <alignment horizontal="center"/>
    </xf>
    <xf numFmtId="0" fontId="30" fillId="38" borderId="0" xfId="0" applyFont="1" applyFill="1"/>
    <xf numFmtId="0" fontId="30" fillId="39" borderId="0" xfId="0" applyFont="1" applyFill="1"/>
    <xf numFmtId="0" fontId="0" fillId="0" borderId="11" xfId="0" applyBorder="1"/>
    <xf numFmtId="170" fontId="0" fillId="0" borderId="11" xfId="0" applyNumberFormat="1" applyBorder="1"/>
    <xf numFmtId="169" fontId="0" fillId="0" borderId="11" xfId="0" applyNumberFormat="1" applyBorder="1"/>
    <xf numFmtId="164" fontId="0" fillId="0" borderId="11" xfId="0" applyNumberFormat="1" applyBorder="1"/>
    <xf numFmtId="0" fontId="30" fillId="39" borderId="11" xfId="0" applyFont="1" applyFill="1" applyBorder="1"/>
    <xf numFmtId="0" fontId="31" fillId="0" borderId="11" xfId="0" applyFont="1" applyBorder="1"/>
    <xf numFmtId="0" fontId="30" fillId="38" borderId="11" xfId="0" applyFont="1" applyFill="1" applyBorder="1"/>
    <xf numFmtId="0" fontId="30" fillId="37" borderId="0" xfId="0" applyFont="1" applyFill="1"/>
    <xf numFmtId="0" fontId="30" fillId="37" borderId="11" xfId="0" applyFont="1" applyFill="1" applyBorder="1"/>
    <xf numFmtId="0" fontId="32" fillId="0" borderId="0" xfId="0" applyFont="1" applyAlignment="1">
      <alignment horizontal="center"/>
    </xf>
    <xf numFmtId="0" fontId="34" fillId="33" borderId="0" xfId="0" applyFont="1" applyFill="1" applyAlignment="1">
      <alignment horizontal="center"/>
    </xf>
    <xf numFmtId="0" fontId="32" fillId="39" borderId="0" xfId="0" applyFont="1" applyFill="1" applyAlignment="1">
      <alignment horizontal="center"/>
    </xf>
    <xf numFmtId="14" fontId="32" fillId="0" borderId="0" xfId="0" applyNumberFormat="1" applyFont="1" applyAlignment="1">
      <alignment horizontal="center"/>
    </xf>
    <xf numFmtId="14" fontId="32" fillId="41" borderId="0" xfId="0" applyNumberFormat="1" applyFont="1" applyFill="1" applyAlignment="1">
      <alignment horizontal="center"/>
    </xf>
    <xf numFmtId="14" fontId="32" fillId="35" borderId="0" xfId="0" applyNumberFormat="1" applyFont="1" applyFill="1" applyAlignment="1">
      <alignment horizontal="center"/>
    </xf>
    <xf numFmtId="14" fontId="21" fillId="0" borderId="0" xfId="0" applyNumberFormat="1" applyFont="1"/>
    <xf numFmtId="0" fontId="22" fillId="33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9" fillId="0" borderId="0" xfId="0" applyFont="1"/>
    <xf numFmtId="0" fontId="16" fillId="0" borderId="0" xfId="0" applyFont="1"/>
    <xf numFmtId="0" fontId="0" fillId="0" borderId="0" xfId="0"/>
    <xf numFmtId="0" fontId="27" fillId="0" borderId="0" xfId="0" applyFont="1"/>
    <xf numFmtId="0" fontId="33" fillId="40" borderId="0" xfId="0" applyFont="1" applyFill="1" applyAlignment="1">
      <alignment horizontal="center"/>
    </xf>
    <xf numFmtId="0" fontId="32" fillId="41" borderId="0" xfId="0" applyFont="1" applyFill="1" applyAlignment="1">
      <alignment horizontal="center"/>
    </xf>
    <xf numFmtId="0" fontId="26" fillId="35" borderId="0" xfId="0" applyFont="1" applyFill="1" applyAlignment="1">
      <alignment horizontal="center"/>
    </xf>
    <xf numFmtId="0" fontId="21" fillId="34" borderId="0" xfId="0" applyFont="1" applyFill="1"/>
    <xf numFmtId="0" fontId="18" fillId="0" borderId="0" xfId="0" applyFont="1" applyAlignment="1">
      <alignment horizontal="center"/>
    </xf>
    <xf numFmtId="0" fontId="35" fillId="0" borderId="0" xfId="0" applyFont="1"/>
    <xf numFmtId="174" fontId="2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Carretas por mes 2025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'Por mes BR'!$B$3</c:f>
              <c:strCache>
                <c:ptCount val="1"/>
                <c:pt idx="0">
                  <c:v>Carretas</c:v>
                </c:pt>
              </c:strCache>
            </c:strRef>
          </c:tx>
          <c:invertIfNegative val="0"/>
          <c:cat>
            <c:strRef>
              <c:f>'Por mes BR'!$A$4:$A$15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'Por mes BR'!$B$4:$B$15</c:f>
              <c:numCache>
                <c:formatCode>#.##00</c:formatCode>
                <c:ptCount val="12"/>
                <c:pt idx="0">
                  <c:v>35</c:v>
                </c:pt>
                <c:pt idx="1">
                  <c:v>63</c:v>
                </c:pt>
                <c:pt idx="2">
                  <c:v>78.5</c:v>
                </c:pt>
                <c:pt idx="3">
                  <c:v>67</c:v>
                </c:pt>
                <c:pt idx="4">
                  <c:v>93.7</c:v>
                </c:pt>
                <c:pt idx="5">
                  <c:v>67</c:v>
                </c:pt>
                <c:pt idx="6">
                  <c:v>75</c:v>
                </c:pt>
                <c:pt idx="7">
                  <c:v>60</c:v>
                </c:pt>
                <c:pt idx="8">
                  <c:v>92</c:v>
                </c:pt>
                <c:pt idx="9">
                  <c:v>61</c:v>
                </c:pt>
                <c:pt idx="10">
                  <c:v>62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D-45C4-992A-C99BCAFE3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3820207"/>
        <c:axId val="1353814927"/>
      </c:barChart>
      <c:catAx>
        <c:axId val="13538202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53814927"/>
        <c:crosses val="autoZero"/>
        <c:auto val="1"/>
        <c:lblAlgn val="ctr"/>
        <c:lblOffset val="100"/>
        <c:noMultiLvlLbl val="0"/>
      </c:catAx>
      <c:valAx>
        <c:axId val="1353814927"/>
        <c:scaling>
          <c:orientation val="minMax"/>
        </c:scaling>
        <c:delete val="0"/>
        <c:axPos val="b"/>
        <c:majorGridlines/>
        <c:numFmt formatCode="#.##00" sourceLinked="1"/>
        <c:majorTickMark val="out"/>
        <c:minorTickMark val="none"/>
        <c:tickLblPos val="nextTo"/>
        <c:crossAx val="13538202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Precio promedio mensual (BRL)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 mes BR'!$G$3</c:f>
              <c:strCache>
                <c:ptCount val="1"/>
                <c:pt idx="0">
                  <c:v>Precio prom</c:v>
                </c:pt>
              </c:strCache>
            </c:strRef>
          </c:tx>
          <c:marker>
            <c:symbol val="none"/>
          </c:marker>
          <c:cat>
            <c:strRef>
              <c:f>'Por mes BR'!$F$4:$F$15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'Por mes BR'!$G$4:$G$15</c:f>
              <c:numCache>
                <c:formatCode>#,000</c:formatCode>
                <c:ptCount val="12"/>
                <c:pt idx="0">
                  <c:v>39.485714285714288</c:v>
                </c:pt>
                <c:pt idx="1">
                  <c:v>37.285714285714285</c:v>
                </c:pt>
                <c:pt idx="2">
                  <c:v>43.821656050955411</c:v>
                </c:pt>
                <c:pt idx="3">
                  <c:v>40.35820895522388</c:v>
                </c:pt>
                <c:pt idx="4">
                  <c:v>31.313767342582707</c:v>
                </c:pt>
                <c:pt idx="5">
                  <c:v>27.097014925373134</c:v>
                </c:pt>
                <c:pt idx="6">
                  <c:v>40.533333333333331</c:v>
                </c:pt>
                <c:pt idx="7">
                  <c:v>54.091666666666669</c:v>
                </c:pt>
                <c:pt idx="8">
                  <c:v>65.782608695652172</c:v>
                </c:pt>
                <c:pt idx="9">
                  <c:v>67.73770491803279</c:v>
                </c:pt>
                <c:pt idx="10">
                  <c:v>63.387096774193552</c:v>
                </c:pt>
                <c:pt idx="11">
                  <c:v>58.11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3-4E92-8DF1-806DA608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816367"/>
        <c:axId val="1353815407"/>
      </c:lineChart>
      <c:catAx>
        <c:axId val="1353816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3815407"/>
        <c:crosses val="autoZero"/>
        <c:auto val="1"/>
        <c:lblAlgn val="ctr"/>
        <c:lblOffset val="100"/>
        <c:noMultiLvlLbl val="0"/>
      </c:catAx>
      <c:valAx>
        <c:axId val="1353815407"/>
        <c:scaling>
          <c:orientation val="minMax"/>
        </c:scaling>
        <c:delete val="0"/>
        <c:axPos val="l"/>
        <c:majorGridlines/>
        <c:numFmt formatCode="#,000" sourceLinked="1"/>
        <c:majorTickMark val="out"/>
        <c:minorTickMark val="none"/>
        <c:tickLblPos val="nextTo"/>
        <c:crossAx val="1353816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Carretas por productor 2025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'Por productor BR'!$C$3</c:f>
              <c:strCache>
                <c:ptCount val="1"/>
                <c:pt idx="0">
                  <c:v>Carretas</c:v>
                </c:pt>
              </c:strCache>
            </c:strRef>
          </c:tx>
          <c:invertIfNegative val="0"/>
          <c:cat>
            <c:strRef>
              <c:f>'Por productor BR'!$B$4:$B$19</c:f>
              <c:strCache>
                <c:ptCount val="16"/>
                <c:pt idx="0">
                  <c:v>Fisher</c:v>
                </c:pt>
                <c:pt idx="1">
                  <c:v>Valdemar</c:v>
                </c:pt>
                <c:pt idx="2">
                  <c:v>Jony</c:v>
                </c:pt>
                <c:pt idx="3">
                  <c:v>Cassio</c:v>
                </c:pt>
                <c:pt idx="4">
                  <c:v>Gilson</c:v>
                </c:pt>
                <c:pt idx="5">
                  <c:v>Agrocurupa</c:v>
                </c:pt>
                <c:pt idx="6">
                  <c:v>Bahia</c:v>
                </c:pt>
                <c:pt idx="7">
                  <c:v>Claudia</c:v>
                </c:pt>
                <c:pt idx="8">
                  <c:v>Sergio</c:v>
                </c:pt>
                <c:pt idx="9">
                  <c:v>Aita</c:v>
                </c:pt>
                <c:pt idx="10">
                  <c:v>Victor</c:v>
                </c:pt>
                <c:pt idx="11">
                  <c:v>Sergio (bahia)</c:v>
                </c:pt>
                <c:pt idx="12">
                  <c:v>Tureck</c:v>
                </c:pt>
                <c:pt idx="13">
                  <c:v>Chicolandia</c:v>
                </c:pt>
                <c:pt idx="14">
                  <c:v>Gison</c:v>
                </c:pt>
                <c:pt idx="15">
                  <c:v>Chico</c:v>
                </c:pt>
              </c:strCache>
            </c:strRef>
          </c:cat>
          <c:val>
            <c:numRef>
              <c:f>'Por productor BR'!$C$4:$C$19</c:f>
              <c:numCache>
                <c:formatCode>#.##00</c:formatCode>
                <c:ptCount val="16"/>
                <c:pt idx="0">
                  <c:v>169.3</c:v>
                </c:pt>
                <c:pt idx="1">
                  <c:v>131.5</c:v>
                </c:pt>
                <c:pt idx="2">
                  <c:v>124.5</c:v>
                </c:pt>
                <c:pt idx="3">
                  <c:v>87</c:v>
                </c:pt>
                <c:pt idx="4">
                  <c:v>75.5</c:v>
                </c:pt>
                <c:pt idx="5">
                  <c:v>74</c:v>
                </c:pt>
                <c:pt idx="6">
                  <c:v>39</c:v>
                </c:pt>
                <c:pt idx="7">
                  <c:v>35</c:v>
                </c:pt>
                <c:pt idx="8">
                  <c:v>23</c:v>
                </c:pt>
                <c:pt idx="9">
                  <c:v>13.5</c:v>
                </c:pt>
                <c:pt idx="10">
                  <c:v>11.9</c:v>
                </c:pt>
                <c:pt idx="11">
                  <c:v>9</c:v>
                </c:pt>
                <c:pt idx="12">
                  <c:v>6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5-4EB1-9208-49DD8B25D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1731887"/>
        <c:axId val="1221734767"/>
      </c:barChart>
      <c:catAx>
        <c:axId val="12217318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21734767"/>
        <c:crosses val="autoZero"/>
        <c:auto val="1"/>
        <c:lblAlgn val="ctr"/>
        <c:lblOffset val="100"/>
        <c:noMultiLvlLbl val="0"/>
      </c:catAx>
      <c:valAx>
        <c:axId val="1221734767"/>
        <c:scaling>
          <c:orientation val="minMax"/>
        </c:scaling>
        <c:delete val="0"/>
        <c:axPos val="b"/>
        <c:majorGridlines/>
        <c:numFmt formatCode="#.##00" sourceLinked="1"/>
        <c:majorTickMark val="out"/>
        <c:minorTickMark val="none"/>
        <c:tickLblPos val="nextTo"/>
        <c:crossAx val="12217318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Cuota mercado UY  -  2025 (Ene-Dic)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Mercado!$C$5</c:f>
              <c:strCache>
                <c:ptCount val="1"/>
                <c:pt idx="0">
                  <c:v>USD VNA</c:v>
                </c:pt>
              </c:strCache>
            </c:strRef>
          </c:tx>
          <c:cat>
            <c:strRef>
              <c:f>Mercado!$B$6:$B$17</c:f>
              <c:strCache>
                <c:ptCount val="12"/>
                <c:pt idx="0">
                  <c:v>ALMAR S.R.L.</c:v>
                </c:pt>
                <c:pt idx="1">
                  <c:v>CIRO GENTILE S.A.</c:v>
                </c:pt>
                <c:pt idx="2">
                  <c:v>GARMIN S.R.L.</c:v>
                </c:pt>
                <c:pt idx="3">
                  <c:v>ALBEZ IBARRA RUBEN ALEJANDRO</c:v>
                </c:pt>
                <c:pt idx="4">
                  <c:v>EXPERTEX SA</c:v>
                </c:pt>
                <c:pt idx="5">
                  <c:v>RINALIR SOCIEDAD ANONIMA</c:v>
                </c:pt>
                <c:pt idx="6">
                  <c:v>MARAMA IMPORT AND EXPORT LTDA</c:v>
                </c:pt>
                <c:pt idx="7">
                  <c:v>FRUTTARA SAS</c:v>
                </c:pt>
                <c:pt idx="8">
                  <c:v>LA 5TA SAS</c:v>
                </c:pt>
                <c:pt idx="9">
                  <c:v>JEMI SAS</c:v>
                </c:pt>
                <c:pt idx="10">
                  <c:v>BANPY SAS</c:v>
                </c:pt>
                <c:pt idx="11">
                  <c:v>CRUFI S A</c:v>
                </c:pt>
              </c:strCache>
            </c:strRef>
          </c:cat>
          <c:val>
            <c:numRef>
              <c:f>Mercado!$C$6:$C$17</c:f>
              <c:numCache>
                <c:formatCode>#.##0</c:formatCode>
                <c:ptCount val="12"/>
                <c:pt idx="0">
                  <c:v>10753791</c:v>
                </c:pt>
                <c:pt idx="1">
                  <c:v>5925693</c:v>
                </c:pt>
                <c:pt idx="2">
                  <c:v>3333449</c:v>
                </c:pt>
                <c:pt idx="3">
                  <c:v>468119</c:v>
                </c:pt>
                <c:pt idx="4">
                  <c:v>438402</c:v>
                </c:pt>
                <c:pt idx="5">
                  <c:v>182962</c:v>
                </c:pt>
                <c:pt idx="6">
                  <c:v>179256</c:v>
                </c:pt>
                <c:pt idx="7">
                  <c:v>114000</c:v>
                </c:pt>
                <c:pt idx="8">
                  <c:v>23063</c:v>
                </c:pt>
                <c:pt idx="9">
                  <c:v>21879</c:v>
                </c:pt>
                <c:pt idx="10">
                  <c:v>1639</c:v>
                </c:pt>
                <c:pt idx="11">
                  <c:v>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B0-46EF-8E51-614407D3529B}"/>
            </c:ext>
          </c:extLst>
        </c:ser>
        <c:ser>
          <c:idx val="1"/>
          <c:order val="1"/>
          <c:tx>
            <c:strRef>
              <c:f>Mercado!$D$5</c:f>
              <c:strCache>
                <c:ptCount val="1"/>
                <c:pt idx="0">
                  <c:v>% Cuota</c:v>
                </c:pt>
              </c:strCache>
            </c:strRef>
          </c:tx>
          <c:cat>
            <c:strRef>
              <c:f>Mercado!$B$6:$B$17</c:f>
              <c:strCache>
                <c:ptCount val="12"/>
                <c:pt idx="0">
                  <c:v>ALMAR S.R.L.</c:v>
                </c:pt>
                <c:pt idx="1">
                  <c:v>CIRO GENTILE S.A.</c:v>
                </c:pt>
                <c:pt idx="2">
                  <c:v>GARMIN S.R.L.</c:v>
                </c:pt>
                <c:pt idx="3">
                  <c:v>ALBEZ IBARRA RUBEN ALEJANDRO</c:v>
                </c:pt>
                <c:pt idx="4">
                  <c:v>EXPERTEX SA</c:v>
                </c:pt>
                <c:pt idx="5">
                  <c:v>RINALIR SOCIEDAD ANONIMA</c:v>
                </c:pt>
                <c:pt idx="6">
                  <c:v>MARAMA IMPORT AND EXPORT LTDA</c:v>
                </c:pt>
                <c:pt idx="7">
                  <c:v>FRUTTARA SAS</c:v>
                </c:pt>
                <c:pt idx="8">
                  <c:v>LA 5TA SAS</c:v>
                </c:pt>
                <c:pt idx="9">
                  <c:v>JEMI SAS</c:v>
                </c:pt>
                <c:pt idx="10">
                  <c:v>BANPY SAS</c:v>
                </c:pt>
                <c:pt idx="11">
                  <c:v>CRUFI S A</c:v>
                </c:pt>
              </c:strCache>
            </c:strRef>
          </c:cat>
          <c:val>
            <c:numRef>
              <c:f>Mercado!$D$6:$D$17</c:f>
              <c:numCache>
                <c:formatCode>#,000%</c:formatCode>
                <c:ptCount val="12"/>
                <c:pt idx="0">
                  <c:v>0.50149999999999995</c:v>
                </c:pt>
                <c:pt idx="1">
                  <c:v>0.27629999999999999</c:v>
                </c:pt>
                <c:pt idx="2">
                  <c:v>0.1555</c:v>
                </c:pt>
                <c:pt idx="3">
                  <c:v>2.18E-2</c:v>
                </c:pt>
                <c:pt idx="4">
                  <c:v>2.0400000000000001E-2</c:v>
                </c:pt>
                <c:pt idx="5">
                  <c:v>8.5000000000000006E-3</c:v>
                </c:pt>
                <c:pt idx="6">
                  <c:v>8.3999999999999995E-3</c:v>
                </c:pt>
                <c:pt idx="7">
                  <c:v>5.3E-3</c:v>
                </c:pt>
                <c:pt idx="8">
                  <c:v>1.1000000000000001E-3</c:v>
                </c:pt>
                <c:pt idx="9">
                  <c:v>1E-3</c:v>
                </c:pt>
                <c:pt idx="10">
                  <c:v>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B0-46EF-8E51-614407D35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Ventas por pais de origen (2024-2025-2026)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vs Mercado'!$B$5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'Ventas vs Mercado'!$A$6:$A$10</c:f>
              <c:strCache>
                <c:ptCount val="5"/>
                <c:pt idx="0">
                  <c:v>Brasil</c:v>
                </c:pt>
                <c:pt idx="1">
                  <c:v>Bolivia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</c:strCache>
            </c:strRef>
          </c:cat>
          <c:val>
            <c:numRef>
              <c:f>'Ventas vs Mercado'!$B$6:$B$10</c:f>
              <c:numCache>
                <c:formatCode>#.##0</c:formatCode>
                <c:ptCount val="5"/>
                <c:pt idx="0">
                  <c:v>573734</c:v>
                </c:pt>
                <c:pt idx="1">
                  <c:v>16988</c:v>
                </c:pt>
                <c:pt idx="2">
                  <c:v>35616</c:v>
                </c:pt>
                <c:pt idx="3">
                  <c:v>309202</c:v>
                </c:pt>
                <c:pt idx="4">
                  <c:v>258354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2F-44E4-815B-E261D57336B5}"/>
            </c:ext>
          </c:extLst>
        </c:ser>
        <c:ser>
          <c:idx val="1"/>
          <c:order val="1"/>
          <c:tx>
            <c:strRef>
              <c:f>'Ventas vs Mercado'!$C$5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'Ventas vs Mercado'!$A$6:$A$10</c:f>
              <c:strCache>
                <c:ptCount val="5"/>
                <c:pt idx="0">
                  <c:v>Brasil</c:v>
                </c:pt>
                <c:pt idx="1">
                  <c:v>Bolivia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</c:strCache>
            </c:strRef>
          </c:cat>
          <c:val>
            <c:numRef>
              <c:f>'Ventas vs Mercado'!$C$6:$C$10</c:f>
              <c:numCache>
                <c:formatCode>#.##0</c:formatCode>
                <c:ptCount val="5"/>
                <c:pt idx="0">
                  <c:v>770913</c:v>
                </c:pt>
                <c:pt idx="1">
                  <c:v>70470</c:v>
                </c:pt>
                <c:pt idx="2">
                  <c:v>40068</c:v>
                </c:pt>
                <c:pt idx="3">
                  <c:v>339952</c:v>
                </c:pt>
                <c:pt idx="4">
                  <c:v>77735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2F-44E4-815B-E261D57336B5}"/>
            </c:ext>
          </c:extLst>
        </c:ser>
        <c:ser>
          <c:idx val="2"/>
          <c:order val="2"/>
          <c:tx>
            <c:strRef>
              <c:f>'Ventas vs Mercado'!$D$5</c:f>
              <c:strCache>
                <c:ptCount val="1"/>
                <c:pt idx="0">
                  <c:v>2026 (Ene-May)</c:v>
                </c:pt>
              </c:strCache>
            </c:strRef>
          </c:tx>
          <c:invertIfNegative val="0"/>
          <c:cat>
            <c:strRef>
              <c:f>'Ventas vs Mercado'!$A$6:$A$10</c:f>
              <c:strCache>
                <c:ptCount val="5"/>
                <c:pt idx="0">
                  <c:v>Brasil</c:v>
                </c:pt>
                <c:pt idx="1">
                  <c:v>Bolivia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</c:strCache>
            </c:strRef>
          </c:cat>
          <c:val>
            <c:numRef>
              <c:f>'Ventas vs Mercado'!$D$6:$D$10</c:f>
              <c:numCache>
                <c:formatCode>#.##0</c:formatCode>
                <c:ptCount val="5"/>
                <c:pt idx="0">
                  <c:v>257753</c:v>
                </c:pt>
                <c:pt idx="1">
                  <c:v>49956</c:v>
                </c:pt>
                <c:pt idx="2">
                  <c:v>0</c:v>
                </c:pt>
                <c:pt idx="3">
                  <c:v>169797</c:v>
                </c:pt>
                <c:pt idx="4">
                  <c:v>30085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2F-44E4-815B-E261D5733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6351216"/>
        <c:axId val="1536344496"/>
      </c:barChart>
      <c:catAx>
        <c:axId val="153635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6344496"/>
        <c:crosses val="autoZero"/>
        <c:auto val="1"/>
        <c:lblAlgn val="ctr"/>
        <c:lblOffset val="100"/>
        <c:noMultiLvlLbl val="0"/>
      </c:catAx>
      <c:valAx>
        <c:axId val="1536344496"/>
        <c:scaling>
          <c:orientation val="minMax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36351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Brasil  -  importado vs vendido (cajas)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vs Mercado'!$A$23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'Ventas vs Mercado'!$B$22:$C$22</c:f>
              <c:strCache>
                <c:ptCount val="2"/>
                <c:pt idx="0">
                  <c:v>Importado (cajas)</c:v>
                </c:pt>
                <c:pt idx="1">
                  <c:v>Vendido (cajas)</c:v>
                </c:pt>
              </c:strCache>
            </c:strRef>
          </c:cat>
          <c:val>
            <c:numRef>
              <c:f>'Ventas vs Mercado'!$B$23:$C$23</c:f>
              <c:numCache>
                <c:formatCode>#.##0</c:formatCode>
                <c:ptCount val="2"/>
                <c:pt idx="0">
                  <c:v>808436.34615384613</c:v>
                </c:pt>
                <c:pt idx="1">
                  <c:v>770913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6-4505-9D97-9CF3A5A85C3F}"/>
            </c:ext>
          </c:extLst>
        </c:ser>
        <c:ser>
          <c:idx val="1"/>
          <c:order val="1"/>
          <c:tx>
            <c:strRef>
              <c:f>'Ventas vs Mercado'!$A$24</c:f>
              <c:strCache>
                <c:ptCount val="1"/>
                <c:pt idx="0">
                  <c:v>2026 Ene-May</c:v>
                </c:pt>
              </c:strCache>
            </c:strRef>
          </c:tx>
          <c:invertIfNegative val="0"/>
          <c:cat>
            <c:strRef>
              <c:f>'Ventas vs Mercado'!$B$22:$C$22</c:f>
              <c:strCache>
                <c:ptCount val="2"/>
                <c:pt idx="0">
                  <c:v>Importado (cajas)</c:v>
                </c:pt>
                <c:pt idx="1">
                  <c:v>Vendido (cajas)</c:v>
                </c:pt>
              </c:strCache>
            </c:strRef>
          </c:cat>
          <c:val>
            <c:numRef>
              <c:f>'Ventas vs Mercado'!$B$24:$C$24</c:f>
              <c:numCache>
                <c:formatCode>#.##0</c:formatCode>
                <c:ptCount val="2"/>
                <c:pt idx="0">
                  <c:v>257671.53846153847</c:v>
                </c:pt>
                <c:pt idx="1">
                  <c:v>257753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6-4505-9D97-9CF3A5A85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6349296"/>
        <c:axId val="1536337296"/>
      </c:barChart>
      <c:catAx>
        <c:axId val="153634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6337296"/>
        <c:crosses val="autoZero"/>
        <c:auto val="1"/>
        <c:lblAlgn val="ctr"/>
        <c:lblOffset val="100"/>
        <c:noMultiLvlLbl val="0"/>
      </c:catAx>
      <c:valAx>
        <c:axId val="1536337296"/>
        <c:scaling>
          <c:orientation val="minMax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36349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Cargas (barras) vs Precio (linea) por mes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'Precio vs Cargas'!$B$4</c:f>
              <c:strCache>
                <c:ptCount val="1"/>
                <c:pt idx="0">
                  <c:v>Carretas</c:v>
                </c:pt>
              </c:strCache>
            </c:strRef>
          </c:tx>
          <c:invertIfNegative val="0"/>
          <c:cat>
            <c:strRef>
              <c:f>'Precio vs Cargas'!$A$5:$A$16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'Precio vs Cargas'!$B$5:$B$16</c:f>
              <c:numCache>
                <c:formatCode>#,#00</c:formatCode>
                <c:ptCount val="12"/>
                <c:pt idx="0">
                  <c:v>35</c:v>
                </c:pt>
                <c:pt idx="1">
                  <c:v>63</c:v>
                </c:pt>
                <c:pt idx="2">
                  <c:v>78.5</c:v>
                </c:pt>
                <c:pt idx="3">
                  <c:v>67</c:v>
                </c:pt>
                <c:pt idx="4">
                  <c:v>93.7</c:v>
                </c:pt>
                <c:pt idx="5">
                  <c:v>67</c:v>
                </c:pt>
                <c:pt idx="6">
                  <c:v>75</c:v>
                </c:pt>
                <c:pt idx="7">
                  <c:v>60</c:v>
                </c:pt>
                <c:pt idx="8">
                  <c:v>92</c:v>
                </c:pt>
                <c:pt idx="9">
                  <c:v>61</c:v>
                </c:pt>
                <c:pt idx="10">
                  <c:v>62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C-4E72-B144-022B174D0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687856"/>
        <c:axId val="1216689296"/>
      </c:barChart>
      <c:lineChart>
        <c:grouping val="standard"/>
        <c:varyColors val="0"/>
        <c:ser>
          <c:idx val="1"/>
          <c:order val="1"/>
          <c:tx>
            <c:strRef>
              <c:f>'Precio vs Cargas'!$C$4</c:f>
              <c:strCache>
                <c:ptCount val="1"/>
                <c:pt idx="0">
                  <c:v>Precio (BRL/caja)</c:v>
                </c:pt>
              </c:strCache>
            </c:strRef>
          </c:tx>
          <c:spPr>
            <a:ln w="38100"/>
          </c:spPr>
          <c:marker>
            <c:symbol val="circle"/>
            <c:size val="5"/>
            <c:spPr>
              <a:ln w="38100"/>
            </c:spPr>
          </c:marker>
          <c:cat>
            <c:strRef>
              <c:f>'Precio vs Cargas'!$A$5:$A$16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'Precio vs Cargas'!$C$5:$C$16</c:f>
              <c:numCache>
                <c:formatCode>#,000</c:formatCode>
                <c:ptCount val="12"/>
                <c:pt idx="0">
                  <c:v>39.49</c:v>
                </c:pt>
                <c:pt idx="1">
                  <c:v>37.29</c:v>
                </c:pt>
                <c:pt idx="2">
                  <c:v>43.82</c:v>
                </c:pt>
                <c:pt idx="3">
                  <c:v>40.36</c:v>
                </c:pt>
                <c:pt idx="4">
                  <c:v>31.31</c:v>
                </c:pt>
                <c:pt idx="5">
                  <c:v>27.1</c:v>
                </c:pt>
                <c:pt idx="6">
                  <c:v>40.53</c:v>
                </c:pt>
                <c:pt idx="7">
                  <c:v>54.09</c:v>
                </c:pt>
                <c:pt idx="8">
                  <c:v>65.78</c:v>
                </c:pt>
                <c:pt idx="9">
                  <c:v>67.739999999999995</c:v>
                </c:pt>
                <c:pt idx="10">
                  <c:v>63.39</c:v>
                </c:pt>
                <c:pt idx="11">
                  <c:v>58.11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8C-4E72-B144-022B174D0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404624"/>
        <c:axId val="1354403664"/>
      </c:lineChart>
      <c:catAx>
        <c:axId val="121668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6689296"/>
        <c:crosses val="autoZero"/>
        <c:auto val="1"/>
        <c:lblAlgn val="ctr"/>
        <c:lblOffset val="100"/>
        <c:noMultiLvlLbl val="0"/>
      </c:catAx>
      <c:valAx>
        <c:axId val="1216689296"/>
        <c:scaling>
          <c:orientation val="minMax"/>
        </c:scaling>
        <c:delete val="0"/>
        <c:axPos val="l"/>
        <c:majorGridlines/>
        <c:numFmt formatCode="#,#00" sourceLinked="1"/>
        <c:majorTickMark val="out"/>
        <c:minorTickMark val="none"/>
        <c:tickLblPos val="nextTo"/>
        <c:crossAx val="1216687856"/>
        <c:crosses val="autoZero"/>
        <c:crossBetween val="between"/>
      </c:valAx>
      <c:valAx>
        <c:axId val="1354403664"/>
        <c:scaling>
          <c:orientation val="minMax"/>
        </c:scaling>
        <c:delete val="0"/>
        <c:axPos val="r"/>
        <c:numFmt formatCode="#,000" sourceLinked="1"/>
        <c:majorTickMark val="out"/>
        <c:minorTickMark val="none"/>
        <c:tickLblPos val="nextTo"/>
        <c:crossAx val="1354404624"/>
        <c:crosses val="max"/>
        <c:crossBetween val="between"/>
      </c:valAx>
      <c:catAx>
        <c:axId val="135440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440366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Scatter  -  cada punto es un mes  (corr=-0,081)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yVal>
            <c:numRef>
              <c:f>'Precio vs Cargas'!$B$5:$B$16</c:f>
              <c:numCache>
                <c:formatCode>#,#00</c:formatCode>
                <c:ptCount val="12"/>
                <c:pt idx="0">
                  <c:v>35</c:v>
                </c:pt>
                <c:pt idx="1">
                  <c:v>63</c:v>
                </c:pt>
                <c:pt idx="2">
                  <c:v>78.5</c:v>
                </c:pt>
                <c:pt idx="3">
                  <c:v>67</c:v>
                </c:pt>
                <c:pt idx="4">
                  <c:v>93.7</c:v>
                </c:pt>
                <c:pt idx="5">
                  <c:v>67</c:v>
                </c:pt>
                <c:pt idx="6">
                  <c:v>75</c:v>
                </c:pt>
                <c:pt idx="7">
                  <c:v>60</c:v>
                </c:pt>
                <c:pt idx="8">
                  <c:v>92</c:v>
                </c:pt>
                <c:pt idx="9">
                  <c:v>61</c:v>
                </c:pt>
                <c:pt idx="10">
                  <c:v>62</c:v>
                </c:pt>
                <c:pt idx="1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11-4DF4-B014-40EF544687B1}"/>
            </c:ext>
          </c:extLst>
        </c:ser>
        <c:ser>
          <c:idx val="1"/>
          <c:order val="1"/>
          <c:spPr>
            <a:ln w="19050">
              <a:noFill/>
            </a:ln>
          </c:spPr>
          <c:yVal>
            <c:numRef>
              <c:f>'Precio vs Cargas'!$C$5:$C$16</c:f>
              <c:numCache>
                <c:formatCode>#,000</c:formatCode>
                <c:ptCount val="12"/>
                <c:pt idx="0">
                  <c:v>39.49</c:v>
                </c:pt>
                <c:pt idx="1">
                  <c:v>37.29</c:v>
                </c:pt>
                <c:pt idx="2">
                  <c:v>43.82</c:v>
                </c:pt>
                <c:pt idx="3">
                  <c:v>40.36</c:v>
                </c:pt>
                <c:pt idx="4">
                  <c:v>31.31</c:v>
                </c:pt>
                <c:pt idx="5">
                  <c:v>27.1</c:v>
                </c:pt>
                <c:pt idx="6">
                  <c:v>40.53</c:v>
                </c:pt>
                <c:pt idx="7">
                  <c:v>54.09</c:v>
                </c:pt>
                <c:pt idx="8">
                  <c:v>65.78</c:v>
                </c:pt>
                <c:pt idx="9">
                  <c:v>67.739999999999995</c:v>
                </c:pt>
                <c:pt idx="10">
                  <c:v>63.39</c:v>
                </c:pt>
                <c:pt idx="11">
                  <c:v>58.11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11-4DF4-B014-40EF54468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689776"/>
        <c:axId val="1359166016"/>
      </c:scatterChart>
      <c:valAx>
        <c:axId val="121668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Carretas / mes</a:t>
                </a:r>
              </a:p>
            </c:rich>
          </c:tx>
          <c:overlay val="0"/>
        </c:title>
        <c:majorTickMark val="out"/>
        <c:minorTickMark val="none"/>
        <c:tickLblPos val="nextTo"/>
        <c:crossAx val="1359166016"/>
        <c:crosses val="autoZero"/>
        <c:crossBetween val="midCat"/>
      </c:valAx>
      <c:valAx>
        <c:axId val="1359166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Precio (BRL/caja)</a:t>
                </a:r>
              </a:p>
            </c:rich>
          </c:tx>
          <c:overlay val="0"/>
        </c:title>
        <c:numFmt formatCode="#,#00" sourceLinked="1"/>
        <c:majorTickMark val="out"/>
        <c:minorTickMark val="none"/>
        <c:tickLblPos val="nextTo"/>
        <c:crossAx val="1216689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Carretas (barras) vs Precio (linea) por semana 2025  -  52 semanas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'Precio vs Cargas semanal'!$I$4</c:f>
              <c:strCache>
                <c:ptCount val="1"/>
                <c:pt idx="0">
                  <c:v>WeekIdx</c:v>
                </c:pt>
              </c:strCache>
            </c:strRef>
          </c:tx>
          <c:invertIfNegative val="0"/>
          <c:val>
            <c:numRef>
              <c:f>'Precio vs Cargas semanal'!$I$5:$I$56</c:f>
              <c:numCache>
                <c:formatCode>0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F-41FC-A7B6-9BAF6DB40509}"/>
            </c:ext>
          </c:extLst>
        </c:ser>
        <c:ser>
          <c:idx val="2"/>
          <c:order val="2"/>
          <c:tx>
            <c:strRef>
              <c:f>'Precio vs Cargas semanal'!$K$4</c:f>
              <c:strCache>
                <c:ptCount val="1"/>
                <c:pt idx="0">
                  <c:v>Precio</c:v>
                </c:pt>
              </c:strCache>
            </c:strRef>
          </c:tx>
          <c:invertIfNegative val="0"/>
          <c:val>
            <c:numRef>
              <c:f>'Precio vs Cargas semanal'!$K$5:$K$56</c:f>
              <c:numCache>
                <c:formatCode>#,000</c:formatCode>
                <c:ptCount val="52"/>
                <c:pt idx="0">
                  <c:v>50</c:v>
                </c:pt>
                <c:pt idx="1">
                  <c:v>40</c:v>
                </c:pt>
                <c:pt idx="2">
                  <c:v>42</c:v>
                </c:pt>
                <c:pt idx="3">
                  <c:v>40.6</c:v>
                </c:pt>
                <c:pt idx="4">
                  <c:v>35.4</c:v>
                </c:pt>
                <c:pt idx="5">
                  <c:v>34.111111111111114</c:v>
                </c:pt>
                <c:pt idx="6">
                  <c:v>32.92307692307692</c:v>
                </c:pt>
                <c:pt idx="7">
                  <c:v>41.315789473684212</c:v>
                </c:pt>
                <c:pt idx="8">
                  <c:v>40.153846153846153</c:v>
                </c:pt>
                <c:pt idx="9">
                  <c:v>42.777777777777779</c:v>
                </c:pt>
                <c:pt idx="10">
                  <c:v>44.090909090909093</c:v>
                </c:pt>
                <c:pt idx="11">
                  <c:v>43.951219512195124</c:v>
                </c:pt>
                <c:pt idx="12">
                  <c:v>44.388888888888886</c:v>
                </c:pt>
                <c:pt idx="13">
                  <c:v>44.285714285714285</c:v>
                </c:pt>
                <c:pt idx="14">
                  <c:v>40.43333333333333</c:v>
                </c:pt>
                <c:pt idx="15">
                  <c:v>40.142857142857146</c:v>
                </c:pt>
                <c:pt idx="16">
                  <c:v>36.875</c:v>
                </c:pt>
                <c:pt idx="17">
                  <c:v>37</c:v>
                </c:pt>
                <c:pt idx="18">
                  <c:v>35</c:v>
                </c:pt>
                <c:pt idx="19">
                  <c:v>31.555555555555557</c:v>
                </c:pt>
                <c:pt idx="20">
                  <c:v>29.352941176470587</c:v>
                </c:pt>
                <c:pt idx="21">
                  <c:v>24.908675799086758</c:v>
                </c:pt>
                <c:pt idx="22">
                  <c:v>25.15</c:v>
                </c:pt>
                <c:pt idx="23">
                  <c:v>27.157894736842106</c:v>
                </c:pt>
                <c:pt idx="24">
                  <c:v>28.2</c:v>
                </c:pt>
                <c:pt idx="25">
                  <c:v>28.583333333333332</c:v>
                </c:pt>
                <c:pt idx="26">
                  <c:v>29.1</c:v>
                </c:pt>
                <c:pt idx="27">
                  <c:v>37.235294117647058</c:v>
                </c:pt>
                <c:pt idx="28">
                  <c:v>40.666666666666664</c:v>
                </c:pt>
                <c:pt idx="29">
                  <c:v>42.866666666666667</c:v>
                </c:pt>
                <c:pt idx="30">
                  <c:v>47.944444444444443</c:v>
                </c:pt>
                <c:pt idx="31">
                  <c:v>51.142857142857146</c:v>
                </c:pt>
                <c:pt idx="32">
                  <c:v>55.210526315789473</c:v>
                </c:pt>
                <c:pt idx="33">
                  <c:v>55.015384615384619</c:v>
                </c:pt>
                <c:pt idx="34">
                  <c:v>54.664285714285711</c:v>
                </c:pt>
                <c:pt idx="35">
                  <c:v>56.65</c:v>
                </c:pt>
                <c:pt idx="36">
                  <c:v>60</c:v>
                </c:pt>
                <c:pt idx="37">
                  <c:v>68.333333333333329</c:v>
                </c:pt>
                <c:pt idx="38">
                  <c:v>71.833333333333329</c:v>
                </c:pt>
                <c:pt idx="39">
                  <c:v>72.421052631578945</c:v>
                </c:pt>
                <c:pt idx="40">
                  <c:v>70.588235294117652</c:v>
                </c:pt>
                <c:pt idx="41">
                  <c:v>67.875</c:v>
                </c:pt>
                <c:pt idx="42">
                  <c:v>65</c:v>
                </c:pt>
                <c:pt idx="43">
                  <c:v>66.733333333333334</c:v>
                </c:pt>
                <c:pt idx="44">
                  <c:v>64.86666666666666</c:v>
                </c:pt>
                <c:pt idx="45">
                  <c:v>64.055555555555557</c:v>
                </c:pt>
                <c:pt idx="46">
                  <c:v>63.764705882352942</c:v>
                </c:pt>
                <c:pt idx="47">
                  <c:v>60</c:v>
                </c:pt>
                <c:pt idx="48">
                  <c:v>61.81818181818182</c:v>
                </c:pt>
                <c:pt idx="49">
                  <c:v>60</c:v>
                </c:pt>
                <c:pt idx="50">
                  <c:v>55.7</c:v>
                </c:pt>
                <c:pt idx="51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BF-41FC-A7B6-9BAF6DB40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801295"/>
        <c:axId val="621801775"/>
      </c:barChart>
      <c:lineChart>
        <c:grouping val="standard"/>
        <c:varyColors val="0"/>
        <c:ser>
          <c:idx val="1"/>
          <c:order val="1"/>
          <c:tx>
            <c:strRef>
              <c:f>'Precio vs Cargas semanal'!$J$4</c:f>
              <c:strCache>
                <c:ptCount val="1"/>
                <c:pt idx="0">
                  <c:v>Carretas</c:v>
                </c:pt>
              </c:strCache>
            </c:strRef>
          </c:tx>
          <c:spPr>
            <a:ln w="31750"/>
          </c:spPr>
          <c:marker>
            <c:symbol val="none"/>
          </c:marker>
          <c:val>
            <c:numRef>
              <c:f>'Precio vs Cargas semanal'!$J$5:$J$56</c:f>
              <c:numCache>
                <c:formatCode>#,#00</c:formatCode>
                <c:ptCount val="52"/>
                <c:pt idx="0">
                  <c:v>1</c:v>
                </c:pt>
                <c:pt idx="1">
                  <c:v>8</c:v>
                </c:pt>
                <c:pt idx="2">
                  <c:v>6</c:v>
                </c:pt>
                <c:pt idx="3">
                  <c:v>10</c:v>
                </c:pt>
                <c:pt idx="4">
                  <c:v>10</c:v>
                </c:pt>
                <c:pt idx="5">
                  <c:v>18</c:v>
                </c:pt>
                <c:pt idx="6">
                  <c:v>13</c:v>
                </c:pt>
                <c:pt idx="7">
                  <c:v>19</c:v>
                </c:pt>
                <c:pt idx="8">
                  <c:v>13</c:v>
                </c:pt>
                <c:pt idx="9">
                  <c:v>18</c:v>
                </c:pt>
                <c:pt idx="10">
                  <c:v>22</c:v>
                </c:pt>
                <c:pt idx="11">
                  <c:v>20.5</c:v>
                </c:pt>
                <c:pt idx="12">
                  <c:v>18</c:v>
                </c:pt>
                <c:pt idx="13">
                  <c:v>14</c:v>
                </c:pt>
                <c:pt idx="14">
                  <c:v>30</c:v>
                </c:pt>
                <c:pt idx="15">
                  <c:v>7</c:v>
                </c:pt>
                <c:pt idx="16">
                  <c:v>16</c:v>
                </c:pt>
                <c:pt idx="17">
                  <c:v>16.8</c:v>
                </c:pt>
                <c:pt idx="18">
                  <c:v>20</c:v>
                </c:pt>
                <c:pt idx="19">
                  <c:v>18</c:v>
                </c:pt>
                <c:pt idx="20">
                  <c:v>17</c:v>
                </c:pt>
                <c:pt idx="21">
                  <c:v>21.9</c:v>
                </c:pt>
                <c:pt idx="22">
                  <c:v>20</c:v>
                </c:pt>
                <c:pt idx="23">
                  <c:v>19</c:v>
                </c:pt>
                <c:pt idx="24">
                  <c:v>10</c:v>
                </c:pt>
                <c:pt idx="25">
                  <c:v>18</c:v>
                </c:pt>
                <c:pt idx="26">
                  <c:v>10</c:v>
                </c:pt>
                <c:pt idx="27">
                  <c:v>17</c:v>
                </c:pt>
                <c:pt idx="28">
                  <c:v>15</c:v>
                </c:pt>
                <c:pt idx="29">
                  <c:v>15</c:v>
                </c:pt>
                <c:pt idx="30">
                  <c:v>18</c:v>
                </c:pt>
                <c:pt idx="31">
                  <c:v>14</c:v>
                </c:pt>
                <c:pt idx="32">
                  <c:v>19</c:v>
                </c:pt>
                <c:pt idx="33">
                  <c:v>13</c:v>
                </c:pt>
                <c:pt idx="34">
                  <c:v>14</c:v>
                </c:pt>
                <c:pt idx="35">
                  <c:v>20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17</c:v>
                </c:pt>
                <c:pt idx="41">
                  <c:v>16</c:v>
                </c:pt>
                <c:pt idx="42">
                  <c:v>13</c:v>
                </c:pt>
                <c:pt idx="43">
                  <c:v>15</c:v>
                </c:pt>
                <c:pt idx="44">
                  <c:v>15</c:v>
                </c:pt>
                <c:pt idx="45">
                  <c:v>18</c:v>
                </c:pt>
                <c:pt idx="46">
                  <c:v>17</c:v>
                </c:pt>
                <c:pt idx="47">
                  <c:v>12</c:v>
                </c:pt>
                <c:pt idx="48">
                  <c:v>11</c:v>
                </c:pt>
                <c:pt idx="49">
                  <c:v>13</c:v>
                </c:pt>
                <c:pt idx="50">
                  <c:v>20</c:v>
                </c:pt>
                <c:pt idx="5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BF-41FC-A7B6-9BAF6DB40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747535"/>
        <c:axId val="621738415"/>
      </c:lineChart>
      <c:catAx>
        <c:axId val="621801295"/>
        <c:scaling>
          <c:orientation val="minMax"/>
        </c:scaling>
        <c:delete val="0"/>
        <c:axPos val="b"/>
        <c:majorTickMark val="out"/>
        <c:minorTickMark val="none"/>
        <c:tickLblPos val="nextTo"/>
        <c:crossAx val="621801775"/>
        <c:crosses val="autoZero"/>
        <c:auto val="1"/>
        <c:lblAlgn val="ctr"/>
        <c:lblOffset val="100"/>
        <c:noMultiLvlLbl val="0"/>
      </c:catAx>
      <c:valAx>
        <c:axId val="621801775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621801295"/>
        <c:crosses val="autoZero"/>
        <c:crossBetween val="between"/>
      </c:valAx>
      <c:valAx>
        <c:axId val="621738415"/>
        <c:scaling>
          <c:orientation val="minMax"/>
        </c:scaling>
        <c:delete val="0"/>
        <c:axPos val="r"/>
        <c:numFmt formatCode="#,#00" sourceLinked="1"/>
        <c:majorTickMark val="out"/>
        <c:minorTickMark val="none"/>
        <c:tickLblPos val="nextTo"/>
        <c:crossAx val="621747535"/>
        <c:crosses val="max"/>
        <c:crossBetween val="between"/>
      </c:valAx>
      <c:catAx>
        <c:axId val="621747535"/>
        <c:scaling>
          <c:orientation val="minMax"/>
        </c:scaling>
        <c:delete val="1"/>
        <c:axPos val="b"/>
        <c:majorTickMark val="out"/>
        <c:minorTickMark val="none"/>
        <c:tickLblPos val="nextTo"/>
        <c:crossAx val="621738415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Scatter semanal  -  cada punto = una semana  (corr = -0,029)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yVal>
            <c:numRef>
              <c:f>'Precio vs Cargas semanal'!$J$5:$J$56</c:f>
              <c:numCache>
                <c:formatCode>#,#00</c:formatCode>
                <c:ptCount val="52"/>
                <c:pt idx="0">
                  <c:v>1</c:v>
                </c:pt>
                <c:pt idx="1">
                  <c:v>8</c:v>
                </c:pt>
                <c:pt idx="2">
                  <c:v>6</c:v>
                </c:pt>
                <c:pt idx="3">
                  <c:v>10</c:v>
                </c:pt>
                <c:pt idx="4">
                  <c:v>10</c:v>
                </c:pt>
                <c:pt idx="5">
                  <c:v>18</c:v>
                </c:pt>
                <c:pt idx="6">
                  <c:v>13</c:v>
                </c:pt>
                <c:pt idx="7">
                  <c:v>19</c:v>
                </c:pt>
                <c:pt idx="8">
                  <c:v>13</c:v>
                </c:pt>
                <c:pt idx="9">
                  <c:v>18</c:v>
                </c:pt>
                <c:pt idx="10">
                  <c:v>22</c:v>
                </c:pt>
                <c:pt idx="11">
                  <c:v>20.5</c:v>
                </c:pt>
                <c:pt idx="12">
                  <c:v>18</c:v>
                </c:pt>
                <c:pt idx="13">
                  <c:v>14</c:v>
                </c:pt>
                <c:pt idx="14">
                  <c:v>30</c:v>
                </c:pt>
                <c:pt idx="15">
                  <c:v>7</c:v>
                </c:pt>
                <c:pt idx="16">
                  <c:v>16</c:v>
                </c:pt>
                <c:pt idx="17">
                  <c:v>16.8</c:v>
                </c:pt>
                <c:pt idx="18">
                  <c:v>20</c:v>
                </c:pt>
                <c:pt idx="19">
                  <c:v>18</c:v>
                </c:pt>
                <c:pt idx="20">
                  <c:v>17</c:v>
                </c:pt>
                <c:pt idx="21">
                  <c:v>21.9</c:v>
                </c:pt>
                <c:pt idx="22">
                  <c:v>20</c:v>
                </c:pt>
                <c:pt idx="23">
                  <c:v>19</c:v>
                </c:pt>
                <c:pt idx="24">
                  <c:v>10</c:v>
                </c:pt>
                <c:pt idx="25">
                  <c:v>18</c:v>
                </c:pt>
                <c:pt idx="26">
                  <c:v>10</c:v>
                </c:pt>
                <c:pt idx="27">
                  <c:v>17</c:v>
                </c:pt>
                <c:pt idx="28">
                  <c:v>15</c:v>
                </c:pt>
                <c:pt idx="29">
                  <c:v>15</c:v>
                </c:pt>
                <c:pt idx="30">
                  <c:v>18</c:v>
                </c:pt>
                <c:pt idx="31">
                  <c:v>14</c:v>
                </c:pt>
                <c:pt idx="32">
                  <c:v>19</c:v>
                </c:pt>
                <c:pt idx="33">
                  <c:v>13</c:v>
                </c:pt>
                <c:pt idx="34">
                  <c:v>14</c:v>
                </c:pt>
                <c:pt idx="35">
                  <c:v>20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17</c:v>
                </c:pt>
                <c:pt idx="41">
                  <c:v>16</c:v>
                </c:pt>
                <c:pt idx="42">
                  <c:v>13</c:v>
                </c:pt>
                <c:pt idx="43">
                  <c:v>15</c:v>
                </c:pt>
                <c:pt idx="44">
                  <c:v>15</c:v>
                </c:pt>
                <c:pt idx="45">
                  <c:v>18</c:v>
                </c:pt>
                <c:pt idx="46">
                  <c:v>17</c:v>
                </c:pt>
                <c:pt idx="47">
                  <c:v>12</c:v>
                </c:pt>
                <c:pt idx="48">
                  <c:v>11</c:v>
                </c:pt>
                <c:pt idx="49">
                  <c:v>13</c:v>
                </c:pt>
                <c:pt idx="50">
                  <c:v>20</c:v>
                </c:pt>
                <c:pt idx="5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AB-4402-8946-F7E183F6AE13}"/>
            </c:ext>
          </c:extLst>
        </c:ser>
        <c:ser>
          <c:idx val="1"/>
          <c:order val="1"/>
          <c:spPr>
            <a:ln w="19050">
              <a:noFill/>
            </a:ln>
          </c:spPr>
          <c:yVal>
            <c:numRef>
              <c:f>'Precio vs Cargas semanal'!$K$5:$K$56</c:f>
              <c:numCache>
                <c:formatCode>#,000</c:formatCode>
                <c:ptCount val="52"/>
                <c:pt idx="0">
                  <c:v>50</c:v>
                </c:pt>
                <c:pt idx="1">
                  <c:v>40</c:v>
                </c:pt>
                <c:pt idx="2">
                  <c:v>42</c:v>
                </c:pt>
                <c:pt idx="3">
                  <c:v>40.6</c:v>
                </c:pt>
                <c:pt idx="4">
                  <c:v>35.4</c:v>
                </c:pt>
                <c:pt idx="5">
                  <c:v>34.111111111111114</c:v>
                </c:pt>
                <c:pt idx="6">
                  <c:v>32.92307692307692</c:v>
                </c:pt>
                <c:pt idx="7">
                  <c:v>41.315789473684212</c:v>
                </c:pt>
                <c:pt idx="8">
                  <c:v>40.153846153846153</c:v>
                </c:pt>
                <c:pt idx="9">
                  <c:v>42.777777777777779</c:v>
                </c:pt>
                <c:pt idx="10">
                  <c:v>44.090909090909093</c:v>
                </c:pt>
                <c:pt idx="11">
                  <c:v>43.951219512195124</c:v>
                </c:pt>
                <c:pt idx="12">
                  <c:v>44.388888888888886</c:v>
                </c:pt>
                <c:pt idx="13">
                  <c:v>44.285714285714285</c:v>
                </c:pt>
                <c:pt idx="14">
                  <c:v>40.43333333333333</c:v>
                </c:pt>
                <c:pt idx="15">
                  <c:v>40.142857142857146</c:v>
                </c:pt>
                <c:pt idx="16">
                  <c:v>36.875</c:v>
                </c:pt>
                <c:pt idx="17">
                  <c:v>37</c:v>
                </c:pt>
                <c:pt idx="18">
                  <c:v>35</c:v>
                </c:pt>
                <c:pt idx="19">
                  <c:v>31.555555555555557</c:v>
                </c:pt>
                <c:pt idx="20">
                  <c:v>29.352941176470587</c:v>
                </c:pt>
                <c:pt idx="21">
                  <c:v>24.908675799086758</c:v>
                </c:pt>
                <c:pt idx="22">
                  <c:v>25.15</c:v>
                </c:pt>
                <c:pt idx="23">
                  <c:v>27.157894736842106</c:v>
                </c:pt>
                <c:pt idx="24">
                  <c:v>28.2</c:v>
                </c:pt>
                <c:pt idx="25">
                  <c:v>28.583333333333332</c:v>
                </c:pt>
                <c:pt idx="26">
                  <c:v>29.1</c:v>
                </c:pt>
                <c:pt idx="27">
                  <c:v>37.235294117647058</c:v>
                </c:pt>
                <c:pt idx="28">
                  <c:v>40.666666666666664</c:v>
                </c:pt>
                <c:pt idx="29">
                  <c:v>42.866666666666667</c:v>
                </c:pt>
                <c:pt idx="30">
                  <c:v>47.944444444444443</c:v>
                </c:pt>
                <c:pt idx="31">
                  <c:v>51.142857142857146</c:v>
                </c:pt>
                <c:pt idx="32">
                  <c:v>55.210526315789473</c:v>
                </c:pt>
                <c:pt idx="33">
                  <c:v>55.015384615384619</c:v>
                </c:pt>
                <c:pt idx="34">
                  <c:v>54.664285714285711</c:v>
                </c:pt>
                <c:pt idx="35">
                  <c:v>56.65</c:v>
                </c:pt>
                <c:pt idx="36">
                  <c:v>60</c:v>
                </c:pt>
                <c:pt idx="37">
                  <c:v>68.333333333333329</c:v>
                </c:pt>
                <c:pt idx="38">
                  <c:v>71.833333333333329</c:v>
                </c:pt>
                <c:pt idx="39">
                  <c:v>72.421052631578945</c:v>
                </c:pt>
                <c:pt idx="40">
                  <c:v>70.588235294117652</c:v>
                </c:pt>
                <c:pt idx="41">
                  <c:v>67.875</c:v>
                </c:pt>
                <c:pt idx="42">
                  <c:v>65</c:v>
                </c:pt>
                <c:pt idx="43">
                  <c:v>66.733333333333334</c:v>
                </c:pt>
                <c:pt idx="44">
                  <c:v>64.86666666666666</c:v>
                </c:pt>
                <c:pt idx="45">
                  <c:v>64.055555555555557</c:v>
                </c:pt>
                <c:pt idx="46">
                  <c:v>63.764705882352942</c:v>
                </c:pt>
                <c:pt idx="47">
                  <c:v>60</c:v>
                </c:pt>
                <c:pt idx="48">
                  <c:v>61.81818181818182</c:v>
                </c:pt>
                <c:pt idx="49">
                  <c:v>60</c:v>
                </c:pt>
                <c:pt idx="50">
                  <c:v>55.7</c:v>
                </c:pt>
                <c:pt idx="51">
                  <c:v>55.25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AB-4402-8946-F7E183F6A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54255"/>
        <c:axId val="621748495"/>
      </c:scatterChart>
      <c:valAx>
        <c:axId val="62175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Carretas / semana</a:t>
                </a:r>
              </a:p>
            </c:rich>
          </c:tx>
          <c:overlay val="0"/>
        </c:title>
        <c:majorTickMark val="out"/>
        <c:minorTickMark val="none"/>
        <c:tickLblPos val="nextTo"/>
        <c:crossAx val="621748495"/>
        <c:crosses val="autoZero"/>
        <c:crossBetween val="midCat"/>
      </c:valAx>
      <c:valAx>
        <c:axId val="6217484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Precio (BRL/caja)</a:t>
                </a:r>
              </a:p>
            </c:rich>
          </c:tx>
          <c:overlay val="0"/>
        </c:title>
        <c:numFmt formatCode="#,#00" sourceLinked="1"/>
        <c:majorTickMark val="out"/>
        <c:minorTickMark val="none"/>
        <c:tickLblPos val="nextTo"/>
        <c:crossAx val="6217542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Precio BRL/caja por semana 2025 con zonas BAJA/ALTA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'Calendario Precios BR'!$A$94</c:f>
              <c:strCache>
                <c:ptCount val="1"/>
                <c:pt idx="0">
                  <c:v>WeekIdx</c:v>
                </c:pt>
              </c:strCache>
            </c:strRef>
          </c:tx>
          <c:marker>
            <c:symbol val="none"/>
          </c:marker>
          <c:val>
            <c:numRef>
              <c:f>'Calendario Precios BR'!$A$95:$A$146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3-45CD-A38E-B7F904E5A3E8}"/>
            </c:ext>
          </c:extLst>
        </c:ser>
        <c:ser>
          <c:idx val="1"/>
          <c:order val="1"/>
          <c:tx>
            <c:strRef>
              <c:f>'Calendario Precios BR'!$B$94</c:f>
              <c:strCache>
                <c:ptCount val="1"/>
                <c:pt idx="0">
                  <c:v>Precio</c:v>
                </c:pt>
              </c:strCache>
            </c:strRef>
          </c:tx>
          <c:marker>
            <c:symbol val="none"/>
          </c:marker>
          <c:val>
            <c:numRef>
              <c:f>'Calendario Precios BR'!$B$95:$B$146</c:f>
              <c:numCache>
                <c:formatCode>#,000</c:formatCode>
                <c:ptCount val="52"/>
                <c:pt idx="0">
                  <c:v>50</c:v>
                </c:pt>
                <c:pt idx="1">
                  <c:v>40</c:v>
                </c:pt>
                <c:pt idx="2">
                  <c:v>42</c:v>
                </c:pt>
                <c:pt idx="3">
                  <c:v>40.6</c:v>
                </c:pt>
                <c:pt idx="4">
                  <c:v>35.4</c:v>
                </c:pt>
                <c:pt idx="5">
                  <c:v>34.111111111111114</c:v>
                </c:pt>
                <c:pt idx="6">
                  <c:v>32.92307692307692</c:v>
                </c:pt>
                <c:pt idx="7">
                  <c:v>41.315789473684212</c:v>
                </c:pt>
                <c:pt idx="8">
                  <c:v>40.153846153846153</c:v>
                </c:pt>
                <c:pt idx="9">
                  <c:v>42.777777777777779</c:v>
                </c:pt>
                <c:pt idx="10">
                  <c:v>44.090909090909093</c:v>
                </c:pt>
                <c:pt idx="11">
                  <c:v>43.951219512195124</c:v>
                </c:pt>
                <c:pt idx="12">
                  <c:v>44.388888888888886</c:v>
                </c:pt>
                <c:pt idx="13">
                  <c:v>44.285714285714285</c:v>
                </c:pt>
                <c:pt idx="14">
                  <c:v>40.43333333333333</c:v>
                </c:pt>
                <c:pt idx="15">
                  <c:v>40.142857142857146</c:v>
                </c:pt>
                <c:pt idx="16">
                  <c:v>36.875</c:v>
                </c:pt>
                <c:pt idx="17">
                  <c:v>37</c:v>
                </c:pt>
                <c:pt idx="18">
                  <c:v>35</c:v>
                </c:pt>
                <c:pt idx="19">
                  <c:v>31.555555555555557</c:v>
                </c:pt>
                <c:pt idx="20">
                  <c:v>29.352941176470587</c:v>
                </c:pt>
                <c:pt idx="21">
                  <c:v>24.908675799086758</c:v>
                </c:pt>
                <c:pt idx="22">
                  <c:v>25.15</c:v>
                </c:pt>
                <c:pt idx="23">
                  <c:v>27.157894736842106</c:v>
                </c:pt>
                <c:pt idx="24">
                  <c:v>28.2</c:v>
                </c:pt>
                <c:pt idx="25">
                  <c:v>28.583333333333332</c:v>
                </c:pt>
                <c:pt idx="26">
                  <c:v>29.1</c:v>
                </c:pt>
                <c:pt idx="27">
                  <c:v>37.235294117647058</c:v>
                </c:pt>
                <c:pt idx="28">
                  <c:v>40.666666666666664</c:v>
                </c:pt>
                <c:pt idx="29">
                  <c:v>42.866666666666667</c:v>
                </c:pt>
                <c:pt idx="30">
                  <c:v>47.944444444444443</c:v>
                </c:pt>
                <c:pt idx="31">
                  <c:v>51.142857142857146</c:v>
                </c:pt>
                <c:pt idx="32">
                  <c:v>55.210526315789473</c:v>
                </c:pt>
                <c:pt idx="33">
                  <c:v>55.015384615384619</c:v>
                </c:pt>
                <c:pt idx="34">
                  <c:v>54.664285714285711</c:v>
                </c:pt>
                <c:pt idx="35">
                  <c:v>56.65</c:v>
                </c:pt>
                <c:pt idx="36">
                  <c:v>60</c:v>
                </c:pt>
                <c:pt idx="37">
                  <c:v>68.333333333333329</c:v>
                </c:pt>
                <c:pt idx="38">
                  <c:v>71.833333333333329</c:v>
                </c:pt>
                <c:pt idx="39">
                  <c:v>72.421052631578945</c:v>
                </c:pt>
                <c:pt idx="40">
                  <c:v>70.588235294117652</c:v>
                </c:pt>
                <c:pt idx="41">
                  <c:v>67.875</c:v>
                </c:pt>
                <c:pt idx="42">
                  <c:v>65</c:v>
                </c:pt>
                <c:pt idx="43">
                  <c:v>66.733333333333334</c:v>
                </c:pt>
                <c:pt idx="44">
                  <c:v>64.86666666666666</c:v>
                </c:pt>
                <c:pt idx="45">
                  <c:v>64.055555555555557</c:v>
                </c:pt>
                <c:pt idx="46">
                  <c:v>63.764705882352942</c:v>
                </c:pt>
                <c:pt idx="47">
                  <c:v>60</c:v>
                </c:pt>
                <c:pt idx="48">
                  <c:v>61.81818181818182</c:v>
                </c:pt>
                <c:pt idx="49">
                  <c:v>60</c:v>
                </c:pt>
                <c:pt idx="50">
                  <c:v>55.7</c:v>
                </c:pt>
                <c:pt idx="51">
                  <c:v>55.25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3-45CD-A38E-B7F904E5A3E8}"/>
            </c:ext>
          </c:extLst>
        </c:ser>
        <c:ser>
          <c:idx val="2"/>
          <c:order val="2"/>
          <c:tx>
            <c:strRef>
              <c:f>'Calendario Precios BR'!$C$94</c:f>
              <c:strCache>
                <c:ptCount val="1"/>
                <c:pt idx="0">
                  <c:v>Umbral BAJA</c:v>
                </c:pt>
              </c:strCache>
            </c:strRef>
          </c:tx>
          <c:marker>
            <c:symbol val="none"/>
          </c:marker>
          <c:val>
            <c:numRef>
              <c:f>'Calendario Precios BR'!$C$95:$C$146</c:f>
              <c:numCache>
                <c:formatCode>#,000</c:formatCode>
                <c:ptCount val="52"/>
                <c:pt idx="0">
                  <c:v>40.196719820247033</c:v>
                </c:pt>
                <c:pt idx="1">
                  <c:v>40.196719820247033</c:v>
                </c:pt>
                <c:pt idx="2">
                  <c:v>40.196719820247033</c:v>
                </c:pt>
                <c:pt idx="3">
                  <c:v>40.196719820247033</c:v>
                </c:pt>
                <c:pt idx="4">
                  <c:v>40.196719820247033</c:v>
                </c:pt>
                <c:pt idx="5">
                  <c:v>40.196719820247033</c:v>
                </c:pt>
                <c:pt idx="6">
                  <c:v>40.196719820247033</c:v>
                </c:pt>
                <c:pt idx="7">
                  <c:v>40.196719820247033</c:v>
                </c:pt>
                <c:pt idx="8">
                  <c:v>40.196719820247033</c:v>
                </c:pt>
                <c:pt idx="9">
                  <c:v>40.196719820247033</c:v>
                </c:pt>
                <c:pt idx="10">
                  <c:v>40.196719820247033</c:v>
                </c:pt>
                <c:pt idx="11">
                  <c:v>40.196719820247033</c:v>
                </c:pt>
                <c:pt idx="12">
                  <c:v>40.196719820247033</c:v>
                </c:pt>
                <c:pt idx="13">
                  <c:v>40.196719820247033</c:v>
                </c:pt>
                <c:pt idx="14">
                  <c:v>40.196719820247033</c:v>
                </c:pt>
                <c:pt idx="15">
                  <c:v>40.196719820247033</c:v>
                </c:pt>
                <c:pt idx="16">
                  <c:v>40.196719820247033</c:v>
                </c:pt>
                <c:pt idx="17">
                  <c:v>40.196719820247033</c:v>
                </c:pt>
                <c:pt idx="18">
                  <c:v>40.196719820247033</c:v>
                </c:pt>
                <c:pt idx="19">
                  <c:v>40.196719820247033</c:v>
                </c:pt>
                <c:pt idx="20">
                  <c:v>40.196719820247033</c:v>
                </c:pt>
                <c:pt idx="21">
                  <c:v>40.196719820247033</c:v>
                </c:pt>
                <c:pt idx="22">
                  <c:v>40.196719820247033</c:v>
                </c:pt>
                <c:pt idx="23">
                  <c:v>40.196719820247033</c:v>
                </c:pt>
                <c:pt idx="24">
                  <c:v>40.196719820247033</c:v>
                </c:pt>
                <c:pt idx="25">
                  <c:v>40.196719820247033</c:v>
                </c:pt>
                <c:pt idx="26">
                  <c:v>40.196719820247033</c:v>
                </c:pt>
                <c:pt idx="27">
                  <c:v>40.196719820247033</c:v>
                </c:pt>
                <c:pt idx="28">
                  <c:v>40.196719820247033</c:v>
                </c:pt>
                <c:pt idx="29">
                  <c:v>40.196719820247033</c:v>
                </c:pt>
                <c:pt idx="30">
                  <c:v>40.196719820247033</c:v>
                </c:pt>
                <c:pt idx="31">
                  <c:v>40.196719820247033</c:v>
                </c:pt>
                <c:pt idx="32">
                  <c:v>40.196719820247033</c:v>
                </c:pt>
                <c:pt idx="33">
                  <c:v>40.196719820247033</c:v>
                </c:pt>
                <c:pt idx="34">
                  <c:v>40.196719820247033</c:v>
                </c:pt>
                <c:pt idx="35">
                  <c:v>40.196719820247033</c:v>
                </c:pt>
                <c:pt idx="36">
                  <c:v>40.196719820247033</c:v>
                </c:pt>
                <c:pt idx="37">
                  <c:v>40.196719820247033</c:v>
                </c:pt>
                <c:pt idx="38">
                  <c:v>40.196719820247033</c:v>
                </c:pt>
                <c:pt idx="39">
                  <c:v>40.196719820247033</c:v>
                </c:pt>
                <c:pt idx="40">
                  <c:v>40.196719820247033</c:v>
                </c:pt>
                <c:pt idx="41">
                  <c:v>40.196719820247033</c:v>
                </c:pt>
                <c:pt idx="42">
                  <c:v>40.196719820247033</c:v>
                </c:pt>
                <c:pt idx="43">
                  <c:v>40.196719820247033</c:v>
                </c:pt>
                <c:pt idx="44">
                  <c:v>40.196719820247033</c:v>
                </c:pt>
                <c:pt idx="45">
                  <c:v>40.196719820247033</c:v>
                </c:pt>
                <c:pt idx="46">
                  <c:v>40.196719820247033</c:v>
                </c:pt>
                <c:pt idx="47">
                  <c:v>40.196719820247033</c:v>
                </c:pt>
                <c:pt idx="48">
                  <c:v>40.196719820247033</c:v>
                </c:pt>
                <c:pt idx="49">
                  <c:v>40.196719820247033</c:v>
                </c:pt>
                <c:pt idx="50">
                  <c:v>40.196719820247033</c:v>
                </c:pt>
                <c:pt idx="51">
                  <c:v>40.196719820247033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73-45CD-A38E-B7F904E5A3E8}"/>
            </c:ext>
          </c:extLst>
        </c:ser>
        <c:ser>
          <c:idx val="3"/>
          <c:order val="3"/>
          <c:tx>
            <c:strRef>
              <c:f>'Calendario Precios BR'!$D$94</c:f>
              <c:strCache>
                <c:ptCount val="1"/>
                <c:pt idx="0">
                  <c:v>Umbral ALTA</c:v>
                </c:pt>
              </c:strCache>
            </c:strRef>
          </c:tx>
          <c:marker>
            <c:symbol val="none"/>
          </c:marker>
          <c:val>
            <c:numRef>
              <c:f>'Calendario Precios BR'!$D$95:$D$146</c:f>
              <c:numCache>
                <c:formatCode>#,000</c:formatCode>
                <c:ptCount val="52"/>
                <c:pt idx="0">
                  <c:v>52.019284473260868</c:v>
                </c:pt>
                <c:pt idx="1">
                  <c:v>52.019284473260868</c:v>
                </c:pt>
                <c:pt idx="2">
                  <c:v>52.019284473260868</c:v>
                </c:pt>
                <c:pt idx="3">
                  <c:v>52.019284473260868</c:v>
                </c:pt>
                <c:pt idx="4">
                  <c:v>52.019284473260868</c:v>
                </c:pt>
                <c:pt idx="5">
                  <c:v>52.019284473260868</c:v>
                </c:pt>
                <c:pt idx="6">
                  <c:v>52.019284473260868</c:v>
                </c:pt>
                <c:pt idx="7">
                  <c:v>52.019284473260868</c:v>
                </c:pt>
                <c:pt idx="8">
                  <c:v>52.019284473260868</c:v>
                </c:pt>
                <c:pt idx="9">
                  <c:v>52.019284473260868</c:v>
                </c:pt>
                <c:pt idx="10">
                  <c:v>52.019284473260868</c:v>
                </c:pt>
                <c:pt idx="11">
                  <c:v>52.019284473260868</c:v>
                </c:pt>
                <c:pt idx="12">
                  <c:v>52.019284473260868</c:v>
                </c:pt>
                <c:pt idx="13">
                  <c:v>52.019284473260868</c:v>
                </c:pt>
                <c:pt idx="14">
                  <c:v>52.019284473260868</c:v>
                </c:pt>
                <c:pt idx="15">
                  <c:v>52.019284473260868</c:v>
                </c:pt>
                <c:pt idx="16">
                  <c:v>52.019284473260868</c:v>
                </c:pt>
                <c:pt idx="17">
                  <c:v>52.019284473260868</c:v>
                </c:pt>
                <c:pt idx="18">
                  <c:v>52.019284473260868</c:v>
                </c:pt>
                <c:pt idx="19">
                  <c:v>52.019284473260868</c:v>
                </c:pt>
                <c:pt idx="20">
                  <c:v>52.019284473260868</c:v>
                </c:pt>
                <c:pt idx="21">
                  <c:v>52.019284473260868</c:v>
                </c:pt>
                <c:pt idx="22">
                  <c:v>52.019284473260868</c:v>
                </c:pt>
                <c:pt idx="23">
                  <c:v>52.019284473260868</c:v>
                </c:pt>
                <c:pt idx="24">
                  <c:v>52.019284473260868</c:v>
                </c:pt>
                <c:pt idx="25">
                  <c:v>52.019284473260868</c:v>
                </c:pt>
                <c:pt idx="26">
                  <c:v>52.019284473260868</c:v>
                </c:pt>
                <c:pt idx="27">
                  <c:v>52.019284473260868</c:v>
                </c:pt>
                <c:pt idx="28">
                  <c:v>52.019284473260868</c:v>
                </c:pt>
                <c:pt idx="29">
                  <c:v>52.019284473260868</c:v>
                </c:pt>
                <c:pt idx="30">
                  <c:v>52.019284473260868</c:v>
                </c:pt>
                <c:pt idx="31">
                  <c:v>52.019284473260868</c:v>
                </c:pt>
                <c:pt idx="32">
                  <c:v>52.019284473260868</c:v>
                </c:pt>
                <c:pt idx="33">
                  <c:v>52.019284473260868</c:v>
                </c:pt>
                <c:pt idx="34">
                  <c:v>52.019284473260868</c:v>
                </c:pt>
                <c:pt idx="35">
                  <c:v>52.019284473260868</c:v>
                </c:pt>
                <c:pt idx="36">
                  <c:v>52.019284473260868</c:v>
                </c:pt>
                <c:pt idx="37">
                  <c:v>52.019284473260868</c:v>
                </c:pt>
                <c:pt idx="38">
                  <c:v>52.019284473260868</c:v>
                </c:pt>
                <c:pt idx="39">
                  <c:v>52.019284473260868</c:v>
                </c:pt>
                <c:pt idx="40">
                  <c:v>52.019284473260868</c:v>
                </c:pt>
                <c:pt idx="41">
                  <c:v>52.019284473260868</c:v>
                </c:pt>
                <c:pt idx="42">
                  <c:v>52.019284473260868</c:v>
                </c:pt>
                <c:pt idx="43">
                  <c:v>52.019284473260868</c:v>
                </c:pt>
                <c:pt idx="44">
                  <c:v>52.019284473260868</c:v>
                </c:pt>
                <c:pt idx="45">
                  <c:v>52.019284473260868</c:v>
                </c:pt>
                <c:pt idx="46">
                  <c:v>52.019284473260868</c:v>
                </c:pt>
                <c:pt idx="47">
                  <c:v>52.019284473260868</c:v>
                </c:pt>
                <c:pt idx="48">
                  <c:v>52.019284473260868</c:v>
                </c:pt>
                <c:pt idx="49">
                  <c:v>52.019284473260868</c:v>
                </c:pt>
                <c:pt idx="50">
                  <c:v>52.019284473260868</c:v>
                </c:pt>
                <c:pt idx="51">
                  <c:v>52.019284473260868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73-45CD-A38E-B7F904E5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539168"/>
        <c:axId val="1886528128"/>
      </c:lineChart>
      <c:catAx>
        <c:axId val="1886539168"/>
        <c:scaling>
          <c:orientation val="minMax"/>
        </c:scaling>
        <c:delete val="0"/>
        <c:axPos val="b"/>
        <c:majorTickMark val="out"/>
        <c:minorTickMark val="none"/>
        <c:tickLblPos val="nextTo"/>
        <c:crossAx val="1886528128"/>
        <c:crosses val="autoZero"/>
        <c:auto val="1"/>
        <c:lblAlgn val="ctr"/>
        <c:lblOffset val="100"/>
        <c:noMultiLvlLbl val="0"/>
      </c:catAx>
      <c:valAx>
        <c:axId val="188652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6539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Fisher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cliente'!$A$2:$A$14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cliente'!$B$2:$B$14</c:f>
              <c:numCache>
                <c:formatCode>General</c:formatCode>
                <c:ptCount val="13"/>
                <c:pt idx="0">
                  <c:v>2024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A7-4D36-A109-7BBE3A51AE98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cliente'!$A$2:$A$14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cliente'!$C$2:$C$14</c:f>
              <c:numCache>
                <c:formatCode>General</c:formatCode>
                <c:ptCount val="13"/>
                <c:pt idx="0">
                  <c:v>2025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7</c:v>
                </c:pt>
                <c:pt idx="5">
                  <c:v>23</c:v>
                </c:pt>
                <c:pt idx="6">
                  <c:v>19</c:v>
                </c:pt>
                <c:pt idx="7">
                  <c:v>21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12</c:v>
                </c:pt>
                <c:pt idx="1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A7-4D36-A109-7BBE3A51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40607"/>
        <c:axId val="692345407"/>
      </c:lineChart>
      <c:catAx>
        <c:axId val="692340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45407"/>
        <c:crosses val="autoZero"/>
        <c:auto val="1"/>
        <c:lblAlgn val="ctr"/>
        <c:lblOffset val="100"/>
        <c:noMultiLvlLbl val="0"/>
      </c:catAx>
      <c:valAx>
        <c:axId val="692345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406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Valdemar tuti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cliente'!$A$18:$A$30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cliente'!$B$18:$B$30</c:f>
              <c:numCache>
                <c:formatCode>General</c:formatCode>
                <c:ptCount val="13"/>
                <c:pt idx="0">
                  <c:v>2024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14</c:v>
                </c:pt>
                <c:pt idx="6">
                  <c:v>17</c:v>
                </c:pt>
                <c:pt idx="7">
                  <c:v>10</c:v>
                </c:pt>
                <c:pt idx="8">
                  <c:v>12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EC-4D42-9469-5F8D0683734D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cliente'!$A$18:$A$30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cliente'!$C$18:$C$30</c:f>
              <c:numCache>
                <c:formatCode>General</c:formatCode>
                <c:ptCount val="13"/>
                <c:pt idx="0">
                  <c:v>2025</c:v>
                </c:pt>
                <c:pt idx="1">
                  <c:v>7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6</c:v>
                </c:pt>
                <c:pt idx="7">
                  <c:v>7</c:v>
                </c:pt>
                <c:pt idx="8">
                  <c:v>14</c:v>
                </c:pt>
                <c:pt idx="9">
                  <c:v>18</c:v>
                </c:pt>
                <c:pt idx="10">
                  <c:v>15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EC-4D42-9469-5F8D06837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43967"/>
        <c:axId val="692348287"/>
      </c:lineChart>
      <c:catAx>
        <c:axId val="692343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48287"/>
        <c:crosses val="autoZero"/>
        <c:auto val="1"/>
        <c:lblAlgn val="ctr"/>
        <c:lblOffset val="100"/>
        <c:noMultiLvlLbl val="0"/>
      </c:catAx>
      <c:valAx>
        <c:axId val="6923482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439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Y"/>
              <a:t>Jony Viera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cliente'!$A$34:$A$46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cliente'!$B$34:$B$46</c:f>
              <c:numCache>
                <c:formatCode>General</c:formatCode>
                <c:ptCount val="13"/>
                <c:pt idx="0">
                  <c:v>2024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50-4745-9A7F-18C389E1EDAB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cliente'!$A$34:$A$46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cliente'!$C$34:$C$46</c:f>
              <c:numCache>
                <c:formatCode>General</c:formatCode>
                <c:ptCount val="13"/>
                <c:pt idx="0">
                  <c:v>2025</c:v>
                </c:pt>
                <c:pt idx="1">
                  <c:v>6</c:v>
                </c:pt>
                <c:pt idx="2">
                  <c:v>14</c:v>
                </c:pt>
                <c:pt idx="3">
                  <c:v>17</c:v>
                </c:pt>
                <c:pt idx="4">
                  <c:v>13</c:v>
                </c:pt>
                <c:pt idx="5">
                  <c:v>21</c:v>
                </c:pt>
                <c:pt idx="6">
                  <c:v>11</c:v>
                </c:pt>
                <c:pt idx="7">
                  <c:v>12</c:v>
                </c:pt>
                <c:pt idx="8">
                  <c:v>6</c:v>
                </c:pt>
                <c:pt idx="9">
                  <c:v>8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50-4745-9A7F-18C389E1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43007"/>
        <c:axId val="692351647"/>
      </c:lineChart>
      <c:catAx>
        <c:axId val="69234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51647"/>
        <c:crosses val="autoZero"/>
        <c:auto val="1"/>
        <c:lblAlgn val="ctr"/>
        <c:lblOffset val="100"/>
        <c:noMultiLvlLbl val="0"/>
      </c:catAx>
      <c:valAx>
        <c:axId val="6923516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430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Y"/>
              <a:t>Cassio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cliente'!$A$50:$A$62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cliente'!$B$50:$B$62</c:f>
              <c:numCache>
                <c:formatCode>General</c:formatCode>
                <c:ptCount val="13"/>
                <c:pt idx="0">
                  <c:v>2024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6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47-42B6-8ACB-A0A998113AD8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cliente'!$A$50:$A$62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cliente'!$C$50:$C$62</c:f>
              <c:numCache>
                <c:formatCode>General</c:formatCode>
                <c:ptCount val="13"/>
                <c:pt idx="0">
                  <c:v>2025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8</c:v>
                </c:pt>
                <c:pt idx="7">
                  <c:v>11</c:v>
                </c:pt>
                <c:pt idx="8">
                  <c:v>10</c:v>
                </c:pt>
                <c:pt idx="9">
                  <c:v>13</c:v>
                </c:pt>
                <c:pt idx="10">
                  <c:v>16</c:v>
                </c:pt>
                <c:pt idx="11">
                  <c:v>13</c:v>
                </c:pt>
                <c:pt idx="1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47-42B6-8ACB-A0A998113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39647"/>
        <c:axId val="692340127"/>
      </c:lineChart>
      <c:catAx>
        <c:axId val="692339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40127"/>
        <c:crosses val="autoZero"/>
        <c:auto val="1"/>
        <c:lblAlgn val="ctr"/>
        <c:lblOffset val="100"/>
        <c:noMultiLvlLbl val="0"/>
      </c:catAx>
      <c:valAx>
        <c:axId val="6923401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396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Y"/>
              <a:t>Gilson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cliente'!$A$66:$A$78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cliente'!$B$66:$B$78</c:f>
              <c:numCache>
                <c:formatCode>General</c:formatCode>
                <c:ptCount val="13"/>
                <c:pt idx="0">
                  <c:v>2024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7</c:v>
                </c:pt>
                <c:pt idx="1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8A-4FC2-9A08-117035774527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cliente'!$A$66:$A$78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cliente'!$C$66:$C$78</c:f>
              <c:numCache>
                <c:formatCode>General</c:formatCode>
                <c:ptCount val="13"/>
                <c:pt idx="0">
                  <c:v>2025</c:v>
                </c:pt>
                <c:pt idx="1">
                  <c:v>7</c:v>
                </c:pt>
                <c:pt idx="2">
                  <c:v>9</c:v>
                </c:pt>
                <c:pt idx="3">
                  <c:v>14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8A-4FC2-9A08-117035774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38207"/>
        <c:axId val="692355007"/>
      </c:lineChart>
      <c:catAx>
        <c:axId val="69233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55007"/>
        <c:crosses val="autoZero"/>
        <c:auto val="1"/>
        <c:lblAlgn val="ctr"/>
        <c:lblOffset val="100"/>
        <c:noMultiLvlLbl val="0"/>
      </c:catAx>
      <c:valAx>
        <c:axId val="6923550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382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Y"/>
              <a:t>Agrocurupa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cliente'!$A$82:$A$94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cliente'!$B$82:$B$94</c:f>
              <c:numCache>
                <c:formatCode>General</c:formatCode>
                <c:ptCount val="13"/>
                <c:pt idx="0">
                  <c:v>2024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78-4107-A0F6-0516E67407B1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cliente'!$A$82:$A$94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cliente'!$C$82:$C$94</c:f>
              <c:numCache>
                <c:formatCode>General</c:formatCode>
                <c:ptCount val="13"/>
                <c:pt idx="0">
                  <c:v>2025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78-4107-A0F6-0516E6740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45887"/>
        <c:axId val="692357407"/>
      </c:lineChart>
      <c:catAx>
        <c:axId val="692345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57407"/>
        <c:crosses val="autoZero"/>
        <c:auto val="1"/>
        <c:lblAlgn val="ctr"/>
        <c:lblOffset val="100"/>
        <c:noMultiLvlLbl val="0"/>
      </c:catAx>
      <c:valAx>
        <c:axId val="692357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458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Y"/>
              <a:t>Bahia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cliente'!$A$98:$A$110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cliente'!$B$98:$B$110</c:f>
              <c:numCache>
                <c:formatCode>General</c:formatCode>
                <c:ptCount val="13"/>
                <c:pt idx="0">
                  <c:v>2024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9</c:v>
                </c:pt>
                <c:pt idx="10">
                  <c:v>31</c:v>
                </c:pt>
                <c:pt idx="11">
                  <c:v>21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BB-4B56-840C-9FB8A9702471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cliente'!$A$98:$A$110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cliente'!$C$98:$C$110</c:f>
              <c:numCache>
                <c:formatCode>General</c:formatCode>
                <c:ptCount val="13"/>
                <c:pt idx="0">
                  <c:v>2025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6</c:v>
                </c:pt>
                <c:pt idx="10">
                  <c:v>6</c:v>
                </c:pt>
                <c:pt idx="11">
                  <c:v>22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BB-4B56-840C-9FB8A970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58367"/>
        <c:axId val="692360767"/>
      </c:lineChart>
      <c:catAx>
        <c:axId val="692358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60767"/>
        <c:crosses val="autoZero"/>
        <c:auto val="1"/>
        <c:lblAlgn val="ctr"/>
        <c:lblOffset val="100"/>
        <c:noMultiLvlLbl val="0"/>
      </c:catAx>
      <c:valAx>
        <c:axId val="6923607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58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Y"/>
              <a:t>Claudia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cliente'!$A$114:$A$126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cliente'!$B$114:$B$126</c:f>
              <c:numCache>
                <c:formatCode>General</c:formatCode>
                <c:ptCount val="13"/>
                <c:pt idx="0">
                  <c:v>2024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16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7E-48C0-9018-7F22D1331393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cliente'!$A$114:$A$126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cliente'!$C$114:$C$126</c:f>
              <c:numCache>
                <c:formatCode>General</c:formatCode>
                <c:ptCount val="13"/>
                <c:pt idx="0">
                  <c:v>2025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7E-48C0-9018-7F22D1331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62687"/>
        <c:axId val="692363167"/>
      </c:lineChart>
      <c:catAx>
        <c:axId val="692362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63167"/>
        <c:crosses val="autoZero"/>
        <c:auto val="1"/>
        <c:lblAlgn val="ctr"/>
        <c:lblOffset val="100"/>
        <c:noMultiLvlLbl val="0"/>
      </c:catAx>
      <c:valAx>
        <c:axId val="6923631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62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Y"/>
              <a:t>Sergio  -  evolucion mensual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'Por cliente'!$A$130:$A$142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cliente'!$B$130:$B$142</c:f>
              <c:numCache>
                <c:formatCode>General</c:formatCode>
                <c:ptCount val="13"/>
                <c:pt idx="0">
                  <c:v>2024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6</c:v>
                </c:pt>
                <c:pt idx="11">
                  <c:v>9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55-450B-8F3B-264F750AD71F}"/>
            </c:ext>
          </c:extLst>
        </c:ser>
        <c:ser>
          <c:idx val="1"/>
          <c:order val="1"/>
          <c:marker>
            <c:symbol val="none"/>
          </c:marker>
          <c:cat>
            <c:strRef>
              <c:f>'Por cliente'!$A$130:$A$142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'Por cliente'!$C$130:$C$142</c:f>
              <c:numCache>
                <c:formatCode>General</c:formatCode>
                <c:ptCount val="13"/>
                <c:pt idx="0">
                  <c:v>2025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55-450B-8F3B-264F750AD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66047"/>
        <c:axId val="692366527"/>
      </c:lineChart>
      <c:catAx>
        <c:axId val="69236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2366527"/>
        <c:crosses val="autoZero"/>
        <c:auto val="1"/>
        <c:lblAlgn val="ctr"/>
        <c:lblOffset val="100"/>
        <c:noMultiLvlLbl val="0"/>
      </c:catAx>
      <c:valAx>
        <c:axId val="6923665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23660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Cargas totales por cliente (2024 vs 2025)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Resumen!$A$3:$A$12</c:f>
              <c:strCache>
                <c:ptCount val="10"/>
                <c:pt idx="0">
                  <c:v>Cliente</c:v>
                </c:pt>
                <c:pt idx="1">
                  <c:v>Fisher</c:v>
                </c:pt>
                <c:pt idx="2">
                  <c:v>Valdemar tuti</c:v>
                </c:pt>
                <c:pt idx="3">
                  <c:v>Jony Viera</c:v>
                </c:pt>
                <c:pt idx="4">
                  <c:v>Cassio</c:v>
                </c:pt>
                <c:pt idx="5">
                  <c:v>Gilson</c:v>
                </c:pt>
                <c:pt idx="6">
                  <c:v>Agrocurupa</c:v>
                </c:pt>
                <c:pt idx="7">
                  <c:v>Bahia</c:v>
                </c:pt>
                <c:pt idx="8">
                  <c:v>Claudia</c:v>
                </c:pt>
                <c:pt idx="9">
                  <c:v>Sergio</c:v>
                </c:pt>
              </c:strCache>
            </c:strRef>
          </c:cat>
          <c:val>
            <c:numRef>
              <c:f>Resumen!$B$3:$B$12</c:f>
              <c:numCache>
                <c:formatCode>General</c:formatCode>
                <c:ptCount val="10"/>
                <c:pt idx="0">
                  <c:v>2024</c:v>
                </c:pt>
                <c:pt idx="1">
                  <c:v>17</c:v>
                </c:pt>
                <c:pt idx="2">
                  <c:v>84</c:v>
                </c:pt>
                <c:pt idx="3">
                  <c:v>67</c:v>
                </c:pt>
                <c:pt idx="4">
                  <c:v>15</c:v>
                </c:pt>
                <c:pt idx="5">
                  <c:v>43</c:v>
                </c:pt>
                <c:pt idx="6">
                  <c:v>47</c:v>
                </c:pt>
                <c:pt idx="7">
                  <c:v>70</c:v>
                </c:pt>
                <c:pt idx="8">
                  <c:v>81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A-44D9-9691-455FE786EF07}"/>
            </c:ext>
          </c:extLst>
        </c:ser>
        <c:ser>
          <c:idx val="1"/>
          <c:order val="1"/>
          <c:invertIfNegative val="0"/>
          <c:cat>
            <c:strRef>
              <c:f>Resumen!$A$3:$A$12</c:f>
              <c:strCache>
                <c:ptCount val="10"/>
                <c:pt idx="0">
                  <c:v>Cliente</c:v>
                </c:pt>
                <c:pt idx="1">
                  <c:v>Fisher</c:v>
                </c:pt>
                <c:pt idx="2">
                  <c:v>Valdemar tuti</c:v>
                </c:pt>
                <c:pt idx="3">
                  <c:v>Jony Viera</c:v>
                </c:pt>
                <c:pt idx="4">
                  <c:v>Cassio</c:v>
                </c:pt>
                <c:pt idx="5">
                  <c:v>Gilson</c:v>
                </c:pt>
                <c:pt idx="6">
                  <c:v>Agrocurupa</c:v>
                </c:pt>
                <c:pt idx="7">
                  <c:v>Bahia</c:v>
                </c:pt>
                <c:pt idx="8">
                  <c:v>Claudia</c:v>
                </c:pt>
                <c:pt idx="9">
                  <c:v>Sergio</c:v>
                </c:pt>
              </c:strCache>
            </c:strRef>
          </c:cat>
          <c:val>
            <c:numRef>
              <c:f>Resumen!$C$3:$C$12</c:f>
              <c:numCache>
                <c:formatCode>General</c:formatCode>
                <c:ptCount val="10"/>
                <c:pt idx="0">
                  <c:v>2025</c:v>
                </c:pt>
                <c:pt idx="1">
                  <c:v>169</c:v>
                </c:pt>
                <c:pt idx="2">
                  <c:v>136</c:v>
                </c:pt>
                <c:pt idx="3">
                  <c:v>124</c:v>
                </c:pt>
                <c:pt idx="4">
                  <c:v>89</c:v>
                </c:pt>
                <c:pt idx="5">
                  <c:v>77</c:v>
                </c:pt>
                <c:pt idx="6">
                  <c:v>76</c:v>
                </c:pt>
                <c:pt idx="7">
                  <c:v>42</c:v>
                </c:pt>
                <c:pt idx="8">
                  <c:v>41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A-44D9-9691-455FE786E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527535"/>
        <c:axId val="692337247"/>
      </c:barChart>
      <c:catAx>
        <c:axId val="683527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92337247"/>
        <c:crosses val="autoZero"/>
        <c:auto val="1"/>
        <c:lblAlgn val="ctr"/>
        <c:lblOffset val="100"/>
        <c:noMultiLvlLbl val="0"/>
      </c:catAx>
      <c:valAx>
        <c:axId val="692337247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68352753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1</xdr:row>
      <xdr:rowOff>142875</xdr:rowOff>
    </xdr:from>
    <xdr:to>
      <xdr:col>13</xdr:col>
      <xdr:colOff>508000</xdr:colOff>
      <xdr:row>19</xdr:row>
      <xdr:rowOff>15875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E7CB33-4E1E-2876-805C-503AB3554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508000</xdr:colOff>
      <xdr:row>20</xdr:row>
      <xdr:rowOff>79375</xdr:rowOff>
    </xdr:from>
    <xdr:to>
      <xdr:col>13</xdr:col>
      <xdr:colOff>508000</xdr:colOff>
      <xdr:row>37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197ED7-724F-258E-F177-391163B09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142875</xdr:rowOff>
    </xdr:from>
    <xdr:to>
      <xdr:col>15</xdr:col>
      <xdr:colOff>508000</xdr:colOff>
      <xdr:row>20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0A1802-9FE6-EAB1-68B4-8C1E94CD1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3</xdr:row>
      <xdr:rowOff>142875</xdr:rowOff>
    </xdr:from>
    <xdr:to>
      <xdr:col>14</xdr:col>
      <xdr:colOff>381000</xdr:colOff>
      <xdr:row>25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1E2076-D369-A424-CCD5-D6D4D52C6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142875</xdr:rowOff>
    </xdr:from>
    <xdr:to>
      <xdr:col>20</xdr:col>
      <xdr:colOff>0</xdr:colOff>
      <xdr:row>22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CEBF2C-81A0-AD4E-B1E7-EEBFC2F82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23</xdr:row>
      <xdr:rowOff>123825</xdr:rowOff>
    </xdr:from>
    <xdr:to>
      <xdr:col>20</xdr:col>
      <xdr:colOff>0</xdr:colOff>
      <xdr:row>42</xdr:row>
      <xdr:rowOff>60325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FB5E02-955C-93DB-4C6C-1596F9A45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835025</xdr:colOff>
      <xdr:row>3</xdr:row>
      <xdr:rowOff>15875</xdr:rowOff>
    </xdr:from>
    <xdr:to>
      <xdr:col>14</xdr:col>
      <xdr:colOff>107950</xdr:colOff>
      <xdr:row>24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673343-761C-67C7-1A92-2A1FD9C60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835025</xdr:colOff>
      <xdr:row>25</xdr:row>
      <xdr:rowOff>142875</xdr:rowOff>
    </xdr:from>
    <xdr:to>
      <xdr:col>14</xdr:col>
      <xdr:colOff>107950</xdr:colOff>
      <xdr:row>47</xdr:row>
      <xdr:rowOff>15875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8D67AB-77FF-E508-216A-D047352A0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142875</xdr:rowOff>
    </xdr:from>
    <xdr:to>
      <xdr:col>19</xdr:col>
      <xdr:colOff>736600</xdr:colOff>
      <xdr:row>25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941848-1FC4-59D2-EBC0-925C65CA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27</xdr:row>
      <xdr:rowOff>15875</xdr:rowOff>
    </xdr:from>
    <xdr:to>
      <xdr:col>19</xdr:col>
      <xdr:colOff>736600</xdr:colOff>
      <xdr:row>51</xdr:row>
      <xdr:rowOff>15875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6A64E7-6EC3-41D6-E017-08FF98F3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15</xdr:row>
      <xdr:rowOff>142875</xdr:rowOff>
    </xdr:from>
    <xdr:to>
      <xdr:col>24</xdr:col>
      <xdr:colOff>508000</xdr:colOff>
      <xdr:row>42</xdr:row>
      <xdr:rowOff>3175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EF1D1B-40E7-6C7C-2D0C-808F22B63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0</xdr:row>
      <xdr:rowOff>0</xdr:rowOff>
    </xdr:from>
    <xdr:to>
      <xdr:col>11</xdr:col>
      <xdr:colOff>254000</xdr:colOff>
      <xdr:row>14</xdr:row>
      <xdr:rowOff>117475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519678-B5DC-99C4-0F77-863EFE99C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254000</xdr:colOff>
      <xdr:row>15</xdr:row>
      <xdr:rowOff>180975</xdr:rowOff>
    </xdr:from>
    <xdr:to>
      <xdr:col>11</xdr:col>
      <xdr:colOff>254000</xdr:colOff>
      <xdr:row>30</xdr:row>
      <xdr:rowOff>107950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2E42BE-565B-B5A4-4A11-B7C87216D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254000</xdr:colOff>
      <xdr:row>31</xdr:row>
      <xdr:rowOff>171450</xdr:rowOff>
    </xdr:from>
    <xdr:to>
      <xdr:col>11</xdr:col>
      <xdr:colOff>254000</xdr:colOff>
      <xdr:row>46</xdr:row>
      <xdr:rowOff>98425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3A8D72-BEDD-5732-5F38-64E620892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254000</xdr:colOff>
      <xdr:row>47</xdr:row>
      <xdr:rowOff>161925</xdr:rowOff>
    </xdr:from>
    <xdr:to>
      <xdr:col>11</xdr:col>
      <xdr:colOff>254000</xdr:colOff>
      <xdr:row>62</xdr:row>
      <xdr:rowOff>88900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968A46-F750-F966-91EC-CED6F24DC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254000</xdr:colOff>
      <xdr:row>63</xdr:row>
      <xdr:rowOff>152400</xdr:rowOff>
    </xdr:from>
    <xdr:to>
      <xdr:col>11</xdr:col>
      <xdr:colOff>254000</xdr:colOff>
      <xdr:row>78</xdr:row>
      <xdr:rowOff>79375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A93955C-13BD-7D4E-6921-203D872B6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254000</xdr:colOff>
      <xdr:row>79</xdr:row>
      <xdr:rowOff>142875</xdr:rowOff>
    </xdr:from>
    <xdr:to>
      <xdr:col>11</xdr:col>
      <xdr:colOff>254000</xdr:colOff>
      <xdr:row>94</xdr:row>
      <xdr:rowOff>69850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5362D2F-D77A-3275-A251-85F5349E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254000</xdr:colOff>
      <xdr:row>95</xdr:row>
      <xdr:rowOff>133350</xdr:rowOff>
    </xdr:from>
    <xdr:to>
      <xdr:col>11</xdr:col>
      <xdr:colOff>254000</xdr:colOff>
      <xdr:row>110</xdr:row>
      <xdr:rowOff>60325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EB2215A-AFBE-7E22-6B99-B361CB7AB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254000</xdr:colOff>
      <xdr:row>111</xdr:row>
      <xdr:rowOff>123825</xdr:rowOff>
    </xdr:from>
    <xdr:to>
      <xdr:col>11</xdr:col>
      <xdr:colOff>254000</xdr:colOff>
      <xdr:row>126</xdr:row>
      <xdr:rowOff>50800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4768397-C238-7BE8-3F00-804568F63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254000</xdr:colOff>
      <xdr:row>127</xdr:row>
      <xdr:rowOff>114300</xdr:rowOff>
    </xdr:from>
    <xdr:to>
      <xdr:col>11</xdr:col>
      <xdr:colOff>254000</xdr:colOff>
      <xdr:row>142</xdr:row>
      <xdr:rowOff>41275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2BBCCA6-C3E9-C1DD-F139-E44B17408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720725</xdr:colOff>
      <xdr:row>1</xdr:row>
      <xdr:rowOff>142875</xdr:rowOff>
    </xdr:from>
    <xdr:to>
      <xdr:col>14</xdr:col>
      <xdr:colOff>466725</xdr:colOff>
      <xdr:row>23</xdr:row>
      <xdr:rowOff>15875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D3451C-E28B-9AE2-94A0-EB2C2C6A0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EDAC5-270C-4694-A2F9-059F4C989D3B}" name="tblCargas" displayName="tblCargas" ref="A1:A217" totalsRowShown="0">
  <autoFilter ref="A1:A217" xr:uid="{DF5EDAC5-270C-4694-A2F9-059F4C989D3B}"/>
  <tableColumns count="1">
    <tableColumn id="1" xr3:uid="{F9CAEEE4-9B7A-4F74-B938-31616484C64F}" name="Cliente,Anio,MesNum,Mes,Carg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78D3-6D26-4691-9277-DC46499634E4}">
  <dimension ref="A1:G16"/>
  <sheetViews>
    <sheetView workbookViewId="0"/>
  </sheetViews>
  <sheetFormatPr baseColWidth="10" defaultRowHeight="15" x14ac:dyDescent="0.25"/>
  <cols>
    <col min="1" max="2" width="12.7109375" customWidth="1"/>
    <col min="3" max="3" width="17.7109375" customWidth="1"/>
    <col min="4" max="4" width="12.7109375" customWidth="1"/>
  </cols>
  <sheetData>
    <row r="1" spans="1:7" ht="18.75" x14ac:dyDescent="0.3">
      <c r="A1" s="66" t="s">
        <v>279</v>
      </c>
      <c r="B1" s="66"/>
      <c r="C1" s="66"/>
      <c r="D1" s="66"/>
    </row>
    <row r="2" spans="1:7" x14ac:dyDescent="0.25">
      <c r="A2" s="67" t="s">
        <v>511</v>
      </c>
      <c r="B2" s="67"/>
      <c r="C2" s="67"/>
      <c r="D2" s="67"/>
      <c r="E2" s="67"/>
    </row>
    <row r="3" spans="1:7" x14ac:dyDescent="0.25">
      <c r="A3" s="2" t="s">
        <v>231</v>
      </c>
      <c r="B3" s="2" t="s">
        <v>266</v>
      </c>
      <c r="C3" s="2" t="s">
        <v>267</v>
      </c>
      <c r="D3" s="2" t="s">
        <v>280</v>
      </c>
      <c r="F3" s="1" t="s">
        <v>231</v>
      </c>
      <c r="G3" s="1" t="s">
        <v>281</v>
      </c>
    </row>
    <row r="4" spans="1:7" x14ac:dyDescent="0.25">
      <c r="A4" t="s">
        <v>232</v>
      </c>
      <c r="B4" s="17">
        <v>35</v>
      </c>
      <c r="C4" s="18">
        <v>39.485714285714288</v>
      </c>
      <c r="D4" s="19">
        <v>24</v>
      </c>
      <c r="F4" t="s">
        <v>232</v>
      </c>
      <c r="G4" s="18">
        <v>39.485714285714288</v>
      </c>
    </row>
    <row r="5" spans="1:7" x14ac:dyDescent="0.25">
      <c r="A5" t="s">
        <v>233</v>
      </c>
      <c r="B5" s="17">
        <v>63</v>
      </c>
      <c r="C5" s="18">
        <v>37.285714285714285</v>
      </c>
      <c r="D5" s="19">
        <v>63</v>
      </c>
      <c r="F5" t="s">
        <v>233</v>
      </c>
      <c r="G5" s="18">
        <v>37.285714285714285</v>
      </c>
    </row>
    <row r="6" spans="1:7" x14ac:dyDescent="0.25">
      <c r="A6" t="s">
        <v>234</v>
      </c>
      <c r="B6" s="17">
        <v>78.5</v>
      </c>
      <c r="C6" s="18">
        <v>43.821656050955411</v>
      </c>
      <c r="D6" s="19">
        <v>79</v>
      </c>
      <c r="F6" t="s">
        <v>234</v>
      </c>
      <c r="G6" s="18">
        <v>43.821656050955411</v>
      </c>
    </row>
    <row r="7" spans="1:7" x14ac:dyDescent="0.25">
      <c r="A7" t="s">
        <v>235</v>
      </c>
      <c r="B7" s="17">
        <v>67</v>
      </c>
      <c r="C7" s="18">
        <v>40.35820895522388</v>
      </c>
      <c r="D7" s="19">
        <v>68</v>
      </c>
      <c r="F7" t="s">
        <v>235</v>
      </c>
      <c r="G7" s="18">
        <v>40.35820895522388</v>
      </c>
    </row>
    <row r="8" spans="1:7" x14ac:dyDescent="0.25">
      <c r="A8" t="s">
        <v>236</v>
      </c>
      <c r="B8" s="17">
        <v>93.7</v>
      </c>
      <c r="C8" s="18">
        <v>31.313767342582707</v>
      </c>
      <c r="D8" s="19">
        <v>94</v>
      </c>
      <c r="F8" t="s">
        <v>236</v>
      </c>
      <c r="G8" s="18">
        <v>31.313767342582707</v>
      </c>
    </row>
    <row r="9" spans="1:7" x14ac:dyDescent="0.25">
      <c r="A9" t="s">
        <v>237</v>
      </c>
      <c r="B9" s="17">
        <v>67</v>
      </c>
      <c r="C9" s="18">
        <v>27.097014925373134</v>
      </c>
      <c r="D9" s="19">
        <v>68</v>
      </c>
      <c r="F9" t="s">
        <v>237</v>
      </c>
      <c r="G9" s="18">
        <v>27.097014925373134</v>
      </c>
    </row>
    <row r="10" spans="1:7" x14ac:dyDescent="0.25">
      <c r="A10" t="s">
        <v>238</v>
      </c>
      <c r="B10" s="17">
        <v>75</v>
      </c>
      <c r="C10" s="18">
        <v>40.533333333333331</v>
      </c>
      <c r="D10" s="19">
        <v>75</v>
      </c>
      <c r="F10" t="s">
        <v>238</v>
      </c>
      <c r="G10" s="18">
        <v>40.533333333333331</v>
      </c>
    </row>
    <row r="11" spans="1:7" x14ac:dyDescent="0.25">
      <c r="A11" t="s">
        <v>239</v>
      </c>
      <c r="B11" s="17">
        <v>60</v>
      </c>
      <c r="C11" s="18">
        <v>54.091666666666669</v>
      </c>
      <c r="D11" s="19">
        <v>60</v>
      </c>
      <c r="F11" t="s">
        <v>239</v>
      </c>
      <c r="G11" s="18">
        <v>54.091666666666669</v>
      </c>
    </row>
    <row r="12" spans="1:7" x14ac:dyDescent="0.25">
      <c r="A12" t="s">
        <v>240</v>
      </c>
      <c r="B12" s="17">
        <v>92</v>
      </c>
      <c r="C12" s="18">
        <v>65.782608695652172</v>
      </c>
      <c r="D12" s="19">
        <v>92</v>
      </c>
      <c r="F12" t="s">
        <v>240</v>
      </c>
      <c r="G12" s="18">
        <v>65.782608695652172</v>
      </c>
    </row>
    <row r="13" spans="1:7" x14ac:dyDescent="0.25">
      <c r="A13" t="s">
        <v>241</v>
      </c>
      <c r="B13" s="17">
        <v>61</v>
      </c>
      <c r="C13" s="18">
        <v>67.73770491803279</v>
      </c>
      <c r="D13" s="19">
        <v>61</v>
      </c>
      <c r="F13" t="s">
        <v>241</v>
      </c>
      <c r="G13" s="18">
        <v>67.73770491803279</v>
      </c>
    </row>
    <row r="14" spans="1:7" x14ac:dyDescent="0.25">
      <c r="A14" t="s">
        <v>242</v>
      </c>
      <c r="B14" s="17">
        <v>62</v>
      </c>
      <c r="C14" s="18">
        <v>63.387096774193552</v>
      </c>
      <c r="D14" s="19">
        <v>62</v>
      </c>
      <c r="F14" t="s">
        <v>242</v>
      </c>
      <c r="G14" s="18">
        <v>63.387096774193552</v>
      </c>
    </row>
    <row r="15" spans="1:7" x14ac:dyDescent="0.25">
      <c r="A15" t="s">
        <v>243</v>
      </c>
      <c r="B15" s="17">
        <v>50</v>
      </c>
      <c r="C15" s="18">
        <v>58.11</v>
      </c>
      <c r="D15" s="19">
        <v>50</v>
      </c>
      <c r="F15" t="s">
        <v>243</v>
      </c>
      <c r="G15" s="18">
        <v>58.11</v>
      </c>
    </row>
    <row r="16" spans="1:7" x14ac:dyDescent="0.25">
      <c r="A16" s="4" t="s">
        <v>230</v>
      </c>
      <c r="B16" s="20">
        <f>SUM(B4:B15)</f>
        <v>804.2</v>
      </c>
      <c r="C16" s="21" t="e">
        <f>#REF!/B16</f>
        <v>#REF!</v>
      </c>
      <c r="D16" s="22">
        <f>SUM(D4:D15)</f>
        <v>796</v>
      </c>
    </row>
  </sheetData>
  <mergeCells count="2">
    <mergeCell ref="A1:D1"/>
    <mergeCell ref="A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67F7-D335-4987-AEAB-CCFDC96C3E4E}">
  <dimension ref="A1:F20"/>
  <sheetViews>
    <sheetView workbookViewId="0">
      <selection sqref="A1:G1"/>
    </sheetView>
  </sheetViews>
  <sheetFormatPr baseColWidth="10" defaultRowHeight="15" x14ac:dyDescent="0.25"/>
  <cols>
    <col min="1" max="1" width="4.7109375" customWidth="1"/>
    <col min="2" max="2" width="22.7109375" customWidth="1"/>
    <col min="3" max="3" width="12.7109375" customWidth="1"/>
    <col min="4" max="4" width="17.7109375" customWidth="1"/>
    <col min="5" max="6" width="12.7109375" customWidth="1"/>
  </cols>
  <sheetData>
    <row r="1" spans="1:6" ht="18.75" x14ac:dyDescent="0.3">
      <c r="A1" s="66" t="s">
        <v>264</v>
      </c>
      <c r="B1" s="66"/>
      <c r="C1" s="66"/>
      <c r="D1" s="66"/>
      <c r="E1" s="66"/>
      <c r="F1" s="66"/>
    </row>
    <row r="2" spans="1:6" x14ac:dyDescent="0.25">
      <c r="A2" s="67" t="s">
        <v>511</v>
      </c>
      <c r="B2" s="67"/>
      <c r="C2" s="67"/>
      <c r="D2" s="67"/>
      <c r="E2" s="67"/>
      <c r="F2" s="67"/>
    </row>
    <row r="3" spans="1:6" x14ac:dyDescent="0.25">
      <c r="A3" s="2" t="s">
        <v>247</v>
      </c>
      <c r="B3" s="2" t="s">
        <v>265</v>
      </c>
      <c r="C3" s="2" t="s">
        <v>266</v>
      </c>
      <c r="D3" s="2" t="s">
        <v>267</v>
      </c>
      <c r="E3" s="2" t="s">
        <v>268</v>
      </c>
      <c r="F3" s="2" t="s">
        <v>269</v>
      </c>
    </row>
    <row r="4" spans="1:6" x14ac:dyDescent="0.25">
      <c r="A4">
        <v>1</v>
      </c>
      <c r="B4" t="s">
        <v>221</v>
      </c>
      <c r="C4" s="17">
        <v>169.3</v>
      </c>
      <c r="D4" s="18">
        <v>46.539279385705846</v>
      </c>
      <c r="E4" s="19">
        <v>25</v>
      </c>
      <c r="F4" s="19">
        <v>70</v>
      </c>
    </row>
    <row r="5" spans="1:6" x14ac:dyDescent="0.25">
      <c r="A5">
        <v>2</v>
      </c>
      <c r="B5" t="s">
        <v>270</v>
      </c>
      <c r="C5" s="17">
        <v>131.5</v>
      </c>
      <c r="D5" s="18">
        <v>48.433460076045627</v>
      </c>
      <c r="E5" s="19">
        <v>23</v>
      </c>
      <c r="F5" s="19">
        <v>72</v>
      </c>
    </row>
    <row r="6" spans="1:6" x14ac:dyDescent="0.25">
      <c r="A6">
        <v>3</v>
      </c>
      <c r="B6" t="s">
        <v>271</v>
      </c>
      <c r="C6" s="17">
        <v>124.5</v>
      </c>
      <c r="D6" s="18">
        <v>42.678714859437754</v>
      </c>
      <c r="E6" s="19">
        <v>25</v>
      </c>
      <c r="F6" s="19">
        <v>72</v>
      </c>
    </row>
    <row r="7" spans="1:6" x14ac:dyDescent="0.25">
      <c r="A7">
        <v>4</v>
      </c>
      <c r="B7" t="s">
        <v>224</v>
      </c>
      <c r="C7" s="17">
        <v>87</v>
      </c>
      <c r="D7" s="18">
        <v>53.252873563218394</v>
      </c>
      <c r="E7" s="19">
        <v>25</v>
      </c>
      <c r="F7" s="19">
        <v>70</v>
      </c>
    </row>
    <row r="8" spans="1:6" x14ac:dyDescent="0.25">
      <c r="A8">
        <v>5</v>
      </c>
      <c r="B8" t="s">
        <v>225</v>
      </c>
      <c r="C8" s="17">
        <v>75.5</v>
      </c>
      <c r="D8" s="18">
        <v>43.251655629139073</v>
      </c>
      <c r="E8" s="19">
        <v>27</v>
      </c>
      <c r="F8" s="19">
        <v>70</v>
      </c>
    </row>
    <row r="9" spans="1:6" x14ac:dyDescent="0.25">
      <c r="A9">
        <v>6</v>
      </c>
      <c r="B9" t="s">
        <v>226</v>
      </c>
      <c r="C9" s="17">
        <v>74</v>
      </c>
      <c r="D9" s="18">
        <v>44.297297297297298</v>
      </c>
      <c r="E9" s="19">
        <v>25</v>
      </c>
      <c r="F9" s="19">
        <v>70</v>
      </c>
    </row>
    <row r="10" spans="1:6" x14ac:dyDescent="0.25">
      <c r="A10">
        <v>7</v>
      </c>
      <c r="B10" t="s">
        <v>227</v>
      </c>
      <c r="C10" s="17">
        <v>39</v>
      </c>
      <c r="D10" s="18">
        <v>73.025641025641022</v>
      </c>
      <c r="E10" s="19">
        <v>50</v>
      </c>
      <c r="F10" s="19">
        <v>88</v>
      </c>
    </row>
    <row r="11" spans="1:6" x14ac:dyDescent="0.25">
      <c r="A11">
        <v>8</v>
      </c>
      <c r="B11" t="s">
        <v>228</v>
      </c>
      <c r="C11" s="17">
        <v>35</v>
      </c>
      <c r="D11" s="18">
        <v>36.057142857142857</v>
      </c>
      <c r="E11" s="19">
        <v>25</v>
      </c>
      <c r="F11" s="19">
        <v>55</v>
      </c>
    </row>
    <row r="12" spans="1:6" x14ac:dyDescent="0.25">
      <c r="A12">
        <v>9</v>
      </c>
      <c r="B12" t="s">
        <v>229</v>
      </c>
      <c r="C12" s="17">
        <v>23</v>
      </c>
      <c r="D12" s="18">
        <v>54.869565217391305</v>
      </c>
      <c r="E12" s="19">
        <v>40</v>
      </c>
      <c r="F12" s="19">
        <v>70</v>
      </c>
    </row>
    <row r="13" spans="1:6" x14ac:dyDescent="0.25">
      <c r="A13">
        <v>10</v>
      </c>
      <c r="B13" t="s">
        <v>272</v>
      </c>
      <c r="C13" s="17">
        <v>13.5</v>
      </c>
      <c r="D13" s="18">
        <v>36.148148148148145</v>
      </c>
      <c r="E13" s="19">
        <v>25</v>
      </c>
      <c r="F13" s="19">
        <v>42</v>
      </c>
    </row>
    <row r="14" spans="1:6" x14ac:dyDescent="0.25">
      <c r="A14">
        <v>11</v>
      </c>
      <c r="B14" t="s">
        <v>273</v>
      </c>
      <c r="C14" s="17">
        <v>11.9</v>
      </c>
      <c r="D14" s="18">
        <v>34.579831932773111</v>
      </c>
      <c r="E14" s="19">
        <v>25</v>
      </c>
      <c r="F14" s="19">
        <v>45</v>
      </c>
    </row>
    <row r="15" spans="1:6" x14ac:dyDescent="0.25">
      <c r="A15">
        <v>12</v>
      </c>
      <c r="B15" t="s">
        <v>274</v>
      </c>
      <c r="C15" s="17">
        <v>9</v>
      </c>
      <c r="D15" s="18">
        <v>45.555555555555557</v>
      </c>
      <c r="E15" s="19">
        <v>45</v>
      </c>
      <c r="F15" s="19">
        <v>50</v>
      </c>
    </row>
    <row r="16" spans="1:6" x14ac:dyDescent="0.25">
      <c r="A16">
        <v>13</v>
      </c>
      <c r="B16" t="s">
        <v>275</v>
      </c>
      <c r="C16" s="17">
        <v>6</v>
      </c>
      <c r="D16" s="18">
        <v>44</v>
      </c>
      <c r="E16" s="19">
        <v>42</v>
      </c>
      <c r="F16" s="19">
        <v>45</v>
      </c>
    </row>
    <row r="17" spans="1:6" x14ac:dyDescent="0.25">
      <c r="A17">
        <v>14</v>
      </c>
      <c r="B17" t="s">
        <v>276</v>
      </c>
      <c r="C17" s="17">
        <v>3</v>
      </c>
      <c r="D17" s="18">
        <v>47.333333333333336</v>
      </c>
      <c r="E17" s="19">
        <v>45</v>
      </c>
      <c r="F17" s="19">
        <v>52</v>
      </c>
    </row>
    <row r="18" spans="1:6" x14ac:dyDescent="0.25">
      <c r="A18">
        <v>15</v>
      </c>
      <c r="B18" t="s">
        <v>277</v>
      </c>
      <c r="C18" s="17">
        <v>1</v>
      </c>
      <c r="D18" s="18">
        <v>58</v>
      </c>
      <c r="E18" s="19">
        <v>58</v>
      </c>
      <c r="F18" s="19">
        <v>58</v>
      </c>
    </row>
    <row r="19" spans="1:6" x14ac:dyDescent="0.25">
      <c r="A19">
        <v>16</v>
      </c>
      <c r="B19" t="s">
        <v>278</v>
      </c>
      <c r="C19" s="17">
        <v>1</v>
      </c>
      <c r="D19" s="18">
        <v>46</v>
      </c>
      <c r="E19" s="19">
        <v>46</v>
      </c>
      <c r="F19" s="19">
        <v>46</v>
      </c>
    </row>
    <row r="20" spans="1:6" x14ac:dyDescent="0.25">
      <c r="A20" s="4"/>
      <c r="B20" s="4" t="s">
        <v>230</v>
      </c>
      <c r="C20" s="20">
        <f>SUM(C4:C19)</f>
        <v>804.19999999999993</v>
      </c>
      <c r="D20" s="21" t="e">
        <f>#REF!/C20</f>
        <v>#REF!</v>
      </c>
      <c r="E20" s="4"/>
      <c r="F20" s="4"/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20FB-75BE-4A15-A5E8-0A606EEBC7C2}">
  <dimension ref="A1:G47"/>
  <sheetViews>
    <sheetView workbookViewId="0">
      <selection sqref="A1:G1"/>
    </sheetView>
  </sheetViews>
  <sheetFormatPr baseColWidth="10" defaultRowHeight="15" x14ac:dyDescent="0.25"/>
  <cols>
    <col min="1" max="1" width="4.7109375" customWidth="1"/>
    <col min="2" max="2" width="36.7109375" customWidth="1"/>
    <col min="3" max="3" width="14.7109375" customWidth="1"/>
    <col min="4" max="4" width="12.7109375" customWidth="1"/>
    <col min="5" max="5" width="26.7109375" customWidth="1"/>
  </cols>
  <sheetData>
    <row r="1" spans="1:7" ht="18.75" x14ac:dyDescent="0.3">
      <c r="A1" s="66" t="s">
        <v>245</v>
      </c>
      <c r="B1" s="66"/>
      <c r="C1" s="66"/>
      <c r="D1" s="66"/>
      <c r="E1" s="66"/>
      <c r="F1" s="66"/>
      <c r="G1" s="66"/>
    </row>
    <row r="2" spans="1:7" x14ac:dyDescent="0.25">
      <c r="A2" s="68" t="s">
        <v>246</v>
      </c>
      <c r="B2" s="68"/>
      <c r="C2" s="68"/>
      <c r="D2" s="68"/>
      <c r="E2" s="68"/>
      <c r="F2" s="68"/>
      <c r="G2" s="68"/>
    </row>
    <row r="4" spans="1:7" ht="15.75" x14ac:dyDescent="0.25">
      <c r="A4" s="8" t="s">
        <v>282</v>
      </c>
    </row>
    <row r="5" spans="1:7" x14ac:dyDescent="0.25">
      <c r="A5" s="2" t="s">
        <v>247</v>
      </c>
      <c r="B5" s="2" t="s">
        <v>248</v>
      </c>
      <c r="C5" s="2" t="s">
        <v>249</v>
      </c>
      <c r="D5" s="2" t="s">
        <v>250</v>
      </c>
      <c r="E5" s="2" t="s">
        <v>251</v>
      </c>
    </row>
    <row r="6" spans="1:7" x14ac:dyDescent="0.25">
      <c r="A6" s="11">
        <v>1</v>
      </c>
      <c r="B6" s="11" t="s">
        <v>252</v>
      </c>
      <c r="C6" s="12">
        <v>10753791</v>
      </c>
      <c r="D6" s="13">
        <v>0.50149999999999995</v>
      </c>
      <c r="E6" s="12">
        <v>21019345</v>
      </c>
    </row>
    <row r="7" spans="1:7" x14ac:dyDescent="0.25">
      <c r="A7">
        <v>2</v>
      </c>
      <c r="B7" t="s">
        <v>253</v>
      </c>
      <c r="C7" s="9">
        <v>5925693</v>
      </c>
      <c r="D7" s="10">
        <v>0.27629999999999999</v>
      </c>
      <c r="E7" s="9">
        <v>11846554</v>
      </c>
    </row>
    <row r="8" spans="1:7" x14ac:dyDescent="0.25">
      <c r="A8">
        <v>3</v>
      </c>
      <c r="B8" t="s">
        <v>254</v>
      </c>
      <c r="C8" s="9">
        <v>3333449</v>
      </c>
      <c r="D8" s="10">
        <v>0.1555</v>
      </c>
      <c r="E8" s="9">
        <v>6701436</v>
      </c>
    </row>
    <row r="9" spans="1:7" x14ac:dyDescent="0.25">
      <c r="A9">
        <v>4</v>
      </c>
      <c r="B9" t="s">
        <v>256</v>
      </c>
      <c r="C9" s="9">
        <v>468119</v>
      </c>
      <c r="D9" s="10">
        <v>2.18E-2</v>
      </c>
      <c r="E9" s="9">
        <v>1022580</v>
      </c>
    </row>
    <row r="10" spans="1:7" x14ac:dyDescent="0.25">
      <c r="A10">
        <v>5</v>
      </c>
      <c r="B10" t="s">
        <v>255</v>
      </c>
      <c r="C10" s="9">
        <v>438402</v>
      </c>
      <c r="D10" s="10">
        <v>2.0400000000000001E-2</v>
      </c>
      <c r="E10" s="9">
        <v>892368</v>
      </c>
    </row>
    <row r="11" spans="1:7" x14ac:dyDescent="0.25">
      <c r="A11">
        <v>6</v>
      </c>
      <c r="B11" t="s">
        <v>258</v>
      </c>
      <c r="C11" s="9">
        <v>182962</v>
      </c>
      <c r="D11" s="10">
        <v>8.5000000000000006E-3</v>
      </c>
      <c r="E11" s="9">
        <v>386462</v>
      </c>
    </row>
    <row r="12" spans="1:7" x14ac:dyDescent="0.25">
      <c r="A12">
        <v>7</v>
      </c>
      <c r="B12" t="s">
        <v>259</v>
      </c>
      <c r="C12" s="9">
        <v>179256</v>
      </c>
      <c r="D12" s="10">
        <v>8.3999999999999995E-3</v>
      </c>
      <c r="E12" s="9">
        <v>364609</v>
      </c>
    </row>
    <row r="13" spans="1:7" x14ac:dyDescent="0.25">
      <c r="A13">
        <v>8</v>
      </c>
      <c r="B13" t="s">
        <v>283</v>
      </c>
      <c r="C13" s="9">
        <v>114000</v>
      </c>
      <c r="D13" s="10">
        <v>5.3E-3</v>
      </c>
      <c r="E13" s="9">
        <v>257334</v>
      </c>
    </row>
    <row r="14" spans="1:7" x14ac:dyDescent="0.25">
      <c r="A14">
        <v>9</v>
      </c>
      <c r="B14" t="s">
        <v>284</v>
      </c>
      <c r="C14" s="9">
        <v>23063</v>
      </c>
      <c r="D14" s="10">
        <v>1.1000000000000001E-3</v>
      </c>
      <c r="E14" s="9">
        <v>52416</v>
      </c>
    </row>
    <row r="15" spans="1:7" x14ac:dyDescent="0.25">
      <c r="A15">
        <v>10</v>
      </c>
      <c r="B15" t="s">
        <v>257</v>
      </c>
      <c r="C15" s="9">
        <v>21879</v>
      </c>
      <c r="D15" s="10">
        <v>1E-3</v>
      </c>
      <c r="E15" s="9">
        <v>49425</v>
      </c>
    </row>
    <row r="16" spans="1:7" x14ac:dyDescent="0.25">
      <c r="A16">
        <v>11</v>
      </c>
      <c r="B16" t="s">
        <v>285</v>
      </c>
      <c r="C16" s="9">
        <v>1639</v>
      </c>
      <c r="D16" s="10">
        <v>1E-4</v>
      </c>
      <c r="E16" s="9">
        <v>2732</v>
      </c>
    </row>
    <row r="17" spans="1:5" x14ac:dyDescent="0.25">
      <c r="A17">
        <v>12</v>
      </c>
      <c r="B17" t="s">
        <v>286</v>
      </c>
      <c r="C17" s="9">
        <v>728</v>
      </c>
      <c r="D17" s="10">
        <v>0</v>
      </c>
      <c r="E17" s="9">
        <v>60</v>
      </c>
    </row>
    <row r="18" spans="1:5" x14ac:dyDescent="0.25">
      <c r="A18" s="4"/>
      <c r="B18" s="4" t="s">
        <v>260</v>
      </c>
      <c r="C18" s="14">
        <f>SUM(C6:C17)</f>
        <v>21442981</v>
      </c>
      <c r="D18" s="15">
        <f>SUM(D6:D17)</f>
        <v>0.99989999999999979</v>
      </c>
      <c r="E18" s="14">
        <f>SUM(E6:E17)</f>
        <v>42595321</v>
      </c>
    </row>
    <row r="21" spans="1:5" ht="15.75" x14ac:dyDescent="0.25">
      <c r="A21" s="8" t="s">
        <v>287</v>
      </c>
    </row>
    <row r="22" spans="1:5" x14ac:dyDescent="0.25">
      <c r="A22" s="2" t="s">
        <v>247</v>
      </c>
      <c r="B22" s="2" t="s">
        <v>248</v>
      </c>
      <c r="C22" s="2" t="s">
        <v>249</v>
      </c>
      <c r="D22" s="2" t="s">
        <v>250</v>
      </c>
      <c r="E22" s="2" t="s">
        <v>251</v>
      </c>
    </row>
    <row r="23" spans="1:5" x14ac:dyDescent="0.25">
      <c r="A23" s="11">
        <v>1</v>
      </c>
      <c r="B23" s="11" t="s">
        <v>252</v>
      </c>
      <c r="C23" s="12">
        <v>3016752</v>
      </c>
      <c r="D23" s="13">
        <v>0.53359999999999996</v>
      </c>
      <c r="E23" s="12">
        <v>6699460</v>
      </c>
    </row>
    <row r="24" spans="1:5" x14ac:dyDescent="0.25">
      <c r="A24">
        <v>2</v>
      </c>
      <c r="B24" t="s">
        <v>253</v>
      </c>
      <c r="C24" s="9">
        <v>1258395</v>
      </c>
      <c r="D24" s="10">
        <v>0.22259999999999999</v>
      </c>
      <c r="E24" s="9">
        <v>2805269</v>
      </c>
    </row>
    <row r="25" spans="1:5" x14ac:dyDescent="0.25">
      <c r="A25">
        <v>3</v>
      </c>
      <c r="B25" t="s">
        <v>254</v>
      </c>
      <c r="C25" s="9">
        <v>1073124</v>
      </c>
      <c r="D25" s="10">
        <v>0.1898</v>
      </c>
      <c r="E25" s="9">
        <v>2404080</v>
      </c>
    </row>
    <row r="26" spans="1:5" x14ac:dyDescent="0.25">
      <c r="A26">
        <v>4</v>
      </c>
      <c r="B26" t="s">
        <v>255</v>
      </c>
      <c r="C26" s="9">
        <v>114425</v>
      </c>
      <c r="D26" s="10">
        <v>2.0199999999999999E-2</v>
      </c>
      <c r="E26" s="9">
        <v>248976</v>
      </c>
    </row>
    <row r="27" spans="1:5" x14ac:dyDescent="0.25">
      <c r="A27">
        <v>5</v>
      </c>
      <c r="B27" t="s">
        <v>256</v>
      </c>
      <c r="C27" s="9">
        <v>92252</v>
      </c>
      <c r="D27" s="10">
        <v>1.6299999999999999E-2</v>
      </c>
      <c r="E27" s="9">
        <v>209664</v>
      </c>
    </row>
    <row r="28" spans="1:5" x14ac:dyDescent="0.25">
      <c r="A28">
        <v>6</v>
      </c>
      <c r="B28" t="s">
        <v>257</v>
      </c>
      <c r="C28" s="9">
        <v>50107</v>
      </c>
      <c r="D28" s="10">
        <v>8.8999999999999999E-3</v>
      </c>
      <c r="E28" s="9">
        <v>114242</v>
      </c>
    </row>
    <row r="29" spans="1:5" x14ac:dyDescent="0.25">
      <c r="A29">
        <v>7</v>
      </c>
      <c r="B29" t="s">
        <v>258</v>
      </c>
      <c r="C29" s="9">
        <v>37440</v>
      </c>
      <c r="D29" s="10">
        <v>6.6E-3</v>
      </c>
      <c r="E29" s="9">
        <v>75750</v>
      </c>
    </row>
    <row r="30" spans="1:5" x14ac:dyDescent="0.25">
      <c r="A30">
        <v>8</v>
      </c>
      <c r="B30" t="s">
        <v>259</v>
      </c>
      <c r="C30" s="9">
        <v>11041</v>
      </c>
      <c r="D30" s="10">
        <v>2E-3</v>
      </c>
      <c r="E30" s="9">
        <v>24420</v>
      </c>
    </row>
    <row r="31" spans="1:5" x14ac:dyDescent="0.25">
      <c r="A31" s="4"/>
      <c r="B31" s="4" t="s">
        <v>260</v>
      </c>
      <c r="C31" s="14">
        <f>SUM(C23:C30)</f>
        <v>5653536</v>
      </c>
      <c r="D31" s="15">
        <f>SUM(D23:D30)</f>
        <v>1</v>
      </c>
      <c r="E31" s="14">
        <f>SUM(E23:E30)</f>
        <v>12581861</v>
      </c>
    </row>
    <row r="34" spans="1:5" ht="15.75" x14ac:dyDescent="0.25">
      <c r="A34" s="8" t="s">
        <v>288</v>
      </c>
    </row>
    <row r="35" spans="1:5" x14ac:dyDescent="0.25">
      <c r="A35" s="2" t="s">
        <v>248</v>
      </c>
      <c r="B35" s="2" t="s">
        <v>261</v>
      </c>
      <c r="C35" s="2" t="s">
        <v>262</v>
      </c>
      <c r="D35" s="2" t="s">
        <v>263</v>
      </c>
      <c r="E35" s="2" t="s">
        <v>289</v>
      </c>
    </row>
    <row r="36" spans="1:5" x14ac:dyDescent="0.25">
      <c r="A36" s="11" t="s">
        <v>252</v>
      </c>
      <c r="B36" s="13">
        <v>0.50149999999999995</v>
      </c>
      <c r="C36" s="13">
        <v>0.53359999999999996</v>
      </c>
      <c r="D36" s="24">
        <v>3.2100000000000017</v>
      </c>
      <c r="E36" s="11" t="s">
        <v>290</v>
      </c>
    </row>
    <row r="37" spans="1:5" x14ac:dyDescent="0.25">
      <c r="A37" t="s">
        <v>253</v>
      </c>
      <c r="B37" s="10">
        <v>0.27629999999999999</v>
      </c>
      <c r="C37" s="10">
        <v>0.22259999999999999</v>
      </c>
      <c r="D37" s="25">
        <v>-5.37</v>
      </c>
      <c r="E37" t="s">
        <v>291</v>
      </c>
    </row>
    <row r="38" spans="1:5" x14ac:dyDescent="0.25">
      <c r="A38" t="s">
        <v>254</v>
      </c>
      <c r="B38" s="10">
        <v>0.1555</v>
      </c>
      <c r="C38" s="10">
        <v>0.1898</v>
      </c>
      <c r="D38" s="23">
        <v>3.4299999999999997</v>
      </c>
      <c r="E38" t="s">
        <v>290</v>
      </c>
    </row>
    <row r="39" spans="1:5" x14ac:dyDescent="0.25">
      <c r="A39" t="s">
        <v>256</v>
      </c>
      <c r="B39" s="10">
        <v>2.18E-2</v>
      </c>
      <c r="C39" s="10">
        <v>1.6299999999999999E-2</v>
      </c>
      <c r="D39" s="25">
        <v>-0.55000000000000016</v>
      </c>
      <c r="E39" t="s">
        <v>291</v>
      </c>
    </row>
    <row r="40" spans="1:5" x14ac:dyDescent="0.25">
      <c r="A40" t="s">
        <v>255</v>
      </c>
      <c r="B40" s="10">
        <v>2.0400000000000001E-2</v>
      </c>
      <c r="C40" s="10">
        <v>2.0199999999999999E-2</v>
      </c>
      <c r="D40" s="16">
        <v>-2.0000000000000226E-2</v>
      </c>
      <c r="E40" t="s">
        <v>292</v>
      </c>
    </row>
    <row r="41" spans="1:5" x14ac:dyDescent="0.25">
      <c r="A41" t="s">
        <v>258</v>
      </c>
      <c r="B41" s="10">
        <v>8.5000000000000006E-3</v>
      </c>
      <c r="C41" s="10">
        <v>6.6E-3</v>
      </c>
      <c r="D41" s="16">
        <v>-0.19000000000000006</v>
      </c>
      <c r="E41" t="s">
        <v>292</v>
      </c>
    </row>
    <row r="42" spans="1:5" x14ac:dyDescent="0.25">
      <c r="A42" t="s">
        <v>259</v>
      </c>
      <c r="B42" s="10">
        <v>8.3999999999999995E-3</v>
      </c>
      <c r="C42" s="10">
        <v>2E-3</v>
      </c>
      <c r="D42" s="25">
        <v>-0.6399999999999999</v>
      </c>
      <c r="E42" t="s">
        <v>291</v>
      </c>
    </row>
    <row r="43" spans="1:5" x14ac:dyDescent="0.25">
      <c r="A43" t="s">
        <v>283</v>
      </c>
      <c r="B43" s="10">
        <v>5.3E-3</v>
      </c>
      <c r="C43" t="s">
        <v>293</v>
      </c>
      <c r="D43" t="s">
        <v>293</v>
      </c>
      <c r="E43" s="26" t="s">
        <v>294</v>
      </c>
    </row>
    <row r="44" spans="1:5" x14ac:dyDescent="0.25">
      <c r="A44" t="s">
        <v>284</v>
      </c>
      <c r="B44" s="10">
        <v>1.1000000000000001E-3</v>
      </c>
      <c r="C44" t="s">
        <v>293</v>
      </c>
      <c r="D44" t="s">
        <v>293</v>
      </c>
      <c r="E44" s="26" t="s">
        <v>294</v>
      </c>
    </row>
    <row r="45" spans="1:5" x14ac:dyDescent="0.25">
      <c r="A45" t="s">
        <v>257</v>
      </c>
      <c r="B45" s="10">
        <v>1E-3</v>
      </c>
      <c r="C45" s="10">
        <v>8.8999999999999999E-3</v>
      </c>
      <c r="D45" s="23">
        <v>0.79</v>
      </c>
      <c r="E45" t="s">
        <v>290</v>
      </c>
    </row>
    <row r="46" spans="1:5" x14ac:dyDescent="0.25">
      <c r="A46" t="s">
        <v>285</v>
      </c>
      <c r="B46" s="10">
        <v>1E-4</v>
      </c>
      <c r="C46" t="s">
        <v>293</v>
      </c>
      <c r="D46" t="s">
        <v>293</v>
      </c>
      <c r="E46" s="26" t="s">
        <v>294</v>
      </c>
    </row>
    <row r="47" spans="1:5" x14ac:dyDescent="0.25">
      <c r="A47" t="s">
        <v>286</v>
      </c>
      <c r="B47" s="10">
        <v>0</v>
      </c>
      <c r="C47" t="s">
        <v>293</v>
      </c>
      <c r="D47" t="s">
        <v>293</v>
      </c>
      <c r="E47" s="26" t="s">
        <v>294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1415-0143-4BF8-9BE2-B75DA7A8AF8A}">
  <dimension ref="A1:H31"/>
  <sheetViews>
    <sheetView workbookViewId="0">
      <selection sqref="A1:H1"/>
    </sheetView>
  </sheetViews>
  <sheetFormatPr baseColWidth="10" defaultRowHeight="15" x14ac:dyDescent="0.25"/>
  <cols>
    <col min="1" max="1" width="28.7109375" customWidth="1"/>
    <col min="2" max="4" width="17.7109375" customWidth="1"/>
    <col min="5" max="5" width="16.7109375" customWidth="1"/>
    <col min="6" max="6" width="22.7109375" customWidth="1"/>
    <col min="7" max="8" width="12.7109375" customWidth="1"/>
  </cols>
  <sheetData>
    <row r="1" spans="1:8" ht="18.75" x14ac:dyDescent="0.3">
      <c r="A1" s="66" t="s">
        <v>407</v>
      </c>
      <c r="B1" s="66"/>
      <c r="C1" s="66"/>
      <c r="D1" s="66"/>
      <c r="E1" s="66"/>
      <c r="F1" s="66"/>
      <c r="G1" s="66"/>
      <c r="H1" s="66"/>
    </row>
    <row r="2" spans="1:8" x14ac:dyDescent="0.25">
      <c r="A2" s="67" t="s">
        <v>408</v>
      </c>
      <c r="B2" s="67"/>
      <c r="C2" s="67"/>
      <c r="D2" s="67"/>
      <c r="E2" s="67"/>
      <c r="F2" s="67"/>
      <c r="G2" s="67"/>
      <c r="H2" s="67"/>
    </row>
    <row r="4" spans="1:8" ht="15.75" x14ac:dyDescent="0.25">
      <c r="A4" s="8" t="s">
        <v>409</v>
      </c>
    </row>
    <row r="5" spans="1:8" x14ac:dyDescent="0.25">
      <c r="A5" s="2" t="s">
        <v>410</v>
      </c>
      <c r="B5" s="2">
        <v>2024</v>
      </c>
      <c r="C5" s="2">
        <v>2025</v>
      </c>
      <c r="D5" s="2" t="s">
        <v>411</v>
      </c>
      <c r="E5" s="2" t="s">
        <v>412</v>
      </c>
      <c r="F5" s="2" t="s">
        <v>413</v>
      </c>
      <c r="G5" s="2" t="s">
        <v>414</v>
      </c>
      <c r="H5" s="2" t="s">
        <v>415</v>
      </c>
    </row>
    <row r="6" spans="1:8" x14ac:dyDescent="0.25">
      <c r="A6" s="11" t="s">
        <v>416</v>
      </c>
      <c r="B6" s="12">
        <v>573734</v>
      </c>
      <c r="C6" s="12">
        <v>770913</v>
      </c>
      <c r="D6" s="12">
        <v>257753</v>
      </c>
      <c r="E6" s="39">
        <v>0.34367668640868415</v>
      </c>
      <c r="F6" s="39">
        <v>-0.19756548404294655</v>
      </c>
      <c r="G6" s="40">
        <v>0.59340347214845535</v>
      </c>
      <c r="H6" s="40">
        <v>0.50779663153996035</v>
      </c>
    </row>
    <row r="7" spans="1:8" x14ac:dyDescent="0.25">
      <c r="A7" t="s">
        <v>417</v>
      </c>
      <c r="B7" s="9">
        <v>16988</v>
      </c>
      <c r="C7" s="9">
        <v>70470</v>
      </c>
      <c r="D7" s="9">
        <v>49956</v>
      </c>
      <c r="E7" s="37">
        <v>3.1482222745467388</v>
      </c>
      <c r="F7" s="37">
        <v>0.70135376756066403</v>
      </c>
      <c r="G7" s="38">
        <v>5.4243660026879359E-2</v>
      </c>
      <c r="H7" s="38">
        <v>9.8417820646938187E-2</v>
      </c>
    </row>
    <row r="8" spans="1:8" x14ac:dyDescent="0.25">
      <c r="A8" t="s">
        <v>418</v>
      </c>
      <c r="B8" s="9">
        <v>35616</v>
      </c>
      <c r="C8" s="9">
        <v>40068</v>
      </c>
      <c r="D8" s="9">
        <v>0</v>
      </c>
      <c r="E8" s="37">
        <v>0.125</v>
      </c>
      <c r="F8" s="37">
        <v>-1</v>
      </c>
      <c r="G8" s="38">
        <v>3.0841989072754396E-2</v>
      </c>
      <c r="H8" s="38">
        <v>0</v>
      </c>
    </row>
    <row r="9" spans="1:8" x14ac:dyDescent="0.25">
      <c r="A9" t="s">
        <v>419</v>
      </c>
      <c r="B9" s="9">
        <v>309202</v>
      </c>
      <c r="C9" s="9">
        <v>339952</v>
      </c>
      <c r="D9" s="9">
        <v>169797</v>
      </c>
      <c r="E9" s="37">
        <v>9.9449550779102336E-2</v>
      </c>
      <c r="F9" s="37">
        <v>0.19873629218242572</v>
      </c>
      <c r="G9" s="38">
        <v>0.26167504914797352</v>
      </c>
      <c r="H9" s="38">
        <v>0.33451538738866526</v>
      </c>
    </row>
    <row r="10" spans="1:8" x14ac:dyDescent="0.25">
      <c r="A10" t="s">
        <v>420</v>
      </c>
      <c r="B10" s="9">
        <v>258354</v>
      </c>
      <c r="C10" s="9">
        <v>77735</v>
      </c>
      <c r="D10" s="9">
        <v>30085</v>
      </c>
      <c r="E10" s="37">
        <v>-0.69911439342917081</v>
      </c>
      <c r="F10" s="37">
        <v>-7.1151990737762918E-2</v>
      </c>
      <c r="G10" s="38">
        <v>5.9835829603937379E-2</v>
      </c>
      <c r="H10" s="38">
        <v>5.9270160424436211E-2</v>
      </c>
    </row>
    <row r="11" spans="1:8" x14ac:dyDescent="0.25">
      <c r="A11" s="4" t="s">
        <v>230</v>
      </c>
      <c r="B11" s="14">
        <v>1193894</v>
      </c>
      <c r="C11" s="14">
        <v>1299138</v>
      </c>
      <c r="D11" s="14">
        <v>507591</v>
      </c>
      <c r="E11" s="42">
        <v>8.8151879480087847E-2</v>
      </c>
      <c r="F11" s="42">
        <v>-6.2287147323840955E-2</v>
      </c>
      <c r="G11" s="43">
        <v>1</v>
      </c>
      <c r="H11" s="43">
        <v>1</v>
      </c>
    </row>
    <row r="14" spans="1:8" ht="15.75" x14ac:dyDescent="0.25">
      <c r="A14" s="8" t="s">
        <v>421</v>
      </c>
    </row>
    <row r="15" spans="1:8" x14ac:dyDescent="0.25">
      <c r="A15" s="2" t="s">
        <v>422</v>
      </c>
      <c r="B15" s="2" t="s">
        <v>423</v>
      </c>
      <c r="C15" s="2" t="s">
        <v>424</v>
      </c>
      <c r="D15" s="2" t="s">
        <v>425</v>
      </c>
      <c r="E15" s="2" t="s">
        <v>426</v>
      </c>
      <c r="F15" s="2" t="s">
        <v>427</v>
      </c>
    </row>
    <row r="16" spans="1:8" x14ac:dyDescent="0.25">
      <c r="A16" t="s">
        <v>428</v>
      </c>
      <c r="B16" s="9">
        <v>21019345</v>
      </c>
      <c r="C16" s="9">
        <v>808436.34615384613</v>
      </c>
      <c r="D16" s="9">
        <v>770913</v>
      </c>
      <c r="E16" s="9">
        <v>37523.346153846127</v>
      </c>
      <c r="F16" s="44">
        <v>0.95358528060698378</v>
      </c>
    </row>
    <row r="17" spans="1:6" x14ac:dyDescent="0.25">
      <c r="A17" t="s">
        <v>411</v>
      </c>
      <c r="B17" s="9">
        <v>6699460</v>
      </c>
      <c r="C17" s="9">
        <v>257671.53846153847</v>
      </c>
      <c r="D17" s="9">
        <v>257753</v>
      </c>
      <c r="E17" s="9">
        <v>-81.461538461531745</v>
      </c>
      <c r="F17" s="44">
        <v>1.0003161448833189</v>
      </c>
    </row>
    <row r="18" spans="1:6" x14ac:dyDescent="0.25">
      <c r="A18" t="s">
        <v>429</v>
      </c>
      <c r="B18" t="s">
        <v>430</v>
      </c>
      <c r="C18" t="s">
        <v>430</v>
      </c>
      <c r="D18" s="9">
        <v>573734</v>
      </c>
      <c r="E18" t="s">
        <v>430</v>
      </c>
      <c r="F18" t="s">
        <v>430</v>
      </c>
    </row>
    <row r="20" spans="1:6" x14ac:dyDescent="0.25">
      <c r="A20" s="78" t="s">
        <v>512</v>
      </c>
      <c r="B20" s="69"/>
      <c r="C20" s="69"/>
      <c r="D20" s="69"/>
      <c r="E20" s="69"/>
      <c r="F20" s="69"/>
    </row>
    <row r="22" spans="1:6" x14ac:dyDescent="0.25">
      <c r="A22" s="1" t="s">
        <v>422</v>
      </c>
      <c r="B22" s="1" t="s">
        <v>431</v>
      </c>
      <c r="C22" s="1" t="s">
        <v>432</v>
      </c>
    </row>
    <row r="23" spans="1:6" x14ac:dyDescent="0.25">
      <c r="A23">
        <v>2025</v>
      </c>
      <c r="B23" s="9">
        <v>808436.34615384613</v>
      </c>
      <c r="C23" s="9">
        <v>770913</v>
      </c>
    </row>
    <row r="24" spans="1:6" x14ac:dyDescent="0.25">
      <c r="A24" t="s">
        <v>433</v>
      </c>
      <c r="B24" s="9">
        <v>257671.53846153847</v>
      </c>
      <c r="C24" s="9">
        <v>257753</v>
      </c>
    </row>
    <row r="27" spans="1:6" ht="15.75" x14ac:dyDescent="0.25">
      <c r="A27" s="8" t="s">
        <v>434</v>
      </c>
    </row>
    <row r="28" spans="1:6" x14ac:dyDescent="0.25">
      <c r="A28" t="s">
        <v>435</v>
      </c>
      <c r="C28" s="41">
        <v>257753</v>
      </c>
    </row>
    <row r="29" spans="1:6" x14ac:dyDescent="0.25">
      <c r="A29" t="s">
        <v>436</v>
      </c>
      <c r="C29" s="45">
        <v>618607.19999999995</v>
      </c>
    </row>
    <row r="30" spans="1:6" x14ac:dyDescent="0.25">
      <c r="A30" t="s">
        <v>437</v>
      </c>
      <c r="C30" s="79">
        <v>-0.19756548404294655</v>
      </c>
    </row>
    <row r="31" spans="1:6" x14ac:dyDescent="0.25">
      <c r="A31" t="s">
        <v>438</v>
      </c>
      <c r="C31" s="46">
        <v>7.8212551461129987E-2</v>
      </c>
    </row>
  </sheetData>
  <mergeCells count="3">
    <mergeCell ref="A1:H1"/>
    <mergeCell ref="A2:H2"/>
    <mergeCell ref="A20:F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887C-279F-48CB-83C5-305A961F436B}">
  <dimension ref="A1:E20"/>
  <sheetViews>
    <sheetView workbookViewId="0">
      <selection sqref="A1:E1"/>
    </sheetView>
  </sheetViews>
  <sheetFormatPr baseColWidth="10" defaultRowHeight="15" x14ac:dyDescent="0.25"/>
  <cols>
    <col min="1" max="1" width="14.7109375" customWidth="1"/>
    <col min="2" max="2" width="12.7109375" customWidth="1"/>
    <col min="3" max="3" width="17.7109375" customWidth="1"/>
    <col min="4" max="5" width="14.7109375" customWidth="1"/>
  </cols>
  <sheetData>
    <row r="1" spans="1:5" ht="18.75" x14ac:dyDescent="0.3">
      <c r="A1" s="66" t="s">
        <v>295</v>
      </c>
      <c r="B1" s="66"/>
      <c r="C1" s="66"/>
      <c r="D1" s="66"/>
      <c r="E1" s="66"/>
    </row>
    <row r="2" spans="1:5" x14ac:dyDescent="0.25">
      <c r="A2" s="67" t="s">
        <v>296</v>
      </c>
      <c r="B2" s="67"/>
      <c r="C2" s="67"/>
      <c r="D2" s="67"/>
      <c r="E2" s="67"/>
    </row>
    <row r="4" spans="1:5" x14ac:dyDescent="0.25">
      <c r="A4" s="2" t="s">
        <v>231</v>
      </c>
      <c r="B4" s="2" t="s">
        <v>266</v>
      </c>
      <c r="C4" s="2" t="s">
        <v>297</v>
      </c>
      <c r="D4" s="2" t="s">
        <v>298</v>
      </c>
      <c r="E4" s="2" t="s">
        <v>299</v>
      </c>
    </row>
    <row r="5" spans="1:5" x14ac:dyDescent="0.25">
      <c r="A5" t="s">
        <v>232</v>
      </c>
      <c r="B5" s="27">
        <v>35</v>
      </c>
      <c r="C5" s="18">
        <v>39.49</v>
      </c>
      <c r="D5" s="19">
        <v>52.225814474011443</v>
      </c>
      <c r="E5" s="19">
        <v>83.281488901776783</v>
      </c>
    </row>
    <row r="6" spans="1:5" x14ac:dyDescent="0.25">
      <c r="A6" t="s">
        <v>233</v>
      </c>
      <c r="B6" s="27">
        <v>63</v>
      </c>
      <c r="C6" s="18">
        <v>37.29</v>
      </c>
      <c r="D6" s="19">
        <v>94.006466053220592</v>
      </c>
      <c r="E6" s="19">
        <v>78.641851637053833</v>
      </c>
    </row>
    <row r="7" spans="1:5" x14ac:dyDescent="0.25">
      <c r="A7" t="s">
        <v>234</v>
      </c>
      <c r="B7" s="27">
        <v>78.5</v>
      </c>
      <c r="C7" s="18">
        <v>43.82</v>
      </c>
      <c r="D7" s="19">
        <v>117.13504103456852</v>
      </c>
      <c r="E7" s="19">
        <v>92.413138609163298</v>
      </c>
    </row>
    <row r="8" spans="1:5" x14ac:dyDescent="0.25">
      <c r="A8" t="s">
        <v>235</v>
      </c>
      <c r="B8" s="27">
        <v>67</v>
      </c>
      <c r="C8" s="18">
        <v>40.36</v>
      </c>
      <c r="D8" s="19">
        <v>99.975130564536187</v>
      </c>
      <c r="E8" s="19">
        <v>85.116254547371753</v>
      </c>
    </row>
    <row r="9" spans="1:5" x14ac:dyDescent="0.25">
      <c r="A9" t="s">
        <v>236</v>
      </c>
      <c r="B9" s="27">
        <v>93.7</v>
      </c>
      <c r="C9" s="18">
        <v>31.31</v>
      </c>
      <c r="D9" s="19">
        <v>139.81596617756779</v>
      </c>
      <c r="E9" s="19">
        <v>66.030473981125112</v>
      </c>
    </row>
    <row r="10" spans="1:5" x14ac:dyDescent="0.25">
      <c r="A10" t="s">
        <v>237</v>
      </c>
      <c r="B10" s="27">
        <v>67</v>
      </c>
      <c r="C10" s="18">
        <v>27.1</v>
      </c>
      <c r="D10" s="19">
        <v>99.975130564536187</v>
      </c>
      <c r="E10" s="19">
        <v>57.151895397268945</v>
      </c>
    </row>
    <row r="11" spans="1:5" x14ac:dyDescent="0.25">
      <c r="A11" t="s">
        <v>238</v>
      </c>
      <c r="B11" s="27">
        <v>75</v>
      </c>
      <c r="C11" s="18">
        <v>40.53</v>
      </c>
      <c r="D11" s="19">
        <v>111.91245958716738</v>
      </c>
      <c r="E11" s="19">
        <v>85.474771972373077</v>
      </c>
    </row>
    <row r="12" spans="1:5" x14ac:dyDescent="0.25">
      <c r="A12" t="s">
        <v>239</v>
      </c>
      <c r="B12" s="27">
        <v>60</v>
      </c>
      <c r="C12" s="18">
        <v>54.09</v>
      </c>
      <c r="D12" s="19">
        <v>89.529967669733907</v>
      </c>
      <c r="E12" s="19">
        <v>114.07180893130176</v>
      </c>
    </row>
    <row r="13" spans="1:5" x14ac:dyDescent="0.25">
      <c r="A13" t="s">
        <v>240</v>
      </c>
      <c r="B13" s="27">
        <v>92</v>
      </c>
      <c r="C13" s="18">
        <v>65.78</v>
      </c>
      <c r="D13" s="19">
        <v>137.27928376025864</v>
      </c>
      <c r="E13" s="19">
        <v>138.72515421521592</v>
      </c>
    </row>
    <row r="14" spans="1:5" x14ac:dyDescent="0.25">
      <c r="A14" t="s">
        <v>241</v>
      </c>
      <c r="B14" s="27">
        <v>61</v>
      </c>
      <c r="C14" s="18">
        <v>67.739999999999995</v>
      </c>
      <c r="D14" s="19">
        <v>91.022133797562802</v>
      </c>
      <c r="E14" s="19">
        <v>142.85864923287818</v>
      </c>
    </row>
    <row r="15" spans="1:5" x14ac:dyDescent="0.25">
      <c r="A15" t="s">
        <v>242</v>
      </c>
      <c r="B15" s="27">
        <v>62</v>
      </c>
      <c r="C15" s="18">
        <v>63.39</v>
      </c>
      <c r="D15" s="19">
        <v>92.514299925391697</v>
      </c>
      <c r="E15" s="19">
        <v>133.68482100490326</v>
      </c>
    </row>
    <row r="16" spans="1:5" x14ac:dyDescent="0.25">
      <c r="A16" t="s">
        <v>243</v>
      </c>
      <c r="B16" s="27">
        <v>50</v>
      </c>
      <c r="C16" s="18">
        <v>58.11</v>
      </c>
      <c r="D16" s="19">
        <v>74.608306391444913</v>
      </c>
      <c r="E16" s="19">
        <v>122.54969156956821</v>
      </c>
    </row>
    <row r="18" spans="1:3" x14ac:dyDescent="0.25">
      <c r="A18" s="70" t="s">
        <v>300</v>
      </c>
      <c r="B18" s="71"/>
      <c r="C18" s="28">
        <v>-8.1236444291218152E-2</v>
      </c>
    </row>
    <row r="19" spans="1:3" x14ac:dyDescent="0.25">
      <c r="A19" s="71" t="s">
        <v>301</v>
      </c>
      <c r="B19" s="71"/>
      <c r="C19" s="27">
        <v>67.016666666666666</v>
      </c>
    </row>
    <row r="20" spans="1:3" x14ac:dyDescent="0.25">
      <c r="A20" s="71" t="s">
        <v>302</v>
      </c>
      <c r="B20" s="71"/>
      <c r="C20" s="18">
        <v>47.417499999999997</v>
      </c>
    </row>
  </sheetData>
  <mergeCells count="5">
    <mergeCell ref="A1:E1"/>
    <mergeCell ref="A2:E2"/>
    <mergeCell ref="A18:B18"/>
    <mergeCell ref="A19:B19"/>
    <mergeCell ref="A20:B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AC39-E3C1-425D-A15B-AF7C3B415D90}">
  <dimension ref="A1:K62"/>
  <sheetViews>
    <sheetView workbookViewId="0">
      <selection sqref="A1:G1"/>
    </sheetView>
  </sheetViews>
  <sheetFormatPr baseColWidth="10" defaultRowHeight="15" x14ac:dyDescent="0.25"/>
  <cols>
    <col min="1" max="1" width="4.7109375" customWidth="1"/>
    <col min="2" max="2" width="12.7109375" customWidth="1"/>
    <col min="3" max="3" width="11.7109375" customWidth="1"/>
    <col min="4" max="4" width="16.7109375" customWidth="1"/>
    <col min="5" max="5" width="10.7109375" customWidth="1"/>
    <col min="6" max="6" width="17.7109375" customWidth="1"/>
    <col min="7" max="7" width="13.7109375" customWidth="1"/>
  </cols>
  <sheetData>
    <row r="1" spans="1:11" ht="18.75" x14ac:dyDescent="0.3">
      <c r="A1" s="66" t="s">
        <v>303</v>
      </c>
      <c r="B1" s="66"/>
      <c r="C1" s="66"/>
      <c r="D1" s="66"/>
      <c r="E1" s="66"/>
      <c r="F1" s="66"/>
      <c r="G1" s="66"/>
    </row>
    <row r="2" spans="1:11" x14ac:dyDescent="0.25">
      <c r="A2" s="67" t="s">
        <v>304</v>
      </c>
      <c r="B2" s="67"/>
      <c r="C2" s="67"/>
      <c r="D2" s="67"/>
      <c r="E2" s="67"/>
      <c r="F2" s="67"/>
      <c r="G2" s="67"/>
    </row>
    <row r="4" spans="1:11" x14ac:dyDescent="0.25">
      <c r="A4" s="2" t="s">
        <v>247</v>
      </c>
      <c r="B4" s="2" t="s">
        <v>231</v>
      </c>
      <c r="C4" s="2" t="s">
        <v>305</v>
      </c>
      <c r="D4" s="2" t="s">
        <v>306</v>
      </c>
      <c r="E4" s="2" t="s">
        <v>266</v>
      </c>
      <c r="F4" s="2" t="s">
        <v>297</v>
      </c>
      <c r="G4" s="2" t="s">
        <v>307</v>
      </c>
      <c r="I4" s="2" t="s">
        <v>405</v>
      </c>
      <c r="J4" s="2" t="s">
        <v>266</v>
      </c>
      <c r="K4" s="2" t="s">
        <v>406</v>
      </c>
    </row>
    <row r="5" spans="1:11" x14ac:dyDescent="0.25">
      <c r="A5">
        <v>1</v>
      </c>
      <c r="B5" t="s">
        <v>232</v>
      </c>
      <c r="C5" t="s">
        <v>308</v>
      </c>
      <c r="D5" t="s">
        <v>309</v>
      </c>
      <c r="E5" s="27">
        <v>1</v>
      </c>
      <c r="F5" s="18">
        <v>50</v>
      </c>
      <c r="G5" s="19">
        <v>1</v>
      </c>
      <c r="I5" s="19">
        <v>1</v>
      </c>
      <c r="J5" s="27">
        <v>1</v>
      </c>
      <c r="K5" s="18">
        <v>50</v>
      </c>
    </row>
    <row r="6" spans="1:11" x14ac:dyDescent="0.25">
      <c r="A6">
        <v>2</v>
      </c>
      <c r="B6" t="s">
        <v>232</v>
      </c>
      <c r="C6" t="s">
        <v>310</v>
      </c>
      <c r="D6" t="s">
        <v>311</v>
      </c>
      <c r="E6" s="27">
        <v>8</v>
      </c>
      <c r="F6" s="18">
        <v>40</v>
      </c>
      <c r="G6" s="19">
        <v>6</v>
      </c>
      <c r="I6" s="19">
        <v>2</v>
      </c>
      <c r="J6" s="27">
        <v>8</v>
      </c>
      <c r="K6" s="18">
        <v>40</v>
      </c>
    </row>
    <row r="7" spans="1:11" x14ac:dyDescent="0.25">
      <c r="A7">
        <v>3</v>
      </c>
      <c r="B7" t="s">
        <v>232</v>
      </c>
      <c r="C7" t="s">
        <v>312</v>
      </c>
      <c r="D7" t="s">
        <v>313</v>
      </c>
      <c r="E7" s="27">
        <v>6</v>
      </c>
      <c r="F7" s="18">
        <v>42</v>
      </c>
      <c r="G7" s="19">
        <v>5</v>
      </c>
      <c r="I7" s="19">
        <v>3</v>
      </c>
      <c r="J7" s="27">
        <v>6</v>
      </c>
      <c r="K7" s="18">
        <v>42</v>
      </c>
    </row>
    <row r="8" spans="1:11" x14ac:dyDescent="0.25">
      <c r="A8">
        <v>4</v>
      </c>
      <c r="B8" t="s">
        <v>232</v>
      </c>
      <c r="C8" t="s">
        <v>314</v>
      </c>
      <c r="D8" t="s">
        <v>315</v>
      </c>
      <c r="E8" s="27">
        <v>10</v>
      </c>
      <c r="F8" s="18">
        <v>40.6</v>
      </c>
      <c r="G8" s="19">
        <v>6</v>
      </c>
      <c r="I8" s="19">
        <v>4</v>
      </c>
      <c r="J8" s="27">
        <v>10</v>
      </c>
      <c r="K8" s="18">
        <v>40.6</v>
      </c>
    </row>
    <row r="9" spans="1:11" x14ac:dyDescent="0.25">
      <c r="A9">
        <v>5</v>
      </c>
      <c r="B9" t="s">
        <v>232</v>
      </c>
      <c r="C9" t="s">
        <v>316</v>
      </c>
      <c r="D9" t="s">
        <v>317</v>
      </c>
      <c r="E9" s="27">
        <v>10</v>
      </c>
      <c r="F9" s="18">
        <v>35.4</v>
      </c>
      <c r="G9" s="19">
        <v>6</v>
      </c>
      <c r="I9" s="19">
        <v>5</v>
      </c>
      <c r="J9" s="27">
        <v>10</v>
      </c>
      <c r="K9" s="18">
        <v>35.4</v>
      </c>
    </row>
    <row r="10" spans="1:11" x14ac:dyDescent="0.25">
      <c r="A10" s="29">
        <v>6</v>
      </c>
      <c r="B10" s="29" t="s">
        <v>233</v>
      </c>
      <c r="C10" s="29" t="s">
        <v>318</v>
      </c>
      <c r="D10" s="29" t="s">
        <v>319</v>
      </c>
      <c r="E10" s="30">
        <v>18</v>
      </c>
      <c r="F10" s="31">
        <v>34.111111111111114</v>
      </c>
      <c r="G10" s="32">
        <v>8</v>
      </c>
      <c r="I10" s="19">
        <v>6</v>
      </c>
      <c r="J10" s="27">
        <v>18</v>
      </c>
      <c r="K10" s="18">
        <v>34.111111111111114</v>
      </c>
    </row>
    <row r="11" spans="1:11" x14ac:dyDescent="0.25">
      <c r="A11">
        <v>7</v>
      </c>
      <c r="B11" t="s">
        <v>233</v>
      </c>
      <c r="C11" t="s">
        <v>320</v>
      </c>
      <c r="D11" t="s">
        <v>321</v>
      </c>
      <c r="E11" s="27">
        <v>13</v>
      </c>
      <c r="F11" s="18">
        <v>32.92307692307692</v>
      </c>
      <c r="G11" s="19">
        <v>7</v>
      </c>
      <c r="I11" s="19">
        <v>7</v>
      </c>
      <c r="J11" s="27">
        <v>13</v>
      </c>
      <c r="K11" s="18">
        <v>32.92307692307692</v>
      </c>
    </row>
    <row r="12" spans="1:11" x14ac:dyDescent="0.25">
      <c r="A12">
        <v>8</v>
      </c>
      <c r="B12" t="s">
        <v>233</v>
      </c>
      <c r="C12" t="s">
        <v>322</v>
      </c>
      <c r="D12" t="s">
        <v>323</v>
      </c>
      <c r="E12" s="27">
        <v>19</v>
      </c>
      <c r="F12" s="18">
        <v>41.315789473684212</v>
      </c>
      <c r="G12" s="19">
        <v>9</v>
      </c>
      <c r="I12" s="19">
        <v>8</v>
      </c>
      <c r="J12" s="27">
        <v>19</v>
      </c>
      <c r="K12" s="18">
        <v>41.315789473684212</v>
      </c>
    </row>
    <row r="13" spans="1:11" x14ac:dyDescent="0.25">
      <c r="A13">
        <v>9</v>
      </c>
      <c r="B13" t="s">
        <v>233</v>
      </c>
      <c r="C13" t="s">
        <v>324</v>
      </c>
      <c r="D13" t="s">
        <v>325</v>
      </c>
      <c r="E13" s="27">
        <v>13</v>
      </c>
      <c r="F13" s="18">
        <v>40.153846153846153</v>
      </c>
      <c r="G13" s="19">
        <v>7</v>
      </c>
      <c r="I13" s="19">
        <v>9</v>
      </c>
      <c r="J13" s="27">
        <v>13</v>
      </c>
      <c r="K13" s="18">
        <v>40.153846153846153</v>
      </c>
    </row>
    <row r="14" spans="1:11" x14ac:dyDescent="0.25">
      <c r="A14">
        <v>10</v>
      </c>
      <c r="B14" t="s">
        <v>234</v>
      </c>
      <c r="C14" t="s">
        <v>326</v>
      </c>
      <c r="D14" t="s">
        <v>327</v>
      </c>
      <c r="E14" s="27">
        <v>18</v>
      </c>
      <c r="F14" s="18">
        <v>42.777777777777779</v>
      </c>
      <c r="G14" s="19">
        <v>9</v>
      </c>
      <c r="I14" s="19">
        <v>10</v>
      </c>
      <c r="J14" s="27">
        <v>18</v>
      </c>
      <c r="K14" s="18">
        <v>42.777777777777779</v>
      </c>
    </row>
    <row r="15" spans="1:11" x14ac:dyDescent="0.25">
      <c r="A15">
        <v>11</v>
      </c>
      <c r="B15" t="s">
        <v>234</v>
      </c>
      <c r="C15" t="s">
        <v>328</v>
      </c>
      <c r="D15" t="s">
        <v>321</v>
      </c>
      <c r="E15" s="27">
        <v>22</v>
      </c>
      <c r="F15" s="18">
        <v>44.090909090909093</v>
      </c>
      <c r="G15" s="19">
        <v>11</v>
      </c>
      <c r="I15" s="19">
        <v>11</v>
      </c>
      <c r="J15" s="27">
        <v>22</v>
      </c>
      <c r="K15" s="18">
        <v>44.090909090909093</v>
      </c>
    </row>
    <row r="16" spans="1:11" x14ac:dyDescent="0.25">
      <c r="A16">
        <v>12</v>
      </c>
      <c r="B16" t="s">
        <v>234</v>
      </c>
      <c r="C16" t="s">
        <v>329</v>
      </c>
      <c r="D16" t="s">
        <v>323</v>
      </c>
      <c r="E16" s="27">
        <v>20.5</v>
      </c>
      <c r="F16" s="18">
        <v>43.951219512195124</v>
      </c>
      <c r="G16" s="19">
        <v>10</v>
      </c>
      <c r="I16" s="19">
        <v>12</v>
      </c>
      <c r="J16" s="27">
        <v>20.5</v>
      </c>
      <c r="K16" s="18">
        <v>43.951219512195124</v>
      </c>
    </row>
    <row r="17" spans="1:11" x14ac:dyDescent="0.25">
      <c r="A17">
        <v>13</v>
      </c>
      <c r="B17" t="s">
        <v>234</v>
      </c>
      <c r="C17" t="s">
        <v>330</v>
      </c>
      <c r="D17" t="s">
        <v>325</v>
      </c>
      <c r="E17" s="27">
        <v>18</v>
      </c>
      <c r="F17" s="18">
        <v>44.388888888888886</v>
      </c>
      <c r="G17" s="19">
        <v>10</v>
      </c>
      <c r="I17" s="19">
        <v>13</v>
      </c>
      <c r="J17" s="27">
        <v>18</v>
      </c>
      <c r="K17" s="18">
        <v>44.388888888888886</v>
      </c>
    </row>
    <row r="18" spans="1:11" x14ac:dyDescent="0.25">
      <c r="A18">
        <v>14</v>
      </c>
      <c r="B18" t="s">
        <v>235</v>
      </c>
      <c r="C18" t="s">
        <v>331</v>
      </c>
      <c r="D18" t="s">
        <v>332</v>
      </c>
      <c r="E18" s="27">
        <v>14</v>
      </c>
      <c r="F18" s="18">
        <v>44.285714285714285</v>
      </c>
      <c r="G18" s="19">
        <v>8</v>
      </c>
      <c r="I18" s="19">
        <v>14</v>
      </c>
      <c r="J18" s="27">
        <v>14</v>
      </c>
      <c r="K18" s="18">
        <v>44.285714285714285</v>
      </c>
    </row>
    <row r="19" spans="1:11" x14ac:dyDescent="0.25">
      <c r="A19">
        <v>15</v>
      </c>
      <c r="B19" t="s">
        <v>235</v>
      </c>
      <c r="C19" t="s">
        <v>333</v>
      </c>
      <c r="D19" t="s">
        <v>334</v>
      </c>
      <c r="E19" s="27">
        <v>30</v>
      </c>
      <c r="F19" s="18">
        <v>40.43333333333333</v>
      </c>
      <c r="G19" s="19">
        <v>11</v>
      </c>
      <c r="I19" s="19">
        <v>15</v>
      </c>
      <c r="J19" s="27">
        <v>30</v>
      </c>
      <c r="K19" s="18">
        <v>40.43333333333333</v>
      </c>
    </row>
    <row r="20" spans="1:11" x14ac:dyDescent="0.25">
      <c r="A20">
        <v>16</v>
      </c>
      <c r="B20" t="s">
        <v>235</v>
      </c>
      <c r="C20" t="s">
        <v>335</v>
      </c>
      <c r="D20" t="s">
        <v>336</v>
      </c>
      <c r="E20" s="27">
        <v>7</v>
      </c>
      <c r="F20" s="18">
        <v>40.142857142857146</v>
      </c>
      <c r="G20" s="19">
        <v>6</v>
      </c>
      <c r="I20" s="19">
        <v>16</v>
      </c>
      <c r="J20" s="27">
        <v>7</v>
      </c>
      <c r="K20" s="18">
        <v>40.142857142857146</v>
      </c>
    </row>
    <row r="21" spans="1:11" x14ac:dyDescent="0.25">
      <c r="A21">
        <v>17</v>
      </c>
      <c r="B21" t="s">
        <v>235</v>
      </c>
      <c r="C21" t="s">
        <v>337</v>
      </c>
      <c r="D21" t="s">
        <v>338</v>
      </c>
      <c r="E21" s="27">
        <v>16</v>
      </c>
      <c r="F21" s="18">
        <v>36.875</v>
      </c>
      <c r="G21" s="19">
        <v>6</v>
      </c>
      <c r="I21" s="19">
        <v>17</v>
      </c>
      <c r="J21" s="27">
        <v>16</v>
      </c>
      <c r="K21" s="18">
        <v>36.875</v>
      </c>
    </row>
    <row r="22" spans="1:11" x14ac:dyDescent="0.25">
      <c r="A22">
        <v>18</v>
      </c>
      <c r="B22" t="s">
        <v>236</v>
      </c>
      <c r="C22" t="s">
        <v>339</v>
      </c>
      <c r="D22" t="s">
        <v>340</v>
      </c>
      <c r="E22" s="27">
        <v>16.8</v>
      </c>
      <c r="F22" s="18">
        <v>37</v>
      </c>
      <c r="G22" s="19">
        <v>7</v>
      </c>
      <c r="I22" s="19">
        <v>18</v>
      </c>
      <c r="J22" s="27">
        <v>16.8</v>
      </c>
      <c r="K22" s="18">
        <v>37</v>
      </c>
    </row>
    <row r="23" spans="1:11" x14ac:dyDescent="0.25">
      <c r="A23" s="29">
        <v>19</v>
      </c>
      <c r="B23" s="29" t="s">
        <v>236</v>
      </c>
      <c r="C23" s="29" t="s">
        <v>341</v>
      </c>
      <c r="D23" s="29" t="s">
        <v>342</v>
      </c>
      <c r="E23" s="30">
        <v>20</v>
      </c>
      <c r="F23" s="31">
        <v>35</v>
      </c>
      <c r="G23" s="32">
        <v>8</v>
      </c>
      <c r="I23" s="19">
        <v>19</v>
      </c>
      <c r="J23" s="27">
        <v>20</v>
      </c>
      <c r="K23" s="18">
        <v>35</v>
      </c>
    </row>
    <row r="24" spans="1:11" x14ac:dyDescent="0.25">
      <c r="A24" s="29">
        <v>20</v>
      </c>
      <c r="B24" s="29" t="s">
        <v>236</v>
      </c>
      <c r="C24" s="29" t="s">
        <v>343</v>
      </c>
      <c r="D24" s="29" t="s">
        <v>344</v>
      </c>
      <c r="E24" s="30">
        <v>18</v>
      </c>
      <c r="F24" s="31">
        <v>31.555555555555557</v>
      </c>
      <c r="G24" s="32">
        <v>5</v>
      </c>
      <c r="I24" s="19">
        <v>20</v>
      </c>
      <c r="J24" s="27">
        <v>18</v>
      </c>
      <c r="K24" s="18">
        <v>31.555555555555557</v>
      </c>
    </row>
    <row r="25" spans="1:11" x14ac:dyDescent="0.25">
      <c r="A25">
        <v>21</v>
      </c>
      <c r="B25" t="s">
        <v>236</v>
      </c>
      <c r="C25" t="s">
        <v>345</v>
      </c>
      <c r="D25" t="s">
        <v>346</v>
      </c>
      <c r="E25" s="27">
        <v>17</v>
      </c>
      <c r="F25" s="18">
        <v>29.352941176470587</v>
      </c>
      <c r="G25" s="19">
        <v>7</v>
      </c>
      <c r="I25" s="19">
        <v>21</v>
      </c>
      <c r="J25" s="27">
        <v>17</v>
      </c>
      <c r="K25" s="18">
        <v>29.352941176470587</v>
      </c>
    </row>
    <row r="26" spans="1:11" x14ac:dyDescent="0.25">
      <c r="A26" s="29">
        <v>22</v>
      </c>
      <c r="B26" s="29" t="s">
        <v>236</v>
      </c>
      <c r="C26" s="29" t="s">
        <v>347</v>
      </c>
      <c r="D26" s="29" t="s">
        <v>348</v>
      </c>
      <c r="E26" s="30">
        <v>21.9</v>
      </c>
      <c r="F26" s="31">
        <v>24.908675799086758</v>
      </c>
      <c r="G26" s="32">
        <v>8</v>
      </c>
      <c r="I26" s="19">
        <v>22</v>
      </c>
      <c r="J26" s="27">
        <v>21.9</v>
      </c>
      <c r="K26" s="18">
        <v>24.908675799086758</v>
      </c>
    </row>
    <row r="27" spans="1:11" x14ac:dyDescent="0.25">
      <c r="A27" s="29">
        <v>23</v>
      </c>
      <c r="B27" s="29" t="s">
        <v>237</v>
      </c>
      <c r="C27" s="29" t="s">
        <v>349</v>
      </c>
      <c r="D27" s="29" t="s">
        <v>350</v>
      </c>
      <c r="E27" s="30">
        <v>20</v>
      </c>
      <c r="F27" s="31">
        <v>25.15</v>
      </c>
      <c r="G27" s="32">
        <v>9</v>
      </c>
      <c r="I27" s="19">
        <v>23</v>
      </c>
      <c r="J27" s="27">
        <v>20</v>
      </c>
      <c r="K27" s="18">
        <v>25.15</v>
      </c>
    </row>
    <row r="28" spans="1:11" x14ac:dyDescent="0.25">
      <c r="A28" s="29">
        <v>24</v>
      </c>
      <c r="B28" s="29" t="s">
        <v>237</v>
      </c>
      <c r="C28" s="29" t="s">
        <v>351</v>
      </c>
      <c r="D28" s="29" t="s">
        <v>352</v>
      </c>
      <c r="E28" s="30">
        <v>19</v>
      </c>
      <c r="F28" s="31">
        <v>27.157894736842106</v>
      </c>
      <c r="G28" s="32">
        <v>8</v>
      </c>
      <c r="I28" s="19">
        <v>24</v>
      </c>
      <c r="J28" s="27">
        <v>19</v>
      </c>
      <c r="K28" s="18">
        <v>27.157894736842106</v>
      </c>
    </row>
    <row r="29" spans="1:11" x14ac:dyDescent="0.25">
      <c r="A29">
        <v>25</v>
      </c>
      <c r="B29" t="s">
        <v>237</v>
      </c>
      <c r="C29" t="s">
        <v>353</v>
      </c>
      <c r="D29" t="s">
        <v>354</v>
      </c>
      <c r="E29" s="27">
        <v>10</v>
      </c>
      <c r="F29" s="18">
        <v>28.2</v>
      </c>
      <c r="G29" s="19">
        <v>6</v>
      </c>
      <c r="I29" s="19">
        <v>25</v>
      </c>
      <c r="J29" s="27">
        <v>10</v>
      </c>
      <c r="K29" s="18">
        <v>28.2</v>
      </c>
    </row>
    <row r="30" spans="1:11" x14ac:dyDescent="0.25">
      <c r="A30" s="29">
        <v>26</v>
      </c>
      <c r="B30" s="29" t="s">
        <v>237</v>
      </c>
      <c r="C30" s="29" t="s">
        <v>355</v>
      </c>
      <c r="D30" s="29" t="s">
        <v>356</v>
      </c>
      <c r="E30" s="30">
        <v>18</v>
      </c>
      <c r="F30" s="31">
        <v>28.583333333333332</v>
      </c>
      <c r="G30" s="32">
        <v>8</v>
      </c>
      <c r="I30" s="19">
        <v>26</v>
      </c>
      <c r="J30" s="27">
        <v>18</v>
      </c>
      <c r="K30" s="18">
        <v>28.583333333333332</v>
      </c>
    </row>
    <row r="31" spans="1:11" x14ac:dyDescent="0.25">
      <c r="A31">
        <v>27</v>
      </c>
      <c r="B31" t="s">
        <v>238</v>
      </c>
      <c r="C31" t="s">
        <v>341</v>
      </c>
      <c r="D31" t="s">
        <v>357</v>
      </c>
      <c r="E31" s="27">
        <v>10</v>
      </c>
      <c r="F31" s="18">
        <v>29.1</v>
      </c>
      <c r="G31" s="19">
        <v>5</v>
      </c>
      <c r="I31" s="19">
        <v>27</v>
      </c>
      <c r="J31" s="27">
        <v>10</v>
      </c>
      <c r="K31" s="18">
        <v>29.1</v>
      </c>
    </row>
    <row r="32" spans="1:11" x14ac:dyDescent="0.25">
      <c r="A32">
        <v>28</v>
      </c>
      <c r="B32" t="s">
        <v>238</v>
      </c>
      <c r="C32" t="s">
        <v>343</v>
      </c>
      <c r="D32" t="s">
        <v>358</v>
      </c>
      <c r="E32" s="27">
        <v>17</v>
      </c>
      <c r="F32" s="18">
        <v>37.235294117647058</v>
      </c>
      <c r="G32" s="19">
        <v>7</v>
      </c>
      <c r="I32" s="19">
        <v>28</v>
      </c>
      <c r="J32" s="27">
        <v>17</v>
      </c>
      <c r="K32" s="18">
        <v>37.235294117647058</v>
      </c>
    </row>
    <row r="33" spans="1:11" x14ac:dyDescent="0.25">
      <c r="A33">
        <v>29</v>
      </c>
      <c r="B33" t="s">
        <v>238</v>
      </c>
      <c r="C33" t="s">
        <v>345</v>
      </c>
      <c r="D33" t="s">
        <v>359</v>
      </c>
      <c r="E33" s="27">
        <v>15</v>
      </c>
      <c r="F33" s="18">
        <v>40.666666666666664</v>
      </c>
      <c r="G33" s="19">
        <v>7</v>
      </c>
      <c r="I33" s="19">
        <v>29</v>
      </c>
      <c r="J33" s="27">
        <v>15</v>
      </c>
      <c r="K33" s="18">
        <v>40.666666666666664</v>
      </c>
    </row>
    <row r="34" spans="1:11" x14ac:dyDescent="0.25">
      <c r="A34">
        <v>30</v>
      </c>
      <c r="B34" t="s">
        <v>238</v>
      </c>
      <c r="C34" t="s">
        <v>347</v>
      </c>
      <c r="D34" t="s">
        <v>360</v>
      </c>
      <c r="E34" s="27">
        <v>15</v>
      </c>
      <c r="F34" s="18">
        <v>42.866666666666667</v>
      </c>
      <c r="G34" s="19">
        <v>7</v>
      </c>
      <c r="I34" s="19">
        <v>30</v>
      </c>
      <c r="J34" s="27">
        <v>15</v>
      </c>
      <c r="K34" s="18">
        <v>42.866666666666667</v>
      </c>
    </row>
    <row r="35" spans="1:11" x14ac:dyDescent="0.25">
      <c r="A35">
        <v>31</v>
      </c>
      <c r="B35" t="s">
        <v>238</v>
      </c>
      <c r="C35" t="s">
        <v>349</v>
      </c>
      <c r="D35" t="s">
        <v>361</v>
      </c>
      <c r="E35" s="27">
        <v>18</v>
      </c>
      <c r="F35" s="18">
        <v>47.944444444444443</v>
      </c>
      <c r="G35" s="19">
        <v>8</v>
      </c>
      <c r="I35" s="19">
        <v>31</v>
      </c>
      <c r="J35" s="27">
        <v>18</v>
      </c>
      <c r="K35" s="18">
        <v>47.944444444444443</v>
      </c>
    </row>
    <row r="36" spans="1:11" x14ac:dyDescent="0.25">
      <c r="A36">
        <v>32</v>
      </c>
      <c r="B36" t="s">
        <v>239</v>
      </c>
      <c r="C36" t="s">
        <v>351</v>
      </c>
      <c r="D36" t="s">
        <v>362</v>
      </c>
      <c r="E36" s="27">
        <v>14</v>
      </c>
      <c r="F36" s="18">
        <v>51.142857142857146</v>
      </c>
      <c r="G36" s="19">
        <v>7</v>
      </c>
      <c r="I36" s="19">
        <v>32</v>
      </c>
      <c r="J36" s="27">
        <v>14</v>
      </c>
      <c r="K36" s="18">
        <v>51.142857142857146</v>
      </c>
    </row>
    <row r="37" spans="1:11" x14ac:dyDescent="0.25">
      <c r="A37">
        <v>33</v>
      </c>
      <c r="B37" t="s">
        <v>239</v>
      </c>
      <c r="C37" t="s">
        <v>353</v>
      </c>
      <c r="D37" t="s">
        <v>363</v>
      </c>
      <c r="E37" s="27">
        <v>19</v>
      </c>
      <c r="F37" s="18">
        <v>55.210526315789473</v>
      </c>
      <c r="G37" s="19">
        <v>7</v>
      </c>
      <c r="I37" s="19">
        <v>33</v>
      </c>
      <c r="J37" s="27">
        <v>19</v>
      </c>
      <c r="K37" s="18">
        <v>55.210526315789473</v>
      </c>
    </row>
    <row r="38" spans="1:11" x14ac:dyDescent="0.25">
      <c r="A38" s="33">
        <v>34</v>
      </c>
      <c r="B38" s="33" t="s">
        <v>239</v>
      </c>
      <c r="C38" s="33" t="s">
        <v>355</v>
      </c>
      <c r="D38" s="33" t="s">
        <v>364</v>
      </c>
      <c r="E38" s="34">
        <v>13</v>
      </c>
      <c r="F38" s="35">
        <v>55.015384615384619</v>
      </c>
      <c r="G38" s="36">
        <v>6</v>
      </c>
      <c r="I38" s="19">
        <v>34</v>
      </c>
      <c r="J38" s="27">
        <v>13</v>
      </c>
      <c r="K38" s="18">
        <v>55.015384615384619</v>
      </c>
    </row>
    <row r="39" spans="1:11" x14ac:dyDescent="0.25">
      <c r="A39">
        <v>35</v>
      </c>
      <c r="B39" t="s">
        <v>239</v>
      </c>
      <c r="C39" t="s">
        <v>365</v>
      </c>
      <c r="D39" t="s">
        <v>366</v>
      </c>
      <c r="E39" s="27">
        <v>14</v>
      </c>
      <c r="F39" s="18">
        <v>54.664285714285711</v>
      </c>
      <c r="G39" s="19">
        <v>7</v>
      </c>
      <c r="I39" s="19">
        <v>35</v>
      </c>
      <c r="J39" s="27">
        <v>14</v>
      </c>
      <c r="K39" s="18">
        <v>54.664285714285711</v>
      </c>
    </row>
    <row r="40" spans="1:11" x14ac:dyDescent="0.25">
      <c r="A40">
        <v>36</v>
      </c>
      <c r="B40" t="s">
        <v>240</v>
      </c>
      <c r="C40" t="s">
        <v>367</v>
      </c>
      <c r="D40" t="s">
        <v>368</v>
      </c>
      <c r="E40" s="27">
        <v>20</v>
      </c>
      <c r="F40" s="18">
        <v>56.65</v>
      </c>
      <c r="G40" s="19">
        <v>9</v>
      </c>
      <c r="I40" s="19">
        <v>36</v>
      </c>
      <c r="J40" s="27">
        <v>20</v>
      </c>
      <c r="K40" s="18">
        <v>56.65</v>
      </c>
    </row>
    <row r="41" spans="1:11" x14ac:dyDescent="0.25">
      <c r="A41">
        <v>37</v>
      </c>
      <c r="B41" t="s">
        <v>240</v>
      </c>
      <c r="C41" t="s">
        <v>369</v>
      </c>
      <c r="D41" t="s">
        <v>370</v>
      </c>
      <c r="E41" s="27">
        <v>17</v>
      </c>
      <c r="F41" s="18">
        <v>60</v>
      </c>
      <c r="G41" s="19">
        <v>6</v>
      </c>
      <c r="I41" s="19">
        <v>37</v>
      </c>
      <c r="J41" s="27">
        <v>17</v>
      </c>
      <c r="K41" s="18">
        <v>60</v>
      </c>
    </row>
    <row r="42" spans="1:11" x14ac:dyDescent="0.25">
      <c r="A42">
        <v>38</v>
      </c>
      <c r="B42" t="s">
        <v>240</v>
      </c>
      <c r="C42" t="s">
        <v>371</v>
      </c>
      <c r="D42" t="s">
        <v>372</v>
      </c>
      <c r="E42" s="27">
        <v>18</v>
      </c>
      <c r="F42" s="18">
        <v>68.333333333333329</v>
      </c>
      <c r="G42" s="19">
        <v>8</v>
      </c>
      <c r="I42" s="19">
        <v>38</v>
      </c>
      <c r="J42" s="27">
        <v>18</v>
      </c>
      <c r="K42" s="18">
        <v>68.333333333333329</v>
      </c>
    </row>
    <row r="43" spans="1:11" x14ac:dyDescent="0.25">
      <c r="A43">
        <v>39</v>
      </c>
      <c r="B43" t="s">
        <v>240</v>
      </c>
      <c r="C43" t="s">
        <v>373</v>
      </c>
      <c r="D43" t="s">
        <v>374</v>
      </c>
      <c r="E43" s="27">
        <v>18</v>
      </c>
      <c r="F43" s="18">
        <v>71.833333333333329</v>
      </c>
      <c r="G43" s="19">
        <v>8</v>
      </c>
      <c r="I43" s="19">
        <v>39</v>
      </c>
      <c r="J43" s="27">
        <v>18</v>
      </c>
      <c r="K43" s="18">
        <v>71.833333333333329</v>
      </c>
    </row>
    <row r="44" spans="1:11" x14ac:dyDescent="0.25">
      <c r="A44">
        <v>40</v>
      </c>
      <c r="B44" t="s">
        <v>240</v>
      </c>
      <c r="C44" t="s">
        <v>375</v>
      </c>
      <c r="D44" t="s">
        <v>376</v>
      </c>
      <c r="E44" s="27">
        <v>19</v>
      </c>
      <c r="F44" s="18">
        <v>72.421052631578945</v>
      </c>
      <c r="G44" s="19">
        <v>8</v>
      </c>
      <c r="I44" s="19">
        <v>40</v>
      </c>
      <c r="J44" s="27">
        <v>19</v>
      </c>
      <c r="K44" s="18">
        <v>72.421052631578945</v>
      </c>
    </row>
    <row r="45" spans="1:11" x14ac:dyDescent="0.25">
      <c r="A45">
        <v>41</v>
      </c>
      <c r="B45" t="s">
        <v>241</v>
      </c>
      <c r="C45" t="s">
        <v>377</v>
      </c>
      <c r="D45" t="s">
        <v>378</v>
      </c>
      <c r="E45" s="27">
        <v>17</v>
      </c>
      <c r="F45" s="18">
        <v>70.588235294117652</v>
      </c>
      <c r="G45" s="19">
        <v>7</v>
      </c>
      <c r="I45" s="19">
        <v>41</v>
      </c>
      <c r="J45" s="27">
        <v>17</v>
      </c>
      <c r="K45" s="18">
        <v>70.588235294117652</v>
      </c>
    </row>
    <row r="46" spans="1:11" x14ac:dyDescent="0.25">
      <c r="A46">
        <v>42</v>
      </c>
      <c r="B46" t="s">
        <v>241</v>
      </c>
      <c r="C46" t="s">
        <v>379</v>
      </c>
      <c r="D46" t="s">
        <v>380</v>
      </c>
      <c r="E46" s="27">
        <v>16</v>
      </c>
      <c r="F46" s="18">
        <v>67.875</v>
      </c>
      <c r="G46" s="19">
        <v>7</v>
      </c>
      <c r="I46" s="19">
        <v>42</v>
      </c>
      <c r="J46" s="27">
        <v>16</v>
      </c>
      <c r="K46" s="18">
        <v>67.875</v>
      </c>
    </row>
    <row r="47" spans="1:11" x14ac:dyDescent="0.25">
      <c r="A47" s="33">
        <v>43</v>
      </c>
      <c r="B47" s="33" t="s">
        <v>241</v>
      </c>
      <c r="C47" s="33" t="s">
        <v>381</v>
      </c>
      <c r="D47" s="33" t="s">
        <v>382</v>
      </c>
      <c r="E47" s="34">
        <v>13</v>
      </c>
      <c r="F47" s="35">
        <v>65</v>
      </c>
      <c r="G47" s="36">
        <v>7</v>
      </c>
      <c r="I47" s="19">
        <v>43</v>
      </c>
      <c r="J47" s="27">
        <v>13</v>
      </c>
      <c r="K47" s="18">
        <v>65</v>
      </c>
    </row>
    <row r="48" spans="1:11" x14ac:dyDescent="0.25">
      <c r="A48">
        <v>44</v>
      </c>
      <c r="B48" t="s">
        <v>241</v>
      </c>
      <c r="C48" t="s">
        <v>383</v>
      </c>
      <c r="D48" t="s">
        <v>384</v>
      </c>
      <c r="E48" s="27">
        <v>15</v>
      </c>
      <c r="F48" s="18">
        <v>66.733333333333334</v>
      </c>
      <c r="G48" s="19">
        <v>6</v>
      </c>
      <c r="I48" s="19">
        <v>44</v>
      </c>
      <c r="J48" s="27">
        <v>15</v>
      </c>
      <c r="K48" s="18">
        <v>66.733333333333334</v>
      </c>
    </row>
    <row r="49" spans="1:11" x14ac:dyDescent="0.25">
      <c r="A49">
        <v>45</v>
      </c>
      <c r="B49" t="s">
        <v>242</v>
      </c>
      <c r="C49" t="s">
        <v>385</v>
      </c>
      <c r="D49" t="s">
        <v>386</v>
      </c>
      <c r="E49" s="27">
        <v>15</v>
      </c>
      <c r="F49" s="18">
        <v>64.86666666666666</v>
      </c>
      <c r="G49" s="19">
        <v>7</v>
      </c>
      <c r="I49" s="19">
        <v>45</v>
      </c>
      <c r="J49" s="27">
        <v>15</v>
      </c>
      <c r="K49" s="18">
        <v>64.86666666666666</v>
      </c>
    </row>
    <row r="50" spans="1:11" x14ac:dyDescent="0.25">
      <c r="A50">
        <v>46</v>
      </c>
      <c r="B50" t="s">
        <v>242</v>
      </c>
      <c r="C50" t="s">
        <v>387</v>
      </c>
      <c r="D50" t="s">
        <v>388</v>
      </c>
      <c r="E50" s="27">
        <v>18</v>
      </c>
      <c r="F50" s="18">
        <v>64.055555555555557</v>
      </c>
      <c r="G50" s="19">
        <v>6</v>
      </c>
      <c r="I50" s="19">
        <v>46</v>
      </c>
      <c r="J50" s="27">
        <v>18</v>
      </c>
      <c r="K50" s="18">
        <v>64.055555555555557</v>
      </c>
    </row>
    <row r="51" spans="1:11" x14ac:dyDescent="0.25">
      <c r="A51">
        <v>47</v>
      </c>
      <c r="B51" t="s">
        <v>242</v>
      </c>
      <c r="C51" t="s">
        <v>389</v>
      </c>
      <c r="D51" t="s">
        <v>390</v>
      </c>
      <c r="E51" s="27">
        <v>17</v>
      </c>
      <c r="F51" s="18">
        <v>63.764705882352942</v>
      </c>
      <c r="G51" s="19">
        <v>7</v>
      </c>
      <c r="I51" s="19">
        <v>47</v>
      </c>
      <c r="J51" s="27">
        <v>17</v>
      </c>
      <c r="K51" s="18">
        <v>63.764705882352942</v>
      </c>
    </row>
    <row r="52" spans="1:11" x14ac:dyDescent="0.25">
      <c r="A52" s="33">
        <v>48</v>
      </c>
      <c r="B52" s="33" t="s">
        <v>242</v>
      </c>
      <c r="C52" s="33" t="s">
        <v>391</v>
      </c>
      <c r="D52" s="33" t="s">
        <v>392</v>
      </c>
      <c r="E52" s="34">
        <v>12</v>
      </c>
      <c r="F52" s="35">
        <v>60</v>
      </c>
      <c r="G52" s="36">
        <v>7</v>
      </c>
      <c r="I52" s="19">
        <v>48</v>
      </c>
      <c r="J52" s="27">
        <v>12</v>
      </c>
      <c r="K52" s="18">
        <v>60</v>
      </c>
    </row>
    <row r="53" spans="1:11" x14ac:dyDescent="0.25">
      <c r="A53" s="33">
        <v>49</v>
      </c>
      <c r="B53" s="33" t="s">
        <v>243</v>
      </c>
      <c r="C53" s="33" t="s">
        <v>393</v>
      </c>
      <c r="D53" s="33" t="s">
        <v>394</v>
      </c>
      <c r="E53" s="34">
        <v>11</v>
      </c>
      <c r="F53" s="35">
        <v>61.81818181818182</v>
      </c>
      <c r="G53" s="36">
        <v>5</v>
      </c>
      <c r="I53" s="19">
        <v>49</v>
      </c>
      <c r="J53" s="27">
        <v>11</v>
      </c>
      <c r="K53" s="18">
        <v>61.81818181818182</v>
      </c>
    </row>
    <row r="54" spans="1:11" x14ac:dyDescent="0.25">
      <c r="A54" s="33">
        <v>50</v>
      </c>
      <c r="B54" s="33" t="s">
        <v>243</v>
      </c>
      <c r="C54" s="33" t="s">
        <v>395</v>
      </c>
      <c r="D54" s="33" t="s">
        <v>396</v>
      </c>
      <c r="E54" s="34">
        <v>13</v>
      </c>
      <c r="F54" s="35">
        <v>60</v>
      </c>
      <c r="G54" s="36">
        <v>7</v>
      </c>
      <c r="I54" s="19">
        <v>50</v>
      </c>
      <c r="J54" s="27">
        <v>13</v>
      </c>
      <c r="K54" s="18">
        <v>60</v>
      </c>
    </row>
    <row r="55" spans="1:11" x14ac:dyDescent="0.25">
      <c r="A55">
        <v>51</v>
      </c>
      <c r="B55" t="s">
        <v>243</v>
      </c>
      <c r="C55" t="s">
        <v>397</v>
      </c>
      <c r="D55" t="s">
        <v>398</v>
      </c>
      <c r="E55" s="27">
        <v>20</v>
      </c>
      <c r="F55" s="18">
        <v>55.7</v>
      </c>
      <c r="G55" s="19">
        <v>6</v>
      </c>
      <c r="I55" s="19">
        <v>51</v>
      </c>
      <c r="J55" s="27">
        <v>20</v>
      </c>
      <c r="K55" s="18">
        <v>55.7</v>
      </c>
    </row>
    <row r="56" spans="1:11" x14ac:dyDescent="0.25">
      <c r="A56" s="33">
        <v>52</v>
      </c>
      <c r="B56" s="33" t="s">
        <v>243</v>
      </c>
      <c r="C56" s="33" t="s">
        <v>399</v>
      </c>
      <c r="D56" s="33" t="s">
        <v>400</v>
      </c>
      <c r="E56" s="34">
        <v>6</v>
      </c>
      <c r="F56" s="35">
        <v>55.25</v>
      </c>
      <c r="G56" s="36">
        <v>4</v>
      </c>
      <c r="I56" s="19">
        <v>52</v>
      </c>
      <c r="J56" s="27">
        <v>6</v>
      </c>
      <c r="K56" s="18">
        <v>55.25</v>
      </c>
    </row>
    <row r="58" spans="1:11" x14ac:dyDescent="0.25">
      <c r="A58" s="70" t="s">
        <v>401</v>
      </c>
      <c r="B58" s="71"/>
      <c r="C58" s="71"/>
      <c r="D58" s="71"/>
      <c r="E58" s="27">
        <v>15.465384615384616</v>
      </c>
    </row>
    <row r="59" spans="1:11" x14ac:dyDescent="0.25">
      <c r="A59" s="70" t="s">
        <v>402</v>
      </c>
      <c r="B59" s="71"/>
      <c r="C59" s="71"/>
      <c r="D59" s="71"/>
      <c r="F59" s="18">
        <v>47.290258612055332</v>
      </c>
    </row>
    <row r="60" spans="1:11" x14ac:dyDescent="0.25">
      <c r="A60" s="70" t="s">
        <v>403</v>
      </c>
      <c r="B60" s="71"/>
      <c r="C60" s="71"/>
      <c r="D60" s="71"/>
      <c r="E60" s="28">
        <v>-2.9239399035644743E-2</v>
      </c>
    </row>
    <row r="62" spans="1:11" x14ac:dyDescent="0.25">
      <c r="A62" s="72" t="s">
        <v>404</v>
      </c>
      <c r="B62" s="72"/>
      <c r="C62" s="72"/>
      <c r="D62" s="72"/>
      <c r="E62" s="72"/>
      <c r="F62" s="72"/>
      <c r="G62" s="72"/>
    </row>
  </sheetData>
  <mergeCells count="6">
    <mergeCell ref="A62:G62"/>
    <mergeCell ref="A1:G1"/>
    <mergeCell ref="A2:G2"/>
    <mergeCell ref="A58:D58"/>
    <mergeCell ref="A59:D59"/>
    <mergeCell ref="A60:D6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E081-BADF-481C-A3D6-A7256E91521D}">
  <dimension ref="A1:J146"/>
  <sheetViews>
    <sheetView tabSelected="1" workbookViewId="0">
      <selection sqref="A1:J1"/>
    </sheetView>
  </sheetViews>
  <sheetFormatPr baseColWidth="10" defaultRowHeight="15" x14ac:dyDescent="0.25"/>
  <cols>
    <col min="1" max="1" width="4.7109375" customWidth="1"/>
    <col min="2" max="2" width="12.7109375" customWidth="1"/>
    <col min="3" max="3" width="11.7109375" customWidth="1"/>
    <col min="4" max="4" width="16.7109375" customWidth="1"/>
    <col min="5" max="6" width="10.7109375" customWidth="1"/>
    <col min="7" max="7" width="11.7109375" customWidth="1"/>
    <col min="8" max="8" width="10.7109375" customWidth="1"/>
    <col min="9" max="9" width="20.7109375" customWidth="1"/>
    <col min="10" max="10" width="38.7109375" customWidth="1"/>
  </cols>
  <sheetData>
    <row r="1" spans="1:10" ht="18.75" x14ac:dyDescent="0.3">
      <c r="A1" s="66" t="s">
        <v>439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x14ac:dyDescent="0.25">
      <c r="A2" s="67" t="s">
        <v>440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ht="17.25" x14ac:dyDescent="0.3">
      <c r="A3" s="73" t="s">
        <v>472</v>
      </c>
      <c r="B3" s="73"/>
      <c r="C3" s="73"/>
      <c r="D3" s="73"/>
      <c r="E3" s="73"/>
      <c r="F3" s="73"/>
      <c r="G3" s="73"/>
      <c r="H3" s="73"/>
      <c r="I3" s="73"/>
      <c r="J3" s="73"/>
    </row>
    <row r="4" spans="1:10" x14ac:dyDescent="0.25">
      <c r="A4" s="60" t="s">
        <v>442</v>
      </c>
      <c r="B4" s="60" t="s">
        <v>473</v>
      </c>
      <c r="C4" s="60" t="s">
        <v>474</v>
      </c>
      <c r="D4" s="60" t="s">
        <v>475</v>
      </c>
      <c r="E4" s="60" t="s">
        <v>476</v>
      </c>
      <c r="F4" s="60" t="s">
        <v>477</v>
      </c>
      <c r="G4" s="47"/>
      <c r="H4" s="47"/>
      <c r="I4" s="47"/>
      <c r="J4" s="47"/>
    </row>
    <row r="5" spans="1:10" x14ac:dyDescent="0.25">
      <c r="A5" s="61" t="s">
        <v>478</v>
      </c>
      <c r="B5" s="61" t="s">
        <v>479</v>
      </c>
      <c r="C5" s="61" t="s">
        <v>480</v>
      </c>
      <c r="D5" s="61" t="s">
        <v>481</v>
      </c>
      <c r="E5" s="61" t="s">
        <v>482</v>
      </c>
      <c r="F5" s="61" t="s">
        <v>483</v>
      </c>
      <c r="G5" s="47"/>
      <c r="H5" s="47"/>
      <c r="I5" s="47"/>
      <c r="J5" s="47"/>
    </row>
    <row r="6" spans="1:10" x14ac:dyDescent="0.25">
      <c r="A6" s="47" t="s">
        <v>484</v>
      </c>
      <c r="B6" s="47" t="s">
        <v>485</v>
      </c>
      <c r="C6" s="47" t="s">
        <v>486</v>
      </c>
      <c r="D6" s="47" t="s">
        <v>487</v>
      </c>
      <c r="E6" s="47" t="s">
        <v>488</v>
      </c>
      <c r="F6" s="47" t="s">
        <v>489</v>
      </c>
      <c r="G6" s="47"/>
      <c r="H6" s="47"/>
      <c r="I6" s="47"/>
      <c r="J6" s="47"/>
    </row>
    <row r="7" spans="1:10" x14ac:dyDescent="0.25">
      <c r="A7" s="47" t="s">
        <v>490</v>
      </c>
      <c r="B7" s="47" t="s">
        <v>491</v>
      </c>
      <c r="C7" s="47" t="s">
        <v>492</v>
      </c>
      <c r="D7" s="47" t="s">
        <v>493</v>
      </c>
      <c r="E7" s="47" t="s">
        <v>494</v>
      </c>
      <c r="F7" s="47" t="s">
        <v>495</v>
      </c>
      <c r="G7" s="47"/>
      <c r="H7" s="47"/>
      <c r="I7" s="47"/>
      <c r="J7" s="47"/>
    </row>
    <row r="8" spans="1:10" x14ac:dyDescent="0.25">
      <c r="A8" s="47" t="s">
        <v>496</v>
      </c>
      <c r="B8" s="47" t="s">
        <v>497</v>
      </c>
      <c r="C8" s="47" t="s">
        <v>498</v>
      </c>
      <c r="D8" s="47" t="s">
        <v>499</v>
      </c>
      <c r="E8" s="47" t="s">
        <v>500</v>
      </c>
      <c r="F8" s="47" t="s">
        <v>501</v>
      </c>
      <c r="G8" s="47"/>
      <c r="H8" s="47"/>
      <c r="I8" s="47"/>
      <c r="J8" s="47"/>
    </row>
    <row r="9" spans="1:10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</row>
    <row r="10" spans="1:10" x14ac:dyDescent="0.25">
      <c r="A10" s="59" t="s">
        <v>502</v>
      </c>
      <c r="B10" s="47"/>
      <c r="C10" s="47"/>
      <c r="D10" s="47"/>
      <c r="E10" s="47"/>
      <c r="F10" s="47"/>
      <c r="G10" s="47"/>
      <c r="H10" s="47"/>
      <c r="I10" s="47"/>
      <c r="J10" s="47"/>
    </row>
    <row r="11" spans="1:10" x14ac:dyDescent="0.25">
      <c r="A11" s="63">
        <v>46361</v>
      </c>
      <c r="B11" s="74" t="s">
        <v>503</v>
      </c>
      <c r="C11" s="74"/>
      <c r="D11" s="74"/>
      <c r="E11" s="74"/>
      <c r="F11" s="74"/>
      <c r="G11" s="74"/>
      <c r="H11" s="74"/>
      <c r="I11" s="74"/>
      <c r="J11" s="74"/>
    </row>
    <row r="12" spans="1:10" x14ac:dyDescent="0.25">
      <c r="A12" s="64">
        <v>46333</v>
      </c>
      <c r="B12" s="75" t="s">
        <v>504</v>
      </c>
      <c r="C12" s="75"/>
      <c r="D12" s="75"/>
      <c r="E12" s="75"/>
      <c r="F12" s="75"/>
      <c r="G12" s="75"/>
      <c r="H12" s="75"/>
      <c r="I12" s="75"/>
      <c r="J12" s="75"/>
    </row>
    <row r="13" spans="1:10" x14ac:dyDescent="0.25">
      <c r="A13" s="62">
        <v>46242</v>
      </c>
      <c r="B13" s="67" t="s">
        <v>505</v>
      </c>
      <c r="C13" s="67"/>
      <c r="D13" s="67"/>
      <c r="E13" s="67"/>
      <c r="F13" s="67"/>
      <c r="G13" s="67"/>
      <c r="H13" s="67"/>
      <c r="I13" s="67"/>
      <c r="J13" s="67"/>
    </row>
    <row r="14" spans="1:10" x14ac:dyDescent="0.25">
      <c r="A14" s="59" t="s">
        <v>506</v>
      </c>
      <c r="B14" s="67" t="s">
        <v>507</v>
      </c>
      <c r="C14" s="67"/>
      <c r="D14" s="67"/>
      <c r="E14" s="67"/>
      <c r="F14" s="67"/>
      <c r="G14" s="67"/>
      <c r="H14" s="67"/>
      <c r="I14" s="67"/>
      <c r="J14" s="67"/>
    </row>
    <row r="15" spans="1:10" x14ac:dyDescent="0.25">
      <c r="A15" s="1" t="s">
        <v>508</v>
      </c>
      <c r="B15" s="71" t="s">
        <v>509</v>
      </c>
      <c r="C15" s="71"/>
      <c r="D15" s="71"/>
      <c r="E15" s="71"/>
      <c r="F15" s="71"/>
      <c r="G15" s="71"/>
      <c r="H15" s="71"/>
      <c r="I15" s="71"/>
      <c r="J15" s="71"/>
    </row>
    <row r="16" spans="1:10" ht="15.75" x14ac:dyDescent="0.25">
      <c r="A16" s="65">
        <v>46034</v>
      </c>
      <c r="B16" s="71" t="s">
        <v>510</v>
      </c>
      <c r="C16" s="71"/>
      <c r="D16" s="71"/>
      <c r="E16" s="71"/>
      <c r="F16" s="71"/>
      <c r="G16" s="71"/>
      <c r="H16" s="71"/>
      <c r="I16" s="71"/>
      <c r="J16" s="71"/>
    </row>
    <row r="17" spans="1:10" x14ac:dyDescent="0.25">
      <c r="A17" s="2" t="s">
        <v>247</v>
      </c>
      <c r="B17" s="2" t="s">
        <v>231</v>
      </c>
      <c r="C17" s="2" t="s">
        <v>305</v>
      </c>
      <c r="D17" s="2" t="s">
        <v>306</v>
      </c>
      <c r="E17" s="2" t="s">
        <v>266</v>
      </c>
      <c r="F17" s="2" t="s">
        <v>406</v>
      </c>
      <c r="G17" s="2" t="s">
        <v>441</v>
      </c>
      <c r="H17" s="2" t="s">
        <v>442</v>
      </c>
      <c r="I17" s="2" t="s">
        <v>443</v>
      </c>
      <c r="J17" s="2" t="s">
        <v>444</v>
      </c>
    </row>
    <row r="18" spans="1:10" ht="15.75" thickBot="1" x14ac:dyDescent="0.3">
      <c r="A18">
        <v>1</v>
      </c>
      <c r="B18" t="s">
        <v>232</v>
      </c>
      <c r="C18" t="s">
        <v>308</v>
      </c>
      <c r="D18" t="s">
        <v>309</v>
      </c>
      <c r="E18" s="27">
        <v>1</v>
      </c>
      <c r="F18" s="18">
        <v>50</v>
      </c>
      <c r="G18" s="3">
        <v>5.7300202356133756E-2</v>
      </c>
      <c r="H18" s="48" t="s">
        <v>445</v>
      </c>
      <c r="J18" t="s">
        <v>446</v>
      </c>
    </row>
    <row r="19" spans="1:10" ht="15.75" thickBot="1" x14ac:dyDescent="0.3">
      <c r="A19" s="50">
        <v>2</v>
      </c>
      <c r="B19" s="50" t="s">
        <v>232</v>
      </c>
      <c r="C19" s="50" t="s">
        <v>310</v>
      </c>
      <c r="D19" s="50" t="s">
        <v>311</v>
      </c>
      <c r="E19" s="51">
        <v>8</v>
      </c>
      <c r="F19" s="52">
        <v>40</v>
      </c>
      <c r="G19" s="53">
        <v>-0.15415983811509298</v>
      </c>
      <c r="H19" s="54" t="s">
        <v>447</v>
      </c>
      <c r="I19" s="55" t="s">
        <v>449</v>
      </c>
      <c r="J19" s="50" t="s">
        <v>448</v>
      </c>
    </row>
    <row r="20" spans="1:10" x14ac:dyDescent="0.25">
      <c r="A20" s="50">
        <v>3</v>
      </c>
      <c r="B20" s="50" t="s">
        <v>232</v>
      </c>
      <c r="C20" s="50" t="s">
        <v>312</v>
      </c>
      <c r="D20" s="50" t="s">
        <v>313</v>
      </c>
      <c r="E20" s="51">
        <v>6</v>
      </c>
      <c r="F20" s="52">
        <v>42</v>
      </c>
      <c r="G20" s="53">
        <v>-0.11186783002084764</v>
      </c>
      <c r="H20" s="56" t="s">
        <v>445</v>
      </c>
      <c r="I20" s="55" t="s">
        <v>450</v>
      </c>
      <c r="J20" s="50" t="s">
        <v>446</v>
      </c>
    </row>
    <row r="21" spans="1:10" ht="15.75" thickBot="1" x14ac:dyDescent="0.3">
      <c r="A21">
        <v>4</v>
      </c>
      <c r="B21" t="s">
        <v>232</v>
      </c>
      <c r="C21" t="s">
        <v>314</v>
      </c>
      <c r="D21" t="s">
        <v>315</v>
      </c>
      <c r="E21" s="27">
        <v>10</v>
      </c>
      <c r="F21" s="18">
        <v>40.6</v>
      </c>
      <c r="G21" s="3">
        <v>-0.14147223568681935</v>
      </c>
      <c r="H21" s="48" t="s">
        <v>445</v>
      </c>
      <c r="J21" t="s">
        <v>446</v>
      </c>
    </row>
    <row r="22" spans="1:10" x14ac:dyDescent="0.25">
      <c r="A22" s="50">
        <v>5</v>
      </c>
      <c r="B22" s="50" t="s">
        <v>232</v>
      </c>
      <c r="C22" s="50" t="s">
        <v>316</v>
      </c>
      <c r="D22" s="50" t="s">
        <v>317</v>
      </c>
      <c r="E22" s="51">
        <v>10</v>
      </c>
      <c r="F22" s="52">
        <v>35.4</v>
      </c>
      <c r="G22" s="53">
        <v>-0.25143145673185735</v>
      </c>
      <c r="H22" s="54" t="s">
        <v>447</v>
      </c>
      <c r="I22" s="55" t="s">
        <v>449</v>
      </c>
      <c r="J22" s="50" t="s">
        <v>448</v>
      </c>
    </row>
    <row r="23" spans="1:10" x14ac:dyDescent="0.25">
      <c r="A23">
        <v>6</v>
      </c>
      <c r="B23" t="s">
        <v>233</v>
      </c>
      <c r="C23" t="s">
        <v>318</v>
      </c>
      <c r="D23" t="s">
        <v>319</v>
      </c>
      <c r="E23" s="27">
        <v>18</v>
      </c>
      <c r="F23" s="18">
        <v>34.111111111111114</v>
      </c>
      <c r="G23" s="3">
        <v>-0.27868630639259312</v>
      </c>
      <c r="H23" s="49" t="s">
        <v>447</v>
      </c>
      <c r="I23" t="s">
        <v>451</v>
      </c>
      <c r="J23" t="s">
        <v>448</v>
      </c>
    </row>
    <row r="24" spans="1:10" ht="15.75" thickBot="1" x14ac:dyDescent="0.3">
      <c r="A24">
        <v>7</v>
      </c>
      <c r="B24" t="s">
        <v>233</v>
      </c>
      <c r="C24" t="s">
        <v>320</v>
      </c>
      <c r="D24" t="s">
        <v>321</v>
      </c>
      <c r="E24" s="27">
        <v>13</v>
      </c>
      <c r="F24" s="18">
        <v>32.92307692307692</v>
      </c>
      <c r="G24" s="3">
        <v>-0.3038084821408843</v>
      </c>
      <c r="H24" s="49" t="s">
        <v>447</v>
      </c>
      <c r="I24" t="s">
        <v>451</v>
      </c>
      <c r="J24" t="s">
        <v>448</v>
      </c>
    </row>
    <row r="25" spans="1:10" ht="15.75" thickBot="1" x14ac:dyDescent="0.3">
      <c r="A25" s="50">
        <v>8</v>
      </c>
      <c r="B25" s="50" t="s">
        <v>233</v>
      </c>
      <c r="C25" s="50" t="s">
        <v>322</v>
      </c>
      <c r="D25" s="50" t="s">
        <v>323</v>
      </c>
      <c r="E25" s="51">
        <v>19</v>
      </c>
      <c r="F25" s="52">
        <v>41.315789473684212</v>
      </c>
      <c r="G25" s="53">
        <v>-0.12633614857940523</v>
      </c>
      <c r="H25" s="56" t="s">
        <v>445</v>
      </c>
      <c r="I25" s="55" t="s">
        <v>453</v>
      </c>
      <c r="J25" s="50" t="s">
        <v>446</v>
      </c>
    </row>
    <row r="26" spans="1:10" ht="15.75" thickBot="1" x14ac:dyDescent="0.3">
      <c r="A26" s="50">
        <v>9</v>
      </c>
      <c r="B26" s="50" t="s">
        <v>233</v>
      </c>
      <c r="C26" s="50" t="s">
        <v>324</v>
      </c>
      <c r="D26" s="50" t="s">
        <v>325</v>
      </c>
      <c r="E26" s="51">
        <v>13</v>
      </c>
      <c r="F26" s="52">
        <v>40.153846153846153</v>
      </c>
      <c r="G26" s="53">
        <v>-0.15090660672322798</v>
      </c>
      <c r="H26" s="54" t="s">
        <v>447</v>
      </c>
      <c r="I26" s="55" t="s">
        <v>454</v>
      </c>
      <c r="J26" s="50" t="s">
        <v>448</v>
      </c>
    </row>
    <row r="27" spans="1:10" x14ac:dyDescent="0.25">
      <c r="A27" s="50">
        <v>10</v>
      </c>
      <c r="B27" s="50" t="s">
        <v>234</v>
      </c>
      <c r="C27" s="50" t="s">
        <v>326</v>
      </c>
      <c r="D27" s="50" t="s">
        <v>327</v>
      </c>
      <c r="E27" s="51">
        <v>18</v>
      </c>
      <c r="F27" s="52">
        <v>42.777777777777779</v>
      </c>
      <c r="G27" s="53">
        <v>-9.5420937984196652E-2</v>
      </c>
      <c r="H27" s="56" t="s">
        <v>445</v>
      </c>
      <c r="I27" s="55" t="s">
        <v>457</v>
      </c>
      <c r="J27" s="50" t="s">
        <v>456</v>
      </c>
    </row>
    <row r="28" spans="1:10" x14ac:dyDescent="0.25">
      <c r="A28">
        <v>11</v>
      </c>
      <c r="B28" t="s">
        <v>234</v>
      </c>
      <c r="C28" t="s">
        <v>328</v>
      </c>
      <c r="D28" t="s">
        <v>321</v>
      </c>
      <c r="E28" s="27">
        <v>22</v>
      </c>
      <c r="F28" s="18">
        <v>44.090909090909093</v>
      </c>
      <c r="G28" s="3">
        <v>-6.7653457922318361E-2</v>
      </c>
      <c r="H28" s="48" t="s">
        <v>445</v>
      </c>
      <c r="I28" t="s">
        <v>455</v>
      </c>
      <c r="J28" t="s">
        <v>456</v>
      </c>
    </row>
    <row r="29" spans="1:10" x14ac:dyDescent="0.25">
      <c r="A29">
        <v>12</v>
      </c>
      <c r="B29" t="s">
        <v>234</v>
      </c>
      <c r="C29" t="s">
        <v>329</v>
      </c>
      <c r="D29" t="s">
        <v>323</v>
      </c>
      <c r="E29" s="27">
        <v>20.5</v>
      </c>
      <c r="F29" s="18">
        <v>43.951219512195124</v>
      </c>
      <c r="G29" s="3">
        <v>-7.0607334319144829E-2</v>
      </c>
      <c r="H29" s="48" t="s">
        <v>445</v>
      </c>
      <c r="I29" t="s">
        <v>455</v>
      </c>
      <c r="J29" t="s">
        <v>456</v>
      </c>
    </row>
    <row r="30" spans="1:10" x14ac:dyDescent="0.25">
      <c r="A30">
        <v>13</v>
      </c>
      <c r="B30" t="s">
        <v>234</v>
      </c>
      <c r="C30" t="s">
        <v>330</v>
      </c>
      <c r="D30" t="s">
        <v>325</v>
      </c>
      <c r="E30" s="27">
        <v>18</v>
      </c>
      <c r="F30" s="18">
        <v>44.388888888888886</v>
      </c>
      <c r="G30" s="3">
        <v>-6.1352375908276878E-2</v>
      </c>
      <c r="H30" s="48" t="s">
        <v>445</v>
      </c>
      <c r="I30" t="s">
        <v>452</v>
      </c>
      <c r="J30" t="s">
        <v>446</v>
      </c>
    </row>
    <row r="31" spans="1:10" x14ac:dyDescent="0.25">
      <c r="A31">
        <v>14</v>
      </c>
      <c r="B31" t="s">
        <v>235</v>
      </c>
      <c r="C31" t="s">
        <v>331</v>
      </c>
      <c r="D31" t="s">
        <v>332</v>
      </c>
      <c r="E31" s="27">
        <v>14</v>
      </c>
      <c r="F31" s="18">
        <v>44.285714285714285</v>
      </c>
      <c r="G31" s="3">
        <v>-6.3534106484567268E-2</v>
      </c>
      <c r="H31" s="48" t="s">
        <v>445</v>
      </c>
      <c r="I31" t="s">
        <v>452</v>
      </c>
      <c r="J31" t="s">
        <v>446</v>
      </c>
    </row>
    <row r="32" spans="1:10" ht="15.75" thickBot="1" x14ac:dyDescent="0.3">
      <c r="A32">
        <v>15</v>
      </c>
      <c r="B32" t="s">
        <v>235</v>
      </c>
      <c r="C32" t="s">
        <v>333</v>
      </c>
      <c r="D32" t="s">
        <v>334</v>
      </c>
      <c r="E32" s="27">
        <v>30</v>
      </c>
      <c r="F32" s="18">
        <v>40.43333333333333</v>
      </c>
      <c r="G32" s="3">
        <v>-0.14499656969467323</v>
      </c>
      <c r="H32" s="48" t="s">
        <v>445</v>
      </c>
      <c r="I32" t="s">
        <v>452</v>
      </c>
      <c r="J32" t="s">
        <v>446</v>
      </c>
    </row>
    <row r="33" spans="1:10" x14ac:dyDescent="0.25">
      <c r="A33" s="50">
        <v>16</v>
      </c>
      <c r="B33" s="50" t="s">
        <v>235</v>
      </c>
      <c r="C33" s="50" t="s">
        <v>335</v>
      </c>
      <c r="D33" s="50" t="s">
        <v>336</v>
      </c>
      <c r="E33" s="51">
        <v>7</v>
      </c>
      <c r="F33" s="52">
        <v>40.142857142857146</v>
      </c>
      <c r="G33" s="53">
        <v>-0.15113898039407542</v>
      </c>
      <c r="H33" s="54" t="s">
        <v>447</v>
      </c>
      <c r="I33" s="55" t="s">
        <v>454</v>
      </c>
      <c r="J33" s="50" t="s">
        <v>448</v>
      </c>
    </row>
    <row r="34" spans="1:10" x14ac:dyDescent="0.25">
      <c r="A34">
        <v>17</v>
      </c>
      <c r="B34" t="s">
        <v>235</v>
      </c>
      <c r="C34" t="s">
        <v>337</v>
      </c>
      <c r="D34" t="s">
        <v>338</v>
      </c>
      <c r="E34" s="27">
        <v>16</v>
      </c>
      <c r="F34" s="18">
        <v>36.875</v>
      </c>
      <c r="G34" s="3">
        <v>-0.22024110076235134</v>
      </c>
      <c r="H34" s="49" t="s">
        <v>447</v>
      </c>
      <c r="I34" t="s">
        <v>451</v>
      </c>
      <c r="J34" t="s">
        <v>448</v>
      </c>
    </row>
    <row r="35" spans="1:10" x14ac:dyDescent="0.25">
      <c r="A35">
        <v>18</v>
      </c>
      <c r="B35" t="s">
        <v>236</v>
      </c>
      <c r="C35" t="s">
        <v>339</v>
      </c>
      <c r="D35" t="s">
        <v>340</v>
      </c>
      <c r="E35" s="27">
        <v>16.8</v>
      </c>
      <c r="F35" s="18">
        <v>37</v>
      </c>
      <c r="G35" s="3">
        <v>-0.21759785025646103</v>
      </c>
      <c r="H35" s="49" t="s">
        <v>447</v>
      </c>
      <c r="I35" t="s">
        <v>451</v>
      </c>
      <c r="J35" t="s">
        <v>448</v>
      </c>
    </row>
    <row r="36" spans="1:10" x14ac:dyDescent="0.25">
      <c r="A36">
        <v>19</v>
      </c>
      <c r="B36" t="s">
        <v>236</v>
      </c>
      <c r="C36" t="s">
        <v>341</v>
      </c>
      <c r="D36" t="s">
        <v>342</v>
      </c>
      <c r="E36" s="27">
        <v>20</v>
      </c>
      <c r="F36" s="18">
        <v>35</v>
      </c>
      <c r="G36" s="3">
        <v>-0.25988985835070638</v>
      </c>
      <c r="H36" s="49" t="s">
        <v>447</v>
      </c>
      <c r="I36" t="s">
        <v>451</v>
      </c>
      <c r="J36" t="s">
        <v>448</v>
      </c>
    </row>
    <row r="37" spans="1:10" x14ac:dyDescent="0.25">
      <c r="A37">
        <v>20</v>
      </c>
      <c r="B37" t="s">
        <v>236</v>
      </c>
      <c r="C37" t="s">
        <v>343</v>
      </c>
      <c r="D37" t="s">
        <v>344</v>
      </c>
      <c r="E37" s="27">
        <v>18</v>
      </c>
      <c r="F37" s="18">
        <v>31.555555555555557</v>
      </c>
      <c r="G37" s="3">
        <v>-0.33272609451301777</v>
      </c>
      <c r="H37" s="49" t="s">
        <v>447</v>
      </c>
      <c r="I37" t="s">
        <v>451</v>
      </c>
      <c r="J37" t="s">
        <v>448</v>
      </c>
    </row>
    <row r="38" spans="1:10" x14ac:dyDescent="0.25">
      <c r="A38">
        <v>21</v>
      </c>
      <c r="B38" t="s">
        <v>236</v>
      </c>
      <c r="C38" t="s">
        <v>345</v>
      </c>
      <c r="D38" t="s">
        <v>346</v>
      </c>
      <c r="E38" s="27">
        <v>17</v>
      </c>
      <c r="F38" s="18">
        <v>29.352941176470587</v>
      </c>
      <c r="G38" s="3">
        <v>-0.37930258708739917</v>
      </c>
      <c r="H38" s="49" t="s">
        <v>447</v>
      </c>
      <c r="I38" t="s">
        <v>451</v>
      </c>
      <c r="J38" t="s">
        <v>448</v>
      </c>
    </row>
    <row r="39" spans="1:10" x14ac:dyDescent="0.25">
      <c r="A39">
        <v>22</v>
      </c>
      <c r="B39" t="s">
        <v>236</v>
      </c>
      <c r="C39" t="s">
        <v>347</v>
      </c>
      <c r="D39" t="s">
        <v>348</v>
      </c>
      <c r="E39" s="27">
        <v>21.9</v>
      </c>
      <c r="F39" s="18">
        <v>24.908675799086758</v>
      </c>
      <c r="G39" s="3">
        <v>-0.47328104074404476</v>
      </c>
      <c r="H39" s="49" t="s">
        <v>447</v>
      </c>
      <c r="I39" t="s">
        <v>451</v>
      </c>
      <c r="J39" t="s">
        <v>448</v>
      </c>
    </row>
    <row r="40" spans="1:10" x14ac:dyDescent="0.25">
      <c r="A40">
        <v>23</v>
      </c>
      <c r="B40" t="s">
        <v>237</v>
      </c>
      <c r="C40" t="s">
        <v>349</v>
      </c>
      <c r="D40" t="s">
        <v>350</v>
      </c>
      <c r="E40" s="27">
        <v>20</v>
      </c>
      <c r="F40" s="18">
        <v>25.15</v>
      </c>
      <c r="G40" s="3">
        <v>-0.46817799821486478</v>
      </c>
      <c r="H40" s="49" t="s">
        <v>447</v>
      </c>
      <c r="I40" t="s">
        <v>451</v>
      </c>
      <c r="J40" t="s">
        <v>448</v>
      </c>
    </row>
    <row r="41" spans="1:10" x14ac:dyDescent="0.25">
      <c r="A41">
        <v>24</v>
      </c>
      <c r="B41" t="s">
        <v>237</v>
      </c>
      <c r="C41" t="s">
        <v>351</v>
      </c>
      <c r="D41" t="s">
        <v>352</v>
      </c>
      <c r="E41" s="27">
        <v>19</v>
      </c>
      <c r="F41" s="18">
        <v>27.157894736842106</v>
      </c>
      <c r="G41" s="3">
        <v>-0.42571904798340521</v>
      </c>
      <c r="H41" s="49" t="s">
        <v>447</v>
      </c>
      <c r="I41" t="s">
        <v>451</v>
      </c>
      <c r="J41" t="s">
        <v>448</v>
      </c>
    </row>
    <row r="42" spans="1:10" x14ac:dyDescent="0.25">
      <c r="A42">
        <v>25</v>
      </c>
      <c r="B42" t="s">
        <v>237</v>
      </c>
      <c r="C42" t="s">
        <v>353</v>
      </c>
      <c r="D42" t="s">
        <v>354</v>
      </c>
      <c r="E42" s="27">
        <v>10</v>
      </c>
      <c r="F42" s="18">
        <v>28.2</v>
      </c>
      <c r="G42" s="3">
        <v>-0.40368268587114059</v>
      </c>
      <c r="H42" s="49" t="s">
        <v>447</v>
      </c>
      <c r="I42" t="s">
        <v>452</v>
      </c>
      <c r="J42" t="s">
        <v>448</v>
      </c>
    </row>
    <row r="43" spans="1:10" x14ac:dyDescent="0.25">
      <c r="A43">
        <v>26</v>
      </c>
      <c r="B43" t="s">
        <v>237</v>
      </c>
      <c r="C43" t="s">
        <v>355</v>
      </c>
      <c r="D43" t="s">
        <v>356</v>
      </c>
      <c r="E43" s="27">
        <v>18</v>
      </c>
      <c r="F43" s="18">
        <v>28.583333333333332</v>
      </c>
      <c r="G43" s="3">
        <v>-0.39557671765307689</v>
      </c>
      <c r="H43" s="49" t="s">
        <v>447</v>
      </c>
      <c r="I43" t="s">
        <v>452</v>
      </c>
      <c r="J43" t="s">
        <v>448</v>
      </c>
    </row>
    <row r="44" spans="1:10" x14ac:dyDescent="0.25">
      <c r="A44">
        <v>27</v>
      </c>
      <c r="B44" t="s">
        <v>238</v>
      </c>
      <c r="C44" t="s">
        <v>341</v>
      </c>
      <c r="D44" t="s">
        <v>357</v>
      </c>
      <c r="E44" s="27">
        <v>10</v>
      </c>
      <c r="F44" s="18">
        <v>29.1</v>
      </c>
      <c r="G44" s="3">
        <v>-0.38465128222873013</v>
      </c>
      <c r="H44" s="49" t="s">
        <v>447</v>
      </c>
      <c r="I44" t="s">
        <v>455</v>
      </c>
      <c r="J44" t="s">
        <v>448</v>
      </c>
    </row>
    <row r="45" spans="1:10" ht="15.75" thickBot="1" x14ac:dyDescent="0.3">
      <c r="A45">
        <v>28</v>
      </c>
      <c r="B45" t="s">
        <v>238</v>
      </c>
      <c r="C45" t="s">
        <v>343</v>
      </c>
      <c r="D45" t="s">
        <v>358</v>
      </c>
      <c r="E45" s="27">
        <v>17</v>
      </c>
      <c r="F45" s="18">
        <v>37.235294117647058</v>
      </c>
      <c r="G45" s="3">
        <v>-0.21262231989243216</v>
      </c>
      <c r="H45" s="49" t="s">
        <v>447</v>
      </c>
      <c r="I45" t="s">
        <v>455</v>
      </c>
      <c r="J45" t="s">
        <v>448</v>
      </c>
    </row>
    <row r="46" spans="1:10" x14ac:dyDescent="0.25">
      <c r="A46" s="50">
        <v>29</v>
      </c>
      <c r="B46" s="50" t="s">
        <v>238</v>
      </c>
      <c r="C46" s="50" t="s">
        <v>345</v>
      </c>
      <c r="D46" s="50" t="s">
        <v>359</v>
      </c>
      <c r="E46" s="51">
        <v>15</v>
      </c>
      <c r="F46" s="52">
        <v>40.666666666666664</v>
      </c>
      <c r="G46" s="53">
        <v>-0.14006250208367793</v>
      </c>
      <c r="H46" s="56" t="s">
        <v>445</v>
      </c>
      <c r="I46" s="55" t="s">
        <v>457</v>
      </c>
      <c r="J46" s="50" t="s">
        <v>456</v>
      </c>
    </row>
    <row r="47" spans="1:10" x14ac:dyDescent="0.25">
      <c r="A47">
        <v>30</v>
      </c>
      <c r="B47" t="s">
        <v>238</v>
      </c>
      <c r="C47" t="s">
        <v>347</v>
      </c>
      <c r="D47" t="s">
        <v>360</v>
      </c>
      <c r="E47" s="27">
        <v>15</v>
      </c>
      <c r="F47" s="18">
        <v>42.866666666666667</v>
      </c>
      <c r="G47" s="3">
        <v>-9.3541293180007978E-2</v>
      </c>
      <c r="H47" s="48" t="s">
        <v>445</v>
      </c>
      <c r="I47" t="s">
        <v>455</v>
      </c>
      <c r="J47" t="s">
        <v>456</v>
      </c>
    </row>
    <row r="48" spans="1:10" x14ac:dyDescent="0.25">
      <c r="A48">
        <v>31</v>
      </c>
      <c r="B48" t="s">
        <v>238</v>
      </c>
      <c r="C48" t="s">
        <v>349</v>
      </c>
      <c r="D48" t="s">
        <v>361</v>
      </c>
      <c r="E48" s="27">
        <v>18</v>
      </c>
      <c r="F48" s="18">
        <v>47.944444444444443</v>
      </c>
      <c r="G48" s="3">
        <v>1.3833416259270448E-2</v>
      </c>
      <c r="H48" s="48" t="s">
        <v>445</v>
      </c>
      <c r="I48" t="s">
        <v>455</v>
      </c>
      <c r="J48" t="s">
        <v>456</v>
      </c>
    </row>
    <row r="49" spans="1:10" ht="15.75" thickBot="1" x14ac:dyDescent="0.3">
      <c r="A49">
        <v>32</v>
      </c>
      <c r="B49" t="s">
        <v>239</v>
      </c>
      <c r="C49" t="s">
        <v>351</v>
      </c>
      <c r="D49" t="s">
        <v>362</v>
      </c>
      <c r="E49" s="27">
        <v>14</v>
      </c>
      <c r="F49" s="18">
        <v>51.142857142857146</v>
      </c>
      <c r="G49" s="3">
        <v>8.1467064124274027E-2</v>
      </c>
      <c r="H49" s="48" t="s">
        <v>445</v>
      </c>
      <c r="I49" t="s">
        <v>455</v>
      </c>
      <c r="J49" t="s">
        <v>456</v>
      </c>
    </row>
    <row r="50" spans="1:10" x14ac:dyDescent="0.25">
      <c r="A50" s="50">
        <v>33</v>
      </c>
      <c r="B50" s="50" t="s">
        <v>239</v>
      </c>
      <c r="C50" s="50" t="s">
        <v>353</v>
      </c>
      <c r="D50" s="50" t="s">
        <v>363</v>
      </c>
      <c r="E50" s="51">
        <v>19</v>
      </c>
      <c r="F50" s="52">
        <v>55.210526315789473</v>
      </c>
      <c r="G50" s="53">
        <v>0.16748201291745715</v>
      </c>
      <c r="H50" s="58" t="s">
        <v>458</v>
      </c>
      <c r="I50" s="55" t="s">
        <v>460</v>
      </c>
      <c r="J50" s="50" t="s">
        <v>459</v>
      </c>
    </row>
    <row r="51" spans="1:10" x14ac:dyDescent="0.25">
      <c r="A51">
        <v>34</v>
      </c>
      <c r="B51" t="s">
        <v>239</v>
      </c>
      <c r="C51" t="s">
        <v>355</v>
      </c>
      <c r="D51" t="s">
        <v>364</v>
      </c>
      <c r="E51" s="27">
        <v>13</v>
      </c>
      <c r="F51" s="18">
        <v>55.015384615384619</v>
      </c>
      <c r="G51" s="3">
        <v>0.16335554573093372</v>
      </c>
      <c r="H51" s="57" t="s">
        <v>458</v>
      </c>
      <c r="I51" t="s">
        <v>455</v>
      </c>
      <c r="J51" t="s">
        <v>459</v>
      </c>
    </row>
    <row r="52" spans="1:10" x14ac:dyDescent="0.25">
      <c r="A52">
        <v>35</v>
      </c>
      <c r="B52" t="s">
        <v>239</v>
      </c>
      <c r="C52" t="s">
        <v>365</v>
      </c>
      <c r="D52" t="s">
        <v>366</v>
      </c>
      <c r="E52" s="27">
        <v>14</v>
      </c>
      <c r="F52" s="18">
        <v>54.664285714285711</v>
      </c>
      <c r="G52" s="3">
        <v>0.15593120694735588</v>
      </c>
      <c r="H52" s="57" t="s">
        <v>458</v>
      </c>
      <c r="I52" t="s">
        <v>455</v>
      </c>
      <c r="J52" t="s">
        <v>459</v>
      </c>
    </row>
    <row r="53" spans="1:10" x14ac:dyDescent="0.25">
      <c r="A53">
        <v>36</v>
      </c>
      <c r="B53" t="s">
        <v>240</v>
      </c>
      <c r="C53" t="s">
        <v>367</v>
      </c>
      <c r="D53" t="s">
        <v>368</v>
      </c>
      <c r="E53" s="27">
        <v>20</v>
      </c>
      <c r="F53" s="18">
        <v>56.65</v>
      </c>
      <c r="G53" s="3">
        <v>0.19792112926949951</v>
      </c>
      <c r="H53" s="57" t="s">
        <v>458</v>
      </c>
      <c r="I53" t="s">
        <v>452</v>
      </c>
      <c r="J53" t="s">
        <v>459</v>
      </c>
    </row>
    <row r="54" spans="1:10" x14ac:dyDescent="0.25">
      <c r="A54">
        <v>37</v>
      </c>
      <c r="B54" t="s">
        <v>240</v>
      </c>
      <c r="C54" t="s">
        <v>369</v>
      </c>
      <c r="D54" t="s">
        <v>370</v>
      </c>
      <c r="E54" s="27">
        <v>17</v>
      </c>
      <c r="F54" s="18">
        <v>60</v>
      </c>
      <c r="G54" s="3">
        <v>0.2687602428273605</v>
      </c>
      <c r="H54" s="57" t="s">
        <v>458</v>
      </c>
      <c r="I54" t="s">
        <v>452</v>
      </c>
      <c r="J54" t="s">
        <v>459</v>
      </c>
    </row>
    <row r="55" spans="1:10" x14ac:dyDescent="0.25">
      <c r="A55">
        <v>38</v>
      </c>
      <c r="B55" t="s">
        <v>240</v>
      </c>
      <c r="C55" t="s">
        <v>371</v>
      </c>
      <c r="D55" t="s">
        <v>372</v>
      </c>
      <c r="E55" s="27">
        <v>18</v>
      </c>
      <c r="F55" s="18">
        <v>68.333333333333329</v>
      </c>
      <c r="G55" s="3">
        <v>0.44497694322004938</v>
      </c>
      <c r="H55" s="57" t="s">
        <v>458</v>
      </c>
      <c r="I55" t="s">
        <v>455</v>
      </c>
      <c r="J55" t="s">
        <v>459</v>
      </c>
    </row>
    <row r="56" spans="1:10" x14ac:dyDescent="0.25">
      <c r="A56">
        <v>39</v>
      </c>
      <c r="B56" t="s">
        <v>240</v>
      </c>
      <c r="C56" t="s">
        <v>373</v>
      </c>
      <c r="D56" t="s">
        <v>374</v>
      </c>
      <c r="E56" s="27">
        <v>18</v>
      </c>
      <c r="F56" s="18">
        <v>71.833333333333329</v>
      </c>
      <c r="G56" s="3">
        <v>0.51898795738497872</v>
      </c>
      <c r="H56" s="57" t="s">
        <v>458</v>
      </c>
      <c r="I56" t="s">
        <v>455</v>
      </c>
      <c r="J56" t="s">
        <v>459</v>
      </c>
    </row>
    <row r="57" spans="1:10" x14ac:dyDescent="0.25">
      <c r="A57">
        <v>40</v>
      </c>
      <c r="B57" t="s">
        <v>240</v>
      </c>
      <c r="C57" t="s">
        <v>375</v>
      </c>
      <c r="D57" t="s">
        <v>376</v>
      </c>
      <c r="E57" s="27">
        <v>19</v>
      </c>
      <c r="F57" s="18">
        <v>72.421052631578945</v>
      </c>
      <c r="G57" s="3">
        <v>0.53141587204425267</v>
      </c>
      <c r="H57" s="57" t="s">
        <v>458</v>
      </c>
      <c r="I57" t="s">
        <v>455</v>
      </c>
      <c r="J57" t="s">
        <v>459</v>
      </c>
    </row>
    <row r="58" spans="1:10" x14ac:dyDescent="0.25">
      <c r="A58">
        <v>41</v>
      </c>
      <c r="B58" t="s">
        <v>241</v>
      </c>
      <c r="C58" t="s">
        <v>377</v>
      </c>
      <c r="D58" t="s">
        <v>378</v>
      </c>
      <c r="E58" s="27">
        <v>17</v>
      </c>
      <c r="F58" s="18">
        <v>70.588235294117652</v>
      </c>
      <c r="G58" s="3">
        <v>0.49265910920865952</v>
      </c>
      <c r="H58" s="57" t="s">
        <v>458</v>
      </c>
      <c r="I58" t="s">
        <v>455</v>
      </c>
      <c r="J58" t="s">
        <v>459</v>
      </c>
    </row>
    <row r="59" spans="1:10" x14ac:dyDescent="0.25">
      <c r="A59">
        <v>42</v>
      </c>
      <c r="B59" t="s">
        <v>241</v>
      </c>
      <c r="C59" t="s">
        <v>379</v>
      </c>
      <c r="D59" t="s">
        <v>380</v>
      </c>
      <c r="E59" s="27">
        <v>16</v>
      </c>
      <c r="F59" s="18">
        <v>67.875</v>
      </c>
      <c r="G59" s="3">
        <v>0.43528502469845159</v>
      </c>
      <c r="H59" s="57" t="s">
        <v>458</v>
      </c>
      <c r="I59" t="s">
        <v>452</v>
      </c>
      <c r="J59" t="s">
        <v>459</v>
      </c>
    </row>
    <row r="60" spans="1:10" x14ac:dyDescent="0.25">
      <c r="A60">
        <v>43</v>
      </c>
      <c r="B60" t="s">
        <v>241</v>
      </c>
      <c r="C60" t="s">
        <v>381</v>
      </c>
      <c r="D60" t="s">
        <v>382</v>
      </c>
      <c r="E60" s="27">
        <v>13</v>
      </c>
      <c r="F60" s="18">
        <v>65</v>
      </c>
      <c r="G60" s="3">
        <v>0.37449026306297389</v>
      </c>
      <c r="H60" s="57" t="s">
        <v>458</v>
      </c>
      <c r="I60" t="s">
        <v>452</v>
      </c>
      <c r="J60" t="s">
        <v>459</v>
      </c>
    </row>
    <row r="61" spans="1:10" x14ac:dyDescent="0.25">
      <c r="A61">
        <v>44</v>
      </c>
      <c r="B61" t="s">
        <v>241</v>
      </c>
      <c r="C61" t="s">
        <v>383</v>
      </c>
      <c r="D61" t="s">
        <v>384</v>
      </c>
      <c r="E61" s="27">
        <v>15</v>
      </c>
      <c r="F61" s="18">
        <v>66.733333333333334</v>
      </c>
      <c r="G61" s="3">
        <v>0.4111433367446532</v>
      </c>
      <c r="H61" s="57" t="s">
        <v>458</v>
      </c>
      <c r="I61" t="s">
        <v>452</v>
      </c>
      <c r="J61" t="s">
        <v>459</v>
      </c>
    </row>
    <row r="62" spans="1:10" x14ac:dyDescent="0.25">
      <c r="A62">
        <v>45</v>
      </c>
      <c r="B62" t="s">
        <v>242</v>
      </c>
      <c r="C62" t="s">
        <v>385</v>
      </c>
      <c r="D62" t="s">
        <v>386</v>
      </c>
      <c r="E62" s="27">
        <v>15</v>
      </c>
      <c r="F62" s="18">
        <v>64.86666666666666</v>
      </c>
      <c r="G62" s="3">
        <v>0.37167079585669072</v>
      </c>
      <c r="H62" s="57" t="s">
        <v>458</v>
      </c>
      <c r="I62" t="s">
        <v>452</v>
      </c>
      <c r="J62" t="s">
        <v>459</v>
      </c>
    </row>
    <row r="63" spans="1:10" x14ac:dyDescent="0.25">
      <c r="A63">
        <v>46</v>
      </c>
      <c r="B63" t="s">
        <v>242</v>
      </c>
      <c r="C63" t="s">
        <v>387</v>
      </c>
      <c r="D63" t="s">
        <v>388</v>
      </c>
      <c r="E63" s="27">
        <v>18</v>
      </c>
      <c r="F63" s="18">
        <v>64.055555555555557</v>
      </c>
      <c r="G63" s="3">
        <v>0.35451903701846915</v>
      </c>
      <c r="H63" s="57" t="s">
        <v>458</v>
      </c>
      <c r="I63" t="s">
        <v>452</v>
      </c>
      <c r="J63" t="s">
        <v>459</v>
      </c>
    </row>
    <row r="64" spans="1:10" x14ac:dyDescent="0.25">
      <c r="A64">
        <v>47</v>
      </c>
      <c r="B64" t="s">
        <v>242</v>
      </c>
      <c r="C64" t="s">
        <v>389</v>
      </c>
      <c r="D64" t="s">
        <v>390</v>
      </c>
      <c r="E64" s="27">
        <v>17</v>
      </c>
      <c r="F64" s="18">
        <v>63.764705882352942</v>
      </c>
      <c r="G64" s="3">
        <v>0.34836872865182239</v>
      </c>
      <c r="H64" s="57" t="s">
        <v>458</v>
      </c>
      <c r="I64" t="s">
        <v>452</v>
      </c>
      <c r="J64" t="s">
        <v>459</v>
      </c>
    </row>
    <row r="65" spans="1:10" x14ac:dyDescent="0.25">
      <c r="A65">
        <v>48</v>
      </c>
      <c r="B65" t="s">
        <v>242</v>
      </c>
      <c r="C65" t="s">
        <v>391</v>
      </c>
      <c r="D65" t="s">
        <v>392</v>
      </c>
      <c r="E65" s="27">
        <v>12</v>
      </c>
      <c r="F65" s="18">
        <v>60</v>
      </c>
      <c r="G65" s="3">
        <v>0.2687602428273605</v>
      </c>
      <c r="H65" s="57" t="s">
        <v>458</v>
      </c>
      <c r="I65" t="s">
        <v>452</v>
      </c>
      <c r="J65" t="s">
        <v>459</v>
      </c>
    </row>
    <row r="66" spans="1:10" x14ac:dyDescent="0.25">
      <c r="A66">
        <v>49</v>
      </c>
      <c r="B66" t="s">
        <v>243</v>
      </c>
      <c r="C66" t="s">
        <v>393</v>
      </c>
      <c r="D66" t="s">
        <v>394</v>
      </c>
      <c r="E66" s="27">
        <v>11</v>
      </c>
      <c r="F66" s="18">
        <v>61.81818181818182</v>
      </c>
      <c r="G66" s="3">
        <v>0.30720752291303816</v>
      </c>
      <c r="H66" s="57" t="s">
        <v>458</v>
      </c>
      <c r="I66" t="s">
        <v>452</v>
      </c>
      <c r="J66" t="s">
        <v>459</v>
      </c>
    </row>
    <row r="67" spans="1:10" x14ac:dyDescent="0.25">
      <c r="A67">
        <v>50</v>
      </c>
      <c r="B67" t="s">
        <v>243</v>
      </c>
      <c r="C67" t="s">
        <v>395</v>
      </c>
      <c r="D67" t="s">
        <v>396</v>
      </c>
      <c r="E67" s="27">
        <v>13</v>
      </c>
      <c r="F67" s="18">
        <v>60</v>
      </c>
      <c r="G67" s="3">
        <v>0.2687602428273605</v>
      </c>
      <c r="H67" s="57" t="s">
        <v>458</v>
      </c>
      <c r="I67" t="s">
        <v>452</v>
      </c>
      <c r="J67" t="s">
        <v>459</v>
      </c>
    </row>
    <row r="68" spans="1:10" x14ac:dyDescent="0.25">
      <c r="A68">
        <v>51</v>
      </c>
      <c r="B68" t="s">
        <v>243</v>
      </c>
      <c r="C68" t="s">
        <v>397</v>
      </c>
      <c r="D68" t="s">
        <v>398</v>
      </c>
      <c r="E68" s="27">
        <v>20</v>
      </c>
      <c r="F68" s="18">
        <v>55.7</v>
      </c>
      <c r="G68" s="3">
        <v>0.17783242542473307</v>
      </c>
      <c r="H68" s="57" t="s">
        <v>458</v>
      </c>
      <c r="I68" t="s">
        <v>452</v>
      </c>
      <c r="J68" t="s">
        <v>459</v>
      </c>
    </row>
    <row r="69" spans="1:10" x14ac:dyDescent="0.25">
      <c r="A69">
        <v>52</v>
      </c>
      <c r="B69" t="s">
        <v>243</v>
      </c>
      <c r="C69" t="s">
        <v>399</v>
      </c>
      <c r="D69" t="s">
        <v>400</v>
      </c>
      <c r="E69" s="27">
        <v>6</v>
      </c>
      <c r="F69" s="18">
        <v>55.25</v>
      </c>
      <c r="G69" s="3">
        <v>0.16831672360352781</v>
      </c>
      <c r="H69" s="57" t="s">
        <v>458</v>
      </c>
      <c r="I69" t="s">
        <v>452</v>
      </c>
      <c r="J69" t="s">
        <v>459</v>
      </c>
    </row>
    <row r="72" spans="1:10" ht="15.75" x14ac:dyDescent="0.25">
      <c r="A72" s="8" t="s">
        <v>461</v>
      </c>
    </row>
    <row r="73" spans="1:10" x14ac:dyDescent="0.25">
      <c r="A73" s="2" t="s">
        <v>247</v>
      </c>
      <c r="B73" s="2" t="s">
        <v>231</v>
      </c>
      <c r="C73" s="2" t="s">
        <v>306</v>
      </c>
      <c r="D73" s="2" t="s">
        <v>406</v>
      </c>
      <c r="E73" s="2" t="s">
        <v>462</v>
      </c>
      <c r="F73" s="2" t="s">
        <v>463</v>
      </c>
    </row>
    <row r="74" spans="1:10" x14ac:dyDescent="0.25">
      <c r="A74">
        <v>2</v>
      </c>
      <c r="B74" t="s">
        <v>232</v>
      </c>
      <c r="C74" t="s">
        <v>311</v>
      </c>
      <c r="D74" s="18">
        <v>40</v>
      </c>
      <c r="E74" t="s">
        <v>464</v>
      </c>
      <c r="F74" t="s">
        <v>465</v>
      </c>
    </row>
    <row r="75" spans="1:10" x14ac:dyDescent="0.25">
      <c r="A75">
        <v>3</v>
      </c>
      <c r="B75" t="s">
        <v>232</v>
      </c>
      <c r="C75" t="s">
        <v>313</v>
      </c>
      <c r="D75" s="18">
        <v>42</v>
      </c>
      <c r="E75" t="s">
        <v>466</v>
      </c>
      <c r="F75" t="s">
        <v>467</v>
      </c>
    </row>
    <row r="76" spans="1:10" x14ac:dyDescent="0.25">
      <c r="A76">
        <v>5</v>
      </c>
      <c r="B76" t="s">
        <v>232</v>
      </c>
      <c r="C76" t="s">
        <v>317</v>
      </c>
      <c r="D76" s="18">
        <v>35.4</v>
      </c>
      <c r="E76" t="s">
        <v>464</v>
      </c>
      <c r="F76" t="s">
        <v>465</v>
      </c>
    </row>
    <row r="77" spans="1:10" x14ac:dyDescent="0.25">
      <c r="A77">
        <v>8</v>
      </c>
      <c r="B77" t="s">
        <v>233</v>
      </c>
      <c r="C77" t="s">
        <v>323</v>
      </c>
      <c r="D77" s="18">
        <v>41.315789473684212</v>
      </c>
      <c r="E77" t="s">
        <v>466</v>
      </c>
      <c r="F77" t="s">
        <v>467</v>
      </c>
    </row>
    <row r="78" spans="1:10" x14ac:dyDescent="0.25">
      <c r="A78">
        <v>9</v>
      </c>
      <c r="B78" t="s">
        <v>233</v>
      </c>
      <c r="C78" t="s">
        <v>325</v>
      </c>
      <c r="D78" s="18">
        <v>40.153846153846153</v>
      </c>
      <c r="E78" t="s">
        <v>464</v>
      </c>
      <c r="F78" t="s">
        <v>465</v>
      </c>
    </row>
    <row r="79" spans="1:10" x14ac:dyDescent="0.25">
      <c r="A79">
        <v>10</v>
      </c>
      <c r="B79" t="s">
        <v>234</v>
      </c>
      <c r="C79" t="s">
        <v>327</v>
      </c>
      <c r="D79" s="18">
        <v>42.777777777777779</v>
      </c>
      <c r="E79" t="s">
        <v>466</v>
      </c>
      <c r="F79" t="s">
        <v>467</v>
      </c>
    </row>
    <row r="80" spans="1:10" x14ac:dyDescent="0.25">
      <c r="A80">
        <v>16</v>
      </c>
      <c r="B80" t="s">
        <v>235</v>
      </c>
      <c r="C80" t="s">
        <v>336</v>
      </c>
      <c r="D80" s="18">
        <v>40.142857142857146</v>
      </c>
      <c r="E80" t="s">
        <v>464</v>
      </c>
      <c r="F80" t="s">
        <v>465</v>
      </c>
    </row>
    <row r="81" spans="1:6" x14ac:dyDescent="0.25">
      <c r="A81">
        <v>29</v>
      </c>
      <c r="B81" t="s">
        <v>238</v>
      </c>
      <c r="C81" t="s">
        <v>359</v>
      </c>
      <c r="D81" s="18">
        <v>40.666666666666664</v>
      </c>
      <c r="E81" t="s">
        <v>466</v>
      </c>
      <c r="F81" t="s">
        <v>467</v>
      </c>
    </row>
    <row r="82" spans="1:6" x14ac:dyDescent="0.25">
      <c r="A82">
        <v>33</v>
      </c>
      <c r="B82" t="s">
        <v>239</v>
      </c>
      <c r="C82" t="s">
        <v>363</v>
      </c>
      <c r="D82" s="18">
        <v>55.210526315789473</v>
      </c>
      <c r="E82" t="s">
        <v>468</v>
      </c>
      <c r="F82" t="s">
        <v>469</v>
      </c>
    </row>
    <row r="94" spans="1:6" x14ac:dyDescent="0.25">
      <c r="A94" s="1" t="s">
        <v>405</v>
      </c>
      <c r="B94" s="1" t="s">
        <v>406</v>
      </c>
      <c r="C94" s="1" t="s">
        <v>470</v>
      </c>
      <c r="D94" s="1" t="s">
        <v>471</v>
      </c>
    </row>
    <row r="95" spans="1:6" x14ac:dyDescent="0.25">
      <c r="A95">
        <v>1</v>
      </c>
      <c r="B95" s="18">
        <v>50</v>
      </c>
      <c r="C95" s="18">
        <v>40.196719820247033</v>
      </c>
      <c r="D95" s="18">
        <v>52.019284473260868</v>
      </c>
    </row>
    <row r="96" spans="1:6" x14ac:dyDescent="0.25">
      <c r="A96">
        <v>2</v>
      </c>
      <c r="B96" s="18">
        <v>40</v>
      </c>
      <c r="C96" s="18">
        <v>40.196719820247033</v>
      </c>
      <c r="D96" s="18">
        <v>52.019284473260868</v>
      </c>
    </row>
    <row r="97" spans="1:4" x14ac:dyDescent="0.25">
      <c r="A97">
        <v>3</v>
      </c>
      <c r="B97" s="18">
        <v>42</v>
      </c>
      <c r="C97" s="18">
        <v>40.196719820247033</v>
      </c>
      <c r="D97" s="18">
        <v>52.019284473260868</v>
      </c>
    </row>
    <row r="98" spans="1:4" x14ac:dyDescent="0.25">
      <c r="A98">
        <v>4</v>
      </c>
      <c r="B98" s="18">
        <v>40.6</v>
      </c>
      <c r="C98" s="18">
        <v>40.196719820247033</v>
      </c>
      <c r="D98" s="18">
        <v>52.019284473260868</v>
      </c>
    </row>
    <row r="99" spans="1:4" x14ac:dyDescent="0.25">
      <c r="A99">
        <v>5</v>
      </c>
      <c r="B99" s="18">
        <v>35.4</v>
      </c>
      <c r="C99" s="18">
        <v>40.196719820247033</v>
      </c>
      <c r="D99" s="18">
        <v>52.019284473260868</v>
      </c>
    </row>
    <row r="100" spans="1:4" x14ac:dyDescent="0.25">
      <c r="A100">
        <v>6</v>
      </c>
      <c r="B100" s="18">
        <v>34.111111111111114</v>
      </c>
      <c r="C100" s="18">
        <v>40.196719820247033</v>
      </c>
      <c r="D100" s="18">
        <v>52.019284473260868</v>
      </c>
    </row>
    <row r="101" spans="1:4" x14ac:dyDescent="0.25">
      <c r="A101">
        <v>7</v>
      </c>
      <c r="B101" s="18">
        <v>32.92307692307692</v>
      </c>
      <c r="C101" s="18">
        <v>40.196719820247033</v>
      </c>
      <c r="D101" s="18">
        <v>52.019284473260868</v>
      </c>
    </row>
    <row r="102" spans="1:4" x14ac:dyDescent="0.25">
      <c r="A102">
        <v>8</v>
      </c>
      <c r="B102" s="18">
        <v>41.315789473684212</v>
      </c>
      <c r="C102" s="18">
        <v>40.196719820247033</v>
      </c>
      <c r="D102" s="18">
        <v>52.019284473260868</v>
      </c>
    </row>
    <row r="103" spans="1:4" x14ac:dyDescent="0.25">
      <c r="A103">
        <v>9</v>
      </c>
      <c r="B103" s="18">
        <v>40.153846153846153</v>
      </c>
      <c r="C103" s="18">
        <v>40.196719820247033</v>
      </c>
      <c r="D103" s="18">
        <v>52.019284473260868</v>
      </c>
    </row>
    <row r="104" spans="1:4" x14ac:dyDescent="0.25">
      <c r="A104">
        <v>10</v>
      </c>
      <c r="B104" s="18">
        <v>42.777777777777779</v>
      </c>
      <c r="C104" s="18">
        <v>40.196719820247033</v>
      </c>
      <c r="D104" s="18">
        <v>52.019284473260868</v>
      </c>
    </row>
    <row r="105" spans="1:4" x14ac:dyDescent="0.25">
      <c r="A105">
        <v>11</v>
      </c>
      <c r="B105" s="18">
        <v>44.090909090909093</v>
      </c>
      <c r="C105" s="18">
        <v>40.196719820247033</v>
      </c>
      <c r="D105" s="18">
        <v>52.019284473260868</v>
      </c>
    </row>
    <row r="106" spans="1:4" x14ac:dyDescent="0.25">
      <c r="A106">
        <v>12</v>
      </c>
      <c r="B106" s="18">
        <v>43.951219512195124</v>
      </c>
      <c r="C106" s="18">
        <v>40.196719820247033</v>
      </c>
      <c r="D106" s="18">
        <v>52.019284473260868</v>
      </c>
    </row>
    <row r="107" spans="1:4" x14ac:dyDescent="0.25">
      <c r="A107">
        <v>13</v>
      </c>
      <c r="B107" s="18">
        <v>44.388888888888886</v>
      </c>
      <c r="C107" s="18">
        <v>40.196719820247033</v>
      </c>
      <c r="D107" s="18">
        <v>52.019284473260868</v>
      </c>
    </row>
    <row r="108" spans="1:4" x14ac:dyDescent="0.25">
      <c r="A108">
        <v>14</v>
      </c>
      <c r="B108" s="18">
        <v>44.285714285714285</v>
      </c>
      <c r="C108" s="18">
        <v>40.196719820247033</v>
      </c>
      <c r="D108" s="18">
        <v>52.019284473260868</v>
      </c>
    </row>
    <row r="109" spans="1:4" x14ac:dyDescent="0.25">
      <c r="A109">
        <v>15</v>
      </c>
      <c r="B109" s="18">
        <v>40.43333333333333</v>
      </c>
      <c r="C109" s="18">
        <v>40.196719820247033</v>
      </c>
      <c r="D109" s="18">
        <v>52.019284473260868</v>
      </c>
    </row>
    <row r="110" spans="1:4" x14ac:dyDescent="0.25">
      <c r="A110">
        <v>16</v>
      </c>
      <c r="B110" s="18">
        <v>40.142857142857146</v>
      </c>
      <c r="C110" s="18">
        <v>40.196719820247033</v>
      </c>
      <c r="D110" s="18">
        <v>52.019284473260868</v>
      </c>
    </row>
    <row r="111" spans="1:4" x14ac:dyDescent="0.25">
      <c r="A111">
        <v>17</v>
      </c>
      <c r="B111" s="18">
        <v>36.875</v>
      </c>
      <c r="C111" s="18">
        <v>40.196719820247033</v>
      </c>
      <c r="D111" s="18">
        <v>52.019284473260868</v>
      </c>
    </row>
    <row r="112" spans="1:4" x14ac:dyDescent="0.25">
      <c r="A112">
        <v>18</v>
      </c>
      <c r="B112" s="18">
        <v>37</v>
      </c>
      <c r="C112" s="18">
        <v>40.196719820247033</v>
      </c>
      <c r="D112" s="18">
        <v>52.019284473260868</v>
      </c>
    </row>
    <row r="113" spans="1:4" x14ac:dyDescent="0.25">
      <c r="A113">
        <v>19</v>
      </c>
      <c r="B113" s="18">
        <v>35</v>
      </c>
      <c r="C113" s="18">
        <v>40.196719820247033</v>
      </c>
      <c r="D113" s="18">
        <v>52.019284473260868</v>
      </c>
    </row>
    <row r="114" spans="1:4" x14ac:dyDescent="0.25">
      <c r="A114">
        <v>20</v>
      </c>
      <c r="B114" s="18">
        <v>31.555555555555557</v>
      </c>
      <c r="C114" s="18">
        <v>40.196719820247033</v>
      </c>
      <c r="D114" s="18">
        <v>52.019284473260868</v>
      </c>
    </row>
    <row r="115" spans="1:4" x14ac:dyDescent="0.25">
      <c r="A115">
        <v>21</v>
      </c>
      <c r="B115" s="18">
        <v>29.352941176470587</v>
      </c>
      <c r="C115" s="18">
        <v>40.196719820247033</v>
      </c>
      <c r="D115" s="18">
        <v>52.019284473260868</v>
      </c>
    </row>
    <row r="116" spans="1:4" x14ac:dyDescent="0.25">
      <c r="A116">
        <v>22</v>
      </c>
      <c r="B116" s="18">
        <v>24.908675799086758</v>
      </c>
      <c r="C116" s="18">
        <v>40.196719820247033</v>
      </c>
      <c r="D116" s="18">
        <v>52.019284473260868</v>
      </c>
    </row>
    <row r="117" spans="1:4" x14ac:dyDescent="0.25">
      <c r="A117">
        <v>23</v>
      </c>
      <c r="B117" s="18">
        <v>25.15</v>
      </c>
      <c r="C117" s="18">
        <v>40.196719820247033</v>
      </c>
      <c r="D117" s="18">
        <v>52.019284473260868</v>
      </c>
    </row>
    <row r="118" spans="1:4" x14ac:dyDescent="0.25">
      <c r="A118">
        <v>24</v>
      </c>
      <c r="B118" s="18">
        <v>27.157894736842106</v>
      </c>
      <c r="C118" s="18">
        <v>40.196719820247033</v>
      </c>
      <c r="D118" s="18">
        <v>52.019284473260868</v>
      </c>
    </row>
    <row r="119" spans="1:4" x14ac:dyDescent="0.25">
      <c r="A119">
        <v>25</v>
      </c>
      <c r="B119" s="18">
        <v>28.2</v>
      </c>
      <c r="C119" s="18">
        <v>40.196719820247033</v>
      </c>
      <c r="D119" s="18">
        <v>52.019284473260868</v>
      </c>
    </row>
    <row r="120" spans="1:4" x14ac:dyDescent="0.25">
      <c r="A120">
        <v>26</v>
      </c>
      <c r="B120" s="18">
        <v>28.583333333333332</v>
      </c>
      <c r="C120" s="18">
        <v>40.196719820247033</v>
      </c>
      <c r="D120" s="18">
        <v>52.019284473260868</v>
      </c>
    </row>
    <row r="121" spans="1:4" x14ac:dyDescent="0.25">
      <c r="A121">
        <v>27</v>
      </c>
      <c r="B121" s="18">
        <v>29.1</v>
      </c>
      <c r="C121" s="18">
        <v>40.196719820247033</v>
      </c>
      <c r="D121" s="18">
        <v>52.019284473260868</v>
      </c>
    </row>
    <row r="122" spans="1:4" x14ac:dyDescent="0.25">
      <c r="A122">
        <v>28</v>
      </c>
      <c r="B122" s="18">
        <v>37.235294117647058</v>
      </c>
      <c r="C122" s="18">
        <v>40.196719820247033</v>
      </c>
      <c r="D122" s="18">
        <v>52.019284473260868</v>
      </c>
    </row>
    <row r="123" spans="1:4" x14ac:dyDescent="0.25">
      <c r="A123">
        <v>29</v>
      </c>
      <c r="B123" s="18">
        <v>40.666666666666664</v>
      </c>
      <c r="C123" s="18">
        <v>40.196719820247033</v>
      </c>
      <c r="D123" s="18">
        <v>52.019284473260868</v>
      </c>
    </row>
    <row r="124" spans="1:4" x14ac:dyDescent="0.25">
      <c r="A124">
        <v>30</v>
      </c>
      <c r="B124" s="18">
        <v>42.866666666666667</v>
      </c>
      <c r="C124" s="18">
        <v>40.196719820247033</v>
      </c>
      <c r="D124" s="18">
        <v>52.019284473260868</v>
      </c>
    </row>
    <row r="125" spans="1:4" x14ac:dyDescent="0.25">
      <c r="A125">
        <v>31</v>
      </c>
      <c r="B125" s="18">
        <v>47.944444444444443</v>
      </c>
      <c r="C125" s="18">
        <v>40.196719820247033</v>
      </c>
      <c r="D125" s="18">
        <v>52.019284473260868</v>
      </c>
    </row>
    <row r="126" spans="1:4" x14ac:dyDescent="0.25">
      <c r="A126">
        <v>32</v>
      </c>
      <c r="B126" s="18">
        <v>51.142857142857146</v>
      </c>
      <c r="C126" s="18">
        <v>40.196719820247033</v>
      </c>
      <c r="D126" s="18">
        <v>52.019284473260868</v>
      </c>
    </row>
    <row r="127" spans="1:4" x14ac:dyDescent="0.25">
      <c r="A127">
        <v>33</v>
      </c>
      <c r="B127" s="18">
        <v>55.210526315789473</v>
      </c>
      <c r="C127" s="18">
        <v>40.196719820247033</v>
      </c>
      <c r="D127" s="18">
        <v>52.019284473260868</v>
      </c>
    </row>
    <row r="128" spans="1:4" x14ac:dyDescent="0.25">
      <c r="A128">
        <v>34</v>
      </c>
      <c r="B128" s="18">
        <v>55.015384615384619</v>
      </c>
      <c r="C128" s="18">
        <v>40.196719820247033</v>
      </c>
      <c r="D128" s="18">
        <v>52.019284473260868</v>
      </c>
    </row>
    <row r="129" spans="1:4" x14ac:dyDescent="0.25">
      <c r="A129">
        <v>35</v>
      </c>
      <c r="B129" s="18">
        <v>54.664285714285711</v>
      </c>
      <c r="C129" s="18">
        <v>40.196719820247033</v>
      </c>
      <c r="D129" s="18">
        <v>52.019284473260868</v>
      </c>
    </row>
    <row r="130" spans="1:4" x14ac:dyDescent="0.25">
      <c r="A130">
        <v>36</v>
      </c>
      <c r="B130" s="18">
        <v>56.65</v>
      </c>
      <c r="C130" s="18">
        <v>40.196719820247033</v>
      </c>
      <c r="D130" s="18">
        <v>52.019284473260868</v>
      </c>
    </row>
    <row r="131" spans="1:4" x14ac:dyDescent="0.25">
      <c r="A131">
        <v>37</v>
      </c>
      <c r="B131" s="18">
        <v>60</v>
      </c>
      <c r="C131" s="18">
        <v>40.196719820247033</v>
      </c>
      <c r="D131" s="18">
        <v>52.019284473260868</v>
      </c>
    </row>
    <row r="132" spans="1:4" x14ac:dyDescent="0.25">
      <c r="A132">
        <v>38</v>
      </c>
      <c r="B132" s="18">
        <v>68.333333333333329</v>
      </c>
      <c r="C132" s="18">
        <v>40.196719820247033</v>
      </c>
      <c r="D132" s="18">
        <v>52.019284473260868</v>
      </c>
    </row>
    <row r="133" spans="1:4" x14ac:dyDescent="0.25">
      <c r="A133">
        <v>39</v>
      </c>
      <c r="B133" s="18">
        <v>71.833333333333329</v>
      </c>
      <c r="C133" s="18">
        <v>40.196719820247033</v>
      </c>
      <c r="D133" s="18">
        <v>52.019284473260868</v>
      </c>
    </row>
    <row r="134" spans="1:4" x14ac:dyDescent="0.25">
      <c r="A134">
        <v>40</v>
      </c>
      <c r="B134" s="18">
        <v>72.421052631578945</v>
      </c>
      <c r="C134" s="18">
        <v>40.196719820247033</v>
      </c>
      <c r="D134" s="18">
        <v>52.019284473260868</v>
      </c>
    </row>
    <row r="135" spans="1:4" x14ac:dyDescent="0.25">
      <c r="A135">
        <v>41</v>
      </c>
      <c r="B135" s="18">
        <v>70.588235294117652</v>
      </c>
      <c r="C135" s="18">
        <v>40.196719820247033</v>
      </c>
      <c r="D135" s="18">
        <v>52.019284473260868</v>
      </c>
    </row>
    <row r="136" spans="1:4" x14ac:dyDescent="0.25">
      <c r="A136">
        <v>42</v>
      </c>
      <c r="B136" s="18">
        <v>67.875</v>
      </c>
      <c r="C136" s="18">
        <v>40.196719820247033</v>
      </c>
      <c r="D136" s="18">
        <v>52.019284473260868</v>
      </c>
    </row>
    <row r="137" spans="1:4" x14ac:dyDescent="0.25">
      <c r="A137">
        <v>43</v>
      </c>
      <c r="B137" s="18">
        <v>65</v>
      </c>
      <c r="C137" s="18">
        <v>40.196719820247033</v>
      </c>
      <c r="D137" s="18">
        <v>52.019284473260868</v>
      </c>
    </row>
    <row r="138" spans="1:4" x14ac:dyDescent="0.25">
      <c r="A138">
        <v>44</v>
      </c>
      <c r="B138" s="18">
        <v>66.733333333333334</v>
      </c>
      <c r="C138" s="18">
        <v>40.196719820247033</v>
      </c>
      <c r="D138" s="18">
        <v>52.019284473260868</v>
      </c>
    </row>
    <row r="139" spans="1:4" x14ac:dyDescent="0.25">
      <c r="A139">
        <v>45</v>
      </c>
      <c r="B139" s="18">
        <v>64.86666666666666</v>
      </c>
      <c r="C139" s="18">
        <v>40.196719820247033</v>
      </c>
      <c r="D139" s="18">
        <v>52.019284473260868</v>
      </c>
    </row>
    <row r="140" spans="1:4" x14ac:dyDescent="0.25">
      <c r="A140">
        <v>46</v>
      </c>
      <c r="B140" s="18">
        <v>64.055555555555557</v>
      </c>
      <c r="C140" s="18">
        <v>40.196719820247033</v>
      </c>
      <c r="D140" s="18">
        <v>52.019284473260868</v>
      </c>
    </row>
    <row r="141" spans="1:4" x14ac:dyDescent="0.25">
      <c r="A141">
        <v>47</v>
      </c>
      <c r="B141" s="18">
        <v>63.764705882352942</v>
      </c>
      <c r="C141" s="18">
        <v>40.196719820247033</v>
      </c>
      <c r="D141" s="18">
        <v>52.019284473260868</v>
      </c>
    </row>
    <row r="142" spans="1:4" x14ac:dyDescent="0.25">
      <c r="A142">
        <v>48</v>
      </c>
      <c r="B142" s="18">
        <v>60</v>
      </c>
      <c r="C142" s="18">
        <v>40.196719820247033</v>
      </c>
      <c r="D142" s="18">
        <v>52.019284473260868</v>
      </c>
    </row>
    <row r="143" spans="1:4" x14ac:dyDescent="0.25">
      <c r="A143">
        <v>49</v>
      </c>
      <c r="B143" s="18">
        <v>61.81818181818182</v>
      </c>
      <c r="C143" s="18">
        <v>40.196719820247033</v>
      </c>
      <c r="D143" s="18">
        <v>52.019284473260868</v>
      </c>
    </row>
    <row r="144" spans="1:4" x14ac:dyDescent="0.25">
      <c r="A144">
        <v>50</v>
      </c>
      <c r="B144" s="18">
        <v>60</v>
      </c>
      <c r="C144" s="18">
        <v>40.196719820247033</v>
      </c>
      <c r="D144" s="18">
        <v>52.019284473260868</v>
      </c>
    </row>
    <row r="145" spans="1:4" x14ac:dyDescent="0.25">
      <c r="A145">
        <v>51</v>
      </c>
      <c r="B145" s="18">
        <v>55.7</v>
      </c>
      <c r="C145" s="18">
        <v>40.196719820247033</v>
      </c>
      <c r="D145" s="18">
        <v>52.019284473260868</v>
      </c>
    </row>
    <row r="146" spans="1:4" x14ac:dyDescent="0.25">
      <c r="A146">
        <v>52</v>
      </c>
      <c r="B146" s="18">
        <v>55.25</v>
      </c>
      <c r="C146" s="18">
        <v>40.196719820247033</v>
      </c>
      <c r="D146" s="18">
        <v>52.019284473260868</v>
      </c>
    </row>
  </sheetData>
  <mergeCells count="9">
    <mergeCell ref="B13:J13"/>
    <mergeCell ref="B14:J14"/>
    <mergeCell ref="B15:J15"/>
    <mergeCell ref="B16:J16"/>
    <mergeCell ref="A1:J1"/>
    <mergeCell ref="A2:J2"/>
    <mergeCell ref="A3:J3"/>
    <mergeCell ref="B11:J11"/>
    <mergeCell ref="B12:J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7504-AB49-4FA4-B2C1-8ED53D8B9885}">
  <dimension ref="A1:C143"/>
  <sheetViews>
    <sheetView workbookViewId="0"/>
  </sheetViews>
  <sheetFormatPr baseColWidth="10" defaultRowHeight="15" x14ac:dyDescent="0.25"/>
  <cols>
    <col min="1" max="1" width="14.7109375" customWidth="1"/>
    <col min="2" max="3" width="8.7109375" customWidth="1"/>
  </cols>
  <sheetData>
    <row r="1" spans="1:3" ht="15.75" x14ac:dyDescent="0.25">
      <c r="A1" s="76" t="s">
        <v>221</v>
      </c>
      <c r="B1" s="76"/>
      <c r="C1" s="76"/>
    </row>
    <row r="2" spans="1:3" x14ac:dyDescent="0.25">
      <c r="A2" s="1" t="s">
        <v>231</v>
      </c>
      <c r="B2" s="1">
        <v>2024</v>
      </c>
      <c r="C2" s="1">
        <v>2025</v>
      </c>
    </row>
    <row r="3" spans="1:3" x14ac:dyDescent="0.25">
      <c r="A3" t="s">
        <v>232</v>
      </c>
      <c r="B3">
        <v>0</v>
      </c>
      <c r="C3">
        <v>5</v>
      </c>
    </row>
    <row r="4" spans="1:3" x14ac:dyDescent="0.25">
      <c r="A4" t="s">
        <v>233</v>
      </c>
      <c r="B4">
        <v>0</v>
      </c>
      <c r="C4">
        <v>6</v>
      </c>
    </row>
    <row r="5" spans="1:3" x14ac:dyDescent="0.25">
      <c r="A5" t="s">
        <v>234</v>
      </c>
      <c r="B5">
        <v>0</v>
      </c>
      <c r="C5">
        <v>9</v>
      </c>
    </row>
    <row r="6" spans="1:3" x14ac:dyDescent="0.25">
      <c r="A6" t="s">
        <v>235</v>
      </c>
      <c r="B6">
        <v>0</v>
      </c>
      <c r="C6">
        <v>7</v>
      </c>
    </row>
    <row r="7" spans="1:3" x14ac:dyDescent="0.25">
      <c r="A7" t="s">
        <v>236</v>
      </c>
      <c r="B7">
        <v>0</v>
      </c>
      <c r="C7">
        <v>23</v>
      </c>
    </row>
    <row r="8" spans="1:3" x14ac:dyDescent="0.25">
      <c r="A8" t="s">
        <v>237</v>
      </c>
      <c r="B8">
        <v>0</v>
      </c>
      <c r="C8">
        <v>19</v>
      </c>
    </row>
    <row r="9" spans="1:3" x14ac:dyDescent="0.25">
      <c r="A9" t="s">
        <v>238</v>
      </c>
      <c r="B9">
        <v>0</v>
      </c>
      <c r="C9">
        <v>21</v>
      </c>
    </row>
    <row r="10" spans="1:3" x14ac:dyDescent="0.25">
      <c r="A10" t="s">
        <v>239</v>
      </c>
      <c r="B10">
        <v>0</v>
      </c>
      <c r="C10">
        <v>18</v>
      </c>
    </row>
    <row r="11" spans="1:3" x14ac:dyDescent="0.25">
      <c r="A11" t="s">
        <v>240</v>
      </c>
      <c r="B11">
        <v>0</v>
      </c>
      <c r="C11">
        <v>18</v>
      </c>
    </row>
    <row r="12" spans="1:3" x14ac:dyDescent="0.25">
      <c r="A12" t="s">
        <v>241</v>
      </c>
      <c r="B12">
        <v>0</v>
      </c>
      <c r="C12">
        <v>18</v>
      </c>
    </row>
    <row r="13" spans="1:3" x14ac:dyDescent="0.25">
      <c r="A13" t="s">
        <v>242</v>
      </c>
      <c r="B13">
        <v>11</v>
      </c>
      <c r="C13">
        <v>12</v>
      </c>
    </row>
    <row r="14" spans="1:3" x14ac:dyDescent="0.25">
      <c r="A14" t="s">
        <v>243</v>
      </c>
      <c r="B14">
        <v>6</v>
      </c>
      <c r="C14">
        <v>13</v>
      </c>
    </row>
    <row r="15" spans="1:3" x14ac:dyDescent="0.25">
      <c r="A15" s="1" t="s">
        <v>244</v>
      </c>
      <c r="B15" s="1">
        <f>SUM(B3:B14)</f>
        <v>17</v>
      </c>
      <c r="C15" s="1">
        <f>SUM(C3:C14)</f>
        <v>169</v>
      </c>
    </row>
    <row r="17" spans="1:3" ht="15.75" x14ac:dyDescent="0.25">
      <c r="A17" s="76" t="s">
        <v>222</v>
      </c>
      <c r="B17" s="76"/>
      <c r="C17" s="76"/>
    </row>
    <row r="18" spans="1:3" x14ac:dyDescent="0.25">
      <c r="A18" s="1" t="s">
        <v>231</v>
      </c>
      <c r="B18" s="1">
        <v>2024</v>
      </c>
      <c r="C18" s="1">
        <v>2025</v>
      </c>
    </row>
    <row r="19" spans="1:3" x14ac:dyDescent="0.25">
      <c r="A19" t="s">
        <v>232</v>
      </c>
      <c r="B19">
        <v>0</v>
      </c>
      <c r="C19">
        <v>7</v>
      </c>
    </row>
    <row r="20" spans="1:3" x14ac:dyDescent="0.25">
      <c r="A20" t="s">
        <v>233</v>
      </c>
      <c r="B20">
        <v>0</v>
      </c>
      <c r="C20">
        <v>14</v>
      </c>
    </row>
    <row r="21" spans="1:3" x14ac:dyDescent="0.25">
      <c r="A21" t="s">
        <v>234</v>
      </c>
      <c r="B21">
        <v>0</v>
      </c>
      <c r="C21">
        <v>14</v>
      </c>
    </row>
    <row r="22" spans="1:3" x14ac:dyDescent="0.25">
      <c r="A22" t="s">
        <v>235</v>
      </c>
      <c r="B22">
        <v>4</v>
      </c>
      <c r="C22">
        <v>14</v>
      </c>
    </row>
    <row r="23" spans="1:3" x14ac:dyDescent="0.25">
      <c r="A23" t="s">
        <v>236</v>
      </c>
      <c r="B23">
        <v>14</v>
      </c>
      <c r="C23">
        <v>12</v>
      </c>
    </row>
    <row r="24" spans="1:3" x14ac:dyDescent="0.25">
      <c r="A24" t="s">
        <v>237</v>
      </c>
      <c r="B24">
        <v>17</v>
      </c>
      <c r="C24">
        <v>6</v>
      </c>
    </row>
    <row r="25" spans="1:3" x14ac:dyDescent="0.25">
      <c r="A25" t="s">
        <v>238</v>
      </c>
      <c r="B25">
        <v>10</v>
      </c>
      <c r="C25">
        <v>7</v>
      </c>
    </row>
    <row r="26" spans="1:3" x14ac:dyDescent="0.25">
      <c r="A26" t="s">
        <v>239</v>
      </c>
      <c r="B26">
        <v>12</v>
      </c>
      <c r="C26">
        <v>14</v>
      </c>
    </row>
    <row r="27" spans="1:3" x14ac:dyDescent="0.25">
      <c r="A27" t="s">
        <v>240</v>
      </c>
      <c r="B27">
        <v>7</v>
      </c>
      <c r="C27">
        <v>18</v>
      </c>
    </row>
    <row r="28" spans="1:3" x14ac:dyDescent="0.25">
      <c r="A28" t="s">
        <v>241</v>
      </c>
      <c r="B28">
        <v>7</v>
      </c>
      <c r="C28">
        <v>15</v>
      </c>
    </row>
    <row r="29" spans="1:3" x14ac:dyDescent="0.25">
      <c r="A29" t="s">
        <v>242</v>
      </c>
      <c r="B29">
        <v>8</v>
      </c>
      <c r="C29">
        <v>8</v>
      </c>
    </row>
    <row r="30" spans="1:3" x14ac:dyDescent="0.25">
      <c r="A30" t="s">
        <v>243</v>
      </c>
      <c r="B30">
        <v>5</v>
      </c>
      <c r="C30">
        <v>7</v>
      </c>
    </row>
    <row r="31" spans="1:3" x14ac:dyDescent="0.25">
      <c r="A31" s="1" t="s">
        <v>244</v>
      </c>
      <c r="B31" s="1">
        <f>SUM(B19:B30)</f>
        <v>84</v>
      </c>
      <c r="C31" s="1">
        <f>SUM(C19:C30)</f>
        <v>136</v>
      </c>
    </row>
    <row r="33" spans="1:3" ht="15.75" x14ac:dyDescent="0.25">
      <c r="A33" s="76" t="s">
        <v>223</v>
      </c>
      <c r="B33" s="76"/>
      <c r="C33" s="76"/>
    </row>
    <row r="34" spans="1:3" x14ac:dyDescent="0.25">
      <c r="A34" s="1" t="s">
        <v>231</v>
      </c>
      <c r="B34" s="1">
        <v>2024</v>
      </c>
      <c r="C34" s="1">
        <v>2025</v>
      </c>
    </row>
    <row r="35" spans="1:3" x14ac:dyDescent="0.25">
      <c r="A35" t="s">
        <v>232</v>
      </c>
      <c r="B35">
        <v>0</v>
      </c>
      <c r="C35">
        <v>6</v>
      </c>
    </row>
    <row r="36" spans="1:3" x14ac:dyDescent="0.25">
      <c r="A36" t="s">
        <v>233</v>
      </c>
      <c r="B36">
        <v>0</v>
      </c>
      <c r="C36">
        <v>14</v>
      </c>
    </row>
    <row r="37" spans="1:3" x14ac:dyDescent="0.25">
      <c r="A37" t="s">
        <v>234</v>
      </c>
      <c r="B37">
        <v>0</v>
      </c>
      <c r="C37">
        <v>17</v>
      </c>
    </row>
    <row r="38" spans="1:3" x14ac:dyDescent="0.25">
      <c r="A38" t="s">
        <v>235</v>
      </c>
      <c r="B38">
        <v>5</v>
      </c>
      <c r="C38">
        <v>13</v>
      </c>
    </row>
    <row r="39" spans="1:3" x14ac:dyDescent="0.25">
      <c r="A39" t="s">
        <v>236</v>
      </c>
      <c r="B39">
        <v>5</v>
      </c>
      <c r="C39">
        <v>21</v>
      </c>
    </row>
    <row r="40" spans="1:3" x14ac:dyDescent="0.25">
      <c r="A40" t="s">
        <v>237</v>
      </c>
      <c r="B40">
        <v>6</v>
      </c>
      <c r="C40">
        <v>11</v>
      </c>
    </row>
    <row r="41" spans="1:3" x14ac:dyDescent="0.25">
      <c r="A41" t="s">
        <v>238</v>
      </c>
      <c r="B41">
        <v>9</v>
      </c>
      <c r="C41">
        <v>12</v>
      </c>
    </row>
    <row r="42" spans="1:3" x14ac:dyDescent="0.25">
      <c r="A42" t="s">
        <v>239</v>
      </c>
      <c r="B42">
        <v>10</v>
      </c>
      <c r="C42">
        <v>6</v>
      </c>
    </row>
    <row r="43" spans="1:3" x14ac:dyDescent="0.25">
      <c r="A43" t="s">
        <v>240</v>
      </c>
      <c r="B43">
        <v>8</v>
      </c>
      <c r="C43">
        <v>8</v>
      </c>
    </row>
    <row r="44" spans="1:3" x14ac:dyDescent="0.25">
      <c r="A44" t="s">
        <v>241</v>
      </c>
      <c r="B44">
        <v>8</v>
      </c>
      <c r="C44">
        <v>8</v>
      </c>
    </row>
    <row r="45" spans="1:3" x14ac:dyDescent="0.25">
      <c r="A45" t="s">
        <v>242</v>
      </c>
      <c r="B45">
        <v>12</v>
      </c>
      <c r="C45">
        <v>4</v>
      </c>
    </row>
    <row r="46" spans="1:3" x14ac:dyDescent="0.25">
      <c r="A46" t="s">
        <v>243</v>
      </c>
      <c r="B46">
        <v>4</v>
      </c>
      <c r="C46">
        <v>4</v>
      </c>
    </row>
    <row r="47" spans="1:3" x14ac:dyDescent="0.25">
      <c r="A47" s="1" t="s">
        <v>244</v>
      </c>
      <c r="B47" s="1">
        <f>SUM(B35:B46)</f>
        <v>67</v>
      </c>
      <c r="C47" s="1">
        <f>SUM(C35:C46)</f>
        <v>124</v>
      </c>
    </row>
    <row r="49" spans="1:3" ht="15.75" x14ac:dyDescent="0.25">
      <c r="A49" s="76" t="s">
        <v>224</v>
      </c>
      <c r="B49" s="76"/>
      <c r="C49" s="76"/>
    </row>
    <row r="50" spans="1:3" x14ac:dyDescent="0.25">
      <c r="A50" s="1" t="s">
        <v>231</v>
      </c>
      <c r="B50" s="1">
        <v>2024</v>
      </c>
      <c r="C50" s="1">
        <v>2025</v>
      </c>
    </row>
    <row r="51" spans="1:3" x14ac:dyDescent="0.25">
      <c r="A51" t="s">
        <v>232</v>
      </c>
      <c r="B51">
        <v>0</v>
      </c>
      <c r="C51">
        <v>0</v>
      </c>
    </row>
    <row r="52" spans="1:3" x14ac:dyDescent="0.25">
      <c r="A52" t="s">
        <v>233</v>
      </c>
      <c r="B52">
        <v>0</v>
      </c>
      <c r="C52">
        <v>0</v>
      </c>
    </row>
    <row r="53" spans="1:3" x14ac:dyDescent="0.25">
      <c r="A53" t="s">
        <v>234</v>
      </c>
      <c r="B53">
        <v>0</v>
      </c>
      <c r="C53">
        <v>0</v>
      </c>
    </row>
    <row r="54" spans="1:3" x14ac:dyDescent="0.25">
      <c r="A54" t="s">
        <v>235</v>
      </c>
      <c r="B54">
        <v>0</v>
      </c>
      <c r="C54">
        <v>0</v>
      </c>
    </row>
    <row r="55" spans="1:3" x14ac:dyDescent="0.25">
      <c r="A55" t="s">
        <v>236</v>
      </c>
      <c r="B55">
        <v>0</v>
      </c>
      <c r="C55">
        <v>2</v>
      </c>
    </row>
    <row r="56" spans="1:3" x14ac:dyDescent="0.25">
      <c r="A56" t="s">
        <v>237</v>
      </c>
      <c r="B56">
        <v>0</v>
      </c>
      <c r="C56">
        <v>8</v>
      </c>
    </row>
    <row r="57" spans="1:3" x14ac:dyDescent="0.25">
      <c r="A57" t="s">
        <v>238</v>
      </c>
      <c r="B57">
        <v>0</v>
      </c>
      <c r="C57">
        <v>11</v>
      </c>
    </row>
    <row r="58" spans="1:3" x14ac:dyDescent="0.25">
      <c r="A58" t="s">
        <v>239</v>
      </c>
      <c r="B58">
        <v>0</v>
      </c>
      <c r="C58">
        <v>10</v>
      </c>
    </row>
    <row r="59" spans="1:3" x14ac:dyDescent="0.25">
      <c r="A59" t="s">
        <v>240</v>
      </c>
      <c r="B59">
        <v>0</v>
      </c>
      <c r="C59">
        <v>13</v>
      </c>
    </row>
    <row r="60" spans="1:3" x14ac:dyDescent="0.25">
      <c r="A60" t="s">
        <v>241</v>
      </c>
      <c r="B60">
        <v>5</v>
      </c>
      <c r="C60">
        <v>16</v>
      </c>
    </row>
    <row r="61" spans="1:3" x14ac:dyDescent="0.25">
      <c r="A61" t="s">
        <v>242</v>
      </c>
      <c r="B61">
        <v>6</v>
      </c>
      <c r="C61">
        <v>13</v>
      </c>
    </row>
    <row r="62" spans="1:3" x14ac:dyDescent="0.25">
      <c r="A62" t="s">
        <v>243</v>
      </c>
      <c r="B62">
        <v>4</v>
      </c>
      <c r="C62">
        <v>16</v>
      </c>
    </row>
    <row r="63" spans="1:3" x14ac:dyDescent="0.25">
      <c r="A63" s="1" t="s">
        <v>244</v>
      </c>
      <c r="B63" s="1">
        <f>SUM(B51:B62)</f>
        <v>15</v>
      </c>
      <c r="C63" s="1">
        <f>SUM(C51:C62)</f>
        <v>89</v>
      </c>
    </row>
    <row r="65" spans="1:3" ht="15.75" x14ac:dyDescent="0.25">
      <c r="A65" s="76" t="s">
        <v>225</v>
      </c>
      <c r="B65" s="76"/>
      <c r="C65" s="76"/>
    </row>
    <row r="66" spans="1:3" x14ac:dyDescent="0.25">
      <c r="A66" s="1" t="s">
        <v>231</v>
      </c>
      <c r="B66" s="1">
        <v>2024</v>
      </c>
      <c r="C66" s="1">
        <v>2025</v>
      </c>
    </row>
    <row r="67" spans="1:3" x14ac:dyDescent="0.25">
      <c r="A67" t="s">
        <v>232</v>
      </c>
      <c r="B67">
        <v>0</v>
      </c>
      <c r="C67">
        <v>7</v>
      </c>
    </row>
    <row r="68" spans="1:3" x14ac:dyDescent="0.25">
      <c r="A68" t="s">
        <v>233</v>
      </c>
      <c r="B68">
        <v>3</v>
      </c>
      <c r="C68">
        <v>9</v>
      </c>
    </row>
    <row r="69" spans="1:3" x14ac:dyDescent="0.25">
      <c r="A69" t="s">
        <v>234</v>
      </c>
      <c r="B69">
        <v>2</v>
      </c>
      <c r="C69">
        <v>14</v>
      </c>
    </row>
    <row r="70" spans="1:3" x14ac:dyDescent="0.25">
      <c r="A70" t="s">
        <v>235</v>
      </c>
      <c r="B70">
        <v>4</v>
      </c>
      <c r="C70">
        <v>7</v>
      </c>
    </row>
    <row r="71" spans="1:3" x14ac:dyDescent="0.25">
      <c r="A71" t="s">
        <v>236</v>
      </c>
      <c r="B71">
        <v>3</v>
      </c>
      <c r="C71">
        <v>9</v>
      </c>
    </row>
    <row r="72" spans="1:3" x14ac:dyDescent="0.25">
      <c r="A72" t="s">
        <v>237</v>
      </c>
      <c r="B72">
        <v>4</v>
      </c>
      <c r="C72">
        <v>7</v>
      </c>
    </row>
    <row r="73" spans="1:3" x14ac:dyDescent="0.25">
      <c r="A73" t="s">
        <v>238</v>
      </c>
      <c r="B73">
        <v>4</v>
      </c>
      <c r="C73">
        <v>6</v>
      </c>
    </row>
    <row r="74" spans="1:3" x14ac:dyDescent="0.25">
      <c r="A74" t="s">
        <v>239</v>
      </c>
      <c r="B74">
        <v>4</v>
      </c>
      <c r="C74">
        <v>5</v>
      </c>
    </row>
    <row r="75" spans="1:3" x14ac:dyDescent="0.25">
      <c r="A75" t="s">
        <v>240</v>
      </c>
      <c r="B75">
        <v>3</v>
      </c>
      <c r="C75">
        <v>3</v>
      </c>
    </row>
    <row r="76" spans="1:3" x14ac:dyDescent="0.25">
      <c r="A76" t="s">
        <v>241</v>
      </c>
      <c r="B76">
        <v>3</v>
      </c>
      <c r="C76">
        <v>4</v>
      </c>
    </row>
    <row r="77" spans="1:3" x14ac:dyDescent="0.25">
      <c r="A77" t="s">
        <v>242</v>
      </c>
      <c r="B77">
        <v>7</v>
      </c>
      <c r="C77">
        <v>3</v>
      </c>
    </row>
    <row r="78" spans="1:3" x14ac:dyDescent="0.25">
      <c r="A78" t="s">
        <v>243</v>
      </c>
      <c r="B78">
        <v>6</v>
      </c>
      <c r="C78">
        <v>3</v>
      </c>
    </row>
    <row r="79" spans="1:3" x14ac:dyDescent="0.25">
      <c r="A79" s="1" t="s">
        <v>244</v>
      </c>
      <c r="B79" s="1">
        <f>SUM(B67:B78)</f>
        <v>43</v>
      </c>
      <c r="C79" s="1">
        <f>SUM(C67:C78)</f>
        <v>77</v>
      </c>
    </row>
    <row r="81" spans="1:3" ht="15.75" x14ac:dyDescent="0.25">
      <c r="A81" s="76" t="s">
        <v>226</v>
      </c>
      <c r="B81" s="76"/>
      <c r="C81" s="76"/>
    </row>
    <row r="82" spans="1:3" x14ac:dyDescent="0.25">
      <c r="A82" s="1" t="s">
        <v>231</v>
      </c>
      <c r="B82" s="1">
        <v>2024</v>
      </c>
      <c r="C82" s="1">
        <v>2025</v>
      </c>
    </row>
    <row r="83" spans="1:3" x14ac:dyDescent="0.25">
      <c r="A83" t="s">
        <v>232</v>
      </c>
      <c r="B83">
        <v>1</v>
      </c>
      <c r="C83">
        <v>4</v>
      </c>
    </row>
    <row r="84" spans="1:3" x14ac:dyDescent="0.25">
      <c r="A84" t="s">
        <v>233</v>
      </c>
      <c r="B84">
        <v>3</v>
      </c>
      <c r="C84">
        <v>7</v>
      </c>
    </row>
    <row r="85" spans="1:3" x14ac:dyDescent="0.25">
      <c r="A85" t="s">
        <v>234</v>
      </c>
      <c r="B85">
        <v>2</v>
      </c>
      <c r="C85">
        <v>5</v>
      </c>
    </row>
    <row r="86" spans="1:3" x14ac:dyDescent="0.25">
      <c r="A86" t="s">
        <v>235</v>
      </c>
      <c r="B86">
        <v>4</v>
      </c>
      <c r="C86">
        <v>7</v>
      </c>
    </row>
    <row r="87" spans="1:3" x14ac:dyDescent="0.25">
      <c r="A87" t="s">
        <v>236</v>
      </c>
      <c r="B87">
        <v>2</v>
      </c>
      <c r="C87">
        <v>8</v>
      </c>
    </row>
    <row r="88" spans="1:3" x14ac:dyDescent="0.25">
      <c r="A88" t="s">
        <v>237</v>
      </c>
      <c r="B88">
        <v>4</v>
      </c>
      <c r="C88">
        <v>8</v>
      </c>
    </row>
    <row r="89" spans="1:3" x14ac:dyDescent="0.25">
      <c r="A89" t="s">
        <v>238</v>
      </c>
      <c r="B89">
        <v>5</v>
      </c>
      <c r="C89">
        <v>9</v>
      </c>
    </row>
    <row r="90" spans="1:3" x14ac:dyDescent="0.25">
      <c r="A90" t="s">
        <v>239</v>
      </c>
      <c r="B90">
        <v>7</v>
      </c>
      <c r="C90">
        <v>10</v>
      </c>
    </row>
    <row r="91" spans="1:3" x14ac:dyDescent="0.25">
      <c r="A91" t="s">
        <v>240</v>
      </c>
      <c r="B91">
        <v>8</v>
      </c>
      <c r="C91">
        <v>7</v>
      </c>
    </row>
    <row r="92" spans="1:3" x14ac:dyDescent="0.25">
      <c r="A92" t="s">
        <v>241</v>
      </c>
      <c r="B92">
        <v>4</v>
      </c>
      <c r="C92">
        <v>4</v>
      </c>
    </row>
    <row r="93" spans="1:3" x14ac:dyDescent="0.25">
      <c r="A93" t="s">
        <v>242</v>
      </c>
      <c r="B93">
        <v>4</v>
      </c>
      <c r="C93">
        <v>4</v>
      </c>
    </row>
    <row r="94" spans="1:3" x14ac:dyDescent="0.25">
      <c r="A94" t="s">
        <v>243</v>
      </c>
      <c r="B94">
        <v>3</v>
      </c>
      <c r="C94">
        <v>3</v>
      </c>
    </row>
    <row r="95" spans="1:3" x14ac:dyDescent="0.25">
      <c r="A95" s="1" t="s">
        <v>244</v>
      </c>
      <c r="B95" s="1">
        <f>SUM(B83:B94)</f>
        <v>47</v>
      </c>
      <c r="C95" s="1">
        <f>SUM(C83:C94)</f>
        <v>76</v>
      </c>
    </row>
    <row r="97" spans="1:3" ht="15.75" x14ac:dyDescent="0.25">
      <c r="A97" s="76" t="s">
        <v>227</v>
      </c>
      <c r="B97" s="76"/>
      <c r="C97" s="76"/>
    </row>
    <row r="98" spans="1:3" x14ac:dyDescent="0.25">
      <c r="A98" s="1" t="s">
        <v>231</v>
      </c>
      <c r="B98" s="1">
        <v>2024</v>
      </c>
      <c r="C98" s="1">
        <v>2025</v>
      </c>
    </row>
    <row r="99" spans="1:3" x14ac:dyDescent="0.25">
      <c r="A99" t="s">
        <v>232</v>
      </c>
      <c r="B99">
        <v>0</v>
      </c>
      <c r="C99">
        <v>0</v>
      </c>
    </row>
    <row r="100" spans="1:3" x14ac:dyDescent="0.25">
      <c r="A100" t="s">
        <v>233</v>
      </c>
      <c r="B100">
        <v>0</v>
      </c>
      <c r="C100">
        <v>0</v>
      </c>
    </row>
    <row r="101" spans="1:3" x14ac:dyDescent="0.25">
      <c r="A101" t="s">
        <v>234</v>
      </c>
      <c r="B101">
        <v>0</v>
      </c>
      <c r="C101">
        <v>0</v>
      </c>
    </row>
    <row r="102" spans="1:3" x14ac:dyDescent="0.25">
      <c r="A102" t="s">
        <v>235</v>
      </c>
      <c r="B102">
        <v>0</v>
      </c>
      <c r="C102">
        <v>0</v>
      </c>
    </row>
    <row r="103" spans="1:3" x14ac:dyDescent="0.25">
      <c r="A103" t="s">
        <v>236</v>
      </c>
      <c r="B103">
        <v>0</v>
      </c>
      <c r="C103">
        <v>0</v>
      </c>
    </row>
    <row r="104" spans="1:3" x14ac:dyDescent="0.25">
      <c r="A104" t="s">
        <v>237</v>
      </c>
      <c r="B104">
        <v>0</v>
      </c>
      <c r="C104">
        <v>0</v>
      </c>
    </row>
    <row r="105" spans="1:3" x14ac:dyDescent="0.25">
      <c r="A105" t="s">
        <v>238</v>
      </c>
      <c r="B105">
        <v>0</v>
      </c>
      <c r="C105">
        <v>4</v>
      </c>
    </row>
    <row r="106" spans="1:3" x14ac:dyDescent="0.25">
      <c r="A106" t="s">
        <v>239</v>
      </c>
      <c r="B106">
        <v>4</v>
      </c>
      <c r="C106">
        <v>1</v>
      </c>
    </row>
    <row r="107" spans="1:3" x14ac:dyDescent="0.25">
      <c r="A107" t="s">
        <v>240</v>
      </c>
      <c r="B107">
        <v>9</v>
      </c>
      <c r="C107">
        <v>6</v>
      </c>
    </row>
    <row r="108" spans="1:3" x14ac:dyDescent="0.25">
      <c r="A108" t="s">
        <v>241</v>
      </c>
      <c r="B108">
        <v>31</v>
      </c>
      <c r="C108">
        <v>6</v>
      </c>
    </row>
    <row r="109" spans="1:3" x14ac:dyDescent="0.25">
      <c r="A109" t="s">
        <v>242</v>
      </c>
      <c r="B109">
        <v>21</v>
      </c>
      <c r="C109">
        <v>22</v>
      </c>
    </row>
    <row r="110" spans="1:3" x14ac:dyDescent="0.25">
      <c r="A110" t="s">
        <v>243</v>
      </c>
      <c r="B110">
        <v>5</v>
      </c>
      <c r="C110">
        <v>3</v>
      </c>
    </row>
    <row r="111" spans="1:3" x14ac:dyDescent="0.25">
      <c r="A111" s="1" t="s">
        <v>244</v>
      </c>
      <c r="B111" s="1">
        <f>SUM(B99:B110)</f>
        <v>70</v>
      </c>
      <c r="C111" s="1">
        <f>SUM(C99:C110)</f>
        <v>42</v>
      </c>
    </row>
    <row r="113" spans="1:3" ht="15.75" x14ac:dyDescent="0.25">
      <c r="A113" s="76" t="s">
        <v>228</v>
      </c>
      <c r="B113" s="76"/>
      <c r="C113" s="76"/>
    </row>
    <row r="114" spans="1:3" x14ac:dyDescent="0.25">
      <c r="A114" s="1" t="s">
        <v>231</v>
      </c>
      <c r="B114" s="1">
        <v>2024</v>
      </c>
      <c r="C114" s="1">
        <v>2025</v>
      </c>
    </row>
    <row r="115" spans="1:3" x14ac:dyDescent="0.25">
      <c r="A115" t="s">
        <v>232</v>
      </c>
      <c r="B115">
        <v>4</v>
      </c>
      <c r="C115">
        <v>3</v>
      </c>
    </row>
    <row r="116" spans="1:3" x14ac:dyDescent="0.25">
      <c r="A116" t="s">
        <v>233</v>
      </c>
      <c r="B116">
        <v>7</v>
      </c>
      <c r="C116">
        <v>7</v>
      </c>
    </row>
    <row r="117" spans="1:3" x14ac:dyDescent="0.25">
      <c r="A117" t="s">
        <v>234</v>
      </c>
      <c r="B117">
        <v>11</v>
      </c>
      <c r="C117">
        <v>7</v>
      </c>
    </row>
    <row r="118" spans="1:3" x14ac:dyDescent="0.25">
      <c r="A118" t="s">
        <v>235</v>
      </c>
      <c r="B118">
        <v>16</v>
      </c>
      <c r="C118">
        <v>8</v>
      </c>
    </row>
    <row r="119" spans="1:3" x14ac:dyDescent="0.25">
      <c r="A119" t="s">
        <v>236</v>
      </c>
      <c r="B119">
        <v>7</v>
      </c>
      <c r="C119">
        <v>7</v>
      </c>
    </row>
    <row r="120" spans="1:3" x14ac:dyDescent="0.25">
      <c r="A120" t="s">
        <v>237</v>
      </c>
      <c r="B120">
        <v>9</v>
      </c>
      <c r="C120">
        <v>5</v>
      </c>
    </row>
    <row r="121" spans="1:3" x14ac:dyDescent="0.25">
      <c r="A121" t="s">
        <v>238</v>
      </c>
      <c r="B121">
        <v>8</v>
      </c>
      <c r="C121">
        <v>2</v>
      </c>
    </row>
    <row r="122" spans="1:3" x14ac:dyDescent="0.25">
      <c r="A122" t="s">
        <v>239</v>
      </c>
      <c r="B122">
        <v>5</v>
      </c>
      <c r="C122">
        <v>1</v>
      </c>
    </row>
    <row r="123" spans="1:3" x14ac:dyDescent="0.25">
      <c r="A123" t="s">
        <v>240</v>
      </c>
      <c r="B123">
        <v>4</v>
      </c>
      <c r="C123">
        <v>1</v>
      </c>
    </row>
    <row r="124" spans="1:3" x14ac:dyDescent="0.25">
      <c r="A124" t="s">
        <v>241</v>
      </c>
      <c r="B124">
        <v>3</v>
      </c>
      <c r="C124">
        <v>0</v>
      </c>
    </row>
    <row r="125" spans="1:3" x14ac:dyDescent="0.25">
      <c r="A125" t="s">
        <v>242</v>
      </c>
      <c r="B125">
        <v>4</v>
      </c>
      <c r="C125">
        <v>0</v>
      </c>
    </row>
    <row r="126" spans="1:3" x14ac:dyDescent="0.25">
      <c r="A126" t="s">
        <v>243</v>
      </c>
      <c r="B126">
        <v>3</v>
      </c>
      <c r="C126">
        <v>0</v>
      </c>
    </row>
    <row r="127" spans="1:3" x14ac:dyDescent="0.25">
      <c r="A127" s="1" t="s">
        <v>244</v>
      </c>
      <c r="B127" s="1">
        <f>SUM(B115:B126)</f>
        <v>81</v>
      </c>
      <c r="C127" s="1">
        <f>SUM(C115:C126)</f>
        <v>41</v>
      </c>
    </row>
    <row r="129" spans="1:3" ht="15.75" x14ac:dyDescent="0.25">
      <c r="A129" s="76" t="s">
        <v>229</v>
      </c>
      <c r="B129" s="76"/>
      <c r="C129" s="76"/>
    </row>
    <row r="130" spans="1:3" x14ac:dyDescent="0.25">
      <c r="A130" s="1" t="s">
        <v>231</v>
      </c>
      <c r="B130" s="1">
        <v>2024</v>
      </c>
      <c r="C130" s="1">
        <v>2025</v>
      </c>
    </row>
    <row r="131" spans="1:3" x14ac:dyDescent="0.25">
      <c r="A131" t="s">
        <v>232</v>
      </c>
      <c r="B131">
        <v>0</v>
      </c>
      <c r="C131">
        <v>0</v>
      </c>
    </row>
    <row r="132" spans="1:3" x14ac:dyDescent="0.25">
      <c r="A132" t="s">
        <v>233</v>
      </c>
      <c r="B132">
        <v>0</v>
      </c>
      <c r="C132">
        <v>0</v>
      </c>
    </row>
    <row r="133" spans="1:3" x14ac:dyDescent="0.25">
      <c r="A133" t="s">
        <v>234</v>
      </c>
      <c r="B133">
        <v>0</v>
      </c>
      <c r="C133">
        <v>6</v>
      </c>
    </row>
    <row r="134" spans="1:3" x14ac:dyDescent="0.25">
      <c r="A134" t="s">
        <v>235</v>
      </c>
      <c r="B134">
        <v>0</v>
      </c>
      <c r="C134">
        <v>2</v>
      </c>
    </row>
    <row r="135" spans="1:3" x14ac:dyDescent="0.25">
      <c r="A135" t="s">
        <v>236</v>
      </c>
      <c r="B135">
        <v>4</v>
      </c>
      <c r="C135">
        <v>0</v>
      </c>
    </row>
    <row r="136" spans="1:3" x14ac:dyDescent="0.25">
      <c r="A136" t="s">
        <v>237</v>
      </c>
      <c r="B136">
        <v>9</v>
      </c>
      <c r="C136">
        <v>0</v>
      </c>
    </row>
    <row r="137" spans="1:3" x14ac:dyDescent="0.25">
      <c r="A137" t="s">
        <v>238</v>
      </c>
      <c r="B137">
        <v>8</v>
      </c>
      <c r="C137">
        <v>0</v>
      </c>
    </row>
    <row r="138" spans="1:3" x14ac:dyDescent="0.25">
      <c r="A138" t="s">
        <v>239</v>
      </c>
      <c r="B138">
        <v>7</v>
      </c>
      <c r="C138">
        <v>4</v>
      </c>
    </row>
    <row r="139" spans="1:3" x14ac:dyDescent="0.25">
      <c r="A139" t="s">
        <v>240</v>
      </c>
      <c r="B139">
        <v>9</v>
      </c>
      <c r="C139">
        <v>5</v>
      </c>
    </row>
    <row r="140" spans="1:3" x14ac:dyDescent="0.25">
      <c r="A140" t="s">
        <v>241</v>
      </c>
      <c r="B140">
        <v>6</v>
      </c>
      <c r="C140">
        <v>4</v>
      </c>
    </row>
    <row r="141" spans="1:3" x14ac:dyDescent="0.25">
      <c r="A141" t="s">
        <v>242</v>
      </c>
      <c r="B141">
        <v>9</v>
      </c>
      <c r="C141">
        <v>1</v>
      </c>
    </row>
    <row r="142" spans="1:3" x14ac:dyDescent="0.25">
      <c r="A142" t="s">
        <v>243</v>
      </c>
      <c r="B142">
        <v>0</v>
      </c>
      <c r="C142">
        <v>2</v>
      </c>
    </row>
    <row r="143" spans="1:3" x14ac:dyDescent="0.25">
      <c r="A143" s="1" t="s">
        <v>244</v>
      </c>
      <c r="B143" s="1">
        <f>SUM(B131:B142)</f>
        <v>52</v>
      </c>
      <c r="C143" s="1">
        <f>SUM(C131:C142)</f>
        <v>24</v>
      </c>
    </row>
  </sheetData>
  <mergeCells count="9">
    <mergeCell ref="A97:C97"/>
    <mergeCell ref="A113:C113"/>
    <mergeCell ref="A129:C129"/>
    <mergeCell ref="A1:C1"/>
    <mergeCell ref="A17:C17"/>
    <mergeCell ref="A33:C33"/>
    <mergeCell ref="A49:C49"/>
    <mergeCell ref="A65:C65"/>
    <mergeCell ref="A81:C8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AC81-C597-4105-A6A9-6F617CF55A10}">
  <dimension ref="A1:E13"/>
  <sheetViews>
    <sheetView workbookViewId="0">
      <selection sqref="A1:E1"/>
    </sheetView>
  </sheetViews>
  <sheetFormatPr baseColWidth="10" defaultRowHeight="15" x14ac:dyDescent="0.25"/>
  <cols>
    <col min="1" max="1" width="18.7109375" customWidth="1"/>
    <col min="2" max="5" width="10.7109375" customWidth="1"/>
  </cols>
  <sheetData>
    <row r="1" spans="1:5" ht="18.75" x14ac:dyDescent="0.3">
      <c r="A1" s="77" t="s">
        <v>217</v>
      </c>
      <c r="B1" s="77"/>
      <c r="C1" s="77"/>
      <c r="D1" s="77"/>
      <c r="E1" s="77"/>
    </row>
    <row r="3" spans="1:5" x14ac:dyDescent="0.25">
      <c r="A3" s="2" t="s">
        <v>218</v>
      </c>
      <c r="B3" s="2">
        <v>2024</v>
      </c>
      <c r="C3" s="2">
        <v>2025</v>
      </c>
      <c r="D3" s="2" t="s">
        <v>219</v>
      </c>
      <c r="E3" s="2" t="s">
        <v>220</v>
      </c>
    </row>
    <row r="4" spans="1:5" x14ac:dyDescent="0.25">
      <c r="A4" t="s">
        <v>221</v>
      </c>
      <c r="B4">
        <v>17</v>
      </c>
      <c r="C4">
        <v>169</v>
      </c>
      <c r="D4" s="6">
        <v>152</v>
      </c>
      <c r="E4" s="3">
        <f t="shared" ref="E4:E12" si="0">(C4-B4)/B4</f>
        <v>8.9411764705882355</v>
      </c>
    </row>
    <row r="5" spans="1:5" x14ac:dyDescent="0.25">
      <c r="A5" t="s">
        <v>222</v>
      </c>
      <c r="B5">
        <v>84</v>
      </c>
      <c r="C5">
        <v>136</v>
      </c>
      <c r="D5" s="6">
        <v>52</v>
      </c>
      <c r="E5" s="3">
        <f t="shared" si="0"/>
        <v>0.61904761904761907</v>
      </c>
    </row>
    <row r="6" spans="1:5" x14ac:dyDescent="0.25">
      <c r="A6" t="s">
        <v>223</v>
      </c>
      <c r="B6">
        <v>67</v>
      </c>
      <c r="C6">
        <v>124</v>
      </c>
      <c r="D6" s="6">
        <v>57</v>
      </c>
      <c r="E6" s="3">
        <f t="shared" si="0"/>
        <v>0.85074626865671643</v>
      </c>
    </row>
    <row r="7" spans="1:5" x14ac:dyDescent="0.25">
      <c r="A7" t="s">
        <v>224</v>
      </c>
      <c r="B7">
        <v>15</v>
      </c>
      <c r="C7">
        <v>89</v>
      </c>
      <c r="D7" s="6">
        <v>74</v>
      </c>
      <c r="E7" s="3">
        <f t="shared" si="0"/>
        <v>4.9333333333333336</v>
      </c>
    </row>
    <row r="8" spans="1:5" x14ac:dyDescent="0.25">
      <c r="A8" t="s">
        <v>225</v>
      </c>
      <c r="B8">
        <v>43</v>
      </c>
      <c r="C8">
        <v>77</v>
      </c>
      <c r="D8" s="6">
        <v>34</v>
      </c>
      <c r="E8" s="3">
        <f t="shared" si="0"/>
        <v>0.79069767441860461</v>
      </c>
    </row>
    <row r="9" spans="1:5" x14ac:dyDescent="0.25">
      <c r="A9" t="s">
        <v>226</v>
      </c>
      <c r="B9">
        <v>47</v>
      </c>
      <c r="C9">
        <v>76</v>
      </c>
      <c r="D9" s="6">
        <v>29</v>
      </c>
      <c r="E9" s="3">
        <f t="shared" si="0"/>
        <v>0.61702127659574468</v>
      </c>
    </row>
    <row r="10" spans="1:5" x14ac:dyDescent="0.25">
      <c r="A10" t="s">
        <v>227</v>
      </c>
      <c r="B10">
        <v>70</v>
      </c>
      <c r="C10">
        <v>42</v>
      </c>
      <c r="D10" s="7">
        <v>-28</v>
      </c>
      <c r="E10" s="3">
        <f t="shared" si="0"/>
        <v>-0.4</v>
      </c>
    </row>
    <row r="11" spans="1:5" x14ac:dyDescent="0.25">
      <c r="A11" t="s">
        <v>228</v>
      </c>
      <c r="B11">
        <v>81</v>
      </c>
      <c r="C11">
        <v>41</v>
      </c>
      <c r="D11" s="7">
        <v>-40</v>
      </c>
      <c r="E11" s="3">
        <f t="shared" si="0"/>
        <v>-0.49382716049382713</v>
      </c>
    </row>
    <row r="12" spans="1:5" x14ac:dyDescent="0.25">
      <c r="A12" t="s">
        <v>229</v>
      </c>
      <c r="B12">
        <v>52</v>
      </c>
      <c r="C12">
        <v>24</v>
      </c>
      <c r="D12" s="7">
        <v>-28</v>
      </c>
      <c r="E12" s="3">
        <f t="shared" si="0"/>
        <v>-0.53846153846153844</v>
      </c>
    </row>
    <row r="13" spans="1:5" x14ac:dyDescent="0.25">
      <c r="A13" s="4" t="s">
        <v>230</v>
      </c>
      <c r="B13" s="4">
        <f>SUM(B4:B12)</f>
        <v>476</v>
      </c>
      <c r="C13" s="4">
        <f>SUM(C4:C12)</f>
        <v>778</v>
      </c>
      <c r="D13" s="4">
        <f>C13-B13</f>
        <v>302</v>
      </c>
      <c r="E13" s="5">
        <f>D13/B13</f>
        <v>0.63445378151260501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D077-DCCE-4816-A0CE-8F6F7FE8A11F}">
  <dimension ref="A1:A217"/>
  <sheetViews>
    <sheetView workbookViewId="0"/>
  </sheetViews>
  <sheetFormatPr baseColWidth="10" defaultRowHeight="15" x14ac:dyDescent="0.25"/>
  <cols>
    <col min="1" max="1" width="34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 mes BR</vt:lpstr>
      <vt:lpstr>Por productor BR</vt:lpstr>
      <vt:lpstr>Mercado</vt:lpstr>
      <vt:lpstr>Ventas vs Mercado</vt:lpstr>
      <vt:lpstr>Precio vs Cargas</vt:lpstr>
      <vt:lpstr>Precio vs Cargas semanal</vt:lpstr>
      <vt:lpstr>Calendario Precios BR</vt:lpstr>
      <vt:lpstr>Por cliente</vt:lpstr>
      <vt:lpstr>Resumen</vt:lpstr>
      <vt:lpstr>Cargas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Pepe ALMAR S.R.L .</cp:lastModifiedBy>
  <dcterms:created xsi:type="dcterms:W3CDTF">2026-05-12T14:24:24Z</dcterms:created>
  <dcterms:modified xsi:type="dcterms:W3CDTF">2026-05-12T16:42:30Z</dcterms:modified>
</cp:coreProperties>
</file>