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oronga\fuentes\"/>
    </mc:Choice>
  </mc:AlternateContent>
  <xr:revisionPtr revIDLastSave="0" documentId="13_ncr:1_{42826D6E-5CBD-4DD2-AA52-4D07AB58C321}" xr6:coauthVersionLast="47" xr6:coauthVersionMax="47" xr10:uidLastSave="{00000000-0000-0000-0000-000000000000}"/>
  <bookViews>
    <workbookView xWindow="-120" yWindow="-120" windowWidth="20730" windowHeight="11040" activeTab="5" xr2:uid="{035B7F24-B472-4BC3-8599-918AE058A668}"/>
  </bookViews>
  <sheets>
    <sheet name="madre" sheetId="2" r:id="rId1"/>
    <sheet name="Enero" sheetId="3" r:id="rId2"/>
    <sheet name="Febrero" sheetId="4" r:id="rId3"/>
    <sheet name="Marzo" sheetId="5" r:id="rId4"/>
    <sheet name="Abril" sheetId="6" r:id="rId5"/>
    <sheet name="Mayo" sheetId="7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5" i="7" l="1"/>
  <c r="C75" i="7"/>
  <c r="D51" i="7"/>
  <c r="C51" i="7"/>
  <c r="D35" i="7"/>
  <c r="C35" i="7"/>
  <c r="D19" i="7"/>
  <c r="C19" i="7"/>
  <c r="D107" i="6"/>
  <c r="C107" i="6"/>
  <c r="D65" i="6"/>
  <c r="D88" i="6"/>
  <c r="C88" i="6"/>
  <c r="C65" i="6"/>
  <c r="J6" i="5"/>
  <c r="J5" i="5"/>
  <c r="I6" i="4"/>
  <c r="I5" i="4"/>
  <c r="I6" i="3"/>
  <c r="I5" i="3"/>
  <c r="D41" i="6"/>
  <c r="C41" i="6"/>
  <c r="D12" i="6"/>
  <c r="C12" i="6"/>
  <c r="D99" i="5"/>
  <c r="C99" i="5"/>
  <c r="D72" i="5"/>
  <c r="C72" i="5"/>
  <c r="D45" i="5"/>
  <c r="C45" i="5"/>
  <c r="D22" i="5"/>
  <c r="C22" i="5"/>
  <c r="D82" i="4"/>
  <c r="C82" i="4"/>
  <c r="D61" i="4"/>
  <c r="C61" i="4"/>
  <c r="D41" i="4"/>
  <c r="C41" i="4"/>
  <c r="D20" i="4"/>
  <c r="C20" i="4"/>
  <c r="D105" i="3"/>
  <c r="C105" i="3"/>
  <c r="D89" i="3"/>
  <c r="C89" i="3"/>
  <c r="D14" i="3"/>
  <c r="C14" i="3"/>
  <c r="D65" i="3"/>
  <c r="C65" i="3"/>
  <c r="D39" i="3"/>
  <c r="C39" i="3"/>
  <c r="K6" i="6" l="1"/>
  <c r="K5" i="6"/>
</calcChain>
</file>

<file path=xl/sharedStrings.xml><?xml version="1.0" encoding="utf-8"?>
<sst xmlns="http://schemas.openxmlformats.org/spreadsheetml/2006/main" count="1182" uniqueCount="95">
  <si>
    <t>Productor</t>
  </si>
  <si>
    <t>Precios</t>
  </si>
  <si>
    <t>Transporte</t>
  </si>
  <si>
    <t>Agrocurupa</t>
  </si>
  <si>
    <t>Zanini</t>
  </si>
  <si>
    <t>Cassio</t>
  </si>
  <si>
    <t>Chabat</t>
  </si>
  <si>
    <t>Sergio</t>
  </si>
  <si>
    <t>Nilton</t>
  </si>
  <si>
    <t>Fisher</t>
  </si>
  <si>
    <t>Gral</t>
  </si>
  <si>
    <t>Amaro</t>
  </si>
  <si>
    <t>Gilson</t>
  </si>
  <si>
    <t>Silvio</t>
  </si>
  <si>
    <t>Jony</t>
  </si>
  <si>
    <t>Valdemar</t>
  </si>
  <si>
    <t>Carrgas</t>
  </si>
  <si>
    <t>Despachante</t>
  </si>
  <si>
    <t>Semana</t>
  </si>
  <si>
    <t>Data</t>
  </si>
  <si>
    <t>Total</t>
  </si>
  <si>
    <t>Curuca</t>
  </si>
  <si>
    <t>Semana 1</t>
  </si>
  <si>
    <t>29/12 al 03/01</t>
  </si>
  <si>
    <t>Semana 2</t>
  </si>
  <si>
    <t>05/01 al 10/01</t>
  </si>
  <si>
    <t>Semana 3</t>
  </si>
  <si>
    <t>12/01 al 17/01</t>
  </si>
  <si>
    <t xml:space="preserve">Semana 4 </t>
  </si>
  <si>
    <t>19/01 al 24/01</t>
  </si>
  <si>
    <t>Semana 5</t>
  </si>
  <si>
    <t xml:space="preserve">26/01 al 31/01 </t>
  </si>
  <si>
    <t>Semana 6</t>
  </si>
  <si>
    <t>02/02 al 07/02</t>
  </si>
  <si>
    <t>Semana 7</t>
  </si>
  <si>
    <t>09/02 al 14/02</t>
  </si>
  <si>
    <t>Semana 8</t>
  </si>
  <si>
    <t>16/02 al 21/02</t>
  </si>
  <si>
    <t>Semana 9</t>
  </si>
  <si>
    <t>23/02 al 28/02</t>
  </si>
  <si>
    <t>Semana 10</t>
  </si>
  <si>
    <t>02/03 al 07/03</t>
  </si>
  <si>
    <t>Semana 11</t>
  </si>
  <si>
    <t>09/03 al 14/03</t>
  </si>
  <si>
    <t>Semana 12</t>
  </si>
  <si>
    <t>16/03 al 21/03</t>
  </si>
  <si>
    <t>Semana 13</t>
  </si>
  <si>
    <t>23/03 al 28/03</t>
  </si>
  <si>
    <t>Semana 14</t>
  </si>
  <si>
    <t>30/03 al 04/04</t>
  </si>
  <si>
    <t>Semana 15</t>
  </si>
  <si>
    <t>06/04 al 11/04</t>
  </si>
  <si>
    <t>Semana 16</t>
  </si>
  <si>
    <t>13/04 al 18/04</t>
  </si>
  <si>
    <t>Semana 17</t>
  </si>
  <si>
    <t>20/04 al 25/04</t>
  </si>
  <si>
    <t>Semana 18</t>
  </si>
  <si>
    <t>27/04 al 02/05</t>
  </si>
  <si>
    <t>Etimex</t>
  </si>
  <si>
    <t>Axt</t>
  </si>
  <si>
    <t>Alianza</t>
  </si>
  <si>
    <t>amaro</t>
  </si>
  <si>
    <t>cassio</t>
  </si>
  <si>
    <t>curuca</t>
  </si>
  <si>
    <t>Exoticos</t>
  </si>
  <si>
    <t>Camiones</t>
  </si>
  <si>
    <t xml:space="preserve">Promedio </t>
  </si>
  <si>
    <t>Ivo zimer</t>
  </si>
  <si>
    <t>Stein</t>
  </si>
  <si>
    <t>Marangoni</t>
  </si>
  <si>
    <t>Marconi</t>
  </si>
  <si>
    <t>Furlani</t>
  </si>
  <si>
    <t>Joao vinter</t>
  </si>
  <si>
    <t>ivo zimer</t>
  </si>
  <si>
    <t>marconi</t>
  </si>
  <si>
    <t>furlani</t>
  </si>
  <si>
    <t>valdemar</t>
  </si>
  <si>
    <t>stein</t>
  </si>
  <si>
    <t>fisher</t>
  </si>
  <si>
    <t>nilton</t>
  </si>
  <si>
    <t>axt</t>
  </si>
  <si>
    <t>chabat</t>
  </si>
  <si>
    <t>Semana 19</t>
  </si>
  <si>
    <t>04/05 al 09/05</t>
  </si>
  <si>
    <t>alianza</t>
  </si>
  <si>
    <t>etimex</t>
  </si>
  <si>
    <t>Wagner</t>
  </si>
  <si>
    <t>Semana 20</t>
  </si>
  <si>
    <t xml:space="preserve">11/05 al 16/05 </t>
  </si>
  <si>
    <t>Semana 21</t>
  </si>
  <si>
    <t>18/05 al 18/23</t>
  </si>
  <si>
    <t>Semana 22</t>
  </si>
  <si>
    <t>25/05 al 30/05</t>
  </si>
  <si>
    <t>wagner</t>
  </si>
  <si>
    <t>marangoni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</si>
</sst>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1" xfId="0" applyBorder="1"/>
    <xf numFmtId="0" fontId="0" fillId="0" borderId="3" xfId="0" applyBorder="1"/>
    <xf numFmtId="0" fontId="5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2" borderId="1" xfId="0" applyFill="1" applyBorder="1"/>
    <xf numFmtId="0" fontId="0" fillId="0" borderId="1" xfId="0" applyBorder="1" applyAlignment="1">
      <alignment vertical="center"/>
    </xf>
    <xf numFmtId="0" fontId="2" fillId="0" borderId="1" xfId="0" applyFont="1" applyBorder="1"/>
    <xf numFmtId="0" fontId="0" fillId="0" borderId="1" xfId="0" applyBorder="1" applyAlignment="1">
      <alignment horizontal="center"/>
    </xf>
    <xf numFmtId="0" fontId="8" fillId="0" borderId="6" xfId="0" applyFont="1" applyBorder="1"/>
    <xf numFmtId="0" fontId="5" fillId="0" borderId="6" xfId="0" applyFont="1" applyBorder="1"/>
    <xf numFmtId="0" fontId="5" fillId="0" borderId="4" xfId="0" applyFont="1" applyBorder="1" applyAlignment="1">
      <alignment horizontal="center"/>
    </xf>
    <xf numFmtId="0" fontId="0" fillId="3" borderId="3" xfId="0" applyFill="1" applyBorder="1"/>
    <xf numFmtId="0" fontId="0" fillId="2" borderId="3" xfId="0" applyFill="1" applyBorder="1"/>
    <xf numFmtId="0" fontId="0" fillId="0" borderId="3" xfId="0" applyBorder="1" applyAlignment="1">
      <alignment horizontal="center"/>
    </xf>
    <xf numFmtId="0" fontId="6" fillId="3" borderId="7" xfId="0" applyFont="1" applyFill="1" applyBorder="1"/>
    <xf numFmtId="0" fontId="6" fillId="2" borderId="8" xfId="0" applyFont="1" applyFill="1" applyBorder="1"/>
    <xf numFmtId="0" fontId="2" fillId="4" borderId="8" xfId="0" applyFont="1" applyFill="1" applyBorder="1"/>
    <xf numFmtId="0" fontId="2" fillId="4" borderId="9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right" vertical="center"/>
    </xf>
    <xf numFmtId="0" fontId="7" fillId="2" borderId="8" xfId="0" applyFont="1" applyFill="1" applyBorder="1" applyAlignment="1">
      <alignment horizontal="right" vertical="center"/>
    </xf>
    <xf numFmtId="0" fontId="2" fillId="4" borderId="9" xfId="0" applyFont="1" applyFill="1" applyBorder="1"/>
    <xf numFmtId="0" fontId="6" fillId="3" borderId="7" xfId="0" applyFont="1" applyFill="1" applyBorder="1" applyAlignment="1">
      <alignment horizontal="right" vertical="center"/>
    </xf>
    <xf numFmtId="0" fontId="6" fillId="2" borderId="8" xfId="0" applyFont="1" applyFill="1" applyBorder="1" applyAlignment="1">
      <alignment horizontal="right" vertical="center"/>
    </xf>
    <xf numFmtId="0" fontId="6" fillId="3" borderId="7" xfId="0" applyFont="1" applyFill="1" applyBorder="1" applyAlignment="1">
      <alignment vertical="center"/>
    </xf>
    <xf numFmtId="0" fontId="6" fillId="2" borderId="8" xfId="0" applyFont="1" applyFill="1" applyBorder="1" applyAlignment="1">
      <alignment vertical="center"/>
    </xf>
    <xf numFmtId="0" fontId="2" fillId="3" borderId="7" xfId="0" applyFont="1" applyFill="1" applyBorder="1"/>
    <xf numFmtId="0" fontId="2" fillId="2" borderId="8" xfId="0" applyFont="1" applyFill="1" applyBorder="1"/>
    <xf numFmtId="0" fontId="0" fillId="3" borderId="7" xfId="0" applyFill="1" applyBorder="1"/>
    <xf numFmtId="0" fontId="0" fillId="2" borderId="8" xfId="0" applyFill="1" applyBorder="1"/>
    <xf numFmtId="0" fontId="6" fillId="4" borderId="8" xfId="0" applyFont="1" applyFill="1" applyBorder="1"/>
    <xf numFmtId="0" fontId="6" fillId="4" borderId="9" xfId="0" applyFont="1" applyFill="1" applyBorder="1"/>
    <xf numFmtId="0" fontId="6" fillId="4" borderId="8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3" fillId="3" borderId="3" xfId="0" applyFont="1" applyFill="1" applyBorder="1"/>
    <xf numFmtId="0" fontId="3" fillId="2" borderId="3" xfId="0" applyFont="1" applyFill="1" applyBorder="1"/>
    <xf numFmtId="0" fontId="3" fillId="0" borderId="3" xfId="0" applyFont="1" applyBorder="1"/>
    <xf numFmtId="43" fontId="6" fillId="2" borderId="8" xfId="1" applyFont="1" applyFill="1" applyBorder="1"/>
    <xf numFmtId="43" fontId="8" fillId="0" borderId="6" xfId="0" applyNumberFormat="1" applyFont="1" applyBorder="1"/>
    <xf numFmtId="0" fontId="8" fillId="0" borderId="6" xfId="0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A84E0-84D3-4299-96B0-2E4BE20F8F0F}">
  <dimension ref="B2:F110"/>
  <sheetViews>
    <sheetView workbookViewId="0">
      <selection activeCell="H12" sqref="H12"/>
    </sheetView>
  </sheetViews>
  <sheetFormatPr baseColWidth="10" defaultRowHeight="15" x14ac:dyDescent="0.25"/>
  <cols>
    <col min="2" max="2" width="13.85546875" customWidth="1"/>
    <col min="3" max="4" width="9.7109375" customWidth="1"/>
    <col min="5" max="6" width="13.85546875" customWidth="1"/>
  </cols>
  <sheetData>
    <row r="2" spans="2:6" x14ac:dyDescent="0.25">
      <c r="C2" s="42" t="s">
        <v>18</v>
      </c>
      <c r="D2" s="42"/>
      <c r="E2" s="42"/>
    </row>
    <row r="3" spans="2:6" x14ac:dyDescent="0.25">
      <c r="C3" s="42" t="s">
        <v>19</v>
      </c>
      <c r="D3" s="42"/>
      <c r="E3" s="42"/>
    </row>
    <row r="5" spans="2:6" ht="18" customHeight="1" x14ac:dyDescent="0.25">
      <c r="B5" s="4" t="s">
        <v>0</v>
      </c>
      <c r="C5" s="4" t="s">
        <v>16</v>
      </c>
      <c r="D5" s="4" t="s">
        <v>1</v>
      </c>
      <c r="E5" s="4" t="s">
        <v>2</v>
      </c>
      <c r="F5" s="4" t="s">
        <v>17</v>
      </c>
    </row>
    <row r="6" spans="2:6" ht="18" customHeight="1" x14ac:dyDescent="0.25">
      <c r="B6" s="1" t="s">
        <v>3</v>
      </c>
      <c r="C6" s="5"/>
      <c r="D6" s="7"/>
      <c r="E6" s="1"/>
      <c r="F6" s="1"/>
    </row>
    <row r="7" spans="2:6" ht="18" customHeight="1" x14ac:dyDescent="0.25">
      <c r="B7" s="1" t="s">
        <v>3</v>
      </c>
      <c r="C7" s="5"/>
      <c r="D7" s="7"/>
      <c r="E7" s="1"/>
      <c r="F7" s="1"/>
    </row>
    <row r="8" spans="2:6" ht="18" customHeight="1" x14ac:dyDescent="0.25">
      <c r="B8" s="1" t="s">
        <v>5</v>
      </c>
      <c r="C8" s="5"/>
      <c r="D8" s="7"/>
      <c r="E8" s="1"/>
      <c r="F8" s="1"/>
    </row>
    <row r="9" spans="2:6" ht="18" customHeight="1" x14ac:dyDescent="0.25">
      <c r="B9" s="1" t="s">
        <v>5</v>
      </c>
      <c r="C9" s="5"/>
      <c r="D9" s="7"/>
      <c r="E9" s="1"/>
      <c r="F9" s="1"/>
    </row>
    <row r="10" spans="2:6" ht="18" customHeight="1" x14ac:dyDescent="0.25">
      <c r="B10" s="1" t="s">
        <v>5</v>
      </c>
      <c r="C10" s="5"/>
      <c r="D10" s="7"/>
      <c r="E10" s="1"/>
      <c r="F10" s="1"/>
    </row>
    <row r="11" spans="2:6" ht="18" customHeight="1" x14ac:dyDescent="0.25">
      <c r="B11" s="1" t="s">
        <v>5</v>
      </c>
      <c r="C11" s="5"/>
      <c r="D11" s="7"/>
      <c r="E11" s="1"/>
      <c r="F11" s="1"/>
    </row>
    <row r="12" spans="2:6" ht="18" customHeight="1" x14ac:dyDescent="0.25">
      <c r="B12" s="1" t="s">
        <v>9</v>
      </c>
      <c r="C12" s="5"/>
      <c r="D12" s="7"/>
      <c r="E12" s="1"/>
      <c r="F12" s="1"/>
    </row>
    <row r="13" spans="2:6" ht="18" customHeight="1" x14ac:dyDescent="0.25">
      <c r="B13" s="1" t="s">
        <v>9</v>
      </c>
      <c r="C13" s="5"/>
      <c r="D13" s="7"/>
      <c r="E13" s="1"/>
      <c r="F13" s="1"/>
    </row>
    <row r="14" spans="2:6" ht="18" customHeight="1" x14ac:dyDescent="0.25">
      <c r="B14" s="1" t="s">
        <v>12</v>
      </c>
      <c r="C14" s="5"/>
      <c r="D14" s="7"/>
      <c r="E14" s="1"/>
      <c r="F14" s="1"/>
    </row>
    <row r="15" spans="2:6" ht="18" customHeight="1" x14ac:dyDescent="0.25">
      <c r="B15" s="1" t="s">
        <v>12</v>
      </c>
      <c r="C15" s="5"/>
      <c r="D15" s="7"/>
      <c r="E15" s="1"/>
      <c r="F15" s="1"/>
    </row>
    <row r="16" spans="2:6" ht="18" customHeight="1" x14ac:dyDescent="0.25">
      <c r="B16" s="1" t="s">
        <v>21</v>
      </c>
      <c r="C16" s="5"/>
      <c r="D16" s="7"/>
      <c r="E16" s="1"/>
      <c r="F16" s="1"/>
    </row>
    <row r="17" spans="2:6" ht="18" customHeight="1" x14ac:dyDescent="0.25">
      <c r="B17" s="1" t="s">
        <v>21</v>
      </c>
      <c r="C17" s="5"/>
      <c r="D17" s="7"/>
      <c r="E17" s="1"/>
      <c r="F17" s="1"/>
    </row>
    <row r="18" spans="2:6" ht="18" customHeight="1" x14ac:dyDescent="0.25">
      <c r="B18" s="1" t="s">
        <v>21</v>
      </c>
      <c r="C18" s="5"/>
      <c r="D18" s="7"/>
      <c r="E18" s="1"/>
      <c r="F18" s="1"/>
    </row>
    <row r="19" spans="2:6" ht="18" customHeight="1" x14ac:dyDescent="0.25">
      <c r="B19" s="1" t="s">
        <v>21</v>
      </c>
      <c r="C19" s="5"/>
      <c r="D19" s="7"/>
      <c r="E19" s="1"/>
      <c r="F19" s="1"/>
    </row>
    <row r="20" spans="2:6" ht="18" customHeight="1" x14ac:dyDescent="0.25">
      <c r="B20" s="1" t="s">
        <v>21</v>
      </c>
      <c r="C20" s="5"/>
      <c r="D20" s="7"/>
      <c r="E20" s="1"/>
      <c r="F20" s="1"/>
    </row>
    <row r="21" spans="2:6" ht="18" customHeight="1" x14ac:dyDescent="0.25">
      <c r="B21" s="1" t="s">
        <v>21</v>
      </c>
      <c r="C21" s="5"/>
      <c r="D21" s="7"/>
      <c r="E21" s="1"/>
      <c r="F21" s="1"/>
    </row>
    <row r="22" spans="2:6" ht="18" customHeight="1" x14ac:dyDescent="0.25">
      <c r="B22" s="1" t="s">
        <v>15</v>
      </c>
      <c r="C22" s="5"/>
      <c r="D22" s="7"/>
      <c r="E22" s="1"/>
      <c r="F22" s="1"/>
    </row>
    <row r="23" spans="2:6" ht="18" customHeight="1" x14ac:dyDescent="0.25">
      <c r="B23" s="1" t="s">
        <v>15</v>
      </c>
      <c r="C23" s="5"/>
      <c r="D23" s="7"/>
      <c r="E23" s="1"/>
      <c r="F23" s="1"/>
    </row>
    <row r="24" spans="2:6" ht="18" customHeight="1" x14ac:dyDescent="0.25">
      <c r="B24" s="1" t="s">
        <v>15</v>
      </c>
      <c r="C24" s="5"/>
      <c r="D24" s="7"/>
      <c r="E24" s="1"/>
      <c r="F24" s="1"/>
    </row>
    <row r="25" spans="2:6" ht="18" customHeight="1" x14ac:dyDescent="0.25">
      <c r="B25" s="1" t="s">
        <v>15</v>
      </c>
      <c r="C25" s="5"/>
      <c r="D25" s="7"/>
      <c r="E25" s="1"/>
      <c r="F25" s="1"/>
    </row>
    <row r="26" spans="2:6" ht="18.75" x14ac:dyDescent="0.3">
      <c r="B26" s="3" t="s">
        <v>20</v>
      </c>
      <c r="C26" s="6"/>
      <c r="D26" s="7"/>
      <c r="E26" s="1"/>
      <c r="F26" s="1"/>
    </row>
    <row r="30" spans="2:6" x14ac:dyDescent="0.25">
      <c r="C30" s="42" t="s">
        <v>18</v>
      </c>
      <c r="D30" s="42"/>
      <c r="E30" s="42"/>
    </row>
    <row r="31" spans="2:6" x14ac:dyDescent="0.25">
      <c r="C31" s="42" t="s">
        <v>19</v>
      </c>
      <c r="D31" s="42"/>
      <c r="E31" s="42"/>
    </row>
    <row r="33" spans="2:6" ht="15.75" x14ac:dyDescent="0.25">
      <c r="B33" s="4" t="s">
        <v>0</v>
      </c>
      <c r="C33" s="4" t="s">
        <v>16</v>
      </c>
      <c r="D33" s="4" t="s">
        <v>1</v>
      </c>
      <c r="E33" s="4" t="s">
        <v>2</v>
      </c>
      <c r="F33" s="4" t="s">
        <v>17</v>
      </c>
    </row>
    <row r="34" spans="2:6" ht="18" customHeight="1" x14ac:dyDescent="0.25">
      <c r="B34" s="1" t="s">
        <v>3</v>
      </c>
      <c r="C34" s="5"/>
      <c r="D34" s="7"/>
      <c r="E34" s="1"/>
      <c r="F34" s="1"/>
    </row>
    <row r="35" spans="2:6" ht="18" customHeight="1" x14ac:dyDescent="0.25">
      <c r="B35" s="1" t="s">
        <v>3</v>
      </c>
      <c r="C35" s="5"/>
      <c r="D35" s="7"/>
      <c r="E35" s="1"/>
      <c r="F35" s="1"/>
    </row>
    <row r="36" spans="2:6" ht="18" customHeight="1" x14ac:dyDescent="0.25">
      <c r="B36" s="1" t="s">
        <v>5</v>
      </c>
      <c r="C36" s="5"/>
      <c r="D36" s="7"/>
      <c r="E36" s="1"/>
      <c r="F36" s="1"/>
    </row>
    <row r="37" spans="2:6" ht="18" customHeight="1" x14ac:dyDescent="0.25">
      <c r="B37" s="1" t="s">
        <v>5</v>
      </c>
      <c r="C37" s="5"/>
      <c r="D37" s="7"/>
      <c r="E37" s="1"/>
      <c r="F37" s="1"/>
    </row>
    <row r="38" spans="2:6" ht="18" customHeight="1" x14ac:dyDescent="0.25">
      <c r="B38" s="1" t="s">
        <v>21</v>
      </c>
      <c r="C38" s="5"/>
      <c r="D38" s="7"/>
      <c r="E38" s="1"/>
      <c r="F38" s="1"/>
    </row>
    <row r="39" spans="2:6" ht="18" customHeight="1" x14ac:dyDescent="0.25">
      <c r="B39" s="1" t="s">
        <v>9</v>
      </c>
      <c r="C39" s="5"/>
      <c r="D39" s="7"/>
      <c r="E39" s="1"/>
      <c r="F39" s="1"/>
    </row>
    <row r="40" spans="2:6" ht="18" customHeight="1" x14ac:dyDescent="0.25">
      <c r="B40" s="1" t="s">
        <v>9</v>
      </c>
      <c r="C40" s="5"/>
      <c r="D40" s="7"/>
      <c r="E40" s="1"/>
      <c r="F40" s="1"/>
    </row>
    <row r="41" spans="2:6" ht="18" customHeight="1" x14ac:dyDescent="0.25">
      <c r="B41" s="1" t="s">
        <v>9</v>
      </c>
      <c r="C41" s="5"/>
      <c r="D41" s="7"/>
      <c r="E41" s="1"/>
      <c r="F41" s="1"/>
    </row>
    <row r="42" spans="2:6" ht="18" customHeight="1" x14ac:dyDescent="0.25">
      <c r="B42" s="1" t="s">
        <v>12</v>
      </c>
      <c r="C42" s="5"/>
      <c r="D42" s="7"/>
      <c r="E42" s="1"/>
      <c r="F42" s="1"/>
    </row>
    <row r="43" spans="2:6" ht="18" customHeight="1" x14ac:dyDescent="0.25">
      <c r="B43" s="1" t="s">
        <v>12</v>
      </c>
      <c r="C43" s="5"/>
      <c r="D43" s="7"/>
      <c r="E43" s="1"/>
      <c r="F43" s="1"/>
    </row>
    <row r="44" spans="2:6" ht="18" customHeight="1" x14ac:dyDescent="0.25">
      <c r="B44" s="1" t="s">
        <v>14</v>
      </c>
      <c r="C44" s="5"/>
      <c r="D44" s="7"/>
      <c r="E44" s="1"/>
      <c r="F44" s="1"/>
    </row>
    <row r="45" spans="2:6" ht="18" customHeight="1" x14ac:dyDescent="0.25">
      <c r="B45" s="1" t="s">
        <v>14</v>
      </c>
      <c r="C45" s="5"/>
      <c r="D45" s="7"/>
      <c r="E45" s="1"/>
      <c r="F45" s="1"/>
    </row>
    <row r="46" spans="2:6" ht="18" customHeight="1" x14ac:dyDescent="0.25">
      <c r="B46" s="1" t="s">
        <v>14</v>
      </c>
      <c r="C46" s="5"/>
      <c r="D46" s="7"/>
      <c r="E46" s="1"/>
      <c r="F46" s="1"/>
    </row>
    <row r="47" spans="2:6" ht="18" customHeight="1" x14ac:dyDescent="0.25">
      <c r="B47" s="1" t="s">
        <v>15</v>
      </c>
      <c r="C47" s="5"/>
      <c r="D47" s="7"/>
      <c r="E47" s="1"/>
      <c r="F47" s="1"/>
    </row>
    <row r="48" spans="2:6" ht="18" customHeight="1" x14ac:dyDescent="0.25">
      <c r="B48" s="1" t="s">
        <v>15</v>
      </c>
      <c r="C48" s="5"/>
      <c r="D48" s="7"/>
      <c r="E48" s="1"/>
      <c r="F48" s="1"/>
    </row>
    <row r="49" spans="2:6" ht="18" customHeight="1" x14ac:dyDescent="0.25">
      <c r="B49" s="1" t="s">
        <v>15</v>
      </c>
      <c r="C49" s="5"/>
      <c r="D49" s="7"/>
      <c r="E49" s="1"/>
      <c r="F49" s="1"/>
    </row>
    <row r="50" spans="2:6" ht="18" customHeight="1" x14ac:dyDescent="0.25">
      <c r="B50" s="1" t="s">
        <v>15</v>
      </c>
      <c r="C50" s="5"/>
      <c r="D50" s="7"/>
      <c r="E50" s="1"/>
      <c r="F50" s="1"/>
    </row>
    <row r="51" spans="2:6" ht="18" customHeight="1" x14ac:dyDescent="0.25">
      <c r="B51" s="1" t="s">
        <v>7</v>
      </c>
      <c r="C51" s="5"/>
      <c r="D51" s="7"/>
      <c r="E51" s="1"/>
      <c r="F51" s="1"/>
    </row>
    <row r="52" spans="2:6" ht="18" customHeight="1" x14ac:dyDescent="0.25">
      <c r="B52" s="1" t="s">
        <v>7</v>
      </c>
      <c r="C52" s="5"/>
      <c r="D52" s="7"/>
      <c r="E52" s="1"/>
      <c r="F52" s="1"/>
    </row>
    <row r="53" spans="2:6" ht="18" customHeight="1" x14ac:dyDescent="0.25">
      <c r="B53" s="2"/>
      <c r="C53" s="5"/>
      <c r="D53" s="7"/>
      <c r="E53" s="1"/>
      <c r="F53" s="1"/>
    </row>
    <row r="54" spans="2:6" ht="18.75" x14ac:dyDescent="0.3">
      <c r="B54" s="3" t="s">
        <v>20</v>
      </c>
      <c r="C54" s="6"/>
      <c r="D54" s="7"/>
      <c r="E54" s="1"/>
      <c r="F54" s="1"/>
    </row>
    <row r="58" spans="2:6" x14ac:dyDescent="0.25">
      <c r="C58" s="42" t="s">
        <v>18</v>
      </c>
      <c r="D58" s="42"/>
      <c r="E58" s="42"/>
    </row>
    <row r="59" spans="2:6" x14ac:dyDescent="0.25">
      <c r="C59" s="42" t="s">
        <v>19</v>
      </c>
      <c r="D59" s="42"/>
      <c r="E59" s="42"/>
    </row>
    <row r="61" spans="2:6" ht="15.75" x14ac:dyDescent="0.25">
      <c r="B61" s="4" t="s">
        <v>0</v>
      </c>
      <c r="C61" s="4" t="s">
        <v>16</v>
      </c>
      <c r="D61" s="4" t="s">
        <v>1</v>
      </c>
      <c r="E61" s="4" t="s">
        <v>2</v>
      </c>
      <c r="F61" s="4" t="s">
        <v>17</v>
      </c>
    </row>
    <row r="62" spans="2:6" ht="18" customHeight="1" x14ac:dyDescent="0.25">
      <c r="B62" s="1" t="s">
        <v>3</v>
      </c>
      <c r="C62" s="5"/>
      <c r="D62" s="7"/>
      <c r="E62" s="1"/>
      <c r="F62" s="1"/>
    </row>
    <row r="63" spans="2:6" ht="18" customHeight="1" x14ac:dyDescent="0.25">
      <c r="B63" s="1" t="s">
        <v>3</v>
      </c>
      <c r="C63" s="5"/>
      <c r="D63" s="7"/>
      <c r="E63" s="1"/>
      <c r="F63" s="1"/>
    </row>
    <row r="64" spans="2:6" ht="18" customHeight="1" x14ac:dyDescent="0.25">
      <c r="B64" s="1" t="s">
        <v>5</v>
      </c>
      <c r="C64" s="5"/>
      <c r="D64" s="7"/>
      <c r="E64" s="1"/>
      <c r="F64" s="1"/>
    </row>
    <row r="65" spans="2:6" ht="18" customHeight="1" x14ac:dyDescent="0.25">
      <c r="B65" s="1" t="s">
        <v>5</v>
      </c>
      <c r="C65" s="5"/>
      <c r="D65" s="7"/>
      <c r="E65" s="1"/>
      <c r="F65" s="1"/>
    </row>
    <row r="66" spans="2:6" ht="18" customHeight="1" x14ac:dyDescent="0.25">
      <c r="B66" s="1" t="s">
        <v>21</v>
      </c>
      <c r="C66" s="5"/>
      <c r="D66" s="7"/>
      <c r="E66" s="1"/>
      <c r="F66" s="1"/>
    </row>
    <row r="67" spans="2:6" ht="18" customHeight="1" x14ac:dyDescent="0.25">
      <c r="B67" s="1" t="s">
        <v>9</v>
      </c>
      <c r="C67" s="5"/>
      <c r="D67" s="7"/>
      <c r="E67" s="1"/>
      <c r="F67" s="1"/>
    </row>
    <row r="68" spans="2:6" ht="18" customHeight="1" x14ac:dyDescent="0.25">
      <c r="B68" s="1" t="s">
        <v>9</v>
      </c>
      <c r="C68" s="5"/>
      <c r="D68" s="7"/>
      <c r="E68" s="1"/>
      <c r="F68" s="1"/>
    </row>
    <row r="69" spans="2:6" ht="18" customHeight="1" x14ac:dyDescent="0.25">
      <c r="B69" s="1" t="s">
        <v>9</v>
      </c>
      <c r="C69" s="5"/>
      <c r="D69" s="7"/>
      <c r="E69" s="1"/>
      <c r="F69" s="1"/>
    </row>
    <row r="70" spans="2:6" ht="18" customHeight="1" x14ac:dyDescent="0.25">
      <c r="B70" s="1" t="s">
        <v>12</v>
      </c>
      <c r="C70" s="5"/>
      <c r="D70" s="7"/>
      <c r="E70" s="1"/>
      <c r="F70" s="1"/>
    </row>
    <row r="71" spans="2:6" ht="18" customHeight="1" x14ac:dyDescent="0.25">
      <c r="B71" s="1" t="s">
        <v>12</v>
      </c>
      <c r="C71" s="5"/>
      <c r="D71" s="7"/>
      <c r="E71" s="1"/>
      <c r="F71" s="1"/>
    </row>
    <row r="72" spans="2:6" ht="18" customHeight="1" x14ac:dyDescent="0.25">
      <c r="B72" s="1" t="s">
        <v>14</v>
      </c>
      <c r="C72" s="5"/>
      <c r="D72" s="7"/>
      <c r="E72" s="1"/>
      <c r="F72" s="1"/>
    </row>
    <row r="73" spans="2:6" ht="18" customHeight="1" x14ac:dyDescent="0.25">
      <c r="B73" s="1" t="s">
        <v>14</v>
      </c>
      <c r="C73" s="5"/>
      <c r="D73" s="7"/>
      <c r="E73" s="1"/>
      <c r="F73" s="1"/>
    </row>
    <row r="74" spans="2:6" ht="18" customHeight="1" x14ac:dyDescent="0.25">
      <c r="B74" s="1" t="s">
        <v>14</v>
      </c>
      <c r="C74" s="5"/>
      <c r="D74" s="7"/>
      <c r="E74" s="1"/>
      <c r="F74" s="1"/>
    </row>
    <row r="75" spans="2:6" ht="18" customHeight="1" x14ac:dyDescent="0.25">
      <c r="B75" s="1" t="s">
        <v>15</v>
      </c>
      <c r="C75" s="5"/>
      <c r="D75" s="7"/>
      <c r="E75" s="1"/>
      <c r="F75" s="1"/>
    </row>
    <row r="76" spans="2:6" ht="18" customHeight="1" x14ac:dyDescent="0.25">
      <c r="B76" s="1" t="s">
        <v>15</v>
      </c>
      <c r="C76" s="5"/>
      <c r="D76" s="7"/>
      <c r="E76" s="1"/>
      <c r="F76" s="1"/>
    </row>
    <row r="77" spans="2:6" ht="18" customHeight="1" x14ac:dyDescent="0.25">
      <c r="B77" s="1" t="s">
        <v>15</v>
      </c>
      <c r="C77" s="5"/>
      <c r="D77" s="7"/>
      <c r="E77" s="1"/>
      <c r="F77" s="1"/>
    </row>
    <row r="78" spans="2:6" ht="18" customHeight="1" x14ac:dyDescent="0.25">
      <c r="B78" s="1" t="s">
        <v>15</v>
      </c>
      <c r="C78" s="5"/>
      <c r="D78" s="7"/>
      <c r="E78" s="1"/>
      <c r="F78" s="1"/>
    </row>
    <row r="79" spans="2:6" ht="18" customHeight="1" x14ac:dyDescent="0.25">
      <c r="B79" s="1" t="s">
        <v>7</v>
      </c>
      <c r="C79" s="5"/>
      <c r="D79" s="7"/>
      <c r="E79" s="1"/>
      <c r="F79" s="1"/>
    </row>
    <row r="80" spans="2:6" ht="18" customHeight="1" x14ac:dyDescent="0.25">
      <c r="B80" s="1" t="s">
        <v>7</v>
      </c>
      <c r="C80" s="5"/>
      <c r="D80" s="7"/>
      <c r="E80" s="1"/>
      <c r="F80" s="1"/>
    </row>
    <row r="81" spans="2:6" ht="18" customHeight="1" x14ac:dyDescent="0.25">
      <c r="B81" s="2"/>
      <c r="C81" s="5"/>
      <c r="D81" s="7"/>
      <c r="E81" s="1"/>
      <c r="F81" s="1"/>
    </row>
    <row r="82" spans="2:6" ht="18.75" x14ac:dyDescent="0.3">
      <c r="B82" s="3" t="s">
        <v>20</v>
      </c>
      <c r="C82" s="6"/>
      <c r="D82" s="7"/>
      <c r="E82" s="1"/>
      <c r="F82" s="1"/>
    </row>
    <row r="86" spans="2:6" x14ac:dyDescent="0.25">
      <c r="C86" s="42" t="s">
        <v>18</v>
      </c>
      <c r="D86" s="42"/>
      <c r="E86" s="42"/>
    </row>
    <row r="87" spans="2:6" x14ac:dyDescent="0.25">
      <c r="C87" s="42" t="s">
        <v>19</v>
      </c>
      <c r="D87" s="42"/>
      <c r="E87" s="42"/>
    </row>
    <row r="89" spans="2:6" ht="15.75" x14ac:dyDescent="0.25">
      <c r="B89" s="4" t="s">
        <v>0</v>
      </c>
      <c r="C89" s="4" t="s">
        <v>16</v>
      </c>
      <c r="D89" s="4" t="s">
        <v>1</v>
      </c>
      <c r="E89" s="4" t="s">
        <v>2</v>
      </c>
      <c r="F89" s="4" t="s">
        <v>17</v>
      </c>
    </row>
    <row r="90" spans="2:6" ht="18" customHeight="1" x14ac:dyDescent="0.25">
      <c r="B90" s="1" t="s">
        <v>3</v>
      </c>
      <c r="C90" s="5"/>
      <c r="D90" s="7"/>
      <c r="E90" s="1"/>
      <c r="F90" s="1"/>
    </row>
    <row r="91" spans="2:6" ht="18" customHeight="1" x14ac:dyDescent="0.25">
      <c r="B91" s="1" t="s">
        <v>3</v>
      </c>
      <c r="C91" s="5"/>
      <c r="D91" s="7"/>
      <c r="E91" s="1"/>
      <c r="F91" s="1"/>
    </row>
    <row r="92" spans="2:6" ht="18" customHeight="1" x14ac:dyDescent="0.25">
      <c r="B92" s="1" t="s">
        <v>5</v>
      </c>
      <c r="C92" s="5"/>
      <c r="D92" s="7"/>
      <c r="E92" s="1"/>
      <c r="F92" s="1"/>
    </row>
    <row r="93" spans="2:6" ht="18" customHeight="1" x14ac:dyDescent="0.25">
      <c r="B93" s="1" t="s">
        <v>5</v>
      </c>
      <c r="C93" s="5"/>
      <c r="D93" s="7"/>
      <c r="E93" s="1"/>
      <c r="F93" s="1"/>
    </row>
    <row r="94" spans="2:6" ht="18" customHeight="1" x14ac:dyDescent="0.25">
      <c r="B94" s="1" t="s">
        <v>21</v>
      </c>
      <c r="C94" s="5"/>
      <c r="D94" s="7"/>
      <c r="E94" s="1"/>
      <c r="F94" s="1"/>
    </row>
    <row r="95" spans="2:6" ht="18" customHeight="1" x14ac:dyDescent="0.25">
      <c r="B95" s="1" t="s">
        <v>9</v>
      </c>
      <c r="C95" s="5"/>
      <c r="D95" s="7"/>
      <c r="E95" s="1"/>
      <c r="F95" s="1"/>
    </row>
    <row r="96" spans="2:6" ht="18" customHeight="1" x14ac:dyDescent="0.25">
      <c r="B96" s="1" t="s">
        <v>9</v>
      </c>
      <c r="C96" s="5"/>
      <c r="D96" s="7"/>
      <c r="E96" s="1"/>
      <c r="F96" s="1"/>
    </row>
    <row r="97" spans="2:6" ht="18" customHeight="1" x14ac:dyDescent="0.25">
      <c r="B97" s="1" t="s">
        <v>9</v>
      </c>
      <c r="C97" s="5"/>
      <c r="D97" s="7"/>
      <c r="E97" s="1"/>
      <c r="F97" s="1"/>
    </row>
    <row r="98" spans="2:6" ht="18" customHeight="1" x14ac:dyDescent="0.25">
      <c r="B98" s="1" t="s">
        <v>12</v>
      </c>
      <c r="C98" s="5"/>
      <c r="D98" s="7"/>
      <c r="E98" s="1"/>
      <c r="F98" s="1"/>
    </row>
    <row r="99" spans="2:6" ht="18" customHeight="1" x14ac:dyDescent="0.25">
      <c r="B99" s="1" t="s">
        <v>12</v>
      </c>
      <c r="C99" s="5"/>
      <c r="D99" s="7"/>
      <c r="E99" s="1"/>
      <c r="F99" s="1"/>
    </row>
    <row r="100" spans="2:6" ht="18" customHeight="1" x14ac:dyDescent="0.25">
      <c r="B100" s="1" t="s">
        <v>14</v>
      </c>
      <c r="C100" s="5"/>
      <c r="D100" s="7"/>
      <c r="E100" s="1"/>
      <c r="F100" s="1"/>
    </row>
    <row r="101" spans="2:6" ht="18" customHeight="1" x14ac:dyDescent="0.25">
      <c r="B101" s="1" t="s">
        <v>14</v>
      </c>
      <c r="C101" s="5"/>
      <c r="D101" s="7"/>
      <c r="E101" s="1"/>
      <c r="F101" s="1"/>
    </row>
    <row r="102" spans="2:6" ht="18" customHeight="1" x14ac:dyDescent="0.25">
      <c r="B102" s="1" t="s">
        <v>14</v>
      </c>
      <c r="C102" s="5"/>
      <c r="D102" s="7"/>
      <c r="E102" s="1"/>
      <c r="F102" s="1"/>
    </row>
    <row r="103" spans="2:6" ht="18" customHeight="1" x14ac:dyDescent="0.25">
      <c r="B103" s="1" t="s">
        <v>15</v>
      </c>
      <c r="C103" s="5"/>
      <c r="D103" s="7"/>
      <c r="E103" s="1"/>
      <c r="F103" s="1"/>
    </row>
    <row r="104" spans="2:6" ht="18" customHeight="1" x14ac:dyDescent="0.25">
      <c r="B104" s="1" t="s">
        <v>15</v>
      </c>
      <c r="C104" s="5"/>
      <c r="D104" s="7"/>
      <c r="E104" s="1"/>
      <c r="F104" s="1"/>
    </row>
    <row r="105" spans="2:6" ht="18" customHeight="1" x14ac:dyDescent="0.25">
      <c r="B105" s="1" t="s">
        <v>15</v>
      </c>
      <c r="C105" s="5"/>
      <c r="D105" s="7"/>
      <c r="E105" s="1"/>
      <c r="F105" s="1"/>
    </row>
    <row r="106" spans="2:6" ht="18" customHeight="1" x14ac:dyDescent="0.25">
      <c r="B106" s="1" t="s">
        <v>15</v>
      </c>
      <c r="C106" s="5"/>
      <c r="D106" s="7"/>
      <c r="E106" s="1"/>
      <c r="F106" s="1"/>
    </row>
    <row r="107" spans="2:6" ht="18" customHeight="1" x14ac:dyDescent="0.25">
      <c r="B107" s="1" t="s">
        <v>7</v>
      </c>
      <c r="C107" s="5"/>
      <c r="D107" s="7"/>
      <c r="E107" s="1"/>
      <c r="F107" s="1"/>
    </row>
    <row r="108" spans="2:6" ht="18" customHeight="1" x14ac:dyDescent="0.25">
      <c r="B108" s="1" t="s">
        <v>7</v>
      </c>
      <c r="C108" s="5"/>
      <c r="D108" s="7"/>
      <c r="E108" s="1"/>
      <c r="F108" s="1"/>
    </row>
    <row r="109" spans="2:6" ht="18" customHeight="1" x14ac:dyDescent="0.25">
      <c r="B109" s="2"/>
      <c r="C109" s="5"/>
      <c r="D109" s="7"/>
      <c r="E109" s="1"/>
      <c r="F109" s="1"/>
    </row>
    <row r="110" spans="2:6" ht="18.75" x14ac:dyDescent="0.3">
      <c r="B110" s="3" t="s">
        <v>20</v>
      </c>
      <c r="C110" s="6"/>
      <c r="D110" s="7"/>
      <c r="E110" s="1"/>
      <c r="F110" s="1"/>
    </row>
  </sheetData>
  <mergeCells count="8">
    <mergeCell ref="C86:E86"/>
    <mergeCell ref="C87:E87"/>
    <mergeCell ref="C2:E2"/>
    <mergeCell ref="C3:E3"/>
    <mergeCell ref="C30:E30"/>
    <mergeCell ref="C31:E31"/>
    <mergeCell ref="C58:E58"/>
    <mergeCell ref="C59:E5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14FA0-A3A7-4DFD-B521-00CFACE52E60}">
  <dimension ref="B2:I105"/>
  <sheetViews>
    <sheetView zoomScaleNormal="100" workbookViewId="0">
      <selection activeCell="H33" sqref="H33"/>
    </sheetView>
  </sheetViews>
  <sheetFormatPr baseColWidth="10" defaultRowHeight="15" x14ac:dyDescent="0.25"/>
  <cols>
    <col min="2" max="2" width="13.85546875" customWidth="1"/>
    <col min="3" max="4" width="9.7109375" customWidth="1"/>
    <col min="5" max="6" width="13.85546875" customWidth="1"/>
    <col min="8" max="8" width="14.28515625" customWidth="1"/>
  </cols>
  <sheetData>
    <row r="2" spans="2:9" ht="15.75" x14ac:dyDescent="0.25">
      <c r="C2" s="43" t="s">
        <v>22</v>
      </c>
      <c r="D2" s="43"/>
      <c r="E2" s="43"/>
    </row>
    <row r="3" spans="2:9" ht="15.75" x14ac:dyDescent="0.25">
      <c r="C3" s="43" t="s">
        <v>23</v>
      </c>
      <c r="D3" s="43"/>
      <c r="E3" s="43"/>
    </row>
    <row r="4" spans="2:9" ht="15.75" thickBot="1" x14ac:dyDescent="0.3"/>
    <row r="5" spans="2:9" ht="19.5" thickBot="1" x14ac:dyDescent="0.35">
      <c r="B5" s="4" t="s">
        <v>0</v>
      </c>
      <c r="C5" s="4" t="s">
        <v>16</v>
      </c>
      <c r="D5" s="4" t="s">
        <v>1</v>
      </c>
      <c r="E5" s="4" t="s">
        <v>2</v>
      </c>
      <c r="F5" s="4" t="s">
        <v>17</v>
      </c>
      <c r="H5" s="12" t="s">
        <v>65</v>
      </c>
      <c r="I5" s="11">
        <f>SUM(C14+C39+C89+C105)</f>
        <v>49</v>
      </c>
    </row>
    <row r="6" spans="2:9" ht="18" customHeight="1" thickBot="1" x14ac:dyDescent="0.35">
      <c r="B6" s="1" t="s">
        <v>5</v>
      </c>
      <c r="C6" s="5">
        <v>1</v>
      </c>
      <c r="D6" s="7">
        <v>48</v>
      </c>
      <c r="E6" s="10" t="s">
        <v>4</v>
      </c>
      <c r="F6" s="10" t="s">
        <v>60</v>
      </c>
      <c r="H6" s="12" t="s">
        <v>66</v>
      </c>
      <c r="I6" s="11">
        <f>AVERAGE(D14,D39,D65,D89,D105)</f>
        <v>36.022619047619045</v>
      </c>
    </row>
    <row r="7" spans="2:9" ht="18" customHeight="1" x14ac:dyDescent="0.25">
      <c r="B7" s="1" t="s">
        <v>5</v>
      </c>
      <c r="C7" s="5">
        <v>1</v>
      </c>
      <c r="D7" s="7">
        <v>48</v>
      </c>
      <c r="E7" s="10" t="s">
        <v>4</v>
      </c>
      <c r="F7" s="10" t="s">
        <v>60</v>
      </c>
    </row>
    <row r="8" spans="2:9" ht="18" customHeight="1" x14ac:dyDescent="0.25">
      <c r="B8" s="1" t="s">
        <v>5</v>
      </c>
      <c r="C8" s="5">
        <v>1</v>
      </c>
      <c r="D8" s="7">
        <v>48</v>
      </c>
      <c r="E8" s="10" t="s">
        <v>4</v>
      </c>
      <c r="F8" s="10" t="s">
        <v>60</v>
      </c>
    </row>
    <row r="9" spans="2:9" ht="18" customHeight="1" x14ac:dyDescent="0.25">
      <c r="B9" s="1" t="s">
        <v>9</v>
      </c>
      <c r="C9" s="5">
        <v>1</v>
      </c>
      <c r="D9" s="7">
        <v>50</v>
      </c>
      <c r="E9" s="10" t="s">
        <v>10</v>
      </c>
      <c r="F9" s="10" t="s">
        <v>58</v>
      </c>
    </row>
    <row r="10" spans="2:9" ht="18" customHeight="1" x14ac:dyDescent="0.25">
      <c r="B10" s="1" t="s">
        <v>14</v>
      </c>
      <c r="C10" s="5">
        <v>1</v>
      </c>
      <c r="D10" s="7">
        <v>50</v>
      </c>
      <c r="E10" s="10" t="s">
        <v>8</v>
      </c>
      <c r="F10" s="10" t="s">
        <v>58</v>
      </c>
    </row>
    <row r="11" spans="2:9" ht="18" customHeight="1" x14ac:dyDescent="0.25">
      <c r="B11" s="1" t="s">
        <v>15</v>
      </c>
      <c r="C11" s="5">
        <v>1</v>
      </c>
      <c r="D11" s="7">
        <v>50</v>
      </c>
      <c r="E11" s="10" t="s">
        <v>10</v>
      </c>
      <c r="F11" s="10" t="s">
        <v>58</v>
      </c>
    </row>
    <row r="12" spans="2:9" ht="18" customHeight="1" x14ac:dyDescent="0.25">
      <c r="B12" s="1" t="s">
        <v>15</v>
      </c>
      <c r="C12" s="5">
        <v>1</v>
      </c>
      <c r="D12" s="7">
        <v>50</v>
      </c>
      <c r="E12" s="10" t="s">
        <v>8</v>
      </c>
      <c r="F12" s="10" t="s">
        <v>58</v>
      </c>
    </row>
    <row r="13" spans="2:9" ht="18" customHeight="1" thickBot="1" x14ac:dyDescent="0.3">
      <c r="B13" s="1" t="s">
        <v>7</v>
      </c>
      <c r="C13" s="14">
        <v>1</v>
      </c>
      <c r="D13" s="15">
        <v>50</v>
      </c>
      <c r="E13" s="16" t="s">
        <v>8</v>
      </c>
      <c r="F13" s="16" t="s">
        <v>58</v>
      </c>
    </row>
    <row r="14" spans="2:9" ht="17.25" customHeight="1" thickBot="1" x14ac:dyDescent="0.35">
      <c r="B14" s="13" t="s">
        <v>20</v>
      </c>
      <c r="C14" s="17">
        <f>SUM(C6:C13)</f>
        <v>8</v>
      </c>
      <c r="D14" s="18">
        <f>AVERAGE(D6:D13)</f>
        <v>49.25</v>
      </c>
      <c r="E14" s="19">
        <v>1.9</v>
      </c>
      <c r="F14" s="20">
        <v>41.8</v>
      </c>
    </row>
    <row r="16" spans="2:9" ht="15.75" x14ac:dyDescent="0.25">
      <c r="C16" s="43" t="s">
        <v>24</v>
      </c>
      <c r="D16" s="43"/>
      <c r="E16" s="43"/>
    </row>
    <row r="17" spans="2:6" ht="15.75" x14ac:dyDescent="0.25">
      <c r="C17" s="43" t="s">
        <v>25</v>
      </c>
      <c r="D17" s="43"/>
      <c r="E17" s="43"/>
    </row>
    <row r="19" spans="2:6" ht="18" customHeight="1" x14ac:dyDescent="0.25">
      <c r="B19" s="4" t="s">
        <v>0</v>
      </c>
      <c r="C19" s="4" t="s">
        <v>16</v>
      </c>
      <c r="D19" s="4" t="s">
        <v>1</v>
      </c>
      <c r="E19" s="4" t="s">
        <v>2</v>
      </c>
      <c r="F19" s="4" t="s">
        <v>17</v>
      </c>
    </row>
    <row r="20" spans="2:6" ht="18" customHeight="1" x14ac:dyDescent="0.25">
      <c r="B20" s="8" t="s">
        <v>3</v>
      </c>
      <c r="C20" s="5">
        <v>1</v>
      </c>
      <c r="D20" s="7">
        <v>40</v>
      </c>
      <c r="E20" s="10" t="s">
        <v>6</v>
      </c>
      <c r="F20" s="10" t="s">
        <v>58</v>
      </c>
    </row>
    <row r="21" spans="2:6" ht="18" customHeight="1" x14ac:dyDescent="0.25">
      <c r="B21" s="8" t="s">
        <v>5</v>
      </c>
      <c r="C21" s="5">
        <v>1</v>
      </c>
      <c r="D21" s="7">
        <v>40</v>
      </c>
      <c r="E21" s="10" t="s">
        <v>4</v>
      </c>
      <c r="F21" s="10" t="s">
        <v>60</v>
      </c>
    </row>
    <row r="22" spans="2:6" ht="18" customHeight="1" x14ac:dyDescent="0.25">
      <c r="B22" s="8" t="s">
        <v>5</v>
      </c>
      <c r="C22" s="5">
        <v>1</v>
      </c>
      <c r="D22" s="7">
        <v>40</v>
      </c>
      <c r="E22" s="10" t="s">
        <v>4</v>
      </c>
      <c r="F22" s="10" t="s">
        <v>60</v>
      </c>
    </row>
    <row r="23" spans="2:6" ht="18" customHeight="1" x14ac:dyDescent="0.25">
      <c r="B23" s="8" t="s">
        <v>5</v>
      </c>
      <c r="C23" s="5">
        <v>1</v>
      </c>
      <c r="D23" s="7">
        <v>40</v>
      </c>
      <c r="E23" s="10" t="s">
        <v>4</v>
      </c>
      <c r="F23" s="10" t="s">
        <v>60</v>
      </c>
    </row>
    <row r="24" spans="2:6" ht="18" customHeight="1" x14ac:dyDescent="0.25">
      <c r="B24" s="8" t="s">
        <v>5</v>
      </c>
      <c r="C24" s="5">
        <v>1</v>
      </c>
      <c r="D24" s="7">
        <v>40</v>
      </c>
      <c r="E24" s="10" t="s">
        <v>4</v>
      </c>
      <c r="F24" s="10" t="s">
        <v>60</v>
      </c>
    </row>
    <row r="25" spans="2:6" ht="18" customHeight="1" x14ac:dyDescent="0.25">
      <c r="B25" s="8" t="s">
        <v>9</v>
      </c>
      <c r="C25" s="5">
        <v>1</v>
      </c>
      <c r="D25" s="7">
        <v>40</v>
      </c>
      <c r="E25" s="10" t="s">
        <v>13</v>
      </c>
      <c r="F25" s="10" t="s">
        <v>58</v>
      </c>
    </row>
    <row r="26" spans="2:6" ht="18" customHeight="1" x14ac:dyDescent="0.25">
      <c r="B26" s="8" t="s">
        <v>9</v>
      </c>
      <c r="C26" s="5">
        <v>1</v>
      </c>
      <c r="D26" s="7">
        <v>40</v>
      </c>
      <c r="E26" s="10" t="s">
        <v>13</v>
      </c>
      <c r="F26" s="10" t="s">
        <v>58</v>
      </c>
    </row>
    <row r="27" spans="2:6" ht="18" customHeight="1" x14ac:dyDescent="0.25">
      <c r="B27" s="8" t="s">
        <v>9</v>
      </c>
      <c r="C27" s="5">
        <v>1</v>
      </c>
      <c r="D27" s="7">
        <v>40</v>
      </c>
      <c r="E27" s="10" t="s">
        <v>13</v>
      </c>
      <c r="F27" s="10" t="s">
        <v>58</v>
      </c>
    </row>
    <row r="28" spans="2:6" ht="18" customHeight="1" x14ac:dyDescent="0.25">
      <c r="B28" s="8" t="s">
        <v>9</v>
      </c>
      <c r="C28" s="5">
        <v>1</v>
      </c>
      <c r="D28" s="7">
        <v>40</v>
      </c>
      <c r="E28" s="10" t="s">
        <v>13</v>
      </c>
      <c r="F28" s="10" t="s">
        <v>58</v>
      </c>
    </row>
    <row r="29" spans="2:6" ht="18" customHeight="1" x14ac:dyDescent="0.25">
      <c r="B29" s="8" t="s">
        <v>12</v>
      </c>
      <c r="C29" s="5">
        <v>1</v>
      </c>
      <c r="D29" s="7">
        <v>40</v>
      </c>
      <c r="E29" s="10" t="s">
        <v>11</v>
      </c>
      <c r="F29" s="10" t="s">
        <v>58</v>
      </c>
    </row>
    <row r="30" spans="2:6" ht="18" customHeight="1" x14ac:dyDescent="0.25">
      <c r="B30" s="8" t="s">
        <v>12</v>
      </c>
      <c r="C30" s="5">
        <v>1</v>
      </c>
      <c r="D30" s="7">
        <v>40</v>
      </c>
      <c r="E30" s="10" t="s">
        <v>11</v>
      </c>
      <c r="F30" s="10" t="s">
        <v>58</v>
      </c>
    </row>
    <row r="31" spans="2:6" ht="18" customHeight="1" x14ac:dyDescent="0.25">
      <c r="B31" s="8" t="s">
        <v>12</v>
      </c>
      <c r="C31" s="5">
        <v>1</v>
      </c>
      <c r="D31" s="7">
        <v>40</v>
      </c>
      <c r="E31" s="10" t="s">
        <v>8</v>
      </c>
      <c r="F31" s="10" t="s">
        <v>58</v>
      </c>
    </row>
    <row r="32" spans="2:6" ht="18" customHeight="1" x14ac:dyDescent="0.25">
      <c r="B32" s="8" t="s">
        <v>14</v>
      </c>
      <c r="C32" s="5">
        <v>1</v>
      </c>
      <c r="D32" s="7">
        <v>40</v>
      </c>
      <c r="E32" s="10" t="s">
        <v>8</v>
      </c>
      <c r="F32" s="10" t="s">
        <v>58</v>
      </c>
    </row>
    <row r="33" spans="2:6" ht="18" customHeight="1" x14ac:dyDescent="0.25">
      <c r="B33" s="8" t="s">
        <v>14</v>
      </c>
      <c r="C33" s="5">
        <v>1</v>
      </c>
      <c r="D33" s="7">
        <v>40</v>
      </c>
      <c r="E33" s="10" t="s">
        <v>8</v>
      </c>
      <c r="F33" s="10" t="s">
        <v>58</v>
      </c>
    </row>
    <row r="34" spans="2:6" ht="18" customHeight="1" x14ac:dyDescent="0.25">
      <c r="B34" s="8" t="s">
        <v>14</v>
      </c>
      <c r="C34" s="5">
        <v>1</v>
      </c>
      <c r="D34" s="7">
        <v>40</v>
      </c>
      <c r="E34" s="10" t="s">
        <v>8</v>
      </c>
      <c r="F34" s="10" t="s">
        <v>58</v>
      </c>
    </row>
    <row r="35" spans="2:6" ht="18" customHeight="1" x14ac:dyDescent="0.25">
      <c r="B35" s="8" t="s">
        <v>15</v>
      </c>
      <c r="C35" s="5">
        <v>1</v>
      </c>
      <c r="D35" s="7">
        <v>40</v>
      </c>
      <c r="E35" s="10" t="s">
        <v>8</v>
      </c>
      <c r="F35" s="10" t="s">
        <v>58</v>
      </c>
    </row>
    <row r="36" spans="2:6" ht="18" customHeight="1" x14ac:dyDescent="0.25">
      <c r="B36" s="8" t="s">
        <v>15</v>
      </c>
      <c r="C36" s="5">
        <v>1</v>
      </c>
      <c r="D36" s="7">
        <v>40</v>
      </c>
      <c r="E36" s="10" t="s">
        <v>8</v>
      </c>
      <c r="F36" s="10" t="s">
        <v>58</v>
      </c>
    </row>
    <row r="37" spans="2:6" ht="18" customHeight="1" x14ac:dyDescent="0.25">
      <c r="B37" s="8" t="s">
        <v>7</v>
      </c>
      <c r="C37" s="5">
        <v>1</v>
      </c>
      <c r="D37" s="7">
        <v>43</v>
      </c>
      <c r="E37" s="10" t="s">
        <v>8</v>
      </c>
      <c r="F37" s="10" t="s">
        <v>58</v>
      </c>
    </row>
    <row r="38" spans="2:6" ht="18" customHeight="1" thickBot="1" x14ac:dyDescent="0.3">
      <c r="B38" s="2"/>
      <c r="C38" s="14"/>
      <c r="D38" s="15"/>
      <c r="E38" s="16"/>
      <c r="F38" s="16"/>
    </row>
    <row r="39" spans="2:6" ht="19.5" thickBot="1" x14ac:dyDescent="0.35">
      <c r="B39" s="13" t="s">
        <v>20</v>
      </c>
      <c r="C39" s="21">
        <f>SUM(C20:C38)</f>
        <v>18</v>
      </c>
      <c r="D39" s="22">
        <f>AVERAGE(D20:D38)</f>
        <v>40.166666666666664</v>
      </c>
      <c r="E39" s="19">
        <v>1.26</v>
      </c>
      <c r="F39" s="23">
        <v>27.7</v>
      </c>
    </row>
    <row r="43" spans="2:6" ht="15.75" x14ac:dyDescent="0.25">
      <c r="C43" s="43" t="s">
        <v>26</v>
      </c>
      <c r="D43" s="43"/>
      <c r="E43" s="43"/>
    </row>
    <row r="44" spans="2:6" ht="15.75" x14ac:dyDescent="0.25">
      <c r="C44" s="43" t="s">
        <v>27</v>
      </c>
      <c r="D44" s="43"/>
      <c r="E44" s="43"/>
    </row>
    <row r="46" spans="2:6" ht="15.75" x14ac:dyDescent="0.25">
      <c r="B46" s="4" t="s">
        <v>0</v>
      </c>
      <c r="C46" s="4" t="s">
        <v>16</v>
      </c>
      <c r="D46" s="4" t="s">
        <v>1</v>
      </c>
      <c r="E46" s="4" t="s">
        <v>2</v>
      </c>
      <c r="F46" s="4" t="s">
        <v>17</v>
      </c>
    </row>
    <row r="47" spans="2:6" ht="18" customHeight="1" x14ac:dyDescent="0.25">
      <c r="B47" s="1" t="s">
        <v>3</v>
      </c>
      <c r="C47" s="5">
        <v>1</v>
      </c>
      <c r="D47" s="7">
        <v>32</v>
      </c>
      <c r="E47" s="10" t="s">
        <v>8</v>
      </c>
      <c r="F47" s="10" t="s">
        <v>58</v>
      </c>
    </row>
    <row r="48" spans="2:6" ht="18" customHeight="1" x14ac:dyDescent="0.25">
      <c r="B48" s="1" t="s">
        <v>5</v>
      </c>
      <c r="C48" s="5">
        <v>1</v>
      </c>
      <c r="D48" s="7">
        <v>32</v>
      </c>
      <c r="E48" s="10" t="s">
        <v>13</v>
      </c>
      <c r="F48" s="10" t="s">
        <v>60</v>
      </c>
    </row>
    <row r="49" spans="2:6" ht="18" customHeight="1" x14ac:dyDescent="0.25">
      <c r="B49" s="1" t="s">
        <v>5</v>
      </c>
      <c r="C49" s="5">
        <v>1</v>
      </c>
      <c r="D49" s="7">
        <v>32</v>
      </c>
      <c r="E49" s="10" t="s">
        <v>13</v>
      </c>
      <c r="F49" s="10" t="s">
        <v>60</v>
      </c>
    </row>
    <row r="50" spans="2:6" ht="18" customHeight="1" x14ac:dyDescent="0.25">
      <c r="B50" s="1" t="s">
        <v>5</v>
      </c>
      <c r="C50" s="5">
        <v>1</v>
      </c>
      <c r="D50" s="7">
        <v>32</v>
      </c>
      <c r="E50" s="10" t="s">
        <v>13</v>
      </c>
      <c r="F50" s="10" t="s">
        <v>60</v>
      </c>
    </row>
    <row r="51" spans="2:6" ht="18" customHeight="1" x14ac:dyDescent="0.25">
      <c r="B51" s="1" t="s">
        <v>5</v>
      </c>
      <c r="C51" s="5">
        <v>1</v>
      </c>
      <c r="D51" s="7">
        <v>32</v>
      </c>
      <c r="E51" s="10" t="s">
        <v>13</v>
      </c>
      <c r="F51" s="10" t="s">
        <v>60</v>
      </c>
    </row>
    <row r="52" spans="2:6" ht="18" customHeight="1" x14ac:dyDescent="0.25">
      <c r="B52" s="1" t="s">
        <v>9</v>
      </c>
      <c r="C52" s="5">
        <v>1</v>
      </c>
      <c r="D52" s="7">
        <v>32</v>
      </c>
      <c r="E52" s="10" t="s">
        <v>6</v>
      </c>
      <c r="F52" s="10" t="s">
        <v>58</v>
      </c>
    </row>
    <row r="53" spans="2:6" ht="18" customHeight="1" x14ac:dyDescent="0.25">
      <c r="B53" s="1" t="s">
        <v>9</v>
      </c>
      <c r="C53" s="5">
        <v>1</v>
      </c>
      <c r="D53" s="7">
        <v>32</v>
      </c>
      <c r="E53" s="10" t="s">
        <v>6</v>
      </c>
      <c r="F53" s="10" t="s">
        <v>58</v>
      </c>
    </row>
    <row r="54" spans="2:6" ht="18" customHeight="1" x14ac:dyDescent="0.25">
      <c r="B54" s="1" t="s">
        <v>9</v>
      </c>
      <c r="C54" s="5">
        <v>1</v>
      </c>
      <c r="D54" s="7">
        <v>32</v>
      </c>
      <c r="E54" s="10" t="s">
        <v>6</v>
      </c>
      <c r="F54" s="10" t="s">
        <v>58</v>
      </c>
    </row>
    <row r="55" spans="2:6" ht="18" customHeight="1" x14ac:dyDescent="0.25">
      <c r="B55" s="1" t="s">
        <v>9</v>
      </c>
      <c r="C55" s="5">
        <v>1</v>
      </c>
      <c r="D55" s="7">
        <v>32</v>
      </c>
      <c r="E55" s="10" t="s">
        <v>6</v>
      </c>
      <c r="F55" s="10" t="s">
        <v>58</v>
      </c>
    </row>
    <row r="56" spans="2:6" ht="18" customHeight="1" x14ac:dyDescent="0.25">
      <c r="B56" s="1" t="s">
        <v>9</v>
      </c>
      <c r="C56" s="5">
        <v>1</v>
      </c>
      <c r="D56" s="7">
        <v>32</v>
      </c>
      <c r="E56" s="10" t="s">
        <v>8</v>
      </c>
      <c r="F56" s="10" t="s">
        <v>58</v>
      </c>
    </row>
    <row r="57" spans="2:6" ht="18" customHeight="1" x14ac:dyDescent="0.25">
      <c r="B57" s="1" t="s">
        <v>9</v>
      </c>
      <c r="C57" s="5">
        <v>1</v>
      </c>
      <c r="D57" s="7">
        <v>32</v>
      </c>
      <c r="E57" s="10" t="s">
        <v>11</v>
      </c>
      <c r="F57" s="10" t="s">
        <v>58</v>
      </c>
    </row>
    <row r="58" spans="2:6" ht="18" customHeight="1" x14ac:dyDescent="0.25">
      <c r="B58" s="1" t="s">
        <v>12</v>
      </c>
      <c r="C58" s="5">
        <v>1</v>
      </c>
      <c r="D58" s="7">
        <v>32</v>
      </c>
      <c r="E58" s="10" t="s">
        <v>11</v>
      </c>
      <c r="F58" s="10" t="s">
        <v>58</v>
      </c>
    </row>
    <row r="59" spans="2:6" ht="18" customHeight="1" x14ac:dyDescent="0.25">
      <c r="B59" s="1" t="s">
        <v>12</v>
      </c>
      <c r="C59" s="5">
        <v>1</v>
      </c>
      <c r="D59" s="7">
        <v>32</v>
      </c>
      <c r="E59" s="10" t="s">
        <v>11</v>
      </c>
      <c r="F59" s="10" t="s">
        <v>58</v>
      </c>
    </row>
    <row r="60" spans="2:6" ht="18" customHeight="1" x14ac:dyDescent="0.25">
      <c r="B60" s="1" t="s">
        <v>14</v>
      </c>
      <c r="C60" s="5">
        <v>1</v>
      </c>
      <c r="D60" s="7">
        <v>32</v>
      </c>
      <c r="E60" s="10" t="s">
        <v>8</v>
      </c>
      <c r="F60" s="10" t="s">
        <v>58</v>
      </c>
    </row>
    <row r="61" spans="2:6" ht="18" customHeight="1" x14ac:dyDescent="0.25">
      <c r="B61" s="1" t="s">
        <v>14</v>
      </c>
      <c r="C61" s="5">
        <v>1</v>
      </c>
      <c r="D61" s="7">
        <v>32</v>
      </c>
      <c r="E61" s="10" t="s">
        <v>8</v>
      </c>
      <c r="F61" s="10" t="s">
        <v>58</v>
      </c>
    </row>
    <row r="62" spans="2:6" ht="18" customHeight="1" x14ac:dyDescent="0.25">
      <c r="B62" s="1" t="s">
        <v>14</v>
      </c>
      <c r="C62" s="5">
        <v>1</v>
      </c>
      <c r="D62" s="7">
        <v>32</v>
      </c>
      <c r="E62" s="10" t="s">
        <v>8</v>
      </c>
      <c r="F62" s="10" t="s">
        <v>58</v>
      </c>
    </row>
    <row r="63" spans="2:6" ht="18" customHeight="1" x14ac:dyDescent="0.25">
      <c r="B63" s="1" t="s">
        <v>15</v>
      </c>
      <c r="C63" s="5">
        <v>1</v>
      </c>
      <c r="D63" s="7">
        <v>32</v>
      </c>
      <c r="E63" s="10" t="s">
        <v>8</v>
      </c>
      <c r="F63" s="10" t="s">
        <v>58</v>
      </c>
    </row>
    <row r="64" spans="2:6" ht="18" customHeight="1" thickBot="1" x14ac:dyDescent="0.3">
      <c r="B64" s="2"/>
      <c r="C64" s="14"/>
      <c r="D64" s="15"/>
      <c r="E64" s="16"/>
      <c r="F64" s="16"/>
    </row>
    <row r="65" spans="2:6" ht="19.5" thickBot="1" x14ac:dyDescent="0.35">
      <c r="B65" s="13" t="s">
        <v>20</v>
      </c>
      <c r="C65" s="24">
        <f>SUM(C47:C64)</f>
        <v>17</v>
      </c>
      <c r="D65" s="25">
        <f>AVERAGE(D47:D63)</f>
        <v>32</v>
      </c>
      <c r="E65" s="19">
        <v>1.17</v>
      </c>
      <c r="F65" s="23">
        <v>25.74</v>
      </c>
    </row>
    <row r="69" spans="2:6" ht="15.75" x14ac:dyDescent="0.25">
      <c r="C69" s="43" t="s">
        <v>28</v>
      </c>
      <c r="D69" s="43"/>
      <c r="E69" s="43"/>
    </row>
    <row r="70" spans="2:6" ht="15.75" x14ac:dyDescent="0.25">
      <c r="C70" s="43" t="s">
        <v>29</v>
      </c>
      <c r="D70" s="43"/>
      <c r="E70" s="43"/>
    </row>
    <row r="72" spans="2:6" ht="15.75" x14ac:dyDescent="0.25">
      <c r="B72" s="4" t="s">
        <v>0</v>
      </c>
      <c r="C72" s="4" t="s">
        <v>16</v>
      </c>
      <c r="D72" s="4" t="s">
        <v>1</v>
      </c>
      <c r="E72" s="4" t="s">
        <v>2</v>
      </c>
      <c r="F72" s="4" t="s">
        <v>17</v>
      </c>
    </row>
    <row r="73" spans="2:6" ht="18" customHeight="1" x14ac:dyDescent="0.25">
      <c r="B73" s="1" t="s">
        <v>3</v>
      </c>
      <c r="C73" s="5">
        <v>1</v>
      </c>
      <c r="D73" s="7">
        <v>30</v>
      </c>
      <c r="E73" s="10" t="s">
        <v>8</v>
      </c>
      <c r="F73" s="10" t="s">
        <v>58</v>
      </c>
    </row>
    <row r="74" spans="2:6" ht="18" customHeight="1" x14ac:dyDescent="0.25">
      <c r="B74" s="1" t="s">
        <v>5</v>
      </c>
      <c r="C74" s="5">
        <v>1</v>
      </c>
      <c r="D74" s="7">
        <v>30</v>
      </c>
      <c r="E74" s="10" t="s">
        <v>59</v>
      </c>
      <c r="F74" s="10" t="s">
        <v>60</v>
      </c>
    </row>
    <row r="75" spans="2:6" ht="18" customHeight="1" x14ac:dyDescent="0.25">
      <c r="B75" s="1" t="s">
        <v>5</v>
      </c>
      <c r="C75" s="5">
        <v>1</v>
      </c>
      <c r="D75" s="7">
        <v>30</v>
      </c>
      <c r="E75" s="10" t="s">
        <v>59</v>
      </c>
      <c r="F75" s="10" t="s">
        <v>60</v>
      </c>
    </row>
    <row r="76" spans="2:6" ht="18" customHeight="1" x14ac:dyDescent="0.25">
      <c r="B76" s="1" t="s">
        <v>5</v>
      </c>
      <c r="C76" s="5">
        <v>1</v>
      </c>
      <c r="D76" s="7">
        <v>30</v>
      </c>
      <c r="E76" s="10" t="s">
        <v>59</v>
      </c>
      <c r="F76" s="10" t="s">
        <v>60</v>
      </c>
    </row>
    <row r="77" spans="2:6" ht="18" customHeight="1" x14ac:dyDescent="0.25">
      <c r="B77" s="1" t="s">
        <v>5</v>
      </c>
      <c r="C77" s="5">
        <v>1</v>
      </c>
      <c r="D77" s="7">
        <v>30</v>
      </c>
      <c r="E77" s="10" t="s">
        <v>59</v>
      </c>
      <c r="F77" s="10" t="s">
        <v>60</v>
      </c>
    </row>
    <row r="78" spans="2:6" ht="18" customHeight="1" x14ac:dyDescent="0.25">
      <c r="B78" s="1" t="s">
        <v>5</v>
      </c>
      <c r="C78" s="5">
        <v>1</v>
      </c>
      <c r="D78" s="7">
        <v>30</v>
      </c>
      <c r="E78" s="10" t="s">
        <v>59</v>
      </c>
      <c r="F78" s="10" t="s">
        <v>60</v>
      </c>
    </row>
    <row r="79" spans="2:6" ht="18" customHeight="1" x14ac:dyDescent="0.25">
      <c r="B79" s="1" t="s">
        <v>9</v>
      </c>
      <c r="C79" s="5">
        <v>1</v>
      </c>
      <c r="D79" s="7">
        <v>30</v>
      </c>
      <c r="E79" s="10" t="s">
        <v>8</v>
      </c>
      <c r="F79" s="10" t="s">
        <v>58</v>
      </c>
    </row>
    <row r="80" spans="2:6" ht="18" customHeight="1" x14ac:dyDescent="0.25">
      <c r="B80" s="1" t="s">
        <v>9</v>
      </c>
      <c r="C80" s="5">
        <v>1</v>
      </c>
      <c r="D80" s="7">
        <v>30</v>
      </c>
      <c r="E80" s="10" t="s">
        <v>8</v>
      </c>
      <c r="F80" s="10" t="s">
        <v>58</v>
      </c>
    </row>
    <row r="81" spans="2:6" ht="18" customHeight="1" x14ac:dyDescent="0.25">
      <c r="B81" s="1" t="s">
        <v>9</v>
      </c>
      <c r="C81" s="5">
        <v>1</v>
      </c>
      <c r="D81" s="7">
        <v>30</v>
      </c>
      <c r="E81" s="10" t="s">
        <v>8</v>
      </c>
      <c r="F81" s="10" t="s">
        <v>58</v>
      </c>
    </row>
    <row r="82" spans="2:6" ht="18" customHeight="1" x14ac:dyDescent="0.25">
      <c r="B82" s="1" t="s">
        <v>9</v>
      </c>
      <c r="C82" s="5">
        <v>1</v>
      </c>
      <c r="D82" s="7">
        <v>30</v>
      </c>
      <c r="E82" s="10" t="s">
        <v>8</v>
      </c>
      <c r="F82" s="10" t="s">
        <v>58</v>
      </c>
    </row>
    <row r="83" spans="2:6" ht="18" customHeight="1" x14ac:dyDescent="0.25">
      <c r="B83" s="1" t="s">
        <v>9</v>
      </c>
      <c r="C83" s="5">
        <v>1</v>
      </c>
      <c r="D83" s="7">
        <v>30</v>
      </c>
      <c r="E83" s="10" t="s">
        <v>11</v>
      </c>
      <c r="F83" s="10" t="s">
        <v>58</v>
      </c>
    </row>
    <row r="84" spans="2:6" ht="18" customHeight="1" x14ac:dyDescent="0.25">
      <c r="B84" s="1" t="s">
        <v>12</v>
      </c>
      <c r="C84" s="5">
        <v>1</v>
      </c>
      <c r="D84" s="7">
        <v>32</v>
      </c>
      <c r="E84" s="10" t="s">
        <v>8</v>
      </c>
      <c r="F84" s="10" t="s">
        <v>58</v>
      </c>
    </row>
    <row r="85" spans="2:6" ht="18" customHeight="1" x14ac:dyDescent="0.25">
      <c r="B85" s="1" t="s">
        <v>14</v>
      </c>
      <c r="C85" s="5">
        <v>1</v>
      </c>
      <c r="D85" s="7">
        <v>30</v>
      </c>
      <c r="E85" s="10" t="s">
        <v>8</v>
      </c>
      <c r="F85" s="10" t="s">
        <v>58</v>
      </c>
    </row>
    <row r="86" spans="2:6" ht="18" customHeight="1" x14ac:dyDescent="0.25">
      <c r="B86" s="1" t="s">
        <v>14</v>
      </c>
      <c r="C86" s="5">
        <v>1</v>
      </c>
      <c r="D86" s="7">
        <v>30</v>
      </c>
      <c r="E86" s="10" t="s">
        <v>8</v>
      </c>
      <c r="F86" s="10" t="s">
        <v>58</v>
      </c>
    </row>
    <row r="87" spans="2:6" ht="18" customHeight="1" x14ac:dyDescent="0.25">
      <c r="B87" s="1" t="s">
        <v>14</v>
      </c>
      <c r="C87" s="5">
        <v>1</v>
      </c>
      <c r="D87" s="7">
        <v>30</v>
      </c>
      <c r="E87" s="10" t="s">
        <v>8</v>
      </c>
      <c r="F87" s="10" t="s">
        <v>58</v>
      </c>
    </row>
    <row r="88" spans="2:6" ht="18" customHeight="1" thickBot="1" x14ac:dyDescent="0.3">
      <c r="B88" s="1" t="s">
        <v>15</v>
      </c>
      <c r="C88" s="14">
        <v>1</v>
      </c>
      <c r="D88" s="15">
        <v>30</v>
      </c>
      <c r="E88" s="16" t="s">
        <v>8</v>
      </c>
      <c r="F88" s="16" t="s">
        <v>58</v>
      </c>
    </row>
    <row r="89" spans="2:6" ht="19.5" thickBot="1" x14ac:dyDescent="0.35">
      <c r="B89" s="13" t="s">
        <v>20</v>
      </c>
      <c r="C89" s="26">
        <f>SUM(C73:C88)</f>
        <v>16</v>
      </c>
      <c r="D89" s="27">
        <f>AVERAGE(D73:D88)</f>
        <v>30.125</v>
      </c>
      <c r="E89" s="19">
        <v>0.84</v>
      </c>
      <c r="F89" s="23">
        <v>18.48</v>
      </c>
    </row>
    <row r="93" spans="2:6" ht="15.75" x14ac:dyDescent="0.25">
      <c r="C93" s="43" t="s">
        <v>30</v>
      </c>
      <c r="D93" s="43"/>
      <c r="E93" s="43"/>
    </row>
    <row r="94" spans="2:6" ht="15.75" x14ac:dyDescent="0.25">
      <c r="C94" s="43" t="s">
        <v>31</v>
      </c>
      <c r="D94" s="43"/>
      <c r="E94" s="43"/>
    </row>
    <row r="96" spans="2:6" ht="15.75" x14ac:dyDescent="0.25">
      <c r="B96" s="4" t="s">
        <v>0</v>
      </c>
      <c r="C96" s="4" t="s">
        <v>16</v>
      </c>
      <c r="D96" s="4" t="s">
        <v>1</v>
      </c>
      <c r="E96" s="4" t="s">
        <v>2</v>
      </c>
      <c r="F96" s="4" t="s">
        <v>17</v>
      </c>
    </row>
    <row r="97" spans="2:6" ht="18" customHeight="1" x14ac:dyDescent="0.25">
      <c r="B97" s="1" t="s">
        <v>5</v>
      </c>
      <c r="C97" s="5">
        <v>1</v>
      </c>
      <c r="D97" s="7">
        <v>28</v>
      </c>
      <c r="E97" s="10" t="s">
        <v>59</v>
      </c>
      <c r="F97" s="10"/>
    </row>
    <row r="98" spans="2:6" ht="18" customHeight="1" x14ac:dyDescent="0.25">
      <c r="B98" s="1" t="s">
        <v>5</v>
      </c>
      <c r="C98" s="5">
        <v>1</v>
      </c>
      <c r="D98" s="7">
        <v>28</v>
      </c>
      <c r="E98" s="10" t="s">
        <v>59</v>
      </c>
      <c r="F98" s="10"/>
    </row>
    <row r="99" spans="2:6" ht="18" customHeight="1" x14ac:dyDescent="0.25">
      <c r="B99" s="1" t="s">
        <v>9</v>
      </c>
      <c r="C99" s="5">
        <v>1</v>
      </c>
      <c r="D99" s="7">
        <v>28</v>
      </c>
      <c r="E99" s="10" t="s">
        <v>11</v>
      </c>
      <c r="F99" s="10"/>
    </row>
    <row r="100" spans="2:6" ht="18" customHeight="1" x14ac:dyDescent="0.25">
      <c r="B100" s="1" t="s">
        <v>9</v>
      </c>
      <c r="C100" s="5">
        <v>1</v>
      </c>
      <c r="D100" s="7">
        <v>28</v>
      </c>
      <c r="E100" s="10" t="s">
        <v>8</v>
      </c>
      <c r="F100" s="10"/>
    </row>
    <row r="101" spans="2:6" ht="18" customHeight="1" x14ac:dyDescent="0.25">
      <c r="B101" s="1" t="s">
        <v>9</v>
      </c>
      <c r="C101" s="5">
        <v>1</v>
      </c>
      <c r="D101" s="7">
        <v>28</v>
      </c>
      <c r="E101" s="10" t="s">
        <v>6</v>
      </c>
      <c r="F101" s="10"/>
    </row>
    <row r="102" spans="2:6" ht="18" customHeight="1" x14ac:dyDescent="0.25">
      <c r="B102" s="1" t="s">
        <v>21</v>
      </c>
      <c r="C102" s="5">
        <v>1</v>
      </c>
      <c r="D102" s="7">
        <v>30</v>
      </c>
      <c r="E102" s="10" t="s">
        <v>8</v>
      </c>
      <c r="F102" s="10"/>
    </row>
    <row r="103" spans="2:6" ht="18" customHeight="1" x14ac:dyDescent="0.25">
      <c r="B103" s="1" t="s">
        <v>14</v>
      </c>
      <c r="C103" s="5">
        <v>1</v>
      </c>
      <c r="D103" s="7">
        <v>30</v>
      </c>
      <c r="E103" s="10" t="s">
        <v>8</v>
      </c>
      <c r="F103" s="10"/>
    </row>
    <row r="104" spans="2:6" ht="18" customHeight="1" thickBot="1" x14ac:dyDescent="0.3">
      <c r="B104" s="1" t="s">
        <v>14</v>
      </c>
      <c r="C104" s="14"/>
      <c r="D104" s="15"/>
      <c r="E104" s="16"/>
      <c r="F104" s="16"/>
    </row>
    <row r="105" spans="2:6" ht="19.5" thickBot="1" x14ac:dyDescent="0.35">
      <c r="B105" s="13" t="s">
        <v>20</v>
      </c>
      <c r="C105" s="28">
        <f>SUM(C97:C104)</f>
        <v>7</v>
      </c>
      <c r="D105" s="29">
        <f>AVERAGE(D97:D104)</f>
        <v>28.571428571428573</v>
      </c>
      <c r="E105" s="19">
        <v>0.68</v>
      </c>
      <c r="F105" s="23">
        <v>14.96</v>
      </c>
    </row>
  </sheetData>
  <mergeCells count="10">
    <mergeCell ref="C2:E2"/>
    <mergeCell ref="C3:E3"/>
    <mergeCell ref="C93:E93"/>
    <mergeCell ref="C94:E94"/>
    <mergeCell ref="C16:E16"/>
    <mergeCell ref="C17:E17"/>
    <mergeCell ref="C43:E43"/>
    <mergeCell ref="C44:E44"/>
    <mergeCell ref="C69:E69"/>
    <mergeCell ref="C70:E7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AF804-7B00-4705-AB7C-4C0F7A78B679}">
  <dimension ref="B2:I82"/>
  <sheetViews>
    <sheetView topLeftCell="A67" zoomScaleNormal="100" workbookViewId="0">
      <selection activeCell="B56" sqref="B56"/>
    </sheetView>
  </sheetViews>
  <sheetFormatPr baseColWidth="10" defaultRowHeight="15" x14ac:dyDescent="0.25"/>
  <cols>
    <col min="2" max="2" width="13.85546875" customWidth="1"/>
    <col min="3" max="4" width="9.7109375" customWidth="1"/>
    <col min="5" max="6" width="13.85546875" customWidth="1"/>
    <col min="8" max="8" width="15.5703125" customWidth="1"/>
  </cols>
  <sheetData>
    <row r="2" spans="2:9" ht="15.75" x14ac:dyDescent="0.25">
      <c r="C2" s="43" t="s">
        <v>32</v>
      </c>
      <c r="D2" s="43"/>
      <c r="E2" s="43"/>
    </row>
    <row r="3" spans="2:9" ht="15.75" x14ac:dyDescent="0.25">
      <c r="C3" s="43" t="s">
        <v>33</v>
      </c>
      <c r="D3" s="43"/>
      <c r="E3" s="43"/>
    </row>
    <row r="4" spans="2:9" ht="15.75" thickBot="1" x14ac:dyDescent="0.3"/>
    <row r="5" spans="2:9" ht="18" customHeight="1" thickBot="1" x14ac:dyDescent="0.35">
      <c r="B5" s="4" t="s">
        <v>0</v>
      </c>
      <c r="C5" s="4" t="s">
        <v>16</v>
      </c>
      <c r="D5" s="4" t="s">
        <v>1</v>
      </c>
      <c r="E5" s="4" t="s">
        <v>2</v>
      </c>
      <c r="F5" s="4" t="s">
        <v>17</v>
      </c>
      <c r="H5" s="12" t="s">
        <v>65</v>
      </c>
      <c r="I5" s="11">
        <f>SUM(C20,C41,C61,C82)</f>
        <v>50</v>
      </c>
    </row>
    <row r="6" spans="2:9" ht="18" customHeight="1" thickBot="1" x14ac:dyDescent="0.35">
      <c r="B6" s="1" t="s">
        <v>3</v>
      </c>
      <c r="C6" s="5">
        <v>1</v>
      </c>
      <c r="D6" s="7">
        <v>29</v>
      </c>
      <c r="E6" s="10" t="s">
        <v>8</v>
      </c>
      <c r="F6" s="10" t="s">
        <v>58</v>
      </c>
      <c r="H6" s="12" t="s">
        <v>66</v>
      </c>
      <c r="I6" s="11">
        <f>AVERAGE(D20,D41,D61,D82)</f>
        <v>36.176282051282058</v>
      </c>
    </row>
    <row r="7" spans="2:9" ht="18" customHeight="1" x14ac:dyDescent="0.25">
      <c r="B7" s="1" t="s">
        <v>5</v>
      </c>
      <c r="C7" s="5">
        <v>1</v>
      </c>
      <c r="D7" s="7">
        <v>30</v>
      </c>
      <c r="E7" s="10" t="s">
        <v>59</v>
      </c>
      <c r="F7" s="10" t="s">
        <v>60</v>
      </c>
    </row>
    <row r="8" spans="2:9" ht="18" customHeight="1" x14ac:dyDescent="0.25">
      <c r="B8" s="1" t="s">
        <v>5</v>
      </c>
      <c r="C8" s="5">
        <v>1</v>
      </c>
      <c r="D8" s="7">
        <v>30</v>
      </c>
      <c r="E8" s="10" t="s">
        <v>59</v>
      </c>
      <c r="F8" s="10" t="s">
        <v>60</v>
      </c>
    </row>
    <row r="9" spans="2:9" ht="18" customHeight="1" x14ac:dyDescent="0.25">
      <c r="B9" s="1" t="s">
        <v>5</v>
      </c>
      <c r="C9" s="5">
        <v>1</v>
      </c>
      <c r="D9" s="7">
        <v>30</v>
      </c>
      <c r="E9" s="10" t="s">
        <v>59</v>
      </c>
      <c r="F9" s="10" t="s">
        <v>60</v>
      </c>
    </row>
    <row r="10" spans="2:9" ht="18" customHeight="1" x14ac:dyDescent="0.25">
      <c r="B10" s="1" t="s">
        <v>5</v>
      </c>
      <c r="C10" s="5">
        <v>1</v>
      </c>
      <c r="D10" s="7">
        <v>30</v>
      </c>
      <c r="E10" s="10" t="s">
        <v>59</v>
      </c>
      <c r="F10" s="10" t="s">
        <v>60</v>
      </c>
    </row>
    <row r="11" spans="2:9" ht="18" customHeight="1" x14ac:dyDescent="0.25">
      <c r="B11" s="1" t="s">
        <v>5</v>
      </c>
      <c r="C11" s="5">
        <v>1</v>
      </c>
      <c r="D11" s="7">
        <v>30</v>
      </c>
      <c r="E11" s="10" t="s">
        <v>59</v>
      </c>
      <c r="F11" s="10" t="s">
        <v>60</v>
      </c>
    </row>
    <row r="12" spans="2:9" ht="18" customHeight="1" x14ac:dyDescent="0.25">
      <c r="B12" s="1" t="s">
        <v>74</v>
      </c>
      <c r="C12" s="5">
        <v>1</v>
      </c>
      <c r="D12" s="7">
        <v>30</v>
      </c>
      <c r="E12" s="10" t="s">
        <v>8</v>
      </c>
      <c r="F12" s="10" t="s">
        <v>58</v>
      </c>
    </row>
    <row r="13" spans="2:9" ht="18" customHeight="1" x14ac:dyDescent="0.25">
      <c r="B13" s="1" t="s">
        <v>9</v>
      </c>
      <c r="C13" s="5">
        <v>1</v>
      </c>
      <c r="D13" s="7">
        <v>28</v>
      </c>
      <c r="E13" s="10" t="s">
        <v>61</v>
      </c>
      <c r="F13" s="10" t="s">
        <v>58</v>
      </c>
    </row>
    <row r="14" spans="2:9" ht="18" customHeight="1" x14ac:dyDescent="0.25">
      <c r="B14" s="1" t="s">
        <v>9</v>
      </c>
      <c r="C14" s="5">
        <v>1</v>
      </c>
      <c r="D14" s="7">
        <v>28</v>
      </c>
      <c r="E14" s="10" t="s">
        <v>6</v>
      </c>
      <c r="F14" s="10" t="s">
        <v>58</v>
      </c>
    </row>
    <row r="15" spans="2:9" ht="18" customHeight="1" x14ac:dyDescent="0.25">
      <c r="B15" s="1" t="s">
        <v>12</v>
      </c>
      <c r="C15" s="5">
        <v>1</v>
      </c>
      <c r="D15" s="7">
        <v>30</v>
      </c>
      <c r="E15" s="10" t="s">
        <v>8</v>
      </c>
      <c r="F15" s="10" t="s">
        <v>58</v>
      </c>
    </row>
    <row r="16" spans="2:9" ht="18" customHeight="1" x14ac:dyDescent="0.25">
      <c r="B16" s="1" t="s">
        <v>14</v>
      </c>
      <c r="C16" s="5">
        <v>1</v>
      </c>
      <c r="D16" s="7">
        <v>28</v>
      </c>
      <c r="E16" s="10" t="s">
        <v>8</v>
      </c>
      <c r="F16" s="10" t="s">
        <v>58</v>
      </c>
    </row>
    <row r="17" spans="2:6" ht="18" customHeight="1" x14ac:dyDescent="0.25">
      <c r="B17" s="1" t="s">
        <v>7</v>
      </c>
      <c r="C17" s="5">
        <v>1</v>
      </c>
      <c r="D17" s="7">
        <v>30</v>
      </c>
      <c r="E17" s="10" t="s">
        <v>8</v>
      </c>
      <c r="F17" s="10" t="s">
        <v>58</v>
      </c>
    </row>
    <row r="18" spans="2:6" ht="18" customHeight="1" x14ac:dyDescent="0.25">
      <c r="B18" s="1" t="s">
        <v>7</v>
      </c>
      <c r="C18" s="5">
        <v>1</v>
      </c>
      <c r="D18" s="7">
        <v>30</v>
      </c>
      <c r="E18" s="10" t="s">
        <v>8</v>
      </c>
      <c r="F18" s="10" t="s">
        <v>58</v>
      </c>
    </row>
    <row r="19" spans="2:6" ht="18" customHeight="1" thickBot="1" x14ac:dyDescent="0.3">
      <c r="B19" s="2"/>
      <c r="C19" s="14"/>
      <c r="D19" s="15"/>
      <c r="E19" s="16"/>
      <c r="F19" s="16"/>
    </row>
    <row r="20" spans="2:6" ht="19.5" thickBot="1" x14ac:dyDescent="0.35">
      <c r="B20" s="13" t="s">
        <v>20</v>
      </c>
      <c r="C20" s="30">
        <f>SUM(C6:C19)</f>
        <v>13</v>
      </c>
      <c r="D20" s="31">
        <f>AVERAGE(D6:D19)</f>
        <v>29.46153846153846</v>
      </c>
      <c r="E20" s="19">
        <v>0.75</v>
      </c>
      <c r="F20" s="23">
        <v>16.5</v>
      </c>
    </row>
    <row r="24" spans="2:6" ht="15.75" x14ac:dyDescent="0.25">
      <c r="C24" s="43" t="s">
        <v>34</v>
      </c>
      <c r="D24" s="43"/>
      <c r="E24" s="43"/>
    </row>
    <row r="25" spans="2:6" ht="15.75" x14ac:dyDescent="0.25">
      <c r="C25" s="43" t="s">
        <v>35</v>
      </c>
      <c r="D25" s="43"/>
      <c r="E25" s="43"/>
    </row>
    <row r="27" spans="2:6" ht="15.75" x14ac:dyDescent="0.25">
      <c r="B27" s="4" t="s">
        <v>0</v>
      </c>
      <c r="C27" s="4" t="s">
        <v>16</v>
      </c>
      <c r="D27" s="4" t="s">
        <v>1</v>
      </c>
      <c r="E27" s="4" t="s">
        <v>2</v>
      </c>
      <c r="F27" s="4" t="s">
        <v>17</v>
      </c>
    </row>
    <row r="28" spans="2:6" ht="18" customHeight="1" x14ac:dyDescent="0.25">
      <c r="B28" s="1" t="s">
        <v>3</v>
      </c>
      <c r="C28" s="5">
        <v>1</v>
      </c>
      <c r="D28" s="7">
        <v>34</v>
      </c>
      <c r="E28" s="10" t="s">
        <v>8</v>
      </c>
      <c r="F28" s="10" t="s">
        <v>58</v>
      </c>
    </row>
    <row r="29" spans="2:6" ht="18" customHeight="1" x14ac:dyDescent="0.25">
      <c r="B29" s="1" t="s">
        <v>5</v>
      </c>
      <c r="C29" s="5">
        <v>1</v>
      </c>
      <c r="D29" s="7">
        <v>34</v>
      </c>
      <c r="E29" s="10" t="s">
        <v>6</v>
      </c>
      <c r="F29" s="10" t="s">
        <v>60</v>
      </c>
    </row>
    <row r="30" spans="2:6" ht="18" customHeight="1" x14ac:dyDescent="0.25">
      <c r="B30" s="1" t="s">
        <v>5</v>
      </c>
      <c r="C30" s="5">
        <v>1</v>
      </c>
      <c r="D30" s="7">
        <v>34</v>
      </c>
      <c r="E30" s="10" t="s">
        <v>6</v>
      </c>
      <c r="F30" s="10" t="s">
        <v>60</v>
      </c>
    </row>
    <row r="31" spans="2:6" ht="18" customHeight="1" x14ac:dyDescent="0.25">
      <c r="B31" s="1" t="s">
        <v>5</v>
      </c>
      <c r="C31" s="5">
        <v>1</v>
      </c>
      <c r="D31" s="7">
        <v>34</v>
      </c>
      <c r="E31" s="10" t="s">
        <v>11</v>
      </c>
      <c r="F31" s="10" t="s">
        <v>60</v>
      </c>
    </row>
    <row r="32" spans="2:6" ht="18" customHeight="1" x14ac:dyDescent="0.25">
      <c r="B32" s="1" t="s">
        <v>67</v>
      </c>
      <c r="C32" s="5">
        <v>1</v>
      </c>
      <c r="D32" s="7">
        <v>36</v>
      </c>
      <c r="E32" s="10" t="s">
        <v>8</v>
      </c>
      <c r="F32" s="10" t="s">
        <v>58</v>
      </c>
    </row>
    <row r="33" spans="2:6" ht="18" customHeight="1" x14ac:dyDescent="0.25">
      <c r="B33" s="1" t="s">
        <v>72</v>
      </c>
      <c r="C33" s="5">
        <v>1</v>
      </c>
      <c r="D33" s="7">
        <v>33</v>
      </c>
      <c r="E33" s="10" t="s">
        <v>8</v>
      </c>
      <c r="F33" s="10" t="s">
        <v>58</v>
      </c>
    </row>
    <row r="34" spans="2:6" ht="18" customHeight="1" x14ac:dyDescent="0.25">
      <c r="B34" s="1" t="s">
        <v>12</v>
      </c>
      <c r="C34" s="5">
        <v>1</v>
      </c>
      <c r="D34" s="7">
        <v>35</v>
      </c>
      <c r="E34" s="10" t="s">
        <v>8</v>
      </c>
      <c r="F34" s="10" t="s">
        <v>58</v>
      </c>
    </row>
    <row r="35" spans="2:6" ht="18" customHeight="1" x14ac:dyDescent="0.25">
      <c r="B35" s="1" t="s">
        <v>14</v>
      </c>
      <c r="C35" s="5">
        <v>1</v>
      </c>
      <c r="D35" s="7">
        <v>35</v>
      </c>
      <c r="E35" s="10" t="s">
        <v>8</v>
      </c>
      <c r="F35" s="10" t="s">
        <v>58</v>
      </c>
    </row>
    <row r="36" spans="2:6" ht="18" customHeight="1" x14ac:dyDescent="0.25">
      <c r="B36" s="1" t="s">
        <v>14</v>
      </c>
      <c r="C36" s="5">
        <v>1</v>
      </c>
      <c r="D36" s="7">
        <v>35</v>
      </c>
      <c r="E36" s="10" t="s">
        <v>8</v>
      </c>
      <c r="F36" s="10" t="s">
        <v>58</v>
      </c>
    </row>
    <row r="37" spans="2:6" ht="18" customHeight="1" x14ac:dyDescent="0.25">
      <c r="B37" s="1" t="s">
        <v>15</v>
      </c>
      <c r="C37" s="5">
        <v>1</v>
      </c>
      <c r="D37" s="7">
        <v>35</v>
      </c>
      <c r="E37" s="10" t="s">
        <v>8</v>
      </c>
      <c r="F37" s="10" t="s">
        <v>58</v>
      </c>
    </row>
    <row r="38" spans="2:6" ht="18" customHeight="1" x14ac:dyDescent="0.25">
      <c r="B38" s="1" t="s">
        <v>15</v>
      </c>
      <c r="C38" s="5">
        <v>1</v>
      </c>
      <c r="D38" s="7">
        <v>35</v>
      </c>
      <c r="E38" s="10" t="s">
        <v>8</v>
      </c>
      <c r="F38" s="10" t="s">
        <v>58</v>
      </c>
    </row>
    <row r="39" spans="2:6" ht="18" customHeight="1" x14ac:dyDescent="0.25">
      <c r="B39" s="1" t="s">
        <v>7</v>
      </c>
      <c r="C39" s="5">
        <v>1</v>
      </c>
      <c r="D39" s="7">
        <v>35</v>
      </c>
      <c r="E39" s="10" t="s">
        <v>8</v>
      </c>
      <c r="F39" s="10" t="s">
        <v>58</v>
      </c>
    </row>
    <row r="40" spans="2:6" ht="18" customHeight="1" thickBot="1" x14ac:dyDescent="0.3">
      <c r="B40" s="1" t="s">
        <v>7</v>
      </c>
      <c r="C40" s="14"/>
      <c r="D40" s="15"/>
      <c r="E40" s="16" t="s">
        <v>8</v>
      </c>
      <c r="F40" s="16" t="s">
        <v>58</v>
      </c>
    </row>
    <row r="41" spans="2:6" ht="19.5" thickBot="1" x14ac:dyDescent="0.35">
      <c r="B41" s="13" t="s">
        <v>20</v>
      </c>
      <c r="C41" s="17">
        <f>SUM(C28:C40)</f>
        <v>12</v>
      </c>
      <c r="D41" s="18">
        <f>AVERAGE(D28:D39)</f>
        <v>34.583333333333336</v>
      </c>
      <c r="E41" s="32">
        <v>0.89</v>
      </c>
      <c r="F41" s="33">
        <v>19.579999999999998</v>
      </c>
    </row>
    <row r="45" spans="2:6" ht="15.75" x14ac:dyDescent="0.25">
      <c r="C45" s="43" t="s">
        <v>36</v>
      </c>
      <c r="D45" s="43"/>
      <c r="E45" s="43"/>
    </row>
    <row r="46" spans="2:6" ht="15.75" x14ac:dyDescent="0.25">
      <c r="C46" s="43" t="s">
        <v>37</v>
      </c>
      <c r="D46" s="43"/>
      <c r="E46" s="43"/>
    </row>
    <row r="48" spans="2:6" ht="15.75" x14ac:dyDescent="0.25">
      <c r="B48" s="4" t="s">
        <v>0</v>
      </c>
      <c r="C48" s="4" t="s">
        <v>16</v>
      </c>
      <c r="D48" s="4" t="s">
        <v>1</v>
      </c>
      <c r="E48" s="4" t="s">
        <v>2</v>
      </c>
      <c r="F48" s="4" t="s">
        <v>17</v>
      </c>
    </row>
    <row r="49" spans="2:6" ht="18" customHeight="1" x14ac:dyDescent="0.25">
      <c r="B49" s="1" t="s">
        <v>3</v>
      </c>
      <c r="C49" s="5">
        <v>1</v>
      </c>
      <c r="D49" s="7">
        <v>39</v>
      </c>
      <c r="E49" s="10" t="s">
        <v>8</v>
      </c>
      <c r="F49" s="10" t="s">
        <v>58</v>
      </c>
    </row>
    <row r="50" spans="2:6" ht="18" customHeight="1" x14ac:dyDescent="0.25">
      <c r="B50" s="1" t="s">
        <v>5</v>
      </c>
      <c r="C50" s="5">
        <v>1</v>
      </c>
      <c r="D50" s="7">
        <v>38</v>
      </c>
      <c r="E50" s="10" t="s">
        <v>59</v>
      </c>
      <c r="F50" s="10" t="s">
        <v>60</v>
      </c>
    </row>
    <row r="51" spans="2:6" ht="18" customHeight="1" x14ac:dyDescent="0.25">
      <c r="B51" s="1" t="s">
        <v>5</v>
      </c>
      <c r="C51" s="5">
        <v>1</v>
      </c>
      <c r="D51" s="7">
        <v>38</v>
      </c>
      <c r="E51" s="10" t="s">
        <v>59</v>
      </c>
      <c r="F51" s="10" t="s">
        <v>60</v>
      </c>
    </row>
    <row r="52" spans="2:6" ht="18" customHeight="1" x14ac:dyDescent="0.25">
      <c r="B52" s="1" t="s">
        <v>5</v>
      </c>
      <c r="C52" s="5">
        <v>1</v>
      </c>
      <c r="D52" s="7">
        <v>38</v>
      </c>
      <c r="E52" s="10" t="s">
        <v>59</v>
      </c>
      <c r="F52" s="10" t="s">
        <v>60</v>
      </c>
    </row>
    <row r="53" spans="2:6" ht="18" customHeight="1" x14ac:dyDescent="0.25">
      <c r="B53" s="1" t="s">
        <v>5</v>
      </c>
      <c r="C53" s="5">
        <v>1</v>
      </c>
      <c r="D53" s="7">
        <v>38</v>
      </c>
      <c r="E53" s="10" t="s">
        <v>59</v>
      </c>
      <c r="F53" s="10" t="s">
        <v>60</v>
      </c>
    </row>
    <row r="54" spans="2:6" ht="18" customHeight="1" x14ac:dyDescent="0.25">
      <c r="B54" s="1" t="s">
        <v>5</v>
      </c>
      <c r="C54" s="5">
        <v>1</v>
      </c>
      <c r="D54" s="7">
        <v>38</v>
      </c>
      <c r="E54" s="10" t="s">
        <v>59</v>
      </c>
      <c r="F54" s="10" t="s">
        <v>60</v>
      </c>
    </row>
    <row r="55" spans="2:6" ht="18" customHeight="1" x14ac:dyDescent="0.25">
      <c r="B55" s="1" t="s">
        <v>74</v>
      </c>
      <c r="C55" s="5">
        <v>1</v>
      </c>
      <c r="D55" s="7">
        <v>38</v>
      </c>
      <c r="E55" s="10" t="s">
        <v>6</v>
      </c>
      <c r="F55" s="10" t="s">
        <v>58</v>
      </c>
    </row>
    <row r="56" spans="2:6" ht="18" customHeight="1" x14ac:dyDescent="0.25">
      <c r="B56" s="1" t="s">
        <v>12</v>
      </c>
      <c r="C56" s="5">
        <v>1</v>
      </c>
      <c r="D56" s="7">
        <v>40</v>
      </c>
      <c r="E56" s="10" t="s">
        <v>8</v>
      </c>
      <c r="F56" s="10" t="s">
        <v>58</v>
      </c>
    </row>
    <row r="57" spans="2:6" ht="18" customHeight="1" x14ac:dyDescent="0.25">
      <c r="B57" s="1" t="s">
        <v>14</v>
      </c>
      <c r="C57" s="5">
        <v>1</v>
      </c>
      <c r="D57" s="7">
        <v>40</v>
      </c>
      <c r="E57" s="10" t="s">
        <v>8</v>
      </c>
      <c r="F57" s="10" t="s">
        <v>58</v>
      </c>
    </row>
    <row r="58" spans="2:6" ht="18" customHeight="1" x14ac:dyDescent="0.25">
      <c r="B58" s="1" t="s">
        <v>14</v>
      </c>
      <c r="C58" s="5">
        <v>1</v>
      </c>
      <c r="D58" s="7">
        <v>40</v>
      </c>
      <c r="E58" s="10" t="s">
        <v>8</v>
      </c>
      <c r="F58" s="10" t="s">
        <v>58</v>
      </c>
    </row>
    <row r="59" spans="2:6" ht="18" customHeight="1" x14ac:dyDescent="0.25">
      <c r="B59" s="1" t="s">
        <v>15</v>
      </c>
      <c r="C59" s="5">
        <v>1</v>
      </c>
      <c r="D59" s="7">
        <v>41</v>
      </c>
      <c r="E59" s="10" t="s">
        <v>8</v>
      </c>
      <c r="F59" s="10" t="s">
        <v>58</v>
      </c>
    </row>
    <row r="60" spans="2:6" ht="18" customHeight="1" thickBot="1" x14ac:dyDescent="0.3">
      <c r="B60" s="1" t="s">
        <v>15</v>
      </c>
      <c r="C60" s="14">
        <v>1</v>
      </c>
      <c r="D60" s="15">
        <v>41</v>
      </c>
      <c r="E60" s="16" t="s">
        <v>8</v>
      </c>
      <c r="F60" s="16" t="s">
        <v>58</v>
      </c>
    </row>
    <row r="61" spans="2:6" ht="19.5" thickBot="1" x14ac:dyDescent="0.35">
      <c r="B61" s="13" t="s">
        <v>20</v>
      </c>
      <c r="C61" s="17">
        <f>SUM(C49:C60)</f>
        <v>12</v>
      </c>
      <c r="D61" s="18">
        <f>AVERAGE(D49:D60)</f>
        <v>39.083333333333336</v>
      </c>
      <c r="E61" s="32">
        <v>1.06</v>
      </c>
      <c r="F61" s="33">
        <v>23.32</v>
      </c>
    </row>
    <row r="65" spans="2:6" ht="15.75" x14ac:dyDescent="0.25">
      <c r="C65" s="43" t="s">
        <v>38</v>
      </c>
      <c r="D65" s="43"/>
      <c r="E65" s="43"/>
    </row>
    <row r="66" spans="2:6" ht="15.75" x14ac:dyDescent="0.25">
      <c r="C66" s="43" t="s">
        <v>39</v>
      </c>
      <c r="D66" s="43"/>
      <c r="E66" s="43"/>
    </row>
    <row r="68" spans="2:6" ht="15.75" x14ac:dyDescent="0.25">
      <c r="B68" s="4" t="s">
        <v>0</v>
      </c>
      <c r="C68" s="4" t="s">
        <v>16</v>
      </c>
      <c r="D68" s="4" t="s">
        <v>1</v>
      </c>
      <c r="E68" s="4" t="s">
        <v>2</v>
      </c>
      <c r="F68" s="4" t="s">
        <v>17</v>
      </c>
    </row>
    <row r="69" spans="2:6" ht="18" customHeight="1" x14ac:dyDescent="0.25">
      <c r="B69" s="1" t="s">
        <v>3</v>
      </c>
      <c r="C69" s="5">
        <v>1</v>
      </c>
      <c r="D69" s="7">
        <v>40</v>
      </c>
      <c r="E69" s="10" t="s">
        <v>8</v>
      </c>
      <c r="F69" s="10" t="s">
        <v>58</v>
      </c>
    </row>
    <row r="70" spans="2:6" ht="18" customHeight="1" x14ac:dyDescent="0.25">
      <c r="B70" s="1" t="s">
        <v>5</v>
      </c>
      <c r="C70" s="5">
        <v>1</v>
      </c>
      <c r="D70" s="7">
        <v>40.5</v>
      </c>
      <c r="E70" s="10" t="s">
        <v>59</v>
      </c>
      <c r="F70" s="10" t="s">
        <v>60</v>
      </c>
    </row>
    <row r="71" spans="2:6" ht="18" customHeight="1" x14ac:dyDescent="0.25">
      <c r="B71" s="1" t="s">
        <v>5</v>
      </c>
      <c r="C71" s="5">
        <v>1</v>
      </c>
      <c r="D71" s="7">
        <v>40.5</v>
      </c>
      <c r="E71" s="10" t="s">
        <v>59</v>
      </c>
      <c r="F71" s="10" t="s">
        <v>60</v>
      </c>
    </row>
    <row r="72" spans="2:6" ht="18" customHeight="1" x14ac:dyDescent="0.25">
      <c r="B72" s="1" t="s">
        <v>5</v>
      </c>
      <c r="C72" s="5">
        <v>1</v>
      </c>
      <c r="D72" s="7">
        <v>40.5</v>
      </c>
      <c r="E72" s="10" t="s">
        <v>59</v>
      </c>
      <c r="F72" s="10" t="s">
        <v>60</v>
      </c>
    </row>
    <row r="73" spans="2:6" ht="18" customHeight="1" x14ac:dyDescent="0.25">
      <c r="B73" s="1" t="s">
        <v>5</v>
      </c>
      <c r="C73" s="5">
        <v>1</v>
      </c>
      <c r="D73" s="7">
        <v>40.5</v>
      </c>
      <c r="E73" s="10" t="s">
        <v>59</v>
      </c>
      <c r="F73" s="10" t="s">
        <v>60</v>
      </c>
    </row>
    <row r="74" spans="2:6" ht="18" customHeight="1" x14ac:dyDescent="0.25">
      <c r="B74" s="1" t="s">
        <v>5</v>
      </c>
      <c r="C74" s="5">
        <v>1</v>
      </c>
      <c r="D74" s="7">
        <v>40.5</v>
      </c>
      <c r="E74" s="10" t="s">
        <v>59</v>
      </c>
      <c r="F74" s="10" t="s">
        <v>60</v>
      </c>
    </row>
    <row r="75" spans="2:6" ht="18" customHeight="1" x14ac:dyDescent="0.25">
      <c r="B75" s="1" t="s">
        <v>9</v>
      </c>
      <c r="C75" s="5">
        <v>1</v>
      </c>
      <c r="D75" s="7">
        <v>40</v>
      </c>
      <c r="E75" s="10" t="s">
        <v>8</v>
      </c>
      <c r="F75" s="10" t="s">
        <v>58</v>
      </c>
    </row>
    <row r="76" spans="2:6" ht="18" customHeight="1" x14ac:dyDescent="0.25">
      <c r="B76" s="1" t="s">
        <v>12</v>
      </c>
      <c r="C76" s="5">
        <v>1</v>
      </c>
      <c r="D76" s="7">
        <v>40</v>
      </c>
      <c r="E76" s="10" t="s">
        <v>8</v>
      </c>
      <c r="F76" s="10" t="s">
        <v>58</v>
      </c>
    </row>
    <row r="77" spans="2:6" ht="18" customHeight="1" x14ac:dyDescent="0.25">
      <c r="B77" s="1" t="s">
        <v>14</v>
      </c>
      <c r="C77" s="5">
        <v>1</v>
      </c>
      <c r="D77" s="7">
        <v>40</v>
      </c>
      <c r="E77" s="10" t="s">
        <v>8</v>
      </c>
      <c r="F77" s="10" t="s">
        <v>58</v>
      </c>
    </row>
    <row r="78" spans="2:6" ht="18" customHeight="1" x14ac:dyDescent="0.25">
      <c r="B78" s="1" t="s">
        <v>14</v>
      </c>
      <c r="C78" s="5">
        <v>1</v>
      </c>
      <c r="D78" s="7">
        <v>40</v>
      </c>
      <c r="E78" s="10" t="s">
        <v>8</v>
      </c>
      <c r="F78" s="10" t="s">
        <v>58</v>
      </c>
    </row>
    <row r="79" spans="2:6" ht="18" customHeight="1" x14ac:dyDescent="0.25">
      <c r="B79" s="1" t="s">
        <v>15</v>
      </c>
      <c r="C79" s="5">
        <v>1</v>
      </c>
      <c r="D79" s="7">
        <v>46</v>
      </c>
      <c r="E79" s="10" t="s">
        <v>8</v>
      </c>
      <c r="F79" s="10" t="s">
        <v>58</v>
      </c>
    </row>
    <row r="80" spans="2:6" ht="18" customHeight="1" x14ac:dyDescent="0.25">
      <c r="B80" s="1" t="s">
        <v>15</v>
      </c>
      <c r="C80" s="5">
        <v>1</v>
      </c>
      <c r="D80" s="7">
        <v>46</v>
      </c>
      <c r="E80" s="10" t="s">
        <v>8</v>
      </c>
      <c r="F80" s="10" t="s">
        <v>58</v>
      </c>
    </row>
    <row r="81" spans="2:6" ht="18" customHeight="1" thickBot="1" x14ac:dyDescent="0.3">
      <c r="B81" s="1" t="s">
        <v>15</v>
      </c>
      <c r="C81" s="14">
        <v>1</v>
      </c>
      <c r="D81" s="15">
        <v>46</v>
      </c>
      <c r="E81" s="16" t="s">
        <v>11</v>
      </c>
      <c r="F81" s="16" t="s">
        <v>58</v>
      </c>
    </row>
    <row r="82" spans="2:6" ht="19.5" thickBot="1" x14ac:dyDescent="0.35">
      <c r="B82" s="13" t="s">
        <v>20</v>
      </c>
      <c r="C82" s="17">
        <f>SUM(C69:C81)</f>
        <v>13</v>
      </c>
      <c r="D82" s="18">
        <f>AVERAGE(D69:D81)</f>
        <v>41.57692307692308</v>
      </c>
      <c r="E82" s="32">
        <v>1.1399999999999999</v>
      </c>
      <c r="F82" s="33">
        <v>25.08</v>
      </c>
    </row>
  </sheetData>
  <mergeCells count="8">
    <mergeCell ref="C65:E65"/>
    <mergeCell ref="C66:E66"/>
    <mergeCell ref="C2:E2"/>
    <mergeCell ref="C3:E3"/>
    <mergeCell ref="C24:E24"/>
    <mergeCell ref="C25:E25"/>
    <mergeCell ref="C45:E45"/>
    <mergeCell ref="C46:E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5F24B-5643-41A9-8E17-93B04E6D6219}">
  <dimension ref="B2:J99"/>
  <sheetViews>
    <sheetView topLeftCell="A97" zoomScaleNormal="100" workbookViewId="0">
      <selection activeCell="B90" sqref="B90"/>
    </sheetView>
  </sheetViews>
  <sheetFormatPr baseColWidth="10" defaultRowHeight="15" x14ac:dyDescent="0.25"/>
  <cols>
    <col min="2" max="2" width="13.85546875" customWidth="1"/>
    <col min="3" max="4" width="9.7109375" customWidth="1"/>
    <col min="5" max="6" width="13.85546875" customWidth="1"/>
    <col min="9" max="9" width="14.7109375" customWidth="1"/>
  </cols>
  <sheetData>
    <row r="2" spans="2:10" ht="15.75" x14ac:dyDescent="0.25">
      <c r="C2" s="43" t="s">
        <v>40</v>
      </c>
      <c r="D2" s="43"/>
      <c r="E2" s="43"/>
    </row>
    <row r="3" spans="2:10" ht="15.75" x14ac:dyDescent="0.25">
      <c r="C3" s="43" t="s">
        <v>41</v>
      </c>
      <c r="D3" s="43"/>
      <c r="E3" s="43"/>
    </row>
    <row r="4" spans="2:10" ht="15.75" thickBot="1" x14ac:dyDescent="0.3"/>
    <row r="5" spans="2:10" ht="18" customHeight="1" thickBot="1" x14ac:dyDescent="0.35">
      <c r="B5" s="4" t="s">
        <v>0</v>
      </c>
      <c r="C5" s="4" t="s">
        <v>16</v>
      </c>
      <c r="D5" s="4" t="s">
        <v>1</v>
      </c>
      <c r="E5" s="4" t="s">
        <v>2</v>
      </c>
      <c r="F5" s="4" t="s">
        <v>17</v>
      </c>
      <c r="I5" s="12" t="s">
        <v>65</v>
      </c>
      <c r="J5" s="11">
        <f>SUM(C22,C45,C72,C99)</f>
        <v>69</v>
      </c>
    </row>
    <row r="6" spans="2:10" ht="18" customHeight="1" thickBot="1" x14ac:dyDescent="0.35">
      <c r="B6" s="1" t="s">
        <v>3</v>
      </c>
      <c r="C6" s="5">
        <v>1</v>
      </c>
      <c r="D6" s="7">
        <v>44</v>
      </c>
      <c r="E6" s="10" t="s">
        <v>8</v>
      </c>
      <c r="F6" s="10" t="s">
        <v>58</v>
      </c>
      <c r="I6" s="12" t="s">
        <v>66</v>
      </c>
      <c r="J6" s="11">
        <f>AVERAGE(D45,D22,D72,D99)</f>
        <v>52.877302631578949</v>
      </c>
    </row>
    <row r="7" spans="2:10" ht="18" customHeight="1" x14ac:dyDescent="0.25">
      <c r="B7" s="1" t="s">
        <v>5</v>
      </c>
      <c r="C7" s="5">
        <v>1</v>
      </c>
      <c r="D7" s="7">
        <v>46</v>
      </c>
      <c r="E7" s="10" t="s">
        <v>59</v>
      </c>
      <c r="F7" s="10" t="s">
        <v>58</v>
      </c>
    </row>
    <row r="8" spans="2:10" ht="18" customHeight="1" x14ac:dyDescent="0.25">
      <c r="B8" s="1" t="s">
        <v>5</v>
      </c>
      <c r="C8" s="5">
        <v>1</v>
      </c>
      <c r="D8" s="7">
        <v>46</v>
      </c>
      <c r="E8" s="10" t="s">
        <v>59</v>
      </c>
      <c r="F8" s="10" t="s">
        <v>60</v>
      </c>
    </row>
    <row r="9" spans="2:10" ht="18" customHeight="1" x14ac:dyDescent="0.25">
      <c r="B9" s="1" t="s">
        <v>62</v>
      </c>
      <c r="C9" s="5">
        <v>1</v>
      </c>
      <c r="D9" s="7">
        <v>46</v>
      </c>
      <c r="E9" s="10" t="s">
        <v>59</v>
      </c>
      <c r="F9" s="10" t="s">
        <v>60</v>
      </c>
    </row>
    <row r="10" spans="2:10" ht="18" customHeight="1" x14ac:dyDescent="0.25">
      <c r="B10" s="1" t="s">
        <v>5</v>
      </c>
      <c r="C10" s="5">
        <v>1</v>
      </c>
      <c r="D10" s="7">
        <v>46</v>
      </c>
      <c r="E10" s="10" t="s">
        <v>59</v>
      </c>
      <c r="F10" s="10" t="s">
        <v>60</v>
      </c>
    </row>
    <row r="11" spans="2:10" ht="18" customHeight="1" x14ac:dyDescent="0.25">
      <c r="B11" s="1" t="s">
        <v>5</v>
      </c>
      <c r="C11" s="5">
        <v>1</v>
      </c>
      <c r="D11" s="7">
        <v>46</v>
      </c>
      <c r="E11" s="10" t="s">
        <v>59</v>
      </c>
      <c r="F11" s="10" t="s">
        <v>58</v>
      </c>
    </row>
    <row r="12" spans="2:10" ht="18" customHeight="1" x14ac:dyDescent="0.25">
      <c r="B12" s="1" t="s">
        <v>70</v>
      </c>
      <c r="C12" s="5">
        <v>1</v>
      </c>
      <c r="D12" s="7">
        <v>46</v>
      </c>
      <c r="E12" s="10" t="s">
        <v>61</v>
      </c>
      <c r="F12" s="10" t="s">
        <v>58</v>
      </c>
    </row>
    <row r="13" spans="2:10" ht="18" customHeight="1" x14ac:dyDescent="0.25">
      <c r="B13" s="1" t="s">
        <v>93</v>
      </c>
      <c r="C13" s="5">
        <v>1</v>
      </c>
      <c r="D13" s="7">
        <v>46</v>
      </c>
      <c r="E13" s="10" t="s">
        <v>6</v>
      </c>
      <c r="F13" s="10" t="s">
        <v>58</v>
      </c>
    </row>
    <row r="14" spans="2:10" ht="18" customHeight="1" x14ac:dyDescent="0.25">
      <c r="B14" s="1" t="s">
        <v>94</v>
      </c>
      <c r="C14" s="5">
        <v>1</v>
      </c>
      <c r="D14" s="7">
        <v>46</v>
      </c>
      <c r="E14" s="10" t="s">
        <v>6</v>
      </c>
      <c r="F14" s="10" t="s">
        <v>58</v>
      </c>
    </row>
    <row r="15" spans="2:10" ht="18" customHeight="1" x14ac:dyDescent="0.25">
      <c r="B15" s="1" t="s">
        <v>9</v>
      </c>
      <c r="C15" s="5">
        <v>1</v>
      </c>
      <c r="D15" s="7">
        <v>46</v>
      </c>
      <c r="E15" s="10" t="s">
        <v>8</v>
      </c>
      <c r="F15" s="10" t="s">
        <v>58</v>
      </c>
    </row>
    <row r="16" spans="2:10" ht="18" customHeight="1" x14ac:dyDescent="0.25">
      <c r="B16" s="1" t="s">
        <v>12</v>
      </c>
      <c r="C16" s="5">
        <v>1</v>
      </c>
      <c r="D16" s="7">
        <v>46</v>
      </c>
      <c r="E16" s="10" t="s">
        <v>8</v>
      </c>
      <c r="F16" s="10" t="s">
        <v>58</v>
      </c>
    </row>
    <row r="17" spans="2:6" ht="18" customHeight="1" x14ac:dyDescent="0.25">
      <c r="B17" s="1" t="s">
        <v>12</v>
      </c>
      <c r="C17" s="5">
        <v>1</v>
      </c>
      <c r="D17" s="7">
        <v>46</v>
      </c>
      <c r="E17" s="10" t="s">
        <v>8</v>
      </c>
      <c r="F17" s="10" t="s">
        <v>58</v>
      </c>
    </row>
    <row r="18" spans="2:6" ht="18" customHeight="1" x14ac:dyDescent="0.25">
      <c r="B18" s="1" t="s">
        <v>14</v>
      </c>
      <c r="C18" s="5">
        <v>1</v>
      </c>
      <c r="D18" s="7">
        <v>44</v>
      </c>
      <c r="E18" s="10" t="s">
        <v>8</v>
      </c>
      <c r="F18" s="10" t="s">
        <v>58</v>
      </c>
    </row>
    <row r="19" spans="2:6" ht="18" customHeight="1" x14ac:dyDescent="0.25">
      <c r="B19" s="1" t="s">
        <v>14</v>
      </c>
      <c r="C19" s="5">
        <v>1</v>
      </c>
      <c r="D19" s="7">
        <v>44</v>
      </c>
      <c r="E19" s="10" t="s">
        <v>8</v>
      </c>
      <c r="F19" s="10" t="s">
        <v>58</v>
      </c>
    </row>
    <row r="20" spans="2:6" ht="18" customHeight="1" x14ac:dyDescent="0.25">
      <c r="B20" s="1" t="s">
        <v>15</v>
      </c>
      <c r="C20" s="5">
        <v>1</v>
      </c>
      <c r="D20" s="7">
        <v>46</v>
      </c>
      <c r="E20" s="10" t="s">
        <v>8</v>
      </c>
      <c r="F20" s="10" t="s">
        <v>58</v>
      </c>
    </row>
    <row r="21" spans="2:6" ht="18" customHeight="1" thickBot="1" x14ac:dyDescent="0.3">
      <c r="B21" s="1" t="s">
        <v>15</v>
      </c>
      <c r="C21" s="14">
        <v>1</v>
      </c>
      <c r="D21" s="15">
        <v>46</v>
      </c>
      <c r="E21" s="16" t="s">
        <v>8</v>
      </c>
      <c r="F21" s="16" t="s">
        <v>58</v>
      </c>
    </row>
    <row r="22" spans="2:6" ht="19.5" thickBot="1" x14ac:dyDescent="0.35">
      <c r="B22" s="13" t="s">
        <v>20</v>
      </c>
      <c r="C22" s="17">
        <f>SUM(C6:C21)</f>
        <v>16</v>
      </c>
      <c r="D22" s="18">
        <f>AVERAGE(D6:D21)</f>
        <v>45.625</v>
      </c>
      <c r="E22" s="32">
        <v>1.29</v>
      </c>
      <c r="F22" s="33">
        <v>28.38</v>
      </c>
    </row>
    <row r="26" spans="2:6" ht="15.75" x14ac:dyDescent="0.25">
      <c r="C26" s="43" t="s">
        <v>42</v>
      </c>
      <c r="D26" s="43"/>
      <c r="E26" s="43"/>
    </row>
    <row r="27" spans="2:6" ht="15.75" x14ac:dyDescent="0.25">
      <c r="C27" s="43" t="s">
        <v>43</v>
      </c>
      <c r="D27" s="43"/>
      <c r="E27" s="43"/>
    </row>
    <row r="29" spans="2:6" ht="15.75" x14ac:dyDescent="0.25">
      <c r="B29" s="4" t="s">
        <v>0</v>
      </c>
      <c r="C29" s="4" t="s">
        <v>16</v>
      </c>
      <c r="D29" s="4" t="s">
        <v>1</v>
      </c>
      <c r="E29" s="4" t="s">
        <v>2</v>
      </c>
      <c r="F29" s="4" t="s">
        <v>17</v>
      </c>
    </row>
    <row r="30" spans="2:6" ht="18" customHeight="1" x14ac:dyDescent="0.25">
      <c r="B30" s="1" t="s">
        <v>3</v>
      </c>
      <c r="C30" s="5">
        <v>1</v>
      </c>
      <c r="D30" s="7">
        <v>52</v>
      </c>
      <c r="E30" s="10" t="s">
        <v>8</v>
      </c>
      <c r="F30" s="10" t="s">
        <v>58</v>
      </c>
    </row>
    <row r="31" spans="2:6" ht="18" customHeight="1" x14ac:dyDescent="0.25">
      <c r="B31" s="1" t="s">
        <v>5</v>
      </c>
      <c r="C31" s="5">
        <v>1</v>
      </c>
      <c r="D31" s="7">
        <v>54</v>
      </c>
      <c r="E31" s="10" t="s">
        <v>59</v>
      </c>
      <c r="F31" s="10" t="s">
        <v>58</v>
      </c>
    </row>
    <row r="32" spans="2:6" ht="18" customHeight="1" x14ac:dyDescent="0.25">
      <c r="B32" s="1" t="s">
        <v>5</v>
      </c>
      <c r="C32" s="5">
        <v>1</v>
      </c>
      <c r="D32" s="7">
        <v>54</v>
      </c>
      <c r="E32" s="10" t="s">
        <v>59</v>
      </c>
      <c r="F32" s="10" t="s">
        <v>60</v>
      </c>
    </row>
    <row r="33" spans="2:6" ht="18" customHeight="1" x14ac:dyDescent="0.25">
      <c r="B33" s="1" t="s">
        <v>5</v>
      </c>
      <c r="C33" s="5">
        <v>1</v>
      </c>
      <c r="D33" s="7">
        <v>54</v>
      </c>
      <c r="E33" s="10" t="s">
        <v>6</v>
      </c>
      <c r="F33" s="10" t="s">
        <v>60</v>
      </c>
    </row>
    <row r="34" spans="2:6" ht="18" customHeight="1" x14ac:dyDescent="0.25">
      <c r="B34" s="1" t="s">
        <v>70</v>
      </c>
      <c r="C34" s="5">
        <v>1</v>
      </c>
      <c r="D34" s="7">
        <v>56</v>
      </c>
      <c r="E34" s="10" t="s">
        <v>6</v>
      </c>
      <c r="F34" s="10" t="s">
        <v>60</v>
      </c>
    </row>
    <row r="35" spans="2:6" ht="18" customHeight="1" x14ac:dyDescent="0.25">
      <c r="B35" s="1" t="s">
        <v>72</v>
      </c>
      <c r="C35" s="5">
        <v>1</v>
      </c>
      <c r="D35" s="7">
        <v>55</v>
      </c>
      <c r="E35" s="10" t="s">
        <v>6</v>
      </c>
      <c r="F35" s="10"/>
    </row>
    <row r="36" spans="2:6" ht="18" customHeight="1" x14ac:dyDescent="0.25">
      <c r="B36" s="1" t="s">
        <v>67</v>
      </c>
      <c r="C36" s="5">
        <v>1</v>
      </c>
      <c r="D36" s="7">
        <v>56</v>
      </c>
      <c r="E36" s="10" t="s">
        <v>6</v>
      </c>
      <c r="F36" s="10" t="s">
        <v>58</v>
      </c>
    </row>
    <row r="37" spans="2:6" ht="18" customHeight="1" x14ac:dyDescent="0.25">
      <c r="B37" s="1" t="s">
        <v>9</v>
      </c>
      <c r="C37" s="5">
        <v>1</v>
      </c>
      <c r="D37" s="7">
        <v>52</v>
      </c>
      <c r="E37" s="10" t="s">
        <v>61</v>
      </c>
      <c r="F37" s="10" t="s">
        <v>58</v>
      </c>
    </row>
    <row r="38" spans="2:6" ht="18" customHeight="1" x14ac:dyDescent="0.25">
      <c r="B38" s="1" t="s">
        <v>12</v>
      </c>
      <c r="C38" s="5">
        <v>1</v>
      </c>
      <c r="D38" s="7">
        <v>54</v>
      </c>
      <c r="E38" s="10" t="s">
        <v>6</v>
      </c>
      <c r="F38" s="10" t="s">
        <v>58</v>
      </c>
    </row>
    <row r="39" spans="2:6" ht="18" customHeight="1" x14ac:dyDescent="0.25">
      <c r="B39" s="1" t="s">
        <v>12</v>
      </c>
      <c r="C39" s="5">
        <v>1</v>
      </c>
      <c r="D39" s="7">
        <v>54</v>
      </c>
      <c r="E39" s="10" t="s">
        <v>8</v>
      </c>
      <c r="F39" s="10" t="s">
        <v>58</v>
      </c>
    </row>
    <row r="40" spans="2:6" ht="18" customHeight="1" x14ac:dyDescent="0.25">
      <c r="B40" s="1" t="s">
        <v>14</v>
      </c>
      <c r="C40" s="5">
        <v>1</v>
      </c>
      <c r="D40" s="7">
        <v>52</v>
      </c>
      <c r="E40" s="10" t="s">
        <v>8</v>
      </c>
      <c r="F40" s="10" t="s">
        <v>58</v>
      </c>
    </row>
    <row r="41" spans="2:6" ht="18" customHeight="1" x14ac:dyDescent="0.25">
      <c r="B41" s="1" t="s">
        <v>14</v>
      </c>
      <c r="C41" s="5">
        <v>1</v>
      </c>
      <c r="D41" s="7">
        <v>52</v>
      </c>
      <c r="E41" s="10" t="s">
        <v>8</v>
      </c>
      <c r="F41" s="10" t="s">
        <v>58</v>
      </c>
    </row>
    <row r="42" spans="2:6" ht="18" customHeight="1" x14ac:dyDescent="0.25">
      <c r="B42" s="1" t="s">
        <v>15</v>
      </c>
      <c r="C42" s="5">
        <v>1</v>
      </c>
      <c r="D42" s="7">
        <v>56</v>
      </c>
      <c r="E42" s="10" t="s">
        <v>8</v>
      </c>
      <c r="F42" s="10" t="s">
        <v>58</v>
      </c>
    </row>
    <row r="43" spans="2:6" ht="18" customHeight="1" x14ac:dyDescent="0.25">
      <c r="B43" s="1" t="s">
        <v>15</v>
      </c>
      <c r="C43" s="5">
        <v>1</v>
      </c>
      <c r="D43" s="7">
        <v>56</v>
      </c>
      <c r="E43" s="10" t="s">
        <v>8</v>
      </c>
      <c r="F43" s="10" t="s">
        <v>58</v>
      </c>
    </row>
    <row r="44" spans="2:6" ht="18" customHeight="1" thickBot="1" x14ac:dyDescent="0.3">
      <c r="B44" s="1" t="s">
        <v>15</v>
      </c>
      <c r="C44" s="14">
        <v>1</v>
      </c>
      <c r="D44" s="15">
        <v>56</v>
      </c>
      <c r="E44" s="16" t="s">
        <v>8</v>
      </c>
      <c r="F44" s="16" t="s">
        <v>58</v>
      </c>
    </row>
    <row r="45" spans="2:6" ht="19.5" thickBot="1" x14ac:dyDescent="0.35">
      <c r="B45" s="13" t="s">
        <v>20</v>
      </c>
      <c r="C45" s="17">
        <f>SUM(C30:C44)</f>
        <v>15</v>
      </c>
      <c r="D45" s="18">
        <f>AVERAGE(D30:D44)</f>
        <v>54.2</v>
      </c>
      <c r="E45" s="32">
        <v>1.65</v>
      </c>
      <c r="F45" s="33">
        <v>36.299999999999997</v>
      </c>
    </row>
    <row r="49" spans="2:6" ht="15.75" x14ac:dyDescent="0.25">
      <c r="C49" s="43" t="s">
        <v>44</v>
      </c>
      <c r="D49" s="43"/>
      <c r="E49" s="43"/>
    </row>
    <row r="50" spans="2:6" ht="15.75" x14ac:dyDescent="0.25">
      <c r="C50" s="43" t="s">
        <v>45</v>
      </c>
      <c r="D50" s="43"/>
      <c r="E50" s="43"/>
    </row>
    <row r="52" spans="2:6" ht="15.75" x14ac:dyDescent="0.25">
      <c r="B52" s="4" t="s">
        <v>0</v>
      </c>
      <c r="C52" s="4" t="s">
        <v>16</v>
      </c>
      <c r="D52" s="4" t="s">
        <v>1</v>
      </c>
      <c r="E52" s="4" t="s">
        <v>2</v>
      </c>
      <c r="F52" s="4" t="s">
        <v>17</v>
      </c>
    </row>
    <row r="53" spans="2:6" ht="18" customHeight="1" x14ac:dyDescent="0.25">
      <c r="B53" s="1" t="s">
        <v>3</v>
      </c>
      <c r="C53" s="5">
        <v>1</v>
      </c>
      <c r="D53" s="7">
        <v>57</v>
      </c>
      <c r="E53" s="10" t="s">
        <v>8</v>
      </c>
      <c r="F53" s="10" t="s">
        <v>58</v>
      </c>
    </row>
    <row r="54" spans="2:6" ht="18" customHeight="1" x14ac:dyDescent="0.25">
      <c r="B54" s="1" t="s">
        <v>5</v>
      </c>
      <c r="C54" s="5">
        <v>1</v>
      </c>
      <c r="D54" s="7">
        <v>57</v>
      </c>
      <c r="E54" s="10" t="s">
        <v>59</v>
      </c>
      <c r="F54" s="10" t="s">
        <v>60</v>
      </c>
    </row>
    <row r="55" spans="2:6" ht="18" customHeight="1" x14ac:dyDescent="0.25">
      <c r="B55" s="1" t="s">
        <v>5</v>
      </c>
      <c r="C55" s="5">
        <v>1</v>
      </c>
      <c r="D55" s="7">
        <v>57</v>
      </c>
      <c r="E55" s="10" t="s">
        <v>59</v>
      </c>
      <c r="F55" s="10" t="s">
        <v>60</v>
      </c>
    </row>
    <row r="56" spans="2:6" ht="18" customHeight="1" x14ac:dyDescent="0.25">
      <c r="B56" s="1" t="s">
        <v>5</v>
      </c>
      <c r="C56" s="5">
        <v>1</v>
      </c>
      <c r="D56" s="7">
        <v>57</v>
      </c>
      <c r="E56" s="10" t="s">
        <v>59</v>
      </c>
      <c r="F56" s="10" t="s">
        <v>60</v>
      </c>
    </row>
    <row r="57" spans="2:6" ht="18" customHeight="1" x14ac:dyDescent="0.25">
      <c r="B57" s="1" t="s">
        <v>5</v>
      </c>
      <c r="C57" s="5">
        <v>1</v>
      </c>
      <c r="D57" s="7">
        <v>57</v>
      </c>
      <c r="E57" s="10" t="s">
        <v>59</v>
      </c>
      <c r="F57" s="10" t="s">
        <v>60</v>
      </c>
    </row>
    <row r="58" spans="2:6" ht="18" customHeight="1" x14ac:dyDescent="0.25">
      <c r="B58" s="1" t="s">
        <v>70</v>
      </c>
      <c r="C58" s="5">
        <v>1</v>
      </c>
      <c r="D58" s="7">
        <v>67</v>
      </c>
      <c r="E58" s="10" t="s">
        <v>61</v>
      </c>
      <c r="F58" s="10" t="s">
        <v>58</v>
      </c>
    </row>
    <row r="59" spans="2:6" ht="18" customHeight="1" x14ac:dyDescent="0.25">
      <c r="B59" s="1" t="s">
        <v>93</v>
      </c>
      <c r="C59" s="5">
        <v>1</v>
      </c>
      <c r="D59" s="7">
        <v>67</v>
      </c>
      <c r="E59" s="10" t="s">
        <v>6</v>
      </c>
      <c r="F59" s="10" t="s">
        <v>58</v>
      </c>
    </row>
    <row r="60" spans="2:6" ht="18" customHeight="1" x14ac:dyDescent="0.25">
      <c r="B60" s="1" t="s">
        <v>77</v>
      </c>
      <c r="C60" s="5">
        <v>1</v>
      </c>
      <c r="D60" s="7">
        <v>67</v>
      </c>
      <c r="E60" s="10" t="s">
        <v>6</v>
      </c>
      <c r="F60" s="10" t="s">
        <v>58</v>
      </c>
    </row>
    <row r="61" spans="2:6" ht="18" customHeight="1" x14ac:dyDescent="0.25">
      <c r="B61" s="1" t="s">
        <v>12</v>
      </c>
      <c r="C61" s="5">
        <v>1</v>
      </c>
      <c r="D61" s="7">
        <v>56</v>
      </c>
      <c r="E61" s="10" t="s">
        <v>6</v>
      </c>
      <c r="F61" s="10" t="s">
        <v>58</v>
      </c>
    </row>
    <row r="62" spans="2:6" ht="18" customHeight="1" x14ac:dyDescent="0.25">
      <c r="B62" s="1" t="s">
        <v>12</v>
      </c>
      <c r="C62" s="5">
        <v>1</v>
      </c>
      <c r="D62" s="7">
        <v>56</v>
      </c>
      <c r="E62" s="10" t="s">
        <v>8</v>
      </c>
      <c r="F62" s="10" t="s">
        <v>58</v>
      </c>
    </row>
    <row r="63" spans="2:6" ht="18" customHeight="1" x14ac:dyDescent="0.25">
      <c r="B63" s="1" t="s">
        <v>14</v>
      </c>
      <c r="C63" s="5">
        <v>1</v>
      </c>
      <c r="D63" s="7">
        <v>56</v>
      </c>
      <c r="E63" s="10" t="s">
        <v>8</v>
      </c>
      <c r="F63" s="10" t="s">
        <v>58</v>
      </c>
    </row>
    <row r="64" spans="2:6" ht="18" customHeight="1" x14ac:dyDescent="0.25">
      <c r="B64" s="1" t="s">
        <v>14</v>
      </c>
      <c r="C64" s="5">
        <v>1</v>
      </c>
      <c r="D64" s="7">
        <v>56</v>
      </c>
      <c r="E64" s="10" t="s">
        <v>8</v>
      </c>
      <c r="F64" s="10" t="s">
        <v>58</v>
      </c>
    </row>
    <row r="65" spans="2:6" ht="18" customHeight="1" x14ac:dyDescent="0.25">
      <c r="B65" s="1" t="s">
        <v>14</v>
      </c>
      <c r="C65" s="5">
        <v>1</v>
      </c>
      <c r="D65" s="7">
        <v>56</v>
      </c>
      <c r="E65" s="10" t="s">
        <v>8</v>
      </c>
      <c r="F65" s="10" t="s">
        <v>58</v>
      </c>
    </row>
    <row r="66" spans="2:6" ht="18" customHeight="1" x14ac:dyDescent="0.25">
      <c r="B66" s="1" t="s">
        <v>15</v>
      </c>
      <c r="C66" s="5">
        <v>1</v>
      </c>
      <c r="D66" s="7">
        <v>56</v>
      </c>
      <c r="E66" s="10" t="s">
        <v>8</v>
      </c>
      <c r="F66" s="10" t="s">
        <v>58</v>
      </c>
    </row>
    <row r="67" spans="2:6" ht="18" customHeight="1" x14ac:dyDescent="0.25">
      <c r="B67" s="1" t="s">
        <v>15</v>
      </c>
      <c r="C67" s="5">
        <v>1</v>
      </c>
      <c r="D67" s="7">
        <v>56</v>
      </c>
      <c r="E67" s="10" t="s">
        <v>8</v>
      </c>
      <c r="F67" s="10" t="s">
        <v>58</v>
      </c>
    </row>
    <row r="68" spans="2:6" ht="18" customHeight="1" x14ac:dyDescent="0.25">
      <c r="B68" s="1" t="s">
        <v>15</v>
      </c>
      <c r="C68" s="5">
        <v>1</v>
      </c>
      <c r="D68" s="7">
        <v>56</v>
      </c>
      <c r="E68" s="10" t="s">
        <v>8</v>
      </c>
      <c r="F68" s="10" t="s">
        <v>58</v>
      </c>
    </row>
    <row r="69" spans="2:6" ht="18" customHeight="1" x14ac:dyDescent="0.25">
      <c r="B69" s="1" t="s">
        <v>15</v>
      </c>
      <c r="C69" s="5">
        <v>1</v>
      </c>
      <c r="D69" s="7">
        <v>56</v>
      </c>
      <c r="E69" s="10" t="s">
        <v>8</v>
      </c>
      <c r="F69" s="10" t="s">
        <v>58</v>
      </c>
    </row>
    <row r="70" spans="2:6" ht="18" customHeight="1" x14ac:dyDescent="0.25">
      <c r="B70" s="1" t="s">
        <v>15</v>
      </c>
      <c r="C70" s="5">
        <v>1</v>
      </c>
      <c r="D70" s="7">
        <v>56</v>
      </c>
      <c r="E70" s="10" t="s">
        <v>8</v>
      </c>
      <c r="F70" s="10" t="s">
        <v>58</v>
      </c>
    </row>
    <row r="71" spans="2:6" ht="18" customHeight="1" thickBot="1" x14ac:dyDescent="0.3">
      <c r="B71" s="1" t="s">
        <v>7</v>
      </c>
      <c r="C71" s="14">
        <v>1</v>
      </c>
      <c r="D71" s="15">
        <v>63</v>
      </c>
      <c r="E71" s="16" t="s">
        <v>6</v>
      </c>
      <c r="F71" s="16" t="s">
        <v>58</v>
      </c>
    </row>
    <row r="72" spans="2:6" ht="19.5" thickBot="1" x14ac:dyDescent="0.35">
      <c r="B72" s="13" t="s">
        <v>20</v>
      </c>
      <c r="C72" s="17">
        <f>SUM(C53:C71)</f>
        <v>19</v>
      </c>
      <c r="D72" s="18">
        <f>AVERAGE(D53:D71)</f>
        <v>58.368421052631582</v>
      </c>
      <c r="E72" s="34">
        <v>1.92</v>
      </c>
      <c r="F72" s="35">
        <v>42.24</v>
      </c>
    </row>
    <row r="76" spans="2:6" ht="15.75" x14ac:dyDescent="0.25">
      <c r="C76" s="43" t="s">
        <v>46</v>
      </c>
      <c r="D76" s="43"/>
      <c r="E76" s="43"/>
    </row>
    <row r="77" spans="2:6" ht="15.75" x14ac:dyDescent="0.25">
      <c r="C77" s="43" t="s">
        <v>47</v>
      </c>
      <c r="D77" s="43"/>
      <c r="E77" s="43"/>
    </row>
    <row r="79" spans="2:6" ht="15.75" x14ac:dyDescent="0.25">
      <c r="B79" s="4" t="s">
        <v>0</v>
      </c>
      <c r="C79" s="4" t="s">
        <v>16</v>
      </c>
      <c r="D79" s="4" t="s">
        <v>1</v>
      </c>
      <c r="E79" s="4" t="s">
        <v>2</v>
      </c>
      <c r="F79" s="4" t="s">
        <v>17</v>
      </c>
    </row>
    <row r="80" spans="2:6" ht="18" customHeight="1" x14ac:dyDescent="0.25">
      <c r="B80" s="1" t="s">
        <v>3</v>
      </c>
      <c r="C80" s="5">
        <v>1</v>
      </c>
      <c r="D80" s="7">
        <v>53</v>
      </c>
      <c r="E80" s="10" t="s">
        <v>8</v>
      </c>
      <c r="F80" s="10" t="s">
        <v>58</v>
      </c>
    </row>
    <row r="81" spans="2:6" ht="18" customHeight="1" x14ac:dyDescent="0.25">
      <c r="B81" s="1" t="s">
        <v>3</v>
      </c>
      <c r="C81" s="5">
        <v>1</v>
      </c>
      <c r="D81" s="7">
        <v>53</v>
      </c>
      <c r="E81" s="10" t="s">
        <v>8</v>
      </c>
      <c r="F81" s="10" t="s">
        <v>58</v>
      </c>
    </row>
    <row r="82" spans="2:6" ht="18" customHeight="1" x14ac:dyDescent="0.25">
      <c r="B82" s="1" t="s">
        <v>5</v>
      </c>
      <c r="C82" s="5">
        <v>1</v>
      </c>
      <c r="D82" s="7">
        <v>55</v>
      </c>
      <c r="E82" s="10" t="s">
        <v>59</v>
      </c>
      <c r="F82" s="10" t="s">
        <v>60</v>
      </c>
    </row>
    <row r="83" spans="2:6" ht="18" customHeight="1" x14ac:dyDescent="0.25">
      <c r="B83" s="1" t="s">
        <v>5</v>
      </c>
      <c r="C83" s="5">
        <v>1</v>
      </c>
      <c r="D83" s="7">
        <v>55</v>
      </c>
      <c r="E83" s="10" t="s">
        <v>59</v>
      </c>
      <c r="F83" s="10" t="s">
        <v>60</v>
      </c>
    </row>
    <row r="84" spans="2:6" ht="18" customHeight="1" x14ac:dyDescent="0.25">
      <c r="B84" s="1" t="s">
        <v>5</v>
      </c>
      <c r="C84" s="5">
        <v>1</v>
      </c>
      <c r="D84" s="7">
        <v>55</v>
      </c>
      <c r="E84" s="10" t="s">
        <v>59</v>
      </c>
      <c r="F84" s="10" t="s">
        <v>60</v>
      </c>
    </row>
    <row r="85" spans="2:6" ht="18" customHeight="1" x14ac:dyDescent="0.25">
      <c r="B85" s="1" t="s">
        <v>5</v>
      </c>
      <c r="C85" s="5">
        <v>1</v>
      </c>
      <c r="D85" s="7">
        <v>55</v>
      </c>
      <c r="E85" s="10" t="s">
        <v>6</v>
      </c>
      <c r="F85" s="10" t="s">
        <v>60</v>
      </c>
    </row>
    <row r="86" spans="2:6" ht="18" customHeight="1" x14ac:dyDescent="0.25">
      <c r="B86" s="1" t="s">
        <v>5</v>
      </c>
      <c r="C86" s="5">
        <v>1</v>
      </c>
      <c r="D86" s="7">
        <v>55</v>
      </c>
      <c r="E86" s="10" t="s">
        <v>59</v>
      </c>
      <c r="F86" s="10" t="s">
        <v>58</v>
      </c>
    </row>
    <row r="87" spans="2:6" ht="18" customHeight="1" x14ac:dyDescent="0.25">
      <c r="B87" s="1" t="s">
        <v>67</v>
      </c>
      <c r="C87" s="5">
        <v>1</v>
      </c>
      <c r="D87" s="7">
        <v>56</v>
      </c>
      <c r="E87" s="10" t="s">
        <v>6</v>
      </c>
      <c r="F87" s="10" t="s">
        <v>58</v>
      </c>
    </row>
    <row r="88" spans="2:6" ht="18" customHeight="1" x14ac:dyDescent="0.25">
      <c r="B88" s="1" t="s">
        <v>69</v>
      </c>
      <c r="C88" s="5">
        <v>1</v>
      </c>
      <c r="D88" s="7">
        <v>56</v>
      </c>
      <c r="E88" s="10" t="s">
        <v>6</v>
      </c>
      <c r="F88" s="10" t="s">
        <v>58</v>
      </c>
    </row>
    <row r="89" spans="2:6" ht="18" customHeight="1" x14ac:dyDescent="0.25">
      <c r="B89" s="1" t="s">
        <v>74</v>
      </c>
      <c r="C89" s="5">
        <v>1</v>
      </c>
      <c r="D89" s="7">
        <v>56</v>
      </c>
      <c r="E89" s="10" t="s">
        <v>61</v>
      </c>
      <c r="F89" s="10" t="s">
        <v>58</v>
      </c>
    </row>
    <row r="90" spans="2:6" ht="18" customHeight="1" x14ac:dyDescent="0.25">
      <c r="B90" s="1" t="s">
        <v>9</v>
      </c>
      <c r="C90" s="5">
        <v>1</v>
      </c>
      <c r="D90" s="7">
        <v>52</v>
      </c>
      <c r="E90" s="10" t="s">
        <v>59</v>
      </c>
      <c r="F90" s="10" t="s">
        <v>58</v>
      </c>
    </row>
    <row r="91" spans="2:6" ht="18" customHeight="1" x14ac:dyDescent="0.25">
      <c r="B91" s="1" t="s">
        <v>12</v>
      </c>
      <c r="C91" s="5">
        <v>1</v>
      </c>
      <c r="D91" s="7">
        <v>53</v>
      </c>
      <c r="E91" s="10" t="s">
        <v>61</v>
      </c>
      <c r="F91" s="10" t="s">
        <v>58</v>
      </c>
    </row>
    <row r="92" spans="2:6" ht="18" customHeight="1" x14ac:dyDescent="0.25">
      <c r="B92" s="1" t="s">
        <v>12</v>
      </c>
      <c r="C92" s="5">
        <v>1</v>
      </c>
      <c r="D92" s="7">
        <v>53</v>
      </c>
      <c r="E92" s="10" t="s">
        <v>61</v>
      </c>
      <c r="F92" s="10" t="s">
        <v>58</v>
      </c>
    </row>
    <row r="93" spans="2:6" ht="18" customHeight="1" x14ac:dyDescent="0.25">
      <c r="B93" s="1" t="s">
        <v>14</v>
      </c>
      <c r="C93" s="5">
        <v>1</v>
      </c>
      <c r="D93" s="7">
        <v>51</v>
      </c>
      <c r="E93" s="10" t="s">
        <v>8</v>
      </c>
      <c r="F93" s="10" t="s">
        <v>58</v>
      </c>
    </row>
    <row r="94" spans="2:6" ht="18" customHeight="1" x14ac:dyDescent="0.25">
      <c r="B94" s="1" t="s">
        <v>15</v>
      </c>
      <c r="C94" s="5">
        <v>1</v>
      </c>
      <c r="D94" s="7">
        <v>51</v>
      </c>
      <c r="E94" s="10" t="s">
        <v>8</v>
      </c>
      <c r="F94" s="10" t="s">
        <v>58</v>
      </c>
    </row>
    <row r="95" spans="2:6" ht="18" customHeight="1" x14ac:dyDescent="0.25">
      <c r="B95" s="1" t="s">
        <v>15</v>
      </c>
      <c r="C95" s="5">
        <v>1</v>
      </c>
      <c r="D95" s="7">
        <v>51</v>
      </c>
      <c r="E95" s="10" t="s">
        <v>8</v>
      </c>
      <c r="F95" s="10" t="s">
        <v>58</v>
      </c>
    </row>
    <row r="96" spans="2:6" ht="18" customHeight="1" x14ac:dyDescent="0.25">
      <c r="B96" s="1" t="s">
        <v>15</v>
      </c>
      <c r="C96" s="5">
        <v>1</v>
      </c>
      <c r="D96" s="7">
        <v>51</v>
      </c>
      <c r="E96" s="10" t="s">
        <v>8</v>
      </c>
      <c r="F96" s="10" t="s">
        <v>58</v>
      </c>
    </row>
    <row r="97" spans="2:6" ht="18" customHeight="1" x14ac:dyDescent="0.25">
      <c r="B97" s="1" t="s">
        <v>15</v>
      </c>
      <c r="C97" s="5">
        <v>1</v>
      </c>
      <c r="D97" s="7">
        <v>51</v>
      </c>
      <c r="E97" s="10" t="s">
        <v>8</v>
      </c>
      <c r="F97" s="10" t="s">
        <v>58</v>
      </c>
    </row>
    <row r="98" spans="2:6" ht="18" customHeight="1" thickBot="1" x14ac:dyDescent="0.3">
      <c r="B98" s="1" t="s">
        <v>15</v>
      </c>
      <c r="C98" s="14">
        <v>1</v>
      </c>
      <c r="D98" s="15">
        <v>51</v>
      </c>
      <c r="E98" s="16" t="s">
        <v>8</v>
      </c>
      <c r="F98" s="16" t="s">
        <v>58</v>
      </c>
    </row>
    <row r="99" spans="2:6" ht="19.5" thickBot="1" x14ac:dyDescent="0.35">
      <c r="B99" s="13" t="s">
        <v>20</v>
      </c>
      <c r="C99" s="17">
        <f>SUM(C80:C98)</f>
        <v>19</v>
      </c>
      <c r="D99" s="18">
        <f>AVERAGE(D80:D98)</f>
        <v>53.315789473684212</v>
      </c>
      <c r="E99" s="34">
        <v>1.89</v>
      </c>
      <c r="F99" s="35">
        <v>41.58</v>
      </c>
    </row>
  </sheetData>
  <mergeCells count="8">
    <mergeCell ref="C76:E76"/>
    <mergeCell ref="C77:E77"/>
    <mergeCell ref="C2:E2"/>
    <mergeCell ref="C3:E3"/>
    <mergeCell ref="C26:E26"/>
    <mergeCell ref="C27:E27"/>
    <mergeCell ref="C49:E49"/>
    <mergeCell ref="C50:E5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19006-C29F-427C-89CA-75DD77CA8367}">
  <dimension ref="B2:K107"/>
  <sheetViews>
    <sheetView topLeftCell="A100" zoomScaleNormal="100" workbookViewId="0">
      <selection activeCell="B102" sqref="B102"/>
    </sheetView>
  </sheetViews>
  <sheetFormatPr baseColWidth="10" defaultRowHeight="15" x14ac:dyDescent="0.25"/>
  <cols>
    <col min="2" max="2" width="13.85546875" customWidth="1"/>
    <col min="3" max="4" width="9.7109375" customWidth="1"/>
    <col min="5" max="6" width="13.85546875" customWidth="1"/>
    <col min="10" max="10" width="15.28515625" customWidth="1"/>
  </cols>
  <sheetData>
    <row r="2" spans="2:11" ht="15.75" x14ac:dyDescent="0.25">
      <c r="C2" s="43" t="s">
        <v>48</v>
      </c>
      <c r="D2" s="43"/>
      <c r="E2" s="43"/>
    </row>
    <row r="3" spans="2:11" ht="15.75" x14ac:dyDescent="0.25">
      <c r="C3" s="43" t="s">
        <v>49</v>
      </c>
      <c r="D3" s="43"/>
      <c r="E3" s="43"/>
    </row>
    <row r="4" spans="2:11" ht="15.75" thickBot="1" x14ac:dyDescent="0.3"/>
    <row r="5" spans="2:11" ht="18" customHeight="1" thickBot="1" x14ac:dyDescent="0.35">
      <c r="B5" s="4" t="s">
        <v>0</v>
      </c>
      <c r="C5" s="4" t="s">
        <v>16</v>
      </c>
      <c r="D5" s="4" t="s">
        <v>1</v>
      </c>
      <c r="E5" s="4" t="s">
        <v>2</v>
      </c>
      <c r="F5" s="4" t="s">
        <v>17</v>
      </c>
      <c r="J5" s="12" t="s">
        <v>65</v>
      </c>
      <c r="K5" s="41">
        <f>SUM(C12,C41,C65,C88,C107)</f>
        <v>68</v>
      </c>
    </row>
    <row r="6" spans="2:11" ht="18" customHeight="1" thickBot="1" x14ac:dyDescent="0.35">
      <c r="B6" s="1" t="s">
        <v>68</v>
      </c>
      <c r="C6" s="5">
        <v>1</v>
      </c>
      <c r="D6" s="7">
        <v>46</v>
      </c>
      <c r="E6" s="1" t="s">
        <v>6</v>
      </c>
      <c r="F6" s="1" t="s">
        <v>85</v>
      </c>
      <c r="J6" s="12" t="s">
        <v>66</v>
      </c>
      <c r="K6" s="40">
        <f>AVERAGE(D12,D41,D65,D88,D107)</f>
        <v>40.748571428571424</v>
      </c>
    </row>
    <row r="7" spans="2:11" ht="18" customHeight="1" x14ac:dyDescent="0.25">
      <c r="B7" s="1" t="s">
        <v>72</v>
      </c>
      <c r="C7" s="5">
        <v>1</v>
      </c>
      <c r="D7" s="7">
        <v>46</v>
      </c>
      <c r="E7" s="1" t="s">
        <v>6</v>
      </c>
      <c r="F7" s="1" t="s">
        <v>85</v>
      </c>
    </row>
    <row r="8" spans="2:11" ht="18" customHeight="1" x14ac:dyDescent="0.25">
      <c r="B8" s="1" t="s">
        <v>21</v>
      </c>
      <c r="C8" s="5">
        <v>1</v>
      </c>
      <c r="D8" s="7">
        <v>46</v>
      </c>
      <c r="E8" s="1" t="s">
        <v>6</v>
      </c>
      <c r="F8" s="1" t="s">
        <v>85</v>
      </c>
    </row>
    <row r="9" spans="2:11" ht="18" customHeight="1" x14ac:dyDescent="0.25">
      <c r="B9" s="1" t="s">
        <v>21</v>
      </c>
      <c r="C9" s="5">
        <v>1</v>
      </c>
      <c r="D9" s="7">
        <v>46</v>
      </c>
      <c r="E9" s="1" t="s">
        <v>6</v>
      </c>
      <c r="F9" s="1" t="s">
        <v>85</v>
      </c>
    </row>
    <row r="10" spans="2:11" ht="18" customHeight="1" x14ac:dyDescent="0.25">
      <c r="B10" s="1" t="s">
        <v>9</v>
      </c>
      <c r="C10" s="5">
        <v>0.5</v>
      </c>
      <c r="D10" s="7">
        <v>46</v>
      </c>
      <c r="E10" s="1" t="s">
        <v>8</v>
      </c>
      <c r="F10" s="1" t="s">
        <v>85</v>
      </c>
    </row>
    <row r="11" spans="2:11" ht="18" customHeight="1" thickBot="1" x14ac:dyDescent="0.3">
      <c r="B11" s="1" t="s">
        <v>12</v>
      </c>
      <c r="C11" s="36">
        <v>0.5</v>
      </c>
      <c r="D11" s="37">
        <v>44</v>
      </c>
      <c r="E11" s="38" t="s">
        <v>8</v>
      </c>
      <c r="F11" s="38" t="s">
        <v>85</v>
      </c>
    </row>
    <row r="12" spans="2:11" ht="19.5" thickBot="1" x14ac:dyDescent="0.35">
      <c r="B12" s="13" t="s">
        <v>20</v>
      </c>
      <c r="C12" s="17">
        <f>SUM(C6:C11)</f>
        <v>5</v>
      </c>
      <c r="D12" s="39">
        <f>AVERAGE(D6:D11)</f>
        <v>45.666666666666664</v>
      </c>
      <c r="E12" s="32">
        <v>1.41</v>
      </c>
      <c r="F12" s="33">
        <v>31.02</v>
      </c>
    </row>
    <row r="16" spans="2:11" ht="15.75" x14ac:dyDescent="0.25">
      <c r="C16" s="43" t="s">
        <v>50</v>
      </c>
      <c r="D16" s="43"/>
      <c r="E16" s="43"/>
    </row>
    <row r="17" spans="2:6" ht="15.75" x14ac:dyDescent="0.25">
      <c r="C17" s="43" t="s">
        <v>51</v>
      </c>
      <c r="D17" s="43"/>
      <c r="E17" s="43"/>
    </row>
    <row r="19" spans="2:6" ht="15.75" x14ac:dyDescent="0.25">
      <c r="B19" s="4" t="s">
        <v>0</v>
      </c>
      <c r="C19" s="4" t="s">
        <v>16</v>
      </c>
      <c r="D19" s="4" t="s">
        <v>1</v>
      </c>
      <c r="E19" s="4" t="s">
        <v>2</v>
      </c>
      <c r="F19" s="4" t="s">
        <v>17</v>
      </c>
    </row>
    <row r="20" spans="2:6" ht="18" customHeight="1" x14ac:dyDescent="0.25">
      <c r="B20" s="1" t="s">
        <v>3</v>
      </c>
      <c r="C20" s="5">
        <v>1</v>
      </c>
      <c r="D20" s="7">
        <v>37</v>
      </c>
      <c r="E20" s="1" t="s">
        <v>8</v>
      </c>
      <c r="F20" s="1" t="s">
        <v>58</v>
      </c>
    </row>
    <row r="21" spans="2:6" ht="18" customHeight="1" x14ac:dyDescent="0.25">
      <c r="B21" s="1" t="s">
        <v>3</v>
      </c>
      <c r="C21" s="5">
        <v>1</v>
      </c>
      <c r="D21" s="7">
        <v>37</v>
      </c>
      <c r="E21" s="1" t="s">
        <v>11</v>
      </c>
      <c r="F21" s="1" t="s">
        <v>58</v>
      </c>
    </row>
    <row r="22" spans="2:6" ht="18" customHeight="1" x14ac:dyDescent="0.25">
      <c r="B22" s="1" t="s">
        <v>5</v>
      </c>
      <c r="C22" s="5">
        <v>1</v>
      </c>
      <c r="D22" s="7">
        <v>37</v>
      </c>
      <c r="E22" s="1" t="s">
        <v>59</v>
      </c>
      <c r="F22" s="1" t="s">
        <v>60</v>
      </c>
    </row>
    <row r="23" spans="2:6" ht="18" customHeight="1" x14ac:dyDescent="0.25">
      <c r="B23" s="1" t="s">
        <v>5</v>
      </c>
      <c r="C23" s="5">
        <v>1</v>
      </c>
      <c r="D23" s="7">
        <v>37</v>
      </c>
      <c r="E23" s="1" t="s">
        <v>59</v>
      </c>
      <c r="F23" s="1" t="s">
        <v>60</v>
      </c>
    </row>
    <row r="24" spans="2:6" ht="18" customHeight="1" x14ac:dyDescent="0.25">
      <c r="B24" s="1" t="s">
        <v>5</v>
      </c>
      <c r="C24" s="5">
        <v>1</v>
      </c>
      <c r="D24" s="7">
        <v>37</v>
      </c>
      <c r="E24" s="1" t="s">
        <v>59</v>
      </c>
      <c r="F24" s="1" t="s">
        <v>60</v>
      </c>
    </row>
    <row r="25" spans="2:6" ht="18" customHeight="1" x14ac:dyDescent="0.25">
      <c r="B25" s="1" t="s">
        <v>5</v>
      </c>
      <c r="C25" s="5">
        <v>1</v>
      </c>
      <c r="D25" s="7">
        <v>37</v>
      </c>
      <c r="E25" s="1" t="s">
        <v>59</v>
      </c>
      <c r="F25" s="1" t="s">
        <v>60</v>
      </c>
    </row>
    <row r="26" spans="2:6" ht="18" customHeight="1" x14ac:dyDescent="0.25">
      <c r="B26" s="1" t="s">
        <v>5</v>
      </c>
      <c r="C26" s="5">
        <v>0.5</v>
      </c>
      <c r="D26" s="7">
        <v>37</v>
      </c>
      <c r="E26" s="9" t="s">
        <v>64</v>
      </c>
      <c r="F26" s="1" t="s">
        <v>58</v>
      </c>
    </row>
    <row r="27" spans="2:6" ht="18" customHeight="1" x14ac:dyDescent="0.25">
      <c r="B27" s="1" t="s">
        <v>70</v>
      </c>
      <c r="C27" s="5">
        <v>1</v>
      </c>
      <c r="D27" s="7">
        <v>39</v>
      </c>
      <c r="E27" s="1" t="s">
        <v>6</v>
      </c>
      <c r="F27" s="1" t="s">
        <v>58</v>
      </c>
    </row>
    <row r="28" spans="2:6" ht="18" customHeight="1" x14ac:dyDescent="0.25">
      <c r="B28" s="1" t="s">
        <v>71</v>
      </c>
      <c r="C28" s="5">
        <v>1</v>
      </c>
      <c r="D28" s="7">
        <v>39</v>
      </c>
      <c r="E28" s="1" t="s">
        <v>6</v>
      </c>
      <c r="F28" s="1" t="s">
        <v>58</v>
      </c>
    </row>
    <row r="29" spans="2:6" ht="18" customHeight="1" x14ac:dyDescent="0.25">
      <c r="B29" s="1" t="s">
        <v>72</v>
      </c>
      <c r="C29" s="5">
        <v>1</v>
      </c>
      <c r="D29" s="7">
        <v>39</v>
      </c>
      <c r="E29" s="1" t="s">
        <v>6</v>
      </c>
      <c r="F29" s="1" t="s">
        <v>58</v>
      </c>
    </row>
    <row r="30" spans="2:6" ht="18" customHeight="1" x14ac:dyDescent="0.25">
      <c r="B30" s="1" t="s">
        <v>73</v>
      </c>
      <c r="C30" s="5">
        <v>1</v>
      </c>
      <c r="D30" s="7">
        <v>39</v>
      </c>
      <c r="E30" s="1" t="s">
        <v>6</v>
      </c>
      <c r="F30" s="1" t="s">
        <v>58</v>
      </c>
    </row>
    <row r="31" spans="2:6" ht="18" customHeight="1" x14ac:dyDescent="0.25">
      <c r="B31" s="1" t="s">
        <v>21</v>
      </c>
      <c r="C31" s="5">
        <v>1</v>
      </c>
      <c r="D31" s="7">
        <v>39</v>
      </c>
      <c r="E31" s="1" t="s">
        <v>6</v>
      </c>
      <c r="F31" s="1" t="s">
        <v>58</v>
      </c>
    </row>
    <row r="32" spans="2:6" ht="18" customHeight="1" x14ac:dyDescent="0.25">
      <c r="B32" s="1" t="s">
        <v>21</v>
      </c>
      <c r="C32" s="5">
        <v>1</v>
      </c>
      <c r="D32" s="7">
        <v>39</v>
      </c>
      <c r="E32" s="1" t="s">
        <v>6</v>
      </c>
      <c r="F32" s="1" t="s">
        <v>58</v>
      </c>
    </row>
    <row r="33" spans="2:6" ht="18" customHeight="1" x14ac:dyDescent="0.25">
      <c r="B33" s="1" t="s">
        <v>9</v>
      </c>
      <c r="C33" s="5">
        <v>0.5</v>
      </c>
      <c r="D33" s="7">
        <v>36</v>
      </c>
      <c r="E33" s="9" t="s">
        <v>64</v>
      </c>
      <c r="F33" s="1" t="s">
        <v>58</v>
      </c>
    </row>
    <row r="34" spans="2:6" ht="18" customHeight="1" x14ac:dyDescent="0.25">
      <c r="B34" s="1" t="s">
        <v>9</v>
      </c>
      <c r="C34" s="5">
        <v>1</v>
      </c>
      <c r="D34" s="7">
        <v>36</v>
      </c>
      <c r="E34" s="1" t="s">
        <v>11</v>
      </c>
      <c r="F34" s="1" t="s">
        <v>58</v>
      </c>
    </row>
    <row r="35" spans="2:6" ht="18" customHeight="1" x14ac:dyDescent="0.25">
      <c r="B35" s="1" t="s">
        <v>12</v>
      </c>
      <c r="C35" s="5">
        <v>1</v>
      </c>
      <c r="D35" s="7">
        <v>39</v>
      </c>
      <c r="E35" s="1" t="s">
        <v>8</v>
      </c>
      <c r="F35" s="1" t="s">
        <v>58</v>
      </c>
    </row>
    <row r="36" spans="2:6" ht="18" customHeight="1" x14ac:dyDescent="0.25">
      <c r="B36" s="1" t="s">
        <v>12</v>
      </c>
      <c r="C36" s="5">
        <v>1</v>
      </c>
      <c r="D36" s="7">
        <v>39</v>
      </c>
      <c r="E36" s="1" t="s">
        <v>8</v>
      </c>
      <c r="F36" s="1" t="s">
        <v>58</v>
      </c>
    </row>
    <row r="37" spans="2:6" ht="18" customHeight="1" x14ac:dyDescent="0.25">
      <c r="B37" s="1" t="s">
        <v>15</v>
      </c>
      <c r="C37" s="5">
        <v>1</v>
      </c>
      <c r="D37" s="7">
        <v>36</v>
      </c>
      <c r="E37" s="1" t="s">
        <v>8</v>
      </c>
      <c r="F37" s="1" t="s">
        <v>58</v>
      </c>
    </row>
    <row r="38" spans="2:6" ht="18" customHeight="1" x14ac:dyDescent="0.25">
      <c r="B38" s="1" t="s">
        <v>15</v>
      </c>
      <c r="C38" s="5">
        <v>1</v>
      </c>
      <c r="D38" s="7">
        <v>36</v>
      </c>
      <c r="E38" s="1" t="s">
        <v>8</v>
      </c>
      <c r="F38" s="1" t="s">
        <v>58</v>
      </c>
    </row>
    <row r="39" spans="2:6" ht="18" customHeight="1" x14ac:dyDescent="0.25">
      <c r="B39" s="1" t="s">
        <v>15</v>
      </c>
      <c r="C39" s="5">
        <v>1</v>
      </c>
      <c r="D39" s="7">
        <v>36</v>
      </c>
      <c r="E39" s="1" t="s">
        <v>8</v>
      </c>
      <c r="F39" s="1" t="s">
        <v>58</v>
      </c>
    </row>
    <row r="40" spans="2:6" ht="18" customHeight="1" thickBot="1" x14ac:dyDescent="0.3">
      <c r="B40" s="1" t="s">
        <v>15</v>
      </c>
      <c r="C40" s="14">
        <v>1</v>
      </c>
      <c r="D40" s="15">
        <v>36</v>
      </c>
      <c r="E40" s="2" t="s">
        <v>8</v>
      </c>
      <c r="F40" s="2" t="s">
        <v>58</v>
      </c>
    </row>
    <row r="41" spans="2:6" ht="19.5" thickBot="1" x14ac:dyDescent="0.35">
      <c r="B41" s="13" t="s">
        <v>20</v>
      </c>
      <c r="C41" s="17">
        <f>SUM(C20:C40)</f>
        <v>20</v>
      </c>
      <c r="D41" s="18">
        <f>AVERAGE(D20:D40)</f>
        <v>37.476190476190474</v>
      </c>
      <c r="E41" s="19">
        <v>1.1200000000000001</v>
      </c>
      <c r="F41" s="23">
        <v>24.64</v>
      </c>
    </row>
    <row r="45" spans="2:6" ht="15.75" x14ac:dyDescent="0.25">
      <c r="C45" s="43" t="s">
        <v>52</v>
      </c>
      <c r="D45" s="43"/>
      <c r="E45" s="43"/>
    </row>
    <row r="46" spans="2:6" ht="15.75" x14ac:dyDescent="0.25">
      <c r="C46" s="43" t="s">
        <v>53</v>
      </c>
      <c r="D46" s="43"/>
      <c r="E46" s="43"/>
    </row>
    <row r="48" spans="2:6" ht="15.75" x14ac:dyDescent="0.25">
      <c r="B48" s="4" t="s">
        <v>0</v>
      </c>
      <c r="C48" s="4" t="s">
        <v>16</v>
      </c>
      <c r="D48" s="4" t="s">
        <v>1</v>
      </c>
      <c r="E48" s="4" t="s">
        <v>2</v>
      </c>
      <c r="F48" s="4" t="s">
        <v>17</v>
      </c>
    </row>
    <row r="49" spans="2:6" ht="18" customHeight="1" x14ac:dyDescent="0.25">
      <c r="B49" s="1" t="s">
        <v>3</v>
      </c>
      <c r="C49" s="5">
        <v>1</v>
      </c>
      <c r="D49" s="7">
        <v>33</v>
      </c>
      <c r="E49" s="1" t="s">
        <v>79</v>
      </c>
      <c r="F49" s="1" t="s">
        <v>85</v>
      </c>
    </row>
    <row r="50" spans="2:6" ht="18" customHeight="1" x14ac:dyDescent="0.25">
      <c r="B50" s="1" t="s">
        <v>5</v>
      </c>
      <c r="C50" s="5">
        <v>1</v>
      </c>
      <c r="D50" s="7">
        <v>33</v>
      </c>
      <c r="E50" s="1" t="s">
        <v>80</v>
      </c>
      <c r="F50" s="1" t="s">
        <v>84</v>
      </c>
    </row>
    <row r="51" spans="2:6" ht="18" customHeight="1" x14ac:dyDescent="0.25">
      <c r="B51" s="1" t="s">
        <v>5</v>
      </c>
      <c r="C51" s="5">
        <v>1</v>
      </c>
      <c r="D51" s="7">
        <v>33</v>
      </c>
      <c r="E51" s="1" t="s">
        <v>80</v>
      </c>
      <c r="F51" s="1" t="s">
        <v>84</v>
      </c>
    </row>
    <row r="52" spans="2:6" ht="18" customHeight="1" x14ac:dyDescent="0.25">
      <c r="B52" s="1" t="s">
        <v>5</v>
      </c>
      <c r="C52" s="5">
        <v>1</v>
      </c>
      <c r="D52" s="7">
        <v>33</v>
      </c>
      <c r="E52" s="1" t="s">
        <v>79</v>
      </c>
      <c r="F52" s="1" t="s">
        <v>84</v>
      </c>
    </row>
    <row r="53" spans="2:6" ht="18" customHeight="1" x14ac:dyDescent="0.25">
      <c r="B53" s="1" t="s">
        <v>5</v>
      </c>
      <c r="C53" s="5">
        <v>1</v>
      </c>
      <c r="D53" s="7">
        <v>33</v>
      </c>
      <c r="E53" s="1" t="s">
        <v>79</v>
      </c>
      <c r="F53" s="1" t="s">
        <v>84</v>
      </c>
    </row>
    <row r="54" spans="2:6" ht="18" customHeight="1" x14ac:dyDescent="0.25">
      <c r="B54" s="1" t="s">
        <v>67</v>
      </c>
      <c r="C54" s="5">
        <v>1</v>
      </c>
      <c r="D54" s="7">
        <v>37</v>
      </c>
      <c r="E54" s="1" t="s">
        <v>81</v>
      </c>
      <c r="F54" s="1" t="s">
        <v>85</v>
      </c>
    </row>
    <row r="55" spans="2:6" ht="18" customHeight="1" x14ac:dyDescent="0.25">
      <c r="B55" s="1" t="s">
        <v>67</v>
      </c>
      <c r="C55" s="5">
        <v>1</v>
      </c>
      <c r="D55" s="7">
        <v>37</v>
      </c>
      <c r="E55" s="1" t="s">
        <v>81</v>
      </c>
      <c r="F55" s="1" t="s">
        <v>85</v>
      </c>
    </row>
    <row r="56" spans="2:6" ht="18" customHeight="1" x14ac:dyDescent="0.25">
      <c r="B56" s="1" t="s">
        <v>63</v>
      </c>
      <c r="C56" s="5">
        <v>1</v>
      </c>
      <c r="D56" s="7">
        <v>37</v>
      </c>
      <c r="E56" s="1" t="s">
        <v>81</v>
      </c>
      <c r="F56" s="1" t="s">
        <v>85</v>
      </c>
    </row>
    <row r="57" spans="2:6" ht="18" customHeight="1" x14ac:dyDescent="0.25">
      <c r="B57" s="1" t="s">
        <v>72</v>
      </c>
      <c r="C57" s="5">
        <v>1</v>
      </c>
      <c r="D57" s="7">
        <v>37</v>
      </c>
      <c r="E57" s="1" t="s">
        <v>11</v>
      </c>
      <c r="F57" s="1" t="s">
        <v>85</v>
      </c>
    </row>
    <row r="58" spans="2:6" ht="18" customHeight="1" x14ac:dyDescent="0.25">
      <c r="B58" s="1" t="s">
        <v>69</v>
      </c>
      <c r="C58" s="5">
        <v>1</v>
      </c>
      <c r="D58" s="7">
        <v>37</v>
      </c>
      <c r="E58" s="1" t="s">
        <v>11</v>
      </c>
      <c r="F58" s="1" t="s">
        <v>85</v>
      </c>
    </row>
    <row r="59" spans="2:6" ht="18" customHeight="1" x14ac:dyDescent="0.25">
      <c r="B59" s="1" t="s">
        <v>86</v>
      </c>
      <c r="C59" s="5">
        <v>1</v>
      </c>
      <c r="D59" s="7">
        <v>37</v>
      </c>
      <c r="E59" s="1" t="s">
        <v>81</v>
      </c>
      <c r="F59" s="1" t="s">
        <v>85</v>
      </c>
    </row>
    <row r="60" spans="2:6" ht="18" customHeight="1" x14ac:dyDescent="0.25">
      <c r="B60" s="1" t="s">
        <v>72</v>
      </c>
      <c r="C60" s="5">
        <v>1</v>
      </c>
      <c r="D60" s="7">
        <v>37</v>
      </c>
      <c r="E60" s="1" t="s">
        <v>79</v>
      </c>
      <c r="F60" s="1" t="s">
        <v>85</v>
      </c>
    </row>
    <row r="61" spans="2:6" ht="18" customHeight="1" x14ac:dyDescent="0.25">
      <c r="B61" s="1" t="s">
        <v>9</v>
      </c>
      <c r="C61" s="5">
        <v>1</v>
      </c>
      <c r="D61" s="7">
        <v>33</v>
      </c>
      <c r="E61" s="1" t="s">
        <v>79</v>
      </c>
      <c r="F61" s="1" t="s">
        <v>85</v>
      </c>
    </row>
    <row r="62" spans="2:6" ht="18" customHeight="1" x14ac:dyDescent="0.25">
      <c r="B62" s="1" t="s">
        <v>9</v>
      </c>
      <c r="C62" s="5">
        <v>1</v>
      </c>
      <c r="D62" s="7">
        <v>33</v>
      </c>
      <c r="E62" s="1" t="s">
        <v>79</v>
      </c>
      <c r="F62" s="1" t="s">
        <v>85</v>
      </c>
    </row>
    <row r="63" spans="2:6" ht="18" customHeight="1" x14ac:dyDescent="0.25">
      <c r="B63" s="1" t="s">
        <v>12</v>
      </c>
      <c r="C63" s="5">
        <v>1</v>
      </c>
      <c r="D63" s="7">
        <v>37</v>
      </c>
      <c r="E63" s="1" t="s">
        <v>79</v>
      </c>
      <c r="F63" s="1" t="s">
        <v>85</v>
      </c>
    </row>
    <row r="64" spans="2:6" ht="18" customHeight="1" thickBot="1" x14ac:dyDescent="0.3">
      <c r="B64" s="1" t="s">
        <v>12</v>
      </c>
      <c r="C64" s="5">
        <v>1</v>
      </c>
      <c r="D64" s="7">
        <v>37</v>
      </c>
      <c r="E64" s="1" t="s">
        <v>79</v>
      </c>
      <c r="F64" s="1" t="s">
        <v>85</v>
      </c>
    </row>
    <row r="65" spans="2:6" ht="19.5" thickBot="1" x14ac:dyDescent="0.35">
      <c r="B65" s="13" t="s">
        <v>20</v>
      </c>
      <c r="C65" s="17">
        <f>SUM(C49:C64)</f>
        <v>16</v>
      </c>
      <c r="D65" s="18">
        <f>AVERAGE(D49:D64)</f>
        <v>35.25</v>
      </c>
      <c r="E65" s="32"/>
      <c r="F65" s="33"/>
    </row>
    <row r="69" spans="2:6" ht="15.75" x14ac:dyDescent="0.25">
      <c r="C69" s="43" t="s">
        <v>54</v>
      </c>
      <c r="D69" s="43"/>
      <c r="E69" s="43"/>
    </row>
    <row r="70" spans="2:6" ht="15.75" x14ac:dyDescent="0.25">
      <c r="C70" s="43" t="s">
        <v>55</v>
      </c>
      <c r="D70" s="43"/>
      <c r="E70" s="43"/>
    </row>
    <row r="72" spans="2:6" ht="15.75" x14ac:dyDescent="0.25">
      <c r="B72" s="4" t="s">
        <v>0</v>
      </c>
      <c r="C72" s="4" t="s">
        <v>16</v>
      </c>
      <c r="D72" s="4" t="s">
        <v>1</v>
      </c>
      <c r="E72" s="4" t="s">
        <v>2</v>
      </c>
      <c r="F72" s="4" t="s">
        <v>17</v>
      </c>
    </row>
    <row r="73" spans="2:6" ht="18" customHeight="1" x14ac:dyDescent="0.25">
      <c r="B73" s="1" t="s">
        <v>3</v>
      </c>
      <c r="C73" s="5">
        <v>1</v>
      </c>
      <c r="D73" s="7">
        <v>30</v>
      </c>
      <c r="E73" s="1" t="s">
        <v>79</v>
      </c>
      <c r="F73" s="1" t="s">
        <v>85</v>
      </c>
    </row>
    <row r="74" spans="2:6" ht="18" customHeight="1" x14ac:dyDescent="0.25">
      <c r="B74" s="1" t="s">
        <v>3</v>
      </c>
      <c r="C74" s="5">
        <v>1</v>
      </c>
      <c r="D74" s="7">
        <v>30</v>
      </c>
      <c r="E74" s="1" t="s">
        <v>79</v>
      </c>
      <c r="F74" s="1" t="s">
        <v>85</v>
      </c>
    </row>
    <row r="75" spans="2:6" ht="18" customHeight="1" x14ac:dyDescent="0.25">
      <c r="B75" s="1" t="s">
        <v>5</v>
      </c>
      <c r="C75" s="5">
        <v>1</v>
      </c>
      <c r="D75" s="7">
        <v>30</v>
      </c>
      <c r="E75" s="1" t="s">
        <v>80</v>
      </c>
      <c r="F75" s="1" t="s">
        <v>84</v>
      </c>
    </row>
    <row r="76" spans="2:6" ht="18" customHeight="1" x14ac:dyDescent="0.25">
      <c r="B76" s="1" t="s">
        <v>5</v>
      </c>
      <c r="C76" s="5">
        <v>1</v>
      </c>
      <c r="D76" s="7">
        <v>30</v>
      </c>
      <c r="E76" s="1" t="s">
        <v>80</v>
      </c>
      <c r="F76" s="1" t="s">
        <v>84</v>
      </c>
    </row>
    <row r="77" spans="2:6" ht="18" customHeight="1" x14ac:dyDescent="0.25">
      <c r="B77" s="1" t="s">
        <v>5</v>
      </c>
      <c r="C77" s="5">
        <v>1</v>
      </c>
      <c r="D77" s="7">
        <v>30</v>
      </c>
      <c r="E77" s="1" t="s">
        <v>79</v>
      </c>
      <c r="F77" s="1" t="s">
        <v>84</v>
      </c>
    </row>
    <row r="78" spans="2:6" ht="18" customHeight="1" x14ac:dyDescent="0.25">
      <c r="B78" s="1" t="s">
        <v>5</v>
      </c>
      <c r="C78" s="5">
        <v>1</v>
      </c>
      <c r="D78" s="7">
        <v>30</v>
      </c>
      <c r="E78" s="1" t="s">
        <v>79</v>
      </c>
      <c r="F78" s="1" t="s">
        <v>84</v>
      </c>
    </row>
    <row r="79" spans="2:6" ht="18" customHeight="1" x14ac:dyDescent="0.25">
      <c r="B79" s="1" t="s">
        <v>9</v>
      </c>
      <c r="C79" s="5">
        <v>1</v>
      </c>
      <c r="D79" s="7">
        <v>30</v>
      </c>
      <c r="E79" s="1" t="s">
        <v>79</v>
      </c>
      <c r="F79" s="1" t="s">
        <v>85</v>
      </c>
    </row>
    <row r="80" spans="2:6" ht="18" customHeight="1" x14ac:dyDescent="0.25">
      <c r="B80" s="1" t="s">
        <v>76</v>
      </c>
      <c r="C80" s="5">
        <v>1</v>
      </c>
      <c r="D80" s="7">
        <v>30</v>
      </c>
      <c r="E80" s="1" t="s">
        <v>79</v>
      </c>
      <c r="F80" s="1" t="s">
        <v>85</v>
      </c>
    </row>
    <row r="81" spans="2:6" ht="18" customHeight="1" x14ac:dyDescent="0.25">
      <c r="B81" s="1" t="s">
        <v>76</v>
      </c>
      <c r="C81" s="5">
        <v>1</v>
      </c>
      <c r="D81" s="7">
        <v>30</v>
      </c>
      <c r="E81" s="1" t="s">
        <v>79</v>
      </c>
      <c r="F81" s="1" t="s">
        <v>85</v>
      </c>
    </row>
    <row r="82" spans="2:6" ht="18" customHeight="1" x14ac:dyDescent="0.25">
      <c r="B82" s="1" t="s">
        <v>12</v>
      </c>
      <c r="C82" s="5">
        <v>1</v>
      </c>
      <c r="D82" s="7">
        <v>34</v>
      </c>
      <c r="E82" s="1" t="s">
        <v>79</v>
      </c>
      <c r="F82" s="1" t="s">
        <v>85</v>
      </c>
    </row>
    <row r="83" spans="2:6" ht="18" customHeight="1" x14ac:dyDescent="0.25">
      <c r="B83" s="1" t="s">
        <v>75</v>
      </c>
      <c r="C83" s="5">
        <v>1</v>
      </c>
      <c r="D83" s="7">
        <v>34</v>
      </c>
      <c r="E83" s="1" t="s">
        <v>81</v>
      </c>
      <c r="F83" s="1" t="s">
        <v>85</v>
      </c>
    </row>
    <row r="84" spans="2:6" ht="18" customHeight="1" x14ac:dyDescent="0.25">
      <c r="B84" s="1" t="s">
        <v>67</v>
      </c>
      <c r="C84" s="5">
        <v>1</v>
      </c>
      <c r="D84" s="7">
        <v>34</v>
      </c>
      <c r="E84" s="1" t="s">
        <v>81</v>
      </c>
      <c r="F84" s="1" t="s">
        <v>85</v>
      </c>
    </row>
    <row r="85" spans="2:6" ht="18" customHeight="1" x14ac:dyDescent="0.25">
      <c r="B85" s="1" t="s">
        <v>74</v>
      </c>
      <c r="C85" s="5">
        <v>1</v>
      </c>
      <c r="D85" s="7">
        <v>34</v>
      </c>
      <c r="E85" s="1" t="s">
        <v>81</v>
      </c>
      <c r="F85" s="1" t="s">
        <v>85</v>
      </c>
    </row>
    <row r="86" spans="2:6" ht="18" customHeight="1" x14ac:dyDescent="0.25">
      <c r="B86" s="1" t="s">
        <v>69</v>
      </c>
      <c r="C86" s="5">
        <v>1</v>
      </c>
      <c r="D86" s="7">
        <v>34</v>
      </c>
      <c r="E86" s="1" t="s">
        <v>61</v>
      </c>
      <c r="F86" s="1" t="s">
        <v>85</v>
      </c>
    </row>
    <row r="87" spans="2:6" ht="18" customHeight="1" thickBot="1" x14ac:dyDescent="0.3">
      <c r="B87" s="1" t="s">
        <v>93</v>
      </c>
      <c r="C87" s="14">
        <v>1</v>
      </c>
      <c r="D87" s="15">
        <v>34</v>
      </c>
      <c r="E87" s="2" t="s">
        <v>61</v>
      </c>
      <c r="F87" s="2" t="s">
        <v>85</v>
      </c>
    </row>
    <row r="88" spans="2:6" ht="19.5" thickBot="1" x14ac:dyDescent="0.35">
      <c r="B88" s="13" t="s">
        <v>20</v>
      </c>
      <c r="C88" s="17">
        <f>SUM(C73:C87)</f>
        <v>15</v>
      </c>
      <c r="D88" s="18">
        <f>AVERAGE(D73:D87)</f>
        <v>31.6</v>
      </c>
      <c r="E88" s="32"/>
      <c r="F88" s="33"/>
    </row>
    <row r="91" spans="2:6" ht="15.75" x14ac:dyDescent="0.25">
      <c r="C91" s="43" t="s">
        <v>56</v>
      </c>
      <c r="D91" s="43"/>
      <c r="E91" s="43"/>
    </row>
    <row r="92" spans="2:6" ht="15.75" x14ac:dyDescent="0.25">
      <c r="C92" s="43" t="s">
        <v>57</v>
      </c>
      <c r="D92" s="43"/>
      <c r="E92" s="43"/>
    </row>
    <row r="94" spans="2:6" ht="15.75" x14ac:dyDescent="0.25">
      <c r="B94" s="4" t="s">
        <v>0</v>
      </c>
      <c r="C94" s="4" t="s">
        <v>16</v>
      </c>
      <c r="D94" s="4" t="s">
        <v>1</v>
      </c>
      <c r="E94" s="4" t="s">
        <v>2</v>
      </c>
      <c r="F94" s="4" t="s">
        <v>17</v>
      </c>
    </row>
    <row r="95" spans="2:6" ht="18" customHeight="1" x14ac:dyDescent="0.25">
      <c r="B95" s="1" t="s">
        <v>3</v>
      </c>
      <c r="C95" s="5">
        <v>1</v>
      </c>
      <c r="D95" s="7">
        <v>299</v>
      </c>
      <c r="E95" s="1" t="s">
        <v>79</v>
      </c>
      <c r="F95" s="1" t="s">
        <v>85</v>
      </c>
    </row>
    <row r="96" spans="2:6" ht="18" customHeight="1" x14ac:dyDescent="0.25">
      <c r="B96" s="1" t="s">
        <v>5</v>
      </c>
      <c r="C96" s="5">
        <v>1</v>
      </c>
      <c r="D96" s="7">
        <v>30</v>
      </c>
      <c r="E96" s="1" t="s">
        <v>80</v>
      </c>
      <c r="F96" s="1" t="s">
        <v>84</v>
      </c>
    </row>
    <row r="97" spans="2:6" ht="18" customHeight="1" x14ac:dyDescent="0.25">
      <c r="B97" s="1" t="s">
        <v>5</v>
      </c>
      <c r="C97" s="5">
        <v>1</v>
      </c>
      <c r="D97" s="7">
        <v>30</v>
      </c>
      <c r="E97" s="1" t="s">
        <v>79</v>
      </c>
      <c r="F97" s="1" t="s">
        <v>84</v>
      </c>
    </row>
    <row r="98" spans="2:6" ht="18" customHeight="1" x14ac:dyDescent="0.25">
      <c r="B98" s="1" t="s">
        <v>75</v>
      </c>
      <c r="C98" s="5">
        <v>1</v>
      </c>
      <c r="D98" s="7">
        <v>31</v>
      </c>
      <c r="E98" s="1" t="s">
        <v>61</v>
      </c>
      <c r="F98" s="1" t="s">
        <v>85</v>
      </c>
    </row>
    <row r="99" spans="2:6" ht="18" customHeight="1" x14ac:dyDescent="0.25">
      <c r="B99" s="1" t="s">
        <v>67</v>
      </c>
      <c r="C99" s="5">
        <v>1</v>
      </c>
      <c r="D99" s="7">
        <v>33</v>
      </c>
      <c r="E99" s="1" t="s">
        <v>61</v>
      </c>
      <c r="F99" s="1" t="s">
        <v>85</v>
      </c>
    </row>
    <row r="100" spans="2:6" ht="18" customHeight="1" x14ac:dyDescent="0.25">
      <c r="B100" s="1" t="s">
        <v>77</v>
      </c>
      <c r="C100" s="5">
        <v>1</v>
      </c>
      <c r="D100" s="7">
        <v>30</v>
      </c>
      <c r="E100" s="1" t="s">
        <v>81</v>
      </c>
      <c r="F100" s="1" t="s">
        <v>85</v>
      </c>
    </row>
    <row r="101" spans="2:6" ht="18" customHeight="1" x14ac:dyDescent="0.25">
      <c r="B101" s="1" t="s">
        <v>69</v>
      </c>
      <c r="C101" s="5">
        <v>1</v>
      </c>
      <c r="D101" s="7">
        <v>33</v>
      </c>
      <c r="E101" s="1" t="s">
        <v>81</v>
      </c>
      <c r="F101" s="1" t="s">
        <v>85</v>
      </c>
    </row>
    <row r="102" spans="2:6" ht="18" customHeight="1" x14ac:dyDescent="0.25">
      <c r="B102" s="1" t="s">
        <v>93</v>
      </c>
      <c r="C102" s="5">
        <v>1</v>
      </c>
      <c r="D102" s="7">
        <v>33</v>
      </c>
      <c r="E102" s="1" t="s">
        <v>81</v>
      </c>
      <c r="F102" s="1" t="s">
        <v>85</v>
      </c>
    </row>
    <row r="103" spans="2:6" ht="18" customHeight="1" x14ac:dyDescent="0.25">
      <c r="B103" s="1" t="s">
        <v>12</v>
      </c>
      <c r="C103" s="5">
        <v>1</v>
      </c>
      <c r="D103" s="7">
        <v>33</v>
      </c>
      <c r="E103" s="1" t="s">
        <v>79</v>
      </c>
      <c r="F103" s="1" t="s">
        <v>85</v>
      </c>
    </row>
    <row r="104" spans="2:6" ht="18" customHeight="1" x14ac:dyDescent="0.25">
      <c r="B104" s="1" t="s">
        <v>12</v>
      </c>
      <c r="C104" s="5">
        <v>1</v>
      </c>
      <c r="D104" s="7">
        <v>33</v>
      </c>
      <c r="E104" s="1" t="s">
        <v>79</v>
      </c>
      <c r="F104" s="1" t="s">
        <v>85</v>
      </c>
    </row>
    <row r="105" spans="2:6" ht="18" customHeight="1" x14ac:dyDescent="0.25">
      <c r="B105" s="1" t="s">
        <v>78</v>
      </c>
      <c r="C105" s="5">
        <v>1</v>
      </c>
      <c r="D105" s="7">
        <v>30</v>
      </c>
      <c r="E105" s="1" t="s">
        <v>79</v>
      </c>
      <c r="F105" s="1" t="s">
        <v>85</v>
      </c>
    </row>
    <row r="106" spans="2:6" ht="18" customHeight="1" thickBot="1" x14ac:dyDescent="0.3">
      <c r="B106" s="1" t="s">
        <v>78</v>
      </c>
      <c r="C106" s="5">
        <v>1</v>
      </c>
      <c r="D106" s="7">
        <v>30</v>
      </c>
      <c r="E106" s="1" t="s">
        <v>79</v>
      </c>
      <c r="F106" s="1" t="s">
        <v>85</v>
      </c>
    </row>
    <row r="107" spans="2:6" ht="19.5" thickBot="1" x14ac:dyDescent="0.35">
      <c r="B107" s="13" t="s">
        <v>20</v>
      </c>
      <c r="C107" s="17">
        <f>SUM(C95:C106)</f>
        <v>12</v>
      </c>
      <c r="D107" s="18">
        <f>AVERAGE(D95:D106)</f>
        <v>53.75</v>
      </c>
      <c r="E107" s="32"/>
      <c r="F107" s="33"/>
    </row>
  </sheetData>
  <mergeCells count="10">
    <mergeCell ref="C69:E69"/>
    <mergeCell ref="C70:E70"/>
    <mergeCell ref="C91:E91"/>
    <mergeCell ref="C92:E92"/>
    <mergeCell ref="C2:E2"/>
    <mergeCell ref="C3:E3"/>
    <mergeCell ref="C16:E16"/>
    <mergeCell ref="C17:E17"/>
    <mergeCell ref="C45:E45"/>
    <mergeCell ref="C46:E4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21770-328D-4540-AA04-379C68320587}">
  <dimension ref="B2:J75"/>
  <sheetViews>
    <sheetView tabSelected="1" topLeftCell="A13" zoomScaleNormal="100" workbookViewId="0">
      <selection activeCell="B64" sqref="B64"/>
    </sheetView>
  </sheetViews>
  <sheetFormatPr baseColWidth="10" defaultRowHeight="15" x14ac:dyDescent="0.25"/>
  <cols>
    <col min="2" max="2" width="13.85546875" customWidth="1"/>
    <col min="3" max="4" width="9.7109375" customWidth="1"/>
    <col min="5" max="6" width="13.85546875" customWidth="1"/>
    <col min="9" max="9" width="14.7109375" customWidth="1"/>
  </cols>
  <sheetData>
    <row r="2" spans="2:10" ht="15.75" x14ac:dyDescent="0.25">
      <c r="C2" s="43" t="s">
        <v>82</v>
      </c>
      <c r="D2" s="43"/>
      <c r="E2" s="43"/>
    </row>
    <row r="3" spans="2:10" ht="15.75" x14ac:dyDescent="0.25">
      <c r="C3" s="43" t="s">
        <v>83</v>
      </c>
      <c r="D3" s="43"/>
      <c r="E3" s="43"/>
    </row>
    <row r="4" spans="2:10" ht="15.75" thickBot="1" x14ac:dyDescent="0.3"/>
    <row r="5" spans="2:10" ht="18" customHeight="1" thickBot="1" x14ac:dyDescent="0.35">
      <c r="B5" s="4" t="s">
        <v>0</v>
      </c>
      <c r="C5" s="4" t="s">
        <v>16</v>
      </c>
      <c r="D5" s="4" t="s">
        <v>1</v>
      </c>
      <c r="E5" s="4" t="s">
        <v>2</v>
      </c>
      <c r="F5" s="4" t="s">
        <v>17</v>
      </c>
      <c r="I5" s="12" t="s">
        <v>65</v>
      </c>
      <c r="J5" s="11"/>
    </row>
    <row r="6" spans="2:10" ht="18" customHeight="1" thickBot="1" x14ac:dyDescent="0.35">
      <c r="B6" s="1" t="s">
        <v>3</v>
      </c>
      <c r="C6" s="5">
        <v>1</v>
      </c>
      <c r="D6" s="7">
        <v>29</v>
      </c>
      <c r="E6" s="10" t="s">
        <v>8</v>
      </c>
      <c r="F6" s="10" t="s">
        <v>58</v>
      </c>
      <c r="I6" s="12" t="s">
        <v>66</v>
      </c>
      <c r="J6" s="11"/>
    </row>
    <row r="7" spans="2:10" ht="18" customHeight="1" x14ac:dyDescent="0.25">
      <c r="B7" s="1" t="s">
        <v>3</v>
      </c>
      <c r="C7" s="5">
        <v>1</v>
      </c>
      <c r="D7" s="7">
        <v>29</v>
      </c>
      <c r="E7" s="10" t="s">
        <v>8</v>
      </c>
      <c r="F7" s="10" t="s">
        <v>58</v>
      </c>
    </row>
    <row r="8" spans="2:10" ht="18" customHeight="1" x14ac:dyDescent="0.25">
      <c r="B8" s="1" t="s">
        <v>5</v>
      </c>
      <c r="C8" s="5">
        <v>1</v>
      </c>
      <c r="D8" s="7">
        <v>30</v>
      </c>
      <c r="E8" s="10" t="s">
        <v>59</v>
      </c>
      <c r="F8" s="10" t="s">
        <v>60</v>
      </c>
    </row>
    <row r="9" spans="2:10" ht="18" customHeight="1" x14ac:dyDescent="0.25">
      <c r="B9" s="1" t="s">
        <v>62</v>
      </c>
      <c r="C9" s="5">
        <v>1</v>
      </c>
      <c r="D9" s="7">
        <v>30</v>
      </c>
      <c r="E9" s="10" t="s">
        <v>59</v>
      </c>
      <c r="F9" s="10" t="s">
        <v>60</v>
      </c>
    </row>
    <row r="10" spans="2:10" ht="18" customHeight="1" x14ac:dyDescent="0.25">
      <c r="B10" s="1" t="s">
        <v>71</v>
      </c>
      <c r="C10" s="5">
        <v>1</v>
      </c>
      <c r="D10" s="7">
        <v>31</v>
      </c>
      <c r="E10" s="10" t="s">
        <v>8</v>
      </c>
      <c r="F10" s="10" t="s">
        <v>58</v>
      </c>
    </row>
    <row r="11" spans="2:10" ht="18" customHeight="1" x14ac:dyDescent="0.25">
      <c r="B11" s="1" t="s">
        <v>77</v>
      </c>
      <c r="C11" s="5">
        <v>0.5</v>
      </c>
      <c r="D11" s="7">
        <v>30</v>
      </c>
      <c r="E11" s="10" t="s">
        <v>6</v>
      </c>
      <c r="F11" s="10" t="s">
        <v>58</v>
      </c>
    </row>
    <row r="12" spans="2:10" ht="18" customHeight="1" x14ac:dyDescent="0.25">
      <c r="B12" s="1" t="s">
        <v>67</v>
      </c>
      <c r="C12" s="5">
        <v>0.5</v>
      </c>
      <c r="D12" s="7">
        <v>33</v>
      </c>
      <c r="E12" s="10" t="s">
        <v>8</v>
      </c>
      <c r="F12" s="10" t="s">
        <v>58</v>
      </c>
    </row>
    <row r="13" spans="2:10" ht="18" customHeight="1" x14ac:dyDescent="0.25">
      <c r="B13" s="1" t="s">
        <v>69</v>
      </c>
      <c r="C13" s="5">
        <v>1</v>
      </c>
      <c r="D13" s="7">
        <v>33</v>
      </c>
      <c r="E13" s="10" t="s">
        <v>61</v>
      </c>
      <c r="F13" s="10" t="s">
        <v>58</v>
      </c>
    </row>
    <row r="14" spans="2:10" ht="18" customHeight="1" x14ac:dyDescent="0.25">
      <c r="B14" s="1" t="s">
        <v>86</v>
      </c>
      <c r="C14" s="5">
        <v>1</v>
      </c>
      <c r="D14" s="7">
        <v>33</v>
      </c>
      <c r="E14" s="10" t="s">
        <v>6</v>
      </c>
      <c r="F14" s="10" t="s">
        <v>58</v>
      </c>
    </row>
    <row r="15" spans="2:10" ht="18" customHeight="1" x14ac:dyDescent="0.25">
      <c r="B15" s="1" t="s">
        <v>9</v>
      </c>
      <c r="C15" s="5">
        <v>1</v>
      </c>
      <c r="D15" s="7">
        <v>46</v>
      </c>
      <c r="E15" s="10" t="s">
        <v>6</v>
      </c>
      <c r="F15" s="10" t="s">
        <v>58</v>
      </c>
    </row>
    <row r="16" spans="2:10" ht="18" customHeight="1" x14ac:dyDescent="0.25">
      <c r="B16" s="1" t="s">
        <v>9</v>
      </c>
      <c r="C16" s="5">
        <v>1</v>
      </c>
      <c r="D16" s="7">
        <v>46</v>
      </c>
      <c r="E16" s="10" t="s">
        <v>8</v>
      </c>
      <c r="F16" s="10" t="s">
        <v>58</v>
      </c>
    </row>
    <row r="17" spans="2:6" ht="18" customHeight="1" x14ac:dyDescent="0.25">
      <c r="B17" s="1" t="s">
        <v>12</v>
      </c>
      <c r="C17" s="5">
        <v>1</v>
      </c>
      <c r="D17" s="7">
        <v>33</v>
      </c>
      <c r="E17" s="10" t="s">
        <v>8</v>
      </c>
      <c r="F17" s="10" t="s">
        <v>58</v>
      </c>
    </row>
    <row r="18" spans="2:6" ht="18" customHeight="1" thickBot="1" x14ac:dyDescent="0.3">
      <c r="B18" s="1" t="s">
        <v>12</v>
      </c>
      <c r="C18" s="5">
        <v>1</v>
      </c>
      <c r="D18" s="7">
        <v>33</v>
      </c>
      <c r="E18" s="10" t="s">
        <v>8</v>
      </c>
      <c r="F18" s="10" t="s">
        <v>58</v>
      </c>
    </row>
    <row r="19" spans="2:6" ht="19.5" thickBot="1" x14ac:dyDescent="0.35">
      <c r="B19" s="13" t="s">
        <v>20</v>
      </c>
      <c r="C19" s="17">
        <f>SUM(C6:C18)</f>
        <v>12</v>
      </c>
      <c r="D19" s="18">
        <f>AVERAGE(D6:D18)</f>
        <v>33.53846153846154</v>
      </c>
      <c r="E19" s="32"/>
      <c r="F19" s="33"/>
    </row>
    <row r="23" spans="2:6" ht="15.75" x14ac:dyDescent="0.25">
      <c r="C23" s="43" t="s">
        <v>87</v>
      </c>
      <c r="D23" s="43"/>
      <c r="E23" s="43"/>
    </row>
    <row r="24" spans="2:6" ht="15.75" x14ac:dyDescent="0.25">
      <c r="C24" s="43" t="s">
        <v>88</v>
      </c>
      <c r="D24" s="43"/>
      <c r="E24" s="43"/>
    </row>
    <row r="26" spans="2:6" ht="15.75" x14ac:dyDescent="0.25">
      <c r="B26" s="4" t="s">
        <v>0</v>
      </c>
      <c r="C26" s="4" t="s">
        <v>16</v>
      </c>
      <c r="D26" s="4" t="s">
        <v>1</v>
      </c>
      <c r="E26" s="4" t="s">
        <v>2</v>
      </c>
      <c r="F26" s="4" t="s">
        <v>17</v>
      </c>
    </row>
    <row r="27" spans="2:6" ht="18" customHeight="1" x14ac:dyDescent="0.25">
      <c r="B27" s="1" t="s">
        <v>3</v>
      </c>
      <c r="C27" s="5">
        <v>1</v>
      </c>
      <c r="D27" s="7">
        <v>30</v>
      </c>
      <c r="E27" s="10" t="s">
        <v>8</v>
      </c>
      <c r="F27" s="10" t="s">
        <v>58</v>
      </c>
    </row>
    <row r="28" spans="2:6" ht="18" customHeight="1" x14ac:dyDescent="0.25">
      <c r="B28" s="1" t="s">
        <v>3</v>
      </c>
      <c r="C28" s="5">
        <v>1</v>
      </c>
      <c r="D28" s="7">
        <v>30</v>
      </c>
      <c r="E28" s="10" t="s">
        <v>8</v>
      </c>
      <c r="F28" s="10" t="s">
        <v>58</v>
      </c>
    </row>
    <row r="29" spans="2:6" ht="18" customHeight="1" x14ac:dyDescent="0.25">
      <c r="B29" s="1" t="s">
        <v>5</v>
      </c>
      <c r="C29" s="5">
        <v>1</v>
      </c>
      <c r="D29" s="7">
        <v>54</v>
      </c>
      <c r="E29" s="10" t="s">
        <v>59</v>
      </c>
      <c r="F29" s="10" t="s">
        <v>60</v>
      </c>
    </row>
    <row r="30" spans="2:6" ht="18" customHeight="1" x14ac:dyDescent="0.25">
      <c r="B30" s="1" t="s">
        <v>69</v>
      </c>
      <c r="C30" s="5">
        <v>1</v>
      </c>
      <c r="D30" s="7">
        <v>33</v>
      </c>
      <c r="E30" s="10" t="s">
        <v>6</v>
      </c>
      <c r="F30" s="10" t="s">
        <v>58</v>
      </c>
    </row>
    <row r="31" spans="2:6" ht="18" customHeight="1" x14ac:dyDescent="0.25">
      <c r="B31" s="1" t="s">
        <v>69</v>
      </c>
      <c r="C31" s="5">
        <v>1</v>
      </c>
      <c r="D31" s="7">
        <v>33</v>
      </c>
      <c r="E31" s="10" t="s">
        <v>6</v>
      </c>
      <c r="F31" s="10" t="s">
        <v>58</v>
      </c>
    </row>
    <row r="32" spans="2:6" ht="18" customHeight="1" x14ac:dyDescent="0.25">
      <c r="B32" s="1" t="s">
        <v>86</v>
      </c>
      <c r="C32" s="5">
        <v>1</v>
      </c>
      <c r="D32" s="7">
        <v>33</v>
      </c>
      <c r="E32" s="10" t="s">
        <v>61</v>
      </c>
      <c r="F32" s="10" t="s">
        <v>58</v>
      </c>
    </row>
    <row r="33" spans="2:6" ht="18" customHeight="1" x14ac:dyDescent="0.25">
      <c r="B33" s="1" t="s">
        <v>9</v>
      </c>
      <c r="C33" s="5">
        <v>1</v>
      </c>
      <c r="D33" s="7">
        <v>30</v>
      </c>
      <c r="E33" s="10" t="s">
        <v>8</v>
      </c>
      <c r="F33" s="10" t="s">
        <v>58</v>
      </c>
    </row>
    <row r="34" spans="2:6" ht="18" customHeight="1" thickBot="1" x14ac:dyDescent="0.3">
      <c r="B34" s="1" t="s">
        <v>12</v>
      </c>
      <c r="C34" s="5">
        <v>1</v>
      </c>
      <c r="D34" s="7">
        <v>33</v>
      </c>
      <c r="E34" s="10" t="s">
        <v>6</v>
      </c>
      <c r="F34" s="10" t="s">
        <v>58</v>
      </c>
    </row>
    <row r="35" spans="2:6" ht="19.5" thickBot="1" x14ac:dyDescent="0.35">
      <c r="B35" s="13" t="s">
        <v>20</v>
      </c>
      <c r="C35" s="17">
        <f>SUM(C27:C34)</f>
        <v>8</v>
      </c>
      <c r="D35" s="18">
        <f>AVERAGE(D27:D34)</f>
        <v>34.5</v>
      </c>
      <c r="E35" s="32"/>
      <c r="F35" s="33"/>
    </row>
    <row r="39" spans="2:6" ht="15.75" x14ac:dyDescent="0.25">
      <c r="C39" s="43" t="s">
        <v>89</v>
      </c>
      <c r="D39" s="43"/>
      <c r="E39" s="43"/>
    </row>
    <row r="40" spans="2:6" ht="15.75" x14ac:dyDescent="0.25">
      <c r="C40" s="43" t="s">
        <v>90</v>
      </c>
      <c r="D40" s="43"/>
      <c r="E40" s="43"/>
    </row>
    <row r="42" spans="2:6" ht="15.75" x14ac:dyDescent="0.25">
      <c r="B42" s="4" t="s">
        <v>0</v>
      </c>
      <c r="C42" s="4" t="s">
        <v>16</v>
      </c>
      <c r="D42" s="4" t="s">
        <v>1</v>
      </c>
      <c r="E42" s="4" t="s">
        <v>2</v>
      </c>
      <c r="F42" s="4" t="s">
        <v>17</v>
      </c>
    </row>
    <row r="43" spans="2:6" ht="18" customHeight="1" x14ac:dyDescent="0.25">
      <c r="B43" s="1" t="s">
        <v>3</v>
      </c>
      <c r="C43" s="5">
        <v>1</v>
      </c>
      <c r="D43" s="7">
        <v>30</v>
      </c>
      <c r="E43" s="10" t="s">
        <v>8</v>
      </c>
      <c r="F43" s="10" t="s">
        <v>58</v>
      </c>
    </row>
    <row r="44" spans="2:6" ht="18" customHeight="1" x14ac:dyDescent="0.25">
      <c r="B44" s="1" t="s">
        <v>5</v>
      </c>
      <c r="C44" s="5">
        <v>1</v>
      </c>
      <c r="D44" s="7">
        <v>30</v>
      </c>
      <c r="E44" s="10" t="s">
        <v>59</v>
      </c>
      <c r="F44" s="10" t="s">
        <v>60</v>
      </c>
    </row>
    <row r="45" spans="2:6" ht="18" customHeight="1" x14ac:dyDescent="0.25">
      <c r="B45" s="1" t="s">
        <v>69</v>
      </c>
      <c r="C45" s="5">
        <v>1</v>
      </c>
      <c r="D45" s="7">
        <v>33</v>
      </c>
      <c r="E45" s="10" t="s">
        <v>6</v>
      </c>
      <c r="F45" s="10" t="s">
        <v>58</v>
      </c>
    </row>
    <row r="46" spans="2:6" ht="18" customHeight="1" x14ac:dyDescent="0.25">
      <c r="B46" s="1" t="s">
        <v>74</v>
      </c>
      <c r="C46" s="5">
        <v>1</v>
      </c>
      <c r="D46" s="7">
        <v>33</v>
      </c>
      <c r="E46" s="10" t="s">
        <v>6</v>
      </c>
      <c r="F46" s="10" t="s">
        <v>58</v>
      </c>
    </row>
    <row r="47" spans="2:6" ht="18" customHeight="1" x14ac:dyDescent="0.25">
      <c r="B47" s="1" t="s">
        <v>67</v>
      </c>
      <c r="C47" s="5">
        <v>1</v>
      </c>
      <c r="D47" s="7">
        <v>33</v>
      </c>
      <c r="E47" s="10" t="s">
        <v>61</v>
      </c>
      <c r="F47" s="10" t="s">
        <v>58</v>
      </c>
    </row>
    <row r="48" spans="2:6" ht="18" customHeight="1" x14ac:dyDescent="0.25">
      <c r="B48" s="1" t="s">
        <v>9</v>
      </c>
      <c r="C48" s="5">
        <v>1</v>
      </c>
      <c r="D48" s="7">
        <v>30</v>
      </c>
      <c r="E48" s="10" t="s">
        <v>8</v>
      </c>
      <c r="F48" s="10" t="s">
        <v>58</v>
      </c>
    </row>
    <row r="49" spans="2:6" ht="18" customHeight="1" x14ac:dyDescent="0.25">
      <c r="B49" s="1" t="s">
        <v>12</v>
      </c>
      <c r="C49" s="5">
        <v>1</v>
      </c>
      <c r="D49" s="7">
        <v>33</v>
      </c>
      <c r="E49" s="10" t="s">
        <v>6</v>
      </c>
      <c r="F49" s="10" t="s">
        <v>58</v>
      </c>
    </row>
    <row r="50" spans="2:6" ht="18" customHeight="1" thickBot="1" x14ac:dyDescent="0.3">
      <c r="B50" s="1"/>
      <c r="C50" s="5"/>
      <c r="D50" s="7"/>
      <c r="E50" s="10"/>
      <c r="F50" s="10"/>
    </row>
    <row r="51" spans="2:6" ht="19.5" thickBot="1" x14ac:dyDescent="0.35">
      <c r="B51" s="13" t="s">
        <v>20</v>
      </c>
      <c r="C51" s="17">
        <f>SUM(C43:C50)</f>
        <v>7</v>
      </c>
      <c r="D51" s="18">
        <f>AVERAGE(D43:D50)</f>
        <v>31.714285714285715</v>
      </c>
      <c r="E51" s="34"/>
      <c r="F51" s="35"/>
    </row>
    <row r="55" spans="2:6" ht="15.75" x14ac:dyDescent="0.25">
      <c r="C55" s="43" t="s">
        <v>91</v>
      </c>
      <c r="D55" s="43"/>
      <c r="E55" s="43"/>
    </row>
    <row r="56" spans="2:6" ht="15.75" x14ac:dyDescent="0.25">
      <c r="C56" s="43" t="s">
        <v>92</v>
      </c>
      <c r="D56" s="43"/>
      <c r="E56" s="43"/>
    </row>
    <row r="58" spans="2:6" ht="15.75" x14ac:dyDescent="0.25">
      <c r="B58" s="4" t="s">
        <v>0</v>
      </c>
      <c r="C58" s="4" t="s">
        <v>16</v>
      </c>
      <c r="D58" s="4" t="s">
        <v>1</v>
      </c>
      <c r="E58" s="4" t="s">
        <v>2</v>
      </c>
      <c r="F58" s="4" t="s">
        <v>17</v>
      </c>
    </row>
    <row r="59" spans="2:6" ht="18" customHeight="1" x14ac:dyDescent="0.25">
      <c r="B59" s="1" t="s">
        <v>3</v>
      </c>
      <c r="C59" s="5">
        <v>1</v>
      </c>
      <c r="D59" s="7">
        <v>31</v>
      </c>
      <c r="E59" s="10" t="s">
        <v>8</v>
      </c>
      <c r="F59" s="10" t="s">
        <v>58</v>
      </c>
    </row>
    <row r="60" spans="2:6" ht="18" customHeight="1" x14ac:dyDescent="0.25">
      <c r="B60" s="1" t="s">
        <v>3</v>
      </c>
      <c r="C60" s="5">
        <v>1</v>
      </c>
      <c r="D60" s="7">
        <v>31</v>
      </c>
      <c r="E60" s="10" t="s">
        <v>8</v>
      </c>
      <c r="F60" s="10" t="s">
        <v>58</v>
      </c>
    </row>
    <row r="61" spans="2:6" ht="18" customHeight="1" x14ac:dyDescent="0.25">
      <c r="B61" s="1" t="s">
        <v>5</v>
      </c>
      <c r="C61" s="5">
        <v>1</v>
      </c>
      <c r="D61" s="7">
        <v>31</v>
      </c>
      <c r="E61" s="10" t="s">
        <v>59</v>
      </c>
      <c r="F61" s="10" t="s">
        <v>60</v>
      </c>
    </row>
    <row r="62" spans="2:6" ht="18" customHeight="1" x14ac:dyDescent="0.25">
      <c r="B62" s="1" t="s">
        <v>5</v>
      </c>
      <c r="C62" s="5">
        <v>1</v>
      </c>
      <c r="D62" s="7">
        <v>31</v>
      </c>
      <c r="E62" s="10" t="s">
        <v>59</v>
      </c>
      <c r="F62" s="10" t="s">
        <v>60</v>
      </c>
    </row>
    <row r="63" spans="2:6" ht="18" customHeight="1" x14ac:dyDescent="0.25">
      <c r="B63" s="1" t="s">
        <v>67</v>
      </c>
      <c r="C63" s="5">
        <v>0.5</v>
      </c>
      <c r="D63" s="7">
        <v>34</v>
      </c>
      <c r="E63" s="10" t="s">
        <v>6</v>
      </c>
      <c r="F63" s="10" t="s">
        <v>58</v>
      </c>
    </row>
    <row r="64" spans="2:6" ht="18" customHeight="1" x14ac:dyDescent="0.25">
      <c r="B64" s="1" t="s">
        <v>69</v>
      </c>
      <c r="C64" s="5">
        <v>1</v>
      </c>
      <c r="D64" s="7">
        <v>34</v>
      </c>
      <c r="E64" s="10" t="s">
        <v>6</v>
      </c>
      <c r="F64" s="10" t="s">
        <v>58</v>
      </c>
    </row>
    <row r="65" spans="2:6" ht="18" customHeight="1" x14ac:dyDescent="0.25">
      <c r="B65" s="1" t="s">
        <v>93</v>
      </c>
      <c r="C65" s="5">
        <v>1</v>
      </c>
      <c r="D65" s="7">
        <v>34</v>
      </c>
      <c r="E65" s="10" t="s">
        <v>61</v>
      </c>
      <c r="F65" s="10" t="s">
        <v>58</v>
      </c>
    </row>
    <row r="66" spans="2:6" ht="18" customHeight="1" x14ac:dyDescent="0.25">
      <c r="B66" s="1" t="s">
        <v>9</v>
      </c>
      <c r="C66" s="5">
        <v>1</v>
      </c>
      <c r="D66" s="7">
        <v>31</v>
      </c>
      <c r="E66" s="10" t="s">
        <v>59</v>
      </c>
      <c r="F66" s="10" t="s">
        <v>58</v>
      </c>
    </row>
    <row r="67" spans="2:6" ht="18" customHeight="1" x14ac:dyDescent="0.25">
      <c r="B67" s="1" t="s">
        <v>12</v>
      </c>
      <c r="C67" s="5">
        <v>1</v>
      </c>
      <c r="D67" s="7">
        <v>34</v>
      </c>
      <c r="E67" s="10" t="s">
        <v>61</v>
      </c>
      <c r="F67" s="10" t="s">
        <v>58</v>
      </c>
    </row>
    <row r="68" spans="2:6" ht="18" customHeight="1" x14ac:dyDescent="0.25">
      <c r="B68" s="1" t="s">
        <v>12</v>
      </c>
      <c r="C68" s="5">
        <v>1</v>
      </c>
      <c r="D68" s="7">
        <v>34</v>
      </c>
      <c r="E68" s="10" t="s">
        <v>61</v>
      </c>
      <c r="F68" s="10" t="s">
        <v>58</v>
      </c>
    </row>
    <row r="69" spans="2:6" ht="18" customHeight="1" x14ac:dyDescent="0.25">
      <c r="B69" s="1" t="s">
        <v>9</v>
      </c>
      <c r="C69" s="5">
        <v>1</v>
      </c>
      <c r="D69" s="7">
        <v>31</v>
      </c>
      <c r="E69" s="10" t="s">
        <v>8</v>
      </c>
      <c r="F69" s="10" t="s">
        <v>58</v>
      </c>
    </row>
    <row r="70" spans="2:6" ht="18" customHeight="1" x14ac:dyDescent="0.25">
      <c r="B70" s="1" t="s">
        <v>75</v>
      </c>
      <c r="C70" s="5">
        <v>1</v>
      </c>
      <c r="D70" s="7">
        <v>34</v>
      </c>
      <c r="E70" s="10" t="s">
        <v>8</v>
      </c>
      <c r="F70" s="10" t="s">
        <v>58</v>
      </c>
    </row>
    <row r="71" spans="2:6" ht="18" customHeight="1" x14ac:dyDescent="0.25">
      <c r="B71" s="1" t="s">
        <v>74</v>
      </c>
      <c r="C71" s="5">
        <v>0.5</v>
      </c>
      <c r="D71" s="7">
        <v>34</v>
      </c>
      <c r="E71" s="10" t="s">
        <v>8</v>
      </c>
      <c r="F71" s="10" t="s">
        <v>58</v>
      </c>
    </row>
    <row r="72" spans="2:6" ht="18" customHeight="1" x14ac:dyDescent="0.25">
      <c r="B72" s="1" t="s">
        <v>69</v>
      </c>
      <c r="C72" s="5">
        <v>1</v>
      </c>
      <c r="D72" s="7">
        <v>34</v>
      </c>
      <c r="E72" s="10" t="s">
        <v>8</v>
      </c>
      <c r="F72" s="10" t="s">
        <v>58</v>
      </c>
    </row>
    <row r="73" spans="2:6" ht="18" customHeight="1" x14ac:dyDescent="0.25">
      <c r="B73" s="1"/>
      <c r="C73" s="5"/>
      <c r="D73" s="7"/>
      <c r="E73" s="10"/>
      <c r="F73" s="10"/>
    </row>
    <row r="74" spans="2:6" ht="18" customHeight="1" thickBot="1" x14ac:dyDescent="0.3">
      <c r="B74" s="1"/>
      <c r="C74" s="14"/>
      <c r="D74" s="15"/>
      <c r="E74" s="16"/>
      <c r="F74" s="16"/>
    </row>
    <row r="75" spans="2:6" ht="19.5" thickBot="1" x14ac:dyDescent="0.35">
      <c r="B75" s="13" t="s">
        <v>20</v>
      </c>
      <c r="C75" s="17">
        <f>SUM(C59:C74)</f>
        <v>13</v>
      </c>
      <c r="D75" s="18">
        <f>AVERAGE(D59:D74)</f>
        <v>32.714285714285715</v>
      </c>
      <c r="E75" s="34"/>
      <c r="F75" s="35"/>
    </row>
  </sheetData>
  <mergeCells count="8">
    <mergeCell ref="C55:E55"/>
    <mergeCell ref="C56:E56"/>
    <mergeCell ref="C2:E2"/>
    <mergeCell ref="C3:E3"/>
    <mergeCell ref="C23:E23"/>
    <mergeCell ref="C24:E24"/>
    <mergeCell ref="C39:E39"/>
    <mergeCell ref="C40:E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madre</vt:lpstr>
      <vt:lpstr>Enero</vt:lpstr>
      <vt:lpstr>Febrero</vt:lpstr>
      <vt:lpstr>Marzo</vt:lpstr>
      <vt:lpstr>Abril</vt:lpstr>
      <vt:lpstr>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Pepe ALMAR S.R.L .</dc:creator>
  <cp:lastModifiedBy>Gonzalo Pepe ALMAR S.R.L .</cp:lastModifiedBy>
  <dcterms:created xsi:type="dcterms:W3CDTF">2026-04-06T11:07:22Z</dcterms:created>
  <dcterms:modified xsi:type="dcterms:W3CDTF">2026-05-23T03:08:10Z</dcterms:modified>
</cp:coreProperties>
</file>