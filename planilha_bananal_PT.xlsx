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"/>
    </mc:Choice>
  </mc:AlternateContent>
  <xr:revisionPtr revIDLastSave="0" documentId="8_{7467EDE4-68A1-484C-8E69-0EBF63274470}" xr6:coauthVersionLast="47" xr6:coauthVersionMax="47" xr10:uidLastSave="{00000000-0000-0000-0000-000000000000}"/>
  <bookViews>
    <workbookView xWindow="-120" yWindow="-120" windowWidth="20730" windowHeight="11040" firstSheet="1" activeTab="1" xr2:uid="{6AB8E848-581C-4B91-B476-31F4FCBDF3D7}"/>
  </bookViews>
  <sheets>
    <sheet name="Pontuacoes" sheetId="2" state="veryHidden" r:id="rId1"/>
    <sheet name="Planilha" sheetId="3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3" l="1"/>
  <c r="B54" i="3"/>
  <c r="C38" i="3"/>
  <c r="C37" i="3"/>
  <c r="C36" i="3"/>
  <c r="C35" i="3"/>
  <c r="C32" i="3"/>
  <c r="C31" i="3"/>
  <c r="C30" i="3"/>
  <c r="C29" i="3"/>
  <c r="C28" i="3"/>
  <c r="C25" i="3"/>
  <c r="C24" i="3"/>
  <c r="C23" i="3"/>
  <c r="C22" i="3"/>
  <c r="C21" i="3"/>
  <c r="C20" i="3"/>
</calcChain>
</file>

<file path=xl/sharedStrings.xml><?xml version="1.0" encoding="utf-8"?>
<sst xmlns="http://schemas.openxmlformats.org/spreadsheetml/2006/main" count="73" uniqueCount="73">
  <si>
    <t>Bom</t>
  </si>
  <si>
    <t>Regular</t>
  </si>
  <si>
    <t>Ruim</t>
  </si>
  <si>
    <t>Sem/leve</t>
  </si>
  <si>
    <t>Moderada</t>
  </si>
  <si>
    <t>Severa</t>
  </si>
  <si>
    <t>Todos</t>
  </si>
  <si>
    <t>Parcial</t>
  </si>
  <si>
    <t>Nenhum</t>
  </si>
  <si>
    <t>Bem</t>
  </si>
  <si>
    <t>Algumas</t>
  </si>
  <si>
    <t>Muitas</t>
  </si>
  <si>
    <t>&lt;7</t>
  </si>
  <si>
    <t>Fino</t>
  </si>
  <si>
    <t>Médio</t>
  </si>
  <si>
    <t>Grosso</t>
  </si>
  <si>
    <t>Curto</t>
  </si>
  <si>
    <t>Longo</t>
  </si>
  <si>
    <t>Boa</t>
  </si>
  <si>
    <t>Poucos</t>
  </si>
  <si>
    <t>Moderados</t>
  </si>
  <si>
    <t>Muitos</t>
  </si>
  <si>
    <t>PLANILHA DE INSPEÇÃO DE BANANAL</t>
  </si>
  <si>
    <t>Exportação Brasil → Uruguai</t>
  </si>
  <si>
    <t>1. DADOS GERAIS</t>
  </si>
  <si>
    <t>Data da visita</t>
  </si>
  <si>
    <t>Inspetor</t>
  </si>
  <si>
    <t>Produtor / Fazenda</t>
  </si>
  <si>
    <t>Município / Estado</t>
  </si>
  <si>
    <t>Localização GPS</t>
  </si>
  <si>
    <t>Variedade</t>
  </si>
  <si>
    <t>Área em produção (ha)</t>
  </si>
  <si>
    <t>Idade da plantação</t>
  </si>
  <si>
    <t>2. ESTIMATIVA DE VOLUME (próx. 4-6 semanas)</t>
  </si>
  <si>
    <t>Plantas com cacho ensacado</t>
  </si>
  <si>
    <t>Cachos esperados por semana</t>
  </si>
  <si>
    <t>Peso médio do cacho</t>
  </si>
  <si>
    <t>3. ESTADO GERAL DO LOTE</t>
  </si>
  <si>
    <t>Limpeza e manejo do lote</t>
  </si>
  <si>
    <t>Quantidade de folhas funcionais</t>
  </si>
  <si>
    <t>Sigatoka negra</t>
  </si>
  <si>
    <t>Ensaque dos cachos</t>
  </si>
  <si>
    <t>Escoramento (plantas caídas)</t>
  </si>
  <si>
    <t>Uniformidade do cultivo</t>
  </si>
  <si>
    <t>4. AMOSTRA DE CACHO (1-2 ao acaso)</t>
  </si>
  <si>
    <t>N° de pencas</t>
  </si>
  <si>
    <t>Calibre do dedo (visual)</t>
  </si>
  <si>
    <t>Comprimento do dedo</t>
  </si>
  <si>
    <t>Cor e limpeza da casca</t>
  </si>
  <si>
    <t>Danos visíveis (trips, arranhões, manchas)</t>
  </si>
  <si>
    <t>5. SANIDADE E RASTREABILIDADE</t>
  </si>
  <si>
    <t>Focos de Fusarium R4T na zona/fazenda?</t>
  </si>
  <si>
    <t>Cumpre período de carência de agroquímicos?</t>
  </si>
  <si>
    <t>Mantém caderno de campo / registros?</t>
  </si>
  <si>
    <t>Possui certificação (GlobalG.A.P., orgânico)?</t>
  </si>
  <si>
    <t>6. LOGÍSTICA</t>
  </si>
  <si>
    <t>Acesso ao lote</t>
  </si>
  <si>
    <t>Casa de embalagem / cabo aéreo próprio</t>
  </si>
  <si>
    <t>Forma de entrega</t>
  </si>
  <si>
    <t>Distância ao ponto de coleta (km)</t>
  </si>
  <si>
    <t>7. FOTOS OBRIGATÓRIAS</t>
  </si>
  <si>
    <t>Panorâmica do lote</t>
  </si>
  <si>
    <t>Planta com cacho ensacado típico</t>
  </si>
  <si>
    <t>Cacho cortado aberto (se houver colheita)</t>
  </si>
  <si>
    <t>Casa de embalagem / zona de corte</t>
  </si>
  <si>
    <t>Foco de doença ou problema (se aplica)</t>
  </si>
  <si>
    <t>8. CLASSIFICAÇÃO FINAL (cálculo automático)</t>
  </si>
  <si>
    <t>Pontuação total (sobre 30)</t>
  </si>
  <si>
    <t>CLASSIFICAÇÃO</t>
  </si>
  <si>
    <t>Observações / Compromissos</t>
  </si>
  <si>
    <t>Próxima visita programada</t>
  </si>
  <si>
    <t>Assinatura Inspetor: __________________________</t>
  </si>
  <si>
    <t>Assinatura Produtor: 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</si>
</sst>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 indent="1"/>
    </xf>
    <xf numFmtId="0" fontId="0" fillId="3" borderId="1" xfId="0" applyFill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E089-C023-41F6-A0BF-23A5D8D89057}">
  <dimension ref="A1:B25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>
        <v>2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s="1">
        <v>46211</v>
      </c>
      <c r="B14">
        <v>1</v>
      </c>
    </row>
    <row r="15" spans="1:2" x14ac:dyDescent="0.25">
      <c r="A15" s="1">
        <v>46275</v>
      </c>
      <c r="B15">
        <v>2</v>
      </c>
    </row>
    <row r="16" spans="1:2" x14ac:dyDescent="0.25">
      <c r="A16">
        <v>10</v>
      </c>
      <c r="B16">
        <v>2</v>
      </c>
    </row>
    <row r="17" spans="1:2" x14ac:dyDescent="0.25">
      <c r="A17" t="s">
        <v>13</v>
      </c>
      <c r="B17">
        <v>0</v>
      </c>
    </row>
    <row r="18" spans="1:2" x14ac:dyDescent="0.25">
      <c r="A18" t="s">
        <v>14</v>
      </c>
      <c r="B18">
        <v>1</v>
      </c>
    </row>
    <row r="19" spans="1:2" x14ac:dyDescent="0.25">
      <c r="A19" t="s">
        <v>15</v>
      </c>
      <c r="B19">
        <v>2</v>
      </c>
    </row>
    <row r="20" spans="1:2" x14ac:dyDescent="0.25">
      <c r="A20" t="s">
        <v>16</v>
      </c>
      <c r="B20">
        <v>0</v>
      </c>
    </row>
    <row r="21" spans="1:2" x14ac:dyDescent="0.25">
      <c r="A21" t="s">
        <v>17</v>
      </c>
      <c r="B21">
        <v>2</v>
      </c>
    </row>
    <row r="22" spans="1:2" x14ac:dyDescent="0.25">
      <c r="A22" t="s">
        <v>18</v>
      </c>
      <c r="B22">
        <v>2</v>
      </c>
    </row>
    <row r="23" spans="1:2" x14ac:dyDescent="0.25">
      <c r="A23" t="s">
        <v>19</v>
      </c>
      <c r="B23">
        <v>2</v>
      </c>
    </row>
    <row r="24" spans="1:2" x14ac:dyDescent="0.25">
      <c r="A24" t="s">
        <v>20</v>
      </c>
      <c r="B24">
        <v>1</v>
      </c>
    </row>
    <row r="25" spans="1:2" x14ac:dyDescent="0.25">
      <c r="A25" t="s">
        <v>21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1EBC-6586-4966-82C1-11485DCA07F5}">
  <sheetPr>
    <pageSetUpPr fitToPage="1"/>
  </sheetPr>
  <dimension ref="A1:C63"/>
  <sheetViews>
    <sheetView tabSelected="1" workbookViewId="0">
      <selection sqref="A1:C1"/>
    </sheetView>
  </sheetViews>
  <sheetFormatPr baseColWidth="10" defaultRowHeight="15" x14ac:dyDescent="0.25"/>
  <cols>
    <col min="1" max="1" width="38.7109375" customWidth="1"/>
    <col min="2" max="2" width="32.7109375" customWidth="1"/>
    <col min="3" max="3" width="8.7109375" customWidth="1"/>
  </cols>
  <sheetData>
    <row r="1" spans="1:3" ht="21.95" customHeight="1" x14ac:dyDescent="0.3">
      <c r="A1" s="2" t="s">
        <v>22</v>
      </c>
      <c r="B1" s="2"/>
      <c r="C1" s="2"/>
    </row>
    <row r="2" spans="1:3" x14ac:dyDescent="0.25">
      <c r="A2" s="3" t="s">
        <v>23</v>
      </c>
      <c r="B2" s="3"/>
      <c r="C2" s="3"/>
    </row>
    <row r="4" spans="1:3" x14ac:dyDescent="0.25">
      <c r="A4" s="4" t="s">
        <v>24</v>
      </c>
      <c r="B4" s="4"/>
      <c r="C4" s="4"/>
    </row>
    <row r="5" spans="1:3" x14ac:dyDescent="0.25">
      <c r="A5" s="5" t="s">
        <v>25</v>
      </c>
      <c r="B5" s="6"/>
    </row>
    <row r="6" spans="1:3" x14ac:dyDescent="0.25">
      <c r="A6" s="5" t="s">
        <v>26</v>
      </c>
      <c r="B6" s="6"/>
    </row>
    <row r="7" spans="1:3" x14ac:dyDescent="0.25">
      <c r="A7" s="5" t="s">
        <v>27</v>
      </c>
      <c r="B7" s="6"/>
    </row>
    <row r="8" spans="1:3" x14ac:dyDescent="0.25">
      <c r="A8" s="5" t="s">
        <v>28</v>
      </c>
      <c r="B8" s="6"/>
    </row>
    <row r="9" spans="1:3" x14ac:dyDescent="0.25">
      <c r="A9" s="5" t="s">
        <v>29</v>
      </c>
      <c r="B9" s="6"/>
    </row>
    <row r="10" spans="1:3" x14ac:dyDescent="0.25">
      <c r="A10" s="5" t="s">
        <v>30</v>
      </c>
      <c r="B10" s="6"/>
    </row>
    <row r="11" spans="1:3" x14ac:dyDescent="0.25">
      <c r="A11" s="5" t="s">
        <v>31</v>
      </c>
      <c r="B11" s="6"/>
    </row>
    <row r="12" spans="1:3" x14ac:dyDescent="0.25">
      <c r="A12" s="5" t="s">
        <v>32</v>
      </c>
      <c r="B12" s="6"/>
    </row>
    <row r="14" spans="1:3" x14ac:dyDescent="0.25">
      <c r="A14" s="4" t="s">
        <v>33</v>
      </c>
      <c r="B14" s="4"/>
      <c r="C14" s="4"/>
    </row>
    <row r="15" spans="1:3" x14ac:dyDescent="0.25">
      <c r="A15" s="5" t="s">
        <v>34</v>
      </c>
      <c r="B15" s="6"/>
    </row>
    <row r="16" spans="1:3" x14ac:dyDescent="0.25">
      <c r="A16" s="5" t="s">
        <v>35</v>
      </c>
      <c r="B16" s="6"/>
    </row>
    <row r="17" spans="1:3" x14ac:dyDescent="0.25">
      <c r="A17" s="5" t="s">
        <v>36</v>
      </c>
      <c r="B17" s="6"/>
    </row>
    <row r="19" spans="1:3" x14ac:dyDescent="0.25">
      <c r="A19" s="4" t="s">
        <v>37</v>
      </c>
      <c r="B19" s="4"/>
      <c r="C19" s="4"/>
    </row>
    <row r="20" spans="1:3" x14ac:dyDescent="0.25">
      <c r="A20" s="5" t="s">
        <v>38</v>
      </c>
      <c r="B20" s="6"/>
      <c r="C20" s="7" t="str">
        <f>IFERROR(VLOOKUP(B20,Pontuacoes!$A:$B,2,FALSE),"")</f>
        <v/>
      </c>
    </row>
    <row r="21" spans="1:3" x14ac:dyDescent="0.25">
      <c r="A21" s="5" t="s">
        <v>39</v>
      </c>
      <c r="B21" s="6"/>
      <c r="C21" s="7" t="str">
        <f>IFERROR(VLOOKUP(B21,Pontuacoes!$A:$B,2,FALSE),"")</f>
        <v/>
      </c>
    </row>
    <row r="22" spans="1:3" x14ac:dyDescent="0.25">
      <c r="A22" s="5" t="s">
        <v>40</v>
      </c>
      <c r="B22" s="6"/>
      <c r="C22" s="7" t="str">
        <f>IFERROR(VLOOKUP(B22,Pontuacoes!$A:$B,2,FALSE),"")</f>
        <v/>
      </c>
    </row>
    <row r="23" spans="1:3" x14ac:dyDescent="0.25">
      <c r="A23" s="5" t="s">
        <v>41</v>
      </c>
      <c r="B23" s="6"/>
      <c r="C23" s="7" t="str">
        <f>IFERROR(VLOOKUP(B23,Pontuacoes!$A:$B,2,FALSE),"")</f>
        <v/>
      </c>
    </row>
    <row r="24" spans="1:3" x14ac:dyDescent="0.25">
      <c r="A24" s="5" t="s">
        <v>42</v>
      </c>
      <c r="B24" s="6"/>
      <c r="C24" s="7" t="str">
        <f>IFERROR(VLOOKUP(B24,Pontuacoes!$A:$B,2,FALSE),"")</f>
        <v/>
      </c>
    </row>
    <row r="25" spans="1:3" x14ac:dyDescent="0.25">
      <c r="A25" s="5" t="s">
        <v>43</v>
      </c>
      <c r="B25" s="6"/>
      <c r="C25" s="7" t="str">
        <f>IFERROR(VLOOKUP(B25,Pontuacoes!$A:$B,2,FALSE),"")</f>
        <v/>
      </c>
    </row>
    <row r="27" spans="1:3" x14ac:dyDescent="0.25">
      <c r="A27" s="4" t="s">
        <v>44</v>
      </c>
      <c r="B27" s="4"/>
      <c r="C27" s="4"/>
    </row>
    <row r="28" spans="1:3" x14ac:dyDescent="0.25">
      <c r="A28" s="5" t="s">
        <v>45</v>
      </c>
      <c r="B28" s="6"/>
      <c r="C28" s="7" t="str">
        <f>IFERROR(VLOOKUP(B28,Pontuacoes!$A:$B,2,FALSE),"")</f>
        <v/>
      </c>
    </row>
    <row r="29" spans="1:3" x14ac:dyDescent="0.25">
      <c r="A29" s="5" t="s">
        <v>46</v>
      </c>
      <c r="B29" s="6"/>
      <c r="C29" s="7" t="str">
        <f>IFERROR(VLOOKUP(B29,Pontuacoes!$A:$B,2,FALSE),"")</f>
        <v/>
      </c>
    </row>
    <row r="30" spans="1:3" x14ac:dyDescent="0.25">
      <c r="A30" s="5" t="s">
        <v>47</v>
      </c>
      <c r="B30" s="6"/>
      <c r="C30" s="7" t="str">
        <f>IFERROR(VLOOKUP(B30,Pontuacoes!$A:$B,2,FALSE),"")</f>
        <v/>
      </c>
    </row>
    <row r="31" spans="1:3" x14ac:dyDescent="0.25">
      <c r="A31" s="5" t="s">
        <v>48</v>
      </c>
      <c r="B31" s="6"/>
      <c r="C31" s="7" t="str">
        <f>IFERROR(VLOOKUP(B31,Pontuacoes!$A:$B,2,FALSE),"")</f>
        <v/>
      </c>
    </row>
    <row r="32" spans="1:3" x14ac:dyDescent="0.25">
      <c r="A32" s="5" t="s">
        <v>49</v>
      </c>
      <c r="B32" s="6"/>
      <c r="C32" s="7" t="str">
        <f>IFERROR(VLOOKUP(B32,Pontuacoes!$A:$B,2,FALSE),"")</f>
        <v/>
      </c>
    </row>
    <row r="34" spans="1:3" x14ac:dyDescent="0.25">
      <c r="A34" s="4" t="s">
        <v>50</v>
      </c>
      <c r="B34" s="4"/>
      <c r="C34" s="4"/>
    </row>
    <row r="35" spans="1:3" x14ac:dyDescent="0.25">
      <c r="A35" s="5" t="s">
        <v>51</v>
      </c>
      <c r="B35" s="6"/>
      <c r="C35" s="7" t="str">
        <f>IF(B35="","",IF(B35="Sim",0,IF(B35="Não",2,1)))</f>
        <v/>
      </c>
    </row>
    <row r="36" spans="1:3" x14ac:dyDescent="0.25">
      <c r="A36" s="5" t="s">
        <v>52</v>
      </c>
      <c r="B36" s="6"/>
      <c r="C36" s="7" t="str">
        <f>IF(B36="","",IF(B36="Sim",2,IF(B36="Não",0,1)))</f>
        <v/>
      </c>
    </row>
    <row r="37" spans="1:3" x14ac:dyDescent="0.25">
      <c r="A37" s="5" t="s">
        <v>53</v>
      </c>
      <c r="B37" s="6"/>
      <c r="C37" s="7" t="str">
        <f>IF(B37="","",IF(B37="Sim",2,IF(B37="Não",0,1)))</f>
        <v/>
      </c>
    </row>
    <row r="38" spans="1:3" x14ac:dyDescent="0.25">
      <c r="A38" s="5" t="s">
        <v>54</v>
      </c>
      <c r="B38" s="6"/>
      <c r="C38" s="7" t="str">
        <f>IF(B38="","",IF(B38="Sim",2,IF(B38="Não",0,1)))</f>
        <v/>
      </c>
    </row>
    <row r="40" spans="1:3" x14ac:dyDescent="0.25">
      <c r="A40" s="4" t="s">
        <v>55</v>
      </c>
      <c r="B40" s="4"/>
      <c r="C40" s="4"/>
    </row>
    <row r="41" spans="1:3" x14ac:dyDescent="0.25">
      <c r="A41" s="5" t="s">
        <v>56</v>
      </c>
      <c r="B41" s="6"/>
    </row>
    <row r="42" spans="1:3" x14ac:dyDescent="0.25">
      <c r="A42" s="5" t="s">
        <v>57</v>
      </c>
      <c r="B42" s="6"/>
    </row>
    <row r="43" spans="1:3" x14ac:dyDescent="0.25">
      <c r="A43" s="5" t="s">
        <v>58</v>
      </c>
      <c r="B43" s="6"/>
    </row>
    <row r="44" spans="1:3" x14ac:dyDescent="0.25">
      <c r="A44" s="5" t="s">
        <v>59</v>
      </c>
      <c r="B44" s="6"/>
    </row>
    <row r="46" spans="1:3" x14ac:dyDescent="0.25">
      <c r="A46" s="4" t="s">
        <v>60</v>
      </c>
      <c r="B46" s="4"/>
      <c r="C46" s="4"/>
    </row>
    <row r="47" spans="1:3" x14ac:dyDescent="0.25">
      <c r="A47" s="5" t="s">
        <v>61</v>
      </c>
      <c r="B47" s="6"/>
    </row>
    <row r="48" spans="1:3" x14ac:dyDescent="0.25">
      <c r="A48" s="5" t="s">
        <v>62</v>
      </c>
      <c r="B48" s="6"/>
    </row>
    <row r="49" spans="1:3" x14ac:dyDescent="0.25">
      <c r="A49" s="5" t="s">
        <v>63</v>
      </c>
      <c r="B49" s="6"/>
    </row>
    <row r="50" spans="1:3" x14ac:dyDescent="0.25">
      <c r="A50" s="5" t="s">
        <v>64</v>
      </c>
      <c r="B50" s="6"/>
    </row>
    <row r="51" spans="1:3" x14ac:dyDescent="0.25">
      <c r="A51" s="5" t="s">
        <v>65</v>
      </c>
      <c r="B51" s="6"/>
    </row>
    <row r="53" spans="1:3" x14ac:dyDescent="0.25">
      <c r="A53" s="4" t="s">
        <v>66</v>
      </c>
      <c r="B53" s="4"/>
      <c r="C53" s="4"/>
    </row>
    <row r="54" spans="1:3" x14ac:dyDescent="0.25">
      <c r="A54" s="5" t="s">
        <v>67</v>
      </c>
      <c r="B54" s="8">
        <f>IFERROR(SUM(C20:C25)+SUM(C28:C32)+SUM(C35:C38),0)</f>
        <v>0</v>
      </c>
    </row>
    <row r="55" spans="1:3" ht="24" customHeight="1" x14ac:dyDescent="0.25">
      <c r="A55" s="5" t="s">
        <v>68</v>
      </c>
      <c r="B55" s="9" t="str">
        <f>IF(B35="Sim","🔴 C - REJEIÇÃO (Fusarium R4T detectado)",IF(B54="","Preencher planilha",IF(B54&gt;=24,"🟢 A - Apto para exportação, prioridade de compra",IF(B54&gt;=15,"🟡 B - Apto com observações, compra normal","🔴 C - Apenas mercado interno ou não comprar"))))</f>
        <v>🔴 C - Apenas mercado interno ou não comprar</v>
      </c>
    </row>
    <row r="57" spans="1:3" x14ac:dyDescent="0.25">
      <c r="A57" s="5" t="s">
        <v>69</v>
      </c>
      <c r="B57" s="10"/>
      <c r="C57" s="10"/>
    </row>
    <row r="58" spans="1:3" ht="21.95" customHeight="1" x14ac:dyDescent="0.25">
      <c r="B58" s="10"/>
      <c r="C58" s="10"/>
    </row>
    <row r="59" spans="1:3" ht="21.95" customHeight="1" x14ac:dyDescent="0.25">
      <c r="B59" s="10"/>
      <c r="C59" s="10"/>
    </row>
    <row r="61" spans="1:3" x14ac:dyDescent="0.25">
      <c r="A61" s="5" t="s">
        <v>70</v>
      </c>
      <c r="B61" s="6"/>
    </row>
    <row r="63" spans="1:3" x14ac:dyDescent="0.25">
      <c r="A63" s="11" t="s">
        <v>71</v>
      </c>
      <c r="B63" s="11" t="s">
        <v>72</v>
      </c>
    </row>
  </sheetData>
  <mergeCells count="11">
    <mergeCell ref="A34:C34"/>
    <mergeCell ref="A40:C40"/>
    <mergeCell ref="A46:C46"/>
    <mergeCell ref="A53:C53"/>
    <mergeCell ref="B57:C59"/>
    <mergeCell ref="A1:C1"/>
    <mergeCell ref="A2:C2"/>
    <mergeCell ref="A4:C4"/>
    <mergeCell ref="A14:C14"/>
    <mergeCell ref="A19:C19"/>
    <mergeCell ref="A27:C27"/>
  </mergeCells>
  <dataValidations count="15">
    <dataValidation type="list" allowBlank="1" showInputMessage="1" showErrorMessage="1" sqref="B10" xr:uid="{88726511-1E0E-4EA3-B353-8410FD32CB84}">
      <mc:AlternateContent xmlns:x12ac="http://schemas.microsoft.com/office/spreadsheetml/2011/1/ac" xmlns:mc="http://schemas.openxmlformats.org/markup-compatibility/2006">
        <mc:Choice Requires="x12ac">
          <x12ac:list>"Nanica,Nanicão,Prata,Outra"</x12ac:list>
        </mc:Choice>
        <mc:Fallback>
          <formula1>"Nanica,Nanicão,Prata,Outra"</formula1>
        </mc:Fallback>
      </mc:AlternateContent>
    </dataValidation>
    <dataValidation type="list" allowBlank="1" showInputMessage="1" showErrorMessage="1" sqref="B12" xr:uid="{D58F5451-840F-467F-AADF-E57E34F5818C}">
      <mc:AlternateContent xmlns:x12ac="http://schemas.microsoft.com/office/spreadsheetml/2011/1/ac" xmlns:mc="http://schemas.openxmlformats.org/markup-compatibility/2006">
        <mc:Choice Requires="x12ac">
          <x12ac:list>"&lt;1 ano,1-3 anos,3-5 anos,+5 anos"</x12ac:list>
        </mc:Choice>
        <mc:Fallback>
          <formula1>"&lt;1 ano,1-3 anos,3-5 anos,+5 anos"</formula1>
        </mc:Fallback>
      </mc:AlternateContent>
    </dataValidation>
    <dataValidation type="list" allowBlank="1" showInputMessage="1" showErrorMessage="1" sqref="B17" xr:uid="{7AF83D8E-D614-41AD-875C-37A134824C67}">
      <mc:AlternateContent xmlns:x12ac="http://schemas.microsoft.com/office/spreadsheetml/2011/1/ac" xmlns:mc="http://schemas.openxmlformats.org/markup-compatibility/2006">
        <mc:Choice Requires="x12ac">
          <x12ac:list>"&lt;20 kg,20-25 kg,25-30 kg,+30 kg"</x12ac:list>
        </mc:Choice>
        <mc:Fallback>
          <formula1>"&lt;20 kg,20-25 kg,25-30 kg,+30 kg"</formula1>
        </mc:Fallback>
      </mc:AlternateContent>
    </dataValidation>
    <dataValidation type="list" allowBlank="1" showInputMessage="1" showErrorMessage="1" sqref="B20 B21 B25 B41" xr:uid="{F3B28555-7CE7-4514-A4BA-12C63F81D7EF}">
      <mc:AlternateContent xmlns:x12ac="http://schemas.microsoft.com/office/spreadsheetml/2011/1/ac" xmlns:mc="http://schemas.openxmlformats.org/markup-compatibility/2006">
        <mc:Choice Requires="x12ac">
          <x12ac:list>"Bom,Regular,Ruim"</x12ac:list>
        </mc:Choice>
        <mc:Fallback>
          <formula1>"Bom,Regular,Ruim"</formula1>
        </mc:Fallback>
      </mc:AlternateContent>
    </dataValidation>
    <dataValidation type="list" allowBlank="1" showInputMessage="1" showErrorMessage="1" sqref="B22" xr:uid="{44CDF195-FCF1-450C-8B05-01ACAB59F7DD}">
      <mc:AlternateContent xmlns:x12ac="http://schemas.microsoft.com/office/spreadsheetml/2011/1/ac" xmlns:mc="http://schemas.openxmlformats.org/markup-compatibility/2006">
        <mc:Choice Requires="x12ac">
          <x12ac:list>"Sem/leve,Moderada,Severa"</x12ac:list>
        </mc:Choice>
        <mc:Fallback>
          <formula1>"Sem/leve,Moderada,Severa"</formula1>
        </mc:Fallback>
      </mc:AlternateContent>
    </dataValidation>
    <dataValidation type="list" allowBlank="1" showInputMessage="1" showErrorMessage="1" sqref="B23" xr:uid="{09F07161-EB43-4B0F-8C6C-41ACDCF2618D}">
      <mc:AlternateContent xmlns:x12ac="http://schemas.microsoft.com/office/spreadsheetml/2011/1/ac" xmlns:mc="http://schemas.openxmlformats.org/markup-compatibility/2006">
        <mc:Choice Requires="x12ac">
          <x12ac:list>"Todos,Parcial,Nenhum"</x12ac:list>
        </mc:Choice>
        <mc:Fallback>
          <formula1>"Todos,Parcial,Nenhum"</formula1>
        </mc:Fallback>
      </mc:AlternateContent>
    </dataValidation>
    <dataValidation type="list" allowBlank="1" showInputMessage="1" showErrorMessage="1" sqref="B24" xr:uid="{C14D5D60-BDD9-4930-A559-D6F2B6CA9100}">
      <mc:AlternateContent xmlns:x12ac="http://schemas.microsoft.com/office/spreadsheetml/2011/1/ac" xmlns:mc="http://schemas.openxmlformats.org/markup-compatibility/2006">
        <mc:Choice Requires="x12ac">
          <x12ac:list>"Bem,Algumas,Muitas"</x12ac:list>
        </mc:Choice>
        <mc:Fallback>
          <formula1>"Bem,Algumas,Muitas"</formula1>
        </mc:Fallback>
      </mc:AlternateContent>
    </dataValidation>
    <dataValidation type="list" allowBlank="1" showInputMessage="1" showErrorMessage="1" sqref="B28" xr:uid="{836BB45A-5876-4C57-881E-5DF90B9FB8F8}">
      <mc:AlternateContent xmlns:x12ac="http://schemas.microsoft.com/office/spreadsheetml/2011/1/ac" xmlns:mc="http://schemas.openxmlformats.org/markup-compatibility/2006">
        <mc:Choice Requires="x12ac">
          <x12ac:list>"&lt;7,7-8,9-10,+10"</x12ac:list>
        </mc:Choice>
        <mc:Fallback>
          <formula1>"&lt;7,7-8,9-10,+10"</formula1>
        </mc:Fallback>
      </mc:AlternateContent>
    </dataValidation>
    <dataValidation type="list" allowBlank="1" showInputMessage="1" showErrorMessage="1" sqref="B29" xr:uid="{0B99DED3-2CA3-49D7-8A4F-37F386DFA742}">
      <mc:AlternateContent xmlns:x12ac="http://schemas.microsoft.com/office/spreadsheetml/2011/1/ac" xmlns:mc="http://schemas.openxmlformats.org/markup-compatibility/2006">
        <mc:Choice Requires="x12ac">
          <x12ac:list>"Fino,Médio,Grosso"</x12ac:list>
        </mc:Choice>
        <mc:Fallback>
          <formula1>"Fino,Médio,Grosso"</formula1>
        </mc:Fallback>
      </mc:AlternateContent>
    </dataValidation>
    <dataValidation type="list" allowBlank="1" showInputMessage="1" showErrorMessage="1" sqref="B30" xr:uid="{9B2B81B6-B546-48C5-90D9-D22F5992D418}">
      <mc:AlternateContent xmlns:x12ac="http://schemas.microsoft.com/office/spreadsheetml/2011/1/ac" xmlns:mc="http://schemas.openxmlformats.org/markup-compatibility/2006">
        <mc:Choice Requires="x12ac">
          <x12ac:list>"Curto,Médio,Longo"</x12ac:list>
        </mc:Choice>
        <mc:Fallback>
          <formula1>"Curto,Médio,Longo"</formula1>
        </mc:Fallback>
      </mc:AlternateContent>
    </dataValidation>
    <dataValidation type="list" allowBlank="1" showInputMessage="1" showErrorMessage="1" sqref="B31" xr:uid="{CA71FAE0-65D5-4C3C-BF9F-4BC7C9C54DB9}">
      <mc:AlternateContent xmlns:x12ac="http://schemas.microsoft.com/office/spreadsheetml/2011/1/ac" xmlns:mc="http://schemas.openxmlformats.org/markup-compatibility/2006">
        <mc:Choice Requires="x12ac">
          <x12ac:list>"Boa,Regular,Ruim"</x12ac:list>
        </mc:Choice>
        <mc:Fallback>
          <formula1>"Boa,Regular,Ruim"</formula1>
        </mc:Fallback>
      </mc:AlternateContent>
    </dataValidation>
    <dataValidation type="list" allowBlank="1" showInputMessage="1" showErrorMessage="1" sqref="B32" xr:uid="{017133D7-CED8-4A98-AD83-6F0DC5F19EA9}">
      <mc:AlternateContent xmlns:x12ac="http://schemas.microsoft.com/office/spreadsheetml/2011/1/ac" xmlns:mc="http://schemas.openxmlformats.org/markup-compatibility/2006">
        <mc:Choice Requires="x12ac">
          <x12ac:list>"Poucos,Moderados,Muitos"</x12ac:list>
        </mc:Choice>
        <mc:Fallback>
          <formula1>"Poucos,Moderados,Muitos"</formula1>
        </mc:Fallback>
      </mc:AlternateContent>
    </dataValidation>
    <dataValidation type="list" allowBlank="1" showInputMessage="1" showErrorMessage="1" sqref="B35 B36 B37 B38" xr:uid="{65F8FDE2-0B7F-4167-8691-D46E52378AF6}">
      <mc:AlternateContent xmlns:x12ac="http://schemas.microsoft.com/office/spreadsheetml/2011/1/ac" xmlns:mc="http://schemas.openxmlformats.org/markup-compatibility/2006">
        <mc:Choice Requires="x12ac">
          <x12ac:list>"Sim,Não,Não sabe"</x12ac:list>
        </mc:Choice>
        <mc:Fallback>
          <formula1>"Sim,Não,Não sabe"</formula1>
        </mc:Fallback>
      </mc:AlternateContent>
    </dataValidation>
    <dataValidation type="list" allowBlank="1" showInputMessage="1" showErrorMessage="1" sqref="B42 B47 B48 B49 B50 B51" xr:uid="{9BEEBE05-9179-4ADA-B6CA-C048CB201330}">
      <mc:AlternateContent xmlns:x12ac="http://schemas.microsoft.com/office/spreadsheetml/2011/1/ac" xmlns:mc="http://schemas.openxmlformats.org/markup-compatibility/2006">
        <mc:Choice Requires="x12ac">
          <x12ac:list>"Sim,Não"</x12ac:list>
        </mc:Choice>
        <mc:Fallback>
          <formula1>"Sim,Não"</formula1>
        </mc:Fallback>
      </mc:AlternateContent>
    </dataValidation>
    <dataValidation type="list" allowBlank="1" showInputMessage="1" showErrorMessage="1" sqref="B43" xr:uid="{65DB22A5-F018-49EF-AC32-1D7D15A3A13C}">
      <mc:AlternateContent xmlns:x12ac="http://schemas.microsoft.com/office/spreadsheetml/2011/1/ac" xmlns:mc="http://schemas.openxmlformats.org/markup-compatibility/2006">
        <mc:Choice Requires="x12ac">
          <x12ac:list>"Cacho inteiro,Despencado/embalado"</x12ac:list>
        </mc:Choice>
        <mc:Fallback>
          <formula1>"Cacho inteiro,Despencado/embalado"</formula1>
        </mc:Fallback>
      </mc:AlternateContent>
    </dataValidation>
  </dataValidations>
  <pageMargins left="0.4" right="0.4" top="0.4" bottom="0.4" header="0.3" footer="0.3"/>
  <pageSetup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0375-FCC1-4A0B-A6B5-3C36617528A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Planilha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2026-05-12T22:44:08Z</dcterms:created>
  <dcterms:modified xsi:type="dcterms:W3CDTF">2026-05-12T22:44:12Z</dcterms:modified>
</cp:coreProperties>
</file>